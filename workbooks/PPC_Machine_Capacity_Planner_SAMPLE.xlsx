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xr:revisionPtr revIDLastSave="0" documentId="13_ncr:1_{A749242B-9DB5-43E4-8490-2B69A3F89B6B}" xr6:coauthVersionLast="47" xr6:coauthVersionMax="47" xr10:uidLastSave="{00000000-0000-0000-0000-000000000000}"/>
  <bookViews>
    <workbookView xWindow="-120" yWindow="-120" windowWidth="29040" windowHeight="15720" firstSheet="1" activeTab="4" xr2:uid="{5C744E2E-7696-45B6-BABF-82119CF13B50}"/>
    <workbookView xWindow="-105" yWindow="0" windowWidth="14610" windowHeight="15585" firstSheet="1" activeTab="1" xr2:uid="{7E36BD45-6C4F-4338-A153-3C8B21A1CB9B}"/>
  </bookViews>
  <sheets>
    <sheet name="GUIDE" sheetId="7" r:id="rId1"/>
    <sheet name="MD VIEW" sheetId="14" r:id="rId2"/>
    <sheet name="DASHBOARD" sheetId="6" r:id="rId3"/>
    <sheet name="PPC" sheetId="1" state="hidden" r:id="rId4"/>
    <sheet name="LINE PLAN" sheetId="10" r:id="rId5"/>
    <sheet name="MC MASTER" sheetId="16" r:id="rId6"/>
    <sheet name="EMBELISHMENT" sheetId="4" r:id="rId7"/>
    <sheet name="DEMAND BY DATE" sheetId="11" state="hidden" r:id="rId8"/>
    <sheet name="MC MAP" sheetId="5" r:id="rId9"/>
    <sheet name="MACHINE MASTER" sheetId="3" state="hidden" r:id="rId10"/>
    <sheet name="WORKINGS" sheetId="12" state="hidden" r:id="rId11"/>
  </sheets>
  <definedNames>
    <definedName name="_xlnm.Print_Area" localSheetId="6">EMBELISHMENT!$A$1:$AQ$29</definedName>
    <definedName name="_xlnm.Print_Area" localSheetId="1">'MD VIEW'!$A$9:$BO$72</definedName>
    <definedName name="_xlnm.Print_Titles" localSheetId="6">EMBELISHMENT!$A:$A,EMBELISHMENT!$1:$1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0" l="1"/>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I5" i="10"/>
  <c r="AJ5" i="10"/>
  <c r="AK5" i="10"/>
  <c r="AL5" i="10"/>
  <c r="AM5" i="10"/>
  <c r="AN5" i="10"/>
  <c r="AO5" i="10"/>
  <c r="AP5" i="10"/>
  <c r="AQ5" i="10"/>
  <c r="AR5" i="10"/>
  <c r="AS5" i="10"/>
  <c r="AT5" i="10"/>
  <c r="AU5" i="10"/>
  <c r="AV5" i="10"/>
  <c r="AW5" i="10"/>
  <c r="AX5" i="10"/>
  <c r="AY5" i="10"/>
  <c r="AZ5" i="10"/>
  <c r="BA5" i="10"/>
  <c r="BB5" i="10"/>
  <c r="BC5" i="10"/>
  <c r="BD5" i="10"/>
  <c r="BE5" i="10"/>
  <c r="BF5" i="10"/>
  <c r="BG5" i="10"/>
  <c r="BH5" i="10"/>
  <c r="BI5" i="10"/>
  <c r="BJ5" i="10"/>
  <c r="BK5" i="10"/>
  <c r="BL5" i="10"/>
  <c r="BM5" i="10"/>
  <c r="BN5" i="10"/>
  <c r="BO5" i="10"/>
  <c r="BP5" i="10"/>
  <c r="BQ5" i="10"/>
  <c r="BR5" i="10"/>
  <c r="BS5" i="10"/>
  <c r="BT5" i="10"/>
  <c r="BU5" i="10"/>
  <c r="BV5" i="10"/>
  <c r="BW5" i="10"/>
  <c r="BX5" i="10"/>
  <c r="BY5" i="10"/>
  <c r="BZ5" i="10"/>
  <c r="CA5" i="10"/>
  <c r="CB5" i="10"/>
  <c r="CC5" i="10"/>
  <c r="CD5" i="10"/>
  <c r="CE5" i="10"/>
  <c r="CF5" i="10"/>
  <c r="CG5" i="10"/>
  <c r="CH5" i="10"/>
  <c r="CI5" i="10"/>
  <c r="CJ5" i="10"/>
  <c r="CK5" i="10"/>
  <c r="CL5" i="10"/>
  <c r="CM5" i="10"/>
  <c r="CN5" i="10"/>
  <c r="CO5" i="10"/>
  <c r="CP5" i="10"/>
  <c r="CQ5" i="10"/>
  <c r="CR5" i="10"/>
  <c r="CS5" i="10"/>
  <c r="CT5" i="10"/>
  <c r="CU5" i="10"/>
  <c r="CV5" i="10"/>
  <c r="CW5" i="10"/>
  <c r="CX5" i="10"/>
  <c r="CY5" i="10"/>
  <c r="CZ5" i="10"/>
  <c r="DA5" i="10"/>
  <c r="DB5" i="10"/>
  <c r="DC5" i="10"/>
  <c r="DD5" i="10"/>
  <c r="DE5" i="10"/>
  <c r="DF5" i="10"/>
  <c r="DG5" i="10"/>
  <c r="DH5" i="10"/>
  <c r="DI5" i="10"/>
  <c r="DJ5" i="10"/>
  <c r="DK5" i="10"/>
  <c r="DL5" i="10"/>
  <c r="DM5" i="10"/>
  <c r="DN5" i="10"/>
  <c r="DO5" i="10"/>
  <c r="DP5" i="10"/>
  <c r="DQ5" i="10"/>
  <c r="DR5" i="10"/>
  <c r="DS5" i="10"/>
  <c r="DT5" i="10"/>
  <c r="DU5" i="10"/>
  <c r="DV5" i="10"/>
  <c r="DW5" i="10"/>
  <c r="DX5" i="10"/>
  <c r="DY5" i="10"/>
  <c r="DZ5" i="10"/>
  <c r="EA5" i="10"/>
  <c r="EB5" i="10"/>
  <c r="EC5" i="10"/>
  <c r="ED5" i="10"/>
  <c r="EE5" i="10"/>
  <c r="EF5" i="10"/>
  <c r="EG5" i="10"/>
  <c r="EH5" i="10"/>
  <c r="EI5" i="10"/>
  <c r="EJ5" i="10"/>
  <c r="EK5" i="10"/>
  <c r="EL5" i="10"/>
  <c r="EM5" i="10"/>
  <c r="EN5" i="10"/>
  <c r="EO5" i="10"/>
  <c r="EP5" i="10"/>
  <c r="EQ5" i="10"/>
  <c r="ER5" i="10"/>
  <c r="ES5" i="10"/>
  <c r="ET5" i="10"/>
  <c r="EU5" i="10"/>
  <c r="EV5" i="10"/>
  <c r="EW5" i="10"/>
  <c r="EX5" i="10"/>
  <c r="EY5" i="10"/>
  <c r="EZ5" i="10"/>
  <c r="FA5" i="10"/>
  <c r="FB5" i="10"/>
  <c r="FC5" i="10"/>
  <c r="FD5" i="10"/>
  <c r="FE5" i="10"/>
  <c r="FF5" i="10"/>
  <c r="FG5" i="10"/>
  <c r="FH5" i="10"/>
  <c r="FI5" i="10"/>
  <c r="FJ5" i="10"/>
  <c r="FK5" i="10"/>
  <c r="FL5" i="10"/>
  <c r="FM5" i="10"/>
  <c r="FN5" i="10"/>
  <c r="FO5" i="10"/>
  <c r="FP5" i="10"/>
  <c r="FQ5" i="10"/>
  <c r="FR5" i="10"/>
  <c r="FS5" i="10"/>
  <c r="FT5" i="10"/>
  <c r="FU5" i="10"/>
  <c r="FV5" i="10"/>
  <c r="FW5" i="10"/>
  <c r="FX5" i="10"/>
  <c r="FY5" i="10"/>
  <c r="FZ5" i="10"/>
  <c r="GA5" i="10"/>
  <c r="GB5" i="10"/>
  <c r="GC5" i="10"/>
  <c r="GD5" i="10"/>
  <c r="GE5" i="10"/>
  <c r="GF5" i="10"/>
  <c r="GG5" i="10"/>
  <c r="GH5" i="10"/>
  <c r="GI5" i="10"/>
  <c r="GJ5" i="10"/>
  <c r="GK5" i="10"/>
  <c r="GL5" i="10"/>
  <c r="GM5" i="10"/>
  <c r="GN5" i="10"/>
  <c r="GO5" i="10"/>
  <c r="GP5" i="10"/>
  <c r="GQ5" i="10"/>
  <c r="GR5" i="10"/>
  <c r="GS5" i="10"/>
  <c r="A85" i="12"/>
  <c r="B85" i="12"/>
  <c r="A86" i="12"/>
  <c r="B86" i="12"/>
  <c r="A87" i="12"/>
  <c r="B87" i="12"/>
  <c r="A88" i="12"/>
  <c r="B88" i="12"/>
  <c r="A89" i="12"/>
  <c r="B89" i="12"/>
  <c r="A90" i="12"/>
  <c r="B90" i="12"/>
  <c r="A91" i="12"/>
  <c r="B91" i="12"/>
  <c r="A92" i="12"/>
  <c r="B92" i="12"/>
  <c r="A93" i="12"/>
  <c r="B93" i="12"/>
  <c r="A94" i="12"/>
  <c r="B94" i="12"/>
  <c r="A95" i="12"/>
  <c r="B95" i="12"/>
  <c r="A96" i="12"/>
  <c r="B96" i="12"/>
  <c r="A97" i="12"/>
  <c r="B97" i="12"/>
  <c r="A98" i="12"/>
  <c r="B98" i="12"/>
  <c r="A99" i="12"/>
  <c r="B99" i="12"/>
  <c r="A100" i="12"/>
  <c r="B100" i="12"/>
  <c r="A101" i="12"/>
  <c r="B101" i="12"/>
  <c r="A102" i="12"/>
  <c r="B102" i="12"/>
  <c r="A103" i="12"/>
  <c r="B103" i="12"/>
  <c r="A104" i="12"/>
  <c r="B104" i="12"/>
  <c r="A105" i="12"/>
  <c r="B105" i="12"/>
  <c r="A106" i="12"/>
  <c r="B106" i="12"/>
  <c r="A107" i="12"/>
  <c r="B107" i="12"/>
  <c r="A108" i="12"/>
  <c r="B108" i="12"/>
  <c r="A109" i="12"/>
  <c r="B109" i="12"/>
  <c r="A110" i="12"/>
  <c r="B110" i="12"/>
  <c r="A116" i="12"/>
  <c r="B116" i="12"/>
  <c r="C116" i="12"/>
  <c r="D116" i="12"/>
  <c r="A117" i="12"/>
  <c r="B117" i="12"/>
  <c r="C117" i="12"/>
  <c r="D117" i="12"/>
  <c r="A118" i="12"/>
  <c r="B118" i="12"/>
  <c r="C118" i="12"/>
  <c r="D118" i="12"/>
  <c r="A119" i="12"/>
  <c r="B119" i="12"/>
  <c r="C119" i="12"/>
  <c r="D119" i="12"/>
  <c r="A120" i="12"/>
  <c r="B120" i="12"/>
  <c r="C120" i="12"/>
  <c r="D120" i="12"/>
  <c r="A121" i="12"/>
  <c r="B121" i="12"/>
  <c r="C121" i="12"/>
  <c r="D121" i="12"/>
  <c r="A122" i="12"/>
  <c r="B122" i="12"/>
  <c r="C122" i="12"/>
  <c r="D122" i="12"/>
  <c r="A123" i="12"/>
  <c r="B123" i="12"/>
  <c r="C123" i="12"/>
  <c r="D123" i="12"/>
  <c r="A124" i="12"/>
  <c r="B124" i="12"/>
  <c r="C124" i="12"/>
  <c r="D124" i="12"/>
  <c r="A125" i="12"/>
  <c r="B125" i="12"/>
  <c r="C125" i="12"/>
  <c r="D125" i="12"/>
  <c r="A126" i="12"/>
  <c r="B126" i="12"/>
  <c r="C126" i="12"/>
  <c r="D126" i="12"/>
  <c r="A127" i="12"/>
  <c r="B127" i="12"/>
  <c r="C127" i="12"/>
  <c r="D127" i="12"/>
  <c r="A128" i="12"/>
  <c r="B128" i="12"/>
  <c r="C128" i="12"/>
  <c r="D128" i="12"/>
  <c r="A129" i="12"/>
  <c r="B129" i="12"/>
  <c r="C129" i="12"/>
  <c r="D129" i="12"/>
  <c r="A130" i="12"/>
  <c r="B130" i="12"/>
  <c r="C130" i="12"/>
  <c r="D130" i="12"/>
  <c r="A131" i="12"/>
  <c r="B131" i="12"/>
  <c r="C131" i="12"/>
  <c r="D131" i="12"/>
  <c r="A132" i="12"/>
  <c r="B132" i="12"/>
  <c r="C132" i="12"/>
  <c r="D132" i="12"/>
  <c r="A133" i="12"/>
  <c r="B133" i="12"/>
  <c r="C133" i="12"/>
  <c r="D133" i="12"/>
  <c r="A134" i="12"/>
  <c r="B134" i="12"/>
  <c r="C134" i="12"/>
  <c r="D134" i="12"/>
  <c r="A135" i="12"/>
  <c r="B135" i="12"/>
  <c r="C135" i="12"/>
  <c r="D135" i="12"/>
  <c r="A136" i="12"/>
  <c r="B136" i="12"/>
  <c r="C136" i="12"/>
  <c r="D136" i="12"/>
  <c r="A137" i="12"/>
  <c r="B137" i="12"/>
  <c r="C137" i="12"/>
  <c r="D137" i="12"/>
  <c r="A138" i="12"/>
  <c r="B138" i="12"/>
  <c r="C138" i="12"/>
  <c r="D138" i="12"/>
  <c r="A139" i="12"/>
  <c r="B139" i="12"/>
  <c r="C139" i="12"/>
  <c r="D139" i="12"/>
  <c r="A140" i="12"/>
  <c r="B140" i="12"/>
  <c r="C140" i="12"/>
  <c r="D140" i="12"/>
  <c r="A141" i="12"/>
  <c r="B141" i="12"/>
  <c r="C141" i="12"/>
  <c r="D141"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B69" i="12"/>
  <c r="B75" i="12"/>
  <c r="B201" i="5"/>
  <c r="B202" i="5"/>
  <c r="A191" i="5"/>
  <c r="B191" i="5"/>
  <c r="A192" i="5"/>
  <c r="B192" i="5"/>
  <c r="B193" i="5"/>
  <c r="B194" i="5"/>
  <c r="B195" i="5"/>
  <c r="B196" i="5"/>
  <c r="B197" i="5"/>
  <c r="B198" i="5"/>
  <c r="B199" i="5"/>
  <c r="B200" i="5"/>
  <c r="A181" i="5"/>
  <c r="B181" i="5"/>
  <c r="A182" i="5"/>
  <c r="B182" i="5"/>
  <c r="A183" i="5"/>
  <c r="B183" i="5"/>
  <c r="A184" i="5"/>
  <c r="B184" i="5"/>
  <c r="A185" i="5"/>
  <c r="B185" i="5"/>
  <c r="A186" i="5"/>
  <c r="B186" i="5"/>
  <c r="A187" i="5"/>
  <c r="B187" i="5"/>
  <c r="A188" i="5"/>
  <c r="B188" i="5"/>
  <c r="A189" i="5"/>
  <c r="B189" i="5"/>
  <c r="A190" i="5"/>
  <c r="B190" i="5"/>
  <c r="A171" i="5"/>
  <c r="B171" i="5"/>
  <c r="A172" i="5"/>
  <c r="B172" i="5"/>
  <c r="A173" i="5"/>
  <c r="B173" i="5"/>
  <c r="A174" i="5"/>
  <c r="B174" i="5"/>
  <c r="A175" i="5"/>
  <c r="B175" i="5"/>
  <c r="A176" i="5"/>
  <c r="B176" i="5"/>
  <c r="A177" i="5"/>
  <c r="B177" i="5"/>
  <c r="A178" i="5"/>
  <c r="B178" i="5"/>
  <c r="A179" i="5"/>
  <c r="B179" i="5"/>
  <c r="A180" i="5"/>
  <c r="B180" i="5"/>
  <c r="B161" i="5"/>
  <c r="B162" i="5"/>
  <c r="B163" i="5"/>
  <c r="B164" i="5"/>
  <c r="B165" i="5"/>
  <c r="B166" i="5"/>
  <c r="B167" i="5"/>
  <c r="B168" i="5"/>
  <c r="B169" i="5"/>
  <c r="A170" i="5"/>
  <c r="B170" i="5"/>
  <c r="B155" i="5"/>
  <c r="B156" i="5"/>
  <c r="B157" i="5"/>
  <c r="B158" i="5"/>
  <c r="B159" i="5"/>
  <c r="B160" i="5"/>
  <c r="C149" i="5"/>
  <c r="A111" i="5"/>
  <c r="A30" i="12" s="1"/>
  <c r="A112" i="5"/>
  <c r="A31" i="12" s="1"/>
  <c r="A101" i="5"/>
  <c r="A20" i="12" s="1"/>
  <c r="A102" i="5"/>
  <c r="A21" i="12" s="1"/>
  <c r="A103" i="5"/>
  <c r="A22" i="12" s="1"/>
  <c r="A104" i="5"/>
  <c r="A23" i="12" s="1"/>
  <c r="A105" i="5"/>
  <c r="A24" i="12" s="1"/>
  <c r="A106" i="5"/>
  <c r="A25" i="12" s="1"/>
  <c r="A107" i="5"/>
  <c r="A26" i="12" s="1"/>
  <c r="A108" i="5"/>
  <c r="A27" i="12" s="1"/>
  <c r="A109" i="5"/>
  <c r="A28" i="12" s="1"/>
  <c r="A110" i="5"/>
  <c r="A29" i="12" s="1"/>
  <c r="A91" i="5"/>
  <c r="A10" i="12" s="1"/>
  <c r="A92" i="5"/>
  <c r="A11" i="12" s="1"/>
  <c r="A93" i="5"/>
  <c r="A12" i="12" s="1"/>
  <c r="A94" i="5"/>
  <c r="A13" i="12" s="1"/>
  <c r="A95" i="5"/>
  <c r="A14" i="12" s="1"/>
  <c r="A96" i="5"/>
  <c r="A15" i="12" s="1"/>
  <c r="A97" i="5"/>
  <c r="A16" i="12" s="1"/>
  <c r="A98" i="5"/>
  <c r="A17" i="12" s="1"/>
  <c r="A99" i="5"/>
  <c r="A18" i="12" s="1"/>
  <c r="A100" i="5"/>
  <c r="A19" i="12" s="1"/>
  <c r="D86" i="5"/>
  <c r="E86" i="5"/>
  <c r="F86" i="5"/>
  <c r="G86" i="5"/>
  <c r="H86" i="5"/>
  <c r="I86" i="5"/>
  <c r="J86" i="5"/>
  <c r="K86" i="5"/>
  <c r="L86" i="5"/>
  <c r="M86" i="5"/>
  <c r="N86" i="5"/>
  <c r="O86" i="5"/>
  <c r="P86" i="5"/>
  <c r="Q86" i="5"/>
  <c r="R86" i="5"/>
  <c r="S86" i="5"/>
  <c r="T86" i="5"/>
  <c r="U86" i="5"/>
  <c r="V86" i="5"/>
  <c r="W86" i="5"/>
  <c r="X86" i="5"/>
  <c r="Y86" i="5"/>
  <c r="Z86" i="5"/>
  <c r="AA86" i="5"/>
  <c r="AB86" i="5"/>
  <c r="AC86" i="5"/>
  <c r="A87" i="5"/>
  <c r="A6" i="12" s="1"/>
  <c r="A88" i="5"/>
  <c r="A7" i="12" s="1"/>
  <c r="A89" i="5"/>
  <c r="A8" i="12" s="1"/>
  <c r="A90" i="5"/>
  <c r="A9" i="12" s="1"/>
  <c r="A71" i="5"/>
  <c r="AE71" i="5"/>
  <c r="AF71" i="5"/>
  <c r="A72" i="5"/>
  <c r="AE72" i="5"/>
  <c r="AF72" i="5"/>
  <c r="A73" i="5"/>
  <c r="AE73" i="5"/>
  <c r="AF73" i="5"/>
  <c r="A74" i="5"/>
  <c r="AE74" i="5"/>
  <c r="AF74" i="5"/>
  <c r="A75" i="5"/>
  <c r="AE75" i="5"/>
  <c r="AF75" i="5"/>
  <c r="A76" i="5"/>
  <c r="AE76" i="5"/>
  <c r="AF76" i="5"/>
  <c r="A77" i="5"/>
  <c r="AE77" i="5"/>
  <c r="AF77" i="5"/>
  <c r="A78" i="5"/>
  <c r="AE78" i="5"/>
  <c r="AF78" i="5"/>
  <c r="A79" i="5"/>
  <c r="AE79" i="5"/>
  <c r="AF79" i="5"/>
  <c r="A80" i="5"/>
  <c r="A61" i="5"/>
  <c r="AE61" i="5"/>
  <c r="AC61" i="5" s="1"/>
  <c r="AF61" i="5"/>
  <c r="A62" i="5"/>
  <c r="AE62" i="5"/>
  <c r="AC62" i="5" s="1"/>
  <c r="AF62" i="5"/>
  <c r="A63" i="5"/>
  <c r="AE63" i="5"/>
  <c r="AC63" i="5" s="1"/>
  <c r="AF63" i="5"/>
  <c r="A64" i="5"/>
  <c r="AE64" i="5"/>
  <c r="AC64" i="5" s="1"/>
  <c r="AF64" i="5"/>
  <c r="A65" i="5"/>
  <c r="AE65" i="5"/>
  <c r="AC65" i="5" s="1"/>
  <c r="AF65" i="5"/>
  <c r="A66" i="5"/>
  <c r="AE66" i="5"/>
  <c r="AC66" i="5" s="1"/>
  <c r="AF66" i="5"/>
  <c r="A67" i="5"/>
  <c r="AE67" i="5"/>
  <c r="AC67" i="5" s="1"/>
  <c r="AF67" i="5"/>
  <c r="A68" i="5"/>
  <c r="AE68" i="5"/>
  <c r="AC68" i="5" s="1"/>
  <c r="AF68" i="5"/>
  <c r="A69" i="5"/>
  <c r="AE69" i="5"/>
  <c r="AC69" i="5" s="1"/>
  <c r="AF69" i="5"/>
  <c r="A70" i="5"/>
  <c r="AE70" i="5"/>
  <c r="AC70" i="5" s="1"/>
  <c r="AF70" i="5"/>
  <c r="AE51" i="5"/>
  <c r="AC51" i="5" s="1"/>
  <c r="AF51" i="5"/>
  <c r="A52" i="5"/>
  <c r="AE52" i="5"/>
  <c r="AC52" i="5" s="1"/>
  <c r="AF52" i="5"/>
  <c r="A53" i="5"/>
  <c r="AE53" i="5"/>
  <c r="AC53" i="5" s="1"/>
  <c r="AF53" i="5"/>
  <c r="A54" i="5"/>
  <c r="AE54" i="5"/>
  <c r="AC54" i="5" s="1"/>
  <c r="AF54" i="5"/>
  <c r="A55" i="5"/>
  <c r="AE55" i="5"/>
  <c r="AC55" i="5" s="1"/>
  <c r="AF55" i="5"/>
  <c r="A56" i="5"/>
  <c r="AE56" i="5"/>
  <c r="AC56" i="5" s="1"/>
  <c r="AF56" i="5"/>
  <c r="A57" i="5"/>
  <c r="AE57" i="5"/>
  <c r="AC57" i="5" s="1"/>
  <c r="AF57" i="5"/>
  <c r="A58" i="5"/>
  <c r="AE58" i="5"/>
  <c r="AC58" i="5" s="1"/>
  <c r="AF58" i="5"/>
  <c r="A59" i="5"/>
  <c r="AE59" i="5"/>
  <c r="AC59" i="5" s="1"/>
  <c r="AF59" i="5"/>
  <c r="A60" i="5"/>
  <c r="AE60" i="5"/>
  <c r="AC60" i="5" s="1"/>
  <c r="AF60" i="5"/>
  <c r="BA42" i="5"/>
  <c r="AE48" i="5"/>
  <c r="AC48" i="5" s="1"/>
  <c r="AF48" i="5"/>
  <c r="AE49" i="5"/>
  <c r="AC49" i="5" s="1"/>
  <c r="AF49" i="5"/>
  <c r="AE50" i="5"/>
  <c r="AC50" i="5" s="1"/>
  <c r="AF50" i="5"/>
  <c r="B32" i="5"/>
  <c r="C32" i="5"/>
  <c r="D32" i="5"/>
  <c r="E32" i="5"/>
  <c r="F32" i="5"/>
  <c r="G32" i="5"/>
  <c r="H32" i="5"/>
  <c r="I32" i="5"/>
  <c r="J32" i="5"/>
  <c r="K32" i="5"/>
  <c r="L32" i="5"/>
  <c r="M32" i="5"/>
  <c r="N32" i="5"/>
  <c r="O32" i="5"/>
  <c r="P32" i="5"/>
  <c r="Q32" i="5"/>
  <c r="R32" i="5"/>
  <c r="S32" i="5"/>
  <c r="T32" i="5"/>
  <c r="U32" i="5"/>
  <c r="V32" i="5"/>
  <c r="W32" i="5"/>
  <c r="X32" i="5"/>
  <c r="Y32" i="5"/>
  <c r="Z32" i="5"/>
  <c r="AA32" i="5"/>
  <c r="BB34" i="5"/>
  <c r="BC34" i="5"/>
  <c r="BD34" i="5"/>
  <c r="BE34" i="5"/>
  <c r="BF34" i="5"/>
  <c r="BG34" i="5"/>
  <c r="BH34" i="5"/>
  <c r="BI34" i="5"/>
  <c r="BJ34" i="5"/>
  <c r="BK34" i="5"/>
  <c r="BL34" i="5"/>
  <c r="BM34" i="5"/>
  <c r="BN34" i="5"/>
  <c r="BO34" i="5"/>
  <c r="BP34" i="5"/>
  <c r="BQ34" i="5"/>
  <c r="BR34" i="5"/>
  <c r="BS34" i="5"/>
  <c r="BT34" i="5"/>
  <c r="BU34" i="5"/>
  <c r="BV34" i="5"/>
  <c r="BW34" i="5"/>
  <c r="BX34" i="5"/>
  <c r="BY34" i="5"/>
  <c r="BZ34" i="5"/>
  <c r="CA34" i="5"/>
  <c r="A21" i="5"/>
  <c r="C21" i="5"/>
  <c r="BA21" i="5"/>
  <c r="BW21" i="5"/>
  <c r="BX21" i="5"/>
  <c r="CZ21" i="5" a="1"/>
  <c r="A22" i="5"/>
  <c r="C22" i="5"/>
  <c r="BA22" i="5"/>
  <c r="BW22" i="5"/>
  <c r="BX22" i="5"/>
  <c r="CZ22" i="5" a="1"/>
  <c r="A23" i="5"/>
  <c r="C23" i="5"/>
  <c r="BA23" i="5"/>
  <c r="BW23" i="5"/>
  <c r="BX23" i="5"/>
  <c r="CZ23" i="5" a="1"/>
  <c r="A24" i="5"/>
  <c r="C24" i="5"/>
  <c r="BA24" i="5"/>
  <c r="BW24" i="5"/>
  <c r="BX24" i="5"/>
  <c r="CZ24" i="5" a="1"/>
  <c r="A25" i="5"/>
  <c r="C25" i="5"/>
  <c r="BA25" i="5"/>
  <c r="BW25" i="5"/>
  <c r="BX25" i="5"/>
  <c r="CZ25" i="5" a="1"/>
  <c r="A26" i="5"/>
  <c r="C26" i="5"/>
  <c r="BA26" i="5"/>
  <c r="BW26" i="5"/>
  <c r="BX26" i="5"/>
  <c r="CZ26" i="5" a="1"/>
  <c r="A27" i="5"/>
  <c r="C27" i="5"/>
  <c r="BA27" i="5"/>
  <c r="BW27" i="5"/>
  <c r="BX27" i="5"/>
  <c r="CZ27" i="5" a="1"/>
  <c r="A28" i="5"/>
  <c r="C28" i="5"/>
  <c r="BA28" i="5"/>
  <c r="BW28" i="5"/>
  <c r="BX28" i="5"/>
  <c r="CZ28" i="5" a="1"/>
  <c r="A29" i="5"/>
  <c r="C29" i="5"/>
  <c r="BA29" i="5"/>
  <c r="BW29" i="5"/>
  <c r="BX29" i="5"/>
  <c r="CZ29" i="5" a="1"/>
  <c r="BA30" i="5"/>
  <c r="BW30" i="5"/>
  <c r="BX30" i="5"/>
  <c r="CZ30" i="5" a="1"/>
  <c r="A11" i="5"/>
  <c r="C11" i="5"/>
  <c r="E11" i="5"/>
  <c r="A39" i="5" s="1"/>
  <c r="F11" i="5"/>
  <c r="G11" i="5"/>
  <c r="H11" i="5"/>
  <c r="I11" i="5"/>
  <c r="BA11" i="5"/>
  <c r="BW11" i="5"/>
  <c r="BX11" i="5"/>
  <c r="CZ11" i="5" a="1"/>
  <c r="A12" i="5"/>
  <c r="C12" i="5"/>
  <c r="E12" i="5"/>
  <c r="A40" i="5" s="1"/>
  <c r="F12" i="5"/>
  <c r="G12" i="5"/>
  <c r="H12" i="5"/>
  <c r="I12" i="5"/>
  <c r="BA12" i="5"/>
  <c r="BW12" i="5"/>
  <c r="BX12" i="5"/>
  <c r="CZ12" i="5" a="1"/>
  <c r="A13" i="5"/>
  <c r="C13" i="5"/>
  <c r="E13" i="5"/>
  <c r="A41" i="5" s="1"/>
  <c r="F13" i="5"/>
  <c r="G13" i="5"/>
  <c r="H13" i="5"/>
  <c r="I13" i="5"/>
  <c r="BA13" i="5"/>
  <c r="BW13" i="5"/>
  <c r="BX13" i="5"/>
  <c r="CZ13" i="5" a="1"/>
  <c r="A14" i="5"/>
  <c r="C14" i="5"/>
  <c r="E14" i="5"/>
  <c r="A42" i="5" s="1"/>
  <c r="F14" i="5"/>
  <c r="G14" i="5"/>
  <c r="H14" i="5"/>
  <c r="I14" i="5"/>
  <c r="BA14" i="5"/>
  <c r="BW14" i="5"/>
  <c r="BX14" i="5"/>
  <c r="CZ14" i="5" a="1"/>
  <c r="A15" i="5"/>
  <c r="C15" i="5"/>
  <c r="E15" i="5"/>
  <c r="A43" i="5" s="1"/>
  <c r="F15" i="5"/>
  <c r="G15" i="5"/>
  <c r="H15" i="5"/>
  <c r="I15" i="5"/>
  <c r="BA15" i="5"/>
  <c r="BW15" i="5"/>
  <c r="BX15" i="5"/>
  <c r="CZ15" i="5" a="1"/>
  <c r="A16" i="5"/>
  <c r="C16" i="5"/>
  <c r="E16" i="5"/>
  <c r="A44" i="5" s="1"/>
  <c r="F16" i="5"/>
  <c r="G16" i="5"/>
  <c r="H16" i="5"/>
  <c r="I16" i="5"/>
  <c r="BA16" i="5"/>
  <c r="BW16" i="5"/>
  <c r="BX16" i="5"/>
  <c r="CZ16" i="5" a="1"/>
  <c r="A17" i="5"/>
  <c r="C17" i="5"/>
  <c r="E17" i="5"/>
  <c r="A45" i="5" s="1"/>
  <c r="F17" i="5"/>
  <c r="G17" i="5"/>
  <c r="H17" i="5"/>
  <c r="I17" i="5"/>
  <c r="BA17" i="5"/>
  <c r="BW17" i="5"/>
  <c r="BX17" i="5"/>
  <c r="CZ17" i="5" a="1"/>
  <c r="A18" i="5"/>
  <c r="C18" i="5"/>
  <c r="E18" i="5"/>
  <c r="A46" i="5" s="1"/>
  <c r="F18" i="5"/>
  <c r="G18" i="5"/>
  <c r="H18" i="5"/>
  <c r="I18" i="5"/>
  <c r="BA18" i="5"/>
  <c r="BW18" i="5"/>
  <c r="BX18" i="5"/>
  <c r="CZ18" i="5" a="1"/>
  <c r="A19" i="5"/>
  <c r="C19" i="5"/>
  <c r="E19" i="5"/>
  <c r="A47" i="5" s="1"/>
  <c r="F19" i="5"/>
  <c r="G19" i="5"/>
  <c r="H19" i="5"/>
  <c r="I19" i="5"/>
  <c r="BA19" i="5"/>
  <c r="BW19" i="5"/>
  <c r="BX19" i="5"/>
  <c r="CZ19" i="5" a="1"/>
  <c r="A20" i="5"/>
  <c r="C20" i="5"/>
  <c r="BA20" i="5"/>
  <c r="BW20" i="5"/>
  <c r="BX20" i="5"/>
  <c r="CZ20" i="5" a="1"/>
  <c r="DP4" i="5" a="1"/>
  <c r="DQ4" i="5" a="1"/>
  <c r="DR4" i="5" a="1"/>
  <c r="DS4" i="5" a="1"/>
  <c r="DT4" i="5" a="1"/>
  <c r="DU4" i="5" a="1"/>
  <c r="DV4" i="5" a="1"/>
  <c r="DW4" i="5" a="1"/>
  <c r="DX4" i="5" a="1"/>
  <c r="DY4" i="5" a="1"/>
  <c r="DZ4" i="5" a="1"/>
  <c r="EA4" i="5" a="1"/>
  <c r="EB4" i="5" a="1"/>
  <c r="EC4" i="5" a="1"/>
  <c r="ED4" i="5" a="1"/>
  <c r="EE4" i="5" a="1"/>
  <c r="EF4" i="5" a="1"/>
  <c r="EG4" i="5" a="1"/>
  <c r="EH4" i="5" a="1"/>
  <c r="EI4" i="5" a="1"/>
  <c r="EJ4" i="5" a="1"/>
  <c r="EK4" i="5" a="1"/>
  <c r="EL4" i="5" a="1"/>
  <c r="A5" i="5"/>
  <c r="C5" i="5"/>
  <c r="E5" i="5"/>
  <c r="A33" i="5" s="1"/>
  <c r="F5" i="5"/>
  <c r="G5" i="5"/>
  <c r="H5" i="5"/>
  <c r="I5" i="5"/>
  <c r="BA5" i="5"/>
  <c r="BW5" i="5"/>
  <c r="BX5" i="5"/>
  <c r="CZ5" i="5" a="1"/>
  <c r="A6" i="5"/>
  <c r="C6" i="5"/>
  <c r="E6" i="5"/>
  <c r="A34" i="5" s="1"/>
  <c r="F6" i="5"/>
  <c r="G6" i="5"/>
  <c r="H6" i="5"/>
  <c r="I6" i="5"/>
  <c r="BA6" i="5"/>
  <c r="BW6" i="5"/>
  <c r="BX6" i="5"/>
  <c r="CZ6" i="5" a="1"/>
  <c r="A7" i="5"/>
  <c r="C7" i="5"/>
  <c r="E7" i="5"/>
  <c r="A35" i="5" s="1"/>
  <c r="F7" i="5"/>
  <c r="G7" i="5"/>
  <c r="H7" i="5"/>
  <c r="I7" i="5"/>
  <c r="BA7" i="5"/>
  <c r="BW7" i="5"/>
  <c r="BX7" i="5"/>
  <c r="CZ7" i="5" a="1"/>
  <c r="A8" i="5"/>
  <c r="C8" i="5"/>
  <c r="E8" i="5"/>
  <c r="A36" i="5" s="1"/>
  <c r="F8" i="5"/>
  <c r="G8" i="5"/>
  <c r="H8" i="5"/>
  <c r="I8" i="5"/>
  <c r="BA8" i="5"/>
  <c r="BW8" i="5"/>
  <c r="BX8" i="5"/>
  <c r="CZ8" i="5" a="1"/>
  <c r="A9" i="5"/>
  <c r="C9" i="5"/>
  <c r="E9" i="5"/>
  <c r="A37" i="5" s="1"/>
  <c r="F9" i="5"/>
  <c r="G9" i="5"/>
  <c r="H9" i="5"/>
  <c r="I9" i="5"/>
  <c r="BA9" i="5"/>
  <c r="BW9" i="5"/>
  <c r="BX9" i="5"/>
  <c r="CZ9" i="5" a="1"/>
  <c r="A10" i="5"/>
  <c r="C10" i="5"/>
  <c r="E10" i="5"/>
  <c r="A38" i="5" s="1"/>
  <c r="F10" i="5"/>
  <c r="G10" i="5"/>
  <c r="H10" i="5"/>
  <c r="I10" i="5"/>
  <c r="BA10" i="5"/>
  <c r="BW10" i="5"/>
  <c r="BX10" i="5"/>
  <c r="CZ10" i="5" a="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BA193" i="11"/>
  <c r="BA194" i="11"/>
  <c r="BA195" i="11"/>
  <c r="BA196" i="11"/>
  <c r="BA197" i="11"/>
  <c r="BA198" i="11"/>
  <c r="BA199" i="11"/>
  <c r="BA200" i="11"/>
  <c r="BA201" i="11"/>
  <c r="BA202" i="11"/>
  <c r="BA203" i="11"/>
  <c r="CP203" i="11"/>
  <c r="CQ203" i="11"/>
  <c r="CR203" i="11"/>
  <c r="CS203" i="11"/>
  <c r="CT203" i="11"/>
  <c r="CU203" i="11"/>
  <c r="CV203" i="11"/>
  <c r="CW203" i="11"/>
  <c r="CX203" i="11"/>
  <c r="CY203" i="11"/>
  <c r="CZ203" i="11"/>
  <c r="DA203" i="11"/>
  <c r="DB203" i="11"/>
  <c r="DC203" i="11"/>
  <c r="DD203" i="11"/>
  <c r="DE203" i="11"/>
  <c r="DF203" i="11"/>
  <c r="DG203" i="11"/>
  <c r="DH203" i="11"/>
  <c r="DI203" i="11"/>
  <c r="DJ203" i="11"/>
  <c r="DK203" i="11"/>
  <c r="DL203" i="11"/>
  <c r="BA181" i="11"/>
  <c r="CP181" i="11"/>
  <c r="CQ181" i="11"/>
  <c r="CR181" i="11"/>
  <c r="CS181" i="11"/>
  <c r="CT181" i="11"/>
  <c r="CU181" i="11"/>
  <c r="CV181" i="11"/>
  <c r="CW181" i="11"/>
  <c r="CX181" i="11"/>
  <c r="CY181" i="11"/>
  <c r="CZ181" i="11"/>
  <c r="DA181" i="11"/>
  <c r="DB181" i="11"/>
  <c r="DC181" i="11"/>
  <c r="DD181" i="11"/>
  <c r="DE181" i="11"/>
  <c r="DF181" i="11"/>
  <c r="DG181" i="11"/>
  <c r="DH181" i="11"/>
  <c r="DI181" i="11"/>
  <c r="DJ181" i="11"/>
  <c r="DK181" i="11"/>
  <c r="DL181" i="11"/>
  <c r="BA182" i="11"/>
  <c r="CP182" i="11"/>
  <c r="CQ182" i="11"/>
  <c r="CR182" i="11"/>
  <c r="CS182" i="11"/>
  <c r="CT182" i="11"/>
  <c r="CU182" i="11"/>
  <c r="CV182" i="11"/>
  <c r="CW182" i="11"/>
  <c r="CX182" i="11"/>
  <c r="CY182" i="11"/>
  <c r="CZ182" i="11"/>
  <c r="DA182" i="11"/>
  <c r="DB182" i="11"/>
  <c r="DC182" i="11"/>
  <c r="DD182" i="11"/>
  <c r="DE182" i="11"/>
  <c r="DF182" i="11"/>
  <c r="DG182" i="11"/>
  <c r="DH182" i="11"/>
  <c r="DI182" i="11"/>
  <c r="DJ182" i="11"/>
  <c r="DK182" i="11"/>
  <c r="DL182" i="11"/>
  <c r="BA183" i="11"/>
  <c r="CP183" i="11"/>
  <c r="CQ183" i="11"/>
  <c r="CR183" i="11"/>
  <c r="CS183" i="11"/>
  <c r="CT183" i="11"/>
  <c r="CU183" i="11"/>
  <c r="CV183" i="11"/>
  <c r="CW183" i="11"/>
  <c r="CX183" i="11"/>
  <c r="CY183" i="11"/>
  <c r="CZ183" i="11"/>
  <c r="DA183" i="11"/>
  <c r="DB183" i="11"/>
  <c r="DC183" i="11"/>
  <c r="DD183" i="11"/>
  <c r="DE183" i="11"/>
  <c r="DF183" i="11"/>
  <c r="DG183" i="11"/>
  <c r="DH183" i="11"/>
  <c r="DI183" i="11"/>
  <c r="DJ183" i="11"/>
  <c r="DK183" i="11"/>
  <c r="DL183" i="11"/>
  <c r="BA184" i="11"/>
  <c r="CP184" i="11"/>
  <c r="CQ184" i="11"/>
  <c r="CR184" i="11"/>
  <c r="CS184" i="11"/>
  <c r="CT184" i="11"/>
  <c r="CU184" i="11"/>
  <c r="CV184" i="11"/>
  <c r="CW184" i="11"/>
  <c r="CX184" i="11"/>
  <c r="CY184" i="11"/>
  <c r="CZ184" i="11"/>
  <c r="DA184" i="11"/>
  <c r="DB184" i="11"/>
  <c r="DC184" i="11"/>
  <c r="DD184" i="11"/>
  <c r="DE184" i="11"/>
  <c r="DF184" i="11"/>
  <c r="DG184" i="11"/>
  <c r="DH184" i="11"/>
  <c r="DI184" i="11"/>
  <c r="DJ184" i="11"/>
  <c r="DK184" i="11"/>
  <c r="DL184" i="11"/>
  <c r="BA185" i="11"/>
  <c r="CP185" i="11"/>
  <c r="CQ185" i="11"/>
  <c r="CR185" i="11"/>
  <c r="CS185" i="11"/>
  <c r="CT185" i="11"/>
  <c r="CU185" i="11"/>
  <c r="CV185" i="11"/>
  <c r="CW185" i="11"/>
  <c r="CX185" i="11"/>
  <c r="CY185" i="11"/>
  <c r="CZ185" i="11"/>
  <c r="DA185" i="11"/>
  <c r="DB185" i="11"/>
  <c r="DC185" i="11"/>
  <c r="DD185" i="11"/>
  <c r="DE185" i="11"/>
  <c r="DF185" i="11"/>
  <c r="DG185" i="11"/>
  <c r="DH185" i="11"/>
  <c r="DI185" i="11"/>
  <c r="DJ185" i="11"/>
  <c r="DK185" i="11"/>
  <c r="DL185" i="11"/>
  <c r="BA186" i="11"/>
  <c r="CP186" i="11"/>
  <c r="CQ186" i="11"/>
  <c r="CR186" i="11"/>
  <c r="CS186" i="11"/>
  <c r="CT186" i="11"/>
  <c r="CU186" i="11"/>
  <c r="CV186" i="11"/>
  <c r="CW186" i="11"/>
  <c r="CX186" i="11"/>
  <c r="CY186" i="11"/>
  <c r="CZ186" i="11"/>
  <c r="DA186" i="11"/>
  <c r="DB186" i="11"/>
  <c r="DC186" i="11"/>
  <c r="DD186" i="11"/>
  <c r="DE186" i="11"/>
  <c r="DF186" i="11"/>
  <c r="DG186" i="11"/>
  <c r="DH186" i="11"/>
  <c r="DI186" i="11"/>
  <c r="DJ186" i="11"/>
  <c r="DK186" i="11"/>
  <c r="DL186" i="11"/>
  <c r="BA187" i="11"/>
  <c r="CP187" i="11"/>
  <c r="CQ187" i="11"/>
  <c r="CR187" i="11"/>
  <c r="CS187" i="11"/>
  <c r="CT187" i="11"/>
  <c r="CU187" i="11"/>
  <c r="CV187" i="11"/>
  <c r="CW187" i="11"/>
  <c r="CX187" i="11"/>
  <c r="CY187" i="11"/>
  <c r="CZ187" i="11"/>
  <c r="DA187" i="11"/>
  <c r="DB187" i="11"/>
  <c r="DC187" i="11"/>
  <c r="DD187" i="11"/>
  <c r="DE187" i="11"/>
  <c r="DF187" i="11"/>
  <c r="DG187" i="11"/>
  <c r="DH187" i="11"/>
  <c r="DI187" i="11"/>
  <c r="DJ187" i="11"/>
  <c r="DK187" i="11"/>
  <c r="DL187" i="11"/>
  <c r="BA188" i="11"/>
  <c r="CP188" i="11"/>
  <c r="CQ188" i="11"/>
  <c r="CR188" i="11"/>
  <c r="CS188" i="11"/>
  <c r="CT188" i="11"/>
  <c r="CU188" i="11"/>
  <c r="CV188" i="11"/>
  <c r="CW188" i="11"/>
  <c r="CX188" i="11"/>
  <c r="CY188" i="11"/>
  <c r="CZ188" i="11"/>
  <c r="DA188" i="11"/>
  <c r="DB188" i="11"/>
  <c r="DC188" i="11"/>
  <c r="DD188" i="11"/>
  <c r="DE188" i="11"/>
  <c r="DF188" i="11"/>
  <c r="DG188" i="11"/>
  <c r="DH188" i="11"/>
  <c r="DI188" i="11"/>
  <c r="DJ188" i="11"/>
  <c r="DK188" i="11"/>
  <c r="DL188" i="11"/>
  <c r="BA189" i="11"/>
  <c r="CP189" i="11"/>
  <c r="CQ189" i="11"/>
  <c r="CR189" i="11"/>
  <c r="CS189" i="11"/>
  <c r="CT189" i="11"/>
  <c r="CU189" i="11"/>
  <c r="CV189" i="11"/>
  <c r="CW189" i="11"/>
  <c r="CX189" i="11"/>
  <c r="CY189" i="11"/>
  <c r="CZ189" i="11"/>
  <c r="DA189" i="11"/>
  <c r="DB189" i="11"/>
  <c r="DC189" i="11"/>
  <c r="DD189" i="11"/>
  <c r="DE189" i="11"/>
  <c r="DF189" i="11"/>
  <c r="DG189" i="11"/>
  <c r="DH189" i="11"/>
  <c r="DI189" i="11"/>
  <c r="DJ189" i="11"/>
  <c r="DK189" i="11"/>
  <c r="DL189" i="11"/>
  <c r="BA190" i="11"/>
  <c r="BA191" i="11"/>
  <c r="BA192" i="11"/>
  <c r="BA169" i="11"/>
  <c r="BA170" i="11"/>
  <c r="BA171" i="11"/>
  <c r="BA172" i="11"/>
  <c r="BA173" i="11"/>
  <c r="BA174" i="11"/>
  <c r="BA175" i="11"/>
  <c r="BA176" i="11"/>
  <c r="BA177" i="11"/>
  <c r="BA178" i="11"/>
  <c r="BA179" i="11"/>
  <c r="BA180" i="11"/>
  <c r="BA157" i="11"/>
  <c r="BA158" i="11"/>
  <c r="BA159" i="11"/>
  <c r="BA160" i="11"/>
  <c r="BA161" i="11"/>
  <c r="BA162" i="11"/>
  <c r="BA163" i="11"/>
  <c r="BA164" i="11"/>
  <c r="BA165" i="11"/>
  <c r="CP165" i="11"/>
  <c r="CQ165" i="11"/>
  <c r="CR165" i="11"/>
  <c r="CS165" i="11"/>
  <c r="CT165" i="11"/>
  <c r="CU165" i="11"/>
  <c r="CV165" i="11"/>
  <c r="CW165" i="11"/>
  <c r="CX165" i="11"/>
  <c r="CY165" i="11"/>
  <c r="CZ165" i="11"/>
  <c r="DA165" i="11"/>
  <c r="DB165" i="11"/>
  <c r="DC165" i="11"/>
  <c r="DD165" i="11"/>
  <c r="DE165" i="11"/>
  <c r="DF165" i="11"/>
  <c r="DG165" i="11"/>
  <c r="DH165" i="11"/>
  <c r="DI165" i="11"/>
  <c r="DJ165" i="11"/>
  <c r="DK165" i="11"/>
  <c r="DL165" i="11"/>
  <c r="BA166" i="11"/>
  <c r="CP166" i="11"/>
  <c r="CQ166" i="11"/>
  <c r="CR166" i="11"/>
  <c r="CS166" i="11"/>
  <c r="CT166" i="11"/>
  <c r="CU166" i="11"/>
  <c r="CV166" i="11"/>
  <c r="CW166" i="11"/>
  <c r="CX166" i="11"/>
  <c r="CY166" i="11"/>
  <c r="CZ166" i="11"/>
  <c r="DA166" i="11"/>
  <c r="DB166" i="11"/>
  <c r="DC166" i="11"/>
  <c r="DD166" i="11"/>
  <c r="DE166" i="11"/>
  <c r="DF166" i="11"/>
  <c r="DG166" i="11"/>
  <c r="DH166" i="11"/>
  <c r="DI166" i="11"/>
  <c r="DJ166" i="11"/>
  <c r="DK166" i="11"/>
  <c r="DL166" i="11"/>
  <c r="BA167" i="11"/>
  <c r="CP167" i="11"/>
  <c r="CQ167" i="11"/>
  <c r="CR167" i="11"/>
  <c r="CS167" i="11"/>
  <c r="CT167" i="11"/>
  <c r="CU167" i="11"/>
  <c r="CV167" i="11"/>
  <c r="CW167" i="11"/>
  <c r="CX167" i="11"/>
  <c r="CY167" i="11"/>
  <c r="CZ167" i="11"/>
  <c r="DA167" i="11"/>
  <c r="DB167" i="11"/>
  <c r="DC167" i="11"/>
  <c r="DD167" i="11"/>
  <c r="DE167" i="11"/>
  <c r="DF167" i="11"/>
  <c r="DG167" i="11"/>
  <c r="DH167" i="11"/>
  <c r="DI167" i="11"/>
  <c r="DJ167" i="11"/>
  <c r="DK167" i="11"/>
  <c r="DL167" i="11"/>
  <c r="BA168" i="11"/>
  <c r="CP168" i="11"/>
  <c r="CQ168" i="11"/>
  <c r="CR168" i="11"/>
  <c r="CS168" i="11"/>
  <c r="CT168" i="11"/>
  <c r="CU168" i="11"/>
  <c r="CV168" i="11"/>
  <c r="CW168" i="11"/>
  <c r="CX168" i="11"/>
  <c r="CY168" i="11"/>
  <c r="CZ168" i="11"/>
  <c r="DA168" i="11"/>
  <c r="DB168" i="11"/>
  <c r="DC168" i="11"/>
  <c r="DD168" i="11"/>
  <c r="DE168" i="11"/>
  <c r="DF168" i="11"/>
  <c r="DG168" i="11"/>
  <c r="DH168" i="11"/>
  <c r="DI168" i="11"/>
  <c r="DJ168" i="11"/>
  <c r="DK168" i="11"/>
  <c r="DL168" i="11"/>
  <c r="BA145" i="11"/>
  <c r="CP145" i="11"/>
  <c r="CQ145" i="11"/>
  <c r="CR145" i="11"/>
  <c r="CS145" i="11"/>
  <c r="CT145" i="11"/>
  <c r="CU145" i="11"/>
  <c r="CV145" i="11"/>
  <c r="CW145" i="11"/>
  <c r="CX145" i="11"/>
  <c r="CY145" i="11"/>
  <c r="CZ145" i="11"/>
  <c r="DA145" i="11"/>
  <c r="DB145" i="11"/>
  <c r="DC145" i="11"/>
  <c r="DD145" i="11"/>
  <c r="DE145" i="11"/>
  <c r="DF145" i="11"/>
  <c r="DG145" i="11"/>
  <c r="DH145" i="11"/>
  <c r="DI145" i="11"/>
  <c r="DJ145" i="11"/>
  <c r="DK145" i="11"/>
  <c r="DL145" i="11"/>
  <c r="BA146" i="11"/>
  <c r="CP146" i="11"/>
  <c r="CQ146" i="11"/>
  <c r="CR146" i="11"/>
  <c r="CS146" i="11"/>
  <c r="CT146" i="11"/>
  <c r="CU146" i="11"/>
  <c r="CV146" i="11"/>
  <c r="CW146" i="11"/>
  <c r="CX146" i="11"/>
  <c r="CY146" i="11"/>
  <c r="CZ146" i="11"/>
  <c r="DA146" i="11"/>
  <c r="DB146" i="11"/>
  <c r="DC146" i="11"/>
  <c r="DD146" i="11"/>
  <c r="DE146" i="11"/>
  <c r="DF146" i="11"/>
  <c r="DG146" i="11"/>
  <c r="DH146" i="11"/>
  <c r="DI146" i="11"/>
  <c r="DJ146" i="11"/>
  <c r="DK146" i="11"/>
  <c r="DL146" i="11"/>
  <c r="BA147" i="11"/>
  <c r="CP147" i="11"/>
  <c r="CQ147" i="11"/>
  <c r="CR147" i="11"/>
  <c r="CS147" i="11"/>
  <c r="CT147" i="11"/>
  <c r="CU147" i="11"/>
  <c r="CV147" i="11"/>
  <c r="CW147" i="11"/>
  <c r="CX147" i="11"/>
  <c r="CY147" i="11"/>
  <c r="CZ147" i="11"/>
  <c r="DA147" i="11"/>
  <c r="DB147" i="11"/>
  <c r="DC147" i="11"/>
  <c r="DD147" i="11"/>
  <c r="DE147" i="11"/>
  <c r="DF147" i="11"/>
  <c r="DG147" i="11"/>
  <c r="DH147" i="11"/>
  <c r="DI147" i="11"/>
  <c r="DJ147" i="11"/>
  <c r="DK147" i="11"/>
  <c r="DL147" i="11"/>
  <c r="BA148" i="11"/>
  <c r="CP148" i="11"/>
  <c r="CQ148" i="11"/>
  <c r="CR148" i="11"/>
  <c r="CS148" i="11"/>
  <c r="CT148" i="11"/>
  <c r="CU148" i="11"/>
  <c r="CV148" i="11"/>
  <c r="CW148" i="11"/>
  <c r="CX148" i="11"/>
  <c r="CY148" i="11"/>
  <c r="CZ148" i="11"/>
  <c r="DA148" i="11"/>
  <c r="DB148" i="11"/>
  <c r="DC148" i="11"/>
  <c r="DD148" i="11"/>
  <c r="DE148" i="11"/>
  <c r="DF148" i="11"/>
  <c r="DG148" i="11"/>
  <c r="DH148" i="11"/>
  <c r="DI148" i="11"/>
  <c r="DJ148" i="11"/>
  <c r="DK148" i="11"/>
  <c r="DL148" i="11"/>
  <c r="BA149" i="11"/>
  <c r="CP149" i="11"/>
  <c r="CQ149" i="11"/>
  <c r="CR149" i="11"/>
  <c r="CS149" i="11"/>
  <c r="CT149" i="11"/>
  <c r="CU149" i="11"/>
  <c r="CV149" i="11"/>
  <c r="CW149" i="11"/>
  <c r="CX149" i="11"/>
  <c r="CY149" i="11"/>
  <c r="CZ149" i="11"/>
  <c r="DA149" i="11"/>
  <c r="DB149" i="11"/>
  <c r="DC149" i="11"/>
  <c r="DD149" i="11"/>
  <c r="DE149" i="11"/>
  <c r="DF149" i="11"/>
  <c r="DG149" i="11"/>
  <c r="DH149" i="11"/>
  <c r="DI149" i="11"/>
  <c r="DJ149" i="11"/>
  <c r="DK149" i="11"/>
  <c r="DL149" i="11"/>
  <c r="BA150" i="11"/>
  <c r="CP150" i="11"/>
  <c r="CQ150" i="11"/>
  <c r="CR150" i="11"/>
  <c r="CS150" i="11"/>
  <c r="CT150" i="11"/>
  <c r="CU150" i="11"/>
  <c r="CV150" i="11"/>
  <c r="CW150" i="11"/>
  <c r="CX150" i="11"/>
  <c r="CY150" i="11"/>
  <c r="CZ150" i="11"/>
  <c r="DA150" i="11"/>
  <c r="DB150" i="11"/>
  <c r="DC150" i="11"/>
  <c r="DD150" i="11"/>
  <c r="DE150" i="11"/>
  <c r="DF150" i="11"/>
  <c r="DG150" i="11"/>
  <c r="DH150" i="11"/>
  <c r="DI150" i="11"/>
  <c r="DJ150" i="11"/>
  <c r="DK150" i="11"/>
  <c r="DL150" i="11"/>
  <c r="BA151" i="11"/>
  <c r="CP151" i="11"/>
  <c r="CQ151" i="11"/>
  <c r="CR151" i="11"/>
  <c r="CS151" i="11"/>
  <c r="CT151" i="11"/>
  <c r="CU151" i="11"/>
  <c r="CV151" i="11"/>
  <c r="CW151" i="11"/>
  <c r="CX151" i="11"/>
  <c r="CY151" i="11"/>
  <c r="CZ151" i="11"/>
  <c r="DA151" i="11"/>
  <c r="DB151" i="11"/>
  <c r="DC151" i="11"/>
  <c r="DD151" i="11"/>
  <c r="DE151" i="11"/>
  <c r="DF151" i="11"/>
  <c r="DG151" i="11"/>
  <c r="DH151" i="11"/>
  <c r="DI151" i="11"/>
  <c r="DJ151" i="11"/>
  <c r="DK151" i="11"/>
  <c r="DL151" i="11"/>
  <c r="BA152" i="11"/>
  <c r="CP152" i="11"/>
  <c r="CQ152" i="11"/>
  <c r="CR152" i="11"/>
  <c r="CS152" i="11"/>
  <c r="CT152" i="11"/>
  <c r="CU152" i="11"/>
  <c r="CV152" i="11"/>
  <c r="CW152" i="11"/>
  <c r="CX152" i="11"/>
  <c r="CY152" i="11"/>
  <c r="CZ152" i="11"/>
  <c r="DA152" i="11"/>
  <c r="DB152" i="11"/>
  <c r="DC152" i="11"/>
  <c r="DD152" i="11"/>
  <c r="DE152" i="11"/>
  <c r="DF152" i="11"/>
  <c r="DG152" i="11"/>
  <c r="DH152" i="11"/>
  <c r="DI152" i="11"/>
  <c r="DJ152" i="11"/>
  <c r="DK152" i="11"/>
  <c r="DL152" i="11"/>
  <c r="BA153" i="11"/>
  <c r="CP153" i="11"/>
  <c r="CQ153" i="11"/>
  <c r="CR153" i="11"/>
  <c r="CS153" i="11"/>
  <c r="CT153" i="11"/>
  <c r="CU153" i="11"/>
  <c r="CV153" i="11"/>
  <c r="CW153" i="11"/>
  <c r="CX153" i="11"/>
  <c r="CY153" i="11"/>
  <c r="CZ153" i="11"/>
  <c r="DA153" i="11"/>
  <c r="DB153" i="11"/>
  <c r="DC153" i="11"/>
  <c r="DD153" i="11"/>
  <c r="DE153" i="11"/>
  <c r="DF153" i="11"/>
  <c r="DG153" i="11"/>
  <c r="DH153" i="11"/>
  <c r="DI153" i="11"/>
  <c r="DJ153" i="11"/>
  <c r="DK153" i="11"/>
  <c r="DL153" i="11"/>
  <c r="BA154" i="11"/>
  <c r="CP154" i="11"/>
  <c r="CQ154" i="11"/>
  <c r="CR154" i="11"/>
  <c r="CS154" i="11"/>
  <c r="CT154" i="11"/>
  <c r="CU154" i="11"/>
  <c r="CV154" i="11"/>
  <c r="CW154" i="11"/>
  <c r="CX154" i="11"/>
  <c r="CY154" i="11"/>
  <c r="CZ154" i="11"/>
  <c r="DA154" i="11"/>
  <c r="DB154" i="11"/>
  <c r="DC154" i="11"/>
  <c r="DD154" i="11"/>
  <c r="DE154" i="11"/>
  <c r="DF154" i="11"/>
  <c r="DG154" i="11"/>
  <c r="DH154" i="11"/>
  <c r="DI154" i="11"/>
  <c r="DJ154" i="11"/>
  <c r="DK154" i="11"/>
  <c r="DL154" i="11"/>
  <c r="BA155" i="11"/>
  <c r="CP155" i="11"/>
  <c r="CQ155" i="11"/>
  <c r="CR155" i="11"/>
  <c r="CS155" i="11"/>
  <c r="CT155" i="11"/>
  <c r="CU155" i="11"/>
  <c r="CV155" i="11"/>
  <c r="CW155" i="11"/>
  <c r="CX155" i="11"/>
  <c r="CY155" i="11"/>
  <c r="CZ155" i="11"/>
  <c r="DA155" i="11"/>
  <c r="DB155" i="11"/>
  <c r="DC155" i="11"/>
  <c r="DD155" i="11"/>
  <c r="DE155" i="11"/>
  <c r="DF155" i="11"/>
  <c r="DG155" i="11"/>
  <c r="DH155" i="11"/>
  <c r="DI155" i="11"/>
  <c r="DJ155" i="11"/>
  <c r="DK155" i="11"/>
  <c r="DL155" i="11"/>
  <c r="BA156" i="11"/>
  <c r="CP156" i="11"/>
  <c r="CQ156" i="11"/>
  <c r="CR156" i="11"/>
  <c r="CS156" i="11"/>
  <c r="CT156" i="11"/>
  <c r="CU156" i="11"/>
  <c r="CV156" i="11"/>
  <c r="CW156" i="11"/>
  <c r="CX156" i="11"/>
  <c r="CY156" i="11"/>
  <c r="CZ156" i="11"/>
  <c r="DA156" i="11"/>
  <c r="DB156" i="11"/>
  <c r="DC156" i="11"/>
  <c r="DD156" i="11"/>
  <c r="DE156" i="11"/>
  <c r="DF156" i="11"/>
  <c r="DG156" i="11"/>
  <c r="DH156" i="11"/>
  <c r="DI156" i="11"/>
  <c r="DJ156" i="11"/>
  <c r="DK156" i="11"/>
  <c r="DL156" i="11"/>
  <c r="BA133" i="11"/>
  <c r="CP133" i="11"/>
  <c r="CQ133" i="11"/>
  <c r="CR133" i="11"/>
  <c r="CS133" i="11"/>
  <c r="CT133" i="11"/>
  <c r="CU133" i="11"/>
  <c r="CV133" i="11"/>
  <c r="CW133" i="11"/>
  <c r="CX133" i="11"/>
  <c r="CY133" i="11"/>
  <c r="CZ133" i="11"/>
  <c r="DA133" i="11"/>
  <c r="DB133" i="11"/>
  <c r="DC133" i="11"/>
  <c r="DD133" i="11"/>
  <c r="DE133" i="11"/>
  <c r="DF133" i="11"/>
  <c r="DG133" i="11"/>
  <c r="DH133" i="11"/>
  <c r="DI133" i="11"/>
  <c r="DJ133" i="11"/>
  <c r="DK133" i="11"/>
  <c r="DL133" i="11"/>
  <c r="BA134" i="11"/>
  <c r="CP134" i="11"/>
  <c r="CQ134" i="11"/>
  <c r="CR134" i="11"/>
  <c r="CS134" i="11"/>
  <c r="CT134" i="11"/>
  <c r="CU134" i="11"/>
  <c r="CV134" i="11"/>
  <c r="CW134" i="11"/>
  <c r="CX134" i="11"/>
  <c r="CY134" i="11"/>
  <c r="CZ134" i="11"/>
  <c r="DA134" i="11"/>
  <c r="DB134" i="11"/>
  <c r="DC134" i="11"/>
  <c r="DD134" i="11"/>
  <c r="DE134" i="11"/>
  <c r="DF134" i="11"/>
  <c r="DG134" i="11"/>
  <c r="DH134" i="11"/>
  <c r="DI134" i="11"/>
  <c r="DJ134" i="11"/>
  <c r="DK134" i="11"/>
  <c r="DL134" i="11"/>
  <c r="BA135" i="11"/>
  <c r="CP135" i="11"/>
  <c r="CQ135" i="11"/>
  <c r="CR135" i="11"/>
  <c r="CS135" i="11"/>
  <c r="CT135" i="11"/>
  <c r="CU135" i="11"/>
  <c r="CV135" i="11"/>
  <c r="CW135" i="11"/>
  <c r="CX135" i="11"/>
  <c r="CY135" i="11"/>
  <c r="CZ135" i="11"/>
  <c r="DA135" i="11"/>
  <c r="DB135" i="11"/>
  <c r="DC135" i="11"/>
  <c r="DD135" i="11"/>
  <c r="DE135" i="11"/>
  <c r="DF135" i="11"/>
  <c r="DG135" i="11"/>
  <c r="DH135" i="11"/>
  <c r="DI135" i="11"/>
  <c r="DJ135" i="11"/>
  <c r="DK135" i="11"/>
  <c r="DL135" i="11"/>
  <c r="BA136" i="11"/>
  <c r="CP136" i="11"/>
  <c r="CQ136" i="11"/>
  <c r="CR136" i="11"/>
  <c r="CS136" i="11"/>
  <c r="CT136" i="11"/>
  <c r="CU136" i="11"/>
  <c r="CV136" i="11"/>
  <c r="CW136" i="11"/>
  <c r="CX136" i="11"/>
  <c r="CY136" i="11"/>
  <c r="CZ136" i="11"/>
  <c r="DA136" i="11"/>
  <c r="DB136" i="11"/>
  <c r="DC136" i="11"/>
  <c r="DD136" i="11"/>
  <c r="DE136" i="11"/>
  <c r="DF136" i="11"/>
  <c r="DG136" i="11"/>
  <c r="DH136" i="11"/>
  <c r="DI136" i="11"/>
  <c r="DJ136" i="11"/>
  <c r="DK136" i="11"/>
  <c r="DL136" i="11"/>
  <c r="BA137" i="11"/>
  <c r="CP137" i="11"/>
  <c r="CQ137" i="11"/>
  <c r="CR137" i="11"/>
  <c r="CS137" i="11"/>
  <c r="CT137" i="11"/>
  <c r="CU137" i="11"/>
  <c r="CV137" i="11"/>
  <c r="CW137" i="11"/>
  <c r="CX137" i="11"/>
  <c r="CY137" i="11"/>
  <c r="CZ137" i="11"/>
  <c r="DA137" i="11"/>
  <c r="DB137" i="11"/>
  <c r="DC137" i="11"/>
  <c r="DD137" i="11"/>
  <c r="DE137" i="11"/>
  <c r="DF137" i="11"/>
  <c r="DG137" i="11"/>
  <c r="DH137" i="11"/>
  <c r="DI137" i="11"/>
  <c r="DJ137" i="11"/>
  <c r="DK137" i="11"/>
  <c r="DL137" i="11"/>
  <c r="BA138" i="11"/>
  <c r="CP138" i="11"/>
  <c r="CQ138" i="11"/>
  <c r="CR138" i="11"/>
  <c r="CS138" i="11"/>
  <c r="CT138" i="11"/>
  <c r="CU138" i="11"/>
  <c r="CV138" i="11"/>
  <c r="CW138" i="11"/>
  <c r="CX138" i="11"/>
  <c r="CY138" i="11"/>
  <c r="CZ138" i="11"/>
  <c r="DA138" i="11"/>
  <c r="DB138" i="11"/>
  <c r="DC138" i="11"/>
  <c r="DD138" i="11"/>
  <c r="DE138" i="11"/>
  <c r="DF138" i="11"/>
  <c r="DG138" i="11"/>
  <c r="DH138" i="11"/>
  <c r="DI138" i="11"/>
  <c r="DJ138" i="11"/>
  <c r="DK138" i="11"/>
  <c r="DL138" i="11"/>
  <c r="BA139" i="11"/>
  <c r="CP139" i="11"/>
  <c r="CQ139" i="11"/>
  <c r="CR139" i="11"/>
  <c r="CS139" i="11"/>
  <c r="CT139" i="11"/>
  <c r="CU139" i="11"/>
  <c r="CV139" i="11"/>
  <c r="CW139" i="11"/>
  <c r="CX139" i="11"/>
  <c r="CY139" i="11"/>
  <c r="CZ139" i="11"/>
  <c r="DA139" i="11"/>
  <c r="DB139" i="11"/>
  <c r="DC139" i="11"/>
  <c r="DD139" i="11"/>
  <c r="DE139" i="11"/>
  <c r="DF139" i="11"/>
  <c r="DG139" i="11"/>
  <c r="DH139" i="11"/>
  <c r="DI139" i="11"/>
  <c r="DJ139" i="11"/>
  <c r="DK139" i="11"/>
  <c r="DL139" i="11"/>
  <c r="BA140" i="11"/>
  <c r="CP140" i="11"/>
  <c r="CQ140" i="11"/>
  <c r="CR140" i="11"/>
  <c r="CS140" i="11"/>
  <c r="CT140" i="11"/>
  <c r="CU140" i="11"/>
  <c r="CV140" i="11"/>
  <c r="CW140" i="11"/>
  <c r="CX140" i="11"/>
  <c r="CY140" i="11"/>
  <c r="CZ140" i="11"/>
  <c r="DA140" i="11"/>
  <c r="DB140" i="11"/>
  <c r="DC140" i="11"/>
  <c r="DD140" i="11"/>
  <c r="DE140" i="11"/>
  <c r="DF140" i="11"/>
  <c r="DG140" i="11"/>
  <c r="DH140" i="11"/>
  <c r="DI140" i="11"/>
  <c r="DJ140" i="11"/>
  <c r="DK140" i="11"/>
  <c r="DL140" i="11"/>
  <c r="BA141" i="11"/>
  <c r="CP141" i="11"/>
  <c r="CQ141" i="11"/>
  <c r="CR141" i="11"/>
  <c r="CS141" i="11"/>
  <c r="CT141" i="11"/>
  <c r="CU141" i="11"/>
  <c r="CV141" i="11"/>
  <c r="CW141" i="11"/>
  <c r="CX141" i="11"/>
  <c r="CY141" i="11"/>
  <c r="CZ141" i="11"/>
  <c r="DA141" i="11"/>
  <c r="DB141" i="11"/>
  <c r="DC141" i="11"/>
  <c r="DD141" i="11"/>
  <c r="DE141" i="11"/>
  <c r="DF141" i="11"/>
  <c r="DG141" i="11"/>
  <c r="DH141" i="11"/>
  <c r="DI141" i="11"/>
  <c r="DJ141" i="11"/>
  <c r="DK141" i="11"/>
  <c r="DL141" i="11"/>
  <c r="BA142" i="11"/>
  <c r="CP142" i="11"/>
  <c r="CQ142" i="11"/>
  <c r="CR142" i="11"/>
  <c r="CS142" i="11"/>
  <c r="CT142" i="11"/>
  <c r="CU142" i="11"/>
  <c r="CV142" i="11"/>
  <c r="CW142" i="11"/>
  <c r="CX142" i="11"/>
  <c r="CY142" i="11"/>
  <c r="CZ142" i="11"/>
  <c r="DA142" i="11"/>
  <c r="DB142" i="11"/>
  <c r="DC142" i="11"/>
  <c r="DD142" i="11"/>
  <c r="DE142" i="11"/>
  <c r="DF142" i="11"/>
  <c r="DG142" i="11"/>
  <c r="DH142" i="11"/>
  <c r="DI142" i="11"/>
  <c r="DJ142" i="11"/>
  <c r="DK142" i="11"/>
  <c r="DL142" i="11"/>
  <c r="BA143" i="11"/>
  <c r="CP143" i="11"/>
  <c r="CQ143" i="11"/>
  <c r="CR143" i="11"/>
  <c r="CS143" i="11"/>
  <c r="CT143" i="11"/>
  <c r="CU143" i="11"/>
  <c r="CV143" i="11"/>
  <c r="CW143" i="11"/>
  <c r="CX143" i="11"/>
  <c r="CY143" i="11"/>
  <c r="CZ143" i="11"/>
  <c r="DA143" i="11"/>
  <c r="DB143" i="11"/>
  <c r="DC143" i="11"/>
  <c r="DD143" i="11"/>
  <c r="DE143" i="11"/>
  <c r="DF143" i="11"/>
  <c r="DG143" i="11"/>
  <c r="DH143" i="11"/>
  <c r="DI143" i="11"/>
  <c r="DJ143" i="11"/>
  <c r="DK143" i="11"/>
  <c r="DL143" i="11"/>
  <c r="BA144" i="11"/>
  <c r="CP144" i="11"/>
  <c r="CQ144" i="11"/>
  <c r="CR144" i="11"/>
  <c r="CS144" i="11"/>
  <c r="CT144" i="11"/>
  <c r="CU144" i="11"/>
  <c r="CV144" i="11"/>
  <c r="CW144" i="11"/>
  <c r="CX144" i="11"/>
  <c r="CY144" i="11"/>
  <c r="CZ144" i="11"/>
  <c r="DA144" i="11"/>
  <c r="DB144" i="11"/>
  <c r="DC144" i="11"/>
  <c r="DD144" i="11"/>
  <c r="DE144" i="11"/>
  <c r="DF144" i="11"/>
  <c r="DG144" i="11"/>
  <c r="DH144" i="11"/>
  <c r="DI144" i="11"/>
  <c r="DJ144" i="11"/>
  <c r="DK144" i="11"/>
  <c r="DL144" i="11"/>
  <c r="BA121" i="11"/>
  <c r="CP121" i="11"/>
  <c r="CQ121" i="11"/>
  <c r="CR121" i="11"/>
  <c r="CS121" i="11"/>
  <c r="CT121" i="11"/>
  <c r="CU121" i="11"/>
  <c r="CV121" i="11"/>
  <c r="CW121" i="11"/>
  <c r="CX121" i="11"/>
  <c r="CY121" i="11"/>
  <c r="CZ121" i="11"/>
  <c r="DA121" i="11"/>
  <c r="DB121" i="11"/>
  <c r="DC121" i="11"/>
  <c r="DD121" i="11"/>
  <c r="DE121" i="11"/>
  <c r="DF121" i="11"/>
  <c r="DG121" i="11"/>
  <c r="DH121" i="11"/>
  <c r="DI121" i="11"/>
  <c r="DJ121" i="11"/>
  <c r="DK121" i="11"/>
  <c r="DL121" i="11"/>
  <c r="BA122" i="11"/>
  <c r="CP122" i="11"/>
  <c r="CQ122" i="11"/>
  <c r="CR122" i="11"/>
  <c r="CS122" i="11"/>
  <c r="CT122" i="11"/>
  <c r="CU122" i="11"/>
  <c r="CV122" i="11"/>
  <c r="CW122" i="11"/>
  <c r="CX122" i="11"/>
  <c r="CY122" i="11"/>
  <c r="CZ122" i="11"/>
  <c r="DA122" i="11"/>
  <c r="DB122" i="11"/>
  <c r="DC122" i="11"/>
  <c r="DD122" i="11"/>
  <c r="DE122" i="11"/>
  <c r="DF122" i="11"/>
  <c r="DG122" i="11"/>
  <c r="DH122" i="11"/>
  <c r="DI122" i="11"/>
  <c r="DJ122" i="11"/>
  <c r="DK122" i="11"/>
  <c r="DL122" i="11"/>
  <c r="BA123" i="11"/>
  <c r="CP123" i="11"/>
  <c r="CQ123" i="11"/>
  <c r="CR123" i="11"/>
  <c r="CS123" i="11"/>
  <c r="CT123" i="11"/>
  <c r="CU123" i="11"/>
  <c r="CV123" i="11"/>
  <c r="CW123" i="11"/>
  <c r="CX123" i="11"/>
  <c r="CY123" i="11"/>
  <c r="CZ123" i="11"/>
  <c r="DA123" i="11"/>
  <c r="DB123" i="11"/>
  <c r="DC123" i="11"/>
  <c r="DD123" i="11"/>
  <c r="DE123" i="11"/>
  <c r="DF123" i="11"/>
  <c r="DG123" i="11"/>
  <c r="DH123" i="11"/>
  <c r="DI123" i="11"/>
  <c r="DJ123" i="11"/>
  <c r="DK123" i="11"/>
  <c r="DL123" i="11"/>
  <c r="BA124" i="11"/>
  <c r="CP124" i="11"/>
  <c r="CQ124" i="11"/>
  <c r="CR124" i="11"/>
  <c r="CS124" i="11"/>
  <c r="CT124" i="11"/>
  <c r="CU124" i="11"/>
  <c r="CV124" i="11"/>
  <c r="CW124" i="11"/>
  <c r="CX124" i="11"/>
  <c r="CY124" i="11"/>
  <c r="CZ124" i="11"/>
  <c r="DA124" i="11"/>
  <c r="DB124" i="11"/>
  <c r="DC124" i="11"/>
  <c r="DD124" i="11"/>
  <c r="DE124" i="11"/>
  <c r="DF124" i="11"/>
  <c r="DG124" i="11"/>
  <c r="DH124" i="11"/>
  <c r="DI124" i="11"/>
  <c r="DJ124" i="11"/>
  <c r="DK124" i="11"/>
  <c r="DL124" i="11"/>
  <c r="BA125" i="11"/>
  <c r="CP125" i="11"/>
  <c r="CQ125" i="11"/>
  <c r="CR125" i="11"/>
  <c r="CS125" i="11"/>
  <c r="CT125" i="11"/>
  <c r="CU125" i="11"/>
  <c r="CV125" i="11"/>
  <c r="CW125" i="11"/>
  <c r="CX125" i="11"/>
  <c r="CY125" i="11"/>
  <c r="CZ125" i="11"/>
  <c r="DA125" i="11"/>
  <c r="DB125" i="11"/>
  <c r="DC125" i="11"/>
  <c r="DD125" i="11"/>
  <c r="DE125" i="11"/>
  <c r="DF125" i="11"/>
  <c r="DG125" i="11"/>
  <c r="DH125" i="11"/>
  <c r="DI125" i="11"/>
  <c r="DJ125" i="11"/>
  <c r="DK125" i="11"/>
  <c r="DL125" i="11"/>
  <c r="BA126" i="11"/>
  <c r="CP126" i="11"/>
  <c r="CQ126" i="11"/>
  <c r="CR126" i="11"/>
  <c r="CS126" i="11"/>
  <c r="CT126" i="11"/>
  <c r="CU126" i="11"/>
  <c r="CV126" i="11"/>
  <c r="CW126" i="11"/>
  <c r="CX126" i="11"/>
  <c r="CY126" i="11"/>
  <c r="CZ126" i="11"/>
  <c r="DA126" i="11"/>
  <c r="DB126" i="11"/>
  <c r="DC126" i="11"/>
  <c r="DD126" i="11"/>
  <c r="DE126" i="11"/>
  <c r="DF126" i="11"/>
  <c r="DG126" i="11"/>
  <c r="DH126" i="11"/>
  <c r="DI126" i="11"/>
  <c r="DJ126" i="11"/>
  <c r="DK126" i="11"/>
  <c r="DL126" i="11"/>
  <c r="BA127" i="11"/>
  <c r="BA128" i="11"/>
  <c r="BA129" i="11"/>
  <c r="BA130" i="11"/>
  <c r="BA131" i="11"/>
  <c r="BA132" i="11"/>
  <c r="BA109" i="11"/>
  <c r="BA110" i="11"/>
  <c r="BA111" i="11"/>
  <c r="BA112" i="11"/>
  <c r="BA113" i="11"/>
  <c r="BA114" i="11"/>
  <c r="BA115" i="11"/>
  <c r="BA116" i="11"/>
  <c r="BA117" i="11"/>
  <c r="BA118" i="11"/>
  <c r="BA119" i="11"/>
  <c r="BA120" i="11"/>
  <c r="BA97" i="11"/>
  <c r="BA98" i="11"/>
  <c r="BA99" i="11"/>
  <c r="BA100" i="11"/>
  <c r="BA101" i="11"/>
  <c r="CT101" i="11"/>
  <c r="CU101" i="11"/>
  <c r="CV101" i="11"/>
  <c r="CW101" i="11"/>
  <c r="CX101" i="11"/>
  <c r="CY101" i="11"/>
  <c r="CZ101" i="11"/>
  <c r="DA101" i="11"/>
  <c r="DB101" i="11"/>
  <c r="DC101" i="11"/>
  <c r="DD101" i="11"/>
  <c r="DE101" i="11"/>
  <c r="DF101" i="11"/>
  <c r="DG101" i="11"/>
  <c r="DH101" i="11"/>
  <c r="DI101" i="11"/>
  <c r="DJ101" i="11"/>
  <c r="DK101" i="11"/>
  <c r="DL101" i="11"/>
  <c r="BA102" i="11"/>
  <c r="CP102" i="11"/>
  <c r="CQ102" i="11"/>
  <c r="CR102" i="11"/>
  <c r="CS102" i="11"/>
  <c r="CT102" i="11"/>
  <c r="CU102" i="11"/>
  <c r="CV102" i="11"/>
  <c r="CW102" i="11"/>
  <c r="CX102" i="11"/>
  <c r="CY102" i="11"/>
  <c r="CZ102" i="11"/>
  <c r="DA102" i="11"/>
  <c r="DB102" i="11"/>
  <c r="DC102" i="11"/>
  <c r="DD102" i="11"/>
  <c r="DE102" i="11"/>
  <c r="DF102" i="11"/>
  <c r="DG102" i="11"/>
  <c r="DH102" i="11"/>
  <c r="DI102" i="11"/>
  <c r="DJ102" i="11"/>
  <c r="DK102" i="11"/>
  <c r="DL102" i="11"/>
  <c r="BA103" i="11"/>
  <c r="BT103" i="11"/>
  <c r="CP103" i="11"/>
  <c r="CQ103" i="11"/>
  <c r="CR103" i="11"/>
  <c r="CS103" i="11"/>
  <c r="CT103" i="11"/>
  <c r="CU103" i="11"/>
  <c r="CV103" i="11"/>
  <c r="CW103" i="11"/>
  <c r="CX103" i="11"/>
  <c r="CY103" i="11"/>
  <c r="CZ103" i="11"/>
  <c r="DA103" i="11"/>
  <c r="DB103" i="11"/>
  <c r="DC103" i="11"/>
  <c r="DD103" i="11"/>
  <c r="DE103" i="11"/>
  <c r="DF103" i="11"/>
  <c r="DG103" i="11"/>
  <c r="DH103" i="11"/>
  <c r="DI103" i="11"/>
  <c r="DJ103" i="11"/>
  <c r="DK103" i="11"/>
  <c r="DL103" i="11"/>
  <c r="BA104" i="11"/>
  <c r="CP104" i="11"/>
  <c r="CQ104" i="11"/>
  <c r="CR104" i="11"/>
  <c r="CS104" i="11"/>
  <c r="CT104" i="11"/>
  <c r="CU104" i="11"/>
  <c r="CV104" i="11"/>
  <c r="CW104" i="11"/>
  <c r="CX104" i="11"/>
  <c r="CY104" i="11"/>
  <c r="CZ104" i="11"/>
  <c r="DA104" i="11"/>
  <c r="DB104" i="11"/>
  <c r="DC104" i="11"/>
  <c r="DD104" i="11"/>
  <c r="DE104" i="11"/>
  <c r="DF104" i="11"/>
  <c r="DG104" i="11"/>
  <c r="DH104" i="11"/>
  <c r="DI104" i="11"/>
  <c r="DJ104" i="11"/>
  <c r="DK104" i="11"/>
  <c r="DL104" i="11"/>
  <c r="BA105" i="11"/>
  <c r="CP105" i="11"/>
  <c r="CQ105" i="11"/>
  <c r="CR105" i="11"/>
  <c r="CS105" i="11"/>
  <c r="CT105" i="11"/>
  <c r="CU105" i="11"/>
  <c r="CV105" i="11"/>
  <c r="CW105" i="11"/>
  <c r="CX105" i="11"/>
  <c r="CY105" i="11"/>
  <c r="CZ105" i="11"/>
  <c r="DA105" i="11"/>
  <c r="DB105" i="11"/>
  <c r="DC105" i="11"/>
  <c r="DD105" i="11"/>
  <c r="DE105" i="11"/>
  <c r="DF105" i="11"/>
  <c r="DG105" i="11"/>
  <c r="DH105" i="11"/>
  <c r="DI105" i="11"/>
  <c r="DJ105" i="11"/>
  <c r="DK105" i="11"/>
  <c r="DL105" i="11"/>
  <c r="BA106" i="11"/>
  <c r="CP106" i="11"/>
  <c r="CQ106" i="11"/>
  <c r="CR106" i="11"/>
  <c r="CS106" i="11"/>
  <c r="CT106" i="11"/>
  <c r="CU106" i="11"/>
  <c r="CV106" i="11"/>
  <c r="CW106" i="11"/>
  <c r="CX106" i="11"/>
  <c r="CY106" i="11"/>
  <c r="CZ106" i="11"/>
  <c r="DA106" i="11"/>
  <c r="DB106" i="11"/>
  <c r="DC106" i="11"/>
  <c r="DD106" i="11"/>
  <c r="DE106" i="11"/>
  <c r="DF106" i="11"/>
  <c r="DG106" i="11"/>
  <c r="DH106" i="11"/>
  <c r="DI106" i="11"/>
  <c r="DJ106" i="11"/>
  <c r="DK106" i="11"/>
  <c r="DL106" i="11"/>
  <c r="BA107" i="11"/>
  <c r="CP107" i="11"/>
  <c r="CQ107" i="11"/>
  <c r="CR107" i="11"/>
  <c r="CS107" i="11"/>
  <c r="CT107" i="11"/>
  <c r="CU107" i="11"/>
  <c r="CV107" i="11"/>
  <c r="CW107" i="11"/>
  <c r="CX107" i="11"/>
  <c r="CY107" i="11"/>
  <c r="CZ107" i="11"/>
  <c r="DA107" i="11"/>
  <c r="DB107" i="11"/>
  <c r="DC107" i="11"/>
  <c r="DD107" i="11"/>
  <c r="DE107" i="11"/>
  <c r="DF107" i="11"/>
  <c r="DG107" i="11"/>
  <c r="DH107" i="11"/>
  <c r="DI107" i="11"/>
  <c r="DJ107" i="11"/>
  <c r="DK107" i="11"/>
  <c r="DL107" i="11"/>
  <c r="BA108" i="11"/>
  <c r="CP108" i="11"/>
  <c r="CQ108" i="11"/>
  <c r="CR108" i="11"/>
  <c r="CS108" i="11"/>
  <c r="CT108" i="11"/>
  <c r="CU108" i="11"/>
  <c r="CV108" i="11"/>
  <c r="CW108" i="11"/>
  <c r="CX108" i="11"/>
  <c r="CY108" i="11"/>
  <c r="CZ108" i="11"/>
  <c r="DA108" i="11"/>
  <c r="DB108" i="11"/>
  <c r="DC108" i="11"/>
  <c r="DD108" i="11"/>
  <c r="DE108" i="11"/>
  <c r="DF108" i="11"/>
  <c r="DG108" i="11"/>
  <c r="DH108" i="11"/>
  <c r="DI108" i="11"/>
  <c r="DJ108" i="11"/>
  <c r="DK108" i="11"/>
  <c r="DL108" i="11"/>
  <c r="BA85" i="11"/>
  <c r="CP85" i="11"/>
  <c r="CQ85" i="11"/>
  <c r="CR85" i="11"/>
  <c r="CS85" i="11"/>
  <c r="CT85" i="11"/>
  <c r="CU85" i="11"/>
  <c r="CV85" i="11"/>
  <c r="CW85" i="11"/>
  <c r="CX85" i="11"/>
  <c r="CY85" i="11"/>
  <c r="CZ85" i="11"/>
  <c r="DA85" i="11"/>
  <c r="DB85" i="11"/>
  <c r="DC85" i="11"/>
  <c r="DD85" i="11"/>
  <c r="DE85" i="11"/>
  <c r="DF85" i="11"/>
  <c r="DG85" i="11"/>
  <c r="DH85" i="11"/>
  <c r="DI85" i="11"/>
  <c r="DJ85" i="11"/>
  <c r="DK85" i="11"/>
  <c r="DL85" i="11"/>
  <c r="BA86" i="11"/>
  <c r="CP86" i="11"/>
  <c r="CQ86" i="11"/>
  <c r="CR86" i="11"/>
  <c r="CS86" i="11"/>
  <c r="CT86" i="11"/>
  <c r="CU86" i="11"/>
  <c r="CV86" i="11"/>
  <c r="CW86" i="11"/>
  <c r="CX86" i="11"/>
  <c r="CY86" i="11"/>
  <c r="CZ86" i="11"/>
  <c r="DA86" i="11"/>
  <c r="DB86" i="11"/>
  <c r="DC86" i="11"/>
  <c r="DD86" i="11"/>
  <c r="DE86" i="11"/>
  <c r="DF86" i="11"/>
  <c r="DG86" i="11"/>
  <c r="DH86" i="11"/>
  <c r="DI86" i="11"/>
  <c r="DJ86" i="11"/>
  <c r="DK86" i="11"/>
  <c r="DL86" i="11"/>
  <c r="BA87" i="11"/>
  <c r="CP87" i="11"/>
  <c r="CQ87" i="11"/>
  <c r="CR87" i="11"/>
  <c r="CS87" i="11"/>
  <c r="CT87" i="11"/>
  <c r="CU87" i="11"/>
  <c r="CV87" i="11"/>
  <c r="CW87" i="11"/>
  <c r="CX87" i="11"/>
  <c r="CY87" i="11"/>
  <c r="CZ87" i="11"/>
  <c r="DA87" i="11"/>
  <c r="DB87" i="11"/>
  <c r="DC87" i="11"/>
  <c r="DD87" i="11"/>
  <c r="DE87" i="11"/>
  <c r="DF87" i="11"/>
  <c r="DG87" i="11"/>
  <c r="DH87" i="11"/>
  <c r="DI87" i="11"/>
  <c r="DJ87" i="11"/>
  <c r="DK87" i="11"/>
  <c r="DL87" i="11"/>
  <c r="BA88" i="11"/>
  <c r="CP88" i="11"/>
  <c r="CQ88" i="11"/>
  <c r="CR88" i="11"/>
  <c r="CS88" i="11"/>
  <c r="CT88" i="11"/>
  <c r="CU88" i="11"/>
  <c r="CV88" i="11"/>
  <c r="CW88" i="11"/>
  <c r="CX88" i="11"/>
  <c r="CY88" i="11"/>
  <c r="CZ88" i="11"/>
  <c r="DA88" i="11"/>
  <c r="DB88" i="11"/>
  <c r="DC88" i="11"/>
  <c r="DD88" i="11"/>
  <c r="DE88" i="11"/>
  <c r="DF88" i="11"/>
  <c r="DG88" i="11"/>
  <c r="DH88" i="11"/>
  <c r="DI88" i="11"/>
  <c r="DJ88" i="11"/>
  <c r="DK88" i="11"/>
  <c r="DL88" i="11"/>
  <c r="BA89" i="11"/>
  <c r="BT89" i="11"/>
  <c r="CP89" i="11"/>
  <c r="CQ89" i="11"/>
  <c r="CR89" i="11"/>
  <c r="CS89" i="11"/>
  <c r="CT89" i="11"/>
  <c r="CU89" i="11"/>
  <c r="CV89" i="11"/>
  <c r="CW89" i="11"/>
  <c r="CX89" i="11"/>
  <c r="CY89" i="11"/>
  <c r="CZ89" i="11"/>
  <c r="DA89" i="11"/>
  <c r="DB89" i="11"/>
  <c r="DC89" i="11"/>
  <c r="DD89" i="11"/>
  <c r="DE89" i="11"/>
  <c r="DF89" i="11"/>
  <c r="DG89" i="11"/>
  <c r="DH89" i="11"/>
  <c r="DI89" i="11"/>
  <c r="DJ89" i="11"/>
  <c r="DK89" i="11"/>
  <c r="DL89" i="11"/>
  <c r="BA90" i="11"/>
  <c r="CP90" i="11"/>
  <c r="CQ90" i="11"/>
  <c r="CR90" i="11"/>
  <c r="CS90" i="11"/>
  <c r="CT90" i="11"/>
  <c r="CU90" i="11"/>
  <c r="CV90" i="11"/>
  <c r="CW90" i="11"/>
  <c r="CX90" i="11"/>
  <c r="CY90" i="11"/>
  <c r="CZ90" i="11"/>
  <c r="DA90" i="11"/>
  <c r="DB90" i="11"/>
  <c r="DC90" i="11"/>
  <c r="DD90" i="11"/>
  <c r="DE90" i="11"/>
  <c r="DF90" i="11"/>
  <c r="DG90" i="11"/>
  <c r="DH90" i="11"/>
  <c r="DI90" i="11"/>
  <c r="DJ90" i="11"/>
  <c r="DK90" i="11"/>
  <c r="DL90" i="11"/>
  <c r="BA91" i="11"/>
  <c r="CP91" i="11"/>
  <c r="CQ91" i="11"/>
  <c r="CR91" i="11"/>
  <c r="CS91" i="11"/>
  <c r="CT91" i="11"/>
  <c r="CU91" i="11"/>
  <c r="CV91" i="11"/>
  <c r="CW91" i="11"/>
  <c r="CX91" i="11"/>
  <c r="CY91" i="11"/>
  <c r="CZ91" i="11"/>
  <c r="DA91" i="11"/>
  <c r="DB91" i="11"/>
  <c r="DC91" i="11"/>
  <c r="DD91" i="11"/>
  <c r="DE91" i="11"/>
  <c r="DF91" i="11"/>
  <c r="DG91" i="11"/>
  <c r="DH91" i="11"/>
  <c r="DI91" i="11"/>
  <c r="DJ91" i="11"/>
  <c r="DK91" i="11"/>
  <c r="DL91" i="11"/>
  <c r="BA92" i="11"/>
  <c r="CP92" i="11"/>
  <c r="CQ92" i="11"/>
  <c r="CR92" i="11"/>
  <c r="CS92" i="11"/>
  <c r="CT92" i="11"/>
  <c r="CU92" i="11"/>
  <c r="CV92" i="11"/>
  <c r="CW92" i="11"/>
  <c r="CX92" i="11"/>
  <c r="CY92" i="11"/>
  <c r="CZ92" i="11"/>
  <c r="DA92" i="11"/>
  <c r="DB92" i="11"/>
  <c r="DC92" i="11"/>
  <c r="DD92" i="11"/>
  <c r="DE92" i="11"/>
  <c r="DF92" i="11"/>
  <c r="DG92" i="11"/>
  <c r="DH92" i="11"/>
  <c r="DI92" i="11"/>
  <c r="DJ92" i="11"/>
  <c r="DK92" i="11"/>
  <c r="DL92" i="11"/>
  <c r="BA93" i="11"/>
  <c r="CP93" i="11"/>
  <c r="CQ93" i="11"/>
  <c r="CR93" i="11"/>
  <c r="CS93" i="11"/>
  <c r="CT93" i="11"/>
  <c r="CU93" i="11"/>
  <c r="CV93" i="11"/>
  <c r="CW93" i="11"/>
  <c r="CX93" i="11"/>
  <c r="CY93" i="11"/>
  <c r="CZ93" i="11"/>
  <c r="DA93" i="11"/>
  <c r="DB93" i="11"/>
  <c r="DC93" i="11"/>
  <c r="DD93" i="11"/>
  <c r="DE93" i="11"/>
  <c r="DF93" i="11"/>
  <c r="DG93" i="11"/>
  <c r="DH93" i="11"/>
  <c r="DI93" i="11"/>
  <c r="DJ93" i="11"/>
  <c r="DK93" i="11"/>
  <c r="DL93" i="11"/>
  <c r="BA94" i="11"/>
  <c r="CP94" i="11"/>
  <c r="CQ94" i="11"/>
  <c r="CR94" i="11"/>
  <c r="CS94" i="11"/>
  <c r="CT94" i="11"/>
  <c r="CU94" i="11"/>
  <c r="CV94" i="11"/>
  <c r="CW94" i="11"/>
  <c r="CX94" i="11"/>
  <c r="CY94" i="11"/>
  <c r="CZ94" i="11"/>
  <c r="DA94" i="11"/>
  <c r="DB94" i="11"/>
  <c r="DC94" i="11"/>
  <c r="DD94" i="11"/>
  <c r="DE94" i="11"/>
  <c r="DF94" i="11"/>
  <c r="DG94" i="11"/>
  <c r="DH94" i="11"/>
  <c r="DI94" i="11"/>
  <c r="DJ94" i="11"/>
  <c r="DK94" i="11"/>
  <c r="DL94" i="11"/>
  <c r="BA95" i="11"/>
  <c r="CP95" i="11"/>
  <c r="CQ95" i="11"/>
  <c r="CR95" i="11"/>
  <c r="CS95" i="11"/>
  <c r="CT95" i="11"/>
  <c r="CU95" i="11"/>
  <c r="CV95" i="11"/>
  <c r="CW95" i="11"/>
  <c r="CX95" i="11"/>
  <c r="CY95" i="11"/>
  <c r="CZ95" i="11"/>
  <c r="DA95" i="11"/>
  <c r="DB95" i="11"/>
  <c r="DC95" i="11"/>
  <c r="DD95" i="11"/>
  <c r="DE95" i="11"/>
  <c r="DF95" i="11"/>
  <c r="DG95" i="11"/>
  <c r="DH95" i="11"/>
  <c r="DI95" i="11"/>
  <c r="DJ95" i="11"/>
  <c r="DK95" i="11"/>
  <c r="DL95" i="11"/>
  <c r="BA96" i="11"/>
  <c r="BT96" i="11"/>
  <c r="CP96" i="11"/>
  <c r="CQ96" i="11"/>
  <c r="CR96" i="11"/>
  <c r="CS96" i="11"/>
  <c r="CT96" i="11"/>
  <c r="CU96" i="11"/>
  <c r="CV96" i="11"/>
  <c r="CW96" i="11"/>
  <c r="CX96" i="11"/>
  <c r="CY96" i="11"/>
  <c r="CZ96" i="11"/>
  <c r="DA96" i="11"/>
  <c r="DB96" i="11"/>
  <c r="DC96" i="11"/>
  <c r="DD96" i="11"/>
  <c r="DE96" i="11"/>
  <c r="DF96" i="11"/>
  <c r="DG96" i="11"/>
  <c r="DH96" i="11"/>
  <c r="DI96" i="11"/>
  <c r="DJ96" i="11"/>
  <c r="DK96" i="11"/>
  <c r="DL96" i="11"/>
  <c r="BA73" i="11"/>
  <c r="BA74" i="11"/>
  <c r="CP74" i="11"/>
  <c r="CQ74" i="11"/>
  <c r="CR74" i="11"/>
  <c r="CS74" i="11"/>
  <c r="CT74" i="11"/>
  <c r="CU74" i="11"/>
  <c r="CV74" i="11"/>
  <c r="CW74" i="11"/>
  <c r="CX74" i="11"/>
  <c r="CY74" i="11"/>
  <c r="CZ74" i="11"/>
  <c r="DA74" i="11"/>
  <c r="DB74" i="11"/>
  <c r="DC74" i="11"/>
  <c r="DD74" i="11"/>
  <c r="DE74" i="11"/>
  <c r="DF74" i="11"/>
  <c r="DG74" i="11"/>
  <c r="DH74" i="11"/>
  <c r="DI74" i="11"/>
  <c r="DJ74" i="11"/>
  <c r="DK74" i="11"/>
  <c r="DL74" i="11"/>
  <c r="BA75" i="11"/>
  <c r="BT75" i="11"/>
  <c r="CP75" i="11"/>
  <c r="CQ75" i="11"/>
  <c r="CR75" i="11"/>
  <c r="CS75" i="11"/>
  <c r="CT75" i="11"/>
  <c r="CU75" i="11"/>
  <c r="CV75" i="11"/>
  <c r="CW75" i="11"/>
  <c r="CX75" i="11"/>
  <c r="CY75" i="11"/>
  <c r="CZ75" i="11"/>
  <c r="DA75" i="11"/>
  <c r="DB75" i="11"/>
  <c r="DC75" i="11"/>
  <c r="DD75" i="11"/>
  <c r="DE75" i="11"/>
  <c r="DF75" i="11"/>
  <c r="DG75" i="11"/>
  <c r="DH75" i="11"/>
  <c r="DI75" i="11"/>
  <c r="DJ75" i="11"/>
  <c r="DK75" i="11"/>
  <c r="DL75" i="11"/>
  <c r="BA76" i="11"/>
  <c r="CP76" i="11"/>
  <c r="CQ76" i="11"/>
  <c r="CR76" i="11"/>
  <c r="CS76" i="11"/>
  <c r="CT76" i="11"/>
  <c r="CU76" i="11"/>
  <c r="CV76" i="11"/>
  <c r="CW76" i="11"/>
  <c r="CX76" i="11"/>
  <c r="CY76" i="11"/>
  <c r="CZ76" i="11"/>
  <c r="DA76" i="11"/>
  <c r="DB76" i="11"/>
  <c r="DC76" i="11"/>
  <c r="DD76" i="11"/>
  <c r="DE76" i="11"/>
  <c r="DF76" i="11"/>
  <c r="DG76" i="11"/>
  <c r="DH76" i="11"/>
  <c r="DI76" i="11"/>
  <c r="DJ76" i="11"/>
  <c r="DK76" i="11"/>
  <c r="DL76" i="11"/>
  <c r="BA77" i="11"/>
  <c r="CP77" i="11"/>
  <c r="CQ77" i="11"/>
  <c r="CR77" i="11"/>
  <c r="CS77" i="11"/>
  <c r="CT77" i="11"/>
  <c r="CU77" i="11"/>
  <c r="CV77" i="11"/>
  <c r="CW77" i="11"/>
  <c r="CX77" i="11"/>
  <c r="CY77" i="11"/>
  <c r="CZ77" i="11"/>
  <c r="DA77" i="11"/>
  <c r="DB77" i="11"/>
  <c r="DC77" i="11"/>
  <c r="DD77" i="11"/>
  <c r="DE77" i="11"/>
  <c r="DF77" i="11"/>
  <c r="DG77" i="11"/>
  <c r="DH77" i="11"/>
  <c r="DI77" i="11"/>
  <c r="DJ77" i="11"/>
  <c r="DK77" i="11"/>
  <c r="DL77" i="11"/>
  <c r="BA78" i="11"/>
  <c r="CP78" i="11"/>
  <c r="CQ78" i="11"/>
  <c r="CR78" i="11"/>
  <c r="CS78" i="11"/>
  <c r="CT78" i="11"/>
  <c r="CU78" i="11"/>
  <c r="CV78" i="11"/>
  <c r="CW78" i="11"/>
  <c r="CX78" i="11"/>
  <c r="CY78" i="11"/>
  <c r="CZ78" i="11"/>
  <c r="DA78" i="11"/>
  <c r="DB78" i="11"/>
  <c r="DC78" i="11"/>
  <c r="DD78" i="11"/>
  <c r="DE78" i="11"/>
  <c r="DF78" i="11"/>
  <c r="DG78" i="11"/>
  <c r="DH78" i="11"/>
  <c r="DI78" i="11"/>
  <c r="DJ78" i="11"/>
  <c r="DK78" i="11"/>
  <c r="DL78" i="11"/>
  <c r="BA79" i="11"/>
  <c r="CP79" i="11"/>
  <c r="CQ79" i="11"/>
  <c r="CR79" i="11"/>
  <c r="CS79" i="11"/>
  <c r="CT79" i="11"/>
  <c r="CU79" i="11"/>
  <c r="CV79" i="11"/>
  <c r="CW79" i="11"/>
  <c r="CX79" i="11"/>
  <c r="CY79" i="11"/>
  <c r="CZ79" i="11"/>
  <c r="DA79" i="11"/>
  <c r="DB79" i="11"/>
  <c r="DC79" i="11"/>
  <c r="DD79" i="11"/>
  <c r="DE79" i="11"/>
  <c r="DF79" i="11"/>
  <c r="DG79" i="11"/>
  <c r="DH79" i="11"/>
  <c r="DI79" i="11"/>
  <c r="DJ79" i="11"/>
  <c r="DK79" i="11"/>
  <c r="DL79" i="11"/>
  <c r="BA80" i="11"/>
  <c r="CP80" i="11"/>
  <c r="CQ80" i="11"/>
  <c r="CR80" i="11"/>
  <c r="CS80" i="11"/>
  <c r="CT80" i="11"/>
  <c r="CU80" i="11"/>
  <c r="CV80" i="11"/>
  <c r="CW80" i="11"/>
  <c r="CX80" i="11"/>
  <c r="CY80" i="11"/>
  <c r="CZ80" i="11"/>
  <c r="DA80" i="11"/>
  <c r="DB80" i="11"/>
  <c r="DC80" i="11"/>
  <c r="DD80" i="11"/>
  <c r="DE80" i="11"/>
  <c r="DF80" i="11"/>
  <c r="DG80" i="11"/>
  <c r="DH80" i="11"/>
  <c r="DI80" i="11"/>
  <c r="DJ80" i="11"/>
  <c r="DK80" i="11"/>
  <c r="DL80" i="11"/>
  <c r="BA81" i="11"/>
  <c r="CP81" i="11"/>
  <c r="CQ81" i="11"/>
  <c r="CR81" i="11"/>
  <c r="CS81" i="11"/>
  <c r="CT81" i="11"/>
  <c r="CU81" i="11"/>
  <c r="CV81" i="11"/>
  <c r="CW81" i="11"/>
  <c r="CX81" i="11"/>
  <c r="CY81" i="11"/>
  <c r="CZ81" i="11"/>
  <c r="DA81" i="11"/>
  <c r="DB81" i="11"/>
  <c r="DC81" i="11"/>
  <c r="DD81" i="11"/>
  <c r="DE81" i="11"/>
  <c r="DF81" i="11"/>
  <c r="DG81" i="11"/>
  <c r="DH81" i="11"/>
  <c r="DI81" i="11"/>
  <c r="DJ81" i="11"/>
  <c r="DK81" i="11"/>
  <c r="DL81" i="11"/>
  <c r="BA82" i="11"/>
  <c r="BT82" i="11"/>
  <c r="CP82" i="11"/>
  <c r="CQ82" i="11"/>
  <c r="CR82" i="11"/>
  <c r="CS82" i="11"/>
  <c r="CT82" i="11"/>
  <c r="CU82" i="11"/>
  <c r="CV82" i="11"/>
  <c r="CW82" i="11"/>
  <c r="CX82" i="11"/>
  <c r="CY82" i="11"/>
  <c r="CZ82" i="11"/>
  <c r="DA82" i="11"/>
  <c r="DB82" i="11"/>
  <c r="DC82" i="11"/>
  <c r="DD82" i="11"/>
  <c r="DE82" i="11"/>
  <c r="DF82" i="11"/>
  <c r="DG82" i="11"/>
  <c r="DH82" i="11"/>
  <c r="DI82" i="11"/>
  <c r="DJ82" i="11"/>
  <c r="DK82" i="11"/>
  <c r="DL82" i="11"/>
  <c r="BA83" i="11"/>
  <c r="CP83" i="11"/>
  <c r="CQ83" i="11"/>
  <c r="CR83" i="11"/>
  <c r="CS83" i="11"/>
  <c r="CT83" i="11"/>
  <c r="CU83" i="11"/>
  <c r="CV83" i="11"/>
  <c r="CW83" i="11"/>
  <c r="CX83" i="11"/>
  <c r="CY83" i="11"/>
  <c r="CZ83" i="11"/>
  <c r="DA83" i="11"/>
  <c r="DB83" i="11"/>
  <c r="DC83" i="11"/>
  <c r="DD83" i="11"/>
  <c r="DE83" i="11"/>
  <c r="DF83" i="11"/>
  <c r="DG83" i="11"/>
  <c r="DH83" i="11"/>
  <c r="DI83" i="11"/>
  <c r="DJ83" i="11"/>
  <c r="DK83" i="11"/>
  <c r="DL83" i="11"/>
  <c r="BA84" i="11"/>
  <c r="CP84" i="11"/>
  <c r="CQ84" i="11"/>
  <c r="CR84" i="11"/>
  <c r="CS84" i="11"/>
  <c r="CT84" i="11"/>
  <c r="CU84" i="11"/>
  <c r="CV84" i="11"/>
  <c r="CW84" i="11"/>
  <c r="CX84" i="11"/>
  <c r="CY84" i="11"/>
  <c r="CZ84" i="11"/>
  <c r="DA84" i="11"/>
  <c r="DB84" i="11"/>
  <c r="DC84" i="11"/>
  <c r="DD84" i="11"/>
  <c r="DE84" i="11"/>
  <c r="DF84" i="11"/>
  <c r="DG84" i="11"/>
  <c r="DH84" i="11"/>
  <c r="DI84" i="11"/>
  <c r="DJ84" i="11"/>
  <c r="DK84" i="11"/>
  <c r="DL84" i="11"/>
  <c r="BA61" i="11"/>
  <c r="BT61" i="11"/>
  <c r="BA62" i="11"/>
  <c r="BA63" i="11"/>
  <c r="BA64" i="11"/>
  <c r="BA65" i="11"/>
  <c r="BA66" i="11"/>
  <c r="BA67" i="11"/>
  <c r="BA68" i="11"/>
  <c r="BT68" i="11"/>
  <c r="BA69" i="11"/>
  <c r="BA70" i="11"/>
  <c r="BA71" i="11"/>
  <c r="BA72" i="11"/>
  <c r="BA49" i="11"/>
  <c r="BD49" i="11"/>
  <c r="BE49" i="11"/>
  <c r="BA50" i="11"/>
  <c r="BD50" i="11"/>
  <c r="BE50" i="11"/>
  <c r="BA51" i="11"/>
  <c r="BD51" i="11"/>
  <c r="BE51" i="11"/>
  <c r="BA52" i="11"/>
  <c r="BD52" i="11"/>
  <c r="BE52" i="11"/>
  <c r="BA53" i="11"/>
  <c r="BD53" i="11"/>
  <c r="BE53" i="11"/>
  <c r="BA54" i="11"/>
  <c r="BD54" i="11"/>
  <c r="BE54" i="11"/>
  <c r="BT54" i="11"/>
  <c r="BA55" i="11"/>
  <c r="BD55" i="11"/>
  <c r="BE55" i="11"/>
  <c r="BA56" i="11"/>
  <c r="BD56" i="11"/>
  <c r="BE56" i="11"/>
  <c r="BA57" i="11"/>
  <c r="BD57" i="11"/>
  <c r="BE57" i="11"/>
  <c r="BA58" i="11"/>
  <c r="BD58" i="11"/>
  <c r="BE58" i="11"/>
  <c r="BA59" i="11"/>
  <c r="BD59" i="11"/>
  <c r="BE59" i="11"/>
  <c r="BA60" i="11"/>
  <c r="BD60" i="11"/>
  <c r="BE60" i="11"/>
  <c r="BA37" i="11"/>
  <c r="BD37" i="11"/>
  <c r="BE37" i="11"/>
  <c r="BA38" i="11"/>
  <c r="BD38" i="11"/>
  <c r="BE38" i="11"/>
  <c r="BA39" i="11"/>
  <c r="BD39" i="11"/>
  <c r="BE39" i="11"/>
  <c r="BA40" i="11"/>
  <c r="BD40" i="11"/>
  <c r="BE40" i="11"/>
  <c r="BT40" i="11"/>
  <c r="BA41" i="11"/>
  <c r="BD41" i="11"/>
  <c r="BE41" i="11"/>
  <c r="BA42" i="11"/>
  <c r="BD42" i="11"/>
  <c r="BE42" i="11"/>
  <c r="BA43" i="11"/>
  <c r="BD43" i="11"/>
  <c r="BE43" i="11"/>
  <c r="BA44" i="11"/>
  <c r="BD44" i="11"/>
  <c r="BE44" i="11"/>
  <c r="BA45" i="11"/>
  <c r="BD45" i="11"/>
  <c r="BE45" i="11"/>
  <c r="BA46" i="11"/>
  <c r="BD46" i="11"/>
  <c r="BE46" i="11"/>
  <c r="BA47" i="11"/>
  <c r="BD47" i="11"/>
  <c r="BE47" i="11"/>
  <c r="BT47" i="11"/>
  <c r="BA48" i="11"/>
  <c r="BD48" i="11"/>
  <c r="BE48" i="11"/>
  <c r="BA25" i="11"/>
  <c r="BA26" i="11"/>
  <c r="BT26" i="11"/>
  <c r="BA27" i="11"/>
  <c r="BA28" i="11"/>
  <c r="BA29" i="11"/>
  <c r="BA30" i="11"/>
  <c r="BA31" i="11"/>
  <c r="BA32" i="11"/>
  <c r="BA33" i="11"/>
  <c r="BT33" i="11"/>
  <c r="BA34" i="11"/>
  <c r="BA35" i="11"/>
  <c r="BD35" i="11"/>
  <c r="BE35" i="11"/>
  <c r="BA36" i="11"/>
  <c r="BD36" i="11"/>
  <c r="BE36" i="11"/>
  <c r="BA13" i="11"/>
  <c r="BO13" i="11"/>
  <c r="BA14" i="11"/>
  <c r="BO14" i="11"/>
  <c r="BA15" i="11"/>
  <c r="BO15" i="11"/>
  <c r="BA16" i="11"/>
  <c r="BO16" i="11"/>
  <c r="BA17" i="11"/>
  <c r="BO17" i="11"/>
  <c r="BA18" i="11"/>
  <c r="BO18" i="11"/>
  <c r="BA19" i="11"/>
  <c r="BO19" i="11"/>
  <c r="BT19" i="11"/>
  <c r="BA20" i="11"/>
  <c r="BO20" i="11"/>
  <c r="BA21" i="11"/>
  <c r="BO21" i="11"/>
  <c r="BA22" i="11"/>
  <c r="BA23" i="11"/>
  <c r="BA24" i="11"/>
  <c r="B3" i="11"/>
  <c r="C3" i="11"/>
  <c r="D3" i="11"/>
  <c r="E3" i="11"/>
  <c r="F3" i="11"/>
  <c r="G3" i="11"/>
  <c r="H3" i="11"/>
  <c r="I3" i="11"/>
  <c r="J3" i="11"/>
  <c r="K3" i="11"/>
  <c r="L3" i="11"/>
  <c r="M3" i="11"/>
  <c r="N3" i="11"/>
  <c r="O3" i="11"/>
  <c r="P3" i="11"/>
  <c r="Q3" i="11"/>
  <c r="R3" i="11"/>
  <c r="S3" i="11"/>
  <c r="T3" i="11"/>
  <c r="U3" i="11"/>
  <c r="V3" i="11"/>
  <c r="W3" i="11"/>
  <c r="X3" i="11"/>
  <c r="Y3" i="11"/>
  <c r="Z3" i="11"/>
  <c r="AA3" i="11"/>
  <c r="CP3" i="11" a="1"/>
  <c r="CQ3" i="11" a="1"/>
  <c r="CR3" i="11" a="1"/>
  <c r="CS3" i="11" a="1"/>
  <c r="CT3" i="11" a="1"/>
  <c r="CU3" i="11" a="1"/>
  <c r="CV3" i="11" a="1"/>
  <c r="CW3" i="11" a="1"/>
  <c r="CX3" i="11" a="1"/>
  <c r="CY3" i="11" a="1"/>
  <c r="CZ3" i="11" a="1"/>
  <c r="DA3" i="11" a="1"/>
  <c r="DB3" i="11" a="1"/>
  <c r="DC3" i="11" a="1"/>
  <c r="DD3" i="11" a="1"/>
  <c r="DE3" i="11" a="1"/>
  <c r="DF3" i="11" a="1"/>
  <c r="DG3" i="11" a="1"/>
  <c r="DH3" i="11" a="1"/>
  <c r="DI3" i="11" a="1"/>
  <c r="DJ3" i="11" a="1"/>
  <c r="DK3" i="11" a="1"/>
  <c r="DL3" i="11" a="1"/>
  <c r="BA4" i="11"/>
  <c r="BA5" i="11"/>
  <c r="BD5" i="11"/>
  <c r="BT5" i="11"/>
  <c r="BA6" i="11"/>
  <c r="BA7" i="11"/>
  <c r="BA8" i="11"/>
  <c r="BA9" i="11"/>
  <c r="BO9" i="11"/>
  <c r="BA10" i="11"/>
  <c r="BO10" i="11"/>
  <c r="BA11" i="11"/>
  <c r="BO11" i="11"/>
  <c r="BA12" i="11"/>
  <c r="BO12" i="11"/>
  <c r="BT12" i="11"/>
  <c r="B85" i="10"/>
  <c r="B86" i="10"/>
  <c r="A87" i="10"/>
  <c r="B87" i="10"/>
  <c r="BU87" i="10"/>
  <c r="BV87" i="10"/>
  <c r="BW87" i="10"/>
  <c r="BX87" i="10"/>
  <c r="BY87" i="10"/>
  <c r="BZ87" i="10"/>
  <c r="CA87" i="10"/>
  <c r="CB87" i="10"/>
  <c r="CC87" i="10"/>
  <c r="CD87" i="10"/>
  <c r="CE87" i="10"/>
  <c r="CF87" i="10"/>
  <c r="CG87" i="10"/>
  <c r="CH87" i="10"/>
  <c r="CI87" i="10"/>
  <c r="CJ87" i="10"/>
  <c r="CK87" i="10"/>
  <c r="CL87" i="10"/>
  <c r="CM87" i="10"/>
  <c r="CN87" i="10"/>
  <c r="CO87" i="10"/>
  <c r="CP87" i="10"/>
  <c r="CQ87" i="10"/>
  <c r="CR87" i="10"/>
  <c r="CS87" i="10"/>
  <c r="CT87" i="10"/>
  <c r="CU87" i="10"/>
  <c r="CV87" i="10"/>
  <c r="CW87" i="10"/>
  <c r="CX87" i="10"/>
  <c r="CY87" i="10"/>
  <c r="CZ87" i="10"/>
  <c r="DA87" i="10"/>
  <c r="DB87" i="10"/>
  <c r="DC87" i="10"/>
  <c r="DD87" i="10"/>
  <c r="DE87" i="10"/>
  <c r="DF87" i="10"/>
  <c r="DG87" i="10"/>
  <c r="DH87" i="10"/>
  <c r="DI87" i="10"/>
  <c r="DJ87" i="10"/>
  <c r="DK87" i="10"/>
  <c r="DL87" i="10"/>
  <c r="DM87" i="10"/>
  <c r="DN87" i="10"/>
  <c r="DO87" i="10"/>
  <c r="DP87" i="10"/>
  <c r="DQ87" i="10"/>
  <c r="DR87" i="10"/>
  <c r="DS87" i="10"/>
  <c r="DT87" i="10"/>
  <c r="DU87" i="10"/>
  <c r="DV87" i="10"/>
  <c r="DW87" i="10"/>
  <c r="DX87" i="10"/>
  <c r="DY87" i="10"/>
  <c r="DZ87" i="10"/>
  <c r="EA87" i="10"/>
  <c r="EB87" i="10"/>
  <c r="EC87" i="10"/>
  <c r="ED87" i="10"/>
  <c r="EE87" i="10"/>
  <c r="EF87" i="10"/>
  <c r="EG87" i="10"/>
  <c r="EH87" i="10"/>
  <c r="EI87" i="10"/>
  <c r="EJ87" i="10"/>
  <c r="EK87" i="10"/>
  <c r="EL87" i="10"/>
  <c r="EM87" i="10"/>
  <c r="EN87" i="10"/>
  <c r="EO87" i="10"/>
  <c r="EP87" i="10"/>
  <c r="EQ87" i="10"/>
  <c r="ER87" i="10"/>
  <c r="ES87" i="10"/>
  <c r="ET87" i="10"/>
  <c r="EU87" i="10"/>
  <c r="EV87" i="10"/>
  <c r="EW87" i="10"/>
  <c r="EX87" i="10"/>
  <c r="EY87" i="10"/>
  <c r="EZ87" i="10"/>
  <c r="FA87" i="10"/>
  <c r="FB87" i="10"/>
  <c r="FC87" i="10"/>
  <c r="FD87" i="10"/>
  <c r="FE87" i="10"/>
  <c r="FF87" i="10"/>
  <c r="FG87" i="10"/>
  <c r="FH87" i="10"/>
  <c r="FI87" i="10"/>
  <c r="FJ87" i="10"/>
  <c r="FK87" i="10"/>
  <c r="FL87" i="10"/>
  <c r="FM87" i="10"/>
  <c r="FN87" i="10"/>
  <c r="FO87" i="10"/>
  <c r="FP87" i="10"/>
  <c r="FQ87" i="10"/>
  <c r="FR87" i="10"/>
  <c r="FS87" i="10"/>
  <c r="FT87" i="10"/>
  <c r="FU87" i="10"/>
  <c r="FV87" i="10"/>
  <c r="FW87" i="10"/>
  <c r="FX87" i="10"/>
  <c r="FY87" i="10"/>
  <c r="FZ87" i="10"/>
  <c r="GA87" i="10"/>
  <c r="GB87" i="10"/>
  <c r="GC87" i="10"/>
  <c r="GD87" i="10"/>
  <c r="GE87" i="10"/>
  <c r="GF87" i="10"/>
  <c r="GG87" i="10"/>
  <c r="GH87" i="10"/>
  <c r="GI87" i="10"/>
  <c r="GJ87" i="10"/>
  <c r="GK87" i="10"/>
  <c r="GL87" i="10"/>
  <c r="GM87" i="10"/>
  <c r="GN87" i="10"/>
  <c r="GO87" i="10"/>
  <c r="GP87" i="10"/>
  <c r="GQ87" i="10"/>
  <c r="GR87" i="10"/>
  <c r="GS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I88" i="10"/>
  <c r="AJ88" i="10"/>
  <c r="AK88" i="10"/>
  <c r="AL88" i="10"/>
  <c r="AM88" i="10"/>
  <c r="AN88" i="10"/>
  <c r="AO88" i="10"/>
  <c r="AP88" i="10"/>
  <c r="AQ88" i="10"/>
  <c r="AR88" i="10"/>
  <c r="AS88" i="10"/>
  <c r="AT88" i="10"/>
  <c r="AU88" i="10"/>
  <c r="AV88" i="10"/>
  <c r="AW88" i="10"/>
  <c r="AX88" i="10"/>
  <c r="AY88" i="10"/>
  <c r="AZ88" i="10"/>
  <c r="BA88" i="10"/>
  <c r="BB88" i="10"/>
  <c r="BC88" i="10"/>
  <c r="BD88" i="10"/>
  <c r="BE88" i="10"/>
  <c r="BF88" i="10"/>
  <c r="BG88" i="10"/>
  <c r="BH88" i="10"/>
  <c r="BI88" i="10"/>
  <c r="BJ88" i="10"/>
  <c r="BK88" i="10"/>
  <c r="BL88" i="10"/>
  <c r="BM88" i="10"/>
  <c r="BN88" i="10"/>
  <c r="BO88" i="10"/>
  <c r="BP88" i="10"/>
  <c r="BQ88" i="10"/>
  <c r="BR88" i="10"/>
  <c r="BS88" i="10"/>
  <c r="BT88" i="10"/>
  <c r="BU88" i="10"/>
  <c r="BV88" i="10"/>
  <c r="BW88" i="10"/>
  <c r="BX88" i="10"/>
  <c r="BY88" i="10"/>
  <c r="BZ88" i="10"/>
  <c r="CA88" i="10"/>
  <c r="CB88" i="10"/>
  <c r="CC88" i="10"/>
  <c r="CD88" i="10"/>
  <c r="CE88" i="10"/>
  <c r="CF88" i="10"/>
  <c r="CG88" i="10"/>
  <c r="CH88" i="10"/>
  <c r="CI88" i="10"/>
  <c r="CJ88" i="10"/>
  <c r="CK88" i="10"/>
  <c r="CL88" i="10"/>
  <c r="CM88" i="10"/>
  <c r="CN88" i="10"/>
  <c r="CO88" i="10"/>
  <c r="CP88" i="10"/>
  <c r="CQ88" i="10"/>
  <c r="CR88" i="10"/>
  <c r="CS88" i="10"/>
  <c r="CT88" i="10"/>
  <c r="CU88" i="10"/>
  <c r="CV88" i="10"/>
  <c r="CW88" i="10"/>
  <c r="CX88" i="10"/>
  <c r="CY88" i="10"/>
  <c r="CZ88" i="10"/>
  <c r="DA88" i="10"/>
  <c r="DB88" i="10"/>
  <c r="DC88" i="10"/>
  <c r="DD88" i="10"/>
  <c r="DE88" i="10"/>
  <c r="DF88" i="10"/>
  <c r="DG88" i="10"/>
  <c r="DH88" i="10"/>
  <c r="DI88" i="10"/>
  <c r="DJ88" i="10"/>
  <c r="DK88" i="10"/>
  <c r="DL88" i="10"/>
  <c r="DM88" i="10"/>
  <c r="DN88" i="10"/>
  <c r="DO88" i="10"/>
  <c r="DP88" i="10"/>
  <c r="DQ88" i="10"/>
  <c r="DR88" i="10"/>
  <c r="DS88" i="10"/>
  <c r="DT88" i="10"/>
  <c r="DU88" i="10"/>
  <c r="DV88" i="10"/>
  <c r="DW88" i="10"/>
  <c r="DX88" i="10"/>
  <c r="DY88" i="10"/>
  <c r="DZ88" i="10"/>
  <c r="EA88" i="10"/>
  <c r="EB88" i="10"/>
  <c r="EC88" i="10"/>
  <c r="ED88" i="10"/>
  <c r="EE88" i="10"/>
  <c r="EF88" i="10"/>
  <c r="EG88" i="10"/>
  <c r="EH88" i="10"/>
  <c r="EI88" i="10"/>
  <c r="EJ88" i="10"/>
  <c r="EK88" i="10"/>
  <c r="EL88" i="10"/>
  <c r="EM88" i="10"/>
  <c r="EN88" i="10"/>
  <c r="EO88" i="10"/>
  <c r="EP88" i="10"/>
  <c r="EQ88" i="10"/>
  <c r="ER88" i="10"/>
  <c r="ES88" i="10"/>
  <c r="ET88" i="10"/>
  <c r="EU88" i="10"/>
  <c r="EV88" i="10"/>
  <c r="EW88" i="10"/>
  <c r="EX88" i="10"/>
  <c r="EY88" i="10"/>
  <c r="EZ88" i="10"/>
  <c r="FA88" i="10"/>
  <c r="FB88" i="10"/>
  <c r="FC88" i="10"/>
  <c r="FD88" i="10"/>
  <c r="FE88" i="10"/>
  <c r="FF88" i="10"/>
  <c r="FG88" i="10"/>
  <c r="FH88" i="10"/>
  <c r="FI88" i="10"/>
  <c r="FJ88" i="10"/>
  <c r="FK88" i="10"/>
  <c r="FL88" i="10"/>
  <c r="FM88" i="10"/>
  <c r="FN88" i="10"/>
  <c r="FO88" i="10"/>
  <c r="FP88" i="10"/>
  <c r="FQ88" i="10"/>
  <c r="FR88" i="10"/>
  <c r="FS88" i="10"/>
  <c r="FT88" i="10"/>
  <c r="FU88" i="10"/>
  <c r="FV88" i="10"/>
  <c r="FW88" i="10"/>
  <c r="FX88" i="10"/>
  <c r="FY88" i="10"/>
  <c r="FZ88" i="10"/>
  <c r="GA88" i="10"/>
  <c r="GB88" i="10"/>
  <c r="GC88" i="10"/>
  <c r="GD88" i="10"/>
  <c r="GE88" i="10"/>
  <c r="GF88" i="10"/>
  <c r="GG88" i="10"/>
  <c r="GH88" i="10"/>
  <c r="GI88" i="10"/>
  <c r="GJ88" i="10"/>
  <c r="GK88" i="10"/>
  <c r="GL88" i="10"/>
  <c r="GM88" i="10"/>
  <c r="GN88" i="10"/>
  <c r="GO88" i="10"/>
  <c r="GP88" i="10"/>
  <c r="GQ88" i="10"/>
  <c r="GR88" i="10"/>
  <c r="GS88" i="10"/>
  <c r="GY88" i="10"/>
  <c r="A89" i="10"/>
  <c r="B89" i="10"/>
  <c r="BU89" i="10"/>
  <c r="BV89" i="10"/>
  <c r="BW89" i="10"/>
  <c r="BX89" i="10"/>
  <c r="BY89" i="10"/>
  <c r="BZ89" i="10"/>
  <c r="CA89" i="10"/>
  <c r="CB89" i="10"/>
  <c r="CC89" i="10"/>
  <c r="CD89" i="10"/>
  <c r="CE89" i="10"/>
  <c r="CF89" i="10"/>
  <c r="CG89" i="10"/>
  <c r="CH89" i="10"/>
  <c r="CI89" i="10"/>
  <c r="CJ89" i="10"/>
  <c r="CK89" i="10"/>
  <c r="CL89" i="10"/>
  <c r="CM89" i="10"/>
  <c r="CN89" i="10"/>
  <c r="CO89" i="10"/>
  <c r="CP89" i="10"/>
  <c r="CQ89" i="10"/>
  <c r="CR89" i="10"/>
  <c r="CS89" i="10"/>
  <c r="CT89" i="10"/>
  <c r="CU89" i="10"/>
  <c r="CV89" i="10"/>
  <c r="CW89" i="10"/>
  <c r="CX89" i="10"/>
  <c r="CY89" i="10"/>
  <c r="CZ89" i="10"/>
  <c r="DA89" i="10"/>
  <c r="DB89" i="10"/>
  <c r="DC89" i="10"/>
  <c r="DD89" i="10"/>
  <c r="DE89" i="10"/>
  <c r="DF89" i="10"/>
  <c r="DG89" i="10"/>
  <c r="DH89" i="10"/>
  <c r="DI89" i="10"/>
  <c r="DJ89" i="10"/>
  <c r="DK89" i="10"/>
  <c r="DL89" i="10"/>
  <c r="DM89" i="10"/>
  <c r="DN89" i="10"/>
  <c r="DO89" i="10"/>
  <c r="DP89" i="10"/>
  <c r="DQ89" i="10"/>
  <c r="DR89" i="10"/>
  <c r="DS89" i="10"/>
  <c r="DT89" i="10"/>
  <c r="DU89" i="10"/>
  <c r="DV89" i="10"/>
  <c r="DW89" i="10"/>
  <c r="DX89" i="10"/>
  <c r="DY89" i="10"/>
  <c r="DZ89" i="10"/>
  <c r="EA89" i="10"/>
  <c r="EB89" i="10"/>
  <c r="EC89" i="10"/>
  <c r="ED89" i="10"/>
  <c r="EE89" i="10"/>
  <c r="EF89" i="10"/>
  <c r="EG89" i="10"/>
  <c r="EH89" i="10"/>
  <c r="EI89" i="10"/>
  <c r="EJ89" i="10"/>
  <c r="EK89" i="10"/>
  <c r="EL89" i="10"/>
  <c r="EM89" i="10"/>
  <c r="EN89" i="10"/>
  <c r="EO89" i="10"/>
  <c r="EP89" i="10"/>
  <c r="EQ89" i="10"/>
  <c r="ER89" i="10"/>
  <c r="ES89" i="10"/>
  <c r="ET89" i="10"/>
  <c r="EU89" i="10"/>
  <c r="EV89" i="10"/>
  <c r="EW89" i="10"/>
  <c r="EX89" i="10"/>
  <c r="EY89" i="10"/>
  <c r="EZ89" i="10"/>
  <c r="FA89" i="10"/>
  <c r="FB89" i="10"/>
  <c r="FC89" i="10"/>
  <c r="FD89" i="10"/>
  <c r="FE89" i="10"/>
  <c r="FF89" i="10"/>
  <c r="FG89" i="10"/>
  <c r="FH89" i="10"/>
  <c r="FI89" i="10"/>
  <c r="FJ89" i="10"/>
  <c r="FK89" i="10"/>
  <c r="FL89" i="10"/>
  <c r="FM89" i="10"/>
  <c r="FN89" i="10"/>
  <c r="FO89" i="10"/>
  <c r="FP89" i="10"/>
  <c r="FQ89" i="10"/>
  <c r="FR89" i="10"/>
  <c r="FS89" i="10"/>
  <c r="FT89" i="10"/>
  <c r="FU89" i="10"/>
  <c r="FV89" i="10"/>
  <c r="FW89" i="10"/>
  <c r="FX89" i="10"/>
  <c r="FY89" i="10"/>
  <c r="FZ89" i="10"/>
  <c r="GA89" i="10"/>
  <c r="GB89" i="10"/>
  <c r="GC89" i="10"/>
  <c r="GD89" i="10"/>
  <c r="GE89" i="10"/>
  <c r="GF89" i="10"/>
  <c r="GG89" i="10"/>
  <c r="GH89" i="10"/>
  <c r="GI89" i="10"/>
  <c r="GJ89" i="10"/>
  <c r="GK89" i="10"/>
  <c r="GL89" i="10"/>
  <c r="GM89" i="10"/>
  <c r="GN89" i="10"/>
  <c r="GO89" i="10"/>
  <c r="GP89" i="10"/>
  <c r="GQ89" i="10"/>
  <c r="GR89" i="10"/>
  <c r="GS89" i="10"/>
  <c r="A90" i="10"/>
  <c r="B90" i="10"/>
  <c r="BU90" i="10"/>
  <c r="BV90" i="10"/>
  <c r="BW90" i="10"/>
  <c r="BX90" i="10"/>
  <c r="BY90" i="10"/>
  <c r="BZ90" i="10"/>
  <c r="CA90" i="10"/>
  <c r="CB90" i="10"/>
  <c r="CC90" i="10"/>
  <c r="CD90" i="10"/>
  <c r="CE90" i="10"/>
  <c r="CF90" i="10"/>
  <c r="CG90" i="10"/>
  <c r="CH90" i="10"/>
  <c r="CI90" i="10"/>
  <c r="CJ90" i="10"/>
  <c r="CK90" i="10"/>
  <c r="CL90" i="10"/>
  <c r="CM90" i="10"/>
  <c r="CN90" i="10"/>
  <c r="CO90" i="10"/>
  <c r="CP90" i="10"/>
  <c r="CQ90" i="10"/>
  <c r="CR90" i="10"/>
  <c r="CS90" i="10"/>
  <c r="CT90" i="10"/>
  <c r="CU90" i="10"/>
  <c r="CV90" i="10"/>
  <c r="CW90" i="10"/>
  <c r="CX90" i="10"/>
  <c r="CY90" i="10"/>
  <c r="CZ90" i="10"/>
  <c r="DA90" i="10"/>
  <c r="DB90" i="10"/>
  <c r="DC90" i="10"/>
  <c r="DD90" i="10"/>
  <c r="DE90" i="10"/>
  <c r="DF90" i="10"/>
  <c r="DG90" i="10"/>
  <c r="DH90" i="10"/>
  <c r="DI90" i="10"/>
  <c r="DJ90" i="10"/>
  <c r="DK90" i="10"/>
  <c r="DL90" i="10"/>
  <c r="DM90" i="10"/>
  <c r="DN90" i="10"/>
  <c r="DO90" i="10"/>
  <c r="DP90" i="10"/>
  <c r="DQ90" i="10"/>
  <c r="DR90" i="10"/>
  <c r="DS90" i="10"/>
  <c r="DT90" i="10"/>
  <c r="DU90" i="10"/>
  <c r="DV90" i="10"/>
  <c r="DW90" i="10"/>
  <c r="DX90" i="10"/>
  <c r="DY90" i="10"/>
  <c r="DZ90" i="10"/>
  <c r="EA90" i="10"/>
  <c r="EB90" i="10"/>
  <c r="EC90" i="10"/>
  <c r="ED90" i="10"/>
  <c r="EE90" i="10"/>
  <c r="EF90" i="10"/>
  <c r="EG90" i="10"/>
  <c r="EH90" i="10"/>
  <c r="EI90" i="10"/>
  <c r="EJ90" i="10"/>
  <c r="EK90" i="10"/>
  <c r="EL90" i="10"/>
  <c r="EM90" i="10"/>
  <c r="EN90" i="10"/>
  <c r="EO90" i="10"/>
  <c r="EP90" i="10"/>
  <c r="EQ90" i="10"/>
  <c r="ER90" i="10"/>
  <c r="ES90" i="10"/>
  <c r="ET90" i="10"/>
  <c r="EU90" i="10"/>
  <c r="EV90" i="10"/>
  <c r="EW90" i="10"/>
  <c r="EX90" i="10"/>
  <c r="EY90" i="10"/>
  <c r="EZ90" i="10"/>
  <c r="FA90" i="10"/>
  <c r="FB90" i="10"/>
  <c r="FC90" i="10"/>
  <c r="FD90" i="10"/>
  <c r="FE90" i="10"/>
  <c r="FF90" i="10"/>
  <c r="FG90" i="10"/>
  <c r="FH90" i="10"/>
  <c r="FI90" i="10"/>
  <c r="FJ90" i="10"/>
  <c r="FK90" i="10"/>
  <c r="FL90" i="10"/>
  <c r="FM90" i="10"/>
  <c r="FN90" i="10"/>
  <c r="FO90" i="10"/>
  <c r="FP90" i="10"/>
  <c r="FQ90" i="10"/>
  <c r="FR90" i="10"/>
  <c r="FS90" i="10"/>
  <c r="FT90" i="10"/>
  <c r="FU90" i="10"/>
  <c r="FV90" i="10"/>
  <c r="FW90" i="10"/>
  <c r="FX90" i="10"/>
  <c r="FY90" i="10"/>
  <c r="FZ90" i="10"/>
  <c r="GA90" i="10"/>
  <c r="GB90" i="10"/>
  <c r="GC90" i="10"/>
  <c r="GD90" i="10"/>
  <c r="GE90" i="10"/>
  <c r="GF90" i="10"/>
  <c r="GG90" i="10"/>
  <c r="GH90" i="10"/>
  <c r="GI90" i="10"/>
  <c r="GJ90" i="10"/>
  <c r="GK90" i="10"/>
  <c r="GL90" i="10"/>
  <c r="GM90" i="10"/>
  <c r="GN90" i="10"/>
  <c r="GO90" i="10"/>
  <c r="GP90" i="10"/>
  <c r="GQ90" i="10"/>
  <c r="GR90" i="10"/>
  <c r="GS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I91" i="10"/>
  <c r="AJ91" i="10"/>
  <c r="AK91" i="10"/>
  <c r="AL91" i="10"/>
  <c r="BU91" i="10"/>
  <c r="BV91" i="10"/>
  <c r="BW91" i="10"/>
  <c r="BX91" i="10"/>
  <c r="BY91" i="10"/>
  <c r="BZ91" i="10"/>
  <c r="CA91" i="10"/>
  <c r="CB91" i="10"/>
  <c r="CC91" i="10"/>
  <c r="CD91" i="10"/>
  <c r="CE91" i="10"/>
  <c r="CF91" i="10"/>
  <c r="CG91" i="10"/>
  <c r="CH91" i="10"/>
  <c r="CI91" i="10"/>
  <c r="CJ91" i="10"/>
  <c r="CK91" i="10"/>
  <c r="CL91" i="10"/>
  <c r="CM91" i="10"/>
  <c r="CN91" i="10"/>
  <c r="CO91" i="10"/>
  <c r="CP91" i="10"/>
  <c r="CQ91" i="10"/>
  <c r="CR91" i="10"/>
  <c r="CS91" i="10"/>
  <c r="CT91" i="10"/>
  <c r="CU91" i="10"/>
  <c r="CV91" i="10"/>
  <c r="CW91" i="10"/>
  <c r="CX91" i="10"/>
  <c r="CY91" i="10"/>
  <c r="CZ91" i="10"/>
  <c r="DA91" i="10"/>
  <c r="DB91" i="10"/>
  <c r="DC91" i="10"/>
  <c r="DD91" i="10"/>
  <c r="DE91" i="10"/>
  <c r="DF91" i="10"/>
  <c r="DG91" i="10"/>
  <c r="DH91" i="10"/>
  <c r="DI91" i="10"/>
  <c r="DJ91" i="10"/>
  <c r="DK91" i="10"/>
  <c r="DL91" i="10"/>
  <c r="DM91" i="10"/>
  <c r="DN91" i="10"/>
  <c r="DO91" i="10"/>
  <c r="DP91" i="10"/>
  <c r="DQ91" i="10"/>
  <c r="DR91" i="10"/>
  <c r="DS91" i="10"/>
  <c r="DT91" i="10"/>
  <c r="DU91" i="10"/>
  <c r="DV91" i="10"/>
  <c r="DW91" i="10"/>
  <c r="DX91" i="10"/>
  <c r="DY91" i="10"/>
  <c r="DZ91" i="10"/>
  <c r="EA91" i="10"/>
  <c r="EB91" i="10"/>
  <c r="EC91" i="10"/>
  <c r="ED91" i="10"/>
  <c r="EE91" i="10"/>
  <c r="EF91" i="10"/>
  <c r="EG91" i="10"/>
  <c r="EH91" i="10"/>
  <c r="EI91" i="10"/>
  <c r="EJ91" i="10"/>
  <c r="EK91" i="10"/>
  <c r="EL91" i="10"/>
  <c r="EM91" i="10"/>
  <c r="EN91" i="10"/>
  <c r="EO91" i="10"/>
  <c r="EP91" i="10"/>
  <c r="EQ91" i="10"/>
  <c r="ER91" i="10"/>
  <c r="ES91" i="10"/>
  <c r="ET91" i="10"/>
  <c r="EU91" i="10"/>
  <c r="EV91" i="10"/>
  <c r="EW91" i="10"/>
  <c r="EX91" i="10"/>
  <c r="EY91" i="10"/>
  <c r="EZ91" i="10"/>
  <c r="FA91" i="10"/>
  <c r="FB91" i="10"/>
  <c r="FC91" i="10"/>
  <c r="FD91" i="10"/>
  <c r="FE91" i="10"/>
  <c r="FF91" i="10"/>
  <c r="FG91" i="10"/>
  <c r="FH91" i="10"/>
  <c r="FI91" i="10"/>
  <c r="FJ91" i="10"/>
  <c r="FK91" i="10"/>
  <c r="FL91" i="10"/>
  <c r="FM91" i="10"/>
  <c r="FN91" i="10"/>
  <c r="FO91" i="10"/>
  <c r="FP91" i="10"/>
  <c r="FQ91" i="10"/>
  <c r="FR91" i="10"/>
  <c r="FS91" i="10"/>
  <c r="FT91" i="10"/>
  <c r="FU91" i="10"/>
  <c r="FV91" i="10"/>
  <c r="FW91" i="10"/>
  <c r="FX91" i="10"/>
  <c r="FY91" i="10"/>
  <c r="FZ91" i="10"/>
  <c r="GA91" i="10"/>
  <c r="GB91" i="10"/>
  <c r="GC91" i="10"/>
  <c r="GD91" i="10"/>
  <c r="GE91" i="10"/>
  <c r="GF91" i="10"/>
  <c r="GG91" i="10"/>
  <c r="GH91" i="10"/>
  <c r="GI91" i="10"/>
  <c r="GJ91" i="10"/>
  <c r="GK91" i="10"/>
  <c r="GL91" i="10"/>
  <c r="GM91" i="10"/>
  <c r="GN91" i="10"/>
  <c r="GO91" i="10"/>
  <c r="GP91" i="10"/>
  <c r="GQ91" i="10"/>
  <c r="GR91" i="10"/>
  <c r="GS91"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I78" i="10"/>
  <c r="AJ78" i="10"/>
  <c r="AK78" i="10"/>
  <c r="AL78" i="10"/>
  <c r="AM78" i="10"/>
  <c r="AN78" i="10"/>
  <c r="AO78" i="10"/>
  <c r="AP78" i="10"/>
  <c r="AQ78" i="10"/>
  <c r="AR78" i="10"/>
  <c r="AS78" i="10"/>
  <c r="AT78" i="10"/>
  <c r="AU78" i="10"/>
  <c r="AV78" i="10"/>
  <c r="AW78" i="10"/>
  <c r="AX78" i="10"/>
  <c r="AY78" i="10"/>
  <c r="AZ78" i="10"/>
  <c r="BA78" i="10"/>
  <c r="BB78" i="10"/>
  <c r="BC78" i="10"/>
  <c r="BD78" i="10"/>
  <c r="BE78" i="10"/>
  <c r="BF78" i="10"/>
  <c r="BG78" i="10"/>
  <c r="BH78" i="10"/>
  <c r="BI78" i="10"/>
  <c r="BJ78" i="10"/>
  <c r="BK78" i="10"/>
  <c r="BL78" i="10"/>
  <c r="BM78" i="10"/>
  <c r="BN78" i="10"/>
  <c r="BO78" i="10"/>
  <c r="BP78" i="10"/>
  <c r="BQ78" i="10"/>
  <c r="BR78" i="10"/>
  <c r="BS78" i="10"/>
  <c r="BT78" i="10"/>
  <c r="BU78" i="10"/>
  <c r="BV78" i="10"/>
  <c r="BW78" i="10"/>
  <c r="BX78" i="10"/>
  <c r="BY78" i="10"/>
  <c r="BZ78" i="10"/>
  <c r="CA78" i="10"/>
  <c r="CB78" i="10"/>
  <c r="CC78" i="10"/>
  <c r="CD78" i="10"/>
  <c r="CE78" i="10"/>
  <c r="CF78" i="10"/>
  <c r="CG78" i="10"/>
  <c r="CH78" i="10"/>
  <c r="CI78" i="10"/>
  <c r="CJ78" i="10"/>
  <c r="CK78" i="10"/>
  <c r="CL78" i="10"/>
  <c r="CM78" i="10"/>
  <c r="CN78" i="10"/>
  <c r="CO78" i="10"/>
  <c r="CP78" i="10"/>
  <c r="CQ78" i="10"/>
  <c r="CR78" i="10"/>
  <c r="CS78" i="10"/>
  <c r="CT78" i="10"/>
  <c r="CU78" i="10"/>
  <c r="CV78" i="10"/>
  <c r="CW78" i="10"/>
  <c r="CX78" i="10"/>
  <c r="CY78" i="10"/>
  <c r="CZ78" i="10"/>
  <c r="DA78" i="10"/>
  <c r="DB78" i="10"/>
  <c r="DC78" i="10"/>
  <c r="DD78" i="10"/>
  <c r="DE78" i="10"/>
  <c r="DF78" i="10"/>
  <c r="DG78" i="10"/>
  <c r="DH78" i="10"/>
  <c r="DI78" i="10"/>
  <c r="DJ78" i="10"/>
  <c r="DK78" i="10"/>
  <c r="DL78" i="10"/>
  <c r="DM78" i="10"/>
  <c r="DN78" i="10"/>
  <c r="DO78" i="10"/>
  <c r="DP78" i="10"/>
  <c r="DQ78" i="10"/>
  <c r="DR78" i="10"/>
  <c r="DS78" i="10"/>
  <c r="DT78" i="10"/>
  <c r="DU78" i="10"/>
  <c r="DV78" i="10"/>
  <c r="DW78" i="10"/>
  <c r="DX78" i="10"/>
  <c r="DY78" i="10"/>
  <c r="DZ78" i="10"/>
  <c r="EA78" i="10"/>
  <c r="EB78" i="10"/>
  <c r="EC78" i="10"/>
  <c r="ED78" i="10"/>
  <c r="EE78" i="10"/>
  <c r="EF78" i="10"/>
  <c r="EG78" i="10"/>
  <c r="EH78" i="10"/>
  <c r="EI78" i="10"/>
  <c r="EJ78" i="10"/>
  <c r="EK78" i="10"/>
  <c r="EL78" i="10"/>
  <c r="EM78" i="10"/>
  <c r="EN78" i="10"/>
  <c r="EO78" i="10"/>
  <c r="EP78" i="10"/>
  <c r="EQ78" i="10"/>
  <c r="ER78" i="10"/>
  <c r="ES78" i="10"/>
  <c r="ET78" i="10"/>
  <c r="EU78" i="10"/>
  <c r="EV78" i="10"/>
  <c r="EW78" i="10"/>
  <c r="EX78" i="10"/>
  <c r="EY78" i="10"/>
  <c r="EZ78" i="10"/>
  <c r="FA78" i="10"/>
  <c r="FB78" i="10"/>
  <c r="FC78" i="10"/>
  <c r="FD78" i="10"/>
  <c r="FE78" i="10"/>
  <c r="FF78" i="10"/>
  <c r="FG78" i="10"/>
  <c r="FH78" i="10"/>
  <c r="FI78" i="10"/>
  <c r="FJ78" i="10"/>
  <c r="FK78" i="10"/>
  <c r="FL78" i="10"/>
  <c r="FM78" i="10"/>
  <c r="FN78" i="10"/>
  <c r="FO78" i="10"/>
  <c r="FP78" i="10"/>
  <c r="FQ78" i="10"/>
  <c r="FR78" i="10"/>
  <c r="FS78" i="10"/>
  <c r="FT78" i="10"/>
  <c r="FU78" i="10"/>
  <c r="FV78" i="10"/>
  <c r="FW78" i="10"/>
  <c r="FX78" i="10"/>
  <c r="FY78" i="10"/>
  <c r="FZ78" i="10"/>
  <c r="GA78" i="10"/>
  <c r="GB78" i="10"/>
  <c r="GC78" i="10"/>
  <c r="GD78" i="10"/>
  <c r="GE78" i="10"/>
  <c r="GF78" i="10"/>
  <c r="GG78" i="10"/>
  <c r="GH78" i="10"/>
  <c r="GI78" i="10"/>
  <c r="GJ78" i="10"/>
  <c r="GK78" i="10"/>
  <c r="GL78" i="10"/>
  <c r="GM78" i="10"/>
  <c r="GN78" i="10"/>
  <c r="GO78" i="10"/>
  <c r="GP78" i="10"/>
  <c r="GQ78" i="10"/>
  <c r="GR78" i="10"/>
  <c r="GS78" i="10"/>
  <c r="GY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I79" i="10"/>
  <c r="AJ79" i="10"/>
  <c r="AK79" i="10"/>
  <c r="AL79" i="10"/>
  <c r="AM79" i="10"/>
  <c r="AN79" i="10"/>
  <c r="AO79" i="10"/>
  <c r="AP79" i="10"/>
  <c r="AQ79" i="10"/>
  <c r="AR79" i="10"/>
  <c r="AS79" i="10"/>
  <c r="AT79" i="10"/>
  <c r="AU79" i="10"/>
  <c r="AV79" i="10"/>
  <c r="AW79" i="10"/>
  <c r="AX79" i="10"/>
  <c r="AY79" i="10"/>
  <c r="AZ79" i="10"/>
  <c r="BA79" i="10"/>
  <c r="BB79" i="10"/>
  <c r="BC79" i="10"/>
  <c r="BD79" i="10"/>
  <c r="BE79" i="10"/>
  <c r="BF79" i="10"/>
  <c r="BG79" i="10"/>
  <c r="BH79" i="10"/>
  <c r="BI79" i="10"/>
  <c r="BJ79" i="10"/>
  <c r="BK79" i="10"/>
  <c r="BL79" i="10"/>
  <c r="BM79" i="10"/>
  <c r="BN79" i="10"/>
  <c r="BO79" i="10"/>
  <c r="BP79" i="10"/>
  <c r="BQ79" i="10"/>
  <c r="BR79" i="10"/>
  <c r="BS79" i="10"/>
  <c r="BT79" i="10"/>
  <c r="BU79" i="10"/>
  <c r="BV79" i="10"/>
  <c r="BW79" i="10"/>
  <c r="BX79" i="10"/>
  <c r="BY79" i="10"/>
  <c r="BZ79" i="10"/>
  <c r="CA79" i="10"/>
  <c r="CB79" i="10"/>
  <c r="CC79" i="10"/>
  <c r="CD79" i="10"/>
  <c r="CE79" i="10"/>
  <c r="CF79" i="10"/>
  <c r="CG79" i="10"/>
  <c r="CH79" i="10"/>
  <c r="CI79" i="10"/>
  <c r="CJ79" i="10"/>
  <c r="CK79" i="10"/>
  <c r="CL79" i="10"/>
  <c r="CM79" i="10"/>
  <c r="CN79" i="10"/>
  <c r="CO79" i="10"/>
  <c r="CP79" i="10"/>
  <c r="CQ79" i="10"/>
  <c r="CR79" i="10"/>
  <c r="CS79" i="10"/>
  <c r="CT79" i="10"/>
  <c r="CU79" i="10"/>
  <c r="CV79" i="10"/>
  <c r="CW79" i="10"/>
  <c r="CX79" i="10"/>
  <c r="CY79" i="10"/>
  <c r="CZ79" i="10"/>
  <c r="DA79" i="10"/>
  <c r="DB79" i="10"/>
  <c r="DC79" i="10"/>
  <c r="DD79" i="10"/>
  <c r="DE79" i="10"/>
  <c r="DF79" i="10"/>
  <c r="DG79" i="10"/>
  <c r="DH79" i="10"/>
  <c r="DI79" i="10"/>
  <c r="DJ79" i="10"/>
  <c r="DK79" i="10"/>
  <c r="DL79" i="10"/>
  <c r="DM79" i="10"/>
  <c r="DN79" i="10"/>
  <c r="DO79" i="10"/>
  <c r="DP79" i="10"/>
  <c r="DQ79" i="10"/>
  <c r="DR79" i="10"/>
  <c r="DS79" i="10"/>
  <c r="DT79" i="10"/>
  <c r="DU79" i="10"/>
  <c r="DV79" i="10"/>
  <c r="DW79" i="10"/>
  <c r="DX79" i="10"/>
  <c r="DY79" i="10"/>
  <c r="DZ79" i="10"/>
  <c r="EA79" i="10"/>
  <c r="EB79" i="10"/>
  <c r="EC79" i="10"/>
  <c r="ED79" i="10"/>
  <c r="EE79" i="10"/>
  <c r="EF79" i="10"/>
  <c r="EG79" i="10"/>
  <c r="EH79" i="10"/>
  <c r="EI79" i="10"/>
  <c r="EJ79" i="10"/>
  <c r="EK79" i="10"/>
  <c r="EL79" i="10"/>
  <c r="EM79" i="10"/>
  <c r="EN79" i="10"/>
  <c r="EO79" i="10"/>
  <c r="EP79" i="10"/>
  <c r="EQ79" i="10"/>
  <c r="ER79" i="10"/>
  <c r="ES79" i="10"/>
  <c r="ET79" i="10"/>
  <c r="EU79" i="10"/>
  <c r="EV79" i="10"/>
  <c r="EW79" i="10"/>
  <c r="EX79" i="10"/>
  <c r="EY79" i="10"/>
  <c r="EZ79" i="10"/>
  <c r="FA79" i="10"/>
  <c r="FB79" i="10"/>
  <c r="FC79" i="10"/>
  <c r="FD79" i="10"/>
  <c r="FE79" i="10"/>
  <c r="FF79" i="10"/>
  <c r="FG79" i="10"/>
  <c r="FH79" i="10"/>
  <c r="FI79" i="10"/>
  <c r="FJ79" i="10"/>
  <c r="FK79" i="10"/>
  <c r="FL79" i="10"/>
  <c r="FM79" i="10"/>
  <c r="FN79" i="10"/>
  <c r="FO79" i="10"/>
  <c r="FP79" i="10"/>
  <c r="FQ79" i="10"/>
  <c r="FR79" i="10"/>
  <c r="FS79" i="10"/>
  <c r="FT79" i="10"/>
  <c r="FU79" i="10"/>
  <c r="FV79" i="10"/>
  <c r="FW79" i="10"/>
  <c r="FX79" i="10"/>
  <c r="FY79" i="10"/>
  <c r="FZ79" i="10"/>
  <c r="GA79" i="10"/>
  <c r="GB79" i="10"/>
  <c r="GC79" i="10"/>
  <c r="GD79" i="10"/>
  <c r="GE79" i="10"/>
  <c r="GF79" i="10"/>
  <c r="GG79" i="10"/>
  <c r="GH79" i="10"/>
  <c r="GI79" i="10"/>
  <c r="GJ79" i="10"/>
  <c r="GK79" i="10"/>
  <c r="GL79" i="10"/>
  <c r="GM79" i="10"/>
  <c r="GN79" i="10"/>
  <c r="GO79" i="10"/>
  <c r="GP79" i="10"/>
  <c r="GQ79" i="10"/>
  <c r="GR79" i="10"/>
  <c r="GS79" i="10"/>
  <c r="GY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I80" i="10"/>
  <c r="AJ80" i="10"/>
  <c r="AK80" i="10"/>
  <c r="AL80" i="10"/>
  <c r="AM80" i="10"/>
  <c r="AN80" i="10"/>
  <c r="AO80" i="10"/>
  <c r="AP80" i="10"/>
  <c r="AQ80" i="10"/>
  <c r="AR80" i="10"/>
  <c r="AS80" i="10"/>
  <c r="AT80" i="10"/>
  <c r="AU80" i="10"/>
  <c r="AV80" i="10"/>
  <c r="AW80" i="10"/>
  <c r="AX80" i="10"/>
  <c r="AY80" i="10"/>
  <c r="AZ80" i="10"/>
  <c r="BA80" i="10"/>
  <c r="BB80" i="10"/>
  <c r="BC80" i="10"/>
  <c r="BD80" i="10"/>
  <c r="BE80" i="10"/>
  <c r="BF80" i="10"/>
  <c r="BG80" i="10"/>
  <c r="BH80" i="10"/>
  <c r="BI80" i="10"/>
  <c r="BJ80" i="10"/>
  <c r="BK80" i="10"/>
  <c r="BL80" i="10"/>
  <c r="BM80" i="10"/>
  <c r="BN80" i="10"/>
  <c r="BO80" i="10"/>
  <c r="BP80" i="10"/>
  <c r="BQ80" i="10"/>
  <c r="BR80" i="10"/>
  <c r="BS80" i="10"/>
  <c r="BT80" i="10"/>
  <c r="BU80" i="10"/>
  <c r="BV80" i="10"/>
  <c r="BW80" i="10"/>
  <c r="BX80" i="10"/>
  <c r="BY80" i="10"/>
  <c r="BZ80" i="10"/>
  <c r="CA80" i="10"/>
  <c r="CB80" i="10"/>
  <c r="CC80" i="10"/>
  <c r="CD80" i="10"/>
  <c r="CE80" i="10"/>
  <c r="CF80" i="10"/>
  <c r="CG80" i="10"/>
  <c r="CH80" i="10"/>
  <c r="CI80" i="10"/>
  <c r="CJ80" i="10"/>
  <c r="CK80" i="10"/>
  <c r="CL80" i="10"/>
  <c r="CM80" i="10"/>
  <c r="CN80" i="10"/>
  <c r="CO80" i="10"/>
  <c r="CP80" i="10"/>
  <c r="CQ80" i="10"/>
  <c r="CR80" i="10"/>
  <c r="CS80" i="10"/>
  <c r="CT80" i="10"/>
  <c r="CU80" i="10"/>
  <c r="CV80" i="10"/>
  <c r="CW80" i="10"/>
  <c r="CX80" i="10"/>
  <c r="CY80" i="10"/>
  <c r="CZ80" i="10"/>
  <c r="DA80" i="10"/>
  <c r="DB80" i="10"/>
  <c r="DC80" i="10"/>
  <c r="DD80" i="10"/>
  <c r="DE80" i="10"/>
  <c r="DF80" i="10"/>
  <c r="DG80" i="10"/>
  <c r="DH80" i="10"/>
  <c r="DI80" i="10"/>
  <c r="DJ80" i="10"/>
  <c r="DK80" i="10"/>
  <c r="DL80" i="10"/>
  <c r="DM80" i="10"/>
  <c r="DN80" i="10"/>
  <c r="DO80" i="10"/>
  <c r="DP80" i="10"/>
  <c r="DQ80" i="10"/>
  <c r="DR80" i="10"/>
  <c r="DS80" i="10"/>
  <c r="DT80" i="10"/>
  <c r="DU80" i="10"/>
  <c r="DV80" i="10"/>
  <c r="DW80" i="10"/>
  <c r="DX80" i="10"/>
  <c r="DY80" i="10"/>
  <c r="DZ80" i="10"/>
  <c r="EA80" i="10"/>
  <c r="EB80" i="10"/>
  <c r="EC80" i="10"/>
  <c r="ED80" i="10"/>
  <c r="EE80" i="10"/>
  <c r="EF80" i="10"/>
  <c r="EG80" i="10"/>
  <c r="EH80" i="10"/>
  <c r="EI80" i="10"/>
  <c r="EJ80" i="10"/>
  <c r="EK80" i="10"/>
  <c r="EL80" i="10"/>
  <c r="EM80" i="10"/>
  <c r="EN80" i="10"/>
  <c r="EO80" i="10"/>
  <c r="EP80" i="10"/>
  <c r="EQ80" i="10"/>
  <c r="ER80" i="10"/>
  <c r="ES80" i="10"/>
  <c r="ET80" i="10"/>
  <c r="EU80" i="10"/>
  <c r="EV80" i="10"/>
  <c r="EW80" i="10"/>
  <c r="EX80" i="10"/>
  <c r="EY80" i="10"/>
  <c r="EZ80" i="10"/>
  <c r="FA80" i="10"/>
  <c r="FB80" i="10"/>
  <c r="FC80" i="10"/>
  <c r="FD80" i="10"/>
  <c r="FE80" i="10"/>
  <c r="FF80" i="10"/>
  <c r="FG80" i="10"/>
  <c r="FH80" i="10"/>
  <c r="FI80" i="10"/>
  <c r="FJ80" i="10"/>
  <c r="FK80" i="10"/>
  <c r="FL80" i="10"/>
  <c r="FM80" i="10"/>
  <c r="FN80" i="10"/>
  <c r="FO80" i="10"/>
  <c r="FP80" i="10"/>
  <c r="FQ80" i="10"/>
  <c r="FR80" i="10"/>
  <c r="FS80" i="10"/>
  <c r="FT80" i="10"/>
  <c r="FU80" i="10"/>
  <c r="FV80" i="10"/>
  <c r="FW80" i="10"/>
  <c r="FX80" i="10"/>
  <c r="FY80" i="10"/>
  <c r="FZ80" i="10"/>
  <c r="GA80" i="10"/>
  <c r="GB80" i="10"/>
  <c r="GC80" i="10"/>
  <c r="GD80" i="10"/>
  <c r="GE80" i="10"/>
  <c r="GF80" i="10"/>
  <c r="GG80" i="10"/>
  <c r="GH80" i="10"/>
  <c r="GI80" i="10"/>
  <c r="GJ80" i="10"/>
  <c r="GK80" i="10"/>
  <c r="GL80" i="10"/>
  <c r="GM80" i="10"/>
  <c r="GN80" i="10"/>
  <c r="GO80" i="10"/>
  <c r="GP80" i="10"/>
  <c r="GQ80" i="10"/>
  <c r="GR80" i="10"/>
  <c r="GS80" i="10"/>
  <c r="GY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I81" i="10"/>
  <c r="AJ81" i="10"/>
  <c r="AK81" i="10"/>
  <c r="AL81" i="10"/>
  <c r="AM81" i="10"/>
  <c r="AN81" i="10"/>
  <c r="AO81" i="10"/>
  <c r="AP81" i="10"/>
  <c r="AQ81" i="10"/>
  <c r="AR81" i="10"/>
  <c r="AS81" i="10"/>
  <c r="AT81" i="10"/>
  <c r="AU81" i="10"/>
  <c r="AV81" i="10"/>
  <c r="AW81" i="10"/>
  <c r="AX81" i="10"/>
  <c r="AY81" i="10"/>
  <c r="AZ81" i="10"/>
  <c r="BA81" i="10"/>
  <c r="BB81" i="10"/>
  <c r="BC81" i="10"/>
  <c r="BD81" i="10"/>
  <c r="BE81" i="10"/>
  <c r="BF81" i="10"/>
  <c r="BG81" i="10"/>
  <c r="BH81" i="10"/>
  <c r="BI81" i="10"/>
  <c r="BJ81" i="10"/>
  <c r="BK81" i="10"/>
  <c r="BL81" i="10"/>
  <c r="BM81" i="10"/>
  <c r="BN81" i="10"/>
  <c r="BO81" i="10"/>
  <c r="BP81" i="10"/>
  <c r="BQ81" i="10"/>
  <c r="BR81" i="10"/>
  <c r="BS81" i="10"/>
  <c r="BT81" i="10"/>
  <c r="BU81" i="10"/>
  <c r="BV81" i="10"/>
  <c r="BW81" i="10"/>
  <c r="BX81" i="10"/>
  <c r="BY81" i="10"/>
  <c r="BZ81" i="10"/>
  <c r="CA81" i="10"/>
  <c r="CB81" i="10"/>
  <c r="CC81" i="10"/>
  <c r="CD81" i="10"/>
  <c r="CE81" i="10"/>
  <c r="CF81" i="10"/>
  <c r="CG81" i="10"/>
  <c r="CH81" i="10"/>
  <c r="CI81" i="10"/>
  <c r="CJ81" i="10"/>
  <c r="CK81" i="10"/>
  <c r="CL81" i="10"/>
  <c r="CM81" i="10"/>
  <c r="CN81" i="10"/>
  <c r="CO81" i="10"/>
  <c r="CP81" i="10"/>
  <c r="CQ81" i="10"/>
  <c r="CR81" i="10"/>
  <c r="CS81" i="10"/>
  <c r="CT81" i="10"/>
  <c r="CU81" i="10"/>
  <c r="CV81" i="10"/>
  <c r="CW81" i="10"/>
  <c r="CX81" i="10"/>
  <c r="CY81" i="10"/>
  <c r="CZ81" i="10"/>
  <c r="DA81" i="10"/>
  <c r="DB81" i="10"/>
  <c r="DC81" i="10"/>
  <c r="DD81" i="10"/>
  <c r="DE81" i="10"/>
  <c r="DF81" i="10"/>
  <c r="DG81" i="10"/>
  <c r="DH81" i="10"/>
  <c r="DI81" i="10"/>
  <c r="DJ81" i="10"/>
  <c r="DK81" i="10"/>
  <c r="DL81" i="10"/>
  <c r="DM81" i="10"/>
  <c r="DN81" i="10"/>
  <c r="DO81" i="10"/>
  <c r="DP81" i="10"/>
  <c r="DQ81" i="10"/>
  <c r="DR81" i="10"/>
  <c r="DS81" i="10"/>
  <c r="DT81" i="10"/>
  <c r="DU81" i="10"/>
  <c r="DV81" i="10"/>
  <c r="DW81" i="10"/>
  <c r="DX81" i="10"/>
  <c r="DY81" i="10"/>
  <c r="DZ81" i="10"/>
  <c r="EA81" i="10"/>
  <c r="EB81" i="10"/>
  <c r="EC81" i="10"/>
  <c r="ED81" i="10"/>
  <c r="EE81" i="10"/>
  <c r="EF81" i="10"/>
  <c r="EG81" i="10"/>
  <c r="EH81" i="10"/>
  <c r="EI81" i="10"/>
  <c r="EJ81" i="10"/>
  <c r="EK81" i="10"/>
  <c r="EL81" i="10"/>
  <c r="EM81" i="10"/>
  <c r="EN81" i="10"/>
  <c r="EO81" i="10"/>
  <c r="EP81" i="10"/>
  <c r="EQ81" i="10"/>
  <c r="ER81" i="10"/>
  <c r="ES81" i="10"/>
  <c r="ET81" i="10"/>
  <c r="EU81" i="10"/>
  <c r="EV81" i="10"/>
  <c r="EW81" i="10"/>
  <c r="EX81" i="10"/>
  <c r="EY81" i="10"/>
  <c r="EZ81" i="10"/>
  <c r="FA81" i="10"/>
  <c r="FB81" i="10"/>
  <c r="FC81" i="10"/>
  <c r="FD81" i="10"/>
  <c r="FE81" i="10"/>
  <c r="FF81" i="10"/>
  <c r="FG81" i="10"/>
  <c r="FH81" i="10"/>
  <c r="FI81" i="10"/>
  <c r="FJ81" i="10"/>
  <c r="FK81" i="10"/>
  <c r="FL81" i="10"/>
  <c r="FM81" i="10"/>
  <c r="FN81" i="10"/>
  <c r="FO81" i="10"/>
  <c r="FP81" i="10"/>
  <c r="FQ81" i="10"/>
  <c r="FR81" i="10"/>
  <c r="FS81" i="10"/>
  <c r="FT81" i="10"/>
  <c r="FU81" i="10"/>
  <c r="FV81" i="10"/>
  <c r="FW81" i="10"/>
  <c r="FX81" i="10"/>
  <c r="FY81" i="10"/>
  <c r="FZ81" i="10"/>
  <c r="GA81" i="10"/>
  <c r="GB81" i="10"/>
  <c r="GC81" i="10"/>
  <c r="GD81" i="10"/>
  <c r="GE81" i="10"/>
  <c r="GF81" i="10"/>
  <c r="GG81" i="10"/>
  <c r="GH81" i="10"/>
  <c r="GI81" i="10"/>
  <c r="GJ81" i="10"/>
  <c r="GK81" i="10"/>
  <c r="GL81" i="10"/>
  <c r="GM81" i="10"/>
  <c r="GN81" i="10"/>
  <c r="GO81" i="10"/>
  <c r="GP81" i="10"/>
  <c r="GQ81" i="10"/>
  <c r="GR81" i="10"/>
  <c r="GS81" i="10"/>
  <c r="GY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I82" i="10"/>
  <c r="AJ82" i="10"/>
  <c r="AK82" i="10"/>
  <c r="AL82" i="10"/>
  <c r="AM82" i="10"/>
  <c r="AN82" i="10"/>
  <c r="AO82" i="10"/>
  <c r="AP82" i="10"/>
  <c r="AQ82" i="10"/>
  <c r="AR82" i="10"/>
  <c r="AS82" i="10"/>
  <c r="AT82" i="10"/>
  <c r="AU82" i="10"/>
  <c r="AV82" i="10"/>
  <c r="AW82" i="10"/>
  <c r="AX82" i="10"/>
  <c r="AY82" i="10"/>
  <c r="AZ82" i="10"/>
  <c r="BA82" i="10"/>
  <c r="BB82" i="10"/>
  <c r="BC82" i="10"/>
  <c r="BD82" i="10"/>
  <c r="BE82" i="10"/>
  <c r="BF82" i="10"/>
  <c r="BG82" i="10"/>
  <c r="BH82" i="10"/>
  <c r="BI82" i="10"/>
  <c r="BJ82" i="10"/>
  <c r="BK82" i="10"/>
  <c r="BL82" i="10"/>
  <c r="BM82" i="10"/>
  <c r="BN82" i="10"/>
  <c r="BO82" i="10"/>
  <c r="BP82" i="10"/>
  <c r="BQ82" i="10"/>
  <c r="BR82" i="10"/>
  <c r="BS82" i="10"/>
  <c r="BT82" i="10"/>
  <c r="BU82" i="10"/>
  <c r="BV82" i="10"/>
  <c r="BW82" i="10"/>
  <c r="BX82" i="10"/>
  <c r="BY82" i="10"/>
  <c r="BZ82" i="10"/>
  <c r="CA82" i="10"/>
  <c r="CB82" i="10"/>
  <c r="CC82" i="10"/>
  <c r="CD82" i="10"/>
  <c r="CE82" i="10"/>
  <c r="CF82" i="10"/>
  <c r="CG82" i="10"/>
  <c r="CH82" i="10"/>
  <c r="CI82" i="10"/>
  <c r="CJ82" i="10"/>
  <c r="CK82" i="10"/>
  <c r="CL82" i="10"/>
  <c r="CM82" i="10"/>
  <c r="CN82" i="10"/>
  <c r="CO82" i="10"/>
  <c r="CP82" i="10"/>
  <c r="CQ82" i="10"/>
  <c r="CR82" i="10"/>
  <c r="CS82" i="10"/>
  <c r="CT82" i="10"/>
  <c r="CU82" i="10"/>
  <c r="CV82" i="10"/>
  <c r="CW82" i="10"/>
  <c r="CX82" i="10"/>
  <c r="CY82" i="10"/>
  <c r="CZ82" i="10"/>
  <c r="DA82" i="10"/>
  <c r="DB82" i="10"/>
  <c r="DC82" i="10"/>
  <c r="DD82" i="10"/>
  <c r="DE82" i="10"/>
  <c r="DF82" i="10"/>
  <c r="DG82" i="10"/>
  <c r="DH82" i="10"/>
  <c r="DI82" i="10"/>
  <c r="DJ82" i="10"/>
  <c r="DK82" i="10"/>
  <c r="DL82" i="10"/>
  <c r="DM82" i="10"/>
  <c r="DN82" i="10"/>
  <c r="DO82" i="10"/>
  <c r="DP82" i="10"/>
  <c r="DQ82" i="10"/>
  <c r="DR82" i="10"/>
  <c r="DS82" i="10"/>
  <c r="DT82" i="10"/>
  <c r="DU82" i="10"/>
  <c r="DV82" i="10"/>
  <c r="DW82" i="10"/>
  <c r="DX82" i="10"/>
  <c r="DY82" i="10"/>
  <c r="DZ82" i="10"/>
  <c r="EA82" i="10"/>
  <c r="EB82" i="10"/>
  <c r="EC82" i="10"/>
  <c r="ED82" i="10"/>
  <c r="EE82" i="10"/>
  <c r="EF82" i="10"/>
  <c r="EG82" i="10"/>
  <c r="EH82" i="10"/>
  <c r="EI82" i="10"/>
  <c r="EJ82" i="10"/>
  <c r="EK82" i="10"/>
  <c r="EL82" i="10"/>
  <c r="EM82" i="10"/>
  <c r="EN82" i="10"/>
  <c r="EO82" i="10"/>
  <c r="EP82" i="10"/>
  <c r="EQ82" i="10"/>
  <c r="ER82" i="10"/>
  <c r="ES82" i="10"/>
  <c r="ET82" i="10"/>
  <c r="EU82" i="10"/>
  <c r="EV82" i="10"/>
  <c r="EW82" i="10"/>
  <c r="EX82" i="10"/>
  <c r="EY82" i="10"/>
  <c r="EZ82" i="10"/>
  <c r="FA82" i="10"/>
  <c r="FB82" i="10"/>
  <c r="FC82" i="10"/>
  <c r="FD82" i="10"/>
  <c r="FE82" i="10"/>
  <c r="FF82" i="10"/>
  <c r="FG82" i="10"/>
  <c r="FH82" i="10"/>
  <c r="FI82" i="10"/>
  <c r="FJ82" i="10"/>
  <c r="FK82" i="10"/>
  <c r="FL82" i="10"/>
  <c r="FM82" i="10"/>
  <c r="FN82" i="10"/>
  <c r="FO82" i="10"/>
  <c r="FP82" i="10"/>
  <c r="FQ82" i="10"/>
  <c r="FR82" i="10"/>
  <c r="FS82" i="10"/>
  <c r="FT82" i="10"/>
  <c r="FU82" i="10"/>
  <c r="FV82" i="10"/>
  <c r="FW82" i="10"/>
  <c r="FX82" i="10"/>
  <c r="FY82" i="10"/>
  <c r="FZ82" i="10"/>
  <c r="GA82" i="10"/>
  <c r="GB82" i="10"/>
  <c r="GC82" i="10"/>
  <c r="GD82" i="10"/>
  <c r="GE82" i="10"/>
  <c r="GF82" i="10"/>
  <c r="GG82" i="10"/>
  <c r="GH82" i="10"/>
  <c r="GI82" i="10"/>
  <c r="GJ82" i="10"/>
  <c r="GK82" i="10"/>
  <c r="GL82" i="10"/>
  <c r="GM82" i="10"/>
  <c r="GN82" i="10"/>
  <c r="GO82" i="10"/>
  <c r="GP82" i="10"/>
  <c r="GQ82" i="10"/>
  <c r="GR82" i="10"/>
  <c r="GS82" i="10"/>
  <c r="GY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I83" i="10"/>
  <c r="AJ83" i="10"/>
  <c r="AK83" i="10"/>
  <c r="AL83" i="10"/>
  <c r="AM83" i="10"/>
  <c r="AN83" i="10"/>
  <c r="AO83" i="10"/>
  <c r="AP83" i="10"/>
  <c r="AQ83" i="10"/>
  <c r="AR83" i="10"/>
  <c r="AS83" i="10"/>
  <c r="AT83" i="10"/>
  <c r="AU83" i="10"/>
  <c r="AV83" i="10"/>
  <c r="AW83" i="10"/>
  <c r="AX83" i="10"/>
  <c r="AY83" i="10"/>
  <c r="AZ83" i="10"/>
  <c r="BA83" i="10"/>
  <c r="BB83" i="10"/>
  <c r="BC83" i="10"/>
  <c r="BD83" i="10"/>
  <c r="BE83" i="10"/>
  <c r="BF83" i="10"/>
  <c r="BG83" i="10"/>
  <c r="BH83" i="10"/>
  <c r="BI83" i="10"/>
  <c r="BJ83" i="10"/>
  <c r="BK83" i="10"/>
  <c r="BL83" i="10"/>
  <c r="BM83" i="10"/>
  <c r="BN83" i="10"/>
  <c r="BO83" i="10"/>
  <c r="BP83" i="10"/>
  <c r="BQ83" i="10"/>
  <c r="BR83" i="10"/>
  <c r="BS83" i="10"/>
  <c r="BT83" i="10"/>
  <c r="BU83" i="10"/>
  <c r="BV83" i="10"/>
  <c r="BW83" i="10"/>
  <c r="BX83" i="10"/>
  <c r="BY83" i="10"/>
  <c r="BZ83" i="10"/>
  <c r="CA83" i="10"/>
  <c r="CB83" i="10"/>
  <c r="CC83" i="10"/>
  <c r="CD83" i="10"/>
  <c r="CE83" i="10"/>
  <c r="CF83" i="10"/>
  <c r="CG83" i="10"/>
  <c r="CH83" i="10"/>
  <c r="CI83" i="10"/>
  <c r="CJ83" i="10"/>
  <c r="CK83" i="10"/>
  <c r="CL83" i="10"/>
  <c r="CM83" i="10"/>
  <c r="CN83" i="10"/>
  <c r="CO83" i="10"/>
  <c r="CP83" i="10"/>
  <c r="CQ83" i="10"/>
  <c r="CR83" i="10"/>
  <c r="CS83" i="10"/>
  <c r="CT83" i="10"/>
  <c r="CU83" i="10"/>
  <c r="CV83" i="10"/>
  <c r="CW83" i="10"/>
  <c r="CX83" i="10"/>
  <c r="CY83" i="10"/>
  <c r="CZ83" i="10"/>
  <c r="DA83" i="10"/>
  <c r="DB83" i="10"/>
  <c r="DC83" i="10"/>
  <c r="DD83" i="10"/>
  <c r="DE83" i="10"/>
  <c r="DF83" i="10"/>
  <c r="DG83" i="10"/>
  <c r="DH83" i="10"/>
  <c r="DI83" i="10"/>
  <c r="DJ83" i="10"/>
  <c r="DK83" i="10"/>
  <c r="DL83" i="10"/>
  <c r="DM83" i="10"/>
  <c r="DN83" i="10"/>
  <c r="DO83" i="10"/>
  <c r="DP83" i="10"/>
  <c r="DQ83" i="10"/>
  <c r="DR83" i="10"/>
  <c r="DS83" i="10"/>
  <c r="DT83" i="10"/>
  <c r="DU83" i="10"/>
  <c r="DV83" i="10"/>
  <c r="DW83" i="10"/>
  <c r="DX83" i="10"/>
  <c r="DY83" i="10"/>
  <c r="DZ83" i="10"/>
  <c r="EA83" i="10"/>
  <c r="EB83" i="10"/>
  <c r="EC83" i="10"/>
  <c r="ED83" i="10"/>
  <c r="EE83" i="10"/>
  <c r="EF83" i="10"/>
  <c r="EG83" i="10"/>
  <c r="EH83" i="10"/>
  <c r="EI83" i="10"/>
  <c r="EJ83" i="10"/>
  <c r="EK83" i="10"/>
  <c r="EL83" i="10"/>
  <c r="EM83" i="10"/>
  <c r="EN83" i="10"/>
  <c r="EO83" i="10"/>
  <c r="EP83" i="10"/>
  <c r="EQ83" i="10"/>
  <c r="ER83" i="10"/>
  <c r="ES83" i="10"/>
  <c r="ET83" i="10"/>
  <c r="EU83" i="10"/>
  <c r="EV83" i="10"/>
  <c r="EW83" i="10"/>
  <c r="EX83" i="10"/>
  <c r="EY83" i="10"/>
  <c r="EZ83" i="10"/>
  <c r="FA83" i="10"/>
  <c r="FB83" i="10"/>
  <c r="FC83" i="10"/>
  <c r="FD83" i="10"/>
  <c r="FE83" i="10"/>
  <c r="FF83" i="10"/>
  <c r="FG83" i="10"/>
  <c r="FH83" i="10"/>
  <c r="FI83" i="10"/>
  <c r="FJ83" i="10"/>
  <c r="FK83" i="10"/>
  <c r="FL83" i="10"/>
  <c r="FM83" i="10"/>
  <c r="FN83" i="10"/>
  <c r="FO83" i="10"/>
  <c r="FP83" i="10"/>
  <c r="FQ83" i="10"/>
  <c r="FR83" i="10"/>
  <c r="FS83" i="10"/>
  <c r="FT83" i="10"/>
  <c r="FU83" i="10"/>
  <c r="FV83" i="10"/>
  <c r="FW83" i="10"/>
  <c r="FX83" i="10"/>
  <c r="FY83" i="10"/>
  <c r="FZ83" i="10"/>
  <c r="GA83" i="10"/>
  <c r="GB83" i="10"/>
  <c r="GC83" i="10"/>
  <c r="GD83" i="10"/>
  <c r="GE83" i="10"/>
  <c r="GF83" i="10"/>
  <c r="GG83" i="10"/>
  <c r="GH83" i="10"/>
  <c r="GI83" i="10"/>
  <c r="GJ83" i="10"/>
  <c r="GK83" i="10"/>
  <c r="GL83" i="10"/>
  <c r="GM83" i="10"/>
  <c r="GN83" i="10"/>
  <c r="GO83" i="10"/>
  <c r="GP83" i="10"/>
  <c r="GQ83" i="10"/>
  <c r="GR83" i="10"/>
  <c r="GS83" i="10"/>
  <c r="GY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I84" i="10"/>
  <c r="AJ84" i="10"/>
  <c r="AK84" i="10"/>
  <c r="AL84" i="10"/>
  <c r="AM84" i="10"/>
  <c r="AN84" i="10"/>
  <c r="AO84" i="10"/>
  <c r="AP84" i="10"/>
  <c r="AQ84" i="10"/>
  <c r="AR84" i="10"/>
  <c r="AS84" i="10"/>
  <c r="AT84" i="10"/>
  <c r="AU84" i="10"/>
  <c r="AV84" i="10"/>
  <c r="AW84" i="10"/>
  <c r="AX84" i="10"/>
  <c r="AY84" i="10"/>
  <c r="AZ84" i="10"/>
  <c r="BA84" i="10"/>
  <c r="BB84" i="10"/>
  <c r="BC84" i="10"/>
  <c r="BD84" i="10"/>
  <c r="BE84" i="10"/>
  <c r="BF84" i="10"/>
  <c r="BG84" i="10"/>
  <c r="BH84" i="10"/>
  <c r="BI84" i="10"/>
  <c r="BJ84" i="10"/>
  <c r="BK84" i="10"/>
  <c r="BL84" i="10"/>
  <c r="BM84" i="10"/>
  <c r="BN84" i="10"/>
  <c r="BO84" i="10"/>
  <c r="BP84" i="10"/>
  <c r="BQ84" i="10"/>
  <c r="BR84" i="10"/>
  <c r="BS84" i="10"/>
  <c r="BT84" i="10"/>
  <c r="BU84" i="10"/>
  <c r="BV84" i="10"/>
  <c r="BW84" i="10"/>
  <c r="BX84" i="10"/>
  <c r="BY84" i="10"/>
  <c r="BZ84" i="10"/>
  <c r="CA84" i="10"/>
  <c r="CB84" i="10"/>
  <c r="CC84" i="10"/>
  <c r="CD84" i="10"/>
  <c r="CE84" i="10"/>
  <c r="CF84" i="10"/>
  <c r="CG84" i="10"/>
  <c r="CH84" i="10"/>
  <c r="CI84" i="10"/>
  <c r="CJ84" i="10"/>
  <c r="CK84" i="10"/>
  <c r="CL84" i="10"/>
  <c r="CM84" i="10"/>
  <c r="CN84" i="10"/>
  <c r="CO84" i="10"/>
  <c r="CP84" i="10"/>
  <c r="CQ84" i="10"/>
  <c r="CR84" i="10"/>
  <c r="CS84" i="10"/>
  <c r="CT84" i="10"/>
  <c r="CU84" i="10"/>
  <c r="CV84" i="10"/>
  <c r="CW84" i="10"/>
  <c r="CX84" i="10"/>
  <c r="CY84" i="10"/>
  <c r="CZ84" i="10"/>
  <c r="DA84" i="10"/>
  <c r="DB84" i="10"/>
  <c r="DC84" i="10"/>
  <c r="DD84" i="10"/>
  <c r="DE84" i="10"/>
  <c r="DF84" i="10"/>
  <c r="DG84" i="10"/>
  <c r="DH84" i="10"/>
  <c r="DI84" i="10"/>
  <c r="DJ84" i="10"/>
  <c r="DK84" i="10"/>
  <c r="DL84" i="10"/>
  <c r="DM84" i="10"/>
  <c r="DN84" i="10"/>
  <c r="DO84" i="10"/>
  <c r="DP84" i="10"/>
  <c r="DQ84" i="10"/>
  <c r="DR84" i="10"/>
  <c r="DS84" i="10"/>
  <c r="DT84" i="10"/>
  <c r="DU84" i="10"/>
  <c r="DV84" i="10"/>
  <c r="DW84" i="10"/>
  <c r="DX84" i="10"/>
  <c r="DY84" i="10"/>
  <c r="DZ84" i="10"/>
  <c r="EA84" i="10"/>
  <c r="EB84" i="10"/>
  <c r="EC84" i="10"/>
  <c r="ED84" i="10"/>
  <c r="EE84" i="10"/>
  <c r="EF84" i="10"/>
  <c r="EG84" i="10"/>
  <c r="EH84" i="10"/>
  <c r="EI84" i="10"/>
  <c r="EJ84" i="10"/>
  <c r="EK84" i="10"/>
  <c r="EL84" i="10"/>
  <c r="EM84" i="10"/>
  <c r="EN84" i="10"/>
  <c r="EO84" i="10"/>
  <c r="EP84" i="10"/>
  <c r="EQ84" i="10"/>
  <c r="ER84" i="10"/>
  <c r="ES84" i="10"/>
  <c r="ET84" i="10"/>
  <c r="EU84" i="10"/>
  <c r="EV84" i="10"/>
  <c r="EW84" i="10"/>
  <c r="EX84" i="10"/>
  <c r="EY84" i="10"/>
  <c r="EZ84" i="10"/>
  <c r="FA84" i="10"/>
  <c r="FB84" i="10"/>
  <c r="FC84" i="10"/>
  <c r="FD84" i="10"/>
  <c r="FE84" i="10"/>
  <c r="FF84" i="10"/>
  <c r="FG84" i="10"/>
  <c r="FH84" i="10"/>
  <c r="FI84" i="10"/>
  <c r="FJ84" i="10"/>
  <c r="FK84" i="10"/>
  <c r="FL84" i="10"/>
  <c r="FM84" i="10"/>
  <c r="FN84" i="10"/>
  <c r="FO84" i="10"/>
  <c r="FP84" i="10"/>
  <c r="FQ84" i="10"/>
  <c r="FR84" i="10"/>
  <c r="FS84" i="10"/>
  <c r="FT84" i="10"/>
  <c r="FU84" i="10"/>
  <c r="FV84" i="10"/>
  <c r="FW84" i="10"/>
  <c r="FX84" i="10"/>
  <c r="FY84" i="10"/>
  <c r="FZ84" i="10"/>
  <c r="GA84" i="10"/>
  <c r="GB84" i="10"/>
  <c r="GC84" i="10"/>
  <c r="GD84" i="10"/>
  <c r="GE84" i="10"/>
  <c r="GF84" i="10"/>
  <c r="GG84" i="10"/>
  <c r="GH84" i="10"/>
  <c r="GI84" i="10"/>
  <c r="GJ84" i="10"/>
  <c r="GK84" i="10"/>
  <c r="GL84" i="10"/>
  <c r="GM84" i="10"/>
  <c r="GN84" i="10"/>
  <c r="GO84" i="10"/>
  <c r="GP84" i="10"/>
  <c r="GQ84" i="10"/>
  <c r="GR84" i="10"/>
  <c r="GS84" i="10"/>
  <c r="GY84"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I71" i="10"/>
  <c r="AJ71" i="10"/>
  <c r="AK71" i="10"/>
  <c r="AL71" i="10"/>
  <c r="AM71" i="10"/>
  <c r="AN71" i="10"/>
  <c r="AO71" i="10"/>
  <c r="AP71" i="10"/>
  <c r="AQ71" i="10"/>
  <c r="AR71" i="10"/>
  <c r="AS71" i="10"/>
  <c r="AT71" i="10"/>
  <c r="AU71" i="10"/>
  <c r="AV71" i="10"/>
  <c r="AW71" i="10"/>
  <c r="AX71" i="10"/>
  <c r="AY71" i="10"/>
  <c r="AZ71" i="10"/>
  <c r="BA71" i="10"/>
  <c r="BB71" i="10"/>
  <c r="BC71" i="10"/>
  <c r="BD71" i="10"/>
  <c r="BE71" i="10"/>
  <c r="BF71" i="10"/>
  <c r="BG71" i="10"/>
  <c r="BH71" i="10"/>
  <c r="BI71" i="10"/>
  <c r="BJ71" i="10"/>
  <c r="BK71" i="10"/>
  <c r="BL71" i="10"/>
  <c r="BM71" i="10"/>
  <c r="BN71" i="10"/>
  <c r="BO71" i="10"/>
  <c r="BP71" i="10"/>
  <c r="BQ71" i="10"/>
  <c r="BR71" i="10"/>
  <c r="BS71" i="10"/>
  <c r="BT71" i="10"/>
  <c r="BU71" i="10"/>
  <c r="BV71" i="10"/>
  <c r="BW71" i="10"/>
  <c r="BX71" i="10"/>
  <c r="BY71" i="10"/>
  <c r="BZ71" i="10"/>
  <c r="CA71" i="10"/>
  <c r="CB71" i="10"/>
  <c r="CC71" i="10"/>
  <c r="CD71" i="10"/>
  <c r="CE71" i="10"/>
  <c r="CF71" i="10"/>
  <c r="CG71" i="10"/>
  <c r="CH71" i="10"/>
  <c r="CI71" i="10"/>
  <c r="CJ71" i="10"/>
  <c r="CK71" i="10"/>
  <c r="CL71" i="10"/>
  <c r="CM71" i="10"/>
  <c r="CN71" i="10"/>
  <c r="CO71" i="10"/>
  <c r="CP71" i="10"/>
  <c r="CQ71" i="10"/>
  <c r="CR71" i="10"/>
  <c r="CS71" i="10"/>
  <c r="CT71" i="10"/>
  <c r="CU71" i="10"/>
  <c r="CV71" i="10"/>
  <c r="CW71" i="10"/>
  <c r="CX71" i="10"/>
  <c r="CY71" i="10"/>
  <c r="CZ71" i="10"/>
  <c r="DA71" i="10"/>
  <c r="DB71" i="10"/>
  <c r="DC71" i="10"/>
  <c r="DD71" i="10"/>
  <c r="DE71" i="10"/>
  <c r="DF71" i="10"/>
  <c r="DG71" i="10"/>
  <c r="DH71" i="10"/>
  <c r="DI71" i="10"/>
  <c r="DJ71" i="10"/>
  <c r="DK71" i="10"/>
  <c r="DL71" i="10"/>
  <c r="DM71" i="10"/>
  <c r="DN71" i="10"/>
  <c r="DO71" i="10"/>
  <c r="DP71" i="10"/>
  <c r="DQ71" i="10"/>
  <c r="DR71" i="10"/>
  <c r="DS71" i="10"/>
  <c r="DT71" i="10"/>
  <c r="DU71" i="10"/>
  <c r="DV71" i="10"/>
  <c r="DW71" i="10"/>
  <c r="DX71" i="10"/>
  <c r="DY71" i="10"/>
  <c r="DZ71" i="10"/>
  <c r="EA71" i="10"/>
  <c r="EB71" i="10"/>
  <c r="EC71" i="10"/>
  <c r="ED71" i="10"/>
  <c r="EE71" i="10"/>
  <c r="EF71" i="10"/>
  <c r="EG71" i="10"/>
  <c r="EH71" i="10"/>
  <c r="EI71" i="10"/>
  <c r="EJ71" i="10"/>
  <c r="EK71" i="10"/>
  <c r="EL71" i="10"/>
  <c r="EM71" i="10"/>
  <c r="EN71" i="10"/>
  <c r="EO71" i="10"/>
  <c r="EP71" i="10"/>
  <c r="EQ71" i="10"/>
  <c r="ER71" i="10"/>
  <c r="ES71" i="10"/>
  <c r="ET71" i="10"/>
  <c r="EU71" i="10"/>
  <c r="EV71" i="10"/>
  <c r="EW71" i="10"/>
  <c r="EX71" i="10"/>
  <c r="EY71" i="10"/>
  <c r="EZ71" i="10"/>
  <c r="FA71" i="10"/>
  <c r="FB71" i="10"/>
  <c r="FC71" i="10"/>
  <c r="FD71" i="10"/>
  <c r="FE71" i="10"/>
  <c r="FF71" i="10"/>
  <c r="FG71" i="10"/>
  <c r="FH71" i="10"/>
  <c r="FI71" i="10"/>
  <c r="FJ71" i="10"/>
  <c r="FK71" i="10"/>
  <c r="FL71" i="10"/>
  <c r="FM71" i="10"/>
  <c r="FN71" i="10"/>
  <c r="FO71" i="10"/>
  <c r="FP71" i="10"/>
  <c r="FQ71" i="10"/>
  <c r="FR71" i="10"/>
  <c r="FS71" i="10"/>
  <c r="FT71" i="10"/>
  <c r="FU71" i="10"/>
  <c r="FV71" i="10"/>
  <c r="FW71" i="10"/>
  <c r="FX71" i="10"/>
  <c r="FY71" i="10"/>
  <c r="FZ71" i="10"/>
  <c r="GA71" i="10"/>
  <c r="GB71" i="10"/>
  <c r="GC71" i="10"/>
  <c r="GD71" i="10"/>
  <c r="GE71" i="10"/>
  <c r="GF71" i="10"/>
  <c r="GG71" i="10"/>
  <c r="GH71" i="10"/>
  <c r="GI71" i="10"/>
  <c r="GJ71" i="10"/>
  <c r="GK71" i="10"/>
  <c r="GL71" i="10"/>
  <c r="GM71" i="10"/>
  <c r="GN71" i="10"/>
  <c r="GO71" i="10"/>
  <c r="GP71" i="10"/>
  <c r="GQ71" i="10"/>
  <c r="GR71" i="10"/>
  <c r="GS71" i="10"/>
  <c r="GY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I72" i="10"/>
  <c r="AJ72" i="10"/>
  <c r="AK72" i="10"/>
  <c r="AL72" i="10"/>
  <c r="AM72" i="10"/>
  <c r="AN72" i="10"/>
  <c r="AO72" i="10"/>
  <c r="AP72" i="10"/>
  <c r="AQ72" i="10"/>
  <c r="AR72" i="10"/>
  <c r="AS72" i="10"/>
  <c r="AT72" i="10"/>
  <c r="AU72" i="10"/>
  <c r="AV72" i="10"/>
  <c r="AW72" i="10"/>
  <c r="AX72" i="10"/>
  <c r="AY72" i="10"/>
  <c r="AZ72" i="10"/>
  <c r="BA72" i="10"/>
  <c r="BB72" i="10"/>
  <c r="BC72" i="10"/>
  <c r="BD72" i="10"/>
  <c r="BE72" i="10"/>
  <c r="BF72" i="10"/>
  <c r="BG72" i="10"/>
  <c r="BH72" i="10"/>
  <c r="BI72" i="10"/>
  <c r="BJ72" i="10"/>
  <c r="BK72" i="10"/>
  <c r="BL72" i="10"/>
  <c r="BM72" i="10"/>
  <c r="BN72" i="10"/>
  <c r="BO72" i="10"/>
  <c r="BP72" i="10"/>
  <c r="BQ72" i="10"/>
  <c r="BR72" i="10"/>
  <c r="BS72" i="10"/>
  <c r="BT72" i="10"/>
  <c r="BU72" i="10"/>
  <c r="BV72" i="10"/>
  <c r="BW72" i="10"/>
  <c r="BX72" i="10"/>
  <c r="BY72" i="10"/>
  <c r="BZ72" i="10"/>
  <c r="CA72" i="10"/>
  <c r="CB72" i="10"/>
  <c r="CC72" i="10"/>
  <c r="CD72" i="10"/>
  <c r="CE72" i="10"/>
  <c r="CF72" i="10"/>
  <c r="CG72" i="10"/>
  <c r="CH72" i="10"/>
  <c r="CI72" i="10"/>
  <c r="CJ72" i="10"/>
  <c r="CK72" i="10"/>
  <c r="CL72" i="10"/>
  <c r="CM72" i="10"/>
  <c r="CN72" i="10"/>
  <c r="CO72" i="10"/>
  <c r="CP72" i="10"/>
  <c r="CQ72" i="10"/>
  <c r="CR72" i="10"/>
  <c r="CS72" i="10"/>
  <c r="CT72" i="10"/>
  <c r="CU72" i="10"/>
  <c r="CV72" i="10"/>
  <c r="CW72" i="10"/>
  <c r="CX72" i="10"/>
  <c r="CY72" i="10"/>
  <c r="CZ72" i="10"/>
  <c r="DA72" i="10"/>
  <c r="DB72" i="10"/>
  <c r="DC72" i="10"/>
  <c r="DD72" i="10"/>
  <c r="DE72" i="10"/>
  <c r="DF72" i="10"/>
  <c r="DG72" i="10"/>
  <c r="DH72" i="10"/>
  <c r="DI72" i="10"/>
  <c r="DJ72" i="10"/>
  <c r="DK72" i="10"/>
  <c r="DL72" i="10"/>
  <c r="DM72" i="10"/>
  <c r="DN72" i="10"/>
  <c r="DO72" i="10"/>
  <c r="DP72" i="10"/>
  <c r="DQ72" i="10"/>
  <c r="DR72" i="10"/>
  <c r="DS72" i="10"/>
  <c r="DT72" i="10"/>
  <c r="DU72" i="10"/>
  <c r="DV72" i="10"/>
  <c r="DW72" i="10"/>
  <c r="DX72" i="10"/>
  <c r="DY72" i="10"/>
  <c r="DZ72" i="10"/>
  <c r="EA72" i="10"/>
  <c r="EB72" i="10"/>
  <c r="EC72" i="10"/>
  <c r="ED72" i="10"/>
  <c r="EE72" i="10"/>
  <c r="EF72" i="10"/>
  <c r="EG72" i="10"/>
  <c r="EH72" i="10"/>
  <c r="EI72" i="10"/>
  <c r="EJ72" i="10"/>
  <c r="EK72" i="10"/>
  <c r="EL72" i="10"/>
  <c r="EM72" i="10"/>
  <c r="EN72" i="10"/>
  <c r="EO72" i="10"/>
  <c r="EP72" i="10"/>
  <c r="EQ72" i="10"/>
  <c r="ER72" i="10"/>
  <c r="ES72" i="10"/>
  <c r="ET72" i="10"/>
  <c r="EU72" i="10"/>
  <c r="EV72" i="10"/>
  <c r="EW72" i="10"/>
  <c r="EX72" i="10"/>
  <c r="EY72" i="10"/>
  <c r="EZ72" i="10"/>
  <c r="FA72" i="10"/>
  <c r="FB72" i="10"/>
  <c r="FC72" i="10"/>
  <c r="FD72" i="10"/>
  <c r="FE72" i="10"/>
  <c r="FF72" i="10"/>
  <c r="FG72" i="10"/>
  <c r="FH72" i="10"/>
  <c r="FI72" i="10"/>
  <c r="FJ72" i="10"/>
  <c r="FK72" i="10"/>
  <c r="FL72" i="10"/>
  <c r="FM72" i="10"/>
  <c r="FN72" i="10"/>
  <c r="FO72" i="10"/>
  <c r="FP72" i="10"/>
  <c r="FQ72" i="10"/>
  <c r="FR72" i="10"/>
  <c r="FS72" i="10"/>
  <c r="FT72" i="10"/>
  <c r="FU72" i="10"/>
  <c r="FV72" i="10"/>
  <c r="FW72" i="10"/>
  <c r="FX72" i="10"/>
  <c r="FY72" i="10"/>
  <c r="FZ72" i="10"/>
  <c r="GA72" i="10"/>
  <c r="GB72" i="10"/>
  <c r="GC72" i="10"/>
  <c r="GD72" i="10"/>
  <c r="GE72" i="10"/>
  <c r="GF72" i="10"/>
  <c r="GG72" i="10"/>
  <c r="GH72" i="10"/>
  <c r="GI72" i="10"/>
  <c r="GJ72" i="10"/>
  <c r="GK72" i="10"/>
  <c r="GL72" i="10"/>
  <c r="GM72" i="10"/>
  <c r="GN72" i="10"/>
  <c r="GO72" i="10"/>
  <c r="GP72" i="10"/>
  <c r="GQ72" i="10"/>
  <c r="GR72" i="10"/>
  <c r="GS72" i="10"/>
  <c r="GY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I73" i="10"/>
  <c r="AJ73" i="10"/>
  <c r="AK73" i="10"/>
  <c r="AL73" i="10"/>
  <c r="AM73" i="10"/>
  <c r="AN73" i="10"/>
  <c r="AO73" i="10"/>
  <c r="AP73" i="10"/>
  <c r="AQ73" i="10"/>
  <c r="AR73" i="10"/>
  <c r="AS73" i="10"/>
  <c r="AT73" i="10"/>
  <c r="AU73" i="10"/>
  <c r="AV73" i="10"/>
  <c r="AW73" i="10"/>
  <c r="AX73" i="10"/>
  <c r="AY73" i="10"/>
  <c r="AZ73" i="10"/>
  <c r="BA73" i="10"/>
  <c r="BB73" i="10"/>
  <c r="BC73" i="10"/>
  <c r="BD73" i="10"/>
  <c r="BE73" i="10"/>
  <c r="BF73" i="10"/>
  <c r="BG73" i="10"/>
  <c r="BH73" i="10"/>
  <c r="BI73" i="10"/>
  <c r="BJ73" i="10"/>
  <c r="BK73" i="10"/>
  <c r="BL73" i="10"/>
  <c r="BM73" i="10"/>
  <c r="BN73" i="10"/>
  <c r="BO73" i="10"/>
  <c r="BP73" i="10"/>
  <c r="BQ73" i="10"/>
  <c r="BR73" i="10"/>
  <c r="BS73" i="10"/>
  <c r="BT73" i="10"/>
  <c r="BU73" i="10"/>
  <c r="BV73" i="10"/>
  <c r="BW73" i="10"/>
  <c r="BX73" i="10"/>
  <c r="BY73" i="10"/>
  <c r="BZ73" i="10"/>
  <c r="CA73" i="10"/>
  <c r="CB73" i="10"/>
  <c r="CC73" i="10"/>
  <c r="CD73" i="10"/>
  <c r="CE73" i="10"/>
  <c r="CF73" i="10"/>
  <c r="CG73" i="10"/>
  <c r="CH73" i="10"/>
  <c r="CI73" i="10"/>
  <c r="CJ73" i="10"/>
  <c r="CK73" i="10"/>
  <c r="CL73" i="10"/>
  <c r="CM73" i="10"/>
  <c r="CN73" i="10"/>
  <c r="CO73" i="10"/>
  <c r="CP73" i="10"/>
  <c r="CQ73" i="10"/>
  <c r="CR73" i="10"/>
  <c r="CS73" i="10"/>
  <c r="CT73" i="10"/>
  <c r="CU73" i="10"/>
  <c r="CV73" i="10"/>
  <c r="CW73" i="10"/>
  <c r="CX73" i="10"/>
  <c r="CY73" i="10"/>
  <c r="CZ73" i="10"/>
  <c r="DA73" i="10"/>
  <c r="DB73" i="10"/>
  <c r="DC73" i="10"/>
  <c r="DD73" i="10"/>
  <c r="DE73" i="10"/>
  <c r="DF73" i="10"/>
  <c r="DG73" i="10"/>
  <c r="DH73" i="10"/>
  <c r="DI73" i="10"/>
  <c r="DJ73" i="10"/>
  <c r="DK73" i="10"/>
  <c r="DL73" i="10"/>
  <c r="DM73" i="10"/>
  <c r="DN73" i="10"/>
  <c r="DO73" i="10"/>
  <c r="DP73" i="10"/>
  <c r="DQ73" i="10"/>
  <c r="DR73" i="10"/>
  <c r="DS73" i="10"/>
  <c r="DT73" i="10"/>
  <c r="DU73" i="10"/>
  <c r="DV73" i="10"/>
  <c r="DW73" i="10"/>
  <c r="DX73" i="10"/>
  <c r="DY73" i="10"/>
  <c r="DZ73" i="10"/>
  <c r="EA73" i="10"/>
  <c r="EB73" i="10"/>
  <c r="EC73" i="10"/>
  <c r="ED73" i="10"/>
  <c r="EE73" i="10"/>
  <c r="EF73" i="10"/>
  <c r="EG73" i="10"/>
  <c r="EH73" i="10"/>
  <c r="EI73" i="10"/>
  <c r="EJ73" i="10"/>
  <c r="EK73" i="10"/>
  <c r="EL73" i="10"/>
  <c r="EM73" i="10"/>
  <c r="EN73" i="10"/>
  <c r="EO73" i="10"/>
  <c r="EP73" i="10"/>
  <c r="EQ73" i="10"/>
  <c r="ER73" i="10"/>
  <c r="ES73" i="10"/>
  <c r="ET73" i="10"/>
  <c r="EU73" i="10"/>
  <c r="EV73" i="10"/>
  <c r="EW73" i="10"/>
  <c r="EX73" i="10"/>
  <c r="EY73" i="10"/>
  <c r="EZ73" i="10"/>
  <c r="FA73" i="10"/>
  <c r="FB73" i="10"/>
  <c r="FC73" i="10"/>
  <c r="FD73" i="10"/>
  <c r="FE73" i="10"/>
  <c r="FF73" i="10"/>
  <c r="FG73" i="10"/>
  <c r="FH73" i="10"/>
  <c r="FI73" i="10"/>
  <c r="FJ73" i="10"/>
  <c r="FK73" i="10"/>
  <c r="FL73" i="10"/>
  <c r="FM73" i="10"/>
  <c r="FN73" i="10"/>
  <c r="FO73" i="10"/>
  <c r="FP73" i="10"/>
  <c r="FQ73" i="10"/>
  <c r="FR73" i="10"/>
  <c r="FS73" i="10"/>
  <c r="FT73" i="10"/>
  <c r="FU73" i="10"/>
  <c r="FV73" i="10"/>
  <c r="FW73" i="10"/>
  <c r="FX73" i="10"/>
  <c r="FY73" i="10"/>
  <c r="FZ73" i="10"/>
  <c r="GA73" i="10"/>
  <c r="GB73" i="10"/>
  <c r="GC73" i="10"/>
  <c r="GD73" i="10"/>
  <c r="GE73" i="10"/>
  <c r="GF73" i="10"/>
  <c r="GG73" i="10"/>
  <c r="GH73" i="10"/>
  <c r="GI73" i="10"/>
  <c r="GJ73" i="10"/>
  <c r="GK73" i="10"/>
  <c r="GL73" i="10"/>
  <c r="GM73" i="10"/>
  <c r="GN73" i="10"/>
  <c r="GO73" i="10"/>
  <c r="GP73" i="10"/>
  <c r="GQ73" i="10"/>
  <c r="GR73" i="10"/>
  <c r="GS73" i="10"/>
  <c r="GY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I74" i="10"/>
  <c r="AJ74" i="10"/>
  <c r="AK74" i="10"/>
  <c r="AL74" i="10"/>
  <c r="AM74" i="10"/>
  <c r="AN74" i="10"/>
  <c r="AO74" i="10"/>
  <c r="AP74" i="10"/>
  <c r="AQ74" i="10"/>
  <c r="AR74" i="10"/>
  <c r="AS74" i="10"/>
  <c r="AT74" i="10"/>
  <c r="AU74" i="10"/>
  <c r="AV74" i="10"/>
  <c r="AW74" i="10"/>
  <c r="AX74" i="10"/>
  <c r="AY74" i="10"/>
  <c r="AZ74" i="10"/>
  <c r="BA74" i="10"/>
  <c r="BB74" i="10"/>
  <c r="BC74" i="10"/>
  <c r="BD74" i="10"/>
  <c r="BE74" i="10"/>
  <c r="BF74" i="10"/>
  <c r="BG74" i="10"/>
  <c r="BH74" i="10"/>
  <c r="BI74" i="10"/>
  <c r="BJ74" i="10"/>
  <c r="BK74" i="10"/>
  <c r="BL74" i="10"/>
  <c r="BM74" i="10"/>
  <c r="BN74" i="10"/>
  <c r="BO74" i="10"/>
  <c r="BP74" i="10"/>
  <c r="BQ74" i="10"/>
  <c r="BR74" i="10"/>
  <c r="BS74" i="10"/>
  <c r="BT74" i="10"/>
  <c r="BU74" i="10"/>
  <c r="BV74" i="10"/>
  <c r="BW74" i="10"/>
  <c r="BX74" i="10"/>
  <c r="BY74" i="10"/>
  <c r="BZ74" i="10"/>
  <c r="CA74" i="10"/>
  <c r="CB74" i="10"/>
  <c r="CC74" i="10"/>
  <c r="CD74" i="10"/>
  <c r="CE74" i="10"/>
  <c r="CF74" i="10"/>
  <c r="CG74" i="10"/>
  <c r="CH74" i="10"/>
  <c r="CI74" i="10"/>
  <c r="CJ74" i="10"/>
  <c r="CK74" i="10"/>
  <c r="CL74" i="10"/>
  <c r="CM74" i="10"/>
  <c r="CN74" i="10"/>
  <c r="CO74" i="10"/>
  <c r="CP74" i="10"/>
  <c r="CQ74" i="10"/>
  <c r="CR74" i="10"/>
  <c r="CS74" i="10"/>
  <c r="CT74" i="10"/>
  <c r="CU74" i="10"/>
  <c r="CV74" i="10"/>
  <c r="CW74" i="10"/>
  <c r="CX74" i="10"/>
  <c r="CY74" i="10"/>
  <c r="CZ74" i="10"/>
  <c r="DA74" i="10"/>
  <c r="DB74" i="10"/>
  <c r="DC74" i="10"/>
  <c r="DD74" i="10"/>
  <c r="DE74" i="10"/>
  <c r="DF74" i="10"/>
  <c r="DG74" i="10"/>
  <c r="DH74" i="10"/>
  <c r="DI74" i="10"/>
  <c r="DJ74" i="10"/>
  <c r="DK74" i="10"/>
  <c r="DL74" i="10"/>
  <c r="DM74" i="10"/>
  <c r="DN74" i="10"/>
  <c r="DO74" i="10"/>
  <c r="DP74" i="10"/>
  <c r="DQ74" i="10"/>
  <c r="DR74" i="10"/>
  <c r="DS74" i="10"/>
  <c r="DT74" i="10"/>
  <c r="DU74" i="10"/>
  <c r="DV74" i="10"/>
  <c r="DW74" i="10"/>
  <c r="DX74" i="10"/>
  <c r="DY74" i="10"/>
  <c r="DZ74" i="10"/>
  <c r="EA74" i="10"/>
  <c r="EB74" i="10"/>
  <c r="EC74" i="10"/>
  <c r="ED74" i="10"/>
  <c r="EE74" i="10"/>
  <c r="EF74" i="10"/>
  <c r="EG74" i="10"/>
  <c r="EH74" i="10"/>
  <c r="EI74" i="10"/>
  <c r="EJ74" i="10"/>
  <c r="EK74" i="10"/>
  <c r="EL74" i="10"/>
  <c r="EM74" i="10"/>
  <c r="EN74" i="10"/>
  <c r="EO74" i="10"/>
  <c r="EP74" i="10"/>
  <c r="EQ74" i="10"/>
  <c r="ER74" i="10"/>
  <c r="ES74" i="10"/>
  <c r="ET74" i="10"/>
  <c r="EU74" i="10"/>
  <c r="EV74" i="10"/>
  <c r="EW74" i="10"/>
  <c r="EX74" i="10"/>
  <c r="EY74" i="10"/>
  <c r="EZ74" i="10"/>
  <c r="FA74" i="10"/>
  <c r="FB74" i="10"/>
  <c r="FC74" i="10"/>
  <c r="FD74" i="10"/>
  <c r="FE74" i="10"/>
  <c r="FF74" i="10"/>
  <c r="FG74" i="10"/>
  <c r="FH74" i="10"/>
  <c r="FI74" i="10"/>
  <c r="FJ74" i="10"/>
  <c r="FK74" i="10"/>
  <c r="FL74" i="10"/>
  <c r="FM74" i="10"/>
  <c r="FN74" i="10"/>
  <c r="FO74" i="10"/>
  <c r="FP74" i="10"/>
  <c r="FQ74" i="10"/>
  <c r="FR74" i="10"/>
  <c r="FS74" i="10"/>
  <c r="FT74" i="10"/>
  <c r="FU74" i="10"/>
  <c r="FV74" i="10"/>
  <c r="FW74" i="10"/>
  <c r="FX74" i="10"/>
  <c r="FY74" i="10"/>
  <c r="FZ74" i="10"/>
  <c r="GA74" i="10"/>
  <c r="GB74" i="10"/>
  <c r="GC74" i="10"/>
  <c r="GD74" i="10"/>
  <c r="GE74" i="10"/>
  <c r="GF74" i="10"/>
  <c r="GG74" i="10"/>
  <c r="GH74" i="10"/>
  <c r="GI74" i="10"/>
  <c r="GJ74" i="10"/>
  <c r="GK74" i="10"/>
  <c r="GL74" i="10"/>
  <c r="GM74" i="10"/>
  <c r="GN74" i="10"/>
  <c r="GO74" i="10"/>
  <c r="GP74" i="10"/>
  <c r="GQ74" i="10"/>
  <c r="GR74" i="10"/>
  <c r="GS74" i="10"/>
  <c r="GY74" i="10"/>
  <c r="A75" i="10"/>
  <c r="B75" i="10"/>
  <c r="C75" i="10"/>
  <c r="D75" i="10"/>
  <c r="E75" i="10"/>
  <c r="F75" i="10"/>
  <c r="G75" i="10"/>
  <c r="H75" i="10"/>
  <c r="I75" i="10"/>
  <c r="J75" i="10"/>
  <c r="K75" i="10"/>
  <c r="B76" i="10"/>
  <c r="W76" i="10"/>
  <c r="X76" i="10"/>
  <c r="Y76" i="10"/>
  <c r="Z76" i="10"/>
  <c r="AA76" i="10"/>
  <c r="AB76" i="10"/>
  <c r="AC76" i="10"/>
  <c r="AD76" i="10"/>
  <c r="AE76" i="10"/>
  <c r="AF76" i="10"/>
  <c r="AG76" i="10"/>
  <c r="AH76" i="10"/>
  <c r="AI76" i="10"/>
  <c r="AJ76" i="10"/>
  <c r="AK76" i="10"/>
  <c r="AL76" i="10"/>
  <c r="AM76" i="10"/>
  <c r="AN76" i="10"/>
  <c r="AO76" i="10"/>
  <c r="AP76" i="10"/>
  <c r="AQ76" i="10"/>
  <c r="AR76" i="10"/>
  <c r="AS76" i="10"/>
  <c r="AT76" i="10"/>
  <c r="AU76" i="10"/>
  <c r="AV76" i="10"/>
  <c r="AW76" i="10"/>
  <c r="AX76" i="10"/>
  <c r="AY76" i="10"/>
  <c r="AZ76" i="10"/>
  <c r="BA76" i="10"/>
  <c r="BB76" i="10"/>
  <c r="BC76" i="10"/>
  <c r="BD76" i="10"/>
  <c r="BE76" i="10"/>
  <c r="BF76" i="10"/>
  <c r="BG76" i="10"/>
  <c r="BH76" i="10"/>
  <c r="BI76" i="10"/>
  <c r="BJ76" i="10"/>
  <c r="BK76" i="10"/>
  <c r="BL76" i="10"/>
  <c r="BM76" i="10"/>
  <c r="BN76" i="10"/>
  <c r="BO76" i="10"/>
  <c r="BP76" i="10"/>
  <c r="BQ76" i="10"/>
  <c r="BR76" i="10"/>
  <c r="BS76" i="10"/>
  <c r="BT76" i="10"/>
  <c r="BU76" i="10"/>
  <c r="BV76" i="10"/>
  <c r="BW76" i="10"/>
  <c r="BX76" i="10"/>
  <c r="BY76" i="10"/>
  <c r="BZ76" i="10"/>
  <c r="CA76" i="10"/>
  <c r="CB76" i="10"/>
  <c r="CC76" i="10"/>
  <c r="CD76" i="10"/>
  <c r="CE76" i="10"/>
  <c r="CF76" i="10"/>
  <c r="CG76" i="10"/>
  <c r="CH76" i="10"/>
  <c r="CI76" i="10"/>
  <c r="CJ76" i="10"/>
  <c r="CK76" i="10"/>
  <c r="CL76" i="10"/>
  <c r="CM76" i="10"/>
  <c r="CN76" i="10"/>
  <c r="CO76" i="10"/>
  <c r="CP76" i="10"/>
  <c r="CQ76" i="10"/>
  <c r="CR76" i="10"/>
  <c r="CS76" i="10"/>
  <c r="CT76" i="10"/>
  <c r="CU76" i="10"/>
  <c r="CV76" i="10"/>
  <c r="CW76" i="10"/>
  <c r="CX76" i="10"/>
  <c r="CY76" i="10"/>
  <c r="CZ76" i="10"/>
  <c r="DA76" i="10"/>
  <c r="DB76" i="10"/>
  <c r="DC76" i="10"/>
  <c r="DD76" i="10"/>
  <c r="DE76" i="10"/>
  <c r="DF76" i="10"/>
  <c r="DG76" i="10"/>
  <c r="DH76" i="10"/>
  <c r="DI76" i="10"/>
  <c r="DJ76" i="10"/>
  <c r="DK76" i="10"/>
  <c r="DL76" i="10"/>
  <c r="DM76" i="10"/>
  <c r="DN76" i="10"/>
  <c r="DO76" i="10"/>
  <c r="DP76" i="10"/>
  <c r="DQ76" i="10"/>
  <c r="DR76" i="10"/>
  <c r="DS76" i="10"/>
  <c r="DT76" i="10"/>
  <c r="DU76" i="10"/>
  <c r="DV76" i="10"/>
  <c r="DW76" i="10"/>
  <c r="DX76" i="10"/>
  <c r="DY76" i="10"/>
  <c r="DZ76" i="10"/>
  <c r="EA76" i="10"/>
  <c r="EB76" i="10"/>
  <c r="EC76" i="10"/>
  <c r="ED76" i="10"/>
  <c r="EE76" i="10"/>
  <c r="EF76" i="10"/>
  <c r="EG76" i="10"/>
  <c r="EH76" i="10"/>
  <c r="EI76" i="10"/>
  <c r="EJ76" i="10"/>
  <c r="EK76" i="10"/>
  <c r="EL76" i="10"/>
  <c r="EM76" i="10"/>
  <c r="EN76" i="10"/>
  <c r="EO76" i="10"/>
  <c r="EP76" i="10"/>
  <c r="EQ76" i="10"/>
  <c r="ER76" i="10"/>
  <c r="ES76" i="10"/>
  <c r="ET76" i="10"/>
  <c r="EU76" i="10"/>
  <c r="EV76" i="10"/>
  <c r="EW76" i="10"/>
  <c r="EX76" i="10"/>
  <c r="EY76" i="10"/>
  <c r="EZ76" i="10"/>
  <c r="FA76" i="10"/>
  <c r="FB76" i="10"/>
  <c r="FC76" i="10"/>
  <c r="FD76" i="10"/>
  <c r="FE76" i="10"/>
  <c r="FF76" i="10"/>
  <c r="FG76" i="10"/>
  <c r="FH76" i="10"/>
  <c r="FI76" i="10"/>
  <c r="FJ76" i="10"/>
  <c r="FK76" i="10"/>
  <c r="FL76" i="10"/>
  <c r="FM76" i="10"/>
  <c r="FN76" i="10"/>
  <c r="FO76" i="10"/>
  <c r="FP76" i="10"/>
  <c r="FQ76" i="10"/>
  <c r="FR76" i="10"/>
  <c r="FS76" i="10"/>
  <c r="FT76" i="10"/>
  <c r="FU76" i="10"/>
  <c r="FV76" i="10"/>
  <c r="FW76" i="10"/>
  <c r="FX76" i="10"/>
  <c r="FY76" i="10"/>
  <c r="FZ76" i="10"/>
  <c r="GA76" i="10"/>
  <c r="GB76" i="10"/>
  <c r="GC76" i="10"/>
  <c r="GD76" i="10"/>
  <c r="GE76" i="10"/>
  <c r="GF76" i="10"/>
  <c r="GG76" i="10"/>
  <c r="GH76" i="10"/>
  <c r="GI76" i="10"/>
  <c r="GJ76" i="10"/>
  <c r="GK76" i="10"/>
  <c r="GL76" i="10"/>
  <c r="GM76" i="10"/>
  <c r="GN76" i="10"/>
  <c r="GO76" i="10"/>
  <c r="GP76" i="10"/>
  <c r="GQ76" i="10"/>
  <c r="GR76" i="10"/>
  <c r="GS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I77" i="10"/>
  <c r="AJ77" i="10"/>
  <c r="AK77" i="10"/>
  <c r="AL77" i="10"/>
  <c r="AM77" i="10"/>
  <c r="AN77" i="10"/>
  <c r="AO77" i="10"/>
  <c r="AP77" i="10"/>
  <c r="AQ77" i="10"/>
  <c r="AR77" i="10"/>
  <c r="AS77" i="10"/>
  <c r="AT77" i="10"/>
  <c r="AU77" i="10"/>
  <c r="AV77" i="10"/>
  <c r="AW77" i="10"/>
  <c r="AX77" i="10"/>
  <c r="AY77" i="10"/>
  <c r="AZ77" i="10"/>
  <c r="BA77" i="10"/>
  <c r="BB77" i="10"/>
  <c r="BC77" i="10"/>
  <c r="BD77" i="10"/>
  <c r="BE77" i="10"/>
  <c r="BF77" i="10"/>
  <c r="BG77" i="10"/>
  <c r="BH77" i="10"/>
  <c r="BI77" i="10"/>
  <c r="BJ77" i="10"/>
  <c r="BK77" i="10"/>
  <c r="BL77" i="10"/>
  <c r="BM77" i="10"/>
  <c r="BN77" i="10"/>
  <c r="BO77" i="10"/>
  <c r="BP77" i="10"/>
  <c r="BQ77" i="10"/>
  <c r="BR77" i="10"/>
  <c r="BS77" i="10"/>
  <c r="BT77" i="10"/>
  <c r="BU77" i="10"/>
  <c r="BV77" i="10"/>
  <c r="BW77" i="10"/>
  <c r="BX77" i="10"/>
  <c r="BY77" i="10"/>
  <c r="BZ77" i="10"/>
  <c r="CA77" i="10"/>
  <c r="CB77" i="10"/>
  <c r="CC77" i="10"/>
  <c r="CD77" i="10"/>
  <c r="CE77" i="10"/>
  <c r="CF77" i="10"/>
  <c r="CG77" i="10"/>
  <c r="CH77" i="10"/>
  <c r="CI77" i="10"/>
  <c r="CJ77" i="10"/>
  <c r="CK77" i="10"/>
  <c r="CL77" i="10"/>
  <c r="CM77" i="10"/>
  <c r="CN77" i="10"/>
  <c r="CO77" i="10"/>
  <c r="CP77" i="10"/>
  <c r="CQ77" i="10"/>
  <c r="CR77" i="10"/>
  <c r="CS77" i="10"/>
  <c r="CT77" i="10"/>
  <c r="CU77" i="10"/>
  <c r="CV77" i="10"/>
  <c r="CW77" i="10"/>
  <c r="CX77" i="10"/>
  <c r="CY77" i="10"/>
  <c r="CZ77" i="10"/>
  <c r="DA77" i="10"/>
  <c r="DB77" i="10"/>
  <c r="DC77" i="10"/>
  <c r="DD77" i="10"/>
  <c r="DE77" i="10"/>
  <c r="DF77" i="10"/>
  <c r="DG77" i="10"/>
  <c r="DH77" i="10"/>
  <c r="DI77" i="10"/>
  <c r="DJ77" i="10"/>
  <c r="DK77" i="10"/>
  <c r="DL77" i="10"/>
  <c r="DM77" i="10"/>
  <c r="DN77" i="10"/>
  <c r="DO77" i="10"/>
  <c r="DP77" i="10"/>
  <c r="DQ77" i="10"/>
  <c r="DR77" i="10"/>
  <c r="DS77" i="10"/>
  <c r="DT77" i="10"/>
  <c r="DU77" i="10"/>
  <c r="DV77" i="10"/>
  <c r="DW77" i="10"/>
  <c r="DX77" i="10"/>
  <c r="DY77" i="10"/>
  <c r="DZ77" i="10"/>
  <c r="EA77" i="10"/>
  <c r="EB77" i="10"/>
  <c r="EC77" i="10"/>
  <c r="ED77" i="10"/>
  <c r="EE77" i="10"/>
  <c r="EF77" i="10"/>
  <c r="EG77" i="10"/>
  <c r="EH77" i="10"/>
  <c r="EI77" i="10"/>
  <c r="EJ77" i="10"/>
  <c r="EK77" i="10"/>
  <c r="EL77" i="10"/>
  <c r="EM77" i="10"/>
  <c r="EN77" i="10"/>
  <c r="EO77" i="10"/>
  <c r="EP77" i="10"/>
  <c r="EQ77" i="10"/>
  <c r="ER77" i="10"/>
  <c r="ES77" i="10"/>
  <c r="ET77" i="10"/>
  <c r="EU77" i="10"/>
  <c r="EV77" i="10"/>
  <c r="EW77" i="10"/>
  <c r="EX77" i="10"/>
  <c r="EY77" i="10"/>
  <c r="EZ77" i="10"/>
  <c r="FA77" i="10"/>
  <c r="FB77" i="10"/>
  <c r="FC77" i="10"/>
  <c r="FD77" i="10"/>
  <c r="FE77" i="10"/>
  <c r="FF77" i="10"/>
  <c r="FG77" i="10"/>
  <c r="FH77" i="10"/>
  <c r="FI77" i="10"/>
  <c r="FJ77" i="10"/>
  <c r="FK77" i="10"/>
  <c r="FL77" i="10"/>
  <c r="FM77" i="10"/>
  <c r="FN77" i="10"/>
  <c r="FO77" i="10"/>
  <c r="FP77" i="10"/>
  <c r="FQ77" i="10"/>
  <c r="FR77" i="10"/>
  <c r="FS77" i="10"/>
  <c r="FT77" i="10"/>
  <c r="FU77" i="10"/>
  <c r="FV77" i="10"/>
  <c r="FW77" i="10"/>
  <c r="FX77" i="10"/>
  <c r="FY77" i="10"/>
  <c r="FZ77" i="10"/>
  <c r="GA77" i="10"/>
  <c r="GB77" i="10"/>
  <c r="GC77" i="10"/>
  <c r="GD77" i="10"/>
  <c r="GE77" i="10"/>
  <c r="GF77" i="10"/>
  <c r="GG77" i="10"/>
  <c r="GH77" i="10"/>
  <c r="GI77" i="10"/>
  <c r="GJ77" i="10"/>
  <c r="GK77" i="10"/>
  <c r="GL77" i="10"/>
  <c r="GM77" i="10"/>
  <c r="GN77" i="10"/>
  <c r="GO77" i="10"/>
  <c r="GP77" i="10"/>
  <c r="GQ77" i="10"/>
  <c r="GR77" i="10"/>
  <c r="GS77" i="10"/>
  <c r="GY77" i="10"/>
  <c r="B66" i="10"/>
  <c r="B67" i="10"/>
  <c r="B68" i="10"/>
  <c r="B69" i="10"/>
  <c r="B70" i="10"/>
  <c r="A57" i="10"/>
  <c r="BT57" i="10"/>
  <c r="BU57" i="10"/>
  <c r="BV57" i="10"/>
  <c r="BW57" i="10"/>
  <c r="BX57" i="10"/>
  <c r="BY57" i="10"/>
  <c r="BZ57" i="10"/>
  <c r="CA57" i="10"/>
  <c r="CB57" i="10"/>
  <c r="CC57" i="10"/>
  <c r="CD57" i="10"/>
  <c r="CE57" i="10"/>
  <c r="CF57" i="10"/>
  <c r="CG57" i="10"/>
  <c r="CH57" i="10"/>
  <c r="CI57" i="10"/>
  <c r="CJ57" i="10"/>
  <c r="CK57" i="10"/>
  <c r="CL57" i="10"/>
  <c r="CM57" i="10"/>
  <c r="CN57" i="10"/>
  <c r="CO57" i="10"/>
  <c r="CP57" i="10"/>
  <c r="CQ57" i="10"/>
  <c r="CR57" i="10"/>
  <c r="CS57" i="10"/>
  <c r="CT57" i="10"/>
  <c r="CU57" i="10"/>
  <c r="CV57" i="10"/>
  <c r="CW57" i="10"/>
  <c r="CX57" i="10"/>
  <c r="CY57" i="10"/>
  <c r="CZ57" i="10"/>
  <c r="DA57" i="10"/>
  <c r="DB57" i="10"/>
  <c r="DC57" i="10"/>
  <c r="DD57" i="10"/>
  <c r="DE57" i="10"/>
  <c r="DF57" i="10"/>
  <c r="DG57" i="10"/>
  <c r="DH57" i="10"/>
  <c r="DI57" i="10"/>
  <c r="DJ57" i="10"/>
  <c r="DK57" i="10"/>
  <c r="DL57" i="10"/>
  <c r="DM57" i="10"/>
  <c r="DN57" i="10"/>
  <c r="DO57" i="10"/>
  <c r="DP57" i="10"/>
  <c r="DQ57" i="10"/>
  <c r="DR57" i="10"/>
  <c r="DS57" i="10"/>
  <c r="DT57" i="10"/>
  <c r="DU57" i="10"/>
  <c r="DV57" i="10"/>
  <c r="DW57" i="10"/>
  <c r="DX57" i="10"/>
  <c r="DY57" i="10"/>
  <c r="DZ57" i="10"/>
  <c r="EA57" i="10"/>
  <c r="EB57" i="10"/>
  <c r="EC57" i="10"/>
  <c r="ED57" i="10"/>
  <c r="EE57" i="10"/>
  <c r="EF57" i="10"/>
  <c r="EG57" i="10"/>
  <c r="EH57" i="10"/>
  <c r="EI57" i="10"/>
  <c r="EJ57" i="10"/>
  <c r="EK57" i="10"/>
  <c r="EL57" i="10"/>
  <c r="EM57" i="10"/>
  <c r="EN57" i="10"/>
  <c r="EO57" i="10"/>
  <c r="EP57" i="10"/>
  <c r="EQ57" i="10"/>
  <c r="ER57" i="10"/>
  <c r="ES57" i="10"/>
  <c r="ET57" i="10"/>
  <c r="EU57" i="10"/>
  <c r="EV57" i="10"/>
  <c r="EW57" i="10"/>
  <c r="EX57" i="10"/>
  <c r="EY57" i="10"/>
  <c r="EZ57" i="10"/>
  <c r="FA57" i="10"/>
  <c r="FB57" i="10"/>
  <c r="FC57" i="10"/>
  <c r="FD57" i="10"/>
  <c r="FE57" i="10"/>
  <c r="FF57" i="10"/>
  <c r="FG57" i="10"/>
  <c r="FH57" i="10"/>
  <c r="FI57" i="10"/>
  <c r="FJ57" i="10"/>
  <c r="FK57" i="10"/>
  <c r="FL57" i="10"/>
  <c r="FM57" i="10"/>
  <c r="FN57" i="10"/>
  <c r="FO57" i="10"/>
  <c r="FP57" i="10"/>
  <c r="FQ57" i="10"/>
  <c r="FR57" i="10"/>
  <c r="FS57" i="10"/>
  <c r="FT57" i="10"/>
  <c r="FU57" i="10"/>
  <c r="FV57" i="10"/>
  <c r="FW57" i="10"/>
  <c r="FX57" i="10"/>
  <c r="FY57" i="10"/>
  <c r="FZ57" i="10"/>
  <c r="GA57" i="10"/>
  <c r="GB57" i="10"/>
  <c r="GC57" i="10"/>
  <c r="GD57" i="10"/>
  <c r="GE57" i="10"/>
  <c r="GF57" i="10"/>
  <c r="GG57" i="10"/>
  <c r="GH57" i="10"/>
  <c r="GI57" i="10"/>
  <c r="GJ57" i="10"/>
  <c r="GK57" i="10"/>
  <c r="GL57" i="10"/>
  <c r="GM57" i="10"/>
  <c r="GN57" i="10"/>
  <c r="GO57" i="10"/>
  <c r="GP57" i="10"/>
  <c r="GQ57" i="10"/>
  <c r="GR57" i="10"/>
  <c r="GS57" i="10"/>
  <c r="GW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I58" i="10"/>
  <c r="AJ58" i="10"/>
  <c r="AK58" i="10"/>
  <c r="AL58" i="10"/>
  <c r="AM58" i="10"/>
  <c r="AN58" i="10"/>
  <c r="AO58" i="10"/>
  <c r="AP58" i="10"/>
  <c r="AQ58" i="10"/>
  <c r="AR58" i="10"/>
  <c r="AS58" i="10"/>
  <c r="AT58" i="10"/>
  <c r="AU58" i="10"/>
  <c r="AV58" i="10"/>
  <c r="AW58" i="10"/>
  <c r="AX58" i="10"/>
  <c r="AY58" i="10"/>
  <c r="AZ58" i="10"/>
  <c r="BA58" i="10"/>
  <c r="BB58" i="10"/>
  <c r="BC58" i="10"/>
  <c r="BD58" i="10"/>
  <c r="BE58" i="10"/>
  <c r="BF58" i="10"/>
  <c r="BG58" i="10"/>
  <c r="BH58" i="10"/>
  <c r="BI58" i="10"/>
  <c r="BJ58" i="10"/>
  <c r="BK58" i="10"/>
  <c r="BL58" i="10"/>
  <c r="BM58" i="10"/>
  <c r="BN58" i="10"/>
  <c r="BO58" i="10"/>
  <c r="BP58" i="10"/>
  <c r="BQ58" i="10"/>
  <c r="BR58" i="10"/>
  <c r="BS58" i="10"/>
  <c r="BT58" i="10"/>
  <c r="BU58" i="10"/>
  <c r="BV58" i="10"/>
  <c r="BW58" i="10"/>
  <c r="BX58" i="10"/>
  <c r="BY58" i="10"/>
  <c r="BZ58" i="10"/>
  <c r="CA58" i="10"/>
  <c r="CB58" i="10"/>
  <c r="CC58" i="10"/>
  <c r="CD58" i="10"/>
  <c r="CE58" i="10"/>
  <c r="CF58" i="10"/>
  <c r="CG58" i="10"/>
  <c r="CH58" i="10"/>
  <c r="CI58" i="10"/>
  <c r="CJ58" i="10"/>
  <c r="CK58" i="10"/>
  <c r="CL58" i="10"/>
  <c r="CM58" i="10"/>
  <c r="CN58" i="10"/>
  <c r="CO58" i="10"/>
  <c r="CP58" i="10"/>
  <c r="CQ58" i="10"/>
  <c r="CR58" i="10"/>
  <c r="CS58" i="10"/>
  <c r="CT58" i="10"/>
  <c r="CU58" i="10"/>
  <c r="CV58" i="10"/>
  <c r="CW58" i="10"/>
  <c r="CX58" i="10"/>
  <c r="CY58" i="10"/>
  <c r="CZ58" i="10"/>
  <c r="DA58" i="10"/>
  <c r="DB58" i="10"/>
  <c r="DC58" i="10"/>
  <c r="DD58" i="10"/>
  <c r="DE58" i="10"/>
  <c r="DF58" i="10"/>
  <c r="DG58" i="10"/>
  <c r="DH58" i="10"/>
  <c r="DI58" i="10"/>
  <c r="DJ58" i="10"/>
  <c r="DK58" i="10"/>
  <c r="DL58" i="10"/>
  <c r="DM58" i="10"/>
  <c r="DN58" i="10"/>
  <c r="DO58" i="10"/>
  <c r="DP58" i="10"/>
  <c r="DQ58" i="10"/>
  <c r="DR58" i="10"/>
  <c r="DS58" i="10"/>
  <c r="DT58" i="10"/>
  <c r="DU58" i="10"/>
  <c r="DV58" i="10"/>
  <c r="DW58" i="10"/>
  <c r="DX58" i="10"/>
  <c r="DY58" i="10"/>
  <c r="DZ58" i="10"/>
  <c r="EA58" i="10"/>
  <c r="EB58" i="10"/>
  <c r="EC58" i="10"/>
  <c r="ED58" i="10"/>
  <c r="EE58" i="10"/>
  <c r="EF58" i="10"/>
  <c r="EG58" i="10"/>
  <c r="EH58" i="10"/>
  <c r="EI58" i="10"/>
  <c r="EJ58" i="10"/>
  <c r="EK58" i="10"/>
  <c r="EL58" i="10"/>
  <c r="EM58" i="10"/>
  <c r="EN58" i="10"/>
  <c r="EO58" i="10"/>
  <c r="EP58" i="10"/>
  <c r="EQ58" i="10"/>
  <c r="ER58" i="10"/>
  <c r="ES58" i="10"/>
  <c r="ET58" i="10"/>
  <c r="EU58" i="10"/>
  <c r="EV58" i="10"/>
  <c r="EW58" i="10"/>
  <c r="EX58" i="10"/>
  <c r="EY58" i="10"/>
  <c r="EZ58" i="10"/>
  <c r="FA58" i="10"/>
  <c r="FB58" i="10"/>
  <c r="FC58" i="10"/>
  <c r="FD58" i="10"/>
  <c r="FE58" i="10"/>
  <c r="FF58" i="10"/>
  <c r="FG58" i="10"/>
  <c r="FH58" i="10"/>
  <c r="FI58" i="10"/>
  <c r="FJ58" i="10"/>
  <c r="FK58" i="10"/>
  <c r="FL58" i="10"/>
  <c r="FM58" i="10"/>
  <c r="FN58" i="10"/>
  <c r="FO58" i="10"/>
  <c r="FP58" i="10"/>
  <c r="FQ58" i="10"/>
  <c r="FR58" i="10"/>
  <c r="FS58" i="10"/>
  <c r="FT58" i="10"/>
  <c r="FU58" i="10"/>
  <c r="FV58" i="10"/>
  <c r="FW58" i="10"/>
  <c r="FX58" i="10"/>
  <c r="FY58" i="10"/>
  <c r="FZ58" i="10"/>
  <c r="GA58" i="10"/>
  <c r="GB58" i="10"/>
  <c r="GC58" i="10"/>
  <c r="GD58" i="10"/>
  <c r="GE58" i="10"/>
  <c r="GF58" i="10"/>
  <c r="GG58" i="10"/>
  <c r="GH58" i="10"/>
  <c r="GI58" i="10"/>
  <c r="GJ58" i="10"/>
  <c r="GK58" i="10"/>
  <c r="GL58" i="10"/>
  <c r="GM58" i="10"/>
  <c r="GN58" i="10"/>
  <c r="GO58" i="10"/>
  <c r="GP58" i="10"/>
  <c r="GQ58" i="10"/>
  <c r="GR58" i="10"/>
  <c r="GS58" i="10"/>
  <c r="GW58" i="10"/>
  <c r="A59" i="10"/>
  <c r="BT59" i="10"/>
  <c r="BU59" i="10"/>
  <c r="BV59" i="10"/>
  <c r="BW59" i="10"/>
  <c r="BX59" i="10"/>
  <c r="BY59" i="10"/>
  <c r="BZ59" i="10"/>
  <c r="CA59" i="10"/>
  <c r="CB59" i="10"/>
  <c r="CC59" i="10"/>
  <c r="CD59" i="10"/>
  <c r="CE59" i="10"/>
  <c r="CF59" i="10"/>
  <c r="CG59" i="10"/>
  <c r="CH59" i="10"/>
  <c r="CI59" i="10"/>
  <c r="CJ59" i="10"/>
  <c r="CK59" i="10"/>
  <c r="CL59" i="10"/>
  <c r="CM59" i="10"/>
  <c r="CN59" i="10"/>
  <c r="CO59" i="10"/>
  <c r="CP59" i="10"/>
  <c r="CQ59" i="10"/>
  <c r="CR59" i="10"/>
  <c r="CS59" i="10"/>
  <c r="CT59" i="10"/>
  <c r="CU59" i="10"/>
  <c r="CV59" i="10"/>
  <c r="CW59" i="10"/>
  <c r="CX59" i="10"/>
  <c r="CY59" i="10"/>
  <c r="CZ59" i="10"/>
  <c r="DA59" i="10"/>
  <c r="DB59" i="10"/>
  <c r="DC59" i="10"/>
  <c r="DD59" i="10"/>
  <c r="DE59" i="10"/>
  <c r="DF59" i="10"/>
  <c r="DG59" i="10"/>
  <c r="DH59" i="10"/>
  <c r="DI59" i="10"/>
  <c r="DJ59" i="10"/>
  <c r="DK59" i="10"/>
  <c r="DL59" i="10"/>
  <c r="DM59" i="10"/>
  <c r="DN59" i="10"/>
  <c r="DO59" i="10"/>
  <c r="DP59" i="10"/>
  <c r="DQ59" i="10"/>
  <c r="DR59" i="10"/>
  <c r="DS59" i="10"/>
  <c r="DT59" i="10"/>
  <c r="DU59" i="10"/>
  <c r="DV59" i="10"/>
  <c r="DW59" i="10"/>
  <c r="DX59" i="10"/>
  <c r="DY59" i="10"/>
  <c r="DZ59" i="10"/>
  <c r="EA59" i="10"/>
  <c r="EB59" i="10"/>
  <c r="EC59" i="10"/>
  <c r="ED59" i="10"/>
  <c r="EE59" i="10"/>
  <c r="EF59" i="10"/>
  <c r="EG59" i="10"/>
  <c r="EH59" i="10"/>
  <c r="EI59" i="10"/>
  <c r="EJ59" i="10"/>
  <c r="EK59" i="10"/>
  <c r="EL59" i="10"/>
  <c r="EM59" i="10"/>
  <c r="EN59" i="10"/>
  <c r="EO59" i="10"/>
  <c r="EP59" i="10"/>
  <c r="EQ59" i="10"/>
  <c r="ER59" i="10"/>
  <c r="ES59" i="10"/>
  <c r="ET59" i="10"/>
  <c r="EU59" i="10"/>
  <c r="EV59" i="10"/>
  <c r="EW59" i="10"/>
  <c r="EX59" i="10"/>
  <c r="EY59" i="10"/>
  <c r="EZ59" i="10"/>
  <c r="FA59" i="10"/>
  <c r="FB59" i="10"/>
  <c r="FC59" i="10"/>
  <c r="FD59" i="10"/>
  <c r="FE59" i="10"/>
  <c r="FF59" i="10"/>
  <c r="FG59" i="10"/>
  <c r="FH59" i="10"/>
  <c r="FI59" i="10"/>
  <c r="FJ59" i="10"/>
  <c r="FK59" i="10"/>
  <c r="FL59" i="10"/>
  <c r="FM59" i="10"/>
  <c r="FN59" i="10"/>
  <c r="FO59" i="10"/>
  <c r="FP59" i="10"/>
  <c r="FQ59" i="10"/>
  <c r="FR59" i="10"/>
  <c r="FS59" i="10"/>
  <c r="FT59" i="10"/>
  <c r="FU59" i="10"/>
  <c r="FV59" i="10"/>
  <c r="FW59" i="10"/>
  <c r="FX59" i="10"/>
  <c r="FY59" i="10"/>
  <c r="FZ59" i="10"/>
  <c r="GA59" i="10"/>
  <c r="GB59" i="10"/>
  <c r="GC59" i="10"/>
  <c r="GD59" i="10"/>
  <c r="GE59" i="10"/>
  <c r="GF59" i="10"/>
  <c r="GG59" i="10"/>
  <c r="GH59" i="10"/>
  <c r="GI59" i="10"/>
  <c r="GJ59" i="10"/>
  <c r="GK59" i="10"/>
  <c r="GL59" i="10"/>
  <c r="GM59" i="10"/>
  <c r="GN59" i="10"/>
  <c r="GO59" i="10"/>
  <c r="GP59" i="10"/>
  <c r="GQ59" i="10"/>
  <c r="GR59" i="10"/>
  <c r="GS59" i="10"/>
  <c r="GW59" i="10"/>
  <c r="A60" i="10"/>
  <c r="BT60" i="10"/>
  <c r="BU60" i="10"/>
  <c r="BV60" i="10"/>
  <c r="BW60" i="10"/>
  <c r="BX60" i="10"/>
  <c r="BY60" i="10"/>
  <c r="BZ60" i="10"/>
  <c r="CA60" i="10"/>
  <c r="CB60" i="10"/>
  <c r="CC60" i="10"/>
  <c r="CD60" i="10"/>
  <c r="CE60" i="10"/>
  <c r="CF60" i="10"/>
  <c r="CG60" i="10"/>
  <c r="CH60" i="10"/>
  <c r="CI60" i="10"/>
  <c r="CJ60" i="10"/>
  <c r="CK60" i="10"/>
  <c r="CL60" i="10"/>
  <c r="CM60" i="10"/>
  <c r="CN60" i="10"/>
  <c r="CO60" i="10"/>
  <c r="CP60" i="10"/>
  <c r="CQ60" i="10"/>
  <c r="CR60" i="10"/>
  <c r="CS60" i="10"/>
  <c r="CT60" i="10"/>
  <c r="CU60" i="10"/>
  <c r="CV60" i="10"/>
  <c r="CW60" i="10"/>
  <c r="CX60" i="10"/>
  <c r="CY60" i="10"/>
  <c r="CZ60" i="10"/>
  <c r="DA60" i="10"/>
  <c r="DB60" i="10"/>
  <c r="DC60" i="10"/>
  <c r="DD60" i="10"/>
  <c r="DE60" i="10"/>
  <c r="DF60" i="10"/>
  <c r="DG60" i="10"/>
  <c r="DH60" i="10"/>
  <c r="DI60" i="10"/>
  <c r="DJ60" i="10"/>
  <c r="DK60" i="10"/>
  <c r="DL60" i="10"/>
  <c r="DM60" i="10"/>
  <c r="DN60" i="10"/>
  <c r="DO60" i="10"/>
  <c r="DP60" i="10"/>
  <c r="DQ60" i="10"/>
  <c r="DR60" i="10"/>
  <c r="DS60" i="10"/>
  <c r="DT60" i="10"/>
  <c r="DU60" i="10"/>
  <c r="DV60" i="10"/>
  <c r="DW60" i="10"/>
  <c r="DX60" i="10"/>
  <c r="DY60" i="10"/>
  <c r="DZ60" i="10"/>
  <c r="EA60" i="10"/>
  <c r="EB60" i="10"/>
  <c r="EC60" i="10"/>
  <c r="ED60" i="10"/>
  <c r="EE60" i="10"/>
  <c r="EF60" i="10"/>
  <c r="EG60" i="10"/>
  <c r="EH60" i="10"/>
  <c r="EI60" i="10"/>
  <c r="EJ60" i="10"/>
  <c r="EK60" i="10"/>
  <c r="EL60" i="10"/>
  <c r="EM60" i="10"/>
  <c r="EN60" i="10"/>
  <c r="EO60" i="10"/>
  <c r="EP60" i="10"/>
  <c r="EQ60" i="10"/>
  <c r="ER60" i="10"/>
  <c r="ES60" i="10"/>
  <c r="ET60" i="10"/>
  <c r="EU60" i="10"/>
  <c r="EV60" i="10"/>
  <c r="EW60" i="10"/>
  <c r="EX60" i="10"/>
  <c r="EY60" i="10"/>
  <c r="EZ60" i="10"/>
  <c r="FA60" i="10"/>
  <c r="FB60" i="10"/>
  <c r="FC60" i="10"/>
  <c r="FD60" i="10"/>
  <c r="FE60" i="10"/>
  <c r="FF60" i="10"/>
  <c r="FG60" i="10"/>
  <c r="FH60" i="10"/>
  <c r="FI60" i="10"/>
  <c r="FJ60" i="10"/>
  <c r="FK60" i="10"/>
  <c r="FL60" i="10"/>
  <c r="FM60" i="10"/>
  <c r="FN60" i="10"/>
  <c r="FO60" i="10"/>
  <c r="FP60" i="10"/>
  <c r="FQ60" i="10"/>
  <c r="FR60" i="10"/>
  <c r="FS60" i="10"/>
  <c r="FT60" i="10"/>
  <c r="FU60" i="10"/>
  <c r="FV60" i="10"/>
  <c r="FW60" i="10"/>
  <c r="FX60" i="10"/>
  <c r="FY60" i="10"/>
  <c r="FZ60" i="10"/>
  <c r="GA60" i="10"/>
  <c r="GB60" i="10"/>
  <c r="GC60" i="10"/>
  <c r="GD60" i="10"/>
  <c r="GE60" i="10"/>
  <c r="GF60" i="10"/>
  <c r="GG60" i="10"/>
  <c r="GH60" i="10"/>
  <c r="GI60" i="10"/>
  <c r="GJ60" i="10"/>
  <c r="GK60" i="10"/>
  <c r="GL60" i="10"/>
  <c r="GM60" i="10"/>
  <c r="GN60" i="10"/>
  <c r="GO60" i="10"/>
  <c r="GP60" i="10"/>
  <c r="GQ60" i="10"/>
  <c r="GR60" i="10"/>
  <c r="GS60" i="10"/>
  <c r="GW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I61" i="10"/>
  <c r="AJ61" i="10"/>
  <c r="AK61" i="10"/>
  <c r="AL61" i="10"/>
  <c r="BT61" i="10"/>
  <c r="BU61" i="10"/>
  <c r="BV61" i="10"/>
  <c r="BW61" i="10"/>
  <c r="BX61" i="10"/>
  <c r="BY61" i="10"/>
  <c r="BZ61" i="10"/>
  <c r="CA61" i="10"/>
  <c r="CB61" i="10"/>
  <c r="CC61" i="10"/>
  <c r="CD61" i="10"/>
  <c r="CE61" i="10"/>
  <c r="CF61" i="10"/>
  <c r="CG61" i="10"/>
  <c r="CH61" i="10"/>
  <c r="CI61" i="10"/>
  <c r="CJ61" i="10"/>
  <c r="CK61" i="10"/>
  <c r="CL61" i="10"/>
  <c r="CM61" i="10"/>
  <c r="CN61" i="10"/>
  <c r="CO61" i="10"/>
  <c r="CP61" i="10"/>
  <c r="CQ61" i="10"/>
  <c r="CR61" i="10"/>
  <c r="CS61" i="10"/>
  <c r="CT61" i="10"/>
  <c r="CU61" i="10"/>
  <c r="CV61" i="10"/>
  <c r="CW61" i="10"/>
  <c r="CX61" i="10"/>
  <c r="CY61" i="10"/>
  <c r="CZ61" i="10"/>
  <c r="DA61" i="10"/>
  <c r="DB61" i="10"/>
  <c r="DC61" i="10"/>
  <c r="DD61" i="10"/>
  <c r="DE61" i="10"/>
  <c r="DF61" i="10"/>
  <c r="DG61" i="10"/>
  <c r="DH61" i="10"/>
  <c r="DI61" i="10"/>
  <c r="DJ61" i="10"/>
  <c r="DK61" i="10"/>
  <c r="DL61" i="10"/>
  <c r="DM61" i="10"/>
  <c r="DN61" i="10"/>
  <c r="DO61" i="10"/>
  <c r="DP61" i="10"/>
  <c r="DQ61" i="10"/>
  <c r="DR61" i="10"/>
  <c r="DS61" i="10"/>
  <c r="DT61" i="10"/>
  <c r="DU61" i="10"/>
  <c r="DV61" i="10"/>
  <c r="DW61" i="10"/>
  <c r="DX61" i="10"/>
  <c r="DY61" i="10"/>
  <c r="DZ61" i="10"/>
  <c r="EA61" i="10"/>
  <c r="EB61" i="10"/>
  <c r="EC61" i="10"/>
  <c r="ED61" i="10"/>
  <c r="EE61" i="10"/>
  <c r="EF61" i="10"/>
  <c r="EG61" i="10"/>
  <c r="EH61" i="10"/>
  <c r="EI61" i="10"/>
  <c r="EJ61" i="10"/>
  <c r="EK61" i="10"/>
  <c r="EL61" i="10"/>
  <c r="EM61" i="10"/>
  <c r="EN61" i="10"/>
  <c r="EO61" i="10"/>
  <c r="EP61" i="10"/>
  <c r="EQ61" i="10"/>
  <c r="ER61" i="10"/>
  <c r="ES61" i="10"/>
  <c r="ET61" i="10"/>
  <c r="EU61" i="10"/>
  <c r="EV61" i="10"/>
  <c r="EW61" i="10"/>
  <c r="EX61" i="10"/>
  <c r="EY61" i="10"/>
  <c r="EZ61" i="10"/>
  <c r="FA61" i="10"/>
  <c r="FB61" i="10"/>
  <c r="FC61" i="10"/>
  <c r="FD61" i="10"/>
  <c r="FE61" i="10"/>
  <c r="FF61" i="10"/>
  <c r="FG61" i="10"/>
  <c r="FH61" i="10"/>
  <c r="FI61" i="10"/>
  <c r="FJ61" i="10"/>
  <c r="FK61" i="10"/>
  <c r="FL61" i="10"/>
  <c r="FM61" i="10"/>
  <c r="FN61" i="10"/>
  <c r="FO61" i="10"/>
  <c r="FP61" i="10"/>
  <c r="FQ61" i="10"/>
  <c r="FR61" i="10"/>
  <c r="FS61" i="10"/>
  <c r="FT61" i="10"/>
  <c r="FU61" i="10"/>
  <c r="FV61" i="10"/>
  <c r="FW61" i="10"/>
  <c r="FX61" i="10"/>
  <c r="FY61" i="10"/>
  <c r="FZ61" i="10"/>
  <c r="GA61" i="10"/>
  <c r="GB61" i="10"/>
  <c r="GC61" i="10"/>
  <c r="GD61" i="10"/>
  <c r="GE61" i="10"/>
  <c r="GF61" i="10"/>
  <c r="GG61" i="10"/>
  <c r="GH61" i="10"/>
  <c r="GI61" i="10"/>
  <c r="GJ61" i="10"/>
  <c r="GK61" i="10"/>
  <c r="GL61" i="10"/>
  <c r="GM61" i="10"/>
  <c r="GN61" i="10"/>
  <c r="GO61" i="10"/>
  <c r="GP61" i="10"/>
  <c r="GQ61" i="10"/>
  <c r="GR61" i="10"/>
  <c r="GS61" i="10"/>
  <c r="GW61"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I50" i="10"/>
  <c r="AJ50" i="10"/>
  <c r="AK50" i="10"/>
  <c r="AL50" i="10"/>
  <c r="AM50" i="10"/>
  <c r="AN50" i="10"/>
  <c r="AO50" i="10"/>
  <c r="AP50" i="10"/>
  <c r="AQ50" i="10"/>
  <c r="AR50" i="10"/>
  <c r="AS50" i="10"/>
  <c r="AT50" i="10"/>
  <c r="AU50" i="10"/>
  <c r="AV50" i="10"/>
  <c r="AW50" i="10"/>
  <c r="AX50" i="10"/>
  <c r="AY50" i="10"/>
  <c r="AZ50" i="10"/>
  <c r="BA50" i="10"/>
  <c r="BB50" i="10"/>
  <c r="BC50" i="10"/>
  <c r="BD50" i="10"/>
  <c r="BE50" i="10"/>
  <c r="BF50" i="10"/>
  <c r="BG50" i="10"/>
  <c r="BH50" i="10"/>
  <c r="BI50" i="10"/>
  <c r="BJ50" i="10"/>
  <c r="BK50" i="10"/>
  <c r="BL50" i="10"/>
  <c r="BM50" i="10"/>
  <c r="BN50" i="10"/>
  <c r="BO50" i="10"/>
  <c r="BP50" i="10"/>
  <c r="BQ50" i="10"/>
  <c r="BR50" i="10"/>
  <c r="BS50" i="10"/>
  <c r="BT50" i="10"/>
  <c r="BU50" i="10"/>
  <c r="BV50" i="10"/>
  <c r="BW50" i="10"/>
  <c r="BX50" i="10"/>
  <c r="BY50" i="10"/>
  <c r="BZ50" i="10"/>
  <c r="CA50" i="10"/>
  <c r="CB50" i="10"/>
  <c r="CC50" i="10"/>
  <c r="CD50" i="10"/>
  <c r="CE50" i="10"/>
  <c r="CF50" i="10"/>
  <c r="CG50" i="10"/>
  <c r="CH50" i="10"/>
  <c r="CI50" i="10"/>
  <c r="CJ50" i="10"/>
  <c r="CK50" i="10"/>
  <c r="CL50" i="10"/>
  <c r="CM50" i="10"/>
  <c r="CN50" i="10"/>
  <c r="CO50" i="10"/>
  <c r="CP50" i="10"/>
  <c r="CQ50" i="10"/>
  <c r="CR50" i="10"/>
  <c r="CS50" i="10"/>
  <c r="CT50" i="10"/>
  <c r="CU50" i="10"/>
  <c r="CV50" i="10"/>
  <c r="CW50" i="10"/>
  <c r="CX50" i="10"/>
  <c r="CY50" i="10"/>
  <c r="CZ50" i="10"/>
  <c r="DA50" i="10"/>
  <c r="DB50" i="10"/>
  <c r="DC50" i="10"/>
  <c r="DD50" i="10"/>
  <c r="DE50" i="10"/>
  <c r="DF50" i="10"/>
  <c r="DG50" i="10"/>
  <c r="DH50" i="10"/>
  <c r="DI50" i="10"/>
  <c r="DJ50" i="10"/>
  <c r="DK50" i="10"/>
  <c r="DL50" i="10"/>
  <c r="DM50" i="10"/>
  <c r="DN50" i="10"/>
  <c r="DO50" i="10"/>
  <c r="DP50" i="10"/>
  <c r="DQ50" i="10"/>
  <c r="DR50" i="10"/>
  <c r="DS50" i="10"/>
  <c r="DT50" i="10"/>
  <c r="DU50" i="10"/>
  <c r="DV50" i="10"/>
  <c r="DW50" i="10"/>
  <c r="DX50" i="10"/>
  <c r="DY50" i="10"/>
  <c r="DZ50" i="10"/>
  <c r="EA50" i="10"/>
  <c r="EB50" i="10"/>
  <c r="EC50" i="10"/>
  <c r="ED50" i="10"/>
  <c r="EE50" i="10"/>
  <c r="EF50" i="10"/>
  <c r="EG50" i="10"/>
  <c r="EH50" i="10"/>
  <c r="EI50" i="10"/>
  <c r="EJ50" i="10"/>
  <c r="EK50" i="10"/>
  <c r="EL50" i="10"/>
  <c r="EM50" i="10"/>
  <c r="EN50" i="10"/>
  <c r="EO50" i="10"/>
  <c r="EP50" i="10"/>
  <c r="EQ50" i="10"/>
  <c r="ER50" i="10"/>
  <c r="ES50" i="10"/>
  <c r="ET50" i="10"/>
  <c r="EU50" i="10"/>
  <c r="EV50" i="10"/>
  <c r="EW50" i="10"/>
  <c r="EX50" i="10"/>
  <c r="EY50" i="10"/>
  <c r="EZ50" i="10"/>
  <c r="FA50" i="10"/>
  <c r="FB50" i="10"/>
  <c r="FC50" i="10"/>
  <c r="FD50" i="10"/>
  <c r="FE50" i="10"/>
  <c r="FF50" i="10"/>
  <c r="FG50" i="10"/>
  <c r="FH50" i="10"/>
  <c r="FI50" i="10"/>
  <c r="FJ50" i="10"/>
  <c r="FK50" i="10"/>
  <c r="FL50" i="10"/>
  <c r="FM50" i="10"/>
  <c r="FN50" i="10"/>
  <c r="FO50" i="10"/>
  <c r="FP50" i="10"/>
  <c r="FQ50" i="10"/>
  <c r="FR50" i="10"/>
  <c r="FS50" i="10"/>
  <c r="FT50" i="10"/>
  <c r="FU50" i="10"/>
  <c r="FV50" i="10"/>
  <c r="FW50" i="10"/>
  <c r="FX50" i="10"/>
  <c r="FY50" i="10"/>
  <c r="FZ50" i="10"/>
  <c r="GA50" i="10"/>
  <c r="GB50" i="10"/>
  <c r="GC50" i="10"/>
  <c r="GD50" i="10"/>
  <c r="GE50" i="10"/>
  <c r="GF50" i="10"/>
  <c r="GG50" i="10"/>
  <c r="GH50" i="10"/>
  <c r="GI50" i="10"/>
  <c r="GJ50" i="10"/>
  <c r="GK50" i="10"/>
  <c r="GL50" i="10"/>
  <c r="GM50" i="10"/>
  <c r="GN50" i="10"/>
  <c r="GO50" i="10"/>
  <c r="GP50" i="10"/>
  <c r="GQ50" i="10"/>
  <c r="GR50" i="10"/>
  <c r="GS50" i="10"/>
  <c r="GW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I51" i="10"/>
  <c r="AJ51" i="10"/>
  <c r="AK51" i="10"/>
  <c r="AL51" i="10"/>
  <c r="AM51" i="10"/>
  <c r="AN51" i="10"/>
  <c r="AO51" i="10"/>
  <c r="AP51" i="10"/>
  <c r="AQ51" i="10"/>
  <c r="AR51" i="10"/>
  <c r="AS51" i="10"/>
  <c r="AT51" i="10"/>
  <c r="AU51" i="10"/>
  <c r="AV51" i="10"/>
  <c r="AW51" i="10"/>
  <c r="AX51" i="10"/>
  <c r="AY51" i="10"/>
  <c r="AZ51" i="10"/>
  <c r="BA51" i="10"/>
  <c r="BB51" i="10"/>
  <c r="BC51" i="10"/>
  <c r="BD51" i="10"/>
  <c r="BE51" i="10"/>
  <c r="BF51" i="10"/>
  <c r="BG51" i="10"/>
  <c r="BH51" i="10"/>
  <c r="BI51" i="10"/>
  <c r="BJ51" i="10"/>
  <c r="BK51" i="10"/>
  <c r="BL51" i="10"/>
  <c r="BM51" i="10"/>
  <c r="BN51" i="10"/>
  <c r="BO51" i="10"/>
  <c r="BP51" i="10"/>
  <c r="BQ51" i="10"/>
  <c r="BR51" i="10"/>
  <c r="BS51" i="10"/>
  <c r="BT51" i="10"/>
  <c r="BU51" i="10"/>
  <c r="BV51" i="10"/>
  <c r="BW51" i="10"/>
  <c r="BX51" i="10"/>
  <c r="BY51" i="10"/>
  <c r="BZ51" i="10"/>
  <c r="CA51" i="10"/>
  <c r="CB51" i="10"/>
  <c r="CC51" i="10"/>
  <c r="CD51" i="10"/>
  <c r="CE51" i="10"/>
  <c r="CF51" i="10"/>
  <c r="CG51" i="10"/>
  <c r="CH51" i="10"/>
  <c r="CI51" i="10"/>
  <c r="CJ51" i="10"/>
  <c r="CK51" i="10"/>
  <c r="CL51" i="10"/>
  <c r="CM51" i="10"/>
  <c r="CN51" i="10"/>
  <c r="CO51" i="10"/>
  <c r="CP51" i="10"/>
  <c r="CQ51" i="10"/>
  <c r="CR51" i="10"/>
  <c r="CS51" i="10"/>
  <c r="CT51" i="10"/>
  <c r="CU51" i="10"/>
  <c r="CV51" i="10"/>
  <c r="CW51" i="10"/>
  <c r="CX51" i="10"/>
  <c r="CY51" i="10"/>
  <c r="CZ51" i="10"/>
  <c r="DA51" i="10"/>
  <c r="DB51" i="10"/>
  <c r="DC51" i="10"/>
  <c r="DD51" i="10"/>
  <c r="DE51" i="10"/>
  <c r="DF51" i="10"/>
  <c r="DG51" i="10"/>
  <c r="DH51" i="10"/>
  <c r="DI51" i="10"/>
  <c r="DJ51" i="10"/>
  <c r="DK51" i="10"/>
  <c r="DL51" i="10"/>
  <c r="DM51" i="10"/>
  <c r="DN51" i="10"/>
  <c r="DO51" i="10"/>
  <c r="DP51" i="10"/>
  <c r="DQ51" i="10"/>
  <c r="DR51" i="10"/>
  <c r="DS51" i="10"/>
  <c r="DT51" i="10"/>
  <c r="DU51" i="10"/>
  <c r="DV51" i="10"/>
  <c r="DW51" i="10"/>
  <c r="DX51" i="10"/>
  <c r="DY51" i="10"/>
  <c r="DZ51" i="10"/>
  <c r="EA51" i="10"/>
  <c r="EB51" i="10"/>
  <c r="EC51" i="10"/>
  <c r="ED51" i="10"/>
  <c r="EE51" i="10"/>
  <c r="EF51" i="10"/>
  <c r="EG51" i="10"/>
  <c r="EH51" i="10"/>
  <c r="EI51" i="10"/>
  <c r="EJ51" i="10"/>
  <c r="EK51" i="10"/>
  <c r="EL51" i="10"/>
  <c r="EM51" i="10"/>
  <c r="EN51" i="10"/>
  <c r="EO51" i="10"/>
  <c r="EP51" i="10"/>
  <c r="EQ51" i="10"/>
  <c r="ER51" i="10"/>
  <c r="ES51" i="10"/>
  <c r="ET51" i="10"/>
  <c r="EU51" i="10"/>
  <c r="EV51" i="10"/>
  <c r="EW51" i="10"/>
  <c r="EX51" i="10"/>
  <c r="EY51" i="10"/>
  <c r="EZ51" i="10"/>
  <c r="FA51" i="10"/>
  <c r="FB51" i="10"/>
  <c r="FC51" i="10"/>
  <c r="FD51" i="10"/>
  <c r="FE51" i="10"/>
  <c r="FF51" i="10"/>
  <c r="FG51" i="10"/>
  <c r="FH51" i="10"/>
  <c r="FI51" i="10"/>
  <c r="FJ51" i="10"/>
  <c r="FK51" i="10"/>
  <c r="FL51" i="10"/>
  <c r="FM51" i="10"/>
  <c r="FN51" i="10"/>
  <c r="FO51" i="10"/>
  <c r="FP51" i="10"/>
  <c r="FQ51" i="10"/>
  <c r="FR51" i="10"/>
  <c r="FS51" i="10"/>
  <c r="FT51" i="10"/>
  <c r="FU51" i="10"/>
  <c r="FV51" i="10"/>
  <c r="FW51" i="10"/>
  <c r="FX51" i="10"/>
  <c r="FY51" i="10"/>
  <c r="FZ51" i="10"/>
  <c r="GA51" i="10"/>
  <c r="GB51" i="10"/>
  <c r="GC51" i="10"/>
  <c r="GD51" i="10"/>
  <c r="GE51" i="10"/>
  <c r="GF51" i="10"/>
  <c r="GG51" i="10"/>
  <c r="GH51" i="10"/>
  <c r="GI51" i="10"/>
  <c r="GJ51" i="10"/>
  <c r="GK51" i="10"/>
  <c r="GL51" i="10"/>
  <c r="GM51" i="10"/>
  <c r="GN51" i="10"/>
  <c r="GO51" i="10"/>
  <c r="GP51" i="10"/>
  <c r="GQ51" i="10"/>
  <c r="GR51" i="10"/>
  <c r="GS51" i="10"/>
  <c r="GW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I52" i="10"/>
  <c r="AJ52" i="10"/>
  <c r="AK52" i="10"/>
  <c r="AL52" i="10"/>
  <c r="AM52" i="10"/>
  <c r="AN52" i="10"/>
  <c r="AO52" i="10"/>
  <c r="AP52" i="10"/>
  <c r="AQ52" i="10"/>
  <c r="AR52" i="10"/>
  <c r="AS52" i="10"/>
  <c r="AT52" i="10"/>
  <c r="AU52" i="10"/>
  <c r="AV52" i="10"/>
  <c r="AW52" i="10"/>
  <c r="AX52" i="10"/>
  <c r="AY52" i="10"/>
  <c r="AZ52" i="10"/>
  <c r="BA52" i="10"/>
  <c r="BB52" i="10"/>
  <c r="BC52" i="10"/>
  <c r="BD52" i="10"/>
  <c r="BE52" i="10"/>
  <c r="BF52" i="10"/>
  <c r="BG52" i="10"/>
  <c r="BH52" i="10"/>
  <c r="BI52" i="10"/>
  <c r="BJ52" i="10"/>
  <c r="BK52" i="10"/>
  <c r="BL52" i="10"/>
  <c r="BM52" i="10"/>
  <c r="BN52" i="10"/>
  <c r="BO52" i="10"/>
  <c r="BP52" i="10"/>
  <c r="BQ52" i="10"/>
  <c r="BR52" i="10"/>
  <c r="BS52" i="10"/>
  <c r="BT52" i="10"/>
  <c r="BU52" i="10"/>
  <c r="BV52" i="10"/>
  <c r="BW52" i="10"/>
  <c r="BX52" i="10"/>
  <c r="BY52" i="10"/>
  <c r="BZ52" i="10"/>
  <c r="CA52" i="10"/>
  <c r="CB52" i="10"/>
  <c r="CC52" i="10"/>
  <c r="CD52" i="10"/>
  <c r="CE52" i="10"/>
  <c r="CF52" i="10"/>
  <c r="CG52" i="10"/>
  <c r="CH52" i="10"/>
  <c r="CI52" i="10"/>
  <c r="CJ52" i="10"/>
  <c r="CK52" i="10"/>
  <c r="CL52" i="10"/>
  <c r="CM52" i="10"/>
  <c r="CN52" i="10"/>
  <c r="CO52" i="10"/>
  <c r="CP52" i="10"/>
  <c r="CQ52" i="10"/>
  <c r="CR52" i="10"/>
  <c r="CS52" i="10"/>
  <c r="CT52" i="10"/>
  <c r="CU52" i="10"/>
  <c r="CV52" i="10"/>
  <c r="CW52" i="10"/>
  <c r="CX52" i="10"/>
  <c r="CY52" i="10"/>
  <c r="CZ52" i="10"/>
  <c r="DA52" i="10"/>
  <c r="DB52" i="10"/>
  <c r="DC52" i="10"/>
  <c r="DD52" i="10"/>
  <c r="DE52" i="10"/>
  <c r="DF52" i="10"/>
  <c r="DG52" i="10"/>
  <c r="DH52" i="10"/>
  <c r="DI52" i="10"/>
  <c r="DJ52" i="10"/>
  <c r="DK52" i="10"/>
  <c r="DL52" i="10"/>
  <c r="DM52" i="10"/>
  <c r="DN52" i="10"/>
  <c r="DO52" i="10"/>
  <c r="DP52" i="10"/>
  <c r="DQ52" i="10"/>
  <c r="DR52" i="10"/>
  <c r="DS52" i="10"/>
  <c r="DT52" i="10"/>
  <c r="DU52" i="10"/>
  <c r="DV52" i="10"/>
  <c r="DW52" i="10"/>
  <c r="DX52" i="10"/>
  <c r="DY52" i="10"/>
  <c r="DZ52" i="10"/>
  <c r="EA52" i="10"/>
  <c r="EB52" i="10"/>
  <c r="EC52" i="10"/>
  <c r="ED52" i="10"/>
  <c r="EE52" i="10"/>
  <c r="EF52" i="10"/>
  <c r="EG52" i="10"/>
  <c r="EH52" i="10"/>
  <c r="EI52" i="10"/>
  <c r="EJ52" i="10"/>
  <c r="EK52" i="10"/>
  <c r="EL52" i="10"/>
  <c r="EM52" i="10"/>
  <c r="EN52" i="10"/>
  <c r="EO52" i="10"/>
  <c r="EP52" i="10"/>
  <c r="EQ52" i="10"/>
  <c r="ER52" i="10"/>
  <c r="ES52" i="10"/>
  <c r="ET52" i="10"/>
  <c r="EU52" i="10"/>
  <c r="EV52" i="10"/>
  <c r="EW52" i="10"/>
  <c r="EX52" i="10"/>
  <c r="EY52" i="10"/>
  <c r="EZ52" i="10"/>
  <c r="FA52" i="10"/>
  <c r="FB52" i="10"/>
  <c r="FC52" i="10"/>
  <c r="FD52" i="10"/>
  <c r="FE52" i="10"/>
  <c r="FF52" i="10"/>
  <c r="FG52" i="10"/>
  <c r="FH52" i="10"/>
  <c r="FI52" i="10"/>
  <c r="FJ52" i="10"/>
  <c r="FK52" i="10"/>
  <c r="FL52" i="10"/>
  <c r="FM52" i="10"/>
  <c r="FN52" i="10"/>
  <c r="FO52" i="10"/>
  <c r="FP52" i="10"/>
  <c r="FQ52" i="10"/>
  <c r="FR52" i="10"/>
  <c r="FS52" i="10"/>
  <c r="FT52" i="10"/>
  <c r="FU52" i="10"/>
  <c r="FV52" i="10"/>
  <c r="FW52" i="10"/>
  <c r="FX52" i="10"/>
  <c r="FY52" i="10"/>
  <c r="FZ52" i="10"/>
  <c r="GA52" i="10"/>
  <c r="GB52" i="10"/>
  <c r="GC52" i="10"/>
  <c r="GD52" i="10"/>
  <c r="GE52" i="10"/>
  <c r="GF52" i="10"/>
  <c r="GG52" i="10"/>
  <c r="GH52" i="10"/>
  <c r="GI52" i="10"/>
  <c r="GJ52" i="10"/>
  <c r="GK52" i="10"/>
  <c r="GL52" i="10"/>
  <c r="GM52" i="10"/>
  <c r="GN52" i="10"/>
  <c r="GO52" i="10"/>
  <c r="GP52" i="10"/>
  <c r="GQ52" i="10"/>
  <c r="GR52" i="10"/>
  <c r="GS52" i="10"/>
  <c r="GW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I53" i="10"/>
  <c r="AJ53" i="10"/>
  <c r="AK53" i="10"/>
  <c r="AL53" i="10"/>
  <c r="AM53" i="10"/>
  <c r="AN53" i="10"/>
  <c r="AO53" i="10"/>
  <c r="AP53" i="10"/>
  <c r="AQ53" i="10"/>
  <c r="AR53" i="10"/>
  <c r="AS53" i="10"/>
  <c r="AT53" i="10"/>
  <c r="AU53" i="10"/>
  <c r="AV53" i="10"/>
  <c r="AW53" i="10"/>
  <c r="AX53" i="10"/>
  <c r="AY53" i="10"/>
  <c r="AZ53" i="10"/>
  <c r="BA53" i="10"/>
  <c r="BB53" i="10"/>
  <c r="BC53" i="10"/>
  <c r="BD53" i="10"/>
  <c r="BE53" i="10"/>
  <c r="BF53" i="10"/>
  <c r="BG53" i="10"/>
  <c r="BH53" i="10"/>
  <c r="BI53" i="10"/>
  <c r="BJ53" i="10"/>
  <c r="BK53" i="10"/>
  <c r="BL53" i="10"/>
  <c r="BM53" i="10"/>
  <c r="BN53" i="10"/>
  <c r="BO53" i="10"/>
  <c r="BP53" i="10"/>
  <c r="BQ53" i="10"/>
  <c r="BR53" i="10"/>
  <c r="BS53" i="10"/>
  <c r="BT53" i="10"/>
  <c r="BU53" i="10"/>
  <c r="BV53" i="10"/>
  <c r="BW53" i="10"/>
  <c r="BX53" i="10"/>
  <c r="BY53" i="10"/>
  <c r="BZ53" i="10"/>
  <c r="CA53" i="10"/>
  <c r="CB53" i="10"/>
  <c r="CC53" i="10"/>
  <c r="CD53" i="10"/>
  <c r="CE53" i="10"/>
  <c r="CF53" i="10"/>
  <c r="CG53" i="10"/>
  <c r="CH53" i="10"/>
  <c r="CI53" i="10"/>
  <c r="CJ53" i="10"/>
  <c r="CK53" i="10"/>
  <c r="CL53" i="10"/>
  <c r="CM53" i="10"/>
  <c r="CN53" i="10"/>
  <c r="CO53" i="10"/>
  <c r="CP53" i="10"/>
  <c r="CQ53" i="10"/>
  <c r="CR53" i="10"/>
  <c r="CS53" i="10"/>
  <c r="CT53" i="10"/>
  <c r="CU53" i="10"/>
  <c r="CV53" i="10"/>
  <c r="CW53" i="10"/>
  <c r="CX53" i="10"/>
  <c r="CY53" i="10"/>
  <c r="CZ53" i="10"/>
  <c r="DA53" i="10"/>
  <c r="DB53" i="10"/>
  <c r="DC53" i="10"/>
  <c r="DD53" i="10"/>
  <c r="DE53" i="10"/>
  <c r="DF53" i="10"/>
  <c r="DG53" i="10"/>
  <c r="DH53" i="10"/>
  <c r="DI53" i="10"/>
  <c r="DJ53" i="10"/>
  <c r="DK53" i="10"/>
  <c r="DL53" i="10"/>
  <c r="DM53" i="10"/>
  <c r="DN53" i="10"/>
  <c r="DO53" i="10"/>
  <c r="DP53" i="10"/>
  <c r="DQ53" i="10"/>
  <c r="DR53" i="10"/>
  <c r="DS53" i="10"/>
  <c r="DT53" i="10"/>
  <c r="DU53" i="10"/>
  <c r="DV53" i="10"/>
  <c r="DW53" i="10"/>
  <c r="DX53" i="10"/>
  <c r="DY53" i="10"/>
  <c r="DZ53" i="10"/>
  <c r="EA53" i="10"/>
  <c r="EB53" i="10"/>
  <c r="EC53" i="10"/>
  <c r="ED53" i="10"/>
  <c r="EE53" i="10"/>
  <c r="EF53" i="10"/>
  <c r="EG53" i="10"/>
  <c r="EH53" i="10"/>
  <c r="EI53" i="10"/>
  <c r="EJ53" i="10"/>
  <c r="EK53" i="10"/>
  <c r="EL53" i="10"/>
  <c r="EM53" i="10"/>
  <c r="EN53" i="10"/>
  <c r="EO53" i="10"/>
  <c r="EP53" i="10"/>
  <c r="EQ53" i="10"/>
  <c r="ER53" i="10"/>
  <c r="ES53" i="10"/>
  <c r="ET53" i="10"/>
  <c r="EU53" i="10"/>
  <c r="EV53" i="10"/>
  <c r="EW53" i="10"/>
  <c r="EX53" i="10"/>
  <c r="EY53" i="10"/>
  <c r="EZ53" i="10"/>
  <c r="FA53" i="10"/>
  <c r="FB53" i="10"/>
  <c r="FC53" i="10"/>
  <c r="FD53" i="10"/>
  <c r="FE53" i="10"/>
  <c r="FF53" i="10"/>
  <c r="FG53" i="10"/>
  <c r="FH53" i="10"/>
  <c r="FI53" i="10"/>
  <c r="FJ53" i="10"/>
  <c r="FK53" i="10"/>
  <c r="FL53" i="10"/>
  <c r="FM53" i="10"/>
  <c r="FN53" i="10"/>
  <c r="FO53" i="10"/>
  <c r="FP53" i="10"/>
  <c r="FQ53" i="10"/>
  <c r="FR53" i="10"/>
  <c r="FS53" i="10"/>
  <c r="FT53" i="10"/>
  <c r="FU53" i="10"/>
  <c r="FV53" i="10"/>
  <c r="FW53" i="10"/>
  <c r="FX53" i="10"/>
  <c r="FY53" i="10"/>
  <c r="FZ53" i="10"/>
  <c r="GA53" i="10"/>
  <c r="GB53" i="10"/>
  <c r="GC53" i="10"/>
  <c r="GD53" i="10"/>
  <c r="GE53" i="10"/>
  <c r="GF53" i="10"/>
  <c r="GG53" i="10"/>
  <c r="GH53" i="10"/>
  <c r="GI53" i="10"/>
  <c r="GJ53" i="10"/>
  <c r="GK53" i="10"/>
  <c r="GL53" i="10"/>
  <c r="GM53" i="10"/>
  <c r="GN53" i="10"/>
  <c r="GO53" i="10"/>
  <c r="GP53" i="10"/>
  <c r="GQ53" i="10"/>
  <c r="GR53" i="10"/>
  <c r="GS53" i="10"/>
  <c r="GW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I54" i="10"/>
  <c r="AJ54" i="10"/>
  <c r="AK54" i="10"/>
  <c r="AL54" i="10"/>
  <c r="AM54" i="10"/>
  <c r="AN54" i="10"/>
  <c r="AO54" i="10"/>
  <c r="AP54" i="10"/>
  <c r="AQ54" i="10"/>
  <c r="AR54" i="10"/>
  <c r="AS54" i="10"/>
  <c r="AT54" i="10"/>
  <c r="AU54" i="10"/>
  <c r="AV54" i="10"/>
  <c r="AW54" i="10"/>
  <c r="AX54" i="10"/>
  <c r="AY54" i="10"/>
  <c r="AZ54" i="10"/>
  <c r="BA54" i="10"/>
  <c r="BB54" i="10"/>
  <c r="BC54" i="10"/>
  <c r="BD54" i="10"/>
  <c r="BE54" i="10"/>
  <c r="BF54" i="10"/>
  <c r="BG54" i="10"/>
  <c r="BH54" i="10"/>
  <c r="BI54" i="10"/>
  <c r="BJ54" i="10"/>
  <c r="BK54" i="10"/>
  <c r="BL54" i="10"/>
  <c r="BM54" i="10"/>
  <c r="BN54" i="10"/>
  <c r="BO54" i="10"/>
  <c r="BP54" i="10"/>
  <c r="BQ54" i="10"/>
  <c r="BR54" i="10"/>
  <c r="BS54" i="10"/>
  <c r="BT54" i="10"/>
  <c r="BU54" i="10"/>
  <c r="BV54" i="10"/>
  <c r="BW54" i="10"/>
  <c r="BX54" i="10"/>
  <c r="BY54" i="10"/>
  <c r="BZ54" i="10"/>
  <c r="CA54" i="10"/>
  <c r="CB54" i="10"/>
  <c r="CC54" i="10"/>
  <c r="CD54" i="10"/>
  <c r="CE54" i="10"/>
  <c r="CF54" i="10"/>
  <c r="CG54" i="10"/>
  <c r="CH54" i="10"/>
  <c r="CI54" i="10"/>
  <c r="CJ54" i="10"/>
  <c r="CK54" i="10"/>
  <c r="CL54" i="10"/>
  <c r="CM54" i="10"/>
  <c r="CN54" i="10"/>
  <c r="CO54" i="10"/>
  <c r="CP54" i="10"/>
  <c r="CQ54" i="10"/>
  <c r="CR54" i="10"/>
  <c r="CS54" i="10"/>
  <c r="CT54" i="10"/>
  <c r="CU54" i="10"/>
  <c r="CV54" i="10"/>
  <c r="CW54" i="10"/>
  <c r="CX54" i="10"/>
  <c r="CY54" i="10"/>
  <c r="CZ54" i="10"/>
  <c r="DA54" i="10"/>
  <c r="DB54" i="10"/>
  <c r="DC54" i="10"/>
  <c r="DD54" i="10"/>
  <c r="DE54" i="10"/>
  <c r="DF54" i="10"/>
  <c r="DG54" i="10"/>
  <c r="DH54" i="10"/>
  <c r="DI54" i="10"/>
  <c r="DJ54" i="10"/>
  <c r="DK54" i="10"/>
  <c r="DL54" i="10"/>
  <c r="DM54" i="10"/>
  <c r="DN54" i="10"/>
  <c r="DO54" i="10"/>
  <c r="DP54" i="10"/>
  <c r="DQ54" i="10"/>
  <c r="DR54" i="10"/>
  <c r="DS54" i="10"/>
  <c r="DT54" i="10"/>
  <c r="DU54" i="10"/>
  <c r="DV54" i="10"/>
  <c r="DW54" i="10"/>
  <c r="DX54" i="10"/>
  <c r="DY54" i="10"/>
  <c r="DZ54" i="10"/>
  <c r="EA54" i="10"/>
  <c r="EB54" i="10"/>
  <c r="EC54" i="10"/>
  <c r="ED54" i="10"/>
  <c r="EE54" i="10"/>
  <c r="EF54" i="10"/>
  <c r="EG54" i="10"/>
  <c r="EH54" i="10"/>
  <c r="EI54" i="10"/>
  <c r="EJ54" i="10"/>
  <c r="EK54" i="10"/>
  <c r="EL54" i="10"/>
  <c r="EM54" i="10"/>
  <c r="EN54" i="10"/>
  <c r="EO54" i="10"/>
  <c r="EP54" i="10"/>
  <c r="EQ54" i="10"/>
  <c r="ER54" i="10"/>
  <c r="ES54" i="10"/>
  <c r="ET54" i="10"/>
  <c r="EU54" i="10"/>
  <c r="EV54" i="10"/>
  <c r="EW54" i="10"/>
  <c r="EX54" i="10"/>
  <c r="EY54" i="10"/>
  <c r="EZ54" i="10"/>
  <c r="FA54" i="10"/>
  <c r="FB54" i="10"/>
  <c r="FC54" i="10"/>
  <c r="FD54" i="10"/>
  <c r="FE54" i="10"/>
  <c r="FF54" i="10"/>
  <c r="FG54" i="10"/>
  <c r="FH54" i="10"/>
  <c r="FI54" i="10"/>
  <c r="FJ54" i="10"/>
  <c r="FK54" i="10"/>
  <c r="FL54" i="10"/>
  <c r="FM54" i="10"/>
  <c r="FN54" i="10"/>
  <c r="FO54" i="10"/>
  <c r="FP54" i="10"/>
  <c r="FQ54" i="10"/>
  <c r="FR54" i="10"/>
  <c r="FS54" i="10"/>
  <c r="FT54" i="10"/>
  <c r="FU54" i="10"/>
  <c r="FV54" i="10"/>
  <c r="FW54" i="10"/>
  <c r="FX54" i="10"/>
  <c r="FY54" i="10"/>
  <c r="FZ54" i="10"/>
  <c r="GA54" i="10"/>
  <c r="GB54" i="10"/>
  <c r="GC54" i="10"/>
  <c r="GD54" i="10"/>
  <c r="GE54" i="10"/>
  <c r="GF54" i="10"/>
  <c r="GG54" i="10"/>
  <c r="GH54" i="10"/>
  <c r="GI54" i="10"/>
  <c r="GJ54" i="10"/>
  <c r="GK54" i="10"/>
  <c r="GL54" i="10"/>
  <c r="GM54" i="10"/>
  <c r="GN54" i="10"/>
  <c r="GO54" i="10"/>
  <c r="GP54" i="10"/>
  <c r="GQ54" i="10"/>
  <c r="GR54" i="10"/>
  <c r="GS54" i="10"/>
  <c r="GW54" i="10"/>
  <c r="A55" i="10"/>
  <c r="A85" i="10" s="1"/>
  <c r="B55" i="10"/>
  <c r="C55" i="10"/>
  <c r="C85" i="10" s="1"/>
  <c r="D55" i="10"/>
  <c r="D85" i="10" s="1"/>
  <c r="E55" i="10"/>
  <c r="E85" i="10" s="1"/>
  <c r="F55" i="10"/>
  <c r="F85" i="10" s="1"/>
  <c r="G55" i="10"/>
  <c r="G85" i="10" s="1"/>
  <c r="H55" i="10"/>
  <c r="H85" i="10" s="1"/>
  <c r="I55" i="10"/>
  <c r="I85" i="10" s="1"/>
  <c r="J55" i="10"/>
  <c r="J85" i="10" s="1"/>
  <c r="K55" i="10"/>
  <c r="K85" i="10" s="1"/>
  <c r="L55" i="10"/>
  <c r="L85" i="10" s="1"/>
  <c r="M55" i="10"/>
  <c r="M85" i="10" s="1"/>
  <c r="N55" i="10"/>
  <c r="N85" i="10" s="1"/>
  <c r="O55" i="10"/>
  <c r="O85" i="10" s="1"/>
  <c r="P55" i="10"/>
  <c r="P85" i="10" s="1"/>
  <c r="Q55" i="10"/>
  <c r="Q85" i="10" s="1"/>
  <c r="R55" i="10"/>
  <c r="R85" i="10" s="1"/>
  <c r="S55" i="10"/>
  <c r="S85" i="10" s="1"/>
  <c r="T55" i="10"/>
  <c r="T85" i="10" s="1"/>
  <c r="U55" i="10"/>
  <c r="U85" i="10" s="1"/>
  <c r="V55" i="10"/>
  <c r="V85" i="10" s="1"/>
  <c r="W55" i="10"/>
  <c r="W85" i="10" s="1"/>
  <c r="X55" i="10"/>
  <c r="X85" i="10" s="1"/>
  <c r="Y55" i="10"/>
  <c r="Y85" i="10" s="1"/>
  <c r="Z55" i="10"/>
  <c r="Z85" i="10" s="1"/>
  <c r="AA55" i="10"/>
  <c r="AA85" i="10" s="1"/>
  <c r="AB55" i="10"/>
  <c r="AB85" i="10" s="1"/>
  <c r="AC55" i="10"/>
  <c r="AC85" i="10" s="1"/>
  <c r="AD55" i="10"/>
  <c r="AD85" i="10" s="1"/>
  <c r="AE55" i="10"/>
  <c r="AE85" i="10" s="1"/>
  <c r="AF55" i="10"/>
  <c r="AF85" i="10" s="1"/>
  <c r="AG55" i="10"/>
  <c r="AG85" i="10" s="1"/>
  <c r="AH55" i="10"/>
  <c r="AH85" i="10" s="1"/>
  <c r="AI55" i="10"/>
  <c r="AI85" i="10" s="1"/>
  <c r="AJ55" i="10"/>
  <c r="AJ85" i="10" s="1"/>
  <c r="AK55" i="10"/>
  <c r="AK85" i="10" s="1"/>
  <c r="AL55" i="10"/>
  <c r="AL85" i="10" s="1"/>
  <c r="AM55" i="10"/>
  <c r="AM85" i="10" s="1"/>
  <c r="AN55" i="10"/>
  <c r="AN85" i="10" s="1"/>
  <c r="AO55" i="10"/>
  <c r="AO85" i="10" s="1"/>
  <c r="AP55" i="10"/>
  <c r="AP85" i="10" s="1"/>
  <c r="AQ55" i="10"/>
  <c r="AQ85" i="10" s="1"/>
  <c r="AR55" i="10"/>
  <c r="AR85" i="10" s="1"/>
  <c r="AS55" i="10"/>
  <c r="AS85" i="10" s="1"/>
  <c r="AT55" i="10"/>
  <c r="AT85" i="10" s="1"/>
  <c r="AU55" i="10"/>
  <c r="AU85" i="10" s="1"/>
  <c r="AV55" i="10"/>
  <c r="AV85" i="10" s="1"/>
  <c r="AW55" i="10"/>
  <c r="AW85" i="10" s="1"/>
  <c r="AX55" i="10"/>
  <c r="AX85" i="10" s="1"/>
  <c r="AY55" i="10"/>
  <c r="AY85" i="10" s="1"/>
  <c r="AZ55" i="10"/>
  <c r="AZ85" i="10" s="1"/>
  <c r="BA55" i="10"/>
  <c r="BA85" i="10" s="1"/>
  <c r="BB55" i="10"/>
  <c r="BB85" i="10" s="1"/>
  <c r="BC55" i="10"/>
  <c r="BC85" i="10" s="1"/>
  <c r="BD55" i="10"/>
  <c r="BD85" i="10" s="1"/>
  <c r="BE55" i="10"/>
  <c r="BE85" i="10" s="1"/>
  <c r="BF55" i="10"/>
  <c r="BF85" i="10" s="1"/>
  <c r="BG55" i="10"/>
  <c r="BG85" i="10" s="1"/>
  <c r="BH55" i="10"/>
  <c r="BH85" i="10" s="1"/>
  <c r="BI55" i="10"/>
  <c r="BI85" i="10" s="1"/>
  <c r="BJ55" i="10"/>
  <c r="BJ85" i="10" s="1"/>
  <c r="BK55" i="10"/>
  <c r="BK85" i="10" s="1"/>
  <c r="BL55" i="10"/>
  <c r="BL85" i="10" s="1"/>
  <c r="BM55" i="10"/>
  <c r="BM85" i="10" s="1"/>
  <c r="BN55" i="10"/>
  <c r="BN85" i="10" s="1"/>
  <c r="BO55" i="10"/>
  <c r="BO85" i="10" s="1"/>
  <c r="BP55" i="10"/>
  <c r="BP85" i="10" s="1"/>
  <c r="BQ55" i="10"/>
  <c r="BQ85" i="10" s="1"/>
  <c r="BR55" i="10"/>
  <c r="BR85" i="10" s="1"/>
  <c r="BS55" i="10"/>
  <c r="BS85" i="10" s="1"/>
  <c r="BT55" i="10"/>
  <c r="BT85" i="10" s="1"/>
  <c r="BU55" i="10"/>
  <c r="BU85" i="10" s="1"/>
  <c r="BV55" i="10"/>
  <c r="BV85" i="10" s="1"/>
  <c r="BW55" i="10"/>
  <c r="BW85" i="10" s="1"/>
  <c r="BX55" i="10"/>
  <c r="BX85" i="10" s="1"/>
  <c r="BY55" i="10"/>
  <c r="BY85" i="10" s="1"/>
  <c r="BZ55" i="10"/>
  <c r="BZ85" i="10" s="1"/>
  <c r="CA55" i="10"/>
  <c r="CA85" i="10" s="1"/>
  <c r="CB55" i="10"/>
  <c r="CB85" i="10" s="1"/>
  <c r="CC55" i="10"/>
  <c r="CC85" i="10" s="1"/>
  <c r="CD55" i="10"/>
  <c r="CD85" i="10" s="1"/>
  <c r="CE55" i="10"/>
  <c r="CE85" i="10" s="1"/>
  <c r="CF55" i="10"/>
  <c r="CF85" i="10" s="1"/>
  <c r="CG55" i="10"/>
  <c r="CG85" i="10" s="1"/>
  <c r="CH55" i="10"/>
  <c r="CH85" i="10" s="1"/>
  <c r="CI55" i="10"/>
  <c r="CI85" i="10" s="1"/>
  <c r="CJ55" i="10"/>
  <c r="CJ85" i="10" s="1"/>
  <c r="CK55" i="10"/>
  <c r="CK85" i="10" s="1"/>
  <c r="CL55" i="10"/>
  <c r="CL85" i="10" s="1"/>
  <c r="CM55" i="10"/>
  <c r="CM85" i="10" s="1"/>
  <c r="CN55" i="10"/>
  <c r="CN85" i="10" s="1"/>
  <c r="CO55" i="10"/>
  <c r="CO85" i="10" s="1"/>
  <c r="CP55" i="10"/>
  <c r="CP85" i="10" s="1"/>
  <c r="CQ55" i="10"/>
  <c r="CQ85" i="10" s="1"/>
  <c r="CR55" i="10"/>
  <c r="CR85" i="10" s="1"/>
  <c r="CS55" i="10"/>
  <c r="CS85" i="10" s="1"/>
  <c r="CT55" i="10"/>
  <c r="CT85" i="10" s="1"/>
  <c r="CU55" i="10"/>
  <c r="CU85" i="10" s="1"/>
  <c r="CV55" i="10"/>
  <c r="CV85" i="10" s="1"/>
  <c r="CW55" i="10"/>
  <c r="CW85" i="10" s="1"/>
  <c r="CX55" i="10"/>
  <c r="CX85" i="10" s="1"/>
  <c r="CY55" i="10"/>
  <c r="CY85" i="10" s="1"/>
  <c r="CZ55" i="10"/>
  <c r="CZ85" i="10" s="1"/>
  <c r="DA55" i="10"/>
  <c r="DA85" i="10" s="1"/>
  <c r="DB55" i="10"/>
  <c r="DB85" i="10" s="1"/>
  <c r="DC55" i="10"/>
  <c r="DC85" i="10" s="1"/>
  <c r="DD55" i="10"/>
  <c r="DD85" i="10" s="1"/>
  <c r="DE55" i="10"/>
  <c r="DE85" i="10" s="1"/>
  <c r="DF55" i="10"/>
  <c r="DF85" i="10" s="1"/>
  <c r="DG55" i="10"/>
  <c r="DG85" i="10" s="1"/>
  <c r="DH55" i="10"/>
  <c r="DH85" i="10" s="1"/>
  <c r="DI55" i="10"/>
  <c r="DI85" i="10" s="1"/>
  <c r="DJ55" i="10"/>
  <c r="DJ85" i="10" s="1"/>
  <c r="DK55" i="10"/>
  <c r="DK85" i="10" s="1"/>
  <c r="DL55" i="10"/>
  <c r="DL85" i="10" s="1"/>
  <c r="DM55" i="10"/>
  <c r="DM85" i="10" s="1"/>
  <c r="DN55" i="10"/>
  <c r="DN85" i="10" s="1"/>
  <c r="DO55" i="10"/>
  <c r="DO85" i="10" s="1"/>
  <c r="DP55" i="10"/>
  <c r="DP85" i="10" s="1"/>
  <c r="DQ55" i="10"/>
  <c r="DQ85" i="10" s="1"/>
  <c r="DR55" i="10"/>
  <c r="DR85" i="10" s="1"/>
  <c r="DS55" i="10"/>
  <c r="DS85" i="10" s="1"/>
  <c r="DT55" i="10"/>
  <c r="DT85" i="10" s="1"/>
  <c r="DU55" i="10"/>
  <c r="DU85" i="10" s="1"/>
  <c r="DV55" i="10"/>
  <c r="DV85" i="10" s="1"/>
  <c r="DW55" i="10"/>
  <c r="DW85" i="10" s="1"/>
  <c r="DX55" i="10"/>
  <c r="DX85" i="10" s="1"/>
  <c r="DY55" i="10"/>
  <c r="DY85" i="10" s="1"/>
  <c r="DZ55" i="10"/>
  <c r="DZ85" i="10" s="1"/>
  <c r="EA55" i="10"/>
  <c r="EA85" i="10" s="1"/>
  <c r="EB55" i="10"/>
  <c r="EB85" i="10" s="1"/>
  <c r="EC55" i="10"/>
  <c r="EC85" i="10" s="1"/>
  <c r="ED55" i="10"/>
  <c r="ED85" i="10" s="1"/>
  <c r="EE55" i="10"/>
  <c r="EE85" i="10" s="1"/>
  <c r="EF55" i="10"/>
  <c r="EF85" i="10" s="1"/>
  <c r="EG55" i="10"/>
  <c r="EG85" i="10" s="1"/>
  <c r="EH55" i="10"/>
  <c r="EH85" i="10" s="1"/>
  <c r="EI55" i="10"/>
  <c r="EI85" i="10" s="1"/>
  <c r="EJ55" i="10"/>
  <c r="EJ85" i="10" s="1"/>
  <c r="EK55" i="10"/>
  <c r="EK85" i="10" s="1"/>
  <c r="EL55" i="10"/>
  <c r="EL85" i="10" s="1"/>
  <c r="EM55" i="10"/>
  <c r="EM85" i="10" s="1"/>
  <c r="EN55" i="10"/>
  <c r="EN85" i="10" s="1"/>
  <c r="EO55" i="10"/>
  <c r="EO85" i="10" s="1"/>
  <c r="EP55" i="10"/>
  <c r="EP85" i="10" s="1"/>
  <c r="EQ55" i="10"/>
  <c r="EQ85" i="10" s="1"/>
  <c r="ER55" i="10"/>
  <c r="ER85" i="10" s="1"/>
  <c r="ES55" i="10"/>
  <c r="ES85" i="10" s="1"/>
  <c r="ET55" i="10"/>
  <c r="ET85" i="10" s="1"/>
  <c r="EU55" i="10"/>
  <c r="EU85" i="10" s="1"/>
  <c r="EV55" i="10"/>
  <c r="EV85" i="10" s="1"/>
  <c r="EW55" i="10"/>
  <c r="EW85" i="10" s="1"/>
  <c r="EX55" i="10"/>
  <c r="EX85" i="10" s="1"/>
  <c r="EY55" i="10"/>
  <c r="EY85" i="10" s="1"/>
  <c r="EZ55" i="10"/>
  <c r="EZ85" i="10" s="1"/>
  <c r="FA55" i="10"/>
  <c r="FA85" i="10" s="1"/>
  <c r="FB55" i="10"/>
  <c r="FB85" i="10" s="1"/>
  <c r="FC55" i="10"/>
  <c r="FC85" i="10" s="1"/>
  <c r="FD55" i="10"/>
  <c r="FD85" i="10" s="1"/>
  <c r="FE55" i="10"/>
  <c r="FE85" i="10" s="1"/>
  <c r="FF55" i="10"/>
  <c r="FF85" i="10" s="1"/>
  <c r="FG55" i="10"/>
  <c r="FG85" i="10" s="1"/>
  <c r="FH55" i="10"/>
  <c r="FH85" i="10" s="1"/>
  <c r="FI55" i="10"/>
  <c r="FI85" i="10" s="1"/>
  <c r="FJ55" i="10"/>
  <c r="FJ85" i="10" s="1"/>
  <c r="FK55" i="10"/>
  <c r="FK85" i="10" s="1"/>
  <c r="FL55" i="10"/>
  <c r="FL85" i="10" s="1"/>
  <c r="FM55" i="10"/>
  <c r="FM85" i="10" s="1"/>
  <c r="FN55" i="10"/>
  <c r="FN85" i="10" s="1"/>
  <c r="FO55" i="10"/>
  <c r="FO85" i="10" s="1"/>
  <c r="FP55" i="10"/>
  <c r="FP85" i="10" s="1"/>
  <c r="FQ55" i="10"/>
  <c r="FQ85" i="10" s="1"/>
  <c r="FR55" i="10"/>
  <c r="FR85" i="10" s="1"/>
  <c r="FS55" i="10"/>
  <c r="FS85" i="10" s="1"/>
  <c r="FT55" i="10"/>
  <c r="FT85" i="10" s="1"/>
  <c r="FU55" i="10"/>
  <c r="FU85" i="10" s="1"/>
  <c r="FV55" i="10"/>
  <c r="FV85" i="10" s="1"/>
  <c r="FW55" i="10"/>
  <c r="FW85" i="10" s="1"/>
  <c r="FX55" i="10"/>
  <c r="FX85" i="10" s="1"/>
  <c r="FY55" i="10"/>
  <c r="FY85" i="10" s="1"/>
  <c r="FZ55" i="10"/>
  <c r="FZ85" i="10" s="1"/>
  <c r="GA55" i="10"/>
  <c r="GA85" i="10" s="1"/>
  <c r="GB55" i="10"/>
  <c r="GB85" i="10" s="1"/>
  <c r="GC55" i="10"/>
  <c r="GC85" i="10" s="1"/>
  <c r="GD55" i="10"/>
  <c r="GD85" i="10" s="1"/>
  <c r="GE55" i="10"/>
  <c r="GE85" i="10" s="1"/>
  <c r="GF55" i="10"/>
  <c r="GF85" i="10" s="1"/>
  <c r="GG55" i="10"/>
  <c r="GG85" i="10" s="1"/>
  <c r="GH55" i="10"/>
  <c r="GH85" i="10" s="1"/>
  <c r="GI55" i="10"/>
  <c r="GI85" i="10" s="1"/>
  <c r="GJ55" i="10"/>
  <c r="GJ85" i="10" s="1"/>
  <c r="GK55" i="10"/>
  <c r="GK85" i="10" s="1"/>
  <c r="GL55" i="10"/>
  <c r="GL85" i="10" s="1"/>
  <c r="GM55" i="10"/>
  <c r="GM85" i="10" s="1"/>
  <c r="GN55" i="10"/>
  <c r="GN85" i="10" s="1"/>
  <c r="GO55" i="10"/>
  <c r="GO85" i="10" s="1"/>
  <c r="GP55" i="10"/>
  <c r="GP85" i="10" s="1"/>
  <c r="GQ55" i="10"/>
  <c r="GQ85" i="10" s="1"/>
  <c r="GR55" i="10"/>
  <c r="GR85" i="10" s="1"/>
  <c r="GS55" i="10"/>
  <c r="GS85" i="10" s="1"/>
  <c r="GW55" i="10"/>
  <c r="A56" i="10"/>
  <c r="A86" i="10" s="1"/>
  <c r="B56" i="10"/>
  <c r="C56" i="10"/>
  <c r="C86" i="10" s="1"/>
  <c r="D56" i="10"/>
  <c r="D86" i="10" s="1"/>
  <c r="E56" i="10"/>
  <c r="E86" i="10" s="1"/>
  <c r="F56" i="10"/>
  <c r="F86" i="10" s="1"/>
  <c r="G56" i="10"/>
  <c r="G86" i="10" s="1"/>
  <c r="H56" i="10"/>
  <c r="H86" i="10" s="1"/>
  <c r="I56" i="10"/>
  <c r="I86" i="10" s="1"/>
  <c r="J56" i="10"/>
  <c r="J86" i="10" s="1"/>
  <c r="K56" i="10"/>
  <c r="K86" i="10" s="1"/>
  <c r="L56" i="10"/>
  <c r="L86" i="10" s="1"/>
  <c r="M56" i="10"/>
  <c r="M86" i="10" s="1"/>
  <c r="N56" i="10"/>
  <c r="N86" i="10" s="1"/>
  <c r="O56" i="10"/>
  <c r="O86" i="10" s="1"/>
  <c r="P56" i="10"/>
  <c r="P86" i="10" s="1"/>
  <c r="Q56" i="10"/>
  <c r="Q86" i="10" s="1"/>
  <c r="R56" i="10"/>
  <c r="R86" i="10" s="1"/>
  <c r="S56" i="10"/>
  <c r="S86" i="10" s="1"/>
  <c r="T56" i="10"/>
  <c r="T86" i="10" s="1"/>
  <c r="U56" i="10"/>
  <c r="U86" i="10" s="1"/>
  <c r="V56" i="10"/>
  <c r="V86" i="10" s="1"/>
  <c r="W56" i="10"/>
  <c r="W86" i="10" s="1"/>
  <c r="X56" i="10"/>
  <c r="X86" i="10" s="1"/>
  <c r="Y56" i="10"/>
  <c r="Y86" i="10" s="1"/>
  <c r="Z56" i="10"/>
  <c r="Z86" i="10" s="1"/>
  <c r="AA56" i="10"/>
  <c r="AA86" i="10" s="1"/>
  <c r="AB56" i="10"/>
  <c r="AB86" i="10" s="1"/>
  <c r="AC56" i="10"/>
  <c r="AC86" i="10" s="1"/>
  <c r="AD56" i="10"/>
  <c r="AD86" i="10" s="1"/>
  <c r="AE56" i="10"/>
  <c r="AE86" i="10" s="1"/>
  <c r="AF56" i="10"/>
  <c r="AF86" i="10" s="1"/>
  <c r="AG56" i="10"/>
  <c r="AG86" i="10" s="1"/>
  <c r="AH56" i="10"/>
  <c r="AH86" i="10" s="1"/>
  <c r="AI56" i="10"/>
  <c r="AI86" i="10" s="1"/>
  <c r="AJ56" i="10"/>
  <c r="AJ86" i="10" s="1"/>
  <c r="AK56" i="10"/>
  <c r="AK86" i="10" s="1"/>
  <c r="AL56" i="10"/>
  <c r="AL86" i="10" s="1"/>
  <c r="AM56" i="10"/>
  <c r="AM86" i="10" s="1"/>
  <c r="AN56" i="10"/>
  <c r="AN86" i="10" s="1"/>
  <c r="AO56" i="10"/>
  <c r="AO86" i="10" s="1"/>
  <c r="AP56" i="10"/>
  <c r="AP86" i="10" s="1"/>
  <c r="AQ56" i="10"/>
  <c r="AQ86" i="10" s="1"/>
  <c r="AR56" i="10"/>
  <c r="AR86" i="10" s="1"/>
  <c r="AS56" i="10"/>
  <c r="AS86" i="10" s="1"/>
  <c r="AT56" i="10"/>
  <c r="AT86" i="10" s="1"/>
  <c r="AU56" i="10"/>
  <c r="AU86" i="10" s="1"/>
  <c r="AV56" i="10"/>
  <c r="AV86" i="10" s="1"/>
  <c r="AW56" i="10"/>
  <c r="AW86" i="10" s="1"/>
  <c r="AX56" i="10"/>
  <c r="AX86" i="10" s="1"/>
  <c r="AY56" i="10"/>
  <c r="AY86" i="10" s="1"/>
  <c r="AZ56" i="10"/>
  <c r="AZ86" i="10" s="1"/>
  <c r="BA56" i="10"/>
  <c r="BA86" i="10" s="1"/>
  <c r="BB56" i="10"/>
  <c r="BB86" i="10" s="1"/>
  <c r="BC56" i="10"/>
  <c r="BC86" i="10" s="1"/>
  <c r="BD56" i="10"/>
  <c r="BD86" i="10" s="1"/>
  <c r="BE56" i="10"/>
  <c r="BE86" i="10" s="1"/>
  <c r="BF56" i="10"/>
  <c r="BF86" i="10" s="1"/>
  <c r="BG56" i="10"/>
  <c r="BG86" i="10" s="1"/>
  <c r="BH56" i="10"/>
  <c r="BH86" i="10" s="1"/>
  <c r="BI56" i="10"/>
  <c r="BI86" i="10" s="1"/>
  <c r="BJ56" i="10"/>
  <c r="BJ86" i="10" s="1"/>
  <c r="BK56" i="10"/>
  <c r="BK86" i="10" s="1"/>
  <c r="BL56" i="10"/>
  <c r="BL86" i="10" s="1"/>
  <c r="BM56" i="10"/>
  <c r="BM86" i="10" s="1"/>
  <c r="BN56" i="10"/>
  <c r="BN86" i="10" s="1"/>
  <c r="BO56" i="10"/>
  <c r="BO86" i="10" s="1"/>
  <c r="BP56" i="10"/>
  <c r="BP86" i="10" s="1"/>
  <c r="BQ56" i="10"/>
  <c r="BQ86" i="10" s="1"/>
  <c r="BR56" i="10"/>
  <c r="BR86" i="10" s="1"/>
  <c r="BS56" i="10"/>
  <c r="BS86" i="10" s="1"/>
  <c r="BT56" i="10"/>
  <c r="BT86" i="10" s="1"/>
  <c r="BU56" i="10"/>
  <c r="BU86" i="10" s="1"/>
  <c r="BV56" i="10"/>
  <c r="BV86" i="10" s="1"/>
  <c r="BW56" i="10"/>
  <c r="BW86" i="10" s="1"/>
  <c r="BX56" i="10"/>
  <c r="BX86" i="10" s="1"/>
  <c r="BY56" i="10"/>
  <c r="BY86" i="10" s="1"/>
  <c r="BZ56" i="10"/>
  <c r="BZ86" i="10" s="1"/>
  <c r="CA56" i="10"/>
  <c r="CA86" i="10" s="1"/>
  <c r="CB56" i="10"/>
  <c r="CB86" i="10" s="1"/>
  <c r="CC56" i="10"/>
  <c r="CC86" i="10" s="1"/>
  <c r="CD56" i="10"/>
  <c r="CD86" i="10" s="1"/>
  <c r="CE56" i="10"/>
  <c r="CE86" i="10" s="1"/>
  <c r="CF56" i="10"/>
  <c r="CF86" i="10" s="1"/>
  <c r="CG56" i="10"/>
  <c r="CG86" i="10" s="1"/>
  <c r="CH56" i="10"/>
  <c r="CH86" i="10" s="1"/>
  <c r="CI56" i="10"/>
  <c r="CI86" i="10" s="1"/>
  <c r="CJ56" i="10"/>
  <c r="CJ86" i="10" s="1"/>
  <c r="CK56" i="10"/>
  <c r="CK86" i="10" s="1"/>
  <c r="CL56" i="10"/>
  <c r="CL86" i="10" s="1"/>
  <c r="CM56" i="10"/>
  <c r="CM86" i="10" s="1"/>
  <c r="CN56" i="10"/>
  <c r="CN86" i="10" s="1"/>
  <c r="CO56" i="10"/>
  <c r="CO86" i="10" s="1"/>
  <c r="CP56" i="10"/>
  <c r="CP86" i="10" s="1"/>
  <c r="CQ56" i="10"/>
  <c r="CQ86" i="10" s="1"/>
  <c r="CR56" i="10"/>
  <c r="CR86" i="10" s="1"/>
  <c r="CS56" i="10"/>
  <c r="CS86" i="10" s="1"/>
  <c r="CT56" i="10"/>
  <c r="CT86" i="10" s="1"/>
  <c r="CU56" i="10"/>
  <c r="CU86" i="10" s="1"/>
  <c r="CV56" i="10"/>
  <c r="CV86" i="10" s="1"/>
  <c r="CW56" i="10"/>
  <c r="CW86" i="10" s="1"/>
  <c r="CX56" i="10"/>
  <c r="CX86" i="10" s="1"/>
  <c r="CY56" i="10"/>
  <c r="CY86" i="10" s="1"/>
  <c r="CZ56" i="10"/>
  <c r="CZ86" i="10" s="1"/>
  <c r="DA56" i="10"/>
  <c r="DA86" i="10" s="1"/>
  <c r="DB56" i="10"/>
  <c r="DB86" i="10" s="1"/>
  <c r="DC56" i="10"/>
  <c r="DC86" i="10" s="1"/>
  <c r="DD56" i="10"/>
  <c r="DD86" i="10" s="1"/>
  <c r="DE56" i="10"/>
  <c r="DE86" i="10" s="1"/>
  <c r="DF56" i="10"/>
  <c r="DF86" i="10" s="1"/>
  <c r="DG56" i="10"/>
  <c r="DG86" i="10" s="1"/>
  <c r="DH56" i="10"/>
  <c r="DH86" i="10" s="1"/>
  <c r="DI56" i="10"/>
  <c r="DI86" i="10" s="1"/>
  <c r="DJ56" i="10"/>
  <c r="DJ86" i="10" s="1"/>
  <c r="DK56" i="10"/>
  <c r="DK86" i="10" s="1"/>
  <c r="DL56" i="10"/>
  <c r="DL86" i="10" s="1"/>
  <c r="DM56" i="10"/>
  <c r="DM86" i="10" s="1"/>
  <c r="DN56" i="10"/>
  <c r="DN86" i="10" s="1"/>
  <c r="DO56" i="10"/>
  <c r="DO86" i="10" s="1"/>
  <c r="DP56" i="10"/>
  <c r="DP86" i="10" s="1"/>
  <c r="DQ56" i="10"/>
  <c r="DQ86" i="10" s="1"/>
  <c r="DR56" i="10"/>
  <c r="DR86" i="10" s="1"/>
  <c r="DS56" i="10"/>
  <c r="DS86" i="10" s="1"/>
  <c r="DT56" i="10"/>
  <c r="DT86" i="10" s="1"/>
  <c r="DU56" i="10"/>
  <c r="DU86" i="10" s="1"/>
  <c r="DV56" i="10"/>
  <c r="DV86" i="10" s="1"/>
  <c r="DW56" i="10"/>
  <c r="DW86" i="10" s="1"/>
  <c r="DX56" i="10"/>
  <c r="DX86" i="10" s="1"/>
  <c r="DY56" i="10"/>
  <c r="DY86" i="10" s="1"/>
  <c r="DZ56" i="10"/>
  <c r="DZ86" i="10" s="1"/>
  <c r="EA56" i="10"/>
  <c r="EA86" i="10" s="1"/>
  <c r="EB56" i="10"/>
  <c r="EB86" i="10" s="1"/>
  <c r="EC56" i="10"/>
  <c r="EC86" i="10" s="1"/>
  <c r="ED56" i="10"/>
  <c r="ED86" i="10" s="1"/>
  <c r="EE56" i="10"/>
  <c r="EE86" i="10" s="1"/>
  <c r="EF56" i="10"/>
  <c r="EF86" i="10" s="1"/>
  <c r="EG56" i="10"/>
  <c r="EG86" i="10" s="1"/>
  <c r="EH56" i="10"/>
  <c r="EH86" i="10" s="1"/>
  <c r="EI56" i="10"/>
  <c r="EI86" i="10" s="1"/>
  <c r="EJ56" i="10"/>
  <c r="EJ86" i="10" s="1"/>
  <c r="EK56" i="10"/>
  <c r="EK86" i="10" s="1"/>
  <c r="EL56" i="10"/>
  <c r="EL86" i="10" s="1"/>
  <c r="EM56" i="10"/>
  <c r="EM86" i="10" s="1"/>
  <c r="EN56" i="10"/>
  <c r="EN86" i="10" s="1"/>
  <c r="EO56" i="10"/>
  <c r="EO86" i="10" s="1"/>
  <c r="EP56" i="10"/>
  <c r="EP86" i="10" s="1"/>
  <c r="EQ56" i="10"/>
  <c r="EQ86" i="10" s="1"/>
  <c r="ER56" i="10"/>
  <c r="ER86" i="10" s="1"/>
  <c r="ES56" i="10"/>
  <c r="ES86" i="10" s="1"/>
  <c r="ET56" i="10"/>
  <c r="ET86" i="10" s="1"/>
  <c r="EU56" i="10"/>
  <c r="EU86" i="10" s="1"/>
  <c r="EV56" i="10"/>
  <c r="EV86" i="10" s="1"/>
  <c r="EW56" i="10"/>
  <c r="EW86" i="10" s="1"/>
  <c r="EX56" i="10"/>
  <c r="EX86" i="10" s="1"/>
  <c r="EY56" i="10"/>
  <c r="EY86" i="10" s="1"/>
  <c r="EZ56" i="10"/>
  <c r="EZ86" i="10" s="1"/>
  <c r="FA56" i="10"/>
  <c r="FA86" i="10" s="1"/>
  <c r="FB56" i="10"/>
  <c r="FB86" i="10" s="1"/>
  <c r="FC56" i="10"/>
  <c r="FC86" i="10" s="1"/>
  <c r="FD56" i="10"/>
  <c r="FD86" i="10" s="1"/>
  <c r="FE56" i="10"/>
  <c r="FE86" i="10" s="1"/>
  <c r="FF56" i="10"/>
  <c r="FF86" i="10" s="1"/>
  <c r="FG56" i="10"/>
  <c r="FG86" i="10" s="1"/>
  <c r="FH56" i="10"/>
  <c r="FH86" i="10" s="1"/>
  <c r="FI56" i="10"/>
  <c r="FI86" i="10" s="1"/>
  <c r="FJ56" i="10"/>
  <c r="FJ86" i="10" s="1"/>
  <c r="FK56" i="10"/>
  <c r="FK86" i="10" s="1"/>
  <c r="FL56" i="10"/>
  <c r="FL86" i="10" s="1"/>
  <c r="FM56" i="10"/>
  <c r="FM86" i="10" s="1"/>
  <c r="FN56" i="10"/>
  <c r="FN86" i="10" s="1"/>
  <c r="FO56" i="10"/>
  <c r="FO86" i="10" s="1"/>
  <c r="FP56" i="10"/>
  <c r="FP86" i="10" s="1"/>
  <c r="FQ56" i="10"/>
  <c r="FQ86" i="10" s="1"/>
  <c r="FR56" i="10"/>
  <c r="FR86" i="10" s="1"/>
  <c r="FS56" i="10"/>
  <c r="FS86" i="10" s="1"/>
  <c r="FT56" i="10"/>
  <c r="FT86" i="10" s="1"/>
  <c r="FU56" i="10"/>
  <c r="FU86" i="10" s="1"/>
  <c r="FV56" i="10"/>
  <c r="FV86" i="10" s="1"/>
  <c r="FW56" i="10"/>
  <c r="FW86" i="10" s="1"/>
  <c r="FX56" i="10"/>
  <c r="FX86" i="10" s="1"/>
  <c r="FY56" i="10"/>
  <c r="FY86" i="10" s="1"/>
  <c r="FZ56" i="10"/>
  <c r="FZ86" i="10" s="1"/>
  <c r="GA56" i="10"/>
  <c r="GA86" i="10" s="1"/>
  <c r="GB56" i="10"/>
  <c r="GB86" i="10" s="1"/>
  <c r="GC56" i="10"/>
  <c r="GC86" i="10" s="1"/>
  <c r="GD56" i="10"/>
  <c r="GD86" i="10" s="1"/>
  <c r="GE56" i="10"/>
  <c r="GE86" i="10" s="1"/>
  <c r="GF56" i="10"/>
  <c r="GF86" i="10" s="1"/>
  <c r="GG56" i="10"/>
  <c r="GG86" i="10" s="1"/>
  <c r="GH56" i="10"/>
  <c r="GH86" i="10" s="1"/>
  <c r="GI56" i="10"/>
  <c r="GI86" i="10" s="1"/>
  <c r="GJ56" i="10"/>
  <c r="GJ86" i="10" s="1"/>
  <c r="GK56" i="10"/>
  <c r="GK86" i="10" s="1"/>
  <c r="GL56" i="10"/>
  <c r="GL86" i="10" s="1"/>
  <c r="GM56" i="10"/>
  <c r="GM86" i="10" s="1"/>
  <c r="GN56" i="10"/>
  <c r="GN86" i="10" s="1"/>
  <c r="GO56" i="10"/>
  <c r="GO86" i="10" s="1"/>
  <c r="GP56" i="10"/>
  <c r="GP86" i="10" s="1"/>
  <c r="GQ56" i="10"/>
  <c r="GQ86" i="10" s="1"/>
  <c r="GR56" i="10"/>
  <c r="GR86" i="10" s="1"/>
  <c r="GS56" i="10"/>
  <c r="GS86" i="10" s="1"/>
  <c r="GW56"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I43" i="10"/>
  <c r="AJ43" i="10"/>
  <c r="AK43" i="10"/>
  <c r="AL43" i="10"/>
  <c r="AM43" i="10"/>
  <c r="AN43" i="10"/>
  <c r="AO43" i="10"/>
  <c r="AP43" i="10"/>
  <c r="AQ43" i="10"/>
  <c r="AR43" i="10"/>
  <c r="AS43" i="10"/>
  <c r="AT43" i="10"/>
  <c r="AU43" i="10"/>
  <c r="AV43" i="10"/>
  <c r="AW43" i="10"/>
  <c r="AX43" i="10"/>
  <c r="AY43" i="10"/>
  <c r="AZ43" i="10"/>
  <c r="BA43" i="10"/>
  <c r="BB43" i="10"/>
  <c r="BC43" i="10"/>
  <c r="BD43" i="10"/>
  <c r="BE43" i="10"/>
  <c r="BF43" i="10"/>
  <c r="BG43" i="10"/>
  <c r="BH43" i="10"/>
  <c r="BI43" i="10"/>
  <c r="BJ43" i="10"/>
  <c r="BK43" i="10"/>
  <c r="BL43" i="10"/>
  <c r="BM43" i="10"/>
  <c r="BN43" i="10"/>
  <c r="BO43" i="10"/>
  <c r="BP43" i="10"/>
  <c r="BQ43" i="10"/>
  <c r="BR43" i="10"/>
  <c r="BS43" i="10"/>
  <c r="BT43" i="10"/>
  <c r="BU43" i="10"/>
  <c r="BV43" i="10"/>
  <c r="BW43" i="10"/>
  <c r="BX43" i="10"/>
  <c r="BY43" i="10"/>
  <c r="BZ43" i="10"/>
  <c r="CA43" i="10"/>
  <c r="CB43" i="10"/>
  <c r="CC43" i="10"/>
  <c r="CD43" i="10"/>
  <c r="CE43" i="10"/>
  <c r="CF43" i="10"/>
  <c r="CG43" i="10"/>
  <c r="CH43" i="10"/>
  <c r="CI43" i="10"/>
  <c r="CJ43" i="10"/>
  <c r="CK43" i="10"/>
  <c r="CL43" i="10"/>
  <c r="CM43" i="10"/>
  <c r="CN43" i="10"/>
  <c r="CO43" i="10"/>
  <c r="CP43" i="10"/>
  <c r="CQ43" i="10"/>
  <c r="CR43" i="10"/>
  <c r="CS43" i="10"/>
  <c r="CT43" i="10"/>
  <c r="CU43" i="10"/>
  <c r="CV43" i="10"/>
  <c r="CW43" i="10"/>
  <c r="CX43" i="10"/>
  <c r="CY43" i="10"/>
  <c r="CZ43" i="10"/>
  <c r="DA43" i="10"/>
  <c r="DB43" i="10"/>
  <c r="DC43" i="10"/>
  <c r="DD43" i="10"/>
  <c r="DE43" i="10"/>
  <c r="DF43" i="10"/>
  <c r="DG43" i="10"/>
  <c r="DH43" i="10"/>
  <c r="DI43" i="10"/>
  <c r="DJ43" i="10"/>
  <c r="DK43" i="10"/>
  <c r="DL43" i="10"/>
  <c r="DM43" i="10"/>
  <c r="DN43" i="10"/>
  <c r="DO43" i="10"/>
  <c r="DP43" i="10"/>
  <c r="DQ43" i="10"/>
  <c r="DR43" i="10"/>
  <c r="DS43" i="10"/>
  <c r="DT43" i="10"/>
  <c r="DU43" i="10"/>
  <c r="DV43" i="10"/>
  <c r="DW43" i="10"/>
  <c r="DX43" i="10"/>
  <c r="DY43" i="10"/>
  <c r="DZ43" i="10"/>
  <c r="EA43" i="10"/>
  <c r="EB43" i="10"/>
  <c r="EC43" i="10"/>
  <c r="ED43" i="10"/>
  <c r="EE43" i="10"/>
  <c r="EF43" i="10"/>
  <c r="EG43" i="10"/>
  <c r="EH43" i="10"/>
  <c r="EI43" i="10"/>
  <c r="EJ43" i="10"/>
  <c r="EK43" i="10"/>
  <c r="EL43" i="10"/>
  <c r="EM43" i="10"/>
  <c r="EN43" i="10"/>
  <c r="EO43" i="10"/>
  <c r="EP43" i="10"/>
  <c r="EQ43" i="10"/>
  <c r="ER43" i="10"/>
  <c r="ES43" i="10"/>
  <c r="ET43" i="10"/>
  <c r="EU43" i="10"/>
  <c r="EV43" i="10"/>
  <c r="EW43" i="10"/>
  <c r="EX43" i="10"/>
  <c r="EY43" i="10"/>
  <c r="EZ43" i="10"/>
  <c r="FA43" i="10"/>
  <c r="FB43" i="10"/>
  <c r="FC43" i="10"/>
  <c r="FD43" i="10"/>
  <c r="FE43" i="10"/>
  <c r="FF43" i="10"/>
  <c r="FG43" i="10"/>
  <c r="FH43" i="10"/>
  <c r="FI43" i="10"/>
  <c r="FJ43" i="10"/>
  <c r="FK43" i="10"/>
  <c r="FL43" i="10"/>
  <c r="FM43" i="10"/>
  <c r="FN43" i="10"/>
  <c r="FO43" i="10"/>
  <c r="FP43" i="10"/>
  <c r="FQ43" i="10"/>
  <c r="FR43" i="10"/>
  <c r="FS43" i="10"/>
  <c r="FT43" i="10"/>
  <c r="FU43" i="10"/>
  <c r="FV43" i="10"/>
  <c r="FW43" i="10"/>
  <c r="FX43" i="10"/>
  <c r="FY43" i="10"/>
  <c r="FZ43" i="10"/>
  <c r="GA43" i="10"/>
  <c r="GB43" i="10"/>
  <c r="GC43" i="10"/>
  <c r="GD43" i="10"/>
  <c r="GE43" i="10"/>
  <c r="GF43" i="10"/>
  <c r="GG43" i="10"/>
  <c r="GH43" i="10"/>
  <c r="GI43" i="10"/>
  <c r="GJ43" i="10"/>
  <c r="GK43" i="10"/>
  <c r="GL43" i="10"/>
  <c r="GM43" i="10"/>
  <c r="GN43" i="10"/>
  <c r="GO43" i="10"/>
  <c r="GP43" i="10"/>
  <c r="GQ43" i="10"/>
  <c r="GR43" i="10"/>
  <c r="GS43" i="10"/>
  <c r="GW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I44" i="10"/>
  <c r="AJ44" i="10"/>
  <c r="AK44" i="10"/>
  <c r="AL44" i="10"/>
  <c r="AM44" i="10"/>
  <c r="AN44" i="10"/>
  <c r="AO44" i="10"/>
  <c r="AP44" i="10"/>
  <c r="AQ44" i="10"/>
  <c r="AR44" i="10"/>
  <c r="AS44" i="10"/>
  <c r="AT44" i="10"/>
  <c r="AU44" i="10"/>
  <c r="AV44" i="10"/>
  <c r="AW44" i="10"/>
  <c r="AX44" i="10"/>
  <c r="AY44" i="10"/>
  <c r="AZ44" i="10"/>
  <c r="BA44" i="10"/>
  <c r="BB44" i="10"/>
  <c r="BC44" i="10"/>
  <c r="BD44" i="10"/>
  <c r="BE44" i="10"/>
  <c r="BF44" i="10"/>
  <c r="BG44" i="10"/>
  <c r="BH44" i="10"/>
  <c r="BI44" i="10"/>
  <c r="BJ44" i="10"/>
  <c r="BK44" i="10"/>
  <c r="BL44" i="10"/>
  <c r="BM44" i="10"/>
  <c r="BN44" i="10"/>
  <c r="BO44" i="10"/>
  <c r="BP44" i="10"/>
  <c r="BQ44" i="10"/>
  <c r="BR44" i="10"/>
  <c r="BS44" i="10"/>
  <c r="BT44" i="10"/>
  <c r="BU44" i="10"/>
  <c r="BV44" i="10"/>
  <c r="BW44" i="10"/>
  <c r="BX44" i="10"/>
  <c r="BY44" i="10"/>
  <c r="BZ44" i="10"/>
  <c r="CA44" i="10"/>
  <c r="CB44" i="10"/>
  <c r="CC44" i="10"/>
  <c r="CD44" i="10"/>
  <c r="CE44" i="10"/>
  <c r="CF44" i="10"/>
  <c r="CG44" i="10"/>
  <c r="CH44" i="10"/>
  <c r="CI44" i="10"/>
  <c r="CJ44" i="10"/>
  <c r="CK44" i="10"/>
  <c r="CL44" i="10"/>
  <c r="CM44" i="10"/>
  <c r="CN44" i="10"/>
  <c r="CO44" i="10"/>
  <c r="CP44" i="10"/>
  <c r="CQ44" i="10"/>
  <c r="CR44" i="10"/>
  <c r="CS44" i="10"/>
  <c r="CT44" i="10"/>
  <c r="CU44" i="10"/>
  <c r="CV44" i="10"/>
  <c r="CW44" i="10"/>
  <c r="CX44" i="10"/>
  <c r="CY44" i="10"/>
  <c r="CZ44" i="10"/>
  <c r="DA44" i="10"/>
  <c r="DB44" i="10"/>
  <c r="DC44" i="10"/>
  <c r="DD44" i="10"/>
  <c r="DE44" i="10"/>
  <c r="DF44" i="10"/>
  <c r="DG44" i="10"/>
  <c r="DH44" i="10"/>
  <c r="DI44" i="10"/>
  <c r="DJ44" i="10"/>
  <c r="DK44" i="10"/>
  <c r="DL44" i="10"/>
  <c r="DM44" i="10"/>
  <c r="DN44" i="10"/>
  <c r="DO44" i="10"/>
  <c r="DP44" i="10"/>
  <c r="DQ44" i="10"/>
  <c r="DR44" i="10"/>
  <c r="DS44" i="10"/>
  <c r="DT44" i="10"/>
  <c r="DU44" i="10"/>
  <c r="DV44" i="10"/>
  <c r="DW44" i="10"/>
  <c r="DX44" i="10"/>
  <c r="DY44" i="10"/>
  <c r="DZ44" i="10"/>
  <c r="EA44" i="10"/>
  <c r="EB44" i="10"/>
  <c r="EC44" i="10"/>
  <c r="ED44" i="10"/>
  <c r="EE44" i="10"/>
  <c r="EF44" i="10"/>
  <c r="EG44" i="10"/>
  <c r="EH44" i="10"/>
  <c r="EI44" i="10"/>
  <c r="EJ44" i="10"/>
  <c r="EK44" i="10"/>
  <c r="EL44" i="10"/>
  <c r="EM44" i="10"/>
  <c r="EN44" i="10"/>
  <c r="EO44" i="10"/>
  <c r="EP44" i="10"/>
  <c r="EQ44" i="10"/>
  <c r="ER44" i="10"/>
  <c r="ES44" i="10"/>
  <c r="ET44" i="10"/>
  <c r="EU44" i="10"/>
  <c r="EV44" i="10"/>
  <c r="EW44" i="10"/>
  <c r="EX44" i="10"/>
  <c r="EY44" i="10"/>
  <c r="EZ44" i="10"/>
  <c r="FA44" i="10"/>
  <c r="FB44" i="10"/>
  <c r="FC44" i="10"/>
  <c r="FD44" i="10"/>
  <c r="FE44" i="10"/>
  <c r="FF44" i="10"/>
  <c r="FG44" i="10"/>
  <c r="FH44" i="10"/>
  <c r="FI44" i="10"/>
  <c r="FJ44" i="10"/>
  <c r="FK44" i="10"/>
  <c r="FL44" i="10"/>
  <c r="FM44" i="10"/>
  <c r="FN44" i="10"/>
  <c r="FO44" i="10"/>
  <c r="FP44" i="10"/>
  <c r="FQ44" i="10"/>
  <c r="FR44" i="10"/>
  <c r="FS44" i="10"/>
  <c r="FT44" i="10"/>
  <c r="FU44" i="10"/>
  <c r="FV44" i="10"/>
  <c r="FW44" i="10"/>
  <c r="FX44" i="10"/>
  <c r="FY44" i="10"/>
  <c r="FZ44" i="10"/>
  <c r="GA44" i="10"/>
  <c r="GB44" i="10"/>
  <c r="GC44" i="10"/>
  <c r="GD44" i="10"/>
  <c r="GE44" i="10"/>
  <c r="GF44" i="10"/>
  <c r="GG44" i="10"/>
  <c r="GH44" i="10"/>
  <c r="GI44" i="10"/>
  <c r="GJ44" i="10"/>
  <c r="GK44" i="10"/>
  <c r="GL44" i="10"/>
  <c r="GM44" i="10"/>
  <c r="GN44" i="10"/>
  <c r="GO44" i="10"/>
  <c r="GP44" i="10"/>
  <c r="GQ44" i="10"/>
  <c r="GR44" i="10"/>
  <c r="GS44" i="10"/>
  <c r="GW44" i="10"/>
  <c r="A45" i="10"/>
  <c r="B45" i="10"/>
  <c r="C45" i="10"/>
  <c r="D45" i="10"/>
  <c r="E45" i="10"/>
  <c r="F45" i="10"/>
  <c r="G45" i="10"/>
  <c r="H45" i="10"/>
  <c r="I45" i="10"/>
  <c r="J45" i="10"/>
  <c r="K45" i="10"/>
  <c r="L45" i="10"/>
  <c r="L75" i="10" s="1"/>
  <c r="M45" i="10"/>
  <c r="M75" i="10" s="1"/>
  <c r="N45" i="10"/>
  <c r="N75" i="10" s="1"/>
  <c r="O45" i="10"/>
  <c r="O75" i="10" s="1"/>
  <c r="P45" i="10"/>
  <c r="P75" i="10" s="1"/>
  <c r="Q45" i="10"/>
  <c r="Q75" i="10" s="1"/>
  <c r="R45" i="10"/>
  <c r="R75" i="10" s="1"/>
  <c r="S45" i="10"/>
  <c r="S75" i="10" s="1"/>
  <c r="T45" i="10"/>
  <c r="T75" i="10" s="1"/>
  <c r="U45" i="10"/>
  <c r="U75" i="10" s="1"/>
  <c r="V45" i="10"/>
  <c r="V75" i="10" s="1"/>
  <c r="W45" i="10"/>
  <c r="W75" i="10" s="1"/>
  <c r="X45" i="10"/>
  <c r="X75" i="10" s="1"/>
  <c r="Y45" i="10"/>
  <c r="Y75" i="10" s="1"/>
  <c r="Z45" i="10"/>
  <c r="Z75" i="10" s="1"/>
  <c r="AA45" i="10"/>
  <c r="AA75" i="10" s="1"/>
  <c r="AB45" i="10"/>
  <c r="AB75" i="10" s="1"/>
  <c r="AC45" i="10"/>
  <c r="AC75" i="10" s="1"/>
  <c r="AD45" i="10"/>
  <c r="AD75" i="10" s="1"/>
  <c r="AE45" i="10"/>
  <c r="AE75" i="10" s="1"/>
  <c r="AF45" i="10"/>
  <c r="AF75" i="10" s="1"/>
  <c r="AG45" i="10"/>
  <c r="AG75" i="10" s="1"/>
  <c r="AH45" i="10"/>
  <c r="AH75" i="10" s="1"/>
  <c r="AI45" i="10"/>
  <c r="AI75" i="10" s="1"/>
  <c r="AJ45" i="10"/>
  <c r="AJ75" i="10" s="1"/>
  <c r="AK45" i="10"/>
  <c r="AK75" i="10" s="1"/>
  <c r="AL45" i="10"/>
  <c r="AL75" i="10" s="1"/>
  <c r="AM45" i="10"/>
  <c r="AM75" i="10" s="1"/>
  <c r="AN45" i="10"/>
  <c r="AN75" i="10" s="1"/>
  <c r="AO45" i="10"/>
  <c r="AO75" i="10" s="1"/>
  <c r="AP45" i="10"/>
  <c r="AP75" i="10" s="1"/>
  <c r="AQ45" i="10"/>
  <c r="AQ75" i="10" s="1"/>
  <c r="AR45" i="10"/>
  <c r="AR75" i="10" s="1"/>
  <c r="AS45" i="10"/>
  <c r="AS75" i="10" s="1"/>
  <c r="AT45" i="10"/>
  <c r="AT75" i="10" s="1"/>
  <c r="AU45" i="10"/>
  <c r="AU75" i="10" s="1"/>
  <c r="AV45" i="10"/>
  <c r="AV75" i="10" s="1"/>
  <c r="AW45" i="10"/>
  <c r="AW75" i="10" s="1"/>
  <c r="AX45" i="10"/>
  <c r="AX75" i="10" s="1"/>
  <c r="AY45" i="10"/>
  <c r="AY75" i="10" s="1"/>
  <c r="AZ45" i="10"/>
  <c r="AZ75" i="10" s="1"/>
  <c r="BA45" i="10"/>
  <c r="BA75" i="10" s="1"/>
  <c r="BB45" i="10"/>
  <c r="BB75" i="10" s="1"/>
  <c r="BC45" i="10"/>
  <c r="BC75" i="10" s="1"/>
  <c r="BD45" i="10"/>
  <c r="BD75" i="10" s="1"/>
  <c r="BE45" i="10"/>
  <c r="BE75" i="10" s="1"/>
  <c r="BF45" i="10"/>
  <c r="BF75" i="10" s="1"/>
  <c r="BG45" i="10"/>
  <c r="BG75" i="10" s="1"/>
  <c r="BH45" i="10"/>
  <c r="BH75" i="10" s="1"/>
  <c r="BI45" i="10"/>
  <c r="BI75" i="10" s="1"/>
  <c r="BJ45" i="10"/>
  <c r="BJ75" i="10" s="1"/>
  <c r="BK45" i="10"/>
  <c r="BK75" i="10" s="1"/>
  <c r="BL45" i="10"/>
  <c r="BL75" i="10" s="1"/>
  <c r="BM45" i="10"/>
  <c r="BM75" i="10" s="1"/>
  <c r="BN45" i="10"/>
  <c r="BN75" i="10" s="1"/>
  <c r="BO45" i="10"/>
  <c r="BO75" i="10" s="1"/>
  <c r="BP45" i="10"/>
  <c r="BP75" i="10" s="1"/>
  <c r="BQ45" i="10"/>
  <c r="BQ75" i="10" s="1"/>
  <c r="BR45" i="10"/>
  <c r="BR75" i="10" s="1"/>
  <c r="BS45" i="10"/>
  <c r="BS75" i="10" s="1"/>
  <c r="BT45" i="10"/>
  <c r="BT75" i="10" s="1"/>
  <c r="BU45" i="10"/>
  <c r="BU75" i="10" s="1"/>
  <c r="BV45" i="10"/>
  <c r="BV75" i="10" s="1"/>
  <c r="BW45" i="10"/>
  <c r="BW75" i="10" s="1"/>
  <c r="BX45" i="10"/>
  <c r="BX75" i="10" s="1"/>
  <c r="BY45" i="10"/>
  <c r="BY75" i="10" s="1"/>
  <c r="BZ45" i="10"/>
  <c r="BZ75" i="10" s="1"/>
  <c r="CA45" i="10"/>
  <c r="CA75" i="10" s="1"/>
  <c r="CB45" i="10"/>
  <c r="CB75" i="10" s="1"/>
  <c r="CC45" i="10"/>
  <c r="CC75" i="10" s="1"/>
  <c r="CD45" i="10"/>
  <c r="CD75" i="10" s="1"/>
  <c r="CE45" i="10"/>
  <c r="CE75" i="10" s="1"/>
  <c r="CF45" i="10"/>
  <c r="CF75" i="10" s="1"/>
  <c r="CG45" i="10"/>
  <c r="CG75" i="10" s="1"/>
  <c r="CH45" i="10"/>
  <c r="CH75" i="10" s="1"/>
  <c r="CI45" i="10"/>
  <c r="CI75" i="10" s="1"/>
  <c r="CJ45" i="10"/>
  <c r="CJ75" i="10" s="1"/>
  <c r="CK45" i="10"/>
  <c r="CK75" i="10" s="1"/>
  <c r="CL45" i="10"/>
  <c r="CL75" i="10" s="1"/>
  <c r="CM45" i="10"/>
  <c r="CM75" i="10" s="1"/>
  <c r="CN45" i="10"/>
  <c r="CN75" i="10" s="1"/>
  <c r="CO45" i="10"/>
  <c r="CO75" i="10" s="1"/>
  <c r="CP45" i="10"/>
  <c r="CP75" i="10" s="1"/>
  <c r="CQ45" i="10"/>
  <c r="CQ75" i="10" s="1"/>
  <c r="CR45" i="10"/>
  <c r="CR75" i="10" s="1"/>
  <c r="CS45" i="10"/>
  <c r="CS75" i="10" s="1"/>
  <c r="CT45" i="10"/>
  <c r="CU45" i="10"/>
  <c r="CV45" i="10"/>
  <c r="CV75" i="10" s="1"/>
  <c r="CW45" i="10"/>
  <c r="CW75" i="10" s="1"/>
  <c r="CX45" i="10"/>
  <c r="CX75" i="10" s="1"/>
  <c r="CY45" i="10"/>
  <c r="CY75" i="10" s="1"/>
  <c r="CZ45" i="10"/>
  <c r="CZ75" i="10" s="1"/>
  <c r="DA45" i="10"/>
  <c r="DA75" i="10" s="1"/>
  <c r="DB45" i="10"/>
  <c r="DC45" i="10"/>
  <c r="DC75" i="10" s="1"/>
  <c r="DD45" i="10"/>
  <c r="DD75" i="10" s="1"/>
  <c r="DE45" i="10"/>
  <c r="DE75" i="10" s="1"/>
  <c r="DF45" i="10"/>
  <c r="DF75" i="10" s="1"/>
  <c r="DG45" i="10"/>
  <c r="DG75" i="10" s="1"/>
  <c r="DH45" i="10"/>
  <c r="DH75" i="10" s="1"/>
  <c r="DI45" i="10"/>
  <c r="DI75" i="10" s="1"/>
  <c r="DJ45" i="10"/>
  <c r="DJ75" i="10" s="1"/>
  <c r="DK45" i="10"/>
  <c r="DK75" i="10" s="1"/>
  <c r="DL45" i="10"/>
  <c r="DL75" i="10" s="1"/>
  <c r="DM45" i="10"/>
  <c r="DM75" i="10" s="1"/>
  <c r="DN45" i="10"/>
  <c r="DN75" i="10" s="1"/>
  <c r="DO45" i="10"/>
  <c r="DO75" i="10" s="1"/>
  <c r="DP45" i="10"/>
  <c r="DP75" i="10" s="1"/>
  <c r="DQ45" i="10"/>
  <c r="DQ75" i="10" s="1"/>
  <c r="DR45" i="10"/>
  <c r="DR75" i="10" s="1"/>
  <c r="DS45" i="10"/>
  <c r="DS75" i="10" s="1"/>
  <c r="DT45" i="10"/>
  <c r="DT75" i="10" s="1"/>
  <c r="DU45" i="10"/>
  <c r="DU75" i="10" s="1"/>
  <c r="DV45" i="10"/>
  <c r="DV75" i="10" s="1"/>
  <c r="DW45" i="10"/>
  <c r="DW75" i="10" s="1"/>
  <c r="DX45" i="10"/>
  <c r="DX75" i="10" s="1"/>
  <c r="DY45" i="10"/>
  <c r="DY75" i="10" s="1"/>
  <c r="DZ45" i="10"/>
  <c r="DZ75" i="10" s="1"/>
  <c r="EA45" i="10"/>
  <c r="EA75" i="10" s="1"/>
  <c r="EB45" i="10"/>
  <c r="EB75" i="10" s="1"/>
  <c r="EC45" i="10"/>
  <c r="EC75" i="10" s="1"/>
  <c r="ED45" i="10"/>
  <c r="ED75" i="10" s="1"/>
  <c r="EE45" i="10"/>
  <c r="EE75" i="10" s="1"/>
  <c r="EF45" i="10"/>
  <c r="EF75" i="10" s="1"/>
  <c r="EG45" i="10"/>
  <c r="EG75" i="10" s="1"/>
  <c r="EH45" i="10"/>
  <c r="EH75" i="10" s="1"/>
  <c r="EI45" i="10"/>
  <c r="EI75" i="10" s="1"/>
  <c r="EJ45" i="10"/>
  <c r="EJ75" i="10" s="1"/>
  <c r="EK45" i="10"/>
  <c r="EK75" i="10" s="1"/>
  <c r="EL45" i="10"/>
  <c r="EL75" i="10" s="1"/>
  <c r="EM45" i="10"/>
  <c r="EM75" i="10" s="1"/>
  <c r="EN45" i="10"/>
  <c r="EN75" i="10" s="1"/>
  <c r="EO45" i="10"/>
  <c r="EO75" i="10" s="1"/>
  <c r="EP45" i="10"/>
  <c r="EP75" i="10" s="1"/>
  <c r="EQ45" i="10"/>
  <c r="EQ75" i="10" s="1"/>
  <c r="ER45" i="10"/>
  <c r="ER75" i="10" s="1"/>
  <c r="ES45" i="10"/>
  <c r="ES75" i="10" s="1"/>
  <c r="ET45" i="10"/>
  <c r="ET75" i="10" s="1"/>
  <c r="EU45" i="10"/>
  <c r="EU75" i="10" s="1"/>
  <c r="EV45" i="10"/>
  <c r="EV75" i="10" s="1"/>
  <c r="EW45" i="10"/>
  <c r="EW75" i="10" s="1"/>
  <c r="EX45" i="10"/>
  <c r="EX75" i="10" s="1"/>
  <c r="EY45" i="10"/>
  <c r="EY75" i="10" s="1"/>
  <c r="EZ45" i="10"/>
  <c r="EZ75" i="10" s="1"/>
  <c r="FA45" i="10"/>
  <c r="FA75" i="10" s="1"/>
  <c r="FB45" i="10"/>
  <c r="FB75" i="10" s="1"/>
  <c r="FC45" i="10"/>
  <c r="FC75" i="10" s="1"/>
  <c r="FD45" i="10"/>
  <c r="FD75" i="10" s="1"/>
  <c r="FE45" i="10"/>
  <c r="FE75" i="10" s="1"/>
  <c r="FF45" i="10"/>
  <c r="FG45" i="10"/>
  <c r="FG75" i="10" s="1"/>
  <c r="FH45" i="10"/>
  <c r="FH75" i="10" s="1"/>
  <c r="FI45" i="10"/>
  <c r="FI75" i="10" s="1"/>
  <c r="FJ45" i="10"/>
  <c r="FJ75" i="10" s="1"/>
  <c r="FK45" i="10"/>
  <c r="FK75" i="10" s="1"/>
  <c r="FL45" i="10"/>
  <c r="FL75" i="10" s="1"/>
  <c r="FM45" i="10"/>
  <c r="FM75" i="10" s="1"/>
  <c r="FN45" i="10"/>
  <c r="FN75" i="10" s="1"/>
  <c r="FO45" i="10"/>
  <c r="FO75" i="10" s="1"/>
  <c r="FP45" i="10"/>
  <c r="FP75" i="10" s="1"/>
  <c r="FQ45" i="10"/>
  <c r="FQ75" i="10" s="1"/>
  <c r="FR45" i="10"/>
  <c r="FR75" i="10" s="1"/>
  <c r="FS45" i="10"/>
  <c r="FS75" i="10" s="1"/>
  <c r="FT45" i="10"/>
  <c r="FT75" i="10" s="1"/>
  <c r="FU45" i="10"/>
  <c r="FU75" i="10" s="1"/>
  <c r="FV45" i="10"/>
  <c r="FV75" i="10" s="1"/>
  <c r="FW45" i="10"/>
  <c r="FW75" i="10" s="1"/>
  <c r="FX45" i="10"/>
  <c r="FX75" i="10" s="1"/>
  <c r="FY45" i="10"/>
  <c r="FY75" i="10" s="1"/>
  <c r="FZ45" i="10"/>
  <c r="FZ75" i="10" s="1"/>
  <c r="GA45" i="10"/>
  <c r="GA75" i="10" s="1"/>
  <c r="GB45" i="10"/>
  <c r="GB75" i="10" s="1"/>
  <c r="GC45" i="10"/>
  <c r="GC75" i="10" s="1"/>
  <c r="GD45" i="10"/>
  <c r="GD75" i="10" s="1"/>
  <c r="GE45" i="10"/>
  <c r="GE75" i="10" s="1"/>
  <c r="GF45" i="10"/>
  <c r="GF75" i="10" s="1"/>
  <c r="GG45" i="10"/>
  <c r="GG75" i="10" s="1"/>
  <c r="GH45" i="10"/>
  <c r="GH75" i="10" s="1"/>
  <c r="GI45" i="10"/>
  <c r="GI75" i="10" s="1"/>
  <c r="GJ45" i="10"/>
  <c r="GJ75" i="10" s="1"/>
  <c r="GK45" i="10"/>
  <c r="GK75" i="10" s="1"/>
  <c r="GL45" i="10"/>
  <c r="GL75" i="10" s="1"/>
  <c r="GM45" i="10"/>
  <c r="GM75" i="10" s="1"/>
  <c r="GN45" i="10"/>
  <c r="GN75" i="10" s="1"/>
  <c r="GO45" i="10"/>
  <c r="GO75" i="10" s="1"/>
  <c r="GP45" i="10"/>
  <c r="GP75" i="10" s="1"/>
  <c r="GQ45" i="10"/>
  <c r="GR45" i="10"/>
  <c r="GS45" i="10"/>
  <c r="GS75" i="10" s="1"/>
  <c r="GW45" i="10"/>
  <c r="A46" i="10"/>
  <c r="A76" i="10" s="1"/>
  <c r="B46" i="10"/>
  <c r="C46" i="10"/>
  <c r="C76" i="10" s="1"/>
  <c r="D46" i="10"/>
  <c r="D76" i="10" s="1"/>
  <c r="E46" i="10"/>
  <c r="E76" i="10" s="1"/>
  <c r="F46" i="10"/>
  <c r="F76" i="10" s="1"/>
  <c r="G46" i="10"/>
  <c r="G76" i="10" s="1"/>
  <c r="H46" i="10"/>
  <c r="H76" i="10" s="1"/>
  <c r="I46" i="10"/>
  <c r="I76" i="10" s="1"/>
  <c r="J46" i="10"/>
  <c r="J76" i="10" s="1"/>
  <c r="K46" i="10"/>
  <c r="K76" i="10" s="1"/>
  <c r="L46" i="10"/>
  <c r="L76" i="10" s="1"/>
  <c r="M46" i="10"/>
  <c r="M76" i="10" s="1"/>
  <c r="N46" i="10"/>
  <c r="N76" i="10" s="1"/>
  <c r="O46" i="10"/>
  <c r="O76" i="10" s="1"/>
  <c r="P46" i="10"/>
  <c r="P76" i="10" s="1"/>
  <c r="Q46" i="10"/>
  <c r="Q76" i="10" s="1"/>
  <c r="R46" i="10"/>
  <c r="R76" i="10" s="1"/>
  <c r="S46" i="10"/>
  <c r="S76" i="10" s="1"/>
  <c r="T46" i="10"/>
  <c r="T76" i="10" s="1"/>
  <c r="U46" i="10"/>
  <c r="V46" i="10"/>
  <c r="W46" i="10"/>
  <c r="X46" i="10"/>
  <c r="Y46" i="10"/>
  <c r="Z46" i="10"/>
  <c r="AA46" i="10"/>
  <c r="AB46" i="10"/>
  <c r="AC46" i="10"/>
  <c r="AD46" i="10"/>
  <c r="AE46" i="10"/>
  <c r="AF46" i="10"/>
  <c r="AG46" i="10"/>
  <c r="AH46" i="10"/>
  <c r="AI46" i="10"/>
  <c r="AJ46" i="10"/>
  <c r="AK46" i="10"/>
  <c r="AL46" i="10"/>
  <c r="AM46" i="10"/>
  <c r="AN46" i="10"/>
  <c r="AO46" i="10"/>
  <c r="AP46" i="10"/>
  <c r="AQ46" i="10"/>
  <c r="AR46" i="10"/>
  <c r="AS46" i="10"/>
  <c r="AT46" i="10"/>
  <c r="AU46" i="10"/>
  <c r="AV46" i="10"/>
  <c r="AW46" i="10"/>
  <c r="AX46" i="10"/>
  <c r="AY46" i="10"/>
  <c r="AZ46" i="10"/>
  <c r="BA46" i="10"/>
  <c r="BB46" i="10"/>
  <c r="BC46" i="10"/>
  <c r="BD46" i="10"/>
  <c r="BE46" i="10"/>
  <c r="BF46" i="10"/>
  <c r="BG46" i="10"/>
  <c r="BH46" i="10"/>
  <c r="BI46" i="10"/>
  <c r="BJ46" i="10"/>
  <c r="BK46" i="10"/>
  <c r="BL46" i="10"/>
  <c r="BM46" i="10"/>
  <c r="BN46" i="10"/>
  <c r="BO46" i="10"/>
  <c r="BP46" i="10"/>
  <c r="BQ46" i="10"/>
  <c r="BR46" i="10"/>
  <c r="BS46" i="10"/>
  <c r="BT46" i="10"/>
  <c r="BU46" i="10"/>
  <c r="BV46" i="10"/>
  <c r="BW46" i="10"/>
  <c r="BX46" i="10"/>
  <c r="BY46" i="10"/>
  <c r="BZ46" i="10"/>
  <c r="CA46" i="10"/>
  <c r="CB46" i="10"/>
  <c r="CC46" i="10"/>
  <c r="CD46" i="10"/>
  <c r="CE46" i="10"/>
  <c r="CF46" i="10"/>
  <c r="CG46" i="10"/>
  <c r="CH46" i="10"/>
  <c r="CI46" i="10"/>
  <c r="CJ46" i="10"/>
  <c r="CK46" i="10"/>
  <c r="CL46" i="10"/>
  <c r="CM46" i="10"/>
  <c r="CN46" i="10"/>
  <c r="CO46" i="10"/>
  <c r="CP46" i="10"/>
  <c r="CQ46" i="10"/>
  <c r="CR46" i="10"/>
  <c r="CS46" i="10"/>
  <c r="CT46" i="10"/>
  <c r="CU46" i="10"/>
  <c r="CV46" i="10"/>
  <c r="CW46" i="10"/>
  <c r="CX46" i="10"/>
  <c r="CY46" i="10"/>
  <c r="CZ46" i="10"/>
  <c r="DA46" i="10"/>
  <c r="DB46" i="10"/>
  <c r="DC46" i="10"/>
  <c r="DD46" i="10"/>
  <c r="DE46" i="10"/>
  <c r="DF46" i="10"/>
  <c r="DG46" i="10"/>
  <c r="DH46" i="10"/>
  <c r="DI46" i="10"/>
  <c r="DJ46" i="10"/>
  <c r="DK46" i="10"/>
  <c r="DL46" i="10"/>
  <c r="DM46" i="10"/>
  <c r="DN46" i="10"/>
  <c r="DO46" i="10"/>
  <c r="DP46" i="10"/>
  <c r="DQ46" i="10"/>
  <c r="DR46" i="10"/>
  <c r="DS46" i="10"/>
  <c r="DT46" i="10"/>
  <c r="DU46" i="10"/>
  <c r="DV46" i="10"/>
  <c r="DW46" i="10"/>
  <c r="DX46" i="10"/>
  <c r="DY46" i="10"/>
  <c r="DZ46" i="10"/>
  <c r="EA46" i="10"/>
  <c r="EB46" i="10"/>
  <c r="EC46" i="10"/>
  <c r="ED46" i="10"/>
  <c r="EE46" i="10"/>
  <c r="EF46" i="10"/>
  <c r="EG46" i="10"/>
  <c r="EH46" i="10"/>
  <c r="EI46" i="10"/>
  <c r="EJ46" i="10"/>
  <c r="EK46" i="10"/>
  <c r="EL46" i="10"/>
  <c r="EM46" i="10"/>
  <c r="EN46" i="10"/>
  <c r="EO46" i="10"/>
  <c r="EP46" i="10"/>
  <c r="EQ46" i="10"/>
  <c r="ER46" i="10"/>
  <c r="ES46" i="10"/>
  <c r="ET46" i="10"/>
  <c r="EU46" i="10"/>
  <c r="EV46" i="10"/>
  <c r="EW46" i="10"/>
  <c r="EX46" i="10"/>
  <c r="EY46" i="10"/>
  <c r="EZ46" i="10"/>
  <c r="FA46" i="10"/>
  <c r="FB46" i="10"/>
  <c r="FC46" i="10"/>
  <c r="FD46" i="10"/>
  <c r="FE46" i="10"/>
  <c r="FF46" i="10"/>
  <c r="FG46" i="10"/>
  <c r="FH46" i="10"/>
  <c r="FI46" i="10"/>
  <c r="FJ46" i="10"/>
  <c r="FK46" i="10"/>
  <c r="FL46" i="10"/>
  <c r="FM46" i="10"/>
  <c r="FN46" i="10"/>
  <c r="FO46" i="10"/>
  <c r="FP46" i="10"/>
  <c r="FQ46" i="10"/>
  <c r="FR46" i="10"/>
  <c r="FS46" i="10"/>
  <c r="FT46" i="10"/>
  <c r="FU46" i="10"/>
  <c r="FV46" i="10"/>
  <c r="FW46" i="10"/>
  <c r="FX46" i="10"/>
  <c r="FY46" i="10"/>
  <c r="FZ46" i="10"/>
  <c r="GA46" i="10"/>
  <c r="GB46" i="10"/>
  <c r="GC46" i="10"/>
  <c r="GD46" i="10"/>
  <c r="GE46" i="10"/>
  <c r="GF46" i="10"/>
  <c r="GG46" i="10"/>
  <c r="GH46" i="10"/>
  <c r="GI46" i="10"/>
  <c r="GJ46" i="10"/>
  <c r="GK46" i="10"/>
  <c r="GL46" i="10"/>
  <c r="GM46" i="10"/>
  <c r="GN46" i="10"/>
  <c r="GO46" i="10"/>
  <c r="GP46" i="10"/>
  <c r="GQ46" i="10"/>
  <c r="GR46" i="10"/>
  <c r="GS46" i="10"/>
  <c r="GW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I47" i="10"/>
  <c r="AJ47" i="10"/>
  <c r="AK47" i="10"/>
  <c r="AL47" i="10"/>
  <c r="AM47" i="10"/>
  <c r="AN47" i="10"/>
  <c r="AO47" i="10"/>
  <c r="AP47" i="10"/>
  <c r="AQ47" i="10"/>
  <c r="AR47" i="10"/>
  <c r="AS47" i="10"/>
  <c r="AT47" i="10"/>
  <c r="AU47" i="10"/>
  <c r="AV47" i="10"/>
  <c r="AW47" i="10"/>
  <c r="AX47" i="10"/>
  <c r="AY47" i="10"/>
  <c r="AZ47" i="10"/>
  <c r="BA47" i="10"/>
  <c r="BB47" i="10"/>
  <c r="BC47" i="10"/>
  <c r="BD47" i="10"/>
  <c r="BE47" i="10"/>
  <c r="BF47" i="10"/>
  <c r="BG47" i="10"/>
  <c r="BH47" i="10"/>
  <c r="BI47" i="10"/>
  <c r="BJ47" i="10"/>
  <c r="BK47" i="10"/>
  <c r="BL47" i="10"/>
  <c r="BM47" i="10"/>
  <c r="BN47" i="10"/>
  <c r="BO47" i="10"/>
  <c r="BP47" i="10"/>
  <c r="BQ47" i="10"/>
  <c r="BR47" i="10"/>
  <c r="BS47" i="10"/>
  <c r="BT47" i="10"/>
  <c r="BU47" i="10"/>
  <c r="BV47" i="10"/>
  <c r="BW47" i="10"/>
  <c r="BX47" i="10"/>
  <c r="BY47" i="10"/>
  <c r="BZ47" i="10"/>
  <c r="CA47" i="10"/>
  <c r="CB47" i="10"/>
  <c r="CC47" i="10"/>
  <c r="CD47" i="10"/>
  <c r="CE47" i="10"/>
  <c r="CF47" i="10"/>
  <c r="CG47" i="10"/>
  <c r="CH47" i="10"/>
  <c r="CI47" i="10"/>
  <c r="CJ47" i="10"/>
  <c r="CK47" i="10"/>
  <c r="CL47" i="10"/>
  <c r="CM47" i="10"/>
  <c r="CN47" i="10"/>
  <c r="CO47" i="10"/>
  <c r="CP47" i="10"/>
  <c r="CQ47" i="10"/>
  <c r="CR47" i="10"/>
  <c r="CS47" i="10"/>
  <c r="CT47" i="10"/>
  <c r="CU47" i="10"/>
  <c r="CV47" i="10"/>
  <c r="CW47" i="10"/>
  <c r="CX47" i="10"/>
  <c r="CY47" i="10"/>
  <c r="CZ47" i="10"/>
  <c r="DA47" i="10"/>
  <c r="DB47" i="10"/>
  <c r="DC47" i="10"/>
  <c r="DD47" i="10"/>
  <c r="DE47" i="10"/>
  <c r="DF47" i="10"/>
  <c r="DG47" i="10"/>
  <c r="DH47" i="10"/>
  <c r="DI47" i="10"/>
  <c r="DJ47" i="10"/>
  <c r="DK47" i="10"/>
  <c r="DL47" i="10"/>
  <c r="DM47" i="10"/>
  <c r="DN47" i="10"/>
  <c r="DO47" i="10"/>
  <c r="DP47" i="10"/>
  <c r="DQ47" i="10"/>
  <c r="DR47" i="10"/>
  <c r="DS47" i="10"/>
  <c r="DT47" i="10"/>
  <c r="DU47" i="10"/>
  <c r="DV47" i="10"/>
  <c r="DW47" i="10"/>
  <c r="DX47" i="10"/>
  <c r="DY47" i="10"/>
  <c r="DZ47" i="10"/>
  <c r="EA47" i="10"/>
  <c r="EB47" i="10"/>
  <c r="EC47" i="10"/>
  <c r="ED47" i="10"/>
  <c r="EE47" i="10"/>
  <c r="EF47" i="10"/>
  <c r="EG47" i="10"/>
  <c r="EH47" i="10"/>
  <c r="EI47" i="10"/>
  <c r="EJ47" i="10"/>
  <c r="EK47" i="10"/>
  <c r="EL47" i="10"/>
  <c r="EM47" i="10"/>
  <c r="EN47" i="10"/>
  <c r="EO47" i="10"/>
  <c r="EP47" i="10"/>
  <c r="EQ47" i="10"/>
  <c r="ER47" i="10"/>
  <c r="ES47" i="10"/>
  <c r="ET47" i="10"/>
  <c r="EU47" i="10"/>
  <c r="EV47" i="10"/>
  <c r="EW47" i="10"/>
  <c r="EX47" i="10"/>
  <c r="EY47" i="10"/>
  <c r="EZ47" i="10"/>
  <c r="FA47" i="10"/>
  <c r="FB47" i="10"/>
  <c r="FC47" i="10"/>
  <c r="FD47" i="10"/>
  <c r="FE47" i="10"/>
  <c r="FF47" i="10"/>
  <c r="FG47" i="10"/>
  <c r="FH47" i="10"/>
  <c r="FI47" i="10"/>
  <c r="FJ47" i="10"/>
  <c r="FK47" i="10"/>
  <c r="FL47" i="10"/>
  <c r="FM47" i="10"/>
  <c r="FN47" i="10"/>
  <c r="FO47" i="10"/>
  <c r="FP47" i="10"/>
  <c r="FQ47" i="10"/>
  <c r="FR47" i="10"/>
  <c r="FS47" i="10"/>
  <c r="FT47" i="10"/>
  <c r="FU47" i="10"/>
  <c r="FV47" i="10"/>
  <c r="FW47" i="10"/>
  <c r="FX47" i="10"/>
  <c r="FY47" i="10"/>
  <c r="FZ47" i="10"/>
  <c r="GA47" i="10"/>
  <c r="GB47" i="10"/>
  <c r="GC47" i="10"/>
  <c r="GD47" i="10"/>
  <c r="GE47" i="10"/>
  <c r="GF47" i="10"/>
  <c r="GG47" i="10"/>
  <c r="GH47" i="10"/>
  <c r="GI47" i="10"/>
  <c r="GJ47" i="10"/>
  <c r="GK47" i="10"/>
  <c r="GL47" i="10"/>
  <c r="GM47" i="10"/>
  <c r="GN47" i="10"/>
  <c r="GO47" i="10"/>
  <c r="GP47" i="10"/>
  <c r="GQ47" i="10"/>
  <c r="GR47" i="10"/>
  <c r="GS47" i="10"/>
  <c r="GW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I48" i="10"/>
  <c r="AJ48" i="10"/>
  <c r="AK48" i="10"/>
  <c r="AL48" i="10"/>
  <c r="AM48" i="10"/>
  <c r="AN48" i="10"/>
  <c r="AO48" i="10"/>
  <c r="AP48" i="10"/>
  <c r="AQ48" i="10"/>
  <c r="AR48" i="10"/>
  <c r="AS48" i="10"/>
  <c r="AT48" i="10"/>
  <c r="AU48" i="10"/>
  <c r="AV48" i="10"/>
  <c r="AW48" i="10"/>
  <c r="AX48" i="10"/>
  <c r="AY48" i="10"/>
  <c r="AZ48" i="10"/>
  <c r="BA48" i="10"/>
  <c r="BB48" i="10"/>
  <c r="BC48" i="10"/>
  <c r="BD48" i="10"/>
  <c r="BE48" i="10"/>
  <c r="BF48" i="10"/>
  <c r="BG48" i="10"/>
  <c r="BH48" i="10"/>
  <c r="BI48" i="10"/>
  <c r="BJ48" i="10"/>
  <c r="BK48" i="10"/>
  <c r="BL48" i="10"/>
  <c r="BM48" i="10"/>
  <c r="BN48" i="10"/>
  <c r="BO48" i="10"/>
  <c r="BP48" i="10"/>
  <c r="BQ48" i="10"/>
  <c r="BR48" i="10"/>
  <c r="BS48" i="10"/>
  <c r="BT48" i="10"/>
  <c r="BU48" i="10"/>
  <c r="BV48" i="10"/>
  <c r="BW48" i="10"/>
  <c r="BX48" i="10"/>
  <c r="BY48" i="10"/>
  <c r="BZ48" i="10"/>
  <c r="CA48" i="10"/>
  <c r="CB48" i="10"/>
  <c r="CC48" i="10"/>
  <c r="CD48" i="10"/>
  <c r="CE48" i="10"/>
  <c r="CF48" i="10"/>
  <c r="CG48" i="10"/>
  <c r="CH48" i="10"/>
  <c r="CI48" i="10"/>
  <c r="CJ48" i="10"/>
  <c r="CK48" i="10"/>
  <c r="CL48" i="10"/>
  <c r="CM48" i="10"/>
  <c r="CN48" i="10"/>
  <c r="CO48" i="10"/>
  <c r="CP48" i="10"/>
  <c r="CQ48" i="10"/>
  <c r="CR48" i="10"/>
  <c r="CS48" i="10"/>
  <c r="CT48" i="10"/>
  <c r="CU48" i="10"/>
  <c r="CV48" i="10"/>
  <c r="CW48" i="10"/>
  <c r="CX48" i="10"/>
  <c r="CY48" i="10"/>
  <c r="CZ48" i="10"/>
  <c r="DA48" i="10"/>
  <c r="DB48" i="10"/>
  <c r="DC48" i="10"/>
  <c r="DD48" i="10"/>
  <c r="DE48" i="10"/>
  <c r="DF48" i="10"/>
  <c r="DG48" i="10"/>
  <c r="DH48" i="10"/>
  <c r="DI48" i="10"/>
  <c r="DJ48" i="10"/>
  <c r="DK48" i="10"/>
  <c r="DL48" i="10"/>
  <c r="DM48" i="10"/>
  <c r="DN48" i="10"/>
  <c r="DO48" i="10"/>
  <c r="DP48" i="10"/>
  <c r="DQ48" i="10"/>
  <c r="DR48" i="10"/>
  <c r="DS48" i="10"/>
  <c r="DT48" i="10"/>
  <c r="DU48" i="10"/>
  <c r="DV48" i="10"/>
  <c r="DW48" i="10"/>
  <c r="DX48" i="10"/>
  <c r="DY48" i="10"/>
  <c r="DZ48" i="10"/>
  <c r="EA48" i="10"/>
  <c r="EB48" i="10"/>
  <c r="EC48" i="10"/>
  <c r="ED48" i="10"/>
  <c r="EE48" i="10"/>
  <c r="EF48" i="10"/>
  <c r="EG48" i="10"/>
  <c r="EH48" i="10"/>
  <c r="EI48" i="10"/>
  <c r="EJ48" i="10"/>
  <c r="EK48" i="10"/>
  <c r="EL48" i="10"/>
  <c r="EM48" i="10"/>
  <c r="EN48" i="10"/>
  <c r="EO48" i="10"/>
  <c r="EP48" i="10"/>
  <c r="EQ48" i="10"/>
  <c r="ER48" i="10"/>
  <c r="ES48" i="10"/>
  <c r="ET48" i="10"/>
  <c r="EU48" i="10"/>
  <c r="EV48" i="10"/>
  <c r="EW48" i="10"/>
  <c r="EX48" i="10"/>
  <c r="EY48" i="10"/>
  <c r="EZ48" i="10"/>
  <c r="FA48" i="10"/>
  <c r="FB48" i="10"/>
  <c r="FC48" i="10"/>
  <c r="FD48" i="10"/>
  <c r="FE48" i="10"/>
  <c r="FF48" i="10"/>
  <c r="FG48" i="10"/>
  <c r="FH48" i="10"/>
  <c r="FI48" i="10"/>
  <c r="FJ48" i="10"/>
  <c r="FK48" i="10"/>
  <c r="FL48" i="10"/>
  <c r="FM48" i="10"/>
  <c r="FN48" i="10"/>
  <c r="FO48" i="10"/>
  <c r="FP48" i="10"/>
  <c r="FQ48" i="10"/>
  <c r="FR48" i="10"/>
  <c r="FS48" i="10"/>
  <c r="FT48" i="10"/>
  <c r="FU48" i="10"/>
  <c r="FV48" i="10"/>
  <c r="FW48" i="10"/>
  <c r="FX48" i="10"/>
  <c r="FY48" i="10"/>
  <c r="FZ48" i="10"/>
  <c r="GA48" i="10"/>
  <c r="GB48" i="10"/>
  <c r="GC48" i="10"/>
  <c r="GD48" i="10"/>
  <c r="GE48" i="10"/>
  <c r="GF48" i="10"/>
  <c r="GG48" i="10"/>
  <c r="GH48" i="10"/>
  <c r="GI48" i="10"/>
  <c r="GJ48" i="10"/>
  <c r="GK48" i="10"/>
  <c r="GL48" i="10"/>
  <c r="GM48" i="10"/>
  <c r="GN48" i="10"/>
  <c r="GO48" i="10"/>
  <c r="GP48" i="10"/>
  <c r="GQ48" i="10"/>
  <c r="GR48" i="10"/>
  <c r="GS48" i="10"/>
  <c r="GW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I49" i="10"/>
  <c r="AJ49" i="10"/>
  <c r="AK49" i="10"/>
  <c r="AL49" i="10"/>
  <c r="AM49" i="10"/>
  <c r="AN49" i="10"/>
  <c r="AO49" i="10"/>
  <c r="AP49" i="10"/>
  <c r="AQ49" i="10"/>
  <c r="AR49" i="10"/>
  <c r="AS49" i="10"/>
  <c r="AT49" i="10"/>
  <c r="AU49" i="10"/>
  <c r="AV49" i="10"/>
  <c r="AW49" i="10"/>
  <c r="AX49" i="10"/>
  <c r="AY49" i="10"/>
  <c r="AZ49" i="10"/>
  <c r="BA49" i="10"/>
  <c r="BB49" i="10"/>
  <c r="BC49" i="10"/>
  <c r="BD49" i="10"/>
  <c r="BE49" i="10"/>
  <c r="BF49" i="10"/>
  <c r="BG49" i="10"/>
  <c r="BH49" i="10"/>
  <c r="BI49" i="10"/>
  <c r="BJ49" i="10"/>
  <c r="BK49" i="10"/>
  <c r="BL49" i="10"/>
  <c r="BM49" i="10"/>
  <c r="BN49" i="10"/>
  <c r="BO49" i="10"/>
  <c r="BP49" i="10"/>
  <c r="BQ49" i="10"/>
  <c r="BR49" i="10"/>
  <c r="BS49" i="10"/>
  <c r="BT49" i="10"/>
  <c r="BU49" i="10"/>
  <c r="BV49" i="10"/>
  <c r="BW49" i="10"/>
  <c r="BX49" i="10"/>
  <c r="BY49" i="10"/>
  <c r="BZ49" i="10"/>
  <c r="CA49" i="10"/>
  <c r="CB49" i="10"/>
  <c r="CC49" i="10"/>
  <c r="CD49" i="10"/>
  <c r="CE49" i="10"/>
  <c r="CF49" i="10"/>
  <c r="CG49" i="10"/>
  <c r="CH49" i="10"/>
  <c r="CI49" i="10"/>
  <c r="CJ49" i="10"/>
  <c r="CK49" i="10"/>
  <c r="CL49" i="10"/>
  <c r="CM49" i="10"/>
  <c r="CN49" i="10"/>
  <c r="CO49" i="10"/>
  <c r="CP49" i="10"/>
  <c r="CQ49" i="10"/>
  <c r="CR49" i="10"/>
  <c r="CS49" i="10"/>
  <c r="CT49" i="10"/>
  <c r="CU49" i="10"/>
  <c r="CV49" i="10"/>
  <c r="CW49" i="10"/>
  <c r="CX49" i="10"/>
  <c r="CY49" i="10"/>
  <c r="CZ49" i="10"/>
  <c r="DA49" i="10"/>
  <c r="DB49" i="10"/>
  <c r="DC49" i="10"/>
  <c r="DD49" i="10"/>
  <c r="DE49" i="10"/>
  <c r="DF49" i="10"/>
  <c r="DG49" i="10"/>
  <c r="DH49" i="10"/>
  <c r="DI49" i="10"/>
  <c r="DJ49" i="10"/>
  <c r="DK49" i="10"/>
  <c r="DL49" i="10"/>
  <c r="DM49" i="10"/>
  <c r="DN49" i="10"/>
  <c r="DO49" i="10"/>
  <c r="DP49" i="10"/>
  <c r="DQ49" i="10"/>
  <c r="DR49" i="10"/>
  <c r="DS49" i="10"/>
  <c r="DT49" i="10"/>
  <c r="DU49" i="10"/>
  <c r="DV49" i="10"/>
  <c r="DW49" i="10"/>
  <c r="DX49" i="10"/>
  <c r="DY49" i="10"/>
  <c r="DZ49" i="10"/>
  <c r="EA49" i="10"/>
  <c r="EB49" i="10"/>
  <c r="EC49" i="10"/>
  <c r="ED49" i="10"/>
  <c r="EE49" i="10"/>
  <c r="EF49" i="10"/>
  <c r="EG49" i="10"/>
  <c r="EH49" i="10"/>
  <c r="EI49" i="10"/>
  <c r="EJ49" i="10"/>
  <c r="EK49" i="10"/>
  <c r="EL49" i="10"/>
  <c r="EM49" i="10"/>
  <c r="EN49" i="10"/>
  <c r="EO49" i="10"/>
  <c r="EP49" i="10"/>
  <c r="EQ49" i="10"/>
  <c r="ER49" i="10"/>
  <c r="ES49" i="10"/>
  <c r="ET49" i="10"/>
  <c r="EU49" i="10"/>
  <c r="EV49" i="10"/>
  <c r="EW49" i="10"/>
  <c r="EX49" i="10"/>
  <c r="EY49" i="10"/>
  <c r="EZ49" i="10"/>
  <c r="FA49" i="10"/>
  <c r="FB49" i="10"/>
  <c r="FC49" i="10"/>
  <c r="FD49" i="10"/>
  <c r="FE49" i="10"/>
  <c r="FF49" i="10"/>
  <c r="FG49" i="10"/>
  <c r="FH49" i="10"/>
  <c r="FI49" i="10"/>
  <c r="FJ49" i="10"/>
  <c r="FK49" i="10"/>
  <c r="FL49" i="10"/>
  <c r="FM49" i="10"/>
  <c r="FN49" i="10"/>
  <c r="FO49" i="10"/>
  <c r="FP49" i="10"/>
  <c r="FQ49" i="10"/>
  <c r="FR49" i="10"/>
  <c r="FS49" i="10"/>
  <c r="FT49" i="10"/>
  <c r="FU49" i="10"/>
  <c r="FV49" i="10"/>
  <c r="FW49" i="10"/>
  <c r="FX49" i="10"/>
  <c r="FY49" i="10"/>
  <c r="FZ49" i="10"/>
  <c r="GA49" i="10"/>
  <c r="GB49" i="10"/>
  <c r="GC49" i="10"/>
  <c r="GD49" i="10"/>
  <c r="GE49" i="10"/>
  <c r="GF49" i="10"/>
  <c r="GG49" i="10"/>
  <c r="GH49" i="10"/>
  <c r="GI49" i="10"/>
  <c r="GJ49" i="10"/>
  <c r="GK49" i="10"/>
  <c r="GL49" i="10"/>
  <c r="GM49" i="10"/>
  <c r="GN49" i="10"/>
  <c r="GO49" i="10"/>
  <c r="GP49" i="10"/>
  <c r="GQ49" i="10"/>
  <c r="GR49" i="10"/>
  <c r="GS49" i="10"/>
  <c r="GW49" i="10"/>
  <c r="A36" i="10"/>
  <c r="A66" i="10" s="1"/>
  <c r="B36" i="10"/>
  <c r="C36" i="10"/>
  <c r="D36" i="10"/>
  <c r="D66" i="10" s="1"/>
  <c r="E36" i="10"/>
  <c r="E66" i="10" s="1"/>
  <c r="F36" i="10"/>
  <c r="F66" i="10" s="1"/>
  <c r="G36" i="10"/>
  <c r="G66" i="10" s="1"/>
  <c r="H36" i="10"/>
  <c r="H66" i="10" s="1"/>
  <c r="I36" i="10"/>
  <c r="I66" i="10" s="1"/>
  <c r="J36" i="10"/>
  <c r="J66" i="10" s="1"/>
  <c r="K36" i="10"/>
  <c r="K66" i="10" s="1"/>
  <c r="L36" i="10"/>
  <c r="L66" i="10" s="1"/>
  <c r="M36" i="10"/>
  <c r="M66" i="10" s="1"/>
  <c r="N36" i="10"/>
  <c r="N66" i="10" s="1"/>
  <c r="O36" i="10"/>
  <c r="O66" i="10" s="1"/>
  <c r="P36" i="10"/>
  <c r="P66" i="10" s="1"/>
  <c r="Q36" i="10"/>
  <c r="Q66" i="10" s="1"/>
  <c r="R36" i="10"/>
  <c r="R66" i="10" s="1"/>
  <c r="S36" i="10"/>
  <c r="S66" i="10" s="1"/>
  <c r="T36" i="10"/>
  <c r="U36" i="10"/>
  <c r="V36" i="10"/>
  <c r="W36" i="10"/>
  <c r="W66" i="10" s="1"/>
  <c r="X36" i="10"/>
  <c r="X66" i="10" s="1"/>
  <c r="Y36" i="10"/>
  <c r="Y66" i="10" s="1"/>
  <c r="Z36" i="10"/>
  <c r="Z66" i="10" s="1"/>
  <c r="AA36" i="10"/>
  <c r="AA66" i="10" s="1"/>
  <c r="AB36" i="10"/>
  <c r="AB66" i="10" s="1"/>
  <c r="AC36" i="10"/>
  <c r="AC66" i="10" s="1"/>
  <c r="AD36" i="10"/>
  <c r="AD66" i="10" s="1"/>
  <c r="AE36" i="10"/>
  <c r="AE66" i="10" s="1"/>
  <c r="AF36" i="10"/>
  <c r="AF66" i="10" s="1"/>
  <c r="AG36" i="10"/>
  <c r="AG66" i="10" s="1"/>
  <c r="AH36" i="10"/>
  <c r="AH66" i="10" s="1"/>
  <c r="AI36" i="10"/>
  <c r="AI66" i="10" s="1"/>
  <c r="AJ36" i="10"/>
  <c r="AJ66" i="10" s="1"/>
  <c r="AK36" i="10"/>
  <c r="AK66" i="10" s="1"/>
  <c r="AL36" i="10"/>
  <c r="AL66" i="10" s="1"/>
  <c r="AM36" i="10"/>
  <c r="AM66" i="10" s="1"/>
  <c r="AN36" i="10"/>
  <c r="AN66" i="10" s="1"/>
  <c r="AO36" i="10"/>
  <c r="AO66" i="10" s="1"/>
  <c r="AP36" i="10"/>
  <c r="AP66" i="10" s="1"/>
  <c r="AQ36" i="10"/>
  <c r="AQ66" i="10" s="1"/>
  <c r="AR36" i="10"/>
  <c r="AR66" i="10" s="1"/>
  <c r="AS36" i="10"/>
  <c r="AS66" i="10" s="1"/>
  <c r="AT36" i="10"/>
  <c r="AT66" i="10" s="1"/>
  <c r="AU36" i="10"/>
  <c r="AU66" i="10" s="1"/>
  <c r="AV36" i="10"/>
  <c r="AV66" i="10" s="1"/>
  <c r="AW36" i="10"/>
  <c r="AW66" i="10" s="1"/>
  <c r="AX36" i="10"/>
  <c r="AX66" i="10" s="1"/>
  <c r="AY36" i="10"/>
  <c r="AY66" i="10" s="1"/>
  <c r="AZ36" i="10"/>
  <c r="AZ66" i="10" s="1"/>
  <c r="BA36" i="10"/>
  <c r="BA66" i="10" s="1"/>
  <c r="BB36" i="10"/>
  <c r="BB66" i="10" s="1"/>
  <c r="BC36" i="10"/>
  <c r="BC66" i="10" s="1"/>
  <c r="BD36" i="10"/>
  <c r="BD66" i="10" s="1"/>
  <c r="BE36" i="10"/>
  <c r="BE66" i="10" s="1"/>
  <c r="BF36" i="10"/>
  <c r="BF66" i="10" s="1"/>
  <c r="BG36" i="10"/>
  <c r="BG66" i="10" s="1"/>
  <c r="BH36" i="10"/>
  <c r="BH66" i="10" s="1"/>
  <c r="BI36" i="10"/>
  <c r="BI66" i="10" s="1"/>
  <c r="BJ36" i="10"/>
  <c r="BJ66" i="10" s="1"/>
  <c r="BK36" i="10"/>
  <c r="BK66" i="10" s="1"/>
  <c r="BL36" i="10"/>
  <c r="BL66" i="10" s="1"/>
  <c r="BM36" i="10"/>
  <c r="BM66" i="10" s="1"/>
  <c r="BN36" i="10"/>
  <c r="BN66" i="10" s="1"/>
  <c r="BO36" i="10"/>
  <c r="BO66" i="10" s="1"/>
  <c r="BP36" i="10"/>
  <c r="BP66" i="10" s="1"/>
  <c r="BQ36" i="10"/>
  <c r="BQ66" i="10" s="1"/>
  <c r="BR36" i="10"/>
  <c r="BR66" i="10" s="1"/>
  <c r="BS36" i="10"/>
  <c r="BS66" i="10" s="1"/>
  <c r="BT36" i="10"/>
  <c r="BT66" i="10" s="1"/>
  <c r="BU36" i="10"/>
  <c r="BU66" i="10" s="1"/>
  <c r="BV36" i="10"/>
  <c r="BV66" i="10" s="1"/>
  <c r="BW36" i="10"/>
  <c r="BW66" i="10" s="1"/>
  <c r="BX36" i="10"/>
  <c r="BX66" i="10" s="1"/>
  <c r="BY36" i="10"/>
  <c r="BY66" i="10" s="1"/>
  <c r="BZ36" i="10"/>
  <c r="BZ66" i="10" s="1"/>
  <c r="CA36" i="10"/>
  <c r="CA66" i="10" s="1"/>
  <c r="CB36" i="10"/>
  <c r="CB66" i="10" s="1"/>
  <c r="CC36" i="10"/>
  <c r="CC66" i="10" s="1"/>
  <c r="CD36" i="10"/>
  <c r="CD66" i="10" s="1"/>
  <c r="CE36" i="10"/>
  <c r="CE66" i="10" s="1"/>
  <c r="CF36" i="10"/>
  <c r="CF66" i="10" s="1"/>
  <c r="CG36" i="10"/>
  <c r="CG66" i="10" s="1"/>
  <c r="CH36" i="10"/>
  <c r="CH66" i="10" s="1"/>
  <c r="CI36" i="10"/>
  <c r="CI66" i="10" s="1"/>
  <c r="CJ36" i="10"/>
  <c r="CJ66" i="10" s="1"/>
  <c r="CK36" i="10"/>
  <c r="CK66" i="10" s="1"/>
  <c r="CL36" i="10"/>
  <c r="CL66" i="10" s="1"/>
  <c r="CM36" i="10"/>
  <c r="CM66" i="10" s="1"/>
  <c r="CN36" i="10"/>
  <c r="CN66" i="10" s="1"/>
  <c r="CO36" i="10"/>
  <c r="CO66" i="10" s="1"/>
  <c r="CP36" i="10"/>
  <c r="CP66" i="10" s="1"/>
  <c r="CQ36" i="10"/>
  <c r="CQ66" i="10" s="1"/>
  <c r="CR36" i="10"/>
  <c r="CR66" i="10" s="1"/>
  <c r="CS36" i="10"/>
  <c r="CS66" i="10" s="1"/>
  <c r="CT36" i="10"/>
  <c r="CT66" i="10" s="1"/>
  <c r="CU36" i="10"/>
  <c r="CU66" i="10" s="1"/>
  <c r="CV36" i="10"/>
  <c r="CV66" i="10" s="1"/>
  <c r="CW36" i="10"/>
  <c r="CW66" i="10" s="1"/>
  <c r="CX36" i="10"/>
  <c r="CX66" i="10" s="1"/>
  <c r="CY36" i="10"/>
  <c r="CY66" i="10" s="1"/>
  <c r="CZ36" i="10"/>
  <c r="CZ66" i="10" s="1"/>
  <c r="DA36" i="10"/>
  <c r="DA66" i="10" s="1"/>
  <c r="DB36" i="10"/>
  <c r="DC36" i="10"/>
  <c r="DC66" i="10" s="1"/>
  <c r="DD36" i="10"/>
  <c r="DD66" i="10" s="1"/>
  <c r="DE36" i="10"/>
  <c r="DE66" i="10" s="1"/>
  <c r="DF36" i="10"/>
  <c r="DF66" i="10" s="1"/>
  <c r="DG36" i="10"/>
  <c r="DG66" i="10" s="1"/>
  <c r="DH36" i="10"/>
  <c r="DH66" i="10" s="1"/>
  <c r="DI36" i="10"/>
  <c r="DI66" i="10" s="1"/>
  <c r="DJ36" i="10"/>
  <c r="DJ66" i="10" s="1"/>
  <c r="DK36" i="10"/>
  <c r="DK66" i="10" s="1"/>
  <c r="DL36" i="10"/>
  <c r="DL66" i="10" s="1"/>
  <c r="DM36" i="10"/>
  <c r="DM66" i="10" s="1"/>
  <c r="DN36" i="10"/>
  <c r="DN66" i="10" s="1"/>
  <c r="DO36" i="10"/>
  <c r="DO66" i="10" s="1"/>
  <c r="DP36" i="10"/>
  <c r="DP66" i="10" s="1"/>
  <c r="DQ36" i="10"/>
  <c r="DQ66" i="10" s="1"/>
  <c r="DR36" i="10"/>
  <c r="DR66" i="10" s="1"/>
  <c r="DS36" i="10"/>
  <c r="DS66" i="10" s="1"/>
  <c r="DT36" i="10"/>
  <c r="DT66" i="10" s="1"/>
  <c r="DU36" i="10"/>
  <c r="DU66" i="10" s="1"/>
  <c r="DV36" i="10"/>
  <c r="DV66" i="10" s="1"/>
  <c r="DW36" i="10"/>
  <c r="DW66" i="10" s="1"/>
  <c r="DX36" i="10"/>
  <c r="DX66" i="10" s="1"/>
  <c r="DY36" i="10"/>
  <c r="DZ36" i="10"/>
  <c r="EA36" i="10"/>
  <c r="EA66" i="10" s="1"/>
  <c r="EB36" i="10"/>
  <c r="EB66" i="10" s="1"/>
  <c r="EC36" i="10"/>
  <c r="EC66" i="10" s="1"/>
  <c r="ED36" i="10"/>
  <c r="ED66" i="10" s="1"/>
  <c r="EE36" i="10"/>
  <c r="EE66" i="10" s="1"/>
  <c r="EF36" i="10"/>
  <c r="EF66" i="10" s="1"/>
  <c r="EG36" i="10"/>
  <c r="EG66" i="10" s="1"/>
  <c r="EH36" i="10"/>
  <c r="EH66" i="10" s="1"/>
  <c r="EI36" i="10"/>
  <c r="EI66" i="10" s="1"/>
  <c r="EJ36" i="10"/>
  <c r="EJ66" i="10" s="1"/>
  <c r="EK36" i="10"/>
  <c r="EK66" i="10" s="1"/>
  <c r="EL36" i="10"/>
  <c r="EL66" i="10" s="1"/>
  <c r="EM36" i="10"/>
  <c r="EM66" i="10" s="1"/>
  <c r="EN36" i="10"/>
  <c r="EN66" i="10" s="1"/>
  <c r="EO36" i="10"/>
  <c r="EO66" i="10" s="1"/>
  <c r="EP36" i="10"/>
  <c r="EP66" i="10" s="1"/>
  <c r="EQ36" i="10"/>
  <c r="EQ66" i="10" s="1"/>
  <c r="ER36" i="10"/>
  <c r="ER66" i="10" s="1"/>
  <c r="ES36" i="10"/>
  <c r="ES66" i="10" s="1"/>
  <c r="ET36" i="10"/>
  <c r="ET66" i="10" s="1"/>
  <c r="EU36" i="10"/>
  <c r="EU66" i="10" s="1"/>
  <c r="EV36" i="10"/>
  <c r="EV66" i="10" s="1"/>
  <c r="EW36" i="10"/>
  <c r="EW66" i="10" s="1"/>
  <c r="EX36" i="10"/>
  <c r="EX66" i="10" s="1"/>
  <c r="EY36" i="10"/>
  <c r="EY66" i="10" s="1"/>
  <c r="EZ36" i="10"/>
  <c r="EZ66" i="10" s="1"/>
  <c r="FA36" i="10"/>
  <c r="FA66" i="10" s="1"/>
  <c r="FB36" i="10"/>
  <c r="FB66" i="10" s="1"/>
  <c r="FC36" i="10"/>
  <c r="FC66" i="10" s="1"/>
  <c r="FD36" i="10"/>
  <c r="FD66" i="10" s="1"/>
  <c r="FE36" i="10"/>
  <c r="FE66" i="10" s="1"/>
  <c r="FF36" i="10"/>
  <c r="FF66" i="10" s="1"/>
  <c r="FG36" i="10"/>
  <c r="FG66" i="10" s="1"/>
  <c r="FH36" i="10"/>
  <c r="FH66" i="10" s="1"/>
  <c r="FI36" i="10"/>
  <c r="FI66" i="10" s="1"/>
  <c r="FJ36" i="10"/>
  <c r="FJ66" i="10" s="1"/>
  <c r="FK36" i="10"/>
  <c r="FK66" i="10" s="1"/>
  <c r="FL36" i="10"/>
  <c r="FM36" i="10"/>
  <c r="FN36" i="10"/>
  <c r="FN66" i="10" s="1"/>
  <c r="FO36" i="10"/>
  <c r="FO66" i="10" s="1"/>
  <c r="FP36" i="10"/>
  <c r="FP66" i="10" s="1"/>
  <c r="FQ36" i="10"/>
  <c r="FQ66" i="10" s="1"/>
  <c r="FR36" i="10"/>
  <c r="FR66" i="10" s="1"/>
  <c r="FS36" i="10"/>
  <c r="FS66" i="10" s="1"/>
  <c r="FT36" i="10"/>
  <c r="FT66" i="10" s="1"/>
  <c r="FU36" i="10"/>
  <c r="FU66" i="10" s="1"/>
  <c r="FV36" i="10"/>
  <c r="FV66" i="10" s="1"/>
  <c r="FW36" i="10"/>
  <c r="FW66" i="10" s="1"/>
  <c r="FX36" i="10"/>
  <c r="FX66" i="10" s="1"/>
  <c r="FY36" i="10"/>
  <c r="FY66" i="10" s="1"/>
  <c r="FZ36" i="10"/>
  <c r="FZ66" i="10" s="1"/>
  <c r="GA36" i="10"/>
  <c r="GA66" i="10" s="1"/>
  <c r="GB36" i="10"/>
  <c r="GB66" i="10" s="1"/>
  <c r="GC36" i="10"/>
  <c r="GC66" i="10" s="1"/>
  <c r="GD36" i="10"/>
  <c r="GD66" i="10" s="1"/>
  <c r="GE36" i="10"/>
  <c r="GE66" i="10" s="1"/>
  <c r="GF36" i="10"/>
  <c r="GF66" i="10" s="1"/>
  <c r="GG36" i="10"/>
  <c r="GG66" i="10" s="1"/>
  <c r="GH36" i="10"/>
  <c r="GH66" i="10" s="1"/>
  <c r="GI36" i="10"/>
  <c r="GI66" i="10" s="1"/>
  <c r="GJ36" i="10"/>
  <c r="GJ66" i="10" s="1"/>
  <c r="GK36" i="10"/>
  <c r="GK66" i="10" s="1"/>
  <c r="GL36" i="10"/>
  <c r="GL66" i="10" s="1"/>
  <c r="GM36" i="10"/>
  <c r="GM66" i="10" s="1"/>
  <c r="GN36" i="10"/>
  <c r="GN66" i="10" s="1"/>
  <c r="GO36" i="10"/>
  <c r="GO66" i="10" s="1"/>
  <c r="GP36" i="10"/>
  <c r="GP66" i="10" s="1"/>
  <c r="GQ36" i="10"/>
  <c r="GQ66" i="10" s="1"/>
  <c r="GR36" i="10"/>
  <c r="GR66" i="10" s="1"/>
  <c r="GS36" i="10"/>
  <c r="GS66" i="10" s="1"/>
  <c r="GW36" i="10"/>
  <c r="A37" i="10"/>
  <c r="A67" i="10" s="1"/>
  <c r="B37" i="10"/>
  <c r="C37" i="10"/>
  <c r="D37" i="10"/>
  <c r="D67" i="10" s="1"/>
  <c r="E37" i="10"/>
  <c r="E67" i="10" s="1"/>
  <c r="F37" i="10"/>
  <c r="F67" i="10" s="1"/>
  <c r="G37" i="10"/>
  <c r="G67" i="10" s="1"/>
  <c r="H37" i="10"/>
  <c r="H67" i="10" s="1"/>
  <c r="I37" i="10"/>
  <c r="I67" i="10" s="1"/>
  <c r="J37" i="10"/>
  <c r="J67" i="10" s="1"/>
  <c r="K37" i="10"/>
  <c r="K67" i="10" s="1"/>
  <c r="L37" i="10"/>
  <c r="L67" i="10" s="1"/>
  <c r="M37" i="10"/>
  <c r="M67" i="10" s="1"/>
  <c r="N37" i="10"/>
  <c r="N67" i="10" s="1"/>
  <c r="O37" i="10"/>
  <c r="O67" i="10" s="1"/>
  <c r="P37" i="10"/>
  <c r="P67" i="10" s="1"/>
  <c r="Q37" i="10"/>
  <c r="Q67" i="10" s="1"/>
  <c r="R37" i="10"/>
  <c r="R67" i="10" s="1"/>
  <c r="S37" i="10"/>
  <c r="S67" i="10" s="1"/>
  <c r="T37" i="10"/>
  <c r="T67" i="10" s="1"/>
  <c r="U37" i="10"/>
  <c r="U67" i="10" s="1"/>
  <c r="V37" i="10"/>
  <c r="V67" i="10" s="1"/>
  <c r="W37" i="10"/>
  <c r="W67" i="10" s="1"/>
  <c r="X37" i="10"/>
  <c r="X67" i="10" s="1"/>
  <c r="Y37" i="10"/>
  <c r="Y67" i="10" s="1"/>
  <c r="Z37" i="10"/>
  <c r="Z67" i="10" s="1"/>
  <c r="AA37" i="10"/>
  <c r="AA67" i="10" s="1"/>
  <c r="AB37" i="10"/>
  <c r="AB67" i="10" s="1"/>
  <c r="AC37" i="10"/>
  <c r="AC67" i="10" s="1"/>
  <c r="AD37" i="10"/>
  <c r="AD67" i="10" s="1"/>
  <c r="AE37" i="10"/>
  <c r="AE67" i="10" s="1"/>
  <c r="AF37" i="10"/>
  <c r="AF67" i="10" s="1"/>
  <c r="AG37" i="10"/>
  <c r="AG67" i="10" s="1"/>
  <c r="AH37" i="10"/>
  <c r="AH67" i="10" s="1"/>
  <c r="AI37" i="10"/>
  <c r="AI67" i="10" s="1"/>
  <c r="AJ37" i="10"/>
  <c r="AJ67" i="10" s="1"/>
  <c r="AK37" i="10"/>
  <c r="AK67" i="10" s="1"/>
  <c r="AL37" i="10"/>
  <c r="AL67" i="10" s="1"/>
  <c r="AM37" i="10"/>
  <c r="AM67" i="10" s="1"/>
  <c r="AN37" i="10"/>
  <c r="AN67" i="10" s="1"/>
  <c r="AO37" i="10"/>
  <c r="AO67" i="10" s="1"/>
  <c r="AP37" i="10"/>
  <c r="AP67" i="10" s="1"/>
  <c r="AQ37" i="10"/>
  <c r="AQ67" i="10" s="1"/>
  <c r="AR37" i="10"/>
  <c r="AR67" i="10" s="1"/>
  <c r="AS37" i="10"/>
  <c r="AS67" i="10" s="1"/>
  <c r="AT37" i="10"/>
  <c r="AT67" i="10" s="1"/>
  <c r="AU37" i="10"/>
  <c r="AU67" i="10" s="1"/>
  <c r="AV37" i="10"/>
  <c r="AV67" i="10" s="1"/>
  <c r="AW37" i="10"/>
  <c r="AW67" i="10" s="1"/>
  <c r="AX37" i="10"/>
  <c r="AX67" i="10" s="1"/>
  <c r="AY37" i="10"/>
  <c r="AY67" i="10" s="1"/>
  <c r="AZ37" i="10"/>
  <c r="AZ67" i="10" s="1"/>
  <c r="BA37" i="10"/>
  <c r="BA67" i="10" s="1"/>
  <c r="BB37" i="10"/>
  <c r="BB67" i="10" s="1"/>
  <c r="BC37" i="10"/>
  <c r="BC67" i="10" s="1"/>
  <c r="BD37" i="10"/>
  <c r="BD67" i="10" s="1"/>
  <c r="BE37" i="10"/>
  <c r="BE67" i="10" s="1"/>
  <c r="BF37" i="10"/>
  <c r="BF67" i="10" s="1"/>
  <c r="BG37" i="10"/>
  <c r="BG67" i="10" s="1"/>
  <c r="BH37" i="10"/>
  <c r="BH67" i="10" s="1"/>
  <c r="BI37" i="10"/>
  <c r="BI67" i="10" s="1"/>
  <c r="BJ37" i="10"/>
  <c r="BJ67" i="10" s="1"/>
  <c r="BK37" i="10"/>
  <c r="BK67" i="10" s="1"/>
  <c r="BL37" i="10"/>
  <c r="BL67" i="10" s="1"/>
  <c r="BM37" i="10"/>
  <c r="BM67" i="10" s="1"/>
  <c r="BN37" i="10"/>
  <c r="BN67" i="10" s="1"/>
  <c r="BO37" i="10"/>
  <c r="BO67" i="10" s="1"/>
  <c r="BP37" i="10"/>
  <c r="BP67" i="10" s="1"/>
  <c r="BQ37" i="10"/>
  <c r="BQ67" i="10" s="1"/>
  <c r="BR37" i="10"/>
  <c r="BR67" i="10" s="1"/>
  <c r="BS37" i="10"/>
  <c r="BS67" i="10" s="1"/>
  <c r="BT37" i="10"/>
  <c r="BT67" i="10" s="1"/>
  <c r="BU37" i="10"/>
  <c r="BU67" i="10" s="1"/>
  <c r="BV37" i="10"/>
  <c r="BV67" i="10" s="1"/>
  <c r="BW37" i="10"/>
  <c r="BW67" i="10" s="1"/>
  <c r="BX37" i="10"/>
  <c r="BX67" i="10" s="1"/>
  <c r="BY37" i="10"/>
  <c r="BY67" i="10" s="1"/>
  <c r="BZ37" i="10"/>
  <c r="BZ67" i="10" s="1"/>
  <c r="CA37" i="10"/>
  <c r="CA67" i="10" s="1"/>
  <c r="CB37" i="10"/>
  <c r="CB67" i="10" s="1"/>
  <c r="CC37" i="10"/>
  <c r="CC67" i="10" s="1"/>
  <c r="CD37" i="10"/>
  <c r="CD67" i="10" s="1"/>
  <c r="CE37" i="10"/>
  <c r="CE67" i="10" s="1"/>
  <c r="CF37" i="10"/>
  <c r="CF67" i="10" s="1"/>
  <c r="CG37" i="10"/>
  <c r="CG67" i="10" s="1"/>
  <c r="CH37" i="10"/>
  <c r="CH67" i="10" s="1"/>
  <c r="CI37" i="10"/>
  <c r="CI67" i="10" s="1"/>
  <c r="CJ37" i="10"/>
  <c r="CJ67" i="10" s="1"/>
  <c r="CK37" i="10"/>
  <c r="CK67" i="10" s="1"/>
  <c r="CL37" i="10"/>
  <c r="CL67" i="10" s="1"/>
  <c r="CM37" i="10"/>
  <c r="CM67" i="10" s="1"/>
  <c r="CN37" i="10"/>
  <c r="CN67" i="10" s="1"/>
  <c r="CO37" i="10"/>
  <c r="CO67" i="10" s="1"/>
  <c r="CP37" i="10"/>
  <c r="CP67" i="10" s="1"/>
  <c r="CQ37" i="10"/>
  <c r="CQ67" i="10" s="1"/>
  <c r="CR37" i="10"/>
  <c r="CR67" i="10" s="1"/>
  <c r="CS37" i="10"/>
  <c r="CS67" i="10" s="1"/>
  <c r="CT37" i="10"/>
  <c r="CT67" i="10" s="1"/>
  <c r="CU37" i="10"/>
  <c r="CU67" i="10" s="1"/>
  <c r="CV37" i="10"/>
  <c r="CV67" i="10" s="1"/>
  <c r="CW37" i="10"/>
  <c r="CW67" i="10" s="1"/>
  <c r="CX37" i="10"/>
  <c r="CX67" i="10" s="1"/>
  <c r="CY37" i="10"/>
  <c r="CY67" i="10" s="1"/>
  <c r="CZ37" i="10"/>
  <c r="CZ67" i="10" s="1"/>
  <c r="DA37" i="10"/>
  <c r="DA67" i="10" s="1"/>
  <c r="DB37" i="10"/>
  <c r="DC37" i="10"/>
  <c r="DD37" i="10"/>
  <c r="DD67" i="10" s="1"/>
  <c r="DE37" i="10"/>
  <c r="DE67" i="10" s="1"/>
  <c r="DF37" i="10"/>
  <c r="DF67" i="10" s="1"/>
  <c r="DG37" i="10"/>
  <c r="DG67" i="10" s="1"/>
  <c r="DH37" i="10"/>
  <c r="DH67" i="10" s="1"/>
  <c r="DI37" i="10"/>
  <c r="DI67" i="10" s="1"/>
  <c r="DJ37" i="10"/>
  <c r="DJ67" i="10" s="1"/>
  <c r="DK37" i="10"/>
  <c r="DK67" i="10" s="1"/>
  <c r="DL37" i="10"/>
  <c r="DL67" i="10" s="1"/>
  <c r="DM37" i="10"/>
  <c r="DM67" i="10" s="1"/>
  <c r="DN37" i="10"/>
  <c r="DN67" i="10" s="1"/>
  <c r="DO37" i="10"/>
  <c r="DO67" i="10" s="1"/>
  <c r="DP37" i="10"/>
  <c r="DP67" i="10" s="1"/>
  <c r="DQ37" i="10"/>
  <c r="DQ67" i="10" s="1"/>
  <c r="DR37" i="10"/>
  <c r="DR67" i="10" s="1"/>
  <c r="DS37" i="10"/>
  <c r="DS67" i="10" s="1"/>
  <c r="DT37" i="10"/>
  <c r="DT67" i="10" s="1"/>
  <c r="DU37" i="10"/>
  <c r="DU67" i="10" s="1"/>
  <c r="DV37" i="10"/>
  <c r="DV67" i="10" s="1"/>
  <c r="DW37" i="10"/>
  <c r="DW67" i="10" s="1"/>
  <c r="DX37" i="10"/>
  <c r="DX67" i="10" s="1"/>
  <c r="DY37" i="10"/>
  <c r="DY67" i="10" s="1"/>
  <c r="DZ37" i="10"/>
  <c r="EA37" i="10"/>
  <c r="EA67" i="10" s="1"/>
  <c r="EB37" i="10"/>
  <c r="EB67" i="10" s="1"/>
  <c r="EC37" i="10"/>
  <c r="EC67" i="10" s="1"/>
  <c r="ED37" i="10"/>
  <c r="ED67" i="10" s="1"/>
  <c r="EE37" i="10"/>
  <c r="EE67" i="10" s="1"/>
  <c r="EF37" i="10"/>
  <c r="EF67" i="10" s="1"/>
  <c r="EG37" i="10"/>
  <c r="EG67" i="10" s="1"/>
  <c r="EH37" i="10"/>
  <c r="EH67" i="10" s="1"/>
  <c r="EI37" i="10"/>
  <c r="EI67" i="10" s="1"/>
  <c r="EJ37" i="10"/>
  <c r="EJ67" i="10" s="1"/>
  <c r="EK37" i="10"/>
  <c r="EK67" i="10" s="1"/>
  <c r="EL37" i="10"/>
  <c r="EL67" i="10" s="1"/>
  <c r="EM37" i="10"/>
  <c r="EM67" i="10" s="1"/>
  <c r="EN37" i="10"/>
  <c r="EN67" i="10" s="1"/>
  <c r="EO37" i="10"/>
  <c r="EO67" i="10" s="1"/>
  <c r="EP37" i="10"/>
  <c r="EP67" i="10" s="1"/>
  <c r="EQ37" i="10"/>
  <c r="EQ67" i="10" s="1"/>
  <c r="ER37" i="10"/>
  <c r="ER67" i="10" s="1"/>
  <c r="ES37" i="10"/>
  <c r="ES67" i="10" s="1"/>
  <c r="ET37" i="10"/>
  <c r="ET67" i="10" s="1"/>
  <c r="EU37" i="10"/>
  <c r="EU67" i="10" s="1"/>
  <c r="EV37" i="10"/>
  <c r="EV67" i="10" s="1"/>
  <c r="EW37" i="10"/>
  <c r="EW67" i="10" s="1"/>
  <c r="EX37" i="10"/>
  <c r="EX67" i="10" s="1"/>
  <c r="EY37" i="10"/>
  <c r="EY67" i="10" s="1"/>
  <c r="EZ37" i="10"/>
  <c r="EZ67" i="10" s="1"/>
  <c r="FA37" i="10"/>
  <c r="FA67" i="10" s="1"/>
  <c r="FB37" i="10"/>
  <c r="FB67" i="10" s="1"/>
  <c r="FC37" i="10"/>
  <c r="FC67" i="10" s="1"/>
  <c r="FD37" i="10"/>
  <c r="FD67" i="10" s="1"/>
  <c r="FE37" i="10"/>
  <c r="FE67" i="10" s="1"/>
  <c r="FF37" i="10"/>
  <c r="FF67" i="10" s="1"/>
  <c r="FG37" i="10"/>
  <c r="FG67" i="10" s="1"/>
  <c r="FH37" i="10"/>
  <c r="FH67" i="10" s="1"/>
  <c r="FI37" i="10"/>
  <c r="FI67" i="10" s="1"/>
  <c r="FJ37" i="10"/>
  <c r="FJ67" i="10" s="1"/>
  <c r="FK37" i="10"/>
  <c r="FK67" i="10" s="1"/>
  <c r="FL37" i="10"/>
  <c r="FL67" i="10" s="1"/>
  <c r="FM37" i="10"/>
  <c r="FM67" i="10" s="1"/>
  <c r="FN37" i="10"/>
  <c r="FO37" i="10"/>
  <c r="FP37" i="10"/>
  <c r="FP67" i="10" s="1"/>
  <c r="FQ37" i="10"/>
  <c r="FQ67" i="10" s="1"/>
  <c r="FR37" i="10"/>
  <c r="FR67" i="10" s="1"/>
  <c r="FS37" i="10"/>
  <c r="FS67" i="10" s="1"/>
  <c r="FT37" i="10"/>
  <c r="FT67" i="10" s="1"/>
  <c r="FU37" i="10"/>
  <c r="FU67" i="10" s="1"/>
  <c r="FV37" i="10"/>
  <c r="FV67" i="10" s="1"/>
  <c r="FW37" i="10"/>
  <c r="FW67" i="10" s="1"/>
  <c r="FX37" i="10"/>
  <c r="FX67" i="10" s="1"/>
  <c r="FY37" i="10"/>
  <c r="FY67" i="10" s="1"/>
  <c r="FZ37" i="10"/>
  <c r="FZ67" i="10" s="1"/>
  <c r="GA37" i="10"/>
  <c r="GA67" i="10" s="1"/>
  <c r="GB37" i="10"/>
  <c r="GB67" i="10" s="1"/>
  <c r="GC37" i="10"/>
  <c r="GC67" i="10" s="1"/>
  <c r="GD37" i="10"/>
  <c r="GD67" i="10" s="1"/>
  <c r="GE37" i="10"/>
  <c r="GE67" i="10" s="1"/>
  <c r="GF37" i="10"/>
  <c r="GF67" i="10" s="1"/>
  <c r="GG37" i="10"/>
  <c r="GG67" i="10" s="1"/>
  <c r="GH37" i="10"/>
  <c r="GH67" i="10" s="1"/>
  <c r="GI37" i="10"/>
  <c r="GI67" i="10" s="1"/>
  <c r="GJ37" i="10"/>
  <c r="GJ67" i="10" s="1"/>
  <c r="GK37" i="10"/>
  <c r="GK67" i="10" s="1"/>
  <c r="GL37" i="10"/>
  <c r="GL67" i="10" s="1"/>
  <c r="GM37" i="10"/>
  <c r="GM67" i="10" s="1"/>
  <c r="GN37" i="10"/>
  <c r="GN67" i="10" s="1"/>
  <c r="GO37" i="10"/>
  <c r="GO67" i="10" s="1"/>
  <c r="GP37" i="10"/>
  <c r="GP67" i="10" s="1"/>
  <c r="GQ37" i="10"/>
  <c r="GQ67" i="10" s="1"/>
  <c r="GR37" i="10"/>
  <c r="GR67" i="10" s="1"/>
  <c r="GS37" i="10"/>
  <c r="GS67" i="10" s="1"/>
  <c r="GW37" i="10"/>
  <c r="A38" i="10"/>
  <c r="A68" i="10" s="1"/>
  <c r="B38" i="10"/>
  <c r="C38" i="10"/>
  <c r="D38" i="10"/>
  <c r="D68" i="10" s="1"/>
  <c r="E38" i="10"/>
  <c r="E68" i="10" s="1"/>
  <c r="F38" i="10"/>
  <c r="F68" i="10" s="1"/>
  <c r="G38" i="10"/>
  <c r="G68" i="10" s="1"/>
  <c r="H38" i="10"/>
  <c r="H68" i="10" s="1"/>
  <c r="I38" i="10"/>
  <c r="I68" i="10" s="1"/>
  <c r="J38" i="10"/>
  <c r="J68" i="10" s="1"/>
  <c r="K38" i="10"/>
  <c r="K68" i="10" s="1"/>
  <c r="L38" i="10"/>
  <c r="L68" i="10" s="1"/>
  <c r="M38" i="10"/>
  <c r="M68" i="10" s="1"/>
  <c r="N38" i="10"/>
  <c r="N68" i="10" s="1"/>
  <c r="O38" i="10"/>
  <c r="O68" i="10" s="1"/>
  <c r="P38" i="10"/>
  <c r="P68" i="10" s="1"/>
  <c r="Q38" i="10"/>
  <c r="Q68" i="10" s="1"/>
  <c r="R38" i="10"/>
  <c r="R68" i="10" s="1"/>
  <c r="S38" i="10"/>
  <c r="S68" i="10" s="1"/>
  <c r="T38" i="10"/>
  <c r="T68" i="10" s="1"/>
  <c r="U38" i="10"/>
  <c r="U68" i="10" s="1"/>
  <c r="V38" i="10"/>
  <c r="V68" i="10" s="1"/>
  <c r="W38" i="10"/>
  <c r="W68" i="10" s="1"/>
  <c r="X38" i="10"/>
  <c r="X68" i="10" s="1"/>
  <c r="Y38" i="10"/>
  <c r="Y68" i="10" s="1"/>
  <c r="Z38" i="10"/>
  <c r="Z68" i="10" s="1"/>
  <c r="AA38" i="10"/>
  <c r="AA68" i="10" s="1"/>
  <c r="AB38" i="10"/>
  <c r="AB68" i="10" s="1"/>
  <c r="AC38" i="10"/>
  <c r="AC68" i="10" s="1"/>
  <c r="AD38" i="10"/>
  <c r="AD68" i="10" s="1"/>
  <c r="AE38" i="10"/>
  <c r="AE68" i="10" s="1"/>
  <c r="AF38" i="10"/>
  <c r="AF68" i="10" s="1"/>
  <c r="AG38" i="10"/>
  <c r="AG68" i="10" s="1"/>
  <c r="AH38" i="10"/>
  <c r="AH68" i="10" s="1"/>
  <c r="AI38" i="10"/>
  <c r="AI68" i="10" s="1"/>
  <c r="AJ38" i="10"/>
  <c r="AJ68" i="10" s="1"/>
  <c r="AK38" i="10"/>
  <c r="AK68" i="10" s="1"/>
  <c r="AL38" i="10"/>
  <c r="AL68" i="10" s="1"/>
  <c r="AM38" i="10"/>
  <c r="AM68" i="10" s="1"/>
  <c r="AN38" i="10"/>
  <c r="AN68" i="10" s="1"/>
  <c r="AO38" i="10"/>
  <c r="AO68" i="10" s="1"/>
  <c r="AP38" i="10"/>
  <c r="AP68" i="10" s="1"/>
  <c r="AQ38" i="10"/>
  <c r="AQ68" i="10" s="1"/>
  <c r="AR38" i="10"/>
  <c r="AR68" i="10" s="1"/>
  <c r="AS38" i="10"/>
  <c r="AS68" i="10" s="1"/>
  <c r="AT38" i="10"/>
  <c r="AT68" i="10" s="1"/>
  <c r="AU38" i="10"/>
  <c r="AU68" i="10" s="1"/>
  <c r="AV38" i="10"/>
  <c r="AV68" i="10" s="1"/>
  <c r="AW38" i="10"/>
  <c r="AW68" i="10" s="1"/>
  <c r="AX38" i="10"/>
  <c r="AX68" i="10" s="1"/>
  <c r="AY38" i="10"/>
  <c r="AY68" i="10" s="1"/>
  <c r="AZ38" i="10"/>
  <c r="AZ68" i="10" s="1"/>
  <c r="BA38" i="10"/>
  <c r="BA68" i="10" s="1"/>
  <c r="BB38" i="10"/>
  <c r="BB68" i="10" s="1"/>
  <c r="BC38" i="10"/>
  <c r="BC68" i="10" s="1"/>
  <c r="BD38" i="10"/>
  <c r="BD68" i="10" s="1"/>
  <c r="BE38" i="10"/>
  <c r="BE68" i="10" s="1"/>
  <c r="BF38" i="10"/>
  <c r="BF68" i="10" s="1"/>
  <c r="BG38" i="10"/>
  <c r="BG68" i="10" s="1"/>
  <c r="BH38" i="10"/>
  <c r="BH68" i="10" s="1"/>
  <c r="BI38" i="10"/>
  <c r="BI68" i="10" s="1"/>
  <c r="BJ38" i="10"/>
  <c r="BJ68" i="10" s="1"/>
  <c r="BK38" i="10"/>
  <c r="BK68" i="10" s="1"/>
  <c r="BL38" i="10"/>
  <c r="BL68" i="10" s="1"/>
  <c r="BM38" i="10"/>
  <c r="BM68" i="10" s="1"/>
  <c r="BN38" i="10"/>
  <c r="BN68" i="10" s="1"/>
  <c r="BO38" i="10"/>
  <c r="BO68" i="10" s="1"/>
  <c r="BP38" i="10"/>
  <c r="BP68" i="10" s="1"/>
  <c r="BQ38" i="10"/>
  <c r="BQ68" i="10" s="1"/>
  <c r="BR38" i="10"/>
  <c r="BR68" i="10" s="1"/>
  <c r="BS38" i="10"/>
  <c r="BS68" i="10" s="1"/>
  <c r="BT38" i="10"/>
  <c r="BT68" i="10" s="1"/>
  <c r="BU38" i="10"/>
  <c r="BU68" i="10" s="1"/>
  <c r="BV38" i="10"/>
  <c r="BV68" i="10" s="1"/>
  <c r="BW38" i="10"/>
  <c r="BW68" i="10" s="1"/>
  <c r="BX38" i="10"/>
  <c r="BX68" i="10" s="1"/>
  <c r="BY38" i="10"/>
  <c r="BY68" i="10" s="1"/>
  <c r="BZ38" i="10"/>
  <c r="BZ68" i="10" s="1"/>
  <c r="CA38" i="10"/>
  <c r="CA68" i="10" s="1"/>
  <c r="CB38" i="10"/>
  <c r="CB68" i="10" s="1"/>
  <c r="CC38" i="10"/>
  <c r="CC68" i="10" s="1"/>
  <c r="CD38" i="10"/>
  <c r="CD68" i="10" s="1"/>
  <c r="CE38" i="10"/>
  <c r="CE68" i="10" s="1"/>
  <c r="CF38" i="10"/>
  <c r="CF68" i="10" s="1"/>
  <c r="CG38" i="10"/>
  <c r="CG68" i="10" s="1"/>
  <c r="CH38" i="10"/>
  <c r="CH68" i="10" s="1"/>
  <c r="CI38" i="10"/>
  <c r="CI68" i="10" s="1"/>
  <c r="CJ38" i="10"/>
  <c r="CJ68" i="10" s="1"/>
  <c r="CK38" i="10"/>
  <c r="CK68" i="10" s="1"/>
  <c r="CL38" i="10"/>
  <c r="CL68" i="10" s="1"/>
  <c r="CM38" i="10"/>
  <c r="CM68" i="10" s="1"/>
  <c r="CN38" i="10"/>
  <c r="CN68" i="10" s="1"/>
  <c r="CO38" i="10"/>
  <c r="CO68" i="10" s="1"/>
  <c r="CP38" i="10"/>
  <c r="CP68" i="10" s="1"/>
  <c r="CQ38" i="10"/>
  <c r="CQ68" i="10" s="1"/>
  <c r="CR38" i="10"/>
  <c r="CR68" i="10" s="1"/>
  <c r="CS38" i="10"/>
  <c r="CS68" i="10" s="1"/>
  <c r="CT38" i="10"/>
  <c r="CT68" i="10" s="1"/>
  <c r="CU38" i="10"/>
  <c r="CU68" i="10" s="1"/>
  <c r="CV38" i="10"/>
  <c r="CV68" i="10" s="1"/>
  <c r="CW38" i="10"/>
  <c r="CW68" i="10" s="1"/>
  <c r="CX38" i="10"/>
  <c r="CX68" i="10" s="1"/>
  <c r="CY38" i="10"/>
  <c r="CY68" i="10" s="1"/>
  <c r="CZ38" i="10"/>
  <c r="CZ68" i="10" s="1"/>
  <c r="DA38" i="10"/>
  <c r="DA68" i="10" s="1"/>
  <c r="DB38" i="10"/>
  <c r="DC38" i="10"/>
  <c r="DC68" i="10" s="1"/>
  <c r="DD38" i="10"/>
  <c r="DE38" i="10"/>
  <c r="DE68" i="10" s="1"/>
  <c r="DF38" i="10"/>
  <c r="DF68" i="10" s="1"/>
  <c r="DG38" i="10"/>
  <c r="DG68" i="10" s="1"/>
  <c r="DH38" i="10"/>
  <c r="DH68" i="10" s="1"/>
  <c r="DI38" i="10"/>
  <c r="DI68" i="10" s="1"/>
  <c r="DJ38" i="10"/>
  <c r="DJ68" i="10" s="1"/>
  <c r="DK38" i="10"/>
  <c r="DK68" i="10" s="1"/>
  <c r="DL38" i="10"/>
  <c r="DL68" i="10" s="1"/>
  <c r="DM38" i="10"/>
  <c r="DM68" i="10" s="1"/>
  <c r="DN38" i="10"/>
  <c r="DN68" i="10" s="1"/>
  <c r="DO38" i="10"/>
  <c r="DO68" i="10" s="1"/>
  <c r="DP38" i="10"/>
  <c r="DP68" i="10" s="1"/>
  <c r="DQ38" i="10"/>
  <c r="DQ68" i="10" s="1"/>
  <c r="DR38" i="10"/>
  <c r="DR68" i="10" s="1"/>
  <c r="DS38" i="10"/>
  <c r="DS68" i="10" s="1"/>
  <c r="DT38" i="10"/>
  <c r="DT68" i="10" s="1"/>
  <c r="DU38" i="10"/>
  <c r="DU68" i="10" s="1"/>
  <c r="DV38" i="10"/>
  <c r="DV68" i="10" s="1"/>
  <c r="DW38" i="10"/>
  <c r="DW68" i="10" s="1"/>
  <c r="DX38" i="10"/>
  <c r="DX68" i="10" s="1"/>
  <c r="DY38" i="10"/>
  <c r="DY68" i="10" s="1"/>
  <c r="DZ38" i="10"/>
  <c r="DZ68" i="10" s="1"/>
  <c r="EA38" i="10"/>
  <c r="EA68" i="10" s="1"/>
  <c r="EB38" i="10"/>
  <c r="EB68" i="10" s="1"/>
  <c r="EC38" i="10"/>
  <c r="EC68" i="10" s="1"/>
  <c r="ED38" i="10"/>
  <c r="ED68" i="10" s="1"/>
  <c r="EE38" i="10"/>
  <c r="EE68" i="10" s="1"/>
  <c r="EF38" i="10"/>
  <c r="EF68" i="10" s="1"/>
  <c r="EG38" i="10"/>
  <c r="EG68" i="10" s="1"/>
  <c r="EH38" i="10"/>
  <c r="EH68" i="10" s="1"/>
  <c r="EI38" i="10"/>
  <c r="EI68" i="10" s="1"/>
  <c r="EJ38" i="10"/>
  <c r="EJ68" i="10" s="1"/>
  <c r="EK38" i="10"/>
  <c r="EK68" i="10" s="1"/>
  <c r="EL38" i="10"/>
  <c r="EL68" i="10" s="1"/>
  <c r="EM38" i="10"/>
  <c r="EM68" i="10" s="1"/>
  <c r="EN38" i="10"/>
  <c r="EN68" i="10" s="1"/>
  <c r="EO38" i="10"/>
  <c r="EO68" i="10" s="1"/>
  <c r="EP38" i="10"/>
  <c r="EP68" i="10" s="1"/>
  <c r="EQ38" i="10"/>
  <c r="EQ68" i="10" s="1"/>
  <c r="ER38" i="10"/>
  <c r="ER68" i="10" s="1"/>
  <c r="ES38" i="10"/>
  <c r="ES68" i="10" s="1"/>
  <c r="ET38" i="10"/>
  <c r="ET68" i="10" s="1"/>
  <c r="EU38" i="10"/>
  <c r="EU68" i="10" s="1"/>
  <c r="EV38" i="10"/>
  <c r="EV68" i="10" s="1"/>
  <c r="EW38" i="10"/>
  <c r="EW68" i="10" s="1"/>
  <c r="EX38" i="10"/>
  <c r="EX68" i="10" s="1"/>
  <c r="EY38" i="10"/>
  <c r="EY68" i="10" s="1"/>
  <c r="EZ38" i="10"/>
  <c r="EZ68" i="10" s="1"/>
  <c r="FA38" i="10"/>
  <c r="FA68" i="10" s="1"/>
  <c r="FB38" i="10"/>
  <c r="FB68" i="10" s="1"/>
  <c r="FC38" i="10"/>
  <c r="FC68" i="10" s="1"/>
  <c r="FD38" i="10"/>
  <c r="FD68" i="10" s="1"/>
  <c r="FE38" i="10"/>
  <c r="FE68" i="10" s="1"/>
  <c r="FF38" i="10"/>
  <c r="FF68" i="10" s="1"/>
  <c r="FG38" i="10"/>
  <c r="FG68" i="10" s="1"/>
  <c r="FH38" i="10"/>
  <c r="FH68" i="10" s="1"/>
  <c r="FI38" i="10"/>
  <c r="FI68" i="10" s="1"/>
  <c r="FJ38" i="10"/>
  <c r="FJ68" i="10" s="1"/>
  <c r="FK38" i="10"/>
  <c r="FK68" i="10" s="1"/>
  <c r="FL38" i="10"/>
  <c r="FL68" i="10" s="1"/>
  <c r="FM38" i="10"/>
  <c r="FM68" i="10" s="1"/>
  <c r="FN38" i="10"/>
  <c r="FN68" i="10" s="1"/>
  <c r="FO38" i="10"/>
  <c r="FP38" i="10"/>
  <c r="FQ38" i="10"/>
  <c r="FQ68" i="10" s="1"/>
  <c r="FR38" i="10"/>
  <c r="FR68" i="10" s="1"/>
  <c r="FS38" i="10"/>
  <c r="FS68" i="10" s="1"/>
  <c r="FT38" i="10"/>
  <c r="FT68" i="10" s="1"/>
  <c r="FU38" i="10"/>
  <c r="FU68" i="10" s="1"/>
  <c r="FV38" i="10"/>
  <c r="FV68" i="10" s="1"/>
  <c r="FW38" i="10"/>
  <c r="FW68" i="10" s="1"/>
  <c r="FX38" i="10"/>
  <c r="FX68" i="10" s="1"/>
  <c r="FY38" i="10"/>
  <c r="FY68" i="10" s="1"/>
  <c r="FZ38" i="10"/>
  <c r="FZ68" i="10" s="1"/>
  <c r="GA38" i="10"/>
  <c r="GA68" i="10" s="1"/>
  <c r="GB38" i="10"/>
  <c r="GB68" i="10" s="1"/>
  <c r="GC38" i="10"/>
  <c r="GC68" i="10" s="1"/>
  <c r="GD38" i="10"/>
  <c r="GD68" i="10" s="1"/>
  <c r="GE38" i="10"/>
  <c r="GE68" i="10" s="1"/>
  <c r="GF38" i="10"/>
  <c r="GF68" i="10" s="1"/>
  <c r="GG38" i="10"/>
  <c r="GG68" i="10" s="1"/>
  <c r="GH38" i="10"/>
  <c r="GH68" i="10" s="1"/>
  <c r="GI38" i="10"/>
  <c r="GI68" i="10" s="1"/>
  <c r="GJ38" i="10"/>
  <c r="GJ68" i="10" s="1"/>
  <c r="GK38" i="10"/>
  <c r="GK68" i="10" s="1"/>
  <c r="GL38" i="10"/>
  <c r="GL68" i="10" s="1"/>
  <c r="GM38" i="10"/>
  <c r="GM68" i="10" s="1"/>
  <c r="GN38" i="10"/>
  <c r="GN68" i="10" s="1"/>
  <c r="GO38" i="10"/>
  <c r="GO68" i="10" s="1"/>
  <c r="GP38" i="10"/>
  <c r="GP68" i="10" s="1"/>
  <c r="GQ38" i="10"/>
  <c r="GQ68" i="10" s="1"/>
  <c r="GR38" i="10"/>
  <c r="GR68" i="10" s="1"/>
  <c r="GS38" i="10"/>
  <c r="GS68" i="10" s="1"/>
  <c r="GW38" i="10"/>
  <c r="A39" i="10"/>
  <c r="A69" i="10" s="1"/>
  <c r="B39" i="10"/>
  <c r="C39" i="10"/>
  <c r="D39" i="10"/>
  <c r="E39" i="10"/>
  <c r="E69" i="10" s="1"/>
  <c r="F39" i="10"/>
  <c r="F69" i="10" s="1"/>
  <c r="G39" i="10"/>
  <c r="G69" i="10" s="1"/>
  <c r="H39" i="10"/>
  <c r="H69" i="10" s="1"/>
  <c r="I39" i="10"/>
  <c r="I69" i="10" s="1"/>
  <c r="J39" i="10"/>
  <c r="J69" i="10" s="1"/>
  <c r="K39" i="10"/>
  <c r="K69" i="10" s="1"/>
  <c r="L39" i="10"/>
  <c r="L69" i="10" s="1"/>
  <c r="M39" i="10"/>
  <c r="M69" i="10" s="1"/>
  <c r="N39" i="10"/>
  <c r="N69" i="10" s="1"/>
  <c r="O39" i="10"/>
  <c r="O69" i="10" s="1"/>
  <c r="P39" i="10"/>
  <c r="P69" i="10" s="1"/>
  <c r="Q39" i="10"/>
  <c r="Q69" i="10" s="1"/>
  <c r="R39" i="10"/>
  <c r="R69" i="10" s="1"/>
  <c r="S39" i="10"/>
  <c r="S69" i="10" s="1"/>
  <c r="T39" i="10"/>
  <c r="T69" i="10" s="1"/>
  <c r="U39" i="10"/>
  <c r="U69" i="10" s="1"/>
  <c r="V39" i="10"/>
  <c r="V69" i="10" s="1"/>
  <c r="W39" i="10"/>
  <c r="W69" i="10" s="1"/>
  <c r="X39" i="10"/>
  <c r="X69" i="10" s="1"/>
  <c r="Y39" i="10"/>
  <c r="Y69" i="10" s="1"/>
  <c r="Z39" i="10"/>
  <c r="Z69" i="10" s="1"/>
  <c r="AA39" i="10"/>
  <c r="AA69" i="10" s="1"/>
  <c r="AB39" i="10"/>
  <c r="AB69" i="10" s="1"/>
  <c r="AC39" i="10"/>
  <c r="AC69" i="10" s="1"/>
  <c r="AD39" i="10"/>
  <c r="AD69" i="10" s="1"/>
  <c r="AE39" i="10"/>
  <c r="AE69" i="10" s="1"/>
  <c r="AF39" i="10"/>
  <c r="AF69" i="10" s="1"/>
  <c r="AG39" i="10"/>
  <c r="AG69" i="10" s="1"/>
  <c r="AH39" i="10"/>
  <c r="AH69" i="10" s="1"/>
  <c r="AI39" i="10"/>
  <c r="AI69" i="10" s="1"/>
  <c r="AJ39" i="10"/>
  <c r="AJ69" i="10" s="1"/>
  <c r="AK39" i="10"/>
  <c r="AK69" i="10" s="1"/>
  <c r="AL39" i="10"/>
  <c r="AL69" i="10" s="1"/>
  <c r="AM39" i="10"/>
  <c r="AM69" i="10" s="1"/>
  <c r="AN39" i="10"/>
  <c r="AN69" i="10" s="1"/>
  <c r="AO39" i="10"/>
  <c r="AO69" i="10" s="1"/>
  <c r="AP39" i="10"/>
  <c r="AP69" i="10" s="1"/>
  <c r="AQ39" i="10"/>
  <c r="AQ69" i="10" s="1"/>
  <c r="AR39" i="10"/>
  <c r="AR69" i="10" s="1"/>
  <c r="AS39" i="10"/>
  <c r="AS69" i="10" s="1"/>
  <c r="AT39" i="10"/>
  <c r="AT69" i="10" s="1"/>
  <c r="AU39" i="10"/>
  <c r="AU69" i="10" s="1"/>
  <c r="AV39" i="10"/>
  <c r="AV69" i="10" s="1"/>
  <c r="AW39" i="10"/>
  <c r="AW69" i="10" s="1"/>
  <c r="AX39" i="10"/>
  <c r="AX69" i="10" s="1"/>
  <c r="AY39" i="10"/>
  <c r="AY69" i="10" s="1"/>
  <c r="AZ39" i="10"/>
  <c r="AZ69" i="10" s="1"/>
  <c r="BA39" i="10"/>
  <c r="BA69" i="10" s="1"/>
  <c r="BB39" i="10"/>
  <c r="BB69" i="10" s="1"/>
  <c r="BC39" i="10"/>
  <c r="BC69" i="10" s="1"/>
  <c r="BD39" i="10"/>
  <c r="BD69" i="10" s="1"/>
  <c r="BE39" i="10"/>
  <c r="BE69" i="10" s="1"/>
  <c r="BF39" i="10"/>
  <c r="BF69" i="10" s="1"/>
  <c r="BG39" i="10"/>
  <c r="BG69" i="10" s="1"/>
  <c r="BH39" i="10"/>
  <c r="BH69" i="10" s="1"/>
  <c r="BI39" i="10"/>
  <c r="BI69" i="10" s="1"/>
  <c r="BJ39" i="10"/>
  <c r="BJ69" i="10" s="1"/>
  <c r="BK39" i="10"/>
  <c r="BK69" i="10" s="1"/>
  <c r="BL39" i="10"/>
  <c r="BL69" i="10" s="1"/>
  <c r="BM39" i="10"/>
  <c r="BM69" i="10" s="1"/>
  <c r="BN39" i="10"/>
  <c r="BN69" i="10" s="1"/>
  <c r="BO39" i="10"/>
  <c r="BO69" i="10" s="1"/>
  <c r="BP39" i="10"/>
  <c r="BP69" i="10" s="1"/>
  <c r="BQ39" i="10"/>
  <c r="BQ69" i="10" s="1"/>
  <c r="BR39" i="10"/>
  <c r="BR69" i="10" s="1"/>
  <c r="BS39" i="10"/>
  <c r="BS69" i="10" s="1"/>
  <c r="BT39" i="10"/>
  <c r="BT69" i="10" s="1"/>
  <c r="BU39" i="10"/>
  <c r="BU69" i="10" s="1"/>
  <c r="BV39" i="10"/>
  <c r="BV69" i="10" s="1"/>
  <c r="BW39" i="10"/>
  <c r="BW69" i="10" s="1"/>
  <c r="BX39" i="10"/>
  <c r="BX69" i="10" s="1"/>
  <c r="BY39" i="10"/>
  <c r="BY69" i="10" s="1"/>
  <c r="BZ39" i="10"/>
  <c r="BZ69" i="10" s="1"/>
  <c r="CA39" i="10"/>
  <c r="CA69" i="10" s="1"/>
  <c r="CB39" i="10"/>
  <c r="CB69" i="10" s="1"/>
  <c r="CC39" i="10"/>
  <c r="CC69" i="10" s="1"/>
  <c r="CD39" i="10"/>
  <c r="CD69" i="10" s="1"/>
  <c r="CE39" i="10"/>
  <c r="CE69" i="10" s="1"/>
  <c r="CF39" i="10"/>
  <c r="CF69" i="10" s="1"/>
  <c r="CG39" i="10"/>
  <c r="CG69" i="10" s="1"/>
  <c r="CH39" i="10"/>
  <c r="CH69" i="10" s="1"/>
  <c r="CI39" i="10"/>
  <c r="CI69" i="10" s="1"/>
  <c r="CJ39" i="10"/>
  <c r="CJ69" i="10" s="1"/>
  <c r="CK39" i="10"/>
  <c r="CK69" i="10" s="1"/>
  <c r="CL39" i="10"/>
  <c r="CL69" i="10" s="1"/>
  <c r="CM39" i="10"/>
  <c r="CM69" i="10" s="1"/>
  <c r="CN39" i="10"/>
  <c r="CN69" i="10" s="1"/>
  <c r="CO39" i="10"/>
  <c r="CO69" i="10" s="1"/>
  <c r="CP39" i="10"/>
  <c r="CP69" i="10" s="1"/>
  <c r="CQ39" i="10"/>
  <c r="CQ69" i="10" s="1"/>
  <c r="CR39" i="10"/>
  <c r="CR69" i="10" s="1"/>
  <c r="CS39" i="10"/>
  <c r="CS69" i="10" s="1"/>
  <c r="CT39" i="10"/>
  <c r="CT69" i="10" s="1"/>
  <c r="CU39" i="10"/>
  <c r="CU69" i="10" s="1"/>
  <c r="CV39" i="10"/>
  <c r="CV69" i="10" s="1"/>
  <c r="CW39" i="10"/>
  <c r="CW69" i="10" s="1"/>
  <c r="CX39" i="10"/>
  <c r="CX69" i="10" s="1"/>
  <c r="CY39" i="10"/>
  <c r="CY69" i="10" s="1"/>
  <c r="CZ39" i="10"/>
  <c r="CZ69" i="10" s="1"/>
  <c r="DA39" i="10"/>
  <c r="DA69" i="10" s="1"/>
  <c r="DB39" i="10"/>
  <c r="DC39" i="10"/>
  <c r="DC69" i="10" s="1"/>
  <c r="DD39" i="10"/>
  <c r="DE39" i="10"/>
  <c r="DF39" i="10"/>
  <c r="DF69" i="10" s="1"/>
  <c r="DG39" i="10"/>
  <c r="DG69" i="10" s="1"/>
  <c r="DH39" i="10"/>
  <c r="DH69" i="10" s="1"/>
  <c r="DI39" i="10"/>
  <c r="DI69" i="10" s="1"/>
  <c r="DJ39" i="10"/>
  <c r="DJ69" i="10" s="1"/>
  <c r="DK39" i="10"/>
  <c r="DK69" i="10" s="1"/>
  <c r="DL39" i="10"/>
  <c r="DL69" i="10" s="1"/>
  <c r="DM39" i="10"/>
  <c r="DM69" i="10" s="1"/>
  <c r="DN39" i="10"/>
  <c r="DN69" i="10" s="1"/>
  <c r="DO39" i="10"/>
  <c r="DO69" i="10" s="1"/>
  <c r="DP39" i="10"/>
  <c r="DP69" i="10" s="1"/>
  <c r="DQ39" i="10"/>
  <c r="DQ69" i="10" s="1"/>
  <c r="DR39" i="10"/>
  <c r="DR69" i="10" s="1"/>
  <c r="DS39" i="10"/>
  <c r="DS69" i="10" s="1"/>
  <c r="DT39" i="10"/>
  <c r="DT69" i="10" s="1"/>
  <c r="DU39" i="10"/>
  <c r="DU69" i="10" s="1"/>
  <c r="DV39" i="10"/>
  <c r="DV69" i="10" s="1"/>
  <c r="DW39" i="10"/>
  <c r="DW69" i="10" s="1"/>
  <c r="DX39" i="10"/>
  <c r="DX69" i="10" s="1"/>
  <c r="DY39" i="10"/>
  <c r="DY69" i="10" s="1"/>
  <c r="DZ39" i="10"/>
  <c r="DZ69" i="10" s="1"/>
  <c r="EA39" i="10"/>
  <c r="EA69" i="10" s="1"/>
  <c r="EB39" i="10"/>
  <c r="EB69" i="10" s="1"/>
  <c r="EC39" i="10"/>
  <c r="EC69" i="10" s="1"/>
  <c r="ED39" i="10"/>
  <c r="ED69" i="10" s="1"/>
  <c r="EE39" i="10"/>
  <c r="EE69" i="10" s="1"/>
  <c r="EF39" i="10"/>
  <c r="EF69" i="10" s="1"/>
  <c r="EG39" i="10"/>
  <c r="EG69" i="10" s="1"/>
  <c r="EH39" i="10"/>
  <c r="EH69" i="10" s="1"/>
  <c r="EI39" i="10"/>
  <c r="EI69" i="10" s="1"/>
  <c r="EJ39" i="10"/>
  <c r="EJ69" i="10" s="1"/>
  <c r="EK39" i="10"/>
  <c r="EK69" i="10" s="1"/>
  <c r="EL39" i="10"/>
  <c r="EL69" i="10" s="1"/>
  <c r="EM39" i="10"/>
  <c r="EM69" i="10" s="1"/>
  <c r="EN39" i="10"/>
  <c r="EN69" i="10" s="1"/>
  <c r="EO39" i="10"/>
  <c r="EO69" i="10" s="1"/>
  <c r="EP39" i="10"/>
  <c r="EP69" i="10" s="1"/>
  <c r="EQ39" i="10"/>
  <c r="EQ69" i="10" s="1"/>
  <c r="ER39" i="10"/>
  <c r="ER69" i="10" s="1"/>
  <c r="ES39" i="10"/>
  <c r="ES69" i="10" s="1"/>
  <c r="ET39" i="10"/>
  <c r="ET69" i="10" s="1"/>
  <c r="EU39" i="10"/>
  <c r="EU69" i="10" s="1"/>
  <c r="EV39" i="10"/>
  <c r="EV69" i="10" s="1"/>
  <c r="EW39" i="10"/>
  <c r="EW69" i="10" s="1"/>
  <c r="EX39" i="10"/>
  <c r="EX69" i="10" s="1"/>
  <c r="EY39" i="10"/>
  <c r="EY69" i="10" s="1"/>
  <c r="EZ39" i="10"/>
  <c r="EZ69" i="10" s="1"/>
  <c r="FA39" i="10"/>
  <c r="FA69" i="10" s="1"/>
  <c r="FB39" i="10"/>
  <c r="FB69" i="10" s="1"/>
  <c r="FC39" i="10"/>
  <c r="FC69" i="10" s="1"/>
  <c r="FD39" i="10"/>
  <c r="FD69" i="10" s="1"/>
  <c r="FE39" i="10"/>
  <c r="FE69" i="10" s="1"/>
  <c r="FF39" i="10"/>
  <c r="FF69" i="10" s="1"/>
  <c r="FG39" i="10"/>
  <c r="FG69" i="10" s="1"/>
  <c r="FH39" i="10"/>
  <c r="FH69" i="10" s="1"/>
  <c r="FI39" i="10"/>
  <c r="FI69" i="10" s="1"/>
  <c r="FJ39" i="10"/>
  <c r="FJ69" i="10" s="1"/>
  <c r="FK39" i="10"/>
  <c r="FK69" i="10" s="1"/>
  <c r="FL39" i="10"/>
  <c r="FL69" i="10" s="1"/>
  <c r="FM39" i="10"/>
  <c r="FM69" i="10" s="1"/>
  <c r="FN39" i="10"/>
  <c r="FN69" i="10" s="1"/>
  <c r="FO39" i="10"/>
  <c r="FO69" i="10" s="1"/>
  <c r="FP39" i="10"/>
  <c r="FQ39" i="10"/>
  <c r="FR39" i="10"/>
  <c r="FR69" i="10" s="1"/>
  <c r="FS39" i="10"/>
  <c r="FS69" i="10" s="1"/>
  <c r="FT39" i="10"/>
  <c r="FT69" i="10" s="1"/>
  <c r="FU39" i="10"/>
  <c r="FU69" i="10" s="1"/>
  <c r="FV39" i="10"/>
  <c r="FV69" i="10" s="1"/>
  <c r="FW39" i="10"/>
  <c r="FW69" i="10" s="1"/>
  <c r="FX39" i="10"/>
  <c r="FX69" i="10" s="1"/>
  <c r="FY39" i="10"/>
  <c r="FY69" i="10" s="1"/>
  <c r="FZ39" i="10"/>
  <c r="FZ69" i="10" s="1"/>
  <c r="GA39" i="10"/>
  <c r="GA69" i="10" s="1"/>
  <c r="GB39" i="10"/>
  <c r="GB69" i="10" s="1"/>
  <c r="GC39" i="10"/>
  <c r="GC69" i="10" s="1"/>
  <c r="GD39" i="10"/>
  <c r="GD69" i="10" s="1"/>
  <c r="GE39" i="10"/>
  <c r="GE69" i="10" s="1"/>
  <c r="GF39" i="10"/>
  <c r="GF69" i="10" s="1"/>
  <c r="GG39" i="10"/>
  <c r="GG69" i="10" s="1"/>
  <c r="GH39" i="10"/>
  <c r="GH69" i="10" s="1"/>
  <c r="GI39" i="10"/>
  <c r="GI69" i="10" s="1"/>
  <c r="GJ39" i="10"/>
  <c r="GJ69" i="10" s="1"/>
  <c r="GK39" i="10"/>
  <c r="GK69" i="10" s="1"/>
  <c r="GL39" i="10"/>
  <c r="GL69" i="10" s="1"/>
  <c r="GM39" i="10"/>
  <c r="GM69" i="10" s="1"/>
  <c r="GN39" i="10"/>
  <c r="GN69" i="10" s="1"/>
  <c r="GO39" i="10"/>
  <c r="GO69" i="10" s="1"/>
  <c r="GP39" i="10"/>
  <c r="GP69" i="10" s="1"/>
  <c r="GQ39" i="10"/>
  <c r="GQ69" i="10" s="1"/>
  <c r="GR39" i="10"/>
  <c r="GR69" i="10" s="1"/>
  <c r="GS39" i="10"/>
  <c r="GS69" i="10" s="1"/>
  <c r="GW39" i="10"/>
  <c r="A40" i="10"/>
  <c r="A70" i="10" s="1"/>
  <c r="B40" i="10"/>
  <c r="C40" i="10"/>
  <c r="C70" i="10" s="1"/>
  <c r="D40" i="10"/>
  <c r="E40" i="10"/>
  <c r="F40" i="10"/>
  <c r="F70" i="10" s="1"/>
  <c r="G40" i="10"/>
  <c r="G70" i="10" s="1"/>
  <c r="H40" i="10"/>
  <c r="H70" i="10" s="1"/>
  <c r="I40" i="10"/>
  <c r="I70" i="10" s="1"/>
  <c r="J40" i="10"/>
  <c r="J70" i="10" s="1"/>
  <c r="K40" i="10"/>
  <c r="K70" i="10" s="1"/>
  <c r="L40" i="10"/>
  <c r="L70" i="10" s="1"/>
  <c r="M40" i="10"/>
  <c r="M70" i="10" s="1"/>
  <c r="N40" i="10"/>
  <c r="N70" i="10" s="1"/>
  <c r="O40" i="10"/>
  <c r="O70" i="10" s="1"/>
  <c r="P40" i="10"/>
  <c r="P70" i="10" s="1"/>
  <c r="Q40" i="10"/>
  <c r="Q70" i="10" s="1"/>
  <c r="R40" i="10"/>
  <c r="R70" i="10" s="1"/>
  <c r="S40" i="10"/>
  <c r="S70" i="10" s="1"/>
  <c r="T40" i="10"/>
  <c r="T70" i="10" s="1"/>
  <c r="U40" i="10"/>
  <c r="U70" i="10" s="1"/>
  <c r="V40" i="10"/>
  <c r="V70" i="10" s="1"/>
  <c r="W40" i="10"/>
  <c r="W70" i="10" s="1"/>
  <c r="X40" i="10"/>
  <c r="X70" i="10" s="1"/>
  <c r="Y40" i="10"/>
  <c r="Y70" i="10" s="1"/>
  <c r="Z40" i="10"/>
  <c r="Z70" i="10" s="1"/>
  <c r="AA40" i="10"/>
  <c r="AA70" i="10" s="1"/>
  <c r="AB40" i="10"/>
  <c r="AB70" i="10" s="1"/>
  <c r="AC40" i="10"/>
  <c r="AC70" i="10" s="1"/>
  <c r="AD40" i="10"/>
  <c r="AD70" i="10" s="1"/>
  <c r="AE40" i="10"/>
  <c r="AE70" i="10" s="1"/>
  <c r="AF40" i="10"/>
  <c r="AF70" i="10" s="1"/>
  <c r="AG40" i="10"/>
  <c r="AG70" i="10" s="1"/>
  <c r="AH40" i="10"/>
  <c r="AH70" i="10" s="1"/>
  <c r="AI40" i="10"/>
  <c r="AI70" i="10" s="1"/>
  <c r="AJ40" i="10"/>
  <c r="AJ70" i="10" s="1"/>
  <c r="AK40" i="10"/>
  <c r="AK70" i="10" s="1"/>
  <c r="AL40" i="10"/>
  <c r="AL70" i="10" s="1"/>
  <c r="AM40" i="10"/>
  <c r="AM70" i="10" s="1"/>
  <c r="AN40" i="10"/>
  <c r="AN70" i="10" s="1"/>
  <c r="AO40" i="10"/>
  <c r="AO70" i="10" s="1"/>
  <c r="AP40" i="10"/>
  <c r="AP70" i="10" s="1"/>
  <c r="AQ40" i="10"/>
  <c r="AQ70" i="10" s="1"/>
  <c r="AR40" i="10"/>
  <c r="AR70" i="10" s="1"/>
  <c r="AS40" i="10"/>
  <c r="AS70" i="10" s="1"/>
  <c r="AT40" i="10"/>
  <c r="AT70" i="10" s="1"/>
  <c r="AU40" i="10"/>
  <c r="AU70" i="10" s="1"/>
  <c r="AV40" i="10"/>
  <c r="AV70" i="10" s="1"/>
  <c r="AW40" i="10"/>
  <c r="AW70" i="10" s="1"/>
  <c r="AX40" i="10"/>
  <c r="AX70" i="10" s="1"/>
  <c r="AY40" i="10"/>
  <c r="AY70" i="10" s="1"/>
  <c r="AZ40" i="10"/>
  <c r="AZ70" i="10" s="1"/>
  <c r="BA40" i="10"/>
  <c r="BA70" i="10" s="1"/>
  <c r="BB40" i="10"/>
  <c r="BB70" i="10" s="1"/>
  <c r="BC40" i="10"/>
  <c r="BC70" i="10" s="1"/>
  <c r="BD40" i="10"/>
  <c r="BD70" i="10" s="1"/>
  <c r="BE40" i="10"/>
  <c r="BE70" i="10" s="1"/>
  <c r="BF40" i="10"/>
  <c r="BF70" i="10" s="1"/>
  <c r="BG40" i="10"/>
  <c r="BG70" i="10" s="1"/>
  <c r="BH40" i="10"/>
  <c r="BH70" i="10" s="1"/>
  <c r="BI40" i="10"/>
  <c r="BI70" i="10" s="1"/>
  <c r="BJ40" i="10"/>
  <c r="BJ70" i="10" s="1"/>
  <c r="BK40" i="10"/>
  <c r="BK70" i="10" s="1"/>
  <c r="BL40" i="10"/>
  <c r="BL70" i="10" s="1"/>
  <c r="BM40" i="10"/>
  <c r="BM70" i="10" s="1"/>
  <c r="BN40" i="10"/>
  <c r="BN70" i="10" s="1"/>
  <c r="BO40" i="10"/>
  <c r="BO70" i="10" s="1"/>
  <c r="BP40" i="10"/>
  <c r="BP70" i="10" s="1"/>
  <c r="BQ40" i="10"/>
  <c r="BQ70" i="10" s="1"/>
  <c r="BR40" i="10"/>
  <c r="BR70" i="10" s="1"/>
  <c r="BS40" i="10"/>
  <c r="BS70" i="10" s="1"/>
  <c r="BT40" i="10"/>
  <c r="BT70" i="10" s="1"/>
  <c r="BU40" i="10"/>
  <c r="BU70" i="10" s="1"/>
  <c r="BV40" i="10"/>
  <c r="BV70" i="10" s="1"/>
  <c r="BW40" i="10"/>
  <c r="BW70" i="10" s="1"/>
  <c r="BX40" i="10"/>
  <c r="BX70" i="10" s="1"/>
  <c r="BY40" i="10"/>
  <c r="BY70" i="10" s="1"/>
  <c r="BZ40" i="10"/>
  <c r="BZ70" i="10" s="1"/>
  <c r="CA40" i="10"/>
  <c r="CA70" i="10" s="1"/>
  <c r="CB40" i="10"/>
  <c r="CB70" i="10" s="1"/>
  <c r="CC40" i="10"/>
  <c r="CC70" i="10" s="1"/>
  <c r="CD40" i="10"/>
  <c r="CD70" i="10" s="1"/>
  <c r="CE40" i="10"/>
  <c r="CE70" i="10" s="1"/>
  <c r="CF40" i="10"/>
  <c r="CF70" i="10" s="1"/>
  <c r="CG40" i="10"/>
  <c r="CG70" i="10" s="1"/>
  <c r="CH40" i="10"/>
  <c r="CH70" i="10" s="1"/>
  <c r="CI40" i="10"/>
  <c r="CI70" i="10" s="1"/>
  <c r="CJ40" i="10"/>
  <c r="CJ70" i="10" s="1"/>
  <c r="CK40" i="10"/>
  <c r="CK70" i="10" s="1"/>
  <c r="CL40" i="10"/>
  <c r="CL70" i="10" s="1"/>
  <c r="CM40" i="10"/>
  <c r="CM70" i="10" s="1"/>
  <c r="CN40" i="10"/>
  <c r="CN70" i="10" s="1"/>
  <c r="CO40" i="10"/>
  <c r="CO70" i="10" s="1"/>
  <c r="CP40" i="10"/>
  <c r="CP70" i="10" s="1"/>
  <c r="CQ40" i="10"/>
  <c r="CQ70" i="10" s="1"/>
  <c r="CR40" i="10"/>
  <c r="CR70" i="10" s="1"/>
  <c r="CS40" i="10"/>
  <c r="CS70" i="10" s="1"/>
  <c r="CT40" i="10"/>
  <c r="CT70" i="10" s="1"/>
  <c r="CU40" i="10"/>
  <c r="CU70" i="10" s="1"/>
  <c r="CV40" i="10"/>
  <c r="CV70" i="10" s="1"/>
  <c r="CW40" i="10"/>
  <c r="CW70" i="10" s="1"/>
  <c r="CX40" i="10"/>
  <c r="CX70" i="10" s="1"/>
  <c r="CY40" i="10"/>
  <c r="CY70" i="10" s="1"/>
  <c r="CZ40" i="10"/>
  <c r="CZ70" i="10" s="1"/>
  <c r="DA40" i="10"/>
  <c r="DA70" i="10" s="1"/>
  <c r="DB40" i="10"/>
  <c r="DC40" i="10"/>
  <c r="DC70" i="10" s="1"/>
  <c r="DD40" i="10"/>
  <c r="DD70" i="10" s="1"/>
  <c r="DE40" i="10"/>
  <c r="DF40" i="10"/>
  <c r="DG40" i="10"/>
  <c r="DG70" i="10" s="1"/>
  <c r="DH40" i="10"/>
  <c r="DH70" i="10" s="1"/>
  <c r="DI40" i="10"/>
  <c r="DI70" i="10" s="1"/>
  <c r="DJ40" i="10"/>
  <c r="DJ70" i="10" s="1"/>
  <c r="DK40" i="10"/>
  <c r="DK70" i="10" s="1"/>
  <c r="DL40" i="10"/>
  <c r="DL70" i="10" s="1"/>
  <c r="DM40" i="10"/>
  <c r="DM70" i="10" s="1"/>
  <c r="DN40" i="10"/>
  <c r="DN70" i="10" s="1"/>
  <c r="DO40" i="10"/>
  <c r="DO70" i="10" s="1"/>
  <c r="DP40" i="10"/>
  <c r="DP70" i="10" s="1"/>
  <c r="DQ40" i="10"/>
  <c r="DQ70" i="10" s="1"/>
  <c r="DR40" i="10"/>
  <c r="DR70" i="10" s="1"/>
  <c r="DS40" i="10"/>
  <c r="DS70" i="10" s="1"/>
  <c r="DT40" i="10"/>
  <c r="DT70" i="10" s="1"/>
  <c r="DU40" i="10"/>
  <c r="DU70" i="10" s="1"/>
  <c r="DV40" i="10"/>
  <c r="DV70" i="10" s="1"/>
  <c r="DW40" i="10"/>
  <c r="DW70" i="10" s="1"/>
  <c r="DX40" i="10"/>
  <c r="DX70" i="10" s="1"/>
  <c r="DY40" i="10"/>
  <c r="DY70" i="10" s="1"/>
  <c r="DZ40" i="10"/>
  <c r="DZ70" i="10" s="1"/>
  <c r="EA40" i="10"/>
  <c r="EA70" i="10" s="1"/>
  <c r="EB40" i="10"/>
  <c r="EB70" i="10" s="1"/>
  <c r="EC40" i="10"/>
  <c r="EC70" i="10" s="1"/>
  <c r="ED40" i="10"/>
  <c r="ED70" i="10" s="1"/>
  <c r="EE40" i="10"/>
  <c r="EE70" i="10" s="1"/>
  <c r="EF40" i="10"/>
  <c r="EF70" i="10" s="1"/>
  <c r="EG40" i="10"/>
  <c r="EG70" i="10" s="1"/>
  <c r="EH40" i="10"/>
  <c r="EH70" i="10" s="1"/>
  <c r="EI40" i="10"/>
  <c r="EI70" i="10" s="1"/>
  <c r="EJ40" i="10"/>
  <c r="EJ70" i="10" s="1"/>
  <c r="EK40" i="10"/>
  <c r="EK70" i="10" s="1"/>
  <c r="EL40" i="10"/>
  <c r="EL70" i="10" s="1"/>
  <c r="EM40" i="10"/>
  <c r="EM70" i="10" s="1"/>
  <c r="EN40" i="10"/>
  <c r="EN70" i="10" s="1"/>
  <c r="EO40" i="10"/>
  <c r="EO70" i="10" s="1"/>
  <c r="EP40" i="10"/>
  <c r="EP70" i="10" s="1"/>
  <c r="EQ40" i="10"/>
  <c r="EQ70" i="10" s="1"/>
  <c r="ER40" i="10"/>
  <c r="ER70" i="10" s="1"/>
  <c r="ES40" i="10"/>
  <c r="ES70" i="10" s="1"/>
  <c r="ET40" i="10"/>
  <c r="ET70" i="10" s="1"/>
  <c r="EU40" i="10"/>
  <c r="EU70" i="10" s="1"/>
  <c r="EV40" i="10"/>
  <c r="EV70" i="10" s="1"/>
  <c r="EW40" i="10"/>
  <c r="EW70" i="10" s="1"/>
  <c r="EX40" i="10"/>
  <c r="EX70" i="10" s="1"/>
  <c r="EY40" i="10"/>
  <c r="EY70" i="10" s="1"/>
  <c r="EZ40" i="10"/>
  <c r="EZ70" i="10" s="1"/>
  <c r="FA40" i="10"/>
  <c r="FA70" i="10" s="1"/>
  <c r="FB40" i="10"/>
  <c r="FB70" i="10" s="1"/>
  <c r="FC40" i="10"/>
  <c r="FC70" i="10" s="1"/>
  <c r="FD40" i="10"/>
  <c r="FD70" i="10" s="1"/>
  <c r="FE40" i="10"/>
  <c r="FE70" i="10" s="1"/>
  <c r="FF40" i="10"/>
  <c r="FF70" i="10" s="1"/>
  <c r="FG40" i="10"/>
  <c r="FG70" i="10" s="1"/>
  <c r="FH40" i="10"/>
  <c r="FH70" i="10" s="1"/>
  <c r="FI40" i="10"/>
  <c r="FI70" i="10" s="1"/>
  <c r="FJ40" i="10"/>
  <c r="FJ70" i="10" s="1"/>
  <c r="FK40" i="10"/>
  <c r="FK70" i="10" s="1"/>
  <c r="FL40" i="10"/>
  <c r="FL70" i="10" s="1"/>
  <c r="FM40" i="10"/>
  <c r="FM70" i="10" s="1"/>
  <c r="FN40" i="10"/>
  <c r="FN70" i="10" s="1"/>
  <c r="FO40" i="10"/>
  <c r="FO70" i="10" s="1"/>
  <c r="FP40" i="10"/>
  <c r="FP70" i="10" s="1"/>
  <c r="FQ40" i="10"/>
  <c r="FR40" i="10"/>
  <c r="FS40" i="10"/>
  <c r="FS70" i="10" s="1"/>
  <c r="FT40" i="10"/>
  <c r="FT70" i="10" s="1"/>
  <c r="FU40" i="10"/>
  <c r="FU70" i="10" s="1"/>
  <c r="FV40" i="10"/>
  <c r="FV70" i="10" s="1"/>
  <c r="FW40" i="10"/>
  <c r="FW70" i="10" s="1"/>
  <c r="FX40" i="10"/>
  <c r="FX70" i="10" s="1"/>
  <c r="FY40" i="10"/>
  <c r="FY70" i="10" s="1"/>
  <c r="FZ40" i="10"/>
  <c r="FZ70" i="10" s="1"/>
  <c r="GA40" i="10"/>
  <c r="GA70" i="10" s="1"/>
  <c r="GB40" i="10"/>
  <c r="GB70" i="10" s="1"/>
  <c r="GC40" i="10"/>
  <c r="GC70" i="10" s="1"/>
  <c r="GD40" i="10"/>
  <c r="GD70" i="10" s="1"/>
  <c r="GE40" i="10"/>
  <c r="GE70" i="10" s="1"/>
  <c r="GF40" i="10"/>
  <c r="GF70" i="10" s="1"/>
  <c r="GG40" i="10"/>
  <c r="GG70" i="10" s="1"/>
  <c r="GH40" i="10"/>
  <c r="GH70" i="10" s="1"/>
  <c r="GI40" i="10"/>
  <c r="GI70" i="10" s="1"/>
  <c r="GJ40" i="10"/>
  <c r="GJ70" i="10" s="1"/>
  <c r="GK40" i="10"/>
  <c r="GK70" i="10" s="1"/>
  <c r="GL40" i="10"/>
  <c r="GL70" i="10" s="1"/>
  <c r="GM40" i="10"/>
  <c r="GM70" i="10" s="1"/>
  <c r="GN40" i="10"/>
  <c r="GN70" i="10" s="1"/>
  <c r="GO40" i="10"/>
  <c r="GO70" i="10" s="1"/>
  <c r="GP40" i="10"/>
  <c r="GP70" i="10" s="1"/>
  <c r="GQ40" i="10"/>
  <c r="GQ70" i="10" s="1"/>
  <c r="GR40" i="10"/>
  <c r="GR70" i="10" s="1"/>
  <c r="GS40" i="10"/>
  <c r="GS70" i="10" s="1"/>
  <c r="GW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I41" i="10"/>
  <c r="AJ41" i="10"/>
  <c r="AK41" i="10"/>
  <c r="AL41" i="10"/>
  <c r="AM41" i="10"/>
  <c r="AN41" i="10"/>
  <c r="AO41" i="10"/>
  <c r="AP41" i="10"/>
  <c r="AQ41" i="10"/>
  <c r="AR41" i="10"/>
  <c r="AS41" i="10"/>
  <c r="AT41" i="10"/>
  <c r="AU41" i="10"/>
  <c r="AV41" i="10"/>
  <c r="AW41" i="10"/>
  <c r="AX41" i="10"/>
  <c r="AY41" i="10"/>
  <c r="AZ41" i="10"/>
  <c r="BA41" i="10"/>
  <c r="BB41" i="10"/>
  <c r="BC41" i="10"/>
  <c r="BD41" i="10"/>
  <c r="BE41" i="10"/>
  <c r="BF41" i="10"/>
  <c r="BG41" i="10"/>
  <c r="BH41" i="10"/>
  <c r="BI41" i="10"/>
  <c r="BJ41" i="10"/>
  <c r="BK41" i="10"/>
  <c r="BL41" i="10"/>
  <c r="BM41" i="10"/>
  <c r="BN41" i="10"/>
  <c r="BO41" i="10"/>
  <c r="BP41" i="10"/>
  <c r="BQ41" i="10"/>
  <c r="BR41" i="10"/>
  <c r="BS41" i="10"/>
  <c r="BT41" i="10"/>
  <c r="BU41" i="10"/>
  <c r="BV41" i="10"/>
  <c r="BW41" i="10"/>
  <c r="BX41" i="10"/>
  <c r="BY41" i="10"/>
  <c r="BZ41" i="10"/>
  <c r="CA41" i="10"/>
  <c r="CB41" i="10"/>
  <c r="CC41" i="10"/>
  <c r="CD41" i="10"/>
  <c r="CE41" i="10"/>
  <c r="CF41" i="10"/>
  <c r="CG41" i="10"/>
  <c r="CH41" i="10"/>
  <c r="CI41" i="10"/>
  <c r="CJ41" i="10"/>
  <c r="CK41" i="10"/>
  <c r="CL41" i="10"/>
  <c r="CM41" i="10"/>
  <c r="CN41" i="10"/>
  <c r="CO41" i="10"/>
  <c r="CP41" i="10"/>
  <c r="CQ41" i="10"/>
  <c r="CR41" i="10"/>
  <c r="CS41" i="10"/>
  <c r="CT41" i="10"/>
  <c r="CU41" i="10"/>
  <c r="CV41" i="10"/>
  <c r="CW41" i="10"/>
  <c r="CX41" i="10"/>
  <c r="CY41" i="10"/>
  <c r="CZ41" i="10"/>
  <c r="DA41" i="10"/>
  <c r="DB41" i="10"/>
  <c r="DC41" i="10"/>
  <c r="DD41" i="10"/>
  <c r="DE41" i="10"/>
  <c r="DF41" i="10"/>
  <c r="DG41" i="10"/>
  <c r="DH41" i="10"/>
  <c r="DI41" i="10"/>
  <c r="DJ41" i="10"/>
  <c r="DK41" i="10"/>
  <c r="DL41" i="10"/>
  <c r="DM41" i="10"/>
  <c r="DN41" i="10"/>
  <c r="DO41" i="10"/>
  <c r="DP41" i="10"/>
  <c r="DQ41" i="10"/>
  <c r="DR41" i="10"/>
  <c r="DS41" i="10"/>
  <c r="DT41" i="10"/>
  <c r="DU41" i="10"/>
  <c r="DV41" i="10"/>
  <c r="DW41" i="10"/>
  <c r="DX41" i="10"/>
  <c r="DY41" i="10"/>
  <c r="DZ41" i="10"/>
  <c r="EA41" i="10"/>
  <c r="EB41" i="10"/>
  <c r="EC41" i="10"/>
  <c r="ED41" i="10"/>
  <c r="EE41" i="10"/>
  <c r="EF41" i="10"/>
  <c r="EG41" i="10"/>
  <c r="EH41" i="10"/>
  <c r="EI41" i="10"/>
  <c r="EJ41" i="10"/>
  <c r="EK41" i="10"/>
  <c r="EL41" i="10"/>
  <c r="EM41" i="10"/>
  <c r="EN41" i="10"/>
  <c r="EO41" i="10"/>
  <c r="EP41" i="10"/>
  <c r="EQ41" i="10"/>
  <c r="ER41" i="10"/>
  <c r="ES41" i="10"/>
  <c r="ET41" i="10"/>
  <c r="EU41" i="10"/>
  <c r="EV41" i="10"/>
  <c r="EW41" i="10"/>
  <c r="EX41" i="10"/>
  <c r="EY41" i="10"/>
  <c r="EZ41" i="10"/>
  <c r="FA41" i="10"/>
  <c r="FB41" i="10"/>
  <c r="FC41" i="10"/>
  <c r="FD41" i="10"/>
  <c r="FE41" i="10"/>
  <c r="FF41" i="10"/>
  <c r="FG41" i="10"/>
  <c r="FH41" i="10"/>
  <c r="FI41" i="10"/>
  <c r="FJ41" i="10"/>
  <c r="FK41" i="10"/>
  <c r="FL41" i="10"/>
  <c r="FM41" i="10"/>
  <c r="FN41" i="10"/>
  <c r="FO41" i="10"/>
  <c r="FP41" i="10"/>
  <c r="FQ41" i="10"/>
  <c r="FR41" i="10"/>
  <c r="FS41" i="10"/>
  <c r="FT41" i="10"/>
  <c r="FU41" i="10"/>
  <c r="FV41" i="10"/>
  <c r="FW41" i="10"/>
  <c r="FX41" i="10"/>
  <c r="FY41" i="10"/>
  <c r="FZ41" i="10"/>
  <c r="GA41" i="10"/>
  <c r="GB41" i="10"/>
  <c r="GC41" i="10"/>
  <c r="GD41" i="10"/>
  <c r="GE41" i="10"/>
  <c r="GF41" i="10"/>
  <c r="GG41" i="10"/>
  <c r="GH41" i="10"/>
  <c r="GI41" i="10"/>
  <c r="GJ41" i="10"/>
  <c r="GK41" i="10"/>
  <c r="GL41" i="10"/>
  <c r="GM41" i="10"/>
  <c r="GN41" i="10"/>
  <c r="GO41" i="10"/>
  <c r="GP41" i="10"/>
  <c r="GQ41" i="10"/>
  <c r="GR41" i="10"/>
  <c r="GS41" i="10"/>
  <c r="GW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I42" i="10"/>
  <c r="AJ42" i="10"/>
  <c r="AK42" i="10"/>
  <c r="AL42" i="10"/>
  <c r="AM42" i="10"/>
  <c r="AN42" i="10"/>
  <c r="AO42" i="10"/>
  <c r="AP42" i="10"/>
  <c r="AQ42" i="10"/>
  <c r="AR42" i="10"/>
  <c r="AS42" i="10"/>
  <c r="AT42" i="10"/>
  <c r="AU42" i="10"/>
  <c r="AV42" i="10"/>
  <c r="AW42" i="10"/>
  <c r="AX42" i="10"/>
  <c r="AY42" i="10"/>
  <c r="AZ42" i="10"/>
  <c r="BA42" i="10"/>
  <c r="BB42" i="10"/>
  <c r="BC42" i="10"/>
  <c r="BD42" i="10"/>
  <c r="BE42" i="10"/>
  <c r="BF42" i="10"/>
  <c r="BG42" i="10"/>
  <c r="BH42" i="10"/>
  <c r="BI42" i="10"/>
  <c r="BJ42" i="10"/>
  <c r="BK42" i="10"/>
  <c r="BL42" i="10"/>
  <c r="BM42" i="10"/>
  <c r="BN42" i="10"/>
  <c r="BO42" i="10"/>
  <c r="BP42" i="10"/>
  <c r="BQ42" i="10"/>
  <c r="BR42" i="10"/>
  <c r="BS42" i="10"/>
  <c r="BT42" i="10"/>
  <c r="BU42" i="10"/>
  <c r="BV42" i="10"/>
  <c r="BW42" i="10"/>
  <c r="BX42" i="10"/>
  <c r="BY42" i="10"/>
  <c r="BZ42" i="10"/>
  <c r="CA42" i="10"/>
  <c r="CB42" i="10"/>
  <c r="CC42" i="10"/>
  <c r="CD42" i="10"/>
  <c r="CE42" i="10"/>
  <c r="CF42" i="10"/>
  <c r="CG42" i="10"/>
  <c r="CH42" i="10"/>
  <c r="CI42" i="10"/>
  <c r="CJ42" i="10"/>
  <c r="CK42" i="10"/>
  <c r="CL42" i="10"/>
  <c r="CM42" i="10"/>
  <c r="CN42" i="10"/>
  <c r="CO42" i="10"/>
  <c r="CP42" i="10"/>
  <c r="CQ42" i="10"/>
  <c r="CR42" i="10"/>
  <c r="CS42" i="10"/>
  <c r="CT42" i="10"/>
  <c r="CU42" i="10"/>
  <c r="CV42" i="10"/>
  <c r="CW42" i="10"/>
  <c r="CX42" i="10"/>
  <c r="CY42" i="10"/>
  <c r="CZ42" i="10"/>
  <c r="DA42" i="10"/>
  <c r="DB42" i="10"/>
  <c r="DC42" i="10"/>
  <c r="DD42" i="10"/>
  <c r="DE42" i="10"/>
  <c r="DF42" i="10"/>
  <c r="DG42" i="10"/>
  <c r="DH42" i="10"/>
  <c r="DI42" i="10"/>
  <c r="DJ42" i="10"/>
  <c r="DK42" i="10"/>
  <c r="DL42" i="10"/>
  <c r="DM42" i="10"/>
  <c r="DN42" i="10"/>
  <c r="DO42" i="10"/>
  <c r="DP42" i="10"/>
  <c r="DQ42" i="10"/>
  <c r="DR42" i="10"/>
  <c r="DS42" i="10"/>
  <c r="DT42" i="10"/>
  <c r="DU42" i="10"/>
  <c r="DV42" i="10"/>
  <c r="DW42" i="10"/>
  <c r="DX42" i="10"/>
  <c r="DY42" i="10"/>
  <c r="DZ42" i="10"/>
  <c r="EA42" i="10"/>
  <c r="EB42" i="10"/>
  <c r="EC42" i="10"/>
  <c r="ED42" i="10"/>
  <c r="EE42" i="10"/>
  <c r="EF42" i="10"/>
  <c r="EG42" i="10"/>
  <c r="EH42" i="10"/>
  <c r="EI42" i="10"/>
  <c r="EJ42" i="10"/>
  <c r="EK42" i="10"/>
  <c r="EL42" i="10"/>
  <c r="EM42" i="10"/>
  <c r="EN42" i="10"/>
  <c r="EO42" i="10"/>
  <c r="EP42" i="10"/>
  <c r="EQ42" i="10"/>
  <c r="ER42" i="10"/>
  <c r="ES42" i="10"/>
  <c r="ET42" i="10"/>
  <c r="EU42" i="10"/>
  <c r="EV42" i="10"/>
  <c r="EW42" i="10"/>
  <c r="EX42" i="10"/>
  <c r="EY42" i="10"/>
  <c r="EZ42" i="10"/>
  <c r="FA42" i="10"/>
  <c r="FB42" i="10"/>
  <c r="FC42" i="10"/>
  <c r="FD42" i="10"/>
  <c r="FE42" i="10"/>
  <c r="FF42" i="10"/>
  <c r="FG42" i="10"/>
  <c r="FH42" i="10"/>
  <c r="FI42" i="10"/>
  <c r="FJ42" i="10"/>
  <c r="FK42" i="10"/>
  <c r="FL42" i="10"/>
  <c r="FM42" i="10"/>
  <c r="FN42" i="10"/>
  <c r="FO42" i="10"/>
  <c r="FP42" i="10"/>
  <c r="FQ42" i="10"/>
  <c r="FR42" i="10"/>
  <c r="FS42" i="10"/>
  <c r="FT42" i="10"/>
  <c r="FU42" i="10"/>
  <c r="FV42" i="10"/>
  <c r="FW42" i="10"/>
  <c r="FX42" i="10"/>
  <c r="FY42" i="10"/>
  <c r="FZ42" i="10"/>
  <c r="GA42" i="10"/>
  <c r="GB42" i="10"/>
  <c r="GC42" i="10"/>
  <c r="GD42" i="10"/>
  <c r="GE42" i="10"/>
  <c r="GF42" i="10"/>
  <c r="GG42" i="10"/>
  <c r="GH42" i="10"/>
  <c r="GI42" i="10"/>
  <c r="GJ42" i="10"/>
  <c r="GK42" i="10"/>
  <c r="GL42" i="10"/>
  <c r="GM42" i="10"/>
  <c r="GN42" i="10"/>
  <c r="GO42" i="10"/>
  <c r="GP42" i="10"/>
  <c r="GQ42" i="10"/>
  <c r="GR42" i="10"/>
  <c r="GS42" i="10"/>
  <c r="GW42" i="10"/>
  <c r="B3" i="6"/>
  <c r="B6" i="6"/>
  <c r="B12" i="6"/>
  <c r="C12" i="6"/>
  <c r="B13" i="6"/>
  <c r="C13" i="6"/>
  <c r="B14" i="6"/>
  <c r="C14" i="6"/>
  <c r="B15" i="6"/>
  <c r="C15" i="6"/>
  <c r="B16" i="6"/>
  <c r="C16" i="6"/>
  <c r="B17" i="6"/>
  <c r="C17" i="6"/>
  <c r="B18" i="6"/>
  <c r="C18" i="6"/>
  <c r="B19" i="6"/>
  <c r="C19" i="6"/>
  <c r="I19" i="6"/>
  <c r="B20" i="6"/>
  <c r="C20" i="6"/>
  <c r="B21" i="6"/>
  <c r="C21" i="6"/>
  <c r="B22" i="6"/>
  <c r="C22" i="6"/>
  <c r="B23" i="6"/>
  <c r="C23" i="6"/>
  <c r="B24" i="6"/>
  <c r="C24" i="6"/>
  <c r="B25" i="6"/>
  <c r="C25" i="6"/>
  <c r="B26" i="6"/>
  <c r="C26" i="6"/>
  <c r="B27" i="6"/>
  <c r="C27" i="6"/>
  <c r="B28" i="6"/>
  <c r="C28" i="6"/>
  <c r="B29" i="6"/>
  <c r="C29" i="6"/>
  <c r="B30" i="6"/>
  <c r="C30" i="6"/>
  <c r="B31" i="6"/>
  <c r="C31" i="6"/>
  <c r="B32" i="6"/>
  <c r="C32" i="6"/>
  <c r="B33" i="6"/>
  <c r="C33" i="6"/>
  <c r="B34" i="6"/>
  <c r="C34" i="6"/>
  <c r="B35" i="6"/>
  <c r="C35" i="6"/>
  <c r="B36" i="6"/>
  <c r="C36" i="6"/>
  <c r="B37" i="6"/>
  <c r="C37" i="6"/>
  <c r="C38" i="6"/>
  <c r="B42" i="6"/>
  <c r="B43" i="6"/>
  <c r="B44" i="6"/>
  <c r="B45" i="6"/>
  <c r="B46" i="6"/>
  <c r="B47" i="6"/>
  <c r="B48" i="6"/>
  <c r="B49" i="6"/>
  <c r="B50" i="6"/>
  <c r="B51" i="6"/>
  <c r="B52" i="6"/>
  <c r="B53" i="6"/>
  <c r="B54" i="6"/>
  <c r="B55" i="6"/>
  <c r="B56" i="6"/>
  <c r="B57" i="6"/>
  <c r="B58" i="6"/>
  <c r="B59" i="6"/>
  <c r="B60" i="6"/>
  <c r="B61" i="6"/>
  <c r="B62" i="6"/>
  <c r="B63" i="6"/>
  <c r="B64" i="6"/>
  <c r="B65" i="6"/>
  <c r="B66" i="6"/>
  <c r="B67" i="6"/>
  <c r="B70" i="6"/>
  <c r="I70" i="6"/>
  <c r="B72" i="6"/>
  <c r="BA35" i="5" s="1"/>
  <c r="B73" i="6"/>
  <c r="BA36" i="5" s="1"/>
  <c r="B74" i="6"/>
  <c r="BA37" i="5" s="1"/>
  <c r="B75" i="6"/>
  <c r="BA38" i="5" s="1"/>
  <c r="B76" i="6"/>
  <c r="BA39" i="5" s="1"/>
  <c r="B77" i="6"/>
  <c r="BA40" i="5" s="1"/>
  <c r="B78" i="6"/>
  <c r="BA41" i="5" s="1"/>
  <c r="B84" i="6"/>
  <c r="C84" i="6"/>
  <c r="B85" i="6"/>
  <c r="C85" i="6"/>
  <c r="B86" i="6"/>
  <c r="C86" i="6"/>
  <c r="B87" i="6"/>
  <c r="C87" i="6"/>
  <c r="B88" i="6"/>
  <c r="C88" i="6"/>
  <c r="B89" i="6"/>
  <c r="C89" i="6"/>
  <c r="B90" i="6"/>
  <c r="C90" i="6"/>
  <c r="B91" i="6"/>
  <c r="C91" i="6"/>
  <c r="B92" i="6"/>
  <c r="C92" i="6"/>
  <c r="B93" i="6"/>
  <c r="C93" i="6"/>
  <c r="B94" i="6"/>
  <c r="C94" i="6"/>
  <c r="B95" i="6"/>
  <c r="C95" i="6"/>
  <c r="B96" i="6"/>
  <c r="C96" i="6"/>
  <c r="B97" i="6"/>
  <c r="C97" i="6"/>
  <c r="B98" i="6"/>
  <c r="C98" i="6"/>
  <c r="B99" i="6"/>
  <c r="C99" i="6"/>
  <c r="B100" i="6"/>
  <c r="C100" i="6"/>
  <c r="B101" i="6"/>
  <c r="C101" i="6"/>
  <c r="B102" i="6"/>
  <c r="C102" i="6"/>
  <c r="B103" i="6"/>
  <c r="C103" i="6"/>
  <c r="B104" i="6"/>
  <c r="C104" i="6"/>
  <c r="B105" i="6"/>
  <c r="C105" i="6"/>
  <c r="B106" i="6"/>
  <c r="C106" i="6"/>
  <c r="B107" i="6"/>
  <c r="C107" i="6"/>
  <c r="B108" i="6"/>
  <c r="C108" i="6"/>
  <c r="B109" i="6"/>
  <c r="C109" i="6"/>
  <c r="C110" i="6"/>
  <c r="B57" i="14"/>
  <c r="C24" i="14"/>
  <c r="B24" i="14" s="1"/>
  <c r="BD24" i="14"/>
  <c r="BE24" i="14"/>
  <c r="BF24" i="14"/>
  <c r="C25" i="14"/>
  <c r="B25" i="14" s="1"/>
  <c r="BD25" i="14"/>
  <c r="BE25" i="14"/>
  <c r="BF25" i="14"/>
  <c r="C26" i="14"/>
  <c r="B26" i="14" s="1"/>
  <c r="BD26" i="14"/>
  <c r="BE26" i="14"/>
  <c r="BF26" i="14"/>
  <c r="C27" i="14"/>
  <c r="B27" i="14" s="1"/>
  <c r="BD27" i="14"/>
  <c r="BE27" i="14"/>
  <c r="BF27" i="14"/>
  <c r="C28" i="14"/>
  <c r="B28" i="14" s="1"/>
  <c r="BD28" i="14"/>
  <c r="BE28" i="14"/>
  <c r="BF28" i="14"/>
  <c r="C29" i="14"/>
  <c r="B29" i="14" s="1"/>
  <c r="BD29" i="14"/>
  <c r="BE29" i="14"/>
  <c r="BF29" i="14"/>
  <c r="C30" i="14"/>
  <c r="B30" i="14" s="1"/>
  <c r="BD30" i="14"/>
  <c r="BE30" i="14"/>
  <c r="BF30" i="14"/>
  <c r="C31" i="14"/>
  <c r="B31" i="14" s="1"/>
  <c r="BD31" i="14"/>
  <c r="BE31" i="14"/>
  <c r="BF31" i="14"/>
  <c r="C32" i="14"/>
  <c r="B32" i="14" s="1"/>
  <c r="C33" i="14"/>
  <c r="B33" i="14" s="1"/>
  <c r="C34" i="14"/>
  <c r="B34" i="14" s="1"/>
  <c r="C35" i="14"/>
  <c r="B35" i="14" s="1"/>
  <c r="C36" i="14"/>
  <c r="B36" i="14" s="1"/>
  <c r="C37" i="14"/>
  <c r="B37" i="14" s="1"/>
  <c r="D38" i="14"/>
  <c r="B43" i="14"/>
  <c r="B3" i="14"/>
  <c r="BD6" i="14"/>
  <c r="BE6" i="14"/>
  <c r="BF6" i="14"/>
  <c r="B7" i="14"/>
  <c r="BD7" i="14"/>
  <c r="BE7" i="14"/>
  <c r="BF7" i="14"/>
  <c r="BD8" i="14"/>
  <c r="BE8" i="14"/>
  <c r="BF8" i="14"/>
  <c r="BD9" i="14"/>
  <c r="BE9" i="14"/>
  <c r="BF9" i="14"/>
  <c r="B10" i="14"/>
  <c r="BD10" i="14"/>
  <c r="BE10" i="14"/>
  <c r="BF10" i="14"/>
  <c r="BD11" i="14"/>
  <c r="BE11" i="14"/>
  <c r="BF11" i="14"/>
  <c r="C12" i="14"/>
  <c r="B12" i="14" s="1"/>
  <c r="D12" i="14"/>
  <c r="BD12" i="14"/>
  <c r="BE12" i="14"/>
  <c r="BF12" i="14"/>
  <c r="C13" i="14"/>
  <c r="B13" i="14" s="1"/>
  <c r="D13" i="14"/>
  <c r="BD13" i="14"/>
  <c r="BE13" i="14"/>
  <c r="BF13" i="14"/>
  <c r="C14" i="14"/>
  <c r="B14" i="14" s="1"/>
  <c r="D14" i="14"/>
  <c r="BD14" i="14"/>
  <c r="BE14" i="14"/>
  <c r="BF14" i="14"/>
  <c r="C15" i="14"/>
  <c r="B15" i="14" s="1"/>
  <c r="D15" i="14"/>
  <c r="BD15" i="14"/>
  <c r="BE15" i="14"/>
  <c r="BF15" i="14"/>
  <c r="C16" i="14"/>
  <c r="B16" i="14" s="1"/>
  <c r="D16" i="14"/>
  <c r="BD16" i="14"/>
  <c r="BE16" i="14"/>
  <c r="BF16" i="14"/>
  <c r="C17" i="14"/>
  <c r="B17" i="14" s="1"/>
  <c r="D17" i="14"/>
  <c r="BD17" i="14"/>
  <c r="BE17" i="14"/>
  <c r="BF17" i="14"/>
  <c r="C18" i="14"/>
  <c r="B18" i="14" s="1"/>
  <c r="D18" i="14"/>
  <c r="BD18" i="14"/>
  <c r="BE18" i="14"/>
  <c r="BF18" i="14"/>
  <c r="C19" i="14"/>
  <c r="B19" i="14" s="1"/>
  <c r="D19" i="14"/>
  <c r="BD19" i="14"/>
  <c r="BE19" i="14"/>
  <c r="BF19" i="14"/>
  <c r="C20" i="14"/>
  <c r="B20" i="14" s="1"/>
  <c r="D20" i="14"/>
  <c r="BD20" i="14"/>
  <c r="BE20" i="14"/>
  <c r="BF20" i="14"/>
  <c r="C21" i="14"/>
  <c r="B21" i="14" s="1"/>
  <c r="D21" i="14"/>
  <c r="BD21" i="14"/>
  <c r="BE21" i="14"/>
  <c r="BF21" i="14"/>
  <c r="C22" i="14"/>
  <c r="B22" i="14" s="1"/>
  <c r="D22" i="14"/>
  <c r="BD22" i="14"/>
  <c r="BE22" i="14"/>
  <c r="BF22" i="14"/>
  <c r="C23" i="14"/>
  <c r="B23" i="14" s="1"/>
  <c r="D23" i="14"/>
  <c r="BD23" i="14"/>
  <c r="BE23" i="14"/>
  <c r="BF23" i="14"/>
  <c r="C29" i="16"/>
  <c r="K4" i="3"/>
  <c r="K5" i="3"/>
  <c r="K6" i="3"/>
  <c r="K7" i="3"/>
  <c r="K8" i="3"/>
  <c r="K9" i="3"/>
  <c r="K10" i="3"/>
  <c r="K11" i="3"/>
  <c r="K12" i="3"/>
  <c r="K13" i="3"/>
  <c r="K14" i="3"/>
  <c r="K15" i="3"/>
  <c r="K16" i="3"/>
  <c r="K17" i="3"/>
  <c r="K18" i="3"/>
  <c r="K19" i="3"/>
  <c r="K20" i="3"/>
  <c r="K21" i="3"/>
  <c r="K22" i="3"/>
  <c r="K23" i="3"/>
  <c r="K24" i="3"/>
  <c r="K25" i="3"/>
  <c r="K26" i="3"/>
  <c r="K27" i="3"/>
  <c r="K28" i="3"/>
  <c r="K3" i="3"/>
  <c r="C66" i="10" l="1"/>
  <c r="EM4" i="5" a="1"/>
  <c r="DM3" i="11" a="1"/>
  <c r="A193" i="5"/>
  <c r="E71" i="5"/>
  <c r="V71" i="5"/>
  <c r="N71" i="5"/>
  <c r="D71" i="5"/>
  <c r="W71" i="5"/>
  <c r="X71" i="5"/>
  <c r="Y71" i="5"/>
  <c r="Z71" i="5"/>
  <c r="C71" i="5"/>
  <c r="AA71" i="5"/>
  <c r="AC71" i="5"/>
  <c r="B71" i="5"/>
  <c r="O71" i="5"/>
  <c r="Q71" i="5"/>
  <c r="P71" i="5"/>
  <c r="R71" i="5"/>
  <c r="S71" i="5"/>
  <c r="T71" i="5"/>
  <c r="U71" i="5"/>
  <c r="F71" i="5"/>
  <c r="G71" i="5"/>
  <c r="H71" i="5"/>
  <c r="I71" i="5"/>
  <c r="J71" i="5"/>
  <c r="K71" i="5"/>
  <c r="L71" i="5"/>
  <c r="M71" i="5"/>
  <c r="EN4" i="5" a="1"/>
  <c r="DN3" i="11" a="1"/>
  <c r="A194" i="5"/>
  <c r="T72" i="5"/>
  <c r="S72" i="5"/>
  <c r="R72" i="5"/>
  <c r="Q72" i="5"/>
  <c r="O72" i="5"/>
  <c r="N72" i="5"/>
  <c r="M72" i="5"/>
  <c r="L72" i="5"/>
  <c r="K72" i="5"/>
  <c r="J72" i="5"/>
  <c r="I72" i="5"/>
  <c r="H72" i="5"/>
  <c r="G72" i="5"/>
  <c r="F72" i="5"/>
  <c r="E72" i="5"/>
  <c r="D72" i="5"/>
  <c r="C72" i="5"/>
  <c r="X72" i="5"/>
  <c r="B72" i="5"/>
  <c r="P72" i="5"/>
  <c r="AC72" i="5"/>
  <c r="AA72" i="5"/>
  <c r="Z72" i="5"/>
  <c r="Y72" i="5"/>
  <c r="W72" i="5"/>
  <c r="V72" i="5"/>
  <c r="U72" i="5"/>
  <c r="EO4" i="5" a="1"/>
  <c r="DO3" i="11" a="1"/>
  <c r="A195" i="5"/>
  <c r="I73" i="5"/>
  <c r="J73" i="5"/>
  <c r="K73" i="5"/>
  <c r="L73" i="5"/>
  <c r="M73" i="5"/>
  <c r="N73" i="5"/>
  <c r="O73" i="5"/>
  <c r="P73" i="5"/>
  <c r="Q73" i="5"/>
  <c r="R73" i="5"/>
  <c r="S73" i="5"/>
  <c r="T73" i="5"/>
  <c r="U73" i="5"/>
  <c r="H73" i="5"/>
  <c r="W73" i="5"/>
  <c r="V73" i="5"/>
  <c r="X73" i="5"/>
  <c r="Y73" i="5"/>
  <c r="Z73" i="5"/>
  <c r="AA73" i="5"/>
  <c r="AC73" i="5"/>
  <c r="B73" i="5"/>
  <c r="C73" i="5"/>
  <c r="D73" i="5"/>
  <c r="E73" i="5"/>
  <c r="F73" i="5"/>
  <c r="G73" i="5"/>
  <c r="A196" i="5"/>
  <c r="EP4" i="5" a="1"/>
  <c r="DP3" i="11" a="1"/>
  <c r="W74" i="5"/>
  <c r="B74" i="5"/>
  <c r="C74" i="5"/>
  <c r="D74" i="5"/>
  <c r="E74" i="5"/>
  <c r="F74" i="5"/>
  <c r="G74" i="5"/>
  <c r="H74" i="5"/>
  <c r="I74" i="5"/>
  <c r="J74" i="5"/>
  <c r="K74" i="5"/>
  <c r="L74" i="5"/>
  <c r="M74" i="5"/>
  <c r="N74" i="5"/>
  <c r="O74" i="5"/>
  <c r="P74" i="5"/>
  <c r="Q74" i="5"/>
  <c r="R74" i="5"/>
  <c r="S74" i="5"/>
  <c r="T74" i="5"/>
  <c r="U74" i="5"/>
  <c r="V74" i="5"/>
  <c r="X74" i="5"/>
  <c r="Y74" i="5"/>
  <c r="Z74" i="5"/>
  <c r="AA74" i="5"/>
  <c r="AC74" i="5"/>
  <c r="DQ3" i="11" a="1"/>
  <c r="A197" i="5"/>
  <c r="EQ4" i="5" a="1"/>
  <c r="K75" i="5"/>
  <c r="J75" i="5"/>
  <c r="I75" i="5"/>
  <c r="H75" i="5"/>
  <c r="G75" i="5"/>
  <c r="F75" i="5"/>
  <c r="E75" i="5"/>
  <c r="D75" i="5"/>
  <c r="C75" i="5"/>
  <c r="N75" i="5"/>
  <c r="B75" i="5"/>
  <c r="AC75" i="5"/>
  <c r="AA75" i="5"/>
  <c r="Z75" i="5"/>
  <c r="L75" i="5"/>
  <c r="M75" i="5"/>
  <c r="O75" i="5"/>
  <c r="P75" i="5"/>
  <c r="Q75" i="5"/>
  <c r="R75" i="5"/>
  <c r="S75" i="5"/>
  <c r="T75" i="5"/>
  <c r="U75" i="5"/>
  <c r="V75" i="5"/>
  <c r="W75" i="5"/>
  <c r="X75" i="5"/>
  <c r="Y75" i="5"/>
  <c r="DR3" i="11" a="1"/>
  <c r="ER4" i="5" a="1"/>
  <c r="A198" i="5"/>
  <c r="P76" i="5"/>
  <c r="O76" i="5"/>
  <c r="M76" i="5"/>
  <c r="L76" i="5"/>
  <c r="K76" i="5"/>
  <c r="J76" i="5"/>
  <c r="I76" i="5"/>
  <c r="H76" i="5"/>
  <c r="G76" i="5"/>
  <c r="F76" i="5"/>
  <c r="D76" i="5"/>
  <c r="C76" i="5"/>
  <c r="B76" i="5"/>
  <c r="E76" i="5"/>
  <c r="N76" i="5"/>
  <c r="S76" i="5"/>
  <c r="AC76" i="5"/>
  <c r="AA76" i="5"/>
  <c r="Z76" i="5"/>
  <c r="Y76" i="5"/>
  <c r="X76" i="5"/>
  <c r="W76" i="5"/>
  <c r="V76" i="5"/>
  <c r="U76" i="5"/>
  <c r="T76" i="5"/>
  <c r="R76" i="5"/>
  <c r="Q76" i="5"/>
  <c r="A199" i="5"/>
  <c r="DS3" i="11" a="1"/>
  <c r="ES4" i="5" a="1"/>
  <c r="S77" i="5"/>
  <c r="R77" i="5"/>
  <c r="Q77" i="5"/>
  <c r="P77" i="5"/>
  <c r="O77" i="5"/>
  <c r="N77" i="5"/>
  <c r="M77" i="5"/>
  <c r="B77" i="5"/>
  <c r="D77" i="5"/>
  <c r="E77" i="5"/>
  <c r="F77" i="5"/>
  <c r="G77" i="5"/>
  <c r="H77" i="5"/>
  <c r="I77" i="5"/>
  <c r="J77" i="5"/>
  <c r="AA77" i="5"/>
  <c r="K77" i="5"/>
  <c r="L77" i="5"/>
  <c r="AC77" i="5"/>
  <c r="Z77" i="5"/>
  <c r="Y77" i="5"/>
  <c r="T77" i="5"/>
  <c r="C77" i="5"/>
  <c r="X77" i="5"/>
  <c r="W77" i="5"/>
  <c r="V77" i="5"/>
  <c r="U77" i="5"/>
  <c r="DT3" i="11" a="1"/>
  <c r="A200" i="5"/>
  <c r="ET4" i="5" a="1"/>
  <c r="Z78" i="5"/>
  <c r="AA78" i="5"/>
  <c r="AC78" i="5"/>
  <c r="B78" i="5"/>
  <c r="C78" i="5"/>
  <c r="D78" i="5"/>
  <c r="E78" i="5"/>
  <c r="F78" i="5"/>
  <c r="G78" i="5"/>
  <c r="H78" i="5"/>
  <c r="I78" i="5"/>
  <c r="J78" i="5"/>
  <c r="K78" i="5"/>
  <c r="L78" i="5"/>
  <c r="M78" i="5"/>
  <c r="N78" i="5"/>
  <c r="O78" i="5"/>
  <c r="P78" i="5"/>
  <c r="Q78" i="5"/>
  <c r="R78" i="5"/>
  <c r="S78" i="5"/>
  <c r="T78" i="5"/>
  <c r="U78" i="5"/>
  <c r="V78" i="5"/>
  <c r="W78" i="5"/>
  <c r="X78" i="5"/>
  <c r="Y78" i="5"/>
  <c r="A201" i="5"/>
  <c r="DU3" i="11" a="1"/>
  <c r="EU4" i="5" a="1"/>
  <c r="E79" i="5"/>
  <c r="AC79" i="5"/>
  <c r="AA79" i="5"/>
  <c r="Z79" i="5"/>
  <c r="B79" i="5"/>
  <c r="Y79" i="5"/>
  <c r="X79" i="5"/>
  <c r="W79" i="5"/>
  <c r="V79" i="5"/>
  <c r="U79" i="5"/>
  <c r="C79" i="5"/>
  <c r="T79" i="5"/>
  <c r="S79" i="5"/>
  <c r="R79" i="5"/>
  <c r="Q79" i="5"/>
  <c r="P79" i="5"/>
  <c r="D79" i="5"/>
  <c r="O79" i="5"/>
  <c r="N79" i="5"/>
  <c r="M79" i="5"/>
  <c r="L79" i="5"/>
  <c r="K79" i="5"/>
  <c r="J79" i="5"/>
  <c r="I79" i="5"/>
  <c r="H79" i="5"/>
  <c r="G79" i="5"/>
  <c r="F79" i="5"/>
  <c r="AF80" i="5"/>
  <c r="DV3" i="11" a="1"/>
  <c r="EV4" i="5" a="1"/>
  <c r="AE80" i="5"/>
  <c r="A202" i="5"/>
  <c r="B69" i="5"/>
  <c r="EK5" i="5" s="1"/>
  <c r="B50" i="5"/>
  <c r="DR5" i="5" s="1"/>
  <c r="B63" i="5"/>
  <c r="EE5" i="5" s="1"/>
  <c r="B57" i="5"/>
  <c r="DY5" i="5" s="1"/>
  <c r="B52" i="5"/>
  <c r="DT5" i="5" s="1"/>
  <c r="B56" i="5"/>
  <c r="DX5" i="5" s="1"/>
  <c r="B51" i="5"/>
  <c r="DS5" i="5" s="1"/>
  <c r="B54" i="5"/>
  <c r="DV5" i="5" s="1"/>
  <c r="B43" i="5"/>
  <c r="B41" i="5"/>
  <c r="B62" i="5"/>
  <c r="ED5" i="5" s="1"/>
  <c r="B58" i="5"/>
  <c r="DZ5" i="5" s="1"/>
  <c r="B61" i="5"/>
  <c r="EC5" i="5" s="1"/>
  <c r="B70" i="5"/>
  <c r="EL5" i="5" s="1"/>
  <c r="B42" i="5"/>
  <c r="B55" i="5"/>
  <c r="DW5" i="5" s="1"/>
  <c r="B59" i="5"/>
  <c r="EA5" i="5" s="1"/>
  <c r="B60" i="5"/>
  <c r="EB5" i="5" s="1"/>
  <c r="B53" i="5"/>
  <c r="DU5" i="5" s="1"/>
  <c r="B68" i="5"/>
  <c r="EJ5" i="5" s="1"/>
  <c r="B47" i="5"/>
  <c r="B67" i="5"/>
  <c r="EI5" i="5" s="1"/>
  <c r="B65" i="5"/>
  <c r="EG5" i="5" s="1"/>
  <c r="B64" i="5"/>
  <c r="EF5" i="5" s="1"/>
  <c r="B48" i="5"/>
  <c r="DP5" i="5" s="1"/>
  <c r="B66" i="5"/>
  <c r="EH5" i="5" s="1"/>
  <c r="B49" i="5"/>
  <c r="DQ5" i="5" s="1"/>
  <c r="B44" i="5"/>
  <c r="B45" i="5"/>
  <c r="B46" i="5"/>
  <c r="C49" i="5"/>
  <c r="DQ6" i="5" s="1"/>
  <c r="C69" i="5"/>
  <c r="EK6" i="5" s="1"/>
  <c r="C70" i="5"/>
  <c r="EL6" i="5" s="1"/>
  <c r="C43" i="5"/>
  <c r="C53" i="5"/>
  <c r="DU6" i="5" s="1"/>
  <c r="C55" i="5"/>
  <c r="DW6" i="5" s="1"/>
  <c r="C60" i="5"/>
  <c r="EB6" i="5" s="1"/>
  <c r="C57" i="5"/>
  <c r="DY6" i="5" s="1"/>
  <c r="C65" i="5"/>
  <c r="EG6" i="5" s="1"/>
  <c r="C48" i="5"/>
  <c r="DP6" i="5" s="1"/>
  <c r="C62" i="5"/>
  <c r="ED6" i="5" s="1"/>
  <c r="C54" i="5"/>
  <c r="DV6" i="5" s="1"/>
  <c r="C68" i="5"/>
  <c r="EJ6" i="5" s="1"/>
  <c r="C56" i="5"/>
  <c r="DX6" i="5" s="1"/>
  <c r="C52" i="5"/>
  <c r="DT6" i="5" s="1"/>
  <c r="C67" i="5"/>
  <c r="EI6" i="5" s="1"/>
  <c r="C59" i="5"/>
  <c r="EA6" i="5" s="1"/>
  <c r="C61" i="5"/>
  <c r="EC6" i="5" s="1"/>
  <c r="C42" i="5"/>
  <c r="C64" i="5"/>
  <c r="EF6" i="5" s="1"/>
  <c r="C63" i="5"/>
  <c r="EE6" i="5" s="1"/>
  <c r="C66" i="5"/>
  <c r="EH6" i="5" s="1"/>
  <c r="C41" i="5"/>
  <c r="C58" i="5"/>
  <c r="DZ6" i="5" s="1"/>
  <c r="C47" i="5"/>
  <c r="C44" i="5"/>
  <c r="C51" i="5"/>
  <c r="DS6" i="5" s="1"/>
  <c r="C45" i="5"/>
  <c r="C50" i="5"/>
  <c r="DR6" i="5" s="1"/>
  <c r="C46" i="5"/>
  <c r="D48" i="5"/>
  <c r="DP7" i="5" s="1"/>
  <c r="D62" i="5"/>
  <c r="D54" i="5"/>
  <c r="DV7" i="5" s="1"/>
  <c r="D69" i="5"/>
  <c r="D68" i="5"/>
  <c r="D49" i="5"/>
  <c r="DQ7" i="5" s="1"/>
  <c r="D59" i="5"/>
  <c r="D70" i="5"/>
  <c r="D67" i="5"/>
  <c r="D58" i="5"/>
  <c r="D65" i="5"/>
  <c r="D50" i="5"/>
  <c r="DR7" i="5" s="1"/>
  <c r="D61" i="5"/>
  <c r="D57" i="5"/>
  <c r="D64" i="5"/>
  <c r="D51" i="5"/>
  <c r="DS7" i="5" s="1"/>
  <c r="D66" i="5"/>
  <c r="D53" i="5"/>
  <c r="DU7" i="5" s="1"/>
  <c r="D56" i="5"/>
  <c r="D52" i="5"/>
  <c r="DT7" i="5" s="1"/>
  <c r="D43" i="5"/>
  <c r="D42" i="5"/>
  <c r="D55" i="5"/>
  <c r="DW7" i="5" s="1"/>
  <c r="D44" i="5"/>
  <c r="D63" i="5"/>
  <c r="D47" i="5"/>
  <c r="D45" i="5"/>
  <c r="D41" i="5"/>
  <c r="D60" i="5"/>
  <c r="D46" i="5"/>
  <c r="E50" i="5"/>
  <c r="E54" i="5"/>
  <c r="E68" i="5"/>
  <c r="E62" i="5"/>
  <c r="E57" i="5"/>
  <c r="E67" i="5"/>
  <c r="E55" i="5"/>
  <c r="E58" i="5"/>
  <c r="E59" i="5"/>
  <c r="E53" i="5"/>
  <c r="E61" i="5"/>
  <c r="E52" i="5"/>
  <c r="E60" i="5"/>
  <c r="E70" i="5"/>
  <c r="E48" i="5"/>
  <c r="E49" i="5"/>
  <c r="E51" i="5"/>
  <c r="E56" i="5"/>
  <c r="E64" i="5"/>
  <c r="E66" i="5"/>
  <c r="E65" i="5"/>
  <c r="E69" i="5"/>
  <c r="E43" i="5"/>
  <c r="E41" i="5"/>
  <c r="E44" i="5"/>
  <c r="E47" i="5"/>
  <c r="E45" i="5"/>
  <c r="E42" i="5"/>
  <c r="E63" i="5"/>
  <c r="E46" i="5"/>
  <c r="F63" i="5"/>
  <c r="F56" i="5"/>
  <c r="F65" i="5"/>
  <c r="F70" i="5"/>
  <c r="F64" i="5"/>
  <c r="F58" i="5"/>
  <c r="F66" i="5"/>
  <c r="F61" i="5"/>
  <c r="F59" i="5"/>
  <c r="F62" i="5"/>
  <c r="F55" i="5"/>
  <c r="F69" i="5"/>
  <c r="F50" i="5"/>
  <c r="F52" i="5"/>
  <c r="F43" i="5"/>
  <c r="F49" i="5"/>
  <c r="F41" i="5"/>
  <c r="F68" i="5"/>
  <c r="F54" i="5"/>
  <c r="F44" i="5"/>
  <c r="F47" i="5"/>
  <c r="F53" i="5"/>
  <c r="F51" i="5"/>
  <c r="F48" i="5"/>
  <c r="F45" i="5"/>
  <c r="F67" i="5"/>
  <c r="F42" i="5"/>
  <c r="F60" i="5"/>
  <c r="F57" i="5"/>
  <c r="F46" i="5"/>
  <c r="G65" i="5"/>
  <c r="G59" i="5"/>
  <c r="G51" i="5"/>
  <c r="G61" i="5"/>
  <c r="G70" i="5"/>
  <c r="G62" i="5"/>
  <c r="G69" i="5"/>
  <c r="G68" i="5"/>
  <c r="G63" i="5"/>
  <c r="G60" i="5"/>
  <c r="G67" i="5"/>
  <c r="G48" i="5"/>
  <c r="G49" i="5"/>
  <c r="G58" i="5"/>
  <c r="G57" i="5"/>
  <c r="G50" i="5"/>
  <c r="G56" i="5"/>
  <c r="G55" i="5"/>
  <c r="G45" i="5"/>
  <c r="G54" i="5"/>
  <c r="G53" i="5"/>
  <c r="G66" i="5"/>
  <c r="G52" i="5"/>
  <c r="G64" i="5"/>
  <c r="G46" i="5"/>
  <c r="H68" i="5"/>
  <c r="H70" i="5"/>
  <c r="H47" i="5"/>
  <c r="H41" i="5"/>
  <c r="H49" i="5"/>
  <c r="DQ11" i="5" s="1"/>
  <c r="H67" i="5"/>
  <c r="H45" i="5"/>
  <c r="H58" i="5"/>
  <c r="H42" i="5"/>
  <c r="H51" i="5"/>
  <c r="H54" i="5"/>
  <c r="H48" i="5"/>
  <c r="DP11" i="5" s="1"/>
  <c r="H60" i="5"/>
  <c r="H53" i="5"/>
  <c r="H62" i="5"/>
  <c r="H66" i="5"/>
  <c r="H63" i="5"/>
  <c r="H44" i="5"/>
  <c r="H61" i="5"/>
  <c r="H69" i="5"/>
  <c r="H52" i="5"/>
  <c r="H57" i="5"/>
  <c r="H59" i="5"/>
  <c r="H55" i="5"/>
  <c r="H50" i="5"/>
  <c r="DR11" i="5" s="1"/>
  <c r="H43" i="5"/>
  <c r="H56" i="5"/>
  <c r="H65" i="5"/>
  <c r="H64" i="5"/>
  <c r="H46" i="5"/>
  <c r="I62" i="5"/>
  <c r="I68" i="5"/>
  <c r="I55" i="5"/>
  <c r="I49" i="5"/>
  <c r="DQ12" i="5" s="1"/>
  <c r="I64" i="5"/>
  <c r="I66" i="5"/>
  <c r="I65" i="5"/>
  <c r="I61" i="5"/>
  <c r="I51" i="5"/>
  <c r="DS12" i="5" s="1"/>
  <c r="I48" i="5"/>
  <c r="DP12" i="5" s="1"/>
  <c r="I56" i="5"/>
  <c r="I43" i="5"/>
  <c r="I60" i="5"/>
  <c r="I69" i="5"/>
  <c r="I53" i="5"/>
  <c r="DU12" i="5" s="1"/>
  <c r="I50" i="5"/>
  <c r="DR12" i="5" s="1"/>
  <c r="I57" i="5"/>
  <c r="I44" i="5"/>
  <c r="I45" i="5"/>
  <c r="I70" i="5"/>
  <c r="I47" i="5"/>
  <c r="I58" i="5"/>
  <c r="I46" i="5"/>
  <c r="I41" i="5"/>
  <c r="I42" i="5"/>
  <c r="I52" i="5"/>
  <c r="DT12" i="5" s="1"/>
  <c r="I63" i="5"/>
  <c r="I59" i="5"/>
  <c r="I67" i="5"/>
  <c r="I54" i="5"/>
  <c r="DV12" i="5" s="1"/>
  <c r="J58" i="5"/>
  <c r="J49" i="5"/>
  <c r="DQ13" i="5" s="1"/>
  <c r="J63" i="5"/>
  <c r="J69" i="5"/>
  <c r="J64" i="5"/>
  <c r="J48" i="5"/>
  <c r="DP13" i="5" s="1"/>
  <c r="J62" i="5"/>
  <c r="J68" i="5"/>
  <c r="J60" i="5"/>
  <c r="J59" i="5"/>
  <c r="J65" i="5"/>
  <c r="J42" i="5"/>
  <c r="J47" i="5"/>
  <c r="J44" i="5"/>
  <c r="J61" i="5"/>
  <c r="J54" i="5"/>
  <c r="DV13" i="5" s="1"/>
  <c r="J55" i="5"/>
  <c r="DW13" i="5" s="1"/>
  <c r="J57" i="5"/>
  <c r="J41" i="5"/>
  <c r="J67" i="5"/>
  <c r="J51" i="5"/>
  <c r="DS13" i="5" s="1"/>
  <c r="J45" i="5"/>
  <c r="J70" i="5"/>
  <c r="J56" i="5"/>
  <c r="DX13" i="5" s="1"/>
  <c r="J53" i="5"/>
  <c r="DU13" i="5" s="1"/>
  <c r="J52" i="5"/>
  <c r="DT13" i="5" s="1"/>
  <c r="J50" i="5"/>
  <c r="DR13" i="5" s="1"/>
  <c r="J66" i="5"/>
  <c r="J46" i="5"/>
  <c r="J43" i="5"/>
  <c r="K69" i="5"/>
  <c r="K48" i="5"/>
  <c r="DP14" i="5" s="1"/>
  <c r="K60" i="5"/>
  <c r="K47" i="5"/>
  <c r="K68" i="5"/>
  <c r="K62" i="5"/>
  <c r="K55" i="5"/>
  <c r="DW14" i="5" s="1"/>
  <c r="K53" i="5"/>
  <c r="DU14" i="5" s="1"/>
  <c r="K58" i="5"/>
  <c r="DZ14" i="5" s="1"/>
  <c r="K67" i="5"/>
  <c r="K65" i="5"/>
  <c r="K56" i="5"/>
  <c r="DX14" i="5" s="1"/>
  <c r="K50" i="5"/>
  <c r="DR14" i="5" s="1"/>
  <c r="K59" i="5"/>
  <c r="EA14" i="5" s="1"/>
  <c r="K57" i="5"/>
  <c r="DY14" i="5" s="1"/>
  <c r="K41" i="5"/>
  <c r="K43" i="5"/>
  <c r="K51" i="5"/>
  <c r="DS14" i="5" s="1"/>
  <c r="K64" i="5"/>
  <c r="K45" i="5"/>
  <c r="K70" i="5"/>
  <c r="K44" i="5"/>
  <c r="K66" i="5"/>
  <c r="K52" i="5"/>
  <c r="DT14" i="5" s="1"/>
  <c r="K42" i="5"/>
  <c r="K61" i="5"/>
  <c r="K49" i="5"/>
  <c r="DQ14" i="5" s="1"/>
  <c r="K54" i="5"/>
  <c r="DV14" i="5" s="1"/>
  <c r="K63" i="5"/>
  <c r="K46" i="5"/>
  <c r="L46" i="5"/>
  <c r="L65" i="5"/>
  <c r="L66" i="5"/>
  <c r="L67" i="5"/>
  <c r="L68" i="5"/>
  <c r="L69" i="5"/>
  <c r="L70" i="5"/>
  <c r="L51" i="5"/>
  <c r="DS15" i="5" s="1"/>
  <c r="L52" i="5"/>
  <c r="DT15" i="5" s="1"/>
  <c r="L44" i="5"/>
  <c r="L53" i="5"/>
  <c r="DU15" i="5" s="1"/>
  <c r="L54" i="5"/>
  <c r="DV15" i="5" s="1"/>
  <c r="L55" i="5"/>
  <c r="DW15" i="5" s="1"/>
  <c r="L56" i="5"/>
  <c r="DX15" i="5" s="1"/>
  <c r="L57" i="5"/>
  <c r="DY15" i="5" s="1"/>
  <c r="L58" i="5"/>
  <c r="DZ15" i="5" s="1"/>
  <c r="L59" i="5"/>
  <c r="EA15" i="5" s="1"/>
  <c r="L60" i="5"/>
  <c r="EB15" i="5" s="1"/>
  <c r="L41" i="5"/>
  <c r="L42" i="5"/>
  <c r="L45" i="5"/>
  <c r="L47" i="5"/>
  <c r="L48" i="5"/>
  <c r="DP15" i="5" s="1"/>
  <c r="L49" i="5"/>
  <c r="DQ15" i="5" s="1"/>
  <c r="L50" i="5"/>
  <c r="DR15" i="5" s="1"/>
  <c r="L61" i="5"/>
  <c r="EC15" i="5" s="1"/>
  <c r="L62" i="5"/>
  <c r="ED15" i="5" s="1"/>
  <c r="L63" i="5"/>
  <c r="EE15" i="5" s="1"/>
  <c r="L43" i="5"/>
  <c r="L64" i="5"/>
  <c r="M52" i="5"/>
  <c r="DT16" i="5" s="1"/>
  <c r="M41" i="5"/>
  <c r="M57" i="5"/>
  <c r="DY16" i="5" s="1"/>
  <c r="M61" i="5"/>
  <c r="EC16" i="5" s="1"/>
  <c r="M56" i="5"/>
  <c r="DX16" i="5" s="1"/>
  <c r="M55" i="5"/>
  <c r="DW16" i="5" s="1"/>
  <c r="M67" i="5"/>
  <c r="M42" i="5"/>
  <c r="M60" i="5"/>
  <c r="EB16" i="5" s="1"/>
  <c r="M66" i="5"/>
  <c r="M53" i="5"/>
  <c r="DU16" i="5" s="1"/>
  <c r="M54" i="5"/>
  <c r="DV16" i="5" s="1"/>
  <c r="M50" i="5"/>
  <c r="DR16" i="5" s="1"/>
  <c r="M58" i="5"/>
  <c r="DZ16" i="5" s="1"/>
  <c r="M59" i="5"/>
  <c r="EA16" i="5" s="1"/>
  <c r="M49" i="5"/>
  <c r="DQ16" i="5" s="1"/>
  <c r="M46" i="5"/>
  <c r="M63" i="5"/>
  <c r="EE16" i="5" s="1"/>
  <c r="M44" i="5"/>
  <c r="M43" i="5"/>
  <c r="M51" i="5"/>
  <c r="DS16" i="5" s="1"/>
  <c r="M48" i="5"/>
  <c r="DP16" i="5" s="1"/>
  <c r="M62" i="5"/>
  <c r="ED16" i="5" s="1"/>
  <c r="M70" i="5"/>
  <c r="M45" i="5"/>
  <c r="M68" i="5"/>
  <c r="M65" i="5"/>
  <c r="EG16" i="5" s="1"/>
  <c r="M69" i="5"/>
  <c r="M64" i="5"/>
  <c r="EF16" i="5" s="1"/>
  <c r="M47" i="5"/>
  <c r="N51" i="5"/>
  <c r="DS17" i="5" s="1"/>
  <c r="N58" i="5"/>
  <c r="DZ17" i="5" s="1"/>
  <c r="N43" i="5"/>
  <c r="N46" i="5"/>
  <c r="N42" i="5"/>
  <c r="N60" i="5"/>
  <c r="EB17" i="5" s="1"/>
  <c r="N41" i="5"/>
  <c r="N53" i="5"/>
  <c r="DU17" i="5" s="1"/>
  <c r="N62" i="5"/>
  <c r="ED17" i="5" s="1"/>
  <c r="N64" i="5"/>
  <c r="EF17" i="5" s="1"/>
  <c r="N47" i="5"/>
  <c r="N69" i="5"/>
  <c r="N57" i="5"/>
  <c r="DY17" i="5" s="1"/>
  <c r="N63" i="5"/>
  <c r="EE17" i="5" s="1"/>
  <c r="N49" i="5"/>
  <c r="DQ17" i="5" s="1"/>
  <c r="N54" i="5"/>
  <c r="DV17" i="5" s="1"/>
  <c r="N55" i="5"/>
  <c r="DW17" i="5" s="1"/>
  <c r="N48" i="5"/>
  <c r="DP17" i="5" s="1"/>
  <c r="N67" i="5"/>
  <c r="EI17" i="5" s="1"/>
  <c r="N45" i="5"/>
  <c r="N68" i="5"/>
  <c r="EJ17" i="5" s="1"/>
  <c r="N52" i="5"/>
  <c r="DT17" i="5" s="1"/>
  <c r="N65" i="5"/>
  <c r="EG17" i="5" s="1"/>
  <c r="N70" i="5"/>
  <c r="N44" i="5"/>
  <c r="N50" i="5"/>
  <c r="DR17" i="5" s="1"/>
  <c r="N56" i="5"/>
  <c r="DX17" i="5" s="1"/>
  <c r="N61" i="5"/>
  <c r="EC17" i="5" s="1"/>
  <c r="N59" i="5"/>
  <c r="EA17" i="5" s="1"/>
  <c r="N66" i="5"/>
  <c r="EH17" i="5" s="1"/>
  <c r="O67" i="5"/>
  <c r="EI18" i="5" s="1"/>
  <c r="O61" i="5"/>
  <c r="EC18" i="5" s="1"/>
  <c r="O47" i="5"/>
  <c r="O41" i="5"/>
  <c r="O59" i="5"/>
  <c r="EA18" i="5" s="1"/>
  <c r="O60" i="5"/>
  <c r="EB18" i="5" s="1"/>
  <c r="O46" i="5"/>
  <c r="O53" i="5"/>
  <c r="DU18" i="5" s="1"/>
  <c r="O70" i="5"/>
  <c r="EL18" i="5" s="1"/>
  <c r="O55" i="5"/>
  <c r="DW18" i="5" s="1"/>
  <c r="O51" i="5"/>
  <c r="DS18" i="5" s="1"/>
  <c r="O63" i="5"/>
  <c r="EE18" i="5" s="1"/>
  <c r="O45" i="5"/>
  <c r="O48" i="5"/>
  <c r="DP18" i="5" s="1"/>
  <c r="O52" i="5"/>
  <c r="DT18" i="5" s="1"/>
  <c r="O68" i="5"/>
  <c r="EJ18" i="5" s="1"/>
  <c r="O43" i="5"/>
  <c r="O58" i="5"/>
  <c r="DZ18" i="5" s="1"/>
  <c r="O50" i="5"/>
  <c r="DR18" i="5" s="1"/>
  <c r="O56" i="5"/>
  <c r="DX18" i="5" s="1"/>
  <c r="O49" i="5"/>
  <c r="DQ18" i="5" s="1"/>
  <c r="O44" i="5"/>
  <c r="O42" i="5"/>
  <c r="O54" i="5"/>
  <c r="DV18" i="5" s="1"/>
  <c r="O69" i="5"/>
  <c r="EK18" i="5" s="1"/>
  <c r="O57" i="5"/>
  <c r="DY18" i="5" s="1"/>
  <c r="O64" i="5"/>
  <c r="EF18" i="5" s="1"/>
  <c r="O62" i="5"/>
  <c r="ED18" i="5" s="1"/>
  <c r="O65" i="5"/>
  <c r="EG18" i="5" s="1"/>
  <c r="O66" i="5"/>
  <c r="EH18" i="5" s="1"/>
  <c r="P67" i="5"/>
  <c r="EI19" i="5" s="1"/>
  <c r="P60" i="5"/>
  <c r="EB19" i="5" s="1"/>
  <c r="P53" i="5"/>
  <c r="DU19" i="5" s="1"/>
  <c r="P63" i="5"/>
  <c r="EE19" i="5" s="1"/>
  <c r="P57" i="5"/>
  <c r="DY19" i="5" s="1"/>
  <c r="P68" i="5"/>
  <c r="EJ19" i="5" s="1"/>
  <c r="P56" i="5"/>
  <c r="DX19" i="5" s="1"/>
  <c r="P58" i="5"/>
  <c r="DZ19" i="5" s="1"/>
  <c r="P62" i="5"/>
  <c r="ED19" i="5" s="1"/>
  <c r="P50" i="5"/>
  <c r="DR19" i="5" s="1"/>
  <c r="P61" i="5"/>
  <c r="EC19" i="5" s="1"/>
  <c r="P70" i="5"/>
  <c r="EL19" i="5" s="1"/>
  <c r="P44" i="5"/>
  <c r="P64" i="5"/>
  <c r="EF19" i="5" s="1"/>
  <c r="P43" i="5"/>
  <c r="P42" i="5"/>
  <c r="P51" i="5"/>
  <c r="DS19" i="5" s="1"/>
  <c r="P45" i="5"/>
  <c r="P54" i="5"/>
  <c r="DV19" i="5" s="1"/>
  <c r="P48" i="5"/>
  <c r="DP19" i="5" s="1"/>
  <c r="P55" i="5"/>
  <c r="DW19" i="5" s="1"/>
  <c r="P65" i="5"/>
  <c r="EG19" i="5" s="1"/>
  <c r="P49" i="5"/>
  <c r="DQ19" i="5" s="1"/>
  <c r="P52" i="5"/>
  <c r="DT19" i="5" s="1"/>
  <c r="P46" i="5"/>
  <c r="P59" i="5"/>
  <c r="EA19" i="5" s="1"/>
  <c r="P41" i="5"/>
  <c r="P69" i="5"/>
  <c r="EK19" i="5" s="1"/>
  <c r="P66" i="5"/>
  <c r="EH19" i="5" s="1"/>
  <c r="P47" i="5"/>
  <c r="Q51" i="5"/>
  <c r="DS20" i="5" s="1"/>
  <c r="Q57" i="5"/>
  <c r="DY20" i="5" s="1"/>
  <c r="Q49" i="5"/>
  <c r="DQ20" i="5" s="1"/>
  <c r="Q50" i="5"/>
  <c r="DR20" i="5" s="1"/>
  <c r="Q53" i="5"/>
  <c r="DU20" i="5" s="1"/>
  <c r="Q44" i="5"/>
  <c r="Q48" i="5"/>
  <c r="DP20" i="5" s="1"/>
  <c r="Q43" i="5"/>
  <c r="Q58" i="5"/>
  <c r="DZ20" i="5" s="1"/>
  <c r="Q64" i="5"/>
  <c r="EF20" i="5" s="1"/>
  <c r="Q70" i="5"/>
  <c r="EL20" i="5" s="1"/>
  <c r="Q68" i="5"/>
  <c r="EJ20" i="5" s="1"/>
  <c r="Q56" i="5"/>
  <c r="DX20" i="5" s="1"/>
  <c r="Q61" i="5"/>
  <c r="EC20" i="5" s="1"/>
  <c r="Q52" i="5"/>
  <c r="DT20" i="5" s="1"/>
  <c r="Q63" i="5"/>
  <c r="EE20" i="5" s="1"/>
  <c r="Q65" i="5"/>
  <c r="EG20" i="5" s="1"/>
  <c r="Q42" i="5"/>
  <c r="Q46" i="5"/>
  <c r="Q54" i="5"/>
  <c r="DV20" i="5" s="1"/>
  <c r="Q41" i="5"/>
  <c r="Q62" i="5"/>
  <c r="ED20" i="5" s="1"/>
  <c r="Q60" i="5"/>
  <c r="EB20" i="5" s="1"/>
  <c r="Q69" i="5"/>
  <c r="EK20" i="5" s="1"/>
  <c r="Q66" i="5"/>
  <c r="EH20" i="5" s="1"/>
  <c r="Q45" i="5"/>
  <c r="Q59" i="5"/>
  <c r="EA20" i="5" s="1"/>
  <c r="Q55" i="5"/>
  <c r="DW20" i="5" s="1"/>
  <c r="Q67" i="5"/>
  <c r="EI20" i="5" s="1"/>
  <c r="Q80" i="5"/>
  <c r="Q47" i="5"/>
  <c r="R67" i="5"/>
  <c r="EI21" i="5" s="1"/>
  <c r="R43" i="5"/>
  <c r="R66" i="5"/>
  <c r="EH21" i="5" s="1"/>
  <c r="R44" i="5"/>
  <c r="R45" i="5"/>
  <c r="R63" i="5"/>
  <c r="EE21" i="5" s="1"/>
  <c r="R61" i="5"/>
  <c r="EC21" i="5" s="1"/>
  <c r="R70" i="5"/>
  <c r="EL21" i="5" s="1"/>
  <c r="R51" i="5"/>
  <c r="DS21" i="5" s="1"/>
  <c r="R80" i="5"/>
  <c r="R48" i="5"/>
  <c r="DP21" i="5" s="1"/>
  <c r="R52" i="5"/>
  <c r="DT21" i="5" s="1"/>
  <c r="R53" i="5"/>
  <c r="DU21" i="5" s="1"/>
  <c r="R58" i="5"/>
  <c r="DZ21" i="5" s="1"/>
  <c r="R65" i="5"/>
  <c r="EG21" i="5" s="1"/>
  <c r="R54" i="5"/>
  <c r="DV21" i="5" s="1"/>
  <c r="R68" i="5"/>
  <c r="EJ21" i="5" s="1"/>
  <c r="R59" i="5"/>
  <c r="EA21" i="5" s="1"/>
  <c r="R49" i="5"/>
  <c r="DQ21" i="5" s="1"/>
  <c r="R55" i="5"/>
  <c r="DW21" i="5" s="1"/>
  <c r="R57" i="5"/>
  <c r="DY21" i="5" s="1"/>
  <c r="R50" i="5"/>
  <c r="DR21" i="5" s="1"/>
  <c r="R56" i="5"/>
  <c r="DX21" i="5" s="1"/>
  <c r="R60" i="5"/>
  <c r="EB21" i="5" s="1"/>
  <c r="R47" i="5"/>
  <c r="R41" i="5"/>
  <c r="R46" i="5"/>
  <c r="R42" i="5"/>
  <c r="R62" i="5"/>
  <c r="ED21" i="5" s="1"/>
  <c r="R69" i="5"/>
  <c r="EK21" i="5" s="1"/>
  <c r="R64" i="5"/>
  <c r="EF21" i="5" s="1"/>
  <c r="S67" i="5"/>
  <c r="EI22" i="5" s="1"/>
  <c r="S50" i="5"/>
  <c r="DR22" i="5" s="1"/>
  <c r="S61" i="5"/>
  <c r="EC22" i="5" s="1"/>
  <c r="S48" i="5"/>
  <c r="DP22" i="5" s="1"/>
  <c r="S60" i="5"/>
  <c r="EB22" i="5" s="1"/>
  <c r="S63" i="5"/>
  <c r="EE22" i="5" s="1"/>
  <c r="S54" i="5"/>
  <c r="DV22" i="5" s="1"/>
  <c r="S41" i="5"/>
  <c r="S70" i="5"/>
  <c r="EL22" i="5" s="1"/>
  <c r="S58" i="5"/>
  <c r="DZ22" i="5" s="1"/>
  <c r="S64" i="5"/>
  <c r="EF22" i="5" s="1"/>
  <c r="S59" i="5"/>
  <c r="EA22" i="5" s="1"/>
  <c r="S55" i="5"/>
  <c r="DW22" i="5" s="1"/>
  <c r="S47" i="5"/>
  <c r="S57" i="5"/>
  <c r="DY22" i="5" s="1"/>
  <c r="S68" i="5"/>
  <c r="EJ22" i="5" s="1"/>
  <c r="S65" i="5"/>
  <c r="EG22" i="5" s="1"/>
  <c r="S53" i="5"/>
  <c r="DU22" i="5" s="1"/>
  <c r="S52" i="5"/>
  <c r="DT22" i="5" s="1"/>
  <c r="S45" i="5"/>
  <c r="S42" i="5"/>
  <c r="S51" i="5"/>
  <c r="DS22" i="5" s="1"/>
  <c r="S80" i="5"/>
  <c r="S56" i="5"/>
  <c r="DX22" i="5" s="1"/>
  <c r="S66" i="5"/>
  <c r="EH22" i="5" s="1"/>
  <c r="S62" i="5"/>
  <c r="ED22" i="5" s="1"/>
  <c r="S69" i="5"/>
  <c r="EK22" i="5" s="1"/>
  <c r="S49" i="5"/>
  <c r="DQ22" i="5" s="1"/>
  <c r="S43" i="5"/>
  <c r="S44" i="5"/>
  <c r="S46" i="5"/>
  <c r="T67" i="5"/>
  <c r="EI23" i="5" s="1"/>
  <c r="T60" i="5"/>
  <c r="EB23" i="5" s="1"/>
  <c r="T63" i="5"/>
  <c r="EE23" i="5" s="1"/>
  <c r="T48" i="5"/>
  <c r="DP23" i="5" s="1"/>
  <c r="T45" i="5"/>
  <c r="T59" i="5"/>
  <c r="EA23" i="5" s="1"/>
  <c r="T68" i="5"/>
  <c r="EJ23" i="5" s="1"/>
  <c r="T62" i="5"/>
  <c r="ED23" i="5" s="1"/>
  <c r="T52" i="5"/>
  <c r="DT23" i="5" s="1"/>
  <c r="T66" i="5"/>
  <c r="EH23" i="5" s="1"/>
  <c r="T54" i="5"/>
  <c r="DV23" i="5" s="1"/>
  <c r="T44" i="5"/>
  <c r="T55" i="5"/>
  <c r="DW23" i="5" s="1"/>
  <c r="T61" i="5"/>
  <c r="EC23" i="5" s="1"/>
  <c r="T70" i="5"/>
  <c r="EL23" i="5" s="1"/>
  <c r="T41" i="5"/>
  <c r="T46" i="5"/>
  <c r="T50" i="5"/>
  <c r="DR23" i="5" s="1"/>
  <c r="T69" i="5"/>
  <c r="EK23" i="5" s="1"/>
  <c r="T65" i="5"/>
  <c r="EG23" i="5" s="1"/>
  <c r="T43" i="5"/>
  <c r="T57" i="5"/>
  <c r="DY23" i="5" s="1"/>
  <c r="T49" i="5"/>
  <c r="DQ23" i="5" s="1"/>
  <c r="T56" i="5"/>
  <c r="DX23" i="5" s="1"/>
  <c r="T80" i="5"/>
  <c r="T51" i="5"/>
  <c r="DS23" i="5" s="1"/>
  <c r="T53" i="5"/>
  <c r="DU23" i="5" s="1"/>
  <c r="T64" i="5"/>
  <c r="EF23" i="5" s="1"/>
  <c r="T47" i="5"/>
  <c r="T42" i="5"/>
  <c r="T58" i="5"/>
  <c r="DZ23" i="5" s="1"/>
  <c r="U67" i="5"/>
  <c r="EI24" i="5" s="1"/>
  <c r="U55" i="5"/>
  <c r="DW24" i="5" s="1"/>
  <c r="U56" i="5"/>
  <c r="DX24" i="5" s="1"/>
  <c r="U80" i="5"/>
  <c r="U70" i="5"/>
  <c r="EL24" i="5" s="1"/>
  <c r="U45" i="5"/>
  <c r="U66" i="5"/>
  <c r="EH24" i="5" s="1"/>
  <c r="U43" i="5"/>
  <c r="U61" i="5"/>
  <c r="EC24" i="5" s="1"/>
  <c r="U57" i="5"/>
  <c r="DY24" i="5" s="1"/>
  <c r="U53" i="5"/>
  <c r="DU24" i="5" s="1"/>
  <c r="U50" i="5"/>
  <c r="DR24" i="5" s="1"/>
  <c r="U68" i="5"/>
  <c r="EJ24" i="5" s="1"/>
  <c r="U63" i="5"/>
  <c r="EE24" i="5" s="1"/>
  <c r="U69" i="5"/>
  <c r="EK24" i="5" s="1"/>
  <c r="U64" i="5"/>
  <c r="EF24" i="5" s="1"/>
  <c r="U41" i="5"/>
  <c r="U47" i="5"/>
  <c r="U52" i="5"/>
  <c r="DT24" i="5" s="1"/>
  <c r="U46" i="5"/>
  <c r="U59" i="5"/>
  <c r="EA24" i="5" s="1"/>
  <c r="U44" i="5"/>
  <c r="U58" i="5"/>
  <c r="DZ24" i="5" s="1"/>
  <c r="U65" i="5"/>
  <c r="EG24" i="5" s="1"/>
  <c r="U42" i="5"/>
  <c r="U49" i="5"/>
  <c r="DQ24" i="5" s="1"/>
  <c r="U54" i="5"/>
  <c r="DV24" i="5" s="1"/>
  <c r="U62" i="5"/>
  <c r="ED24" i="5" s="1"/>
  <c r="U60" i="5"/>
  <c r="EB24" i="5" s="1"/>
  <c r="U48" i="5"/>
  <c r="DP24" i="5" s="1"/>
  <c r="U51" i="5"/>
  <c r="DS24" i="5" s="1"/>
  <c r="V67" i="5"/>
  <c r="EI25" i="5" s="1"/>
  <c r="V59" i="5"/>
  <c r="EA25" i="5" s="1"/>
  <c r="V62" i="5"/>
  <c r="ED25" i="5" s="1"/>
  <c r="V68" i="5"/>
  <c r="EJ25" i="5" s="1"/>
  <c r="V69" i="5"/>
  <c r="EK25" i="5" s="1"/>
  <c r="V55" i="5"/>
  <c r="DW25" i="5" s="1"/>
  <c r="V65" i="5"/>
  <c r="EG25" i="5" s="1"/>
  <c r="V49" i="5"/>
  <c r="DQ25" i="5" s="1"/>
  <c r="V50" i="5"/>
  <c r="DR25" i="5" s="1"/>
  <c r="V53" i="5"/>
  <c r="DU25" i="5" s="1"/>
  <c r="V47" i="5"/>
  <c r="V58" i="5"/>
  <c r="DZ25" i="5" s="1"/>
  <c r="V60" i="5"/>
  <c r="EB25" i="5" s="1"/>
  <c r="V56" i="5"/>
  <c r="DX25" i="5" s="1"/>
  <c r="V48" i="5"/>
  <c r="DP25" i="5" s="1"/>
  <c r="V70" i="5"/>
  <c r="EL25" i="5" s="1"/>
  <c r="V41" i="5"/>
  <c r="V52" i="5"/>
  <c r="DT25" i="5" s="1"/>
  <c r="V46" i="5"/>
  <c r="V57" i="5"/>
  <c r="DY25" i="5" s="1"/>
  <c r="V42" i="5"/>
  <c r="V51" i="5"/>
  <c r="DS25" i="5" s="1"/>
  <c r="V64" i="5"/>
  <c r="EF25" i="5" s="1"/>
  <c r="V43" i="5"/>
  <c r="V66" i="5"/>
  <c r="EH25" i="5" s="1"/>
  <c r="V80" i="5"/>
  <c r="V44" i="5"/>
  <c r="V61" i="5"/>
  <c r="EC25" i="5" s="1"/>
  <c r="V54" i="5"/>
  <c r="DV25" i="5" s="1"/>
  <c r="V45" i="5"/>
  <c r="V63" i="5"/>
  <c r="EE25" i="5" s="1"/>
  <c r="W47" i="5"/>
  <c r="W55" i="5"/>
  <c r="DW26" i="5" s="1"/>
  <c r="W45" i="5"/>
  <c r="W62" i="5"/>
  <c r="ED26" i="5" s="1"/>
  <c r="W68" i="5"/>
  <c r="EJ26" i="5" s="1"/>
  <c r="W70" i="5"/>
  <c r="EL26" i="5" s="1"/>
  <c r="W65" i="5"/>
  <c r="EG26" i="5" s="1"/>
  <c r="W48" i="5"/>
  <c r="DP26" i="5" s="1"/>
  <c r="W56" i="5"/>
  <c r="DX26" i="5" s="1"/>
  <c r="W61" i="5"/>
  <c r="EC26" i="5" s="1"/>
  <c r="W60" i="5"/>
  <c r="EB26" i="5" s="1"/>
  <c r="W49" i="5"/>
  <c r="DQ26" i="5" s="1"/>
  <c r="W58" i="5"/>
  <c r="DZ26" i="5" s="1"/>
  <c r="W53" i="5"/>
  <c r="DU26" i="5" s="1"/>
  <c r="W42" i="5"/>
  <c r="W46" i="5"/>
  <c r="W66" i="5"/>
  <c r="EH26" i="5" s="1"/>
  <c r="W51" i="5"/>
  <c r="DS26" i="5" s="1"/>
  <c r="W41" i="5"/>
  <c r="W54" i="5"/>
  <c r="DV26" i="5" s="1"/>
  <c r="W64" i="5"/>
  <c r="EF26" i="5" s="1"/>
  <c r="W80" i="5"/>
  <c r="W52" i="5"/>
  <c r="DT26" i="5" s="1"/>
  <c r="W50" i="5"/>
  <c r="DR26" i="5" s="1"/>
  <c r="W69" i="5"/>
  <c r="EK26" i="5" s="1"/>
  <c r="W44" i="5"/>
  <c r="W43" i="5"/>
  <c r="W59" i="5"/>
  <c r="EA26" i="5" s="1"/>
  <c r="W63" i="5"/>
  <c r="EE26" i="5" s="1"/>
  <c r="W57" i="5"/>
  <c r="DY26" i="5" s="1"/>
  <c r="W67" i="5"/>
  <c r="EI26" i="5" s="1"/>
  <c r="X65" i="5"/>
  <c r="EG27" i="5" s="1"/>
  <c r="X57" i="5"/>
  <c r="DY27" i="5" s="1"/>
  <c r="X42" i="5"/>
  <c r="X64" i="5"/>
  <c r="EF27" i="5" s="1"/>
  <c r="X41" i="5"/>
  <c r="X47" i="5"/>
  <c r="X59" i="5"/>
  <c r="EA27" i="5" s="1"/>
  <c r="X56" i="5"/>
  <c r="DX27" i="5" s="1"/>
  <c r="X49" i="5"/>
  <c r="DQ27" i="5" s="1"/>
  <c r="X53" i="5"/>
  <c r="DU27" i="5" s="1"/>
  <c r="X70" i="5"/>
  <c r="EL27" i="5" s="1"/>
  <c r="X52" i="5"/>
  <c r="DT27" i="5" s="1"/>
  <c r="X46" i="5"/>
  <c r="X48" i="5"/>
  <c r="DP27" i="5" s="1"/>
  <c r="X80" i="5"/>
  <c r="X54" i="5"/>
  <c r="DV27" i="5" s="1"/>
  <c r="X50" i="5"/>
  <c r="DR27" i="5" s="1"/>
  <c r="X55" i="5"/>
  <c r="DW27" i="5" s="1"/>
  <c r="X69" i="5"/>
  <c r="EK27" i="5" s="1"/>
  <c r="X44" i="5"/>
  <c r="X66" i="5"/>
  <c r="EH27" i="5" s="1"/>
  <c r="X68" i="5"/>
  <c r="EJ27" i="5" s="1"/>
  <c r="X45" i="5"/>
  <c r="X61" i="5"/>
  <c r="EC27" i="5" s="1"/>
  <c r="X62" i="5"/>
  <c r="ED27" i="5" s="1"/>
  <c r="X43" i="5"/>
  <c r="X63" i="5"/>
  <c r="EE27" i="5" s="1"/>
  <c r="X58" i="5"/>
  <c r="DZ27" i="5" s="1"/>
  <c r="X60" i="5"/>
  <c r="EB27" i="5" s="1"/>
  <c r="X67" i="5"/>
  <c r="EI27" i="5" s="1"/>
  <c r="X51" i="5"/>
  <c r="DS27" i="5" s="1"/>
  <c r="Y44" i="5"/>
  <c r="Y47" i="5"/>
  <c r="Y68" i="5"/>
  <c r="EJ28" i="5" s="1"/>
  <c r="Y58" i="5"/>
  <c r="DZ28" i="5" s="1"/>
  <c r="Y42" i="5"/>
  <c r="Y54" i="5"/>
  <c r="DV28" i="5" s="1"/>
  <c r="Y66" i="5"/>
  <c r="EH28" i="5" s="1"/>
  <c r="Y43" i="5"/>
  <c r="Y55" i="5"/>
  <c r="DW28" i="5" s="1"/>
  <c r="Y65" i="5"/>
  <c r="EG28" i="5" s="1"/>
  <c r="Y80" i="5"/>
  <c r="Y61" i="5"/>
  <c r="EC28" i="5" s="1"/>
  <c r="Y69" i="5"/>
  <c r="EK28" i="5" s="1"/>
  <c r="Y51" i="5"/>
  <c r="DS28" i="5" s="1"/>
  <c r="Y60" i="5"/>
  <c r="EB28" i="5" s="1"/>
  <c r="Y41" i="5"/>
  <c r="Y53" i="5"/>
  <c r="DU28" i="5" s="1"/>
  <c r="Y48" i="5"/>
  <c r="DP28" i="5" s="1"/>
  <c r="Y57" i="5"/>
  <c r="DY28" i="5" s="1"/>
  <c r="Y56" i="5"/>
  <c r="DX28" i="5" s="1"/>
  <c r="Y45" i="5"/>
  <c r="Y63" i="5"/>
  <c r="EE28" i="5" s="1"/>
  <c r="Y49" i="5"/>
  <c r="DQ28" i="5" s="1"/>
  <c r="Y70" i="5"/>
  <c r="EL28" i="5" s="1"/>
  <c r="Y52" i="5"/>
  <c r="DT28" i="5" s="1"/>
  <c r="Y62" i="5"/>
  <c r="ED28" i="5" s="1"/>
  <c r="Y67" i="5"/>
  <c r="EI28" i="5" s="1"/>
  <c r="Y59" i="5"/>
  <c r="EA28" i="5" s="1"/>
  <c r="Y50" i="5"/>
  <c r="DR28" i="5" s="1"/>
  <c r="Y64" i="5"/>
  <c r="EF28" i="5" s="1"/>
  <c r="Y46" i="5"/>
  <c r="Z42" i="5"/>
  <c r="Z47" i="5"/>
  <c r="Z64" i="5"/>
  <c r="EF29" i="5" s="1"/>
  <c r="Z66" i="5"/>
  <c r="EH29" i="5" s="1"/>
  <c r="Z80" i="5"/>
  <c r="Z63" i="5"/>
  <c r="EE29" i="5" s="1"/>
  <c r="Z51" i="5"/>
  <c r="DS29" i="5" s="1"/>
  <c r="Z52" i="5"/>
  <c r="DT29" i="5" s="1"/>
  <c r="Z53" i="5"/>
  <c r="DU29" i="5" s="1"/>
  <c r="Z54" i="5"/>
  <c r="DV29" i="5" s="1"/>
  <c r="Z55" i="5"/>
  <c r="DW29" i="5" s="1"/>
  <c r="Z46" i="5"/>
  <c r="Z50" i="5"/>
  <c r="DR29" i="5" s="1"/>
  <c r="Z56" i="5"/>
  <c r="DX29" i="5" s="1"/>
  <c r="Z49" i="5"/>
  <c r="DQ29" i="5" s="1"/>
  <c r="Z65" i="5"/>
  <c r="EG29" i="5" s="1"/>
  <c r="Z57" i="5"/>
  <c r="DY29" i="5" s="1"/>
  <c r="Z58" i="5"/>
  <c r="DZ29" i="5" s="1"/>
  <c r="Z48" i="5"/>
  <c r="DP29" i="5" s="1"/>
  <c r="Z45" i="5"/>
  <c r="Z67" i="5"/>
  <c r="EI29" i="5" s="1"/>
  <c r="Z62" i="5"/>
  <c r="ED29" i="5" s="1"/>
  <c r="Z68" i="5"/>
  <c r="EJ29" i="5" s="1"/>
  <c r="Z59" i="5"/>
  <c r="EA29" i="5" s="1"/>
  <c r="Z61" i="5"/>
  <c r="EC29" i="5" s="1"/>
  <c r="Z69" i="5"/>
  <c r="EK29" i="5" s="1"/>
  <c r="Z44" i="5"/>
  <c r="Z70" i="5"/>
  <c r="EL29" i="5" s="1"/>
  <c r="Z60" i="5"/>
  <c r="EB29" i="5" s="1"/>
  <c r="Z41" i="5"/>
  <c r="Z43" i="5"/>
  <c r="AA58" i="5"/>
  <c r="DZ30" i="5" s="1"/>
  <c r="AA61" i="5"/>
  <c r="EC30" i="5" s="1"/>
  <c r="AA68" i="5"/>
  <c r="EJ30" i="5" s="1"/>
  <c r="AA64" i="5"/>
  <c r="EF30" i="5" s="1"/>
  <c r="AA50" i="5"/>
  <c r="DR30" i="5" s="1"/>
  <c r="AA46" i="5"/>
  <c r="AA44" i="5"/>
  <c r="AA66" i="5"/>
  <c r="EH30" i="5" s="1"/>
  <c r="AA43" i="5"/>
  <c r="AA59" i="5"/>
  <c r="EA30" i="5" s="1"/>
  <c r="AA69" i="5"/>
  <c r="EK30" i="5" s="1"/>
  <c r="AA62" i="5"/>
  <c r="ED30" i="5" s="1"/>
  <c r="AA56" i="5"/>
  <c r="AA67" i="5"/>
  <c r="AA70" i="5"/>
  <c r="AA65" i="5"/>
  <c r="AA48" i="5"/>
  <c r="AA51" i="5"/>
  <c r="AA54" i="5"/>
  <c r="AA57" i="5"/>
  <c r="AA49" i="5"/>
  <c r="AA53" i="5"/>
  <c r="AA60" i="5"/>
  <c r="AA63" i="5"/>
  <c r="AA55" i="5"/>
  <c r="AA52" i="5"/>
  <c r="A161" i="5"/>
  <c r="CG3" i="11" a="1"/>
  <c r="DG4" i="5" a="1"/>
  <c r="AF39" i="5"/>
  <c r="AE39" i="5"/>
  <c r="A162" i="5"/>
  <c r="CH3" i="11" a="1"/>
  <c r="DH4" i="5" a="1"/>
  <c r="AF40" i="5"/>
  <c r="AE40" i="5"/>
  <c r="A163" i="5"/>
  <c r="CI3" i="11" a="1"/>
  <c r="DI4" i="5" a="1"/>
  <c r="AF41" i="5"/>
  <c r="AE41" i="5"/>
  <c r="A164" i="5"/>
  <c r="CJ3" i="11" a="1"/>
  <c r="DJ4" i="5" a="1"/>
  <c r="AF42" i="5"/>
  <c r="AE42" i="5"/>
  <c r="A165" i="5"/>
  <c r="CK3" i="11" a="1"/>
  <c r="DK4" i="5" a="1"/>
  <c r="AF43" i="5"/>
  <c r="AE43" i="5"/>
  <c r="A166" i="5"/>
  <c r="CL3" i="11" a="1"/>
  <c r="DL4" i="5" a="1"/>
  <c r="AF44" i="5"/>
  <c r="AE44" i="5"/>
  <c r="A167" i="5"/>
  <c r="CM3" i="11" a="1"/>
  <c r="DM4" i="5" a="1"/>
  <c r="AF45" i="5"/>
  <c r="AE45" i="5"/>
  <c r="A168" i="5"/>
  <c r="CN3" i="11" a="1"/>
  <c r="DN4" i="5" a="1"/>
  <c r="AF46" i="5"/>
  <c r="AE46" i="5"/>
  <c r="AC46" i="5" s="1"/>
  <c r="A169" i="5"/>
  <c r="CO3" i="11" a="1"/>
  <c r="DO4" i="5" a="1"/>
  <c r="AF47" i="5"/>
  <c r="AE47" i="5"/>
  <c r="DP30" i="5"/>
  <c r="DQ30" i="5"/>
  <c r="DS30" i="5"/>
  <c r="DS11" i="5"/>
  <c r="DT11" i="5"/>
  <c r="DT30" i="5"/>
  <c r="DU30" i="5"/>
  <c r="DU11" i="5"/>
  <c r="DV11" i="5"/>
  <c r="DV30" i="5"/>
  <c r="DW12" i="5"/>
  <c r="DW11" i="5"/>
  <c r="DW30" i="5"/>
  <c r="DX11" i="5"/>
  <c r="DX30" i="5"/>
  <c r="DX12" i="5"/>
  <c r="DY11" i="5"/>
  <c r="DY13" i="5"/>
  <c r="DY12" i="5"/>
  <c r="DY30" i="5"/>
  <c r="DZ12" i="5"/>
  <c r="DZ11" i="5"/>
  <c r="DZ13" i="5"/>
  <c r="EA12" i="5"/>
  <c r="EA11" i="5"/>
  <c r="EA13" i="5"/>
  <c r="EB14" i="5"/>
  <c r="EB12" i="5"/>
  <c r="EB11" i="5"/>
  <c r="EB30" i="5"/>
  <c r="EB13" i="5"/>
  <c r="EC11" i="5"/>
  <c r="EC14" i="5"/>
  <c r="EC13" i="5"/>
  <c r="EC12" i="5"/>
  <c r="ED14" i="5"/>
  <c r="ED13" i="5"/>
  <c r="ED11" i="5"/>
  <c r="ED12" i="5"/>
  <c r="EE11" i="5"/>
  <c r="EE30" i="5"/>
  <c r="EE12" i="5"/>
  <c r="EE13" i="5"/>
  <c r="EE14" i="5"/>
  <c r="EF15" i="5"/>
  <c r="EF11" i="5"/>
  <c r="EF12" i="5"/>
  <c r="EF13" i="5"/>
  <c r="EF14" i="5"/>
  <c r="EG30" i="5"/>
  <c r="EG15" i="5"/>
  <c r="EG11" i="5"/>
  <c r="EG13" i="5"/>
  <c r="EG12" i="5"/>
  <c r="EG14" i="5"/>
  <c r="EH11" i="5"/>
  <c r="EH12" i="5"/>
  <c r="EH16" i="5"/>
  <c r="EH13" i="5"/>
  <c r="EH14" i="5"/>
  <c r="EH15" i="5"/>
  <c r="EI30" i="5"/>
  <c r="EI13" i="5"/>
  <c r="EI16" i="5"/>
  <c r="EI11" i="5"/>
  <c r="EI14" i="5"/>
  <c r="EI15" i="5"/>
  <c r="EI12" i="5"/>
  <c r="EJ11" i="5"/>
  <c r="EJ12" i="5"/>
  <c r="EJ13" i="5"/>
  <c r="EJ14" i="5"/>
  <c r="EJ15" i="5"/>
  <c r="EJ16" i="5"/>
  <c r="EK12" i="5"/>
  <c r="EK14" i="5"/>
  <c r="EK11" i="5"/>
  <c r="EK16" i="5"/>
  <c r="EK17" i="5"/>
  <c r="EK15" i="5"/>
  <c r="EK13" i="5"/>
  <c r="EL11" i="5"/>
  <c r="EL16" i="5"/>
  <c r="EL14" i="5"/>
  <c r="EL12" i="5"/>
  <c r="EL17" i="5"/>
  <c r="EL13" i="5"/>
  <c r="EL15" i="5"/>
  <c r="EL30" i="5"/>
  <c r="A155" i="5"/>
  <c r="HA2" i="10" a="1"/>
  <c r="CA3" i="11" a="1"/>
  <c r="EL10" i="5"/>
  <c r="EK10" i="5"/>
  <c r="EJ10" i="5"/>
  <c r="EI10" i="5"/>
  <c r="EH10" i="5"/>
  <c r="EG10" i="5"/>
  <c r="EF10" i="5"/>
  <c r="EE10" i="5"/>
  <c r="ED10" i="5"/>
  <c r="EC10" i="5"/>
  <c r="EB10" i="5"/>
  <c r="EA10" i="5"/>
  <c r="DZ10" i="5"/>
  <c r="DY10" i="5"/>
  <c r="DX10" i="5"/>
  <c r="DW10" i="5"/>
  <c r="DV10" i="5"/>
  <c r="DU10" i="5"/>
  <c r="DT10" i="5"/>
  <c r="DS10" i="5"/>
  <c r="DR10" i="5"/>
  <c r="DQ10" i="5"/>
  <c r="DP10" i="5"/>
  <c r="EL9" i="5"/>
  <c r="EK9" i="5"/>
  <c r="EJ9" i="5"/>
  <c r="EI9" i="5"/>
  <c r="EH9" i="5"/>
  <c r="EG9" i="5"/>
  <c r="EF9" i="5"/>
  <c r="EE9" i="5"/>
  <c r="ED9" i="5"/>
  <c r="EC9" i="5"/>
  <c r="EB9" i="5"/>
  <c r="EA9" i="5"/>
  <c r="DZ9" i="5"/>
  <c r="DY9" i="5"/>
  <c r="DX9" i="5"/>
  <c r="DW9" i="5"/>
  <c r="DV9" i="5"/>
  <c r="DU9" i="5"/>
  <c r="DT9" i="5"/>
  <c r="DS9" i="5"/>
  <c r="DR9" i="5"/>
  <c r="DQ9" i="5"/>
  <c r="DP9" i="5"/>
  <c r="EL8" i="5"/>
  <c r="EK8" i="5"/>
  <c r="EJ8" i="5"/>
  <c r="EI8" i="5"/>
  <c r="EH8" i="5"/>
  <c r="EG8" i="5"/>
  <c r="EF8" i="5"/>
  <c r="EE8" i="5"/>
  <c r="ED8" i="5"/>
  <c r="EC8" i="5"/>
  <c r="EB8" i="5"/>
  <c r="EA8" i="5"/>
  <c r="DZ8" i="5"/>
  <c r="DY8" i="5"/>
  <c r="DX8" i="5"/>
  <c r="DW8" i="5"/>
  <c r="DV8" i="5"/>
  <c r="DU8" i="5"/>
  <c r="DT8" i="5"/>
  <c r="DS8" i="5"/>
  <c r="DR8" i="5"/>
  <c r="DQ8" i="5"/>
  <c r="DP8" i="5"/>
  <c r="EL7" i="5"/>
  <c r="EK7" i="5"/>
  <c r="EJ7" i="5"/>
  <c r="EI7" i="5"/>
  <c r="EH7" i="5"/>
  <c r="EG7" i="5"/>
  <c r="EF7" i="5"/>
  <c r="EE7" i="5"/>
  <c r="ED7" i="5"/>
  <c r="EC7" i="5"/>
  <c r="EB7" i="5"/>
  <c r="EA7" i="5"/>
  <c r="DZ7" i="5"/>
  <c r="DY7" i="5"/>
  <c r="DX7" i="5"/>
  <c r="DA4" i="5" a="1"/>
  <c r="AF33" i="5"/>
  <c r="AE33" i="5"/>
  <c r="A156" i="5"/>
  <c r="CB3" i="11" a="1"/>
  <c r="DB4" i="5" a="1"/>
  <c r="AF34" i="5"/>
  <c r="AE34" i="5"/>
  <c r="A157" i="5"/>
  <c r="CC3" i="11" a="1"/>
  <c r="DC4" i="5" a="1"/>
  <c r="AF35" i="5"/>
  <c r="AE35" i="5"/>
  <c r="A158" i="5"/>
  <c r="CD3" i="11" a="1"/>
  <c r="DD4" i="5" a="1"/>
  <c r="AF36" i="5"/>
  <c r="AE36" i="5"/>
  <c r="A159" i="5"/>
  <c r="CE3" i="11" a="1"/>
  <c r="DE4" i="5" a="1"/>
  <c r="AF37" i="5"/>
  <c r="AE37" i="5"/>
  <c r="A160" i="5"/>
  <c r="CF3" i="11" a="1"/>
  <c r="DF4" i="5" a="1"/>
  <c r="AF38" i="5"/>
  <c r="AE38" i="5"/>
  <c r="CP129" i="11"/>
  <c r="CP128" i="11"/>
  <c r="CP192" i="11"/>
  <c r="CP190" i="11"/>
  <c r="CP191" i="11"/>
  <c r="CP169" i="11"/>
  <c r="CP127" i="11"/>
  <c r="CP130" i="11"/>
  <c r="CQ127" i="11"/>
  <c r="CQ191" i="11"/>
  <c r="CQ128" i="11"/>
  <c r="CQ192" i="11"/>
  <c r="CQ169" i="11"/>
  <c r="CQ129" i="11"/>
  <c r="CQ130" i="11"/>
  <c r="CQ190" i="11"/>
  <c r="CR129" i="11"/>
  <c r="CR190" i="11"/>
  <c r="CR169" i="11"/>
  <c r="CR130" i="11"/>
  <c r="CR127" i="11"/>
  <c r="CR192" i="11"/>
  <c r="CR128" i="11"/>
  <c r="CR191" i="11"/>
  <c r="CS129" i="11"/>
  <c r="CS169" i="11"/>
  <c r="CS127" i="11"/>
  <c r="CS128" i="11"/>
  <c r="CS190" i="11"/>
  <c r="CS130" i="11"/>
  <c r="CS192" i="11"/>
  <c r="CS191" i="11"/>
  <c r="CT127" i="11"/>
  <c r="CT169" i="11"/>
  <c r="CT192" i="11"/>
  <c r="CT191" i="11"/>
  <c r="CT129" i="11"/>
  <c r="CT128" i="11"/>
  <c r="CT190" i="11"/>
  <c r="CT130" i="11"/>
  <c r="CU169" i="11"/>
  <c r="CU129" i="11"/>
  <c r="CU130" i="11"/>
  <c r="CU190" i="11"/>
  <c r="CU192" i="11"/>
  <c r="CU127" i="11"/>
  <c r="CU191" i="11"/>
  <c r="CU128" i="11"/>
  <c r="CV169" i="11"/>
  <c r="CV191" i="11"/>
  <c r="CV128" i="11"/>
  <c r="CV192" i="11"/>
  <c r="CV129" i="11"/>
  <c r="CV130" i="11"/>
  <c r="CV190" i="11"/>
  <c r="CV127" i="11"/>
  <c r="CW130" i="11"/>
  <c r="CW190" i="11"/>
  <c r="CW169" i="11"/>
  <c r="CW128" i="11"/>
  <c r="CW191" i="11"/>
  <c r="CW192" i="11"/>
  <c r="CW127" i="11"/>
  <c r="CW129" i="11"/>
  <c r="CX130" i="11"/>
  <c r="CX127" i="11"/>
  <c r="CX129" i="11"/>
  <c r="CX128" i="11"/>
  <c r="CX192" i="11"/>
  <c r="CX190" i="11"/>
  <c r="CX169" i="11"/>
  <c r="CX191" i="11"/>
  <c r="CY191" i="11"/>
  <c r="CY128" i="11"/>
  <c r="CY192" i="11"/>
  <c r="CY190" i="11"/>
  <c r="CY169" i="11"/>
  <c r="CY127" i="11"/>
  <c r="CY130" i="11"/>
  <c r="CY129" i="11"/>
  <c r="CZ127" i="11"/>
  <c r="CZ129" i="11"/>
  <c r="CZ192" i="11"/>
  <c r="CZ190" i="11"/>
  <c r="CZ128" i="11"/>
  <c r="CZ191" i="11"/>
  <c r="CZ169" i="11"/>
  <c r="CZ130" i="11"/>
  <c r="DA191" i="11"/>
  <c r="DA128" i="11"/>
  <c r="DA169" i="11"/>
  <c r="DA129" i="11"/>
  <c r="DA192" i="11"/>
  <c r="DA190" i="11"/>
  <c r="DA130" i="11"/>
  <c r="DA127" i="11"/>
  <c r="DB128" i="11"/>
  <c r="DB191" i="11"/>
  <c r="DB130" i="11"/>
  <c r="DB129" i="11"/>
  <c r="DB192" i="11"/>
  <c r="DB169" i="11"/>
  <c r="DB127" i="11"/>
  <c r="DB190" i="11"/>
  <c r="DC169" i="11"/>
  <c r="DC127" i="11"/>
  <c r="DC191" i="11"/>
  <c r="DC128" i="11"/>
  <c r="DC129" i="11"/>
  <c r="DC130" i="11"/>
  <c r="DC192" i="11"/>
  <c r="DC190" i="11"/>
  <c r="DD130" i="11"/>
  <c r="DD192" i="11"/>
  <c r="DD129" i="11"/>
  <c r="DD191" i="11"/>
  <c r="DD128" i="11"/>
  <c r="DD127" i="11"/>
  <c r="DD169" i="11"/>
  <c r="DD190" i="11"/>
  <c r="DE128" i="11"/>
  <c r="DE130" i="11"/>
  <c r="DE191" i="11"/>
  <c r="DE190" i="11"/>
  <c r="DE169" i="11"/>
  <c r="DE129" i="11"/>
  <c r="DE127" i="11"/>
  <c r="DE192" i="11"/>
  <c r="DF190" i="11"/>
  <c r="DF191" i="11"/>
  <c r="DF129" i="11"/>
  <c r="DF127" i="11"/>
  <c r="DF192" i="11"/>
  <c r="DF169" i="11"/>
  <c r="DF128" i="11"/>
  <c r="DF130" i="11"/>
  <c r="DG190" i="11"/>
  <c r="DG128" i="11"/>
  <c r="DG127" i="11"/>
  <c r="DG169" i="11"/>
  <c r="DG130" i="11"/>
  <c r="DG191" i="11"/>
  <c r="DG129" i="11"/>
  <c r="DG192" i="11"/>
  <c r="DH169" i="11"/>
  <c r="DH128" i="11"/>
  <c r="DH190" i="11"/>
  <c r="DH130" i="11"/>
  <c r="DH191" i="11"/>
  <c r="DH129" i="11"/>
  <c r="DH192" i="11"/>
  <c r="DH127" i="11"/>
  <c r="DI128" i="11"/>
  <c r="DI190" i="11"/>
  <c r="DI191" i="11"/>
  <c r="DI192" i="11"/>
  <c r="DI169" i="11"/>
  <c r="DI127" i="11"/>
  <c r="DI130" i="11"/>
  <c r="DI129" i="11"/>
  <c r="DJ127" i="11"/>
  <c r="DJ130" i="11"/>
  <c r="DJ129" i="11"/>
  <c r="DJ128" i="11"/>
  <c r="DJ169" i="11"/>
  <c r="DJ191" i="11"/>
  <c r="DJ192" i="11"/>
  <c r="DJ190" i="11"/>
  <c r="DK127" i="11"/>
  <c r="DK130" i="11"/>
  <c r="DK191" i="11"/>
  <c r="DK190" i="11"/>
  <c r="DK128" i="11"/>
  <c r="DK169" i="11"/>
  <c r="DK192" i="11"/>
  <c r="DK129" i="11"/>
  <c r="DL127" i="11"/>
  <c r="DL129" i="11"/>
  <c r="DL130" i="11"/>
  <c r="DL191" i="11"/>
  <c r="DL190" i="11"/>
  <c r="DL128" i="11"/>
  <c r="DL169" i="11"/>
  <c r="DL192" i="11"/>
  <c r="BO22" i="11"/>
  <c r="BO23" i="11"/>
  <c r="D57" i="10"/>
  <c r="BF57" i="10"/>
  <c r="BG57" i="10"/>
  <c r="BH57" i="10"/>
  <c r="BI57" i="10"/>
  <c r="BJ57" i="10"/>
  <c r="BK57" i="10"/>
  <c r="BL57" i="10"/>
  <c r="BM57" i="10"/>
  <c r="BN57" i="10"/>
  <c r="BO57" i="10"/>
  <c r="BP57" i="10"/>
  <c r="BQ57" i="10"/>
  <c r="BR57" i="10"/>
  <c r="BS57" i="10"/>
  <c r="BB57" i="10"/>
  <c r="F57" i="10"/>
  <c r="G57" i="10"/>
  <c r="H57" i="10"/>
  <c r="I57" i="10"/>
  <c r="J57" i="10"/>
  <c r="K57" i="10"/>
  <c r="L57" i="10"/>
  <c r="M57" i="10"/>
  <c r="N57" i="10"/>
  <c r="AT57" i="10"/>
  <c r="B57" i="10"/>
  <c r="AU57" i="10"/>
  <c r="AV57" i="10"/>
  <c r="AR57" i="10"/>
  <c r="O57" i="10"/>
  <c r="P57" i="10"/>
  <c r="Q57" i="10"/>
  <c r="AW57" i="10"/>
  <c r="AX57" i="10"/>
  <c r="AY57" i="10"/>
  <c r="C57" i="10"/>
  <c r="R57" i="10"/>
  <c r="S57" i="10"/>
  <c r="T57" i="10"/>
  <c r="U57" i="10"/>
  <c r="V57" i="10"/>
  <c r="W57" i="10"/>
  <c r="X57" i="10"/>
  <c r="Y57" i="10"/>
  <c r="Z57" i="10"/>
  <c r="AA57" i="10"/>
  <c r="AB57" i="10"/>
  <c r="AC57" i="10"/>
  <c r="AD57" i="10"/>
  <c r="AE57" i="10"/>
  <c r="AF57" i="10"/>
  <c r="AG57" i="10"/>
  <c r="AZ57" i="10"/>
  <c r="AH57" i="10"/>
  <c r="E57" i="10"/>
  <c r="AI57" i="10"/>
  <c r="BA57" i="10"/>
  <c r="BD57" i="10"/>
  <c r="BE57" i="10"/>
  <c r="AJ57" i="10"/>
  <c r="AK57" i="10"/>
  <c r="AL57" i="10"/>
  <c r="AM57" i="10"/>
  <c r="AN57" i="10"/>
  <c r="AO57" i="10"/>
  <c r="AP57" i="10"/>
  <c r="AQ57" i="10"/>
  <c r="AS57" i="10"/>
  <c r="BC57" i="10"/>
  <c r="AK59" i="10"/>
  <c r="AJ59" i="10"/>
  <c r="AI59" i="10"/>
  <c r="AH59" i="10"/>
  <c r="AG59" i="10"/>
  <c r="AF59" i="10"/>
  <c r="AE59" i="10"/>
  <c r="AD59" i="10"/>
  <c r="AC59" i="10"/>
  <c r="AB59" i="10"/>
  <c r="AA59" i="10"/>
  <c r="Z59" i="10"/>
  <c r="Y59" i="10"/>
  <c r="X59" i="10"/>
  <c r="W59" i="10"/>
  <c r="V59" i="10"/>
  <c r="U59" i="10"/>
  <c r="T59" i="10"/>
  <c r="S59" i="10"/>
  <c r="R59" i="10"/>
  <c r="Q59" i="10"/>
  <c r="P59" i="10"/>
  <c r="O59" i="10"/>
  <c r="N59" i="10"/>
  <c r="M59" i="10"/>
  <c r="L59" i="10"/>
  <c r="K59" i="10"/>
  <c r="I59" i="10"/>
  <c r="H59" i="10"/>
  <c r="G59" i="10"/>
  <c r="F59" i="10"/>
  <c r="E59" i="10"/>
  <c r="D59" i="10"/>
  <c r="C59" i="10"/>
  <c r="B59" i="10"/>
  <c r="J59" i="10"/>
  <c r="J89" i="10" s="1"/>
  <c r="BS59" i="10"/>
  <c r="BR59" i="10"/>
  <c r="BQ59" i="10"/>
  <c r="BP59" i="10"/>
  <c r="BO59" i="10"/>
  <c r="BN59" i="10"/>
  <c r="BM59" i="10"/>
  <c r="BL59" i="10"/>
  <c r="BK59" i="10"/>
  <c r="BJ59" i="10"/>
  <c r="BI59" i="10"/>
  <c r="BH59" i="10"/>
  <c r="BG59" i="10"/>
  <c r="BF59" i="10"/>
  <c r="BE59" i="10"/>
  <c r="BD59" i="10"/>
  <c r="BC59" i="10"/>
  <c r="BB59" i="10"/>
  <c r="BA59" i="10"/>
  <c r="AZ59" i="10"/>
  <c r="AY59" i="10"/>
  <c r="AX59" i="10"/>
  <c r="AW59" i="10"/>
  <c r="AV59" i="10"/>
  <c r="AU59" i="10"/>
  <c r="AT59" i="10"/>
  <c r="AS59" i="10"/>
  <c r="AR59" i="10"/>
  <c r="AQ59" i="10"/>
  <c r="AP59" i="10"/>
  <c r="AO59" i="10"/>
  <c r="AN59" i="10"/>
  <c r="AM59" i="10"/>
  <c r="AL59" i="10"/>
  <c r="AL89" i="10" s="1"/>
  <c r="R60" i="10"/>
  <c r="R90" i="10" s="1"/>
  <c r="BB60" i="10"/>
  <c r="BA60" i="10"/>
  <c r="AZ60" i="10"/>
  <c r="AY60" i="10"/>
  <c r="AX60" i="10"/>
  <c r="BD60" i="10"/>
  <c r="BD90" i="10" s="1"/>
  <c r="AW60" i="10"/>
  <c r="AV60" i="10"/>
  <c r="AU60" i="10"/>
  <c r="AT60" i="10"/>
  <c r="AS60" i="10"/>
  <c r="AR60" i="10"/>
  <c r="AQ60" i="10"/>
  <c r="AP60" i="10"/>
  <c r="AO60" i="10"/>
  <c r="AN60" i="10"/>
  <c r="AM60" i="10"/>
  <c r="AL60" i="10"/>
  <c r="AK60" i="10"/>
  <c r="AJ60" i="10"/>
  <c r="AI60" i="10"/>
  <c r="AI90" i="10" s="1"/>
  <c r="AH60" i="10"/>
  <c r="AG60" i="10"/>
  <c r="AF60" i="10"/>
  <c r="AE60" i="10"/>
  <c r="AD60" i="10"/>
  <c r="AC60" i="10"/>
  <c r="AB60" i="10"/>
  <c r="AA60" i="10"/>
  <c r="Z60" i="10"/>
  <c r="Y60" i="10"/>
  <c r="X60" i="10"/>
  <c r="W60" i="10"/>
  <c r="V60" i="10"/>
  <c r="U60" i="10"/>
  <c r="T60" i="10"/>
  <c r="S60" i="10"/>
  <c r="BC60" i="10"/>
  <c r="Q60" i="10"/>
  <c r="P60" i="10"/>
  <c r="O60" i="10"/>
  <c r="N60" i="10"/>
  <c r="M60" i="10"/>
  <c r="L60" i="10"/>
  <c r="K60" i="10"/>
  <c r="J60" i="10"/>
  <c r="I60" i="10"/>
  <c r="H60" i="10"/>
  <c r="G60" i="10"/>
  <c r="F60" i="10"/>
  <c r="E60" i="10"/>
  <c r="D60" i="10"/>
  <c r="C60" i="10"/>
  <c r="B60" i="10"/>
  <c r="BS60" i="10"/>
  <c r="BM60" i="10"/>
  <c r="BN60" i="10"/>
  <c r="BN90" i="10" s="1"/>
  <c r="BE60" i="10"/>
  <c r="BO60" i="10"/>
  <c r="BO90" i="10" s="1"/>
  <c r="BQ60" i="10"/>
  <c r="BR60" i="10"/>
  <c r="BR90" i="10" s="1"/>
  <c r="BF60" i="10"/>
  <c r="BF90" i="10" s="1"/>
  <c r="BG60" i="10"/>
  <c r="BG90" i="10" s="1"/>
  <c r="BH60" i="10"/>
  <c r="BH90" i="10" s="1"/>
  <c r="BI60" i="10"/>
  <c r="BI90" i="10" s="1"/>
  <c r="BJ60" i="10"/>
  <c r="BJ90" i="10" s="1"/>
  <c r="BK60" i="10"/>
  <c r="BK90" i="10" s="1"/>
  <c r="BP60" i="10"/>
  <c r="BP90" i="10" s="1"/>
  <c r="BL60" i="10"/>
  <c r="BL90" i="10" s="1"/>
  <c r="BE61" i="10"/>
  <c r="BD61" i="10"/>
  <c r="BC61" i="10"/>
  <c r="BB61" i="10"/>
  <c r="BA61" i="10"/>
  <c r="AZ61" i="10"/>
  <c r="AX61" i="10"/>
  <c r="AW61" i="10"/>
  <c r="AV61" i="10"/>
  <c r="AU61" i="10"/>
  <c r="AT61" i="10"/>
  <c r="AS61" i="10"/>
  <c r="AR61" i="10"/>
  <c r="AQ61" i="10"/>
  <c r="AP61" i="10"/>
  <c r="AO61" i="10"/>
  <c r="AN61" i="10"/>
  <c r="AM61" i="10"/>
  <c r="AM91" i="10" s="1"/>
  <c r="AY61" i="10"/>
  <c r="AY91" i="10" s="1"/>
  <c r="BS61" i="10"/>
  <c r="BR61" i="10"/>
  <c r="BQ61" i="10"/>
  <c r="BP61" i="10"/>
  <c r="BO61" i="10"/>
  <c r="BN61" i="10"/>
  <c r="BM61" i="10"/>
  <c r="BL61" i="10"/>
  <c r="BK61" i="10"/>
  <c r="BJ61" i="10"/>
  <c r="BI61" i="10"/>
  <c r="BH61" i="10"/>
  <c r="BG61" i="10"/>
  <c r="BF61" i="10"/>
  <c r="BF91" i="10" s="1"/>
  <c r="DJ97" i="11"/>
  <c r="DL97" i="11"/>
  <c r="DK97" i="11"/>
  <c r="DI97" i="11"/>
  <c r="DH97" i="11"/>
  <c r="DG97" i="11"/>
  <c r="DF97" i="11"/>
  <c r="DE97" i="11"/>
  <c r="DD97" i="11"/>
  <c r="DC97" i="11"/>
  <c r="DB97" i="11"/>
  <c r="DA97" i="11"/>
  <c r="CZ97" i="11"/>
  <c r="CY97" i="11"/>
  <c r="CX97" i="11"/>
  <c r="CW97" i="11"/>
  <c r="CV97" i="11"/>
  <c r="CU97" i="11"/>
  <c r="CT97" i="11"/>
  <c r="CS97" i="11"/>
  <c r="CR97" i="11"/>
  <c r="CQ97" i="11"/>
  <c r="CP97" i="11"/>
  <c r="CY98" i="11"/>
  <c r="DF98" i="11"/>
  <c r="DE98" i="11"/>
  <c r="DD98" i="11"/>
  <c r="DC98" i="11"/>
  <c r="DB98" i="11"/>
  <c r="DA98" i="11"/>
  <c r="CZ98" i="11"/>
  <c r="CP98" i="11"/>
  <c r="CX98" i="11"/>
  <c r="CW98" i="11"/>
  <c r="CV98" i="11"/>
  <c r="CU98" i="11"/>
  <c r="CT98" i="11"/>
  <c r="CS98" i="11"/>
  <c r="CR98" i="11"/>
  <c r="CQ98" i="11"/>
  <c r="DL98" i="11"/>
  <c r="DK98" i="11"/>
  <c r="DJ98" i="11"/>
  <c r="DI98" i="11"/>
  <c r="DH98" i="11"/>
  <c r="DG98" i="11"/>
  <c r="CR99" i="11"/>
  <c r="CQ99" i="11"/>
  <c r="CU99" i="11"/>
  <c r="CT99" i="11"/>
  <c r="CP99" i="11"/>
  <c r="CS99" i="11"/>
  <c r="CR115" i="11"/>
  <c r="CS115" i="11"/>
  <c r="CT115" i="11"/>
  <c r="CU115" i="11"/>
  <c r="CV115" i="11"/>
  <c r="CW115" i="11"/>
  <c r="CX115" i="11"/>
  <c r="CY115" i="11"/>
  <c r="CZ115" i="11"/>
  <c r="DA115" i="11"/>
  <c r="DB115" i="11"/>
  <c r="DC115" i="11"/>
  <c r="DD115" i="11"/>
  <c r="DE115" i="11"/>
  <c r="DF115" i="11"/>
  <c r="DG115" i="11"/>
  <c r="DH115" i="11"/>
  <c r="DI115" i="11"/>
  <c r="DJ115" i="11"/>
  <c r="DK115" i="11"/>
  <c r="DL115" i="11"/>
  <c r="CQ115" i="11"/>
  <c r="CP115" i="11"/>
  <c r="CQ116" i="11"/>
  <c r="CR116" i="11"/>
  <c r="CS116" i="11"/>
  <c r="CT116" i="11"/>
  <c r="CU116" i="11"/>
  <c r="CV116" i="11"/>
  <c r="CW116" i="11"/>
  <c r="CX116" i="11"/>
  <c r="CY116" i="11"/>
  <c r="CZ116" i="11"/>
  <c r="DA116" i="11"/>
  <c r="DB116" i="11"/>
  <c r="DC116" i="11"/>
  <c r="DD116" i="11"/>
  <c r="DE116" i="11"/>
  <c r="DF116" i="11"/>
  <c r="DG116" i="11"/>
  <c r="DH116" i="11"/>
  <c r="DI116" i="11"/>
  <c r="DJ116" i="11"/>
  <c r="DK116" i="11"/>
  <c r="DL116" i="11"/>
  <c r="CP116" i="11"/>
  <c r="CP117" i="11"/>
  <c r="CQ117" i="11"/>
  <c r="CR117" i="11"/>
  <c r="CS117" i="11"/>
  <c r="CT117" i="11"/>
  <c r="CU117" i="11"/>
  <c r="CV117" i="11"/>
  <c r="CW117" i="11"/>
  <c r="CX117" i="11"/>
  <c r="CY117" i="11"/>
  <c r="CZ117" i="11"/>
  <c r="DA117" i="11"/>
  <c r="DB117" i="11"/>
  <c r="DC117" i="11"/>
  <c r="DD117" i="11"/>
  <c r="DE117" i="11"/>
  <c r="DF117" i="11"/>
  <c r="DG117" i="11"/>
  <c r="DH117" i="11"/>
  <c r="DI117" i="11"/>
  <c r="DJ117" i="11"/>
  <c r="DK117" i="11"/>
  <c r="DL117" i="11"/>
  <c r="DL118" i="11"/>
  <c r="CP118" i="11"/>
  <c r="CQ118" i="11"/>
  <c r="CR118" i="11"/>
  <c r="CS118" i="11"/>
  <c r="CT118" i="11"/>
  <c r="CU118" i="11"/>
  <c r="CV118" i="11"/>
  <c r="CW118" i="11"/>
  <c r="CX118" i="11"/>
  <c r="CY118" i="11"/>
  <c r="CZ118" i="11"/>
  <c r="DA118" i="11"/>
  <c r="DB118" i="11"/>
  <c r="DC118" i="11"/>
  <c r="DD118" i="11"/>
  <c r="DE118" i="11"/>
  <c r="DF118" i="11"/>
  <c r="DG118" i="11"/>
  <c r="DH118" i="11"/>
  <c r="DI118" i="11"/>
  <c r="DJ118" i="11"/>
  <c r="DK118" i="11"/>
  <c r="DK119" i="11"/>
  <c r="DL119" i="11"/>
  <c r="CP119" i="11"/>
  <c r="CQ119" i="11"/>
  <c r="CR119" i="11"/>
  <c r="CS119" i="11"/>
  <c r="CT119" i="11"/>
  <c r="CU119" i="11"/>
  <c r="CV119" i="11"/>
  <c r="CW119" i="11"/>
  <c r="CX119" i="11"/>
  <c r="CY119" i="11"/>
  <c r="CZ119" i="11"/>
  <c r="DA119" i="11"/>
  <c r="DB119" i="11"/>
  <c r="DC119" i="11"/>
  <c r="DD119" i="11"/>
  <c r="DE119" i="11"/>
  <c r="DF119" i="11"/>
  <c r="DG119" i="11"/>
  <c r="DH119" i="11"/>
  <c r="DI119" i="11"/>
  <c r="DJ119" i="11"/>
  <c r="CR120" i="11"/>
  <c r="DJ120" i="11"/>
  <c r="DK120" i="11"/>
  <c r="CP120" i="11"/>
  <c r="CQ120" i="11"/>
  <c r="CW120" i="11"/>
  <c r="CS120" i="11"/>
  <c r="CT120" i="11"/>
  <c r="CU120" i="11"/>
  <c r="CV120" i="11"/>
  <c r="DL120" i="11"/>
  <c r="CX120" i="11"/>
  <c r="CY120" i="11"/>
  <c r="CZ120" i="11"/>
  <c r="DA120" i="11"/>
  <c r="DB120" i="11"/>
  <c r="DC120" i="11"/>
  <c r="DD120" i="11"/>
  <c r="DE120" i="11"/>
  <c r="DF120" i="11"/>
  <c r="DG120" i="11"/>
  <c r="DH120" i="11"/>
  <c r="DI120" i="11"/>
  <c r="DD157" i="11"/>
  <c r="DE157" i="11"/>
  <c r="DB157" i="11"/>
  <c r="DF157" i="11"/>
  <c r="DG157" i="11"/>
  <c r="DH157" i="11"/>
  <c r="DI157" i="11"/>
  <c r="DJ157" i="11"/>
  <c r="DK157" i="11"/>
  <c r="DL157" i="11"/>
  <c r="DC157" i="11"/>
  <c r="DA157" i="11"/>
  <c r="CZ157" i="11"/>
  <c r="CY157" i="11"/>
  <c r="CX157" i="11"/>
  <c r="CW157" i="11"/>
  <c r="CV157" i="11"/>
  <c r="CU157" i="11"/>
  <c r="CT157" i="11"/>
  <c r="CS157" i="11"/>
  <c r="CR157" i="11"/>
  <c r="CQ157" i="11"/>
  <c r="CP157" i="11"/>
  <c r="CZ158" i="11"/>
  <c r="CY158" i="11"/>
  <c r="CX158" i="11"/>
  <c r="CW158" i="11"/>
  <c r="CV158" i="11"/>
  <c r="CU158" i="11"/>
  <c r="CT158" i="11"/>
  <c r="CS158" i="11"/>
  <c r="CR158" i="11"/>
  <c r="CQ158" i="11"/>
  <c r="CP158" i="11"/>
  <c r="DE158" i="11"/>
  <c r="DL158" i="11"/>
  <c r="DK158" i="11"/>
  <c r="DJ158" i="11"/>
  <c r="DI158" i="11"/>
  <c r="DH158" i="11"/>
  <c r="DG158" i="11"/>
  <c r="DF158" i="11"/>
  <c r="DD158" i="11"/>
  <c r="DC158" i="11"/>
  <c r="DB158" i="11"/>
  <c r="DA158" i="11"/>
  <c r="CZ159" i="11"/>
  <c r="CY159" i="11"/>
  <c r="CX159" i="11"/>
  <c r="CW159" i="11"/>
  <c r="CV159" i="11"/>
  <c r="CU159" i="11"/>
  <c r="CT159" i="11"/>
  <c r="CS159" i="11"/>
  <c r="CR159" i="11"/>
  <c r="CQ159" i="11"/>
  <c r="CP159" i="11"/>
  <c r="DF159" i="11"/>
  <c r="DJ159" i="11"/>
  <c r="DL159" i="11"/>
  <c r="DK159" i="11"/>
  <c r="DI159" i="11"/>
  <c r="DH159" i="11"/>
  <c r="DG159" i="11"/>
  <c r="DE159" i="11"/>
  <c r="DD159" i="11"/>
  <c r="DC159" i="11"/>
  <c r="DB159" i="11"/>
  <c r="DA159" i="11"/>
  <c r="DK160" i="11"/>
  <c r="DJ160" i="11"/>
  <c r="DI160" i="11"/>
  <c r="DH160" i="11"/>
  <c r="DG160" i="11"/>
  <c r="DF160" i="11"/>
  <c r="DE160" i="11"/>
  <c r="CP160" i="11"/>
  <c r="DD160" i="11"/>
  <c r="DC160" i="11"/>
  <c r="DB160" i="11"/>
  <c r="DA160" i="11"/>
  <c r="CW160" i="11"/>
  <c r="DL160" i="11"/>
  <c r="CV160" i="11"/>
  <c r="CU160" i="11"/>
  <c r="CT160" i="11"/>
  <c r="CZ160" i="11"/>
  <c r="CS160" i="11"/>
  <c r="CR160" i="11"/>
  <c r="CQ160" i="11"/>
  <c r="CY160" i="11"/>
  <c r="CX160" i="11"/>
  <c r="CR161" i="11"/>
  <c r="CS161" i="11"/>
  <c r="CT161" i="11"/>
  <c r="CU161" i="11"/>
  <c r="CW161" i="11"/>
  <c r="CX161" i="11"/>
  <c r="CY161" i="11"/>
  <c r="CZ161" i="11"/>
  <c r="CP161" i="11"/>
  <c r="DA161" i="11"/>
  <c r="CQ161" i="11"/>
  <c r="DB161" i="11"/>
  <c r="CV161" i="11"/>
  <c r="DC161" i="11"/>
  <c r="DD161" i="11"/>
  <c r="DE161" i="11"/>
  <c r="DF161" i="11"/>
  <c r="DG161" i="11"/>
  <c r="DH161" i="11"/>
  <c r="DI161" i="11"/>
  <c r="DJ161" i="11"/>
  <c r="DK161" i="11"/>
  <c r="DL161" i="11"/>
  <c r="CT162" i="11"/>
  <c r="CP162" i="11"/>
  <c r="CQ162" i="11"/>
  <c r="CR162" i="11"/>
  <c r="CS162" i="11"/>
  <c r="CU162" i="11"/>
  <c r="CV162" i="11"/>
  <c r="CW162" i="11"/>
  <c r="CX162" i="11"/>
  <c r="CY162" i="11"/>
  <c r="CZ162" i="11"/>
  <c r="DA162" i="11"/>
  <c r="DB162" i="11"/>
  <c r="DC162" i="11"/>
  <c r="DD162" i="11"/>
  <c r="DE162" i="11"/>
  <c r="DF162" i="11"/>
  <c r="DG162" i="11"/>
  <c r="DH162" i="11"/>
  <c r="DI162" i="11"/>
  <c r="DJ162" i="11"/>
  <c r="DK162" i="11"/>
  <c r="DL162" i="11"/>
  <c r="CZ179" i="11"/>
  <c r="CY179" i="11"/>
  <c r="CX179" i="11"/>
  <c r="CW179" i="11"/>
  <c r="CV179" i="11"/>
  <c r="CU179" i="11"/>
  <c r="CT179" i="11"/>
  <c r="CR179" i="11"/>
  <c r="DE179" i="11"/>
  <c r="CQ179" i="11"/>
  <c r="CS179" i="11"/>
  <c r="CP179" i="11"/>
  <c r="DA179" i="11"/>
  <c r="DB179" i="11"/>
  <c r="DC179" i="11"/>
  <c r="DD179" i="11"/>
  <c r="DF179" i="11"/>
  <c r="DG179" i="11"/>
  <c r="DH179" i="11"/>
  <c r="DI179" i="11"/>
  <c r="DJ179" i="11"/>
  <c r="DK179" i="11"/>
  <c r="DL179" i="11"/>
  <c r="DL180" i="11"/>
  <c r="DD180" i="11"/>
  <c r="DJ180" i="11"/>
  <c r="DC180" i="11"/>
  <c r="DE180" i="11"/>
  <c r="DF180" i="11"/>
  <c r="CZ180" i="11"/>
  <c r="DA180" i="11"/>
  <c r="DB180" i="11"/>
  <c r="DK180" i="11"/>
  <c r="DI180" i="11"/>
  <c r="DH180" i="11"/>
  <c r="DG180" i="11"/>
  <c r="CP180" i="11"/>
  <c r="CQ180" i="11"/>
  <c r="CR180" i="11"/>
  <c r="CS180" i="11"/>
  <c r="CT180" i="11"/>
  <c r="CU180" i="11"/>
  <c r="CV180" i="11"/>
  <c r="CW180" i="11"/>
  <c r="CX180" i="11"/>
  <c r="CY180" i="11"/>
  <c r="CY193" i="11"/>
  <c r="CZ193" i="11"/>
  <c r="DA193" i="11"/>
  <c r="DC193" i="11"/>
  <c r="DD193" i="11"/>
  <c r="DE193" i="11"/>
  <c r="DF193" i="11"/>
  <c r="DG193" i="11"/>
  <c r="DI193" i="11"/>
  <c r="CQ193" i="11"/>
  <c r="CP193" i="11"/>
  <c r="CR193" i="11"/>
  <c r="CS193" i="11"/>
  <c r="CT193" i="11"/>
  <c r="DH193" i="11"/>
  <c r="CV193" i="11"/>
  <c r="DB193" i="11"/>
  <c r="CW193" i="11"/>
  <c r="CU193" i="11"/>
  <c r="DL193" i="11"/>
  <c r="DK193" i="11"/>
  <c r="DJ193" i="11"/>
  <c r="CX193" i="11"/>
  <c r="DB194" i="11"/>
  <c r="DC194" i="11"/>
  <c r="DD194" i="11"/>
  <c r="DE194" i="11"/>
  <c r="DF194" i="11"/>
  <c r="DG194" i="11"/>
  <c r="DH194" i="11"/>
  <c r="DI194" i="11"/>
  <c r="DJ194" i="11"/>
  <c r="DK194" i="11"/>
  <c r="DL194" i="11"/>
  <c r="CV194" i="11"/>
  <c r="CP194" i="11"/>
  <c r="CQ194" i="11"/>
  <c r="CR194" i="11"/>
  <c r="CS194" i="11"/>
  <c r="CT194" i="11"/>
  <c r="CU194" i="11"/>
  <c r="CW194" i="11"/>
  <c r="CX194" i="11"/>
  <c r="CY194" i="11"/>
  <c r="CZ194" i="11"/>
  <c r="DA194" i="11"/>
  <c r="DF195" i="11"/>
  <c r="CU195" i="11"/>
  <c r="CS195" i="11"/>
  <c r="CQ195" i="11"/>
  <c r="DH195" i="11"/>
  <c r="DE195" i="11"/>
  <c r="DB195" i="11"/>
  <c r="CX195" i="11"/>
  <c r="CZ195" i="11"/>
  <c r="CV195" i="11"/>
  <c r="CY195" i="11"/>
  <c r="DJ195" i="11"/>
  <c r="DL195" i="11"/>
  <c r="DG195" i="11"/>
  <c r="DI195" i="11"/>
  <c r="DK195" i="11"/>
  <c r="DA195" i="11"/>
  <c r="CR195" i="11"/>
  <c r="CT195" i="11"/>
  <c r="CP195" i="11"/>
  <c r="DC195" i="11"/>
  <c r="DD195" i="11"/>
  <c r="CW195" i="11"/>
  <c r="CQ196" i="11"/>
  <c r="CS196" i="11"/>
  <c r="CU196" i="11"/>
  <c r="DF196" i="11"/>
  <c r="DI196" i="11"/>
  <c r="DK196" i="11"/>
  <c r="CY196" i="11"/>
  <c r="CZ196" i="11"/>
  <c r="DA196" i="11"/>
  <c r="DB196" i="11"/>
  <c r="DC196" i="11"/>
  <c r="DD196" i="11"/>
  <c r="DE196" i="11"/>
  <c r="DG196" i="11"/>
  <c r="DH196" i="11"/>
  <c r="DJ196" i="11"/>
  <c r="DL196" i="11"/>
  <c r="CX196" i="11"/>
  <c r="CV196" i="11"/>
  <c r="CT196" i="11"/>
  <c r="CR196" i="11"/>
  <c r="CP196" i="11"/>
  <c r="CW196" i="11"/>
  <c r="DG197" i="11"/>
  <c r="DK197" i="11"/>
  <c r="DI197" i="11"/>
  <c r="CP197" i="11"/>
  <c r="DD197" i="11"/>
  <c r="DB197" i="11"/>
  <c r="CW197" i="11"/>
  <c r="CU197" i="11"/>
  <c r="CS197" i="11"/>
  <c r="CQ197" i="11"/>
  <c r="CZ197" i="11"/>
  <c r="CT197" i="11"/>
  <c r="CX197" i="11"/>
  <c r="DA197" i="11"/>
  <c r="CV197" i="11"/>
  <c r="DC197" i="11"/>
  <c r="CY197" i="11"/>
  <c r="DE197" i="11"/>
  <c r="DF197" i="11"/>
  <c r="DH197" i="11"/>
  <c r="DJ197" i="11"/>
  <c r="DL197" i="11"/>
  <c r="CR197" i="11"/>
  <c r="DJ198" i="11"/>
  <c r="DL198" i="11"/>
  <c r="DK198" i="11"/>
  <c r="CP198" i="11"/>
  <c r="CR198" i="11"/>
  <c r="CT198" i="11"/>
  <c r="CV198" i="11"/>
  <c r="CX198" i="11"/>
  <c r="CZ198" i="11"/>
  <c r="DB198" i="11"/>
  <c r="DD198" i="11"/>
  <c r="DG198" i="11"/>
  <c r="DI198" i="11"/>
  <c r="CQ198" i="11"/>
  <c r="CS198" i="11"/>
  <c r="CU198" i="11"/>
  <c r="CW198" i="11"/>
  <c r="CY198" i="11"/>
  <c r="DA198" i="11"/>
  <c r="DC198" i="11"/>
  <c r="DE198" i="11"/>
  <c r="DF198" i="11"/>
  <c r="DH198" i="11"/>
  <c r="CZ99" i="11"/>
  <c r="DD99" i="11"/>
  <c r="DE99" i="11"/>
  <c r="DF99" i="11"/>
  <c r="DG99" i="11"/>
  <c r="DH99" i="11"/>
  <c r="DI99" i="11"/>
  <c r="DJ99" i="11"/>
  <c r="DK99" i="11"/>
  <c r="DL99" i="11"/>
  <c r="DB99" i="11"/>
  <c r="CV99" i="11"/>
  <c r="CW99" i="11"/>
  <c r="CX99" i="11"/>
  <c r="CY99" i="11"/>
  <c r="DC99" i="11"/>
  <c r="DA99" i="11"/>
  <c r="CP100" i="11"/>
  <c r="CQ100" i="11"/>
  <c r="CR100" i="11"/>
  <c r="CS100" i="11"/>
  <c r="CT100" i="11"/>
  <c r="CR163" i="11"/>
  <c r="CQ163" i="11"/>
  <c r="DK163" i="11"/>
  <c r="CP163" i="11"/>
  <c r="DL163" i="11"/>
  <c r="DJ163" i="11"/>
  <c r="DI163" i="11"/>
  <c r="DH163" i="11"/>
  <c r="DG163" i="11"/>
  <c r="DF163" i="11"/>
  <c r="DE163" i="11"/>
  <c r="DC163" i="11"/>
  <c r="DB163" i="11"/>
  <c r="DA163" i="11"/>
  <c r="CZ163" i="11"/>
  <c r="CY163" i="11"/>
  <c r="DD163" i="11"/>
  <c r="CW163" i="11"/>
  <c r="CV163" i="11"/>
  <c r="CU163" i="11"/>
  <c r="CT163" i="11"/>
  <c r="CS163" i="11"/>
  <c r="CX163" i="11"/>
  <c r="CX199" i="11"/>
  <c r="DE199" i="11"/>
  <c r="DB199" i="11"/>
  <c r="DD199" i="11"/>
  <c r="DA199" i="11"/>
  <c r="DG199" i="11"/>
  <c r="DI199" i="11"/>
  <c r="DK199" i="11"/>
  <c r="DC199" i="11"/>
  <c r="DL199" i="11"/>
  <c r="DJ199" i="11"/>
  <c r="DH199" i="11"/>
  <c r="CQ199" i="11"/>
  <c r="CS199" i="11"/>
  <c r="CU199" i="11"/>
  <c r="CW199" i="11"/>
  <c r="CY199" i="11"/>
  <c r="CP199" i="11"/>
  <c r="CR199" i="11"/>
  <c r="CT199" i="11"/>
  <c r="CV199" i="11"/>
  <c r="DF199" i="11"/>
  <c r="CZ199" i="11"/>
  <c r="DK200" i="11"/>
  <c r="CW200" i="11"/>
  <c r="CU200" i="11"/>
  <c r="CS200" i="11"/>
  <c r="CQ200" i="11"/>
  <c r="DI200" i="11"/>
  <c r="CY200" i="11"/>
  <c r="CV200" i="11"/>
  <c r="CP200" i="11"/>
  <c r="CX200" i="11"/>
  <c r="CZ200" i="11"/>
  <c r="DA200" i="11"/>
  <c r="DC200" i="11"/>
  <c r="DE200" i="11"/>
  <c r="DF200" i="11"/>
  <c r="DH200" i="11"/>
  <c r="DL200" i="11"/>
  <c r="DJ200" i="11"/>
  <c r="CT200" i="11"/>
  <c r="CR200" i="11"/>
  <c r="DB200" i="11"/>
  <c r="DG200" i="11"/>
  <c r="DD200" i="11"/>
  <c r="DD100" i="11"/>
  <c r="DC100" i="11"/>
  <c r="DE100" i="11"/>
  <c r="DF100" i="11"/>
  <c r="DG100" i="11"/>
  <c r="DH100" i="11"/>
  <c r="CT75" i="10"/>
  <c r="GY75" i="10" s="1"/>
  <c r="DL100" i="11"/>
  <c r="DK100" i="11"/>
  <c r="DA100" i="11"/>
  <c r="DJ100" i="11"/>
  <c r="CU100" i="11"/>
  <c r="CV100" i="11"/>
  <c r="CW100" i="11"/>
  <c r="CX100" i="11"/>
  <c r="CY100" i="11"/>
  <c r="CZ100" i="11"/>
  <c r="DI100" i="11"/>
  <c r="DB100" i="11"/>
  <c r="CU75" i="10"/>
  <c r="CR101" i="11"/>
  <c r="CP101" i="11"/>
  <c r="CQ101" i="11"/>
  <c r="CS101" i="11"/>
  <c r="DB75" i="10"/>
  <c r="CR164" i="11"/>
  <c r="DE164" i="11"/>
  <c r="DD164" i="11"/>
  <c r="DC164" i="11"/>
  <c r="DB164" i="11"/>
  <c r="DA164" i="11"/>
  <c r="CZ164" i="11"/>
  <c r="CY164" i="11"/>
  <c r="CV164" i="11"/>
  <c r="CU164" i="11"/>
  <c r="DJ164" i="11"/>
  <c r="DF164" i="11"/>
  <c r="CT164" i="11"/>
  <c r="DH164" i="11"/>
  <c r="DI164" i="11"/>
  <c r="DK164" i="11"/>
  <c r="DL164" i="11"/>
  <c r="CS164" i="11"/>
  <c r="CX164" i="11"/>
  <c r="FF75" i="10"/>
  <c r="CW164" i="11"/>
  <c r="CP164" i="11"/>
  <c r="CQ164" i="11"/>
  <c r="DG164" i="11"/>
  <c r="DG201" i="11"/>
  <c r="DK201" i="11"/>
  <c r="CR201" i="11"/>
  <c r="CP201" i="11"/>
  <c r="DI201" i="11"/>
  <c r="CQ201" i="11"/>
  <c r="CV201" i="11"/>
  <c r="CX201" i="11"/>
  <c r="CZ201" i="11"/>
  <c r="DA201" i="11"/>
  <c r="DB201" i="11"/>
  <c r="DL201" i="11"/>
  <c r="DJ201" i="11"/>
  <c r="DH201" i="11"/>
  <c r="DF201" i="11"/>
  <c r="DE201" i="11"/>
  <c r="DC201" i="11"/>
  <c r="CT201" i="11"/>
  <c r="CY201" i="11"/>
  <c r="CW201" i="11"/>
  <c r="CU201" i="11"/>
  <c r="CS201" i="11"/>
  <c r="DD201" i="11"/>
  <c r="GQ75" i="10"/>
  <c r="CS202" i="11"/>
  <c r="DK202" i="11"/>
  <c r="DI202" i="11"/>
  <c r="DE202" i="11"/>
  <c r="DC202" i="11"/>
  <c r="DA202" i="11"/>
  <c r="CY202" i="11"/>
  <c r="CW202" i="11"/>
  <c r="CU202" i="11"/>
  <c r="DL202" i="11"/>
  <c r="DJ202" i="11"/>
  <c r="DH202" i="11"/>
  <c r="DF202" i="11"/>
  <c r="DD202" i="11"/>
  <c r="DB202" i="11"/>
  <c r="CX202" i="11"/>
  <c r="CV202" i="11"/>
  <c r="CT202" i="11"/>
  <c r="CR202" i="11"/>
  <c r="CP202" i="11"/>
  <c r="DG202" i="11"/>
  <c r="CZ202" i="11"/>
  <c r="CQ202" i="11"/>
  <c r="GR75" i="10"/>
  <c r="U76" i="10"/>
  <c r="GY76" i="10" s="1"/>
  <c r="V76" i="10"/>
  <c r="T66" i="10"/>
  <c r="GY66" i="10" s="1"/>
  <c r="U66" i="10"/>
  <c r="V66" i="10"/>
  <c r="DB66" i="10"/>
  <c r="CV131" i="11"/>
  <c r="CP131" i="11"/>
  <c r="DY66" i="10"/>
  <c r="CQ131" i="11"/>
  <c r="CR131" i="11"/>
  <c r="DL131" i="11"/>
  <c r="DG131" i="11"/>
  <c r="CS131" i="11"/>
  <c r="DK131" i="11"/>
  <c r="CW131" i="11"/>
  <c r="CX131" i="11"/>
  <c r="CY131" i="11"/>
  <c r="CZ131" i="11"/>
  <c r="CT131" i="11"/>
  <c r="DB131" i="11"/>
  <c r="DC131" i="11"/>
  <c r="DD131" i="11"/>
  <c r="DE131" i="11"/>
  <c r="DA131" i="11"/>
  <c r="DH131" i="11"/>
  <c r="DI131" i="11"/>
  <c r="DJ131" i="11"/>
  <c r="CU131" i="11"/>
  <c r="DF131" i="11"/>
  <c r="DZ66" i="10"/>
  <c r="CP132" i="11"/>
  <c r="CQ132" i="11"/>
  <c r="CS132" i="11"/>
  <c r="CT132" i="11"/>
  <c r="CU132" i="11"/>
  <c r="CV132" i="11"/>
  <c r="CW132" i="11"/>
  <c r="CX132" i="11"/>
  <c r="CY132" i="11"/>
  <c r="CZ132" i="11"/>
  <c r="DA132" i="11"/>
  <c r="DB132" i="11"/>
  <c r="DC132" i="11"/>
  <c r="DD132" i="11"/>
  <c r="DE132" i="11"/>
  <c r="CR132" i="11"/>
  <c r="CP170" i="11"/>
  <c r="CQ170" i="11"/>
  <c r="CR170" i="11"/>
  <c r="CS170" i="11"/>
  <c r="CT170" i="11"/>
  <c r="CU170" i="11"/>
  <c r="CV170" i="11"/>
  <c r="CY170" i="11"/>
  <c r="DL170" i="11"/>
  <c r="FL66" i="10"/>
  <c r="DA170" i="11"/>
  <c r="CX170" i="11"/>
  <c r="DB170" i="11"/>
  <c r="DC170" i="11"/>
  <c r="DD170" i="11"/>
  <c r="DE170" i="11"/>
  <c r="CZ170" i="11"/>
  <c r="DG170" i="11"/>
  <c r="DH170" i="11"/>
  <c r="CW170" i="11"/>
  <c r="DI170" i="11"/>
  <c r="DJ170" i="11"/>
  <c r="DK170" i="11"/>
  <c r="DF170" i="11"/>
  <c r="CV171" i="11"/>
  <c r="CU171" i="11"/>
  <c r="CT171" i="11"/>
  <c r="CS171" i="11"/>
  <c r="DE171" i="11"/>
  <c r="CQ171" i="11"/>
  <c r="CP171" i="11"/>
  <c r="DD171" i="11"/>
  <c r="DC171" i="11"/>
  <c r="DB171" i="11"/>
  <c r="DA171" i="11"/>
  <c r="CZ171" i="11"/>
  <c r="CY171" i="11"/>
  <c r="CX171" i="11"/>
  <c r="CW171" i="11"/>
  <c r="CR171" i="11"/>
  <c r="FM66" i="10"/>
  <c r="DL171" i="11"/>
  <c r="DK171" i="11"/>
  <c r="DJ171" i="11"/>
  <c r="DI171" i="11"/>
  <c r="DH171" i="11"/>
  <c r="DG171" i="11"/>
  <c r="DF171" i="11"/>
  <c r="CZ4" i="11"/>
  <c r="DL4" i="11"/>
  <c r="DK4" i="11"/>
  <c r="DJ4" i="11"/>
  <c r="DI4" i="11"/>
  <c r="CY4" i="11"/>
  <c r="DG4" i="11"/>
  <c r="DE4" i="11"/>
  <c r="DF4" i="11"/>
  <c r="C67" i="10"/>
  <c r="GY67" i="10" s="1"/>
  <c r="DB67" i="10"/>
  <c r="DC67" i="10"/>
  <c r="CX109" i="11"/>
  <c r="CW109" i="11"/>
  <c r="CU109" i="11"/>
  <c r="CZ109" i="11"/>
  <c r="CT109" i="11"/>
  <c r="CS109" i="11"/>
  <c r="CR109" i="11"/>
  <c r="CQ109" i="11"/>
  <c r="CP109" i="11"/>
  <c r="DA109" i="11"/>
  <c r="DB109" i="11"/>
  <c r="DD109" i="11"/>
  <c r="DE109" i="11"/>
  <c r="DF109" i="11"/>
  <c r="DG109" i="11"/>
  <c r="DH109" i="11"/>
  <c r="DI109" i="11"/>
  <c r="DJ109" i="11"/>
  <c r="DK109" i="11"/>
  <c r="CY109" i="11"/>
  <c r="DL109" i="11"/>
  <c r="DC109" i="11"/>
  <c r="CV109" i="11"/>
  <c r="DZ67" i="10"/>
  <c r="DL132" i="11"/>
  <c r="DF132" i="11"/>
  <c r="DG132" i="11"/>
  <c r="DH132" i="11"/>
  <c r="DI132" i="11"/>
  <c r="DJ132" i="11"/>
  <c r="DK132" i="11"/>
  <c r="CZ172" i="11"/>
  <c r="CP172" i="11"/>
  <c r="FN67" i="10"/>
  <c r="CY172" i="11"/>
  <c r="DB172" i="11"/>
  <c r="CQ172" i="11"/>
  <c r="CR172" i="11"/>
  <c r="DD172" i="11"/>
  <c r="CS172" i="11"/>
  <c r="CT172" i="11"/>
  <c r="CU172" i="11"/>
  <c r="CV172" i="11"/>
  <c r="CW172" i="11"/>
  <c r="CX172" i="11"/>
  <c r="DA172" i="11"/>
  <c r="DK172" i="11"/>
  <c r="DC172" i="11"/>
  <c r="DL172" i="11"/>
  <c r="DJ172" i="11"/>
  <c r="DI172" i="11"/>
  <c r="DH172" i="11"/>
  <c r="DG172" i="11"/>
  <c r="DF172" i="11"/>
  <c r="DE172" i="11"/>
  <c r="CT173" i="11"/>
  <c r="FO67" i="10"/>
  <c r="CR173" i="11"/>
  <c r="CQ173" i="11"/>
  <c r="CP173" i="11"/>
  <c r="CS173" i="11"/>
  <c r="CU173" i="11"/>
  <c r="CV173" i="11"/>
  <c r="C68" i="10"/>
  <c r="DB68" i="10"/>
  <c r="DK110" i="11"/>
  <c r="DJ110" i="11"/>
  <c r="DI110" i="11"/>
  <c r="DH110" i="11"/>
  <c r="DG110" i="11"/>
  <c r="DF110" i="11"/>
  <c r="DB110" i="11"/>
  <c r="DD110" i="11"/>
  <c r="DC110" i="11"/>
  <c r="DA110" i="11"/>
  <c r="CZ110" i="11"/>
  <c r="CY110" i="11"/>
  <c r="CX110" i="11"/>
  <c r="CW110" i="11"/>
  <c r="CV110" i="11"/>
  <c r="CU110" i="11"/>
  <c r="CT110" i="11"/>
  <c r="CS110" i="11"/>
  <c r="CR110" i="11"/>
  <c r="CQ110" i="11"/>
  <c r="CP110" i="11"/>
  <c r="DE110" i="11"/>
  <c r="DD68" i="10"/>
  <c r="CW173" i="11"/>
  <c r="CX173" i="11"/>
  <c r="CY173" i="11"/>
  <c r="CZ173" i="11"/>
  <c r="DA173" i="11"/>
  <c r="FO68" i="10"/>
  <c r="DK173" i="11"/>
  <c r="DL173" i="11"/>
  <c r="DI173" i="11"/>
  <c r="DC173" i="11"/>
  <c r="DH173" i="11"/>
  <c r="DG173" i="11"/>
  <c r="DF173" i="11"/>
  <c r="DJ173" i="11"/>
  <c r="DE173" i="11"/>
  <c r="DD173" i="11"/>
  <c r="DB173" i="11"/>
  <c r="CQ174" i="11"/>
  <c r="CP174" i="11"/>
  <c r="CR174" i="11"/>
  <c r="CS174" i="11"/>
  <c r="FP68" i="10"/>
  <c r="C69" i="10"/>
  <c r="D69" i="10"/>
  <c r="DB69" i="10"/>
  <c r="DD69" i="10"/>
  <c r="DL110" i="11"/>
  <c r="CR111" i="11"/>
  <c r="CP111" i="11"/>
  <c r="DE111" i="11"/>
  <c r="DF111" i="11"/>
  <c r="CY111" i="11"/>
  <c r="CZ111" i="11"/>
  <c r="DA111" i="11"/>
  <c r="DB111" i="11"/>
  <c r="CT111" i="11"/>
  <c r="DC111" i="11"/>
  <c r="DE69" i="10"/>
  <c r="CS111" i="11"/>
  <c r="DD111" i="11"/>
  <c r="CU111" i="11"/>
  <c r="CV111" i="11"/>
  <c r="CW111" i="11"/>
  <c r="CX111" i="11"/>
  <c r="CQ111" i="11"/>
  <c r="CY174" i="11"/>
  <c r="DK174" i="11"/>
  <c r="DL174" i="11"/>
  <c r="FP69" i="10"/>
  <c r="CT174" i="11"/>
  <c r="CU174" i="11"/>
  <c r="CV174" i="11"/>
  <c r="CW174" i="11"/>
  <c r="CX174" i="11"/>
  <c r="CZ174" i="11"/>
  <c r="DA174" i="11"/>
  <c r="DB174" i="11"/>
  <c r="DC174" i="11"/>
  <c r="DD174" i="11"/>
  <c r="DE174" i="11"/>
  <c r="DF174" i="11"/>
  <c r="DG174" i="11"/>
  <c r="DH174" i="11"/>
  <c r="DI174" i="11"/>
  <c r="DJ174" i="11"/>
  <c r="FQ69" i="10"/>
  <c r="CR175" i="11"/>
  <c r="CU175" i="11"/>
  <c r="CQ175" i="11"/>
  <c r="CT175" i="11"/>
  <c r="CS175" i="11"/>
  <c r="CP175" i="11"/>
  <c r="CV175" i="11"/>
  <c r="CW175" i="11"/>
  <c r="D70" i="10"/>
  <c r="E70" i="10"/>
  <c r="DB70" i="10"/>
  <c r="DE70" i="10"/>
  <c r="DH111" i="11"/>
  <c r="DI111" i="11"/>
  <c r="DJ111" i="11"/>
  <c r="DK111" i="11"/>
  <c r="DL111" i="11"/>
  <c r="DG111" i="11"/>
  <c r="CR112" i="11"/>
  <c r="DF70" i="10"/>
  <c r="CP112" i="11"/>
  <c r="CQ112" i="11"/>
  <c r="DE112" i="11"/>
  <c r="DD112" i="11"/>
  <c r="DC112" i="11"/>
  <c r="DB112" i="11"/>
  <c r="DA112" i="11"/>
  <c r="CZ112" i="11"/>
  <c r="CY112" i="11"/>
  <c r="CT112" i="11"/>
  <c r="CX112" i="11"/>
  <c r="CW112" i="11"/>
  <c r="CV112" i="11"/>
  <c r="CU112" i="11"/>
  <c r="CS112" i="11"/>
  <c r="FQ70" i="10"/>
  <c r="CX175" i="11"/>
  <c r="CY175" i="11"/>
  <c r="CZ175" i="11"/>
  <c r="DA175" i="11"/>
  <c r="DB175" i="11"/>
  <c r="DD175" i="11"/>
  <c r="DE175" i="11"/>
  <c r="DG175" i="11"/>
  <c r="DL175" i="11"/>
  <c r="DF175" i="11"/>
  <c r="DH175" i="11"/>
  <c r="DI175" i="11"/>
  <c r="DJ175" i="11"/>
  <c r="DK175" i="11"/>
  <c r="DC175" i="11"/>
  <c r="CT176" i="11"/>
  <c r="FR70" i="10"/>
  <c r="CS176" i="11"/>
  <c r="CR176" i="11"/>
  <c r="CQ176" i="11"/>
  <c r="CP176" i="11"/>
  <c r="DL176" i="11"/>
  <c r="DK176" i="11"/>
  <c r="DJ176" i="11"/>
  <c r="DI176" i="11"/>
  <c r="DH176" i="11"/>
  <c r="DG176" i="11"/>
  <c r="DF176" i="11"/>
  <c r="DE176" i="11"/>
  <c r="DD176" i="11"/>
  <c r="DC176" i="11"/>
  <c r="DB176" i="11"/>
  <c r="DA176" i="11"/>
  <c r="CZ176" i="11"/>
  <c r="CY176" i="11"/>
  <c r="CX176" i="11"/>
  <c r="CW176" i="11"/>
  <c r="CV176" i="11"/>
  <c r="CU176" i="11"/>
  <c r="DL112" i="11"/>
  <c r="DK112" i="11"/>
  <c r="DJ112" i="11"/>
  <c r="DI112" i="11"/>
  <c r="DH112" i="11"/>
  <c r="DG112" i="11"/>
  <c r="DF112" i="11"/>
  <c r="CR113" i="11"/>
  <c r="DF113" i="11"/>
  <c r="CS113" i="11"/>
  <c r="CT113" i="11"/>
  <c r="CU113" i="11"/>
  <c r="CV113" i="11"/>
  <c r="CW113" i="11"/>
  <c r="CP113" i="11"/>
  <c r="DG113" i="11"/>
  <c r="CX113" i="11"/>
  <c r="CY113" i="11"/>
  <c r="CZ113" i="11"/>
  <c r="DA113" i="11"/>
  <c r="DB113" i="11"/>
  <c r="DC113" i="11"/>
  <c r="DD113" i="11"/>
  <c r="DH113" i="11"/>
  <c r="DE113" i="11"/>
  <c r="DI113" i="11"/>
  <c r="DJ113" i="11"/>
  <c r="DK113" i="11"/>
  <c r="CQ113" i="11"/>
  <c r="DL113" i="11"/>
  <c r="CU177" i="11"/>
  <c r="DC177" i="11"/>
  <c r="DD177" i="11"/>
  <c r="DE177" i="11"/>
  <c r="DF177" i="11"/>
  <c r="DG177" i="11"/>
  <c r="DH177" i="11"/>
  <c r="DI177" i="11"/>
  <c r="DK177" i="11"/>
  <c r="DL177" i="11"/>
  <c r="DJ177" i="11"/>
  <c r="CP177" i="11"/>
  <c r="CQ177" i="11"/>
  <c r="CR177" i="11"/>
  <c r="DB177" i="11"/>
  <c r="DA177" i="11"/>
  <c r="CZ177" i="11"/>
  <c r="CY177" i="11"/>
  <c r="CX177" i="11"/>
  <c r="CW177" i="11"/>
  <c r="CV177" i="11"/>
  <c r="CS177" i="11"/>
  <c r="CT177" i="11"/>
  <c r="DI114" i="11"/>
  <c r="DH114" i="11"/>
  <c r="DG114" i="11"/>
  <c r="DF114" i="11"/>
  <c r="DE114" i="11"/>
  <c r="DD114" i="11"/>
  <c r="DC114" i="11"/>
  <c r="DB114" i="11"/>
  <c r="DA114" i="11"/>
  <c r="CZ114" i="11"/>
  <c r="CY114" i="11"/>
  <c r="CS114" i="11"/>
  <c r="CU114" i="11"/>
  <c r="CV114" i="11"/>
  <c r="DJ114" i="11"/>
  <c r="CW114" i="11"/>
  <c r="CX114" i="11"/>
  <c r="DK114" i="11"/>
  <c r="DL114" i="11"/>
  <c r="CT114" i="11"/>
  <c r="CP114" i="11"/>
  <c r="CQ114" i="11"/>
  <c r="CR114" i="11"/>
  <c r="DL178" i="11"/>
  <c r="DI178" i="11"/>
  <c r="DD178" i="11"/>
  <c r="DC178" i="11"/>
  <c r="DB178" i="11"/>
  <c r="DA178" i="11"/>
  <c r="CZ178" i="11"/>
  <c r="CY178" i="11"/>
  <c r="CX178" i="11"/>
  <c r="DK178" i="11"/>
  <c r="CW178" i="11"/>
  <c r="CV178" i="11"/>
  <c r="CU178" i="11"/>
  <c r="CT178" i="11"/>
  <c r="DH178" i="11"/>
  <c r="DJ178" i="11"/>
  <c r="CS178" i="11"/>
  <c r="DE178" i="11"/>
  <c r="CR178" i="11"/>
  <c r="CP178" i="11"/>
  <c r="DF178" i="11"/>
  <c r="DG178" i="11"/>
  <c r="CQ178" i="11"/>
  <c r="B65" i="10"/>
  <c r="B35" i="10"/>
  <c r="A4" i="11" s="1" a="1"/>
  <c r="AW4" i="11" s="1"/>
  <c r="C35" i="10"/>
  <c r="A5" i="11" s="1" a="1"/>
  <c r="AW5" i="11" s="1"/>
  <c r="C65" i="10"/>
  <c r="D35" i="10"/>
  <c r="A6" i="11" s="1" a="1"/>
  <c r="AW6" i="11" s="1"/>
  <c r="D65" i="10"/>
  <c r="E35" i="10"/>
  <c r="A7" i="11" s="1" a="1"/>
  <c r="AW7" i="11" s="1"/>
  <c r="E65" i="10"/>
  <c r="F35" i="10"/>
  <c r="A8" i="11" s="1" a="1"/>
  <c r="AW8" i="11" s="1"/>
  <c r="F65" i="10"/>
  <c r="G35" i="10"/>
  <c r="G65" i="10"/>
  <c r="H65" i="10"/>
  <c r="H35" i="10"/>
  <c r="I65" i="10"/>
  <c r="I35" i="10"/>
  <c r="A11" i="11" s="1" a="1"/>
  <c r="AW11" i="11" s="1"/>
  <c r="J65" i="10"/>
  <c r="J35" i="10"/>
  <c r="A12" i="11" s="1" a="1"/>
  <c r="AW12" i="11" s="1"/>
  <c r="K35" i="10"/>
  <c r="A13" i="11" s="1" a="1"/>
  <c r="AW13" i="11" s="1"/>
  <c r="K65" i="10"/>
  <c r="L35" i="10"/>
  <c r="A14" i="11" s="1" a="1"/>
  <c r="AW14" i="11" s="1"/>
  <c r="L65" i="10"/>
  <c r="M65" i="10"/>
  <c r="M35" i="10"/>
  <c r="A15" i="11" s="1" a="1"/>
  <c r="AW15" i="11" s="1"/>
  <c r="N35" i="10"/>
  <c r="A16" i="11" s="1" a="1"/>
  <c r="AW16" i="11" s="1"/>
  <c r="N65" i="10"/>
  <c r="O65" i="10"/>
  <c r="O35" i="10"/>
  <c r="A17" i="11" s="1" a="1"/>
  <c r="AW17" i="11" s="1"/>
  <c r="P65" i="10"/>
  <c r="P35" i="10"/>
  <c r="A18" i="11" s="1" a="1"/>
  <c r="AW18" i="11" s="1"/>
  <c r="Q65" i="10"/>
  <c r="Q35" i="10"/>
  <c r="A19" i="11" s="1" a="1"/>
  <c r="AW19" i="11" s="1"/>
  <c r="R65" i="10"/>
  <c r="R35" i="10"/>
  <c r="A20" i="11" s="1" a="1"/>
  <c r="AW20" i="11" s="1"/>
  <c r="S65" i="10"/>
  <c r="S35" i="10"/>
  <c r="A21" i="11" s="1" a="1"/>
  <c r="AW21" i="11" s="1"/>
  <c r="T65" i="10"/>
  <c r="T35" i="10"/>
  <c r="A22" i="11" s="1" a="1"/>
  <c r="AW22" i="11" s="1"/>
  <c r="U35" i="10"/>
  <c r="A23" i="11" s="1" a="1"/>
  <c r="AW23" i="11" s="1"/>
  <c r="U65" i="10"/>
  <c r="V65" i="10"/>
  <c r="V35" i="10"/>
  <c r="A24" i="11" s="1" a="1"/>
  <c r="AW24" i="11" s="1"/>
  <c r="W35" i="10"/>
  <c r="A25" i="11" s="1" a="1"/>
  <c r="AW25" i="11" s="1"/>
  <c r="W65" i="10"/>
  <c r="X35" i="10"/>
  <c r="A26" i="11" s="1" a="1"/>
  <c r="AW26" i="11" s="1"/>
  <c r="X65" i="10"/>
  <c r="Y35" i="10"/>
  <c r="A27" i="11" s="1" a="1"/>
  <c r="AW27" i="11" s="1"/>
  <c r="Y65" i="10"/>
  <c r="Z35" i="10"/>
  <c r="A28" i="11" s="1" a="1"/>
  <c r="AW28" i="11" s="1"/>
  <c r="Z65" i="10"/>
  <c r="AA35" i="10"/>
  <c r="A29" i="11" s="1" a="1"/>
  <c r="AW29" i="11" s="1"/>
  <c r="AA65" i="10"/>
  <c r="AB35" i="10"/>
  <c r="A30" i="11" s="1" a="1"/>
  <c r="AW30" i="11" s="1"/>
  <c r="AB65" i="10"/>
  <c r="AC65" i="10"/>
  <c r="AC35" i="10"/>
  <c r="A31" i="11" s="1" a="1"/>
  <c r="AW31" i="11" s="1"/>
  <c r="AD35" i="10"/>
  <c r="A32" i="11" s="1" a="1"/>
  <c r="AW32" i="11" s="1"/>
  <c r="AD65" i="10"/>
  <c r="AE35" i="10"/>
  <c r="A33" i="11" s="1" a="1"/>
  <c r="AW33" i="11" s="1"/>
  <c r="AE65" i="10"/>
  <c r="AF65" i="10"/>
  <c r="AF35" i="10"/>
  <c r="A34" i="11" s="1" a="1"/>
  <c r="AW34" i="11" s="1"/>
  <c r="AG65" i="10"/>
  <c r="AG35" i="10"/>
  <c r="A35" i="11" s="1" a="1"/>
  <c r="AW35" i="11" s="1"/>
  <c r="AH65" i="10"/>
  <c r="AH35" i="10"/>
  <c r="A36" i="11" s="1" a="1"/>
  <c r="AW36" i="11" s="1"/>
  <c r="AI65" i="10"/>
  <c r="AI35" i="10"/>
  <c r="A37" i="11" s="1" a="1"/>
  <c r="AW37" i="11" s="1"/>
  <c r="AJ35" i="10"/>
  <c r="A38" i="11" s="1" a="1"/>
  <c r="AW38" i="11" s="1"/>
  <c r="AJ65" i="10"/>
  <c r="AK65" i="10"/>
  <c r="AK35" i="10"/>
  <c r="A39" i="11" s="1" a="1"/>
  <c r="AW39" i="11" s="1"/>
  <c r="AL65" i="10"/>
  <c r="AL35" i="10"/>
  <c r="A40" i="11" s="1" a="1"/>
  <c r="AW40" i="11" s="1"/>
  <c r="AM65" i="10"/>
  <c r="AM35" i="10"/>
  <c r="A41" i="11" s="1" a="1"/>
  <c r="AW41" i="11" s="1"/>
  <c r="AN35" i="10"/>
  <c r="A42" i="11" s="1" a="1"/>
  <c r="AW42" i="11" s="1"/>
  <c r="AN65" i="10"/>
  <c r="AO65" i="10"/>
  <c r="AO35" i="10"/>
  <c r="A43" i="11" s="1" a="1"/>
  <c r="AW43" i="11" s="1"/>
  <c r="AP65" i="10"/>
  <c r="AP35" i="10"/>
  <c r="A44" i="11" s="1" a="1"/>
  <c r="AW44" i="11" s="1"/>
  <c r="AQ65" i="10"/>
  <c r="AQ35" i="10"/>
  <c r="A45" i="11" s="1" a="1"/>
  <c r="AW45" i="11" s="1"/>
  <c r="AR65" i="10"/>
  <c r="AR35" i="10"/>
  <c r="A46" i="11" s="1" a="1"/>
  <c r="AW46" i="11" s="1"/>
  <c r="AS35" i="10"/>
  <c r="A47" i="11" s="1" a="1"/>
  <c r="AW47" i="11" s="1"/>
  <c r="AS65" i="10"/>
  <c r="AT35" i="10"/>
  <c r="AT65" i="10"/>
  <c r="AU35" i="10"/>
  <c r="A49" i="11" s="1" a="1"/>
  <c r="AW49" i="11" s="1"/>
  <c r="AU65" i="10"/>
  <c r="AV65" i="10"/>
  <c r="AV35" i="10"/>
  <c r="A50" i="11" s="1" a="1"/>
  <c r="AW50" i="11" s="1"/>
  <c r="AW65" i="10"/>
  <c r="AW35" i="10"/>
  <c r="AX65" i="10"/>
  <c r="AX35" i="10"/>
  <c r="A52" i="11" s="1" a="1"/>
  <c r="AW52" i="11" s="1"/>
  <c r="AY65" i="10"/>
  <c r="AY35" i="10"/>
  <c r="A53" i="11" s="1" a="1"/>
  <c r="AW53" i="11" s="1"/>
  <c r="AZ65" i="10"/>
  <c r="AZ35" i="10"/>
  <c r="A54" i="11" s="1" a="1"/>
  <c r="AW54" i="11" s="1"/>
  <c r="BA65" i="10"/>
  <c r="BA35" i="10"/>
  <c r="A55" i="11" s="1" a="1"/>
  <c r="AW55" i="11" s="1"/>
  <c r="BB35" i="10"/>
  <c r="A56" i="11" s="1" a="1"/>
  <c r="AW56" i="11" s="1"/>
  <c r="BB65" i="10"/>
  <c r="BC65" i="10"/>
  <c r="BC35" i="10"/>
  <c r="A57" i="11" s="1" a="1"/>
  <c r="AW57" i="11" s="1"/>
  <c r="BD35" i="10"/>
  <c r="A58" i="11" s="1" a="1"/>
  <c r="AW58" i="11" s="1"/>
  <c r="BD65" i="10"/>
  <c r="BE35" i="10"/>
  <c r="A59" i="11" s="1" a="1"/>
  <c r="AW59" i="11" s="1"/>
  <c r="BE65" i="10"/>
  <c r="BF35" i="10"/>
  <c r="A60" i="11" s="1" a="1"/>
  <c r="AW60" i="11" s="1"/>
  <c r="BF65" i="10"/>
  <c r="BG65" i="10"/>
  <c r="BG35" i="10"/>
  <c r="A61" i="11" s="1" a="1"/>
  <c r="AW61" i="11" s="1"/>
  <c r="BH65" i="10"/>
  <c r="BH35" i="10"/>
  <c r="A62" i="11" s="1" a="1"/>
  <c r="AW62" i="11" s="1"/>
  <c r="BI35" i="10"/>
  <c r="A63" i="11" s="1" a="1"/>
  <c r="AW63" i="11" s="1"/>
  <c r="BI65" i="10"/>
  <c r="BJ35" i="10"/>
  <c r="A64" i="11" s="1" a="1"/>
  <c r="AW64" i="11" s="1"/>
  <c r="BJ65" i="10"/>
  <c r="BK35" i="10"/>
  <c r="A65" i="11" s="1" a="1"/>
  <c r="AW65" i="11" s="1"/>
  <c r="BK65" i="10"/>
  <c r="BL35" i="10"/>
  <c r="A66" i="11" s="1" a="1"/>
  <c r="AW66" i="11" s="1"/>
  <c r="BL65" i="10"/>
  <c r="BM35" i="10"/>
  <c r="A67" i="11" s="1" a="1"/>
  <c r="AW67" i="11" s="1"/>
  <c r="BM65" i="10"/>
  <c r="BN65" i="10"/>
  <c r="BN35" i="10"/>
  <c r="A68" i="11" s="1" a="1"/>
  <c r="AW68" i="11" s="1"/>
  <c r="BO35" i="10"/>
  <c r="A69" i="11" s="1" a="1"/>
  <c r="AW69" i="11" s="1"/>
  <c r="BO65" i="10"/>
  <c r="BP65" i="10"/>
  <c r="BP35" i="10"/>
  <c r="A70" i="11" s="1" a="1"/>
  <c r="AW70" i="11" s="1"/>
  <c r="BQ65" i="10"/>
  <c r="BQ35" i="10"/>
  <c r="A71" i="11" s="1" a="1"/>
  <c r="AW71" i="11" s="1"/>
  <c r="BR35" i="10"/>
  <c r="A72" i="11" s="1" a="1"/>
  <c r="AW72" i="11" s="1"/>
  <c r="BR65" i="10"/>
  <c r="BS65" i="10"/>
  <c r="BS35" i="10"/>
  <c r="A73" i="11" s="1" a="1"/>
  <c r="AW73" i="11" s="1"/>
  <c r="BT35" i="10"/>
  <c r="A74" i="11" s="1" a="1"/>
  <c r="AW74" i="11" s="1"/>
  <c r="BT65" i="10"/>
  <c r="BU35" i="10"/>
  <c r="A75" i="11" s="1" a="1"/>
  <c r="AW75" i="11" s="1"/>
  <c r="BU65" i="10"/>
  <c r="BV35" i="10"/>
  <c r="A76" i="11" s="1" a="1"/>
  <c r="AW76" i="11" s="1"/>
  <c r="BV65" i="10"/>
  <c r="BW35" i="10"/>
  <c r="A77" i="11" s="1" a="1"/>
  <c r="AW77" i="11" s="1"/>
  <c r="BW65" i="10"/>
  <c r="BX35" i="10"/>
  <c r="A78" i="11" s="1" a="1"/>
  <c r="AW78" i="11" s="1"/>
  <c r="BX65" i="10"/>
  <c r="BY65" i="10"/>
  <c r="BY35" i="10"/>
  <c r="A79" i="11" s="1" a="1"/>
  <c r="AW79" i="11" s="1"/>
  <c r="BZ65" i="10"/>
  <c r="BZ35" i="10"/>
  <c r="A80" i="11" s="1" a="1"/>
  <c r="AW80" i="11" s="1"/>
  <c r="CA65" i="10"/>
  <c r="CA35" i="10"/>
  <c r="A81" i="11" s="1" a="1"/>
  <c r="AW81" i="11" s="1"/>
  <c r="CB65" i="10"/>
  <c r="CB35" i="10"/>
  <c r="A82" i="11" s="1" a="1"/>
  <c r="AW82" i="11" s="1"/>
  <c r="CC65" i="10"/>
  <c r="CC35" i="10"/>
  <c r="A83" i="11" s="1" a="1"/>
  <c r="AW83" i="11" s="1"/>
  <c r="CD65" i="10"/>
  <c r="CD35" i="10"/>
  <c r="A84" i="11" s="1" a="1"/>
  <c r="AW84" i="11" s="1"/>
  <c r="CE35" i="10"/>
  <c r="A85" i="11" s="1" a="1"/>
  <c r="AW85" i="11" s="1"/>
  <c r="CE65" i="10"/>
  <c r="CF65" i="10"/>
  <c r="CF35" i="10"/>
  <c r="A86" i="11" s="1" a="1"/>
  <c r="AW86" i="11" s="1"/>
  <c r="CG65" i="10"/>
  <c r="CG35" i="10"/>
  <c r="A87" i="11" s="1" a="1"/>
  <c r="AW87" i="11" s="1"/>
  <c r="CH35" i="10"/>
  <c r="CH65" i="10"/>
  <c r="CI65" i="10"/>
  <c r="CI35" i="10"/>
  <c r="A89" i="11" s="1" a="1"/>
  <c r="AW89" i="11" s="1"/>
  <c r="CJ65" i="10"/>
  <c r="CJ35" i="10"/>
  <c r="A90" i="11" s="1" a="1"/>
  <c r="AW90" i="11" s="1"/>
  <c r="CK35" i="10"/>
  <c r="A91" i="11" s="1" a="1"/>
  <c r="AW91" i="11" s="1"/>
  <c r="CK65" i="10"/>
  <c r="CL35" i="10"/>
  <c r="CL65" i="10"/>
  <c r="CM35" i="10"/>
  <c r="A93" i="11" s="1" a="1"/>
  <c r="AW93" i="11" s="1"/>
  <c r="CM65" i="10"/>
  <c r="CN65" i="10"/>
  <c r="CN35" i="10"/>
  <c r="A94" i="11" s="1" a="1"/>
  <c r="AW94" i="11" s="1"/>
  <c r="CO65" i="10"/>
  <c r="CO35" i="10"/>
  <c r="A95" i="11" s="1" a="1"/>
  <c r="AW95" i="11" s="1"/>
  <c r="CP65" i="10"/>
  <c r="CP35" i="10"/>
  <c r="A96" i="11" s="1" a="1"/>
  <c r="AW96" i="11" s="1"/>
  <c r="CQ35" i="10"/>
  <c r="A97" i="11" s="1" a="1"/>
  <c r="AW97" i="11" s="1"/>
  <c r="CQ65" i="10"/>
  <c r="CR35" i="10"/>
  <c r="A98" i="11" s="1" a="1"/>
  <c r="AW98" i="11" s="1"/>
  <c r="CR65" i="10"/>
  <c r="CS35" i="10"/>
  <c r="A99" i="11" s="1" a="1"/>
  <c r="AW99" i="11" s="1"/>
  <c r="CS65" i="10"/>
  <c r="CT35" i="10"/>
  <c r="A100" i="11" s="1" a="1"/>
  <c r="AW100" i="11" s="1"/>
  <c r="CT65" i="10"/>
  <c r="CU35" i="10"/>
  <c r="A101" i="11" s="1" a="1"/>
  <c r="AW101" i="11" s="1"/>
  <c r="CU65" i="10"/>
  <c r="CV35" i="10"/>
  <c r="A102" i="11" s="1" a="1"/>
  <c r="AW102" i="11" s="1"/>
  <c r="CV65" i="10"/>
  <c r="CW35" i="10"/>
  <c r="A103" i="11" s="1" a="1"/>
  <c r="AW103" i="11" s="1"/>
  <c r="CW65" i="10"/>
  <c r="CX65" i="10"/>
  <c r="CX35" i="10"/>
  <c r="A104" i="11" s="1" a="1"/>
  <c r="AW104" i="11" s="1"/>
  <c r="CY65" i="10"/>
  <c r="CY35" i="10"/>
  <c r="A105" i="11" s="1" a="1"/>
  <c r="AW105" i="11" s="1"/>
  <c r="CZ65" i="10"/>
  <c r="CZ35" i="10"/>
  <c r="A106" i="11" s="1" a="1"/>
  <c r="AW106" i="11" s="1"/>
  <c r="DA65" i="10"/>
  <c r="DA35" i="10"/>
  <c r="A107" i="11" s="1" a="1"/>
  <c r="AW107" i="11" s="1"/>
  <c r="DB65" i="10"/>
  <c r="DB35" i="10"/>
  <c r="A108" i="11" s="1" a="1"/>
  <c r="AW108" i="11" s="1"/>
  <c r="DC65" i="10"/>
  <c r="DC35" i="10"/>
  <c r="DD35" i="10"/>
  <c r="A110" i="11" s="1" a="1"/>
  <c r="DD65" i="10"/>
  <c r="DE65" i="10"/>
  <c r="DE35" i="10"/>
  <c r="A111" i="11" s="1" a="1"/>
  <c r="DF35" i="10"/>
  <c r="A112" i="11" s="1" a="1"/>
  <c r="DF65" i="10"/>
  <c r="DG35" i="10"/>
  <c r="A113" i="11" s="1" a="1"/>
  <c r="DG65" i="10"/>
  <c r="DH65" i="10"/>
  <c r="DH35" i="10"/>
  <c r="A114" i="11" s="1" a="1"/>
  <c r="DI65" i="10"/>
  <c r="DI35" i="10"/>
  <c r="A115" i="11" s="1" a="1"/>
  <c r="DJ65" i="10"/>
  <c r="DJ35" i="10"/>
  <c r="A116" i="11" s="1" a="1"/>
  <c r="DK65" i="10"/>
  <c r="DK35" i="10"/>
  <c r="A117" i="11" s="1" a="1"/>
  <c r="DL35" i="10"/>
  <c r="A118" i="11" s="1" a="1"/>
  <c r="DL65" i="10"/>
  <c r="DM65" i="10"/>
  <c r="DM35" i="10"/>
  <c r="A119" i="11" s="1" a="1"/>
  <c r="DN35" i="10"/>
  <c r="A120" i="11" s="1" a="1"/>
  <c r="DN65" i="10"/>
  <c r="DO35" i="10"/>
  <c r="A121" i="11" s="1" a="1"/>
  <c r="DO65" i="10"/>
  <c r="DP35" i="10"/>
  <c r="A122" i="11" s="1" a="1"/>
  <c r="DP65" i="10"/>
  <c r="DQ35" i="10"/>
  <c r="A123" i="11" s="1" a="1"/>
  <c r="DQ65" i="10"/>
  <c r="DR65" i="10"/>
  <c r="DR35" i="10"/>
  <c r="A124" i="11" s="1" a="1"/>
  <c r="DS65" i="10"/>
  <c r="DS35" i="10"/>
  <c r="A125" i="11" s="1" a="1"/>
  <c r="DT65" i="10"/>
  <c r="DT35" i="10"/>
  <c r="A126" i="11" s="1" a="1"/>
  <c r="DU65" i="10"/>
  <c r="DU35" i="10"/>
  <c r="A127" i="11" s="1" a="1"/>
  <c r="DV65" i="10"/>
  <c r="DV35" i="10"/>
  <c r="A128" i="11" s="1" a="1"/>
  <c r="DW65" i="10"/>
  <c r="DW35" i="10"/>
  <c r="A129" i="11" s="1" a="1"/>
  <c r="DX65" i="10"/>
  <c r="DX35" i="10"/>
  <c r="A130" i="11" s="1" a="1"/>
  <c r="DY65" i="10"/>
  <c r="DY35" i="10"/>
  <c r="A131" i="11" s="1" a="1"/>
  <c r="DZ65" i="10"/>
  <c r="DZ35" i="10"/>
  <c r="A132" i="11" s="1" a="1"/>
  <c r="EA65" i="10"/>
  <c r="EA35" i="10"/>
  <c r="A133" i="11" s="1" a="1"/>
  <c r="EB65" i="10"/>
  <c r="EB35" i="10"/>
  <c r="A134" i="11" s="1" a="1"/>
  <c r="EC65" i="10"/>
  <c r="EC35" i="10"/>
  <c r="A135" i="11" s="1" a="1"/>
  <c r="ED65" i="10"/>
  <c r="ED35" i="10"/>
  <c r="A136" i="11" s="1" a="1"/>
  <c r="EE65" i="10"/>
  <c r="EE35" i="10"/>
  <c r="A137" i="11" s="1" a="1"/>
  <c r="EF65" i="10"/>
  <c r="EF35" i="10"/>
  <c r="A138" i="11" s="1" a="1"/>
  <c r="EG65" i="10"/>
  <c r="EG35" i="10"/>
  <c r="A139" i="11" s="1" a="1"/>
  <c r="EH35" i="10"/>
  <c r="A140" i="11" s="1" a="1"/>
  <c r="EH65" i="10"/>
  <c r="EI35" i="10"/>
  <c r="A141" i="11" s="1" a="1"/>
  <c r="EI65" i="10"/>
  <c r="EJ35" i="10"/>
  <c r="A142" i="11" s="1" a="1"/>
  <c r="EJ65" i="10"/>
  <c r="EK35" i="10"/>
  <c r="A143" i="11" s="1" a="1"/>
  <c r="EK65" i="10"/>
  <c r="EL35" i="10"/>
  <c r="A144" i="11" s="1" a="1"/>
  <c r="EL65" i="10"/>
  <c r="EM35" i="10"/>
  <c r="A145" i="11" s="1" a="1"/>
  <c r="EM65" i="10"/>
  <c r="EN35" i="10"/>
  <c r="A146" i="11" s="1" a="1"/>
  <c r="EN65" i="10"/>
  <c r="EO35" i="10"/>
  <c r="A147" i="11" s="1" a="1"/>
  <c r="EO65" i="10"/>
  <c r="EP35" i="10"/>
  <c r="A148" i="11" s="1" a="1"/>
  <c r="EP65" i="10"/>
  <c r="EQ35" i="10"/>
  <c r="A149" i="11" s="1" a="1"/>
  <c r="EQ65" i="10"/>
  <c r="ER35" i="10"/>
  <c r="A150" i="11" s="1" a="1"/>
  <c r="ER65" i="10"/>
  <c r="ES35" i="10"/>
  <c r="A151" i="11" s="1" a="1"/>
  <c r="ES65" i="10"/>
  <c r="ET35" i="10"/>
  <c r="A152" i="11" s="1" a="1"/>
  <c r="ET65" i="10"/>
  <c r="EU35" i="10"/>
  <c r="A153" i="11" s="1" a="1"/>
  <c r="EU65" i="10"/>
  <c r="EV35" i="10"/>
  <c r="A154" i="11" s="1" a="1"/>
  <c r="EV65" i="10"/>
  <c r="EW35" i="10"/>
  <c r="A155" i="11" s="1" a="1"/>
  <c r="EW65" i="10"/>
  <c r="EX35" i="10"/>
  <c r="A156" i="11" s="1" a="1"/>
  <c r="EX65" i="10"/>
  <c r="EY35" i="10"/>
  <c r="A157" i="11" s="1" a="1"/>
  <c r="EY65" i="10"/>
  <c r="EZ35" i="10"/>
  <c r="A158" i="11" s="1" a="1"/>
  <c r="EZ65" i="10"/>
  <c r="FA35" i="10"/>
  <c r="A159" i="11" s="1" a="1"/>
  <c r="FA65" i="10"/>
  <c r="FB35" i="10"/>
  <c r="A160" i="11" s="1" a="1"/>
  <c r="FB65" i="10"/>
  <c r="FC65" i="10"/>
  <c r="FC35" i="10"/>
  <c r="A161" i="11" s="1" a="1"/>
  <c r="FD65" i="10"/>
  <c r="FD35" i="10"/>
  <c r="A162" i="11" s="1" a="1"/>
  <c r="FE65" i="10"/>
  <c r="FE35" i="10"/>
  <c r="A163" i="11" s="1" a="1"/>
  <c r="FF65" i="10"/>
  <c r="FF35" i="10"/>
  <c r="A164" i="11" s="1" a="1"/>
  <c r="FG65" i="10"/>
  <c r="FG35" i="10"/>
  <c r="A165" i="11" s="1" a="1"/>
  <c r="FH65" i="10"/>
  <c r="FH35" i="10"/>
  <c r="A166" i="11" s="1" a="1"/>
  <c r="FI35" i="10"/>
  <c r="A167" i="11" s="1" a="1"/>
  <c r="FI65" i="10"/>
  <c r="FJ65" i="10"/>
  <c r="FJ35" i="10"/>
  <c r="A168" i="11" s="1" a="1"/>
  <c r="FK65" i="10"/>
  <c r="FK35" i="10"/>
  <c r="A169" i="11" s="1" a="1"/>
  <c r="FL65" i="10"/>
  <c r="FL35" i="10"/>
  <c r="A170" i="11" s="1" a="1"/>
  <c r="FM35" i="10"/>
  <c r="A171" i="11" s="1" a="1"/>
  <c r="FM65" i="10"/>
  <c r="FN35" i="10"/>
  <c r="A172" i="11" s="1" a="1"/>
  <c r="FN65" i="10"/>
  <c r="FO35" i="10"/>
  <c r="A173" i="11" s="1" a="1"/>
  <c r="FO65" i="10"/>
  <c r="FP35" i="10"/>
  <c r="A174" i="11" s="1" a="1"/>
  <c r="FP65" i="10"/>
  <c r="FQ35" i="10"/>
  <c r="A175" i="11" s="1" a="1"/>
  <c r="FQ65" i="10"/>
  <c r="FR35" i="10"/>
  <c r="A176" i="11" s="1" a="1"/>
  <c r="FR65" i="10"/>
  <c r="FS65" i="10"/>
  <c r="FS35" i="10"/>
  <c r="A177" i="11" s="1" a="1"/>
  <c r="FT35" i="10"/>
  <c r="A178" i="11" s="1" a="1"/>
  <c r="FT65" i="10"/>
  <c r="FU35" i="10"/>
  <c r="A179" i="11" s="1" a="1"/>
  <c r="FU65" i="10"/>
  <c r="FV65" i="10"/>
  <c r="FV35" i="10"/>
  <c r="A180" i="11" s="1" a="1"/>
  <c r="FW35" i="10"/>
  <c r="A181" i="11" s="1" a="1"/>
  <c r="FW65" i="10"/>
  <c r="FX65" i="10"/>
  <c r="FX35" i="10"/>
  <c r="A182" i="11" s="1" a="1"/>
  <c r="FY35" i="10"/>
  <c r="A183" i="11" s="1" a="1"/>
  <c r="FY65" i="10"/>
  <c r="FZ35" i="10"/>
  <c r="A184" i="11" s="1" a="1"/>
  <c r="FZ65" i="10"/>
  <c r="GA65" i="10"/>
  <c r="GA35" i="10"/>
  <c r="A185" i="11" s="1" a="1"/>
  <c r="GB65" i="10"/>
  <c r="GB35" i="10"/>
  <c r="A186" i="11" s="1" a="1"/>
  <c r="GC65" i="10"/>
  <c r="GC35" i="10"/>
  <c r="A187" i="11" s="1" a="1"/>
  <c r="GD65" i="10"/>
  <c r="GD35" i="10"/>
  <c r="A188" i="11" s="1" a="1"/>
  <c r="GE65" i="10"/>
  <c r="GE35" i="10"/>
  <c r="A189" i="11" s="1" a="1"/>
  <c r="GF65" i="10"/>
  <c r="GF35" i="10"/>
  <c r="A190" i="11" s="1" a="1"/>
  <c r="GG65" i="10"/>
  <c r="GG35" i="10"/>
  <c r="A191" i="11" s="1" a="1"/>
  <c r="GH65" i="10"/>
  <c r="GH35" i="10"/>
  <c r="A192" i="11" s="1" a="1"/>
  <c r="GI65" i="10"/>
  <c r="GI35" i="10"/>
  <c r="A193" i="11" s="1" a="1"/>
  <c r="GJ65" i="10"/>
  <c r="GJ35" i="10"/>
  <c r="A194" i="11" s="1" a="1"/>
  <c r="GK65" i="10"/>
  <c r="GK35" i="10"/>
  <c r="A195" i="11" s="1" a="1"/>
  <c r="GL65" i="10"/>
  <c r="GL35" i="10"/>
  <c r="GM65" i="10"/>
  <c r="GM35" i="10"/>
  <c r="A197" i="11" s="1" a="1"/>
  <c r="GN65" i="10"/>
  <c r="GN35" i="10"/>
  <c r="A198" i="11" s="1" a="1"/>
  <c r="GO35" i="10"/>
  <c r="A199" i="11" s="1" a="1"/>
  <c r="GO65" i="10"/>
  <c r="GP35" i="10"/>
  <c r="A200" i="11" s="1" a="1"/>
  <c r="GP65" i="10"/>
  <c r="GQ65" i="10"/>
  <c r="GQ35" i="10"/>
  <c r="A201" i="11" s="1" a="1"/>
  <c r="GR35" i="10"/>
  <c r="A202" i="11" s="1" a="1"/>
  <c r="GR65" i="10"/>
  <c r="GS35" i="10"/>
  <c r="A203" i="11" s="1" a="1"/>
  <c r="GS65" i="10"/>
  <c r="S12" i="12"/>
  <c r="N12" i="12"/>
  <c r="N13" i="12"/>
  <c r="S13" i="12"/>
  <c r="S14" i="12"/>
  <c r="N14" i="12"/>
  <c r="S15" i="12"/>
  <c r="N15" i="12"/>
  <c r="N16" i="12"/>
  <c r="S16" i="12"/>
  <c r="N17" i="12"/>
  <c r="S17" i="12"/>
  <c r="N18" i="12"/>
  <c r="S18" i="12"/>
  <c r="S19" i="12"/>
  <c r="N19" i="12"/>
  <c r="N20" i="12"/>
  <c r="S20" i="12"/>
  <c r="N21" i="12"/>
  <c r="S21" i="12"/>
  <c r="S22" i="12"/>
  <c r="N22" i="12"/>
  <c r="S23" i="12"/>
  <c r="N23" i="12"/>
  <c r="S24" i="12"/>
  <c r="N24" i="12"/>
  <c r="S25" i="12"/>
  <c r="N25" i="12"/>
  <c r="S26" i="12"/>
  <c r="N26" i="12"/>
  <c r="S27" i="12"/>
  <c r="N27" i="12"/>
  <c r="N28" i="12"/>
  <c r="S28" i="12"/>
  <c r="N29" i="12"/>
  <c r="S29" i="12"/>
  <c r="N30" i="12"/>
  <c r="S30" i="12"/>
  <c r="S31" i="12"/>
  <c r="N31" i="12"/>
  <c r="N32" i="12"/>
  <c r="S32" i="12"/>
  <c r="N33" i="12"/>
  <c r="S33" i="12"/>
  <c r="N34" i="12"/>
  <c r="S34" i="12"/>
  <c r="S35" i="12"/>
  <c r="N35" i="12"/>
  <c r="N36" i="12"/>
  <c r="S36" i="12"/>
  <c r="N37" i="12"/>
  <c r="S37" i="12"/>
  <c r="D35" i="14"/>
  <c r="D30" i="14"/>
  <c r="D37" i="14"/>
  <c r="D26" i="14"/>
  <c r="D27" i="14"/>
  <c r="D28" i="14"/>
  <c r="D29" i="14"/>
  <c r="D36" i="14"/>
  <c r="D24" i="14"/>
  <c r="D31" i="14"/>
  <c r="D32" i="14"/>
  <c r="D25" i="14"/>
  <c r="D33" i="14"/>
  <c r="D34" i="14"/>
  <c r="GY85" i="10"/>
  <c r="GY86" i="10"/>
  <c r="K29" i="3"/>
  <c r="H9" i="12" l="1" a="1"/>
  <c r="C9" i="12" s="1"/>
  <c r="D9" i="12" s="1"/>
  <c r="F9" i="12" s="1"/>
  <c r="A9" i="11" a="1"/>
  <c r="H19" i="12" a="1"/>
  <c r="C19" i="12" s="1"/>
  <c r="D19" i="12" s="1"/>
  <c r="F19" i="12" s="1"/>
  <c r="A51" i="11" a="1"/>
  <c r="H6" i="12" a="1"/>
  <c r="A88" i="11" a="1"/>
  <c r="H7" i="12" a="1"/>
  <c r="C7" i="12" s="1"/>
  <c r="D7" i="12" s="1"/>
  <c r="F7" i="12" s="1"/>
  <c r="A196" i="11" a="1"/>
  <c r="H8" i="12" a="1"/>
  <c r="C8" i="12" s="1"/>
  <c r="D8" i="12" s="1"/>
  <c r="F8" i="12" s="1"/>
  <c r="A10" i="11" a="1"/>
  <c r="H16" i="12" a="1"/>
  <c r="C16" i="12" s="1"/>
  <c r="D16" i="12" s="1"/>
  <c r="F16" i="12" s="1"/>
  <c r="A48" i="11" a="1"/>
  <c r="H17" i="12" a="1"/>
  <c r="C17" i="12" s="1"/>
  <c r="D17" i="12" s="1"/>
  <c r="F17" i="12" s="1"/>
  <c r="A92" i="11" a="1"/>
  <c r="H18" i="12" a="1"/>
  <c r="C18" i="12" s="1"/>
  <c r="D18" i="12" s="1"/>
  <c r="F18" i="12" s="1"/>
  <c r="A109" i="11" a="1"/>
  <c r="H15" i="12" a="1"/>
  <c r="C15" i="12" s="1"/>
  <c r="D15" i="12" s="1"/>
  <c r="F15" i="12" s="1"/>
  <c r="AW110" i="11"/>
  <c r="BS110" i="11"/>
  <c r="BS111" i="11"/>
  <c r="AW111" i="11"/>
  <c r="BS112" i="11"/>
  <c r="AW112" i="11"/>
  <c r="AW113" i="11"/>
  <c r="BS113" i="11"/>
  <c r="BS114" i="11"/>
  <c r="AW114" i="11"/>
  <c r="AW115" i="11"/>
  <c r="BS115" i="11"/>
  <c r="AW116" i="11"/>
  <c r="BS116" i="11"/>
  <c r="AW117" i="11"/>
  <c r="BS117" i="11"/>
  <c r="AW118" i="11"/>
  <c r="BS118" i="11"/>
  <c r="BS119" i="11"/>
  <c r="AW119" i="11"/>
  <c r="AW120" i="11"/>
  <c r="BS120" i="11"/>
  <c r="BS121" i="11"/>
  <c r="AW121" i="11"/>
  <c r="AW122" i="11"/>
  <c r="BS122" i="11"/>
  <c r="AW123" i="11"/>
  <c r="BS123" i="11"/>
  <c r="BS124" i="11"/>
  <c r="AW124" i="11"/>
  <c r="AW125" i="11"/>
  <c r="BS125" i="11"/>
  <c r="AW126" i="11"/>
  <c r="BS126" i="11"/>
  <c r="BS127" i="11"/>
  <c r="AW127" i="11"/>
  <c r="AW128" i="11"/>
  <c r="BS128" i="11"/>
  <c r="AW129" i="11"/>
  <c r="BS129" i="11"/>
  <c r="AW130" i="11"/>
  <c r="BS130" i="11"/>
  <c r="AW131" i="11"/>
  <c r="BS131" i="11"/>
  <c r="AW132" i="11"/>
  <c r="BS132" i="11"/>
  <c r="BS133" i="11"/>
  <c r="AW133" i="11"/>
  <c r="AW134" i="11"/>
  <c r="BS134" i="11"/>
  <c r="AW135" i="11"/>
  <c r="BS135" i="11"/>
  <c r="AW136" i="11"/>
  <c r="BS136" i="11"/>
  <c r="AW137" i="11"/>
  <c r="BS137" i="11"/>
  <c r="AW138" i="11"/>
  <c r="BS138" i="11"/>
  <c r="AW139" i="11"/>
  <c r="BS139" i="11"/>
  <c r="BS140" i="11"/>
  <c r="AW140" i="11"/>
  <c r="BS141" i="11"/>
  <c r="AW141" i="11"/>
  <c r="AW142" i="11"/>
  <c r="BS142" i="11"/>
  <c r="AW143" i="11"/>
  <c r="BS143" i="11"/>
  <c r="AW144" i="11"/>
  <c r="BS144" i="11"/>
  <c r="AW145" i="11"/>
  <c r="BS145" i="11"/>
  <c r="BS146" i="11"/>
  <c r="AW146" i="11"/>
  <c r="AW147" i="11"/>
  <c r="BS147" i="11"/>
  <c r="BS148" i="11"/>
  <c r="AW148" i="11"/>
  <c r="AW149" i="11"/>
  <c r="BS149" i="11"/>
  <c r="AW150" i="11"/>
  <c r="BS150" i="11"/>
  <c r="AW151" i="11"/>
  <c r="BS151" i="11"/>
  <c r="BS152" i="11"/>
  <c r="AW152" i="11"/>
  <c r="AW153" i="11"/>
  <c r="BS153" i="11"/>
  <c r="AW154" i="11"/>
  <c r="BS154" i="11"/>
  <c r="BS155" i="11"/>
  <c r="AW155" i="11"/>
  <c r="AW156" i="11"/>
  <c r="BS156" i="11"/>
  <c r="AW157" i="11"/>
  <c r="BS157" i="11"/>
  <c r="BS158" i="11"/>
  <c r="AW158" i="11"/>
  <c r="BS159" i="11"/>
  <c r="AW159" i="11"/>
  <c r="AW160" i="11"/>
  <c r="BS160" i="11"/>
  <c r="BS161" i="11"/>
  <c r="AW161" i="11"/>
  <c r="BS162" i="11"/>
  <c r="AW162" i="11"/>
  <c r="AW163" i="11"/>
  <c r="BS163" i="11"/>
  <c r="AW164" i="11"/>
  <c r="BS164" i="11"/>
  <c r="AW165" i="11"/>
  <c r="BS165" i="11"/>
  <c r="BS166" i="11"/>
  <c r="AW166" i="11"/>
  <c r="BS167" i="11"/>
  <c r="AW167" i="11"/>
  <c r="AW168" i="11"/>
  <c r="BS168" i="11"/>
  <c r="BS169" i="11"/>
  <c r="AW169" i="11"/>
  <c r="AW170" i="11"/>
  <c r="BS170" i="11"/>
  <c r="AW171" i="11"/>
  <c r="BS171" i="11"/>
  <c r="BS172" i="11"/>
  <c r="AW172" i="11"/>
  <c r="BS173" i="11"/>
  <c r="AW173" i="11"/>
  <c r="AW174" i="11"/>
  <c r="BS174" i="11"/>
  <c r="BS175" i="11"/>
  <c r="AW175" i="11"/>
  <c r="BS176" i="11"/>
  <c r="AW176" i="11"/>
  <c r="AW177" i="11"/>
  <c r="BS177" i="11"/>
  <c r="AW178" i="11"/>
  <c r="BS178" i="11"/>
  <c r="BS179" i="11"/>
  <c r="AW179" i="11"/>
  <c r="AW180" i="11"/>
  <c r="BS180" i="11"/>
  <c r="AW181" i="11"/>
  <c r="BS181" i="11"/>
  <c r="BS182" i="11"/>
  <c r="AW182" i="11"/>
  <c r="AW183" i="11"/>
  <c r="BS183" i="11"/>
  <c r="BS184" i="11"/>
  <c r="AW184" i="11"/>
  <c r="AW185" i="11"/>
  <c r="BS185" i="11"/>
  <c r="AW186" i="11"/>
  <c r="BS186" i="11"/>
  <c r="AW187" i="11"/>
  <c r="BS187" i="11"/>
  <c r="AW188" i="11"/>
  <c r="BS188" i="11"/>
  <c r="AW189" i="11"/>
  <c r="BS189" i="11"/>
  <c r="AW190" i="11"/>
  <c r="BS190" i="11"/>
  <c r="AW191" i="11"/>
  <c r="BS191" i="11"/>
  <c r="AW192" i="11"/>
  <c r="BS192" i="11"/>
  <c r="BS193" i="11"/>
  <c r="AW193" i="11"/>
  <c r="AW194" i="11"/>
  <c r="BS194" i="11"/>
  <c r="BS195" i="11"/>
  <c r="AW195" i="11"/>
  <c r="BS196" i="11"/>
  <c r="AW196" i="11"/>
  <c r="BS197" i="11"/>
  <c r="AW197" i="11"/>
  <c r="AW198" i="11"/>
  <c r="BS198" i="11"/>
  <c r="AW199" i="11"/>
  <c r="BS199" i="11"/>
  <c r="AW200" i="11"/>
  <c r="BS200" i="11"/>
  <c r="AW201" i="11"/>
  <c r="BS201" i="11"/>
  <c r="AW202" i="11"/>
  <c r="BS202" i="11"/>
  <c r="BS203" i="11"/>
  <c r="AW203" i="11"/>
  <c r="C6" i="12"/>
  <c r="D6" i="12" s="1"/>
  <c r="F6" i="12" s="1"/>
  <c r="EM20" i="5"/>
  <c r="EM19" i="5"/>
  <c r="EM18" i="5"/>
  <c r="EM17" i="5"/>
  <c r="EM16" i="5"/>
  <c r="EM15" i="5"/>
  <c r="EM14" i="5"/>
  <c r="EM13" i="5"/>
  <c r="EM12" i="5"/>
  <c r="EM11" i="5"/>
  <c r="EM30" i="5"/>
  <c r="EM29" i="5"/>
  <c r="EM28" i="5"/>
  <c r="EM27" i="5"/>
  <c r="EM26" i="5"/>
  <c r="EM25" i="5"/>
  <c r="EM24" i="5"/>
  <c r="EM23" i="5"/>
  <c r="EM22" i="5"/>
  <c r="EM21" i="5"/>
  <c r="EM10" i="5"/>
  <c r="EM9" i="5"/>
  <c r="EM8" i="5"/>
  <c r="EM7" i="5"/>
  <c r="EM6" i="5"/>
  <c r="EM5" i="5"/>
  <c r="DM24" i="11"/>
  <c r="DM23" i="11"/>
  <c r="DM22" i="11"/>
  <c r="DM21" i="11"/>
  <c r="DM20" i="11"/>
  <c r="DM16" i="11"/>
  <c r="DM32" i="11"/>
  <c r="DM31" i="11"/>
  <c r="DM30" i="11"/>
  <c r="DM25" i="11"/>
  <c r="DM48" i="11"/>
  <c r="DM44" i="11"/>
  <c r="DM40" i="11"/>
  <c r="DM38" i="11"/>
  <c r="DM53" i="11"/>
  <c r="DM52" i="11"/>
  <c r="DM69" i="11"/>
  <c r="DM81" i="11"/>
  <c r="DM74" i="11"/>
  <c r="DM93" i="11"/>
  <c r="DM91" i="11"/>
  <c r="DM90" i="11"/>
  <c r="DM89" i="11"/>
  <c r="DM88" i="11"/>
  <c r="DM87" i="11"/>
  <c r="DM86" i="11"/>
  <c r="DM85" i="11"/>
  <c r="DM108" i="11"/>
  <c r="DM107" i="11"/>
  <c r="DM106" i="11"/>
  <c r="DM105" i="11"/>
  <c r="DM104" i="11"/>
  <c r="DM103" i="11"/>
  <c r="DM102" i="11"/>
  <c r="DM101" i="11"/>
  <c r="DM100" i="11"/>
  <c r="DM99" i="11"/>
  <c r="DM98" i="11"/>
  <c r="DM97" i="11"/>
  <c r="DM120" i="11"/>
  <c r="DM119" i="11"/>
  <c r="DM118" i="11"/>
  <c r="DM117" i="11"/>
  <c r="DM116" i="11"/>
  <c r="DM115" i="11"/>
  <c r="DM114" i="11"/>
  <c r="DM113" i="11"/>
  <c r="DM112" i="11"/>
  <c r="DM111" i="11"/>
  <c r="DM110" i="11"/>
  <c r="DM109" i="11"/>
  <c r="DM132" i="11"/>
  <c r="DM131" i="11"/>
  <c r="DM130" i="11"/>
  <c r="DM129" i="11"/>
  <c r="DM128" i="11"/>
  <c r="DM127" i="11"/>
  <c r="DM13" i="11"/>
  <c r="DM35" i="11"/>
  <c r="DM34" i="11"/>
  <c r="DM43" i="11"/>
  <c r="DM39" i="11"/>
  <c r="DM57" i="11"/>
  <c r="DM56" i="11"/>
  <c r="DM49" i="11"/>
  <c r="DM72" i="11"/>
  <c r="DM68" i="11"/>
  <c r="DM67" i="11"/>
  <c r="DM65" i="11"/>
  <c r="DM77" i="11"/>
  <c r="DM125" i="11"/>
  <c r="DM122" i="11"/>
  <c r="DM121" i="11"/>
  <c r="DM142" i="11"/>
  <c r="DM141" i="11"/>
  <c r="DM140" i="11"/>
  <c r="DM139" i="11"/>
  <c r="DM138" i="11"/>
  <c r="DM137" i="11"/>
  <c r="DM135" i="11"/>
  <c r="DM134" i="11"/>
  <c r="DM153" i="11"/>
  <c r="DM152" i="11"/>
  <c r="DM151" i="11"/>
  <c r="DM149" i="11"/>
  <c r="DM145" i="11"/>
  <c r="DM168" i="11"/>
  <c r="DM167" i="11"/>
  <c r="DM166" i="11"/>
  <c r="DM165" i="11"/>
  <c r="DM164" i="11"/>
  <c r="DM163" i="11"/>
  <c r="DM162" i="11"/>
  <c r="DM161" i="11"/>
  <c r="DM160" i="11"/>
  <c r="DM159" i="11"/>
  <c r="DM158" i="11"/>
  <c r="DM157" i="11"/>
  <c r="DM180" i="11"/>
  <c r="DM179" i="11"/>
  <c r="DM178" i="11"/>
  <c r="DM177" i="11"/>
  <c r="DM176" i="11"/>
  <c r="DM175" i="11"/>
  <c r="DM174" i="11"/>
  <c r="DM173" i="11"/>
  <c r="DM172" i="11"/>
  <c r="DM171" i="11"/>
  <c r="DM170" i="11"/>
  <c r="DM169" i="11"/>
  <c r="DM192" i="11"/>
  <c r="DM191" i="11"/>
  <c r="DM190" i="11"/>
  <c r="DM18" i="11"/>
  <c r="DM33" i="11"/>
  <c r="DM42" i="11"/>
  <c r="DM41" i="11"/>
  <c r="DM58" i="11"/>
  <c r="DM55" i="11"/>
  <c r="DM70" i="11"/>
  <c r="DM63" i="11"/>
  <c r="DM62" i="11"/>
  <c r="DM61" i="11"/>
  <c r="DM84" i="11"/>
  <c r="DM78" i="11"/>
  <c r="DM76" i="11"/>
  <c r="DM96" i="11"/>
  <c r="DM92" i="11"/>
  <c r="DM126" i="11"/>
  <c r="DM124" i="11"/>
  <c r="DM143" i="11"/>
  <c r="DM136" i="11"/>
  <c r="DM133" i="11"/>
  <c r="DM156" i="11"/>
  <c r="DM154" i="11"/>
  <c r="DM150" i="11"/>
  <c r="DM147" i="11"/>
  <c r="DM146" i="11"/>
  <c r="DM189" i="11"/>
  <c r="DM187" i="11"/>
  <c r="DM186" i="11"/>
  <c r="DM185" i="11"/>
  <c r="DM202" i="11"/>
  <c r="DM201" i="11"/>
  <c r="DM200" i="11"/>
  <c r="DM198" i="11"/>
  <c r="DM195" i="11"/>
  <c r="DM194" i="11"/>
  <c r="DM193" i="11"/>
  <c r="DM17" i="11"/>
  <c r="DM14" i="11"/>
  <c r="DM28" i="11"/>
  <c r="DM26" i="11"/>
  <c r="DM47" i="11"/>
  <c r="DM37" i="11"/>
  <c r="DM54" i="11"/>
  <c r="DM64" i="11"/>
  <c r="DM80" i="11"/>
  <c r="DM94" i="11"/>
  <c r="DM123" i="11"/>
  <c r="DM144" i="11"/>
  <c r="DM155" i="11"/>
  <c r="DM148" i="11"/>
  <c r="DM188" i="11"/>
  <c r="DM184" i="11"/>
  <c r="DM183" i="11"/>
  <c r="DM182" i="11"/>
  <c r="DM181" i="11"/>
  <c r="DM203" i="11"/>
  <c r="DM199" i="11"/>
  <c r="DM197" i="11"/>
  <c r="DM196" i="11"/>
  <c r="DM36" i="11"/>
  <c r="DM59" i="11"/>
  <c r="DM79" i="11"/>
  <c r="DM19" i="11"/>
  <c r="DM15" i="11"/>
  <c r="DM45" i="11"/>
  <c r="DM60" i="11"/>
  <c r="DM50" i="11"/>
  <c r="DM66" i="11"/>
  <c r="DM83" i="11"/>
  <c r="DM73" i="11"/>
  <c r="DM95" i="11"/>
  <c r="DM29" i="11"/>
  <c r="DM27" i="11"/>
  <c r="DM46" i="11"/>
  <c r="DM51" i="11"/>
  <c r="DM71" i="11"/>
  <c r="DM82" i="11"/>
  <c r="DM75" i="11"/>
  <c r="DM12" i="11"/>
  <c r="DM11" i="11"/>
  <c r="DM10" i="11"/>
  <c r="DM9" i="11"/>
  <c r="DM8" i="11"/>
  <c r="DM7" i="11"/>
  <c r="DM6" i="11"/>
  <c r="DM5" i="11"/>
  <c r="DM4" i="11"/>
  <c r="EN20" i="5"/>
  <c r="EN19" i="5"/>
  <c r="EN18" i="5"/>
  <c r="EN17" i="5"/>
  <c r="EN16" i="5"/>
  <c r="EN15" i="5"/>
  <c r="EN14" i="5"/>
  <c r="EN13" i="5"/>
  <c r="EN12" i="5"/>
  <c r="EN11" i="5"/>
  <c r="EN30" i="5"/>
  <c r="EN29" i="5"/>
  <c r="EN28" i="5"/>
  <c r="EN27" i="5"/>
  <c r="EN26" i="5"/>
  <c r="EN25" i="5"/>
  <c r="EN24" i="5"/>
  <c r="EN23" i="5"/>
  <c r="EN22" i="5"/>
  <c r="EN21" i="5"/>
  <c r="EN10" i="5"/>
  <c r="EN9" i="5"/>
  <c r="EN8" i="5"/>
  <c r="EN7" i="5"/>
  <c r="EN6" i="5"/>
  <c r="EN5" i="5"/>
  <c r="DN24" i="11"/>
  <c r="DN23" i="11"/>
  <c r="DN22" i="11"/>
  <c r="DN21" i="11"/>
  <c r="DN20" i="11"/>
  <c r="DN15" i="11"/>
  <c r="DN36" i="11"/>
  <c r="DN35" i="11"/>
  <c r="DN30" i="11"/>
  <c r="DN25" i="11"/>
  <c r="DN38" i="11"/>
  <c r="DN58" i="11"/>
  <c r="DN49" i="11"/>
  <c r="DN69" i="11"/>
  <c r="DN79" i="11"/>
  <c r="DN77" i="11"/>
  <c r="DN76" i="11"/>
  <c r="DN93" i="11"/>
  <c r="DN92" i="11"/>
  <c r="DN91" i="11"/>
  <c r="DN90" i="11"/>
  <c r="DN89" i="11"/>
  <c r="DN88" i="11"/>
  <c r="DN87" i="11"/>
  <c r="DN86" i="11"/>
  <c r="DN85" i="11"/>
  <c r="DN108" i="11"/>
  <c r="DN107" i="11"/>
  <c r="DN106" i="11"/>
  <c r="DN105" i="11"/>
  <c r="DN104" i="11"/>
  <c r="DN103" i="11"/>
  <c r="DN102" i="11"/>
  <c r="DN101" i="11"/>
  <c r="DN100" i="11"/>
  <c r="DN99" i="11"/>
  <c r="DN98" i="11"/>
  <c r="DN97" i="11"/>
  <c r="DN120" i="11"/>
  <c r="DN119" i="11"/>
  <c r="DN118" i="11"/>
  <c r="DN117" i="11"/>
  <c r="DN116" i="11"/>
  <c r="DN115" i="11"/>
  <c r="DN114" i="11"/>
  <c r="DN113" i="11"/>
  <c r="DN112" i="11"/>
  <c r="DN111" i="11"/>
  <c r="DN110" i="11"/>
  <c r="DN109" i="11"/>
  <c r="DN132" i="11"/>
  <c r="DN131" i="11"/>
  <c r="DN130" i="11"/>
  <c r="DN129" i="11"/>
  <c r="DN128" i="11"/>
  <c r="DN127" i="11"/>
  <c r="DN17" i="11"/>
  <c r="DN43" i="11"/>
  <c r="DN39" i="11"/>
  <c r="DN60" i="11"/>
  <c r="DN67" i="11"/>
  <c r="DN65" i="11"/>
  <c r="DN84" i="11"/>
  <c r="DN81" i="11"/>
  <c r="DN80" i="11"/>
  <c r="DN126" i="11"/>
  <c r="DN125" i="11"/>
  <c r="DN122" i="11"/>
  <c r="DN121" i="11"/>
  <c r="DN142" i="11"/>
  <c r="DN141" i="11"/>
  <c r="DN140" i="11"/>
  <c r="DN139" i="11"/>
  <c r="DN138" i="11"/>
  <c r="DN137" i="11"/>
  <c r="DN135" i="11"/>
  <c r="DN134" i="11"/>
  <c r="DN153" i="11"/>
  <c r="DN152" i="11"/>
  <c r="DN151" i="11"/>
  <c r="DN149" i="11"/>
  <c r="DN145" i="11"/>
  <c r="DN168" i="11"/>
  <c r="DN167" i="11"/>
  <c r="DN166" i="11"/>
  <c r="DN165" i="11"/>
  <c r="DN164" i="11"/>
  <c r="DN163" i="11"/>
  <c r="DN162" i="11"/>
  <c r="DN161" i="11"/>
  <c r="DN160" i="11"/>
  <c r="DN159" i="11"/>
  <c r="DN158" i="11"/>
  <c r="DN157" i="11"/>
  <c r="DN180" i="11"/>
  <c r="DN179" i="11"/>
  <c r="DN178" i="11"/>
  <c r="DN177" i="11"/>
  <c r="DN176" i="11"/>
  <c r="DN175" i="11"/>
  <c r="DN174" i="11"/>
  <c r="DN173" i="11"/>
  <c r="DN172" i="11"/>
  <c r="DN171" i="11"/>
  <c r="DN170" i="11"/>
  <c r="DN169" i="11"/>
  <c r="DN192" i="11"/>
  <c r="DN191" i="11"/>
  <c r="DN190" i="11"/>
  <c r="DN18" i="11"/>
  <c r="DN33" i="11"/>
  <c r="DN31" i="11"/>
  <c r="DN42" i="11"/>
  <c r="DN63" i="11"/>
  <c r="DN62" i="11"/>
  <c r="DN78" i="11"/>
  <c r="DN73" i="11"/>
  <c r="DN143" i="11"/>
  <c r="DN136" i="11"/>
  <c r="DN133" i="11"/>
  <c r="DN156" i="11"/>
  <c r="DN154" i="11"/>
  <c r="DN150" i="11"/>
  <c r="DN147" i="11"/>
  <c r="DN146" i="11"/>
  <c r="DN189" i="11"/>
  <c r="DN188" i="11"/>
  <c r="DN187" i="11"/>
  <c r="DN185" i="11"/>
  <c r="DN202" i="11"/>
  <c r="DN201" i="11"/>
  <c r="DN200" i="11"/>
  <c r="DN194" i="11"/>
  <c r="DN193" i="11"/>
  <c r="DN34" i="11"/>
  <c r="DN26" i="11"/>
  <c r="DN37" i="11"/>
  <c r="DN68" i="11"/>
  <c r="DN64" i="11"/>
  <c r="DN61" i="11"/>
  <c r="DN74" i="11"/>
  <c r="DN94" i="11"/>
  <c r="DN123" i="11"/>
  <c r="DN144" i="11"/>
  <c r="DN155" i="11"/>
  <c r="DN148" i="11"/>
  <c r="DN186" i="11"/>
  <c r="DN184" i="11"/>
  <c r="DN183" i="11"/>
  <c r="DN182" i="11"/>
  <c r="DN181" i="11"/>
  <c r="DN203" i="11"/>
  <c r="DN199" i="11"/>
  <c r="DN198" i="11"/>
  <c r="DN197" i="11"/>
  <c r="DN196" i="11"/>
  <c r="DN195" i="11"/>
  <c r="DN13" i="11"/>
  <c r="DN32" i="11"/>
  <c r="DN48" i="11"/>
  <c r="DN47" i="11"/>
  <c r="DN44" i="11"/>
  <c r="DN41" i="11"/>
  <c r="DN40" i="11"/>
  <c r="DN56" i="11"/>
  <c r="DN53" i="11"/>
  <c r="DN52" i="11"/>
  <c r="DN72" i="11"/>
  <c r="DN70" i="11"/>
  <c r="DN19" i="11"/>
  <c r="DN14" i="11"/>
  <c r="DN28" i="11"/>
  <c r="DN54" i="11"/>
  <c r="DN50" i="11"/>
  <c r="DN66" i="11"/>
  <c r="DN83" i="11"/>
  <c r="DN82" i="11"/>
  <c r="DN124" i="11"/>
  <c r="DN16" i="11"/>
  <c r="DN29" i="11"/>
  <c r="DN27" i="11"/>
  <c r="DN46" i="11"/>
  <c r="DN45" i="11"/>
  <c r="DN59" i="11"/>
  <c r="DN57" i="11"/>
  <c r="DN55" i="11"/>
  <c r="DN51" i="11"/>
  <c r="DN71" i="11"/>
  <c r="DN75" i="11"/>
  <c r="DN96" i="11"/>
  <c r="DN95" i="11"/>
  <c r="DN12" i="11"/>
  <c r="DN11" i="11"/>
  <c r="DN10" i="11"/>
  <c r="DN9" i="11"/>
  <c r="DN8" i="11"/>
  <c r="DN7" i="11"/>
  <c r="DN6" i="11"/>
  <c r="DN5" i="11"/>
  <c r="DN4" i="11"/>
  <c r="EO20" i="5"/>
  <c r="EO19" i="5"/>
  <c r="EO18" i="5"/>
  <c r="EO17" i="5"/>
  <c r="EO16" i="5"/>
  <c r="EO15" i="5"/>
  <c r="EO14" i="5"/>
  <c r="EO13" i="5"/>
  <c r="EO12" i="5"/>
  <c r="EO11" i="5"/>
  <c r="EO30" i="5"/>
  <c r="EO29" i="5"/>
  <c r="EO28" i="5"/>
  <c r="EO27" i="5"/>
  <c r="EO26" i="5"/>
  <c r="EO25" i="5"/>
  <c r="EO24" i="5"/>
  <c r="EO23" i="5"/>
  <c r="EO22" i="5"/>
  <c r="EO21" i="5"/>
  <c r="EO10" i="5"/>
  <c r="EO9" i="5"/>
  <c r="EO8" i="5"/>
  <c r="EO7" i="5"/>
  <c r="EO6" i="5"/>
  <c r="EO5" i="5"/>
  <c r="DO24" i="11"/>
  <c r="DO23" i="11"/>
  <c r="DO22" i="11"/>
  <c r="DO21" i="11"/>
  <c r="DO20" i="11"/>
  <c r="DO16" i="11"/>
  <c r="DO32" i="11"/>
  <c r="DO25" i="11"/>
  <c r="DO48" i="11"/>
  <c r="DO44" i="11"/>
  <c r="DO40" i="11"/>
  <c r="DO38" i="11"/>
  <c r="DO58" i="11"/>
  <c r="DO53" i="11"/>
  <c r="DO52" i="11"/>
  <c r="DO69" i="11"/>
  <c r="DO81" i="11"/>
  <c r="DO74" i="11"/>
  <c r="DO73" i="11"/>
  <c r="DO93" i="11"/>
  <c r="DO91" i="11"/>
  <c r="DO90" i="11"/>
  <c r="DO89" i="11"/>
  <c r="DO88" i="11"/>
  <c r="DO87" i="11"/>
  <c r="DO86" i="11"/>
  <c r="DO85" i="11"/>
  <c r="DO108" i="11"/>
  <c r="DO107" i="11"/>
  <c r="DO106" i="11"/>
  <c r="DO105" i="11"/>
  <c r="DO104" i="11"/>
  <c r="DO103" i="11"/>
  <c r="DO102" i="11"/>
  <c r="DO101" i="11"/>
  <c r="DO100" i="11"/>
  <c r="DO99" i="11"/>
  <c r="DO98" i="11"/>
  <c r="DO97" i="11"/>
  <c r="DO120" i="11"/>
  <c r="DO119" i="11"/>
  <c r="DO118" i="11"/>
  <c r="DO117" i="11"/>
  <c r="DO116" i="11"/>
  <c r="DO115" i="11"/>
  <c r="DO114" i="11"/>
  <c r="DO113" i="11"/>
  <c r="DO112" i="11"/>
  <c r="DO111" i="11"/>
  <c r="DO110" i="11"/>
  <c r="DO109" i="11"/>
  <c r="DO132" i="11"/>
  <c r="DO131" i="11"/>
  <c r="DO130" i="11"/>
  <c r="DO129" i="11"/>
  <c r="DO128" i="11"/>
  <c r="DO127" i="11"/>
  <c r="DO17" i="11"/>
  <c r="DO13" i="11"/>
  <c r="DO35" i="11"/>
  <c r="DO39" i="11"/>
  <c r="DO57" i="11"/>
  <c r="DO56" i="11"/>
  <c r="DO49" i="11"/>
  <c r="DO72" i="11"/>
  <c r="DO71" i="11"/>
  <c r="DO67" i="11"/>
  <c r="DO65" i="11"/>
  <c r="DO77" i="11"/>
  <c r="DO94" i="11"/>
  <c r="DO125" i="11"/>
  <c r="DO122" i="11"/>
  <c r="DO121" i="11"/>
  <c r="DO142" i="11"/>
  <c r="DO141" i="11"/>
  <c r="DO140" i="11"/>
  <c r="DO139" i="11"/>
  <c r="DO138" i="11"/>
  <c r="DO137" i="11"/>
  <c r="DO135" i="11"/>
  <c r="DO134" i="11"/>
  <c r="DO153" i="11"/>
  <c r="DO152" i="11"/>
  <c r="DO151" i="11"/>
  <c r="DO149" i="11"/>
  <c r="DO145" i="11"/>
  <c r="DO168" i="11"/>
  <c r="DO167" i="11"/>
  <c r="DO166" i="11"/>
  <c r="DO165" i="11"/>
  <c r="DO164" i="11"/>
  <c r="DO163" i="11"/>
  <c r="DO162" i="11"/>
  <c r="DO161" i="11"/>
  <c r="DO160" i="11"/>
  <c r="DO159" i="11"/>
  <c r="DO158" i="11"/>
  <c r="DO157" i="11"/>
  <c r="DO180" i="11"/>
  <c r="DO179" i="11"/>
  <c r="DO178" i="11"/>
  <c r="DO177" i="11"/>
  <c r="DO176" i="11"/>
  <c r="DO175" i="11"/>
  <c r="DO174" i="11"/>
  <c r="DO173" i="11"/>
  <c r="DO172" i="11"/>
  <c r="DO171" i="11"/>
  <c r="DO170" i="11"/>
  <c r="DO169" i="11"/>
  <c r="DO192" i="11"/>
  <c r="DO191" i="11"/>
  <c r="DO190" i="11"/>
  <c r="DO18" i="11"/>
  <c r="DO33" i="11"/>
  <c r="DO31" i="11"/>
  <c r="DO42" i="11"/>
  <c r="DO41" i="11"/>
  <c r="DO37" i="11"/>
  <c r="DO70" i="11"/>
  <c r="DO63" i="11"/>
  <c r="DO62" i="11"/>
  <c r="DO61" i="11"/>
  <c r="DO84" i="11"/>
  <c r="DO83" i="11"/>
  <c r="DO76" i="11"/>
  <c r="DO96" i="11"/>
  <c r="DO92" i="11"/>
  <c r="DO126" i="11"/>
  <c r="DO124" i="11"/>
  <c r="DO143" i="11"/>
  <c r="DO136" i="11"/>
  <c r="DO133" i="11"/>
  <c r="DO156" i="11"/>
  <c r="DO154" i="11"/>
  <c r="DO150" i="11"/>
  <c r="DO147" i="11"/>
  <c r="DO146" i="11"/>
  <c r="DO189" i="11"/>
  <c r="DO187" i="11"/>
  <c r="DO186" i="11"/>
  <c r="DO185" i="11"/>
  <c r="DO202" i="11"/>
  <c r="DO201" i="11"/>
  <c r="DO200" i="11"/>
  <c r="DO198" i="11"/>
  <c r="DO197" i="11"/>
  <c r="DO195" i="11"/>
  <c r="DO194" i="11"/>
  <c r="DO193" i="11"/>
  <c r="DO34" i="11"/>
  <c r="DO28" i="11"/>
  <c r="DO26" i="11"/>
  <c r="DO47" i="11"/>
  <c r="DO59" i="11"/>
  <c r="DO54" i="11"/>
  <c r="DO64" i="11"/>
  <c r="DO80" i="11"/>
  <c r="DO78" i="11"/>
  <c r="DO75" i="11"/>
  <c r="DO123" i="11"/>
  <c r="DO144" i="11"/>
  <c r="DO155" i="11"/>
  <c r="DO148" i="11"/>
  <c r="DO188" i="11"/>
  <c r="DO184" i="11"/>
  <c r="DO183" i="11"/>
  <c r="DO182" i="11"/>
  <c r="DO181" i="11"/>
  <c r="DO203" i="11"/>
  <c r="DO199" i="11"/>
  <c r="DO196" i="11"/>
  <c r="DO36" i="11"/>
  <c r="DO43" i="11"/>
  <c r="DO55" i="11"/>
  <c r="DO79" i="11"/>
  <c r="DO19" i="11"/>
  <c r="DO15" i="11"/>
  <c r="DO30" i="11"/>
  <c r="DO45" i="11"/>
  <c r="DO60" i="11"/>
  <c r="DO50" i="11"/>
  <c r="DO68" i="11"/>
  <c r="DO66" i="11"/>
  <c r="DO82" i="11"/>
  <c r="DO95" i="11"/>
  <c r="DO14" i="11"/>
  <c r="DO29" i="11"/>
  <c r="DO27" i="11"/>
  <c r="DO46" i="11"/>
  <c r="DO51" i="11"/>
  <c r="DO12" i="11"/>
  <c r="DO11" i="11"/>
  <c r="DO10" i="11"/>
  <c r="DO9" i="11"/>
  <c r="DO8" i="11"/>
  <c r="DO7" i="11"/>
  <c r="DO6" i="11"/>
  <c r="DO5" i="11"/>
  <c r="DO4" i="11"/>
  <c r="EP20" i="5"/>
  <c r="EP19" i="5"/>
  <c r="EP18" i="5"/>
  <c r="EP17" i="5"/>
  <c r="EP16" i="5"/>
  <c r="EP15" i="5"/>
  <c r="EP14" i="5"/>
  <c r="EP13" i="5"/>
  <c r="EP12" i="5"/>
  <c r="EP11" i="5"/>
  <c r="EP30" i="5"/>
  <c r="EP29" i="5"/>
  <c r="EP28" i="5"/>
  <c r="EP27" i="5"/>
  <c r="EP26" i="5"/>
  <c r="EP25" i="5"/>
  <c r="EP24" i="5"/>
  <c r="EP23" i="5"/>
  <c r="EP22" i="5"/>
  <c r="EP21" i="5"/>
  <c r="EP10" i="5"/>
  <c r="EP9" i="5"/>
  <c r="EP8" i="5"/>
  <c r="EP7" i="5"/>
  <c r="EP6" i="5"/>
  <c r="EP5" i="5"/>
  <c r="DP24" i="11"/>
  <c r="DP23" i="11"/>
  <c r="DP22" i="11"/>
  <c r="DP21" i="11"/>
  <c r="DP20" i="11"/>
  <c r="DP15" i="11"/>
  <c r="DP35" i="11"/>
  <c r="DP32" i="11"/>
  <c r="DP31" i="11"/>
  <c r="DP30" i="11"/>
  <c r="DP29" i="11"/>
  <c r="DP25" i="11"/>
  <c r="DP42" i="11"/>
  <c r="DP38" i="11"/>
  <c r="DP49" i="11"/>
  <c r="DP69" i="11"/>
  <c r="DP77" i="11"/>
  <c r="DP93" i="11"/>
  <c r="DP92" i="11"/>
  <c r="DP91" i="11"/>
  <c r="DP90" i="11"/>
  <c r="DP89" i="11"/>
  <c r="DP88" i="11"/>
  <c r="DP87" i="11"/>
  <c r="DP86" i="11"/>
  <c r="DP85" i="11"/>
  <c r="DP108" i="11"/>
  <c r="DP107" i="11"/>
  <c r="DP106" i="11"/>
  <c r="DP105" i="11"/>
  <c r="DP104" i="11"/>
  <c r="DP103" i="11"/>
  <c r="DP102" i="11"/>
  <c r="DP101" i="11"/>
  <c r="DP100" i="11"/>
  <c r="DP99" i="11"/>
  <c r="DP98" i="11"/>
  <c r="DP97" i="11"/>
  <c r="DP120" i="11"/>
  <c r="DP119" i="11"/>
  <c r="DP118" i="11"/>
  <c r="DP117" i="11"/>
  <c r="DP116" i="11"/>
  <c r="DP115" i="11"/>
  <c r="DP114" i="11"/>
  <c r="DP113" i="11"/>
  <c r="DP112" i="11"/>
  <c r="DP111" i="11"/>
  <c r="DP110" i="11"/>
  <c r="DP109" i="11"/>
  <c r="DP132" i="11"/>
  <c r="DP131" i="11"/>
  <c r="DP130" i="11"/>
  <c r="DP129" i="11"/>
  <c r="DP128" i="11"/>
  <c r="DP127" i="11"/>
  <c r="DP34" i="11"/>
  <c r="DP44" i="11"/>
  <c r="DP43" i="11"/>
  <c r="DP39" i="11"/>
  <c r="DP60" i="11"/>
  <c r="DP57" i="11"/>
  <c r="DP52" i="11"/>
  <c r="DP84" i="11"/>
  <c r="DP81" i="11"/>
  <c r="DP96" i="11"/>
  <c r="DP126" i="11"/>
  <c r="DP122" i="11"/>
  <c r="DP121" i="11"/>
  <c r="DP142" i="11"/>
  <c r="DP141" i="11"/>
  <c r="DP140" i="11"/>
  <c r="DP139" i="11"/>
  <c r="DP138" i="11"/>
  <c r="DP137" i="11"/>
  <c r="DP135" i="11"/>
  <c r="DP134" i="11"/>
  <c r="DP153" i="11"/>
  <c r="DP152" i="11"/>
  <c r="DP151" i="11"/>
  <c r="DP149" i="11"/>
  <c r="DP145" i="11"/>
  <c r="DP168" i="11"/>
  <c r="DP167" i="11"/>
  <c r="DP166" i="11"/>
  <c r="DP165" i="11"/>
  <c r="DP164" i="11"/>
  <c r="DP163" i="11"/>
  <c r="DP162" i="11"/>
  <c r="DP161" i="11"/>
  <c r="DP160" i="11"/>
  <c r="DP159" i="11"/>
  <c r="DP158" i="11"/>
  <c r="DP157" i="11"/>
  <c r="DP180" i="11"/>
  <c r="DP179" i="11"/>
  <c r="DP178" i="11"/>
  <c r="DP177" i="11"/>
  <c r="DP176" i="11"/>
  <c r="DP175" i="11"/>
  <c r="DP174" i="11"/>
  <c r="DP173" i="11"/>
  <c r="DP172" i="11"/>
  <c r="DP171" i="11"/>
  <c r="DP170" i="11"/>
  <c r="DP169" i="11"/>
  <c r="DP192" i="11"/>
  <c r="DP191" i="11"/>
  <c r="DP190" i="11"/>
  <c r="DP18" i="11"/>
  <c r="DP36" i="11"/>
  <c r="DP33" i="11"/>
  <c r="DP41" i="11"/>
  <c r="DP58" i="11"/>
  <c r="DP55" i="11"/>
  <c r="DP53" i="11"/>
  <c r="DP63" i="11"/>
  <c r="DP61" i="11"/>
  <c r="DP76" i="11"/>
  <c r="DP125" i="11"/>
  <c r="DP123" i="11"/>
  <c r="DP143" i="11"/>
  <c r="DP136" i="11"/>
  <c r="DP133" i="11"/>
  <c r="DP156" i="11"/>
  <c r="DP154" i="11"/>
  <c r="DP150" i="11"/>
  <c r="DP147" i="11"/>
  <c r="DP146" i="11"/>
  <c r="DP189" i="11"/>
  <c r="DP188" i="11"/>
  <c r="DP181" i="11"/>
  <c r="DP202" i="11"/>
  <c r="DP201" i="11"/>
  <c r="DP200" i="11"/>
  <c r="DP196" i="11"/>
  <c r="DP195" i="11"/>
  <c r="DP194" i="11"/>
  <c r="DP193" i="11"/>
  <c r="DP17" i="11"/>
  <c r="DP14" i="11"/>
  <c r="DP37" i="11"/>
  <c r="DP66" i="11"/>
  <c r="DP80" i="11"/>
  <c r="DP94" i="11"/>
  <c r="DP144" i="11"/>
  <c r="DP155" i="11"/>
  <c r="DP148" i="11"/>
  <c r="DP187" i="11"/>
  <c r="DP186" i="11"/>
  <c r="DP185" i="11"/>
  <c r="DP184" i="11"/>
  <c r="DP183" i="11"/>
  <c r="DP182" i="11"/>
  <c r="DP203" i="11"/>
  <c r="DP199" i="11"/>
  <c r="DP198" i="11"/>
  <c r="DP197" i="11"/>
  <c r="DP13" i="11"/>
  <c r="DP28" i="11"/>
  <c r="DP26" i="11"/>
  <c r="DP48" i="11"/>
  <c r="DP40" i="11"/>
  <c r="DP56" i="11"/>
  <c r="DP51" i="11"/>
  <c r="DP72" i="11"/>
  <c r="DP62" i="11"/>
  <c r="DP79" i="11"/>
  <c r="DP19" i="11"/>
  <c r="DP47" i="11"/>
  <c r="DP45" i="11"/>
  <c r="DP54" i="11"/>
  <c r="DP67" i="11"/>
  <c r="DP65" i="11"/>
  <c r="DP83" i="11"/>
  <c r="DP73" i="11"/>
  <c r="DP124" i="11"/>
  <c r="DP16" i="11"/>
  <c r="DP27" i="11"/>
  <c r="DP46" i="11"/>
  <c r="DP59" i="11"/>
  <c r="DP50" i="11"/>
  <c r="DP71" i="11"/>
  <c r="DP70" i="11"/>
  <c r="DP68" i="11"/>
  <c r="DP64" i="11"/>
  <c r="DP82" i="11"/>
  <c r="DP78" i="11"/>
  <c r="DP75" i="11"/>
  <c r="DP74" i="11"/>
  <c r="DP95" i="11"/>
  <c r="DP12" i="11"/>
  <c r="DP11" i="11"/>
  <c r="DP10" i="11"/>
  <c r="DP9" i="11"/>
  <c r="DP8" i="11"/>
  <c r="DP7" i="11"/>
  <c r="DP6" i="11"/>
  <c r="DP5" i="11"/>
  <c r="DP4" i="11"/>
  <c r="DQ24" i="11"/>
  <c r="DQ23" i="11"/>
  <c r="DQ22" i="11"/>
  <c r="DQ21" i="11"/>
  <c r="DQ18" i="11"/>
  <c r="DQ16" i="11"/>
  <c r="DQ36" i="11"/>
  <c r="DQ25" i="11"/>
  <c r="DQ48" i="11"/>
  <c r="DQ44" i="11"/>
  <c r="DQ41" i="11"/>
  <c r="DQ40" i="11"/>
  <c r="DQ38" i="11"/>
  <c r="DQ58" i="11"/>
  <c r="DQ56" i="11"/>
  <c r="DQ53" i="11"/>
  <c r="DQ72" i="11"/>
  <c r="DQ69" i="11"/>
  <c r="DQ81" i="11"/>
  <c r="DQ79" i="11"/>
  <c r="DQ76" i="11"/>
  <c r="DQ75" i="11"/>
  <c r="DQ91" i="11"/>
  <c r="DQ90" i="11"/>
  <c r="DQ89" i="11"/>
  <c r="DQ88" i="11"/>
  <c r="DQ87" i="11"/>
  <c r="DQ86" i="11"/>
  <c r="DQ85" i="11"/>
  <c r="DQ108" i="11"/>
  <c r="DQ107" i="11"/>
  <c r="DQ106" i="11"/>
  <c r="DQ105" i="11"/>
  <c r="DQ104" i="11"/>
  <c r="DQ103" i="11"/>
  <c r="DQ102" i="11"/>
  <c r="DQ101" i="11"/>
  <c r="DQ100" i="11"/>
  <c r="DQ99" i="11"/>
  <c r="DQ98" i="11"/>
  <c r="DQ97" i="11"/>
  <c r="DQ120" i="11"/>
  <c r="DQ119" i="11"/>
  <c r="DQ118" i="11"/>
  <c r="DQ117" i="11"/>
  <c r="DQ116" i="11"/>
  <c r="DQ115" i="11"/>
  <c r="DQ114" i="11"/>
  <c r="DQ113" i="11"/>
  <c r="DQ112" i="11"/>
  <c r="DQ111" i="11"/>
  <c r="DQ110" i="11"/>
  <c r="DQ109" i="11"/>
  <c r="DQ132" i="11"/>
  <c r="DQ131" i="11"/>
  <c r="DQ130" i="11"/>
  <c r="DQ129" i="11"/>
  <c r="DQ128" i="11"/>
  <c r="DQ127" i="11"/>
  <c r="DQ17" i="11"/>
  <c r="DQ15" i="11"/>
  <c r="DQ13" i="11"/>
  <c r="DQ26" i="11"/>
  <c r="DQ49" i="11"/>
  <c r="DQ68" i="11"/>
  <c r="DQ66" i="11"/>
  <c r="DQ65" i="11"/>
  <c r="DQ80" i="11"/>
  <c r="DQ77" i="11"/>
  <c r="DQ94" i="11"/>
  <c r="DQ125" i="11"/>
  <c r="DQ142" i="11"/>
  <c r="DQ141" i="11"/>
  <c r="DQ140" i="11"/>
  <c r="DQ138" i="11"/>
  <c r="DQ137" i="11"/>
  <c r="DQ134" i="11"/>
  <c r="DQ153" i="11"/>
  <c r="DQ151" i="11"/>
  <c r="DQ149" i="11"/>
  <c r="DQ145" i="11"/>
  <c r="DQ168" i="11"/>
  <c r="DQ167" i="11"/>
  <c r="DQ166" i="11"/>
  <c r="DQ165" i="11"/>
  <c r="DQ164" i="11"/>
  <c r="DQ163" i="11"/>
  <c r="DQ162" i="11"/>
  <c r="DQ161" i="11"/>
  <c r="DQ160" i="11"/>
  <c r="DQ159" i="11"/>
  <c r="DQ158" i="11"/>
  <c r="DQ157" i="11"/>
  <c r="DQ180" i="11"/>
  <c r="DQ179" i="11"/>
  <c r="DQ178" i="11"/>
  <c r="DQ177" i="11"/>
  <c r="DQ176" i="11"/>
  <c r="DQ175" i="11"/>
  <c r="DQ174" i="11"/>
  <c r="DQ173" i="11"/>
  <c r="DQ172" i="11"/>
  <c r="DQ171" i="11"/>
  <c r="DQ170" i="11"/>
  <c r="DQ169" i="11"/>
  <c r="DQ192" i="11"/>
  <c r="DQ191" i="11"/>
  <c r="DQ190" i="11"/>
  <c r="DQ33" i="11"/>
  <c r="DQ29" i="11"/>
  <c r="DQ42" i="11"/>
  <c r="DQ60" i="11"/>
  <c r="DQ62" i="11"/>
  <c r="DQ84" i="11"/>
  <c r="DQ78" i="11"/>
  <c r="DQ73" i="11"/>
  <c r="DQ92" i="11"/>
  <c r="DQ124" i="11"/>
  <c r="DQ121" i="11"/>
  <c r="DQ143" i="11"/>
  <c r="DQ139" i="11"/>
  <c r="DQ136" i="11"/>
  <c r="DQ133" i="11"/>
  <c r="DQ156" i="11"/>
  <c r="DQ154" i="11"/>
  <c r="DQ150" i="11"/>
  <c r="DQ147" i="11"/>
  <c r="DQ146" i="11"/>
  <c r="DQ187" i="11"/>
  <c r="DQ186" i="11"/>
  <c r="DQ185" i="11"/>
  <c r="DQ182" i="11"/>
  <c r="DQ201" i="11"/>
  <c r="DQ199" i="11"/>
  <c r="DQ198" i="11"/>
  <c r="DQ194" i="11"/>
  <c r="DQ193" i="11"/>
  <c r="DQ20" i="11"/>
  <c r="DQ35" i="11"/>
  <c r="DQ47" i="11"/>
  <c r="DQ43" i="11"/>
  <c r="DQ54" i="11"/>
  <c r="DQ63" i="11"/>
  <c r="DQ61" i="11"/>
  <c r="DQ74" i="11"/>
  <c r="DQ96" i="11"/>
  <c r="DQ123" i="11"/>
  <c r="DQ144" i="11"/>
  <c r="DQ135" i="11"/>
  <c r="DQ155" i="11"/>
  <c r="DQ152" i="11"/>
  <c r="DQ148" i="11"/>
  <c r="DQ189" i="11"/>
  <c r="DQ188" i="11"/>
  <c r="DQ184" i="11"/>
  <c r="DQ183" i="11"/>
  <c r="DQ181" i="11"/>
  <c r="DQ203" i="11"/>
  <c r="DQ202" i="11"/>
  <c r="DQ200" i="11"/>
  <c r="DQ197" i="11"/>
  <c r="DQ196" i="11"/>
  <c r="DQ195" i="11"/>
  <c r="DQ32" i="11"/>
  <c r="DQ37" i="11"/>
  <c r="DQ59" i="11"/>
  <c r="DQ52" i="11"/>
  <c r="DQ70" i="11"/>
  <c r="DQ67" i="11"/>
  <c r="DQ64" i="11"/>
  <c r="DQ19" i="11"/>
  <c r="DQ14" i="11"/>
  <c r="DQ34" i="11"/>
  <c r="DQ28" i="11"/>
  <c r="DQ39" i="11"/>
  <c r="DQ50" i="11"/>
  <c r="DQ82" i="11"/>
  <c r="DQ93" i="11"/>
  <c r="DQ126" i="11"/>
  <c r="DQ122" i="11"/>
  <c r="DQ31" i="11"/>
  <c r="DQ30" i="11"/>
  <c r="DQ27" i="11"/>
  <c r="DQ46" i="11"/>
  <c r="DQ45" i="11"/>
  <c r="DQ57" i="11"/>
  <c r="DQ55" i="11"/>
  <c r="DQ51" i="11"/>
  <c r="DQ71" i="11"/>
  <c r="DQ83" i="11"/>
  <c r="DQ95" i="11"/>
  <c r="DQ12" i="11"/>
  <c r="DQ11" i="11"/>
  <c r="DQ10" i="11"/>
  <c r="DQ9" i="11"/>
  <c r="DQ8" i="11"/>
  <c r="DQ7" i="11"/>
  <c r="DQ6" i="11"/>
  <c r="DQ5" i="11"/>
  <c r="DQ4" i="11"/>
  <c r="EQ20" i="5"/>
  <c r="EQ19" i="5"/>
  <c r="EQ18" i="5"/>
  <c r="EQ17" i="5"/>
  <c r="EQ16" i="5"/>
  <c r="EQ15" i="5"/>
  <c r="EQ14" i="5"/>
  <c r="EQ13" i="5"/>
  <c r="EQ12" i="5"/>
  <c r="EQ11" i="5"/>
  <c r="EQ30" i="5"/>
  <c r="EQ29" i="5"/>
  <c r="EQ28" i="5"/>
  <c r="EQ27" i="5"/>
  <c r="EQ26" i="5"/>
  <c r="EQ25" i="5"/>
  <c r="EQ24" i="5"/>
  <c r="EQ23" i="5"/>
  <c r="EQ22" i="5"/>
  <c r="EQ21" i="5"/>
  <c r="EQ10" i="5"/>
  <c r="EQ9" i="5"/>
  <c r="EQ8" i="5"/>
  <c r="EQ7" i="5"/>
  <c r="EQ6" i="5"/>
  <c r="EQ5" i="5"/>
  <c r="DR24" i="11"/>
  <c r="DR23" i="11"/>
  <c r="DR22" i="11"/>
  <c r="DR21" i="11"/>
  <c r="DR20" i="11"/>
  <c r="DR42" i="11"/>
  <c r="DR57" i="11"/>
  <c r="DR52" i="11"/>
  <c r="DR51" i="11"/>
  <c r="DR49" i="11"/>
  <c r="DR69" i="11"/>
  <c r="DR67" i="11"/>
  <c r="DR83" i="11"/>
  <c r="DR77" i="11"/>
  <c r="DR73" i="11"/>
  <c r="DR92" i="11"/>
  <c r="DR91" i="11"/>
  <c r="DR90" i="11"/>
  <c r="DR89" i="11"/>
  <c r="DR88" i="11"/>
  <c r="DR87" i="11"/>
  <c r="DR86" i="11"/>
  <c r="DR85" i="11"/>
  <c r="DR108" i="11"/>
  <c r="DR107" i="11"/>
  <c r="DR106" i="11"/>
  <c r="DR105" i="11"/>
  <c r="DR104" i="11"/>
  <c r="DR103" i="11"/>
  <c r="DR102" i="11"/>
  <c r="DR101" i="11"/>
  <c r="DR100" i="11"/>
  <c r="DR99" i="11"/>
  <c r="DR98" i="11"/>
  <c r="DR97" i="11"/>
  <c r="DR120" i="11"/>
  <c r="DR119" i="11"/>
  <c r="DR118" i="11"/>
  <c r="DR117" i="11"/>
  <c r="DR116" i="11"/>
  <c r="DR115" i="11"/>
  <c r="DR114" i="11"/>
  <c r="DR113" i="11"/>
  <c r="DR112" i="11"/>
  <c r="DR111" i="11"/>
  <c r="DR110" i="11"/>
  <c r="DR109" i="11"/>
  <c r="DR132" i="11"/>
  <c r="DR131" i="11"/>
  <c r="DR130" i="11"/>
  <c r="DR129" i="11"/>
  <c r="DR128" i="11"/>
  <c r="DR127" i="11"/>
  <c r="DR35" i="11"/>
  <c r="DR32" i="11"/>
  <c r="DR44" i="11"/>
  <c r="DR56" i="11"/>
  <c r="DR72" i="11"/>
  <c r="DR71" i="11"/>
  <c r="DR125" i="11"/>
  <c r="DR122" i="11"/>
  <c r="DR121" i="11"/>
  <c r="DR142" i="11"/>
  <c r="DR141" i="11"/>
  <c r="DR140" i="11"/>
  <c r="DR139" i="11"/>
  <c r="DR138" i="11"/>
  <c r="DR135" i="11"/>
  <c r="DR134" i="11"/>
  <c r="DR155" i="11"/>
  <c r="DR152" i="11"/>
  <c r="DR151" i="11"/>
  <c r="DR149" i="11"/>
  <c r="DR146" i="11"/>
  <c r="DR145" i="11"/>
  <c r="DR168" i="11"/>
  <c r="DR167" i="11"/>
  <c r="DR166" i="11"/>
  <c r="DR165" i="11"/>
  <c r="DR164" i="11"/>
  <c r="DR163" i="11"/>
  <c r="DR162" i="11"/>
  <c r="DR161" i="11"/>
  <c r="DR160" i="11"/>
  <c r="DR159" i="11"/>
  <c r="DR158" i="11"/>
  <c r="DR157" i="11"/>
  <c r="DR180" i="11"/>
  <c r="DR179" i="11"/>
  <c r="DR178" i="11"/>
  <c r="DR177" i="11"/>
  <c r="DR176" i="11"/>
  <c r="DR175" i="11"/>
  <c r="DR174" i="11"/>
  <c r="DR173" i="11"/>
  <c r="DR172" i="11"/>
  <c r="DR171" i="11"/>
  <c r="DR170" i="11"/>
  <c r="DR169" i="11"/>
  <c r="DR192" i="11"/>
  <c r="DR191" i="11"/>
  <c r="DR190" i="11"/>
  <c r="DR18" i="11"/>
  <c r="DR33" i="11"/>
  <c r="DR31" i="11"/>
  <c r="DR40" i="11"/>
  <c r="DR37" i="11"/>
  <c r="DR58" i="11"/>
  <c r="DR70" i="11"/>
  <c r="DR63" i="11"/>
  <c r="DR76" i="11"/>
  <c r="DR75" i="11"/>
  <c r="DR93" i="11"/>
  <c r="DR126" i="11"/>
  <c r="DR123" i="11"/>
  <c r="DR143" i="11"/>
  <c r="DR136" i="11"/>
  <c r="DR133" i="11"/>
  <c r="DR156" i="11"/>
  <c r="DR154" i="11"/>
  <c r="DR150" i="11"/>
  <c r="DR147" i="11"/>
  <c r="DR189" i="11"/>
  <c r="DR188" i="11"/>
  <c r="DR184" i="11"/>
  <c r="DR181" i="11"/>
  <c r="DR202" i="11"/>
  <c r="DR200" i="11"/>
  <c r="DR197" i="11"/>
  <c r="DR195" i="11"/>
  <c r="DR194" i="11"/>
  <c r="DR193" i="11"/>
  <c r="DR17" i="11"/>
  <c r="DR34" i="11"/>
  <c r="DR28" i="11"/>
  <c r="DR26" i="11"/>
  <c r="DR59" i="11"/>
  <c r="DR68" i="11"/>
  <c r="DR64" i="11"/>
  <c r="DR81" i="11"/>
  <c r="DR78" i="11"/>
  <c r="DR74" i="11"/>
  <c r="DR144" i="11"/>
  <c r="DR137" i="11"/>
  <c r="DR153" i="11"/>
  <c r="DR148" i="11"/>
  <c r="DR187" i="11"/>
  <c r="DR186" i="11"/>
  <c r="DR185" i="11"/>
  <c r="DR183" i="11"/>
  <c r="DR182" i="11"/>
  <c r="DR203" i="11"/>
  <c r="DR201" i="11"/>
  <c r="DR199" i="11"/>
  <c r="DR198" i="11"/>
  <c r="DR196" i="11"/>
  <c r="DR13" i="11"/>
  <c r="DR36" i="11"/>
  <c r="DR25" i="11"/>
  <c r="DR47" i="11"/>
  <c r="DR43" i="11"/>
  <c r="DR41" i="11"/>
  <c r="DR39" i="11"/>
  <c r="DR55" i="11"/>
  <c r="DR53" i="11"/>
  <c r="DR50" i="11"/>
  <c r="DR80" i="11"/>
  <c r="DR79" i="11"/>
  <c r="DR15" i="11"/>
  <c r="DR30" i="11"/>
  <c r="DR48" i="11"/>
  <c r="DR46" i="11"/>
  <c r="DR45" i="11"/>
  <c r="DR38" i="11"/>
  <c r="DR60" i="11"/>
  <c r="DR54" i="11"/>
  <c r="DR66" i="11"/>
  <c r="DR65" i="11"/>
  <c r="DR84" i="11"/>
  <c r="DR95" i="11"/>
  <c r="DR94" i="11"/>
  <c r="DR124" i="11"/>
  <c r="DR19" i="11"/>
  <c r="DR16" i="11"/>
  <c r="DR14" i="11"/>
  <c r="DR29" i="11"/>
  <c r="DR27" i="11"/>
  <c r="DR62" i="11"/>
  <c r="DR61" i="11"/>
  <c r="DR82" i="11"/>
  <c r="DR96" i="11"/>
  <c r="DR12" i="11"/>
  <c r="DR11" i="11"/>
  <c r="DR10" i="11"/>
  <c r="DR9" i="11"/>
  <c r="DR8" i="11"/>
  <c r="DR7" i="11"/>
  <c r="DR6" i="11"/>
  <c r="DR5" i="11"/>
  <c r="DR4" i="11"/>
  <c r="ER20" i="5"/>
  <c r="ER19" i="5"/>
  <c r="ER18" i="5"/>
  <c r="ER17" i="5"/>
  <c r="ER16" i="5"/>
  <c r="ER15" i="5"/>
  <c r="ER14" i="5"/>
  <c r="ER13" i="5"/>
  <c r="ER12" i="5"/>
  <c r="ER11" i="5"/>
  <c r="ER30" i="5"/>
  <c r="ER29" i="5"/>
  <c r="ER28" i="5"/>
  <c r="ER27" i="5"/>
  <c r="ER26" i="5"/>
  <c r="ER25" i="5"/>
  <c r="ER24" i="5"/>
  <c r="ER23" i="5"/>
  <c r="ER22" i="5"/>
  <c r="ER21" i="5"/>
  <c r="ER10" i="5"/>
  <c r="ER9" i="5"/>
  <c r="ER8" i="5"/>
  <c r="ER7" i="5"/>
  <c r="ER6" i="5"/>
  <c r="ER5" i="5"/>
  <c r="DS24" i="11"/>
  <c r="DS23" i="11"/>
  <c r="DS22" i="11"/>
  <c r="DS21" i="11"/>
  <c r="DS16" i="11"/>
  <c r="DS15" i="11"/>
  <c r="DS36" i="11"/>
  <c r="DS35" i="11"/>
  <c r="DS32" i="11"/>
  <c r="DS31" i="11"/>
  <c r="DS30" i="11"/>
  <c r="DS58" i="11"/>
  <c r="DS53" i="11"/>
  <c r="DS69" i="11"/>
  <c r="DS79" i="11"/>
  <c r="DS76" i="11"/>
  <c r="DS74" i="11"/>
  <c r="DS93" i="11"/>
  <c r="DS91" i="11"/>
  <c r="DS90" i="11"/>
  <c r="DS89" i="11"/>
  <c r="DS88" i="11"/>
  <c r="DS87" i="11"/>
  <c r="DS86" i="11"/>
  <c r="DS85" i="11"/>
  <c r="DS108" i="11"/>
  <c r="DS107" i="11"/>
  <c r="DS106" i="11"/>
  <c r="DS105" i="11"/>
  <c r="DS104" i="11"/>
  <c r="DS103" i="11"/>
  <c r="DS102" i="11"/>
  <c r="DS101" i="11"/>
  <c r="DS100" i="11"/>
  <c r="DS99" i="11"/>
  <c r="DS98" i="11"/>
  <c r="DS97" i="11"/>
  <c r="DS120" i="11"/>
  <c r="DS119" i="11"/>
  <c r="DS118" i="11"/>
  <c r="DS117" i="11"/>
  <c r="DS116" i="11"/>
  <c r="DS115" i="11"/>
  <c r="DS114" i="11"/>
  <c r="DS113" i="11"/>
  <c r="DS112" i="11"/>
  <c r="DS111" i="11"/>
  <c r="DS110" i="11"/>
  <c r="DS109" i="11"/>
  <c r="DS132" i="11"/>
  <c r="DS131" i="11"/>
  <c r="DS130" i="11"/>
  <c r="DS129" i="11"/>
  <c r="DS128" i="11"/>
  <c r="DS127" i="11"/>
  <c r="DS13" i="11"/>
  <c r="DS34" i="11"/>
  <c r="DS26" i="11"/>
  <c r="DS43" i="11"/>
  <c r="DS39" i="11"/>
  <c r="DS60" i="11"/>
  <c r="DS57" i="11"/>
  <c r="DS49" i="11"/>
  <c r="DS67" i="11"/>
  <c r="DS65" i="11"/>
  <c r="DS81" i="11"/>
  <c r="DS77" i="11"/>
  <c r="DS73" i="11"/>
  <c r="DS126" i="11"/>
  <c r="DS122" i="11"/>
  <c r="DS143" i="11"/>
  <c r="DS142" i="11"/>
  <c r="DS141" i="11"/>
  <c r="DS140" i="11"/>
  <c r="DS139" i="11"/>
  <c r="DS135" i="11"/>
  <c r="DS134" i="11"/>
  <c r="DS153" i="11"/>
  <c r="DS152" i="11"/>
  <c r="DS151" i="11"/>
  <c r="DS149" i="11"/>
  <c r="DS148" i="11"/>
  <c r="DS147" i="11"/>
  <c r="DS145" i="11"/>
  <c r="DS168" i="11"/>
  <c r="DS167" i="11"/>
  <c r="DS166" i="11"/>
  <c r="DS165" i="11"/>
  <c r="DS164" i="11"/>
  <c r="DS163" i="11"/>
  <c r="DS162" i="11"/>
  <c r="DS161" i="11"/>
  <c r="DS160" i="11"/>
  <c r="DS159" i="11"/>
  <c r="DS158" i="11"/>
  <c r="DS157" i="11"/>
  <c r="DS180" i="11"/>
  <c r="DS179" i="11"/>
  <c r="DS178" i="11"/>
  <c r="DS177" i="11"/>
  <c r="DS176" i="11"/>
  <c r="DS175" i="11"/>
  <c r="DS174" i="11"/>
  <c r="DS173" i="11"/>
  <c r="DS172" i="11"/>
  <c r="DS171" i="11"/>
  <c r="DS170" i="11"/>
  <c r="DS169" i="11"/>
  <c r="DS192" i="11"/>
  <c r="DS191" i="11"/>
  <c r="DS190" i="11"/>
  <c r="DS33" i="11"/>
  <c r="DS41" i="11"/>
  <c r="DS62" i="11"/>
  <c r="DS61" i="11"/>
  <c r="DS83" i="11"/>
  <c r="DS96" i="11"/>
  <c r="DS92" i="11"/>
  <c r="DS125" i="11"/>
  <c r="DS124" i="11"/>
  <c r="DS121" i="11"/>
  <c r="DS138" i="11"/>
  <c r="DS137" i="11"/>
  <c r="DS136" i="11"/>
  <c r="DS156" i="11"/>
  <c r="DS154" i="11"/>
  <c r="DS150" i="11"/>
  <c r="DS146" i="11"/>
  <c r="DS187" i="11"/>
  <c r="DS186" i="11"/>
  <c r="DS185" i="11"/>
  <c r="DS183" i="11"/>
  <c r="DS203" i="11"/>
  <c r="DS201" i="11"/>
  <c r="DS200" i="11"/>
  <c r="DS199" i="11"/>
  <c r="DS198" i="11"/>
  <c r="DS196" i="11"/>
  <c r="DS194" i="11"/>
  <c r="DS193" i="11"/>
  <c r="DS14" i="11"/>
  <c r="DS37" i="11"/>
  <c r="DS54" i="11"/>
  <c r="DS64" i="11"/>
  <c r="DS80" i="11"/>
  <c r="DS95" i="11"/>
  <c r="DS94" i="11"/>
  <c r="DS123" i="11"/>
  <c r="DS144" i="11"/>
  <c r="DS133" i="11"/>
  <c r="DS155" i="11"/>
  <c r="DS189" i="11"/>
  <c r="DS188" i="11"/>
  <c r="DS184" i="11"/>
  <c r="DS182" i="11"/>
  <c r="DS181" i="11"/>
  <c r="DS202" i="11"/>
  <c r="DS197" i="11"/>
  <c r="DS195" i="11"/>
  <c r="DS20" i="11"/>
  <c r="DS18" i="11"/>
  <c r="DS17" i="11"/>
  <c r="DS48" i="11"/>
  <c r="DS44" i="11"/>
  <c r="DS42" i="11"/>
  <c r="DS40" i="11"/>
  <c r="DS38" i="11"/>
  <c r="DS56" i="11"/>
  <c r="DS52" i="11"/>
  <c r="DS66" i="11"/>
  <c r="DS84" i="11"/>
  <c r="DS78" i="11"/>
  <c r="DS19" i="11"/>
  <c r="DS28" i="11"/>
  <c r="DS47" i="11"/>
  <c r="DS72" i="11"/>
  <c r="DS68" i="11"/>
  <c r="DS29" i="11"/>
  <c r="DS27" i="11"/>
  <c r="DS25" i="11"/>
  <c r="DS46" i="11"/>
  <c r="DS45" i="11"/>
  <c r="DS59" i="11"/>
  <c r="DS55" i="11"/>
  <c r="DS51" i="11"/>
  <c r="DS50" i="11"/>
  <c r="DS71" i="11"/>
  <c r="DS70" i="11"/>
  <c r="DS63" i="11"/>
  <c r="DS82" i="11"/>
  <c r="DS75" i="11"/>
  <c r="DS12" i="11"/>
  <c r="DS11" i="11"/>
  <c r="DS10" i="11"/>
  <c r="DS9" i="11"/>
  <c r="DS8" i="11"/>
  <c r="DS7" i="11"/>
  <c r="DS6" i="11"/>
  <c r="DS5" i="11"/>
  <c r="DS4" i="11"/>
  <c r="ES20" i="5"/>
  <c r="ES19" i="5"/>
  <c r="ES18" i="5"/>
  <c r="ES17" i="5"/>
  <c r="ES16" i="5"/>
  <c r="ES15" i="5"/>
  <c r="ES14" i="5"/>
  <c r="ES13" i="5"/>
  <c r="ES12" i="5"/>
  <c r="ES11" i="5"/>
  <c r="ES30" i="5"/>
  <c r="ES29" i="5"/>
  <c r="ES28" i="5"/>
  <c r="ES27" i="5"/>
  <c r="ES26" i="5"/>
  <c r="ES25" i="5"/>
  <c r="ES24" i="5"/>
  <c r="ES23" i="5"/>
  <c r="ES22" i="5"/>
  <c r="ES21" i="5"/>
  <c r="ES10" i="5"/>
  <c r="ES9" i="5"/>
  <c r="ES8" i="5"/>
  <c r="ES7" i="5"/>
  <c r="ES6" i="5"/>
  <c r="ES5" i="5"/>
  <c r="DT24" i="11"/>
  <c r="DT23" i="11"/>
  <c r="DT22" i="11"/>
  <c r="DT21" i="11"/>
  <c r="DT20" i="11"/>
  <c r="DT18" i="11"/>
  <c r="DT29" i="11"/>
  <c r="DT25" i="11"/>
  <c r="DT48" i="11"/>
  <c r="DT44" i="11"/>
  <c r="DT41" i="11"/>
  <c r="DT40" i="11"/>
  <c r="DT38" i="11"/>
  <c r="DT52" i="11"/>
  <c r="DT69" i="11"/>
  <c r="DT94" i="11"/>
  <c r="DT91" i="11"/>
  <c r="DT90" i="11"/>
  <c r="DT89" i="11"/>
  <c r="DT88" i="11"/>
  <c r="DT87" i="11"/>
  <c r="DT86" i="11"/>
  <c r="DT85" i="11"/>
  <c r="DT108" i="11"/>
  <c r="DT107" i="11"/>
  <c r="DT106" i="11"/>
  <c r="DT105" i="11"/>
  <c r="DT104" i="11"/>
  <c r="DT103" i="11"/>
  <c r="DT102" i="11"/>
  <c r="DT101" i="11"/>
  <c r="DT100" i="11"/>
  <c r="DT99" i="11"/>
  <c r="DT98" i="11"/>
  <c r="DT97" i="11"/>
  <c r="DT120" i="11"/>
  <c r="DT119" i="11"/>
  <c r="DT118" i="11"/>
  <c r="DT117" i="11"/>
  <c r="DT116" i="11"/>
  <c r="DT115" i="11"/>
  <c r="DT114" i="11"/>
  <c r="DT113" i="11"/>
  <c r="DT112" i="11"/>
  <c r="DT111" i="11"/>
  <c r="DT110" i="11"/>
  <c r="DT109" i="11"/>
  <c r="DT132" i="11"/>
  <c r="DT131" i="11"/>
  <c r="DT130" i="11"/>
  <c r="DT129" i="11"/>
  <c r="DT128" i="11"/>
  <c r="DT127" i="11"/>
  <c r="DT17" i="11"/>
  <c r="DT35" i="11"/>
  <c r="DT56" i="11"/>
  <c r="DT71" i="11"/>
  <c r="DT68" i="11"/>
  <c r="DT84" i="11"/>
  <c r="DT80" i="11"/>
  <c r="DT96" i="11"/>
  <c r="DT93" i="11"/>
  <c r="DT125" i="11"/>
  <c r="DT121" i="11"/>
  <c r="DT144" i="11"/>
  <c r="DT142" i="11"/>
  <c r="DT140" i="11"/>
  <c r="DT138" i="11"/>
  <c r="DT137" i="11"/>
  <c r="DT134" i="11"/>
  <c r="DT155" i="11"/>
  <c r="DT154" i="11"/>
  <c r="DT151" i="11"/>
  <c r="DT146" i="11"/>
  <c r="DT145" i="11"/>
  <c r="DT168" i="11"/>
  <c r="DT167" i="11"/>
  <c r="DT166" i="11"/>
  <c r="DT165" i="11"/>
  <c r="DT164" i="11"/>
  <c r="DT163" i="11"/>
  <c r="DT162" i="11"/>
  <c r="DT161" i="11"/>
  <c r="DT160" i="11"/>
  <c r="DT159" i="11"/>
  <c r="DT158" i="11"/>
  <c r="DT157" i="11"/>
  <c r="DT180" i="11"/>
  <c r="DT179" i="11"/>
  <c r="DT178" i="11"/>
  <c r="DT177" i="11"/>
  <c r="DT176" i="11"/>
  <c r="DT175" i="11"/>
  <c r="DT174" i="11"/>
  <c r="DT173" i="11"/>
  <c r="DT172" i="11"/>
  <c r="DT171" i="11"/>
  <c r="DT170" i="11"/>
  <c r="DT169" i="11"/>
  <c r="DT192" i="11"/>
  <c r="DT191" i="11"/>
  <c r="DT190" i="11"/>
  <c r="DT36" i="11"/>
  <c r="DT33" i="11"/>
  <c r="DT31" i="11"/>
  <c r="DT42" i="11"/>
  <c r="DT37" i="11"/>
  <c r="DT58" i="11"/>
  <c r="DT55" i="11"/>
  <c r="DT81" i="11"/>
  <c r="DT78" i="11"/>
  <c r="DT123" i="11"/>
  <c r="DT141" i="11"/>
  <c r="DT139" i="11"/>
  <c r="DT136" i="11"/>
  <c r="DT133" i="11"/>
  <c r="DT150" i="11"/>
  <c r="DT149" i="11"/>
  <c r="DT148" i="11"/>
  <c r="DT189" i="11"/>
  <c r="DT188" i="11"/>
  <c r="DT182" i="11"/>
  <c r="DT202" i="11"/>
  <c r="DT197" i="11"/>
  <c r="DT195" i="11"/>
  <c r="DT194" i="11"/>
  <c r="DT193" i="11"/>
  <c r="DT13" i="11"/>
  <c r="DT28" i="11"/>
  <c r="DT26" i="11"/>
  <c r="DT47" i="11"/>
  <c r="DT43" i="11"/>
  <c r="DT63" i="11"/>
  <c r="DT76" i="11"/>
  <c r="DT75" i="11"/>
  <c r="DT74" i="11"/>
  <c r="DT143" i="11"/>
  <c r="DT135" i="11"/>
  <c r="DT156" i="11"/>
  <c r="DT153" i="11"/>
  <c r="DT152" i="11"/>
  <c r="DT147" i="11"/>
  <c r="DT187" i="11"/>
  <c r="DT186" i="11"/>
  <c r="DT185" i="11"/>
  <c r="DT184" i="11"/>
  <c r="DT183" i="11"/>
  <c r="DT181" i="11"/>
  <c r="DT203" i="11"/>
  <c r="DT201" i="11"/>
  <c r="DT200" i="11"/>
  <c r="DT199" i="11"/>
  <c r="DT198" i="11"/>
  <c r="DT196" i="11"/>
  <c r="DT15" i="11"/>
  <c r="DT32" i="11"/>
  <c r="DT59" i="11"/>
  <c r="DT53" i="11"/>
  <c r="DT51" i="11"/>
  <c r="DT49" i="11"/>
  <c r="DT72" i="11"/>
  <c r="DT65" i="11"/>
  <c r="DT62" i="11"/>
  <c r="DT79" i="11"/>
  <c r="DT19" i="11"/>
  <c r="DT16" i="11"/>
  <c r="DT34" i="11"/>
  <c r="DT46" i="11"/>
  <c r="DT45" i="11"/>
  <c r="DT39" i="11"/>
  <c r="DT60" i="11"/>
  <c r="DT54" i="11"/>
  <c r="DT50" i="11"/>
  <c r="DT70" i="11"/>
  <c r="DT67" i="11"/>
  <c r="DT66" i="11"/>
  <c r="DT83" i="11"/>
  <c r="DT82" i="11"/>
  <c r="DT77" i="11"/>
  <c r="DT73" i="11"/>
  <c r="DT95" i="11"/>
  <c r="DT126" i="11"/>
  <c r="DT124" i="11"/>
  <c r="DT122" i="11"/>
  <c r="DT14" i="11"/>
  <c r="DT30" i="11"/>
  <c r="DT27" i="11"/>
  <c r="DT57" i="11"/>
  <c r="DT64" i="11"/>
  <c r="DT61" i="11"/>
  <c r="DT92" i="11"/>
  <c r="DT12" i="11"/>
  <c r="DT11" i="11"/>
  <c r="DT10" i="11"/>
  <c r="DT9" i="11"/>
  <c r="DT8" i="11"/>
  <c r="DT7" i="11"/>
  <c r="DT6" i="11"/>
  <c r="DT5" i="11"/>
  <c r="DT4" i="11"/>
  <c r="ET20" i="5"/>
  <c r="ET19" i="5"/>
  <c r="ET18" i="5"/>
  <c r="ET17" i="5"/>
  <c r="ET16" i="5"/>
  <c r="ET15" i="5"/>
  <c r="ET14" i="5"/>
  <c r="ET13" i="5"/>
  <c r="ET12" i="5"/>
  <c r="ET11" i="5"/>
  <c r="ET30" i="5"/>
  <c r="ET29" i="5"/>
  <c r="ET28" i="5"/>
  <c r="ET27" i="5"/>
  <c r="ET26" i="5"/>
  <c r="ET25" i="5"/>
  <c r="ET24" i="5"/>
  <c r="ET23" i="5"/>
  <c r="ET22" i="5"/>
  <c r="ET21" i="5"/>
  <c r="ET10" i="5"/>
  <c r="ET9" i="5"/>
  <c r="ET8" i="5"/>
  <c r="ET7" i="5"/>
  <c r="ET6" i="5"/>
  <c r="ET5" i="5"/>
  <c r="DU24" i="11"/>
  <c r="DU23" i="11"/>
  <c r="DU22" i="11"/>
  <c r="DU21" i="11"/>
  <c r="DU31" i="11"/>
  <c r="DU42" i="11"/>
  <c r="DU37" i="11"/>
  <c r="DU58" i="11"/>
  <c r="DU51" i="11"/>
  <c r="DU49" i="11"/>
  <c r="DU72" i="11"/>
  <c r="DU69" i="11"/>
  <c r="DU82" i="11"/>
  <c r="DU81" i="11"/>
  <c r="DU79" i="11"/>
  <c r="DU75" i="11"/>
  <c r="DU93" i="11"/>
  <c r="DU91" i="11"/>
  <c r="DU90" i="11"/>
  <c r="DU89" i="11"/>
  <c r="DU88" i="11"/>
  <c r="DU87" i="11"/>
  <c r="DU86" i="11"/>
  <c r="DU85" i="11"/>
  <c r="DU108" i="11"/>
  <c r="DU107" i="11"/>
  <c r="DU106" i="11"/>
  <c r="DU105" i="11"/>
  <c r="DU104" i="11"/>
  <c r="DU103" i="11"/>
  <c r="DU102" i="11"/>
  <c r="DU101" i="11"/>
  <c r="DU100" i="11"/>
  <c r="DU99" i="11"/>
  <c r="DU98" i="11"/>
  <c r="DU97" i="11"/>
  <c r="DU120" i="11"/>
  <c r="DU119" i="11"/>
  <c r="DU118" i="11"/>
  <c r="DU117" i="11"/>
  <c r="DU116" i="11"/>
  <c r="DU115" i="11"/>
  <c r="DU114" i="11"/>
  <c r="DU113" i="11"/>
  <c r="DU112" i="11"/>
  <c r="DU111" i="11"/>
  <c r="DU110" i="11"/>
  <c r="DU109" i="11"/>
  <c r="DU132" i="11"/>
  <c r="DU131" i="11"/>
  <c r="DU130" i="11"/>
  <c r="DU129" i="11"/>
  <c r="DU128" i="11"/>
  <c r="DU127" i="11"/>
  <c r="DU32" i="11"/>
  <c r="DU44" i="11"/>
  <c r="DU57" i="11"/>
  <c r="DU52" i="11"/>
  <c r="DU67" i="11"/>
  <c r="DU94" i="11"/>
  <c r="DU125" i="11"/>
  <c r="DU124" i="11"/>
  <c r="DU122" i="11"/>
  <c r="DU142" i="11"/>
  <c r="DU141" i="11"/>
  <c r="DU139" i="11"/>
  <c r="DU135" i="11"/>
  <c r="DU133" i="11"/>
  <c r="DU156" i="11"/>
  <c r="DU153" i="11"/>
  <c r="DU152" i="11"/>
  <c r="DU149" i="11"/>
  <c r="DU145" i="11"/>
  <c r="DU168" i="11"/>
  <c r="DU167" i="11"/>
  <c r="DU166" i="11"/>
  <c r="DU165" i="11"/>
  <c r="DU164" i="11"/>
  <c r="DU163" i="11"/>
  <c r="DU162" i="11"/>
  <c r="DU161" i="11"/>
  <c r="DU160" i="11"/>
  <c r="DU159" i="11"/>
  <c r="DU158" i="11"/>
  <c r="DU157" i="11"/>
  <c r="DU180" i="11"/>
  <c r="DU179" i="11"/>
  <c r="DU178" i="11"/>
  <c r="DU177" i="11"/>
  <c r="DU176" i="11"/>
  <c r="DU175" i="11"/>
  <c r="DU174" i="11"/>
  <c r="DU173" i="11"/>
  <c r="DU172" i="11"/>
  <c r="DU171" i="11"/>
  <c r="DU170" i="11"/>
  <c r="DU169" i="11"/>
  <c r="DU192" i="11"/>
  <c r="DU191" i="11"/>
  <c r="DU190" i="11"/>
  <c r="DU18" i="11"/>
  <c r="DU15" i="11"/>
  <c r="DU33" i="11"/>
  <c r="DU29" i="11"/>
  <c r="DU28" i="11"/>
  <c r="DU60" i="11"/>
  <c r="DU53" i="11"/>
  <c r="DU62" i="11"/>
  <c r="DU84" i="11"/>
  <c r="DU77" i="11"/>
  <c r="DU76" i="11"/>
  <c r="DU73" i="11"/>
  <c r="DU126" i="11"/>
  <c r="DU121" i="11"/>
  <c r="DU143" i="11"/>
  <c r="DU138" i="11"/>
  <c r="DU151" i="11"/>
  <c r="DU150" i="11"/>
  <c r="DU147" i="11"/>
  <c r="DU146" i="11"/>
  <c r="DU187" i="11"/>
  <c r="DU186" i="11"/>
  <c r="DU185" i="11"/>
  <c r="DU181" i="11"/>
  <c r="DU203" i="11"/>
  <c r="DU201" i="11"/>
  <c r="DU200" i="11"/>
  <c r="DU199" i="11"/>
  <c r="DU198" i="11"/>
  <c r="DU196" i="11"/>
  <c r="DU194" i="11"/>
  <c r="DU193" i="11"/>
  <c r="DU20" i="11"/>
  <c r="DU17" i="11"/>
  <c r="DU35" i="11"/>
  <c r="DU34" i="11"/>
  <c r="DU59" i="11"/>
  <c r="DU54" i="11"/>
  <c r="DU66" i="11"/>
  <c r="DU61" i="11"/>
  <c r="DU96" i="11"/>
  <c r="DU123" i="11"/>
  <c r="DU144" i="11"/>
  <c r="DU140" i="11"/>
  <c r="DU137" i="11"/>
  <c r="DU136" i="11"/>
  <c r="DU134" i="11"/>
  <c r="DU155" i="11"/>
  <c r="DU154" i="11"/>
  <c r="DU148" i="11"/>
  <c r="DU189" i="11"/>
  <c r="DU188" i="11"/>
  <c r="DU184" i="11"/>
  <c r="DU183" i="11"/>
  <c r="DU182" i="11"/>
  <c r="DU202" i="11"/>
  <c r="DU197" i="11"/>
  <c r="DU195" i="11"/>
  <c r="DU13" i="11"/>
  <c r="DU36" i="11"/>
  <c r="DU26" i="11"/>
  <c r="DU48" i="11"/>
  <c r="DU47" i="11"/>
  <c r="DU43" i="11"/>
  <c r="DU41" i="11"/>
  <c r="DU40" i="11"/>
  <c r="DU39" i="11"/>
  <c r="DU56" i="11"/>
  <c r="DU55" i="11"/>
  <c r="DU70" i="11"/>
  <c r="DU64" i="11"/>
  <c r="DU63" i="11"/>
  <c r="DU80" i="11"/>
  <c r="DU14" i="11"/>
  <c r="DU30" i="11"/>
  <c r="DU38" i="11"/>
  <c r="DU65" i="11"/>
  <c r="DU92" i="11"/>
  <c r="DU19" i="11"/>
  <c r="DU16" i="11"/>
  <c r="DU27" i="11"/>
  <c r="DU25" i="11"/>
  <c r="DU46" i="11"/>
  <c r="DU45" i="11"/>
  <c r="DU50" i="11"/>
  <c r="DU71" i="11"/>
  <c r="DU68" i="11"/>
  <c r="DU83" i="11"/>
  <c r="DU78" i="11"/>
  <c r="DU74" i="11"/>
  <c r="DU95" i="11"/>
  <c r="DU12" i="11"/>
  <c r="DU11" i="11"/>
  <c r="DU10" i="11"/>
  <c r="DU9" i="11"/>
  <c r="DU8" i="11"/>
  <c r="DU7" i="11"/>
  <c r="DU6" i="11"/>
  <c r="DU5" i="11"/>
  <c r="DU4" i="11"/>
  <c r="EU20" i="5"/>
  <c r="EU19" i="5"/>
  <c r="EU18" i="5"/>
  <c r="EU17" i="5"/>
  <c r="EU16" i="5"/>
  <c r="EU15" i="5"/>
  <c r="EU14" i="5"/>
  <c r="EU13" i="5"/>
  <c r="EU12" i="5"/>
  <c r="EU11" i="5"/>
  <c r="EU30" i="5"/>
  <c r="EU29" i="5"/>
  <c r="EU28" i="5"/>
  <c r="EU27" i="5"/>
  <c r="EU26" i="5"/>
  <c r="EU25" i="5"/>
  <c r="EU24" i="5"/>
  <c r="EU23" i="5"/>
  <c r="EU22" i="5"/>
  <c r="EU21" i="5"/>
  <c r="EU10" i="5"/>
  <c r="EU9" i="5"/>
  <c r="EU8" i="5"/>
  <c r="EU7" i="5"/>
  <c r="EU6" i="5"/>
  <c r="EU5" i="5"/>
  <c r="DV24" i="11"/>
  <c r="DV23" i="11"/>
  <c r="DV22" i="11"/>
  <c r="DV21" i="11"/>
  <c r="DV20" i="11"/>
  <c r="DV18" i="11"/>
  <c r="DV16" i="11"/>
  <c r="DV35" i="11"/>
  <c r="DV30" i="11"/>
  <c r="DV57" i="11"/>
  <c r="DV56" i="11"/>
  <c r="DV53" i="11"/>
  <c r="DV52" i="11"/>
  <c r="DV83" i="11"/>
  <c r="DV76" i="11"/>
  <c r="DV73" i="11"/>
  <c r="DV95" i="11"/>
  <c r="DV91" i="11"/>
  <c r="DV90" i="11"/>
  <c r="DV89" i="11"/>
  <c r="DV88" i="11"/>
  <c r="DV87" i="11"/>
  <c r="DV86" i="11"/>
  <c r="DV85" i="11"/>
  <c r="DV108" i="11"/>
  <c r="DV107" i="11"/>
  <c r="DV106" i="11"/>
  <c r="DV105" i="11"/>
  <c r="DV104" i="11"/>
  <c r="DV103" i="11"/>
  <c r="DV102" i="11"/>
  <c r="DV101" i="11"/>
  <c r="DV100" i="11"/>
  <c r="DV99" i="11"/>
  <c r="DV98" i="11"/>
  <c r="DV97" i="11"/>
  <c r="DV120" i="11"/>
  <c r="DV119" i="11"/>
  <c r="DV118" i="11"/>
  <c r="DV117" i="11"/>
  <c r="DV116" i="11"/>
  <c r="DV115" i="11"/>
  <c r="DV114" i="11"/>
  <c r="DV113" i="11"/>
  <c r="DV112" i="11"/>
  <c r="DV111" i="11"/>
  <c r="DV110" i="11"/>
  <c r="DV109" i="11"/>
  <c r="DV132" i="11"/>
  <c r="DV131" i="11"/>
  <c r="DV130" i="11"/>
  <c r="DV129" i="11"/>
  <c r="DV128" i="11"/>
  <c r="DV127" i="11"/>
  <c r="DV17" i="11"/>
  <c r="DV15" i="11"/>
  <c r="DV13" i="11"/>
  <c r="DV34" i="11"/>
  <c r="DV29" i="11"/>
  <c r="DV26" i="11"/>
  <c r="DV43" i="11"/>
  <c r="DV39" i="11"/>
  <c r="DV60" i="11"/>
  <c r="DV49" i="11"/>
  <c r="DV72" i="11"/>
  <c r="DV66" i="11"/>
  <c r="DV65" i="11"/>
  <c r="DV81" i="11"/>
  <c r="DV80" i="11"/>
  <c r="DV77" i="11"/>
  <c r="DV74" i="11"/>
  <c r="DV126" i="11"/>
  <c r="DV121" i="11"/>
  <c r="DV144" i="11"/>
  <c r="DV143" i="11"/>
  <c r="DV142" i="11"/>
  <c r="DV141" i="11"/>
  <c r="DV140" i="11"/>
  <c r="DV138" i="11"/>
  <c r="DV137" i="11"/>
  <c r="DV136" i="11"/>
  <c r="DV155" i="11"/>
  <c r="DV151" i="11"/>
  <c r="DV149" i="11"/>
  <c r="DV148" i="11"/>
  <c r="DV146" i="11"/>
  <c r="DV145" i="11"/>
  <c r="DV168" i="11"/>
  <c r="DV167" i="11"/>
  <c r="DV166" i="11"/>
  <c r="DV165" i="11"/>
  <c r="DV164" i="11"/>
  <c r="DV163" i="11"/>
  <c r="DV162" i="11"/>
  <c r="DV161" i="11"/>
  <c r="DV160" i="11"/>
  <c r="DV159" i="11"/>
  <c r="DV158" i="11"/>
  <c r="DV157" i="11"/>
  <c r="DV180" i="11"/>
  <c r="DV179" i="11"/>
  <c r="DV178" i="11"/>
  <c r="DV177" i="11"/>
  <c r="DV176" i="11"/>
  <c r="DV175" i="11"/>
  <c r="DV174" i="11"/>
  <c r="DV173" i="11"/>
  <c r="DV172" i="11"/>
  <c r="DV171" i="11"/>
  <c r="DV170" i="11"/>
  <c r="DV169" i="11"/>
  <c r="DV192" i="11"/>
  <c r="DV191" i="11"/>
  <c r="DV190" i="11"/>
  <c r="DV14" i="11"/>
  <c r="DV36" i="11"/>
  <c r="DV33" i="11"/>
  <c r="DV46" i="11"/>
  <c r="DV42" i="11"/>
  <c r="DV41" i="11"/>
  <c r="DV40" i="11"/>
  <c r="DV58" i="11"/>
  <c r="DV71" i="11"/>
  <c r="DV70" i="11"/>
  <c r="DV69" i="11"/>
  <c r="DV63" i="11"/>
  <c r="DV61" i="11"/>
  <c r="DV82" i="11"/>
  <c r="DV93" i="11"/>
  <c r="DV92" i="11"/>
  <c r="DV125" i="11"/>
  <c r="DV123" i="11"/>
  <c r="DV139" i="11"/>
  <c r="DV134" i="11"/>
  <c r="DV156" i="11"/>
  <c r="DV154" i="11"/>
  <c r="DV150" i="11"/>
  <c r="DV189" i="11"/>
  <c r="DV188" i="11"/>
  <c r="DV184" i="11"/>
  <c r="DV183" i="11"/>
  <c r="DV182" i="11"/>
  <c r="DV202" i="11"/>
  <c r="DV197" i="11"/>
  <c r="DV195" i="11"/>
  <c r="DV194" i="11"/>
  <c r="DV193" i="11"/>
  <c r="DV37" i="11"/>
  <c r="DV68" i="11"/>
  <c r="DV64" i="11"/>
  <c r="DV78" i="11"/>
  <c r="DV94" i="11"/>
  <c r="DV124" i="11"/>
  <c r="DV135" i="11"/>
  <c r="DV133" i="11"/>
  <c r="DV153" i="11"/>
  <c r="DV152" i="11"/>
  <c r="DV147" i="11"/>
  <c r="DV187" i="11"/>
  <c r="DV186" i="11"/>
  <c r="DV185" i="11"/>
  <c r="DV181" i="11"/>
  <c r="DV203" i="11"/>
  <c r="DV201" i="11"/>
  <c r="DV200" i="11"/>
  <c r="DV199" i="11"/>
  <c r="DV198" i="11"/>
  <c r="DV196" i="11"/>
  <c r="DV32" i="11"/>
  <c r="DV28" i="11"/>
  <c r="DV25" i="11"/>
  <c r="DV44" i="11"/>
  <c r="DV38" i="11"/>
  <c r="DV59" i="11"/>
  <c r="DV67" i="11"/>
  <c r="DV79" i="11"/>
  <c r="DV19" i="11"/>
  <c r="DV48" i="11"/>
  <c r="DV47" i="11"/>
  <c r="DV45" i="11"/>
  <c r="DV54" i="11"/>
  <c r="DV50" i="11"/>
  <c r="DV84" i="11"/>
  <c r="DV75" i="11"/>
  <c r="DV122" i="11"/>
  <c r="DV31" i="11"/>
  <c r="DV27" i="11"/>
  <c r="DV55" i="11"/>
  <c r="DV51" i="11"/>
  <c r="DV62" i="11"/>
  <c r="DV96" i="11"/>
  <c r="DV12" i="11"/>
  <c r="DV11" i="11"/>
  <c r="DV10" i="11"/>
  <c r="DV9" i="11"/>
  <c r="DV8" i="11"/>
  <c r="DV7" i="11"/>
  <c r="DV6" i="11"/>
  <c r="DV5" i="11"/>
  <c r="DV4" i="11"/>
  <c r="EV20" i="5"/>
  <c r="EV14" i="5"/>
  <c r="EV30" i="5"/>
  <c r="EV29" i="5"/>
  <c r="EV28" i="5"/>
  <c r="EV27" i="5"/>
  <c r="EV26" i="5"/>
  <c r="EV25" i="5"/>
  <c r="EV24" i="5"/>
  <c r="EV23" i="5"/>
  <c r="EV22" i="5"/>
  <c r="EV21" i="5"/>
  <c r="AC80" i="5"/>
  <c r="G80" i="5"/>
  <c r="EV10" i="5" s="1"/>
  <c r="F80" i="5"/>
  <c r="EV9" i="5" s="1"/>
  <c r="E80" i="5"/>
  <c r="EV8" i="5" s="1"/>
  <c r="D80" i="5"/>
  <c r="EV7" i="5" s="1"/>
  <c r="C80" i="5"/>
  <c r="EV6" i="5" s="1"/>
  <c r="B80" i="5"/>
  <c r="CG24" i="11"/>
  <c r="CG23" i="11"/>
  <c r="CG22" i="11"/>
  <c r="CG21" i="11"/>
  <c r="CG17" i="11"/>
  <c r="CG15" i="11"/>
  <c r="CG34" i="11"/>
  <c r="CG26" i="11"/>
  <c r="CG39" i="11"/>
  <c r="CG70" i="11"/>
  <c r="CG94" i="11"/>
  <c r="CG92" i="11"/>
  <c r="CG91" i="11"/>
  <c r="CG90" i="11"/>
  <c r="CG89" i="11"/>
  <c r="CG88" i="11"/>
  <c r="CG87" i="11"/>
  <c r="CG86" i="11"/>
  <c r="CG85" i="11"/>
  <c r="CG108" i="11"/>
  <c r="CG107" i="11"/>
  <c r="CG106" i="11"/>
  <c r="CG105" i="11"/>
  <c r="CG104" i="11"/>
  <c r="CG103" i="11"/>
  <c r="CG102" i="11"/>
  <c r="CG101" i="11"/>
  <c r="CG100" i="11"/>
  <c r="CG99" i="11"/>
  <c r="CG98" i="11"/>
  <c r="CG97" i="11"/>
  <c r="CG120" i="11"/>
  <c r="CG119" i="11"/>
  <c r="CG118" i="11"/>
  <c r="CG117" i="11"/>
  <c r="CG116" i="11"/>
  <c r="CG115" i="11"/>
  <c r="CG114" i="11"/>
  <c r="CG113" i="11"/>
  <c r="CG112" i="11"/>
  <c r="CG111" i="11"/>
  <c r="CG110" i="11"/>
  <c r="CG109" i="11"/>
  <c r="CG132" i="11"/>
  <c r="CG131" i="11"/>
  <c r="CG130" i="11"/>
  <c r="CG129" i="11"/>
  <c r="CG128" i="11"/>
  <c r="CG127" i="11"/>
  <c r="CG20" i="11"/>
  <c r="CG18" i="11"/>
  <c r="CG13" i="11"/>
  <c r="CG36" i="11"/>
  <c r="CG35" i="11"/>
  <c r="CG30" i="11"/>
  <c r="CG48" i="11"/>
  <c r="CG47" i="11"/>
  <c r="CG42" i="11"/>
  <c r="CG41" i="11"/>
  <c r="CG37" i="11"/>
  <c r="CG58" i="11"/>
  <c r="CG57" i="11"/>
  <c r="CG51" i="11"/>
  <c r="CG71" i="11"/>
  <c r="CG83" i="11"/>
  <c r="CG96" i="11"/>
  <c r="CG126" i="11"/>
  <c r="CG124" i="11"/>
  <c r="CG122" i="11"/>
  <c r="CG144" i="11"/>
  <c r="CG142" i="11"/>
  <c r="CG140" i="11"/>
  <c r="CG139" i="11"/>
  <c r="CG137" i="11"/>
  <c r="CG135" i="11"/>
  <c r="CG133" i="11"/>
  <c r="CG155" i="11"/>
  <c r="CG149" i="11"/>
  <c r="CG146" i="11"/>
  <c r="CG145" i="11"/>
  <c r="CG168" i="11"/>
  <c r="CG167" i="11"/>
  <c r="CG166" i="11"/>
  <c r="CG165" i="11"/>
  <c r="CG164" i="11"/>
  <c r="CG163" i="11"/>
  <c r="CG162" i="11"/>
  <c r="CG161" i="11"/>
  <c r="CG160" i="11"/>
  <c r="CG159" i="11"/>
  <c r="CG158" i="11"/>
  <c r="CG157" i="11"/>
  <c r="CG180" i="11"/>
  <c r="CG179" i="11"/>
  <c r="CG178" i="11"/>
  <c r="CG177" i="11"/>
  <c r="CG176" i="11"/>
  <c r="CG175" i="11"/>
  <c r="CG174" i="11"/>
  <c r="CG173" i="11"/>
  <c r="CG172" i="11"/>
  <c r="CG171" i="11"/>
  <c r="CG170" i="11"/>
  <c r="CG169" i="11"/>
  <c r="CG192" i="11"/>
  <c r="CG191" i="11"/>
  <c r="CG190" i="11"/>
  <c r="CG81" i="11"/>
  <c r="CG76" i="11"/>
  <c r="CG95" i="11"/>
  <c r="CG125" i="11"/>
  <c r="CG123" i="11"/>
  <c r="CG143" i="11"/>
  <c r="CG138" i="11"/>
  <c r="CG156" i="11"/>
  <c r="CG154" i="11"/>
  <c r="CG150" i="11"/>
  <c r="CG148" i="11"/>
  <c r="CG147" i="11"/>
  <c r="CG188" i="11"/>
  <c r="CG182" i="11"/>
  <c r="CG181" i="11"/>
  <c r="CG203" i="11"/>
  <c r="CG202" i="11"/>
  <c r="CG200" i="11"/>
  <c r="CG199" i="11"/>
  <c r="CG198" i="11"/>
  <c r="CG195" i="11"/>
  <c r="CG194" i="11"/>
  <c r="CG193" i="11"/>
  <c r="CG31" i="11"/>
  <c r="CG52" i="11"/>
  <c r="CG49" i="11"/>
  <c r="CG68" i="11"/>
  <c r="CG66" i="11"/>
  <c r="CG61" i="11"/>
  <c r="CG82" i="11"/>
  <c r="CG80" i="11"/>
  <c r="CG75" i="11"/>
  <c r="CG73" i="11"/>
  <c r="CG93" i="11"/>
  <c r="CG121" i="11"/>
  <c r="CG141" i="11"/>
  <c r="CG136" i="11"/>
  <c r="CG134" i="11"/>
  <c r="CG153" i="11"/>
  <c r="CG152" i="11"/>
  <c r="CG151" i="11"/>
  <c r="CG189" i="11"/>
  <c r="CG187" i="11"/>
  <c r="CG186" i="11"/>
  <c r="CG185" i="11"/>
  <c r="CG184" i="11"/>
  <c r="CG183" i="11"/>
  <c r="CG201" i="11"/>
  <c r="CG197" i="11"/>
  <c r="CG196" i="11"/>
  <c r="CG16" i="11"/>
  <c r="CG33" i="11"/>
  <c r="CG28" i="11"/>
  <c r="CG44" i="11"/>
  <c r="CG59" i="11"/>
  <c r="CG56" i="11"/>
  <c r="CG55" i="11"/>
  <c r="CG53" i="11"/>
  <c r="CG65" i="11"/>
  <c r="CG77" i="11"/>
  <c r="CG19" i="11"/>
  <c r="CG32" i="11"/>
  <c r="CG29" i="11"/>
  <c r="CG25" i="11"/>
  <c r="CG46" i="11"/>
  <c r="CG45" i="11"/>
  <c r="CG43" i="11"/>
  <c r="CG40" i="11"/>
  <c r="CG38" i="11"/>
  <c r="CG60" i="11"/>
  <c r="CG50" i="11"/>
  <c r="CG67" i="11"/>
  <c r="CG64" i="11"/>
  <c r="CG63" i="11"/>
  <c r="CG84" i="11"/>
  <c r="CG78" i="11"/>
  <c r="CG74" i="11"/>
  <c r="CG14" i="11"/>
  <c r="CG27" i="11"/>
  <c r="CG54" i="11"/>
  <c r="CG72" i="11"/>
  <c r="CG69" i="11"/>
  <c r="CG62" i="11"/>
  <c r="CG79" i="11"/>
  <c r="CG12" i="11"/>
  <c r="CG11" i="11"/>
  <c r="CG10" i="11"/>
  <c r="CG9" i="11"/>
  <c r="CG8" i="11"/>
  <c r="CG7" i="11"/>
  <c r="CG6" i="11"/>
  <c r="CG5" i="11"/>
  <c r="CG4" i="11"/>
  <c r="AC39" i="5"/>
  <c r="AA39" i="5"/>
  <c r="DG30" i="5" s="1"/>
  <c r="Z39" i="5"/>
  <c r="DG29" i="5" s="1"/>
  <c r="Y39" i="5"/>
  <c r="DG28" i="5" s="1"/>
  <c r="X39" i="5"/>
  <c r="DG27" i="5" s="1"/>
  <c r="W39" i="5"/>
  <c r="DG26" i="5" s="1"/>
  <c r="V39" i="5"/>
  <c r="DG25" i="5" s="1"/>
  <c r="U39" i="5"/>
  <c r="DG24" i="5" s="1"/>
  <c r="T39" i="5"/>
  <c r="DG23" i="5" s="1"/>
  <c r="S39" i="5"/>
  <c r="DG22" i="5" s="1"/>
  <c r="R39" i="5"/>
  <c r="DG21" i="5" s="1"/>
  <c r="Q39" i="5"/>
  <c r="DG20" i="5" s="1"/>
  <c r="P39" i="5"/>
  <c r="DG19" i="5" s="1"/>
  <c r="O39" i="5"/>
  <c r="DG18" i="5" s="1"/>
  <c r="N39" i="5"/>
  <c r="DG17" i="5" s="1"/>
  <c r="M39" i="5"/>
  <c r="DG16" i="5" s="1"/>
  <c r="L39" i="5"/>
  <c r="DG15" i="5" s="1"/>
  <c r="K39" i="5"/>
  <c r="DG14" i="5" s="1"/>
  <c r="J39" i="5"/>
  <c r="DG13" i="5" s="1"/>
  <c r="I39" i="5"/>
  <c r="DG12" i="5" s="1"/>
  <c r="H39" i="5"/>
  <c r="DG11" i="5" s="1"/>
  <c r="G39" i="5"/>
  <c r="DG10" i="5" s="1"/>
  <c r="F39" i="5"/>
  <c r="DG9" i="5" s="1"/>
  <c r="E39" i="5"/>
  <c r="DG8" i="5" s="1"/>
  <c r="D39" i="5"/>
  <c r="DG7" i="5" s="1"/>
  <c r="C39" i="5"/>
  <c r="DG6" i="5" s="1"/>
  <c r="B39" i="5"/>
  <c r="CH24" i="11"/>
  <c r="CH23" i="11"/>
  <c r="CH22" i="11"/>
  <c r="CH21" i="11"/>
  <c r="CH18" i="11"/>
  <c r="CH36" i="11"/>
  <c r="CH29" i="11"/>
  <c r="CH25" i="11"/>
  <c r="CH44" i="11"/>
  <c r="CH43" i="11"/>
  <c r="CH38" i="11"/>
  <c r="CH60" i="11"/>
  <c r="CH57" i="11"/>
  <c r="CH55" i="11"/>
  <c r="CH52" i="11"/>
  <c r="CH68" i="11"/>
  <c r="CH73" i="11"/>
  <c r="CH92" i="11"/>
  <c r="CH91" i="11"/>
  <c r="CH90" i="11"/>
  <c r="CH89" i="11"/>
  <c r="CH88" i="11"/>
  <c r="CH87" i="11"/>
  <c r="CH86" i="11"/>
  <c r="CH85" i="11"/>
  <c r="CH108" i="11"/>
  <c r="CH107" i="11"/>
  <c r="CH106" i="11"/>
  <c r="CH105" i="11"/>
  <c r="CH104" i="11"/>
  <c r="CH103" i="11"/>
  <c r="CH102" i="11"/>
  <c r="CH101" i="11"/>
  <c r="CH100" i="11"/>
  <c r="CH99" i="11"/>
  <c r="CH98" i="11"/>
  <c r="CH97" i="11"/>
  <c r="CH120" i="11"/>
  <c r="CH119" i="11"/>
  <c r="CH118" i="11"/>
  <c r="CH117" i="11"/>
  <c r="CH116" i="11"/>
  <c r="CH115" i="11"/>
  <c r="CH114" i="11"/>
  <c r="CH113" i="11"/>
  <c r="CH112" i="11"/>
  <c r="CH111" i="11"/>
  <c r="CH110" i="11"/>
  <c r="CH109" i="11"/>
  <c r="CH132" i="11"/>
  <c r="CH131" i="11"/>
  <c r="CH130" i="11"/>
  <c r="CH129" i="11"/>
  <c r="CH128" i="11"/>
  <c r="CH127" i="11"/>
  <c r="CH17" i="11"/>
  <c r="CH28" i="11"/>
  <c r="CH45" i="11"/>
  <c r="CH40" i="11"/>
  <c r="CH59" i="11"/>
  <c r="CH53" i="11"/>
  <c r="CH49" i="11"/>
  <c r="CH143" i="11"/>
  <c r="CH141" i="11"/>
  <c r="CH140" i="11"/>
  <c r="CH139" i="11"/>
  <c r="CH138" i="11"/>
  <c r="CH136" i="11"/>
  <c r="CH134" i="11"/>
  <c r="CH154" i="11"/>
  <c r="CH153" i="11"/>
  <c r="CH152" i="11"/>
  <c r="CH150" i="11"/>
  <c r="CH148" i="11"/>
  <c r="CH147" i="11"/>
  <c r="CH146" i="11"/>
  <c r="CH145" i="11"/>
  <c r="CH168" i="11"/>
  <c r="CH167" i="11"/>
  <c r="CH166" i="11"/>
  <c r="CH165" i="11"/>
  <c r="CH164" i="11"/>
  <c r="CH163" i="11"/>
  <c r="CH162" i="11"/>
  <c r="CH161" i="11"/>
  <c r="CH160" i="11"/>
  <c r="CH159" i="11"/>
  <c r="CH158" i="11"/>
  <c r="CH157" i="11"/>
  <c r="CH180" i="11"/>
  <c r="CH179" i="11"/>
  <c r="CH178" i="11"/>
  <c r="CH177" i="11"/>
  <c r="CH176" i="11"/>
  <c r="CH175" i="11"/>
  <c r="CH174" i="11"/>
  <c r="CH173" i="11"/>
  <c r="CH172" i="11"/>
  <c r="CH171" i="11"/>
  <c r="CH170" i="11"/>
  <c r="CH169" i="11"/>
  <c r="CH192" i="11"/>
  <c r="CH191" i="11"/>
  <c r="CH190" i="11"/>
  <c r="CH34" i="11"/>
  <c r="CH48" i="11"/>
  <c r="CH41" i="11"/>
  <c r="CH54" i="11"/>
  <c r="CH50" i="11"/>
  <c r="CH72" i="11"/>
  <c r="CH70" i="11"/>
  <c r="CH64" i="11"/>
  <c r="CH63" i="11"/>
  <c r="CH84" i="11"/>
  <c r="CH82" i="11"/>
  <c r="CH74" i="11"/>
  <c r="CH121" i="11"/>
  <c r="CH144" i="11"/>
  <c r="CH135" i="11"/>
  <c r="CH133" i="11"/>
  <c r="CH155" i="11"/>
  <c r="CH151" i="11"/>
  <c r="CH189" i="11"/>
  <c r="CH188" i="11"/>
  <c r="CH187" i="11"/>
  <c r="CH186" i="11"/>
  <c r="CH184" i="11"/>
  <c r="CH183" i="11"/>
  <c r="CH201" i="11"/>
  <c r="CH197" i="11"/>
  <c r="CH196" i="11"/>
  <c r="CH195" i="11"/>
  <c r="CH194" i="11"/>
  <c r="CH193" i="11"/>
  <c r="CH14" i="11"/>
  <c r="CH13" i="11"/>
  <c r="CH35" i="11"/>
  <c r="CH30" i="11"/>
  <c r="CH46" i="11"/>
  <c r="CH56" i="11"/>
  <c r="CH71" i="11"/>
  <c r="CH69" i="11"/>
  <c r="CH65" i="11"/>
  <c r="CH62" i="11"/>
  <c r="CH83" i="11"/>
  <c r="CH76" i="11"/>
  <c r="CH126" i="11"/>
  <c r="CH124" i="11"/>
  <c r="CH123" i="11"/>
  <c r="CH122" i="11"/>
  <c r="CH142" i="11"/>
  <c r="CH137" i="11"/>
  <c r="CH156" i="11"/>
  <c r="CH149" i="11"/>
  <c r="CH185" i="11"/>
  <c r="CH182" i="11"/>
  <c r="CH181" i="11"/>
  <c r="CH203" i="11"/>
  <c r="CH202" i="11"/>
  <c r="CH200" i="11"/>
  <c r="CH199" i="11"/>
  <c r="CH198" i="11"/>
  <c r="CH31" i="11"/>
  <c r="CH26" i="11"/>
  <c r="CH61" i="11"/>
  <c r="CH80" i="11"/>
  <c r="CH20" i="11"/>
  <c r="CH16" i="11"/>
  <c r="CH15" i="11"/>
  <c r="CH27" i="11"/>
  <c r="CH47" i="11"/>
  <c r="CH37" i="11"/>
  <c r="CH81" i="11"/>
  <c r="CH79" i="11"/>
  <c r="CH93" i="11"/>
  <c r="CH19" i="11"/>
  <c r="CH33" i="11"/>
  <c r="CH32" i="11"/>
  <c r="CH42" i="11"/>
  <c r="CH39" i="11"/>
  <c r="CH58" i="11"/>
  <c r="CH51" i="11"/>
  <c r="CH67" i="11"/>
  <c r="CH66" i="11"/>
  <c r="CH78" i="11"/>
  <c r="CH77" i="11"/>
  <c r="CH75" i="11"/>
  <c r="CH96" i="11"/>
  <c r="CH95" i="11"/>
  <c r="CH94" i="11"/>
  <c r="CH125" i="11"/>
  <c r="CH12" i="11"/>
  <c r="CH11" i="11"/>
  <c r="CH10" i="11"/>
  <c r="CH9" i="11"/>
  <c r="CH8" i="11"/>
  <c r="CH7" i="11"/>
  <c r="CH6" i="11"/>
  <c r="CH5" i="11"/>
  <c r="CH4" i="11"/>
  <c r="AC40" i="5"/>
  <c r="AA40" i="5"/>
  <c r="DH30" i="5" s="1"/>
  <c r="Z40" i="5"/>
  <c r="DH29" i="5" s="1"/>
  <c r="Y40" i="5"/>
  <c r="DH28" i="5" s="1"/>
  <c r="X40" i="5"/>
  <c r="DH27" i="5" s="1"/>
  <c r="W40" i="5"/>
  <c r="DH26" i="5" s="1"/>
  <c r="V40" i="5"/>
  <c r="DH25" i="5" s="1"/>
  <c r="U40" i="5"/>
  <c r="DH24" i="5" s="1"/>
  <c r="T40" i="5"/>
  <c r="DH23" i="5" s="1"/>
  <c r="S40" i="5"/>
  <c r="DH22" i="5" s="1"/>
  <c r="R40" i="5"/>
  <c r="DH21" i="5" s="1"/>
  <c r="Q40" i="5"/>
  <c r="DH20" i="5" s="1"/>
  <c r="P40" i="5"/>
  <c r="DH19" i="5" s="1"/>
  <c r="O40" i="5"/>
  <c r="DH18" i="5" s="1"/>
  <c r="N40" i="5"/>
  <c r="DH17" i="5" s="1"/>
  <c r="M40" i="5"/>
  <c r="DH16" i="5" s="1"/>
  <c r="L40" i="5"/>
  <c r="DH15" i="5" s="1"/>
  <c r="K40" i="5"/>
  <c r="DH14" i="5" s="1"/>
  <c r="J40" i="5"/>
  <c r="DH13" i="5" s="1"/>
  <c r="I40" i="5"/>
  <c r="DH12" i="5" s="1"/>
  <c r="H40" i="5"/>
  <c r="DH11" i="5" s="1"/>
  <c r="G40" i="5"/>
  <c r="DH10" i="5" s="1"/>
  <c r="F40" i="5"/>
  <c r="DH9" i="5" s="1"/>
  <c r="E40" i="5"/>
  <c r="DH8" i="5" s="1"/>
  <c r="D40" i="5"/>
  <c r="DH7" i="5" s="1"/>
  <c r="C40" i="5"/>
  <c r="DH6" i="5" s="1"/>
  <c r="B40" i="5"/>
  <c r="CI24" i="11"/>
  <c r="CI23" i="11"/>
  <c r="CI22" i="11"/>
  <c r="CI21" i="11"/>
  <c r="CI20" i="11"/>
  <c r="CI14" i="11"/>
  <c r="CI47" i="11"/>
  <c r="CI42" i="11"/>
  <c r="CI37" i="11"/>
  <c r="CI53" i="11"/>
  <c r="CI49" i="11"/>
  <c r="CI66" i="11"/>
  <c r="CI63" i="11"/>
  <c r="CI83" i="11"/>
  <c r="CI78" i="11"/>
  <c r="CI74" i="11"/>
  <c r="CI95" i="11"/>
  <c r="CI92" i="11"/>
  <c r="CI91" i="11"/>
  <c r="CI90" i="11"/>
  <c r="CI89" i="11"/>
  <c r="CI88" i="11"/>
  <c r="CI87" i="11"/>
  <c r="CI86" i="11"/>
  <c r="CI85" i="11"/>
  <c r="CI108" i="11"/>
  <c r="CI107" i="11"/>
  <c r="CI106" i="11"/>
  <c r="CI105" i="11"/>
  <c r="CI104" i="11"/>
  <c r="CI103" i="11"/>
  <c r="CI102" i="11"/>
  <c r="CI101" i="11"/>
  <c r="CI100" i="11"/>
  <c r="CI99" i="11"/>
  <c r="CI98" i="11"/>
  <c r="CI97" i="11"/>
  <c r="CI120" i="11"/>
  <c r="CI119" i="11"/>
  <c r="CI118" i="11"/>
  <c r="CI117" i="11"/>
  <c r="CI116" i="11"/>
  <c r="CI115" i="11"/>
  <c r="CI114" i="11"/>
  <c r="CI113" i="11"/>
  <c r="CI112" i="11"/>
  <c r="CI111" i="11"/>
  <c r="CI110" i="11"/>
  <c r="CI109" i="11"/>
  <c r="CI132" i="11"/>
  <c r="CI131" i="11"/>
  <c r="CI130" i="11"/>
  <c r="CI129" i="11"/>
  <c r="CI128" i="11"/>
  <c r="CI127" i="11"/>
  <c r="CI19" i="11"/>
  <c r="CI31" i="11"/>
  <c r="CI30" i="11"/>
  <c r="CI26" i="11"/>
  <c r="CI46" i="11"/>
  <c r="CI43" i="11"/>
  <c r="CI56" i="11"/>
  <c r="CI55" i="11"/>
  <c r="CI50" i="11"/>
  <c r="CI69" i="11"/>
  <c r="CI64" i="11"/>
  <c r="CI62" i="11"/>
  <c r="CI79" i="11"/>
  <c r="CI94" i="11"/>
  <c r="CI124" i="11"/>
  <c r="CI123" i="11"/>
  <c r="CI144" i="11"/>
  <c r="CI142" i="11"/>
  <c r="CI141" i="11"/>
  <c r="CI139" i="11"/>
  <c r="CI138" i="11"/>
  <c r="CI137" i="11"/>
  <c r="CI133" i="11"/>
  <c r="CI155" i="11"/>
  <c r="CI151" i="11"/>
  <c r="CI150" i="11"/>
  <c r="CI149" i="11"/>
  <c r="CI146" i="11"/>
  <c r="CI145" i="11"/>
  <c r="CI168" i="11"/>
  <c r="CI167" i="11"/>
  <c r="CI166" i="11"/>
  <c r="CI165" i="11"/>
  <c r="CI164" i="11"/>
  <c r="CI163" i="11"/>
  <c r="CI162" i="11"/>
  <c r="CI161" i="11"/>
  <c r="CI160" i="11"/>
  <c r="CI159" i="11"/>
  <c r="CI158" i="11"/>
  <c r="CI157" i="11"/>
  <c r="CI180" i="11"/>
  <c r="CI179" i="11"/>
  <c r="CI178" i="11"/>
  <c r="CI177" i="11"/>
  <c r="CI176" i="11"/>
  <c r="CI175" i="11"/>
  <c r="CI174" i="11"/>
  <c r="CI173" i="11"/>
  <c r="CI172" i="11"/>
  <c r="CI171" i="11"/>
  <c r="CI170" i="11"/>
  <c r="CI169" i="11"/>
  <c r="CI192" i="11"/>
  <c r="CI191" i="11"/>
  <c r="CI190" i="11"/>
  <c r="CI18" i="11"/>
  <c r="CI13" i="11"/>
  <c r="CI32" i="11"/>
  <c r="CI44" i="11"/>
  <c r="CI40" i="11"/>
  <c r="CI38" i="11"/>
  <c r="CI65" i="11"/>
  <c r="CI61" i="11"/>
  <c r="CI73" i="11"/>
  <c r="CI122" i="11"/>
  <c r="CI143" i="11"/>
  <c r="CI140" i="11"/>
  <c r="CI148" i="11"/>
  <c r="CI147" i="11"/>
  <c r="CI188" i="11"/>
  <c r="CI182" i="11"/>
  <c r="CI181" i="11"/>
  <c r="CI203" i="11"/>
  <c r="CI202" i="11"/>
  <c r="CI200" i="11"/>
  <c r="CI199" i="11"/>
  <c r="CI198" i="11"/>
  <c r="CI197" i="11"/>
  <c r="CI194" i="11"/>
  <c r="CI193" i="11"/>
  <c r="CI15" i="11"/>
  <c r="CI41" i="11"/>
  <c r="CI39" i="11"/>
  <c r="CI70" i="11"/>
  <c r="CI67" i="11"/>
  <c r="CI77" i="11"/>
  <c r="CI121" i="11"/>
  <c r="CI136" i="11"/>
  <c r="CI135" i="11"/>
  <c r="CI134" i="11"/>
  <c r="CI156" i="11"/>
  <c r="CI154" i="11"/>
  <c r="CI153" i="11"/>
  <c r="CI152" i="11"/>
  <c r="CI189" i="11"/>
  <c r="CI187" i="11"/>
  <c r="CI186" i="11"/>
  <c r="CI185" i="11"/>
  <c r="CI184" i="11"/>
  <c r="CI183" i="11"/>
  <c r="CI201" i="11"/>
  <c r="CI196" i="11"/>
  <c r="CI195" i="11"/>
  <c r="CI34" i="11"/>
  <c r="CI27" i="11"/>
  <c r="CI25" i="11"/>
  <c r="CI48" i="11"/>
  <c r="CI72" i="11"/>
  <c r="CI84" i="11"/>
  <c r="CI17" i="11"/>
  <c r="CI36" i="11"/>
  <c r="CI29" i="11"/>
  <c r="CI59" i="11"/>
  <c r="CI58" i="11"/>
  <c r="CI57" i="11"/>
  <c r="CI54" i="11"/>
  <c r="CI52" i="11"/>
  <c r="CI51" i="11"/>
  <c r="CI71" i="11"/>
  <c r="CI68" i="11"/>
  <c r="CI82" i="11"/>
  <c r="CI80" i="11"/>
  <c r="CI76" i="11"/>
  <c r="CI75" i="11"/>
  <c r="CI96" i="11"/>
  <c r="CI126" i="11"/>
  <c r="CI125" i="11"/>
  <c r="CI16" i="11"/>
  <c r="CI35" i="11"/>
  <c r="CI33" i="11"/>
  <c r="CI28" i="11"/>
  <c r="CI45" i="11"/>
  <c r="CI60" i="11"/>
  <c r="CI81" i="11"/>
  <c r="CI93" i="11"/>
  <c r="CI12" i="11"/>
  <c r="CI11" i="11"/>
  <c r="CI10" i="11"/>
  <c r="CI9" i="11"/>
  <c r="CI8" i="11"/>
  <c r="CI7" i="11"/>
  <c r="CI6" i="11"/>
  <c r="CI5" i="11"/>
  <c r="CI4" i="11"/>
  <c r="DI20" i="5"/>
  <c r="DI19" i="5"/>
  <c r="DI18" i="5"/>
  <c r="DI17" i="5"/>
  <c r="DI16" i="5"/>
  <c r="DI15" i="5"/>
  <c r="DI14" i="5"/>
  <c r="DI13" i="5"/>
  <c r="DI12" i="5"/>
  <c r="DI11" i="5"/>
  <c r="DI30" i="5"/>
  <c r="DI29" i="5"/>
  <c r="DI28" i="5"/>
  <c r="DI27" i="5"/>
  <c r="DI26" i="5"/>
  <c r="DI25" i="5"/>
  <c r="DI24" i="5"/>
  <c r="DI23" i="5"/>
  <c r="DI22" i="5"/>
  <c r="DI21" i="5"/>
  <c r="DI10" i="5"/>
  <c r="DI9" i="5"/>
  <c r="DI8" i="5"/>
  <c r="DI7" i="5"/>
  <c r="DI6" i="5"/>
  <c r="DI5" i="5"/>
  <c r="CJ24" i="11"/>
  <c r="CJ23" i="11"/>
  <c r="CJ22" i="11"/>
  <c r="CJ21" i="11"/>
  <c r="CJ19" i="11"/>
  <c r="CJ16" i="11"/>
  <c r="CJ32" i="11"/>
  <c r="CJ29" i="11"/>
  <c r="CJ45" i="11"/>
  <c r="CJ41" i="11"/>
  <c r="CJ51" i="11"/>
  <c r="CJ61" i="11"/>
  <c r="CJ84" i="11"/>
  <c r="CJ74" i="11"/>
  <c r="CJ96" i="11"/>
  <c r="CJ92" i="11"/>
  <c r="CJ91" i="11"/>
  <c r="CJ90" i="11"/>
  <c r="CJ89" i="11"/>
  <c r="CJ88" i="11"/>
  <c r="CJ87" i="11"/>
  <c r="CJ86" i="11"/>
  <c r="CJ85" i="11"/>
  <c r="CJ108" i="11"/>
  <c r="CJ107" i="11"/>
  <c r="CJ106" i="11"/>
  <c r="CJ105" i="11"/>
  <c r="CJ104" i="11"/>
  <c r="CJ103" i="11"/>
  <c r="CJ102" i="11"/>
  <c r="CJ101" i="11"/>
  <c r="CJ100" i="11"/>
  <c r="CJ99" i="11"/>
  <c r="CJ98" i="11"/>
  <c r="CJ97" i="11"/>
  <c r="CJ120" i="11"/>
  <c r="CJ119" i="11"/>
  <c r="CJ118" i="11"/>
  <c r="CJ117" i="11"/>
  <c r="CJ116" i="11"/>
  <c r="CJ115" i="11"/>
  <c r="CJ114" i="11"/>
  <c r="CJ113" i="11"/>
  <c r="CJ112" i="11"/>
  <c r="CJ111" i="11"/>
  <c r="CJ110" i="11"/>
  <c r="CJ109" i="11"/>
  <c r="CJ132" i="11"/>
  <c r="CJ131" i="11"/>
  <c r="CJ130" i="11"/>
  <c r="CJ129" i="11"/>
  <c r="CJ128" i="11"/>
  <c r="CJ127" i="11"/>
  <c r="CJ36" i="11"/>
  <c r="CJ48" i="11"/>
  <c r="CJ38" i="11"/>
  <c r="CJ37" i="11"/>
  <c r="CJ58" i="11"/>
  <c r="CJ54" i="11"/>
  <c r="CJ63" i="11"/>
  <c r="CJ78" i="11"/>
  <c r="CJ76" i="11"/>
  <c r="CJ75" i="11"/>
  <c r="CJ73" i="11"/>
  <c r="CJ93" i="11"/>
  <c r="CJ126" i="11"/>
  <c r="CJ122" i="11"/>
  <c r="CJ143" i="11"/>
  <c r="CJ140" i="11"/>
  <c r="CJ139" i="11"/>
  <c r="CJ136" i="11"/>
  <c r="CJ135" i="11"/>
  <c r="CJ134" i="11"/>
  <c r="CJ156" i="11"/>
  <c r="CJ154" i="11"/>
  <c r="CJ153" i="11"/>
  <c r="CJ152" i="11"/>
  <c r="CJ148" i="11"/>
  <c r="CJ147" i="11"/>
  <c r="CJ146" i="11"/>
  <c r="CJ145" i="11"/>
  <c r="CJ168" i="11"/>
  <c r="CJ167" i="11"/>
  <c r="CJ166" i="11"/>
  <c r="CJ165" i="11"/>
  <c r="CJ164" i="11"/>
  <c r="CJ163" i="11"/>
  <c r="CJ162" i="11"/>
  <c r="CJ161" i="11"/>
  <c r="CJ160" i="11"/>
  <c r="CJ159" i="11"/>
  <c r="CJ158" i="11"/>
  <c r="CJ157" i="11"/>
  <c r="CJ180" i="11"/>
  <c r="CJ179" i="11"/>
  <c r="CJ178" i="11"/>
  <c r="CJ177" i="11"/>
  <c r="CJ176" i="11"/>
  <c r="CJ175" i="11"/>
  <c r="CJ174" i="11"/>
  <c r="CJ173" i="11"/>
  <c r="CJ172" i="11"/>
  <c r="CJ171" i="11"/>
  <c r="CJ170" i="11"/>
  <c r="CJ169" i="11"/>
  <c r="CJ192" i="11"/>
  <c r="CJ191" i="11"/>
  <c r="CJ190" i="11"/>
  <c r="CJ26" i="11"/>
  <c r="CJ25" i="11"/>
  <c r="CJ46" i="11"/>
  <c r="CJ42" i="11"/>
  <c r="CJ59" i="11"/>
  <c r="CJ69" i="11"/>
  <c r="CJ67" i="11"/>
  <c r="CJ80" i="11"/>
  <c r="CJ94" i="11"/>
  <c r="CJ123" i="11"/>
  <c r="CJ121" i="11"/>
  <c r="CJ138" i="11"/>
  <c r="CJ150" i="11"/>
  <c r="CJ189" i="11"/>
  <c r="CJ188" i="11"/>
  <c r="CJ187" i="11"/>
  <c r="CJ186" i="11"/>
  <c r="CJ184" i="11"/>
  <c r="CJ201" i="11"/>
  <c r="CJ199" i="11"/>
  <c r="CJ197" i="11"/>
  <c r="CJ196" i="11"/>
  <c r="CJ195" i="11"/>
  <c r="CJ194" i="11"/>
  <c r="CJ193" i="11"/>
  <c r="CJ18" i="11"/>
  <c r="CJ30" i="11"/>
  <c r="CJ43" i="11"/>
  <c r="CJ60" i="11"/>
  <c r="CJ55" i="11"/>
  <c r="CJ52" i="11"/>
  <c r="CJ64" i="11"/>
  <c r="CJ79" i="11"/>
  <c r="CJ95" i="11"/>
  <c r="CJ125" i="11"/>
  <c r="CJ124" i="11"/>
  <c r="CJ144" i="11"/>
  <c r="CJ142" i="11"/>
  <c r="CJ141" i="11"/>
  <c r="CJ137" i="11"/>
  <c r="CJ133" i="11"/>
  <c r="CJ155" i="11"/>
  <c r="CJ151" i="11"/>
  <c r="CJ149" i="11"/>
  <c r="CJ185" i="11"/>
  <c r="CJ183" i="11"/>
  <c r="CJ182" i="11"/>
  <c r="CJ181" i="11"/>
  <c r="CJ203" i="11"/>
  <c r="CJ202" i="11"/>
  <c r="CJ200" i="11"/>
  <c r="CJ198" i="11"/>
  <c r="CJ17" i="11"/>
  <c r="CJ14" i="11"/>
  <c r="CJ13" i="11"/>
  <c r="CJ33" i="11"/>
  <c r="CJ28" i="11"/>
  <c r="CJ47" i="11"/>
  <c r="CJ40" i="11"/>
  <c r="CJ39" i="11"/>
  <c r="CJ56" i="11"/>
  <c r="CJ49" i="11"/>
  <c r="CJ62" i="11"/>
  <c r="CJ81" i="11"/>
  <c r="CJ35" i="11"/>
  <c r="CJ34" i="11"/>
  <c r="CJ31" i="11"/>
  <c r="CJ27" i="11"/>
  <c r="CJ44" i="11"/>
  <c r="CJ53" i="11"/>
  <c r="CJ50" i="11"/>
  <c r="CJ72" i="11"/>
  <c r="CJ70" i="11"/>
  <c r="CJ66" i="11"/>
  <c r="CJ83" i="11"/>
  <c r="CJ77" i="11"/>
  <c r="CJ20" i="11"/>
  <c r="CJ15" i="11"/>
  <c r="CJ57" i="11"/>
  <c r="CJ71" i="11"/>
  <c r="CJ68" i="11"/>
  <c r="CJ65" i="11"/>
  <c r="CJ82" i="11"/>
  <c r="CJ12" i="11"/>
  <c r="CJ11" i="11"/>
  <c r="CJ10" i="11"/>
  <c r="CJ9" i="11"/>
  <c r="CJ8" i="11"/>
  <c r="CJ7" i="11"/>
  <c r="CJ6" i="11"/>
  <c r="CJ5" i="11"/>
  <c r="CJ4" i="11"/>
  <c r="DJ20" i="5"/>
  <c r="DJ19" i="5"/>
  <c r="DJ18" i="5"/>
  <c r="DJ17" i="5"/>
  <c r="DJ16" i="5"/>
  <c r="DJ15" i="5"/>
  <c r="DJ14" i="5"/>
  <c r="DJ13" i="5"/>
  <c r="DJ12" i="5"/>
  <c r="DJ11" i="5"/>
  <c r="DJ30" i="5"/>
  <c r="DJ29" i="5"/>
  <c r="DJ28" i="5"/>
  <c r="DJ27" i="5"/>
  <c r="DJ26" i="5"/>
  <c r="DJ25" i="5"/>
  <c r="DJ24" i="5"/>
  <c r="DJ23" i="5"/>
  <c r="DJ22" i="5"/>
  <c r="DJ21" i="5"/>
  <c r="DJ10" i="5"/>
  <c r="DJ9" i="5"/>
  <c r="DJ8" i="5"/>
  <c r="DJ7" i="5"/>
  <c r="DJ6" i="5"/>
  <c r="DJ5" i="5"/>
  <c r="CK24" i="11"/>
  <c r="CK23" i="11"/>
  <c r="CK22" i="11"/>
  <c r="CK21" i="11"/>
  <c r="CK34" i="11"/>
  <c r="CK40" i="11"/>
  <c r="CK56" i="11"/>
  <c r="CK70" i="11"/>
  <c r="CK81" i="11"/>
  <c r="CK80" i="11"/>
  <c r="CK94" i="11"/>
  <c r="CK92" i="11"/>
  <c r="CK91" i="11"/>
  <c r="CK90" i="11"/>
  <c r="CK89" i="11"/>
  <c r="CK88" i="11"/>
  <c r="CK87" i="11"/>
  <c r="CK86" i="11"/>
  <c r="CK85" i="11"/>
  <c r="CK108" i="11"/>
  <c r="CK107" i="11"/>
  <c r="CK106" i="11"/>
  <c r="CK105" i="11"/>
  <c r="CK104" i="11"/>
  <c r="CK103" i="11"/>
  <c r="CK102" i="11"/>
  <c r="CK101" i="11"/>
  <c r="CK100" i="11"/>
  <c r="CK99" i="11"/>
  <c r="CK98" i="11"/>
  <c r="CK97" i="11"/>
  <c r="CK120" i="11"/>
  <c r="CK119" i="11"/>
  <c r="CK118" i="11"/>
  <c r="CK117" i="11"/>
  <c r="CK116" i="11"/>
  <c r="CK115" i="11"/>
  <c r="CK114" i="11"/>
  <c r="CK113" i="11"/>
  <c r="CK112" i="11"/>
  <c r="CK111" i="11"/>
  <c r="CK110" i="11"/>
  <c r="CK109" i="11"/>
  <c r="CK132" i="11"/>
  <c r="CK131" i="11"/>
  <c r="CK130" i="11"/>
  <c r="CK129" i="11"/>
  <c r="CK128" i="11"/>
  <c r="CK127" i="11"/>
  <c r="CK20" i="11"/>
  <c r="CK18" i="11"/>
  <c r="CK16" i="11"/>
  <c r="CK15" i="11"/>
  <c r="CK13" i="11"/>
  <c r="CK35" i="11"/>
  <c r="CK30" i="11"/>
  <c r="CK28" i="11"/>
  <c r="CK25" i="11"/>
  <c r="CK47" i="11"/>
  <c r="CK41" i="11"/>
  <c r="CK39" i="11"/>
  <c r="CK60" i="11"/>
  <c r="CK51" i="11"/>
  <c r="CK82" i="11"/>
  <c r="CK96" i="11"/>
  <c r="CK142" i="11"/>
  <c r="CK141" i="11"/>
  <c r="CK138" i="11"/>
  <c r="CK137" i="11"/>
  <c r="CK155" i="11"/>
  <c r="CK150" i="11"/>
  <c r="CK149" i="11"/>
  <c r="CK146" i="11"/>
  <c r="CK145" i="11"/>
  <c r="CK168" i="11"/>
  <c r="CK167" i="11"/>
  <c r="CK166" i="11"/>
  <c r="CK165" i="11"/>
  <c r="CK164" i="11"/>
  <c r="CK163" i="11"/>
  <c r="CK162" i="11"/>
  <c r="CK161" i="11"/>
  <c r="CK160" i="11"/>
  <c r="CK159" i="11"/>
  <c r="CK158" i="11"/>
  <c r="CK157" i="11"/>
  <c r="CK180" i="11"/>
  <c r="CK179" i="11"/>
  <c r="CK178" i="11"/>
  <c r="CK177" i="11"/>
  <c r="CK176" i="11"/>
  <c r="CK175" i="11"/>
  <c r="CK174" i="11"/>
  <c r="CK173" i="11"/>
  <c r="CK172" i="11"/>
  <c r="CK171" i="11"/>
  <c r="CK170" i="11"/>
  <c r="CK169" i="11"/>
  <c r="CK192" i="11"/>
  <c r="CK191" i="11"/>
  <c r="CK190" i="11"/>
  <c r="CK17" i="11"/>
  <c r="CK58" i="11"/>
  <c r="CK57" i="11"/>
  <c r="CK55" i="11"/>
  <c r="CK53" i="11"/>
  <c r="CK52" i="11"/>
  <c r="CK71" i="11"/>
  <c r="CK62" i="11"/>
  <c r="CK77" i="11"/>
  <c r="CK76" i="11"/>
  <c r="CK95" i="11"/>
  <c r="CK125" i="11"/>
  <c r="CK144" i="11"/>
  <c r="CK143" i="11"/>
  <c r="CK140" i="11"/>
  <c r="CK139" i="11"/>
  <c r="CK135" i="11"/>
  <c r="CK133" i="11"/>
  <c r="CK156" i="11"/>
  <c r="CK154" i="11"/>
  <c r="CK151" i="11"/>
  <c r="CK148" i="11"/>
  <c r="CK147" i="11"/>
  <c r="CK188" i="11"/>
  <c r="CK183" i="11"/>
  <c r="CK182" i="11"/>
  <c r="CK181" i="11"/>
  <c r="CK203" i="11"/>
  <c r="CK202" i="11"/>
  <c r="CK200" i="11"/>
  <c r="CK198" i="11"/>
  <c r="CK197" i="11"/>
  <c r="CK195" i="11"/>
  <c r="CK194" i="11"/>
  <c r="CK193" i="11"/>
  <c r="CK48" i="11"/>
  <c r="CK45" i="11"/>
  <c r="CK42" i="11"/>
  <c r="CK38" i="11"/>
  <c r="CK54" i="11"/>
  <c r="CK49" i="11"/>
  <c r="CK68" i="11"/>
  <c r="CK84" i="11"/>
  <c r="CK75" i="11"/>
  <c r="CK74" i="11"/>
  <c r="CK73" i="11"/>
  <c r="CK93" i="11"/>
  <c r="CK126" i="11"/>
  <c r="CK123" i="11"/>
  <c r="CK122" i="11"/>
  <c r="CK121" i="11"/>
  <c r="CK136" i="11"/>
  <c r="CK134" i="11"/>
  <c r="CK153" i="11"/>
  <c r="CK152" i="11"/>
  <c r="CK189" i="11"/>
  <c r="CK187" i="11"/>
  <c r="CK186" i="11"/>
  <c r="CK185" i="11"/>
  <c r="CK184" i="11"/>
  <c r="CK201" i="11"/>
  <c r="CK199" i="11"/>
  <c r="CK196" i="11"/>
  <c r="CK19" i="11"/>
  <c r="CK59" i="11"/>
  <c r="CK67" i="11"/>
  <c r="CK66" i="11"/>
  <c r="CK83" i="11"/>
  <c r="CK14" i="11"/>
  <c r="CK32" i="11"/>
  <c r="CK29" i="11"/>
  <c r="CK26" i="11"/>
  <c r="CK43" i="11"/>
  <c r="CK65" i="11"/>
  <c r="CK64" i="11"/>
  <c r="CK61" i="11"/>
  <c r="CK79" i="11"/>
  <c r="CK78" i="11"/>
  <c r="CK124" i="11"/>
  <c r="CK36" i="11"/>
  <c r="CK33" i="11"/>
  <c r="CK31" i="11"/>
  <c r="CK27" i="11"/>
  <c r="CK46" i="11"/>
  <c r="CK44" i="11"/>
  <c r="CK37" i="11"/>
  <c r="CK50" i="11"/>
  <c r="CK72" i="11"/>
  <c r="CK69" i="11"/>
  <c r="CK63" i="11"/>
  <c r="CK12" i="11"/>
  <c r="CK11" i="11"/>
  <c r="CK10" i="11"/>
  <c r="CK9" i="11"/>
  <c r="CK8" i="11"/>
  <c r="CK7" i="11"/>
  <c r="CK6" i="11"/>
  <c r="CK5" i="11"/>
  <c r="CK4" i="11"/>
  <c r="DK20" i="5"/>
  <c r="DK19" i="5"/>
  <c r="DK18" i="5"/>
  <c r="DK17" i="5"/>
  <c r="DK16" i="5"/>
  <c r="DK15" i="5"/>
  <c r="DK14" i="5"/>
  <c r="DK13" i="5"/>
  <c r="DK12" i="5"/>
  <c r="DK11" i="5"/>
  <c r="DK30" i="5"/>
  <c r="DK29" i="5"/>
  <c r="DK28" i="5"/>
  <c r="DK27" i="5"/>
  <c r="DK26" i="5"/>
  <c r="DK25" i="5"/>
  <c r="DK24" i="5"/>
  <c r="DK23" i="5"/>
  <c r="DK22" i="5"/>
  <c r="DK21" i="5"/>
  <c r="DK10" i="5"/>
  <c r="DK9" i="5"/>
  <c r="DK8" i="5"/>
  <c r="DK7" i="5"/>
  <c r="DK6" i="5"/>
  <c r="DK5" i="5"/>
  <c r="CL24" i="11"/>
  <c r="CL23" i="11"/>
  <c r="CL22" i="11"/>
  <c r="CL21" i="11"/>
  <c r="CL17" i="11"/>
  <c r="CL15" i="11"/>
  <c r="CL36" i="11"/>
  <c r="CL29" i="11"/>
  <c r="CL26" i="11"/>
  <c r="CL44" i="11"/>
  <c r="CL43" i="11"/>
  <c r="CL39" i="11"/>
  <c r="CL59" i="11"/>
  <c r="CL57" i="11"/>
  <c r="CL54" i="11"/>
  <c r="CL72" i="11"/>
  <c r="CL73" i="11"/>
  <c r="CL92" i="11"/>
  <c r="CL91" i="11"/>
  <c r="CL90" i="11"/>
  <c r="CL89" i="11"/>
  <c r="CL88" i="11"/>
  <c r="CL87" i="11"/>
  <c r="CL86" i="11"/>
  <c r="CL85" i="11"/>
  <c r="CL108" i="11"/>
  <c r="CL107" i="11"/>
  <c r="CL106" i="11"/>
  <c r="CL105" i="11"/>
  <c r="CL104" i="11"/>
  <c r="CL103" i="11"/>
  <c r="CL102" i="11"/>
  <c r="CL101" i="11"/>
  <c r="CL100" i="11"/>
  <c r="CL99" i="11"/>
  <c r="CL98" i="11"/>
  <c r="CL97" i="11"/>
  <c r="CL120" i="11"/>
  <c r="CL119" i="11"/>
  <c r="CL118" i="11"/>
  <c r="CL117" i="11"/>
  <c r="CL116" i="11"/>
  <c r="CL115" i="11"/>
  <c r="CL114" i="11"/>
  <c r="CL113" i="11"/>
  <c r="CL112" i="11"/>
  <c r="CL111" i="11"/>
  <c r="CL110" i="11"/>
  <c r="CL109" i="11"/>
  <c r="CL132" i="11"/>
  <c r="CL131" i="11"/>
  <c r="CL130" i="11"/>
  <c r="CL129" i="11"/>
  <c r="CL128" i="11"/>
  <c r="CL127" i="11"/>
  <c r="CL45" i="11"/>
  <c r="CL42" i="11"/>
  <c r="CL56" i="11"/>
  <c r="CL53" i="11"/>
  <c r="CL71" i="11"/>
  <c r="CL68" i="11"/>
  <c r="CL124" i="11"/>
  <c r="CL123" i="11"/>
  <c r="CL121" i="11"/>
  <c r="CL144" i="11"/>
  <c r="CL143" i="11"/>
  <c r="CL140" i="11"/>
  <c r="CL139" i="11"/>
  <c r="CL137" i="11"/>
  <c r="CL136" i="11"/>
  <c r="CL134" i="11"/>
  <c r="CL133" i="11"/>
  <c r="CL153" i="11"/>
  <c r="CL152" i="11"/>
  <c r="CL146" i="11"/>
  <c r="CL145" i="11"/>
  <c r="CL168" i="11"/>
  <c r="CL167" i="11"/>
  <c r="CL166" i="11"/>
  <c r="CL165" i="11"/>
  <c r="CL164" i="11"/>
  <c r="CL163" i="11"/>
  <c r="CL162" i="11"/>
  <c r="CL161" i="11"/>
  <c r="CL160" i="11"/>
  <c r="CL159" i="11"/>
  <c r="CL158" i="11"/>
  <c r="CL157" i="11"/>
  <c r="CL180" i="11"/>
  <c r="CL179" i="11"/>
  <c r="CL178" i="11"/>
  <c r="CL177" i="11"/>
  <c r="CL176" i="11"/>
  <c r="CL175" i="11"/>
  <c r="CL174" i="11"/>
  <c r="CL173" i="11"/>
  <c r="CL172" i="11"/>
  <c r="CL171" i="11"/>
  <c r="CL170" i="11"/>
  <c r="CL169" i="11"/>
  <c r="CL192" i="11"/>
  <c r="CL191" i="11"/>
  <c r="CL190" i="11"/>
  <c r="CL20" i="11"/>
  <c r="CL13" i="11"/>
  <c r="CL35" i="11"/>
  <c r="CL34" i="11"/>
  <c r="CL48" i="11"/>
  <c r="CL50" i="11"/>
  <c r="CL49" i="11"/>
  <c r="CL84" i="11"/>
  <c r="CL81" i="11"/>
  <c r="CL74" i="11"/>
  <c r="CL122" i="11"/>
  <c r="CL138" i="11"/>
  <c r="CL155" i="11"/>
  <c r="CL150" i="11"/>
  <c r="CL189" i="11"/>
  <c r="CL187" i="11"/>
  <c r="CL186" i="11"/>
  <c r="CL184" i="11"/>
  <c r="CL201" i="11"/>
  <c r="CL199" i="11"/>
  <c r="CL197" i="11"/>
  <c r="CL196" i="11"/>
  <c r="CL194" i="11"/>
  <c r="CL193" i="11"/>
  <c r="CL31" i="11"/>
  <c r="CL30" i="11"/>
  <c r="CL47" i="11"/>
  <c r="CL37" i="11"/>
  <c r="CL58" i="11"/>
  <c r="CL66" i="11"/>
  <c r="CL62" i="11"/>
  <c r="CL61" i="11"/>
  <c r="CL83" i="11"/>
  <c r="CL82" i="11"/>
  <c r="CL76" i="11"/>
  <c r="CL142" i="11"/>
  <c r="CL141" i="11"/>
  <c r="CL135" i="11"/>
  <c r="CL156" i="11"/>
  <c r="CL154" i="11"/>
  <c r="CL151" i="11"/>
  <c r="CL149" i="11"/>
  <c r="CL148" i="11"/>
  <c r="CL147" i="11"/>
  <c r="CL188" i="11"/>
  <c r="CL185" i="11"/>
  <c r="CL183" i="11"/>
  <c r="CL182" i="11"/>
  <c r="CL181" i="11"/>
  <c r="CL203" i="11"/>
  <c r="CL202" i="11"/>
  <c r="CL200" i="11"/>
  <c r="CL198" i="11"/>
  <c r="CL195" i="11"/>
  <c r="CL33" i="11"/>
  <c r="CL27" i="11"/>
  <c r="CL55" i="11"/>
  <c r="CL70" i="11"/>
  <c r="CL69" i="11"/>
  <c r="CL65" i="11"/>
  <c r="CL64" i="11"/>
  <c r="CL80" i="11"/>
  <c r="CL77" i="11"/>
  <c r="CL19" i="11"/>
  <c r="CL16" i="11"/>
  <c r="CL25" i="11"/>
  <c r="CL46" i="11"/>
  <c r="CL60" i="11"/>
  <c r="CL52" i="11"/>
  <c r="CL63" i="11"/>
  <c r="CL93" i="11"/>
  <c r="CL125" i="11"/>
  <c r="CL18" i="11"/>
  <c r="CL14" i="11"/>
  <c r="CL32" i="11"/>
  <c r="CL28" i="11"/>
  <c r="CL41" i="11"/>
  <c r="CL40" i="11"/>
  <c r="CL38" i="11"/>
  <c r="CL51" i="11"/>
  <c r="CL67" i="11"/>
  <c r="CL79" i="11"/>
  <c r="CL78" i="11"/>
  <c r="CL75" i="11"/>
  <c r="CL96" i="11"/>
  <c r="CL95" i="11"/>
  <c r="CL94" i="11"/>
  <c r="CL126" i="11"/>
  <c r="CL12" i="11"/>
  <c r="CL11" i="11"/>
  <c r="CL10" i="11"/>
  <c r="CL9" i="11"/>
  <c r="CL8" i="11"/>
  <c r="CL7" i="11"/>
  <c r="CL6" i="11"/>
  <c r="CL5" i="11"/>
  <c r="CL4" i="11"/>
  <c r="DL20" i="5"/>
  <c r="DL19" i="5"/>
  <c r="DL18" i="5"/>
  <c r="DL17" i="5"/>
  <c r="DL16" i="5"/>
  <c r="DL15" i="5"/>
  <c r="DL14" i="5"/>
  <c r="DL13" i="5"/>
  <c r="DL12" i="5"/>
  <c r="DL11" i="5"/>
  <c r="DL30" i="5"/>
  <c r="DL29" i="5"/>
  <c r="DL28" i="5"/>
  <c r="DL27" i="5"/>
  <c r="DL26" i="5"/>
  <c r="DL25" i="5"/>
  <c r="DL24" i="5"/>
  <c r="DL23" i="5"/>
  <c r="DL22" i="5"/>
  <c r="DL21" i="5"/>
  <c r="DL10" i="5"/>
  <c r="DL9" i="5"/>
  <c r="DL8" i="5"/>
  <c r="DL7" i="5"/>
  <c r="DL6" i="5"/>
  <c r="DL5" i="5"/>
  <c r="CM24" i="11"/>
  <c r="CM23" i="11"/>
  <c r="CM22" i="11"/>
  <c r="CM21" i="11"/>
  <c r="CM18" i="11"/>
  <c r="CM25" i="11"/>
  <c r="CM48" i="11"/>
  <c r="CM52" i="11"/>
  <c r="CM95" i="11"/>
  <c r="CM92" i="11"/>
  <c r="CM91" i="11"/>
  <c r="CM90" i="11"/>
  <c r="CM89" i="11"/>
  <c r="CM88" i="11"/>
  <c r="CM87" i="11"/>
  <c r="CM86" i="11"/>
  <c r="CM85" i="11"/>
  <c r="CM108" i="11"/>
  <c r="CM107" i="11"/>
  <c r="CM106" i="11"/>
  <c r="CM105" i="11"/>
  <c r="CM104" i="11"/>
  <c r="CM103" i="11"/>
  <c r="CM102" i="11"/>
  <c r="CM101" i="11"/>
  <c r="CM100" i="11"/>
  <c r="CM99" i="11"/>
  <c r="CM98" i="11"/>
  <c r="CM97" i="11"/>
  <c r="CM120" i="11"/>
  <c r="CM119" i="11"/>
  <c r="CM118" i="11"/>
  <c r="CM117" i="11"/>
  <c r="CM116" i="11"/>
  <c r="CM115" i="11"/>
  <c r="CM114" i="11"/>
  <c r="CM113" i="11"/>
  <c r="CM112" i="11"/>
  <c r="CM111" i="11"/>
  <c r="CM110" i="11"/>
  <c r="CM109" i="11"/>
  <c r="CM132" i="11"/>
  <c r="CM131" i="11"/>
  <c r="CM130" i="11"/>
  <c r="CM129" i="11"/>
  <c r="CM128" i="11"/>
  <c r="CM127" i="11"/>
  <c r="CM34" i="11"/>
  <c r="CM31" i="11"/>
  <c r="CM30" i="11"/>
  <c r="CM40" i="11"/>
  <c r="CM57" i="11"/>
  <c r="CM50" i="11"/>
  <c r="CM49" i="11"/>
  <c r="CM69" i="11"/>
  <c r="CM65" i="11"/>
  <c r="CM64" i="11"/>
  <c r="CM62" i="11"/>
  <c r="CM83" i="11"/>
  <c r="CM79" i="11"/>
  <c r="CM122" i="11"/>
  <c r="CM141" i="11"/>
  <c r="CM135" i="11"/>
  <c r="CM156" i="11"/>
  <c r="CM155" i="11"/>
  <c r="CM154" i="11"/>
  <c r="CM150" i="11"/>
  <c r="CM149" i="11"/>
  <c r="CM148" i="11"/>
  <c r="CM147" i="11"/>
  <c r="CM146" i="11"/>
  <c r="CM145" i="11"/>
  <c r="CM168" i="11"/>
  <c r="CM167" i="11"/>
  <c r="CM166" i="11"/>
  <c r="CM165" i="11"/>
  <c r="CM164" i="11"/>
  <c r="CM163" i="11"/>
  <c r="CM162" i="11"/>
  <c r="CM161" i="11"/>
  <c r="CM160" i="11"/>
  <c r="CM159" i="11"/>
  <c r="CM158" i="11"/>
  <c r="CM157" i="11"/>
  <c r="CM180" i="11"/>
  <c r="CM179" i="11"/>
  <c r="CM178" i="11"/>
  <c r="CM177" i="11"/>
  <c r="CM176" i="11"/>
  <c r="CM175" i="11"/>
  <c r="CM174" i="11"/>
  <c r="CM173" i="11"/>
  <c r="CM172" i="11"/>
  <c r="CM171" i="11"/>
  <c r="CM170" i="11"/>
  <c r="CM169" i="11"/>
  <c r="CM192" i="11"/>
  <c r="CM191" i="11"/>
  <c r="CM190" i="11"/>
  <c r="CM33" i="11"/>
  <c r="CM32" i="11"/>
  <c r="CM43" i="11"/>
  <c r="CM41" i="11"/>
  <c r="CM39" i="11"/>
  <c r="CM72" i="11"/>
  <c r="CM63" i="11"/>
  <c r="CM61" i="11"/>
  <c r="CM82" i="11"/>
  <c r="CM73" i="11"/>
  <c r="CM123" i="11"/>
  <c r="CM121" i="11"/>
  <c r="CM142" i="11"/>
  <c r="CM140" i="11"/>
  <c r="CM139" i="11"/>
  <c r="CM136" i="11"/>
  <c r="CM152" i="11"/>
  <c r="CM151" i="11"/>
  <c r="CM188" i="11"/>
  <c r="CM183" i="11"/>
  <c r="CM182" i="11"/>
  <c r="CM181" i="11"/>
  <c r="CM203" i="11"/>
  <c r="CM202" i="11"/>
  <c r="CM200" i="11"/>
  <c r="CM198" i="11"/>
  <c r="CM197" i="11"/>
  <c r="CM195" i="11"/>
  <c r="CM194" i="11"/>
  <c r="CM193" i="11"/>
  <c r="CM17" i="11"/>
  <c r="CM14" i="11"/>
  <c r="CM13" i="11"/>
  <c r="CM36" i="11"/>
  <c r="CM35" i="11"/>
  <c r="CM46" i="11"/>
  <c r="CM44" i="11"/>
  <c r="CM56" i="11"/>
  <c r="CM71" i="11"/>
  <c r="CM70" i="11"/>
  <c r="CM124" i="11"/>
  <c r="CM144" i="11"/>
  <c r="CM143" i="11"/>
  <c r="CM138" i="11"/>
  <c r="CM137" i="11"/>
  <c r="CM134" i="11"/>
  <c r="CM133" i="11"/>
  <c r="CM153" i="11"/>
  <c r="CM189" i="11"/>
  <c r="CM187" i="11"/>
  <c r="CM186" i="11"/>
  <c r="CM185" i="11"/>
  <c r="CM184" i="11"/>
  <c r="CM201" i="11"/>
  <c r="CM199" i="11"/>
  <c r="CM196" i="11"/>
  <c r="CM29" i="11"/>
  <c r="CM28" i="11"/>
  <c r="CM26" i="11"/>
  <c r="CM60" i="11"/>
  <c r="CM58" i="11"/>
  <c r="CM53" i="11"/>
  <c r="CM78" i="11"/>
  <c r="CM20" i="11"/>
  <c r="CM15" i="11"/>
  <c r="CM27" i="11"/>
  <c r="CM47" i="11"/>
  <c r="CM45" i="11"/>
  <c r="CM38" i="11"/>
  <c r="CM37" i="11"/>
  <c r="CM59" i="11"/>
  <c r="CM55" i="11"/>
  <c r="CM51" i="11"/>
  <c r="CM68" i="11"/>
  <c r="CM67" i="11"/>
  <c r="CM84" i="11"/>
  <c r="CM81" i="11"/>
  <c r="CM77" i="11"/>
  <c r="CM76" i="11"/>
  <c r="CM75" i="11"/>
  <c r="CM74" i="11"/>
  <c r="CM96" i="11"/>
  <c r="CM94" i="11"/>
  <c r="CM126" i="11"/>
  <c r="CM19" i="11"/>
  <c r="CM16" i="11"/>
  <c r="CM42" i="11"/>
  <c r="CM54" i="11"/>
  <c r="CM66" i="11"/>
  <c r="CM80" i="11"/>
  <c r="CM93" i="11"/>
  <c r="CM125" i="11"/>
  <c r="CM12" i="11"/>
  <c r="CM11" i="11"/>
  <c r="CM10" i="11"/>
  <c r="CM9" i="11"/>
  <c r="CM8" i="11"/>
  <c r="CM7" i="11"/>
  <c r="CM6" i="11"/>
  <c r="CM5" i="11"/>
  <c r="CM4" i="11"/>
  <c r="DM20" i="5"/>
  <c r="DM19" i="5"/>
  <c r="DM18" i="5"/>
  <c r="DM17" i="5"/>
  <c r="DM16" i="5"/>
  <c r="DM15" i="5"/>
  <c r="DM14" i="5"/>
  <c r="DM13" i="5"/>
  <c r="DM12" i="5"/>
  <c r="DM11" i="5"/>
  <c r="DM30" i="5"/>
  <c r="DM29" i="5"/>
  <c r="DM28" i="5"/>
  <c r="DM27" i="5"/>
  <c r="DM26" i="5"/>
  <c r="DM25" i="5"/>
  <c r="DM24" i="5"/>
  <c r="DM23" i="5"/>
  <c r="DM22" i="5"/>
  <c r="DM21" i="5"/>
  <c r="DM10" i="5"/>
  <c r="DM9" i="5"/>
  <c r="DM8" i="5"/>
  <c r="DM7" i="5"/>
  <c r="DM6" i="5"/>
  <c r="DM5" i="5"/>
  <c r="CN24" i="11"/>
  <c r="CN23" i="11"/>
  <c r="CN22" i="11"/>
  <c r="CN21" i="11"/>
  <c r="CN20" i="11"/>
  <c r="CN19" i="11"/>
  <c r="CN16" i="11"/>
  <c r="CN14" i="11"/>
  <c r="CN32" i="11"/>
  <c r="CN47" i="11"/>
  <c r="CN38" i="11"/>
  <c r="CN60" i="11"/>
  <c r="CN55" i="11"/>
  <c r="CN53" i="11"/>
  <c r="CN51" i="11"/>
  <c r="CN49" i="11"/>
  <c r="CN68" i="11"/>
  <c r="CN66" i="11"/>
  <c r="CN61" i="11"/>
  <c r="CN92" i="11"/>
  <c r="CN91" i="11"/>
  <c r="CN90" i="11"/>
  <c r="CN89" i="11"/>
  <c r="CN88" i="11"/>
  <c r="CN87" i="11"/>
  <c r="CN86" i="11"/>
  <c r="CN85" i="11"/>
  <c r="CN108" i="11"/>
  <c r="CN107" i="11"/>
  <c r="CN106" i="11"/>
  <c r="CN105" i="11"/>
  <c r="CN104" i="11"/>
  <c r="CN103" i="11"/>
  <c r="CN102" i="11"/>
  <c r="CN101" i="11"/>
  <c r="CN100" i="11"/>
  <c r="CN99" i="11"/>
  <c r="CN98" i="11"/>
  <c r="CN97" i="11"/>
  <c r="CN120" i="11"/>
  <c r="CN119" i="11"/>
  <c r="CN118" i="11"/>
  <c r="CN117" i="11"/>
  <c r="CN116" i="11"/>
  <c r="CN115" i="11"/>
  <c r="CN114" i="11"/>
  <c r="CN113" i="11"/>
  <c r="CN112" i="11"/>
  <c r="CN111" i="11"/>
  <c r="CN110" i="11"/>
  <c r="CN109" i="11"/>
  <c r="CN132" i="11"/>
  <c r="CN131" i="11"/>
  <c r="CN130" i="11"/>
  <c r="CN129" i="11"/>
  <c r="CN128" i="11"/>
  <c r="CN127" i="11"/>
  <c r="CN28" i="11"/>
  <c r="CN26" i="11"/>
  <c r="CN46" i="11"/>
  <c r="CN43" i="11"/>
  <c r="CN37" i="11"/>
  <c r="CN72" i="11"/>
  <c r="CN63" i="11"/>
  <c r="CN78" i="11"/>
  <c r="CN76" i="11"/>
  <c r="CN75" i="11"/>
  <c r="CN73" i="11"/>
  <c r="CN94" i="11"/>
  <c r="CN93" i="11"/>
  <c r="CN143" i="11"/>
  <c r="CN142" i="11"/>
  <c r="CN140" i="11"/>
  <c r="CN138" i="11"/>
  <c r="CN134" i="11"/>
  <c r="CN153" i="11"/>
  <c r="CN152" i="11"/>
  <c r="CN147" i="11"/>
  <c r="CN146" i="11"/>
  <c r="CN145" i="11"/>
  <c r="CN168" i="11"/>
  <c r="CN167" i="11"/>
  <c r="CN166" i="11"/>
  <c r="CN165" i="11"/>
  <c r="CN164" i="11"/>
  <c r="CN163" i="11"/>
  <c r="CN162" i="11"/>
  <c r="CN161" i="11"/>
  <c r="CN160" i="11"/>
  <c r="CN159" i="11"/>
  <c r="CN158" i="11"/>
  <c r="CN157" i="11"/>
  <c r="CN180" i="11"/>
  <c r="CN179" i="11"/>
  <c r="CN178" i="11"/>
  <c r="CN177" i="11"/>
  <c r="CN176" i="11"/>
  <c r="CN175" i="11"/>
  <c r="CN174" i="11"/>
  <c r="CN173" i="11"/>
  <c r="CN172" i="11"/>
  <c r="CN171" i="11"/>
  <c r="CN170" i="11"/>
  <c r="CN169" i="11"/>
  <c r="CN192" i="11"/>
  <c r="CN191" i="11"/>
  <c r="CN190" i="11"/>
  <c r="CN18" i="11"/>
  <c r="CN42" i="11"/>
  <c r="CN144" i="11"/>
  <c r="CN137" i="11"/>
  <c r="CN135" i="11"/>
  <c r="CN133" i="11"/>
  <c r="CN156" i="11"/>
  <c r="CN150" i="11"/>
  <c r="CN148" i="11"/>
  <c r="CN189" i="11"/>
  <c r="CN187" i="11"/>
  <c r="CN186" i="11"/>
  <c r="CN184" i="11"/>
  <c r="CN201" i="11"/>
  <c r="CN199" i="11"/>
  <c r="CN197" i="11"/>
  <c r="CN196" i="11"/>
  <c r="CN194" i="11"/>
  <c r="CN193" i="11"/>
  <c r="CN15" i="11"/>
  <c r="CN30" i="11"/>
  <c r="CN25" i="11"/>
  <c r="CN45" i="11"/>
  <c r="CN41" i="11"/>
  <c r="CN59" i="11"/>
  <c r="CN69" i="11"/>
  <c r="CN67" i="11"/>
  <c r="CN65" i="11"/>
  <c r="CN64" i="11"/>
  <c r="CN80" i="11"/>
  <c r="CN79" i="11"/>
  <c r="CN77" i="11"/>
  <c r="CN96" i="11"/>
  <c r="CN95" i="11"/>
  <c r="CN126" i="11"/>
  <c r="CN125" i="11"/>
  <c r="CN124" i="11"/>
  <c r="CN123" i="11"/>
  <c r="CN122" i="11"/>
  <c r="CN121" i="11"/>
  <c r="CN141" i="11"/>
  <c r="CN139" i="11"/>
  <c r="CN136" i="11"/>
  <c r="CN155" i="11"/>
  <c r="CN154" i="11"/>
  <c r="CN151" i="11"/>
  <c r="CN149" i="11"/>
  <c r="CN188" i="11"/>
  <c r="CN185" i="11"/>
  <c r="CN183" i="11"/>
  <c r="CN182" i="11"/>
  <c r="CN181" i="11"/>
  <c r="CN203" i="11"/>
  <c r="CN202" i="11"/>
  <c r="CN200" i="11"/>
  <c r="CN198" i="11"/>
  <c r="CN195" i="11"/>
  <c r="CN34" i="11"/>
  <c r="CN48" i="11"/>
  <c r="CN44" i="11"/>
  <c r="CN52" i="11"/>
  <c r="CN62" i="11"/>
  <c r="CN84" i="11"/>
  <c r="CN17" i="11"/>
  <c r="CN36" i="11"/>
  <c r="CN29" i="11"/>
  <c r="CN40" i="11"/>
  <c r="CN54" i="11"/>
  <c r="CN50" i="11"/>
  <c r="CN70" i="11"/>
  <c r="CN83" i="11"/>
  <c r="CN82" i="11"/>
  <c r="CN13" i="11"/>
  <c r="CN35" i="11"/>
  <c r="CN33" i="11"/>
  <c r="CN31" i="11"/>
  <c r="CN27" i="11"/>
  <c r="CN39" i="11"/>
  <c r="CN58" i="11"/>
  <c r="CN57" i="11"/>
  <c r="CN56" i="11"/>
  <c r="CN71" i="11"/>
  <c r="CN81" i="11"/>
  <c r="CN74" i="11"/>
  <c r="CN12" i="11"/>
  <c r="CN11" i="11"/>
  <c r="CN10" i="11"/>
  <c r="CN9" i="11"/>
  <c r="CN8" i="11"/>
  <c r="CN7" i="11"/>
  <c r="CN6" i="11"/>
  <c r="CN5" i="11"/>
  <c r="CN4" i="11"/>
  <c r="DN20" i="5"/>
  <c r="DN19" i="5"/>
  <c r="DN18" i="5"/>
  <c r="DN17" i="5"/>
  <c r="DN16" i="5"/>
  <c r="DN15" i="5"/>
  <c r="DN14" i="5"/>
  <c r="DN13" i="5"/>
  <c r="DN12" i="5"/>
  <c r="DN11" i="5"/>
  <c r="DN30" i="5"/>
  <c r="DN29" i="5"/>
  <c r="DN28" i="5"/>
  <c r="DN27" i="5"/>
  <c r="DN26" i="5"/>
  <c r="DN25" i="5"/>
  <c r="DN24" i="5"/>
  <c r="DN23" i="5"/>
  <c r="DN22" i="5"/>
  <c r="DN21" i="5"/>
  <c r="DN10" i="5"/>
  <c r="DN9" i="5"/>
  <c r="DN8" i="5"/>
  <c r="DN7" i="5"/>
  <c r="DN6" i="5"/>
  <c r="DN5" i="5"/>
  <c r="CO24" i="11"/>
  <c r="CO23" i="11"/>
  <c r="CO22" i="11"/>
  <c r="CO21" i="11"/>
  <c r="CO29" i="11"/>
  <c r="CO42" i="11"/>
  <c r="CO41" i="11"/>
  <c r="CO37" i="11"/>
  <c r="CO67" i="11"/>
  <c r="CO63" i="11"/>
  <c r="CO62" i="11"/>
  <c r="CO83" i="11"/>
  <c r="CO80" i="11"/>
  <c r="CO78" i="11"/>
  <c r="CO74" i="11"/>
  <c r="CO96" i="11"/>
  <c r="CO92" i="11"/>
  <c r="CO91" i="11"/>
  <c r="CO90" i="11"/>
  <c r="CO89" i="11"/>
  <c r="CO88" i="11"/>
  <c r="CO87" i="11"/>
  <c r="CO86" i="11"/>
  <c r="CO85" i="11"/>
  <c r="CO108" i="11"/>
  <c r="CO107" i="11"/>
  <c r="CO106" i="11"/>
  <c r="CO105" i="11"/>
  <c r="CO104" i="11"/>
  <c r="CO103" i="11"/>
  <c r="CO102" i="11"/>
  <c r="CO101" i="11"/>
  <c r="CO100" i="11"/>
  <c r="CO99" i="11"/>
  <c r="CO98" i="11"/>
  <c r="CO97" i="11"/>
  <c r="CO120" i="11"/>
  <c r="CO119" i="11"/>
  <c r="CO118" i="11"/>
  <c r="CO117" i="11"/>
  <c r="CO116" i="11"/>
  <c r="CO115" i="11"/>
  <c r="CO114" i="11"/>
  <c r="CO113" i="11"/>
  <c r="CO112" i="11"/>
  <c r="CO111" i="11"/>
  <c r="CO110" i="11"/>
  <c r="CO109" i="11"/>
  <c r="CO132" i="11"/>
  <c r="CO131" i="11"/>
  <c r="CO130" i="11"/>
  <c r="CO129" i="11"/>
  <c r="CO128" i="11"/>
  <c r="CO127" i="11"/>
  <c r="CO19" i="11"/>
  <c r="CO17" i="11"/>
  <c r="CO16" i="11"/>
  <c r="CO13" i="11"/>
  <c r="CO36" i="11"/>
  <c r="CO30" i="11"/>
  <c r="CO59" i="11"/>
  <c r="CO55" i="11"/>
  <c r="CO54" i="11"/>
  <c r="CO51" i="11"/>
  <c r="CO61" i="11"/>
  <c r="CO84" i="11"/>
  <c r="CO126" i="11"/>
  <c r="CO124" i="11"/>
  <c r="CO123" i="11"/>
  <c r="CO121" i="11"/>
  <c r="CO144" i="11"/>
  <c r="CO141" i="11"/>
  <c r="CO139" i="11"/>
  <c r="CO137" i="11"/>
  <c r="CO136" i="11"/>
  <c r="CO135" i="11"/>
  <c r="CO133" i="11"/>
  <c r="CO150" i="11"/>
  <c r="CO149" i="11"/>
  <c r="CO146" i="11"/>
  <c r="CO145" i="11"/>
  <c r="CO168" i="11"/>
  <c r="CO167" i="11"/>
  <c r="CO166" i="11"/>
  <c r="CO165" i="11"/>
  <c r="CO164" i="11"/>
  <c r="CO163" i="11"/>
  <c r="CO162" i="11"/>
  <c r="CO161" i="11"/>
  <c r="CO160" i="11"/>
  <c r="CO159" i="11"/>
  <c r="CO158" i="11"/>
  <c r="CO157" i="11"/>
  <c r="CO180" i="11"/>
  <c r="CO179" i="11"/>
  <c r="CO178" i="11"/>
  <c r="CO177" i="11"/>
  <c r="CO176" i="11"/>
  <c r="CO175" i="11"/>
  <c r="CO174" i="11"/>
  <c r="CO173" i="11"/>
  <c r="CO172" i="11"/>
  <c r="CO171" i="11"/>
  <c r="CO170" i="11"/>
  <c r="CO169" i="11"/>
  <c r="CO192" i="11"/>
  <c r="CO191" i="11"/>
  <c r="CO190" i="11"/>
  <c r="CO20" i="11"/>
  <c r="CO26" i="11"/>
  <c r="CO44" i="11"/>
  <c r="CO40" i="11"/>
  <c r="CO38" i="11"/>
  <c r="CO52" i="11"/>
  <c r="CO70" i="11"/>
  <c r="CO65" i="11"/>
  <c r="CO64" i="11"/>
  <c r="CO79" i="11"/>
  <c r="CO77" i="11"/>
  <c r="CO95" i="11"/>
  <c r="CO94" i="11"/>
  <c r="CO125" i="11"/>
  <c r="CO122" i="11"/>
  <c r="CO143" i="11"/>
  <c r="CO140" i="11"/>
  <c r="CO138" i="11"/>
  <c r="CO155" i="11"/>
  <c r="CO154" i="11"/>
  <c r="CO153" i="11"/>
  <c r="CO151" i="11"/>
  <c r="CO183" i="11"/>
  <c r="CO182" i="11"/>
  <c r="CO181" i="11"/>
  <c r="CO202" i="11"/>
  <c r="CO200" i="11"/>
  <c r="CO198" i="11"/>
  <c r="CO197" i="11"/>
  <c r="CO195" i="11"/>
  <c r="CO194" i="11"/>
  <c r="CO193" i="11"/>
  <c r="CO43" i="11"/>
  <c r="CO53" i="11"/>
  <c r="CO49" i="11"/>
  <c r="CO73" i="11"/>
  <c r="CO93" i="11"/>
  <c r="CO142" i="11"/>
  <c r="CO134" i="11"/>
  <c r="CO156" i="11"/>
  <c r="CO152" i="11"/>
  <c r="CO148" i="11"/>
  <c r="CO147" i="11"/>
  <c r="CO189" i="11"/>
  <c r="CO188" i="11"/>
  <c r="CO187" i="11"/>
  <c r="CO186" i="11"/>
  <c r="CO185" i="11"/>
  <c r="CO184" i="11"/>
  <c r="CO203" i="11"/>
  <c r="CO201" i="11"/>
  <c r="CO199" i="11"/>
  <c r="CO196" i="11"/>
  <c r="CO18" i="11"/>
  <c r="CO27" i="11"/>
  <c r="CO25" i="11"/>
  <c r="CO47" i="11"/>
  <c r="CO39" i="11"/>
  <c r="CO56" i="11"/>
  <c r="CO72" i="11"/>
  <c r="CO81" i="11"/>
  <c r="CO35" i="11"/>
  <c r="CO34" i="11"/>
  <c r="CO31" i="11"/>
  <c r="CO48" i="11"/>
  <c r="CO58" i="11"/>
  <c r="CO57" i="11"/>
  <c r="CO71" i="11"/>
  <c r="CO66" i="11"/>
  <c r="CO15" i="11"/>
  <c r="CO14" i="11"/>
  <c r="CO33" i="11"/>
  <c r="CO32" i="11"/>
  <c r="CO28" i="11"/>
  <c r="CO46" i="11"/>
  <c r="CO45" i="11"/>
  <c r="CO60" i="11"/>
  <c r="CO50" i="11"/>
  <c r="CO69" i="11"/>
  <c r="CO68" i="11"/>
  <c r="CO82" i="11"/>
  <c r="CO76" i="11"/>
  <c r="CO75" i="11"/>
  <c r="CO12" i="11"/>
  <c r="CO11" i="11"/>
  <c r="CO10" i="11"/>
  <c r="CO9" i="11"/>
  <c r="CO8" i="11"/>
  <c r="CO7" i="11"/>
  <c r="CO6" i="11"/>
  <c r="CO5" i="11"/>
  <c r="CO4" i="11"/>
  <c r="DO20" i="5"/>
  <c r="DO19" i="5"/>
  <c r="DO18" i="5"/>
  <c r="DO17" i="5"/>
  <c r="DO16" i="5"/>
  <c r="DO15" i="5"/>
  <c r="DO14" i="5"/>
  <c r="DO13" i="5"/>
  <c r="DO12" i="5"/>
  <c r="DO11" i="5"/>
  <c r="DO29" i="5"/>
  <c r="DO28" i="5"/>
  <c r="DO27" i="5"/>
  <c r="DO26" i="5"/>
  <c r="DO25" i="5"/>
  <c r="DO24" i="5"/>
  <c r="DO23" i="5"/>
  <c r="DO22" i="5"/>
  <c r="DO21" i="5"/>
  <c r="DO9" i="5"/>
  <c r="DO8" i="5"/>
  <c r="DO7" i="5"/>
  <c r="DO6" i="5"/>
  <c r="DO5" i="5"/>
  <c r="CA24" i="11"/>
  <c r="CA23" i="11"/>
  <c r="CA22" i="11"/>
  <c r="CA21" i="11"/>
  <c r="CA20" i="11"/>
  <c r="CA15" i="11"/>
  <c r="CA32" i="11"/>
  <c r="CA29" i="11"/>
  <c r="CA43" i="11"/>
  <c r="CA57" i="11"/>
  <c r="CA61" i="11"/>
  <c r="CA74" i="11"/>
  <c r="CA95" i="11"/>
  <c r="CA92" i="11"/>
  <c r="CA91" i="11"/>
  <c r="CA90" i="11"/>
  <c r="CA89" i="11"/>
  <c r="CA88" i="11"/>
  <c r="CA87" i="11"/>
  <c r="CA86" i="11"/>
  <c r="CA85" i="11"/>
  <c r="CA108" i="11"/>
  <c r="CA107" i="11"/>
  <c r="CA106" i="11"/>
  <c r="CA105" i="11"/>
  <c r="CA104" i="11"/>
  <c r="CA103" i="11"/>
  <c r="CA102" i="11"/>
  <c r="CA101" i="11"/>
  <c r="CA100" i="11"/>
  <c r="CA99" i="11"/>
  <c r="CA98" i="11"/>
  <c r="CA97" i="11"/>
  <c r="CA120" i="11"/>
  <c r="CA119" i="11"/>
  <c r="CA118" i="11"/>
  <c r="CA117" i="11"/>
  <c r="CA116" i="11"/>
  <c r="CA115" i="11"/>
  <c r="CA114" i="11"/>
  <c r="CA113" i="11"/>
  <c r="CA112" i="11"/>
  <c r="CA111" i="11"/>
  <c r="CA110" i="11"/>
  <c r="CA109" i="11"/>
  <c r="CA132" i="11"/>
  <c r="CA131" i="11"/>
  <c r="CA130" i="11"/>
  <c r="CA129" i="11"/>
  <c r="CA128" i="11"/>
  <c r="CA127" i="11"/>
  <c r="CA18" i="11"/>
  <c r="CA16" i="11"/>
  <c r="CA13" i="11"/>
  <c r="CA36" i="11"/>
  <c r="CA30" i="11"/>
  <c r="CA25" i="11"/>
  <c r="CA48" i="11"/>
  <c r="CA47" i="11"/>
  <c r="CA60" i="11"/>
  <c r="CA55" i="11"/>
  <c r="CA51" i="11"/>
  <c r="CA49" i="11"/>
  <c r="CA63" i="11"/>
  <c r="CA79" i="11"/>
  <c r="CA78" i="11"/>
  <c r="CA76" i="11"/>
  <c r="CA75" i="11"/>
  <c r="CA93" i="11"/>
  <c r="CA141" i="11"/>
  <c r="CA140" i="11"/>
  <c r="CA138" i="11"/>
  <c r="CA137" i="11"/>
  <c r="CA135" i="11"/>
  <c r="CA152" i="11"/>
  <c r="CA149" i="11"/>
  <c r="CA146" i="11"/>
  <c r="CA145" i="11"/>
  <c r="CA168" i="11"/>
  <c r="CA167" i="11"/>
  <c r="CA166" i="11"/>
  <c r="CA165" i="11"/>
  <c r="CA164" i="11"/>
  <c r="CA163" i="11"/>
  <c r="CA162" i="11"/>
  <c r="CA161" i="11"/>
  <c r="CA160" i="11"/>
  <c r="CA159" i="11"/>
  <c r="CA158" i="11"/>
  <c r="CA157" i="11"/>
  <c r="CA180" i="11"/>
  <c r="CA179" i="11"/>
  <c r="CA178" i="11"/>
  <c r="CA177" i="11"/>
  <c r="CA176" i="11"/>
  <c r="CA175" i="11"/>
  <c r="CA174" i="11"/>
  <c r="CA173" i="11"/>
  <c r="CA172" i="11"/>
  <c r="CA171" i="11"/>
  <c r="CA170" i="11"/>
  <c r="CA169" i="11"/>
  <c r="CA192" i="11"/>
  <c r="CA191" i="11"/>
  <c r="CA190" i="11"/>
  <c r="CA26" i="11"/>
  <c r="CA50" i="11"/>
  <c r="CA69" i="11"/>
  <c r="CA67" i="11"/>
  <c r="CA62" i="11"/>
  <c r="CA81" i="11"/>
  <c r="CA73" i="11"/>
  <c r="CA94" i="11"/>
  <c r="CA121" i="11"/>
  <c r="CA144" i="11"/>
  <c r="CA143" i="11"/>
  <c r="CA133" i="11"/>
  <c r="CA155" i="11"/>
  <c r="CA154" i="11"/>
  <c r="CA150" i="11"/>
  <c r="CA148" i="11"/>
  <c r="CA147" i="11"/>
  <c r="CA188" i="11"/>
  <c r="CA186" i="11"/>
  <c r="CA183" i="11"/>
  <c r="CA181" i="11"/>
  <c r="CA200" i="11"/>
  <c r="CA199" i="11"/>
  <c r="CA198" i="11"/>
  <c r="CA197" i="11"/>
  <c r="CA196" i="11"/>
  <c r="CA195" i="11"/>
  <c r="CA194" i="11"/>
  <c r="CA193" i="11"/>
  <c r="CA45" i="11"/>
  <c r="CA42" i="11"/>
  <c r="CA39" i="11"/>
  <c r="CA37" i="11"/>
  <c r="CA64" i="11"/>
  <c r="CA80" i="11"/>
  <c r="CA126" i="11"/>
  <c r="CA125" i="11"/>
  <c r="CA124" i="11"/>
  <c r="CA123" i="11"/>
  <c r="CA122" i="11"/>
  <c r="CA142" i="11"/>
  <c r="CA139" i="11"/>
  <c r="CA136" i="11"/>
  <c r="CA134" i="11"/>
  <c r="CA156" i="11"/>
  <c r="CA153" i="11"/>
  <c r="CA151" i="11"/>
  <c r="CA189" i="11"/>
  <c r="CA187" i="11"/>
  <c r="CA185" i="11"/>
  <c r="CA184" i="11"/>
  <c r="CA182" i="11"/>
  <c r="CA203" i="11"/>
  <c r="CA202" i="11"/>
  <c r="CA201" i="11"/>
  <c r="CA19" i="11"/>
  <c r="CA28" i="11"/>
  <c r="CA44" i="11"/>
  <c r="CA59" i="11"/>
  <c r="CA56" i="11"/>
  <c r="CA53" i="11"/>
  <c r="CA84" i="11"/>
  <c r="CA17" i="11"/>
  <c r="CA35" i="11"/>
  <c r="CA34" i="11"/>
  <c r="CA27" i="11"/>
  <c r="CA46" i="11"/>
  <c r="CA38" i="11"/>
  <c r="CA58" i="11"/>
  <c r="CA52" i="11"/>
  <c r="CA72" i="11"/>
  <c r="CA71" i="11"/>
  <c r="CA70" i="11"/>
  <c r="CA68" i="11"/>
  <c r="CA66" i="11"/>
  <c r="CA83" i="11"/>
  <c r="CA82" i="11"/>
  <c r="CA77" i="11"/>
  <c r="CA96" i="11"/>
  <c r="CA14" i="11"/>
  <c r="CA33" i="11"/>
  <c r="CA31" i="11"/>
  <c r="CA41" i="11"/>
  <c r="CA40" i="11"/>
  <c r="CA54" i="11"/>
  <c r="CA65" i="11"/>
  <c r="CA12" i="11"/>
  <c r="CA11" i="11"/>
  <c r="CA10" i="11"/>
  <c r="CA9" i="11"/>
  <c r="CA8" i="11"/>
  <c r="CA7" i="11"/>
  <c r="CA6" i="11"/>
  <c r="CA5" i="11"/>
  <c r="CA4" i="11"/>
  <c r="AC33" i="5"/>
  <c r="AA33" i="5"/>
  <c r="DA30" i="5" s="1"/>
  <c r="Z33" i="5"/>
  <c r="DA29" i="5" s="1"/>
  <c r="Y33" i="5"/>
  <c r="DA28" i="5" s="1"/>
  <c r="X33" i="5"/>
  <c r="DA27" i="5" s="1"/>
  <c r="W33" i="5"/>
  <c r="DA26" i="5" s="1"/>
  <c r="V33" i="5"/>
  <c r="DA25" i="5" s="1"/>
  <c r="U33" i="5"/>
  <c r="DA24" i="5" s="1"/>
  <c r="T33" i="5"/>
  <c r="DA23" i="5" s="1"/>
  <c r="S33" i="5"/>
  <c r="DA22" i="5" s="1"/>
  <c r="R33" i="5"/>
  <c r="DA21" i="5" s="1"/>
  <c r="Q33" i="5"/>
  <c r="DA20" i="5" s="1"/>
  <c r="P33" i="5"/>
  <c r="DA19" i="5" s="1"/>
  <c r="O33" i="5"/>
  <c r="DA18" i="5" s="1"/>
  <c r="N33" i="5"/>
  <c r="DA17" i="5" s="1"/>
  <c r="M33" i="5"/>
  <c r="DA16" i="5" s="1"/>
  <c r="L33" i="5"/>
  <c r="DA15" i="5" s="1"/>
  <c r="K33" i="5"/>
  <c r="DA14" i="5" s="1"/>
  <c r="J33" i="5"/>
  <c r="DA13" i="5" s="1"/>
  <c r="I33" i="5"/>
  <c r="DA12" i="5" s="1"/>
  <c r="H33" i="5"/>
  <c r="DA11" i="5" s="1"/>
  <c r="G33" i="5"/>
  <c r="DA10" i="5" s="1"/>
  <c r="F33" i="5"/>
  <c r="DA9" i="5" s="1"/>
  <c r="E33" i="5"/>
  <c r="DA8" i="5" s="1"/>
  <c r="D33" i="5"/>
  <c r="DA7" i="5" s="1"/>
  <c r="C33" i="5"/>
  <c r="DA6" i="5" s="1"/>
  <c r="B33" i="5"/>
  <c r="CB24" i="11"/>
  <c r="CB23" i="11"/>
  <c r="CB22" i="11"/>
  <c r="CB21" i="11"/>
  <c r="CB36" i="11"/>
  <c r="CB44" i="11"/>
  <c r="CB38" i="11"/>
  <c r="CB57" i="11"/>
  <c r="CB56" i="11"/>
  <c r="CB53" i="11"/>
  <c r="CB51" i="11"/>
  <c r="CB72" i="11"/>
  <c r="CB70" i="11"/>
  <c r="CB63" i="11"/>
  <c r="CB81" i="11"/>
  <c r="CB92" i="11"/>
  <c r="CB91" i="11"/>
  <c r="CB90" i="11"/>
  <c r="CB89" i="11"/>
  <c r="CB88" i="11"/>
  <c r="CB87" i="11"/>
  <c r="CB86" i="11"/>
  <c r="CB85" i="11"/>
  <c r="CB108" i="11"/>
  <c r="CB107" i="11"/>
  <c r="CB106" i="11"/>
  <c r="CB105" i="11"/>
  <c r="CB104" i="11"/>
  <c r="CB103" i="11"/>
  <c r="CB102" i="11"/>
  <c r="CB101" i="11"/>
  <c r="CB100" i="11"/>
  <c r="CB99" i="11"/>
  <c r="CB98" i="11"/>
  <c r="CB97" i="11"/>
  <c r="CB120" i="11"/>
  <c r="CB119" i="11"/>
  <c r="CB118" i="11"/>
  <c r="CB117" i="11"/>
  <c r="CB116" i="11"/>
  <c r="CB115" i="11"/>
  <c r="CB114" i="11"/>
  <c r="CB113" i="11"/>
  <c r="CB112" i="11"/>
  <c r="CB111" i="11"/>
  <c r="CB110" i="11"/>
  <c r="CB109" i="11"/>
  <c r="CB132" i="11"/>
  <c r="CB131" i="11"/>
  <c r="CB130" i="11"/>
  <c r="CB129" i="11"/>
  <c r="CB128" i="11"/>
  <c r="CB127" i="11"/>
  <c r="CB19" i="11"/>
  <c r="CB15" i="11"/>
  <c r="CB13" i="11"/>
  <c r="CB35" i="11"/>
  <c r="CB30" i="11"/>
  <c r="CB28" i="11"/>
  <c r="CB41" i="11"/>
  <c r="CB71" i="11"/>
  <c r="CB83" i="11"/>
  <c r="CB82" i="11"/>
  <c r="CB73" i="11"/>
  <c r="CB94" i="11"/>
  <c r="CB126" i="11"/>
  <c r="CB124" i="11"/>
  <c r="CB141" i="11"/>
  <c r="CB140" i="11"/>
  <c r="CB138" i="11"/>
  <c r="CB137" i="11"/>
  <c r="CB135" i="11"/>
  <c r="CB152" i="11"/>
  <c r="CB149" i="11"/>
  <c r="CB146" i="11"/>
  <c r="CB145" i="11"/>
  <c r="CB168" i="11"/>
  <c r="CB167" i="11"/>
  <c r="CB166" i="11"/>
  <c r="CB165" i="11"/>
  <c r="CB164" i="11"/>
  <c r="CB163" i="11"/>
  <c r="CB162" i="11"/>
  <c r="CB161" i="11"/>
  <c r="CB160" i="11"/>
  <c r="CB159" i="11"/>
  <c r="CB158" i="11"/>
  <c r="CB157" i="11"/>
  <c r="CB180" i="11"/>
  <c r="CB179" i="11"/>
  <c r="CB178" i="11"/>
  <c r="CB177" i="11"/>
  <c r="CB176" i="11"/>
  <c r="CB175" i="11"/>
  <c r="CB174" i="11"/>
  <c r="CB173" i="11"/>
  <c r="CB172" i="11"/>
  <c r="CB171" i="11"/>
  <c r="CB170" i="11"/>
  <c r="CB169" i="11"/>
  <c r="CB192" i="11"/>
  <c r="CB191" i="11"/>
  <c r="CB190" i="11"/>
  <c r="CB18" i="11"/>
  <c r="CB34" i="11"/>
  <c r="CB40" i="11"/>
  <c r="CB59" i="11"/>
  <c r="CB54" i="11"/>
  <c r="CB123" i="11"/>
  <c r="CB122" i="11"/>
  <c r="CB121" i="11"/>
  <c r="CB144" i="11"/>
  <c r="CB143" i="11"/>
  <c r="CB133" i="11"/>
  <c r="CB155" i="11"/>
  <c r="CB150" i="11"/>
  <c r="CB148" i="11"/>
  <c r="CB147" i="11"/>
  <c r="CB187" i="11"/>
  <c r="CB183" i="11"/>
  <c r="CB181" i="11"/>
  <c r="CB201" i="11"/>
  <c r="CB196" i="11"/>
  <c r="CB195" i="11"/>
  <c r="CB194" i="11"/>
  <c r="CB193" i="11"/>
  <c r="CB52" i="11"/>
  <c r="CB66" i="11"/>
  <c r="CB62" i="11"/>
  <c r="CB84" i="11"/>
  <c r="CB79" i="11"/>
  <c r="CB95" i="11"/>
  <c r="CB142" i="11"/>
  <c r="CB139" i="11"/>
  <c r="CB136" i="11"/>
  <c r="CB134" i="11"/>
  <c r="CB156" i="11"/>
  <c r="CB154" i="11"/>
  <c r="CB153" i="11"/>
  <c r="CB151" i="11"/>
  <c r="CB189" i="11"/>
  <c r="CB188" i="11"/>
  <c r="CB186" i="11"/>
  <c r="CB185" i="11"/>
  <c r="CB184" i="11"/>
  <c r="CB182" i="11"/>
  <c r="CB203" i="11"/>
  <c r="CB202" i="11"/>
  <c r="CB200" i="11"/>
  <c r="CB199" i="11"/>
  <c r="CB198" i="11"/>
  <c r="CB197" i="11"/>
  <c r="CB17" i="11"/>
  <c r="CB16" i="11"/>
  <c r="CB31" i="11"/>
  <c r="CB27" i="11"/>
  <c r="CB26" i="11"/>
  <c r="CB25" i="11"/>
  <c r="CB48" i="11"/>
  <c r="CB47" i="11"/>
  <c r="CB39" i="11"/>
  <c r="CB55" i="11"/>
  <c r="CB49" i="11"/>
  <c r="CB77" i="11"/>
  <c r="CB20" i="11"/>
  <c r="CB32" i="11"/>
  <c r="CB29" i="11"/>
  <c r="CB46" i="11"/>
  <c r="CB45" i="11"/>
  <c r="CB43" i="11"/>
  <c r="CB37" i="11"/>
  <c r="CB60" i="11"/>
  <c r="CB50" i="11"/>
  <c r="CB67" i="11"/>
  <c r="CB65" i="11"/>
  <c r="CB64" i="11"/>
  <c r="CB61" i="11"/>
  <c r="CB80" i="11"/>
  <c r="CB78" i="11"/>
  <c r="CB76" i="11"/>
  <c r="CB14" i="11"/>
  <c r="CB33" i="11"/>
  <c r="CB42" i="11"/>
  <c r="CB58" i="11"/>
  <c r="CB69" i="11"/>
  <c r="CB68" i="11"/>
  <c r="CB75" i="11"/>
  <c r="CB74" i="11"/>
  <c r="CB96" i="11"/>
  <c r="CB93" i="11"/>
  <c r="CB125" i="11"/>
  <c r="CB12" i="11"/>
  <c r="CB11" i="11"/>
  <c r="CB10" i="11"/>
  <c r="CB9" i="11"/>
  <c r="CB8" i="11"/>
  <c r="CB7" i="11"/>
  <c r="CB6" i="11"/>
  <c r="CB5" i="11"/>
  <c r="CB4" i="11"/>
  <c r="AC34" i="5"/>
  <c r="AA34" i="5"/>
  <c r="DB30" i="5" s="1"/>
  <c r="Z34" i="5"/>
  <c r="DB29" i="5" s="1"/>
  <c r="Y34" i="5"/>
  <c r="DB28" i="5" s="1"/>
  <c r="X34" i="5"/>
  <c r="DB27" i="5" s="1"/>
  <c r="W34" i="5"/>
  <c r="DB26" i="5" s="1"/>
  <c r="V34" i="5"/>
  <c r="DB25" i="5" s="1"/>
  <c r="U34" i="5"/>
  <c r="DB24" i="5" s="1"/>
  <c r="T34" i="5"/>
  <c r="DB23" i="5" s="1"/>
  <c r="S34" i="5"/>
  <c r="DB22" i="5" s="1"/>
  <c r="R34" i="5"/>
  <c r="DB21" i="5" s="1"/>
  <c r="Q34" i="5"/>
  <c r="DB20" i="5" s="1"/>
  <c r="P34" i="5"/>
  <c r="DB19" i="5" s="1"/>
  <c r="O34" i="5"/>
  <c r="DB18" i="5" s="1"/>
  <c r="N34" i="5"/>
  <c r="DB17" i="5" s="1"/>
  <c r="M34" i="5"/>
  <c r="DB16" i="5" s="1"/>
  <c r="L34" i="5"/>
  <c r="DB15" i="5" s="1"/>
  <c r="K34" i="5"/>
  <c r="DB14" i="5" s="1"/>
  <c r="J34" i="5"/>
  <c r="DB13" i="5" s="1"/>
  <c r="I34" i="5"/>
  <c r="DB12" i="5" s="1"/>
  <c r="H34" i="5"/>
  <c r="DB11" i="5" s="1"/>
  <c r="G34" i="5"/>
  <c r="DB10" i="5" s="1"/>
  <c r="F34" i="5"/>
  <c r="DB9" i="5" s="1"/>
  <c r="E34" i="5"/>
  <c r="DB8" i="5" s="1"/>
  <c r="D34" i="5"/>
  <c r="DB7" i="5" s="1"/>
  <c r="C34" i="5"/>
  <c r="DB6" i="5" s="1"/>
  <c r="B34" i="5"/>
  <c r="CC24" i="11"/>
  <c r="CC23" i="11"/>
  <c r="CC22" i="11"/>
  <c r="CC21" i="11"/>
  <c r="CC15" i="11"/>
  <c r="CC34" i="11"/>
  <c r="CC29" i="11"/>
  <c r="CC26" i="11"/>
  <c r="CC43" i="11"/>
  <c r="CC39" i="11"/>
  <c r="CC53" i="11"/>
  <c r="CC66" i="11"/>
  <c r="CC78" i="11"/>
  <c r="CC94" i="11"/>
  <c r="CC92" i="11"/>
  <c r="CC91" i="11"/>
  <c r="CC90" i="11"/>
  <c r="CC89" i="11"/>
  <c r="CC88" i="11"/>
  <c r="CC87" i="11"/>
  <c r="CC86" i="11"/>
  <c r="CC85" i="11"/>
  <c r="CC108" i="11"/>
  <c r="CC107" i="11"/>
  <c r="CC106" i="11"/>
  <c r="CC105" i="11"/>
  <c r="CC104" i="11"/>
  <c r="CC103" i="11"/>
  <c r="CC102" i="11"/>
  <c r="CC101" i="11"/>
  <c r="CC100" i="11"/>
  <c r="CC99" i="11"/>
  <c r="CC98" i="11"/>
  <c r="CC97" i="11"/>
  <c r="CC120" i="11"/>
  <c r="CC119" i="11"/>
  <c r="CC118" i="11"/>
  <c r="CC117" i="11"/>
  <c r="CC116" i="11"/>
  <c r="CC115" i="11"/>
  <c r="CC114" i="11"/>
  <c r="CC113" i="11"/>
  <c r="CC112" i="11"/>
  <c r="CC111" i="11"/>
  <c r="CC110" i="11"/>
  <c r="CC109" i="11"/>
  <c r="CC132" i="11"/>
  <c r="CC131" i="11"/>
  <c r="CC130" i="11"/>
  <c r="CC129" i="11"/>
  <c r="CC128" i="11"/>
  <c r="CC127" i="11"/>
  <c r="CC20" i="11"/>
  <c r="CC17" i="11"/>
  <c r="CC36" i="11"/>
  <c r="CC30" i="11"/>
  <c r="CC28" i="11"/>
  <c r="CC60" i="11"/>
  <c r="CC56" i="11"/>
  <c r="CC55" i="11"/>
  <c r="CC54" i="11"/>
  <c r="CC51" i="11"/>
  <c r="CC49" i="11"/>
  <c r="CC69" i="11"/>
  <c r="CC96" i="11"/>
  <c r="CC124" i="11"/>
  <c r="CC141" i="11"/>
  <c r="CC140" i="11"/>
  <c r="CC138" i="11"/>
  <c r="CC137" i="11"/>
  <c r="CC135" i="11"/>
  <c r="CC152" i="11"/>
  <c r="CC149" i="11"/>
  <c r="CC146" i="11"/>
  <c r="CC145" i="11"/>
  <c r="CC168" i="11"/>
  <c r="CC167" i="11"/>
  <c r="CC166" i="11"/>
  <c r="CC165" i="11"/>
  <c r="CC164" i="11"/>
  <c r="CC163" i="11"/>
  <c r="CC162" i="11"/>
  <c r="CC161" i="11"/>
  <c r="CC160" i="11"/>
  <c r="CC159" i="11"/>
  <c r="CC158" i="11"/>
  <c r="CC157" i="11"/>
  <c r="CC180" i="11"/>
  <c r="CC179" i="11"/>
  <c r="CC178" i="11"/>
  <c r="CC177" i="11"/>
  <c r="CC176" i="11"/>
  <c r="CC175" i="11"/>
  <c r="CC174" i="11"/>
  <c r="CC173" i="11"/>
  <c r="CC172" i="11"/>
  <c r="CC171" i="11"/>
  <c r="CC170" i="11"/>
  <c r="CC169" i="11"/>
  <c r="CC192" i="11"/>
  <c r="CC191" i="11"/>
  <c r="CC190" i="11"/>
  <c r="CC13" i="11"/>
  <c r="CC48" i="11"/>
  <c r="CC59" i="11"/>
  <c r="CC57" i="11"/>
  <c r="CC50" i="11"/>
  <c r="CC70" i="11"/>
  <c r="CC64" i="11"/>
  <c r="CC80" i="11"/>
  <c r="CC76" i="11"/>
  <c r="CC95" i="11"/>
  <c r="CC125" i="11"/>
  <c r="CC121" i="11"/>
  <c r="CC144" i="11"/>
  <c r="CC143" i="11"/>
  <c r="CC133" i="11"/>
  <c r="CC155" i="11"/>
  <c r="CC154" i="11"/>
  <c r="CC150" i="11"/>
  <c r="CC148" i="11"/>
  <c r="CC147" i="11"/>
  <c r="CC188" i="11"/>
  <c r="CC186" i="11"/>
  <c r="CC184" i="11"/>
  <c r="CC183" i="11"/>
  <c r="CC182" i="11"/>
  <c r="CC181" i="11"/>
  <c r="CC203" i="11"/>
  <c r="CC200" i="11"/>
  <c r="CC199" i="11"/>
  <c r="CC198" i="11"/>
  <c r="CC197" i="11"/>
  <c r="CC195" i="11"/>
  <c r="CC194" i="11"/>
  <c r="CC193" i="11"/>
  <c r="CC18" i="11"/>
  <c r="CC14" i="11"/>
  <c r="CC46" i="11"/>
  <c r="CC45" i="11"/>
  <c r="CC42" i="11"/>
  <c r="CC37" i="11"/>
  <c r="CC68" i="11"/>
  <c r="CC65" i="11"/>
  <c r="CC61" i="11"/>
  <c r="CC83" i="11"/>
  <c r="CC82" i="11"/>
  <c r="CC73" i="11"/>
  <c r="CC93" i="11"/>
  <c r="CC123" i="11"/>
  <c r="CC122" i="11"/>
  <c r="CC142" i="11"/>
  <c r="CC139" i="11"/>
  <c r="CC136" i="11"/>
  <c r="CC134" i="11"/>
  <c r="CC156" i="11"/>
  <c r="CC153" i="11"/>
  <c r="CC151" i="11"/>
  <c r="CC189" i="11"/>
  <c r="CC187" i="11"/>
  <c r="CC185" i="11"/>
  <c r="CC202" i="11"/>
  <c r="CC201" i="11"/>
  <c r="CC196" i="11"/>
  <c r="CC44" i="11"/>
  <c r="CC19" i="11"/>
  <c r="CC16" i="11"/>
  <c r="CC35" i="11"/>
  <c r="CC31" i="11"/>
  <c r="CC27" i="11"/>
  <c r="CC25" i="11"/>
  <c r="CC47" i="11"/>
  <c r="CC38" i="11"/>
  <c r="CC58" i="11"/>
  <c r="CC52" i="11"/>
  <c r="CC63" i="11"/>
  <c r="CC84" i="11"/>
  <c r="CC81" i="11"/>
  <c r="CC75" i="11"/>
  <c r="CC74" i="11"/>
  <c r="CC126" i="11"/>
  <c r="CC33" i="11"/>
  <c r="CC32" i="11"/>
  <c r="CC41" i="11"/>
  <c r="CC40" i="11"/>
  <c r="CC72" i="11"/>
  <c r="CC71" i="11"/>
  <c r="CC67" i="11"/>
  <c r="CC62" i="11"/>
  <c r="CC79" i="11"/>
  <c r="CC77" i="11"/>
  <c r="CC12" i="11"/>
  <c r="CC11" i="11"/>
  <c r="CC10" i="11"/>
  <c r="CC9" i="11"/>
  <c r="CC8" i="11"/>
  <c r="CC7" i="11"/>
  <c r="CC6" i="11"/>
  <c r="CC5" i="11"/>
  <c r="CC4" i="11"/>
  <c r="AC35" i="5"/>
  <c r="AA35" i="5"/>
  <c r="DC30" i="5" s="1"/>
  <c r="Z35" i="5"/>
  <c r="DC29" i="5" s="1"/>
  <c r="Y35" i="5"/>
  <c r="DC28" i="5" s="1"/>
  <c r="X35" i="5"/>
  <c r="DC27" i="5" s="1"/>
  <c r="W35" i="5"/>
  <c r="DC26" i="5" s="1"/>
  <c r="V35" i="5"/>
  <c r="DC25" i="5" s="1"/>
  <c r="U35" i="5"/>
  <c r="DC24" i="5" s="1"/>
  <c r="T35" i="5"/>
  <c r="DC23" i="5" s="1"/>
  <c r="S35" i="5"/>
  <c r="DC22" i="5" s="1"/>
  <c r="R35" i="5"/>
  <c r="DC21" i="5" s="1"/>
  <c r="Q35" i="5"/>
  <c r="DC20" i="5" s="1"/>
  <c r="P35" i="5"/>
  <c r="DC19" i="5" s="1"/>
  <c r="O35" i="5"/>
  <c r="DC18" i="5" s="1"/>
  <c r="N35" i="5"/>
  <c r="DC17" i="5" s="1"/>
  <c r="M35" i="5"/>
  <c r="DC16" i="5" s="1"/>
  <c r="L35" i="5"/>
  <c r="DC15" i="5" s="1"/>
  <c r="K35" i="5"/>
  <c r="DC14" i="5" s="1"/>
  <c r="J35" i="5"/>
  <c r="DC13" i="5" s="1"/>
  <c r="I35" i="5"/>
  <c r="DC12" i="5" s="1"/>
  <c r="H35" i="5"/>
  <c r="DC11" i="5" s="1"/>
  <c r="G35" i="5"/>
  <c r="DC10" i="5" s="1"/>
  <c r="F35" i="5"/>
  <c r="DC9" i="5" s="1"/>
  <c r="E35" i="5"/>
  <c r="DC8" i="5" s="1"/>
  <c r="D35" i="5"/>
  <c r="DC7" i="5" s="1"/>
  <c r="C35" i="5"/>
  <c r="DC6" i="5" s="1"/>
  <c r="B35" i="5"/>
  <c r="CD24" i="11"/>
  <c r="CD23" i="11"/>
  <c r="CD22" i="11"/>
  <c r="CD21" i="11"/>
  <c r="CD19" i="11"/>
  <c r="CD17" i="11"/>
  <c r="CD14" i="11"/>
  <c r="CD36" i="11"/>
  <c r="CD44" i="11"/>
  <c r="CD38" i="11"/>
  <c r="CD60" i="11"/>
  <c r="CD57" i="11"/>
  <c r="CD51" i="11"/>
  <c r="CD68" i="11"/>
  <c r="CD83" i="11"/>
  <c r="CD73" i="11"/>
  <c r="CD96" i="11"/>
  <c r="CD92" i="11"/>
  <c r="CD91" i="11"/>
  <c r="CD90" i="11"/>
  <c r="CD89" i="11"/>
  <c r="CD88" i="11"/>
  <c r="CD87" i="11"/>
  <c r="CD86" i="11"/>
  <c r="CD85" i="11"/>
  <c r="CD108" i="11"/>
  <c r="CD107" i="11"/>
  <c r="CD106" i="11"/>
  <c r="CD105" i="11"/>
  <c r="CD104" i="11"/>
  <c r="CD103" i="11"/>
  <c r="CD102" i="11"/>
  <c r="CD101" i="11"/>
  <c r="CD100" i="11"/>
  <c r="CD99" i="11"/>
  <c r="CD98" i="11"/>
  <c r="CD97" i="11"/>
  <c r="CD120" i="11"/>
  <c r="CD119" i="11"/>
  <c r="CD118" i="11"/>
  <c r="CD117" i="11"/>
  <c r="CD116" i="11"/>
  <c r="CD115" i="11"/>
  <c r="CD114" i="11"/>
  <c r="CD113" i="11"/>
  <c r="CD112" i="11"/>
  <c r="CD111" i="11"/>
  <c r="CD110" i="11"/>
  <c r="CD109" i="11"/>
  <c r="CD132" i="11"/>
  <c r="CD131" i="11"/>
  <c r="CD130" i="11"/>
  <c r="CD129" i="11"/>
  <c r="CD128" i="11"/>
  <c r="CD127" i="11"/>
  <c r="CD18" i="11"/>
  <c r="CD16" i="11"/>
  <c r="CD13" i="11"/>
  <c r="CD35" i="11"/>
  <c r="CD34" i="11"/>
  <c r="CD31" i="11"/>
  <c r="CD30" i="11"/>
  <c r="CD26" i="11"/>
  <c r="CD48" i="11"/>
  <c r="CD47" i="11"/>
  <c r="CD41" i="11"/>
  <c r="CD40" i="11"/>
  <c r="CD53" i="11"/>
  <c r="CD64" i="11"/>
  <c r="CD126" i="11"/>
  <c r="CD143" i="11"/>
  <c r="CD141" i="11"/>
  <c r="CD140" i="11"/>
  <c r="CD139" i="11"/>
  <c r="CD138" i="11"/>
  <c r="CD137" i="11"/>
  <c r="CD136" i="11"/>
  <c r="CD135" i="11"/>
  <c r="CD134" i="11"/>
  <c r="CD155" i="11"/>
  <c r="CD153" i="11"/>
  <c r="CD152" i="11"/>
  <c r="CD149" i="11"/>
  <c r="CD148" i="11"/>
  <c r="CD147" i="11"/>
  <c r="CD146" i="11"/>
  <c r="CD145" i="11"/>
  <c r="CD168" i="11"/>
  <c r="CD167" i="11"/>
  <c r="CD166" i="11"/>
  <c r="CD165" i="11"/>
  <c r="CD164" i="11"/>
  <c r="CD163" i="11"/>
  <c r="CD162" i="11"/>
  <c r="CD161" i="11"/>
  <c r="CD160" i="11"/>
  <c r="CD159" i="11"/>
  <c r="CD158" i="11"/>
  <c r="CD157" i="11"/>
  <c r="CD180" i="11"/>
  <c r="CD179" i="11"/>
  <c r="CD178" i="11"/>
  <c r="CD177" i="11"/>
  <c r="CD176" i="11"/>
  <c r="CD175" i="11"/>
  <c r="CD174" i="11"/>
  <c r="CD173" i="11"/>
  <c r="CD172" i="11"/>
  <c r="CD171" i="11"/>
  <c r="CD170" i="11"/>
  <c r="CD169" i="11"/>
  <c r="CD192" i="11"/>
  <c r="CD191" i="11"/>
  <c r="CD190" i="11"/>
  <c r="CD32" i="11"/>
  <c r="CD25" i="11"/>
  <c r="CD55" i="11"/>
  <c r="CD72" i="11"/>
  <c r="CD65" i="11"/>
  <c r="CD63" i="11"/>
  <c r="CD61" i="11"/>
  <c r="CD84" i="11"/>
  <c r="CD74" i="11"/>
  <c r="CD123" i="11"/>
  <c r="CD122" i="11"/>
  <c r="CD121" i="11"/>
  <c r="CD144" i="11"/>
  <c r="CD133" i="11"/>
  <c r="CD150" i="11"/>
  <c r="CD189" i="11"/>
  <c r="CD188" i="11"/>
  <c r="CD187" i="11"/>
  <c r="CD186" i="11"/>
  <c r="CD201" i="11"/>
  <c r="CD197" i="11"/>
  <c r="CD196" i="11"/>
  <c r="CD195" i="11"/>
  <c r="CD194" i="11"/>
  <c r="CD193" i="11"/>
  <c r="CD39" i="11"/>
  <c r="CD52" i="11"/>
  <c r="CD71" i="11"/>
  <c r="CD77" i="11"/>
  <c r="CD76" i="11"/>
  <c r="CD75" i="11"/>
  <c r="CD125" i="11"/>
  <c r="CD124" i="11"/>
  <c r="CD142" i="11"/>
  <c r="CD156" i="11"/>
  <c r="CD154" i="11"/>
  <c r="CD151" i="11"/>
  <c r="CD185" i="11"/>
  <c r="CD184" i="11"/>
  <c r="CD183" i="11"/>
  <c r="CD182" i="11"/>
  <c r="CD181" i="11"/>
  <c r="CD203" i="11"/>
  <c r="CD202" i="11"/>
  <c r="CD200" i="11"/>
  <c r="CD199" i="11"/>
  <c r="CD198" i="11"/>
  <c r="CD28" i="11"/>
  <c r="CD27" i="11"/>
  <c r="CD59" i="11"/>
  <c r="CD56" i="11"/>
  <c r="CD49" i="11"/>
  <c r="CD70" i="11"/>
  <c r="CD69" i="11"/>
  <c r="CD67" i="11"/>
  <c r="CD62" i="11"/>
  <c r="CD80" i="11"/>
  <c r="CD20" i="11"/>
  <c r="CD15" i="11"/>
  <c r="CD29" i="11"/>
  <c r="CD45" i="11"/>
  <c r="CD43" i="11"/>
  <c r="CD37" i="11"/>
  <c r="CD50" i="11"/>
  <c r="CD79" i="11"/>
  <c r="CD93" i="11"/>
  <c r="CD33" i="11"/>
  <c r="CD46" i="11"/>
  <c r="CD42" i="11"/>
  <c r="CD58" i="11"/>
  <c r="CD54" i="11"/>
  <c r="CD66" i="11"/>
  <c r="CD82" i="11"/>
  <c r="CD81" i="11"/>
  <c r="CD78" i="11"/>
  <c r="CD95" i="11"/>
  <c r="CD94" i="11"/>
  <c r="CD12" i="11"/>
  <c r="CD11" i="11"/>
  <c r="CD10" i="11"/>
  <c r="CD9" i="11"/>
  <c r="CD8" i="11"/>
  <c r="CD7" i="11"/>
  <c r="CD6" i="11"/>
  <c r="CD5" i="11"/>
  <c r="CD4" i="11"/>
  <c r="DD20" i="5"/>
  <c r="DD19" i="5"/>
  <c r="DD18" i="5"/>
  <c r="DD17" i="5"/>
  <c r="DD16" i="5"/>
  <c r="AC36" i="5"/>
  <c r="AA36" i="5"/>
  <c r="DD30" i="5" s="1"/>
  <c r="Z36" i="5"/>
  <c r="DD29" i="5" s="1"/>
  <c r="Y36" i="5"/>
  <c r="DD28" i="5" s="1"/>
  <c r="X36" i="5"/>
  <c r="DD27" i="5" s="1"/>
  <c r="W36" i="5"/>
  <c r="DD26" i="5" s="1"/>
  <c r="V36" i="5"/>
  <c r="DD25" i="5" s="1"/>
  <c r="U36" i="5"/>
  <c r="DD24" i="5" s="1"/>
  <c r="T36" i="5"/>
  <c r="DD23" i="5" s="1"/>
  <c r="S36" i="5"/>
  <c r="DD22" i="5" s="1"/>
  <c r="R36" i="5"/>
  <c r="DD21" i="5" s="1"/>
  <c r="Q36" i="5"/>
  <c r="P36" i="5"/>
  <c r="O36" i="5"/>
  <c r="N36" i="5"/>
  <c r="M36" i="5"/>
  <c r="L36" i="5"/>
  <c r="DD15" i="5" s="1"/>
  <c r="K36" i="5"/>
  <c r="DD14" i="5" s="1"/>
  <c r="J36" i="5"/>
  <c r="DD13" i="5" s="1"/>
  <c r="I36" i="5"/>
  <c r="DD12" i="5" s="1"/>
  <c r="H36" i="5"/>
  <c r="DD11" i="5" s="1"/>
  <c r="G36" i="5"/>
  <c r="DD10" i="5" s="1"/>
  <c r="F36" i="5"/>
  <c r="DD9" i="5" s="1"/>
  <c r="E36" i="5"/>
  <c r="DD8" i="5" s="1"/>
  <c r="D36" i="5"/>
  <c r="DD7" i="5" s="1"/>
  <c r="C36" i="5"/>
  <c r="DD6" i="5" s="1"/>
  <c r="B36" i="5"/>
  <c r="CE24" i="11"/>
  <c r="CE23" i="11"/>
  <c r="CE22" i="11"/>
  <c r="CE21" i="11"/>
  <c r="CE20" i="11"/>
  <c r="CE16" i="11"/>
  <c r="CE32" i="11"/>
  <c r="CE29" i="11"/>
  <c r="CE25" i="11"/>
  <c r="CE37" i="11"/>
  <c r="CE56" i="11"/>
  <c r="CE61" i="11"/>
  <c r="CE84" i="11"/>
  <c r="CE80" i="11"/>
  <c r="CE74" i="11"/>
  <c r="CE95" i="11"/>
  <c r="CE92" i="11"/>
  <c r="CE91" i="11"/>
  <c r="CE90" i="11"/>
  <c r="CE89" i="11"/>
  <c r="CE88" i="11"/>
  <c r="CE87" i="11"/>
  <c r="CE86" i="11"/>
  <c r="CE85" i="11"/>
  <c r="CE108" i="11"/>
  <c r="CE107" i="11"/>
  <c r="CE106" i="11"/>
  <c r="CE105" i="11"/>
  <c r="CE104" i="11"/>
  <c r="CE103" i="11"/>
  <c r="CE102" i="11"/>
  <c r="CE101" i="11"/>
  <c r="CE100" i="11"/>
  <c r="CE99" i="11"/>
  <c r="CE98" i="11"/>
  <c r="CE97" i="11"/>
  <c r="CE120" i="11"/>
  <c r="CE119" i="11"/>
  <c r="CE118" i="11"/>
  <c r="CE117" i="11"/>
  <c r="CE116" i="11"/>
  <c r="CE115" i="11"/>
  <c r="CE114" i="11"/>
  <c r="CE113" i="11"/>
  <c r="CE112" i="11"/>
  <c r="CE111" i="11"/>
  <c r="CE110" i="11"/>
  <c r="CE109" i="11"/>
  <c r="CE132" i="11"/>
  <c r="CE131" i="11"/>
  <c r="CE130" i="11"/>
  <c r="CE129" i="11"/>
  <c r="CE128" i="11"/>
  <c r="CE127" i="11"/>
  <c r="CE30" i="11"/>
  <c r="CE28" i="11"/>
  <c r="CE45" i="11"/>
  <c r="CE43" i="11"/>
  <c r="CE55" i="11"/>
  <c r="CE50" i="11"/>
  <c r="CE49" i="11"/>
  <c r="CE62" i="11"/>
  <c r="CE79" i="11"/>
  <c r="CE78" i="11"/>
  <c r="CE76" i="11"/>
  <c r="CE94" i="11"/>
  <c r="CE124" i="11"/>
  <c r="CE144" i="11"/>
  <c r="CE142" i="11"/>
  <c r="CE141" i="11"/>
  <c r="CE139" i="11"/>
  <c r="CE137" i="11"/>
  <c r="CE135" i="11"/>
  <c r="CE133" i="11"/>
  <c r="CE150" i="11"/>
  <c r="CE149" i="11"/>
  <c r="CE146" i="11"/>
  <c r="CE145" i="11"/>
  <c r="CE168" i="11"/>
  <c r="CE167" i="11"/>
  <c r="CE166" i="11"/>
  <c r="CE165" i="11"/>
  <c r="CE164" i="11"/>
  <c r="CE163" i="11"/>
  <c r="CE162" i="11"/>
  <c r="CE161" i="11"/>
  <c r="CE160" i="11"/>
  <c r="CE159" i="11"/>
  <c r="CE158" i="11"/>
  <c r="CE157" i="11"/>
  <c r="CE180" i="11"/>
  <c r="CE179" i="11"/>
  <c r="CE178" i="11"/>
  <c r="CE177" i="11"/>
  <c r="CE176" i="11"/>
  <c r="CE175" i="11"/>
  <c r="CE174" i="11"/>
  <c r="CE173" i="11"/>
  <c r="CE172" i="11"/>
  <c r="CE171" i="11"/>
  <c r="CE170" i="11"/>
  <c r="CE169" i="11"/>
  <c r="CE192" i="11"/>
  <c r="CE191" i="11"/>
  <c r="CE190" i="11"/>
  <c r="CE18" i="11"/>
  <c r="CE35" i="11"/>
  <c r="CE44" i="11"/>
  <c r="CE42" i="11"/>
  <c r="CE40" i="11"/>
  <c r="CE38" i="11"/>
  <c r="CE54" i="11"/>
  <c r="CE82" i="11"/>
  <c r="CE77" i="11"/>
  <c r="CE73" i="11"/>
  <c r="CE125" i="11"/>
  <c r="CE143" i="11"/>
  <c r="CE140" i="11"/>
  <c r="CE138" i="11"/>
  <c r="CE156" i="11"/>
  <c r="CE155" i="11"/>
  <c r="CE154" i="11"/>
  <c r="CE151" i="11"/>
  <c r="CE148" i="11"/>
  <c r="CE147" i="11"/>
  <c r="CE188" i="11"/>
  <c r="CE184" i="11"/>
  <c r="CE183" i="11"/>
  <c r="CE182" i="11"/>
  <c r="CE181" i="11"/>
  <c r="CE203" i="11"/>
  <c r="CE202" i="11"/>
  <c r="CE200" i="11"/>
  <c r="CE199" i="11"/>
  <c r="CE198" i="11"/>
  <c r="CE195" i="11"/>
  <c r="CE194" i="11"/>
  <c r="CE193" i="11"/>
  <c r="CE15" i="11"/>
  <c r="CE13" i="11"/>
  <c r="CE41" i="11"/>
  <c r="CE70" i="11"/>
  <c r="CE69" i="11"/>
  <c r="CE67" i="11"/>
  <c r="CE126" i="11"/>
  <c r="CE123" i="11"/>
  <c r="CE122" i="11"/>
  <c r="CE121" i="11"/>
  <c r="CE136" i="11"/>
  <c r="CE134" i="11"/>
  <c r="CE153" i="11"/>
  <c r="CE152" i="11"/>
  <c r="CE189" i="11"/>
  <c r="CE187" i="11"/>
  <c r="CE186" i="11"/>
  <c r="CE185" i="11"/>
  <c r="CE201" i="11"/>
  <c r="CE197" i="11"/>
  <c r="CE196" i="11"/>
  <c r="CE19" i="11"/>
  <c r="CE34" i="11"/>
  <c r="CE48" i="11"/>
  <c r="CE47" i="11"/>
  <c r="CE39" i="11"/>
  <c r="CE60" i="11"/>
  <c r="CE53" i="11"/>
  <c r="CE66" i="11"/>
  <c r="CE64" i="11"/>
  <c r="CE83" i="11"/>
  <c r="CE81" i="11"/>
  <c r="CE17" i="11"/>
  <c r="CE36" i="11"/>
  <c r="CE31" i="11"/>
  <c r="CE27" i="11"/>
  <c r="CE26" i="11"/>
  <c r="CE46" i="11"/>
  <c r="CE59" i="11"/>
  <c r="CE58" i="11"/>
  <c r="CE52" i="11"/>
  <c r="CE51" i="11"/>
  <c r="CE72" i="11"/>
  <c r="CE71" i="11"/>
  <c r="CE68" i="11"/>
  <c r="CE65" i="11"/>
  <c r="CE14" i="11"/>
  <c r="CE33" i="11"/>
  <c r="CE57" i="11"/>
  <c r="CE63" i="11"/>
  <c r="CE75" i="11"/>
  <c r="CE96" i="11"/>
  <c r="CE93" i="11"/>
  <c r="CE12" i="11"/>
  <c r="CE11" i="11"/>
  <c r="CE10" i="11"/>
  <c r="CE9" i="11"/>
  <c r="CE8" i="11"/>
  <c r="CE7" i="11"/>
  <c r="CE6" i="11"/>
  <c r="CE5" i="11"/>
  <c r="CE4" i="11"/>
  <c r="AC37" i="5"/>
  <c r="AA37" i="5"/>
  <c r="DE30" i="5" s="1"/>
  <c r="Z37" i="5"/>
  <c r="DE29" i="5" s="1"/>
  <c r="Y37" i="5"/>
  <c r="DE28" i="5" s="1"/>
  <c r="X37" i="5"/>
  <c r="DE27" i="5" s="1"/>
  <c r="W37" i="5"/>
  <c r="DE26" i="5" s="1"/>
  <c r="V37" i="5"/>
  <c r="DE25" i="5" s="1"/>
  <c r="U37" i="5"/>
  <c r="DE24" i="5" s="1"/>
  <c r="T37" i="5"/>
  <c r="DE23" i="5" s="1"/>
  <c r="S37" i="5"/>
  <c r="DE22" i="5" s="1"/>
  <c r="R37" i="5"/>
  <c r="DE21" i="5" s="1"/>
  <c r="Q37" i="5"/>
  <c r="DE20" i="5" s="1"/>
  <c r="P37" i="5"/>
  <c r="DE19" i="5" s="1"/>
  <c r="O37" i="5"/>
  <c r="DE18" i="5" s="1"/>
  <c r="N37" i="5"/>
  <c r="DE17" i="5" s="1"/>
  <c r="M37" i="5"/>
  <c r="DE16" i="5" s="1"/>
  <c r="L37" i="5"/>
  <c r="DE15" i="5" s="1"/>
  <c r="K37" i="5"/>
  <c r="DE14" i="5" s="1"/>
  <c r="J37" i="5"/>
  <c r="DE13" i="5" s="1"/>
  <c r="I37" i="5"/>
  <c r="DE12" i="5" s="1"/>
  <c r="H37" i="5"/>
  <c r="DE11" i="5" s="1"/>
  <c r="G37" i="5"/>
  <c r="DE10" i="5" s="1"/>
  <c r="F37" i="5"/>
  <c r="DE9" i="5" s="1"/>
  <c r="E37" i="5"/>
  <c r="DE8" i="5" s="1"/>
  <c r="D37" i="5"/>
  <c r="DE7" i="5" s="1"/>
  <c r="C37" i="5"/>
  <c r="DE6" i="5" s="1"/>
  <c r="B37" i="5"/>
  <c r="CF24" i="11"/>
  <c r="CF23" i="11"/>
  <c r="CF22" i="11"/>
  <c r="CF21" i="11"/>
  <c r="CF43" i="11"/>
  <c r="CF53" i="11"/>
  <c r="CF51" i="11"/>
  <c r="CF72" i="11"/>
  <c r="CF81" i="11"/>
  <c r="CF80" i="11"/>
  <c r="CF92" i="11"/>
  <c r="CF91" i="11"/>
  <c r="CF90" i="11"/>
  <c r="CF89" i="11"/>
  <c r="CF88" i="11"/>
  <c r="CF87" i="11"/>
  <c r="CF86" i="11"/>
  <c r="CF85" i="11"/>
  <c r="CF108" i="11"/>
  <c r="CF107" i="11"/>
  <c r="CF106" i="11"/>
  <c r="CF105" i="11"/>
  <c r="CF104" i="11"/>
  <c r="CF103" i="11"/>
  <c r="CF102" i="11"/>
  <c r="CF101" i="11"/>
  <c r="CF100" i="11"/>
  <c r="CF99" i="11"/>
  <c r="CF98" i="11"/>
  <c r="CF97" i="11"/>
  <c r="CF120" i="11"/>
  <c r="CF119" i="11"/>
  <c r="CF118" i="11"/>
  <c r="CF117" i="11"/>
  <c r="CF116" i="11"/>
  <c r="CF115" i="11"/>
  <c r="CF114" i="11"/>
  <c r="CF113" i="11"/>
  <c r="CF112" i="11"/>
  <c r="CF111" i="11"/>
  <c r="CF110" i="11"/>
  <c r="CF109" i="11"/>
  <c r="CF132" i="11"/>
  <c r="CF131" i="11"/>
  <c r="CF130" i="11"/>
  <c r="CF129" i="11"/>
  <c r="CF128" i="11"/>
  <c r="CF127" i="11"/>
  <c r="CF19" i="11"/>
  <c r="CF16" i="11"/>
  <c r="CF15" i="11"/>
  <c r="CF25" i="11"/>
  <c r="CF39" i="11"/>
  <c r="CF60" i="11"/>
  <c r="CF54" i="11"/>
  <c r="CF63" i="11"/>
  <c r="CF82" i="11"/>
  <c r="CF75" i="11"/>
  <c r="CF73" i="11"/>
  <c r="CF93" i="11"/>
  <c r="CF123" i="11"/>
  <c r="CF143" i="11"/>
  <c r="CF141" i="11"/>
  <c r="CF140" i="11"/>
  <c r="CF139" i="11"/>
  <c r="CF138" i="11"/>
  <c r="CF136" i="11"/>
  <c r="CF134" i="11"/>
  <c r="CF153" i="11"/>
  <c r="CF152" i="11"/>
  <c r="CF148" i="11"/>
  <c r="CF147" i="11"/>
  <c r="CF146" i="11"/>
  <c r="CF145" i="11"/>
  <c r="CF168" i="11"/>
  <c r="CF167" i="11"/>
  <c r="CF166" i="11"/>
  <c r="CF165" i="11"/>
  <c r="CF164" i="11"/>
  <c r="CF163" i="11"/>
  <c r="CF162" i="11"/>
  <c r="CF161" i="11"/>
  <c r="CF160" i="11"/>
  <c r="CF159" i="11"/>
  <c r="CF158" i="11"/>
  <c r="CF157" i="11"/>
  <c r="CF180" i="11"/>
  <c r="CF179" i="11"/>
  <c r="CF178" i="11"/>
  <c r="CF177" i="11"/>
  <c r="CF176" i="11"/>
  <c r="CF175" i="11"/>
  <c r="CF174" i="11"/>
  <c r="CF173" i="11"/>
  <c r="CF172" i="11"/>
  <c r="CF171" i="11"/>
  <c r="CF170" i="11"/>
  <c r="CF169" i="11"/>
  <c r="CF192" i="11"/>
  <c r="CF191" i="11"/>
  <c r="CF190" i="11"/>
  <c r="CF20" i="11"/>
  <c r="CF13" i="11"/>
  <c r="CF26" i="11"/>
  <c r="CF59" i="11"/>
  <c r="CF57" i="11"/>
  <c r="CF52" i="11"/>
  <c r="CF50" i="11"/>
  <c r="CF71" i="11"/>
  <c r="CF69" i="11"/>
  <c r="CF67" i="11"/>
  <c r="CF62" i="11"/>
  <c r="CF94" i="11"/>
  <c r="CF122" i="11"/>
  <c r="CF121" i="11"/>
  <c r="CF144" i="11"/>
  <c r="CF133" i="11"/>
  <c r="CF155" i="11"/>
  <c r="CF150" i="11"/>
  <c r="CF189" i="11"/>
  <c r="CF188" i="11"/>
  <c r="CF187" i="11"/>
  <c r="CF186" i="11"/>
  <c r="CF184" i="11"/>
  <c r="CF183" i="11"/>
  <c r="CF201" i="11"/>
  <c r="CF197" i="11"/>
  <c r="CF196" i="11"/>
  <c r="CF195" i="11"/>
  <c r="CF194" i="11"/>
  <c r="CF193" i="11"/>
  <c r="CF18" i="11"/>
  <c r="CF14" i="11"/>
  <c r="CF30" i="11"/>
  <c r="CF48" i="11"/>
  <c r="CF47" i="11"/>
  <c r="CF45" i="11"/>
  <c r="CF42" i="11"/>
  <c r="CF37" i="11"/>
  <c r="CF64" i="11"/>
  <c r="CF84" i="11"/>
  <c r="CF79" i="11"/>
  <c r="CF95" i="11"/>
  <c r="CF125" i="11"/>
  <c r="CF124" i="11"/>
  <c r="CF142" i="11"/>
  <c r="CF137" i="11"/>
  <c r="CF135" i="11"/>
  <c r="CF156" i="11"/>
  <c r="CF154" i="11"/>
  <c r="CF151" i="11"/>
  <c r="CF149" i="11"/>
  <c r="CF185" i="11"/>
  <c r="CF182" i="11"/>
  <c r="CF181" i="11"/>
  <c r="CF203" i="11"/>
  <c r="CF202" i="11"/>
  <c r="CF200" i="11"/>
  <c r="CF199" i="11"/>
  <c r="CF198" i="11"/>
  <c r="CF17" i="11"/>
  <c r="CF32" i="11"/>
  <c r="CF27" i="11"/>
  <c r="CF49" i="11"/>
  <c r="CF78" i="11"/>
  <c r="CF76" i="11"/>
  <c r="CF35" i="11"/>
  <c r="CF34" i="11"/>
  <c r="CF29" i="11"/>
  <c r="CF56" i="11"/>
  <c r="CF55" i="11"/>
  <c r="CF70" i="11"/>
  <c r="CF66" i="11"/>
  <c r="CF61" i="11"/>
  <c r="CF83" i="11"/>
  <c r="CF77" i="11"/>
  <c r="CF96" i="11"/>
  <c r="CF126" i="11"/>
  <c r="CF36" i="11"/>
  <c r="CF33" i="11"/>
  <c r="CF31" i="11"/>
  <c r="CF28" i="11"/>
  <c r="CF46" i="11"/>
  <c r="CF44" i="11"/>
  <c r="CF41" i="11"/>
  <c r="CF40" i="11"/>
  <c r="CF38" i="11"/>
  <c r="CF58" i="11"/>
  <c r="CF68" i="11"/>
  <c r="CF65" i="11"/>
  <c r="CF74" i="11"/>
  <c r="CF12" i="11"/>
  <c r="CF11" i="11"/>
  <c r="CF10" i="11"/>
  <c r="CF9" i="11"/>
  <c r="CF8" i="11"/>
  <c r="CF7" i="11"/>
  <c r="CF6" i="11"/>
  <c r="CF5" i="11"/>
  <c r="CF4" i="11"/>
  <c r="AC38" i="5"/>
  <c r="AA38" i="5"/>
  <c r="DF30" i="5" s="1"/>
  <c r="Z38" i="5"/>
  <c r="DF29" i="5" s="1"/>
  <c r="Y38" i="5"/>
  <c r="DF28" i="5" s="1"/>
  <c r="X38" i="5"/>
  <c r="DF27" i="5" s="1"/>
  <c r="W38" i="5"/>
  <c r="DF26" i="5" s="1"/>
  <c r="V38" i="5"/>
  <c r="DF25" i="5" s="1"/>
  <c r="U38" i="5"/>
  <c r="DF24" i="5" s="1"/>
  <c r="T38" i="5"/>
  <c r="DF23" i="5" s="1"/>
  <c r="S38" i="5"/>
  <c r="DF22" i="5" s="1"/>
  <c r="R38" i="5"/>
  <c r="DF21" i="5" s="1"/>
  <c r="Q38" i="5"/>
  <c r="DF20" i="5" s="1"/>
  <c r="P38" i="5"/>
  <c r="DF19" i="5" s="1"/>
  <c r="O38" i="5"/>
  <c r="DF18" i="5" s="1"/>
  <c r="N38" i="5"/>
  <c r="DF17" i="5" s="1"/>
  <c r="M38" i="5"/>
  <c r="DF16" i="5" s="1"/>
  <c r="L38" i="5"/>
  <c r="DF15" i="5" s="1"/>
  <c r="K38" i="5"/>
  <c r="DF14" i="5" s="1"/>
  <c r="J38" i="5"/>
  <c r="DF13" i="5" s="1"/>
  <c r="I38" i="5"/>
  <c r="DF12" i="5" s="1"/>
  <c r="H38" i="5"/>
  <c r="DF11" i="5" s="1"/>
  <c r="G38" i="5"/>
  <c r="DF10" i="5" s="1"/>
  <c r="F38" i="5"/>
  <c r="DF9" i="5" s="1"/>
  <c r="E38" i="5"/>
  <c r="DF8" i="5" s="1"/>
  <c r="D38" i="5"/>
  <c r="DF7" i="5" s="1"/>
  <c r="C38" i="5"/>
  <c r="DF6" i="5" s="1"/>
  <c r="B38" i="5"/>
  <c r="DI60" i="11"/>
  <c r="CZ60" i="11"/>
  <c r="CT60" i="11"/>
  <c r="BF87" i="10"/>
  <c r="DJ60" i="11"/>
  <c r="DA60" i="11"/>
  <c r="CU60" i="11"/>
  <c r="DF60" i="11"/>
  <c r="CY60" i="11"/>
  <c r="CQ60" i="11"/>
  <c r="DK60" i="11"/>
  <c r="DD60" i="11"/>
  <c r="CW60" i="11"/>
  <c r="CV60" i="11"/>
  <c r="DH60" i="11"/>
  <c r="DC60" i="11"/>
  <c r="CP60" i="11"/>
  <c r="DL60" i="11"/>
  <c r="DE60" i="11"/>
  <c r="DB60" i="11"/>
  <c r="CR60" i="11"/>
  <c r="DG60" i="11"/>
  <c r="CX60" i="11"/>
  <c r="CS60" i="11"/>
  <c r="DG61" i="11"/>
  <c r="DB61" i="11"/>
  <c r="CV61" i="11"/>
  <c r="BG87" i="10"/>
  <c r="DL61" i="11"/>
  <c r="DE61" i="11"/>
  <c r="CY61" i="11"/>
  <c r="CS61" i="11"/>
  <c r="DH61" i="11"/>
  <c r="CZ61" i="11"/>
  <c r="CU61" i="11"/>
  <c r="DF61" i="11"/>
  <c r="CX61" i="11"/>
  <c r="CR61" i="11"/>
  <c r="DK61" i="11"/>
  <c r="DD61" i="11"/>
  <c r="CW61" i="11"/>
  <c r="CQ61" i="11"/>
  <c r="DI61" i="11"/>
  <c r="DC61" i="11"/>
  <c r="CP61" i="11"/>
  <c r="DJ61" i="11"/>
  <c r="DA61" i="11"/>
  <c r="CT61" i="11"/>
  <c r="DH62" i="11"/>
  <c r="DC62" i="11"/>
  <c r="CP62" i="11"/>
  <c r="BH87" i="10"/>
  <c r="DI62" i="11"/>
  <c r="CZ62" i="11"/>
  <c r="CU62" i="11"/>
  <c r="DJ62" i="11"/>
  <c r="DD62" i="11"/>
  <c r="CW62" i="11"/>
  <c r="CS62" i="11"/>
  <c r="DF62" i="11"/>
  <c r="CY62" i="11"/>
  <c r="CQ62" i="11"/>
  <c r="DK62" i="11"/>
  <c r="DE62" i="11"/>
  <c r="CX62" i="11"/>
  <c r="CR62" i="11"/>
  <c r="DG62" i="11"/>
  <c r="DB62" i="11"/>
  <c r="CT62" i="11"/>
  <c r="DL62" i="11"/>
  <c r="DA62" i="11"/>
  <c r="CV62" i="11"/>
  <c r="DH63" i="11"/>
  <c r="DB63" i="11"/>
  <c r="CP63" i="11"/>
  <c r="BI87" i="10"/>
  <c r="DI63" i="11"/>
  <c r="CZ63" i="11"/>
  <c r="CT63" i="11"/>
  <c r="DL63" i="11"/>
  <c r="DE63" i="11"/>
  <c r="CX63" i="11"/>
  <c r="CS63" i="11"/>
  <c r="DF63" i="11"/>
  <c r="CY63" i="11"/>
  <c r="CR63" i="11"/>
  <c r="DK63" i="11"/>
  <c r="DA63" i="11"/>
  <c r="CV63" i="11"/>
  <c r="DG63" i="11"/>
  <c r="DC63" i="11"/>
  <c r="CU63" i="11"/>
  <c r="DJ63" i="11"/>
  <c r="DD63" i="11"/>
  <c r="CW63" i="11"/>
  <c r="CQ63" i="11"/>
  <c r="DG64" i="11"/>
  <c r="DB64" i="11"/>
  <c r="CV64" i="11"/>
  <c r="BJ87" i="10"/>
  <c r="DH64" i="11"/>
  <c r="DC64" i="11"/>
  <c r="CP64" i="11"/>
  <c r="DL64" i="11"/>
  <c r="DE64" i="11"/>
  <c r="CX64" i="11"/>
  <c r="CR64" i="11"/>
  <c r="DJ64" i="11"/>
  <c r="CZ64" i="11"/>
  <c r="CU64" i="11"/>
  <c r="DF64" i="11"/>
  <c r="CY64" i="11"/>
  <c r="CT64" i="11"/>
  <c r="DK64" i="11"/>
  <c r="DA64" i="11"/>
  <c r="CS64" i="11"/>
  <c r="DI64" i="11"/>
  <c r="DD64" i="11"/>
  <c r="CW64" i="11"/>
  <c r="CQ64" i="11"/>
  <c r="DH65" i="11"/>
  <c r="DB65" i="11"/>
  <c r="CP65" i="11"/>
  <c r="BK87" i="10"/>
  <c r="DI65" i="11"/>
  <c r="DC65" i="11"/>
  <c r="CV65" i="11"/>
  <c r="DF65" i="11"/>
  <c r="CY65" i="11"/>
  <c r="CT65" i="11"/>
  <c r="DJ65" i="11"/>
  <c r="DA65" i="11"/>
  <c r="CU65" i="11"/>
  <c r="DL65" i="11"/>
  <c r="DE65" i="11"/>
  <c r="CX65" i="11"/>
  <c r="CS65" i="11"/>
  <c r="DG65" i="11"/>
  <c r="CZ65" i="11"/>
  <c r="CR65" i="11"/>
  <c r="DK65" i="11"/>
  <c r="DD65" i="11"/>
  <c r="CW65" i="11"/>
  <c r="CQ65" i="11"/>
  <c r="DL66" i="11"/>
  <c r="DE66" i="11"/>
  <c r="CY66" i="11"/>
  <c r="CR66" i="11"/>
  <c r="BL87" i="10"/>
  <c r="DJ66" i="11"/>
  <c r="CZ66" i="11"/>
  <c r="CU66" i="11"/>
  <c r="DG66" i="11"/>
  <c r="DB66" i="11"/>
  <c r="CV66" i="11"/>
  <c r="DI66" i="11"/>
  <c r="DA66" i="11"/>
  <c r="CT66" i="11"/>
  <c r="DK66" i="11"/>
  <c r="DD66" i="11"/>
  <c r="CW66" i="11"/>
  <c r="CQ66" i="11"/>
  <c r="DH66" i="11"/>
  <c r="DC66" i="11"/>
  <c r="CP66" i="11"/>
  <c r="DF66" i="11"/>
  <c r="CX66" i="11"/>
  <c r="CS66" i="11"/>
  <c r="DI67" i="11"/>
  <c r="DC67" i="11"/>
  <c r="CW67" i="11"/>
  <c r="CQ67" i="11"/>
  <c r="BM87" i="10"/>
  <c r="DH67" i="11"/>
  <c r="CZ67" i="11"/>
  <c r="CT67" i="11"/>
  <c r="DF67" i="11"/>
  <c r="DB67" i="11"/>
  <c r="CU67" i="11"/>
  <c r="DJ67" i="11"/>
  <c r="DA67" i="11"/>
  <c r="CP67" i="11"/>
  <c r="DL67" i="11"/>
  <c r="DE67" i="11"/>
  <c r="CY67" i="11"/>
  <c r="CS67" i="11"/>
  <c r="DG67" i="11"/>
  <c r="CV67" i="11"/>
  <c r="DK67" i="11"/>
  <c r="DD67" i="11"/>
  <c r="CX67" i="11"/>
  <c r="CR67" i="11"/>
  <c r="DG68" i="11"/>
  <c r="DC68" i="11"/>
  <c r="CW68" i="11"/>
  <c r="CS68" i="11"/>
  <c r="BN87" i="10"/>
  <c r="DL68" i="11"/>
  <c r="DE68" i="11"/>
  <c r="CY68" i="11"/>
  <c r="CR68" i="11"/>
  <c r="DF68" i="11"/>
  <c r="DB68" i="11"/>
  <c r="CV68" i="11"/>
  <c r="CQ68" i="11"/>
  <c r="DK68" i="11"/>
  <c r="DI68" i="11"/>
  <c r="CZ68" i="11"/>
  <c r="CP68" i="11"/>
  <c r="DJ68" i="11"/>
  <c r="DA68" i="11"/>
  <c r="CU68" i="11"/>
  <c r="DH68" i="11"/>
  <c r="DD68" i="11"/>
  <c r="CX68" i="11"/>
  <c r="CT68" i="11"/>
  <c r="DK69" i="11"/>
  <c r="DA69" i="11"/>
  <c r="CU69" i="11"/>
  <c r="BO87" i="10"/>
  <c r="DF69" i="11"/>
  <c r="CY69" i="11"/>
  <c r="CV69" i="11"/>
  <c r="DG69" i="11"/>
  <c r="DB69" i="11"/>
  <c r="CR69" i="11"/>
  <c r="DH69" i="11"/>
  <c r="CZ69" i="11"/>
  <c r="CP69" i="11"/>
  <c r="DJ69" i="11"/>
  <c r="DD69" i="11"/>
  <c r="CX69" i="11"/>
  <c r="CT69" i="11"/>
  <c r="DL69" i="11"/>
  <c r="DE69" i="11"/>
  <c r="CQ69" i="11"/>
  <c r="DI69" i="11"/>
  <c r="DC69" i="11"/>
  <c r="CW69" i="11"/>
  <c r="CS69" i="11"/>
  <c r="DH70" i="11"/>
  <c r="DC70" i="11"/>
  <c r="CP70" i="11"/>
  <c r="BP87" i="10"/>
  <c r="DJ70" i="11"/>
  <c r="DA70" i="11"/>
  <c r="CT70" i="11"/>
  <c r="DI70" i="11"/>
  <c r="CZ70" i="11"/>
  <c r="CV70" i="11"/>
  <c r="DG70" i="11"/>
  <c r="DB70" i="11"/>
  <c r="CS70" i="11"/>
  <c r="DL70" i="11"/>
  <c r="DE70" i="11"/>
  <c r="CX70" i="11"/>
  <c r="CU70" i="11"/>
  <c r="DF70" i="11"/>
  <c r="CY70" i="11"/>
  <c r="CR70" i="11"/>
  <c r="DK70" i="11"/>
  <c r="DD70" i="11"/>
  <c r="CW70" i="11"/>
  <c r="CQ70" i="11"/>
  <c r="DF71" i="11"/>
  <c r="CY71" i="11"/>
  <c r="CT71" i="11"/>
  <c r="BQ87" i="10"/>
  <c r="DH71" i="11"/>
  <c r="DC71" i="11"/>
  <c r="CS71" i="11"/>
  <c r="DK71" i="11"/>
  <c r="DD71" i="11"/>
  <c r="CW71" i="11"/>
  <c r="CQ71" i="11"/>
  <c r="DG71" i="11"/>
  <c r="DB71" i="11"/>
  <c r="CP71" i="11"/>
  <c r="DL71" i="11"/>
  <c r="DE71" i="11"/>
  <c r="CX71" i="11"/>
  <c r="CR71" i="11"/>
  <c r="DJ71" i="11"/>
  <c r="DA71" i="11"/>
  <c r="CV71" i="11"/>
  <c r="DI71" i="11"/>
  <c r="CZ71" i="11"/>
  <c r="CU71" i="11"/>
  <c r="DL72" i="11"/>
  <c r="DE72" i="11"/>
  <c r="CX72" i="11"/>
  <c r="CQ72" i="11"/>
  <c r="BR87" i="10"/>
  <c r="DH72" i="11"/>
  <c r="DC72" i="11"/>
  <c r="CP72" i="11"/>
  <c r="DF72" i="11"/>
  <c r="CY72" i="11"/>
  <c r="CT72" i="11"/>
  <c r="DI72" i="11"/>
  <c r="CZ72" i="11"/>
  <c r="CS72" i="11"/>
  <c r="DJ72" i="11"/>
  <c r="DA72" i="11"/>
  <c r="CV72" i="11"/>
  <c r="DG72" i="11"/>
  <c r="DB72" i="11"/>
  <c r="CU72" i="11"/>
  <c r="DK72" i="11"/>
  <c r="DD72" i="11"/>
  <c r="CW72" i="11"/>
  <c r="CR72" i="11"/>
  <c r="DL73" i="11"/>
  <c r="DH73" i="11"/>
  <c r="CZ73" i="11"/>
  <c r="CP73" i="11"/>
  <c r="BT87" i="10"/>
  <c r="BS87" i="10"/>
  <c r="DG73" i="11"/>
  <c r="DB73" i="11"/>
  <c r="CW73" i="11"/>
  <c r="CR73" i="11"/>
  <c r="DI73" i="11"/>
  <c r="DD73" i="11"/>
  <c r="CX73" i="11"/>
  <c r="CS73" i="11"/>
  <c r="DF73" i="11"/>
  <c r="DC73" i="11"/>
  <c r="CV73" i="11"/>
  <c r="CQ73" i="11"/>
  <c r="DK73" i="11"/>
  <c r="DE73" i="11"/>
  <c r="CY73" i="11"/>
  <c r="CT73" i="11"/>
  <c r="DJ73" i="11"/>
  <c r="DA73" i="11"/>
  <c r="CU73" i="11"/>
  <c r="DL56" i="11"/>
  <c r="DE56" i="11"/>
  <c r="CX56" i="11"/>
  <c r="CQ56" i="11"/>
  <c r="BB87" i="10"/>
  <c r="DK56" i="11"/>
  <c r="DD56" i="11"/>
  <c r="CW56" i="11"/>
  <c r="CS56" i="11"/>
  <c r="DF56" i="11"/>
  <c r="CY56" i="11"/>
  <c r="CR56" i="11"/>
  <c r="DI56" i="11"/>
  <c r="DA56" i="11"/>
  <c r="CV56" i="11"/>
  <c r="DJ56" i="11"/>
  <c r="CZ56" i="11"/>
  <c r="CT56" i="11"/>
  <c r="DG56" i="11"/>
  <c r="DB56" i="11"/>
  <c r="CU56" i="11"/>
  <c r="DH56" i="11"/>
  <c r="DC56" i="11"/>
  <c r="CP56" i="11"/>
  <c r="DK13" i="11"/>
  <c r="DD13" i="11"/>
  <c r="CW13" i="11"/>
  <c r="CS13" i="11"/>
  <c r="K87" i="10"/>
  <c r="H27" i="12" s="1" a="1"/>
  <c r="C27" i="12" s="1"/>
  <c r="D27" i="12" s="1"/>
  <c r="F27" i="12" s="1"/>
  <c r="DJ13" i="11"/>
  <c r="DA13" i="11"/>
  <c r="CV13" i="11"/>
  <c r="DF13" i="11"/>
  <c r="CY13" i="11"/>
  <c r="CT13" i="11"/>
  <c r="DI13" i="11"/>
  <c r="DC13" i="11"/>
  <c r="CP13" i="11"/>
  <c r="DH13" i="11"/>
  <c r="CZ13" i="11"/>
  <c r="CQ13" i="11"/>
  <c r="DG13" i="11"/>
  <c r="DB13" i="11"/>
  <c r="CR13" i="11"/>
  <c r="DL13" i="11"/>
  <c r="DE13" i="11"/>
  <c r="CX13" i="11"/>
  <c r="CU13" i="11"/>
  <c r="DG14" i="11"/>
  <c r="CY14" i="11"/>
  <c r="CT14" i="11"/>
  <c r="L87" i="10"/>
  <c r="DK14" i="11"/>
  <c r="DD14" i="11"/>
  <c r="CX14" i="11"/>
  <c r="CS14" i="11"/>
  <c r="DL14" i="11"/>
  <c r="DF14" i="11"/>
  <c r="DB14" i="11"/>
  <c r="CV14" i="11"/>
  <c r="DI14" i="11"/>
  <c r="CZ14" i="11"/>
  <c r="CU14" i="11"/>
  <c r="DE14" i="11"/>
  <c r="CW14" i="11"/>
  <c r="CQ14" i="11"/>
  <c r="DJ14" i="11"/>
  <c r="DA14" i="11"/>
  <c r="CR14" i="11"/>
  <c r="DH14" i="11"/>
  <c r="DC14" i="11"/>
  <c r="CP14" i="11"/>
  <c r="DJ15" i="11"/>
  <c r="DA15" i="11"/>
  <c r="CT15" i="11"/>
  <c r="M87" i="10"/>
  <c r="DF15" i="11"/>
  <c r="CY15" i="11"/>
  <c r="CQ15" i="11"/>
  <c r="DH15" i="11"/>
  <c r="DC15" i="11"/>
  <c r="CP15" i="11"/>
  <c r="DI15" i="11"/>
  <c r="CZ15" i="11"/>
  <c r="CU15" i="11"/>
  <c r="DL15" i="11"/>
  <c r="DE15" i="11"/>
  <c r="CW15" i="11"/>
  <c r="CS15" i="11"/>
  <c r="DK15" i="11"/>
  <c r="DD15" i="11"/>
  <c r="DB15" i="11"/>
  <c r="CV15" i="11"/>
  <c r="DG15" i="11"/>
  <c r="CX15" i="11"/>
  <c r="CR15" i="11"/>
  <c r="DE16" i="11"/>
  <c r="CW16" i="11"/>
  <c r="CQ16" i="11"/>
  <c r="N87" i="10"/>
  <c r="DG16" i="11"/>
  <c r="CY16" i="11"/>
  <c r="CS16" i="11"/>
  <c r="DJ16" i="11"/>
  <c r="CZ16" i="11"/>
  <c r="CU16" i="11"/>
  <c r="DL16" i="11"/>
  <c r="DF16" i="11"/>
  <c r="CX16" i="11"/>
  <c r="CV16" i="11"/>
  <c r="DI16" i="11"/>
  <c r="DA16" i="11"/>
  <c r="CT16" i="11"/>
  <c r="DK16" i="11"/>
  <c r="DD16" i="11"/>
  <c r="DB16" i="11"/>
  <c r="CR16" i="11"/>
  <c r="DH16" i="11"/>
  <c r="DC16" i="11"/>
  <c r="CP16" i="11"/>
  <c r="DL48" i="11"/>
  <c r="DE48" i="11"/>
  <c r="CX48" i="11"/>
  <c r="CV48" i="11"/>
  <c r="AT87" i="10"/>
  <c r="DG48" i="11"/>
  <c r="CY48" i="11"/>
  <c r="CS48" i="11"/>
  <c r="DJ48" i="11"/>
  <c r="DD48" i="11"/>
  <c r="CW48" i="11"/>
  <c r="CQ48" i="11"/>
  <c r="DI48" i="11"/>
  <c r="CZ48" i="11"/>
  <c r="CR48" i="11"/>
  <c r="DH48" i="11"/>
  <c r="DC48" i="11"/>
  <c r="CP48" i="11"/>
  <c r="DF48" i="11"/>
  <c r="DB48" i="11"/>
  <c r="CT48" i="11"/>
  <c r="DK48" i="11"/>
  <c r="DA48" i="11"/>
  <c r="CU48" i="11"/>
  <c r="DL49" i="11"/>
  <c r="DE49" i="11"/>
  <c r="DB49" i="11"/>
  <c r="CV49" i="11"/>
  <c r="AU87" i="10"/>
  <c r="DF49" i="11"/>
  <c r="CY49" i="11"/>
  <c r="CS49" i="11"/>
  <c r="DG49" i="11"/>
  <c r="CX49" i="11"/>
  <c r="CR49" i="11"/>
  <c r="DJ49" i="11"/>
  <c r="DA49" i="11"/>
  <c r="CT49" i="11"/>
  <c r="DI49" i="11"/>
  <c r="CZ49" i="11"/>
  <c r="CU49" i="11"/>
  <c r="DK49" i="11"/>
  <c r="DD49" i="11"/>
  <c r="CP49" i="11"/>
  <c r="DH49" i="11"/>
  <c r="DC49" i="11"/>
  <c r="CW49" i="11"/>
  <c r="CQ49" i="11"/>
  <c r="DK50" i="11"/>
  <c r="DA50" i="11"/>
  <c r="CT50" i="11"/>
  <c r="AV87" i="10"/>
  <c r="DH50" i="11"/>
  <c r="DC50" i="11"/>
  <c r="CP50" i="11"/>
  <c r="DJ50" i="11"/>
  <c r="DD50" i="11"/>
  <c r="CW50" i="11"/>
  <c r="CR50" i="11"/>
  <c r="DL50" i="11"/>
  <c r="DE50" i="11"/>
  <c r="CY50" i="11"/>
  <c r="CQ50" i="11"/>
  <c r="DI50" i="11"/>
  <c r="CZ50" i="11"/>
  <c r="CV50" i="11"/>
  <c r="DG50" i="11"/>
  <c r="DB50" i="11"/>
  <c r="CU50" i="11"/>
  <c r="DF50" i="11"/>
  <c r="CX50" i="11"/>
  <c r="CS50" i="11"/>
  <c r="DK46" i="11"/>
  <c r="DA46" i="11"/>
  <c r="CT46" i="11"/>
  <c r="AR87" i="10"/>
  <c r="DJ46" i="11"/>
  <c r="CZ46" i="11"/>
  <c r="CU46" i="11"/>
  <c r="DI46" i="11"/>
  <c r="DD46" i="11"/>
  <c r="CW46" i="11"/>
  <c r="CS46" i="11"/>
  <c r="DG46" i="11"/>
  <c r="DC46" i="11"/>
  <c r="CV46" i="11"/>
  <c r="CQ46" i="11"/>
  <c r="DL46" i="11"/>
  <c r="DE46" i="11"/>
  <c r="CX46" i="11"/>
  <c r="CR46" i="11"/>
  <c r="DH46" i="11"/>
  <c r="CY46" i="11"/>
  <c r="DF46" i="11"/>
  <c r="DB46" i="11"/>
  <c r="CP46" i="11"/>
  <c r="DI17" i="11"/>
  <c r="CZ17" i="11"/>
  <c r="CV17" i="11"/>
  <c r="O87" i="10"/>
  <c r="DJ17" i="11"/>
  <c r="DA17" i="11"/>
  <c r="CU17" i="11"/>
  <c r="DE17" i="11"/>
  <c r="CY17" i="11"/>
  <c r="CT17" i="11"/>
  <c r="DH17" i="11"/>
  <c r="DC17" i="11"/>
  <c r="CP17" i="11"/>
  <c r="DF17" i="11"/>
  <c r="CX17" i="11"/>
  <c r="CS17" i="11"/>
  <c r="DK17" i="11"/>
  <c r="DD17" i="11"/>
  <c r="DB17" i="11"/>
  <c r="CQ17" i="11"/>
  <c r="DL17" i="11"/>
  <c r="DG17" i="11"/>
  <c r="CW17" i="11"/>
  <c r="CR17" i="11"/>
  <c r="DH18" i="11"/>
  <c r="DC18" i="11"/>
  <c r="CW18" i="11"/>
  <c r="CR18" i="11"/>
  <c r="P87" i="10"/>
  <c r="DK18" i="11"/>
  <c r="DA18" i="11"/>
  <c r="CT18" i="11"/>
  <c r="DL18" i="11"/>
  <c r="DE18" i="11"/>
  <c r="CX18" i="11"/>
  <c r="CQ18" i="11"/>
  <c r="DF18" i="11"/>
  <c r="CY18" i="11"/>
  <c r="CS18" i="11"/>
  <c r="DJ18" i="11"/>
  <c r="DD18" i="11"/>
  <c r="CP18" i="11"/>
  <c r="DG18" i="11"/>
  <c r="DB18" i="11"/>
  <c r="CV18" i="11"/>
  <c r="DI18" i="11"/>
  <c r="CZ18" i="11"/>
  <c r="CU18" i="11"/>
  <c r="DG19" i="11"/>
  <c r="DC19" i="11"/>
  <c r="CW19" i="11"/>
  <c r="CS19" i="11"/>
  <c r="Q87" i="10"/>
  <c r="DL19" i="11"/>
  <c r="DE19" i="11"/>
  <c r="CY19" i="11"/>
  <c r="CT19" i="11"/>
  <c r="DI19" i="11"/>
  <c r="CZ19" i="11"/>
  <c r="CU19" i="11"/>
  <c r="DK19" i="11"/>
  <c r="DA19" i="11"/>
  <c r="CV19" i="11"/>
  <c r="CR19" i="11"/>
  <c r="DH19" i="11"/>
  <c r="DB19" i="11"/>
  <c r="DJ19" i="11"/>
  <c r="DD19" i="11"/>
  <c r="CX19" i="11"/>
  <c r="CQ19" i="11"/>
  <c r="DF19" i="11"/>
  <c r="CP19" i="11"/>
  <c r="DF51" i="11"/>
  <c r="CX51" i="11"/>
  <c r="CR51" i="11"/>
  <c r="AW87" i="10"/>
  <c r="DK51" i="11"/>
  <c r="DA51" i="11"/>
  <c r="CT51" i="11"/>
  <c r="DJ51" i="11"/>
  <c r="DD51" i="11"/>
  <c r="CW51" i="11"/>
  <c r="CS51" i="11"/>
  <c r="DH51" i="11"/>
  <c r="DC51" i="11"/>
  <c r="CP51" i="11"/>
  <c r="DI51" i="11"/>
  <c r="CZ51" i="11"/>
  <c r="CV51" i="11"/>
  <c r="DG51" i="11"/>
  <c r="DB51" i="11"/>
  <c r="CU51" i="11"/>
  <c r="DL51" i="11"/>
  <c r="DE51" i="11"/>
  <c r="CY51" i="11"/>
  <c r="CQ51" i="11"/>
  <c r="DI52" i="11"/>
  <c r="CZ52" i="11"/>
  <c r="CV52" i="11"/>
  <c r="AX87" i="10"/>
  <c r="DF52" i="11"/>
  <c r="CX52" i="11"/>
  <c r="CQ52" i="11"/>
  <c r="DK52" i="11"/>
  <c r="DA52" i="11"/>
  <c r="CU52" i="11"/>
  <c r="DL52" i="11"/>
  <c r="DE52" i="11"/>
  <c r="CY52" i="11"/>
  <c r="CS52" i="11"/>
  <c r="DJ52" i="11"/>
  <c r="DD52" i="11"/>
  <c r="CP52" i="11"/>
  <c r="DG52" i="11"/>
  <c r="DB52" i="11"/>
  <c r="CT52" i="11"/>
  <c r="DH52" i="11"/>
  <c r="DC52" i="11"/>
  <c r="CW52" i="11"/>
  <c r="CR52" i="11"/>
  <c r="DI53" i="11"/>
  <c r="DA53" i="11"/>
  <c r="CV53" i="11"/>
  <c r="AY87" i="10"/>
  <c r="DF53" i="11"/>
  <c r="CY53" i="11"/>
  <c r="CU53" i="11"/>
  <c r="DL53" i="11"/>
  <c r="DE53" i="11"/>
  <c r="CX53" i="11"/>
  <c r="CQ53" i="11"/>
  <c r="DK53" i="11"/>
  <c r="DD53" i="11"/>
  <c r="CW53" i="11"/>
  <c r="CR53" i="11"/>
  <c r="DJ53" i="11"/>
  <c r="CZ53" i="11"/>
  <c r="CT53" i="11"/>
  <c r="DG53" i="11"/>
  <c r="DB53" i="11"/>
  <c r="CS53" i="11"/>
  <c r="DH53" i="11"/>
  <c r="DC53" i="11"/>
  <c r="CP53" i="11"/>
  <c r="DH20" i="11"/>
  <c r="DC20" i="11"/>
  <c r="CW20" i="11"/>
  <c r="CQ20" i="11"/>
  <c r="R87" i="10"/>
  <c r="DF20" i="11"/>
  <c r="CY20" i="11"/>
  <c r="CR20" i="11"/>
  <c r="DL20" i="11"/>
  <c r="DE20" i="11"/>
  <c r="CX20" i="11"/>
  <c r="CS20" i="11"/>
  <c r="DJ20" i="11"/>
  <c r="CZ20" i="11"/>
  <c r="CT20" i="11"/>
  <c r="DK20" i="11"/>
  <c r="DA20" i="11"/>
  <c r="CU20" i="11"/>
  <c r="DG20" i="11"/>
  <c r="DB20" i="11"/>
  <c r="CV20" i="11"/>
  <c r="DI20" i="11"/>
  <c r="DD20" i="11"/>
  <c r="CP20" i="11"/>
  <c r="S87" i="10"/>
  <c r="DK25" i="11"/>
  <c r="DA25" i="11"/>
  <c r="CV25" i="11"/>
  <c r="W87" i="10"/>
  <c r="DE25" i="11"/>
  <c r="CY25" i="11"/>
  <c r="CR25" i="11"/>
  <c r="DL25" i="11"/>
  <c r="DF25" i="11"/>
  <c r="CX25" i="11"/>
  <c r="CQ25" i="11"/>
  <c r="DI25" i="11"/>
  <c r="DD25" i="11"/>
  <c r="CP25" i="11"/>
  <c r="DJ25" i="11"/>
  <c r="CZ25" i="11"/>
  <c r="CT25" i="11"/>
  <c r="DG25" i="11"/>
  <c r="DB25" i="11"/>
  <c r="CU25" i="11"/>
  <c r="DH25" i="11"/>
  <c r="DC25" i="11"/>
  <c r="CW25" i="11"/>
  <c r="CS25" i="11"/>
  <c r="DI26" i="11"/>
  <c r="DD26" i="11"/>
  <c r="CW26" i="11"/>
  <c r="CQ26" i="11"/>
  <c r="X87" i="10"/>
  <c r="DL26" i="11"/>
  <c r="DE26" i="11"/>
  <c r="CX26" i="11"/>
  <c r="CR26" i="11"/>
  <c r="DK26" i="11"/>
  <c r="DA26" i="11"/>
  <c r="CT26" i="11"/>
  <c r="DJ26" i="11"/>
  <c r="CZ26" i="11"/>
  <c r="CU26" i="11"/>
  <c r="DF26" i="11"/>
  <c r="DB26" i="11"/>
  <c r="CV26" i="11"/>
  <c r="DG26" i="11"/>
  <c r="CY26" i="11"/>
  <c r="CS26" i="11"/>
  <c r="DH26" i="11"/>
  <c r="DC26" i="11"/>
  <c r="CP26" i="11"/>
  <c r="DE27" i="11"/>
  <c r="CX27" i="11"/>
  <c r="CP27" i="11"/>
  <c r="Y87" i="10"/>
  <c r="DI27" i="11"/>
  <c r="DC27" i="11"/>
  <c r="DK27" i="11"/>
  <c r="DD27" i="11"/>
  <c r="DJ27" i="11"/>
  <c r="DB27" i="11"/>
  <c r="DH27" i="11"/>
  <c r="DA27" i="11"/>
  <c r="CW27" i="11"/>
  <c r="CT27" i="11"/>
  <c r="CS27" i="11"/>
  <c r="DG27" i="11"/>
  <c r="CZ27" i="11"/>
  <c r="CV27" i="11"/>
  <c r="CR27" i="11"/>
  <c r="DL27" i="11"/>
  <c r="DF27" i="11"/>
  <c r="CY27" i="11"/>
  <c r="CU27" i="11"/>
  <c r="CQ27" i="11"/>
  <c r="DL28" i="11"/>
  <c r="DE28" i="11"/>
  <c r="DB28" i="11"/>
  <c r="CU28" i="11"/>
  <c r="CR28" i="11"/>
  <c r="Z87" i="10"/>
  <c r="DI28" i="11"/>
  <c r="DD28" i="11"/>
  <c r="CW28" i="11"/>
  <c r="DJ28" i="11"/>
  <c r="CZ28" i="11"/>
  <c r="CP28" i="11"/>
  <c r="DK28" i="11"/>
  <c r="DA28" i="11"/>
  <c r="CT28" i="11"/>
  <c r="CS28" i="11"/>
  <c r="DF28" i="11"/>
  <c r="CX28" i="11"/>
  <c r="DH28" i="11"/>
  <c r="DC28" i="11"/>
  <c r="CV28" i="11"/>
  <c r="CQ28" i="11"/>
  <c r="DG28" i="11"/>
  <c r="CY28" i="11"/>
  <c r="DF29" i="11"/>
  <c r="CY29" i="11"/>
  <c r="AA87" i="10"/>
  <c r="DH29" i="11"/>
  <c r="DB29" i="11"/>
  <c r="CU29" i="11"/>
  <c r="CQ29" i="11"/>
  <c r="DK29" i="11"/>
  <c r="DA29" i="11"/>
  <c r="CT29" i="11"/>
  <c r="CS29" i="11"/>
  <c r="DG29" i="11"/>
  <c r="DC29" i="11"/>
  <c r="CV29" i="11"/>
  <c r="DI29" i="11"/>
  <c r="DD29" i="11"/>
  <c r="CW29" i="11"/>
  <c r="DL29" i="11"/>
  <c r="DE29" i="11"/>
  <c r="CX29" i="11"/>
  <c r="CR29" i="11"/>
  <c r="DJ29" i="11"/>
  <c r="CZ29" i="11"/>
  <c r="CP29" i="11"/>
  <c r="DH30" i="11"/>
  <c r="DC30" i="11"/>
  <c r="CX30" i="11"/>
  <c r="CP30" i="11"/>
  <c r="AB87" i="10"/>
  <c r="DF30" i="11"/>
  <c r="DB30" i="11"/>
  <c r="CV30" i="11"/>
  <c r="DI30" i="11"/>
  <c r="CZ30" i="11"/>
  <c r="CT30" i="11"/>
  <c r="CR30" i="11"/>
  <c r="DG30" i="11"/>
  <c r="DJ30" i="11"/>
  <c r="DD30" i="11"/>
  <c r="CY30" i="11"/>
  <c r="CS30" i="11"/>
  <c r="CQ30" i="11"/>
  <c r="DL30" i="11"/>
  <c r="DE30" i="11"/>
  <c r="CW30" i="11"/>
  <c r="DK30" i="11"/>
  <c r="DA30" i="11"/>
  <c r="CU30" i="11"/>
  <c r="DK31" i="11"/>
  <c r="CZ31" i="11"/>
  <c r="CU31" i="11"/>
  <c r="AC87" i="10"/>
  <c r="DF31" i="11"/>
  <c r="DB31" i="11"/>
  <c r="CV31" i="11"/>
  <c r="DL31" i="11"/>
  <c r="DE31" i="11"/>
  <c r="CX31" i="11"/>
  <c r="CR31" i="11"/>
  <c r="DG31" i="11"/>
  <c r="CY31" i="11"/>
  <c r="CS31" i="11"/>
  <c r="DI31" i="11"/>
  <c r="DD31" i="11"/>
  <c r="CP31" i="11"/>
  <c r="DH31" i="11"/>
  <c r="DC31" i="11"/>
  <c r="CW31" i="11"/>
  <c r="CQ31" i="11"/>
  <c r="DJ31" i="11"/>
  <c r="DA31" i="11"/>
  <c r="CT31" i="11"/>
  <c r="DJ32" i="11"/>
  <c r="CZ32" i="11"/>
  <c r="CU32" i="11"/>
  <c r="AD87" i="10"/>
  <c r="DE32" i="11"/>
  <c r="CX32" i="11"/>
  <c r="CR32" i="11"/>
  <c r="DK32" i="11"/>
  <c r="DA32" i="11"/>
  <c r="CT32" i="11"/>
  <c r="DI32" i="11"/>
  <c r="DD32" i="11"/>
  <c r="CW32" i="11"/>
  <c r="CS32" i="11"/>
  <c r="DL32" i="11"/>
  <c r="DF32" i="11"/>
  <c r="DB32" i="11"/>
  <c r="CV32" i="11"/>
  <c r="DG32" i="11"/>
  <c r="CY32" i="11"/>
  <c r="CQ32" i="11"/>
  <c r="DH32" i="11"/>
  <c r="DC32" i="11"/>
  <c r="CP32" i="11"/>
  <c r="DK33" i="11"/>
  <c r="CZ33" i="11"/>
  <c r="CT33" i="11"/>
  <c r="CR33" i="11"/>
  <c r="AE87" i="10"/>
  <c r="DL33" i="11"/>
  <c r="DE33" i="11"/>
  <c r="CX33" i="11"/>
  <c r="DI33" i="11"/>
  <c r="DD33" i="11"/>
  <c r="CV33" i="11"/>
  <c r="DF33" i="11"/>
  <c r="CY33" i="11"/>
  <c r="CS33" i="11"/>
  <c r="CQ33" i="11"/>
  <c r="DG33" i="11"/>
  <c r="DC33" i="11"/>
  <c r="CW33" i="11"/>
  <c r="DH33" i="11"/>
  <c r="DB33" i="11"/>
  <c r="CP33" i="11"/>
  <c r="DJ33" i="11"/>
  <c r="DA33" i="11"/>
  <c r="CU33" i="11"/>
  <c r="DJ34" i="11"/>
  <c r="DA34" i="11"/>
  <c r="CV34" i="11"/>
  <c r="AF87" i="10"/>
  <c r="DH34" i="11"/>
  <c r="DC34" i="11"/>
  <c r="CP34" i="11"/>
  <c r="DG34" i="11"/>
  <c r="CY34" i="11"/>
  <c r="CT34" i="11"/>
  <c r="DI34" i="11"/>
  <c r="DD34" i="11"/>
  <c r="CW34" i="11"/>
  <c r="CQ34" i="11"/>
  <c r="DF34" i="11"/>
  <c r="CX34" i="11"/>
  <c r="CR34" i="11"/>
  <c r="DL34" i="11"/>
  <c r="DE34" i="11"/>
  <c r="DB34" i="11"/>
  <c r="CS34" i="11"/>
  <c r="DK34" i="11"/>
  <c r="CZ34" i="11"/>
  <c r="CU34" i="11"/>
  <c r="DJ35" i="11"/>
  <c r="DD35" i="11"/>
  <c r="CW35" i="11"/>
  <c r="CS35" i="11"/>
  <c r="AG87" i="10"/>
  <c r="DG35" i="11"/>
  <c r="CY35" i="11"/>
  <c r="CR35" i="11"/>
  <c r="DF35" i="11"/>
  <c r="CX35" i="11"/>
  <c r="CQ35" i="11"/>
  <c r="DH35" i="11"/>
  <c r="DC35" i="11"/>
  <c r="CP35" i="11"/>
  <c r="DK35" i="11"/>
  <c r="DA35" i="11"/>
  <c r="CT35" i="11"/>
  <c r="DL35" i="11"/>
  <c r="DE35" i="11"/>
  <c r="DB35" i="11"/>
  <c r="CV35" i="11"/>
  <c r="DI35" i="11"/>
  <c r="CZ35" i="11"/>
  <c r="CU35" i="11"/>
  <c r="DL54" i="11"/>
  <c r="DE54" i="11"/>
  <c r="CX54" i="11"/>
  <c r="CR54" i="11"/>
  <c r="AZ87" i="10"/>
  <c r="DJ54" i="11"/>
  <c r="DA54" i="11"/>
  <c r="CT54" i="11"/>
  <c r="DI54" i="11"/>
  <c r="CZ54" i="11"/>
  <c r="CU54" i="11"/>
  <c r="DH54" i="11"/>
  <c r="DC54" i="11"/>
  <c r="CP54" i="11"/>
  <c r="DF54" i="11"/>
  <c r="CY54" i="11"/>
  <c r="CQ54" i="11"/>
  <c r="DG54" i="11"/>
  <c r="DB54" i="11"/>
  <c r="CV54" i="11"/>
  <c r="DK54" i="11"/>
  <c r="DD54" i="11"/>
  <c r="CW54" i="11"/>
  <c r="CS54" i="11"/>
  <c r="DH36" i="11"/>
  <c r="DC36" i="11"/>
  <c r="CP36" i="11"/>
  <c r="AH87" i="10"/>
  <c r="DG36" i="11"/>
  <c r="CY36" i="11"/>
  <c r="CQ36" i="11"/>
  <c r="DJ36" i="11"/>
  <c r="DA36" i="11"/>
  <c r="CT36" i="11"/>
  <c r="DK36" i="11"/>
  <c r="CZ36" i="11"/>
  <c r="CU36" i="11"/>
  <c r="DL36" i="11"/>
  <c r="DE36" i="11"/>
  <c r="CX36" i="11"/>
  <c r="CR36" i="11"/>
  <c r="DF36" i="11"/>
  <c r="DB36" i="11"/>
  <c r="CV36" i="11"/>
  <c r="DI36" i="11"/>
  <c r="DD36" i="11"/>
  <c r="CW36" i="11"/>
  <c r="CS36" i="11"/>
  <c r="DI37" i="11"/>
  <c r="DD37" i="11"/>
  <c r="CP37" i="11"/>
  <c r="AI87" i="10"/>
  <c r="DH37" i="11"/>
  <c r="DC37" i="11"/>
  <c r="CW37" i="11"/>
  <c r="CS37" i="11"/>
  <c r="DJ37" i="11"/>
  <c r="CZ37" i="11"/>
  <c r="CT37" i="11"/>
  <c r="DG37" i="11"/>
  <c r="DB37" i="11"/>
  <c r="CV37" i="11"/>
  <c r="DF37" i="11"/>
  <c r="CX37" i="11"/>
  <c r="CQ37" i="11"/>
  <c r="DK37" i="11"/>
  <c r="DA37" i="11"/>
  <c r="CU37" i="11"/>
  <c r="DL37" i="11"/>
  <c r="DE37" i="11"/>
  <c r="CY37" i="11"/>
  <c r="CR37" i="11"/>
  <c r="DK55" i="11"/>
  <c r="DD55" i="11"/>
  <c r="CW55" i="11"/>
  <c r="CV55" i="11"/>
  <c r="BA87" i="10"/>
  <c r="DI55" i="11"/>
  <c r="CZ55" i="11"/>
  <c r="CU55" i="11"/>
  <c r="DJ55" i="11"/>
  <c r="DA55" i="11"/>
  <c r="CT55" i="11"/>
  <c r="DF55" i="11"/>
  <c r="CY55" i="11"/>
  <c r="CQ55" i="11"/>
  <c r="DH55" i="11"/>
  <c r="DC55" i="11"/>
  <c r="CP55" i="11"/>
  <c r="DG55" i="11"/>
  <c r="DB55" i="11"/>
  <c r="CR55" i="11"/>
  <c r="DL55" i="11"/>
  <c r="DE55" i="11"/>
  <c r="CX55" i="11"/>
  <c r="CS55" i="11"/>
  <c r="DK58" i="11"/>
  <c r="DE58" i="11"/>
  <c r="CX58" i="11"/>
  <c r="CS58" i="11"/>
  <c r="BD87" i="10"/>
  <c r="DH58" i="11"/>
  <c r="CZ58" i="11"/>
  <c r="CV58" i="11"/>
  <c r="DL58" i="11"/>
  <c r="DF58" i="11"/>
  <c r="DB58" i="11"/>
  <c r="CP58" i="11"/>
  <c r="DG58" i="11"/>
  <c r="DC58" i="11"/>
  <c r="CW58" i="11"/>
  <c r="CQ58" i="11"/>
  <c r="CR58" i="11"/>
  <c r="DJ58" i="11"/>
  <c r="DA58" i="11"/>
  <c r="CU58" i="11"/>
  <c r="DI58" i="11"/>
  <c r="DD58" i="11"/>
  <c r="CY58" i="11"/>
  <c r="CT58" i="11"/>
  <c r="DK59" i="11"/>
  <c r="DD59" i="11"/>
  <c r="CW59" i="11"/>
  <c r="CV59" i="11"/>
  <c r="BE87" i="10"/>
  <c r="DL59" i="11"/>
  <c r="DE59" i="11"/>
  <c r="CX59" i="11"/>
  <c r="CR59" i="11"/>
  <c r="DI59" i="11"/>
  <c r="CZ59" i="11"/>
  <c r="CT59" i="11"/>
  <c r="DH59" i="11"/>
  <c r="DC59" i="11"/>
  <c r="CP59" i="11"/>
  <c r="DG59" i="11"/>
  <c r="CY59" i="11"/>
  <c r="CS59" i="11"/>
  <c r="DF59" i="11"/>
  <c r="DB59" i="11"/>
  <c r="CQ59" i="11"/>
  <c r="DJ59" i="11"/>
  <c r="DA59" i="11"/>
  <c r="CU59" i="11"/>
  <c r="DJ38" i="11"/>
  <c r="DA38" i="11"/>
  <c r="CU38" i="11"/>
  <c r="AJ87" i="10"/>
  <c r="DE38" i="11"/>
  <c r="CY38" i="11"/>
  <c r="CR38" i="11"/>
  <c r="DH38" i="11"/>
  <c r="DC38" i="11"/>
  <c r="CP38" i="11"/>
  <c r="DL38" i="11"/>
  <c r="DF38" i="11"/>
  <c r="CX38" i="11"/>
  <c r="CS38" i="11"/>
  <c r="DI38" i="11"/>
  <c r="DD38" i="11"/>
  <c r="CW38" i="11"/>
  <c r="CQ38" i="11"/>
  <c r="DG38" i="11"/>
  <c r="DB38" i="11"/>
  <c r="CV38" i="11"/>
  <c r="DK38" i="11"/>
  <c r="CZ38" i="11"/>
  <c r="CT38" i="11"/>
  <c r="DJ39" i="11"/>
  <c r="DA39" i="11"/>
  <c r="CT39" i="11"/>
  <c r="AK87" i="10"/>
  <c r="DL39" i="11"/>
  <c r="DE39" i="11"/>
  <c r="CX39" i="11"/>
  <c r="CQ39" i="11"/>
  <c r="DF39" i="11"/>
  <c r="CY39" i="11"/>
  <c r="CR39" i="11"/>
  <c r="DI39" i="11"/>
  <c r="DD39" i="11"/>
  <c r="CW39" i="11"/>
  <c r="CS39" i="11"/>
  <c r="DH39" i="11"/>
  <c r="DC39" i="11"/>
  <c r="CP39" i="11"/>
  <c r="DG39" i="11"/>
  <c r="DB39" i="11"/>
  <c r="CU39" i="11"/>
  <c r="DK39" i="11"/>
  <c r="CZ39" i="11"/>
  <c r="CV39" i="11"/>
  <c r="DH40" i="11"/>
  <c r="DC40" i="11"/>
  <c r="CP40" i="11"/>
  <c r="AL87" i="10"/>
  <c r="DF40" i="11"/>
  <c r="CX40" i="11"/>
  <c r="CQ40" i="11"/>
  <c r="DJ40" i="11"/>
  <c r="DD40" i="11"/>
  <c r="CW40" i="11"/>
  <c r="CS40" i="11"/>
  <c r="DK40" i="11"/>
  <c r="DA40" i="11"/>
  <c r="CT40" i="11"/>
  <c r="DI40" i="11"/>
  <c r="CZ40" i="11"/>
  <c r="CV40" i="11"/>
  <c r="DG40" i="11"/>
  <c r="CY40" i="11"/>
  <c r="CR40" i="11"/>
  <c r="DL40" i="11"/>
  <c r="DE40" i="11"/>
  <c r="DB40" i="11"/>
  <c r="CU40" i="11"/>
  <c r="DH41" i="11"/>
  <c r="DC41" i="11"/>
  <c r="CW41" i="11"/>
  <c r="CR41" i="11"/>
  <c r="AM87" i="10"/>
  <c r="DK41" i="11"/>
  <c r="DA41" i="11"/>
  <c r="CU41" i="11"/>
  <c r="DJ41" i="11"/>
  <c r="DD41" i="11"/>
  <c r="CP41" i="11"/>
  <c r="DF41" i="11"/>
  <c r="CY41" i="11"/>
  <c r="CQ41" i="11"/>
  <c r="DL41" i="11"/>
  <c r="DE41" i="11"/>
  <c r="CX41" i="11"/>
  <c r="CS41" i="11"/>
  <c r="DG41" i="11"/>
  <c r="DB41" i="11"/>
  <c r="CV41" i="11"/>
  <c r="DI41" i="11"/>
  <c r="CZ41" i="11"/>
  <c r="CT41" i="11"/>
  <c r="DI42" i="11"/>
  <c r="DD42" i="11"/>
  <c r="CW42" i="11"/>
  <c r="CR42" i="11"/>
  <c r="AN87" i="10"/>
  <c r="DK42" i="11"/>
  <c r="CZ42" i="11"/>
  <c r="CU42" i="11"/>
  <c r="DH42" i="11"/>
  <c r="DC42" i="11"/>
  <c r="CP42" i="11"/>
  <c r="DF42" i="11"/>
  <c r="CY42" i="11"/>
  <c r="CS42" i="11"/>
  <c r="DL42" i="11"/>
  <c r="DE42" i="11"/>
  <c r="CX42" i="11"/>
  <c r="CQ42" i="11"/>
  <c r="DG42" i="11"/>
  <c r="DB42" i="11"/>
  <c r="CT42" i="11"/>
  <c r="DJ42" i="11"/>
  <c r="DA42" i="11"/>
  <c r="CV42" i="11"/>
  <c r="DI43" i="11"/>
  <c r="CZ43" i="11"/>
  <c r="CV43" i="11"/>
  <c r="AO87" i="10"/>
  <c r="DL43" i="11"/>
  <c r="DE43" i="11"/>
  <c r="CX43" i="11"/>
  <c r="CQ43" i="11"/>
  <c r="DF43" i="11"/>
  <c r="CY43" i="11"/>
  <c r="CS43" i="11"/>
  <c r="DJ43" i="11"/>
  <c r="DD43" i="11"/>
  <c r="CW43" i="11"/>
  <c r="CR43" i="11"/>
  <c r="DK43" i="11"/>
  <c r="DA43" i="11"/>
  <c r="CU43" i="11"/>
  <c r="DG43" i="11"/>
  <c r="DB43" i="11"/>
  <c r="CT43" i="11"/>
  <c r="DH43" i="11"/>
  <c r="DC43" i="11"/>
  <c r="CP43" i="11"/>
  <c r="DH44" i="11"/>
  <c r="DC44" i="11"/>
  <c r="CP44" i="11"/>
  <c r="AP87" i="10"/>
  <c r="DF44" i="11"/>
  <c r="CY44" i="11"/>
  <c r="CR44" i="11"/>
  <c r="DK44" i="11"/>
  <c r="DA44" i="11"/>
  <c r="CV44" i="11"/>
  <c r="DI44" i="11"/>
  <c r="CZ44" i="11"/>
  <c r="CT44" i="11"/>
  <c r="DL44" i="11"/>
  <c r="DE44" i="11"/>
  <c r="CX44" i="11"/>
  <c r="CS44" i="11"/>
  <c r="DG44" i="11"/>
  <c r="DB44" i="11"/>
  <c r="CU44" i="11"/>
  <c r="DJ44" i="11"/>
  <c r="DD44" i="11"/>
  <c r="CW44" i="11"/>
  <c r="CQ44" i="11"/>
  <c r="DK45" i="11"/>
  <c r="CZ45" i="11"/>
  <c r="CU45" i="11"/>
  <c r="AQ87" i="10"/>
  <c r="DH45" i="11"/>
  <c r="DC45" i="11"/>
  <c r="CP45" i="11"/>
  <c r="DL45" i="11"/>
  <c r="DE45" i="11"/>
  <c r="CX45" i="11"/>
  <c r="CQ45" i="11"/>
  <c r="DI45" i="11"/>
  <c r="DA45" i="11"/>
  <c r="CV45" i="11"/>
  <c r="DJ45" i="11"/>
  <c r="DD45" i="11"/>
  <c r="CW45" i="11"/>
  <c r="CS45" i="11"/>
  <c r="DG45" i="11"/>
  <c r="DB45" i="11"/>
  <c r="CT45" i="11"/>
  <c r="DF45" i="11"/>
  <c r="CY45" i="11"/>
  <c r="CR45" i="11"/>
  <c r="DL47" i="11"/>
  <c r="DE47" i="11"/>
  <c r="CY47" i="11"/>
  <c r="CV47" i="11"/>
  <c r="AS87" i="10"/>
  <c r="DI47" i="11"/>
  <c r="DA47" i="11"/>
  <c r="CT47" i="11"/>
  <c r="DH47" i="11"/>
  <c r="DC47" i="11"/>
  <c r="CP47" i="11"/>
  <c r="DJ47" i="11"/>
  <c r="CZ47" i="11"/>
  <c r="CQ47" i="11"/>
  <c r="DF47" i="11"/>
  <c r="CX47" i="11"/>
  <c r="CR47" i="11"/>
  <c r="DG47" i="11"/>
  <c r="DB47" i="11"/>
  <c r="CU47" i="11"/>
  <c r="DK47" i="11"/>
  <c r="DD47" i="11"/>
  <c r="CW47" i="11"/>
  <c r="CS47" i="11"/>
  <c r="DF57" i="11"/>
  <c r="CX57" i="11"/>
  <c r="CS57" i="11"/>
  <c r="BC87" i="10"/>
  <c r="DK57" i="11"/>
  <c r="DD57" i="11"/>
  <c r="CW57" i="11"/>
  <c r="CQ57" i="11"/>
  <c r="DG57" i="11"/>
  <c r="CY57" i="11"/>
  <c r="CR57" i="11"/>
  <c r="DH57" i="11"/>
  <c r="DC57" i="11"/>
  <c r="CP57" i="11"/>
  <c r="DL57" i="11"/>
  <c r="DE57" i="11"/>
  <c r="DB57" i="11"/>
  <c r="CU57" i="11"/>
  <c r="DJ57" i="11"/>
  <c r="DA57" i="11"/>
  <c r="CV57" i="11"/>
  <c r="DI57" i="11"/>
  <c r="CZ57" i="11"/>
  <c r="CT57" i="11"/>
  <c r="BT89" i="10"/>
  <c r="BS89" i="10"/>
  <c r="H29" i="12" s="1" a="1"/>
  <c r="C29" i="12" s="1"/>
  <c r="D29" i="12" s="1"/>
  <c r="F29" i="12" s="1"/>
  <c r="BT90" i="10"/>
  <c r="BS90" i="10"/>
  <c r="H30" i="12" s="1" a="1"/>
  <c r="C30" i="12" s="1"/>
  <c r="D30" i="12" s="1"/>
  <c r="F30" i="12" s="1"/>
  <c r="BT91" i="10"/>
  <c r="BS91" i="10"/>
  <c r="H31" i="12" s="1" a="1"/>
  <c r="C31" i="12" s="1"/>
  <c r="D31" i="12" s="1"/>
  <c r="F31" i="12" s="1"/>
  <c r="B90" i="5"/>
  <c r="B89" i="5"/>
  <c r="B88" i="5"/>
  <c r="B87" i="5"/>
  <c r="B93" i="5"/>
  <c r="B92" i="5"/>
  <c r="B91" i="5"/>
  <c r="BR5" i="11"/>
  <c r="BQ5" i="11"/>
  <c r="AY5" i="11"/>
  <c r="BR6" i="11"/>
  <c r="BQ6" i="11"/>
  <c r="AY6" i="11"/>
  <c r="BR7" i="11"/>
  <c r="BQ7" i="11"/>
  <c r="AY7" i="11"/>
  <c r="BR8" i="11"/>
  <c r="BQ8" i="11"/>
  <c r="AY8" i="11"/>
  <c r="BE10" i="11"/>
  <c r="BM10" i="11" s="1"/>
  <c r="BR11" i="11"/>
  <c r="BQ11" i="11"/>
  <c r="AY11" i="11"/>
  <c r="BR12" i="11"/>
  <c r="BQ12" i="11"/>
  <c r="AY12" i="11"/>
  <c r="BR13" i="11"/>
  <c r="BQ13" i="11"/>
  <c r="AY13" i="11"/>
  <c r="BR14" i="11"/>
  <c r="BQ14" i="11"/>
  <c r="AY14" i="11"/>
  <c r="BQ15" i="11"/>
  <c r="AY15" i="11"/>
  <c r="BR15" i="11"/>
  <c r="AY16" i="11"/>
  <c r="BQ16" i="11"/>
  <c r="BR16" i="11"/>
  <c r="BF10" i="11"/>
  <c r="BR17" i="11"/>
  <c r="BQ17" i="11"/>
  <c r="AY17" i="11"/>
  <c r="BE11" i="11"/>
  <c r="BM11" i="11" s="1"/>
  <c r="BR18" i="11"/>
  <c r="BQ18" i="11"/>
  <c r="AY18" i="11"/>
  <c r="BQ19" i="11"/>
  <c r="AY19" i="11"/>
  <c r="BR19" i="11"/>
  <c r="BR20" i="11"/>
  <c r="BQ20" i="11"/>
  <c r="AY20" i="11"/>
  <c r="AY21" i="11"/>
  <c r="BR21" i="11"/>
  <c r="BQ21" i="11"/>
  <c r="BR22" i="11"/>
  <c r="BQ22" i="11"/>
  <c r="AY22" i="11"/>
  <c r="BR23" i="11"/>
  <c r="BQ23" i="11"/>
  <c r="AY23" i="11"/>
  <c r="BF11" i="11"/>
  <c r="BR24" i="11"/>
  <c r="BQ24" i="11"/>
  <c r="AY24" i="11"/>
  <c r="BE12" i="11"/>
  <c r="BM12" i="11" s="1"/>
  <c r="BQ25" i="11"/>
  <c r="AY25" i="11"/>
  <c r="BR25" i="11"/>
  <c r="BR26" i="11"/>
  <c r="BQ26" i="11"/>
  <c r="AY26" i="11"/>
  <c r="BR27" i="11"/>
  <c r="AY27" i="11"/>
  <c r="BQ27" i="11"/>
  <c r="BQ28" i="11"/>
  <c r="AY28" i="11"/>
  <c r="BR28" i="11"/>
  <c r="BQ29" i="11"/>
  <c r="AY29" i="11"/>
  <c r="BR29" i="11"/>
  <c r="BR30" i="11"/>
  <c r="BQ30" i="11"/>
  <c r="AY30" i="11"/>
  <c r="BF12" i="11"/>
  <c r="BR31" i="11"/>
  <c r="AY31" i="11"/>
  <c r="BQ31" i="11"/>
  <c r="BR32" i="11"/>
  <c r="BE13" i="11"/>
  <c r="BM13" i="11" s="1"/>
  <c r="BQ32" i="11"/>
  <c r="AY32" i="11"/>
  <c r="AY33" i="11"/>
  <c r="BQ33" i="11"/>
  <c r="BR33" i="11"/>
  <c r="AY34" i="11"/>
  <c r="BR34" i="11"/>
  <c r="BQ34" i="11"/>
  <c r="BR35" i="11"/>
  <c r="AY35" i="11"/>
  <c r="BQ35" i="11"/>
  <c r="BQ36" i="11"/>
  <c r="BR36" i="11"/>
  <c r="AY36" i="11"/>
  <c r="BQ37" i="11"/>
  <c r="BR37" i="11"/>
  <c r="AY37" i="11"/>
  <c r="BQ38" i="11"/>
  <c r="BR38" i="11"/>
  <c r="AY38" i="11"/>
  <c r="BF13" i="11"/>
  <c r="AY39" i="11"/>
  <c r="BQ39" i="11"/>
  <c r="BE14" i="11"/>
  <c r="BM14" i="11" s="1"/>
  <c r="BR39" i="11"/>
  <c r="BQ40" i="11"/>
  <c r="BR40" i="11"/>
  <c r="AY40" i="11"/>
  <c r="BR41" i="11"/>
  <c r="BQ41" i="11"/>
  <c r="AY41" i="11"/>
  <c r="BQ42" i="11"/>
  <c r="BR42" i="11"/>
  <c r="AY42" i="11"/>
  <c r="BR43" i="11"/>
  <c r="BQ43" i="11"/>
  <c r="AY43" i="11"/>
  <c r="BQ44" i="11"/>
  <c r="BR44" i="11"/>
  <c r="AY44" i="11"/>
  <c r="BQ45" i="11"/>
  <c r="AY45" i="11"/>
  <c r="BR45" i="11"/>
  <c r="BF14" i="11"/>
  <c r="AY46" i="11"/>
  <c r="BQ46" i="11"/>
  <c r="BE15" i="11"/>
  <c r="BM15" i="11" s="1"/>
  <c r="BR46" i="11"/>
  <c r="BR47" i="11"/>
  <c r="AY47" i="11"/>
  <c r="BQ47" i="11"/>
  <c r="BQ49" i="11"/>
  <c r="BR49" i="11"/>
  <c r="AY49" i="11"/>
  <c r="BQ50" i="11"/>
  <c r="BR50" i="11"/>
  <c r="AY50" i="11"/>
  <c r="BQ52" i="11"/>
  <c r="BF15" i="11"/>
  <c r="AY52" i="11"/>
  <c r="BR52" i="11"/>
  <c r="BR54" i="11"/>
  <c r="AY54" i="11"/>
  <c r="BQ54" i="11"/>
  <c r="AY55" i="11"/>
  <c r="BR55" i="11"/>
  <c r="BQ55" i="11"/>
  <c r="AY56" i="11"/>
  <c r="BR56" i="11"/>
  <c r="BQ56" i="11"/>
  <c r="BQ57" i="11"/>
  <c r="AY57" i="11"/>
  <c r="BR57" i="11"/>
  <c r="BR58" i="11"/>
  <c r="AY58" i="11"/>
  <c r="BQ58" i="11"/>
  <c r="BR59" i="11"/>
  <c r="BQ59" i="11"/>
  <c r="AY59" i="11"/>
  <c r="BF16" i="11"/>
  <c r="BE17" i="11"/>
  <c r="BM17" i="11" s="1"/>
  <c r="BR60" i="11"/>
  <c r="BQ60" i="11"/>
  <c r="AY60" i="11"/>
  <c r="BR61" i="11"/>
  <c r="BQ61" i="11"/>
  <c r="AY61" i="11"/>
  <c r="BR62" i="11"/>
  <c r="AY62" i="11"/>
  <c r="BQ62" i="11"/>
  <c r="BR63" i="11"/>
  <c r="AY63" i="11"/>
  <c r="BQ63" i="11"/>
  <c r="BR64" i="11"/>
  <c r="BQ64" i="11"/>
  <c r="AY64" i="11"/>
  <c r="BQ65" i="11"/>
  <c r="BR65" i="11"/>
  <c r="AY65" i="11"/>
  <c r="BQ66" i="11"/>
  <c r="BR66" i="11"/>
  <c r="AY66" i="11"/>
  <c r="BF17" i="11"/>
  <c r="BR67" i="11"/>
  <c r="BQ67" i="11"/>
  <c r="AY67" i="11"/>
  <c r="BE18" i="11"/>
  <c r="BM18" i="11" s="1"/>
  <c r="BQ68" i="11"/>
  <c r="BR68" i="11"/>
  <c r="AY68" i="11"/>
  <c r="BR69" i="11"/>
  <c r="AY69" i="11"/>
  <c r="BQ69" i="11"/>
  <c r="BR70" i="11"/>
  <c r="BQ70" i="11"/>
  <c r="AY70" i="11"/>
  <c r="BQ71" i="11"/>
  <c r="BR71" i="11"/>
  <c r="AY71" i="11"/>
  <c r="BQ72" i="11"/>
  <c r="AY72" i="11"/>
  <c r="BR72" i="11"/>
  <c r="BF18" i="11"/>
  <c r="BR73" i="11"/>
  <c r="AY73" i="11"/>
  <c r="BQ73" i="11"/>
  <c r="AY74" i="11"/>
  <c r="BR74" i="11"/>
  <c r="BE19" i="11"/>
  <c r="BM19" i="11" s="1"/>
  <c r="BQ74" i="11"/>
  <c r="BQ75" i="11"/>
  <c r="AY75" i="11"/>
  <c r="BR75" i="11"/>
  <c r="AY76" i="11"/>
  <c r="BR76" i="11"/>
  <c r="BQ76" i="11"/>
  <c r="BR77" i="11"/>
  <c r="BQ77" i="11"/>
  <c r="AY77" i="11"/>
  <c r="BQ78" i="11"/>
  <c r="AY78" i="11"/>
  <c r="BR78" i="11"/>
  <c r="BQ79" i="11"/>
  <c r="AY79" i="11"/>
  <c r="BR79" i="11"/>
  <c r="AY80" i="11"/>
  <c r="BQ80" i="11"/>
  <c r="BF19" i="11"/>
  <c r="BR80" i="11"/>
  <c r="BR81" i="11"/>
  <c r="AY81" i="11"/>
  <c r="BQ81" i="11"/>
  <c r="BE20" i="11"/>
  <c r="BM20" i="11" s="1"/>
  <c r="BQ82" i="11"/>
  <c r="AY82" i="11"/>
  <c r="BR82" i="11"/>
  <c r="BQ83" i="11"/>
  <c r="BR83" i="11"/>
  <c r="AY83" i="11"/>
  <c r="BR84" i="11"/>
  <c r="AY84" i="11"/>
  <c r="BQ84" i="11"/>
  <c r="BR85" i="11"/>
  <c r="BQ85" i="11"/>
  <c r="AY85" i="11"/>
  <c r="BR86" i="11"/>
  <c r="BQ86" i="11"/>
  <c r="AY86" i="11"/>
  <c r="BF20" i="11"/>
  <c r="BR87" i="11"/>
  <c r="BQ87" i="11"/>
  <c r="AY87" i="11"/>
  <c r="BR89" i="11"/>
  <c r="BQ89" i="11"/>
  <c r="AY89" i="11"/>
  <c r="BR90" i="11"/>
  <c r="BQ90" i="11"/>
  <c r="AY90" i="11"/>
  <c r="BR91" i="11"/>
  <c r="BQ91" i="11"/>
  <c r="AY91" i="11"/>
  <c r="BQ93" i="11"/>
  <c r="AY93" i="11"/>
  <c r="BR93" i="11"/>
  <c r="BR94" i="11"/>
  <c r="AY94" i="11"/>
  <c r="BF21" i="11"/>
  <c r="BQ94" i="11"/>
  <c r="AY95" i="11"/>
  <c r="BE22" i="11"/>
  <c r="BM22" i="11" s="1"/>
  <c r="BQ95" i="11"/>
  <c r="BR95" i="11"/>
  <c r="BQ96" i="11"/>
  <c r="BR96" i="11"/>
  <c r="AY96" i="11"/>
  <c r="BR97" i="11"/>
  <c r="BQ97" i="11"/>
  <c r="AY97" i="11"/>
  <c r="BR98" i="11"/>
  <c r="BQ98" i="11"/>
  <c r="AY98" i="11"/>
  <c r="BR99" i="11"/>
  <c r="BQ99" i="11"/>
  <c r="AY99" i="11"/>
  <c r="BR100" i="11"/>
  <c r="BQ100" i="11"/>
  <c r="AY100" i="11"/>
  <c r="BF22" i="11"/>
  <c r="BR101" i="11"/>
  <c r="BQ101" i="11"/>
  <c r="AY101" i="11"/>
  <c r="BE23" i="11"/>
  <c r="BM23" i="11" s="1"/>
  <c r="BR102" i="11"/>
  <c r="BQ102" i="11"/>
  <c r="AY102" i="11"/>
  <c r="BR103" i="11"/>
  <c r="BQ103" i="11"/>
  <c r="AY103" i="11"/>
  <c r="BR104" i="11"/>
  <c r="BQ104" i="11"/>
  <c r="AY104" i="11"/>
  <c r="BR105" i="11"/>
  <c r="BQ105" i="11"/>
  <c r="AY105" i="11"/>
  <c r="BR106" i="11"/>
  <c r="BQ106" i="11"/>
  <c r="AY106" i="11"/>
  <c r="BR107" i="11"/>
  <c r="BQ107" i="11"/>
  <c r="AY107" i="11"/>
  <c r="AB74" i="5"/>
  <c r="AB76" i="5"/>
  <c r="AB78" i="5"/>
  <c r="AB69" i="5"/>
  <c r="AB54" i="5"/>
  <c r="AB70" i="5"/>
  <c r="AB49" i="5"/>
  <c r="D87" i="10"/>
  <c r="F87" i="10"/>
  <c r="AK89" i="10"/>
  <c r="AJ89" i="10"/>
  <c r="AI89" i="10"/>
  <c r="AH89" i="10"/>
  <c r="AG89" i="10"/>
  <c r="AF89" i="10"/>
  <c r="AE89" i="10"/>
  <c r="AD89" i="10"/>
  <c r="AC89" i="10"/>
  <c r="AB89" i="10"/>
  <c r="AA89" i="10"/>
  <c r="Z89" i="10"/>
  <c r="Y89" i="10"/>
  <c r="X89" i="10"/>
  <c r="W89" i="10"/>
  <c r="V89" i="10"/>
  <c r="U89" i="10"/>
  <c r="T89" i="10"/>
  <c r="S89" i="10"/>
  <c r="R89" i="10"/>
  <c r="Q89" i="10"/>
  <c r="P89" i="10"/>
  <c r="O89" i="10"/>
  <c r="N89" i="10"/>
  <c r="M89" i="10"/>
  <c r="L89" i="10"/>
  <c r="K89" i="10"/>
  <c r="I89" i="10"/>
  <c r="H89" i="10"/>
  <c r="G89" i="10"/>
  <c r="F89" i="10"/>
  <c r="E89" i="10"/>
  <c r="D89" i="10"/>
  <c r="C89" i="10"/>
  <c r="BR89" i="10"/>
  <c r="BQ89" i="10"/>
  <c r="BP89" i="10"/>
  <c r="BO89" i="10"/>
  <c r="BN89" i="10"/>
  <c r="BM89" i="10"/>
  <c r="BL89" i="10"/>
  <c r="BK89" i="10"/>
  <c r="BJ89" i="10"/>
  <c r="BI89" i="10"/>
  <c r="BH89" i="10"/>
  <c r="BG89" i="10"/>
  <c r="BF89" i="10"/>
  <c r="BE89" i="10"/>
  <c r="BD89" i="10"/>
  <c r="BC89" i="10"/>
  <c r="BB89" i="10"/>
  <c r="BA89" i="10"/>
  <c r="AZ89" i="10"/>
  <c r="AY89" i="10"/>
  <c r="AX89" i="10"/>
  <c r="AW89" i="10"/>
  <c r="AV89" i="10"/>
  <c r="AU89" i="10"/>
  <c r="AT89" i="10"/>
  <c r="AS89" i="10"/>
  <c r="AR89" i="10"/>
  <c r="AQ89" i="10"/>
  <c r="AP89" i="10"/>
  <c r="AO89" i="10"/>
  <c r="AN89" i="10"/>
  <c r="AM89" i="10"/>
  <c r="BB90" i="10"/>
  <c r="BA90" i="10"/>
  <c r="AZ90" i="10"/>
  <c r="AY90" i="10"/>
  <c r="AX90" i="10"/>
  <c r="AW90" i="10"/>
  <c r="AV90" i="10"/>
  <c r="AU90" i="10"/>
  <c r="AT90" i="10"/>
  <c r="AS90" i="10"/>
  <c r="AR90" i="10"/>
  <c r="AQ90" i="10"/>
  <c r="AP90" i="10"/>
  <c r="AO90" i="10"/>
  <c r="AN90" i="10"/>
  <c r="AM90" i="10"/>
  <c r="AL90" i="10"/>
  <c r="AK90" i="10"/>
  <c r="AJ90" i="10"/>
  <c r="AB79" i="5"/>
  <c r="AB57" i="5"/>
  <c r="AB55" i="5"/>
  <c r="AB67" i="5"/>
  <c r="AH90" i="10"/>
  <c r="AG90" i="10"/>
  <c r="AF90" i="10"/>
  <c r="AE90" i="10"/>
  <c r="AD90" i="10"/>
  <c r="AC90" i="10"/>
  <c r="AB90" i="10"/>
  <c r="AA90" i="10"/>
  <c r="Z90" i="10"/>
  <c r="Y90" i="10"/>
  <c r="X90" i="10"/>
  <c r="W90" i="10"/>
  <c r="V90" i="10"/>
  <c r="U90" i="10"/>
  <c r="T90" i="10"/>
  <c r="S90" i="10"/>
  <c r="BC90" i="10"/>
  <c r="Q90" i="10"/>
  <c r="P90" i="10"/>
  <c r="O90" i="10"/>
  <c r="N90" i="10"/>
  <c r="M90" i="10"/>
  <c r="L90" i="10"/>
  <c r="K90" i="10"/>
  <c r="J90" i="10"/>
  <c r="I90" i="10"/>
  <c r="H90" i="10"/>
  <c r="G90" i="10"/>
  <c r="F90" i="10"/>
  <c r="E90" i="10"/>
  <c r="D90" i="10"/>
  <c r="C90" i="10"/>
  <c r="BM90" i="10"/>
  <c r="BE90" i="10"/>
  <c r="BQ90" i="10"/>
  <c r="BE91" i="10"/>
  <c r="BD91" i="10"/>
  <c r="BC91" i="10"/>
  <c r="BB91" i="10"/>
  <c r="BA91" i="10"/>
  <c r="AZ91" i="10"/>
  <c r="AX91" i="10"/>
  <c r="AW91" i="10"/>
  <c r="AV91" i="10"/>
  <c r="AU91" i="10"/>
  <c r="AT91" i="10"/>
  <c r="AS91" i="10"/>
  <c r="AR91" i="10"/>
  <c r="AQ91" i="10"/>
  <c r="AP91" i="10"/>
  <c r="AO91" i="10"/>
  <c r="AN91" i="10"/>
  <c r="BR91" i="10"/>
  <c r="BQ91" i="10"/>
  <c r="BP91" i="10"/>
  <c r="BO91" i="10"/>
  <c r="BN91" i="10"/>
  <c r="BM91" i="10"/>
  <c r="BL91" i="10"/>
  <c r="BK91" i="10"/>
  <c r="BJ91" i="10"/>
  <c r="BI91" i="10"/>
  <c r="BH91" i="10"/>
  <c r="BG91" i="10"/>
  <c r="AB63" i="5"/>
  <c r="AB51" i="5"/>
  <c r="AB53" i="5"/>
  <c r="AB48" i="5"/>
  <c r="AB50" i="5"/>
  <c r="AB61" i="5"/>
  <c r="AB68" i="5"/>
  <c r="AB66" i="5"/>
  <c r="GY68" i="10"/>
  <c r="GY69" i="10"/>
  <c r="GY70" i="10"/>
  <c r="AB71" i="5"/>
  <c r="AB72" i="5"/>
  <c r="AB77" i="5"/>
  <c r="AB56" i="5"/>
  <c r="AB58" i="5"/>
  <c r="AB60" i="5"/>
  <c r="AB65" i="5"/>
  <c r="AB46" i="5"/>
  <c r="AB73" i="5"/>
  <c r="AB75" i="5"/>
  <c r="AB52" i="5"/>
  <c r="AB62" i="5"/>
  <c r="AB59" i="5"/>
  <c r="AB64" i="5"/>
  <c r="P80" i="5"/>
  <c r="EV19" i="5" s="1"/>
  <c r="K80" i="5"/>
  <c r="AA80" i="5"/>
  <c r="H80" i="5"/>
  <c r="EV11" i="5" s="1"/>
  <c r="I80" i="5"/>
  <c r="EV12" i="5" s="1"/>
  <c r="J80" i="5"/>
  <c r="EV13" i="5" s="1"/>
  <c r="L80" i="5"/>
  <c r="EV15" i="5" s="1"/>
  <c r="M80" i="5"/>
  <c r="EV16" i="5" s="1"/>
  <c r="N80" i="5"/>
  <c r="EV17" i="5" s="1"/>
  <c r="O80" i="5"/>
  <c r="EV18" i="5" s="1"/>
  <c r="AC41" i="5"/>
  <c r="G41" i="5"/>
  <c r="AB41" i="5" s="1"/>
  <c r="AA41" i="5"/>
  <c r="AC42" i="5"/>
  <c r="G42" i="5"/>
  <c r="AB42" i="5" s="1"/>
  <c r="AA42" i="5"/>
  <c r="AC43" i="5"/>
  <c r="G43" i="5"/>
  <c r="AB43" i="5" s="1"/>
  <c r="AC44" i="5"/>
  <c r="AD44" i="5" s="1"/>
  <c r="G44" i="5"/>
  <c r="AB44" i="5" s="1"/>
  <c r="C166" i="5" s="1"/>
  <c r="AC45" i="5"/>
  <c r="AD45" i="5" s="1"/>
  <c r="AA45" i="5"/>
  <c r="AB45" i="5" s="1"/>
  <c r="C167" i="5" s="1"/>
  <c r="AC47" i="5"/>
  <c r="AA47" i="5"/>
  <c r="DO30" i="5" s="1"/>
  <c r="G47" i="5"/>
  <c r="CR6" i="11"/>
  <c r="CS6" i="11"/>
  <c r="CU6" i="11"/>
  <c r="DC6" i="11"/>
  <c r="CP6" i="11"/>
  <c r="CT6" i="11"/>
  <c r="DB6" i="11"/>
  <c r="CW6" i="11"/>
  <c r="CX6" i="11"/>
  <c r="CY6" i="11"/>
  <c r="DL6" i="11"/>
  <c r="DK6" i="11"/>
  <c r="DJ6" i="11"/>
  <c r="DI6" i="11"/>
  <c r="DH6" i="11"/>
  <c r="DG6" i="11"/>
  <c r="DF6" i="11"/>
  <c r="DE6" i="11"/>
  <c r="DA6" i="11"/>
  <c r="CZ6" i="11"/>
  <c r="DD6" i="11"/>
  <c r="CQ6" i="11"/>
  <c r="CV6" i="11"/>
  <c r="DF8" i="11"/>
  <c r="DG8" i="11"/>
  <c r="DH8" i="11"/>
  <c r="DI8" i="11"/>
  <c r="DJ8" i="11"/>
  <c r="DK8" i="11"/>
  <c r="DL8" i="11"/>
  <c r="CX8" i="11"/>
  <c r="CR8" i="11"/>
  <c r="CQ8" i="11"/>
  <c r="CP8" i="11"/>
  <c r="CT8" i="11"/>
  <c r="CS8" i="11"/>
  <c r="CU8" i="11"/>
  <c r="CV8" i="11"/>
  <c r="CW8" i="11"/>
  <c r="DE8" i="11"/>
  <c r="CY8" i="11"/>
  <c r="CZ8" i="11"/>
  <c r="DA8" i="11"/>
  <c r="DB8" i="11"/>
  <c r="DC8" i="11"/>
  <c r="DD8" i="11"/>
  <c r="G87" i="10"/>
  <c r="DD9" i="11"/>
  <c r="DG9" i="11"/>
  <c r="CR9" i="11"/>
  <c r="DF9" i="11"/>
  <c r="CT9" i="11"/>
  <c r="DE9" i="11"/>
  <c r="CZ9" i="11"/>
  <c r="DC9" i="11"/>
  <c r="CS9" i="11"/>
  <c r="CY9" i="11"/>
  <c r="DH9" i="11"/>
  <c r="DI9" i="11"/>
  <c r="CX9" i="11"/>
  <c r="DJ9" i="11"/>
  <c r="DK9" i="11"/>
  <c r="DL9" i="11"/>
  <c r="CU9" i="11"/>
  <c r="CW9" i="11"/>
  <c r="CQ9" i="11"/>
  <c r="CP9" i="11"/>
  <c r="CV9" i="11"/>
  <c r="DA9" i="11"/>
  <c r="DB9" i="11"/>
  <c r="H87" i="10"/>
  <c r="DA10" i="11"/>
  <c r="CT10" i="11"/>
  <c r="CU10" i="11"/>
  <c r="CV10" i="11"/>
  <c r="CW10" i="11"/>
  <c r="CZ10" i="11"/>
  <c r="CY10" i="11"/>
  <c r="DB10" i="11"/>
  <c r="CP10" i="11"/>
  <c r="DC10" i="11"/>
  <c r="CS10" i="11"/>
  <c r="DD10" i="11"/>
  <c r="DE10" i="11"/>
  <c r="DF10" i="11"/>
  <c r="DG10" i="11"/>
  <c r="DH10" i="11"/>
  <c r="DI10" i="11"/>
  <c r="DJ10" i="11"/>
  <c r="DL10" i="11"/>
  <c r="DK10" i="11"/>
  <c r="CQ10" i="11"/>
  <c r="CX10" i="11"/>
  <c r="CR10" i="11"/>
  <c r="I87" i="10"/>
  <c r="CP11" i="11"/>
  <c r="DB11" i="11"/>
  <c r="DC11" i="11"/>
  <c r="DD11" i="11"/>
  <c r="DF11" i="11"/>
  <c r="DE11" i="11"/>
  <c r="DG11" i="11"/>
  <c r="DH11" i="11"/>
  <c r="CX11" i="11"/>
  <c r="DJ11" i="11"/>
  <c r="DK11" i="11"/>
  <c r="CZ11" i="11"/>
  <c r="CS11" i="11"/>
  <c r="DL11" i="11"/>
  <c r="DA11" i="11"/>
  <c r="CQ11" i="11"/>
  <c r="CW11" i="11"/>
  <c r="DI11" i="11"/>
  <c r="CT11" i="11"/>
  <c r="CU11" i="11"/>
  <c r="CV11" i="11"/>
  <c r="CY11" i="11"/>
  <c r="CR11" i="11"/>
  <c r="J87" i="10"/>
  <c r="DG12" i="11"/>
  <c r="CP12" i="11"/>
  <c r="DH12" i="11"/>
  <c r="CT12" i="11"/>
  <c r="CQ12" i="11"/>
  <c r="CU12" i="11"/>
  <c r="CV12" i="11"/>
  <c r="CW12" i="11"/>
  <c r="CX12" i="11"/>
  <c r="CZ12" i="11"/>
  <c r="DA12" i="11"/>
  <c r="DB12" i="11"/>
  <c r="DC12" i="11"/>
  <c r="DE12" i="11"/>
  <c r="DF12" i="11"/>
  <c r="DI12" i="11"/>
  <c r="DK12" i="11"/>
  <c r="DL12" i="11"/>
  <c r="DD12" i="11"/>
  <c r="CS12" i="11"/>
  <c r="CY12" i="11"/>
  <c r="DJ12" i="11"/>
  <c r="CR12" i="11"/>
  <c r="CR4" i="11"/>
  <c r="CP4" i="11"/>
  <c r="CX4" i="11"/>
  <c r="CV4" i="11"/>
  <c r="CW4" i="11"/>
  <c r="CU4" i="11"/>
  <c r="CT4" i="11"/>
  <c r="CS4" i="11"/>
  <c r="CQ4" i="11"/>
  <c r="C87" i="10"/>
  <c r="DL5" i="11"/>
  <c r="DF5" i="11"/>
  <c r="DE5" i="11"/>
  <c r="CX5" i="11"/>
  <c r="CZ5" i="11"/>
  <c r="CT5" i="11"/>
  <c r="CW5" i="11"/>
  <c r="DG5" i="11"/>
  <c r="CP5" i="11"/>
  <c r="DC5" i="11"/>
  <c r="DH5" i="11"/>
  <c r="CV5" i="11"/>
  <c r="CU5" i="11"/>
  <c r="CQ5" i="11"/>
  <c r="DI5" i="11"/>
  <c r="CR5" i="11"/>
  <c r="DA5" i="11"/>
  <c r="DJ5" i="11"/>
  <c r="CY5" i="11"/>
  <c r="DD5" i="11"/>
  <c r="DB5" i="11"/>
  <c r="CS5" i="11"/>
  <c r="DK5" i="11"/>
  <c r="DC21" i="11"/>
  <c r="CR21" i="11"/>
  <c r="CZ21" i="11"/>
  <c r="CP21" i="11"/>
  <c r="DB21" i="11"/>
  <c r="DA21" i="11"/>
  <c r="DI21" i="11"/>
  <c r="DJ21" i="11"/>
  <c r="DL21" i="11"/>
  <c r="DK21" i="11"/>
  <c r="DH21" i="11"/>
  <c r="DG21" i="11"/>
  <c r="CY21" i="11"/>
  <c r="CX21" i="11"/>
  <c r="DF21" i="11"/>
  <c r="DE21" i="11"/>
  <c r="CQ21" i="11"/>
  <c r="CW21" i="11"/>
  <c r="DD21" i="11"/>
  <c r="CV21" i="11"/>
  <c r="CU21" i="11"/>
  <c r="CT21" i="11"/>
  <c r="CS21" i="11"/>
  <c r="T87" i="10"/>
  <c r="DL22" i="11"/>
  <c r="CS22" i="11"/>
  <c r="DB22" i="11"/>
  <c r="CP22" i="11"/>
  <c r="DA22" i="11"/>
  <c r="CZ22" i="11"/>
  <c r="CQ22" i="11"/>
  <c r="CY22" i="11"/>
  <c r="CW22" i="11"/>
  <c r="CX22" i="11"/>
  <c r="DK22" i="11"/>
  <c r="DJ22" i="11"/>
  <c r="CT22" i="11"/>
  <c r="CU22" i="11"/>
  <c r="CV22" i="11"/>
  <c r="CR22" i="11"/>
  <c r="DG22" i="11"/>
  <c r="DH22" i="11"/>
  <c r="DF22" i="11"/>
  <c r="DE22" i="11"/>
  <c r="DI22" i="11"/>
  <c r="DD22" i="11"/>
  <c r="DC22" i="11"/>
  <c r="U87" i="10"/>
  <c r="CT23" i="11"/>
  <c r="DB23" i="11"/>
  <c r="CU23" i="11"/>
  <c r="DA23" i="11"/>
  <c r="CY23" i="11"/>
  <c r="CV23" i="11"/>
  <c r="CX23" i="11"/>
  <c r="DH23" i="11"/>
  <c r="CW23" i="11"/>
  <c r="CZ23" i="11"/>
  <c r="DJ23" i="11"/>
  <c r="DG23" i="11"/>
  <c r="CR23" i="11"/>
  <c r="DF23" i="11"/>
  <c r="CP23" i="11"/>
  <c r="DI23" i="11"/>
  <c r="DE23" i="11"/>
  <c r="DK23" i="11"/>
  <c r="CQ23" i="11"/>
  <c r="DL23" i="11"/>
  <c r="DD23" i="11"/>
  <c r="CS23" i="11"/>
  <c r="DC23" i="11"/>
  <c r="V87" i="10"/>
  <c r="DL24" i="11"/>
  <c r="DK24" i="11"/>
  <c r="DJ24" i="11"/>
  <c r="DI24" i="11"/>
  <c r="DH24" i="11"/>
  <c r="DC24" i="11"/>
  <c r="DB24" i="11"/>
  <c r="DA24" i="11"/>
  <c r="CZ24" i="11"/>
  <c r="CY24" i="11"/>
  <c r="CX24" i="11"/>
  <c r="CV24" i="11"/>
  <c r="CU24" i="11"/>
  <c r="DF24" i="11"/>
  <c r="CT24" i="11"/>
  <c r="CS24" i="11"/>
  <c r="CR24" i="11"/>
  <c r="DE24" i="11"/>
  <c r="CW24" i="11"/>
  <c r="CQ24" i="11"/>
  <c r="CP24" i="11"/>
  <c r="DD24" i="11"/>
  <c r="DG24" i="11"/>
  <c r="E87" i="10"/>
  <c r="CR7" i="11"/>
  <c r="DC7" i="11"/>
  <c r="DB7" i="11"/>
  <c r="DA7" i="11"/>
  <c r="CX7" i="11"/>
  <c r="CY7" i="11"/>
  <c r="CV7" i="11"/>
  <c r="CU7" i="11"/>
  <c r="CT7" i="11"/>
  <c r="CS7" i="11"/>
  <c r="CZ7" i="11"/>
  <c r="CW7" i="11"/>
  <c r="DL7" i="11"/>
  <c r="CQ7" i="11"/>
  <c r="CP7" i="11"/>
  <c r="DJ7" i="11"/>
  <c r="DI7" i="11"/>
  <c r="DH7" i="11"/>
  <c r="DG7" i="11"/>
  <c r="DF7" i="11"/>
  <c r="DE7" i="11"/>
  <c r="DD7" i="11"/>
  <c r="DK7" i="11"/>
  <c r="DA4" i="11"/>
  <c r="DB4" i="11"/>
  <c r="DH4" i="11"/>
  <c r="DC4" i="11"/>
  <c r="DD4" i="11"/>
  <c r="H28" i="12" a="1"/>
  <c r="C28" i="12" s="1"/>
  <c r="D28" i="12" s="1"/>
  <c r="F28" i="12" s="1"/>
  <c r="H10" i="12" a="1"/>
  <c r="C10" i="12" s="1"/>
  <c r="D10" i="12" s="1"/>
  <c r="F10" i="12" s="1"/>
  <c r="B105" i="5"/>
  <c r="B111" i="5"/>
  <c r="B112" i="5"/>
  <c r="B101" i="5"/>
  <c r="B103" i="5"/>
  <c r="B104" i="5"/>
  <c r="H21" i="12" a="1"/>
  <c r="C21" i="12" s="1"/>
  <c r="D21" i="12" s="1"/>
  <c r="F21" i="12" s="1"/>
  <c r="B102" i="5"/>
  <c r="H20" i="12" a="1"/>
  <c r="C20" i="12" s="1"/>
  <c r="D20" i="12" s="1"/>
  <c r="F20" i="12" s="1"/>
  <c r="B96" i="5"/>
  <c r="B100" i="5"/>
  <c r="B99" i="5"/>
  <c r="B98" i="5"/>
  <c r="B97" i="5"/>
  <c r="H23" i="12" a="1"/>
  <c r="C23" i="12" s="1"/>
  <c r="D23" i="12" s="1"/>
  <c r="F23" i="12" s="1"/>
  <c r="B94" i="5"/>
  <c r="B110" i="5"/>
  <c r="B109" i="5"/>
  <c r="B108" i="5"/>
  <c r="B107" i="5"/>
  <c r="B106" i="5"/>
  <c r="H22" i="12" a="1"/>
  <c r="C22" i="12" s="1"/>
  <c r="D22" i="12" s="1"/>
  <c r="F22" i="12" s="1"/>
  <c r="H12" i="12" a="1"/>
  <c r="C12" i="12" s="1"/>
  <c r="D12" i="12" s="1"/>
  <c r="F12" i="12" s="1"/>
  <c r="H25" i="12" a="1"/>
  <c r="C25" i="12" s="1"/>
  <c r="D25" i="12" s="1"/>
  <c r="F25" i="12" s="1"/>
  <c r="H26" i="12" a="1"/>
  <c r="C26" i="12" s="1"/>
  <c r="D26" i="12" s="1"/>
  <c r="F26" i="12" s="1"/>
  <c r="H24" i="12" a="1"/>
  <c r="C24" i="12" s="1"/>
  <c r="D24" i="12" s="1"/>
  <c r="F24" i="12" s="1"/>
  <c r="H11" i="12" a="1"/>
  <c r="C11" i="12" s="1"/>
  <c r="D11" i="12" s="1"/>
  <c r="F11" i="12" s="1"/>
  <c r="H13" i="12" a="1"/>
  <c r="B95" i="5"/>
  <c r="H14" i="12" a="1"/>
  <c r="C14" i="12" s="1"/>
  <c r="D14" i="12" s="1"/>
  <c r="F14" i="12" s="1"/>
  <c r="L25" i="3"/>
  <c r="L27" i="3"/>
  <c r="L28" i="3"/>
  <c r="L3" i="3"/>
  <c r="L24" i="3"/>
  <c r="L4" i="3"/>
  <c r="L6" i="3"/>
  <c r="L7" i="3"/>
  <c r="L8" i="3"/>
  <c r="L10" i="3"/>
  <c r="L12" i="3"/>
  <c r="L14" i="3"/>
  <c r="L17" i="3"/>
  <c r="L19" i="3"/>
  <c r="L22" i="3"/>
  <c r="L9" i="3"/>
  <c r="L11" i="3"/>
  <c r="L15" i="3"/>
  <c r="L20" i="3"/>
  <c r="L26" i="3"/>
  <c r="L16" i="3"/>
  <c r="L21" i="3"/>
  <c r="L5" i="3"/>
  <c r="L13" i="3"/>
  <c r="L18" i="3"/>
  <c r="L23" i="3"/>
  <c r="AW9" i="11" l="1"/>
  <c r="BQ9" i="11"/>
  <c r="AY9" i="11"/>
  <c r="BR9" i="11"/>
  <c r="AW51" i="11"/>
  <c r="BQ51" i="11"/>
  <c r="AY51" i="11"/>
  <c r="BR51" i="11"/>
  <c r="AW88" i="11"/>
  <c r="BQ88" i="11"/>
  <c r="BE21" i="11"/>
  <c r="BM21" i="11" s="1"/>
  <c r="BR88" i="11"/>
  <c r="AY88" i="11"/>
  <c r="AC13" i="11"/>
  <c r="AW10" i="11"/>
  <c r="AC10" i="11" s="1"/>
  <c r="BR10" i="11"/>
  <c r="AY10" i="11"/>
  <c r="BF9" i="11"/>
  <c r="BQ10" i="11"/>
  <c r="AW48" i="11"/>
  <c r="AC48" i="11" s="1"/>
  <c r="BQ48" i="11"/>
  <c r="BR48" i="11"/>
  <c r="AY48" i="11"/>
  <c r="AW92" i="11"/>
  <c r="BR92" i="11"/>
  <c r="BQ92" i="11"/>
  <c r="AY92" i="11"/>
  <c r="AW109" i="11"/>
  <c r="AC109" i="11" s="1"/>
  <c r="BS109" i="11"/>
  <c r="C13" i="12"/>
  <c r="D13" i="12" s="1"/>
  <c r="F13" i="12" s="1"/>
  <c r="J6" i="12"/>
  <c r="J8" i="12"/>
  <c r="J7" i="12"/>
  <c r="AA24" i="11"/>
  <c r="Z24" i="11"/>
  <c r="Y24" i="11"/>
  <c r="X24" i="11"/>
  <c r="W24" i="11"/>
  <c r="V24" i="11"/>
  <c r="U24" i="11"/>
  <c r="T24" i="11"/>
  <c r="S24" i="11"/>
  <c r="R24" i="11"/>
  <c r="Q24" i="11"/>
  <c r="P24" i="11"/>
  <c r="O24" i="11"/>
  <c r="N24" i="11"/>
  <c r="M24" i="11"/>
  <c r="L24" i="11"/>
  <c r="K24" i="11"/>
  <c r="J24" i="11"/>
  <c r="I24" i="11"/>
  <c r="H24" i="11"/>
  <c r="F24" i="11"/>
  <c r="E24" i="11"/>
  <c r="D24" i="11"/>
  <c r="C24" i="11"/>
  <c r="AA23" i="11"/>
  <c r="Z23" i="11"/>
  <c r="Y23" i="11"/>
  <c r="X23" i="11"/>
  <c r="W23" i="11"/>
  <c r="V23" i="11"/>
  <c r="U23" i="11"/>
  <c r="T23" i="11"/>
  <c r="S23" i="11"/>
  <c r="R23" i="11"/>
  <c r="Q23" i="11"/>
  <c r="P23" i="11"/>
  <c r="O23" i="11"/>
  <c r="N23" i="11"/>
  <c r="M23" i="11"/>
  <c r="L23" i="11"/>
  <c r="K23" i="11"/>
  <c r="J23" i="11"/>
  <c r="I23" i="11"/>
  <c r="H23" i="11"/>
  <c r="F23" i="11"/>
  <c r="E23" i="11"/>
  <c r="D23" i="11"/>
  <c r="C23" i="11"/>
  <c r="AA22" i="11"/>
  <c r="Z22" i="11"/>
  <c r="Y22" i="11"/>
  <c r="X22" i="11"/>
  <c r="W22" i="11"/>
  <c r="V22" i="11"/>
  <c r="U22" i="11"/>
  <c r="T22" i="11"/>
  <c r="S22" i="11"/>
  <c r="R22" i="11"/>
  <c r="Q22" i="11"/>
  <c r="P22" i="11"/>
  <c r="O22" i="11"/>
  <c r="N22" i="11"/>
  <c r="M22" i="11"/>
  <c r="L22" i="11"/>
  <c r="K22" i="11"/>
  <c r="J22" i="11"/>
  <c r="I22" i="11"/>
  <c r="H22" i="11"/>
  <c r="F22" i="11"/>
  <c r="E22" i="11"/>
  <c r="D22" i="11"/>
  <c r="C22" i="11"/>
  <c r="W21" i="11"/>
  <c r="P21" i="11"/>
  <c r="J21" i="11"/>
  <c r="C21" i="11"/>
  <c r="AA21" i="11"/>
  <c r="T21" i="11"/>
  <c r="M21" i="11"/>
  <c r="F21" i="11"/>
  <c r="U21" i="11"/>
  <c r="N21" i="11"/>
  <c r="Z21" i="11"/>
  <c r="S21" i="11"/>
  <c r="L21" i="11"/>
  <c r="E21" i="11"/>
  <c r="Y21" i="11"/>
  <c r="Q21" i="11"/>
  <c r="I21" i="11"/>
  <c r="V21" i="11"/>
  <c r="O21" i="11"/>
  <c r="H21" i="11"/>
  <c r="X21" i="11"/>
  <c r="R21" i="11"/>
  <c r="K21" i="11"/>
  <c r="D21" i="11"/>
  <c r="Z20" i="11"/>
  <c r="R20" i="11"/>
  <c r="L20" i="11"/>
  <c r="E20" i="11"/>
  <c r="U20" i="11"/>
  <c r="N20" i="11"/>
  <c r="Y20" i="11"/>
  <c r="S20" i="11"/>
  <c r="K20" i="11"/>
  <c r="D20" i="11"/>
  <c r="X20" i="11"/>
  <c r="Q20" i="11"/>
  <c r="J20" i="11"/>
  <c r="V20" i="11"/>
  <c r="O20" i="11"/>
  <c r="H20" i="11"/>
  <c r="W20" i="11"/>
  <c r="P20" i="11"/>
  <c r="I20" i="11"/>
  <c r="C20" i="11"/>
  <c r="AA20" i="11"/>
  <c r="T20" i="11"/>
  <c r="M20" i="11"/>
  <c r="F20" i="11"/>
  <c r="AA15" i="11"/>
  <c r="T15" i="11"/>
  <c r="M15" i="11"/>
  <c r="F15" i="11"/>
  <c r="Z15" i="11"/>
  <c r="S15" i="11"/>
  <c r="L15" i="11"/>
  <c r="Y15" i="11"/>
  <c r="R15" i="11"/>
  <c r="K15" i="11"/>
  <c r="E15" i="11"/>
  <c r="X15" i="11"/>
  <c r="P15" i="11"/>
  <c r="I15" i="11"/>
  <c r="C15" i="11"/>
  <c r="W15" i="11"/>
  <c r="Q15" i="11"/>
  <c r="J15" i="11"/>
  <c r="D15" i="11"/>
  <c r="U15" i="11"/>
  <c r="N15" i="11"/>
  <c r="V15" i="11"/>
  <c r="O15" i="11"/>
  <c r="H15" i="11"/>
  <c r="Y32" i="11"/>
  <c r="R32" i="11"/>
  <c r="K32" i="11"/>
  <c r="E32" i="11"/>
  <c r="V32" i="11"/>
  <c r="O32" i="11"/>
  <c r="H32" i="11"/>
  <c r="AA32" i="11"/>
  <c r="T32" i="11"/>
  <c r="M32" i="11"/>
  <c r="F32" i="11"/>
  <c r="W32" i="11"/>
  <c r="P32" i="11"/>
  <c r="I32" i="11"/>
  <c r="X32" i="11"/>
  <c r="Q32" i="11"/>
  <c r="J32" i="11"/>
  <c r="D32" i="11"/>
  <c r="Z32" i="11"/>
  <c r="S32" i="11"/>
  <c r="L32" i="11"/>
  <c r="U32" i="11"/>
  <c r="N32" i="11"/>
  <c r="C32" i="11"/>
  <c r="Y29" i="11"/>
  <c r="Q29" i="11"/>
  <c r="I29" i="11"/>
  <c r="E29" i="11"/>
  <c r="X29" i="11"/>
  <c r="R29" i="11"/>
  <c r="K29" i="11"/>
  <c r="W29" i="11"/>
  <c r="P29" i="11"/>
  <c r="J29" i="11"/>
  <c r="D29" i="11"/>
  <c r="U29" i="11"/>
  <c r="N29" i="11"/>
  <c r="V29" i="11"/>
  <c r="O29" i="11"/>
  <c r="H29" i="11"/>
  <c r="C29" i="11"/>
  <c r="Z29" i="11"/>
  <c r="S29" i="11"/>
  <c r="L29" i="11"/>
  <c r="F29" i="11"/>
  <c r="AA29" i="11"/>
  <c r="T29" i="11"/>
  <c r="M29" i="11"/>
  <c r="AA43" i="11"/>
  <c r="U43" i="11"/>
  <c r="O43" i="11"/>
  <c r="V43" i="11"/>
  <c r="P43" i="11"/>
  <c r="K43" i="11"/>
  <c r="D43" i="11"/>
  <c r="Z43" i="11"/>
  <c r="T43" i="11"/>
  <c r="N43" i="11"/>
  <c r="H43" i="11"/>
  <c r="C43" i="11"/>
  <c r="M43" i="11"/>
  <c r="F43" i="11"/>
  <c r="W43" i="11"/>
  <c r="S43" i="11"/>
  <c r="L43" i="11"/>
  <c r="E43" i="11"/>
  <c r="X43" i="11"/>
  <c r="R43" i="11"/>
  <c r="I43" i="11"/>
  <c r="Y43" i="11"/>
  <c r="Q43" i="11"/>
  <c r="J43" i="11"/>
  <c r="X57" i="11"/>
  <c r="P57" i="11"/>
  <c r="I57" i="11"/>
  <c r="D57" i="11"/>
  <c r="V57" i="11"/>
  <c r="O57" i="11"/>
  <c r="H57" i="11"/>
  <c r="Y57" i="11"/>
  <c r="R57" i="11"/>
  <c r="K57" i="11"/>
  <c r="F57" i="11"/>
  <c r="Z57" i="11"/>
  <c r="T57" i="11"/>
  <c r="L57" i="11"/>
  <c r="W57" i="11"/>
  <c r="Q57" i="11"/>
  <c r="J57" i="11"/>
  <c r="C57" i="11"/>
  <c r="AA57" i="11"/>
  <c r="S57" i="11"/>
  <c r="M57" i="11"/>
  <c r="E57" i="11"/>
  <c r="U57" i="11"/>
  <c r="N57" i="11"/>
  <c r="Z61" i="11"/>
  <c r="S61" i="11"/>
  <c r="L61" i="11"/>
  <c r="AA61" i="11"/>
  <c r="T61" i="11"/>
  <c r="M61" i="11"/>
  <c r="F61" i="11"/>
  <c r="X61" i="11"/>
  <c r="P61" i="11"/>
  <c r="I61" i="11"/>
  <c r="U61" i="11"/>
  <c r="N61" i="11"/>
  <c r="V61" i="11"/>
  <c r="O61" i="11"/>
  <c r="H61" i="11"/>
  <c r="C61" i="11"/>
  <c r="Y61" i="11"/>
  <c r="R61" i="11"/>
  <c r="K61" i="11"/>
  <c r="E61" i="11"/>
  <c r="W61" i="11"/>
  <c r="Q61" i="11"/>
  <c r="J61" i="11"/>
  <c r="D61" i="11"/>
  <c r="AC74" i="11"/>
  <c r="V74" i="11"/>
  <c r="N74" i="11"/>
  <c r="H74" i="11"/>
  <c r="C74" i="11"/>
  <c r="X74" i="11"/>
  <c r="R74" i="11"/>
  <c r="J74" i="11"/>
  <c r="E74" i="11"/>
  <c r="AA74" i="11"/>
  <c r="U74" i="11"/>
  <c r="O74" i="11"/>
  <c r="I74" i="11"/>
  <c r="D74" i="11"/>
  <c r="W74" i="11"/>
  <c r="Q74" i="11"/>
  <c r="K74" i="11"/>
  <c r="F74" i="11"/>
  <c r="Y74" i="11"/>
  <c r="S74" i="11"/>
  <c r="L74" i="11"/>
  <c r="Z74" i="11"/>
  <c r="T74" i="11"/>
  <c r="M74" i="11"/>
  <c r="AC95" i="11"/>
  <c r="AA95" i="11"/>
  <c r="U95" i="11"/>
  <c r="P95" i="11"/>
  <c r="J95" i="11"/>
  <c r="C95" i="11"/>
  <c r="Z95" i="11"/>
  <c r="T95" i="11"/>
  <c r="N95" i="11"/>
  <c r="H95" i="11"/>
  <c r="X95" i="11"/>
  <c r="R95" i="11"/>
  <c r="L95" i="11"/>
  <c r="F95" i="11"/>
  <c r="V95" i="11"/>
  <c r="O95" i="11"/>
  <c r="I95" i="11"/>
  <c r="D95" i="11"/>
  <c r="Y95" i="11"/>
  <c r="S95" i="11"/>
  <c r="K95" i="11"/>
  <c r="E95" i="11"/>
  <c r="W95" i="11"/>
  <c r="Q95" i="11"/>
  <c r="M95" i="11"/>
  <c r="AC92" i="11"/>
  <c r="AA92" i="11"/>
  <c r="Z92" i="11"/>
  <c r="Y92" i="11"/>
  <c r="X92" i="11"/>
  <c r="W92" i="11"/>
  <c r="V92" i="11"/>
  <c r="U92" i="11"/>
  <c r="T92" i="11"/>
  <c r="S92" i="11"/>
  <c r="R92" i="11"/>
  <c r="Q92" i="11"/>
  <c r="P92" i="11"/>
  <c r="O92" i="11"/>
  <c r="N92" i="11"/>
  <c r="M92" i="11"/>
  <c r="L92" i="11"/>
  <c r="K92" i="11"/>
  <c r="J92" i="11"/>
  <c r="I92" i="11"/>
  <c r="H92" i="11"/>
  <c r="F92" i="11"/>
  <c r="E92" i="11"/>
  <c r="D92" i="11"/>
  <c r="C92" i="11"/>
  <c r="AC91" i="11"/>
  <c r="AA91" i="11"/>
  <c r="Z91" i="11"/>
  <c r="Y91" i="11"/>
  <c r="X91" i="11"/>
  <c r="W91" i="11"/>
  <c r="V91" i="11"/>
  <c r="U91" i="11"/>
  <c r="T91" i="11"/>
  <c r="S91" i="11"/>
  <c r="R91" i="11"/>
  <c r="Q91" i="11"/>
  <c r="P91" i="11"/>
  <c r="O91" i="11"/>
  <c r="N91" i="11"/>
  <c r="M91" i="11"/>
  <c r="L91" i="11"/>
  <c r="K91" i="11"/>
  <c r="J91" i="11"/>
  <c r="I91" i="11"/>
  <c r="H91" i="11"/>
  <c r="F91" i="11"/>
  <c r="E91" i="11"/>
  <c r="D91" i="11"/>
  <c r="C91" i="11"/>
  <c r="AC90" i="11"/>
  <c r="AA90" i="11"/>
  <c r="Z90" i="11"/>
  <c r="Y90" i="11"/>
  <c r="X90" i="11"/>
  <c r="W90" i="11"/>
  <c r="V90" i="11"/>
  <c r="U90" i="11"/>
  <c r="T90" i="11"/>
  <c r="S90" i="11"/>
  <c r="R90" i="11"/>
  <c r="Q90" i="11"/>
  <c r="P90" i="11"/>
  <c r="O90" i="11"/>
  <c r="N90" i="11"/>
  <c r="M90" i="11"/>
  <c r="L90" i="11"/>
  <c r="K90" i="11"/>
  <c r="J90" i="11"/>
  <c r="I90" i="11"/>
  <c r="H90" i="11"/>
  <c r="F90" i="11"/>
  <c r="E90" i="11"/>
  <c r="D90" i="11"/>
  <c r="C90" i="11"/>
  <c r="AC89" i="11"/>
  <c r="AA89" i="11"/>
  <c r="Z89" i="11"/>
  <c r="Y89" i="11"/>
  <c r="X89" i="11"/>
  <c r="W89" i="11"/>
  <c r="V89" i="11"/>
  <c r="U89" i="11"/>
  <c r="T89" i="11"/>
  <c r="S89" i="11"/>
  <c r="R89" i="11"/>
  <c r="Q89" i="11"/>
  <c r="P89" i="11"/>
  <c r="O89" i="11"/>
  <c r="N89" i="11"/>
  <c r="M89" i="11"/>
  <c r="L89" i="11"/>
  <c r="K89" i="11"/>
  <c r="J89" i="11"/>
  <c r="I89" i="11"/>
  <c r="H89" i="11"/>
  <c r="F89" i="11"/>
  <c r="E89" i="11"/>
  <c r="D89" i="11"/>
  <c r="C89" i="11"/>
  <c r="AC88" i="11"/>
  <c r="AA88" i="11"/>
  <c r="Z88" i="11"/>
  <c r="Y88" i="11"/>
  <c r="X88" i="11"/>
  <c r="W88" i="11"/>
  <c r="V88" i="11"/>
  <c r="U88" i="11"/>
  <c r="T88" i="11"/>
  <c r="S88" i="11"/>
  <c r="R88" i="11"/>
  <c r="Q88" i="11"/>
  <c r="P88" i="11"/>
  <c r="O88" i="11"/>
  <c r="N88" i="11"/>
  <c r="M88" i="11"/>
  <c r="L88" i="11"/>
  <c r="K88" i="11"/>
  <c r="J88" i="11"/>
  <c r="I88" i="11"/>
  <c r="H88" i="11"/>
  <c r="F88" i="11"/>
  <c r="E88" i="11"/>
  <c r="D88" i="11"/>
  <c r="C88" i="11"/>
  <c r="AC87" i="11"/>
  <c r="AA87" i="11"/>
  <c r="Z87" i="11"/>
  <c r="Y87" i="11"/>
  <c r="X87" i="11"/>
  <c r="W87" i="11"/>
  <c r="V87" i="11"/>
  <c r="U87" i="11"/>
  <c r="T87" i="11"/>
  <c r="S87" i="11"/>
  <c r="R87" i="11"/>
  <c r="Q87" i="11"/>
  <c r="P87" i="11"/>
  <c r="O87" i="11"/>
  <c r="N87" i="11"/>
  <c r="M87" i="11"/>
  <c r="L87" i="11"/>
  <c r="K87" i="11"/>
  <c r="J87" i="11"/>
  <c r="I87" i="11"/>
  <c r="H87" i="11"/>
  <c r="F87" i="11"/>
  <c r="E87" i="11"/>
  <c r="D87" i="11"/>
  <c r="C87" i="11"/>
  <c r="AC86" i="11"/>
  <c r="AA86" i="11"/>
  <c r="Z86" i="11"/>
  <c r="Y86" i="11"/>
  <c r="X86" i="11"/>
  <c r="W86" i="11"/>
  <c r="V86" i="11"/>
  <c r="U86" i="11"/>
  <c r="T86" i="11"/>
  <c r="S86" i="11"/>
  <c r="R86" i="11"/>
  <c r="Q86" i="11"/>
  <c r="P86" i="11"/>
  <c r="O86" i="11"/>
  <c r="N86" i="11"/>
  <c r="M86" i="11"/>
  <c r="L86" i="11"/>
  <c r="K86" i="11"/>
  <c r="J86" i="11"/>
  <c r="I86" i="11"/>
  <c r="H86" i="11"/>
  <c r="F86" i="11"/>
  <c r="E86" i="11"/>
  <c r="D86" i="11"/>
  <c r="C86" i="11"/>
  <c r="AC85" i="11"/>
  <c r="AA85" i="11"/>
  <c r="Z85" i="11"/>
  <c r="Y85" i="11"/>
  <c r="X85" i="11"/>
  <c r="W85" i="11"/>
  <c r="V85" i="11"/>
  <c r="U85" i="11"/>
  <c r="T85" i="11"/>
  <c r="S85" i="11"/>
  <c r="R85" i="11"/>
  <c r="Q85" i="11"/>
  <c r="P85" i="11"/>
  <c r="O85" i="11"/>
  <c r="N85" i="11"/>
  <c r="M85" i="11"/>
  <c r="L85" i="11"/>
  <c r="K85" i="11"/>
  <c r="J85" i="11"/>
  <c r="I85" i="11"/>
  <c r="H85" i="11"/>
  <c r="F85" i="11"/>
  <c r="E85" i="11"/>
  <c r="D85" i="11"/>
  <c r="C85" i="11"/>
  <c r="AC108" i="11"/>
  <c r="AA108" i="11"/>
  <c r="Z108" i="11"/>
  <c r="Y108" i="11"/>
  <c r="X108" i="11"/>
  <c r="W108" i="11"/>
  <c r="V108" i="11"/>
  <c r="U108" i="11"/>
  <c r="T108" i="11"/>
  <c r="S108" i="11"/>
  <c r="R108" i="11"/>
  <c r="Q108" i="11"/>
  <c r="P108" i="11"/>
  <c r="O108" i="11"/>
  <c r="N108" i="11"/>
  <c r="M108" i="11"/>
  <c r="L108" i="11"/>
  <c r="K108" i="11"/>
  <c r="J108" i="11"/>
  <c r="I108" i="11"/>
  <c r="H108" i="11"/>
  <c r="F108" i="11"/>
  <c r="E108" i="11"/>
  <c r="D108" i="11"/>
  <c r="C108" i="11"/>
  <c r="AC107" i="11"/>
  <c r="AA107" i="11"/>
  <c r="Z107" i="11"/>
  <c r="Y107" i="11"/>
  <c r="X107" i="11"/>
  <c r="W107" i="11"/>
  <c r="V107" i="11"/>
  <c r="U107" i="11"/>
  <c r="T107" i="11"/>
  <c r="S107" i="11"/>
  <c r="R107" i="11"/>
  <c r="Q107" i="11"/>
  <c r="P107" i="11"/>
  <c r="O107" i="11"/>
  <c r="N107" i="11"/>
  <c r="M107" i="11"/>
  <c r="L107" i="11"/>
  <c r="K107" i="11"/>
  <c r="J107" i="11"/>
  <c r="I107" i="11"/>
  <c r="H107" i="11"/>
  <c r="F107" i="11"/>
  <c r="E107" i="11"/>
  <c r="D107" i="11"/>
  <c r="C107" i="11"/>
  <c r="AC106" i="11"/>
  <c r="AA106" i="11"/>
  <c r="Z106" i="11"/>
  <c r="Y106" i="11"/>
  <c r="X106" i="11"/>
  <c r="W106" i="11"/>
  <c r="V106" i="11"/>
  <c r="U106" i="11"/>
  <c r="T106" i="11"/>
  <c r="S106" i="11"/>
  <c r="R106" i="11"/>
  <c r="Q106" i="11"/>
  <c r="P106" i="11"/>
  <c r="O106" i="11"/>
  <c r="N106" i="11"/>
  <c r="M106" i="11"/>
  <c r="L106" i="11"/>
  <c r="K106" i="11"/>
  <c r="J106" i="11"/>
  <c r="I106" i="11"/>
  <c r="H106" i="11"/>
  <c r="F106" i="11"/>
  <c r="E106" i="11"/>
  <c r="D106" i="11"/>
  <c r="C106" i="11"/>
  <c r="AC105" i="11"/>
  <c r="AA105" i="11"/>
  <c r="Z105" i="11"/>
  <c r="Y105" i="11"/>
  <c r="X105" i="11"/>
  <c r="W105" i="11"/>
  <c r="V105" i="11"/>
  <c r="U105" i="11"/>
  <c r="T105" i="11"/>
  <c r="S105" i="11"/>
  <c r="R105" i="11"/>
  <c r="Q105" i="11"/>
  <c r="P105" i="11"/>
  <c r="O105" i="11"/>
  <c r="N105" i="11"/>
  <c r="M105" i="11"/>
  <c r="L105" i="11"/>
  <c r="K105" i="11"/>
  <c r="J105" i="11"/>
  <c r="I105" i="11"/>
  <c r="H105" i="11"/>
  <c r="F105" i="11"/>
  <c r="E105" i="11"/>
  <c r="D105" i="11"/>
  <c r="C105" i="11"/>
  <c r="AC104" i="11"/>
  <c r="AA104" i="11"/>
  <c r="Z104" i="11"/>
  <c r="Y104" i="11"/>
  <c r="X104" i="11"/>
  <c r="W104" i="11"/>
  <c r="V104" i="11"/>
  <c r="U104" i="11"/>
  <c r="T104" i="11"/>
  <c r="S104" i="11"/>
  <c r="R104" i="11"/>
  <c r="Q104" i="11"/>
  <c r="P104" i="11"/>
  <c r="O104" i="11"/>
  <c r="N104" i="11"/>
  <c r="M104" i="11"/>
  <c r="L104" i="11"/>
  <c r="K104" i="11"/>
  <c r="J104" i="11"/>
  <c r="I104" i="11"/>
  <c r="H104" i="11"/>
  <c r="G104" i="11"/>
  <c r="F104" i="11"/>
  <c r="E104" i="11"/>
  <c r="D104" i="11"/>
  <c r="C104" i="11"/>
  <c r="B104" i="11"/>
  <c r="AB104" i="11" s="1"/>
  <c r="AC103" i="11"/>
  <c r="AA103" i="11"/>
  <c r="Z103" i="11"/>
  <c r="Y103" i="11"/>
  <c r="X103" i="11"/>
  <c r="W103" i="11"/>
  <c r="V103" i="11"/>
  <c r="U103" i="11"/>
  <c r="T103" i="11"/>
  <c r="S103" i="11"/>
  <c r="R103" i="11"/>
  <c r="Q103" i="11"/>
  <c r="P103" i="11"/>
  <c r="O103" i="11"/>
  <c r="N103" i="11"/>
  <c r="M103" i="11"/>
  <c r="L103" i="11"/>
  <c r="K103" i="11"/>
  <c r="J103" i="11"/>
  <c r="I103" i="11"/>
  <c r="H103" i="11"/>
  <c r="G103" i="11"/>
  <c r="F103" i="11"/>
  <c r="E103" i="11"/>
  <c r="D103" i="11"/>
  <c r="C103" i="11"/>
  <c r="B103" i="11"/>
  <c r="AB103" i="11" s="1"/>
  <c r="AC102" i="11"/>
  <c r="AA102" i="11"/>
  <c r="Z102" i="11"/>
  <c r="Y102" i="11"/>
  <c r="X102" i="11"/>
  <c r="W102" i="11"/>
  <c r="V102" i="11"/>
  <c r="U102" i="11"/>
  <c r="T102" i="11"/>
  <c r="S102" i="11"/>
  <c r="R102" i="11"/>
  <c r="Q102" i="11"/>
  <c r="P102" i="11"/>
  <c r="O102" i="11"/>
  <c r="N102" i="11"/>
  <c r="M102" i="11"/>
  <c r="L102" i="11"/>
  <c r="K102" i="11"/>
  <c r="J102" i="11"/>
  <c r="I102" i="11"/>
  <c r="H102" i="11"/>
  <c r="G102" i="11"/>
  <c r="F102" i="11"/>
  <c r="E102" i="11"/>
  <c r="D102" i="11"/>
  <c r="C102" i="11"/>
  <c r="B102" i="11"/>
  <c r="AB102" i="11" s="1"/>
  <c r="AC101" i="11"/>
  <c r="AA101" i="11"/>
  <c r="Z101" i="11"/>
  <c r="Y101" i="11"/>
  <c r="X101" i="11"/>
  <c r="W101" i="11"/>
  <c r="V101" i="11"/>
  <c r="U101" i="11"/>
  <c r="T101" i="11"/>
  <c r="S101" i="11"/>
  <c r="R101" i="11"/>
  <c r="Q101" i="11"/>
  <c r="P101" i="11"/>
  <c r="O101" i="11"/>
  <c r="N101" i="11"/>
  <c r="M101" i="11"/>
  <c r="L101" i="11"/>
  <c r="K101" i="11"/>
  <c r="J101" i="11"/>
  <c r="I101" i="11"/>
  <c r="H101" i="11"/>
  <c r="F101" i="11"/>
  <c r="E101" i="11"/>
  <c r="D101" i="11"/>
  <c r="C101" i="11"/>
  <c r="AC100" i="11"/>
  <c r="AA100" i="11"/>
  <c r="Z100" i="11"/>
  <c r="Y100" i="11"/>
  <c r="X100" i="11"/>
  <c r="W100" i="11"/>
  <c r="V100" i="11"/>
  <c r="U100" i="11"/>
  <c r="T100" i="11"/>
  <c r="S100" i="11"/>
  <c r="R100" i="11"/>
  <c r="Q100" i="11"/>
  <c r="P100" i="11"/>
  <c r="O100" i="11"/>
  <c r="N100" i="11"/>
  <c r="M100" i="11"/>
  <c r="L100" i="11"/>
  <c r="K100" i="11"/>
  <c r="J100" i="11"/>
  <c r="I100" i="11"/>
  <c r="H100" i="11"/>
  <c r="F100" i="11"/>
  <c r="E100" i="11"/>
  <c r="D100" i="11"/>
  <c r="C100" i="11"/>
  <c r="AC99" i="11"/>
  <c r="AA99" i="11"/>
  <c r="Z99" i="11"/>
  <c r="Y99" i="11"/>
  <c r="X99" i="11"/>
  <c r="W99" i="11"/>
  <c r="V99" i="11"/>
  <c r="U99" i="11"/>
  <c r="T99" i="11"/>
  <c r="S99" i="11"/>
  <c r="R99" i="11"/>
  <c r="Q99" i="11"/>
  <c r="P99" i="11"/>
  <c r="O99" i="11"/>
  <c r="N99" i="11"/>
  <c r="M99" i="11"/>
  <c r="L99" i="11"/>
  <c r="K99" i="11"/>
  <c r="J99" i="11"/>
  <c r="I99" i="11"/>
  <c r="H99" i="11"/>
  <c r="F99" i="11"/>
  <c r="E99" i="11"/>
  <c r="D99" i="11"/>
  <c r="C99" i="11"/>
  <c r="AC98" i="11"/>
  <c r="AA98" i="11"/>
  <c r="Z98" i="11"/>
  <c r="Y98" i="11"/>
  <c r="X98" i="11"/>
  <c r="W98" i="11"/>
  <c r="V98" i="11"/>
  <c r="U98" i="11"/>
  <c r="T98" i="11"/>
  <c r="S98" i="11"/>
  <c r="R98" i="11"/>
  <c r="Q98" i="11"/>
  <c r="P98" i="11"/>
  <c r="O98" i="11"/>
  <c r="N98" i="11"/>
  <c r="M98" i="11"/>
  <c r="L98" i="11"/>
  <c r="K98" i="11"/>
  <c r="J98" i="11"/>
  <c r="I98" i="11"/>
  <c r="H98" i="11"/>
  <c r="F98" i="11"/>
  <c r="E98" i="11"/>
  <c r="D98" i="11"/>
  <c r="C98" i="11"/>
  <c r="AC97" i="11"/>
  <c r="AA97" i="11"/>
  <c r="Z97" i="11"/>
  <c r="Y97" i="11"/>
  <c r="X97" i="11"/>
  <c r="W97" i="11"/>
  <c r="V97" i="11"/>
  <c r="U97" i="11"/>
  <c r="T97" i="11"/>
  <c r="S97" i="11"/>
  <c r="R97" i="11"/>
  <c r="Q97" i="11"/>
  <c r="P97" i="11"/>
  <c r="O97" i="11"/>
  <c r="N97" i="11"/>
  <c r="M97" i="11"/>
  <c r="L97" i="11"/>
  <c r="K97" i="11"/>
  <c r="J97" i="11"/>
  <c r="I97" i="11"/>
  <c r="H97" i="11"/>
  <c r="F97" i="11"/>
  <c r="E97" i="11"/>
  <c r="D97" i="11"/>
  <c r="C97" i="11"/>
  <c r="AC120" i="11"/>
  <c r="AA120" i="11"/>
  <c r="Z120" i="11"/>
  <c r="Y120" i="11"/>
  <c r="X120" i="11"/>
  <c r="W120" i="11"/>
  <c r="V120" i="11"/>
  <c r="U120" i="11"/>
  <c r="T120" i="11"/>
  <c r="S120" i="11"/>
  <c r="R120" i="11"/>
  <c r="Q120" i="11"/>
  <c r="P120" i="11"/>
  <c r="O120" i="11"/>
  <c r="N120" i="11"/>
  <c r="M120" i="11"/>
  <c r="L120" i="11"/>
  <c r="K120" i="11"/>
  <c r="J120" i="11"/>
  <c r="I120" i="11"/>
  <c r="H120" i="11"/>
  <c r="F120" i="11"/>
  <c r="E120" i="11"/>
  <c r="D120" i="11"/>
  <c r="C120" i="11"/>
  <c r="AC119" i="11"/>
  <c r="AA119" i="11"/>
  <c r="Z119" i="11"/>
  <c r="Y119" i="11"/>
  <c r="X119" i="11"/>
  <c r="W119" i="11"/>
  <c r="V119" i="11"/>
  <c r="U119" i="11"/>
  <c r="T119" i="11"/>
  <c r="S119" i="11"/>
  <c r="R119" i="11"/>
  <c r="Q119" i="11"/>
  <c r="P119" i="11"/>
  <c r="O119" i="11"/>
  <c r="N119" i="11"/>
  <c r="M119" i="11"/>
  <c r="L119" i="11"/>
  <c r="K119" i="11"/>
  <c r="J119" i="11"/>
  <c r="I119" i="11"/>
  <c r="H119" i="11"/>
  <c r="F119" i="11"/>
  <c r="E119" i="11"/>
  <c r="D119" i="11"/>
  <c r="C119" i="11"/>
  <c r="AC118" i="11"/>
  <c r="AA118" i="11"/>
  <c r="Z118" i="11"/>
  <c r="Y118" i="11"/>
  <c r="X118" i="11"/>
  <c r="W118" i="11"/>
  <c r="V118" i="11"/>
  <c r="U118" i="11"/>
  <c r="T118" i="11"/>
  <c r="S118" i="11"/>
  <c r="R118" i="11"/>
  <c r="Q118" i="11"/>
  <c r="P118" i="11"/>
  <c r="O118" i="11"/>
  <c r="N118" i="11"/>
  <c r="M118" i="11"/>
  <c r="L118" i="11"/>
  <c r="K118" i="11"/>
  <c r="J118" i="11"/>
  <c r="I118" i="11"/>
  <c r="H118" i="11"/>
  <c r="F118" i="11"/>
  <c r="E118" i="11"/>
  <c r="D118" i="11"/>
  <c r="C118" i="11"/>
  <c r="AC117" i="11"/>
  <c r="AA117" i="11"/>
  <c r="Z117" i="11"/>
  <c r="Y117" i="11"/>
  <c r="X117" i="11"/>
  <c r="W117" i="11"/>
  <c r="V117" i="11"/>
  <c r="U117" i="11"/>
  <c r="T117" i="11"/>
  <c r="S117" i="11"/>
  <c r="R117" i="11"/>
  <c r="Q117" i="11"/>
  <c r="P117" i="11"/>
  <c r="O117" i="11"/>
  <c r="N117" i="11"/>
  <c r="M117" i="11"/>
  <c r="L117" i="11"/>
  <c r="K117" i="11"/>
  <c r="J117" i="11"/>
  <c r="I117" i="11"/>
  <c r="H117" i="11"/>
  <c r="F117" i="11"/>
  <c r="E117" i="11"/>
  <c r="D117" i="11"/>
  <c r="C117" i="11"/>
  <c r="AC116" i="11"/>
  <c r="AA116" i="11"/>
  <c r="Z116" i="11"/>
  <c r="Y116" i="11"/>
  <c r="X116" i="11"/>
  <c r="W116" i="11"/>
  <c r="V116" i="11"/>
  <c r="U116" i="11"/>
  <c r="T116" i="11"/>
  <c r="S116" i="11"/>
  <c r="R116" i="11"/>
  <c r="Q116" i="11"/>
  <c r="P116" i="11"/>
  <c r="O116" i="11"/>
  <c r="N116" i="11"/>
  <c r="M116" i="11"/>
  <c r="L116" i="11"/>
  <c r="K116" i="11"/>
  <c r="J116" i="11"/>
  <c r="I116" i="11"/>
  <c r="H116" i="11"/>
  <c r="F116" i="11"/>
  <c r="E116" i="11"/>
  <c r="D116" i="11"/>
  <c r="C116" i="11"/>
  <c r="AC115" i="11"/>
  <c r="AA115" i="11"/>
  <c r="Z115" i="11"/>
  <c r="Y115" i="11"/>
  <c r="X115" i="11"/>
  <c r="W115" i="11"/>
  <c r="V115" i="11"/>
  <c r="U115" i="11"/>
  <c r="T115" i="11"/>
  <c r="S115" i="11"/>
  <c r="R115" i="11"/>
  <c r="Q115" i="11"/>
  <c r="P115" i="11"/>
  <c r="O115" i="11"/>
  <c r="N115" i="11"/>
  <c r="M115" i="11"/>
  <c r="L115" i="11"/>
  <c r="K115" i="11"/>
  <c r="J115" i="11"/>
  <c r="I115" i="11"/>
  <c r="H115" i="11"/>
  <c r="F115" i="11"/>
  <c r="E115" i="11"/>
  <c r="D115" i="11"/>
  <c r="C115" i="11"/>
  <c r="AC114" i="11"/>
  <c r="AA114" i="11"/>
  <c r="Z114" i="11"/>
  <c r="Y114" i="11"/>
  <c r="X114" i="11"/>
  <c r="W114" i="11"/>
  <c r="V114" i="11"/>
  <c r="U114" i="11"/>
  <c r="T114" i="11"/>
  <c r="S114" i="11"/>
  <c r="R114" i="11"/>
  <c r="Q114" i="11"/>
  <c r="P114" i="11"/>
  <c r="O114" i="11"/>
  <c r="N114" i="11"/>
  <c r="M114" i="11"/>
  <c r="L114" i="11"/>
  <c r="K114" i="11"/>
  <c r="J114" i="11"/>
  <c r="I114" i="11"/>
  <c r="H114" i="11"/>
  <c r="F114" i="11"/>
  <c r="E114" i="11"/>
  <c r="D114" i="11"/>
  <c r="C114" i="11"/>
  <c r="AC113" i="11"/>
  <c r="AA113" i="11"/>
  <c r="Z113" i="11"/>
  <c r="Y113" i="11"/>
  <c r="X113" i="11"/>
  <c r="W113" i="11"/>
  <c r="V113" i="11"/>
  <c r="U113" i="11"/>
  <c r="T113" i="11"/>
  <c r="S113" i="11"/>
  <c r="R113" i="11"/>
  <c r="Q113" i="11"/>
  <c r="P113" i="11"/>
  <c r="O113" i="11"/>
  <c r="N113" i="11"/>
  <c r="M113" i="11"/>
  <c r="L113" i="11"/>
  <c r="K113" i="11"/>
  <c r="J113" i="11"/>
  <c r="I113" i="11"/>
  <c r="H113" i="11"/>
  <c r="F113" i="11"/>
  <c r="E113" i="11"/>
  <c r="D113" i="11"/>
  <c r="C113" i="11"/>
  <c r="AC112" i="11"/>
  <c r="AA112" i="11"/>
  <c r="Z112" i="11"/>
  <c r="Y112" i="11"/>
  <c r="X112" i="11"/>
  <c r="W112" i="11"/>
  <c r="V112" i="11"/>
  <c r="U112" i="11"/>
  <c r="T112" i="11"/>
  <c r="S112" i="11"/>
  <c r="R112" i="11"/>
  <c r="Q112" i="11"/>
  <c r="P112" i="11"/>
  <c r="O112" i="11"/>
  <c r="N112" i="11"/>
  <c r="M112" i="11"/>
  <c r="L112" i="11"/>
  <c r="K112" i="11"/>
  <c r="J112" i="11"/>
  <c r="I112" i="11"/>
  <c r="H112" i="11"/>
  <c r="F112" i="11"/>
  <c r="E112" i="11"/>
  <c r="D112" i="11"/>
  <c r="C112" i="11"/>
  <c r="AC111" i="11"/>
  <c r="AA111" i="11"/>
  <c r="Z111" i="11"/>
  <c r="Y111" i="11"/>
  <c r="X111" i="11"/>
  <c r="W111" i="11"/>
  <c r="V111" i="11"/>
  <c r="U111" i="11"/>
  <c r="T111" i="11"/>
  <c r="S111" i="11"/>
  <c r="R111" i="11"/>
  <c r="Q111" i="11"/>
  <c r="P111" i="11"/>
  <c r="O111" i="11"/>
  <c r="N111" i="11"/>
  <c r="M111" i="11"/>
  <c r="L111" i="11"/>
  <c r="K111" i="11"/>
  <c r="J111" i="11"/>
  <c r="I111" i="11"/>
  <c r="H111" i="11"/>
  <c r="F111" i="11"/>
  <c r="E111" i="11"/>
  <c r="D111" i="11"/>
  <c r="C111" i="11"/>
  <c r="AC110" i="11"/>
  <c r="AA110" i="11"/>
  <c r="Z110" i="11"/>
  <c r="Y110" i="11"/>
  <c r="X110" i="11"/>
  <c r="W110" i="11"/>
  <c r="V110" i="11"/>
  <c r="U110" i="11"/>
  <c r="T110" i="11"/>
  <c r="S110" i="11"/>
  <c r="R110" i="11"/>
  <c r="Q110" i="11"/>
  <c r="P110" i="11"/>
  <c r="O110" i="11"/>
  <c r="N110" i="11"/>
  <c r="M110" i="11"/>
  <c r="L110" i="11"/>
  <c r="K110" i="11"/>
  <c r="J110" i="11"/>
  <c r="I110" i="11"/>
  <c r="H110" i="11"/>
  <c r="F110" i="11"/>
  <c r="E110" i="11"/>
  <c r="D110" i="11"/>
  <c r="C110" i="11"/>
  <c r="AA109" i="11"/>
  <c r="Z109" i="11"/>
  <c r="Y109" i="11"/>
  <c r="X109" i="11"/>
  <c r="W109" i="11"/>
  <c r="V109" i="11"/>
  <c r="U109" i="11"/>
  <c r="T109" i="11"/>
  <c r="S109" i="11"/>
  <c r="R109" i="11"/>
  <c r="Q109" i="11"/>
  <c r="P109" i="11"/>
  <c r="O109" i="11"/>
  <c r="N109" i="11"/>
  <c r="M109" i="11"/>
  <c r="L109" i="11"/>
  <c r="K109" i="11"/>
  <c r="J109" i="11"/>
  <c r="I109" i="11"/>
  <c r="H109" i="11"/>
  <c r="F109" i="11"/>
  <c r="E109" i="11"/>
  <c r="D109" i="11"/>
  <c r="C109" i="11"/>
  <c r="AC132" i="11"/>
  <c r="AA132" i="11"/>
  <c r="Z132" i="11"/>
  <c r="Y132" i="11"/>
  <c r="X132" i="11"/>
  <c r="W132" i="11"/>
  <c r="V132" i="11"/>
  <c r="U132" i="11"/>
  <c r="T132" i="11"/>
  <c r="S132" i="11"/>
  <c r="R132" i="11"/>
  <c r="Q132" i="11"/>
  <c r="P132" i="11"/>
  <c r="O132" i="11"/>
  <c r="N132" i="11"/>
  <c r="M132" i="11"/>
  <c r="L132" i="11"/>
  <c r="K132" i="11"/>
  <c r="J132" i="11"/>
  <c r="I132" i="11"/>
  <c r="H132" i="11"/>
  <c r="F132" i="11"/>
  <c r="E132" i="11"/>
  <c r="D132" i="11"/>
  <c r="C132" i="11"/>
  <c r="AC131" i="11"/>
  <c r="AA131" i="11"/>
  <c r="Z131" i="11"/>
  <c r="Y131" i="11"/>
  <c r="X131" i="11"/>
  <c r="W131" i="11"/>
  <c r="V131" i="11"/>
  <c r="U131" i="11"/>
  <c r="T131" i="11"/>
  <c r="S131" i="11"/>
  <c r="R131" i="11"/>
  <c r="Q131" i="11"/>
  <c r="P131" i="11"/>
  <c r="O131" i="11"/>
  <c r="N131" i="11"/>
  <c r="M131" i="11"/>
  <c r="L131" i="11"/>
  <c r="K131" i="11"/>
  <c r="J131" i="11"/>
  <c r="I131" i="11"/>
  <c r="H131" i="11"/>
  <c r="F131" i="11"/>
  <c r="E131" i="11"/>
  <c r="D131" i="11"/>
  <c r="C131" i="11"/>
  <c r="AC130" i="11"/>
  <c r="AA130" i="11"/>
  <c r="Z130" i="11"/>
  <c r="Y130" i="11"/>
  <c r="X130" i="11"/>
  <c r="W130" i="11"/>
  <c r="V130" i="11"/>
  <c r="U130" i="11"/>
  <c r="T130" i="11"/>
  <c r="S130" i="11"/>
  <c r="R130" i="11"/>
  <c r="Q130" i="11"/>
  <c r="P130" i="11"/>
  <c r="O130" i="11"/>
  <c r="N130" i="11"/>
  <c r="M130" i="11"/>
  <c r="L130" i="11"/>
  <c r="K130" i="11"/>
  <c r="J130" i="11"/>
  <c r="I130" i="11"/>
  <c r="H130" i="11"/>
  <c r="F130" i="11"/>
  <c r="E130" i="11"/>
  <c r="D130" i="11"/>
  <c r="C130" i="11"/>
  <c r="AC129" i="11"/>
  <c r="AA129" i="11"/>
  <c r="Z129" i="11"/>
  <c r="Y129" i="11"/>
  <c r="X129" i="11"/>
  <c r="W129" i="11"/>
  <c r="V129" i="11"/>
  <c r="U129" i="11"/>
  <c r="T129" i="11"/>
  <c r="S129" i="11"/>
  <c r="R129" i="11"/>
  <c r="Q129" i="11"/>
  <c r="P129" i="11"/>
  <c r="O129" i="11"/>
  <c r="N129" i="11"/>
  <c r="M129" i="11"/>
  <c r="L129" i="11"/>
  <c r="K129" i="11"/>
  <c r="J129" i="11"/>
  <c r="I129" i="11"/>
  <c r="H129" i="11"/>
  <c r="F129" i="11"/>
  <c r="E129" i="11"/>
  <c r="D129" i="11"/>
  <c r="C129" i="11"/>
  <c r="AC128" i="11"/>
  <c r="AA128" i="11"/>
  <c r="Z128" i="11"/>
  <c r="Y128" i="11"/>
  <c r="X128" i="11"/>
  <c r="W128" i="11"/>
  <c r="V128" i="11"/>
  <c r="U128" i="11"/>
  <c r="T128" i="11"/>
  <c r="S128" i="11"/>
  <c r="R128" i="11"/>
  <c r="Q128" i="11"/>
  <c r="P128" i="11"/>
  <c r="O128" i="11"/>
  <c r="N128" i="11"/>
  <c r="M128" i="11"/>
  <c r="L128" i="11"/>
  <c r="K128" i="11"/>
  <c r="J128" i="11"/>
  <c r="I128" i="11"/>
  <c r="H128" i="11"/>
  <c r="F128" i="11"/>
  <c r="E128" i="11"/>
  <c r="D128" i="11"/>
  <c r="C128" i="11"/>
  <c r="AC127" i="11"/>
  <c r="AA127" i="11"/>
  <c r="Z127" i="11"/>
  <c r="Y127" i="11"/>
  <c r="X127" i="11"/>
  <c r="W127" i="11"/>
  <c r="V127" i="11"/>
  <c r="U127" i="11"/>
  <c r="T127" i="11"/>
  <c r="S127" i="11"/>
  <c r="R127" i="11"/>
  <c r="Q127" i="11"/>
  <c r="M127" i="11"/>
  <c r="H127" i="11"/>
  <c r="C127" i="11"/>
  <c r="P127" i="11"/>
  <c r="L127" i="11"/>
  <c r="K127" i="11"/>
  <c r="F127" i="11"/>
  <c r="O127" i="11"/>
  <c r="J127" i="11"/>
  <c r="E127" i="11"/>
  <c r="N127" i="11"/>
  <c r="I127" i="11"/>
  <c r="D127" i="11"/>
  <c r="AA18" i="11"/>
  <c r="T18" i="11"/>
  <c r="M18" i="11"/>
  <c r="F18" i="11"/>
  <c r="C18" i="11"/>
  <c r="Y18" i="11"/>
  <c r="R18" i="11"/>
  <c r="L18" i="11"/>
  <c r="D18" i="11"/>
  <c r="U18" i="11"/>
  <c r="N18" i="11"/>
  <c r="V18" i="11"/>
  <c r="O18" i="11"/>
  <c r="K18" i="11"/>
  <c r="E18" i="11"/>
  <c r="W18" i="11"/>
  <c r="P18" i="11"/>
  <c r="I18" i="11"/>
  <c r="X18" i="11"/>
  <c r="Q18" i="11"/>
  <c r="H18" i="11"/>
  <c r="Z18" i="11"/>
  <c r="S18" i="11"/>
  <c r="J18" i="11"/>
  <c r="Z16" i="11"/>
  <c r="S16" i="11"/>
  <c r="L16" i="11"/>
  <c r="F16" i="11"/>
  <c r="V16" i="11"/>
  <c r="O16" i="11"/>
  <c r="J16" i="11"/>
  <c r="E16" i="11"/>
  <c r="U16" i="11"/>
  <c r="N16" i="11"/>
  <c r="W16" i="11"/>
  <c r="R16" i="11"/>
  <c r="K16" i="11"/>
  <c r="D16" i="11"/>
  <c r="AA16" i="11"/>
  <c r="T16" i="11"/>
  <c r="M16" i="11"/>
  <c r="Y16" i="11"/>
  <c r="Q16" i="11"/>
  <c r="I16" i="11"/>
  <c r="C16" i="11"/>
  <c r="X16" i="11"/>
  <c r="P16" i="11"/>
  <c r="H16" i="11"/>
  <c r="Z13" i="11"/>
  <c r="S13" i="11"/>
  <c r="J13" i="11"/>
  <c r="U13" i="11"/>
  <c r="N13" i="11"/>
  <c r="C13" i="11"/>
  <c r="Y13" i="11"/>
  <c r="R13" i="11"/>
  <c r="K13" i="11"/>
  <c r="AA13" i="11"/>
  <c r="T13" i="11"/>
  <c r="M13" i="11"/>
  <c r="F13" i="11"/>
  <c r="B13" i="11"/>
  <c r="W13" i="11"/>
  <c r="P13" i="11"/>
  <c r="H13" i="11"/>
  <c r="X13" i="11"/>
  <c r="Q13" i="11"/>
  <c r="L13" i="11"/>
  <c r="E13" i="11"/>
  <c r="V13" i="11"/>
  <c r="O13" i="11"/>
  <c r="I13" i="11"/>
  <c r="D13" i="11"/>
  <c r="W36" i="11"/>
  <c r="P36" i="11"/>
  <c r="J36" i="11"/>
  <c r="D36" i="11"/>
  <c r="X36" i="11"/>
  <c r="Q36" i="11"/>
  <c r="I36" i="11"/>
  <c r="E36" i="11"/>
  <c r="Y36" i="11"/>
  <c r="R36" i="11"/>
  <c r="M36" i="11"/>
  <c r="F36" i="11"/>
  <c r="B36" i="11"/>
  <c r="V36" i="11"/>
  <c r="O36" i="11"/>
  <c r="H36" i="11"/>
  <c r="Z36" i="11"/>
  <c r="S36" i="11"/>
  <c r="L36" i="11"/>
  <c r="AA36" i="11"/>
  <c r="T36" i="11"/>
  <c r="K36" i="11"/>
  <c r="U36" i="11"/>
  <c r="N36" i="11"/>
  <c r="G36" i="11"/>
  <c r="C36" i="11"/>
  <c r="AA30" i="11"/>
  <c r="R30" i="11"/>
  <c r="K30" i="11"/>
  <c r="E30" i="11"/>
  <c r="W30" i="11"/>
  <c r="P30" i="11"/>
  <c r="I30" i="11"/>
  <c r="B30" i="11"/>
  <c r="Z30" i="11"/>
  <c r="S30" i="11"/>
  <c r="L30" i="11"/>
  <c r="D30" i="11"/>
  <c r="Y30" i="11"/>
  <c r="T30" i="11"/>
  <c r="M30" i="11"/>
  <c r="F30" i="11"/>
  <c r="X30" i="11"/>
  <c r="Q30" i="11"/>
  <c r="J30" i="11"/>
  <c r="U30" i="11"/>
  <c r="N30" i="11"/>
  <c r="G30" i="11"/>
  <c r="V30" i="11"/>
  <c r="O30" i="11"/>
  <c r="H30" i="11"/>
  <c r="C30" i="11"/>
  <c r="U25" i="11"/>
  <c r="N25" i="11"/>
  <c r="G25" i="11"/>
  <c r="Z25" i="11"/>
  <c r="S25" i="11"/>
  <c r="M25" i="11"/>
  <c r="E25" i="11"/>
  <c r="Y25" i="11"/>
  <c r="R25" i="11"/>
  <c r="K25" i="11"/>
  <c r="D25" i="11"/>
  <c r="X25" i="11"/>
  <c r="Q25" i="11"/>
  <c r="J25" i="11"/>
  <c r="C25" i="11"/>
  <c r="AA25" i="11"/>
  <c r="T25" i="11"/>
  <c r="L25" i="11"/>
  <c r="F25" i="11"/>
  <c r="B25" i="11"/>
  <c r="W25" i="11"/>
  <c r="P25" i="11"/>
  <c r="I25" i="11"/>
  <c r="V25" i="11"/>
  <c r="O25" i="11"/>
  <c r="H25" i="11"/>
  <c r="X48" i="11"/>
  <c r="Q48" i="11"/>
  <c r="L48" i="11"/>
  <c r="E48" i="11"/>
  <c r="Y48" i="11"/>
  <c r="R48" i="11"/>
  <c r="K48" i="11"/>
  <c r="V48" i="11"/>
  <c r="P48" i="11"/>
  <c r="I48" i="11"/>
  <c r="D48" i="11"/>
  <c r="U48" i="11"/>
  <c r="M48" i="11"/>
  <c r="F48" i="11"/>
  <c r="AA48" i="11"/>
  <c r="T48" i="11"/>
  <c r="N48" i="11"/>
  <c r="C48" i="11"/>
  <c r="W48" i="11"/>
  <c r="O48" i="11"/>
  <c r="H48" i="11"/>
  <c r="Z48" i="11"/>
  <c r="S48" i="11"/>
  <c r="J48" i="11"/>
  <c r="T47" i="11"/>
  <c r="N47" i="11"/>
  <c r="F47" i="11"/>
  <c r="X47" i="11"/>
  <c r="Q47" i="11"/>
  <c r="J47" i="11"/>
  <c r="C47" i="11"/>
  <c r="U47" i="11"/>
  <c r="M47" i="11"/>
  <c r="H47" i="11"/>
  <c r="AA47" i="11"/>
  <c r="V47" i="11"/>
  <c r="O47" i="11"/>
  <c r="Z47" i="11"/>
  <c r="S47" i="11"/>
  <c r="L47" i="11"/>
  <c r="E47" i="11"/>
  <c r="W47" i="11"/>
  <c r="P47" i="11"/>
  <c r="I47" i="11"/>
  <c r="Y47" i="11"/>
  <c r="R47" i="11"/>
  <c r="K47" i="11"/>
  <c r="D47" i="11"/>
  <c r="T60" i="11"/>
  <c r="N60" i="11"/>
  <c r="W60" i="11"/>
  <c r="Q60" i="11"/>
  <c r="J60" i="11"/>
  <c r="C60" i="11"/>
  <c r="V60" i="11"/>
  <c r="P60" i="11"/>
  <c r="H60" i="11"/>
  <c r="AA60" i="11"/>
  <c r="U60" i="11"/>
  <c r="O60" i="11"/>
  <c r="I60" i="11"/>
  <c r="D60" i="11"/>
  <c r="Z60" i="11"/>
  <c r="S60" i="11"/>
  <c r="L60" i="11"/>
  <c r="F60" i="11"/>
  <c r="Y60" i="11"/>
  <c r="R60" i="11"/>
  <c r="K60" i="11"/>
  <c r="E60" i="11"/>
  <c r="X60" i="11"/>
  <c r="M60" i="11"/>
  <c r="AA55" i="11"/>
  <c r="T55" i="11"/>
  <c r="M55" i="11"/>
  <c r="F55" i="11"/>
  <c r="Z55" i="11"/>
  <c r="S55" i="11"/>
  <c r="L55" i="11"/>
  <c r="E55" i="11"/>
  <c r="Y55" i="11"/>
  <c r="R55" i="11"/>
  <c r="K55" i="11"/>
  <c r="D55" i="11"/>
  <c r="U55" i="11"/>
  <c r="N55" i="11"/>
  <c r="I55" i="11"/>
  <c r="C55" i="11"/>
  <c r="V55" i="11"/>
  <c r="O55" i="11"/>
  <c r="H55" i="11"/>
  <c r="W55" i="11"/>
  <c r="P55" i="11"/>
  <c r="X55" i="11"/>
  <c r="Q55" i="11"/>
  <c r="J55" i="11"/>
  <c r="V51" i="11"/>
  <c r="O51" i="11"/>
  <c r="I51" i="11"/>
  <c r="X51" i="11"/>
  <c r="Q51" i="11"/>
  <c r="J51" i="11"/>
  <c r="W51" i="11"/>
  <c r="P51" i="11"/>
  <c r="H51" i="11"/>
  <c r="Y51" i="11"/>
  <c r="S51" i="11"/>
  <c r="L51" i="11"/>
  <c r="E51" i="11"/>
  <c r="AA51" i="11"/>
  <c r="T51" i="11"/>
  <c r="N51" i="11"/>
  <c r="F51" i="11"/>
  <c r="C51" i="11"/>
  <c r="U51" i="11"/>
  <c r="M51" i="11"/>
  <c r="Z51" i="11"/>
  <c r="R51" i="11"/>
  <c r="K51" i="11"/>
  <c r="D51" i="11"/>
  <c r="X49" i="11"/>
  <c r="Q49" i="11"/>
  <c r="J49" i="11"/>
  <c r="D49" i="11"/>
  <c r="Y49" i="11"/>
  <c r="R49" i="11"/>
  <c r="L49" i="11"/>
  <c r="F49" i="11"/>
  <c r="AA49" i="11"/>
  <c r="S49" i="11"/>
  <c r="K49" i="11"/>
  <c r="E49" i="11"/>
  <c r="V49" i="11"/>
  <c r="O49" i="11"/>
  <c r="H49" i="11"/>
  <c r="U49" i="11"/>
  <c r="N49" i="11"/>
  <c r="W49" i="11"/>
  <c r="P49" i="11"/>
  <c r="I49" i="11"/>
  <c r="Z49" i="11"/>
  <c r="T49" i="11"/>
  <c r="M49" i="11"/>
  <c r="C49" i="11"/>
  <c r="Z63" i="11"/>
  <c r="S63" i="11"/>
  <c r="L63" i="11"/>
  <c r="F63" i="11"/>
  <c r="AA63" i="11"/>
  <c r="T63" i="11"/>
  <c r="M63" i="11"/>
  <c r="W63" i="11"/>
  <c r="P63" i="11"/>
  <c r="H63" i="11"/>
  <c r="U63" i="11"/>
  <c r="N63" i="11"/>
  <c r="E63" i="11"/>
  <c r="Y63" i="11"/>
  <c r="R63" i="11"/>
  <c r="K63" i="11"/>
  <c r="V63" i="11"/>
  <c r="O63" i="11"/>
  <c r="I63" i="11"/>
  <c r="C63" i="11"/>
  <c r="X63" i="11"/>
  <c r="Q63" i="11"/>
  <c r="J63" i="11"/>
  <c r="D63" i="11"/>
  <c r="AC79" i="11"/>
  <c r="V79" i="11"/>
  <c r="O79" i="11"/>
  <c r="H79" i="11"/>
  <c r="AA79" i="11"/>
  <c r="T79" i="11"/>
  <c r="N79" i="11"/>
  <c r="X79" i="11"/>
  <c r="P79" i="11"/>
  <c r="K79" i="11"/>
  <c r="D79" i="11"/>
  <c r="W79" i="11"/>
  <c r="Q79" i="11"/>
  <c r="L79" i="11"/>
  <c r="E79" i="11"/>
  <c r="Y79" i="11"/>
  <c r="R79" i="11"/>
  <c r="M79" i="11"/>
  <c r="F79" i="11"/>
  <c r="Z79" i="11"/>
  <c r="S79" i="11"/>
  <c r="I79" i="11"/>
  <c r="U79" i="11"/>
  <c r="J79" i="11"/>
  <c r="C79" i="11"/>
  <c r="AC78" i="11"/>
  <c r="X78" i="11"/>
  <c r="Q78" i="11"/>
  <c r="J78" i="11"/>
  <c r="D78" i="11"/>
  <c r="Z78" i="11"/>
  <c r="S78" i="11"/>
  <c r="L78" i="11"/>
  <c r="E78" i="11"/>
  <c r="W78" i="11"/>
  <c r="P78" i="11"/>
  <c r="I78" i="11"/>
  <c r="AA78" i="11"/>
  <c r="U78" i="11"/>
  <c r="M78" i="11"/>
  <c r="F78" i="11"/>
  <c r="Y78" i="11"/>
  <c r="R78" i="11"/>
  <c r="K78" i="11"/>
  <c r="C78" i="11"/>
  <c r="V78" i="11"/>
  <c r="O78" i="11"/>
  <c r="H78" i="11"/>
  <c r="T78" i="11"/>
  <c r="N78" i="11"/>
  <c r="AC76" i="11"/>
  <c r="Y76" i="11"/>
  <c r="S76" i="11"/>
  <c r="L76" i="11"/>
  <c r="F76" i="11"/>
  <c r="AA76" i="11"/>
  <c r="T76" i="11"/>
  <c r="M76" i="11"/>
  <c r="W76" i="11"/>
  <c r="R76" i="11"/>
  <c r="K76" i="11"/>
  <c r="Z76" i="11"/>
  <c r="N76" i="11"/>
  <c r="V76" i="11"/>
  <c r="P76" i="11"/>
  <c r="H76" i="11"/>
  <c r="E76" i="11"/>
  <c r="U76" i="11"/>
  <c r="O76" i="11"/>
  <c r="I76" i="11"/>
  <c r="C76" i="11"/>
  <c r="X76" i="11"/>
  <c r="Q76" i="11"/>
  <c r="J76" i="11"/>
  <c r="D76" i="11"/>
  <c r="AC75" i="11"/>
  <c r="AA75" i="11"/>
  <c r="U75" i="11"/>
  <c r="M75" i="11"/>
  <c r="D75" i="11"/>
  <c r="X75" i="11"/>
  <c r="R75" i="11"/>
  <c r="L75" i="11"/>
  <c r="V75" i="11"/>
  <c r="P75" i="11"/>
  <c r="J75" i="11"/>
  <c r="Y75" i="11"/>
  <c r="T75" i="11"/>
  <c r="O75" i="11"/>
  <c r="I75" i="11"/>
  <c r="E75" i="11"/>
  <c r="Z75" i="11"/>
  <c r="S75" i="11"/>
  <c r="N75" i="11"/>
  <c r="H75" i="11"/>
  <c r="C75" i="11"/>
  <c r="W75" i="11"/>
  <c r="Q75" i="11"/>
  <c r="K75" i="11"/>
  <c r="F75" i="11"/>
  <c r="AC93" i="11"/>
  <c r="Z93" i="11"/>
  <c r="U93" i="11"/>
  <c r="O93" i="11"/>
  <c r="J93" i="11"/>
  <c r="AA93" i="11"/>
  <c r="T93" i="11"/>
  <c r="N93" i="11"/>
  <c r="H93" i="11"/>
  <c r="D93" i="11"/>
  <c r="W93" i="11"/>
  <c r="P93" i="11"/>
  <c r="I93" i="11"/>
  <c r="Y93" i="11"/>
  <c r="S93" i="11"/>
  <c r="M93" i="11"/>
  <c r="X93" i="11"/>
  <c r="R93" i="11"/>
  <c r="L93" i="11"/>
  <c r="F93" i="11"/>
  <c r="C93" i="11"/>
  <c r="V93" i="11"/>
  <c r="Q93" i="11"/>
  <c r="K93" i="11"/>
  <c r="E93" i="11"/>
  <c r="AC141" i="11"/>
  <c r="AA141" i="11"/>
  <c r="D141" i="11"/>
  <c r="Y141" i="11"/>
  <c r="W141" i="11"/>
  <c r="U141" i="11"/>
  <c r="S141" i="11"/>
  <c r="P141" i="11"/>
  <c r="N141" i="11"/>
  <c r="L141" i="11"/>
  <c r="J141" i="11"/>
  <c r="H141" i="11"/>
  <c r="F141" i="11"/>
  <c r="C141" i="11"/>
  <c r="Z141" i="11"/>
  <c r="X141" i="11"/>
  <c r="V141" i="11"/>
  <c r="T141" i="11"/>
  <c r="R141" i="11"/>
  <c r="Q141" i="11"/>
  <c r="O141" i="11"/>
  <c r="M141" i="11"/>
  <c r="K141" i="11"/>
  <c r="I141" i="11"/>
  <c r="E141" i="11"/>
  <c r="AC140" i="11"/>
  <c r="AA140" i="11"/>
  <c r="Z140" i="11"/>
  <c r="Y140" i="11"/>
  <c r="X140" i="11"/>
  <c r="W140" i="11"/>
  <c r="V140" i="11"/>
  <c r="U140" i="11"/>
  <c r="T140" i="11"/>
  <c r="S140" i="11"/>
  <c r="R140" i="11"/>
  <c r="Q140" i="11"/>
  <c r="O140" i="11"/>
  <c r="M140" i="11"/>
  <c r="K140" i="11"/>
  <c r="I140" i="11"/>
  <c r="E140" i="11"/>
  <c r="C140" i="11"/>
  <c r="P140" i="11"/>
  <c r="N140" i="11"/>
  <c r="L140" i="11"/>
  <c r="J140" i="11"/>
  <c r="H140" i="11"/>
  <c r="F140" i="11"/>
  <c r="D140" i="11"/>
  <c r="AC138" i="11"/>
  <c r="AA138" i="11"/>
  <c r="X138" i="11"/>
  <c r="U138" i="11"/>
  <c r="R138" i="11"/>
  <c r="O138" i="11"/>
  <c r="L138" i="11"/>
  <c r="I138" i="11"/>
  <c r="F138" i="11"/>
  <c r="C138" i="11"/>
  <c r="Z138" i="11"/>
  <c r="W138" i="11"/>
  <c r="T138" i="11"/>
  <c r="Q138" i="11"/>
  <c r="N138" i="11"/>
  <c r="K138" i="11"/>
  <c r="H138" i="11"/>
  <c r="E138" i="11"/>
  <c r="Y138" i="11"/>
  <c r="V138" i="11"/>
  <c r="S138" i="11"/>
  <c r="P138" i="11"/>
  <c r="M138" i="11"/>
  <c r="J138" i="11"/>
  <c r="D138" i="11"/>
  <c r="AC137" i="11"/>
  <c r="Y137" i="11"/>
  <c r="V137" i="11"/>
  <c r="R137" i="11"/>
  <c r="O137" i="11"/>
  <c r="M137" i="11"/>
  <c r="K137" i="11"/>
  <c r="H137" i="11"/>
  <c r="E137" i="11"/>
  <c r="Z137" i="11"/>
  <c r="W137" i="11"/>
  <c r="T137" i="11"/>
  <c r="Q137" i="11"/>
  <c r="N137" i="11"/>
  <c r="L137" i="11"/>
  <c r="J137" i="11"/>
  <c r="D137" i="11"/>
  <c r="AA137" i="11"/>
  <c r="X137" i="11"/>
  <c r="U137" i="11"/>
  <c r="S137" i="11"/>
  <c r="P137" i="11"/>
  <c r="I137" i="11"/>
  <c r="F137" i="11"/>
  <c r="C137" i="11"/>
  <c r="AC135" i="11"/>
  <c r="Y135" i="11"/>
  <c r="V135" i="11"/>
  <c r="S135" i="11"/>
  <c r="P135" i="11"/>
  <c r="M135" i="11"/>
  <c r="J135" i="11"/>
  <c r="D135" i="11"/>
  <c r="Z135" i="11"/>
  <c r="X135" i="11"/>
  <c r="U135" i="11"/>
  <c r="R135" i="11"/>
  <c r="O135" i="11"/>
  <c r="L135" i="11"/>
  <c r="I135" i="11"/>
  <c r="F135" i="11"/>
  <c r="C135" i="11"/>
  <c r="AA135" i="11"/>
  <c r="W135" i="11"/>
  <c r="T135" i="11"/>
  <c r="Q135" i="11"/>
  <c r="N135" i="11"/>
  <c r="K135" i="11"/>
  <c r="H135" i="11"/>
  <c r="E135" i="11"/>
  <c r="AC152" i="11"/>
  <c r="Z152" i="11"/>
  <c r="W152" i="11"/>
  <c r="T152" i="11"/>
  <c r="R152" i="11"/>
  <c r="N152" i="11"/>
  <c r="K152" i="11"/>
  <c r="H152" i="11"/>
  <c r="E152" i="11"/>
  <c r="C152" i="11"/>
  <c r="Y152" i="11"/>
  <c r="V152" i="11"/>
  <c r="S152" i="11"/>
  <c r="P152" i="11"/>
  <c r="M152" i="11"/>
  <c r="J152" i="11"/>
  <c r="D152" i="11"/>
  <c r="AA152" i="11"/>
  <c r="X152" i="11"/>
  <c r="U152" i="11"/>
  <c r="Q152" i="11"/>
  <c r="O152" i="11"/>
  <c r="L152" i="11"/>
  <c r="I152" i="11"/>
  <c r="F152" i="11"/>
  <c r="AC149" i="11"/>
  <c r="Z149" i="11"/>
  <c r="W149" i="11"/>
  <c r="U149" i="11"/>
  <c r="Q149" i="11"/>
  <c r="N149" i="11"/>
  <c r="K149" i="11"/>
  <c r="I149" i="11"/>
  <c r="F149" i="11"/>
  <c r="C149" i="11"/>
  <c r="Y149" i="11"/>
  <c r="V149" i="11"/>
  <c r="S149" i="11"/>
  <c r="P149" i="11"/>
  <c r="M149" i="11"/>
  <c r="J149" i="11"/>
  <c r="D149" i="11"/>
  <c r="AA149" i="11"/>
  <c r="X149" i="11"/>
  <c r="T149" i="11"/>
  <c r="R149" i="11"/>
  <c r="O149" i="11"/>
  <c r="L149" i="11"/>
  <c r="H149" i="11"/>
  <c r="E149" i="11"/>
  <c r="AC146" i="11"/>
  <c r="AA146" i="11"/>
  <c r="Z146" i="11"/>
  <c r="Y146" i="11"/>
  <c r="X146" i="11"/>
  <c r="W146" i="11"/>
  <c r="V146" i="11"/>
  <c r="U146" i="11"/>
  <c r="T146" i="11"/>
  <c r="S146" i="11"/>
  <c r="R146" i="11"/>
  <c r="Q146" i="11"/>
  <c r="P146" i="11"/>
  <c r="O146" i="11"/>
  <c r="N146" i="11"/>
  <c r="M146" i="11"/>
  <c r="L146" i="11"/>
  <c r="K146" i="11"/>
  <c r="J146" i="11"/>
  <c r="I146" i="11"/>
  <c r="H146" i="11"/>
  <c r="F146" i="11"/>
  <c r="E146" i="11"/>
  <c r="D146" i="11"/>
  <c r="C146" i="11"/>
  <c r="AC145" i="11"/>
  <c r="AA145" i="11"/>
  <c r="Z145" i="11"/>
  <c r="Y145" i="11"/>
  <c r="X145" i="11"/>
  <c r="W145" i="11"/>
  <c r="V145" i="11"/>
  <c r="U145" i="11"/>
  <c r="T145" i="11"/>
  <c r="S145" i="11"/>
  <c r="R145" i="11"/>
  <c r="Q145" i="11"/>
  <c r="P145" i="11"/>
  <c r="O145" i="11"/>
  <c r="N145" i="11"/>
  <c r="M145" i="11"/>
  <c r="L145" i="11"/>
  <c r="K145" i="11"/>
  <c r="J145" i="11"/>
  <c r="I145" i="11"/>
  <c r="H145" i="11"/>
  <c r="F145" i="11"/>
  <c r="E145" i="11"/>
  <c r="D145" i="11"/>
  <c r="C145" i="11"/>
  <c r="AC168" i="11"/>
  <c r="AA168" i="11"/>
  <c r="Z168" i="11"/>
  <c r="Y168" i="11"/>
  <c r="X168" i="11"/>
  <c r="W168" i="11"/>
  <c r="V168" i="11"/>
  <c r="U168" i="11"/>
  <c r="T168" i="11"/>
  <c r="S168" i="11"/>
  <c r="R168" i="11"/>
  <c r="Q168" i="11"/>
  <c r="P168" i="11"/>
  <c r="O168" i="11"/>
  <c r="N168" i="11"/>
  <c r="M168" i="11"/>
  <c r="L168" i="11"/>
  <c r="K168" i="11"/>
  <c r="J168" i="11"/>
  <c r="I168" i="11"/>
  <c r="H168" i="11"/>
  <c r="F168" i="11"/>
  <c r="E168" i="11"/>
  <c r="D168" i="11"/>
  <c r="C168" i="11"/>
  <c r="AC167" i="11"/>
  <c r="AA167" i="11"/>
  <c r="Z167" i="11"/>
  <c r="Y167" i="11"/>
  <c r="X167" i="11"/>
  <c r="W167" i="11"/>
  <c r="V167" i="11"/>
  <c r="U167" i="11"/>
  <c r="T167" i="11"/>
  <c r="S167" i="11"/>
  <c r="R167" i="11"/>
  <c r="Q167" i="11"/>
  <c r="P167" i="11"/>
  <c r="O167" i="11"/>
  <c r="N167" i="11"/>
  <c r="M167" i="11"/>
  <c r="L167" i="11"/>
  <c r="K167" i="11"/>
  <c r="J167" i="11"/>
  <c r="I167" i="11"/>
  <c r="H167" i="11"/>
  <c r="F167" i="11"/>
  <c r="E167" i="11"/>
  <c r="D167" i="11"/>
  <c r="C167" i="11"/>
  <c r="AC166" i="11"/>
  <c r="AA166" i="11"/>
  <c r="Z166" i="11"/>
  <c r="Y166" i="11"/>
  <c r="X166" i="11"/>
  <c r="W166" i="11"/>
  <c r="V166" i="11"/>
  <c r="U166" i="11"/>
  <c r="T166" i="11"/>
  <c r="S166" i="11"/>
  <c r="R166" i="11"/>
  <c r="Q166" i="11"/>
  <c r="P166" i="11"/>
  <c r="O166" i="11"/>
  <c r="N166" i="11"/>
  <c r="M166" i="11"/>
  <c r="L166" i="11"/>
  <c r="K166" i="11"/>
  <c r="J166" i="11"/>
  <c r="I166" i="11"/>
  <c r="H166" i="11"/>
  <c r="F166" i="11"/>
  <c r="E166" i="11"/>
  <c r="D166" i="11"/>
  <c r="C166" i="11"/>
  <c r="AC165" i="11"/>
  <c r="AA165" i="11"/>
  <c r="Z165" i="11"/>
  <c r="Y165" i="11"/>
  <c r="X165" i="11"/>
  <c r="W165" i="11"/>
  <c r="V165" i="11"/>
  <c r="U165" i="11"/>
  <c r="T165" i="11"/>
  <c r="S165" i="11"/>
  <c r="R165" i="11"/>
  <c r="Q165" i="11"/>
  <c r="P165" i="11"/>
  <c r="O165" i="11"/>
  <c r="N165" i="11"/>
  <c r="M165" i="11"/>
  <c r="L165" i="11"/>
  <c r="K165" i="11"/>
  <c r="J165" i="11"/>
  <c r="I165" i="11"/>
  <c r="H165" i="11"/>
  <c r="F165" i="11"/>
  <c r="E165" i="11"/>
  <c r="D165" i="11"/>
  <c r="C165" i="11"/>
  <c r="AC164" i="11"/>
  <c r="AA164" i="11"/>
  <c r="Z164" i="11"/>
  <c r="Y164" i="11"/>
  <c r="X164" i="11"/>
  <c r="W164" i="11"/>
  <c r="V164" i="11"/>
  <c r="U164" i="11"/>
  <c r="T164" i="11"/>
  <c r="S164" i="11"/>
  <c r="R164" i="11"/>
  <c r="Q164" i="11"/>
  <c r="P164" i="11"/>
  <c r="O164" i="11"/>
  <c r="N164" i="11"/>
  <c r="M164" i="11"/>
  <c r="L164" i="11"/>
  <c r="K164" i="11"/>
  <c r="J164" i="11"/>
  <c r="I164" i="11"/>
  <c r="H164" i="11"/>
  <c r="F164" i="11"/>
  <c r="E164" i="11"/>
  <c r="D164" i="11"/>
  <c r="C164" i="11"/>
  <c r="AC163" i="11"/>
  <c r="AA163" i="11"/>
  <c r="Z163" i="11"/>
  <c r="Y163" i="11"/>
  <c r="X163" i="11"/>
  <c r="W163" i="11"/>
  <c r="V163" i="11"/>
  <c r="U163" i="11"/>
  <c r="T163" i="11"/>
  <c r="S163" i="11"/>
  <c r="R163" i="11"/>
  <c r="Q163" i="11"/>
  <c r="P163" i="11"/>
  <c r="O163" i="11"/>
  <c r="N163" i="11"/>
  <c r="M163" i="11"/>
  <c r="L163" i="11"/>
  <c r="K163" i="11"/>
  <c r="J163" i="11"/>
  <c r="I163" i="11"/>
  <c r="H163" i="11"/>
  <c r="G163" i="11"/>
  <c r="F163" i="11"/>
  <c r="E163" i="11"/>
  <c r="D163" i="11"/>
  <c r="C163" i="11"/>
  <c r="B163" i="11"/>
  <c r="AB163" i="11" s="1"/>
  <c r="AC162" i="11"/>
  <c r="AA162" i="11"/>
  <c r="Z162" i="11"/>
  <c r="Y162" i="11"/>
  <c r="X162" i="11"/>
  <c r="W162" i="11"/>
  <c r="V162" i="11"/>
  <c r="U162" i="11"/>
  <c r="T162" i="11"/>
  <c r="S162" i="11"/>
  <c r="R162" i="11"/>
  <c r="Q162" i="11"/>
  <c r="P162" i="11"/>
  <c r="O162" i="11"/>
  <c r="N162" i="11"/>
  <c r="M162" i="11"/>
  <c r="L162" i="11"/>
  <c r="K162" i="11"/>
  <c r="J162" i="11"/>
  <c r="I162" i="11"/>
  <c r="H162" i="11"/>
  <c r="G162" i="11"/>
  <c r="F162" i="11"/>
  <c r="E162" i="11"/>
  <c r="D162" i="11"/>
  <c r="C162" i="11"/>
  <c r="B162" i="11"/>
  <c r="AB162" i="11" s="1"/>
  <c r="AC161" i="11"/>
  <c r="AA161" i="11"/>
  <c r="Z161" i="11"/>
  <c r="Y161" i="11"/>
  <c r="X161" i="11"/>
  <c r="W161" i="11"/>
  <c r="V161" i="11"/>
  <c r="U161" i="11"/>
  <c r="T161" i="11"/>
  <c r="S161" i="11"/>
  <c r="R161" i="11"/>
  <c r="Q161" i="11"/>
  <c r="P161" i="11"/>
  <c r="O161" i="11"/>
  <c r="N161" i="11"/>
  <c r="M161" i="11"/>
  <c r="L161" i="11"/>
  <c r="K161" i="11"/>
  <c r="J161" i="11"/>
  <c r="I161" i="11"/>
  <c r="H161" i="11"/>
  <c r="F161" i="11"/>
  <c r="E161" i="11"/>
  <c r="D161" i="11"/>
  <c r="C161" i="11"/>
  <c r="AC160" i="11"/>
  <c r="AA160" i="11"/>
  <c r="Z160" i="11"/>
  <c r="Y160" i="11"/>
  <c r="X160" i="11"/>
  <c r="W160" i="11"/>
  <c r="V160" i="11"/>
  <c r="U160" i="11"/>
  <c r="T160" i="11"/>
  <c r="S160" i="11"/>
  <c r="R160" i="11"/>
  <c r="Q160" i="11"/>
  <c r="P160" i="11"/>
  <c r="O160" i="11"/>
  <c r="N160" i="11"/>
  <c r="M160" i="11"/>
  <c r="L160" i="11"/>
  <c r="K160" i="11"/>
  <c r="J160" i="11"/>
  <c r="I160" i="11"/>
  <c r="H160" i="11"/>
  <c r="F160" i="11"/>
  <c r="E160" i="11"/>
  <c r="D160" i="11"/>
  <c r="C160" i="11"/>
  <c r="AC159" i="11"/>
  <c r="AA159" i="11"/>
  <c r="Z159" i="11"/>
  <c r="Y159" i="11"/>
  <c r="X159" i="11"/>
  <c r="W159" i="11"/>
  <c r="V159" i="11"/>
  <c r="U159" i="11"/>
  <c r="T159" i="11"/>
  <c r="S159" i="11"/>
  <c r="R159" i="11"/>
  <c r="Q159" i="11"/>
  <c r="P159" i="11"/>
  <c r="O159" i="11"/>
  <c r="N159" i="11"/>
  <c r="M159" i="11"/>
  <c r="L159" i="11"/>
  <c r="K159" i="11"/>
  <c r="J159" i="11"/>
  <c r="I159" i="11"/>
  <c r="H159" i="11"/>
  <c r="F159" i="11"/>
  <c r="E159" i="11"/>
  <c r="D159" i="11"/>
  <c r="C159" i="11"/>
  <c r="AC158" i="11"/>
  <c r="AA158" i="11"/>
  <c r="Z158" i="11"/>
  <c r="Y158" i="11"/>
  <c r="X158" i="11"/>
  <c r="W158" i="11"/>
  <c r="V158" i="11"/>
  <c r="U158" i="11"/>
  <c r="T158" i="11"/>
  <c r="S158" i="11"/>
  <c r="R158" i="11"/>
  <c r="Q158" i="11"/>
  <c r="P158" i="11"/>
  <c r="O158" i="11"/>
  <c r="N158" i="11"/>
  <c r="M158" i="11"/>
  <c r="L158" i="11"/>
  <c r="K158" i="11"/>
  <c r="J158" i="11"/>
  <c r="I158" i="11"/>
  <c r="H158" i="11"/>
  <c r="F158" i="11"/>
  <c r="E158" i="11"/>
  <c r="D158" i="11"/>
  <c r="C158" i="11"/>
  <c r="AC157" i="11"/>
  <c r="AA157" i="11"/>
  <c r="Z157" i="11"/>
  <c r="Y157" i="11"/>
  <c r="X157" i="11"/>
  <c r="W157" i="11"/>
  <c r="V157" i="11"/>
  <c r="U157" i="11"/>
  <c r="T157" i="11"/>
  <c r="S157" i="11"/>
  <c r="R157" i="11"/>
  <c r="Q157" i="11"/>
  <c r="P157" i="11"/>
  <c r="O157" i="11"/>
  <c r="N157" i="11"/>
  <c r="M157" i="11"/>
  <c r="L157" i="11"/>
  <c r="K157" i="11"/>
  <c r="J157" i="11"/>
  <c r="I157" i="11"/>
  <c r="H157" i="11"/>
  <c r="F157" i="11"/>
  <c r="E157" i="11"/>
  <c r="D157" i="11"/>
  <c r="C157" i="11"/>
  <c r="AC180" i="11"/>
  <c r="AA180" i="11"/>
  <c r="Z180" i="11"/>
  <c r="Y180" i="11"/>
  <c r="X180" i="11"/>
  <c r="W180" i="11"/>
  <c r="V180" i="11"/>
  <c r="U180" i="11"/>
  <c r="T180" i="11"/>
  <c r="S180" i="11"/>
  <c r="R180" i="11"/>
  <c r="Q180" i="11"/>
  <c r="P180" i="11"/>
  <c r="O180" i="11"/>
  <c r="N180" i="11"/>
  <c r="M180" i="11"/>
  <c r="L180" i="11"/>
  <c r="K180" i="11"/>
  <c r="J180" i="11"/>
  <c r="I180" i="11"/>
  <c r="H180" i="11"/>
  <c r="F180" i="11"/>
  <c r="E180" i="11"/>
  <c r="D180" i="11"/>
  <c r="C180" i="11"/>
  <c r="AC179" i="11"/>
  <c r="AA179" i="11"/>
  <c r="Z179" i="11"/>
  <c r="Y179" i="11"/>
  <c r="X179" i="11"/>
  <c r="W179" i="11"/>
  <c r="V179" i="11"/>
  <c r="U179" i="11"/>
  <c r="T179" i="11"/>
  <c r="S179" i="11"/>
  <c r="R179" i="11"/>
  <c r="Q179" i="11"/>
  <c r="P179" i="11"/>
  <c r="O179" i="11"/>
  <c r="N179" i="11"/>
  <c r="M179" i="11"/>
  <c r="L179" i="11"/>
  <c r="K179" i="11"/>
  <c r="J179" i="11"/>
  <c r="I179" i="11"/>
  <c r="H179" i="11"/>
  <c r="F179" i="11"/>
  <c r="E179" i="11"/>
  <c r="D179" i="11"/>
  <c r="C179" i="11"/>
  <c r="AC178" i="11"/>
  <c r="AA178" i="11"/>
  <c r="Z178" i="11"/>
  <c r="Y178" i="11"/>
  <c r="X178" i="11"/>
  <c r="W178" i="11"/>
  <c r="V178" i="11"/>
  <c r="U178" i="11"/>
  <c r="T178" i="11"/>
  <c r="S178" i="11"/>
  <c r="R178" i="11"/>
  <c r="Q178" i="11"/>
  <c r="P178" i="11"/>
  <c r="O178" i="11"/>
  <c r="N178" i="11"/>
  <c r="M178" i="11"/>
  <c r="L178" i="11"/>
  <c r="K178" i="11"/>
  <c r="J178" i="11"/>
  <c r="I178" i="11"/>
  <c r="H178" i="11"/>
  <c r="F178" i="11"/>
  <c r="E178" i="11"/>
  <c r="D178" i="11"/>
  <c r="C178" i="11"/>
  <c r="AC177" i="11"/>
  <c r="AA177" i="11"/>
  <c r="Z177" i="11"/>
  <c r="Y177" i="11"/>
  <c r="X177" i="11"/>
  <c r="W177" i="11"/>
  <c r="V177" i="11"/>
  <c r="U177" i="11"/>
  <c r="T177" i="11"/>
  <c r="S177" i="11"/>
  <c r="R177" i="11"/>
  <c r="Q177" i="11"/>
  <c r="P177" i="11"/>
  <c r="O177" i="11"/>
  <c r="N177" i="11"/>
  <c r="M177" i="11"/>
  <c r="L177" i="11"/>
  <c r="K177" i="11"/>
  <c r="J177" i="11"/>
  <c r="I177" i="11"/>
  <c r="H177" i="11"/>
  <c r="F177" i="11"/>
  <c r="E177" i="11"/>
  <c r="D177" i="11"/>
  <c r="C177" i="11"/>
  <c r="AC176" i="11"/>
  <c r="AA176" i="11"/>
  <c r="Z176" i="11"/>
  <c r="Y176" i="11"/>
  <c r="X176" i="11"/>
  <c r="W176" i="11"/>
  <c r="V176" i="11"/>
  <c r="U176" i="11"/>
  <c r="T176" i="11"/>
  <c r="S176" i="11"/>
  <c r="R176" i="11"/>
  <c r="Q176" i="11"/>
  <c r="P176" i="11"/>
  <c r="O176" i="11"/>
  <c r="N176" i="11"/>
  <c r="M176" i="11"/>
  <c r="L176" i="11"/>
  <c r="K176" i="11"/>
  <c r="J176" i="11"/>
  <c r="I176" i="11"/>
  <c r="H176" i="11"/>
  <c r="F176" i="11"/>
  <c r="E176" i="11"/>
  <c r="D176" i="11"/>
  <c r="C176" i="11"/>
  <c r="AC175" i="11"/>
  <c r="AA175" i="11"/>
  <c r="Z175" i="11"/>
  <c r="Y175" i="11"/>
  <c r="X175" i="11"/>
  <c r="W175" i="11"/>
  <c r="V175" i="11"/>
  <c r="U175" i="11"/>
  <c r="T175" i="11"/>
  <c r="S175" i="11"/>
  <c r="R175" i="11"/>
  <c r="Q175" i="11"/>
  <c r="P175" i="11"/>
  <c r="O175" i="11"/>
  <c r="N175" i="11"/>
  <c r="M175" i="11"/>
  <c r="L175" i="11"/>
  <c r="K175" i="11"/>
  <c r="J175" i="11"/>
  <c r="I175" i="11"/>
  <c r="H175" i="11"/>
  <c r="F175" i="11"/>
  <c r="E175" i="11"/>
  <c r="D175" i="11"/>
  <c r="C175" i="11"/>
  <c r="AC174" i="11"/>
  <c r="AA174" i="11"/>
  <c r="Z174" i="11"/>
  <c r="Y174" i="11"/>
  <c r="X174" i="11"/>
  <c r="W174" i="11"/>
  <c r="V174" i="11"/>
  <c r="U174" i="11"/>
  <c r="T174" i="11"/>
  <c r="S174" i="11"/>
  <c r="R174" i="11"/>
  <c r="Q174" i="11"/>
  <c r="P174" i="11"/>
  <c r="O174" i="11"/>
  <c r="N174" i="11"/>
  <c r="M174" i="11"/>
  <c r="L174" i="11"/>
  <c r="K174" i="11"/>
  <c r="J174" i="11"/>
  <c r="I174" i="11"/>
  <c r="H174" i="11"/>
  <c r="F174" i="11"/>
  <c r="E174" i="11"/>
  <c r="D174" i="11"/>
  <c r="C174" i="11"/>
  <c r="AC173" i="11"/>
  <c r="AA173" i="11"/>
  <c r="Z173" i="11"/>
  <c r="Y173" i="11"/>
  <c r="X173" i="11"/>
  <c r="W173" i="11"/>
  <c r="V173" i="11"/>
  <c r="U173" i="11"/>
  <c r="T173" i="11"/>
  <c r="S173" i="11"/>
  <c r="R173" i="11"/>
  <c r="Q173" i="11"/>
  <c r="P173" i="11"/>
  <c r="O173" i="11"/>
  <c r="N173" i="11"/>
  <c r="M173" i="11"/>
  <c r="L173" i="11"/>
  <c r="K173" i="11"/>
  <c r="J173" i="11"/>
  <c r="I173" i="11"/>
  <c r="H173" i="11"/>
  <c r="F173" i="11"/>
  <c r="E173" i="11"/>
  <c r="D173" i="11"/>
  <c r="C173" i="11"/>
  <c r="AC172" i="11"/>
  <c r="AA172" i="11"/>
  <c r="Z172" i="11"/>
  <c r="Y172" i="11"/>
  <c r="X172" i="11"/>
  <c r="W172" i="11"/>
  <c r="V172" i="11"/>
  <c r="U172" i="11"/>
  <c r="T172" i="11"/>
  <c r="S172" i="11"/>
  <c r="R172" i="11"/>
  <c r="Q172" i="11"/>
  <c r="P172" i="11"/>
  <c r="O172" i="11"/>
  <c r="N172" i="11"/>
  <c r="M172" i="11"/>
  <c r="L172" i="11"/>
  <c r="K172" i="11"/>
  <c r="J172" i="11"/>
  <c r="I172" i="11"/>
  <c r="H172" i="11"/>
  <c r="F172" i="11"/>
  <c r="E172" i="11"/>
  <c r="D172" i="11"/>
  <c r="C172" i="11"/>
  <c r="AC171" i="11"/>
  <c r="AA171" i="11"/>
  <c r="Z171" i="11"/>
  <c r="Y171" i="11"/>
  <c r="X171" i="11"/>
  <c r="W171" i="11"/>
  <c r="V171" i="11"/>
  <c r="U171" i="11"/>
  <c r="T171" i="11"/>
  <c r="S171" i="11"/>
  <c r="R171" i="11"/>
  <c r="Q171" i="11"/>
  <c r="P171" i="11"/>
  <c r="O171" i="11"/>
  <c r="N171" i="11"/>
  <c r="M171" i="11"/>
  <c r="L171" i="11"/>
  <c r="K171" i="11"/>
  <c r="J171" i="11"/>
  <c r="I171" i="11"/>
  <c r="H171" i="11"/>
  <c r="F171" i="11"/>
  <c r="E171" i="11"/>
  <c r="D171" i="11"/>
  <c r="C171" i="11"/>
  <c r="AC170" i="11"/>
  <c r="AA170" i="11"/>
  <c r="Z170" i="11"/>
  <c r="Y170" i="11"/>
  <c r="X170" i="11"/>
  <c r="W170" i="11"/>
  <c r="V170" i="11"/>
  <c r="U170" i="11"/>
  <c r="T170" i="11"/>
  <c r="S170" i="11"/>
  <c r="R170" i="11"/>
  <c r="Q170" i="11"/>
  <c r="P170" i="11"/>
  <c r="O170" i="11"/>
  <c r="N170" i="11"/>
  <c r="M170" i="11"/>
  <c r="L170" i="11"/>
  <c r="K170" i="11"/>
  <c r="J170" i="11"/>
  <c r="I170" i="11"/>
  <c r="H170" i="11"/>
  <c r="F170" i="11"/>
  <c r="E170" i="11"/>
  <c r="D170" i="11"/>
  <c r="C170" i="11"/>
  <c r="AC169" i="11"/>
  <c r="AA169" i="11"/>
  <c r="Z169" i="11"/>
  <c r="Y169" i="11"/>
  <c r="X169" i="11"/>
  <c r="W169" i="11"/>
  <c r="V169" i="11"/>
  <c r="U169" i="11"/>
  <c r="T169" i="11"/>
  <c r="S169" i="11"/>
  <c r="R169" i="11"/>
  <c r="Q169" i="11"/>
  <c r="P169" i="11"/>
  <c r="O169" i="11"/>
  <c r="N169" i="11"/>
  <c r="M169" i="11"/>
  <c r="L169" i="11"/>
  <c r="K169" i="11"/>
  <c r="J169" i="11"/>
  <c r="I169" i="11"/>
  <c r="H169" i="11"/>
  <c r="F169" i="11"/>
  <c r="E169" i="11"/>
  <c r="D169" i="11"/>
  <c r="C169" i="11"/>
  <c r="AC192" i="11"/>
  <c r="AA192" i="11"/>
  <c r="Z192" i="11"/>
  <c r="Y192" i="11"/>
  <c r="X192" i="11"/>
  <c r="W192" i="11"/>
  <c r="V192" i="11"/>
  <c r="U192" i="11"/>
  <c r="T192" i="11"/>
  <c r="S192" i="11"/>
  <c r="R192" i="11"/>
  <c r="Q192" i="11"/>
  <c r="P192" i="11"/>
  <c r="O192" i="11"/>
  <c r="N192" i="11"/>
  <c r="M192" i="11"/>
  <c r="L192" i="11"/>
  <c r="K192" i="11"/>
  <c r="J192" i="11"/>
  <c r="I192" i="11"/>
  <c r="H192" i="11"/>
  <c r="F192" i="11"/>
  <c r="E192" i="11"/>
  <c r="D192" i="11"/>
  <c r="C192" i="11"/>
  <c r="AC191" i="11"/>
  <c r="AA191" i="11"/>
  <c r="Z191" i="11"/>
  <c r="Y191" i="11"/>
  <c r="X191" i="11"/>
  <c r="W191" i="11"/>
  <c r="V191" i="11"/>
  <c r="U191" i="11"/>
  <c r="T191" i="11"/>
  <c r="S191" i="11"/>
  <c r="R191" i="11"/>
  <c r="Q191" i="11"/>
  <c r="P191" i="11"/>
  <c r="O191" i="11"/>
  <c r="N191" i="11"/>
  <c r="M191" i="11"/>
  <c r="L191" i="11"/>
  <c r="K191" i="11"/>
  <c r="J191" i="11"/>
  <c r="I191" i="11"/>
  <c r="H191" i="11"/>
  <c r="F191" i="11"/>
  <c r="E191" i="11"/>
  <c r="D191" i="11"/>
  <c r="C191" i="11"/>
  <c r="AC190" i="11"/>
  <c r="AA190" i="11"/>
  <c r="Z190" i="11"/>
  <c r="Y190" i="11"/>
  <c r="X190" i="11"/>
  <c r="W190" i="11"/>
  <c r="V190" i="11"/>
  <c r="U190" i="11"/>
  <c r="T190" i="11"/>
  <c r="S190" i="11"/>
  <c r="R190" i="11"/>
  <c r="Q190" i="11"/>
  <c r="P190" i="11"/>
  <c r="O190" i="11"/>
  <c r="N190" i="11"/>
  <c r="M190" i="11"/>
  <c r="L190" i="11"/>
  <c r="K190" i="11"/>
  <c r="J190" i="11"/>
  <c r="I190" i="11"/>
  <c r="H190" i="11"/>
  <c r="F190" i="11"/>
  <c r="E190" i="11"/>
  <c r="D190" i="11"/>
  <c r="C190" i="11"/>
  <c r="Y26" i="11"/>
  <c r="R26" i="11"/>
  <c r="J26" i="11"/>
  <c r="W26" i="11"/>
  <c r="P26" i="11"/>
  <c r="H26" i="11"/>
  <c r="T26" i="11"/>
  <c r="N26" i="11"/>
  <c r="I26" i="11"/>
  <c r="D26" i="11"/>
  <c r="AA26" i="11"/>
  <c r="V26" i="11"/>
  <c r="O26" i="11"/>
  <c r="U26" i="11"/>
  <c r="M26" i="11"/>
  <c r="F26" i="11"/>
  <c r="C26" i="11"/>
  <c r="Z26" i="11"/>
  <c r="S26" i="11"/>
  <c r="L26" i="11"/>
  <c r="E26" i="11"/>
  <c r="X26" i="11"/>
  <c r="Q26" i="11"/>
  <c r="K26" i="11"/>
  <c r="Y50" i="11"/>
  <c r="R50" i="11"/>
  <c r="K50" i="11"/>
  <c r="V50" i="11"/>
  <c r="N50" i="11"/>
  <c r="F50" i="11"/>
  <c r="AA50" i="11"/>
  <c r="T50" i="11"/>
  <c r="M50" i="11"/>
  <c r="X50" i="11"/>
  <c r="Q50" i="11"/>
  <c r="J50" i="11"/>
  <c r="D50" i="11"/>
  <c r="W50" i="11"/>
  <c r="P50" i="11"/>
  <c r="I50" i="11"/>
  <c r="Z50" i="11"/>
  <c r="S50" i="11"/>
  <c r="L50" i="11"/>
  <c r="E50" i="11"/>
  <c r="U50" i="11"/>
  <c r="O50" i="11"/>
  <c r="H50" i="11"/>
  <c r="C50" i="11"/>
  <c r="U69" i="11"/>
  <c r="N69" i="11"/>
  <c r="Y69" i="11"/>
  <c r="R69" i="11"/>
  <c r="L69" i="11"/>
  <c r="F69" i="11"/>
  <c r="Z69" i="11"/>
  <c r="T69" i="11"/>
  <c r="M69" i="11"/>
  <c r="E69" i="11"/>
  <c r="X69" i="11"/>
  <c r="Q69" i="11"/>
  <c r="J69" i="11"/>
  <c r="AA69" i="11"/>
  <c r="S69" i="11"/>
  <c r="K69" i="11"/>
  <c r="D69" i="11"/>
  <c r="V69" i="11"/>
  <c r="O69" i="11"/>
  <c r="H69" i="11"/>
  <c r="W69" i="11"/>
  <c r="P69" i="11"/>
  <c r="I69" i="11"/>
  <c r="C69" i="11"/>
  <c r="Y67" i="11"/>
  <c r="R67" i="11"/>
  <c r="L67" i="11"/>
  <c r="E67" i="11"/>
  <c r="X67" i="11"/>
  <c r="Q67" i="11"/>
  <c r="I67" i="11"/>
  <c r="D67" i="11"/>
  <c r="V67" i="11"/>
  <c r="O67" i="11"/>
  <c r="J67" i="11"/>
  <c r="C67" i="11"/>
  <c r="AA67" i="11"/>
  <c r="U67" i="11"/>
  <c r="N67" i="11"/>
  <c r="T67" i="11"/>
  <c r="M67" i="11"/>
  <c r="Z67" i="11"/>
  <c r="S67" i="11"/>
  <c r="K67" i="11"/>
  <c r="F67" i="11"/>
  <c r="W67" i="11"/>
  <c r="P67" i="11"/>
  <c r="H67" i="11"/>
  <c r="W62" i="11"/>
  <c r="Q62" i="11"/>
  <c r="J62" i="11"/>
  <c r="D62" i="11"/>
  <c r="Z62" i="11"/>
  <c r="S62" i="11"/>
  <c r="L62" i="11"/>
  <c r="Y62" i="11"/>
  <c r="T62" i="11"/>
  <c r="M62" i="11"/>
  <c r="F62" i="11"/>
  <c r="V62" i="11"/>
  <c r="P62" i="11"/>
  <c r="I62" i="11"/>
  <c r="E62" i="11"/>
  <c r="X62" i="11"/>
  <c r="O62" i="11"/>
  <c r="H62" i="11"/>
  <c r="U62" i="11"/>
  <c r="N62" i="11"/>
  <c r="AA62" i="11"/>
  <c r="R62" i="11"/>
  <c r="K62" i="11"/>
  <c r="C62" i="11"/>
  <c r="AC81" i="11"/>
  <c r="Z81" i="11"/>
  <c r="T81" i="11"/>
  <c r="K81" i="11"/>
  <c r="D81" i="11"/>
  <c r="Y81" i="11"/>
  <c r="R81" i="11"/>
  <c r="L81" i="11"/>
  <c r="E81" i="11"/>
  <c r="V81" i="11"/>
  <c r="O81" i="11"/>
  <c r="H81" i="11"/>
  <c r="W81" i="11"/>
  <c r="P81" i="11"/>
  <c r="I81" i="11"/>
  <c r="X81" i="11"/>
  <c r="Q81" i="11"/>
  <c r="J81" i="11"/>
  <c r="AA81" i="11"/>
  <c r="S81" i="11"/>
  <c r="M81" i="11"/>
  <c r="F81" i="11"/>
  <c r="U81" i="11"/>
  <c r="N81" i="11"/>
  <c r="C81" i="11"/>
  <c r="X73" i="11"/>
  <c r="R73" i="11"/>
  <c r="L73" i="11"/>
  <c r="G73" i="11"/>
  <c r="V73" i="11"/>
  <c r="P73" i="11"/>
  <c r="J73" i="11"/>
  <c r="B73" i="11"/>
  <c r="W73" i="11"/>
  <c r="Q73" i="11"/>
  <c r="K73" i="11"/>
  <c r="E73" i="11"/>
  <c r="Z73" i="11"/>
  <c r="T73" i="11"/>
  <c r="N73" i="11"/>
  <c r="I73" i="11"/>
  <c r="D73" i="11"/>
  <c r="Y73" i="11"/>
  <c r="S73" i="11"/>
  <c r="M73" i="11"/>
  <c r="F73" i="11"/>
  <c r="AA73" i="11"/>
  <c r="U73" i="11"/>
  <c r="O73" i="11"/>
  <c r="H73" i="11"/>
  <c r="C73" i="11"/>
  <c r="AC94" i="11"/>
  <c r="AA94" i="11"/>
  <c r="T94" i="11"/>
  <c r="O94" i="11"/>
  <c r="J94" i="11"/>
  <c r="C94" i="11"/>
  <c r="X94" i="11"/>
  <c r="R94" i="11"/>
  <c r="L94" i="11"/>
  <c r="F94" i="11"/>
  <c r="W94" i="11"/>
  <c r="Q94" i="11"/>
  <c r="K94" i="11"/>
  <c r="E94" i="11"/>
  <c r="Y94" i="11"/>
  <c r="S94" i="11"/>
  <c r="M94" i="11"/>
  <c r="G94" i="11"/>
  <c r="V94" i="11"/>
  <c r="P94" i="11"/>
  <c r="I94" i="11"/>
  <c r="B94" i="11"/>
  <c r="Z94" i="11"/>
  <c r="U94" i="11"/>
  <c r="N94" i="11"/>
  <c r="H94" i="11"/>
  <c r="D94" i="11"/>
  <c r="AC121" i="11"/>
  <c r="AA121" i="11"/>
  <c r="X121" i="11"/>
  <c r="U121" i="11"/>
  <c r="R121" i="11"/>
  <c r="O121" i="11"/>
  <c r="L121" i="11"/>
  <c r="I121" i="11"/>
  <c r="F121" i="11"/>
  <c r="C121" i="11"/>
  <c r="Y121" i="11"/>
  <c r="V121" i="11"/>
  <c r="S121" i="11"/>
  <c r="P121" i="11"/>
  <c r="M121" i="11"/>
  <c r="J121" i="11"/>
  <c r="G121" i="11"/>
  <c r="D121" i="11"/>
  <c r="Z121" i="11"/>
  <c r="W121" i="11"/>
  <c r="T121" i="11"/>
  <c r="Q121" i="11"/>
  <c r="N121" i="11"/>
  <c r="K121" i="11"/>
  <c r="H121" i="11"/>
  <c r="E121" i="11"/>
  <c r="B121" i="11"/>
  <c r="AC144" i="11"/>
  <c r="AA144" i="11"/>
  <c r="X144" i="11"/>
  <c r="U144" i="11"/>
  <c r="R144" i="11"/>
  <c r="O144" i="11"/>
  <c r="L144" i="11"/>
  <c r="I144" i="11"/>
  <c r="F144" i="11"/>
  <c r="B144" i="11"/>
  <c r="Y144" i="11"/>
  <c r="V144" i="11"/>
  <c r="S144" i="11"/>
  <c r="P144" i="11"/>
  <c r="M144" i="11"/>
  <c r="J144" i="11"/>
  <c r="G144" i="11"/>
  <c r="D144" i="11"/>
  <c r="Z144" i="11"/>
  <c r="W144" i="11"/>
  <c r="T144" i="11"/>
  <c r="Q144" i="11"/>
  <c r="N144" i="11"/>
  <c r="K144" i="11"/>
  <c r="H144" i="11"/>
  <c r="E144" i="11"/>
  <c r="C144" i="11"/>
  <c r="AC143" i="11"/>
  <c r="Y143" i="11"/>
  <c r="V143" i="11"/>
  <c r="S143" i="11"/>
  <c r="P143" i="11"/>
  <c r="M143" i="11"/>
  <c r="J143" i="11"/>
  <c r="G143" i="11"/>
  <c r="D143" i="11"/>
  <c r="AA143" i="11"/>
  <c r="X143" i="11"/>
  <c r="U143" i="11"/>
  <c r="R143" i="11"/>
  <c r="O143" i="11"/>
  <c r="L143" i="11"/>
  <c r="I143" i="11"/>
  <c r="F143" i="11"/>
  <c r="C143" i="11"/>
  <c r="Z143" i="11"/>
  <c r="W143" i="11"/>
  <c r="T143" i="11"/>
  <c r="Q143" i="11"/>
  <c r="N143" i="11"/>
  <c r="K143" i="11"/>
  <c r="H143" i="11"/>
  <c r="E143" i="11"/>
  <c r="B143" i="11"/>
  <c r="AB143" i="11" s="1"/>
  <c r="AC133" i="11"/>
  <c r="AA133" i="11"/>
  <c r="X133" i="11"/>
  <c r="U133" i="11"/>
  <c r="R133" i="11"/>
  <c r="O133" i="11"/>
  <c r="L133" i="11"/>
  <c r="I133" i="11"/>
  <c r="F133" i="11"/>
  <c r="C133" i="11"/>
  <c r="Y133" i="11"/>
  <c r="V133" i="11"/>
  <c r="S133" i="11"/>
  <c r="P133" i="11"/>
  <c r="M133" i="11"/>
  <c r="J133" i="11"/>
  <c r="G133" i="11"/>
  <c r="D133" i="11"/>
  <c r="Z133" i="11"/>
  <c r="W133" i="11"/>
  <c r="T133" i="11"/>
  <c r="Q133" i="11"/>
  <c r="N133" i="11"/>
  <c r="K133" i="11"/>
  <c r="H133" i="11"/>
  <c r="E133" i="11"/>
  <c r="B133" i="11"/>
  <c r="AB133" i="11" s="1"/>
  <c r="AC155" i="11"/>
  <c r="Z155" i="11"/>
  <c r="W155" i="11"/>
  <c r="T155" i="11"/>
  <c r="R155" i="11"/>
  <c r="O155" i="11"/>
  <c r="L155" i="11"/>
  <c r="I155" i="11"/>
  <c r="F155" i="11"/>
  <c r="C155" i="11"/>
  <c r="X155" i="11"/>
  <c r="U155" i="11"/>
  <c r="Q155" i="11"/>
  <c r="N155" i="11"/>
  <c r="K155" i="11"/>
  <c r="H155" i="11"/>
  <c r="E155" i="11"/>
  <c r="B155" i="11"/>
  <c r="AA155" i="11"/>
  <c r="Y155" i="11"/>
  <c r="V155" i="11"/>
  <c r="S155" i="11"/>
  <c r="P155" i="11"/>
  <c r="M155" i="11"/>
  <c r="J155" i="11"/>
  <c r="G155" i="11"/>
  <c r="D155" i="11"/>
  <c r="AC154" i="11"/>
  <c r="Y154" i="11"/>
  <c r="V154" i="11"/>
  <c r="S154" i="11"/>
  <c r="P154" i="11"/>
  <c r="M154" i="11"/>
  <c r="J154" i="11"/>
  <c r="G154" i="11"/>
  <c r="D154" i="11"/>
  <c r="Z154" i="11"/>
  <c r="X154" i="11"/>
  <c r="U154" i="11"/>
  <c r="R154" i="11"/>
  <c r="O154" i="11"/>
  <c r="L154" i="11"/>
  <c r="H154" i="11"/>
  <c r="E154" i="11"/>
  <c r="B154" i="11"/>
  <c r="AA154" i="11"/>
  <c r="W154" i="11"/>
  <c r="T154" i="11"/>
  <c r="Q154" i="11"/>
  <c r="N154" i="11"/>
  <c r="K154" i="11"/>
  <c r="I154" i="11"/>
  <c r="F154" i="11"/>
  <c r="C154" i="11"/>
  <c r="AC150" i="11"/>
  <c r="Z150" i="11"/>
  <c r="W150" i="11"/>
  <c r="U150" i="11"/>
  <c r="S150" i="11"/>
  <c r="Q150" i="11"/>
  <c r="N150" i="11"/>
  <c r="L150" i="11"/>
  <c r="J150" i="11"/>
  <c r="H150" i="11"/>
  <c r="F150" i="11"/>
  <c r="C150" i="11"/>
  <c r="AA150" i="11"/>
  <c r="X150" i="11"/>
  <c r="Y150" i="11"/>
  <c r="V150" i="11"/>
  <c r="T150" i="11"/>
  <c r="R150" i="11"/>
  <c r="P150" i="11"/>
  <c r="O150" i="11"/>
  <c r="M150" i="11"/>
  <c r="K150" i="11"/>
  <c r="I150" i="11"/>
  <c r="G150" i="11"/>
  <c r="E150" i="11"/>
  <c r="D150" i="11"/>
  <c r="B150" i="11"/>
  <c r="AB150" i="11" s="1"/>
  <c r="AC148" i="11"/>
  <c r="Y148" i="11"/>
  <c r="V148" i="11"/>
  <c r="S148" i="11"/>
  <c r="P148" i="11"/>
  <c r="M148" i="11"/>
  <c r="J148" i="11"/>
  <c r="F148" i="11"/>
  <c r="B148" i="11"/>
  <c r="Z148" i="11"/>
  <c r="W148" i="11"/>
  <c r="T148" i="11"/>
  <c r="Q148" i="11"/>
  <c r="N148" i="11"/>
  <c r="K148" i="11"/>
  <c r="H148" i="11"/>
  <c r="E148" i="11"/>
  <c r="C148" i="11"/>
  <c r="AA148" i="11"/>
  <c r="X148" i="11"/>
  <c r="U148" i="11"/>
  <c r="R148" i="11"/>
  <c r="O148" i="11"/>
  <c r="L148" i="11"/>
  <c r="I148" i="11"/>
  <c r="G148" i="11"/>
  <c r="D148" i="11"/>
  <c r="AC147" i="11"/>
  <c r="Y147" i="11"/>
  <c r="V147" i="11"/>
  <c r="S147" i="11"/>
  <c r="P147" i="11"/>
  <c r="M147" i="11"/>
  <c r="J147" i="11"/>
  <c r="G147" i="11"/>
  <c r="D147" i="11"/>
  <c r="AA147" i="11"/>
  <c r="X147" i="11"/>
  <c r="U147" i="11"/>
  <c r="R147" i="11"/>
  <c r="O147" i="11"/>
  <c r="L147" i="11"/>
  <c r="I147" i="11"/>
  <c r="F147" i="11"/>
  <c r="C147" i="11"/>
  <c r="Z147" i="11"/>
  <c r="W147" i="11"/>
  <c r="T147" i="11"/>
  <c r="Q147" i="11"/>
  <c r="N147" i="11"/>
  <c r="K147" i="11"/>
  <c r="H147" i="11"/>
  <c r="E147" i="11"/>
  <c r="B147" i="11"/>
  <c r="AB147" i="11" s="1"/>
  <c r="AC188" i="11"/>
  <c r="AA188" i="11"/>
  <c r="X188" i="11"/>
  <c r="W188" i="11"/>
  <c r="U188" i="11"/>
  <c r="S188" i="11"/>
  <c r="Q188" i="11"/>
  <c r="O188" i="11"/>
  <c r="M188" i="11"/>
  <c r="K188" i="11"/>
  <c r="I188" i="11"/>
  <c r="G188" i="11"/>
  <c r="E188" i="11"/>
  <c r="C188" i="11"/>
  <c r="Z188" i="11"/>
  <c r="Y188" i="11"/>
  <c r="V188" i="11"/>
  <c r="T188" i="11"/>
  <c r="R188" i="11"/>
  <c r="P188" i="11"/>
  <c r="N188" i="11"/>
  <c r="L188" i="11"/>
  <c r="J188" i="11"/>
  <c r="H188" i="11"/>
  <c r="F188" i="11"/>
  <c r="D188" i="11"/>
  <c r="B188" i="11"/>
  <c r="AB188" i="11" s="1"/>
  <c r="AC186" i="11"/>
  <c r="AA186" i="11"/>
  <c r="Y186" i="11"/>
  <c r="W186" i="11"/>
  <c r="U186" i="11"/>
  <c r="S186" i="11"/>
  <c r="Q186" i="11"/>
  <c r="O186" i="11"/>
  <c r="M186" i="11"/>
  <c r="K186" i="11"/>
  <c r="I186" i="11"/>
  <c r="G186" i="11"/>
  <c r="E186" i="11"/>
  <c r="C186" i="11"/>
  <c r="Z186" i="11"/>
  <c r="X186" i="11"/>
  <c r="V186" i="11"/>
  <c r="T186" i="11"/>
  <c r="R186" i="11"/>
  <c r="P186" i="11"/>
  <c r="N186" i="11"/>
  <c r="L186" i="11"/>
  <c r="J186" i="11"/>
  <c r="H186" i="11"/>
  <c r="F186" i="11"/>
  <c r="D186" i="11"/>
  <c r="B186" i="11"/>
  <c r="AB186" i="11" s="1"/>
  <c r="AC183" i="11"/>
  <c r="Z183" i="11"/>
  <c r="X183" i="11"/>
  <c r="V183" i="11"/>
  <c r="T183" i="11"/>
  <c r="R183" i="11"/>
  <c r="P183" i="11"/>
  <c r="N183" i="11"/>
  <c r="L183" i="11"/>
  <c r="J183" i="11"/>
  <c r="H183" i="11"/>
  <c r="F183" i="11"/>
  <c r="D183" i="11"/>
  <c r="B183" i="11"/>
  <c r="AA183" i="11"/>
  <c r="Y183" i="11"/>
  <c r="W183" i="11"/>
  <c r="U183" i="11"/>
  <c r="S183" i="11"/>
  <c r="Q183" i="11"/>
  <c r="O183" i="11"/>
  <c r="M183" i="11"/>
  <c r="K183" i="11"/>
  <c r="I183" i="11"/>
  <c r="G183" i="11"/>
  <c r="E183" i="11"/>
  <c r="C183" i="11"/>
  <c r="AC181" i="11"/>
  <c r="AA181" i="11"/>
  <c r="Y181" i="11"/>
  <c r="W181" i="11"/>
  <c r="U181" i="11"/>
  <c r="S181" i="11"/>
  <c r="Q181" i="11"/>
  <c r="O181" i="11"/>
  <c r="M181" i="11"/>
  <c r="K181" i="11"/>
  <c r="I181" i="11"/>
  <c r="G181" i="11"/>
  <c r="E181" i="11"/>
  <c r="C181" i="11"/>
  <c r="Z181" i="11"/>
  <c r="X181" i="11"/>
  <c r="V181" i="11"/>
  <c r="T181" i="11"/>
  <c r="R181" i="11"/>
  <c r="P181" i="11"/>
  <c r="N181" i="11"/>
  <c r="L181" i="11"/>
  <c r="J181" i="11"/>
  <c r="H181" i="11"/>
  <c r="F181" i="11"/>
  <c r="D181" i="11"/>
  <c r="B181" i="11"/>
  <c r="AB181" i="11" s="1"/>
  <c r="AC200" i="11"/>
  <c r="AA200" i="11"/>
  <c r="Y200" i="11"/>
  <c r="W200" i="11"/>
  <c r="U200" i="11"/>
  <c r="S200" i="11"/>
  <c r="Q200" i="11"/>
  <c r="O200" i="11"/>
  <c r="M200" i="11"/>
  <c r="K200" i="11"/>
  <c r="I200" i="11"/>
  <c r="G200" i="11"/>
  <c r="E200" i="11"/>
  <c r="C200" i="11"/>
  <c r="Z200" i="11"/>
  <c r="X200" i="11"/>
  <c r="V200" i="11"/>
  <c r="T200" i="11"/>
  <c r="R200" i="11"/>
  <c r="P200" i="11"/>
  <c r="N200" i="11"/>
  <c r="L200" i="11"/>
  <c r="J200" i="11"/>
  <c r="H200" i="11"/>
  <c r="F200" i="11"/>
  <c r="D200" i="11"/>
  <c r="B200" i="11"/>
  <c r="AB200" i="11" s="1"/>
  <c r="AC199" i="11"/>
  <c r="AA199" i="11"/>
  <c r="Y199" i="11"/>
  <c r="W199" i="11"/>
  <c r="U199" i="11"/>
  <c r="S199" i="11"/>
  <c r="Q199" i="11"/>
  <c r="O199" i="11"/>
  <c r="M199" i="11"/>
  <c r="K199" i="11"/>
  <c r="I199" i="11"/>
  <c r="G199" i="11"/>
  <c r="E199" i="11"/>
  <c r="C199" i="11"/>
  <c r="Z199" i="11"/>
  <c r="X199" i="11"/>
  <c r="V199" i="11"/>
  <c r="T199" i="11"/>
  <c r="R199" i="11"/>
  <c r="P199" i="11"/>
  <c r="N199" i="11"/>
  <c r="L199" i="11"/>
  <c r="J199" i="11"/>
  <c r="H199" i="11"/>
  <c r="F199" i="11"/>
  <c r="D199" i="11"/>
  <c r="B199" i="11"/>
  <c r="AB199" i="11" s="1"/>
  <c r="AC198" i="11"/>
  <c r="Z198" i="11"/>
  <c r="X198" i="11"/>
  <c r="V198" i="11"/>
  <c r="T198" i="11"/>
  <c r="R198" i="11"/>
  <c r="P198" i="11"/>
  <c r="N198" i="11"/>
  <c r="L198" i="11"/>
  <c r="J198" i="11"/>
  <c r="H198" i="11"/>
  <c r="F198" i="11"/>
  <c r="D198" i="11"/>
  <c r="B198" i="11"/>
  <c r="AA198" i="11"/>
  <c r="Y198" i="11"/>
  <c r="W198" i="11"/>
  <c r="U198" i="11"/>
  <c r="S198" i="11"/>
  <c r="Q198" i="11"/>
  <c r="O198" i="11"/>
  <c r="M198" i="11"/>
  <c r="K198" i="11"/>
  <c r="I198" i="11"/>
  <c r="G198" i="11"/>
  <c r="E198" i="11"/>
  <c r="C198" i="11"/>
  <c r="AC197" i="11"/>
  <c r="AA197" i="11"/>
  <c r="Y197" i="11"/>
  <c r="W197" i="11"/>
  <c r="U197" i="11"/>
  <c r="S197" i="11"/>
  <c r="Q197" i="11"/>
  <c r="O197" i="11"/>
  <c r="M197" i="11"/>
  <c r="K197" i="11"/>
  <c r="I197" i="11"/>
  <c r="G197" i="11"/>
  <c r="E197" i="11"/>
  <c r="C197" i="11"/>
  <c r="Z197" i="11"/>
  <c r="X197" i="11"/>
  <c r="V197" i="11"/>
  <c r="T197" i="11"/>
  <c r="R197" i="11"/>
  <c r="P197" i="11"/>
  <c r="N197" i="11"/>
  <c r="L197" i="11"/>
  <c r="J197" i="11"/>
  <c r="H197" i="11"/>
  <c r="F197" i="11"/>
  <c r="D197" i="11"/>
  <c r="B197" i="11"/>
  <c r="AB197" i="11" s="1"/>
  <c r="AC196" i="11"/>
  <c r="AA196" i="11"/>
  <c r="Y196" i="11"/>
  <c r="W196" i="11"/>
  <c r="V196" i="11"/>
  <c r="S196" i="11"/>
  <c r="Q196" i="11"/>
  <c r="P196" i="11"/>
  <c r="N196" i="11"/>
  <c r="L196" i="11"/>
  <c r="J196" i="11"/>
  <c r="H196" i="11"/>
  <c r="F196" i="11"/>
  <c r="D196" i="11"/>
  <c r="B196" i="11"/>
  <c r="Z196" i="11"/>
  <c r="X196" i="11"/>
  <c r="U196" i="11"/>
  <c r="T196" i="11"/>
  <c r="R196" i="11"/>
  <c r="O196" i="11"/>
  <c r="M196" i="11"/>
  <c r="K196" i="11"/>
  <c r="I196" i="11"/>
  <c r="G196" i="11"/>
  <c r="E196" i="11"/>
  <c r="C196" i="11"/>
  <c r="AC195" i="11"/>
  <c r="Z195" i="11"/>
  <c r="X195" i="11"/>
  <c r="W195" i="11"/>
  <c r="U195" i="11"/>
  <c r="T195" i="11"/>
  <c r="S195" i="11"/>
  <c r="R195" i="11"/>
  <c r="Q195" i="11"/>
  <c r="P195" i="11"/>
  <c r="O195" i="11"/>
  <c r="N195" i="11"/>
  <c r="M195" i="11"/>
  <c r="L195" i="11"/>
  <c r="K195" i="11"/>
  <c r="J195" i="11"/>
  <c r="I195" i="11"/>
  <c r="H195" i="11"/>
  <c r="G195" i="11"/>
  <c r="F195" i="11"/>
  <c r="E195" i="11"/>
  <c r="D195" i="11"/>
  <c r="C195" i="11"/>
  <c r="B195" i="11"/>
  <c r="AA195" i="11"/>
  <c r="Y195" i="11"/>
  <c r="V195" i="11"/>
  <c r="AC194" i="11"/>
  <c r="AA194" i="11"/>
  <c r="Z194" i="11"/>
  <c r="Y194" i="11"/>
  <c r="X194" i="11"/>
  <c r="W194" i="11"/>
  <c r="V194" i="11"/>
  <c r="U194" i="11"/>
  <c r="T194" i="11"/>
  <c r="S194" i="11"/>
  <c r="R194" i="11"/>
  <c r="Q194" i="11"/>
  <c r="P194" i="11"/>
  <c r="O194" i="11"/>
  <c r="N194" i="11"/>
  <c r="M194" i="11"/>
  <c r="L194" i="11"/>
  <c r="K194" i="11"/>
  <c r="J194" i="11"/>
  <c r="I194" i="11"/>
  <c r="H194" i="11"/>
  <c r="G194" i="11"/>
  <c r="F194" i="11"/>
  <c r="E194" i="11"/>
  <c r="D194" i="11"/>
  <c r="C194" i="11"/>
  <c r="B194" i="11"/>
  <c r="AB194" i="11" s="1"/>
  <c r="AC193" i="11"/>
  <c r="AA193" i="11"/>
  <c r="Z193" i="11"/>
  <c r="Y193" i="11"/>
  <c r="X193" i="11"/>
  <c r="W193" i="11"/>
  <c r="V193" i="11"/>
  <c r="U193" i="11"/>
  <c r="T193" i="11"/>
  <c r="S193" i="11"/>
  <c r="R193" i="11"/>
  <c r="Q193" i="11"/>
  <c r="P193" i="11"/>
  <c r="O193" i="11"/>
  <c r="N193" i="11"/>
  <c r="M193" i="11"/>
  <c r="L193" i="11"/>
  <c r="K193" i="11"/>
  <c r="J193" i="11"/>
  <c r="I193" i="11"/>
  <c r="H193" i="11"/>
  <c r="G193" i="11"/>
  <c r="F193" i="11"/>
  <c r="E193" i="11"/>
  <c r="D193" i="11"/>
  <c r="C193" i="11"/>
  <c r="B193" i="11"/>
  <c r="AB193" i="11" s="1"/>
  <c r="Y45" i="11"/>
  <c r="S45" i="11"/>
  <c r="L45" i="11"/>
  <c r="U45" i="11"/>
  <c r="N45" i="11"/>
  <c r="H45" i="11"/>
  <c r="C45" i="11"/>
  <c r="Z45" i="11"/>
  <c r="Q45" i="11"/>
  <c r="J45" i="11"/>
  <c r="W45" i="11"/>
  <c r="P45" i="11"/>
  <c r="I45" i="11"/>
  <c r="D45" i="11"/>
  <c r="X45" i="11"/>
  <c r="R45" i="11"/>
  <c r="K45" i="11"/>
  <c r="E45" i="11"/>
  <c r="AA45" i="11"/>
  <c r="T45" i="11"/>
  <c r="M45" i="11"/>
  <c r="G45" i="11"/>
  <c r="B45" i="11"/>
  <c r="V45" i="11"/>
  <c r="O45" i="11"/>
  <c r="F45" i="11"/>
  <c r="AA42" i="11"/>
  <c r="S42" i="11"/>
  <c r="K42" i="11"/>
  <c r="Y42" i="11"/>
  <c r="Q42" i="11"/>
  <c r="M42" i="11"/>
  <c r="F42" i="11"/>
  <c r="B42" i="11"/>
  <c r="W42" i="11"/>
  <c r="P42" i="11"/>
  <c r="I42" i="11"/>
  <c r="X42" i="11"/>
  <c r="R42" i="11"/>
  <c r="J42" i="11"/>
  <c r="E42" i="11"/>
  <c r="V42" i="11"/>
  <c r="O42" i="11"/>
  <c r="H42" i="11"/>
  <c r="D42" i="11"/>
  <c r="Z42" i="11"/>
  <c r="T42" i="11"/>
  <c r="L42" i="11"/>
  <c r="U42" i="11"/>
  <c r="N42" i="11"/>
  <c r="G42" i="11"/>
  <c r="C42" i="11"/>
  <c r="AA39" i="11"/>
  <c r="T39" i="11"/>
  <c r="M39" i="11"/>
  <c r="F39" i="11"/>
  <c r="Z39" i="11"/>
  <c r="S39" i="11"/>
  <c r="N39" i="11"/>
  <c r="H39" i="11"/>
  <c r="C39" i="11"/>
  <c r="V39" i="11"/>
  <c r="O39" i="11"/>
  <c r="G39" i="11"/>
  <c r="B39" i="11"/>
  <c r="U39" i="11"/>
  <c r="L39" i="11"/>
  <c r="Y39" i="11"/>
  <c r="R39" i="11"/>
  <c r="K39" i="11"/>
  <c r="E39" i="11"/>
  <c r="X39" i="11"/>
  <c r="Q39" i="11"/>
  <c r="J39" i="11"/>
  <c r="D39" i="11"/>
  <c r="W39" i="11"/>
  <c r="P39" i="11"/>
  <c r="I39" i="11"/>
  <c r="V37" i="11"/>
  <c r="O37" i="11"/>
  <c r="I37" i="11"/>
  <c r="D37" i="11"/>
  <c r="Y37" i="11"/>
  <c r="R37" i="11"/>
  <c r="H37" i="11"/>
  <c r="X37" i="11"/>
  <c r="P37" i="11"/>
  <c r="K37" i="11"/>
  <c r="C37" i="11"/>
  <c r="Z37" i="11"/>
  <c r="S37" i="11"/>
  <c r="L37" i="11"/>
  <c r="E37" i="11"/>
  <c r="AA37" i="11"/>
  <c r="T37" i="11"/>
  <c r="N37" i="11"/>
  <c r="G37" i="11"/>
  <c r="U37" i="11"/>
  <c r="M37" i="11"/>
  <c r="F37" i="11"/>
  <c r="W37" i="11"/>
  <c r="Q37" i="11"/>
  <c r="J37" i="11"/>
  <c r="B37" i="11"/>
  <c r="AB37" i="11" s="1"/>
  <c r="U64" i="11"/>
  <c r="N64" i="11"/>
  <c r="F64" i="11"/>
  <c r="Y64" i="11"/>
  <c r="Q64" i="11"/>
  <c r="L64" i="11"/>
  <c r="D64" i="11"/>
  <c r="AA64" i="11"/>
  <c r="T64" i="11"/>
  <c r="M64" i="11"/>
  <c r="G64" i="11"/>
  <c r="W64" i="11"/>
  <c r="P64" i="11"/>
  <c r="I64" i="11"/>
  <c r="B64" i="11"/>
  <c r="X64" i="11"/>
  <c r="R64" i="11"/>
  <c r="K64" i="11"/>
  <c r="E64" i="11"/>
  <c r="V64" i="11"/>
  <c r="O64" i="11"/>
  <c r="H64" i="11"/>
  <c r="Z64" i="11"/>
  <c r="S64" i="11"/>
  <c r="J64" i="11"/>
  <c r="C64" i="11"/>
  <c r="AC80" i="11"/>
  <c r="U80" i="11"/>
  <c r="N80" i="11"/>
  <c r="G80" i="11"/>
  <c r="AA80" i="11"/>
  <c r="T80" i="11"/>
  <c r="L80" i="11"/>
  <c r="E80" i="11"/>
  <c r="W80" i="11"/>
  <c r="P80" i="11"/>
  <c r="I80" i="11"/>
  <c r="B80" i="11"/>
  <c r="Z80" i="11"/>
  <c r="S80" i="11"/>
  <c r="M80" i="11"/>
  <c r="F80" i="11"/>
  <c r="X80" i="11"/>
  <c r="Q80" i="11"/>
  <c r="J80" i="11"/>
  <c r="C80" i="11"/>
  <c r="V80" i="11"/>
  <c r="O80" i="11"/>
  <c r="H80" i="11"/>
  <c r="Y80" i="11"/>
  <c r="R80" i="11"/>
  <c r="K80" i="11"/>
  <c r="D80" i="11"/>
  <c r="AC126" i="11"/>
  <c r="Y126" i="11"/>
  <c r="U126" i="11"/>
  <c r="P126" i="11"/>
  <c r="L126" i="11"/>
  <c r="H126" i="11"/>
  <c r="D126" i="11"/>
  <c r="X126" i="11"/>
  <c r="T126" i="11"/>
  <c r="Q126" i="11"/>
  <c r="M126" i="11"/>
  <c r="I126" i="11"/>
  <c r="E126" i="11"/>
  <c r="AA126" i="11"/>
  <c r="W126" i="11"/>
  <c r="S126" i="11"/>
  <c r="O126" i="11"/>
  <c r="K126" i="11"/>
  <c r="G126" i="11"/>
  <c r="C126" i="11"/>
  <c r="Z126" i="11"/>
  <c r="V126" i="11"/>
  <c r="R126" i="11"/>
  <c r="N126" i="11"/>
  <c r="J126" i="11"/>
  <c r="F126" i="11"/>
  <c r="B126" i="11"/>
  <c r="AB126" i="11" s="1"/>
  <c r="AC125" i="11"/>
  <c r="AA125" i="11"/>
  <c r="X125" i="11"/>
  <c r="T125" i="11"/>
  <c r="P125" i="11"/>
  <c r="L125" i="11"/>
  <c r="G125" i="11"/>
  <c r="C125" i="11"/>
  <c r="Z125" i="11"/>
  <c r="V125" i="11"/>
  <c r="R125" i="11"/>
  <c r="N125" i="11"/>
  <c r="J125" i="11"/>
  <c r="F125" i="11"/>
  <c r="B125" i="11"/>
  <c r="W125" i="11"/>
  <c r="S125" i="11"/>
  <c r="O125" i="11"/>
  <c r="K125" i="11"/>
  <c r="H125" i="11"/>
  <c r="D125" i="11"/>
  <c r="Y125" i="11"/>
  <c r="U125" i="11"/>
  <c r="Q125" i="11"/>
  <c r="M125" i="11"/>
  <c r="I125" i="11"/>
  <c r="E125" i="11"/>
  <c r="AC124" i="11"/>
  <c r="AA124" i="11"/>
  <c r="W124" i="11"/>
  <c r="T124" i="11"/>
  <c r="Q124" i="11"/>
  <c r="K124" i="11"/>
  <c r="H124" i="11"/>
  <c r="D124" i="11"/>
  <c r="Y124" i="11"/>
  <c r="U124" i="11"/>
  <c r="O124" i="11"/>
  <c r="L124" i="11"/>
  <c r="C124" i="11"/>
  <c r="X124" i="11"/>
  <c r="S124" i="11"/>
  <c r="P124" i="11"/>
  <c r="M124" i="11"/>
  <c r="I124" i="11"/>
  <c r="E124" i="11"/>
  <c r="Z124" i="11"/>
  <c r="V124" i="11"/>
  <c r="R124" i="11"/>
  <c r="N124" i="11"/>
  <c r="J124" i="11"/>
  <c r="F124" i="11"/>
  <c r="AC123" i="11"/>
  <c r="X123" i="11"/>
  <c r="T123" i="11"/>
  <c r="P123" i="11"/>
  <c r="L123" i="11"/>
  <c r="D123" i="11"/>
  <c r="Z123" i="11"/>
  <c r="V123" i="11"/>
  <c r="R123" i="11"/>
  <c r="N123" i="11"/>
  <c r="J123" i="11"/>
  <c r="F123" i="11"/>
  <c r="AA123" i="11"/>
  <c r="W123" i="11"/>
  <c r="S123" i="11"/>
  <c r="O123" i="11"/>
  <c r="K123" i="11"/>
  <c r="H123" i="11"/>
  <c r="C123" i="11"/>
  <c r="Y123" i="11"/>
  <c r="U123" i="11"/>
  <c r="Q123" i="11"/>
  <c r="M123" i="11"/>
  <c r="I123" i="11"/>
  <c r="E123" i="11"/>
  <c r="AC122" i="11"/>
  <c r="X122" i="11"/>
  <c r="S122" i="11"/>
  <c r="P122" i="11"/>
  <c r="L122" i="11"/>
  <c r="H122" i="11"/>
  <c r="D122" i="11"/>
  <c r="Y122" i="11"/>
  <c r="U122" i="11"/>
  <c r="Q122" i="11"/>
  <c r="M122" i="11"/>
  <c r="I122" i="11"/>
  <c r="C122" i="11"/>
  <c r="AA122" i="11"/>
  <c r="W122" i="11"/>
  <c r="T122" i="11"/>
  <c r="O122" i="11"/>
  <c r="K122" i="11"/>
  <c r="E122" i="11"/>
  <c r="Z122" i="11"/>
  <c r="V122" i="11"/>
  <c r="R122" i="11"/>
  <c r="N122" i="11"/>
  <c r="J122" i="11"/>
  <c r="F122" i="11"/>
  <c r="AC142" i="11"/>
  <c r="AA142" i="11"/>
  <c r="X142" i="11"/>
  <c r="T142" i="11"/>
  <c r="Q142" i="11"/>
  <c r="N142" i="11"/>
  <c r="K142" i="11"/>
  <c r="H142" i="11"/>
  <c r="F142" i="11"/>
  <c r="C142" i="11"/>
  <c r="Z142" i="11"/>
  <c r="W142" i="11"/>
  <c r="U142" i="11"/>
  <c r="R142" i="11"/>
  <c r="O142" i="11"/>
  <c r="L142" i="11"/>
  <c r="I142" i="11"/>
  <c r="E142" i="11"/>
  <c r="Y142" i="11"/>
  <c r="V142" i="11"/>
  <c r="S142" i="11"/>
  <c r="P142" i="11"/>
  <c r="M142" i="11"/>
  <c r="J142" i="11"/>
  <c r="D142" i="11"/>
  <c r="AC139" i="11"/>
  <c r="Z139" i="11"/>
  <c r="W139" i="11"/>
  <c r="T139" i="11"/>
  <c r="Q139" i="11"/>
  <c r="N139" i="11"/>
  <c r="K139" i="11"/>
  <c r="H139" i="11"/>
  <c r="F139" i="11"/>
  <c r="C139" i="11"/>
  <c r="AA139" i="11"/>
  <c r="X139" i="11"/>
  <c r="U139" i="11"/>
  <c r="S139" i="11"/>
  <c r="O139" i="11"/>
  <c r="L139" i="11"/>
  <c r="J139" i="11"/>
  <c r="D139" i="11"/>
  <c r="Y139" i="11"/>
  <c r="V139" i="11"/>
  <c r="R139" i="11"/>
  <c r="P139" i="11"/>
  <c r="M139" i="11"/>
  <c r="I139" i="11"/>
  <c r="E139" i="11"/>
  <c r="AC136" i="11"/>
  <c r="Z136" i="11"/>
  <c r="W136" i="11"/>
  <c r="T136" i="11"/>
  <c r="Q136" i="11"/>
  <c r="N136" i="11"/>
  <c r="K136" i="11"/>
  <c r="H136" i="11"/>
  <c r="E136" i="11"/>
  <c r="AA136" i="11"/>
  <c r="X136" i="11"/>
  <c r="U136" i="11"/>
  <c r="R136" i="11"/>
  <c r="O136" i="11"/>
  <c r="L136" i="11"/>
  <c r="I136" i="11"/>
  <c r="F136" i="11"/>
  <c r="D136" i="11"/>
  <c r="Y136" i="11"/>
  <c r="V136" i="11"/>
  <c r="S136" i="11"/>
  <c r="P136" i="11"/>
  <c r="M136" i="11"/>
  <c r="J136" i="11"/>
  <c r="C136" i="11"/>
  <c r="AC134" i="11"/>
  <c r="AA134" i="11"/>
  <c r="X134" i="11"/>
  <c r="U134" i="11"/>
  <c r="R134" i="11"/>
  <c r="O134" i="11"/>
  <c r="L134" i="11"/>
  <c r="H134" i="11"/>
  <c r="E134" i="11"/>
  <c r="Z134" i="11"/>
  <c r="W134" i="11"/>
  <c r="T134" i="11"/>
  <c r="Q134" i="11"/>
  <c r="N134" i="11"/>
  <c r="K134" i="11"/>
  <c r="I134" i="11"/>
  <c r="F134" i="11"/>
  <c r="C134" i="11"/>
  <c r="Y134" i="11"/>
  <c r="V134" i="11"/>
  <c r="S134" i="11"/>
  <c r="P134" i="11"/>
  <c r="M134" i="11"/>
  <c r="J134" i="11"/>
  <c r="D134" i="11"/>
  <c r="AC156" i="11"/>
  <c r="AA156" i="11"/>
  <c r="X156" i="11"/>
  <c r="U156" i="11"/>
  <c r="S156" i="11"/>
  <c r="P156" i="11"/>
  <c r="M156" i="11"/>
  <c r="J156" i="11"/>
  <c r="D156" i="11"/>
  <c r="Z156" i="11"/>
  <c r="W156" i="11"/>
  <c r="T156" i="11"/>
  <c r="Q156" i="11"/>
  <c r="N156" i="11"/>
  <c r="K156" i="11"/>
  <c r="H156" i="11"/>
  <c r="E156" i="11"/>
  <c r="Y156" i="11"/>
  <c r="V156" i="11"/>
  <c r="R156" i="11"/>
  <c r="O156" i="11"/>
  <c r="L156" i="11"/>
  <c r="I156" i="11"/>
  <c r="F156" i="11"/>
  <c r="C156" i="11"/>
  <c r="AC153" i="11"/>
  <c r="AA153" i="11"/>
  <c r="X153" i="11"/>
  <c r="V153" i="11"/>
  <c r="T153" i="11"/>
  <c r="Q153" i="11"/>
  <c r="N153" i="11"/>
  <c r="K153" i="11"/>
  <c r="H153" i="11"/>
  <c r="E153" i="11"/>
  <c r="Y153" i="11"/>
  <c r="W153" i="11"/>
  <c r="U153" i="11"/>
  <c r="R153" i="11"/>
  <c r="O153" i="11"/>
  <c r="L153" i="11"/>
  <c r="I153" i="11"/>
  <c r="F153" i="11"/>
  <c r="C153" i="11"/>
  <c r="Z153" i="11"/>
  <c r="S153" i="11"/>
  <c r="P153" i="11"/>
  <c r="M153" i="11"/>
  <c r="J153" i="11"/>
  <c r="D153" i="11"/>
  <c r="AC151" i="11"/>
  <c r="AA151" i="11"/>
  <c r="X151" i="11"/>
  <c r="U151" i="11"/>
  <c r="R151" i="11"/>
  <c r="O151" i="11"/>
  <c r="L151" i="11"/>
  <c r="I151" i="11"/>
  <c r="F151" i="11"/>
  <c r="C151" i="11"/>
  <c r="Y151" i="11"/>
  <c r="V151" i="11"/>
  <c r="S151" i="11"/>
  <c r="P151" i="11"/>
  <c r="M151" i="11"/>
  <c r="J151" i="11"/>
  <c r="D151" i="11"/>
  <c r="Z151" i="11"/>
  <c r="W151" i="11"/>
  <c r="T151" i="11"/>
  <c r="Q151" i="11"/>
  <c r="N151" i="11"/>
  <c r="K151" i="11"/>
  <c r="H151" i="11"/>
  <c r="E151" i="11"/>
  <c r="AC189" i="11"/>
  <c r="AA189" i="11"/>
  <c r="Y189" i="11"/>
  <c r="W189" i="11"/>
  <c r="U189" i="11"/>
  <c r="S189" i="11"/>
  <c r="Q189" i="11"/>
  <c r="O189" i="11"/>
  <c r="M189" i="11"/>
  <c r="K189" i="11"/>
  <c r="I189" i="11"/>
  <c r="E189" i="11"/>
  <c r="C189" i="11"/>
  <c r="Z189" i="11"/>
  <c r="X189" i="11"/>
  <c r="V189" i="11"/>
  <c r="T189" i="11"/>
  <c r="R189" i="11"/>
  <c r="P189" i="11"/>
  <c r="N189" i="11"/>
  <c r="L189" i="11"/>
  <c r="J189" i="11"/>
  <c r="H189" i="11"/>
  <c r="F189" i="11"/>
  <c r="D189" i="11"/>
  <c r="AC187" i="11"/>
  <c r="Z187" i="11"/>
  <c r="X187" i="11"/>
  <c r="V187" i="11"/>
  <c r="T187" i="11"/>
  <c r="R187" i="11"/>
  <c r="P187" i="11"/>
  <c r="N187" i="11"/>
  <c r="L187" i="11"/>
  <c r="J187" i="11"/>
  <c r="H187" i="11"/>
  <c r="F187" i="11"/>
  <c r="D187" i="11"/>
  <c r="AA187" i="11"/>
  <c r="Y187" i="11"/>
  <c r="W187" i="11"/>
  <c r="U187" i="11"/>
  <c r="S187" i="11"/>
  <c r="Q187" i="11"/>
  <c r="O187" i="11"/>
  <c r="M187" i="11"/>
  <c r="K187" i="11"/>
  <c r="I187" i="11"/>
  <c r="E187" i="11"/>
  <c r="C187" i="11"/>
  <c r="AC185" i="11"/>
  <c r="AA185" i="11"/>
  <c r="Z185" i="11"/>
  <c r="Y185" i="11"/>
  <c r="X185" i="11"/>
  <c r="W185" i="11"/>
  <c r="V185" i="11"/>
  <c r="U185" i="11"/>
  <c r="T185" i="11"/>
  <c r="R185" i="11"/>
  <c r="P185" i="11"/>
  <c r="N185" i="11"/>
  <c r="L185" i="11"/>
  <c r="J185" i="11"/>
  <c r="H185" i="11"/>
  <c r="E185" i="11"/>
  <c r="C185" i="11"/>
  <c r="S185" i="11"/>
  <c r="Q185" i="11"/>
  <c r="O185" i="11"/>
  <c r="M185" i="11"/>
  <c r="K185" i="11"/>
  <c r="I185" i="11"/>
  <c r="F185" i="11"/>
  <c r="D185" i="11"/>
  <c r="AC184" i="11"/>
  <c r="AA184" i="11"/>
  <c r="Y184" i="11"/>
  <c r="W184" i="11"/>
  <c r="U184" i="11"/>
  <c r="S184" i="11"/>
  <c r="Q184" i="11"/>
  <c r="O184" i="11"/>
  <c r="M184" i="11"/>
  <c r="K184" i="11"/>
  <c r="I184" i="11"/>
  <c r="E184" i="11"/>
  <c r="C184" i="11"/>
  <c r="Z184" i="11"/>
  <c r="X184" i="11"/>
  <c r="V184" i="11"/>
  <c r="T184" i="11"/>
  <c r="R184" i="11"/>
  <c r="P184" i="11"/>
  <c r="N184" i="11"/>
  <c r="L184" i="11"/>
  <c r="J184" i="11"/>
  <c r="H184" i="11"/>
  <c r="F184" i="11"/>
  <c r="D184" i="11"/>
  <c r="AC182" i="11"/>
  <c r="AA182" i="11"/>
  <c r="Y182" i="11"/>
  <c r="W182" i="11"/>
  <c r="U182" i="11"/>
  <c r="S182" i="11"/>
  <c r="Q182" i="11"/>
  <c r="O182" i="11"/>
  <c r="M182" i="11"/>
  <c r="K182" i="11"/>
  <c r="H182" i="11"/>
  <c r="F182" i="11"/>
  <c r="D182" i="11"/>
  <c r="Z182" i="11"/>
  <c r="X182" i="11"/>
  <c r="V182" i="11"/>
  <c r="T182" i="11"/>
  <c r="R182" i="11"/>
  <c r="P182" i="11"/>
  <c r="N182" i="11"/>
  <c r="L182" i="11"/>
  <c r="J182" i="11"/>
  <c r="I182" i="11"/>
  <c r="E182" i="11"/>
  <c r="C182" i="11"/>
  <c r="AC203" i="11"/>
  <c r="AA203" i="11"/>
  <c r="Y203" i="11"/>
  <c r="W203" i="11"/>
  <c r="U203" i="11"/>
  <c r="S203" i="11"/>
  <c r="Q203" i="11"/>
  <c r="O203" i="11"/>
  <c r="M203" i="11"/>
  <c r="K203" i="11"/>
  <c r="I203" i="11"/>
  <c r="E203" i="11"/>
  <c r="C203" i="11"/>
  <c r="Z203" i="11"/>
  <c r="X203" i="11"/>
  <c r="V203" i="11"/>
  <c r="T203" i="11"/>
  <c r="R203" i="11"/>
  <c r="P203" i="11"/>
  <c r="N203" i="11"/>
  <c r="L203" i="11"/>
  <c r="J203" i="11"/>
  <c r="H203" i="11"/>
  <c r="F203" i="11"/>
  <c r="D203" i="11"/>
  <c r="AC202" i="11"/>
  <c r="Z202" i="11"/>
  <c r="X202" i="11"/>
  <c r="V202" i="11"/>
  <c r="T202" i="11"/>
  <c r="R202" i="11"/>
  <c r="P202" i="11"/>
  <c r="N202" i="11"/>
  <c r="L202" i="11"/>
  <c r="J202" i="11"/>
  <c r="H202" i="11"/>
  <c r="F202" i="11"/>
  <c r="D202" i="11"/>
  <c r="AA202" i="11"/>
  <c r="Y202" i="11"/>
  <c r="W202" i="11"/>
  <c r="U202" i="11"/>
  <c r="S202" i="11"/>
  <c r="Q202" i="11"/>
  <c r="O202" i="11"/>
  <c r="M202" i="11"/>
  <c r="K202" i="11"/>
  <c r="I202" i="11"/>
  <c r="E202" i="11"/>
  <c r="C202" i="11"/>
  <c r="AC201" i="11"/>
  <c r="Z201" i="11"/>
  <c r="X201" i="11"/>
  <c r="V201" i="11"/>
  <c r="T201" i="11"/>
  <c r="R201" i="11"/>
  <c r="P201" i="11"/>
  <c r="N201" i="11"/>
  <c r="L201" i="11"/>
  <c r="J201" i="11"/>
  <c r="H201" i="11"/>
  <c r="F201" i="11"/>
  <c r="D201" i="11"/>
  <c r="AA201" i="11"/>
  <c r="Y201" i="11"/>
  <c r="W201" i="11"/>
  <c r="U201" i="11"/>
  <c r="S201" i="11"/>
  <c r="Q201" i="11"/>
  <c r="O201" i="11"/>
  <c r="M201" i="11"/>
  <c r="K201" i="11"/>
  <c r="I201" i="11"/>
  <c r="E201" i="11"/>
  <c r="C201" i="11"/>
  <c r="Y19" i="11"/>
  <c r="S19" i="11"/>
  <c r="M19" i="11"/>
  <c r="U19" i="11"/>
  <c r="O19" i="11"/>
  <c r="I19" i="11"/>
  <c r="V19" i="11"/>
  <c r="P19" i="11"/>
  <c r="J19" i="11"/>
  <c r="D19" i="11"/>
  <c r="Z19" i="11"/>
  <c r="T19" i="11"/>
  <c r="N19" i="11"/>
  <c r="H19" i="11"/>
  <c r="C19" i="11"/>
  <c r="AA19" i="11"/>
  <c r="X19" i="11"/>
  <c r="R19" i="11"/>
  <c r="L19" i="11"/>
  <c r="F19" i="11"/>
  <c r="W19" i="11"/>
  <c r="Q19" i="11"/>
  <c r="K19" i="11"/>
  <c r="E19" i="11"/>
  <c r="Z28" i="11"/>
  <c r="U28" i="11"/>
  <c r="P28" i="11"/>
  <c r="I28" i="11"/>
  <c r="C28" i="11"/>
  <c r="T28" i="11"/>
  <c r="M28" i="11"/>
  <c r="H28" i="11"/>
  <c r="D28" i="11"/>
  <c r="AA28" i="11"/>
  <c r="S28" i="11"/>
  <c r="L28" i="11"/>
  <c r="X28" i="11"/>
  <c r="O28" i="11"/>
  <c r="V28" i="11"/>
  <c r="Q28" i="11"/>
  <c r="J28" i="11"/>
  <c r="E28" i="11"/>
  <c r="W28" i="11"/>
  <c r="N28" i="11"/>
  <c r="Y28" i="11"/>
  <c r="R28" i="11"/>
  <c r="K28" i="11"/>
  <c r="F28" i="11"/>
  <c r="V44" i="11"/>
  <c r="O44" i="11"/>
  <c r="H44" i="11"/>
  <c r="Z44" i="11"/>
  <c r="S44" i="11"/>
  <c r="L44" i="11"/>
  <c r="E44" i="11"/>
  <c r="AA44" i="11"/>
  <c r="T44" i="11"/>
  <c r="M44" i="11"/>
  <c r="F44" i="11"/>
  <c r="Y44" i="11"/>
  <c r="Q44" i="11"/>
  <c r="K44" i="11"/>
  <c r="U44" i="11"/>
  <c r="N44" i="11"/>
  <c r="C44" i="11"/>
  <c r="X44" i="11"/>
  <c r="R44" i="11"/>
  <c r="J44" i="11"/>
  <c r="W44" i="11"/>
  <c r="P44" i="11"/>
  <c r="I44" i="11"/>
  <c r="D44" i="11"/>
  <c r="Z59" i="11"/>
  <c r="T59" i="11"/>
  <c r="N59" i="11"/>
  <c r="F59" i="11"/>
  <c r="V59" i="11"/>
  <c r="O59" i="11"/>
  <c r="H59" i="11"/>
  <c r="W59" i="11"/>
  <c r="P59" i="11"/>
  <c r="I59" i="11"/>
  <c r="X59" i="11"/>
  <c r="Q59" i="11"/>
  <c r="J59" i="11"/>
  <c r="C59" i="11"/>
  <c r="AA59" i="11"/>
  <c r="S59" i="11"/>
  <c r="L59" i="11"/>
  <c r="Y59" i="11"/>
  <c r="R59" i="11"/>
  <c r="K59" i="11"/>
  <c r="D59" i="11"/>
  <c r="U59" i="11"/>
  <c r="M59" i="11"/>
  <c r="E59" i="11"/>
  <c r="AA56" i="11"/>
  <c r="T56" i="11"/>
  <c r="M56" i="11"/>
  <c r="F56" i="11"/>
  <c r="V56" i="11"/>
  <c r="O56" i="11"/>
  <c r="H56" i="11"/>
  <c r="X56" i="11"/>
  <c r="Q56" i="11"/>
  <c r="J56" i="11"/>
  <c r="C56" i="11"/>
  <c r="Z56" i="11"/>
  <c r="S56" i="11"/>
  <c r="L56" i="11"/>
  <c r="E56" i="11"/>
  <c r="U56" i="11"/>
  <c r="N56" i="11"/>
  <c r="W56" i="11"/>
  <c r="P56" i="11"/>
  <c r="I56" i="11"/>
  <c r="Y56" i="11"/>
  <c r="R56" i="11"/>
  <c r="K56" i="11"/>
  <c r="D56" i="11"/>
  <c r="X53" i="11"/>
  <c r="Q53" i="11"/>
  <c r="J53" i="11"/>
  <c r="D53" i="11"/>
  <c r="Y53" i="11"/>
  <c r="R53" i="11"/>
  <c r="K53" i="11"/>
  <c r="E53" i="11"/>
  <c r="V53" i="11"/>
  <c r="O53" i="11"/>
  <c r="H53" i="11"/>
  <c r="AA53" i="11"/>
  <c r="T53" i="11"/>
  <c r="M53" i="11"/>
  <c r="F53" i="11"/>
  <c r="C53" i="11"/>
  <c r="U53" i="11"/>
  <c r="N53" i="11"/>
  <c r="Z53" i="11"/>
  <c r="S53" i="11"/>
  <c r="L53" i="11"/>
  <c r="W53" i="11"/>
  <c r="P53" i="11"/>
  <c r="I53" i="11"/>
  <c r="AC84" i="11"/>
  <c r="U84" i="11"/>
  <c r="N84" i="11"/>
  <c r="X84" i="11"/>
  <c r="R84" i="11"/>
  <c r="I84" i="11"/>
  <c r="V84" i="11"/>
  <c r="O84" i="11"/>
  <c r="H84" i="11"/>
  <c r="C84" i="11"/>
  <c r="Y84" i="11"/>
  <c r="Q84" i="11"/>
  <c r="K84" i="11"/>
  <c r="E84" i="11"/>
  <c r="W84" i="11"/>
  <c r="P84" i="11"/>
  <c r="J84" i="11"/>
  <c r="D84" i="11"/>
  <c r="AA84" i="11"/>
  <c r="T84" i="11"/>
  <c r="M84" i="11"/>
  <c r="F84" i="11"/>
  <c r="Z84" i="11"/>
  <c r="S84" i="11"/>
  <c r="L84" i="11"/>
  <c r="U17" i="11"/>
  <c r="M17" i="11"/>
  <c r="F17" i="11"/>
  <c r="W17" i="11"/>
  <c r="O17" i="11"/>
  <c r="H17" i="11"/>
  <c r="X17" i="11"/>
  <c r="Q17" i="11"/>
  <c r="J17" i="11"/>
  <c r="D17" i="11"/>
  <c r="AA17" i="11"/>
  <c r="T17" i="11"/>
  <c r="N17" i="11"/>
  <c r="Y17" i="11"/>
  <c r="S17" i="11"/>
  <c r="K17" i="11"/>
  <c r="Z17" i="11"/>
  <c r="R17" i="11"/>
  <c r="L17" i="11"/>
  <c r="E17" i="11"/>
  <c r="V17" i="11"/>
  <c r="P17" i="11"/>
  <c r="I17" i="11"/>
  <c r="C17" i="11"/>
  <c r="Z35" i="11"/>
  <c r="S35" i="11"/>
  <c r="L35" i="11"/>
  <c r="E35" i="11"/>
  <c r="Y35" i="11"/>
  <c r="R35" i="11"/>
  <c r="J35" i="11"/>
  <c r="W35" i="11"/>
  <c r="P35" i="11"/>
  <c r="K35" i="11"/>
  <c r="D35" i="11"/>
  <c r="AA35" i="11"/>
  <c r="T35" i="11"/>
  <c r="M35" i="11"/>
  <c r="G35" i="11"/>
  <c r="B35" i="11"/>
  <c r="V35" i="11"/>
  <c r="O35" i="11"/>
  <c r="H35" i="11"/>
  <c r="U35" i="11"/>
  <c r="N35" i="11"/>
  <c r="F35" i="11"/>
  <c r="C35" i="11"/>
  <c r="X35" i="11"/>
  <c r="Q35" i="11"/>
  <c r="I35" i="11"/>
  <c r="Y34" i="11"/>
  <c r="R34" i="11"/>
  <c r="V34" i="11"/>
  <c r="O34" i="11"/>
  <c r="H34" i="11"/>
  <c r="D34" i="11"/>
  <c r="X34" i="11"/>
  <c r="Q34" i="11"/>
  <c r="K34" i="11"/>
  <c r="F34" i="11"/>
  <c r="U34" i="11"/>
  <c r="N34" i="11"/>
  <c r="I34" i="11"/>
  <c r="C34" i="11"/>
  <c r="W34" i="11"/>
  <c r="P34" i="11"/>
  <c r="J34" i="11"/>
  <c r="E34" i="11"/>
  <c r="Z34" i="11"/>
  <c r="S34" i="11"/>
  <c r="L34" i="11"/>
  <c r="AA34" i="11"/>
  <c r="T34" i="11"/>
  <c r="M34" i="11"/>
  <c r="G34" i="11"/>
  <c r="B34" i="11"/>
  <c r="AB34" i="11" s="1"/>
  <c r="X27" i="11"/>
  <c r="Q27" i="11"/>
  <c r="L27" i="11"/>
  <c r="E27" i="11"/>
  <c r="V27" i="11"/>
  <c r="O27" i="11"/>
  <c r="H27" i="11"/>
  <c r="Y27" i="11"/>
  <c r="R27" i="11"/>
  <c r="K27" i="11"/>
  <c r="U27" i="11"/>
  <c r="N27" i="11"/>
  <c r="G27" i="11"/>
  <c r="C27" i="11"/>
  <c r="Z27" i="11"/>
  <c r="S27" i="11"/>
  <c r="J27" i="11"/>
  <c r="W27" i="11"/>
  <c r="P27" i="11"/>
  <c r="I27" i="11"/>
  <c r="D27" i="11"/>
  <c r="AA27" i="11"/>
  <c r="T27" i="11"/>
  <c r="M27" i="11"/>
  <c r="F27" i="11"/>
  <c r="Z46" i="11"/>
  <c r="T46" i="11"/>
  <c r="N46" i="11"/>
  <c r="C46" i="11"/>
  <c r="AA46" i="11"/>
  <c r="U46" i="11"/>
  <c r="O46" i="11"/>
  <c r="K46" i="11"/>
  <c r="D46" i="11"/>
  <c r="X46" i="11"/>
  <c r="R46" i="11"/>
  <c r="L46" i="11"/>
  <c r="E46" i="11"/>
  <c r="W46" i="11"/>
  <c r="Q46" i="11"/>
  <c r="J46" i="11"/>
  <c r="Y46" i="11"/>
  <c r="S46" i="11"/>
  <c r="M46" i="11"/>
  <c r="F46" i="11"/>
  <c r="V46" i="11"/>
  <c r="P46" i="11"/>
  <c r="I46" i="11"/>
  <c r="H46" i="11"/>
  <c r="Z38" i="11"/>
  <c r="S38" i="11"/>
  <c r="K38" i="11"/>
  <c r="W38" i="11"/>
  <c r="P38" i="11"/>
  <c r="H38" i="11"/>
  <c r="U38" i="11"/>
  <c r="M38" i="11"/>
  <c r="F38" i="11"/>
  <c r="C38" i="11"/>
  <c r="X38" i="11"/>
  <c r="Q38" i="11"/>
  <c r="J38" i="11"/>
  <c r="V38" i="11"/>
  <c r="N38" i="11"/>
  <c r="AA38" i="11"/>
  <c r="T38" i="11"/>
  <c r="O38" i="11"/>
  <c r="I38" i="11"/>
  <c r="D38" i="11"/>
  <c r="Y38" i="11"/>
  <c r="R38" i="11"/>
  <c r="L38" i="11"/>
  <c r="E38" i="11"/>
  <c r="U58" i="11"/>
  <c r="M58" i="11"/>
  <c r="Y58" i="11"/>
  <c r="R58" i="11"/>
  <c r="K58" i="11"/>
  <c r="E58" i="11"/>
  <c r="W58" i="11"/>
  <c r="P58" i="11"/>
  <c r="I58" i="11"/>
  <c r="C58" i="11"/>
  <c r="T58" i="11"/>
  <c r="N58" i="11"/>
  <c r="H58" i="11"/>
  <c r="X58" i="11"/>
  <c r="O58" i="11"/>
  <c r="J58" i="11"/>
  <c r="D58" i="11"/>
  <c r="Z58" i="11"/>
  <c r="S58" i="11"/>
  <c r="L58" i="11"/>
  <c r="AA58" i="11"/>
  <c r="V58" i="11"/>
  <c r="Q58" i="11"/>
  <c r="F58" i="11"/>
  <c r="Z52" i="11"/>
  <c r="S52" i="11"/>
  <c r="L52" i="11"/>
  <c r="U52" i="11"/>
  <c r="N52" i="11"/>
  <c r="C52" i="11"/>
  <c r="AA52" i="11"/>
  <c r="T52" i="11"/>
  <c r="M52" i="11"/>
  <c r="F52" i="11"/>
  <c r="Y52" i="11"/>
  <c r="Q52" i="11"/>
  <c r="H52" i="11"/>
  <c r="W52" i="11"/>
  <c r="P52" i="11"/>
  <c r="I52" i="11"/>
  <c r="D52" i="11"/>
  <c r="X52" i="11"/>
  <c r="R52" i="11"/>
  <c r="J52" i="11"/>
  <c r="V52" i="11"/>
  <c r="O52" i="11"/>
  <c r="K52" i="11"/>
  <c r="E52" i="11"/>
  <c r="X72" i="11"/>
  <c r="R72" i="11"/>
  <c r="K72" i="11"/>
  <c r="E72" i="11"/>
  <c r="Y72" i="11"/>
  <c r="Q72" i="11"/>
  <c r="J72" i="11"/>
  <c r="D72" i="11"/>
  <c r="Z72" i="11"/>
  <c r="S72" i="11"/>
  <c r="L72" i="11"/>
  <c r="C72" i="11"/>
  <c r="U72" i="11"/>
  <c r="N72" i="11"/>
  <c r="AA72" i="11"/>
  <c r="T72" i="11"/>
  <c r="M72" i="11"/>
  <c r="F72" i="11"/>
  <c r="V72" i="11"/>
  <c r="O72" i="11"/>
  <c r="H72" i="11"/>
  <c r="W72" i="11"/>
  <c r="P72" i="11"/>
  <c r="I72" i="11"/>
  <c r="V71" i="11"/>
  <c r="O71" i="11"/>
  <c r="H71" i="11"/>
  <c r="Y71" i="11"/>
  <c r="R71" i="11"/>
  <c r="L71" i="11"/>
  <c r="F71" i="11"/>
  <c r="U71" i="11"/>
  <c r="N71" i="11"/>
  <c r="Z71" i="11"/>
  <c r="S71" i="11"/>
  <c r="K71" i="11"/>
  <c r="E71" i="11"/>
  <c r="X71" i="11"/>
  <c r="Q71" i="11"/>
  <c r="J71" i="11"/>
  <c r="D71" i="11"/>
  <c r="AA71" i="11"/>
  <c r="T71" i="11"/>
  <c r="M71" i="11"/>
  <c r="W71" i="11"/>
  <c r="P71" i="11"/>
  <c r="I71" i="11"/>
  <c r="C71" i="11"/>
  <c r="Y70" i="11"/>
  <c r="T70" i="11"/>
  <c r="O70" i="11"/>
  <c r="I70" i="11"/>
  <c r="Z70" i="11"/>
  <c r="U70" i="11"/>
  <c r="P70" i="11"/>
  <c r="L70" i="11"/>
  <c r="F70" i="11"/>
  <c r="J70" i="11"/>
  <c r="C70" i="11"/>
  <c r="X70" i="11"/>
  <c r="S70" i="11"/>
  <c r="N70" i="11"/>
  <c r="K70" i="11"/>
  <c r="D70" i="11"/>
  <c r="W70" i="11"/>
  <c r="R70" i="11"/>
  <c r="M70" i="11"/>
  <c r="E70" i="11"/>
  <c r="AA70" i="11"/>
  <c r="V70" i="11"/>
  <c r="Q70" i="11"/>
  <c r="H70" i="11"/>
  <c r="Y68" i="11"/>
  <c r="S68" i="11"/>
  <c r="M68" i="11"/>
  <c r="H68" i="11"/>
  <c r="V68" i="11"/>
  <c r="P68" i="11"/>
  <c r="J68" i="11"/>
  <c r="E68" i="11"/>
  <c r="X68" i="11"/>
  <c r="R68" i="11"/>
  <c r="L68" i="11"/>
  <c r="F68" i="11"/>
  <c r="AA68" i="11"/>
  <c r="U68" i="11"/>
  <c r="O68" i="11"/>
  <c r="I68" i="11"/>
  <c r="C68" i="11"/>
  <c r="Z68" i="11"/>
  <c r="T68" i="11"/>
  <c r="N68" i="11"/>
  <c r="W68" i="11"/>
  <c r="Q68" i="11"/>
  <c r="K68" i="11"/>
  <c r="D68" i="11"/>
  <c r="AA66" i="11"/>
  <c r="U66" i="11"/>
  <c r="I66" i="11"/>
  <c r="Y66" i="11"/>
  <c r="S66" i="11"/>
  <c r="M66" i="11"/>
  <c r="R66" i="11"/>
  <c r="K66" i="11"/>
  <c r="D66" i="11"/>
  <c r="V66" i="11"/>
  <c r="P66" i="11"/>
  <c r="J66" i="11"/>
  <c r="E66" i="11"/>
  <c r="W66" i="11"/>
  <c r="Q66" i="11"/>
  <c r="L66" i="11"/>
  <c r="F66" i="11"/>
  <c r="Z66" i="11"/>
  <c r="T66" i="11"/>
  <c r="N66" i="11"/>
  <c r="X66" i="11"/>
  <c r="O66" i="11"/>
  <c r="H66" i="11"/>
  <c r="C66" i="11"/>
  <c r="AC83" i="11"/>
  <c r="Y83" i="11"/>
  <c r="R83" i="11"/>
  <c r="K83" i="11"/>
  <c r="E83" i="11"/>
  <c r="AA83" i="11"/>
  <c r="T83" i="11"/>
  <c r="M83" i="11"/>
  <c r="F83" i="11"/>
  <c r="X83" i="11"/>
  <c r="O83" i="11"/>
  <c r="I83" i="11"/>
  <c r="C83" i="11"/>
  <c r="Z83" i="11"/>
  <c r="S83" i="11"/>
  <c r="L83" i="11"/>
  <c r="W83" i="11"/>
  <c r="P83" i="11"/>
  <c r="J83" i="11"/>
  <c r="D83" i="11"/>
  <c r="U83" i="11"/>
  <c r="N83" i="11"/>
  <c r="H83" i="11"/>
  <c r="V83" i="11"/>
  <c r="Q83" i="11"/>
  <c r="AC82" i="11"/>
  <c r="U82" i="11"/>
  <c r="N82" i="11"/>
  <c r="AA82" i="11"/>
  <c r="T82" i="11"/>
  <c r="M82" i="11"/>
  <c r="F82" i="11"/>
  <c r="W82" i="11"/>
  <c r="P82" i="11"/>
  <c r="I82" i="11"/>
  <c r="C82" i="11"/>
  <c r="Y82" i="11"/>
  <c r="R82" i="11"/>
  <c r="J82" i="11"/>
  <c r="E82" i="11"/>
  <c r="V82" i="11"/>
  <c r="O82" i="11"/>
  <c r="H82" i="11"/>
  <c r="Z82" i="11"/>
  <c r="S82" i="11"/>
  <c r="L82" i="11"/>
  <c r="X82" i="11"/>
  <c r="Q82" i="11"/>
  <c r="K82" i="11"/>
  <c r="D82" i="11"/>
  <c r="AC77" i="11"/>
  <c r="AA77" i="11"/>
  <c r="Q77" i="11"/>
  <c r="K77" i="11"/>
  <c r="E77" i="11"/>
  <c r="R77" i="11"/>
  <c r="L77" i="11"/>
  <c r="D77" i="11"/>
  <c r="W77" i="11"/>
  <c r="P77" i="11"/>
  <c r="J77" i="11"/>
  <c r="Z77" i="11"/>
  <c r="U77" i="11"/>
  <c r="N77" i="11"/>
  <c r="Y77" i="11"/>
  <c r="T77" i="11"/>
  <c r="M77" i="11"/>
  <c r="F77" i="11"/>
  <c r="V77" i="11"/>
  <c r="O77" i="11"/>
  <c r="H77" i="11"/>
  <c r="C77" i="11"/>
  <c r="X77" i="11"/>
  <c r="S77" i="11"/>
  <c r="I77" i="11"/>
  <c r="AC96" i="11"/>
  <c r="AA96" i="11"/>
  <c r="U96" i="11"/>
  <c r="O96" i="11"/>
  <c r="I96" i="11"/>
  <c r="Z96" i="11"/>
  <c r="T96" i="11"/>
  <c r="N96" i="11"/>
  <c r="H96" i="11"/>
  <c r="C96" i="11"/>
  <c r="V96" i="11"/>
  <c r="P96" i="11"/>
  <c r="J96" i="11"/>
  <c r="D96" i="11"/>
  <c r="Y96" i="11"/>
  <c r="S96" i="11"/>
  <c r="M96" i="11"/>
  <c r="W96" i="11"/>
  <c r="Q96" i="11"/>
  <c r="K96" i="11"/>
  <c r="F96" i="11"/>
  <c r="X96" i="11"/>
  <c r="R96" i="11"/>
  <c r="L96" i="11"/>
  <c r="E96" i="11"/>
  <c r="X14" i="11"/>
  <c r="R14" i="11"/>
  <c r="I14" i="11"/>
  <c r="F14" i="11"/>
  <c r="L14" i="11"/>
  <c r="Y14" i="11"/>
  <c r="Q14" i="11"/>
  <c r="K14" i="11"/>
  <c r="E14" i="11"/>
  <c r="W14" i="11"/>
  <c r="T14" i="11"/>
  <c r="M14" i="11"/>
  <c r="C14" i="11"/>
  <c r="Z14" i="11"/>
  <c r="S14" i="11"/>
  <c r="N14" i="11"/>
  <c r="V14" i="11"/>
  <c r="P14" i="11"/>
  <c r="J14" i="11"/>
  <c r="D14" i="11"/>
  <c r="AA14" i="11"/>
  <c r="U14" i="11"/>
  <c r="O14" i="11"/>
  <c r="H14" i="11"/>
  <c r="Z33" i="11"/>
  <c r="S33" i="11"/>
  <c r="K33" i="11"/>
  <c r="X33" i="11"/>
  <c r="Q33" i="11"/>
  <c r="J33" i="11"/>
  <c r="D33" i="11"/>
  <c r="U33" i="11"/>
  <c r="M33" i="11"/>
  <c r="F33" i="11"/>
  <c r="W33" i="11"/>
  <c r="P33" i="11"/>
  <c r="I33" i="11"/>
  <c r="V33" i="11"/>
  <c r="O33" i="11"/>
  <c r="H33" i="11"/>
  <c r="AA33" i="11"/>
  <c r="T33" i="11"/>
  <c r="N33" i="11"/>
  <c r="C33" i="11"/>
  <c r="Y33" i="11"/>
  <c r="R33" i="11"/>
  <c r="L33" i="11"/>
  <c r="E33" i="11"/>
  <c r="Y31" i="11"/>
  <c r="R31" i="11"/>
  <c r="K31" i="11"/>
  <c r="D31" i="11"/>
  <c r="W31" i="11"/>
  <c r="P31" i="11"/>
  <c r="J31" i="11"/>
  <c r="C31" i="11"/>
  <c r="AA31" i="11"/>
  <c r="S31" i="11"/>
  <c r="M31" i="11"/>
  <c r="F31" i="11"/>
  <c r="X31" i="11"/>
  <c r="Q31" i="11"/>
  <c r="I31" i="11"/>
  <c r="T31" i="11"/>
  <c r="L31" i="11"/>
  <c r="E31" i="11"/>
  <c r="Z31" i="11"/>
  <c r="U31" i="11"/>
  <c r="N31" i="11"/>
  <c r="V31" i="11"/>
  <c r="O31" i="11"/>
  <c r="H31" i="11"/>
  <c r="AA41" i="11"/>
  <c r="T41" i="11"/>
  <c r="L41" i="11"/>
  <c r="E41" i="11"/>
  <c r="V41" i="11"/>
  <c r="O41" i="11"/>
  <c r="H41" i="11"/>
  <c r="D41" i="11"/>
  <c r="Y41" i="11"/>
  <c r="R41" i="11"/>
  <c r="K41" i="11"/>
  <c r="X41" i="11"/>
  <c r="Q41" i="11"/>
  <c r="N41" i="11"/>
  <c r="C41" i="11"/>
  <c r="Z41" i="11"/>
  <c r="S41" i="11"/>
  <c r="J41" i="11"/>
  <c r="U41" i="11"/>
  <c r="M41" i="11"/>
  <c r="F41" i="11"/>
  <c r="W41" i="11"/>
  <c r="P41" i="11"/>
  <c r="I41" i="11"/>
  <c r="Z40" i="11"/>
  <c r="S40" i="11"/>
  <c r="K40" i="11"/>
  <c r="V40" i="11"/>
  <c r="Q40" i="11"/>
  <c r="H40" i="11"/>
  <c r="T40" i="11"/>
  <c r="M40" i="11"/>
  <c r="F40" i="11"/>
  <c r="X40" i="11"/>
  <c r="P40" i="11"/>
  <c r="I40" i="11"/>
  <c r="W40" i="11"/>
  <c r="O40" i="11"/>
  <c r="J40" i="11"/>
  <c r="E40" i="11"/>
  <c r="AA40" i="11"/>
  <c r="U40" i="11"/>
  <c r="N40" i="11"/>
  <c r="C40" i="11"/>
  <c r="Y40" i="11"/>
  <c r="R40" i="11"/>
  <c r="L40" i="11"/>
  <c r="D40" i="11"/>
  <c r="V54" i="11"/>
  <c r="O54" i="11"/>
  <c r="H54" i="11"/>
  <c r="U54" i="11"/>
  <c r="M54" i="11"/>
  <c r="C54" i="11"/>
  <c r="Y54" i="11"/>
  <c r="R54" i="11"/>
  <c r="K54" i="11"/>
  <c r="AA54" i="11"/>
  <c r="T54" i="11"/>
  <c r="N54" i="11"/>
  <c r="F54" i="11"/>
  <c r="X54" i="11"/>
  <c r="Q54" i="11"/>
  <c r="J54" i="11"/>
  <c r="W54" i="11"/>
  <c r="P54" i="11"/>
  <c r="I54" i="11"/>
  <c r="D54" i="11"/>
  <c r="Z54" i="11"/>
  <c r="S54" i="11"/>
  <c r="L54" i="11"/>
  <c r="E54" i="11"/>
  <c r="Z65" i="11"/>
  <c r="S65" i="11"/>
  <c r="L65" i="11"/>
  <c r="E65" i="11"/>
  <c r="W65" i="11"/>
  <c r="P65" i="11"/>
  <c r="I65" i="11"/>
  <c r="C65" i="11"/>
  <c r="Y65" i="11"/>
  <c r="R65" i="11"/>
  <c r="K65" i="11"/>
  <c r="U65" i="11"/>
  <c r="N65" i="11"/>
  <c r="X65" i="11"/>
  <c r="Q65" i="11"/>
  <c r="J65" i="11"/>
  <c r="D65" i="11"/>
  <c r="V65" i="11"/>
  <c r="O65" i="11"/>
  <c r="H65" i="11"/>
  <c r="AA65" i="11"/>
  <c r="T65" i="11"/>
  <c r="M65" i="11"/>
  <c r="F65" i="11"/>
  <c r="AA12" i="11"/>
  <c r="Z12" i="11"/>
  <c r="Y12" i="11"/>
  <c r="X12" i="11"/>
  <c r="W12" i="11"/>
  <c r="V12" i="11"/>
  <c r="U12" i="11"/>
  <c r="T12" i="11"/>
  <c r="S12" i="11"/>
  <c r="R12" i="11"/>
  <c r="Q12" i="11"/>
  <c r="P12" i="11"/>
  <c r="O12" i="11"/>
  <c r="N12" i="11"/>
  <c r="M12" i="11"/>
  <c r="L12" i="11"/>
  <c r="K12" i="11"/>
  <c r="J12" i="11"/>
  <c r="I12" i="11"/>
  <c r="H12" i="11"/>
  <c r="F12" i="11"/>
  <c r="E12" i="11"/>
  <c r="D12" i="11"/>
  <c r="C12" i="11"/>
  <c r="AA11" i="11"/>
  <c r="Z11" i="11"/>
  <c r="Y11" i="11"/>
  <c r="X11" i="11"/>
  <c r="W11" i="11"/>
  <c r="V11" i="11"/>
  <c r="U11" i="11"/>
  <c r="T11" i="11"/>
  <c r="S11" i="11"/>
  <c r="R11" i="11"/>
  <c r="Q11" i="11"/>
  <c r="P11" i="11"/>
  <c r="O11" i="11"/>
  <c r="N11" i="11"/>
  <c r="M11" i="11"/>
  <c r="L11" i="11"/>
  <c r="K11" i="11"/>
  <c r="J11" i="11"/>
  <c r="I11" i="11"/>
  <c r="H11" i="11"/>
  <c r="F11" i="11"/>
  <c r="E11" i="11"/>
  <c r="D11" i="11"/>
  <c r="C11" i="11"/>
  <c r="AA10" i="11"/>
  <c r="Z10" i="11"/>
  <c r="Y10" i="11"/>
  <c r="X10" i="11"/>
  <c r="W10" i="11"/>
  <c r="V10" i="11"/>
  <c r="U10" i="11"/>
  <c r="T10" i="11"/>
  <c r="S10" i="11"/>
  <c r="R10" i="11"/>
  <c r="Q10" i="11"/>
  <c r="P10" i="11"/>
  <c r="O10" i="11"/>
  <c r="N10" i="11"/>
  <c r="M10" i="11"/>
  <c r="L10" i="11"/>
  <c r="K10" i="11"/>
  <c r="J10" i="11"/>
  <c r="I10" i="11"/>
  <c r="H10" i="11"/>
  <c r="F10" i="11"/>
  <c r="E10" i="11"/>
  <c r="D10" i="11"/>
  <c r="C10" i="11"/>
  <c r="AA9" i="11"/>
  <c r="Z9" i="11"/>
  <c r="Y9" i="11"/>
  <c r="X9" i="11"/>
  <c r="W9" i="11"/>
  <c r="V9" i="11"/>
  <c r="U9" i="11"/>
  <c r="T9" i="11"/>
  <c r="S9" i="11"/>
  <c r="R9" i="11"/>
  <c r="Q9" i="11"/>
  <c r="P9" i="11"/>
  <c r="O9" i="11"/>
  <c r="N9" i="11"/>
  <c r="M9" i="11"/>
  <c r="L9" i="11"/>
  <c r="K9" i="11"/>
  <c r="J9" i="11"/>
  <c r="I9" i="11"/>
  <c r="H9" i="11"/>
  <c r="F9" i="11"/>
  <c r="E9" i="11"/>
  <c r="D9" i="11"/>
  <c r="C9" i="11"/>
  <c r="AA8" i="11"/>
  <c r="Z8" i="11"/>
  <c r="Y8" i="11"/>
  <c r="X8" i="11"/>
  <c r="W8" i="11"/>
  <c r="V8" i="11"/>
  <c r="U8" i="11"/>
  <c r="T8" i="11"/>
  <c r="S8" i="11"/>
  <c r="R8" i="11"/>
  <c r="Q8" i="11"/>
  <c r="P8" i="11"/>
  <c r="O8" i="11"/>
  <c r="N8" i="11"/>
  <c r="M8" i="11"/>
  <c r="L8" i="11"/>
  <c r="K8" i="11"/>
  <c r="J8" i="11"/>
  <c r="I8" i="11"/>
  <c r="H8" i="11"/>
  <c r="F8" i="11"/>
  <c r="E8" i="11"/>
  <c r="D8" i="11"/>
  <c r="C8" i="11"/>
  <c r="B8" i="11"/>
  <c r="AA7" i="11"/>
  <c r="Z7" i="11"/>
  <c r="Y7" i="11"/>
  <c r="X7" i="11"/>
  <c r="W7" i="11"/>
  <c r="V7" i="11"/>
  <c r="U7" i="11"/>
  <c r="T7" i="11"/>
  <c r="S7" i="11"/>
  <c r="R7" i="11"/>
  <c r="Q7" i="11"/>
  <c r="P7" i="11"/>
  <c r="O7" i="11"/>
  <c r="N7" i="11"/>
  <c r="M7" i="11"/>
  <c r="L7" i="11"/>
  <c r="K7" i="11"/>
  <c r="J7" i="11"/>
  <c r="I7" i="11"/>
  <c r="H7" i="11"/>
  <c r="G7" i="11"/>
  <c r="F7" i="11"/>
  <c r="E7" i="11"/>
  <c r="D7" i="11"/>
  <c r="C7" i="11"/>
  <c r="B7" i="11"/>
  <c r="AB7" i="11" s="1"/>
  <c r="AA6" i="11"/>
  <c r="Z6" i="11"/>
  <c r="Y6" i="11"/>
  <c r="X6" i="11"/>
  <c r="W6" i="11"/>
  <c r="V6" i="11"/>
  <c r="U6" i="11"/>
  <c r="T6" i="11"/>
  <c r="S6" i="11"/>
  <c r="R6" i="11"/>
  <c r="Q6" i="11"/>
  <c r="P6" i="11"/>
  <c r="O6" i="11"/>
  <c r="N6" i="11"/>
  <c r="M6" i="11"/>
  <c r="L6" i="11"/>
  <c r="K6" i="11"/>
  <c r="J6" i="11"/>
  <c r="I6" i="11"/>
  <c r="H6" i="11"/>
  <c r="G6" i="11"/>
  <c r="F6" i="11"/>
  <c r="E6" i="11"/>
  <c r="D6" i="11"/>
  <c r="C6" i="11"/>
  <c r="B6" i="11"/>
  <c r="AB6" i="11" s="1"/>
  <c r="AC5" i="11"/>
  <c r="AA5" i="11"/>
  <c r="Z5" i="11"/>
  <c r="Y5" i="11"/>
  <c r="X5" i="11"/>
  <c r="W5" i="11"/>
  <c r="V5" i="11"/>
  <c r="U5" i="11"/>
  <c r="T5" i="11"/>
  <c r="S5" i="11"/>
  <c r="R5" i="11"/>
  <c r="Q5" i="11"/>
  <c r="P5" i="11"/>
  <c r="O5" i="11"/>
  <c r="N5" i="11"/>
  <c r="M5" i="11"/>
  <c r="L5" i="11"/>
  <c r="K5" i="11"/>
  <c r="J5" i="11"/>
  <c r="I5" i="11"/>
  <c r="H5" i="11"/>
  <c r="G5" i="11"/>
  <c r="F5" i="11"/>
  <c r="E5" i="11"/>
  <c r="D5" i="11"/>
  <c r="C5" i="11"/>
  <c r="B5" i="11"/>
  <c r="AB5" i="11" s="1"/>
  <c r="AA4" i="11"/>
  <c r="Z4" i="11"/>
  <c r="Y4" i="11"/>
  <c r="X4" i="11"/>
  <c r="W4" i="11"/>
  <c r="V4" i="11"/>
  <c r="U4" i="11"/>
  <c r="T4" i="11"/>
  <c r="S4" i="11"/>
  <c r="R4" i="11"/>
  <c r="Q4" i="11"/>
  <c r="P4" i="11"/>
  <c r="O4" i="11"/>
  <c r="N4" i="11"/>
  <c r="M4" i="11"/>
  <c r="L4" i="11"/>
  <c r="K4" i="11"/>
  <c r="J4" i="11"/>
  <c r="I4" i="11"/>
  <c r="H4" i="11"/>
  <c r="F4" i="11"/>
  <c r="E4" i="11"/>
  <c r="D4" i="11"/>
  <c r="C4" i="11"/>
  <c r="BU19" i="5"/>
  <c r="BV19" i="5" s="1"/>
  <c r="P74" i="11"/>
  <c r="BI33" i="11" a="1"/>
  <c r="BH32" i="11"/>
  <c r="BL30" i="11" a="1"/>
  <c r="BE29" i="11"/>
  <c r="BF33" i="11" a="1"/>
  <c r="BG32" i="11"/>
  <c r="BK28" i="11"/>
  <c r="BE28" i="11"/>
  <c r="BL27" i="11" a="1"/>
  <c r="BG33" i="11" a="1"/>
  <c r="BK30" i="11"/>
  <c r="BE30" i="11"/>
  <c r="BH33" i="11" a="1"/>
  <c r="BI32" i="11"/>
  <c r="BF32" i="11"/>
  <c r="BK29" i="11"/>
  <c r="BL28" i="11" a="1"/>
  <c r="BE27" i="11"/>
  <c r="BL29" i="11" a="1"/>
  <c r="BK27" i="11"/>
  <c r="BE9" i="11"/>
  <c r="BM9" i="11" s="1"/>
  <c r="BR4" i="11"/>
  <c r="BQ4" i="11"/>
  <c r="AY4" i="11"/>
  <c r="B9" i="12"/>
  <c r="E9" i="12" s="1"/>
  <c r="G9" i="12" s="1"/>
  <c r="AH90" i="5"/>
  <c r="H59" i="6" s="1"/>
  <c r="AG90" i="5"/>
  <c r="C90" i="5"/>
  <c r="B8" i="12"/>
  <c r="E8" i="12" s="1"/>
  <c r="G8" i="12" s="1"/>
  <c r="AH89" i="5"/>
  <c r="H42" i="6" s="1"/>
  <c r="AG89" i="5"/>
  <c r="C89" i="5"/>
  <c r="B7" i="12"/>
  <c r="E7" i="12" s="1"/>
  <c r="G7" i="12" s="1"/>
  <c r="AH88" i="5"/>
  <c r="H63" i="6" s="1"/>
  <c r="AG88" i="5"/>
  <c r="C88" i="5"/>
  <c r="B6" i="12"/>
  <c r="E6" i="12" s="1"/>
  <c r="G6" i="12" s="1"/>
  <c r="AH87" i="5"/>
  <c r="AG87" i="5"/>
  <c r="C87" i="5"/>
  <c r="B12" i="12"/>
  <c r="E12" i="12" s="1"/>
  <c r="G12" i="12" s="1"/>
  <c r="AH93" i="5"/>
  <c r="H43" i="6" s="1"/>
  <c r="AG93" i="5"/>
  <c r="C93" i="5"/>
  <c r="B11" i="12"/>
  <c r="E11" i="12" s="1"/>
  <c r="G11" i="12" s="1"/>
  <c r="AH92" i="5"/>
  <c r="H61" i="6" s="1"/>
  <c r="AG92" i="5"/>
  <c r="C92" i="5"/>
  <c r="B10" i="12"/>
  <c r="E10" i="12" s="1"/>
  <c r="G10" i="12" s="1"/>
  <c r="AH91" i="5"/>
  <c r="H60" i="6" s="1"/>
  <c r="AG91" i="5"/>
  <c r="C91" i="5"/>
  <c r="BR127" i="11"/>
  <c r="BQ127" i="11"/>
  <c r="AY127" i="11"/>
  <c r="BF23" i="11"/>
  <c r="BR108" i="11"/>
  <c r="BQ108" i="11"/>
  <c r="AY108" i="11"/>
  <c r="BR120" i="11"/>
  <c r="BQ120" i="11"/>
  <c r="AY120" i="11"/>
  <c r="BR119" i="11"/>
  <c r="BQ119" i="11"/>
  <c r="AY119" i="11"/>
  <c r="BR118" i="11"/>
  <c r="BQ118" i="11"/>
  <c r="AY118" i="11"/>
  <c r="BR117" i="11"/>
  <c r="BQ117" i="11"/>
  <c r="AY117" i="11"/>
  <c r="BR116" i="11"/>
  <c r="BQ116" i="11"/>
  <c r="AY116" i="11"/>
  <c r="BR115" i="11"/>
  <c r="BQ115" i="11"/>
  <c r="AY115" i="11"/>
  <c r="BR114" i="11"/>
  <c r="BQ114" i="11"/>
  <c r="AY114" i="11"/>
  <c r="BR113" i="11"/>
  <c r="BQ113" i="11"/>
  <c r="AY113" i="11"/>
  <c r="BR112" i="11"/>
  <c r="BQ112" i="11"/>
  <c r="AY112" i="11"/>
  <c r="BR111" i="11"/>
  <c r="BQ111" i="11"/>
  <c r="AY111" i="11"/>
  <c r="BR110" i="11"/>
  <c r="BQ110" i="11"/>
  <c r="AY110" i="11"/>
  <c r="BR109" i="11"/>
  <c r="BQ109" i="11"/>
  <c r="AY109" i="11"/>
  <c r="BR132" i="11"/>
  <c r="BQ132" i="11"/>
  <c r="AY132" i="11"/>
  <c r="BR131" i="11"/>
  <c r="BQ131" i="11"/>
  <c r="AY131" i="11"/>
  <c r="BR130" i="11"/>
  <c r="BQ130" i="11"/>
  <c r="AY130" i="11"/>
  <c r="BR129" i="11"/>
  <c r="BQ129" i="11"/>
  <c r="AY129" i="11"/>
  <c r="BR128" i="11"/>
  <c r="BQ128" i="11"/>
  <c r="AY128" i="11"/>
  <c r="BQ126" i="11"/>
  <c r="AY126" i="11"/>
  <c r="BR126" i="11"/>
  <c r="BR123" i="11"/>
  <c r="AY123" i="11"/>
  <c r="BQ123" i="11"/>
  <c r="AY122" i="11"/>
  <c r="BR122" i="11"/>
  <c r="BQ122" i="11"/>
  <c r="BR141" i="11"/>
  <c r="BQ141" i="11"/>
  <c r="AY141" i="11"/>
  <c r="BR140" i="11"/>
  <c r="BQ140" i="11"/>
  <c r="AY140" i="11"/>
  <c r="AY139" i="11"/>
  <c r="BR139" i="11"/>
  <c r="BQ139" i="11"/>
  <c r="AY136" i="11"/>
  <c r="BR136" i="11"/>
  <c r="BQ136" i="11"/>
  <c r="BR135" i="11"/>
  <c r="BQ135" i="11"/>
  <c r="AY135" i="11"/>
  <c r="BR155" i="11"/>
  <c r="AY155" i="11"/>
  <c r="BQ155" i="11"/>
  <c r="BR154" i="11"/>
  <c r="BQ154" i="11"/>
  <c r="AY154" i="11"/>
  <c r="BR153" i="11"/>
  <c r="BQ153" i="11"/>
  <c r="AY153" i="11"/>
  <c r="AY151" i="11"/>
  <c r="BR151" i="11"/>
  <c r="BQ151" i="11"/>
  <c r="BR148" i="11"/>
  <c r="BQ148" i="11"/>
  <c r="AY148" i="11"/>
  <c r="BR146" i="11"/>
  <c r="BQ146" i="11"/>
  <c r="AY146" i="11"/>
  <c r="BR145" i="11"/>
  <c r="BQ145" i="11"/>
  <c r="AY145" i="11"/>
  <c r="BR168" i="11"/>
  <c r="BQ168" i="11"/>
  <c r="AY168" i="11"/>
  <c r="BR167" i="11"/>
  <c r="BQ167" i="11"/>
  <c r="AY167" i="11"/>
  <c r="BR166" i="11"/>
  <c r="BQ166" i="11"/>
  <c r="AY166" i="11"/>
  <c r="BR165" i="11"/>
  <c r="BQ165" i="11"/>
  <c r="AY165" i="11"/>
  <c r="BR164" i="11"/>
  <c r="BQ164" i="11"/>
  <c r="AY164" i="11"/>
  <c r="BR163" i="11"/>
  <c r="BQ163" i="11"/>
  <c r="AY163" i="11"/>
  <c r="BR162" i="11"/>
  <c r="BQ162" i="11"/>
  <c r="AY162" i="11"/>
  <c r="BR161" i="11"/>
  <c r="BQ161" i="11"/>
  <c r="AY161" i="11"/>
  <c r="BR160" i="11"/>
  <c r="BQ160" i="11"/>
  <c r="AY160" i="11"/>
  <c r="BR159" i="11"/>
  <c r="BQ159" i="11"/>
  <c r="AY159" i="11"/>
  <c r="BR158" i="11"/>
  <c r="BQ158" i="11"/>
  <c r="AY158" i="11"/>
  <c r="BR157" i="11"/>
  <c r="BQ157" i="11"/>
  <c r="AY157" i="11"/>
  <c r="BR180" i="11"/>
  <c r="BQ180" i="11"/>
  <c r="AY180" i="11"/>
  <c r="BR179" i="11"/>
  <c r="BQ179" i="11"/>
  <c r="AY179" i="11"/>
  <c r="BR178" i="11"/>
  <c r="BQ178" i="11"/>
  <c r="AY178" i="11"/>
  <c r="BR177" i="11"/>
  <c r="BQ177" i="11"/>
  <c r="AY177" i="11"/>
  <c r="BR176" i="11"/>
  <c r="BQ176" i="11"/>
  <c r="AY176" i="11"/>
  <c r="BR175" i="11"/>
  <c r="BQ175" i="11"/>
  <c r="AY175" i="11"/>
  <c r="BR174" i="11"/>
  <c r="BQ174" i="11"/>
  <c r="AY174" i="11"/>
  <c r="BR173" i="11"/>
  <c r="BQ173" i="11"/>
  <c r="AY173" i="11"/>
  <c r="BR172" i="11"/>
  <c r="BQ172" i="11"/>
  <c r="AY172" i="11"/>
  <c r="BR171" i="11"/>
  <c r="BQ171" i="11"/>
  <c r="AY171" i="11"/>
  <c r="BR170" i="11"/>
  <c r="BQ170" i="11"/>
  <c r="AY170" i="11"/>
  <c r="BR169" i="11"/>
  <c r="BQ169" i="11"/>
  <c r="AY169" i="11"/>
  <c r="BR192" i="11"/>
  <c r="BQ192" i="11"/>
  <c r="AY192" i="11"/>
  <c r="BR191" i="11"/>
  <c r="BQ191" i="11"/>
  <c r="AY191" i="11"/>
  <c r="BR125" i="11"/>
  <c r="BQ125" i="11"/>
  <c r="AY125" i="11"/>
  <c r="BR143" i="11"/>
  <c r="BQ143" i="11"/>
  <c r="AY143" i="11"/>
  <c r="BR142" i="11"/>
  <c r="BQ142" i="11"/>
  <c r="AY142" i="11"/>
  <c r="BR137" i="11"/>
  <c r="BQ137" i="11"/>
  <c r="AY137" i="11"/>
  <c r="AY134" i="11"/>
  <c r="BR134" i="11"/>
  <c r="BQ134" i="11"/>
  <c r="BR152" i="11"/>
  <c r="BQ152" i="11"/>
  <c r="AY152" i="11"/>
  <c r="BR150" i="11"/>
  <c r="BQ150" i="11"/>
  <c r="AY150" i="11"/>
  <c r="BR149" i="11"/>
  <c r="BQ149" i="11"/>
  <c r="AY149" i="11"/>
  <c r="BR147" i="11"/>
  <c r="BQ147" i="11"/>
  <c r="AY147" i="11"/>
  <c r="BR188" i="11"/>
  <c r="BQ188" i="11"/>
  <c r="AY188" i="11"/>
  <c r="BR187" i="11"/>
  <c r="BQ187" i="11"/>
  <c r="AY187" i="11"/>
  <c r="BR186" i="11"/>
  <c r="BQ186" i="11"/>
  <c r="AY186" i="11"/>
  <c r="BR182" i="11"/>
  <c r="BQ182" i="11"/>
  <c r="AY182" i="11"/>
  <c r="BR181" i="11"/>
  <c r="BQ181" i="11"/>
  <c r="AY181" i="11"/>
  <c r="BR202" i="11"/>
  <c r="BQ202" i="11"/>
  <c r="AY202" i="11"/>
  <c r="BR201" i="11"/>
  <c r="BQ201" i="11"/>
  <c r="AY201" i="11"/>
  <c r="BR200" i="11"/>
  <c r="BQ200" i="11"/>
  <c r="AY200" i="11"/>
  <c r="BR199" i="11"/>
  <c r="BQ199" i="11"/>
  <c r="AY199" i="11"/>
  <c r="BR197" i="11"/>
  <c r="BQ197" i="11"/>
  <c r="AY197" i="11"/>
  <c r="BR195" i="11"/>
  <c r="BQ195" i="11"/>
  <c r="AY195" i="11"/>
  <c r="BR194" i="11"/>
  <c r="BQ194" i="11"/>
  <c r="AY194" i="11"/>
  <c r="BR193" i="11"/>
  <c r="BQ193" i="11"/>
  <c r="AY193" i="11"/>
  <c r="BQ124" i="11"/>
  <c r="AY124" i="11"/>
  <c r="BR124" i="11"/>
  <c r="AY121" i="11"/>
  <c r="BR121" i="11"/>
  <c r="BQ121" i="11"/>
  <c r="BR144" i="11"/>
  <c r="BQ144" i="11"/>
  <c r="AY144" i="11"/>
  <c r="BR138" i="11"/>
  <c r="BQ138" i="11"/>
  <c r="AY138" i="11"/>
  <c r="AY133" i="11"/>
  <c r="BR133" i="11"/>
  <c r="BQ133" i="11"/>
  <c r="AY156" i="11"/>
  <c r="BR156" i="11"/>
  <c r="BQ156" i="11"/>
  <c r="BR190" i="11"/>
  <c r="BQ190" i="11"/>
  <c r="AY190" i="11"/>
  <c r="BR189" i="11"/>
  <c r="BQ189" i="11"/>
  <c r="AY189" i="11"/>
  <c r="BR185" i="11"/>
  <c r="BQ185" i="11"/>
  <c r="AY185" i="11"/>
  <c r="BR184" i="11"/>
  <c r="BQ184" i="11"/>
  <c r="AY184" i="11"/>
  <c r="BR183" i="11"/>
  <c r="BQ183" i="11"/>
  <c r="AY183" i="11"/>
  <c r="BR203" i="11"/>
  <c r="BQ203" i="11"/>
  <c r="AY203" i="11"/>
  <c r="BR198" i="11"/>
  <c r="BQ198" i="11"/>
  <c r="AY198" i="11"/>
  <c r="BR196" i="11"/>
  <c r="BQ196" i="11"/>
  <c r="AY196" i="11"/>
  <c r="AD74" i="5"/>
  <c r="C196" i="5"/>
  <c r="AD76" i="5"/>
  <c r="C198" i="5"/>
  <c r="AD78" i="5"/>
  <c r="C200" i="5"/>
  <c r="C191" i="5"/>
  <c r="AD69" i="5"/>
  <c r="C176" i="5"/>
  <c r="AD54" i="5"/>
  <c r="C192" i="5"/>
  <c r="AD70" i="5"/>
  <c r="C171" i="5"/>
  <c r="AD49" i="5"/>
  <c r="AD79" i="5"/>
  <c r="C201" i="5"/>
  <c r="C179" i="5"/>
  <c r="AD57" i="5"/>
  <c r="AD41" i="5"/>
  <c r="C163" i="5"/>
  <c r="C177" i="5"/>
  <c r="AD55" i="5"/>
  <c r="C189" i="5"/>
  <c r="AD67" i="5"/>
  <c r="C185" i="5"/>
  <c r="AD63" i="5"/>
  <c r="C173" i="5"/>
  <c r="AD51" i="5"/>
  <c r="AD42" i="5"/>
  <c r="C164" i="5"/>
  <c r="C175" i="5"/>
  <c r="AD53" i="5"/>
  <c r="C170" i="5"/>
  <c r="AD48" i="5"/>
  <c r="C172" i="5"/>
  <c r="AD50" i="5"/>
  <c r="AD43" i="5"/>
  <c r="C165" i="5"/>
  <c r="C183" i="5"/>
  <c r="AD61" i="5"/>
  <c r="C190" i="5"/>
  <c r="AD68" i="5"/>
  <c r="C188" i="5"/>
  <c r="AD66" i="5"/>
  <c r="AD71" i="5"/>
  <c r="C193" i="5"/>
  <c r="AD72" i="5"/>
  <c r="C194" i="5"/>
  <c r="AD77" i="5"/>
  <c r="C199" i="5"/>
  <c r="C178" i="5"/>
  <c r="AD56" i="5"/>
  <c r="C180" i="5"/>
  <c r="AD58" i="5"/>
  <c r="C182" i="5"/>
  <c r="AD60" i="5"/>
  <c r="C187" i="5"/>
  <c r="AD65" i="5"/>
  <c r="AD46" i="5"/>
  <c r="C168" i="5"/>
  <c r="AD73" i="5"/>
  <c r="C195" i="5"/>
  <c r="AD75" i="5"/>
  <c r="C197" i="5"/>
  <c r="C174" i="5"/>
  <c r="AD52" i="5"/>
  <c r="C184" i="5"/>
  <c r="AD62" i="5"/>
  <c r="C181" i="5"/>
  <c r="AD59" i="5"/>
  <c r="C186" i="5"/>
  <c r="AD64" i="5"/>
  <c r="C105" i="5"/>
  <c r="AG105" i="5"/>
  <c r="AH105" i="5"/>
  <c r="H58" i="6" s="1"/>
  <c r="B24" i="12"/>
  <c r="E24" i="12" s="1"/>
  <c r="G24" i="12" s="1"/>
  <c r="C111" i="5"/>
  <c r="AG111" i="5"/>
  <c r="AH111" i="5"/>
  <c r="H66" i="6" s="1"/>
  <c r="B30" i="12"/>
  <c r="E30" i="12" s="1"/>
  <c r="G30" i="12" s="1"/>
  <c r="C112" i="5"/>
  <c r="AG112" i="5"/>
  <c r="AH112" i="5"/>
  <c r="H50" i="6" s="1"/>
  <c r="B31" i="12"/>
  <c r="E31" i="12" s="1"/>
  <c r="G31" i="12" s="1"/>
  <c r="C101" i="5"/>
  <c r="AG101" i="5"/>
  <c r="AH101" i="5"/>
  <c r="H46" i="6" s="1"/>
  <c r="B20" i="12"/>
  <c r="E20" i="12" s="1"/>
  <c r="G20" i="12" s="1"/>
  <c r="C103" i="5"/>
  <c r="AG103" i="5"/>
  <c r="AH103" i="5"/>
  <c r="H56" i="6" s="1"/>
  <c r="B22" i="12"/>
  <c r="E22" i="12" s="1"/>
  <c r="G22" i="12" s="1"/>
  <c r="C104" i="5"/>
  <c r="AG104" i="5"/>
  <c r="AH104" i="5"/>
  <c r="H57" i="6" s="1"/>
  <c r="B23" i="12"/>
  <c r="E23" i="12" s="1"/>
  <c r="G23" i="12" s="1"/>
  <c r="C102" i="5"/>
  <c r="AG102" i="5"/>
  <c r="AH102" i="5"/>
  <c r="H62" i="6" s="1"/>
  <c r="B21" i="12"/>
  <c r="E21" i="12" s="1"/>
  <c r="G21" i="12" s="1"/>
  <c r="C96" i="5"/>
  <c r="AG96" i="5"/>
  <c r="AH96" i="5"/>
  <c r="H53" i="6" s="1"/>
  <c r="B15" i="12"/>
  <c r="E15" i="12" s="1"/>
  <c r="G15" i="12" s="1"/>
  <c r="C100" i="5"/>
  <c r="AG100" i="5"/>
  <c r="AH100" i="5"/>
  <c r="H45" i="6" s="1"/>
  <c r="B19" i="12"/>
  <c r="E19" i="12" s="1"/>
  <c r="G19" i="12" s="1"/>
  <c r="C99" i="5"/>
  <c r="AG99" i="5"/>
  <c r="AH99" i="5"/>
  <c r="H44" i="6" s="1"/>
  <c r="B18" i="12"/>
  <c r="E18" i="12" s="1"/>
  <c r="G18" i="12" s="1"/>
  <c r="C98" i="5"/>
  <c r="AG98" i="5"/>
  <c r="AH98" i="5"/>
  <c r="H55" i="6" s="1"/>
  <c r="B17" i="12"/>
  <c r="E17" i="12" s="1"/>
  <c r="G17" i="12" s="1"/>
  <c r="C97" i="5"/>
  <c r="AG97" i="5"/>
  <c r="AH97" i="5"/>
  <c r="H54" i="6" s="1"/>
  <c r="B16" i="12"/>
  <c r="E16" i="12" s="1"/>
  <c r="G16" i="12" s="1"/>
  <c r="C94" i="5"/>
  <c r="AG94" i="5"/>
  <c r="AH94" i="5"/>
  <c r="H51" i="6" s="1"/>
  <c r="B13" i="12"/>
  <c r="E13" i="12" s="1"/>
  <c r="C110" i="5"/>
  <c r="AG110" i="5"/>
  <c r="AH110" i="5"/>
  <c r="H65" i="6" s="1"/>
  <c r="B29" i="12"/>
  <c r="E29" i="12" s="1"/>
  <c r="G29" i="12" s="1"/>
  <c r="C109" i="5"/>
  <c r="AG109" i="5"/>
  <c r="AH109" i="5"/>
  <c r="H49" i="6" s="1"/>
  <c r="B28" i="12"/>
  <c r="E28" i="12" s="1"/>
  <c r="G28" i="12" s="1"/>
  <c r="C108" i="5"/>
  <c r="AG108" i="5"/>
  <c r="AH108" i="5"/>
  <c r="H64" i="6" s="1"/>
  <c r="B27" i="12"/>
  <c r="E27" i="12" s="1"/>
  <c r="G27" i="12" s="1"/>
  <c r="C107" i="5"/>
  <c r="AG107" i="5"/>
  <c r="AH107" i="5"/>
  <c r="H48" i="6" s="1"/>
  <c r="B26" i="12"/>
  <c r="E26" i="12" s="1"/>
  <c r="G26" i="12" s="1"/>
  <c r="C106" i="5"/>
  <c r="AG106" i="5"/>
  <c r="AH106" i="5"/>
  <c r="H47" i="6" s="1"/>
  <c r="B25" i="12"/>
  <c r="E25" i="12" s="1"/>
  <c r="G25" i="12" s="1"/>
  <c r="C95" i="5"/>
  <c r="AG95" i="5"/>
  <c r="AH95" i="5"/>
  <c r="H52" i="6" s="1"/>
  <c r="B14" i="12"/>
  <c r="E14" i="12" s="1"/>
  <c r="G14" i="12" s="1"/>
  <c r="BQ53" i="11"/>
  <c r="BR53" i="11"/>
  <c r="BE16" i="11"/>
  <c r="BM16" i="11" s="1"/>
  <c r="AY53" i="11"/>
  <c r="AC47" i="11"/>
  <c r="AC16" i="11"/>
  <c r="AC15" i="11"/>
  <c r="AC39" i="11"/>
  <c r="AC44" i="11"/>
  <c r="AC73" i="11"/>
  <c r="AC56" i="11"/>
  <c r="AC40" i="11"/>
  <c r="AC42" i="11"/>
  <c r="AC45" i="11"/>
  <c r="AC60" i="11"/>
  <c r="AC61" i="11"/>
  <c r="AC62" i="11"/>
  <c r="AC63" i="11"/>
  <c r="AC64" i="11"/>
  <c r="AC65" i="11"/>
  <c r="AC66" i="11"/>
  <c r="AC67" i="11"/>
  <c r="AC68" i="11"/>
  <c r="AC69" i="11"/>
  <c r="AC70" i="11"/>
  <c r="AC71" i="11"/>
  <c r="AC72" i="11"/>
  <c r="AC14" i="11"/>
  <c r="AC41" i="11"/>
  <c r="AC49" i="11"/>
  <c r="AC50" i="11"/>
  <c r="AC46" i="11"/>
  <c r="AC17" i="11"/>
  <c r="AC18" i="11"/>
  <c r="AC19" i="11"/>
  <c r="AC51" i="11"/>
  <c r="AC52" i="11"/>
  <c r="AC53" i="11"/>
  <c r="AC20" i="11"/>
  <c r="AC21" i="11"/>
  <c r="AC25" i="11"/>
  <c r="AC26" i="11"/>
  <c r="AC27" i="11"/>
  <c r="AC28" i="11"/>
  <c r="AC29" i="11"/>
  <c r="AC30" i="11"/>
  <c r="AC31" i="11"/>
  <c r="AC32" i="11"/>
  <c r="AC33" i="11"/>
  <c r="AC34" i="11"/>
  <c r="AC35" i="11"/>
  <c r="AC54" i="11"/>
  <c r="AC36" i="11"/>
  <c r="AC37" i="11"/>
  <c r="AC55" i="11"/>
  <c r="AC58" i="11"/>
  <c r="AC59" i="11"/>
  <c r="AC38" i="11"/>
  <c r="GY87" i="10"/>
  <c r="GY89" i="10"/>
  <c r="GY90" i="10"/>
  <c r="GY91" i="10"/>
  <c r="AC6" i="11"/>
  <c r="AC8" i="11"/>
  <c r="AC9" i="11"/>
  <c r="AC11" i="11"/>
  <c r="F4" i="6" s="1"/>
  <c r="AC12" i="11"/>
  <c r="AC4" i="11"/>
  <c r="AC22" i="11"/>
  <c r="AC23" i="11"/>
  <c r="AC24" i="11"/>
  <c r="AC7" i="11"/>
  <c r="AC43" i="11"/>
  <c r="AC57" i="11"/>
  <c r="AB80" i="5"/>
  <c r="EV5" i="5"/>
  <c r="AB39" i="5"/>
  <c r="DG5" i="5"/>
  <c r="AB40" i="5"/>
  <c r="DH5" i="5"/>
  <c r="AB33" i="5"/>
  <c r="DA5" i="5"/>
  <c r="AB34" i="5"/>
  <c r="DB5" i="5"/>
  <c r="AB35" i="5"/>
  <c r="DC5" i="5"/>
  <c r="AB36" i="5"/>
  <c r="DD5" i="5"/>
  <c r="AB37" i="5"/>
  <c r="DE5" i="5"/>
  <c r="AB38" i="5"/>
  <c r="DF5" i="5"/>
  <c r="B164" i="11" s="1"/>
  <c r="DO10" i="5"/>
  <c r="AB47" i="5"/>
  <c r="BU30" i="5"/>
  <c r="BV30" i="5" s="1"/>
  <c r="BU29" i="5"/>
  <c r="BV29" i="5" s="1"/>
  <c r="BU28" i="5"/>
  <c r="BV28" i="5" s="1"/>
  <c r="BU26" i="5"/>
  <c r="BV26" i="5" s="1"/>
  <c r="BU25" i="5"/>
  <c r="BV25" i="5" s="1"/>
  <c r="BU24" i="5"/>
  <c r="BV24" i="5" s="1"/>
  <c r="BU22" i="5"/>
  <c r="BV22" i="5" s="1"/>
  <c r="BU21" i="5"/>
  <c r="BV21" i="5" s="1"/>
  <c r="BU17" i="5"/>
  <c r="BV17" i="5" s="1"/>
  <c r="BU15" i="5"/>
  <c r="BV15" i="5" s="1"/>
  <c r="BU13" i="5"/>
  <c r="BV13" i="5" s="1"/>
  <c r="BU10" i="5"/>
  <c r="BV10" i="5" s="1"/>
  <c r="BU8" i="5"/>
  <c r="BV8" i="5" s="1"/>
  <c r="BU6" i="5"/>
  <c r="BV6" i="5" s="1"/>
  <c r="BU27" i="5"/>
  <c r="BV27" i="5" s="1"/>
  <c r="BU23" i="5"/>
  <c r="BV23" i="5" s="1"/>
  <c r="BU20" i="5"/>
  <c r="BV20" i="5" s="1"/>
  <c r="BU18" i="5"/>
  <c r="BV18" i="5" s="1"/>
  <c r="BU16" i="5"/>
  <c r="BV16" i="5" s="1"/>
  <c r="BU14" i="5"/>
  <c r="BV14" i="5" s="1"/>
  <c r="BU12" i="5"/>
  <c r="BV12" i="5" s="1"/>
  <c r="BU11" i="5"/>
  <c r="BV11" i="5" s="1"/>
  <c r="BU9" i="5"/>
  <c r="BV9" i="5" s="1"/>
  <c r="BU7" i="5"/>
  <c r="BV7" i="5" s="1"/>
  <c r="L29" i="3"/>
  <c r="G13" i="12" l="1"/>
  <c r="BT104" i="11"/>
  <c r="AZ104" i="11"/>
  <c r="AX104" i="11" a="1"/>
  <c r="AZ103" i="11"/>
  <c r="AX103" i="11" a="1"/>
  <c r="BT102" i="11"/>
  <c r="AZ102" i="11"/>
  <c r="AX102" i="11" a="1"/>
  <c r="BT163" i="11"/>
  <c r="AZ163" i="11"/>
  <c r="AX163" i="11" a="1"/>
  <c r="BT162" i="11"/>
  <c r="AZ162" i="11"/>
  <c r="AX162" i="11" a="1"/>
  <c r="BT143" i="11"/>
  <c r="AZ143" i="11"/>
  <c r="AX143" i="11" a="1"/>
  <c r="BT133" i="11"/>
  <c r="AZ133" i="11"/>
  <c r="AX133" i="11" a="1"/>
  <c r="AX150" i="11" a="1"/>
  <c r="BT150" i="11"/>
  <c r="AZ150" i="11"/>
  <c r="BT147" i="11"/>
  <c r="AX147" i="11" a="1"/>
  <c r="AZ147" i="11"/>
  <c r="BT188" i="11"/>
  <c r="AZ188" i="11"/>
  <c r="AX188" i="11" a="1"/>
  <c r="BT186" i="11"/>
  <c r="AZ186" i="11"/>
  <c r="AX186" i="11" a="1"/>
  <c r="BT181" i="11"/>
  <c r="AZ181" i="11"/>
  <c r="AX181" i="11" a="1"/>
  <c r="BT200" i="11"/>
  <c r="AZ200" i="11"/>
  <c r="AX200" i="11" a="1"/>
  <c r="BT199" i="11"/>
  <c r="AZ199" i="11"/>
  <c r="AX199" i="11" a="1"/>
  <c r="BT197" i="11"/>
  <c r="AZ197" i="11"/>
  <c r="AX197" i="11" a="1"/>
  <c r="BT194" i="11"/>
  <c r="AZ194" i="11"/>
  <c r="AX194" i="11" a="1"/>
  <c r="BT193" i="11"/>
  <c r="AZ193" i="11"/>
  <c r="AX193" i="11" a="1"/>
  <c r="BT37" i="11"/>
  <c r="AZ37" i="11"/>
  <c r="AX37" i="11" a="1"/>
  <c r="AX126" i="11" a="1"/>
  <c r="AZ126" i="11"/>
  <c r="BT126" i="11"/>
  <c r="AX34" i="11" a="1"/>
  <c r="BT34" i="11"/>
  <c r="AZ34" i="11"/>
  <c r="BT7" i="11"/>
  <c r="AZ7" i="11"/>
  <c r="AX7" i="11" a="1"/>
  <c r="BT6" i="11"/>
  <c r="AZ6" i="11"/>
  <c r="AX6" i="11" a="1"/>
  <c r="AZ5" i="11"/>
  <c r="AX5" i="11" a="1"/>
  <c r="BH57" i="11"/>
  <c r="BH60" i="11"/>
  <c r="BH55" i="11"/>
  <c r="BH51" i="11"/>
  <c r="BH46" i="11"/>
  <c r="BH43" i="11"/>
  <c r="BH53" i="11"/>
  <c r="BH50" i="11"/>
  <c r="BH36" i="11"/>
  <c r="BH45" i="11"/>
  <c r="BH39" i="11"/>
  <c r="BH54" i="11"/>
  <c r="BH48" i="11"/>
  <c r="BH47" i="11"/>
  <c r="BH44" i="11"/>
  <c r="BH37" i="11"/>
  <c r="BH59" i="11"/>
  <c r="BH56" i="11"/>
  <c r="BH49" i="11"/>
  <c r="BH34" i="11"/>
  <c r="BH38" i="11"/>
  <c r="BH58" i="11"/>
  <c r="BH52" i="11"/>
  <c r="BH42" i="11"/>
  <c r="BH41" i="11"/>
  <c r="BG50" i="11"/>
  <c r="BG49" i="11"/>
  <c r="BG48" i="11"/>
  <c r="BG42" i="11"/>
  <c r="BG39" i="11"/>
  <c r="BG38" i="11"/>
  <c r="BG58" i="11"/>
  <c r="BG51" i="11"/>
  <c r="BG34" i="11"/>
  <c r="BG44" i="11"/>
  <c r="BG59" i="11"/>
  <c r="BG57" i="11"/>
  <c r="BG45" i="11"/>
  <c r="BG41" i="11"/>
  <c r="BG60" i="11"/>
  <c r="BG55" i="11"/>
  <c r="BG53" i="11"/>
  <c r="BG46" i="11"/>
  <c r="BG56" i="11"/>
  <c r="BG54" i="11"/>
  <c r="BG47" i="11"/>
  <c r="BG43" i="11"/>
  <c r="BG37" i="11"/>
  <c r="BG52" i="11"/>
  <c r="BG36" i="11"/>
  <c r="BI46" i="11"/>
  <c r="BI45" i="11"/>
  <c r="BI43" i="11"/>
  <c r="BI37" i="11"/>
  <c r="BI57" i="11"/>
  <c r="BI50" i="11"/>
  <c r="BI60" i="11"/>
  <c r="BI58" i="11"/>
  <c r="BI34" i="11"/>
  <c r="BI44" i="11"/>
  <c r="BI38" i="11"/>
  <c r="BI56" i="11"/>
  <c r="BI53" i="11"/>
  <c r="BI51" i="11"/>
  <c r="BI49" i="11"/>
  <c r="BI36" i="11"/>
  <c r="BI48" i="11"/>
  <c r="BI47" i="11"/>
  <c r="BI41" i="11"/>
  <c r="BI39" i="11"/>
  <c r="BI59" i="11"/>
  <c r="BI54" i="11"/>
  <c r="BI42" i="11"/>
  <c r="BI55" i="11"/>
  <c r="BI52" i="11"/>
  <c r="BF47" i="11"/>
  <c r="BF46" i="11"/>
  <c r="BF43" i="11"/>
  <c r="BF38" i="11"/>
  <c r="BF37" i="11"/>
  <c r="BF59" i="11"/>
  <c r="BF52" i="11"/>
  <c r="BF58" i="11"/>
  <c r="BF39" i="11"/>
  <c r="BF57" i="11"/>
  <c r="BF56" i="11"/>
  <c r="BF51" i="11"/>
  <c r="BF48" i="11"/>
  <c r="BF45" i="11"/>
  <c r="BF60" i="11"/>
  <c r="BF34" i="11"/>
  <c r="BF44" i="11"/>
  <c r="BF55" i="11"/>
  <c r="BF54" i="11"/>
  <c r="BF53" i="11"/>
  <c r="BF42" i="11"/>
  <c r="BF41" i="11"/>
  <c r="BF49" i="11"/>
  <c r="BF50" i="11"/>
  <c r="BF36" i="11"/>
  <c r="BB1" i="14"/>
  <c r="AY119" i="5"/>
  <c r="B71" i="12"/>
  <c r="C59" i="6"/>
  <c r="AE90" i="5"/>
  <c r="E59" i="6" s="1"/>
  <c r="AC90" i="5"/>
  <c r="AB90" i="5"/>
  <c r="AA90" i="5"/>
  <c r="Z90" i="5"/>
  <c r="Y90" i="5"/>
  <c r="X90" i="5"/>
  <c r="W90" i="5"/>
  <c r="V90" i="5"/>
  <c r="U90" i="5"/>
  <c r="T90" i="5"/>
  <c r="S90" i="5"/>
  <c r="R90" i="5"/>
  <c r="Q90" i="5"/>
  <c r="P90" i="5"/>
  <c r="O90" i="5"/>
  <c r="N90" i="5"/>
  <c r="M90" i="5"/>
  <c r="L90" i="5"/>
  <c r="K90" i="5"/>
  <c r="J90" i="5"/>
  <c r="I90" i="5"/>
  <c r="H90" i="5"/>
  <c r="G90" i="5"/>
  <c r="F90" i="5"/>
  <c r="E90" i="5"/>
  <c r="D90" i="5"/>
  <c r="C42" i="6"/>
  <c r="AE89" i="5"/>
  <c r="E42" i="6" s="1"/>
  <c r="AC89" i="5"/>
  <c r="AB89" i="5"/>
  <c r="AA89" i="5"/>
  <c r="Z89" i="5"/>
  <c r="Y89" i="5"/>
  <c r="X89" i="5"/>
  <c r="W89" i="5"/>
  <c r="V89" i="5"/>
  <c r="U89" i="5"/>
  <c r="T89" i="5"/>
  <c r="S89" i="5"/>
  <c r="R89" i="5"/>
  <c r="Q89" i="5"/>
  <c r="P89" i="5"/>
  <c r="O89" i="5"/>
  <c r="N89" i="5"/>
  <c r="M89" i="5"/>
  <c r="L89" i="5"/>
  <c r="K89" i="5"/>
  <c r="J89" i="5"/>
  <c r="I89" i="5"/>
  <c r="H89" i="5"/>
  <c r="G89" i="5"/>
  <c r="F89" i="5"/>
  <c r="E89" i="5"/>
  <c r="D89" i="5"/>
  <c r="C63" i="6"/>
  <c r="AE88" i="5"/>
  <c r="E63" i="6" s="1"/>
  <c r="AC88" i="5"/>
  <c r="AB88" i="5"/>
  <c r="AA88" i="5"/>
  <c r="Z88" i="5"/>
  <c r="Y88" i="5"/>
  <c r="X88" i="5"/>
  <c r="W88" i="5"/>
  <c r="V88" i="5"/>
  <c r="U88" i="5"/>
  <c r="T88" i="5"/>
  <c r="S88" i="5"/>
  <c r="R88" i="5"/>
  <c r="Q88" i="5"/>
  <c r="P88" i="5"/>
  <c r="O88" i="5"/>
  <c r="N88" i="5"/>
  <c r="M88" i="5"/>
  <c r="L88" i="5"/>
  <c r="K88" i="5"/>
  <c r="J88" i="5"/>
  <c r="I88" i="5"/>
  <c r="H88" i="5"/>
  <c r="G88" i="5"/>
  <c r="F88" i="5"/>
  <c r="E88" i="5"/>
  <c r="D88" i="5"/>
  <c r="AD88" i="5" s="1"/>
  <c r="CC41" i="5"/>
  <c r="BB40" i="5"/>
  <c r="BC40" i="5"/>
  <c r="BD40" i="5"/>
  <c r="BE40" i="5"/>
  <c r="BF40" i="5"/>
  <c r="BG40" i="5"/>
  <c r="BH40" i="5"/>
  <c r="BI40" i="5"/>
  <c r="BJ40" i="5"/>
  <c r="BK40" i="5"/>
  <c r="BL40" i="5"/>
  <c r="BM40" i="5"/>
  <c r="BN40" i="5"/>
  <c r="BO40" i="5"/>
  <c r="BP40" i="5"/>
  <c r="BQ40" i="5"/>
  <c r="BR40" i="5"/>
  <c r="BS40" i="5"/>
  <c r="BT40" i="5"/>
  <c r="BU40" i="5"/>
  <c r="BV40" i="5"/>
  <c r="BW40" i="5"/>
  <c r="BX40" i="5"/>
  <c r="BY40" i="5"/>
  <c r="BZ40" i="5"/>
  <c r="CA40" i="5"/>
  <c r="CC40" i="5"/>
  <c r="CC39" i="5"/>
  <c r="CC38" i="5"/>
  <c r="CC37" i="5"/>
  <c r="CC36" i="5"/>
  <c r="L80" i="6" s="1"/>
  <c r="CC35" i="5"/>
  <c r="CA42" i="5"/>
  <c r="BZ42" i="5"/>
  <c r="BY42" i="5"/>
  <c r="BX42" i="5"/>
  <c r="BW42" i="5"/>
  <c r="BV42" i="5"/>
  <c r="BU42" i="5"/>
  <c r="BT42" i="5"/>
  <c r="BS42" i="5"/>
  <c r="BR42" i="5"/>
  <c r="BQ42" i="5"/>
  <c r="BP42" i="5"/>
  <c r="BO42" i="5"/>
  <c r="BN42" i="5"/>
  <c r="BM42" i="5"/>
  <c r="BL42" i="5"/>
  <c r="BK42" i="5"/>
  <c r="BJ42" i="5"/>
  <c r="BI42" i="5"/>
  <c r="BH42" i="5"/>
  <c r="BG42" i="5"/>
  <c r="BF42" i="5"/>
  <c r="BE42" i="5"/>
  <c r="BD42" i="5"/>
  <c r="BC42" i="5"/>
  <c r="BB42" i="5"/>
  <c r="CB42" i="5" s="1"/>
  <c r="H67" i="6"/>
  <c r="CC42" i="5"/>
  <c r="C67" i="6"/>
  <c r="AE87" i="5"/>
  <c r="AC87" i="5"/>
  <c r="CA39" i="5" s="1"/>
  <c r="AB87" i="5"/>
  <c r="BZ39" i="5" s="1"/>
  <c r="AA87" i="5"/>
  <c r="BY39" i="5" s="1"/>
  <c r="Z87" i="5"/>
  <c r="BX39" i="5" s="1"/>
  <c r="Y87" i="5"/>
  <c r="BW39" i="5" s="1"/>
  <c r="X87" i="5"/>
  <c r="BV39" i="5" s="1"/>
  <c r="W87" i="5"/>
  <c r="BU39" i="5" s="1"/>
  <c r="V87" i="5"/>
  <c r="BT39" i="5" s="1"/>
  <c r="U87" i="5"/>
  <c r="BS39" i="5" s="1"/>
  <c r="T87" i="5"/>
  <c r="BR39" i="5" s="1"/>
  <c r="S87" i="5"/>
  <c r="BQ39" i="5" s="1"/>
  <c r="R87" i="5"/>
  <c r="BP39" i="5" s="1"/>
  <c r="Q87" i="5"/>
  <c r="BO39" i="5" s="1"/>
  <c r="P87" i="5"/>
  <c r="BN39" i="5" s="1"/>
  <c r="O87" i="5"/>
  <c r="BM39" i="5" s="1"/>
  <c r="N87" i="5"/>
  <c r="BL39" i="5" s="1"/>
  <c r="M87" i="5"/>
  <c r="BK39" i="5" s="1"/>
  <c r="L87" i="5"/>
  <c r="BJ39" i="5" s="1"/>
  <c r="K87" i="5"/>
  <c r="BI39" i="5" s="1"/>
  <c r="J87" i="5"/>
  <c r="BH39" i="5" s="1"/>
  <c r="I87" i="5"/>
  <c r="BG39" i="5" s="1"/>
  <c r="H87" i="5"/>
  <c r="BF39" i="5" s="1"/>
  <c r="G87" i="5"/>
  <c r="BE39" i="5" s="1"/>
  <c r="F87" i="5"/>
  <c r="BD39" i="5" s="1"/>
  <c r="E87" i="5"/>
  <c r="BC39" i="5" s="1"/>
  <c r="D87" i="5"/>
  <c r="BB39" i="5" s="1"/>
  <c r="C43" i="6"/>
  <c r="AE93" i="5"/>
  <c r="E43" i="6" s="1"/>
  <c r="AC93" i="5"/>
  <c r="AB93" i="5"/>
  <c r="AA93" i="5"/>
  <c r="Z93" i="5"/>
  <c r="Y93" i="5"/>
  <c r="X93" i="5"/>
  <c r="W93" i="5"/>
  <c r="V93" i="5"/>
  <c r="U93" i="5"/>
  <c r="T93" i="5"/>
  <c r="S93" i="5"/>
  <c r="R93" i="5"/>
  <c r="Q93" i="5"/>
  <c r="P93" i="5"/>
  <c r="O93" i="5"/>
  <c r="N93" i="5"/>
  <c r="M93" i="5"/>
  <c r="L93" i="5"/>
  <c r="K93" i="5"/>
  <c r="J93" i="5"/>
  <c r="I93" i="5"/>
  <c r="H93" i="5"/>
  <c r="G93" i="5"/>
  <c r="F93" i="5"/>
  <c r="E93" i="5"/>
  <c r="D93" i="5"/>
  <c r="C61" i="6"/>
  <c r="AE92" i="5"/>
  <c r="E61" i="6" s="1"/>
  <c r="AC92" i="5"/>
  <c r="AB92" i="5"/>
  <c r="AA92" i="5"/>
  <c r="Z92" i="5"/>
  <c r="Y92" i="5"/>
  <c r="X92" i="5"/>
  <c r="W92" i="5"/>
  <c r="V92" i="5"/>
  <c r="U92" i="5"/>
  <c r="T92" i="5"/>
  <c r="S92" i="5"/>
  <c r="R92" i="5"/>
  <c r="Q92" i="5"/>
  <c r="P92" i="5"/>
  <c r="O92" i="5"/>
  <c r="N92" i="5"/>
  <c r="M92" i="5"/>
  <c r="L92" i="5"/>
  <c r="K92" i="5"/>
  <c r="J92" i="5"/>
  <c r="I92" i="5"/>
  <c r="H92" i="5"/>
  <c r="G92" i="5"/>
  <c r="F92" i="5"/>
  <c r="E92" i="5"/>
  <c r="D92" i="5"/>
  <c r="C60" i="6"/>
  <c r="AE91" i="5"/>
  <c r="E60" i="6" s="1"/>
  <c r="AC91" i="5"/>
  <c r="AB91" i="5"/>
  <c r="AA91" i="5"/>
  <c r="Z91" i="5"/>
  <c r="Y91" i="5"/>
  <c r="X91" i="5"/>
  <c r="W91" i="5"/>
  <c r="V91" i="5"/>
  <c r="U91" i="5"/>
  <c r="T91" i="5"/>
  <c r="S91" i="5"/>
  <c r="R91" i="5"/>
  <c r="Q91" i="5"/>
  <c r="P91" i="5"/>
  <c r="O91" i="5"/>
  <c r="BM37" i="5" s="1"/>
  <c r="N91" i="5"/>
  <c r="BL37" i="5" s="1"/>
  <c r="M91" i="5"/>
  <c r="BK37" i="5" s="1"/>
  <c r="L91" i="5"/>
  <c r="BJ37" i="5" s="1"/>
  <c r="K91" i="5"/>
  <c r="J91" i="5"/>
  <c r="I91" i="5"/>
  <c r="H91" i="5"/>
  <c r="G91" i="5"/>
  <c r="F91" i="5"/>
  <c r="E91" i="5"/>
  <c r="D91" i="5"/>
  <c r="C58" i="6"/>
  <c r="AE105" i="5"/>
  <c r="E58" i="6" s="1"/>
  <c r="AC105" i="5"/>
  <c r="AB105" i="5"/>
  <c r="AA105" i="5"/>
  <c r="Z105" i="5"/>
  <c r="Y105" i="5"/>
  <c r="X105" i="5"/>
  <c r="W105" i="5"/>
  <c r="V105" i="5"/>
  <c r="U105" i="5"/>
  <c r="T105" i="5"/>
  <c r="S105" i="5"/>
  <c r="R105" i="5"/>
  <c r="Q105" i="5"/>
  <c r="P105" i="5"/>
  <c r="O105" i="5"/>
  <c r="N105" i="5"/>
  <c r="M105" i="5"/>
  <c r="L105" i="5"/>
  <c r="K105" i="5"/>
  <c r="J105" i="5"/>
  <c r="I105" i="5"/>
  <c r="H105" i="5"/>
  <c r="G105" i="5"/>
  <c r="F105" i="5"/>
  <c r="E105" i="5"/>
  <c r="D105" i="5"/>
  <c r="AD105" i="5" s="1"/>
  <c r="C66" i="6"/>
  <c r="AE111" i="5"/>
  <c r="E66" i="6" s="1"/>
  <c r="AC111" i="5"/>
  <c r="AB111" i="5"/>
  <c r="AA111" i="5"/>
  <c r="Z111" i="5"/>
  <c r="Y111" i="5"/>
  <c r="X111" i="5"/>
  <c r="W111" i="5"/>
  <c r="V111" i="5"/>
  <c r="U111" i="5"/>
  <c r="T111" i="5"/>
  <c r="S111" i="5"/>
  <c r="R111" i="5"/>
  <c r="Q111" i="5"/>
  <c r="P111" i="5"/>
  <c r="O111" i="5"/>
  <c r="N111" i="5"/>
  <c r="M111" i="5"/>
  <c r="L111" i="5"/>
  <c r="K111" i="5"/>
  <c r="J111" i="5"/>
  <c r="I111" i="5"/>
  <c r="H111" i="5"/>
  <c r="G111" i="5"/>
  <c r="F111" i="5"/>
  <c r="E111" i="5"/>
  <c r="D111" i="5"/>
  <c r="C50" i="6"/>
  <c r="AE112" i="5"/>
  <c r="E50" i="6" s="1"/>
  <c r="AC112" i="5"/>
  <c r="AB112" i="5"/>
  <c r="AA112" i="5"/>
  <c r="Z112" i="5"/>
  <c r="Y112" i="5"/>
  <c r="X112" i="5"/>
  <c r="W112" i="5"/>
  <c r="V112" i="5"/>
  <c r="U112" i="5"/>
  <c r="T112" i="5"/>
  <c r="S112" i="5"/>
  <c r="R112" i="5"/>
  <c r="Q112" i="5"/>
  <c r="P112" i="5"/>
  <c r="O112" i="5"/>
  <c r="N112" i="5"/>
  <c r="M112" i="5"/>
  <c r="L112" i="5"/>
  <c r="K112" i="5"/>
  <c r="J112" i="5"/>
  <c r="I112" i="5"/>
  <c r="H112" i="5"/>
  <c r="G112" i="5"/>
  <c r="F112" i="5"/>
  <c r="E112" i="5"/>
  <c r="D112" i="5"/>
  <c r="C46" i="6"/>
  <c r="AE101" i="5"/>
  <c r="E46" i="6" s="1"/>
  <c r="AC101" i="5"/>
  <c r="AB101" i="5"/>
  <c r="AA101" i="5"/>
  <c r="Z101" i="5"/>
  <c r="Y101" i="5"/>
  <c r="X101" i="5"/>
  <c r="W101" i="5"/>
  <c r="V101" i="5"/>
  <c r="U101" i="5"/>
  <c r="T101" i="5"/>
  <c r="S101" i="5"/>
  <c r="R101" i="5"/>
  <c r="Q101" i="5"/>
  <c r="P101" i="5"/>
  <c r="O101" i="5"/>
  <c r="N101" i="5"/>
  <c r="M101" i="5"/>
  <c r="L101" i="5"/>
  <c r="K101" i="5"/>
  <c r="J101" i="5"/>
  <c r="I101" i="5"/>
  <c r="H101" i="5"/>
  <c r="G101" i="5"/>
  <c r="F101" i="5"/>
  <c r="E101" i="5"/>
  <c r="D101" i="5"/>
  <c r="C56" i="6"/>
  <c r="AE103" i="5"/>
  <c r="E56" i="6" s="1"/>
  <c r="AC103" i="5"/>
  <c r="AB103" i="5"/>
  <c r="AA103" i="5"/>
  <c r="Z103" i="5"/>
  <c r="Y103" i="5"/>
  <c r="X103" i="5"/>
  <c r="W103" i="5"/>
  <c r="V103" i="5"/>
  <c r="U103" i="5"/>
  <c r="T103" i="5"/>
  <c r="S103" i="5"/>
  <c r="R103" i="5"/>
  <c r="Q103" i="5"/>
  <c r="P103" i="5"/>
  <c r="O103" i="5"/>
  <c r="N103" i="5"/>
  <c r="M103" i="5"/>
  <c r="L103" i="5"/>
  <c r="K103" i="5"/>
  <c r="J103" i="5"/>
  <c r="I103" i="5"/>
  <c r="H103" i="5"/>
  <c r="G103" i="5"/>
  <c r="F103" i="5"/>
  <c r="E103" i="5"/>
  <c r="D103" i="5"/>
  <c r="AD103" i="5" s="1"/>
  <c r="C57" i="6"/>
  <c r="AE104" i="5"/>
  <c r="E57" i="6" s="1"/>
  <c r="AC104" i="5"/>
  <c r="AB104" i="5"/>
  <c r="AA104" i="5"/>
  <c r="Z104" i="5"/>
  <c r="Y104" i="5"/>
  <c r="X104" i="5"/>
  <c r="W104" i="5"/>
  <c r="V104" i="5"/>
  <c r="U104" i="5"/>
  <c r="T104" i="5"/>
  <c r="S104" i="5"/>
  <c r="R104" i="5"/>
  <c r="Q104" i="5"/>
  <c r="P104" i="5"/>
  <c r="O104" i="5"/>
  <c r="N104" i="5"/>
  <c r="M104" i="5"/>
  <c r="L104" i="5"/>
  <c r="K104" i="5"/>
  <c r="J104" i="5"/>
  <c r="I104" i="5"/>
  <c r="H104" i="5"/>
  <c r="G104" i="5"/>
  <c r="F104" i="5"/>
  <c r="E104" i="5"/>
  <c r="D104" i="5"/>
  <c r="C62" i="6"/>
  <c r="AE102" i="5"/>
  <c r="E62" i="6" s="1"/>
  <c r="AC102" i="5"/>
  <c r="CA41" i="5" s="1"/>
  <c r="AB102" i="5"/>
  <c r="BZ41" i="5" s="1"/>
  <c r="AA102" i="5"/>
  <c r="BY41" i="5" s="1"/>
  <c r="Z102" i="5"/>
  <c r="BX41" i="5" s="1"/>
  <c r="Y102" i="5"/>
  <c r="BW41" i="5" s="1"/>
  <c r="X102" i="5"/>
  <c r="BV41" i="5" s="1"/>
  <c r="W102" i="5"/>
  <c r="BU41" i="5" s="1"/>
  <c r="V102" i="5"/>
  <c r="BT41" i="5" s="1"/>
  <c r="U102" i="5"/>
  <c r="BS41" i="5" s="1"/>
  <c r="T102" i="5"/>
  <c r="BR41" i="5" s="1"/>
  <c r="S102" i="5"/>
  <c r="BQ41" i="5" s="1"/>
  <c r="R102" i="5"/>
  <c r="BP41" i="5" s="1"/>
  <c r="Q102" i="5"/>
  <c r="BO41" i="5" s="1"/>
  <c r="P102" i="5"/>
  <c r="BN41" i="5" s="1"/>
  <c r="O102" i="5"/>
  <c r="BM41" i="5" s="1"/>
  <c r="N102" i="5"/>
  <c r="BL41" i="5" s="1"/>
  <c r="M102" i="5"/>
  <c r="BK41" i="5" s="1"/>
  <c r="L102" i="5"/>
  <c r="BJ41" i="5" s="1"/>
  <c r="K102" i="5"/>
  <c r="BI41" i="5" s="1"/>
  <c r="J102" i="5"/>
  <c r="BH41" i="5" s="1"/>
  <c r="I102" i="5"/>
  <c r="BG41" i="5" s="1"/>
  <c r="H102" i="5"/>
  <c r="BF41" i="5" s="1"/>
  <c r="G102" i="5"/>
  <c r="BE41" i="5" s="1"/>
  <c r="F102" i="5"/>
  <c r="BD41" i="5" s="1"/>
  <c r="E102" i="5"/>
  <c r="BC41" i="5" s="1"/>
  <c r="D102" i="5"/>
  <c r="BB41" i="5" s="1"/>
  <c r="C53" i="6"/>
  <c r="AE96" i="5"/>
  <c r="E53" i="6" s="1"/>
  <c r="AC96" i="5"/>
  <c r="AB96" i="5"/>
  <c r="AA96" i="5"/>
  <c r="Z96" i="5"/>
  <c r="Y96" i="5"/>
  <c r="X96" i="5"/>
  <c r="W96" i="5"/>
  <c r="V96" i="5"/>
  <c r="U96" i="5"/>
  <c r="T96" i="5"/>
  <c r="S96" i="5"/>
  <c r="R96" i="5"/>
  <c r="Q96" i="5"/>
  <c r="P96" i="5"/>
  <c r="O96" i="5"/>
  <c r="N96" i="5"/>
  <c r="M96" i="5"/>
  <c r="L96" i="5"/>
  <c r="K96" i="5"/>
  <c r="J96" i="5"/>
  <c r="I96" i="5"/>
  <c r="H96" i="5"/>
  <c r="G96" i="5"/>
  <c r="F96" i="5"/>
  <c r="E96" i="5"/>
  <c r="D96" i="5"/>
  <c r="C45" i="6"/>
  <c r="AE100" i="5"/>
  <c r="E45" i="6" s="1"/>
  <c r="AC100" i="5"/>
  <c r="AB100" i="5"/>
  <c r="AA100" i="5"/>
  <c r="Z100" i="5"/>
  <c r="Y100" i="5"/>
  <c r="X100" i="5"/>
  <c r="W100" i="5"/>
  <c r="V100" i="5"/>
  <c r="U100" i="5"/>
  <c r="T100" i="5"/>
  <c r="S100" i="5"/>
  <c r="R100" i="5"/>
  <c r="Q100" i="5"/>
  <c r="P100" i="5"/>
  <c r="O100" i="5"/>
  <c r="N100" i="5"/>
  <c r="M100" i="5"/>
  <c r="L100" i="5"/>
  <c r="K100" i="5"/>
  <c r="J100" i="5"/>
  <c r="I100" i="5"/>
  <c r="H100" i="5"/>
  <c r="G100" i="5"/>
  <c r="F100" i="5"/>
  <c r="E100" i="5"/>
  <c r="D100" i="5"/>
  <c r="C44" i="6"/>
  <c r="AE99" i="5"/>
  <c r="E44" i="6" s="1"/>
  <c r="AC99" i="5"/>
  <c r="AB99" i="5"/>
  <c r="AA99" i="5"/>
  <c r="Z99" i="5"/>
  <c r="Y99" i="5"/>
  <c r="X99" i="5"/>
  <c r="W99" i="5"/>
  <c r="V99" i="5"/>
  <c r="U99" i="5"/>
  <c r="T99" i="5"/>
  <c r="S99" i="5"/>
  <c r="R99" i="5"/>
  <c r="Q99" i="5"/>
  <c r="P99" i="5"/>
  <c r="O99" i="5"/>
  <c r="N99" i="5"/>
  <c r="M99" i="5"/>
  <c r="L99" i="5"/>
  <c r="K99" i="5"/>
  <c r="J99" i="5"/>
  <c r="I99" i="5"/>
  <c r="H99" i="5"/>
  <c r="G99" i="5"/>
  <c r="F99" i="5"/>
  <c r="E99" i="5"/>
  <c r="D99" i="5"/>
  <c r="AD99" i="5" s="1"/>
  <c r="C55" i="6"/>
  <c r="AE98" i="5"/>
  <c r="E55" i="6" s="1"/>
  <c r="AC98" i="5"/>
  <c r="AB98" i="5"/>
  <c r="AA98" i="5"/>
  <c r="Z98" i="5"/>
  <c r="Y98" i="5"/>
  <c r="X98" i="5"/>
  <c r="W98" i="5"/>
  <c r="V98" i="5"/>
  <c r="U98" i="5"/>
  <c r="T98" i="5"/>
  <c r="S98" i="5"/>
  <c r="R98" i="5"/>
  <c r="Q98" i="5"/>
  <c r="P98" i="5"/>
  <c r="O98" i="5"/>
  <c r="N98" i="5"/>
  <c r="M98" i="5"/>
  <c r="L98" i="5"/>
  <c r="K98" i="5"/>
  <c r="J98" i="5"/>
  <c r="I98" i="5"/>
  <c r="H98" i="5"/>
  <c r="G98" i="5"/>
  <c r="F98" i="5"/>
  <c r="E98" i="5"/>
  <c r="D98" i="5"/>
  <c r="AD98" i="5" s="1"/>
  <c r="C54" i="6"/>
  <c r="AE97" i="5"/>
  <c r="E54" i="6" s="1"/>
  <c r="AC97" i="5"/>
  <c r="AB97" i="5"/>
  <c r="AA97" i="5"/>
  <c r="Z97" i="5"/>
  <c r="Y97" i="5"/>
  <c r="X97" i="5"/>
  <c r="W97" i="5"/>
  <c r="V97" i="5"/>
  <c r="U97" i="5"/>
  <c r="T97" i="5"/>
  <c r="S97" i="5"/>
  <c r="R97" i="5"/>
  <c r="Q97" i="5"/>
  <c r="P97" i="5"/>
  <c r="O97" i="5"/>
  <c r="N97" i="5"/>
  <c r="M97" i="5"/>
  <c r="L97" i="5"/>
  <c r="K97" i="5"/>
  <c r="J97" i="5"/>
  <c r="I97" i="5"/>
  <c r="H97" i="5"/>
  <c r="G97" i="5"/>
  <c r="F97" i="5"/>
  <c r="E97" i="5"/>
  <c r="D97" i="5"/>
  <c r="AD97" i="5" s="1"/>
  <c r="C51" i="6"/>
  <c r="AE94" i="5"/>
  <c r="E51" i="6" s="1"/>
  <c r="AC94" i="5"/>
  <c r="AB94" i="5"/>
  <c r="AA94" i="5"/>
  <c r="Z94" i="5"/>
  <c r="Y94" i="5"/>
  <c r="X94" i="5"/>
  <c r="W94" i="5"/>
  <c r="V94" i="5"/>
  <c r="U94" i="5"/>
  <c r="T94" i="5"/>
  <c r="S94" i="5"/>
  <c r="R94" i="5"/>
  <c r="Q94" i="5"/>
  <c r="P94" i="5"/>
  <c r="O94" i="5"/>
  <c r="N94" i="5"/>
  <c r="M94" i="5"/>
  <c r="L94" i="5"/>
  <c r="K94" i="5"/>
  <c r="J94" i="5"/>
  <c r="I94" i="5"/>
  <c r="H94" i="5"/>
  <c r="G94" i="5"/>
  <c r="F94" i="5"/>
  <c r="E94" i="5"/>
  <c r="D94" i="5"/>
  <c r="C65" i="6"/>
  <c r="AE110" i="5"/>
  <c r="E65" i="6" s="1"/>
  <c r="AC110" i="5"/>
  <c r="AB110" i="5"/>
  <c r="AA110" i="5"/>
  <c r="Z110" i="5"/>
  <c r="Y110" i="5"/>
  <c r="X110" i="5"/>
  <c r="W110" i="5"/>
  <c r="V110" i="5"/>
  <c r="U110" i="5"/>
  <c r="T110" i="5"/>
  <c r="S110" i="5"/>
  <c r="R110" i="5"/>
  <c r="Q110" i="5"/>
  <c r="P110" i="5"/>
  <c r="O110" i="5"/>
  <c r="N110" i="5"/>
  <c r="M110" i="5"/>
  <c r="L110" i="5"/>
  <c r="K110" i="5"/>
  <c r="J110" i="5"/>
  <c r="I110" i="5"/>
  <c r="H110" i="5"/>
  <c r="G110" i="5"/>
  <c r="F110" i="5"/>
  <c r="E110" i="5"/>
  <c r="D110" i="5"/>
  <c r="C49" i="6"/>
  <c r="AE109" i="5"/>
  <c r="E49" i="6" s="1"/>
  <c r="AC109" i="5"/>
  <c r="AB109" i="5"/>
  <c r="AA109" i="5"/>
  <c r="Z109" i="5"/>
  <c r="Y109" i="5"/>
  <c r="X109" i="5"/>
  <c r="W109" i="5"/>
  <c r="V109" i="5"/>
  <c r="U109" i="5"/>
  <c r="T109" i="5"/>
  <c r="S109" i="5"/>
  <c r="R109" i="5"/>
  <c r="Q109" i="5"/>
  <c r="P109" i="5"/>
  <c r="O109" i="5"/>
  <c r="N109" i="5"/>
  <c r="M109" i="5"/>
  <c r="L109" i="5"/>
  <c r="K109" i="5"/>
  <c r="J109" i="5"/>
  <c r="I109" i="5"/>
  <c r="H109" i="5"/>
  <c r="G109" i="5"/>
  <c r="F109" i="5"/>
  <c r="E109" i="5"/>
  <c r="D109" i="5"/>
  <c r="C64" i="6"/>
  <c r="AE108" i="5"/>
  <c r="E64" i="6" s="1"/>
  <c r="AC108" i="5"/>
  <c r="AB108" i="5"/>
  <c r="AA108" i="5"/>
  <c r="Z108" i="5"/>
  <c r="Y108" i="5"/>
  <c r="X108" i="5"/>
  <c r="W108" i="5"/>
  <c r="V108" i="5"/>
  <c r="U108" i="5"/>
  <c r="T108" i="5"/>
  <c r="S108" i="5"/>
  <c r="R108" i="5"/>
  <c r="Q108" i="5"/>
  <c r="P108" i="5"/>
  <c r="O108" i="5"/>
  <c r="N108" i="5"/>
  <c r="M108" i="5"/>
  <c r="L108" i="5"/>
  <c r="K108" i="5"/>
  <c r="J108" i="5"/>
  <c r="I108" i="5"/>
  <c r="H108" i="5"/>
  <c r="G108" i="5"/>
  <c r="F108" i="5"/>
  <c r="E108" i="5"/>
  <c r="D108" i="5"/>
  <c r="AD108" i="5" s="1"/>
  <c r="C48" i="6"/>
  <c r="AE107" i="5"/>
  <c r="E48" i="6" s="1"/>
  <c r="AC107" i="5"/>
  <c r="AB107" i="5"/>
  <c r="AA107" i="5"/>
  <c r="Z107" i="5"/>
  <c r="Y107" i="5"/>
  <c r="X107" i="5"/>
  <c r="W107" i="5"/>
  <c r="V107" i="5"/>
  <c r="U107" i="5"/>
  <c r="T107" i="5"/>
  <c r="S107" i="5"/>
  <c r="R107" i="5"/>
  <c r="Q107" i="5"/>
  <c r="P107" i="5"/>
  <c r="O107" i="5"/>
  <c r="N107" i="5"/>
  <c r="M107" i="5"/>
  <c r="L107" i="5"/>
  <c r="K107" i="5"/>
  <c r="J107" i="5"/>
  <c r="I107" i="5"/>
  <c r="H107" i="5"/>
  <c r="G107" i="5"/>
  <c r="F107" i="5"/>
  <c r="E107" i="5"/>
  <c r="D107" i="5"/>
  <c r="AD107" i="5" s="1"/>
  <c r="C47" i="6"/>
  <c r="AE106" i="5"/>
  <c r="E47" i="6" s="1"/>
  <c r="AC106" i="5"/>
  <c r="AB106" i="5"/>
  <c r="AA106" i="5"/>
  <c r="Z106" i="5"/>
  <c r="Y106" i="5"/>
  <c r="X106" i="5"/>
  <c r="W106" i="5"/>
  <c r="V106" i="5"/>
  <c r="U106" i="5"/>
  <c r="T106" i="5"/>
  <c r="S106" i="5"/>
  <c r="R106" i="5"/>
  <c r="Q106" i="5"/>
  <c r="P106" i="5"/>
  <c r="O106" i="5"/>
  <c r="N106" i="5"/>
  <c r="M106" i="5"/>
  <c r="L106" i="5"/>
  <c r="K106" i="5"/>
  <c r="J106" i="5"/>
  <c r="I106" i="5"/>
  <c r="H106" i="5"/>
  <c r="G106" i="5"/>
  <c r="F106" i="5"/>
  <c r="E106" i="5"/>
  <c r="D106" i="5"/>
  <c r="AD106" i="5" s="1"/>
  <c r="C52" i="6"/>
  <c r="AE95" i="5"/>
  <c r="E52" i="6" s="1"/>
  <c r="AC95" i="5"/>
  <c r="AB95" i="5"/>
  <c r="AA95" i="5"/>
  <c r="Z95" i="5"/>
  <c r="Y95" i="5"/>
  <c r="X95" i="5"/>
  <c r="W95" i="5"/>
  <c r="V95" i="5"/>
  <c r="U95" i="5"/>
  <c r="T95" i="5"/>
  <c r="S95" i="5"/>
  <c r="R95" i="5"/>
  <c r="Q95" i="5"/>
  <c r="P95" i="5"/>
  <c r="O95" i="5"/>
  <c r="N95" i="5"/>
  <c r="M95" i="5"/>
  <c r="L95" i="5"/>
  <c r="K95" i="5"/>
  <c r="J95" i="5"/>
  <c r="I95" i="5"/>
  <c r="H95" i="5"/>
  <c r="G95" i="5"/>
  <c r="F95" i="5"/>
  <c r="E95" i="5"/>
  <c r="D95" i="5"/>
  <c r="AD80" i="5"/>
  <c r="C202" i="5"/>
  <c r="AD39" i="5"/>
  <c r="C161" i="5"/>
  <c r="AD40" i="5"/>
  <c r="C162" i="5"/>
  <c r="AD33" i="5"/>
  <c r="C155" i="5"/>
  <c r="AD34" i="5"/>
  <c r="C156" i="5"/>
  <c r="AD35" i="5"/>
  <c r="C157" i="5"/>
  <c r="AD36" i="5"/>
  <c r="C158" i="5"/>
  <c r="AD37" i="5"/>
  <c r="C159" i="5"/>
  <c r="AD38" i="5"/>
  <c r="C160" i="5"/>
  <c r="C169" i="5"/>
  <c r="AD47" i="5"/>
  <c r="AB155" i="11"/>
  <c r="AB198" i="11"/>
  <c r="AB45" i="11"/>
  <c r="AB125" i="11"/>
  <c r="AB13" i="11"/>
  <c r="AB36" i="11"/>
  <c r="AB30" i="11"/>
  <c r="AB25" i="11"/>
  <c r="AB80" i="11"/>
  <c r="AB154" i="11"/>
  <c r="AB148" i="11"/>
  <c r="AB73" i="11"/>
  <c r="AB94" i="11"/>
  <c r="AB121" i="11"/>
  <c r="AB144" i="11"/>
  <c r="AB195" i="11"/>
  <c r="AB39" i="11"/>
  <c r="AB35" i="11"/>
  <c r="E109" i="6"/>
  <c r="E107" i="6"/>
  <c r="E105" i="6"/>
  <c r="E103" i="6"/>
  <c r="E102" i="6"/>
  <c r="AB183" i="11"/>
  <c r="AB196" i="11"/>
  <c r="E108" i="6"/>
  <c r="E106" i="6"/>
  <c r="E104" i="6"/>
  <c r="E97" i="6"/>
  <c r="AB42" i="11"/>
  <c r="E101" i="6"/>
  <c r="E100" i="6"/>
  <c r="E96" i="6"/>
  <c r="E99" i="6"/>
  <c r="E98" i="6"/>
  <c r="E95" i="6"/>
  <c r="E94" i="6"/>
  <c r="E93" i="6"/>
  <c r="E92" i="6"/>
  <c r="E91" i="6"/>
  <c r="E90" i="6"/>
  <c r="E88" i="6"/>
  <c r="E87" i="6"/>
  <c r="E86" i="6"/>
  <c r="E85" i="6"/>
  <c r="BU5" i="5"/>
  <c r="AB64" i="11"/>
  <c r="B85" i="11"/>
  <c r="B24" i="11"/>
  <c r="B191" i="11"/>
  <c r="B23" i="11"/>
  <c r="B190" i="11"/>
  <c r="B22" i="11"/>
  <c r="B26" i="11"/>
  <c r="B21" i="11"/>
  <c r="B50" i="11"/>
  <c r="B20" i="11"/>
  <c r="B69" i="11"/>
  <c r="B15" i="11"/>
  <c r="B32" i="11"/>
  <c r="B67" i="11"/>
  <c r="B62" i="11"/>
  <c r="B29" i="11"/>
  <c r="B81" i="11"/>
  <c r="B43" i="11"/>
  <c r="B57" i="11"/>
  <c r="B124" i="11"/>
  <c r="B61" i="11"/>
  <c r="B122" i="11"/>
  <c r="B142" i="11"/>
  <c r="B74" i="11"/>
  <c r="B95" i="11"/>
  <c r="B139" i="11"/>
  <c r="B136" i="11"/>
  <c r="B92" i="11"/>
  <c r="B134" i="11"/>
  <c r="B91" i="11"/>
  <c r="B156" i="11"/>
  <c r="B90" i="11"/>
  <c r="B153" i="11"/>
  <c r="B89" i="11"/>
  <c r="B151" i="11"/>
  <c r="B88" i="11"/>
  <c r="B189" i="11"/>
  <c r="B87" i="11"/>
  <c r="B187" i="11"/>
  <c r="B86" i="11"/>
  <c r="AB86" i="11" s="1"/>
  <c r="B185" i="11"/>
  <c r="B123" i="11"/>
  <c r="B184" i="11"/>
  <c r="B108" i="11"/>
  <c r="AB108" i="11" s="1"/>
  <c r="B182" i="11"/>
  <c r="B107" i="11"/>
  <c r="AB107" i="11" s="1"/>
  <c r="B203" i="11"/>
  <c r="B106" i="11"/>
  <c r="AB106" i="11" s="1"/>
  <c r="B202" i="11"/>
  <c r="B105" i="11"/>
  <c r="AB105" i="11" s="1"/>
  <c r="B201" i="11"/>
  <c r="B101" i="11"/>
  <c r="AB101" i="11" s="1"/>
  <c r="B19" i="11"/>
  <c r="B100" i="11"/>
  <c r="AB100" i="11" s="1"/>
  <c r="B28" i="11"/>
  <c r="B99" i="11"/>
  <c r="AB99" i="11" s="1"/>
  <c r="B44" i="11"/>
  <c r="B98" i="11"/>
  <c r="AB98" i="11" s="1"/>
  <c r="B59" i="11"/>
  <c r="B97" i="11"/>
  <c r="AB97" i="11" s="1"/>
  <c r="B56" i="11"/>
  <c r="B120" i="11"/>
  <c r="AB120" i="11" s="1"/>
  <c r="B84" i="11"/>
  <c r="B119" i="11"/>
  <c r="AB119" i="11" s="1"/>
  <c r="B17" i="11"/>
  <c r="B118" i="11"/>
  <c r="AB118" i="11" s="1"/>
  <c r="B27" i="11"/>
  <c r="AB27" i="11" s="1"/>
  <c r="B117" i="11"/>
  <c r="AB117" i="11" s="1"/>
  <c r="B46" i="11"/>
  <c r="B116" i="11"/>
  <c r="AB116" i="11" s="1"/>
  <c r="B38" i="11"/>
  <c r="B115" i="11"/>
  <c r="AB115" i="11" s="1"/>
  <c r="B58" i="11"/>
  <c r="B114" i="11"/>
  <c r="AB114" i="11" s="1"/>
  <c r="B52" i="11"/>
  <c r="B113" i="11"/>
  <c r="AB113" i="11" s="1"/>
  <c r="B72" i="11"/>
  <c r="B112" i="11"/>
  <c r="AB112" i="11" s="1"/>
  <c r="B71" i="11"/>
  <c r="B111" i="11"/>
  <c r="AB111" i="11" s="1"/>
  <c r="B70" i="11"/>
  <c r="B110" i="11"/>
  <c r="AB110" i="11" s="1"/>
  <c r="B68" i="11"/>
  <c r="B109" i="11"/>
  <c r="AB109" i="11" s="1"/>
  <c r="B66" i="11"/>
  <c r="B132" i="11"/>
  <c r="AB132" i="11" s="1"/>
  <c r="B83" i="11"/>
  <c r="B131" i="11"/>
  <c r="AB131" i="11" s="1"/>
  <c r="B82" i="11"/>
  <c r="B130" i="11"/>
  <c r="AB130" i="11" s="1"/>
  <c r="B77" i="11"/>
  <c r="B129" i="11"/>
  <c r="AB129" i="11" s="1"/>
  <c r="B96" i="11"/>
  <c r="BI35" i="11" s="1"/>
  <c r="B128" i="11"/>
  <c r="AB128" i="11" s="1"/>
  <c r="B14" i="11"/>
  <c r="B127" i="11"/>
  <c r="AB127" i="11" s="1"/>
  <c r="B33" i="11"/>
  <c r="B18" i="11"/>
  <c r="AB18" i="11" s="1"/>
  <c r="B31" i="11"/>
  <c r="B16" i="11"/>
  <c r="AB16" i="11" s="1"/>
  <c r="B41" i="11"/>
  <c r="B48" i="11"/>
  <c r="AB48" i="11" s="1"/>
  <c r="B40" i="11"/>
  <c r="B54" i="11"/>
  <c r="B47" i="11"/>
  <c r="AB47" i="11" s="1"/>
  <c r="B65" i="11"/>
  <c r="B60" i="11"/>
  <c r="AB60" i="11" s="1"/>
  <c r="B55" i="11"/>
  <c r="AB55" i="11" s="1"/>
  <c r="B12" i="11"/>
  <c r="B11" i="11"/>
  <c r="B51" i="11"/>
  <c r="AB51" i="11" s="1"/>
  <c r="B49" i="11"/>
  <c r="AB49" i="11" s="1"/>
  <c r="B10" i="11"/>
  <c r="B9" i="11"/>
  <c r="B63" i="11"/>
  <c r="B4" i="11"/>
  <c r="B79" i="11"/>
  <c r="B78" i="11"/>
  <c r="B76" i="11"/>
  <c r="B75" i="11"/>
  <c r="B93" i="11"/>
  <c r="B141" i="11"/>
  <c r="B140" i="11"/>
  <c r="B138" i="11"/>
  <c r="B137" i="11"/>
  <c r="B135" i="11"/>
  <c r="B152" i="11"/>
  <c r="B149" i="11"/>
  <c r="B146" i="11"/>
  <c r="B145" i="11"/>
  <c r="B168" i="11"/>
  <c r="B167" i="11"/>
  <c r="B166" i="11"/>
  <c r="B165" i="11"/>
  <c r="B161" i="11"/>
  <c r="B160" i="11"/>
  <c r="B159" i="11"/>
  <c r="B158" i="11"/>
  <c r="B157" i="11"/>
  <c r="B180" i="11"/>
  <c r="B179" i="11"/>
  <c r="B53" i="11"/>
  <c r="B178" i="11"/>
  <c r="B177" i="11"/>
  <c r="B176" i="11"/>
  <c r="B175" i="11"/>
  <c r="B174" i="11"/>
  <c r="B173" i="11"/>
  <c r="B172" i="11"/>
  <c r="B171" i="11"/>
  <c r="B170" i="11"/>
  <c r="B169" i="11"/>
  <c r="B192" i="11"/>
  <c r="G22" i="11"/>
  <c r="G21" i="11"/>
  <c r="G20" i="11"/>
  <c r="G15" i="11"/>
  <c r="G32" i="11"/>
  <c r="G29" i="11"/>
  <c r="G43" i="11"/>
  <c r="G57" i="11"/>
  <c r="G61" i="11"/>
  <c r="G74" i="11"/>
  <c r="G95" i="11"/>
  <c r="G92" i="11"/>
  <c r="G91" i="11"/>
  <c r="G90" i="11"/>
  <c r="G89" i="11"/>
  <c r="G88" i="11"/>
  <c r="G87" i="11"/>
  <c r="G86" i="11"/>
  <c r="G85" i="11"/>
  <c r="G108" i="11"/>
  <c r="G107" i="11"/>
  <c r="G106" i="11"/>
  <c r="G105" i="11"/>
  <c r="G101" i="11"/>
  <c r="G100" i="11"/>
  <c r="G99" i="11"/>
  <c r="G98" i="11"/>
  <c r="G97" i="11"/>
  <c r="G120" i="11"/>
  <c r="G119" i="11"/>
  <c r="G118" i="11"/>
  <c r="G117" i="11"/>
  <c r="G116" i="11"/>
  <c r="G115" i="11"/>
  <c r="G114" i="11"/>
  <c r="G113" i="11"/>
  <c r="G112" i="11"/>
  <c r="G111" i="11"/>
  <c r="G110" i="11"/>
  <c r="G109" i="11"/>
  <c r="G132" i="11"/>
  <c r="G131" i="11"/>
  <c r="G130" i="11"/>
  <c r="G129" i="11"/>
  <c r="G128" i="11"/>
  <c r="G127" i="11"/>
  <c r="G18" i="11"/>
  <c r="G16" i="11"/>
  <c r="G13" i="11"/>
  <c r="G48" i="11"/>
  <c r="G47" i="11"/>
  <c r="G60" i="11"/>
  <c r="G55" i="11"/>
  <c r="G51" i="11"/>
  <c r="G49" i="11"/>
  <c r="G63" i="11"/>
  <c r="G79" i="11"/>
  <c r="G169" i="11"/>
  <c r="G202" i="11"/>
  <c r="G173" i="11"/>
  <c r="G201" i="11"/>
  <c r="G19" i="11"/>
  <c r="G81" i="11"/>
  <c r="G28" i="11"/>
  <c r="G124" i="11"/>
  <c r="G192" i="11"/>
  <c r="G44" i="11"/>
  <c r="G123" i="11"/>
  <c r="G59" i="11"/>
  <c r="G56" i="11"/>
  <c r="G178" i="11"/>
  <c r="G53" i="11"/>
  <c r="G179" i="11"/>
  <c r="G84" i="11"/>
  <c r="G122" i="11"/>
  <c r="G175" i="11"/>
  <c r="G17" i="11"/>
  <c r="G191" i="11"/>
  <c r="G46" i="11"/>
  <c r="G142" i="11"/>
  <c r="G38" i="11"/>
  <c r="G139" i="11"/>
  <c r="G58" i="11"/>
  <c r="G172" i="11"/>
  <c r="G52" i="11"/>
  <c r="G190" i="11"/>
  <c r="G72" i="11"/>
  <c r="G136" i="11"/>
  <c r="G176" i="11"/>
  <c r="G71" i="11"/>
  <c r="G134" i="11"/>
  <c r="G70" i="11"/>
  <c r="G156" i="11"/>
  <c r="G68" i="11"/>
  <c r="G26" i="11"/>
  <c r="G66" i="11"/>
  <c r="G171" i="11"/>
  <c r="G83" i="11"/>
  <c r="G153" i="11"/>
  <c r="G82" i="11"/>
  <c r="G151" i="11"/>
  <c r="G77" i="11"/>
  <c r="G50" i="11"/>
  <c r="G96" i="11"/>
  <c r="BI40" i="11" s="1"/>
  <c r="G189" i="11"/>
  <c r="G14" i="11"/>
  <c r="G174" i="11"/>
  <c r="G33" i="11"/>
  <c r="G31" i="11"/>
  <c r="G69" i="11"/>
  <c r="G41" i="11"/>
  <c r="G187" i="11"/>
  <c r="G185" i="11"/>
  <c r="G24" i="11"/>
  <c r="G54" i="11"/>
  <c r="G170" i="11"/>
  <c r="G23" i="11"/>
  <c r="G184" i="11"/>
  <c r="G12" i="11"/>
  <c r="G67" i="11"/>
  <c r="G11" i="11"/>
  <c r="G177" i="11"/>
  <c r="G10" i="11"/>
  <c r="G182" i="11"/>
  <c r="G9" i="11"/>
  <c r="G203" i="11"/>
  <c r="G8" i="11"/>
  <c r="AB8" i="11" s="1"/>
  <c r="G4" i="11"/>
  <c r="BF40" i="11" s="1"/>
  <c r="G62" i="11"/>
  <c r="G180" i="11"/>
  <c r="G157" i="11"/>
  <c r="G158" i="11"/>
  <c r="G159" i="11"/>
  <c r="G160" i="11"/>
  <c r="G161" i="11"/>
  <c r="G65" i="11"/>
  <c r="G164" i="11"/>
  <c r="AB164" i="11" s="1"/>
  <c r="G165" i="11"/>
  <c r="G166" i="11"/>
  <c r="G167" i="11"/>
  <c r="G168" i="11"/>
  <c r="G145" i="11"/>
  <c r="G146" i="11"/>
  <c r="G149" i="11"/>
  <c r="G152" i="11"/>
  <c r="G135" i="11"/>
  <c r="G137" i="11"/>
  <c r="G138" i="11"/>
  <c r="G140" i="11"/>
  <c r="G141" i="11"/>
  <c r="G93" i="11"/>
  <c r="G75" i="11"/>
  <c r="G76" i="11"/>
  <c r="G78" i="11"/>
  <c r="G40" i="11"/>
  <c r="BF35" i="11" l="1"/>
  <c r="BP37" i="5"/>
  <c r="BO37" i="5"/>
  <c r="BN37" i="5"/>
  <c r="AD109" i="5"/>
  <c r="AD101" i="5"/>
  <c r="AD100" i="5"/>
  <c r="CA38" i="5"/>
  <c r="BZ38" i="5"/>
  <c r="BY38" i="5"/>
  <c r="BX38" i="5"/>
  <c r="BW38" i="5"/>
  <c r="BV38" i="5"/>
  <c r="BU38" i="5"/>
  <c r="BT38" i="5"/>
  <c r="BS38" i="5"/>
  <c r="BR38" i="5"/>
  <c r="BQ38" i="5"/>
  <c r="BP38" i="5"/>
  <c r="BO38" i="5"/>
  <c r="BN38" i="5"/>
  <c r="BM38" i="5"/>
  <c r="BL38" i="5"/>
  <c r="BK38" i="5"/>
  <c r="BJ38" i="5"/>
  <c r="BI38" i="5"/>
  <c r="BH38" i="5"/>
  <c r="BG38" i="5"/>
  <c r="BF38" i="5"/>
  <c r="BE38" i="5"/>
  <c r="BD38" i="5"/>
  <c r="BC38" i="5"/>
  <c r="BG35" i="11"/>
  <c r="BH35" i="11"/>
  <c r="BG40" i="11"/>
  <c r="BH40" i="11"/>
  <c r="AD93" i="5"/>
  <c r="E74" i="6"/>
  <c r="CA37" i="5"/>
  <c r="BZ37" i="5"/>
  <c r="BY37" i="5"/>
  <c r="BX37" i="5"/>
  <c r="BW37" i="5"/>
  <c r="BV37" i="5"/>
  <c r="BU37" i="5"/>
  <c r="BT37" i="5"/>
  <c r="BS37" i="5"/>
  <c r="BR37" i="5"/>
  <c r="BQ37" i="5"/>
  <c r="AD112" i="5"/>
  <c r="E78" i="6"/>
  <c r="AD90" i="5"/>
  <c r="E72" i="6"/>
  <c r="CA35" i="5"/>
  <c r="BZ35" i="5"/>
  <c r="BY35" i="5"/>
  <c r="BX35" i="5"/>
  <c r="BW35" i="5"/>
  <c r="BV35" i="5"/>
  <c r="BU35" i="5"/>
  <c r="BT35" i="5"/>
  <c r="BS35" i="5"/>
  <c r="BR35" i="5"/>
  <c r="BQ35" i="5"/>
  <c r="BP35" i="5"/>
  <c r="BO35" i="5"/>
  <c r="BN35" i="5"/>
  <c r="BM35" i="5"/>
  <c r="BL35" i="5"/>
  <c r="BK35" i="5"/>
  <c r="BJ35" i="5"/>
  <c r="BI35" i="5"/>
  <c r="BH35" i="5"/>
  <c r="BI37" i="5"/>
  <c r="BH37" i="5"/>
  <c r="BG37" i="5"/>
  <c r="BF37" i="5"/>
  <c r="BE37" i="5"/>
  <c r="BD37" i="5"/>
  <c r="BC37" i="5"/>
  <c r="AD96" i="5"/>
  <c r="E73" i="6"/>
  <c r="BM36" i="5"/>
  <c r="B52" i="12" s="1"/>
  <c r="C52" i="12" s="1"/>
  <c r="BL36" i="5"/>
  <c r="B51" i="12" s="1"/>
  <c r="C51" i="12" s="1"/>
  <c r="BK36" i="5"/>
  <c r="B50" i="12" s="1"/>
  <c r="C50" i="12" s="1"/>
  <c r="BJ36" i="5"/>
  <c r="B49" i="12" s="1"/>
  <c r="C49" i="12" s="1"/>
  <c r="BI36" i="5"/>
  <c r="B48" i="12" s="1"/>
  <c r="C48" i="12" s="1"/>
  <c r="BH36" i="5"/>
  <c r="B47" i="12" s="1"/>
  <c r="C47" i="12" s="1"/>
  <c r="BG36" i="5"/>
  <c r="B46" i="12" s="1"/>
  <c r="C46" i="12" s="1"/>
  <c r="BF36" i="5"/>
  <c r="B45" i="12" s="1"/>
  <c r="C45" i="12" s="1"/>
  <c r="BE36" i="5"/>
  <c r="B44" i="12" s="1"/>
  <c r="C44" i="12" s="1"/>
  <c r="BD36" i="5"/>
  <c r="B43" i="12" s="1"/>
  <c r="C43" i="12" s="1"/>
  <c r="BC36" i="5"/>
  <c r="B42" i="12" s="1"/>
  <c r="C42" i="12" s="1"/>
  <c r="AD111" i="5"/>
  <c r="BB38" i="5"/>
  <c r="BG35" i="5"/>
  <c r="BF35" i="5"/>
  <c r="BE35" i="5"/>
  <c r="BD35" i="5"/>
  <c r="BC35" i="5"/>
  <c r="AD91" i="5"/>
  <c r="AD102" i="5"/>
  <c r="CA36" i="5"/>
  <c r="BZ36" i="5"/>
  <c r="BY36" i="5"/>
  <c r="BX36" i="5"/>
  <c r="BW36" i="5"/>
  <c r="BV36" i="5"/>
  <c r="BU36" i="5"/>
  <c r="BT36" i="5"/>
  <c r="BS36" i="5"/>
  <c r="BR36" i="5"/>
  <c r="BQ36" i="5"/>
  <c r="BP36" i="5"/>
  <c r="BO36" i="5"/>
  <c r="BN36" i="5"/>
  <c r="AD94" i="5"/>
  <c r="C72" i="6"/>
  <c r="C78" i="6"/>
  <c r="C77" i="6"/>
  <c r="C76" i="6"/>
  <c r="C75" i="6"/>
  <c r="C73" i="6"/>
  <c r="E75" i="6"/>
  <c r="E77" i="6"/>
  <c r="C74" i="6"/>
  <c r="AD92" i="5"/>
  <c r="BB37" i="5"/>
  <c r="AD95" i="5"/>
  <c r="BB36" i="5"/>
  <c r="BK47" i="11"/>
  <c r="BJ47" i="11"/>
  <c r="BK46" i="11"/>
  <c r="BJ46" i="11"/>
  <c r="BK43" i="11"/>
  <c r="BJ43" i="11"/>
  <c r="BK38" i="11"/>
  <c r="BJ38" i="11"/>
  <c r="BK37" i="11"/>
  <c r="BJ37" i="11"/>
  <c r="BK59" i="11"/>
  <c r="BJ59" i="11"/>
  <c r="BK52" i="11"/>
  <c r="BJ52" i="11"/>
  <c r="BK58" i="11"/>
  <c r="BJ58" i="11"/>
  <c r="BK39" i="11"/>
  <c r="BJ39" i="11"/>
  <c r="BK57" i="11"/>
  <c r="BJ57" i="11"/>
  <c r="BK56" i="11"/>
  <c r="BJ56" i="11"/>
  <c r="BK51" i="11"/>
  <c r="BJ51" i="11"/>
  <c r="BK48" i="11"/>
  <c r="BJ48" i="11"/>
  <c r="BK45" i="11"/>
  <c r="BJ45" i="11"/>
  <c r="BK60" i="11"/>
  <c r="BJ60" i="11"/>
  <c r="BK44" i="11"/>
  <c r="BJ44" i="11"/>
  <c r="BK55" i="11"/>
  <c r="BJ55" i="11"/>
  <c r="BK54" i="11"/>
  <c r="BJ54" i="11"/>
  <c r="BK53" i="11"/>
  <c r="BJ53" i="11"/>
  <c r="BK42" i="11"/>
  <c r="BJ42" i="11"/>
  <c r="BK41" i="11"/>
  <c r="BJ41" i="11"/>
  <c r="BK49" i="11"/>
  <c r="BJ49" i="11"/>
  <c r="BK50" i="11"/>
  <c r="BJ50" i="11"/>
  <c r="BK36" i="11"/>
  <c r="BJ36" i="11"/>
  <c r="BB3" i="14"/>
  <c r="BB2" i="14"/>
  <c r="AY121" i="5"/>
  <c r="AY120" i="5"/>
  <c r="B73" i="12"/>
  <c r="B72" i="12"/>
  <c r="AF88" i="5"/>
  <c r="G63" i="6" s="1"/>
  <c r="D63" i="6"/>
  <c r="AE113" i="5"/>
  <c r="L6" i="6" s="1"/>
  <c r="E67" i="6"/>
  <c r="E68" i="6" s="1"/>
  <c r="D113" i="5"/>
  <c r="D12" i="6" s="1"/>
  <c r="AD87" i="5"/>
  <c r="AF105" i="5"/>
  <c r="G58" i="6" s="1"/>
  <c r="D58" i="6"/>
  <c r="F58" i="6" s="1"/>
  <c r="AF103" i="5"/>
  <c r="G56" i="6" s="1"/>
  <c r="D56" i="6"/>
  <c r="F56" i="6" s="1"/>
  <c r="AF99" i="5"/>
  <c r="G44" i="6" s="1"/>
  <c r="D44" i="6"/>
  <c r="F44" i="6" s="1"/>
  <c r="AF98" i="5"/>
  <c r="G55" i="6" s="1"/>
  <c r="D55" i="6"/>
  <c r="F55" i="6" s="1"/>
  <c r="AF97" i="5"/>
  <c r="G54" i="6" s="1"/>
  <c r="D54" i="6"/>
  <c r="F54" i="6" s="1"/>
  <c r="AF109" i="5"/>
  <c r="G49" i="6" s="1"/>
  <c r="D49" i="6"/>
  <c r="F49" i="6" s="1"/>
  <c r="AF108" i="5"/>
  <c r="G64" i="6" s="1"/>
  <c r="D64" i="6"/>
  <c r="AF107" i="5"/>
  <c r="G48" i="6" s="1"/>
  <c r="D48" i="6"/>
  <c r="F48" i="6" s="1"/>
  <c r="AF106" i="5"/>
  <c r="G47" i="6" s="1"/>
  <c r="D47" i="6"/>
  <c r="F47" i="6" s="1"/>
  <c r="AX155" i="11" a="1"/>
  <c r="AZ155" i="11"/>
  <c r="BT155" i="11"/>
  <c r="AX198" i="11" a="1"/>
  <c r="AZ198" i="11"/>
  <c r="BT198" i="11"/>
  <c r="BT45" i="11"/>
  <c r="AZ45" i="11"/>
  <c r="AX45" i="11" a="1"/>
  <c r="AZ125" i="11"/>
  <c r="AX125" i="11" a="1"/>
  <c r="BT125" i="11"/>
  <c r="AX13" i="11" a="1"/>
  <c r="AZ13" i="11"/>
  <c r="BT13" i="11"/>
  <c r="AZ36" i="11"/>
  <c r="BT36" i="11"/>
  <c r="AX36" i="11" a="1"/>
  <c r="AX30" i="11" a="1"/>
  <c r="BT30" i="11"/>
  <c r="AZ30" i="11"/>
  <c r="AX25" i="11" a="1"/>
  <c r="AZ25" i="11"/>
  <c r="BT25" i="11"/>
  <c r="AX80" i="11" a="1"/>
  <c r="AZ80" i="11"/>
  <c r="BT80" i="11"/>
  <c r="BT154" i="11"/>
  <c r="AX154" i="11" a="1"/>
  <c r="AZ154" i="11"/>
  <c r="AX148" i="11" a="1"/>
  <c r="AZ148" i="11"/>
  <c r="BT148" i="11"/>
  <c r="AZ73" i="11"/>
  <c r="AX73" i="11" a="1"/>
  <c r="BT73" i="11"/>
  <c r="AX94" i="11" a="1"/>
  <c r="AZ94" i="11"/>
  <c r="BT94" i="11"/>
  <c r="AX121" i="11" a="1"/>
  <c r="AZ121" i="11"/>
  <c r="BT121" i="11"/>
  <c r="AX144" i="11" a="1"/>
  <c r="AZ144" i="11"/>
  <c r="BT144" i="11"/>
  <c r="AX195" i="11" a="1"/>
  <c r="AZ195" i="11"/>
  <c r="BT195" i="11"/>
  <c r="AX39" i="11" a="1"/>
  <c r="BT39" i="11"/>
  <c r="AZ39" i="11"/>
  <c r="BT35" i="11"/>
  <c r="AZ35" i="11"/>
  <c r="AX35" i="11" a="1"/>
  <c r="F109" i="6"/>
  <c r="G109" i="6"/>
  <c r="H109" i="6"/>
  <c r="F107" i="6"/>
  <c r="G107" i="6"/>
  <c r="H107" i="6"/>
  <c r="F105" i="6"/>
  <c r="G105" i="6"/>
  <c r="H105" i="6"/>
  <c r="F103" i="6"/>
  <c r="G103" i="6"/>
  <c r="H103" i="6"/>
  <c r="F102" i="6"/>
  <c r="G102" i="6"/>
  <c r="H102" i="6"/>
  <c r="AX183" i="11" a="1"/>
  <c r="AZ183" i="11"/>
  <c r="BT183" i="11"/>
  <c r="AX196" i="11" a="1"/>
  <c r="AZ196" i="11"/>
  <c r="BT196" i="11"/>
  <c r="F108" i="6"/>
  <c r="G108" i="6"/>
  <c r="H108" i="6"/>
  <c r="F106" i="6"/>
  <c r="G106" i="6"/>
  <c r="H106" i="6"/>
  <c r="F104" i="6"/>
  <c r="G104" i="6"/>
  <c r="H104" i="6"/>
  <c r="F97" i="6"/>
  <c r="G97" i="6"/>
  <c r="H97" i="6"/>
  <c r="AZ42" i="11"/>
  <c r="AX42" i="11" a="1"/>
  <c r="BT42" i="11"/>
  <c r="F101" i="6"/>
  <c r="G101" i="6"/>
  <c r="H101" i="6"/>
  <c r="F100" i="6"/>
  <c r="G100" i="6"/>
  <c r="H100" i="6"/>
  <c r="F96" i="6"/>
  <c r="G96" i="6"/>
  <c r="H96" i="6"/>
  <c r="F99" i="6"/>
  <c r="G99" i="6"/>
  <c r="H99" i="6"/>
  <c r="F98" i="6"/>
  <c r="G98" i="6"/>
  <c r="H98" i="6"/>
  <c r="F95" i="6"/>
  <c r="G95" i="6"/>
  <c r="H95" i="6"/>
  <c r="F94" i="6"/>
  <c r="G94" i="6"/>
  <c r="H94" i="6"/>
  <c r="F93" i="6"/>
  <c r="G93" i="6"/>
  <c r="H93" i="6"/>
  <c r="F92" i="6"/>
  <c r="G92" i="6"/>
  <c r="H92" i="6"/>
  <c r="F91" i="6"/>
  <c r="G91" i="6"/>
  <c r="H91" i="6"/>
  <c r="F90" i="6"/>
  <c r="G90" i="6"/>
  <c r="H90" i="6"/>
  <c r="F88" i="6"/>
  <c r="G88" i="6"/>
  <c r="H88" i="6"/>
  <c r="F87" i="6"/>
  <c r="G87" i="6"/>
  <c r="H87" i="6"/>
  <c r="F86" i="6"/>
  <c r="G86" i="6"/>
  <c r="H86" i="6"/>
  <c r="F85" i="6"/>
  <c r="G85" i="6"/>
  <c r="H85" i="6"/>
  <c r="L22" i="6" a="1"/>
  <c r="J22" i="6"/>
  <c r="BV5" i="5"/>
  <c r="AZ64" i="11"/>
  <c r="BT64" i="11"/>
  <c r="AX64" i="11" a="1"/>
  <c r="AX86" i="11" a="1"/>
  <c r="AZ86" i="11"/>
  <c r="BT86" i="11"/>
  <c r="AX108" i="11" a="1"/>
  <c r="AZ108" i="11"/>
  <c r="BT108" i="11"/>
  <c r="AX107" i="11" a="1"/>
  <c r="AZ107" i="11"/>
  <c r="BT107" i="11"/>
  <c r="AX106" i="11" a="1"/>
  <c r="AZ106" i="11"/>
  <c r="BT106" i="11"/>
  <c r="AX105" i="11" a="1"/>
  <c r="AZ105" i="11"/>
  <c r="BT105" i="11"/>
  <c r="AX101" i="11" a="1"/>
  <c r="AZ101" i="11"/>
  <c r="BT101" i="11"/>
  <c r="AX100" i="11" a="1"/>
  <c r="AZ100" i="11"/>
  <c r="BT100" i="11"/>
  <c r="AX99" i="11" a="1"/>
  <c r="AZ99" i="11"/>
  <c r="BT99" i="11"/>
  <c r="AX98" i="11" a="1"/>
  <c r="AZ98" i="11"/>
  <c r="BT98" i="11"/>
  <c r="AX97" i="11" a="1"/>
  <c r="AZ97" i="11"/>
  <c r="BT97" i="11"/>
  <c r="AX120" i="11" a="1"/>
  <c r="AZ120" i="11"/>
  <c r="BT120" i="11"/>
  <c r="AX119" i="11" a="1"/>
  <c r="AZ119" i="11"/>
  <c r="BT119" i="11"/>
  <c r="AX118" i="11" a="1"/>
  <c r="AZ118" i="11"/>
  <c r="BT118" i="11"/>
  <c r="AZ27" i="11"/>
  <c r="AX27" i="11" a="1"/>
  <c r="BT27" i="11"/>
  <c r="AX117" i="11" a="1"/>
  <c r="AZ117" i="11"/>
  <c r="BT117" i="11"/>
  <c r="AX116" i="11" a="1"/>
  <c r="AZ116" i="11"/>
  <c r="BT116" i="11"/>
  <c r="AX115" i="11" a="1"/>
  <c r="AZ115" i="11"/>
  <c r="BT115" i="11"/>
  <c r="AX114" i="11" a="1"/>
  <c r="AZ114" i="11"/>
  <c r="BT114" i="11"/>
  <c r="AX113" i="11" a="1"/>
  <c r="AZ113" i="11"/>
  <c r="BT113" i="11"/>
  <c r="AX112" i="11" a="1"/>
  <c r="AZ112" i="11"/>
  <c r="BT112" i="11"/>
  <c r="AX111" i="11" a="1"/>
  <c r="AZ111" i="11"/>
  <c r="BT111" i="11"/>
  <c r="AX110" i="11" a="1"/>
  <c r="AZ110" i="11"/>
  <c r="BT110" i="11"/>
  <c r="AX109" i="11" a="1"/>
  <c r="AZ109" i="11"/>
  <c r="BT109" i="11"/>
  <c r="AX132" i="11" a="1"/>
  <c r="AZ132" i="11"/>
  <c r="BT132" i="11"/>
  <c r="AX131" i="11" a="1"/>
  <c r="AZ131" i="11"/>
  <c r="BT131" i="11"/>
  <c r="AX130" i="11" a="1"/>
  <c r="AZ130" i="11"/>
  <c r="BT130" i="11"/>
  <c r="AX129" i="11" a="1"/>
  <c r="AZ129" i="11"/>
  <c r="BT129" i="11"/>
  <c r="AX128" i="11" a="1"/>
  <c r="AZ128" i="11"/>
  <c r="BT128" i="11"/>
  <c r="AX127" i="11" a="1"/>
  <c r="AZ127" i="11"/>
  <c r="BT127" i="11"/>
  <c r="AX18" i="11" a="1"/>
  <c r="BT18" i="11"/>
  <c r="AZ18" i="11"/>
  <c r="AZ16" i="11"/>
  <c r="AX16" i="11" a="1"/>
  <c r="BT16" i="11"/>
  <c r="AX48" i="11" a="1"/>
  <c r="AZ48" i="11"/>
  <c r="BT48" i="11"/>
  <c r="AX47" i="11" a="1"/>
  <c r="AZ47" i="11"/>
  <c r="AZ60" i="11"/>
  <c r="BT60" i="11"/>
  <c r="AX60" i="11" a="1"/>
  <c r="BT55" i="11"/>
  <c r="AX55" i="11" a="1"/>
  <c r="AZ55" i="11"/>
  <c r="AX51" i="11" a="1"/>
  <c r="BT51" i="11"/>
  <c r="AZ51" i="11"/>
  <c r="AZ49" i="11"/>
  <c r="AX49" i="11" a="1"/>
  <c r="BT49" i="11"/>
  <c r="AB4" i="11"/>
  <c r="E84" i="6"/>
  <c r="AX8" i="11" a="1"/>
  <c r="AZ8" i="11"/>
  <c r="BT8" i="11"/>
  <c r="AX164" i="11" a="1"/>
  <c r="AZ164" i="11"/>
  <c r="BT164" i="11"/>
  <c r="CB41" i="5"/>
  <c r="CB40" i="5"/>
  <c r="CC43" i="5"/>
  <c r="AC113" i="5"/>
  <c r="D37" i="6" s="1"/>
  <c r="AB113" i="5"/>
  <c r="D36" i="6" s="1"/>
  <c r="AA113" i="5"/>
  <c r="D35" i="6" s="1"/>
  <c r="Z113" i="5"/>
  <c r="D34" i="6" s="1"/>
  <c r="Y113" i="5"/>
  <c r="D33" i="6" s="1"/>
  <c r="X113" i="5"/>
  <c r="D32" i="6" s="1"/>
  <c r="W113" i="5"/>
  <c r="D31" i="6" s="1"/>
  <c r="V113" i="5"/>
  <c r="D25" i="6" s="1"/>
  <c r="U113" i="5"/>
  <c r="D30" i="6" s="1"/>
  <c r="T113" i="5"/>
  <c r="D29" i="6" s="1"/>
  <c r="S113" i="5"/>
  <c r="D28" i="6" s="1"/>
  <c r="R113" i="5"/>
  <c r="D24" i="6" s="1"/>
  <c r="Q113" i="5"/>
  <c r="D27" i="6" s="1"/>
  <c r="P113" i="5"/>
  <c r="D26" i="6" s="1"/>
  <c r="O113" i="5"/>
  <c r="D23" i="6" s="1"/>
  <c r="N113" i="5"/>
  <c r="D22" i="6" s="1"/>
  <c r="M113" i="5"/>
  <c r="D21" i="6" s="1"/>
  <c r="L113" i="5"/>
  <c r="D20" i="6" s="1"/>
  <c r="K113" i="5"/>
  <c r="D19" i="6" s="1"/>
  <c r="J113" i="5"/>
  <c r="D18" i="6" s="1"/>
  <c r="I113" i="5"/>
  <c r="D17" i="6" s="1"/>
  <c r="H113" i="5"/>
  <c r="D16" i="6" s="1"/>
  <c r="G113" i="5"/>
  <c r="D15" i="6" s="1"/>
  <c r="F113" i="5"/>
  <c r="D14" i="6" s="1"/>
  <c r="E113" i="5"/>
  <c r="D13" i="6" s="1"/>
  <c r="AD104" i="5"/>
  <c r="AD110" i="5"/>
  <c r="AB10" i="11"/>
  <c r="AB85" i="11"/>
  <c r="AB24" i="11"/>
  <c r="AB191" i="11"/>
  <c r="AB23" i="11"/>
  <c r="AB190" i="11"/>
  <c r="AB22" i="11"/>
  <c r="AB26" i="11"/>
  <c r="AB21" i="11"/>
  <c r="AB50" i="11"/>
  <c r="AB20" i="11"/>
  <c r="AB69" i="11"/>
  <c r="AB15" i="11"/>
  <c r="AB32" i="11"/>
  <c r="AB67" i="11"/>
  <c r="AB62" i="11"/>
  <c r="AB29" i="11"/>
  <c r="AB81" i="11"/>
  <c r="AB43" i="11"/>
  <c r="AB57" i="11"/>
  <c r="AB124" i="11"/>
  <c r="AB61" i="11"/>
  <c r="AB122" i="11"/>
  <c r="AB142" i="11"/>
  <c r="AB74" i="11"/>
  <c r="AB95" i="11"/>
  <c r="AB139" i="11"/>
  <c r="AB136" i="11"/>
  <c r="AB92" i="11"/>
  <c r="AB134" i="11"/>
  <c r="AB91" i="11"/>
  <c r="AB156" i="11"/>
  <c r="AB90" i="11"/>
  <c r="AB153" i="11"/>
  <c r="AB89" i="11"/>
  <c r="AB151" i="11"/>
  <c r="AB88" i="11"/>
  <c r="AB189" i="11"/>
  <c r="AB87" i="11"/>
  <c r="AB187" i="11"/>
  <c r="AB185" i="11"/>
  <c r="AB123" i="11"/>
  <c r="AB184" i="11"/>
  <c r="AB182" i="11"/>
  <c r="AB203" i="11"/>
  <c r="AB202" i="11"/>
  <c r="AB201" i="11"/>
  <c r="AB19" i="11"/>
  <c r="AB28" i="11"/>
  <c r="AB44" i="11"/>
  <c r="AB59" i="11"/>
  <c r="AB56" i="11"/>
  <c r="AB84" i="11"/>
  <c r="AB17" i="11"/>
  <c r="AB46" i="11"/>
  <c r="AB38" i="11"/>
  <c r="AB58" i="11"/>
  <c r="AB52" i="11"/>
  <c r="AB72" i="11"/>
  <c r="AB71" i="11"/>
  <c r="AB70" i="11"/>
  <c r="AB68" i="11"/>
  <c r="AB66" i="11"/>
  <c r="AB83" i="11"/>
  <c r="AB82" i="11"/>
  <c r="AB77" i="11"/>
  <c r="AB96" i="11"/>
  <c r="AB14" i="11"/>
  <c r="AB33" i="11"/>
  <c r="AB31" i="11"/>
  <c r="AB41" i="11"/>
  <c r="AB40" i="11"/>
  <c r="AB54" i="11"/>
  <c r="AB65" i="11"/>
  <c r="AB12" i="11"/>
  <c r="AB11" i="11"/>
  <c r="AB9" i="11"/>
  <c r="AB63" i="11"/>
  <c r="AB79" i="11"/>
  <c r="AB78" i="11"/>
  <c r="AB76" i="11"/>
  <c r="AB75" i="11"/>
  <c r="AB93" i="11"/>
  <c r="AB141" i="11"/>
  <c r="AB140" i="11"/>
  <c r="AB138" i="11"/>
  <c r="AB137" i="11"/>
  <c r="AB135" i="11"/>
  <c r="AB152" i="11"/>
  <c r="AB149" i="11"/>
  <c r="AB146" i="11"/>
  <c r="AB145" i="11"/>
  <c r="AB168" i="11"/>
  <c r="AB167" i="11"/>
  <c r="AB166" i="11"/>
  <c r="AB165" i="11"/>
  <c r="AB161" i="11"/>
  <c r="AB160" i="11"/>
  <c r="AB159" i="11"/>
  <c r="AB158" i="11"/>
  <c r="AB157" i="11"/>
  <c r="AB180" i="11"/>
  <c r="AB179" i="11"/>
  <c r="AB53" i="11"/>
  <c r="AB178" i="11"/>
  <c r="AB177" i="11"/>
  <c r="AB176" i="11"/>
  <c r="AB175" i="11"/>
  <c r="AB174" i="11"/>
  <c r="AB173" i="11"/>
  <c r="AB172" i="11"/>
  <c r="AB171" i="11"/>
  <c r="AB170" i="11"/>
  <c r="AB169" i="11"/>
  <c r="AB192" i="11"/>
  <c r="E89" i="6"/>
  <c r="AD89" i="5"/>
  <c r="BB35" i="5"/>
  <c r="CB39" i="5"/>
  <c r="CB38" i="5" l="1"/>
  <c r="BI43" i="5"/>
  <c r="AF101" i="5"/>
  <c r="G46" i="6" s="1"/>
  <c r="D46" i="6"/>
  <c r="F46" i="6" s="1"/>
  <c r="AF100" i="5"/>
  <c r="G45" i="6" s="1"/>
  <c r="D45" i="6"/>
  <c r="F45" i="6" s="1"/>
  <c r="AF93" i="5"/>
  <c r="G43" i="6" s="1"/>
  <c r="D43" i="6"/>
  <c r="F43" i="6" s="1"/>
  <c r="BL43" i="5"/>
  <c r="BK35" i="11"/>
  <c r="BJ35" i="11"/>
  <c r="BK40" i="11"/>
  <c r="BJ40" i="11"/>
  <c r="AF112" i="5"/>
  <c r="G50" i="6" s="1"/>
  <c r="D50" i="6"/>
  <c r="F50" i="6" s="1"/>
  <c r="AF90" i="5"/>
  <c r="G59" i="6" s="1"/>
  <c r="D59" i="6"/>
  <c r="F59" i="6" s="1"/>
  <c r="AF111" i="5"/>
  <c r="G66" i="6" s="1"/>
  <c r="D66" i="6"/>
  <c r="F66" i="6" s="1"/>
  <c r="AF95" i="5"/>
  <c r="G52" i="6" s="1"/>
  <c r="D52" i="6"/>
  <c r="F52" i="6" s="1"/>
  <c r="BM43" i="5"/>
  <c r="BK43" i="5"/>
  <c r="BG43" i="5"/>
  <c r="BF43" i="5"/>
  <c r="BE43" i="5"/>
  <c r="BD43" i="5"/>
  <c r="BC43" i="5"/>
  <c r="BJ43" i="5"/>
  <c r="BH43" i="5"/>
  <c r="CB37" i="5"/>
  <c r="AF96" i="5"/>
  <c r="G53" i="6" s="1"/>
  <c r="D53" i="6"/>
  <c r="F53" i="6" s="1"/>
  <c r="AF91" i="5"/>
  <c r="G60" i="6" s="1"/>
  <c r="D60" i="6"/>
  <c r="AF102" i="5"/>
  <c r="G62" i="6" s="1"/>
  <c r="D62" i="6"/>
  <c r="AF94" i="5"/>
  <c r="G51" i="6" s="1"/>
  <c r="D51" i="6"/>
  <c r="AF92" i="5"/>
  <c r="G61" i="6" s="1"/>
  <c r="D61" i="6"/>
  <c r="F61" i="6" s="1"/>
  <c r="CA43" i="5"/>
  <c r="B66" i="12"/>
  <c r="C66" i="12" s="1"/>
  <c r="BZ43" i="5"/>
  <c r="B65" i="12"/>
  <c r="C65" i="12" s="1"/>
  <c r="BY43" i="5"/>
  <c r="B64" i="12"/>
  <c r="C64" i="12" s="1"/>
  <c r="BX43" i="5"/>
  <c r="B63" i="12"/>
  <c r="C63" i="12" s="1"/>
  <c r="BW43" i="5"/>
  <c r="B62" i="12"/>
  <c r="C62" i="12" s="1"/>
  <c r="BV43" i="5"/>
  <c r="B61" i="12"/>
  <c r="C61" i="12" s="1"/>
  <c r="BU43" i="5"/>
  <c r="B60" i="12"/>
  <c r="C60" i="12" s="1"/>
  <c r="BT43" i="5"/>
  <c r="B59" i="12"/>
  <c r="C59" i="12" s="1"/>
  <c r="BP43" i="5"/>
  <c r="B55" i="12"/>
  <c r="C55" i="12" s="1"/>
  <c r="BO43" i="5"/>
  <c r="B54" i="12"/>
  <c r="C54" i="12" s="1"/>
  <c r="BN43" i="5"/>
  <c r="B53" i="12"/>
  <c r="C53" i="12" s="1"/>
  <c r="B58" i="12"/>
  <c r="C58" i="12" s="1"/>
  <c r="BS43" i="5"/>
  <c r="B57" i="12"/>
  <c r="C57" i="12" s="1"/>
  <c r="BR43" i="5"/>
  <c r="B56" i="12"/>
  <c r="C56" i="12" s="1"/>
  <c r="BQ43" i="5"/>
  <c r="C79" i="6"/>
  <c r="C80" i="6" s="1"/>
  <c r="B41" i="12"/>
  <c r="CB36" i="5"/>
  <c r="J80" i="6" s="1"/>
  <c r="AI11" i="14"/>
  <c r="AH11" i="14"/>
  <c r="AG11" i="14"/>
  <c r="AF11" i="14"/>
  <c r="AE11" i="14"/>
  <c r="AD11" i="14"/>
  <c r="AC11" i="14"/>
  <c r="AB11" i="14"/>
  <c r="AA11" i="14"/>
  <c r="Z11" i="14"/>
  <c r="Y11" i="14"/>
  <c r="X11" i="14"/>
  <c r="W11" i="14"/>
  <c r="V11" i="14"/>
  <c r="U11" i="14"/>
  <c r="T11" i="14"/>
  <c r="S11" i="14"/>
  <c r="R11" i="14"/>
  <c r="Q11" i="14"/>
  <c r="P11" i="14"/>
  <c r="O11" i="14"/>
  <c r="N11" i="14"/>
  <c r="M11" i="14"/>
  <c r="L11" i="14"/>
  <c r="K11" i="14"/>
  <c r="J11" i="14"/>
  <c r="I11" i="14"/>
  <c r="H11" i="14"/>
  <c r="G11" i="14"/>
  <c r="F11" i="14"/>
  <c r="E11" i="14"/>
  <c r="BI31" i="14" a="1"/>
  <c r="BG31" i="14"/>
  <c r="BH31" i="14" s="1"/>
  <c r="BI30" i="14" a="1"/>
  <c r="BG30" i="14"/>
  <c r="BH30" i="14" s="1"/>
  <c r="BI29" i="14" a="1"/>
  <c r="BG29" i="14"/>
  <c r="BH29" i="14" s="1"/>
  <c r="BI28" i="14" a="1"/>
  <c r="BG28" i="14"/>
  <c r="BH28" i="14" s="1"/>
  <c r="BI27" i="14" a="1"/>
  <c r="BG27" i="14"/>
  <c r="BH27" i="14" s="1"/>
  <c r="BI26" i="14" a="1"/>
  <c r="BG26" i="14"/>
  <c r="BH26" i="14" s="1"/>
  <c r="BI25" i="14" a="1"/>
  <c r="BG25" i="14"/>
  <c r="BH25" i="14" s="1"/>
  <c r="BI24" i="14" a="1"/>
  <c r="BG24" i="14"/>
  <c r="BH24" i="14" s="1"/>
  <c r="BI23" i="14" a="1"/>
  <c r="BG23" i="14"/>
  <c r="BH23" i="14" s="1"/>
  <c r="BI22" i="14" a="1"/>
  <c r="BG22" i="14"/>
  <c r="BH22" i="14" s="1"/>
  <c r="BI21" i="14" a="1"/>
  <c r="BG21" i="14"/>
  <c r="BH21" i="14" s="1"/>
  <c r="BI20" i="14" a="1"/>
  <c r="BG20" i="14"/>
  <c r="BH20" i="14" s="1"/>
  <c r="BI19" i="14" a="1"/>
  <c r="BG19" i="14"/>
  <c r="BH19" i="14" s="1"/>
  <c r="BI18" i="14" a="1"/>
  <c r="BG18" i="14"/>
  <c r="BH18" i="14" s="1"/>
  <c r="BI17" i="14" a="1"/>
  <c r="BG17" i="14"/>
  <c r="BH17" i="14" s="1"/>
  <c r="BI16" i="14" a="1"/>
  <c r="BG16" i="14"/>
  <c r="BH16" i="14" s="1"/>
  <c r="BI15" i="14" a="1"/>
  <c r="BG15" i="14"/>
  <c r="BH15" i="14" s="1"/>
  <c r="BI14" i="14" a="1"/>
  <c r="BG14" i="14"/>
  <c r="BH14" i="14" s="1"/>
  <c r="BI13" i="14" a="1"/>
  <c r="BG13" i="14"/>
  <c r="BH13" i="14" s="1"/>
  <c r="BI12" i="14" a="1"/>
  <c r="BG12" i="14"/>
  <c r="BH12" i="14" s="1"/>
  <c r="BI11" i="14" a="1"/>
  <c r="BG11" i="14"/>
  <c r="BH11" i="14" s="1"/>
  <c r="BI10" i="14" a="1"/>
  <c r="BG10" i="14"/>
  <c r="BH10" i="14" s="1"/>
  <c r="BI9" i="14" a="1"/>
  <c r="BG9" i="14"/>
  <c r="BH9" i="14" s="1"/>
  <c r="BI8" i="14" a="1"/>
  <c r="BG8" i="14"/>
  <c r="BH8" i="14" s="1"/>
  <c r="BI7" i="14" a="1"/>
  <c r="BG7" i="14"/>
  <c r="BH7" i="14" s="1"/>
  <c r="BI6" i="14" a="1"/>
  <c r="BG6" i="14"/>
  <c r="BH6" i="14" s="1"/>
  <c r="AK122" i="5"/>
  <c r="AJ122" i="5"/>
  <c r="AI122" i="5"/>
  <c r="AH122" i="5"/>
  <c r="AG122" i="5"/>
  <c r="AF122" i="5"/>
  <c r="AE122" i="5"/>
  <c r="AD122" i="5"/>
  <c r="AC122" i="5"/>
  <c r="AB122" i="5"/>
  <c r="AA122" i="5"/>
  <c r="Z122" i="5"/>
  <c r="Y122" i="5"/>
  <c r="X122" i="5"/>
  <c r="W122" i="5"/>
  <c r="V122" i="5"/>
  <c r="U122" i="5"/>
  <c r="T122" i="5"/>
  <c r="S122" i="5"/>
  <c r="R122" i="5"/>
  <c r="Q122" i="5"/>
  <c r="P122" i="5"/>
  <c r="O122" i="5"/>
  <c r="N122" i="5"/>
  <c r="M122" i="5"/>
  <c r="L122" i="5"/>
  <c r="K122" i="5"/>
  <c r="J122" i="5"/>
  <c r="I122" i="5"/>
  <c r="H122" i="5"/>
  <c r="G122" i="5"/>
  <c r="C110" i="12"/>
  <c r="D110" i="12" s="1"/>
  <c r="E110" i="12" s="1"/>
  <c r="C109" i="12"/>
  <c r="D109" i="12" s="1"/>
  <c r="E109" i="12" s="1"/>
  <c r="C108" i="12"/>
  <c r="D108" i="12" s="1"/>
  <c r="E108" i="12" s="1"/>
  <c r="C107" i="12"/>
  <c r="D107" i="12" s="1"/>
  <c r="E107" i="12" s="1"/>
  <c r="C106" i="12"/>
  <c r="D106" i="12" s="1"/>
  <c r="E106" i="12" s="1"/>
  <c r="C105" i="12"/>
  <c r="D105" i="12" s="1"/>
  <c r="E105" i="12" s="1"/>
  <c r="C104" i="12"/>
  <c r="D104" i="12" s="1"/>
  <c r="E104" i="12" s="1"/>
  <c r="C103" i="12"/>
  <c r="D103" i="12" s="1"/>
  <c r="E103" i="12" s="1"/>
  <c r="C102" i="12"/>
  <c r="D102" i="12" s="1"/>
  <c r="E102" i="12" s="1"/>
  <c r="C101" i="12"/>
  <c r="D101" i="12" s="1"/>
  <c r="E101" i="12" s="1"/>
  <c r="C100" i="12"/>
  <c r="D100" i="12" s="1"/>
  <c r="E100" i="12" s="1"/>
  <c r="C99" i="12"/>
  <c r="D99" i="12" s="1"/>
  <c r="E99" i="12" s="1"/>
  <c r="C98" i="12"/>
  <c r="D98" i="12" s="1"/>
  <c r="E98" i="12" s="1"/>
  <c r="C97" i="12"/>
  <c r="D97" i="12" s="1"/>
  <c r="E97" i="12" s="1"/>
  <c r="C96" i="12"/>
  <c r="D96" i="12" s="1"/>
  <c r="E96" i="12" s="1"/>
  <c r="C95" i="12"/>
  <c r="D95" i="12" s="1"/>
  <c r="E95" i="12" s="1"/>
  <c r="C94" i="12"/>
  <c r="D94" i="12" s="1"/>
  <c r="E94" i="12" s="1"/>
  <c r="C93" i="12"/>
  <c r="D93" i="12" s="1"/>
  <c r="E93" i="12" s="1"/>
  <c r="C92" i="12"/>
  <c r="D92" i="12" s="1"/>
  <c r="E92" i="12" s="1"/>
  <c r="C91" i="12"/>
  <c r="D91" i="12" s="1"/>
  <c r="E91" i="12" s="1"/>
  <c r="C90" i="12"/>
  <c r="D90" i="12" s="1"/>
  <c r="E90" i="12" s="1"/>
  <c r="C89" i="12"/>
  <c r="D89" i="12" s="1"/>
  <c r="E89" i="12" s="1"/>
  <c r="C88" i="12"/>
  <c r="D88" i="12" s="1"/>
  <c r="E88" i="12" s="1"/>
  <c r="C87" i="12"/>
  <c r="D87" i="12" s="1"/>
  <c r="E87" i="12" s="1"/>
  <c r="C86" i="12"/>
  <c r="D86" i="12" s="1"/>
  <c r="E86" i="12" s="1"/>
  <c r="C85" i="12"/>
  <c r="D85" i="12" s="1"/>
  <c r="E85" i="12" s="1"/>
  <c r="F63" i="6"/>
  <c r="D77" i="6"/>
  <c r="E76" i="6"/>
  <c r="E79" i="6" s="1"/>
  <c r="E80" i="6" s="1"/>
  <c r="D84" i="6"/>
  <c r="D38" i="6"/>
  <c r="G12" i="6"/>
  <c r="T12" i="12" s="1"/>
  <c r="E12" i="6"/>
  <c r="F12" i="6" s="1"/>
  <c r="AF87" i="5"/>
  <c r="G67" i="6" s="1"/>
  <c r="AD113" i="5"/>
  <c r="D6" i="6" s="1"/>
  <c r="H6" i="6" s="1"/>
  <c r="I9" i="6" s="1"/>
  <c r="D67" i="6"/>
  <c r="F64" i="6"/>
  <c r="BT4" i="11"/>
  <c r="AZ4" i="11"/>
  <c r="AX4" i="11" a="1"/>
  <c r="BJ5" i="11" a="1"/>
  <c r="G84" i="6"/>
  <c r="F84" i="6"/>
  <c r="E37" i="6"/>
  <c r="F37" i="6"/>
  <c r="G37" i="6"/>
  <c r="T37" i="12" s="1"/>
  <c r="D109" i="6"/>
  <c r="E36" i="6"/>
  <c r="F36" i="6"/>
  <c r="G36" i="6"/>
  <c r="T36" i="12" s="1"/>
  <c r="D108" i="6"/>
  <c r="E35" i="6"/>
  <c r="F35" i="6"/>
  <c r="G35" i="6"/>
  <c r="T35" i="12" s="1"/>
  <c r="D107" i="6"/>
  <c r="E34" i="6"/>
  <c r="F34" i="6"/>
  <c r="G34" i="6"/>
  <c r="T34" i="12" s="1"/>
  <c r="D106" i="6"/>
  <c r="E33" i="6"/>
  <c r="F33" i="6"/>
  <c r="G33" i="6"/>
  <c r="T33" i="12" s="1"/>
  <c r="D105" i="6"/>
  <c r="E32" i="6"/>
  <c r="F32" i="6"/>
  <c r="G32" i="6"/>
  <c r="T32" i="12" s="1"/>
  <c r="D104" i="6"/>
  <c r="E31" i="6"/>
  <c r="F31" i="6"/>
  <c r="G31" i="6"/>
  <c r="T31" i="12" s="1"/>
  <c r="D103" i="6"/>
  <c r="E25" i="6"/>
  <c r="F25" i="6"/>
  <c r="G25" i="6"/>
  <c r="T25" i="12" s="1"/>
  <c r="D97" i="6"/>
  <c r="E30" i="6"/>
  <c r="F30" i="6"/>
  <c r="G30" i="6"/>
  <c r="T30" i="12" s="1"/>
  <c r="D102" i="6"/>
  <c r="E29" i="6"/>
  <c r="F29" i="6"/>
  <c r="G29" i="6"/>
  <c r="T29" i="12" s="1"/>
  <c r="D101" i="6"/>
  <c r="E28" i="6"/>
  <c r="F28" i="6"/>
  <c r="G28" i="6"/>
  <c r="T28" i="12" s="1"/>
  <c r="D100" i="6"/>
  <c r="E24" i="6"/>
  <c r="F24" i="6"/>
  <c r="G24" i="6"/>
  <c r="T24" i="12" s="1"/>
  <c r="D96" i="6"/>
  <c r="E27" i="6"/>
  <c r="F27" i="6" s="1"/>
  <c r="G27" i="6"/>
  <c r="T27" i="12" s="1"/>
  <c r="D99" i="6"/>
  <c r="E26" i="6"/>
  <c r="F26" i="6"/>
  <c r="G26" i="6"/>
  <c r="T26" i="12" s="1"/>
  <c r="D98" i="6"/>
  <c r="E23" i="6"/>
  <c r="F23" i="6"/>
  <c r="G23" i="6"/>
  <c r="T23" i="12" s="1"/>
  <c r="D95" i="6"/>
  <c r="E22" i="6"/>
  <c r="F22" i="6"/>
  <c r="G22" i="6"/>
  <c r="T22" i="12" s="1"/>
  <c r="D94" i="6"/>
  <c r="E21" i="6"/>
  <c r="F21" i="6" s="1"/>
  <c r="G21" i="6"/>
  <c r="T21" i="12" s="1"/>
  <c r="D93" i="6"/>
  <c r="E20" i="6"/>
  <c r="F20" i="6"/>
  <c r="G20" i="6"/>
  <c r="T20" i="12" s="1"/>
  <c r="D92" i="6"/>
  <c r="E19" i="6"/>
  <c r="F19" i="6"/>
  <c r="G19" i="6"/>
  <c r="T19" i="12" s="1"/>
  <c r="D91" i="6"/>
  <c r="E18" i="6"/>
  <c r="F18" i="6"/>
  <c r="G18" i="6"/>
  <c r="T18" i="12" s="1"/>
  <c r="D90" i="6"/>
  <c r="E17" i="6"/>
  <c r="F17" i="6"/>
  <c r="G17" i="6"/>
  <c r="T17" i="12" s="1"/>
  <c r="D89" i="6"/>
  <c r="E16" i="6"/>
  <c r="F16" i="6"/>
  <c r="G16" i="6"/>
  <c r="T16" i="12" s="1"/>
  <c r="D88" i="6"/>
  <c r="E15" i="6"/>
  <c r="F15" i="6" s="1"/>
  <c r="G15" i="6"/>
  <c r="T15" i="12" s="1"/>
  <c r="D87" i="6"/>
  <c r="E14" i="6"/>
  <c r="F14" i="6"/>
  <c r="G14" i="6"/>
  <c r="T14" i="12" s="1"/>
  <c r="D86" i="6"/>
  <c r="E13" i="6"/>
  <c r="F13" i="6" s="1"/>
  <c r="G13" i="6"/>
  <c r="T13" i="12" s="1"/>
  <c r="D85" i="6"/>
  <c r="D57" i="6"/>
  <c r="F57" i="6" s="1"/>
  <c r="AF104" i="5"/>
  <c r="G57" i="6" s="1"/>
  <c r="D65" i="6"/>
  <c r="AF110" i="5"/>
  <c r="G65" i="6" s="1"/>
  <c r="BT10" i="11"/>
  <c r="AZ10" i="11"/>
  <c r="AX10" i="11" a="1"/>
  <c r="BT85" i="11"/>
  <c r="AZ85" i="11"/>
  <c r="AX85" i="11" a="1"/>
  <c r="BT24" i="11"/>
  <c r="AZ24" i="11"/>
  <c r="AX24" i="11" a="1"/>
  <c r="BT191" i="11"/>
  <c r="AZ191" i="11"/>
  <c r="AX191" i="11" a="1"/>
  <c r="BT23" i="11"/>
  <c r="AZ23" i="11"/>
  <c r="AX23" i="11" a="1"/>
  <c r="BT190" i="11"/>
  <c r="AZ190" i="11"/>
  <c r="AX190" i="11" a="1"/>
  <c r="BT22" i="11"/>
  <c r="AZ22" i="11"/>
  <c r="AX22" i="11" a="1"/>
  <c r="AZ26" i="11"/>
  <c r="AX26" i="11" a="1"/>
  <c r="AX21" i="11" a="1"/>
  <c r="AZ21" i="11"/>
  <c r="BT21" i="11"/>
  <c r="AZ50" i="11"/>
  <c r="BT50" i="11"/>
  <c r="AX50" i="11" a="1"/>
  <c r="AX20" i="11" a="1"/>
  <c r="BT20" i="11"/>
  <c r="AZ20" i="11"/>
  <c r="BT69" i="11"/>
  <c r="AZ69" i="11"/>
  <c r="AX69" i="11" a="1"/>
  <c r="BT15" i="11"/>
  <c r="AX15" i="11" a="1"/>
  <c r="AZ15" i="11"/>
  <c r="BT32" i="11"/>
  <c r="AX32" i="11" a="1"/>
  <c r="AZ32" i="11"/>
  <c r="BT67" i="11"/>
  <c r="AX67" i="11" a="1"/>
  <c r="AZ67" i="11"/>
  <c r="AX62" i="11" a="1"/>
  <c r="BT62" i="11"/>
  <c r="AZ62" i="11"/>
  <c r="BT29" i="11"/>
  <c r="AZ29" i="11"/>
  <c r="AX29" i="11" a="1"/>
  <c r="AX81" i="11" a="1"/>
  <c r="AZ81" i="11"/>
  <c r="BT81" i="11"/>
  <c r="BT43" i="11"/>
  <c r="AZ43" i="11"/>
  <c r="AX43" i="11" a="1"/>
  <c r="AX57" i="11" a="1"/>
  <c r="AZ57" i="11"/>
  <c r="BT57" i="11"/>
  <c r="BT124" i="11"/>
  <c r="AX124" i="11" a="1"/>
  <c r="AZ124" i="11"/>
  <c r="AX61" i="11" a="1"/>
  <c r="AZ61" i="11"/>
  <c r="BT122" i="11"/>
  <c r="AZ122" i="11"/>
  <c r="AX122" i="11" a="1"/>
  <c r="AX142" i="11" a="1"/>
  <c r="BT142" i="11"/>
  <c r="AZ142" i="11"/>
  <c r="BT74" i="11"/>
  <c r="AZ74" i="11"/>
  <c r="AX74" i="11" a="1"/>
  <c r="BT95" i="11"/>
  <c r="AX95" i="11" a="1"/>
  <c r="AZ95" i="11"/>
  <c r="AZ139" i="11"/>
  <c r="BT139" i="11"/>
  <c r="AX139" i="11" a="1"/>
  <c r="AZ136" i="11"/>
  <c r="BT136" i="11"/>
  <c r="AX136" i="11" a="1"/>
  <c r="BT92" i="11"/>
  <c r="AZ92" i="11"/>
  <c r="AX92" i="11" a="1"/>
  <c r="AZ134" i="11"/>
  <c r="BT134" i="11"/>
  <c r="AX134" i="11" a="1"/>
  <c r="BT91" i="11"/>
  <c r="AZ91" i="11"/>
  <c r="AX91" i="11" a="1"/>
  <c r="AZ156" i="11"/>
  <c r="AX156" i="11" a="1"/>
  <c r="BT156" i="11"/>
  <c r="BT90" i="11"/>
  <c r="AZ90" i="11"/>
  <c r="AX90" i="11" a="1"/>
  <c r="AX153" i="11" a="1"/>
  <c r="BT153" i="11"/>
  <c r="AZ153" i="11"/>
  <c r="AZ89" i="11"/>
  <c r="AX89" i="11" a="1"/>
  <c r="BT151" i="11"/>
  <c r="AX151" i="11" a="1"/>
  <c r="AZ151" i="11"/>
  <c r="BT88" i="11"/>
  <c r="AZ88" i="11"/>
  <c r="AX88" i="11" a="1"/>
  <c r="BT189" i="11"/>
  <c r="AZ189" i="11"/>
  <c r="AX189" i="11" a="1"/>
  <c r="BT87" i="11"/>
  <c r="AZ87" i="11"/>
  <c r="AX87" i="11" a="1"/>
  <c r="BT187" i="11"/>
  <c r="AZ187" i="11"/>
  <c r="AX187" i="11" a="1"/>
  <c r="BT185" i="11"/>
  <c r="AZ185" i="11"/>
  <c r="AX185" i="11" a="1"/>
  <c r="BT123" i="11"/>
  <c r="AX123" i="11" a="1"/>
  <c r="AZ123" i="11"/>
  <c r="BT184" i="11"/>
  <c r="AZ184" i="11"/>
  <c r="AX184" i="11" a="1"/>
  <c r="BT182" i="11"/>
  <c r="AZ182" i="11"/>
  <c r="AX182" i="11" a="1"/>
  <c r="BT203" i="11"/>
  <c r="AZ203" i="11"/>
  <c r="AX203" i="11" a="1"/>
  <c r="BT202" i="11"/>
  <c r="AZ202" i="11"/>
  <c r="AX202" i="11" a="1"/>
  <c r="BT201" i="11"/>
  <c r="AZ201" i="11"/>
  <c r="AX201" i="11" a="1"/>
  <c r="AZ19" i="11"/>
  <c r="AX19" i="11" a="1"/>
  <c r="BT28" i="11"/>
  <c r="AX28" i="11" a="1"/>
  <c r="AZ28" i="11"/>
  <c r="BT44" i="11"/>
  <c r="AZ44" i="11"/>
  <c r="AX44" i="11" a="1"/>
  <c r="AX59" i="11" a="1"/>
  <c r="BT59" i="11"/>
  <c r="AZ59" i="11"/>
  <c r="AZ56" i="11"/>
  <c r="BT56" i="11"/>
  <c r="AX56" i="11" a="1"/>
  <c r="BT84" i="11"/>
  <c r="AX84" i="11" a="1"/>
  <c r="AZ84" i="11"/>
  <c r="AZ17" i="11"/>
  <c r="BT17" i="11"/>
  <c r="AX17" i="11" a="1"/>
  <c r="AZ46" i="11"/>
  <c r="BT46" i="11"/>
  <c r="AX46" i="11" a="1"/>
  <c r="BT38" i="11"/>
  <c r="AZ38" i="11"/>
  <c r="AX38" i="11" a="1"/>
  <c r="BT58" i="11"/>
  <c r="AX58" i="11" a="1"/>
  <c r="AZ58" i="11"/>
  <c r="BT52" i="11"/>
  <c r="AX52" i="11" a="1"/>
  <c r="AZ52" i="11"/>
  <c r="AZ72" i="11"/>
  <c r="BT72" i="11"/>
  <c r="AX72" i="11" a="1"/>
  <c r="AX71" i="11" a="1"/>
  <c r="BT71" i="11"/>
  <c r="AZ71" i="11"/>
  <c r="AX70" i="11" a="1"/>
  <c r="AZ70" i="11"/>
  <c r="BT70" i="11"/>
  <c r="AZ68" i="11"/>
  <c r="AX68" i="11" a="1"/>
  <c r="BT66" i="11"/>
  <c r="AX66" i="11" a="1"/>
  <c r="AZ66" i="11"/>
  <c r="AZ83" i="11"/>
  <c r="BT83" i="11"/>
  <c r="AX83" i="11" a="1"/>
  <c r="AZ82" i="11"/>
  <c r="AX82" i="11" a="1"/>
  <c r="BT77" i="11"/>
  <c r="AX77" i="11" a="1"/>
  <c r="AZ77" i="11"/>
  <c r="AX96" i="11" a="1"/>
  <c r="AZ96" i="11"/>
  <c r="BT14" i="11"/>
  <c r="AZ14" i="11"/>
  <c r="AX14" i="11" a="1"/>
  <c r="AZ33" i="11"/>
  <c r="AX33" i="11" a="1"/>
  <c r="AZ31" i="11"/>
  <c r="BT31" i="11"/>
  <c r="AX31" i="11" a="1"/>
  <c r="AZ41" i="11"/>
  <c r="BT41" i="11"/>
  <c r="AX41" i="11" a="1"/>
  <c r="AX40" i="11" a="1"/>
  <c r="AZ40" i="11"/>
  <c r="AZ54" i="11"/>
  <c r="AX54" i="11" a="1"/>
  <c r="AX65" i="11" a="1"/>
  <c r="BT65" i="11"/>
  <c r="AZ65" i="11"/>
  <c r="AZ12" i="11"/>
  <c r="AX12" i="11" a="1"/>
  <c r="BT11" i="11"/>
  <c r="AZ11" i="11"/>
  <c r="AX11" i="11" a="1"/>
  <c r="BT9" i="11"/>
  <c r="AZ9" i="11"/>
  <c r="AX9" i="11" a="1"/>
  <c r="AZ63" i="11"/>
  <c r="AX63" i="11" a="1"/>
  <c r="BT63" i="11"/>
  <c r="AX79" i="11" a="1"/>
  <c r="BT79" i="11"/>
  <c r="AZ79" i="11"/>
  <c r="AZ78" i="11"/>
  <c r="BT78" i="11"/>
  <c r="AX78" i="11" a="1"/>
  <c r="BT76" i="11"/>
  <c r="AX76" i="11" a="1"/>
  <c r="AZ76" i="11"/>
  <c r="AZ75" i="11"/>
  <c r="AX75" i="11" a="1"/>
  <c r="BT93" i="11"/>
  <c r="AX93" i="11" a="1"/>
  <c r="AZ93" i="11"/>
  <c r="BT141" i="11"/>
  <c r="AX141" i="11" a="1"/>
  <c r="AZ141" i="11"/>
  <c r="BT140" i="11"/>
  <c r="AZ140" i="11"/>
  <c r="AX140" i="11" a="1"/>
  <c r="AZ138" i="11"/>
  <c r="AX138" i="11" a="1"/>
  <c r="BT138" i="11"/>
  <c r="BT137" i="11"/>
  <c r="AZ137" i="11"/>
  <c r="AX137" i="11" a="1"/>
  <c r="BT135" i="11"/>
  <c r="AZ135" i="11"/>
  <c r="AX135" i="11" a="1"/>
  <c r="BT152" i="11"/>
  <c r="AZ152" i="11"/>
  <c r="AX152" i="11" a="1"/>
  <c r="BT149" i="11"/>
  <c r="AZ149" i="11"/>
  <c r="AX149" i="11" a="1"/>
  <c r="BT146" i="11"/>
  <c r="AZ146" i="11"/>
  <c r="AX146" i="11" a="1"/>
  <c r="BT145" i="11"/>
  <c r="AZ145" i="11"/>
  <c r="AX145" i="11" a="1"/>
  <c r="BT168" i="11"/>
  <c r="AZ168" i="11"/>
  <c r="AX168" i="11" a="1"/>
  <c r="BT167" i="11"/>
  <c r="AZ167" i="11"/>
  <c r="AX167" i="11" a="1"/>
  <c r="BT166" i="11"/>
  <c r="AZ166" i="11"/>
  <c r="AX166" i="11" a="1"/>
  <c r="BT165" i="11"/>
  <c r="AZ165" i="11"/>
  <c r="AX165" i="11" a="1"/>
  <c r="BT161" i="11"/>
  <c r="AZ161" i="11"/>
  <c r="AX161" i="11" a="1"/>
  <c r="BT160" i="11"/>
  <c r="AZ160" i="11"/>
  <c r="AX160" i="11" a="1"/>
  <c r="BT159" i="11"/>
  <c r="AZ159" i="11"/>
  <c r="AX159" i="11" a="1"/>
  <c r="BT158" i="11"/>
  <c r="AZ158" i="11"/>
  <c r="AX158" i="11" a="1"/>
  <c r="BT157" i="11"/>
  <c r="AZ157" i="11"/>
  <c r="AX157" i="11" a="1"/>
  <c r="BT180" i="11"/>
  <c r="AZ180" i="11"/>
  <c r="AX180" i="11" a="1"/>
  <c r="BT179" i="11"/>
  <c r="AZ179" i="11"/>
  <c r="AX179" i="11" a="1"/>
  <c r="BT53" i="11"/>
  <c r="AZ53" i="11"/>
  <c r="AX53" i="11" a="1"/>
  <c r="BT178" i="11"/>
  <c r="AZ178" i="11"/>
  <c r="AX178" i="11" a="1"/>
  <c r="BT177" i="11"/>
  <c r="AZ177" i="11"/>
  <c r="AX177" i="11" a="1"/>
  <c r="BT176" i="11"/>
  <c r="AZ176" i="11"/>
  <c r="AX176" i="11" a="1"/>
  <c r="BT175" i="11"/>
  <c r="AZ175" i="11"/>
  <c r="AX175" i="11" a="1"/>
  <c r="BT174" i="11"/>
  <c r="AZ174" i="11"/>
  <c r="AX174" i="11" a="1"/>
  <c r="BT173" i="11"/>
  <c r="AZ173" i="11"/>
  <c r="AX173" i="11" a="1"/>
  <c r="BT172" i="11"/>
  <c r="AZ172" i="11"/>
  <c r="AX172" i="11" a="1"/>
  <c r="BT171" i="11"/>
  <c r="AZ171" i="11"/>
  <c r="AX171" i="11" a="1"/>
  <c r="BT170" i="11"/>
  <c r="AZ170" i="11"/>
  <c r="AX170" i="11" a="1"/>
  <c r="BT169" i="11"/>
  <c r="AZ169" i="11"/>
  <c r="AX169" i="11" a="1"/>
  <c r="BT192" i="11"/>
  <c r="AZ192" i="11"/>
  <c r="AX192" i="11" a="1"/>
  <c r="G89" i="6"/>
  <c r="H89" i="6" s="1"/>
  <c r="F89" i="6"/>
  <c r="D42" i="6"/>
  <c r="AF89" i="5"/>
  <c r="G42" i="6" s="1"/>
  <c r="BB43" i="5"/>
  <c r="CB35" i="5"/>
  <c r="BI23" i="11"/>
  <c r="BG23" i="11" a="1"/>
  <c r="BH23" i="11" s="1"/>
  <c r="S7" i="14" l="1" a="1"/>
  <c r="BH30" i="11"/>
  <c r="B74" i="12"/>
  <c r="F60" i="6"/>
  <c r="D74" i="6"/>
  <c r="C41" i="12"/>
  <c r="I80" i="6"/>
  <c r="K80" i="6"/>
  <c r="M80" i="6"/>
  <c r="B79" i="12" a="1"/>
  <c r="BI11" i="11"/>
  <c r="BG11" i="11" a="1"/>
  <c r="BH11" i="11" s="1"/>
  <c r="BI12" i="11"/>
  <c r="BG12" i="11" a="1"/>
  <c r="BH12" i="11" s="1"/>
  <c r="BI14" i="11"/>
  <c r="BG14" i="11" a="1"/>
  <c r="BH14" i="11" s="1"/>
  <c r="BI17" i="11"/>
  <c r="BG17" i="11" a="1"/>
  <c r="BH17" i="11" s="1"/>
  <c r="BG5" i="11" a="1"/>
  <c r="CB43" i="5"/>
  <c r="F62" i="6"/>
  <c r="D78" i="6"/>
  <c r="F51" i="6"/>
  <c r="D73" i="6"/>
  <c r="F65" i="6"/>
  <c r="D75" i="6"/>
  <c r="AI40" i="14"/>
  <c r="AI39" i="14"/>
  <c r="AI38" i="14"/>
  <c r="AI37" i="14"/>
  <c r="AI36" i="14"/>
  <c r="AI35" i="14"/>
  <c r="AI34" i="14"/>
  <c r="AI33" i="14"/>
  <c r="AI32" i="14"/>
  <c r="AI31" i="14"/>
  <c r="AI30" i="14"/>
  <c r="AI29" i="14"/>
  <c r="AI28" i="14"/>
  <c r="AI27" i="14"/>
  <c r="AI26" i="14"/>
  <c r="AI25" i="14"/>
  <c r="AI24" i="14"/>
  <c r="AI23" i="14"/>
  <c r="AI22" i="14"/>
  <c r="AI21" i="14"/>
  <c r="AI20" i="14"/>
  <c r="AI19" i="14"/>
  <c r="AI18" i="14"/>
  <c r="AI17" i="14"/>
  <c r="AI16" i="14"/>
  <c r="AI15" i="14"/>
  <c r="AI14" i="14"/>
  <c r="AI13" i="14"/>
  <c r="AI12" i="14"/>
  <c r="AH40" i="14"/>
  <c r="AH39" i="14"/>
  <c r="AH38" i="14"/>
  <c r="AH37" i="14"/>
  <c r="AH36" i="14"/>
  <c r="AH35" i="14"/>
  <c r="AH34" i="14"/>
  <c r="AH33" i="14"/>
  <c r="AH32" i="14"/>
  <c r="AH31" i="14"/>
  <c r="AH30" i="14"/>
  <c r="AH29" i="14"/>
  <c r="AH28" i="14"/>
  <c r="AH27" i="14"/>
  <c r="AH26" i="14"/>
  <c r="AH25" i="14"/>
  <c r="AH24" i="14"/>
  <c r="AH23" i="14"/>
  <c r="AH22" i="14"/>
  <c r="AH21" i="14"/>
  <c r="AH20" i="14"/>
  <c r="AH19" i="14"/>
  <c r="AH18" i="14"/>
  <c r="AH17" i="14"/>
  <c r="AH16" i="14"/>
  <c r="AH15" i="14"/>
  <c r="AH14" i="14"/>
  <c r="AH13" i="14"/>
  <c r="AH12" i="14"/>
  <c r="AG40" i="14"/>
  <c r="AG39" i="14"/>
  <c r="AG38" i="14"/>
  <c r="AG37" i="14"/>
  <c r="AG36" i="14"/>
  <c r="AG35" i="14"/>
  <c r="AG34" i="14"/>
  <c r="AG33" i="14"/>
  <c r="AG32" i="14"/>
  <c r="AG31" i="14"/>
  <c r="AG30" i="14"/>
  <c r="AG29" i="14"/>
  <c r="AG28" i="14"/>
  <c r="AG27" i="14"/>
  <c r="AG26" i="14"/>
  <c r="AG25" i="14"/>
  <c r="AG24" i="14"/>
  <c r="AG23" i="14"/>
  <c r="AG22" i="14"/>
  <c r="AG21" i="14"/>
  <c r="AG20" i="14"/>
  <c r="AG19" i="14"/>
  <c r="AG18" i="14"/>
  <c r="AG17" i="14"/>
  <c r="AG16" i="14"/>
  <c r="AG15" i="14"/>
  <c r="AG14" i="14"/>
  <c r="AG13" i="14"/>
  <c r="AG12" i="14"/>
  <c r="AF40" i="14"/>
  <c r="AF39" i="14"/>
  <c r="AF38" i="14"/>
  <c r="AF37" i="14"/>
  <c r="AF36" i="14"/>
  <c r="AF35" i="14"/>
  <c r="AF34" i="14"/>
  <c r="AF33" i="14"/>
  <c r="AF32" i="14"/>
  <c r="AF31" i="14"/>
  <c r="AF30" i="14"/>
  <c r="AF29" i="14"/>
  <c r="AF28" i="14"/>
  <c r="AF27" i="14"/>
  <c r="AF26" i="14"/>
  <c r="AF25" i="14"/>
  <c r="AF24" i="14"/>
  <c r="AF23" i="14"/>
  <c r="AF22" i="14"/>
  <c r="AF21" i="14"/>
  <c r="AF20" i="14"/>
  <c r="AF19" i="14"/>
  <c r="AF18" i="14"/>
  <c r="AF17" i="14"/>
  <c r="AF16" i="14"/>
  <c r="AF15" i="14"/>
  <c r="AF14" i="14"/>
  <c r="AF13" i="14"/>
  <c r="AF12" i="14"/>
  <c r="AE40" i="14"/>
  <c r="AE39" i="14"/>
  <c r="AE38" i="14"/>
  <c r="AE37" i="14"/>
  <c r="AE36" i="14"/>
  <c r="AE35" i="14"/>
  <c r="AE34" i="14"/>
  <c r="AE33" i="14"/>
  <c r="AE32" i="14"/>
  <c r="AE31" i="14"/>
  <c r="AE30" i="14"/>
  <c r="AE29" i="14"/>
  <c r="AE28" i="14"/>
  <c r="AE27" i="14"/>
  <c r="AE26" i="14"/>
  <c r="AE25" i="14"/>
  <c r="AE24" i="14"/>
  <c r="AE23" i="14"/>
  <c r="AE22" i="14"/>
  <c r="AE21" i="14"/>
  <c r="AE20" i="14"/>
  <c r="AE19" i="14"/>
  <c r="AE18" i="14"/>
  <c r="AE17" i="14"/>
  <c r="AE16" i="14"/>
  <c r="AE15" i="14"/>
  <c r="AE14" i="14"/>
  <c r="AE13" i="14"/>
  <c r="AE12" i="14"/>
  <c r="AD40" i="14"/>
  <c r="AD39" i="14"/>
  <c r="AD38" i="14"/>
  <c r="AD37" i="14"/>
  <c r="AD36" i="14"/>
  <c r="AD35" i="14"/>
  <c r="AD34" i="14"/>
  <c r="AD33" i="14"/>
  <c r="AD32" i="14"/>
  <c r="AD31" i="14"/>
  <c r="AD30" i="14"/>
  <c r="AD29" i="14"/>
  <c r="AD28" i="14"/>
  <c r="AD27" i="14"/>
  <c r="AD26" i="14"/>
  <c r="AD25" i="14"/>
  <c r="AD24" i="14"/>
  <c r="AD23" i="14"/>
  <c r="AD22" i="14"/>
  <c r="AD21" i="14"/>
  <c r="AD20" i="14"/>
  <c r="AD19" i="14"/>
  <c r="AD18" i="14"/>
  <c r="AD17" i="14"/>
  <c r="AD16" i="14"/>
  <c r="AD15" i="14"/>
  <c r="AD14" i="14"/>
  <c r="AD13" i="14"/>
  <c r="AD12" i="14"/>
  <c r="AC40" i="14"/>
  <c r="AC39" i="14"/>
  <c r="AC38" i="14"/>
  <c r="AC37" i="14"/>
  <c r="AC36" i="14"/>
  <c r="AC35" i="14"/>
  <c r="AC34" i="14"/>
  <c r="AC33" i="14"/>
  <c r="AC32" i="14"/>
  <c r="AC31" i="14"/>
  <c r="AC30" i="14"/>
  <c r="AC29" i="14"/>
  <c r="AC28" i="14"/>
  <c r="AC27" i="14"/>
  <c r="AC26" i="14"/>
  <c r="AC25" i="14"/>
  <c r="AC24" i="14"/>
  <c r="AC23" i="14"/>
  <c r="AC22" i="14"/>
  <c r="AC21" i="14"/>
  <c r="AC20" i="14"/>
  <c r="AC19" i="14"/>
  <c r="AC18" i="14"/>
  <c r="AC17" i="14"/>
  <c r="AC16" i="14"/>
  <c r="AC15" i="14"/>
  <c r="AC14" i="14"/>
  <c r="AC13" i="14"/>
  <c r="AC12" i="14"/>
  <c r="AB40" i="14"/>
  <c r="AB39" i="14"/>
  <c r="AB38" i="14"/>
  <c r="AB37" i="14"/>
  <c r="AB36" i="14"/>
  <c r="AB35" i="14"/>
  <c r="AB34" i="14"/>
  <c r="AB33" i="14"/>
  <c r="AB32" i="14"/>
  <c r="AB31" i="14"/>
  <c r="AB30" i="14"/>
  <c r="AB29" i="14"/>
  <c r="AB28" i="14"/>
  <c r="AB27" i="14"/>
  <c r="AB26" i="14"/>
  <c r="AB25" i="14"/>
  <c r="AB24" i="14"/>
  <c r="AB23" i="14"/>
  <c r="AB22" i="14"/>
  <c r="AB21" i="14"/>
  <c r="AB20" i="14"/>
  <c r="AB19" i="14"/>
  <c r="AB18" i="14"/>
  <c r="AB17" i="14"/>
  <c r="AB16" i="14"/>
  <c r="AB15" i="14"/>
  <c r="AB14" i="14"/>
  <c r="AB13" i="14"/>
  <c r="AB12" i="14"/>
  <c r="AA40" i="14"/>
  <c r="AA39" i="14"/>
  <c r="AA38" i="14"/>
  <c r="AA37" i="14"/>
  <c r="AA36" i="14"/>
  <c r="AA35" i="14"/>
  <c r="AA34" i="14"/>
  <c r="AA33" i="14"/>
  <c r="AA32" i="14"/>
  <c r="AA31" i="14"/>
  <c r="AA30" i="14"/>
  <c r="AA29" i="14"/>
  <c r="AA28" i="14"/>
  <c r="AA27" i="14"/>
  <c r="AA26" i="14"/>
  <c r="AA25" i="14"/>
  <c r="AA24" i="14"/>
  <c r="AA23" i="14"/>
  <c r="AA22" i="14"/>
  <c r="AA21" i="14"/>
  <c r="AA20" i="14"/>
  <c r="AA19" i="14"/>
  <c r="AA18" i="14"/>
  <c r="AA17" i="14"/>
  <c r="AA16" i="14"/>
  <c r="AA15" i="14"/>
  <c r="AA14" i="14"/>
  <c r="AA13" i="14"/>
  <c r="AA12" i="14"/>
  <c r="Z40" i="14"/>
  <c r="Z39" i="14"/>
  <c r="Z38" i="14"/>
  <c r="Z37" i="14"/>
  <c r="Z36" i="14"/>
  <c r="Z35" i="14"/>
  <c r="Z34" i="14"/>
  <c r="Z33" i="14"/>
  <c r="Z32" i="14"/>
  <c r="Z31" i="14"/>
  <c r="Z30" i="14"/>
  <c r="Z29" i="14"/>
  <c r="Z28" i="14"/>
  <c r="Z27" i="14"/>
  <c r="Z26" i="14"/>
  <c r="Z25" i="14"/>
  <c r="Z24" i="14"/>
  <c r="Z23" i="14"/>
  <c r="Z22" i="14"/>
  <c r="Z21" i="14"/>
  <c r="Z20" i="14"/>
  <c r="Z19" i="14"/>
  <c r="Z18" i="14"/>
  <c r="Z17" i="14"/>
  <c r="Z16" i="14"/>
  <c r="Z15" i="14"/>
  <c r="Z14" i="14"/>
  <c r="Z13" i="14"/>
  <c r="Z12" i="14"/>
  <c r="Y40" i="14"/>
  <c r="Y39" i="14"/>
  <c r="Y38" i="14"/>
  <c r="Y37" i="14"/>
  <c r="Y36" i="14"/>
  <c r="Y35" i="14"/>
  <c r="Y34" i="14"/>
  <c r="Y33" i="14"/>
  <c r="Y32" i="14"/>
  <c r="Y31" i="14"/>
  <c r="Y30" i="14"/>
  <c r="Y29" i="14"/>
  <c r="Y28" i="14"/>
  <c r="Y27" i="14"/>
  <c r="Y26" i="14"/>
  <c r="Y25" i="14"/>
  <c r="Y24" i="14"/>
  <c r="Y23" i="14"/>
  <c r="Y22" i="14"/>
  <c r="Y21" i="14"/>
  <c r="Y20" i="14"/>
  <c r="Y19" i="14"/>
  <c r="Y18" i="14"/>
  <c r="Y17" i="14"/>
  <c r="Y16" i="14"/>
  <c r="Y15" i="14"/>
  <c r="Y14" i="14"/>
  <c r="Y13" i="14"/>
  <c r="Y12" i="14"/>
  <c r="X40" i="14"/>
  <c r="X39" i="14"/>
  <c r="X38" i="14"/>
  <c r="X37" i="14"/>
  <c r="X36" i="14"/>
  <c r="X35" i="14"/>
  <c r="X34" i="14"/>
  <c r="X33" i="14"/>
  <c r="X32" i="14"/>
  <c r="X31" i="14"/>
  <c r="X30" i="14"/>
  <c r="X29" i="14"/>
  <c r="X28" i="14"/>
  <c r="X27" i="14"/>
  <c r="X26" i="14"/>
  <c r="X25" i="14"/>
  <c r="X24" i="14"/>
  <c r="X23" i="14"/>
  <c r="X22" i="14"/>
  <c r="X21" i="14"/>
  <c r="X20" i="14"/>
  <c r="X19" i="14"/>
  <c r="X18" i="14"/>
  <c r="X17" i="14"/>
  <c r="X16" i="14"/>
  <c r="X15" i="14"/>
  <c r="X14" i="14"/>
  <c r="X13" i="14"/>
  <c r="X12" i="14"/>
  <c r="W40" i="14"/>
  <c r="W39" i="14"/>
  <c r="W38" i="14"/>
  <c r="W37" i="14"/>
  <c r="W36" i="14"/>
  <c r="W35" i="14"/>
  <c r="W34" i="14"/>
  <c r="W33" i="14"/>
  <c r="W32" i="14"/>
  <c r="W31" i="14"/>
  <c r="W30" i="14"/>
  <c r="W29" i="14"/>
  <c r="W28" i="14"/>
  <c r="W27" i="14"/>
  <c r="W26" i="14"/>
  <c r="W25" i="14"/>
  <c r="W24" i="14"/>
  <c r="W23" i="14"/>
  <c r="W22" i="14"/>
  <c r="W21" i="14"/>
  <c r="W20" i="14"/>
  <c r="W19" i="14"/>
  <c r="W18" i="14"/>
  <c r="W17" i="14"/>
  <c r="W16" i="14"/>
  <c r="W15" i="14"/>
  <c r="W14" i="14"/>
  <c r="W13" i="14"/>
  <c r="W12" i="14"/>
  <c r="V40" i="14"/>
  <c r="V39" i="14"/>
  <c r="V38" i="14"/>
  <c r="V37" i="14"/>
  <c r="V36" i="14"/>
  <c r="V35" i="14"/>
  <c r="V34" i="14"/>
  <c r="V33" i="14"/>
  <c r="V32" i="14"/>
  <c r="V31" i="14"/>
  <c r="V30" i="14"/>
  <c r="V29" i="14"/>
  <c r="V28" i="14"/>
  <c r="V27" i="14"/>
  <c r="V26" i="14"/>
  <c r="V25" i="14"/>
  <c r="V24" i="14"/>
  <c r="V23" i="14"/>
  <c r="V22" i="14"/>
  <c r="V21" i="14"/>
  <c r="V20" i="14"/>
  <c r="V19" i="14"/>
  <c r="V18" i="14"/>
  <c r="V17" i="14"/>
  <c r="V16" i="14"/>
  <c r="V15" i="14"/>
  <c r="V14" i="14"/>
  <c r="V13" i="14"/>
  <c r="V12" i="14"/>
  <c r="U40" i="14"/>
  <c r="U39" i="14"/>
  <c r="U38" i="14"/>
  <c r="U37" i="14"/>
  <c r="U36" i="14"/>
  <c r="U35" i="14"/>
  <c r="U34" i="14"/>
  <c r="U33" i="14"/>
  <c r="U32" i="14"/>
  <c r="U31" i="14"/>
  <c r="U30" i="14"/>
  <c r="U29" i="14"/>
  <c r="U28" i="14"/>
  <c r="U27" i="14"/>
  <c r="U26" i="14"/>
  <c r="U25" i="14"/>
  <c r="U24" i="14"/>
  <c r="U23" i="14"/>
  <c r="U22" i="14"/>
  <c r="U21" i="14"/>
  <c r="U20" i="14"/>
  <c r="U19" i="14"/>
  <c r="U18" i="14"/>
  <c r="U17" i="14"/>
  <c r="U16" i="14"/>
  <c r="U15" i="14"/>
  <c r="U14" i="14"/>
  <c r="U13" i="14"/>
  <c r="U12" i="14"/>
  <c r="T40" i="14"/>
  <c r="T39" i="14"/>
  <c r="T38" i="14"/>
  <c r="T37" i="14"/>
  <c r="T36" i="14"/>
  <c r="T35" i="14"/>
  <c r="T34" i="14"/>
  <c r="T33" i="14"/>
  <c r="T32" i="14"/>
  <c r="T31" i="14"/>
  <c r="T30" i="14"/>
  <c r="T29" i="14"/>
  <c r="T28" i="14"/>
  <c r="T27" i="14"/>
  <c r="T26" i="14"/>
  <c r="T25" i="14"/>
  <c r="T24" i="14"/>
  <c r="T23" i="14"/>
  <c r="T22" i="14"/>
  <c r="T21" i="14"/>
  <c r="T20" i="14"/>
  <c r="T19" i="14"/>
  <c r="T18" i="14"/>
  <c r="T17" i="14"/>
  <c r="T16" i="14"/>
  <c r="T15" i="14"/>
  <c r="T14" i="14"/>
  <c r="T13" i="14"/>
  <c r="T12" i="14"/>
  <c r="S40" i="14"/>
  <c r="S39" i="14"/>
  <c r="S38" i="14"/>
  <c r="S37" i="14"/>
  <c r="S36" i="14"/>
  <c r="S35" i="14"/>
  <c r="S34" i="14"/>
  <c r="S33" i="14"/>
  <c r="S32" i="14"/>
  <c r="S31" i="14"/>
  <c r="S30" i="14"/>
  <c r="S29" i="14"/>
  <c r="S28" i="14"/>
  <c r="S27" i="14"/>
  <c r="S26" i="14"/>
  <c r="S25" i="14"/>
  <c r="S24" i="14"/>
  <c r="S23" i="14"/>
  <c r="S22" i="14"/>
  <c r="S21" i="14"/>
  <c r="S20" i="14"/>
  <c r="S19" i="14"/>
  <c r="S18" i="14"/>
  <c r="S17" i="14"/>
  <c r="S16" i="14"/>
  <c r="S15" i="14"/>
  <c r="S14" i="14"/>
  <c r="S13" i="14"/>
  <c r="S12" i="14"/>
  <c r="R40" i="14"/>
  <c r="R39" i="14"/>
  <c r="R38" i="14"/>
  <c r="R37" i="14"/>
  <c r="R36" i="14"/>
  <c r="R35" i="14"/>
  <c r="R34" i="14"/>
  <c r="R33" i="14"/>
  <c r="R32" i="14"/>
  <c r="R31" i="14"/>
  <c r="R30" i="14"/>
  <c r="R29" i="14"/>
  <c r="R28" i="14"/>
  <c r="R27" i="14"/>
  <c r="R26" i="14"/>
  <c r="R25" i="14"/>
  <c r="R24" i="14"/>
  <c r="R23" i="14"/>
  <c r="R22" i="14"/>
  <c r="R21" i="14"/>
  <c r="R20" i="14"/>
  <c r="R19" i="14"/>
  <c r="R18" i="14"/>
  <c r="R17" i="14"/>
  <c r="R16" i="14"/>
  <c r="R15" i="14"/>
  <c r="R14" i="14"/>
  <c r="R13" i="14"/>
  <c r="R12" i="14"/>
  <c r="Q40" i="14"/>
  <c r="Q39" i="14"/>
  <c r="Q38" i="14"/>
  <c r="Q37" i="14"/>
  <c r="Q36" i="14"/>
  <c r="Q35" i="14"/>
  <c r="Q34" i="14"/>
  <c r="Q33" i="14"/>
  <c r="Q32" i="14"/>
  <c r="Q31" i="14"/>
  <c r="Q30" i="14"/>
  <c r="Q29" i="14"/>
  <c r="Q28" i="14"/>
  <c r="Q27" i="14"/>
  <c r="Q26" i="14"/>
  <c r="Q25" i="14"/>
  <c r="Q24" i="14"/>
  <c r="Q23" i="14"/>
  <c r="Q22" i="14"/>
  <c r="Q21" i="14"/>
  <c r="Q20" i="14"/>
  <c r="Q19" i="14"/>
  <c r="Q18" i="14"/>
  <c r="Q17" i="14"/>
  <c r="Q16" i="14"/>
  <c r="Q15" i="14"/>
  <c r="Q14" i="14"/>
  <c r="Q13" i="14"/>
  <c r="Q12" i="14"/>
  <c r="P40" i="14"/>
  <c r="P39" i="14"/>
  <c r="P38" i="14"/>
  <c r="P37" i="14"/>
  <c r="P36" i="14"/>
  <c r="P35" i="14"/>
  <c r="P34" i="14"/>
  <c r="P33" i="14"/>
  <c r="P32" i="14"/>
  <c r="P31" i="14"/>
  <c r="P30" i="14"/>
  <c r="P29" i="14"/>
  <c r="P28" i="14"/>
  <c r="P27" i="14"/>
  <c r="P26" i="14"/>
  <c r="P25" i="14"/>
  <c r="P24" i="14"/>
  <c r="P23" i="14"/>
  <c r="P22" i="14"/>
  <c r="P21" i="14"/>
  <c r="P20" i="14"/>
  <c r="P19" i="14"/>
  <c r="P18" i="14"/>
  <c r="P17" i="14"/>
  <c r="P16" i="14"/>
  <c r="P15" i="14"/>
  <c r="P14" i="14"/>
  <c r="P13" i="14"/>
  <c r="P12" i="14"/>
  <c r="O40" i="14"/>
  <c r="O39" i="14"/>
  <c r="O38" i="14"/>
  <c r="O37" i="14"/>
  <c r="O36" i="14"/>
  <c r="O35" i="14"/>
  <c r="O34" i="14"/>
  <c r="O33" i="14"/>
  <c r="O32" i="14"/>
  <c r="O31" i="14"/>
  <c r="O30" i="14"/>
  <c r="O29" i="14"/>
  <c r="O28" i="14"/>
  <c r="O27" i="14"/>
  <c r="O26" i="14"/>
  <c r="O25" i="14"/>
  <c r="O24" i="14"/>
  <c r="O23" i="14"/>
  <c r="O22" i="14"/>
  <c r="O21" i="14"/>
  <c r="O20" i="14"/>
  <c r="O19" i="14"/>
  <c r="O18" i="14"/>
  <c r="O17" i="14"/>
  <c r="O16" i="14"/>
  <c r="O15" i="14"/>
  <c r="O14" i="14"/>
  <c r="O13" i="14"/>
  <c r="O12"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M40" i="14"/>
  <c r="M39" i="14"/>
  <c r="M38" i="14"/>
  <c r="M37" i="14"/>
  <c r="M36" i="14"/>
  <c r="M35" i="14"/>
  <c r="M34" i="14"/>
  <c r="M33" i="14"/>
  <c r="M32" i="14"/>
  <c r="M31" i="14"/>
  <c r="M30" i="14"/>
  <c r="M29" i="14"/>
  <c r="M28" i="14"/>
  <c r="M27" i="14"/>
  <c r="M26" i="14"/>
  <c r="M25" i="14"/>
  <c r="M24" i="14"/>
  <c r="M23" i="14"/>
  <c r="M22" i="14"/>
  <c r="M21" i="14"/>
  <c r="M20" i="14"/>
  <c r="M19" i="14"/>
  <c r="M18" i="14"/>
  <c r="M17" i="14"/>
  <c r="M16" i="14"/>
  <c r="M15" i="14"/>
  <c r="M14" i="14"/>
  <c r="M13" i="14"/>
  <c r="M12"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K40" i="14"/>
  <c r="K39" i="14"/>
  <c r="K38" i="14"/>
  <c r="K37" i="14"/>
  <c r="K36" i="14"/>
  <c r="K35" i="14"/>
  <c r="K34" i="14"/>
  <c r="K33" i="14"/>
  <c r="K32" i="14"/>
  <c r="K31" i="14"/>
  <c r="K30" i="14"/>
  <c r="K29" i="14"/>
  <c r="K28" i="14"/>
  <c r="K27" i="14"/>
  <c r="K26" i="14"/>
  <c r="K25" i="14"/>
  <c r="K24" i="14"/>
  <c r="K23" i="14"/>
  <c r="K22" i="14"/>
  <c r="K21" i="14"/>
  <c r="K20" i="14"/>
  <c r="K19" i="14"/>
  <c r="K18" i="14"/>
  <c r="K17" i="14"/>
  <c r="K16" i="14"/>
  <c r="K15" i="14"/>
  <c r="K14" i="14"/>
  <c r="K13" i="14"/>
  <c r="K12"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F40" i="14"/>
  <c r="F39" i="14"/>
  <c r="F38" i="14"/>
  <c r="F37" i="14"/>
  <c r="F36" i="14"/>
  <c r="F35" i="14"/>
  <c r="F34" i="14"/>
  <c r="F33" i="14"/>
  <c r="F32" i="14"/>
  <c r="F31" i="14"/>
  <c r="F30" i="14"/>
  <c r="F29" i="14"/>
  <c r="F28" i="14"/>
  <c r="F27" i="14"/>
  <c r="F26" i="14"/>
  <c r="F25" i="14"/>
  <c r="F24" i="14"/>
  <c r="F23" i="14"/>
  <c r="F22" i="14"/>
  <c r="F21" i="14"/>
  <c r="F20" i="14"/>
  <c r="F19" i="14"/>
  <c r="F18" i="14"/>
  <c r="F17" i="14"/>
  <c r="F16" i="14"/>
  <c r="F15" i="14"/>
  <c r="F14" i="14"/>
  <c r="F13" i="14"/>
  <c r="F12" i="14"/>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BO31" i="14"/>
  <c r="BM31" i="14"/>
  <c r="BL31" i="14"/>
  <c r="BK31" i="14"/>
  <c r="BO30" i="14"/>
  <c r="BM30" i="14"/>
  <c r="BL30" i="14"/>
  <c r="BK30" i="14"/>
  <c r="BO29" i="14"/>
  <c r="BM29" i="14"/>
  <c r="BL29" i="14"/>
  <c r="BK29" i="14"/>
  <c r="BO28" i="14"/>
  <c r="BM28" i="14"/>
  <c r="BL28" i="14"/>
  <c r="BK28" i="14"/>
  <c r="BO27" i="14"/>
  <c r="BM27" i="14"/>
  <c r="BL27" i="14"/>
  <c r="BK27" i="14"/>
  <c r="BO26" i="14"/>
  <c r="BM26" i="14"/>
  <c r="BL26" i="14"/>
  <c r="BK26" i="14"/>
  <c r="BO25" i="14"/>
  <c r="BM25" i="14"/>
  <c r="BL25" i="14"/>
  <c r="BK25" i="14"/>
  <c r="BO24" i="14"/>
  <c r="BM24" i="14"/>
  <c r="BL24" i="14"/>
  <c r="BK24" i="14"/>
  <c r="BO23" i="14"/>
  <c r="BM23" i="14"/>
  <c r="BL23" i="14"/>
  <c r="BK23" i="14"/>
  <c r="BO22" i="14"/>
  <c r="BM22" i="14"/>
  <c r="BL22" i="14"/>
  <c r="BK22" i="14"/>
  <c r="BO21" i="14"/>
  <c r="BM21" i="14"/>
  <c r="BL21" i="14"/>
  <c r="BK21" i="14"/>
  <c r="BO20" i="14"/>
  <c r="BM20" i="14"/>
  <c r="BO19" i="14"/>
  <c r="BM19" i="14"/>
  <c r="BL19" i="14"/>
  <c r="BK19" i="14"/>
  <c r="BO18" i="14"/>
  <c r="BM18" i="14"/>
  <c r="BL18" i="14"/>
  <c r="BK18" i="14"/>
  <c r="BO17" i="14"/>
  <c r="BM17" i="14"/>
  <c r="BO16" i="14"/>
  <c r="BM16" i="14"/>
  <c r="BO15" i="14"/>
  <c r="BM15" i="14"/>
  <c r="BL15" i="14"/>
  <c r="BK15" i="14"/>
  <c r="BO14" i="14"/>
  <c r="BM14" i="14"/>
  <c r="BL14" i="14"/>
  <c r="BK14" i="14"/>
  <c r="BO13" i="14"/>
  <c r="BM13" i="14"/>
  <c r="BO12" i="14"/>
  <c r="BM12" i="14"/>
  <c r="BL12" i="14"/>
  <c r="BK12" i="14"/>
  <c r="BO11" i="14"/>
  <c r="BM11" i="14"/>
  <c r="BO10" i="14"/>
  <c r="BM10" i="14"/>
  <c r="BO9" i="14"/>
  <c r="BM9" i="14"/>
  <c r="BL9" i="14"/>
  <c r="BK9" i="14"/>
  <c r="BO8" i="14"/>
  <c r="BM8" i="14"/>
  <c r="BL8" i="14"/>
  <c r="BK8" i="14"/>
  <c r="BO7" i="14"/>
  <c r="BM7" i="14"/>
  <c r="BL7" i="14"/>
  <c r="BK7" i="14"/>
  <c r="BJ31" i="14" a="1"/>
  <c r="BJ30" i="14" a="1"/>
  <c r="BJ29" i="14" a="1"/>
  <c r="BJ28" i="14" a="1"/>
  <c r="BJ27" i="14" a="1"/>
  <c r="BJ26" i="14" a="1"/>
  <c r="BJ25" i="14" a="1"/>
  <c r="BJ24" i="14" a="1"/>
  <c r="BJ23" i="14" a="1"/>
  <c r="BJ22" i="14" a="1"/>
  <c r="BJ21" i="14" a="1"/>
  <c r="BJ20" i="14" a="1"/>
  <c r="BJ19" i="14" a="1"/>
  <c r="BJ18" i="14" a="1"/>
  <c r="BJ17" i="14" a="1"/>
  <c r="BJ16" i="14" a="1"/>
  <c r="BJ15" i="14" a="1"/>
  <c r="BJ14" i="14" a="1"/>
  <c r="BJ13" i="14" a="1"/>
  <c r="BJ12" i="14" a="1"/>
  <c r="BJ11" i="14" a="1"/>
  <c r="BJ10" i="14" a="1"/>
  <c r="BJ9" i="14" a="1"/>
  <c r="BJ8" i="14" a="1"/>
  <c r="BJ7" i="14" a="1"/>
  <c r="G7" i="14" a="1"/>
  <c r="BO6" i="14"/>
  <c r="BM6" i="14"/>
  <c r="BL6" i="14"/>
  <c r="BK6" i="14"/>
  <c r="BJ6" i="14" a="1"/>
  <c r="AK150" i="5"/>
  <c r="AK154" i="5"/>
  <c r="AK151" i="5"/>
  <c r="AJ150" i="5"/>
  <c r="AJ154" i="5"/>
  <c r="AJ151" i="5"/>
  <c r="AI150" i="5"/>
  <c r="AI154" i="5"/>
  <c r="AI151" i="5"/>
  <c r="AH150" i="5"/>
  <c r="AH154" i="5"/>
  <c r="AH151" i="5"/>
  <c r="AG150" i="5"/>
  <c r="AG154" i="5"/>
  <c r="AG151" i="5"/>
  <c r="AF150" i="5"/>
  <c r="AF154" i="5"/>
  <c r="AF151" i="5"/>
  <c r="AE150" i="5"/>
  <c r="AE154" i="5"/>
  <c r="AE151" i="5"/>
  <c r="AD150" i="5"/>
  <c r="AD154" i="5"/>
  <c r="AD151" i="5"/>
  <c r="AC150" i="5"/>
  <c r="AC154" i="5"/>
  <c r="AC151" i="5"/>
  <c r="AB150" i="5"/>
  <c r="AB154" i="5"/>
  <c r="AB151" i="5"/>
  <c r="AA150" i="5"/>
  <c r="AA154" i="5"/>
  <c r="AA151" i="5"/>
  <c r="Z150" i="5"/>
  <c r="Z154" i="5"/>
  <c r="Z151" i="5"/>
  <c r="Y150" i="5"/>
  <c r="Y154" i="5"/>
  <c r="Y151" i="5"/>
  <c r="X150" i="5"/>
  <c r="X154" i="5"/>
  <c r="X151" i="5"/>
  <c r="W150" i="5"/>
  <c r="W154" i="5"/>
  <c r="W151" i="5"/>
  <c r="V150" i="5"/>
  <c r="V154" i="5"/>
  <c r="V151" i="5"/>
  <c r="U150" i="5"/>
  <c r="U154" i="5"/>
  <c r="U151" i="5"/>
  <c r="T150" i="5"/>
  <c r="T154" i="5"/>
  <c r="T151" i="5"/>
  <c r="S150" i="5"/>
  <c r="S154" i="5"/>
  <c r="S151" i="5"/>
  <c r="R150" i="5"/>
  <c r="R154" i="5"/>
  <c r="R151" i="5"/>
  <c r="Q150" i="5"/>
  <c r="Q154" i="5"/>
  <c r="Q151" i="5"/>
  <c r="P150" i="5"/>
  <c r="P154" i="5"/>
  <c r="P151" i="5"/>
  <c r="O150" i="5"/>
  <c r="O154" i="5"/>
  <c r="O151" i="5"/>
  <c r="N150" i="5"/>
  <c r="N154" i="5"/>
  <c r="N151" i="5"/>
  <c r="M150" i="5"/>
  <c r="M154" i="5"/>
  <c r="M151" i="5"/>
  <c r="L150" i="5"/>
  <c r="L154" i="5"/>
  <c r="L151" i="5"/>
  <c r="K150" i="5"/>
  <c r="K154" i="5"/>
  <c r="K151" i="5"/>
  <c r="J150" i="5"/>
  <c r="J154" i="5"/>
  <c r="J151" i="5"/>
  <c r="I150" i="5"/>
  <c r="I154" i="5"/>
  <c r="I151" i="5"/>
  <c r="H150" i="5"/>
  <c r="H154" i="5"/>
  <c r="H151" i="5"/>
  <c r="G150" i="5"/>
  <c r="G154" i="5"/>
  <c r="G151" i="5"/>
  <c r="A130" i="5"/>
  <c r="A129" i="5"/>
  <c r="A128" i="5"/>
  <c r="A127" i="5"/>
  <c r="A126" i="5"/>
  <c r="A125" i="5"/>
  <c r="A124" i="5"/>
  <c r="A123" i="5"/>
  <c r="A140" i="5"/>
  <c r="AK140" i="5" s="1"/>
  <c r="A139" i="5"/>
  <c r="A138" i="5"/>
  <c r="A137" i="5"/>
  <c r="A136" i="5"/>
  <c r="A135" i="5"/>
  <c r="A134" i="5"/>
  <c r="A133" i="5"/>
  <c r="A132" i="5"/>
  <c r="A131" i="5"/>
  <c r="A148" i="5"/>
  <c r="A147" i="5"/>
  <c r="A146" i="5"/>
  <c r="A145" i="5"/>
  <c r="A144" i="5"/>
  <c r="A143" i="5"/>
  <c r="A142" i="5"/>
  <c r="A141" i="5"/>
  <c r="AA141" i="5" s="1"/>
  <c r="G38" i="6"/>
  <c r="E38" i="6"/>
  <c r="J6" i="6"/>
  <c r="J24" i="6"/>
  <c r="L20" i="6"/>
  <c r="O12" i="12" a="1"/>
  <c r="P12" i="12" a="1"/>
  <c r="O13" i="12" a="1"/>
  <c r="P13" i="12" a="1"/>
  <c r="O14" i="12" a="1"/>
  <c r="P14" i="12" a="1"/>
  <c r="O15" i="12" a="1"/>
  <c r="P15" i="12" a="1"/>
  <c r="O16" i="12" a="1"/>
  <c r="P16" i="12" a="1"/>
  <c r="O17" i="12" a="1"/>
  <c r="P17" i="12" a="1"/>
  <c r="O18" i="12" a="1"/>
  <c r="P18" i="12" a="1"/>
  <c r="O19" i="12" a="1"/>
  <c r="P19" i="12" a="1"/>
  <c r="O20" i="12" a="1"/>
  <c r="P20" i="12" a="1"/>
  <c r="O21" i="12" a="1"/>
  <c r="P21" i="12" a="1"/>
  <c r="O22" i="12" a="1"/>
  <c r="P22" i="12" a="1"/>
  <c r="O23" i="12" a="1"/>
  <c r="P23" i="12" a="1"/>
  <c r="O24" i="12" a="1"/>
  <c r="P24" i="12" a="1"/>
  <c r="O25" i="12" a="1"/>
  <c r="P25" i="12" a="1"/>
  <c r="O26" i="12" a="1"/>
  <c r="P26" i="12" a="1"/>
  <c r="O27" i="12" a="1"/>
  <c r="P27" i="12" a="1"/>
  <c r="O28" i="12" a="1"/>
  <c r="P28" i="12" a="1"/>
  <c r="O29" i="12" a="1"/>
  <c r="P29" i="12" a="1"/>
  <c r="O30" i="12" a="1"/>
  <c r="P30" i="12" a="1"/>
  <c r="O31" i="12" a="1"/>
  <c r="P31" i="12" a="1"/>
  <c r="O32" i="12" a="1"/>
  <c r="P32" i="12" a="1"/>
  <c r="O33" i="12" a="1"/>
  <c r="P33" i="12" a="1"/>
  <c r="O34" i="12" a="1"/>
  <c r="P34" i="12" a="1"/>
  <c r="O35" i="12" a="1"/>
  <c r="P35" i="12" a="1"/>
  <c r="O36" i="12" a="1"/>
  <c r="P36" i="12" a="1"/>
  <c r="O37" i="12" a="1"/>
  <c r="P37" i="12" a="1"/>
  <c r="F6" i="6"/>
  <c r="R12" i="12"/>
  <c r="Q12" i="12"/>
  <c r="M12" i="12"/>
  <c r="L24" i="6"/>
  <c r="H12" i="6"/>
  <c r="BH27" i="11"/>
  <c r="BF30" i="11" a="1"/>
  <c r="BF28" i="11" a="1"/>
  <c r="BG28" i="11" s="1" a="1"/>
  <c r="BF29" i="11" a="1"/>
  <c r="BG29" i="11" s="1" a="1"/>
  <c r="BF27" i="11" a="1"/>
  <c r="BI9" i="11"/>
  <c r="BG9" i="11" a="1"/>
  <c r="BH9" i="11" s="1"/>
  <c r="BH5" i="11" a="1"/>
  <c r="BI5" i="11" s="1"/>
  <c r="BE5" i="11"/>
  <c r="BF5" i="11" s="1"/>
  <c r="R37" i="12"/>
  <c r="Q37" i="12"/>
  <c r="M37" i="12"/>
  <c r="H37" i="6"/>
  <c r="R36" i="12"/>
  <c r="Q36" i="12"/>
  <c r="M36" i="12"/>
  <c r="H36" i="6"/>
  <c r="R35" i="12"/>
  <c r="Q35" i="12"/>
  <c r="M35" i="12"/>
  <c r="H35" i="6"/>
  <c r="R34" i="12"/>
  <c r="Q34" i="12"/>
  <c r="M34" i="12"/>
  <c r="H34" i="6"/>
  <c r="R33" i="12"/>
  <c r="Q33" i="12"/>
  <c r="M33" i="12"/>
  <c r="H33" i="6"/>
  <c r="R32" i="12"/>
  <c r="Q32" i="12"/>
  <c r="M32" i="12"/>
  <c r="H32" i="6"/>
  <c r="R31" i="12"/>
  <c r="Q31" i="12"/>
  <c r="M31" i="12"/>
  <c r="H31" i="6"/>
  <c r="R25" i="12"/>
  <c r="Q25" i="12"/>
  <c r="M25" i="12"/>
  <c r="H25" i="6"/>
  <c r="R30" i="12"/>
  <c r="Q30" i="12"/>
  <c r="M30" i="12"/>
  <c r="H30" i="6"/>
  <c r="R29" i="12"/>
  <c r="Q29" i="12"/>
  <c r="M29" i="12"/>
  <c r="H29" i="6"/>
  <c r="R28" i="12"/>
  <c r="Q28" i="12"/>
  <c r="M28" i="12"/>
  <c r="H28" i="6"/>
  <c r="R24" i="12"/>
  <c r="Q24" i="12"/>
  <c r="M24" i="12"/>
  <c r="H24" i="6"/>
  <c r="R27" i="12"/>
  <c r="Q27" i="12"/>
  <c r="M27" i="12"/>
  <c r="H27" i="6"/>
  <c r="R26" i="12"/>
  <c r="Q26" i="12"/>
  <c r="M26" i="12"/>
  <c r="H26" i="6"/>
  <c r="Q23" i="12"/>
  <c r="M23" i="12"/>
  <c r="Q22" i="12"/>
  <c r="M22" i="12"/>
  <c r="R21" i="12"/>
  <c r="Q21" i="12"/>
  <c r="M21" i="12"/>
  <c r="H21" i="6"/>
  <c r="R20" i="12"/>
  <c r="Q20" i="12"/>
  <c r="M20" i="12"/>
  <c r="H20" i="6"/>
  <c r="Q19" i="12"/>
  <c r="M19" i="12"/>
  <c r="R18" i="12"/>
  <c r="Q18" i="12"/>
  <c r="M18" i="12"/>
  <c r="H18" i="6"/>
  <c r="Q17" i="12"/>
  <c r="M17" i="12"/>
  <c r="Q16" i="12"/>
  <c r="M16" i="12"/>
  <c r="R15" i="12"/>
  <c r="Q15" i="12"/>
  <c r="M15" i="12"/>
  <c r="H15" i="6"/>
  <c r="R14" i="12"/>
  <c r="Q14" i="12"/>
  <c r="M14" i="12"/>
  <c r="H14" i="6"/>
  <c r="R13" i="12"/>
  <c r="Q13" i="12"/>
  <c r="M13" i="12"/>
  <c r="H13" i="6"/>
  <c r="BI13" i="11"/>
  <c r="BG13" i="11" a="1"/>
  <c r="BH13" i="11" s="1"/>
  <c r="BI18" i="11"/>
  <c r="BG18" i="11" a="1"/>
  <c r="BH18" i="11" s="1"/>
  <c r="BG20" i="11" a="1"/>
  <c r="BH20" i="11" s="1"/>
  <c r="BI20" i="11"/>
  <c r="BI19" i="11"/>
  <c r="BG19" i="11" a="1"/>
  <c r="BH19" i="11" s="1"/>
  <c r="BI22" i="11"/>
  <c r="BG22" i="11" a="1"/>
  <c r="BH22" i="11" s="1"/>
  <c r="BI21" i="11"/>
  <c r="BG21" i="11" a="1"/>
  <c r="BH21" i="11" s="1"/>
  <c r="BI15" i="11"/>
  <c r="BG15" i="11" a="1"/>
  <c r="BH15" i="11" s="1"/>
  <c r="BI10" i="11"/>
  <c r="BG10" i="11" a="1"/>
  <c r="BH10" i="11" s="1"/>
  <c r="BG16" i="11" a="1"/>
  <c r="BH16" i="11" s="1"/>
  <c r="BI16" i="11"/>
  <c r="F42" i="6"/>
  <c r="D72" i="6"/>
  <c r="D68" i="6"/>
  <c r="D7" i="14"/>
  <c r="BJ23" i="11"/>
  <c r="BK23" i="11"/>
  <c r="BN23" i="11"/>
  <c r="BH28" i="11"/>
  <c r="BH29" i="11"/>
  <c r="D76" i="6"/>
  <c r="F67" i="6"/>
  <c r="G110" i="6"/>
  <c r="H84" i="6"/>
  <c r="H110" i="6" s="1"/>
  <c r="BJ30" i="11" l="1"/>
  <c r="BI30" i="11"/>
  <c r="I79" i="6"/>
  <c r="I78" i="6"/>
  <c r="I77" i="6"/>
  <c r="I76" i="6"/>
  <c r="I75" i="6"/>
  <c r="I74" i="6"/>
  <c r="I73" i="6"/>
  <c r="BN6" i="14" a="1"/>
  <c r="BN11" i="11"/>
  <c r="BJ11" i="11"/>
  <c r="BK11" i="11" s="1"/>
  <c r="BN12" i="11"/>
  <c r="BJ12" i="11"/>
  <c r="BK12" i="11" s="1"/>
  <c r="BN14" i="11"/>
  <c r="BJ14" i="11"/>
  <c r="BK14" i="11" s="1"/>
  <c r="BN17" i="11"/>
  <c r="BJ17" i="11"/>
  <c r="BK17" i="11" s="1"/>
  <c r="I26" i="6"/>
  <c r="AB136" i="5"/>
  <c r="AA136" i="5"/>
  <c r="AB135" i="5"/>
  <c r="AA135" i="5"/>
  <c r="AB134" i="5"/>
  <c r="AA134" i="5"/>
  <c r="AB133" i="5"/>
  <c r="AA133" i="5"/>
  <c r="AB132" i="5"/>
  <c r="AA132" i="5"/>
  <c r="AB131" i="5"/>
  <c r="AA131" i="5"/>
  <c r="AB148" i="5"/>
  <c r="AA148" i="5"/>
  <c r="AB147" i="5"/>
  <c r="AA147" i="5"/>
  <c r="AB146" i="5"/>
  <c r="AA146" i="5"/>
  <c r="AB145" i="5"/>
  <c r="AA145" i="5"/>
  <c r="AB144" i="5"/>
  <c r="AA144" i="5"/>
  <c r="AB143" i="5"/>
  <c r="AA143" i="5"/>
  <c r="AB142" i="5"/>
  <c r="AA142" i="5"/>
  <c r="P130" i="5"/>
  <c r="AI130" i="5"/>
  <c r="Y130" i="5"/>
  <c r="AA130" i="5"/>
  <c r="Z130" i="5"/>
  <c r="AK130" i="5"/>
  <c r="AJ130" i="5"/>
  <c r="P129" i="5"/>
  <c r="Y129" i="5"/>
  <c r="AJ129" i="5"/>
  <c r="Z129" i="5"/>
  <c r="AI129" i="5"/>
  <c r="AK129" i="5"/>
  <c r="P128" i="5"/>
  <c r="AJ128" i="5"/>
  <c r="Y128" i="5"/>
  <c r="AI128" i="5"/>
  <c r="Z128" i="5"/>
  <c r="AK128" i="5"/>
  <c r="AJ127" i="5"/>
  <c r="Z127" i="5"/>
  <c r="AK127" i="5"/>
  <c r="AI127" i="5"/>
  <c r="AJ126" i="5"/>
  <c r="AI126" i="5"/>
  <c r="Z126" i="5"/>
  <c r="AK126" i="5"/>
  <c r="AK125" i="5"/>
  <c r="AI125" i="5"/>
  <c r="Z125" i="5"/>
  <c r="AJ125" i="5"/>
  <c r="Z124" i="5"/>
  <c r="AI124" i="5"/>
  <c r="AK124" i="5"/>
  <c r="AJ124" i="5"/>
  <c r="Z123" i="5"/>
  <c r="AI123" i="5"/>
  <c r="AK123" i="5"/>
  <c r="AJ123" i="5"/>
  <c r="Y140" i="5"/>
  <c r="AH140" i="5"/>
  <c r="AJ140" i="5"/>
  <c r="AI140" i="5"/>
  <c r="AJ139" i="5"/>
  <c r="AH139" i="5"/>
  <c r="AK139" i="5"/>
  <c r="Y139" i="5"/>
  <c r="AI139" i="5"/>
  <c r="AH138" i="5"/>
  <c r="Y138" i="5"/>
  <c r="AI138" i="5"/>
  <c r="AK138" i="5"/>
  <c r="AJ138" i="5"/>
  <c r="AK137" i="5"/>
  <c r="AJ137" i="5"/>
  <c r="Y137" i="5"/>
  <c r="AH137" i="5"/>
  <c r="AI137" i="5"/>
  <c r="AK136" i="5"/>
  <c r="AG136" i="5"/>
  <c r="Z136" i="5"/>
  <c r="AD136" i="5"/>
  <c r="V136" i="5"/>
  <c r="S136" i="5"/>
  <c r="AF136" i="5"/>
  <c r="W136" i="5"/>
  <c r="AE136" i="5"/>
  <c r="T136" i="5"/>
  <c r="Y136" i="5"/>
  <c r="AC136" i="5"/>
  <c r="U136" i="5"/>
  <c r="AI136" i="5"/>
  <c r="AJ136" i="5"/>
  <c r="AH136" i="5"/>
  <c r="AK135" i="5"/>
  <c r="AD135" i="5"/>
  <c r="AF135" i="5"/>
  <c r="AC135" i="5"/>
  <c r="AJ135" i="5"/>
  <c r="U135" i="5"/>
  <c r="Y135" i="5"/>
  <c r="T135" i="5"/>
  <c r="AI135" i="5"/>
  <c r="AE135" i="5"/>
  <c r="W135" i="5"/>
  <c r="S135" i="5"/>
  <c r="V135" i="5"/>
  <c r="AH135" i="5"/>
  <c r="AG135" i="5"/>
  <c r="Z135" i="5"/>
  <c r="AK134" i="5"/>
  <c r="Y134" i="5"/>
  <c r="W134" i="5"/>
  <c r="AJ134" i="5"/>
  <c r="AH134" i="5"/>
  <c r="AI134" i="5"/>
  <c r="U134" i="5"/>
  <c r="AG134" i="5"/>
  <c r="AF134" i="5"/>
  <c r="V134" i="5"/>
  <c r="AE134" i="5"/>
  <c r="Z134" i="5"/>
  <c r="AD134" i="5"/>
  <c r="T134" i="5"/>
  <c r="AC134" i="5"/>
  <c r="S134" i="5"/>
  <c r="AK133" i="5"/>
  <c r="T133" i="5"/>
  <c r="AI133" i="5"/>
  <c r="Y133" i="5"/>
  <c r="AG133" i="5"/>
  <c r="U133" i="5"/>
  <c r="V133" i="5"/>
  <c r="AF133" i="5"/>
  <c r="AE133" i="5"/>
  <c r="AD133" i="5"/>
  <c r="Z133" i="5"/>
  <c r="W133" i="5"/>
  <c r="AC133" i="5"/>
  <c r="AJ133" i="5"/>
  <c r="S133" i="5"/>
  <c r="AG132" i="5"/>
  <c r="AF132" i="5"/>
  <c r="AE132" i="5"/>
  <c r="AD132" i="5"/>
  <c r="AC132" i="5"/>
  <c r="Z132" i="5"/>
  <c r="Y132" i="5"/>
  <c r="U132" i="5"/>
  <c r="V132" i="5"/>
  <c r="T132" i="5"/>
  <c r="AK132" i="5"/>
  <c r="AJ132" i="5"/>
  <c r="AI132" i="5"/>
  <c r="S132" i="5"/>
  <c r="U131" i="5"/>
  <c r="AI131" i="5"/>
  <c r="S131" i="5"/>
  <c r="AD131" i="5"/>
  <c r="AC131" i="5"/>
  <c r="AK131" i="5"/>
  <c r="T131" i="5"/>
  <c r="V131" i="5"/>
  <c r="AJ131" i="5"/>
  <c r="AE131" i="5"/>
  <c r="AF131" i="5"/>
  <c r="Z131" i="5"/>
  <c r="Y131" i="5"/>
  <c r="S148" i="5"/>
  <c r="AC148" i="5"/>
  <c r="AI148" i="5"/>
  <c r="AJ148" i="5"/>
  <c r="V148" i="5"/>
  <c r="Y148" i="5"/>
  <c r="AE148" i="5"/>
  <c r="T148" i="5"/>
  <c r="Z148" i="5"/>
  <c r="AK148" i="5"/>
  <c r="U148" i="5"/>
  <c r="AF148" i="5"/>
  <c r="AD148" i="5"/>
  <c r="V147" i="5"/>
  <c r="AC147" i="5"/>
  <c r="AI147" i="5"/>
  <c r="AD147" i="5"/>
  <c r="Y147" i="5"/>
  <c r="AE147" i="5"/>
  <c r="AJ147" i="5"/>
  <c r="AK147" i="5"/>
  <c r="T147" i="5"/>
  <c r="U147" i="5"/>
  <c r="Z147" i="5"/>
  <c r="AF147" i="5"/>
  <c r="T146" i="5"/>
  <c r="AF146" i="5"/>
  <c r="AI146" i="5"/>
  <c r="AC146" i="5"/>
  <c r="Y146" i="5"/>
  <c r="AD146" i="5"/>
  <c r="U146" i="5"/>
  <c r="AJ146" i="5"/>
  <c r="V146" i="5"/>
  <c r="AK146" i="5"/>
  <c r="AE146" i="5"/>
  <c r="Z146" i="5"/>
  <c r="AC145" i="5"/>
  <c r="U145" i="5"/>
  <c r="AE145" i="5"/>
  <c r="Z145" i="5"/>
  <c r="AJ145" i="5"/>
  <c r="T145" i="5"/>
  <c r="Y145" i="5"/>
  <c r="AD145" i="5"/>
  <c r="AI145" i="5"/>
  <c r="AF145" i="5"/>
  <c r="AK145" i="5"/>
  <c r="V145" i="5"/>
  <c r="AK144" i="5"/>
  <c r="U144" i="5"/>
  <c r="AE144" i="5"/>
  <c r="AC144" i="5"/>
  <c r="T144" i="5"/>
  <c r="AF144" i="5"/>
  <c r="AJ144" i="5"/>
  <c r="AD144" i="5"/>
  <c r="Y144" i="5"/>
  <c r="AI144" i="5"/>
  <c r="V144" i="5"/>
  <c r="Z144" i="5"/>
  <c r="AE143" i="5"/>
  <c r="AC143" i="5"/>
  <c r="Y143" i="5"/>
  <c r="AI143" i="5"/>
  <c r="V143" i="5"/>
  <c r="AK143" i="5"/>
  <c r="U143" i="5"/>
  <c r="AF143" i="5"/>
  <c r="AJ143" i="5"/>
  <c r="T143" i="5"/>
  <c r="AD143" i="5"/>
  <c r="Z143" i="5"/>
  <c r="V142" i="5"/>
  <c r="AI142" i="5"/>
  <c r="U142" i="5"/>
  <c r="AJ142" i="5"/>
  <c r="AF142" i="5"/>
  <c r="Y142" i="5"/>
  <c r="AE142" i="5"/>
  <c r="AK142" i="5"/>
  <c r="AC142" i="5"/>
  <c r="T142" i="5"/>
  <c r="Z142" i="5"/>
  <c r="AD142" i="5"/>
  <c r="U141" i="5"/>
  <c r="AJ141" i="5"/>
  <c r="AF141" i="5"/>
  <c r="AC141" i="5"/>
  <c r="Z141" i="5"/>
  <c r="Y141" i="5"/>
  <c r="AK141" i="5"/>
  <c r="AB141" i="5"/>
  <c r="AI141" i="5"/>
  <c r="AD141" i="5"/>
  <c r="AE141" i="5"/>
  <c r="V141" i="5"/>
  <c r="T141" i="5"/>
  <c r="BN7" i="14" a="1"/>
  <c r="O136" i="5"/>
  <c r="Q136" i="5"/>
  <c r="M136" i="5"/>
  <c r="I136" i="5"/>
  <c r="R136" i="5"/>
  <c r="P136" i="5"/>
  <c r="H136" i="5"/>
  <c r="G136" i="5"/>
  <c r="L136" i="5"/>
  <c r="K136" i="5"/>
  <c r="J136" i="5"/>
  <c r="N136" i="5"/>
  <c r="O135" i="5"/>
  <c r="H135" i="5"/>
  <c r="J135" i="5"/>
  <c r="L135" i="5"/>
  <c r="R135" i="5"/>
  <c r="I135" i="5"/>
  <c r="N135" i="5"/>
  <c r="M135" i="5"/>
  <c r="Q135" i="5"/>
  <c r="G135" i="5"/>
  <c r="K135" i="5"/>
  <c r="P135" i="5"/>
  <c r="O134" i="5"/>
  <c r="J134" i="5"/>
  <c r="M134" i="5"/>
  <c r="K134" i="5"/>
  <c r="L134" i="5"/>
  <c r="N134" i="5"/>
  <c r="I134" i="5"/>
  <c r="G134" i="5"/>
  <c r="H134" i="5"/>
  <c r="Q134" i="5"/>
  <c r="R134" i="5"/>
  <c r="P134" i="5"/>
  <c r="J133" i="5"/>
  <c r="Q133" i="5"/>
  <c r="K133" i="5"/>
  <c r="M133" i="5"/>
  <c r="L133" i="5"/>
  <c r="P133" i="5"/>
  <c r="I133" i="5"/>
  <c r="G133" i="5"/>
  <c r="O133" i="5"/>
  <c r="R133" i="5"/>
  <c r="H133" i="5"/>
  <c r="P132" i="5"/>
  <c r="L132" i="5"/>
  <c r="K132" i="5"/>
  <c r="J132" i="5"/>
  <c r="I132" i="5"/>
  <c r="Q132" i="5"/>
  <c r="H132" i="5"/>
  <c r="R132" i="5"/>
  <c r="G132" i="5"/>
  <c r="O132" i="5"/>
  <c r="M132" i="5"/>
  <c r="R131" i="5"/>
  <c r="K131" i="5"/>
  <c r="I131" i="5"/>
  <c r="H131" i="5"/>
  <c r="P131" i="5"/>
  <c r="Q131" i="5"/>
  <c r="O131" i="5"/>
  <c r="M131" i="5"/>
  <c r="L131" i="5"/>
  <c r="J131" i="5"/>
  <c r="G131" i="5"/>
  <c r="O148" i="5"/>
  <c r="Q148" i="5"/>
  <c r="H148" i="5"/>
  <c r="I148" i="5"/>
  <c r="R148" i="5"/>
  <c r="M148" i="5"/>
  <c r="L148" i="5"/>
  <c r="K148" i="5"/>
  <c r="J148" i="5"/>
  <c r="P148" i="5"/>
  <c r="G148" i="5"/>
  <c r="R147" i="5"/>
  <c r="I147" i="5"/>
  <c r="L147" i="5"/>
  <c r="K147" i="5"/>
  <c r="Q147" i="5"/>
  <c r="O147" i="5"/>
  <c r="P147" i="5"/>
  <c r="J147" i="5"/>
  <c r="H147" i="5"/>
  <c r="M147" i="5"/>
  <c r="S147" i="5"/>
  <c r="G147" i="5"/>
  <c r="Q146" i="5"/>
  <c r="I146" i="5"/>
  <c r="K146" i="5"/>
  <c r="J146" i="5"/>
  <c r="S146" i="5"/>
  <c r="H146" i="5"/>
  <c r="M146" i="5"/>
  <c r="R146" i="5"/>
  <c r="L146" i="5"/>
  <c r="P146" i="5"/>
  <c r="G146" i="5"/>
  <c r="K145" i="5"/>
  <c r="H145" i="5"/>
  <c r="P145" i="5"/>
  <c r="J145" i="5"/>
  <c r="I145" i="5"/>
  <c r="L145" i="5"/>
  <c r="Q145" i="5"/>
  <c r="R145" i="5"/>
  <c r="S145" i="5"/>
  <c r="M145" i="5"/>
  <c r="G145" i="5"/>
  <c r="L144" i="5"/>
  <c r="P144" i="5"/>
  <c r="M144" i="5"/>
  <c r="K144" i="5"/>
  <c r="R144" i="5"/>
  <c r="J144" i="5"/>
  <c r="I144" i="5"/>
  <c r="S144" i="5"/>
  <c r="Q144" i="5"/>
  <c r="H144" i="5"/>
  <c r="G144" i="5"/>
  <c r="Q143" i="5"/>
  <c r="L143" i="5"/>
  <c r="I143" i="5"/>
  <c r="S143" i="5"/>
  <c r="K143" i="5"/>
  <c r="G143" i="5"/>
  <c r="J143" i="5"/>
  <c r="P143" i="5"/>
  <c r="H143" i="5"/>
  <c r="R143" i="5"/>
  <c r="M143" i="5"/>
  <c r="K142" i="5"/>
  <c r="I142" i="5"/>
  <c r="P142" i="5"/>
  <c r="S142" i="5"/>
  <c r="H142" i="5"/>
  <c r="M142" i="5"/>
  <c r="L142" i="5"/>
  <c r="R142" i="5"/>
  <c r="Q142" i="5"/>
  <c r="J142" i="5"/>
  <c r="G142" i="5"/>
  <c r="I141" i="5"/>
  <c r="P141" i="5"/>
  <c r="R141" i="5"/>
  <c r="S141" i="5"/>
  <c r="K141" i="5"/>
  <c r="J141" i="5"/>
  <c r="M141" i="5"/>
  <c r="L141" i="5"/>
  <c r="H141" i="5"/>
  <c r="Q141" i="5"/>
  <c r="G141" i="5"/>
  <c r="B69" i="14"/>
  <c r="B68" i="14"/>
  <c r="B67" i="14"/>
  <c r="B66" i="14"/>
  <c r="B65" i="14"/>
  <c r="B64" i="14"/>
  <c r="B63" i="14"/>
  <c r="B62" i="14"/>
  <c r="B61" i="14"/>
  <c r="B60" i="14"/>
  <c r="B59" i="14"/>
  <c r="B75" i="14"/>
  <c r="B74" i="14"/>
  <c r="B73" i="14"/>
  <c r="B72" i="14"/>
  <c r="B71" i="14"/>
  <c r="B70" i="14"/>
  <c r="B46" i="14"/>
  <c r="B45" i="14"/>
  <c r="B54" i="14"/>
  <c r="B53" i="14"/>
  <c r="B52" i="14"/>
  <c r="B51" i="14"/>
  <c r="B50" i="14"/>
  <c r="B49" i="14"/>
  <c r="B48" i="14"/>
  <c r="B47" i="14"/>
  <c r="AK170" i="5"/>
  <c r="AK169" i="5"/>
  <c r="AK168" i="5"/>
  <c r="AK167" i="5"/>
  <c r="AK166" i="5"/>
  <c r="AK165" i="5"/>
  <c r="AK164" i="5"/>
  <c r="AK163" i="5"/>
  <c r="AK162" i="5"/>
  <c r="AK161" i="5"/>
  <c r="AK180" i="5"/>
  <c r="AK179" i="5"/>
  <c r="AK178" i="5"/>
  <c r="AK177" i="5"/>
  <c r="AK176" i="5"/>
  <c r="AK175" i="5"/>
  <c r="AK174" i="5"/>
  <c r="AK173" i="5"/>
  <c r="AK172" i="5"/>
  <c r="AK171" i="5"/>
  <c r="AK190" i="5"/>
  <c r="AK189" i="5"/>
  <c r="AK188" i="5"/>
  <c r="AK187" i="5"/>
  <c r="AK186" i="5"/>
  <c r="AK185" i="5"/>
  <c r="AK184" i="5"/>
  <c r="AK183" i="5"/>
  <c r="AK182" i="5"/>
  <c r="AK181" i="5"/>
  <c r="AK200" i="5"/>
  <c r="AK199" i="5"/>
  <c r="AK198" i="5"/>
  <c r="AK197" i="5"/>
  <c r="AK196" i="5"/>
  <c r="AK195" i="5"/>
  <c r="AK194" i="5"/>
  <c r="AK193" i="5"/>
  <c r="AK192" i="5"/>
  <c r="AK191" i="5"/>
  <c r="AK202" i="5"/>
  <c r="AK201" i="5"/>
  <c r="AK160" i="5"/>
  <c r="AK159" i="5"/>
  <c r="AK158" i="5"/>
  <c r="AK157" i="5"/>
  <c r="AK156" i="5"/>
  <c r="AK155" i="5"/>
  <c r="AK203" i="5" s="1"/>
  <c r="AJ170" i="5"/>
  <c r="AJ169" i="5"/>
  <c r="AJ168" i="5"/>
  <c r="AJ167" i="5"/>
  <c r="AJ166" i="5"/>
  <c r="AJ165" i="5"/>
  <c r="AJ164" i="5"/>
  <c r="AJ163" i="5"/>
  <c r="AJ162" i="5"/>
  <c r="AJ161" i="5"/>
  <c r="AJ180" i="5"/>
  <c r="AJ179" i="5"/>
  <c r="AJ178" i="5"/>
  <c r="AJ177" i="5"/>
  <c r="AJ176" i="5"/>
  <c r="AJ175" i="5"/>
  <c r="AJ174" i="5"/>
  <c r="AJ173" i="5"/>
  <c r="AJ172" i="5"/>
  <c r="AJ171" i="5"/>
  <c r="AJ190" i="5"/>
  <c r="AJ189" i="5"/>
  <c r="AJ188" i="5"/>
  <c r="AJ187" i="5"/>
  <c r="AJ186" i="5"/>
  <c r="AJ185" i="5"/>
  <c r="AJ184" i="5"/>
  <c r="AJ183" i="5"/>
  <c r="AJ182" i="5"/>
  <c r="AJ181" i="5"/>
  <c r="AJ200" i="5"/>
  <c r="AJ199" i="5"/>
  <c r="AJ198" i="5"/>
  <c r="AJ197" i="5"/>
  <c r="AJ196" i="5"/>
  <c r="AJ195" i="5"/>
  <c r="AJ194" i="5"/>
  <c r="AJ193" i="5"/>
  <c r="AJ192" i="5"/>
  <c r="AJ191" i="5"/>
  <c r="AJ202" i="5"/>
  <c r="AJ201" i="5"/>
  <c r="AJ160" i="5"/>
  <c r="AJ159" i="5"/>
  <c r="AJ158" i="5"/>
  <c r="AJ157" i="5"/>
  <c r="AJ156" i="5"/>
  <c r="AJ155" i="5"/>
  <c r="AI170" i="5"/>
  <c r="AI169" i="5"/>
  <c r="AI168" i="5"/>
  <c r="AI167" i="5"/>
  <c r="AI166" i="5"/>
  <c r="AI165" i="5"/>
  <c r="AI164" i="5"/>
  <c r="AI163" i="5"/>
  <c r="AI162" i="5"/>
  <c r="AI161" i="5"/>
  <c r="AI180" i="5"/>
  <c r="AI179" i="5"/>
  <c r="AI178" i="5"/>
  <c r="AI177" i="5"/>
  <c r="AI176" i="5"/>
  <c r="AI175" i="5"/>
  <c r="AI174" i="5"/>
  <c r="AI173" i="5"/>
  <c r="AI172" i="5"/>
  <c r="AI171" i="5"/>
  <c r="AI190" i="5"/>
  <c r="AI189" i="5"/>
  <c r="AI188" i="5"/>
  <c r="AI187" i="5"/>
  <c r="AI186" i="5"/>
  <c r="AI185" i="5"/>
  <c r="AI184" i="5"/>
  <c r="AI183" i="5"/>
  <c r="AI182" i="5"/>
  <c r="AI181" i="5"/>
  <c r="AI200" i="5"/>
  <c r="AI199" i="5"/>
  <c r="AI198" i="5"/>
  <c r="AI197" i="5"/>
  <c r="AI196" i="5"/>
  <c r="AI195" i="5"/>
  <c r="AI194" i="5"/>
  <c r="AI193" i="5"/>
  <c r="AI192" i="5"/>
  <c r="AI191" i="5"/>
  <c r="AI202" i="5"/>
  <c r="AI201" i="5"/>
  <c r="AI160" i="5"/>
  <c r="AI159" i="5"/>
  <c r="AI158" i="5"/>
  <c r="AI157" i="5"/>
  <c r="AI156" i="5"/>
  <c r="AI155" i="5"/>
  <c r="AH170" i="5"/>
  <c r="AH169" i="5"/>
  <c r="AH168" i="5"/>
  <c r="AH167" i="5"/>
  <c r="AH166" i="5"/>
  <c r="AH165" i="5"/>
  <c r="AH164" i="5"/>
  <c r="AH163" i="5"/>
  <c r="AH162" i="5"/>
  <c r="AH161" i="5"/>
  <c r="AH180" i="5"/>
  <c r="AH179" i="5"/>
  <c r="AH178" i="5"/>
  <c r="AH177" i="5"/>
  <c r="AH176" i="5"/>
  <c r="AH175" i="5"/>
  <c r="AH174" i="5"/>
  <c r="AH173" i="5"/>
  <c r="AH172" i="5"/>
  <c r="AH171" i="5"/>
  <c r="AH190" i="5"/>
  <c r="AH189" i="5"/>
  <c r="AH188" i="5"/>
  <c r="AH187" i="5"/>
  <c r="AH186" i="5"/>
  <c r="AH185" i="5"/>
  <c r="AH184" i="5"/>
  <c r="AH183" i="5"/>
  <c r="AH182" i="5"/>
  <c r="AH181" i="5"/>
  <c r="AH200" i="5"/>
  <c r="AH199" i="5"/>
  <c r="AH198" i="5"/>
  <c r="AH197" i="5"/>
  <c r="AH196" i="5"/>
  <c r="AH195" i="5"/>
  <c r="AH194" i="5"/>
  <c r="AH193" i="5"/>
  <c r="AH192" i="5"/>
  <c r="AH191" i="5"/>
  <c r="AH202" i="5"/>
  <c r="AH201" i="5"/>
  <c r="AH160" i="5"/>
  <c r="AH159" i="5"/>
  <c r="AH158" i="5"/>
  <c r="AH157" i="5"/>
  <c r="AH156" i="5"/>
  <c r="AH155" i="5"/>
  <c r="AG170" i="5"/>
  <c r="AG169" i="5"/>
  <c r="AG168" i="5"/>
  <c r="AG167" i="5"/>
  <c r="AG166" i="5"/>
  <c r="AG165" i="5"/>
  <c r="AG164" i="5"/>
  <c r="AG163" i="5"/>
  <c r="AG162" i="5"/>
  <c r="AG161" i="5"/>
  <c r="AG180" i="5"/>
  <c r="AG179" i="5"/>
  <c r="AG178" i="5"/>
  <c r="AG177" i="5"/>
  <c r="AG176" i="5"/>
  <c r="AG175" i="5"/>
  <c r="AG174" i="5"/>
  <c r="AG173" i="5"/>
  <c r="AG172" i="5"/>
  <c r="AG171" i="5"/>
  <c r="AG190" i="5"/>
  <c r="AG189" i="5"/>
  <c r="AG188" i="5"/>
  <c r="AG187" i="5"/>
  <c r="AG186" i="5"/>
  <c r="AG185" i="5"/>
  <c r="AG184" i="5"/>
  <c r="AG183" i="5"/>
  <c r="AG182" i="5"/>
  <c r="AG181" i="5"/>
  <c r="AG200" i="5"/>
  <c r="AG199" i="5"/>
  <c r="AG198" i="5"/>
  <c r="AG197" i="5"/>
  <c r="AG196" i="5"/>
  <c r="AG195" i="5"/>
  <c r="AG194" i="5"/>
  <c r="AG193" i="5"/>
  <c r="AG192" i="5"/>
  <c r="AG191" i="5"/>
  <c r="AG202" i="5"/>
  <c r="AG201" i="5"/>
  <c r="AG160" i="5"/>
  <c r="AG159" i="5"/>
  <c r="AG158" i="5"/>
  <c r="AG157" i="5"/>
  <c r="AG156" i="5"/>
  <c r="AG155" i="5"/>
  <c r="AF170" i="5"/>
  <c r="AF169" i="5"/>
  <c r="AF168" i="5"/>
  <c r="AF167" i="5"/>
  <c r="AF166" i="5"/>
  <c r="AF165" i="5"/>
  <c r="AF164" i="5"/>
  <c r="AF163" i="5"/>
  <c r="AF162" i="5"/>
  <c r="AF161" i="5"/>
  <c r="AF180" i="5"/>
  <c r="AF179" i="5"/>
  <c r="AF178" i="5"/>
  <c r="AF177" i="5"/>
  <c r="AF176" i="5"/>
  <c r="AF175" i="5"/>
  <c r="AF174" i="5"/>
  <c r="AF173" i="5"/>
  <c r="AF172" i="5"/>
  <c r="AF171" i="5"/>
  <c r="AF190" i="5"/>
  <c r="AF189" i="5"/>
  <c r="AF188" i="5"/>
  <c r="AF187" i="5"/>
  <c r="AF186" i="5"/>
  <c r="AF185" i="5"/>
  <c r="AF184" i="5"/>
  <c r="AF183" i="5"/>
  <c r="AF182" i="5"/>
  <c r="AF181" i="5"/>
  <c r="AF200" i="5"/>
  <c r="AF199" i="5"/>
  <c r="AF198" i="5"/>
  <c r="AF197" i="5"/>
  <c r="AF196" i="5"/>
  <c r="AF195" i="5"/>
  <c r="AF194" i="5"/>
  <c r="AF193" i="5"/>
  <c r="AF192" i="5"/>
  <c r="AF191" i="5"/>
  <c r="AF202" i="5"/>
  <c r="AF201" i="5"/>
  <c r="AF160" i="5"/>
  <c r="AF159" i="5"/>
  <c r="AF158" i="5"/>
  <c r="AF157" i="5"/>
  <c r="AF156" i="5"/>
  <c r="AF155" i="5"/>
  <c r="AF203" i="5" s="1"/>
  <c r="AE170" i="5"/>
  <c r="AE169" i="5"/>
  <c r="AE168" i="5"/>
  <c r="AE167" i="5"/>
  <c r="AE166" i="5"/>
  <c r="AE165" i="5"/>
  <c r="AE164" i="5"/>
  <c r="AE163" i="5"/>
  <c r="AE162" i="5"/>
  <c r="AE161" i="5"/>
  <c r="AE180" i="5"/>
  <c r="AE179" i="5"/>
  <c r="AE178" i="5"/>
  <c r="AE177" i="5"/>
  <c r="AE176" i="5"/>
  <c r="AE175" i="5"/>
  <c r="AE174" i="5"/>
  <c r="AE173" i="5"/>
  <c r="AE172" i="5"/>
  <c r="AE171" i="5"/>
  <c r="AE190" i="5"/>
  <c r="AE189" i="5"/>
  <c r="AE188" i="5"/>
  <c r="AE187" i="5"/>
  <c r="AE186" i="5"/>
  <c r="AE185" i="5"/>
  <c r="AE184" i="5"/>
  <c r="AE183" i="5"/>
  <c r="AE182" i="5"/>
  <c r="AE181" i="5"/>
  <c r="AE200" i="5"/>
  <c r="AE199" i="5"/>
  <c r="AE198" i="5"/>
  <c r="AE197" i="5"/>
  <c r="AE196" i="5"/>
  <c r="AE195" i="5"/>
  <c r="AE194" i="5"/>
  <c r="AE193" i="5"/>
  <c r="AE192" i="5"/>
  <c r="AE191" i="5"/>
  <c r="AE202" i="5"/>
  <c r="AE201" i="5"/>
  <c r="AE160" i="5"/>
  <c r="AE159" i="5"/>
  <c r="AE158" i="5"/>
  <c r="AE157" i="5"/>
  <c r="AE156" i="5"/>
  <c r="AE155" i="5"/>
  <c r="AD170" i="5"/>
  <c r="AD169" i="5"/>
  <c r="AD168" i="5"/>
  <c r="AD167" i="5"/>
  <c r="AD166" i="5"/>
  <c r="AD165" i="5"/>
  <c r="AD164" i="5"/>
  <c r="AD163" i="5"/>
  <c r="AD162" i="5"/>
  <c r="AD161" i="5"/>
  <c r="AD180" i="5"/>
  <c r="AD179" i="5"/>
  <c r="AD178" i="5"/>
  <c r="AD177" i="5"/>
  <c r="AD176" i="5"/>
  <c r="AD175" i="5"/>
  <c r="AD174" i="5"/>
  <c r="AD173" i="5"/>
  <c r="AD172" i="5"/>
  <c r="AD171" i="5"/>
  <c r="AD190" i="5"/>
  <c r="AD189" i="5"/>
  <c r="AD188" i="5"/>
  <c r="AD187" i="5"/>
  <c r="AD186" i="5"/>
  <c r="AD185" i="5"/>
  <c r="AD184" i="5"/>
  <c r="AD183" i="5"/>
  <c r="AD182" i="5"/>
  <c r="AD181" i="5"/>
  <c r="AD200" i="5"/>
  <c r="AD199" i="5"/>
  <c r="AD198" i="5"/>
  <c r="AD197" i="5"/>
  <c r="AD196" i="5"/>
  <c r="AD195" i="5"/>
  <c r="AD194" i="5"/>
  <c r="AD193" i="5"/>
  <c r="AD192" i="5"/>
  <c r="AD191" i="5"/>
  <c r="AD202" i="5"/>
  <c r="AD201" i="5"/>
  <c r="AD160" i="5"/>
  <c r="AD159" i="5"/>
  <c r="AD158" i="5"/>
  <c r="AD157" i="5"/>
  <c r="AD156" i="5"/>
  <c r="AD155" i="5"/>
  <c r="AC170" i="5"/>
  <c r="AC169" i="5"/>
  <c r="AC168" i="5"/>
  <c r="AC167" i="5"/>
  <c r="AC166" i="5"/>
  <c r="AC165" i="5"/>
  <c r="AC164" i="5"/>
  <c r="AC163" i="5"/>
  <c r="AC162" i="5"/>
  <c r="AC161" i="5"/>
  <c r="AC180" i="5"/>
  <c r="AC179" i="5"/>
  <c r="AC178" i="5"/>
  <c r="AC177" i="5"/>
  <c r="AC176" i="5"/>
  <c r="AC175" i="5"/>
  <c r="AC174" i="5"/>
  <c r="AC173" i="5"/>
  <c r="AC172" i="5"/>
  <c r="AC171" i="5"/>
  <c r="AC190" i="5"/>
  <c r="AC189" i="5"/>
  <c r="AC188" i="5"/>
  <c r="AC187" i="5"/>
  <c r="AC186" i="5"/>
  <c r="AC185" i="5"/>
  <c r="AC184" i="5"/>
  <c r="AC183" i="5"/>
  <c r="AC182" i="5"/>
  <c r="AC181" i="5"/>
  <c r="AC200" i="5"/>
  <c r="AC199" i="5"/>
  <c r="AC198" i="5"/>
  <c r="AC197" i="5"/>
  <c r="AC196" i="5"/>
  <c r="AC195" i="5"/>
  <c r="AC194" i="5"/>
  <c r="AC193" i="5"/>
  <c r="AC192" i="5"/>
  <c r="AC191" i="5"/>
  <c r="AC202" i="5"/>
  <c r="AC201" i="5"/>
  <c r="AC160" i="5"/>
  <c r="AC159" i="5"/>
  <c r="AC158" i="5"/>
  <c r="AC157" i="5"/>
  <c r="AC156" i="5"/>
  <c r="AC155" i="5"/>
  <c r="AC203" i="5" s="1"/>
  <c r="AB170" i="5"/>
  <c r="AB169" i="5"/>
  <c r="AB168" i="5"/>
  <c r="AB167" i="5"/>
  <c r="AB166" i="5"/>
  <c r="AB165" i="5"/>
  <c r="AB164" i="5"/>
  <c r="AB163" i="5"/>
  <c r="AB162" i="5"/>
  <c r="AB161" i="5"/>
  <c r="AB180" i="5"/>
  <c r="AB179" i="5"/>
  <c r="AB178" i="5"/>
  <c r="AB177" i="5"/>
  <c r="AB176" i="5"/>
  <c r="AB175" i="5"/>
  <c r="AB174" i="5"/>
  <c r="AB173" i="5"/>
  <c r="AB172" i="5"/>
  <c r="AB171" i="5"/>
  <c r="AB190" i="5"/>
  <c r="AB189" i="5"/>
  <c r="AB188" i="5"/>
  <c r="AB187" i="5"/>
  <c r="AB186" i="5"/>
  <c r="AB185" i="5"/>
  <c r="AB184" i="5"/>
  <c r="AB183" i="5"/>
  <c r="AB182" i="5"/>
  <c r="AB181" i="5"/>
  <c r="AB200" i="5"/>
  <c r="AB199" i="5"/>
  <c r="AB198" i="5"/>
  <c r="AB197" i="5"/>
  <c r="AB196" i="5"/>
  <c r="AB195" i="5"/>
  <c r="AB194" i="5"/>
  <c r="AB193" i="5"/>
  <c r="AB192" i="5"/>
  <c r="AB191" i="5"/>
  <c r="AB202" i="5"/>
  <c r="AB201" i="5"/>
  <c r="AB160" i="5"/>
  <c r="AB159" i="5"/>
  <c r="AB158" i="5"/>
  <c r="AB157" i="5"/>
  <c r="AB156" i="5"/>
  <c r="AB155" i="5"/>
  <c r="AA170" i="5"/>
  <c r="AA169" i="5"/>
  <c r="AA168" i="5"/>
  <c r="AA167" i="5"/>
  <c r="AA166" i="5"/>
  <c r="AA165" i="5"/>
  <c r="AA164" i="5"/>
  <c r="AA163" i="5"/>
  <c r="AA162" i="5"/>
  <c r="AA161" i="5"/>
  <c r="AA180" i="5"/>
  <c r="AA179" i="5"/>
  <c r="AA178" i="5"/>
  <c r="AA177" i="5"/>
  <c r="AA176" i="5"/>
  <c r="AA175" i="5"/>
  <c r="AA174" i="5"/>
  <c r="AA173" i="5"/>
  <c r="AA172" i="5"/>
  <c r="AA171" i="5"/>
  <c r="AA190" i="5"/>
  <c r="AA189" i="5"/>
  <c r="AA188" i="5"/>
  <c r="AA187" i="5"/>
  <c r="AA186" i="5"/>
  <c r="AA185" i="5"/>
  <c r="AA184" i="5"/>
  <c r="AA183" i="5"/>
  <c r="AA182" i="5"/>
  <c r="AA181" i="5"/>
  <c r="AA200" i="5"/>
  <c r="AA199" i="5"/>
  <c r="AA198" i="5"/>
  <c r="AA197" i="5"/>
  <c r="AA196" i="5"/>
  <c r="AA195" i="5"/>
  <c r="AA194" i="5"/>
  <c r="AA193" i="5"/>
  <c r="AA192" i="5"/>
  <c r="AA191" i="5"/>
  <c r="AA202" i="5"/>
  <c r="AA201" i="5"/>
  <c r="AA160" i="5"/>
  <c r="AA159" i="5"/>
  <c r="AA158" i="5"/>
  <c r="AA157" i="5"/>
  <c r="AA156" i="5"/>
  <c r="AA155" i="5"/>
  <c r="Z170" i="5"/>
  <c r="Z169" i="5"/>
  <c r="Z168" i="5"/>
  <c r="Z167" i="5"/>
  <c r="Z166" i="5"/>
  <c r="Z165" i="5"/>
  <c r="Z164" i="5"/>
  <c r="Z163" i="5"/>
  <c r="Z162" i="5"/>
  <c r="Z161" i="5"/>
  <c r="Z180" i="5"/>
  <c r="Z179" i="5"/>
  <c r="Z178" i="5"/>
  <c r="Z177" i="5"/>
  <c r="Z176" i="5"/>
  <c r="Z175" i="5"/>
  <c r="Z174" i="5"/>
  <c r="Z173" i="5"/>
  <c r="Z172" i="5"/>
  <c r="Z171" i="5"/>
  <c r="Z190" i="5"/>
  <c r="Z189" i="5"/>
  <c r="Z188" i="5"/>
  <c r="Z187" i="5"/>
  <c r="Z186" i="5"/>
  <c r="Z185" i="5"/>
  <c r="Z184" i="5"/>
  <c r="Z183" i="5"/>
  <c r="Z182" i="5"/>
  <c r="Z181" i="5"/>
  <c r="Z200" i="5"/>
  <c r="Z199" i="5"/>
  <c r="Z198" i="5"/>
  <c r="Z197" i="5"/>
  <c r="Z196" i="5"/>
  <c r="Z195" i="5"/>
  <c r="Z194" i="5"/>
  <c r="Z193" i="5"/>
  <c r="Z192" i="5"/>
  <c r="Z191" i="5"/>
  <c r="Z202" i="5"/>
  <c r="Z201" i="5"/>
  <c r="Z160" i="5"/>
  <c r="Z159" i="5"/>
  <c r="Z158" i="5"/>
  <c r="Z157" i="5"/>
  <c r="Z156" i="5"/>
  <c r="Z155" i="5"/>
  <c r="Z203" i="5" s="1"/>
  <c r="Y170" i="5"/>
  <c r="Y169" i="5"/>
  <c r="Y168" i="5"/>
  <c r="Y167" i="5"/>
  <c r="Y166" i="5"/>
  <c r="Y165" i="5"/>
  <c r="Y164" i="5"/>
  <c r="Y163" i="5"/>
  <c r="Y162" i="5"/>
  <c r="Y161" i="5"/>
  <c r="Y180" i="5"/>
  <c r="Y179" i="5"/>
  <c r="Y178" i="5"/>
  <c r="Y177" i="5"/>
  <c r="Y176" i="5"/>
  <c r="Y175" i="5"/>
  <c r="Y174" i="5"/>
  <c r="Y173" i="5"/>
  <c r="Y172" i="5"/>
  <c r="Y171" i="5"/>
  <c r="Y190" i="5"/>
  <c r="Y189" i="5"/>
  <c r="Y188" i="5"/>
  <c r="Y187" i="5"/>
  <c r="Y186" i="5"/>
  <c r="Y185" i="5"/>
  <c r="Y184" i="5"/>
  <c r="Y183" i="5"/>
  <c r="Y182" i="5"/>
  <c r="Y181" i="5"/>
  <c r="Y200" i="5"/>
  <c r="Y199" i="5"/>
  <c r="Y198" i="5"/>
  <c r="Y197" i="5"/>
  <c r="Y196" i="5"/>
  <c r="Y195" i="5"/>
  <c r="Y194" i="5"/>
  <c r="Y193" i="5"/>
  <c r="Y192" i="5"/>
  <c r="Y191" i="5"/>
  <c r="Y202" i="5"/>
  <c r="Y201" i="5"/>
  <c r="Y160" i="5"/>
  <c r="Y159" i="5"/>
  <c r="Y158" i="5"/>
  <c r="Y157" i="5"/>
  <c r="Y156" i="5"/>
  <c r="Y155" i="5"/>
  <c r="Y203" i="5" s="1"/>
  <c r="X170" i="5"/>
  <c r="X169" i="5"/>
  <c r="X168" i="5"/>
  <c r="X167" i="5"/>
  <c r="X166" i="5"/>
  <c r="X165" i="5"/>
  <c r="X164" i="5"/>
  <c r="X163" i="5"/>
  <c r="X162" i="5"/>
  <c r="X161" i="5"/>
  <c r="X180" i="5"/>
  <c r="X179" i="5"/>
  <c r="X178" i="5"/>
  <c r="X177" i="5"/>
  <c r="X176" i="5"/>
  <c r="X175" i="5"/>
  <c r="X174" i="5"/>
  <c r="X173" i="5"/>
  <c r="X172" i="5"/>
  <c r="X171" i="5"/>
  <c r="X190" i="5"/>
  <c r="X189" i="5"/>
  <c r="X188" i="5"/>
  <c r="X187" i="5"/>
  <c r="X186" i="5"/>
  <c r="X185" i="5"/>
  <c r="X184" i="5"/>
  <c r="X183" i="5"/>
  <c r="X182" i="5"/>
  <c r="X181" i="5"/>
  <c r="X200" i="5"/>
  <c r="X199" i="5"/>
  <c r="X198" i="5"/>
  <c r="X197" i="5"/>
  <c r="X196" i="5"/>
  <c r="X195" i="5"/>
  <c r="X194" i="5"/>
  <c r="X193" i="5"/>
  <c r="X192" i="5"/>
  <c r="X191" i="5"/>
  <c r="X202" i="5"/>
  <c r="X201" i="5"/>
  <c r="X160" i="5"/>
  <c r="X159" i="5"/>
  <c r="X158" i="5"/>
  <c r="X157" i="5"/>
  <c r="X156" i="5"/>
  <c r="X155" i="5"/>
  <c r="W170" i="5"/>
  <c r="W169" i="5"/>
  <c r="W168" i="5"/>
  <c r="W167" i="5"/>
  <c r="W166" i="5"/>
  <c r="W165" i="5"/>
  <c r="W164" i="5"/>
  <c r="W163" i="5"/>
  <c r="W162" i="5"/>
  <c r="W161" i="5"/>
  <c r="W180" i="5"/>
  <c r="W179" i="5"/>
  <c r="W178" i="5"/>
  <c r="W177" i="5"/>
  <c r="W176" i="5"/>
  <c r="W175" i="5"/>
  <c r="W174" i="5"/>
  <c r="W173" i="5"/>
  <c r="W172" i="5"/>
  <c r="W171" i="5"/>
  <c r="W190" i="5"/>
  <c r="W189" i="5"/>
  <c r="W188" i="5"/>
  <c r="W187" i="5"/>
  <c r="W186" i="5"/>
  <c r="W185" i="5"/>
  <c r="W184" i="5"/>
  <c r="W183" i="5"/>
  <c r="W182" i="5"/>
  <c r="W181" i="5"/>
  <c r="W200" i="5"/>
  <c r="W199" i="5"/>
  <c r="W198" i="5"/>
  <c r="W197" i="5"/>
  <c r="W196" i="5"/>
  <c r="W195" i="5"/>
  <c r="W194" i="5"/>
  <c r="W193" i="5"/>
  <c r="W192" i="5"/>
  <c r="W191" i="5"/>
  <c r="W202" i="5"/>
  <c r="W201" i="5"/>
  <c r="W160" i="5"/>
  <c r="W159" i="5"/>
  <c r="W158" i="5"/>
  <c r="W157" i="5"/>
  <c r="W156" i="5"/>
  <c r="W155" i="5"/>
  <c r="W203" i="5" s="1"/>
  <c r="V170" i="5"/>
  <c r="V169" i="5"/>
  <c r="V168" i="5"/>
  <c r="V167" i="5"/>
  <c r="V166" i="5"/>
  <c r="V165" i="5"/>
  <c r="V164" i="5"/>
  <c r="V163" i="5"/>
  <c r="V162" i="5"/>
  <c r="V161" i="5"/>
  <c r="V180" i="5"/>
  <c r="V179" i="5"/>
  <c r="V178" i="5"/>
  <c r="V177" i="5"/>
  <c r="V176" i="5"/>
  <c r="V175" i="5"/>
  <c r="V174" i="5"/>
  <c r="V173" i="5"/>
  <c r="V172" i="5"/>
  <c r="V171" i="5"/>
  <c r="V190" i="5"/>
  <c r="V189" i="5"/>
  <c r="V188" i="5"/>
  <c r="V187" i="5"/>
  <c r="V186" i="5"/>
  <c r="V185" i="5"/>
  <c r="V184" i="5"/>
  <c r="V183" i="5"/>
  <c r="V182" i="5"/>
  <c r="V181" i="5"/>
  <c r="V200" i="5"/>
  <c r="V199" i="5"/>
  <c r="V198" i="5"/>
  <c r="V197" i="5"/>
  <c r="V196" i="5"/>
  <c r="V195" i="5"/>
  <c r="V194" i="5"/>
  <c r="V193" i="5"/>
  <c r="V192" i="5"/>
  <c r="V191" i="5"/>
  <c r="V202" i="5"/>
  <c r="V201" i="5"/>
  <c r="V160" i="5"/>
  <c r="V159" i="5"/>
  <c r="V158" i="5"/>
  <c r="V157" i="5"/>
  <c r="V156" i="5"/>
  <c r="V155" i="5"/>
  <c r="U170" i="5"/>
  <c r="U169" i="5"/>
  <c r="U168" i="5"/>
  <c r="U167" i="5"/>
  <c r="U166" i="5"/>
  <c r="U165" i="5"/>
  <c r="U164" i="5"/>
  <c r="U163" i="5"/>
  <c r="U162" i="5"/>
  <c r="U161" i="5"/>
  <c r="U180" i="5"/>
  <c r="U179" i="5"/>
  <c r="U178" i="5"/>
  <c r="U177" i="5"/>
  <c r="U176" i="5"/>
  <c r="U175" i="5"/>
  <c r="U174" i="5"/>
  <c r="U173" i="5"/>
  <c r="U172" i="5"/>
  <c r="U171" i="5"/>
  <c r="U190" i="5"/>
  <c r="U189" i="5"/>
  <c r="U188" i="5"/>
  <c r="U187" i="5"/>
  <c r="U186" i="5"/>
  <c r="U185" i="5"/>
  <c r="U184" i="5"/>
  <c r="U183" i="5"/>
  <c r="U182" i="5"/>
  <c r="U181" i="5"/>
  <c r="U200" i="5"/>
  <c r="U199" i="5"/>
  <c r="U198" i="5"/>
  <c r="U197" i="5"/>
  <c r="U196" i="5"/>
  <c r="U195" i="5"/>
  <c r="U194" i="5"/>
  <c r="U193" i="5"/>
  <c r="U192" i="5"/>
  <c r="U191" i="5"/>
  <c r="U202" i="5"/>
  <c r="U201" i="5"/>
  <c r="U160" i="5"/>
  <c r="U159" i="5"/>
  <c r="U158" i="5"/>
  <c r="U157" i="5"/>
  <c r="U156" i="5"/>
  <c r="U155" i="5"/>
  <c r="T170" i="5"/>
  <c r="T169" i="5"/>
  <c r="T168" i="5"/>
  <c r="T167" i="5"/>
  <c r="T166" i="5"/>
  <c r="T165" i="5"/>
  <c r="T164" i="5"/>
  <c r="T163" i="5"/>
  <c r="T162" i="5"/>
  <c r="T161" i="5"/>
  <c r="T180" i="5"/>
  <c r="T179" i="5"/>
  <c r="T178" i="5"/>
  <c r="T177" i="5"/>
  <c r="T176" i="5"/>
  <c r="T175" i="5"/>
  <c r="T174" i="5"/>
  <c r="T173" i="5"/>
  <c r="T172" i="5"/>
  <c r="T171" i="5"/>
  <c r="T190" i="5"/>
  <c r="T189" i="5"/>
  <c r="T188" i="5"/>
  <c r="T187" i="5"/>
  <c r="T186" i="5"/>
  <c r="T185" i="5"/>
  <c r="T184" i="5"/>
  <c r="T183" i="5"/>
  <c r="T182" i="5"/>
  <c r="T181" i="5"/>
  <c r="T200" i="5"/>
  <c r="T199" i="5"/>
  <c r="T198" i="5"/>
  <c r="T197" i="5"/>
  <c r="T196" i="5"/>
  <c r="T195" i="5"/>
  <c r="T194" i="5"/>
  <c r="T193" i="5"/>
  <c r="T192" i="5"/>
  <c r="T191" i="5"/>
  <c r="T202" i="5"/>
  <c r="T201" i="5"/>
  <c r="T160" i="5"/>
  <c r="T159" i="5"/>
  <c r="T158" i="5"/>
  <c r="T157" i="5"/>
  <c r="T156" i="5"/>
  <c r="T155" i="5"/>
  <c r="T203" i="5" s="1"/>
  <c r="S170" i="5"/>
  <c r="S169" i="5"/>
  <c r="S168" i="5"/>
  <c r="S167" i="5"/>
  <c r="S166" i="5"/>
  <c r="S165" i="5"/>
  <c r="S164" i="5"/>
  <c r="S163" i="5"/>
  <c r="S162" i="5"/>
  <c r="S161" i="5"/>
  <c r="S180" i="5"/>
  <c r="S179" i="5"/>
  <c r="S178" i="5"/>
  <c r="S177" i="5"/>
  <c r="S176" i="5"/>
  <c r="S175" i="5"/>
  <c r="S174" i="5"/>
  <c r="S173" i="5"/>
  <c r="S172" i="5"/>
  <c r="S171" i="5"/>
  <c r="S190" i="5"/>
  <c r="S189" i="5"/>
  <c r="S188" i="5"/>
  <c r="S187" i="5"/>
  <c r="S186" i="5"/>
  <c r="S185" i="5"/>
  <c r="S184" i="5"/>
  <c r="S183" i="5"/>
  <c r="S182" i="5"/>
  <c r="S181" i="5"/>
  <c r="S200" i="5"/>
  <c r="S199" i="5"/>
  <c r="S198" i="5"/>
  <c r="S197" i="5"/>
  <c r="S196" i="5"/>
  <c r="S195" i="5"/>
  <c r="S194" i="5"/>
  <c r="S193" i="5"/>
  <c r="S192" i="5"/>
  <c r="S191" i="5"/>
  <c r="S202" i="5"/>
  <c r="S201" i="5"/>
  <c r="S160" i="5"/>
  <c r="S159" i="5"/>
  <c r="S158" i="5"/>
  <c r="S157" i="5"/>
  <c r="S156" i="5"/>
  <c r="S155" i="5"/>
  <c r="S203" i="5" s="1"/>
  <c r="R170" i="5"/>
  <c r="R169" i="5"/>
  <c r="R168" i="5"/>
  <c r="R167" i="5"/>
  <c r="R166" i="5"/>
  <c r="R165" i="5"/>
  <c r="R164" i="5"/>
  <c r="R163" i="5"/>
  <c r="R162" i="5"/>
  <c r="R161" i="5"/>
  <c r="R180" i="5"/>
  <c r="R179" i="5"/>
  <c r="R178" i="5"/>
  <c r="R177" i="5"/>
  <c r="R176" i="5"/>
  <c r="R175" i="5"/>
  <c r="R174" i="5"/>
  <c r="R173" i="5"/>
  <c r="R172" i="5"/>
  <c r="R171" i="5"/>
  <c r="R190" i="5"/>
  <c r="R189" i="5"/>
  <c r="R188" i="5"/>
  <c r="R187" i="5"/>
  <c r="R186" i="5"/>
  <c r="R185" i="5"/>
  <c r="R184" i="5"/>
  <c r="R183" i="5"/>
  <c r="R182" i="5"/>
  <c r="R181" i="5"/>
  <c r="R200" i="5"/>
  <c r="R199" i="5"/>
  <c r="R198" i="5"/>
  <c r="R197" i="5"/>
  <c r="R196" i="5"/>
  <c r="R195" i="5"/>
  <c r="R194" i="5"/>
  <c r="R193" i="5"/>
  <c r="R192" i="5"/>
  <c r="R191" i="5"/>
  <c r="R202" i="5"/>
  <c r="R201" i="5"/>
  <c r="R160" i="5"/>
  <c r="R159" i="5"/>
  <c r="R158" i="5"/>
  <c r="R157" i="5"/>
  <c r="R156" i="5"/>
  <c r="R155" i="5"/>
  <c r="Q170" i="5"/>
  <c r="Q169" i="5"/>
  <c r="Q168" i="5"/>
  <c r="Q167" i="5"/>
  <c r="Q166" i="5"/>
  <c r="Q165" i="5"/>
  <c r="Q164" i="5"/>
  <c r="Q163" i="5"/>
  <c r="Q162" i="5"/>
  <c r="Q161" i="5"/>
  <c r="Q180" i="5"/>
  <c r="Q179" i="5"/>
  <c r="Q178" i="5"/>
  <c r="Q177" i="5"/>
  <c r="Q176" i="5"/>
  <c r="Q175" i="5"/>
  <c r="Q174" i="5"/>
  <c r="Q173" i="5"/>
  <c r="Q172" i="5"/>
  <c r="Q171" i="5"/>
  <c r="Q190" i="5"/>
  <c r="Q189" i="5"/>
  <c r="Q188" i="5"/>
  <c r="Q187" i="5"/>
  <c r="Q186" i="5"/>
  <c r="Q185" i="5"/>
  <c r="Q184" i="5"/>
  <c r="Q183" i="5"/>
  <c r="Q182" i="5"/>
  <c r="Q181" i="5"/>
  <c r="Q200" i="5"/>
  <c r="Q199" i="5"/>
  <c r="Q198" i="5"/>
  <c r="Q197" i="5"/>
  <c r="Q196" i="5"/>
  <c r="Q195" i="5"/>
  <c r="Q194" i="5"/>
  <c r="Q193" i="5"/>
  <c r="Q192" i="5"/>
  <c r="Q191" i="5"/>
  <c r="Q202" i="5"/>
  <c r="Q201" i="5"/>
  <c r="Q160" i="5"/>
  <c r="Q159" i="5"/>
  <c r="Q158" i="5"/>
  <c r="Q157" i="5"/>
  <c r="Q156" i="5"/>
  <c r="Q155" i="5"/>
  <c r="Q203" i="5" s="1"/>
  <c r="P170" i="5"/>
  <c r="P169" i="5"/>
  <c r="P168" i="5"/>
  <c r="P167" i="5"/>
  <c r="P166" i="5"/>
  <c r="P165" i="5"/>
  <c r="P164" i="5"/>
  <c r="P163" i="5"/>
  <c r="P162" i="5"/>
  <c r="P161" i="5"/>
  <c r="P180" i="5"/>
  <c r="P179" i="5"/>
  <c r="P178" i="5"/>
  <c r="P177" i="5"/>
  <c r="P176" i="5"/>
  <c r="P175" i="5"/>
  <c r="P174" i="5"/>
  <c r="P173" i="5"/>
  <c r="P172" i="5"/>
  <c r="P171" i="5"/>
  <c r="P190" i="5"/>
  <c r="P189" i="5"/>
  <c r="P188" i="5"/>
  <c r="P187" i="5"/>
  <c r="P186" i="5"/>
  <c r="P185" i="5"/>
  <c r="P184" i="5"/>
  <c r="P183" i="5"/>
  <c r="P182" i="5"/>
  <c r="P181" i="5"/>
  <c r="P200" i="5"/>
  <c r="P199" i="5"/>
  <c r="P198" i="5"/>
  <c r="P197" i="5"/>
  <c r="P196" i="5"/>
  <c r="P195" i="5"/>
  <c r="P194" i="5"/>
  <c r="P193" i="5"/>
  <c r="P192" i="5"/>
  <c r="P191" i="5"/>
  <c r="P202" i="5"/>
  <c r="P201" i="5"/>
  <c r="P160" i="5"/>
  <c r="P159" i="5"/>
  <c r="P158" i="5"/>
  <c r="P157" i="5"/>
  <c r="P156" i="5"/>
  <c r="P155" i="5"/>
  <c r="P203" i="5" s="1"/>
  <c r="O170" i="5"/>
  <c r="O169" i="5"/>
  <c r="O168" i="5"/>
  <c r="O167" i="5"/>
  <c r="O166" i="5"/>
  <c r="O165" i="5"/>
  <c r="O164" i="5"/>
  <c r="O163" i="5"/>
  <c r="O162" i="5"/>
  <c r="O161" i="5"/>
  <c r="O180" i="5"/>
  <c r="O179" i="5"/>
  <c r="O178" i="5"/>
  <c r="O177" i="5"/>
  <c r="O176" i="5"/>
  <c r="O175" i="5"/>
  <c r="O174" i="5"/>
  <c r="O173" i="5"/>
  <c r="O172" i="5"/>
  <c r="O171" i="5"/>
  <c r="O190" i="5"/>
  <c r="O189" i="5"/>
  <c r="O188" i="5"/>
  <c r="O187" i="5"/>
  <c r="O186" i="5"/>
  <c r="O185" i="5"/>
  <c r="O184" i="5"/>
  <c r="O183" i="5"/>
  <c r="O182" i="5"/>
  <c r="O181" i="5"/>
  <c r="O200" i="5"/>
  <c r="O199" i="5"/>
  <c r="O198" i="5"/>
  <c r="O197" i="5"/>
  <c r="O196" i="5"/>
  <c r="O195" i="5"/>
  <c r="O194" i="5"/>
  <c r="O193" i="5"/>
  <c r="O192" i="5"/>
  <c r="O191" i="5"/>
  <c r="O202" i="5"/>
  <c r="O201" i="5"/>
  <c r="O160" i="5"/>
  <c r="O159" i="5"/>
  <c r="O158" i="5"/>
  <c r="O157" i="5"/>
  <c r="O156" i="5"/>
  <c r="O155" i="5"/>
  <c r="N170" i="5"/>
  <c r="N169" i="5"/>
  <c r="N168" i="5"/>
  <c r="N167" i="5"/>
  <c r="N166" i="5"/>
  <c r="N165" i="5"/>
  <c r="N164" i="5"/>
  <c r="N163" i="5"/>
  <c r="N162" i="5"/>
  <c r="N161" i="5"/>
  <c r="N180" i="5"/>
  <c r="N179" i="5"/>
  <c r="N178" i="5"/>
  <c r="N177" i="5"/>
  <c r="N176" i="5"/>
  <c r="N175" i="5"/>
  <c r="N174" i="5"/>
  <c r="N173" i="5"/>
  <c r="N172" i="5"/>
  <c r="N171" i="5"/>
  <c r="N190" i="5"/>
  <c r="N189" i="5"/>
  <c r="N188" i="5"/>
  <c r="N187" i="5"/>
  <c r="N186" i="5"/>
  <c r="N185" i="5"/>
  <c r="N184" i="5"/>
  <c r="N183" i="5"/>
  <c r="N182" i="5"/>
  <c r="N181" i="5"/>
  <c r="N200" i="5"/>
  <c r="N199" i="5"/>
  <c r="N198" i="5"/>
  <c r="N197" i="5"/>
  <c r="N196" i="5"/>
  <c r="N195" i="5"/>
  <c r="N194" i="5"/>
  <c r="N193" i="5"/>
  <c r="N192" i="5"/>
  <c r="N191" i="5"/>
  <c r="N202" i="5"/>
  <c r="N201" i="5"/>
  <c r="N160" i="5"/>
  <c r="N159" i="5"/>
  <c r="N158" i="5"/>
  <c r="N157" i="5"/>
  <c r="N156" i="5"/>
  <c r="N155" i="5"/>
  <c r="N203" i="5" s="1"/>
  <c r="M170" i="5"/>
  <c r="M169" i="5"/>
  <c r="M168" i="5"/>
  <c r="M167" i="5"/>
  <c r="M166" i="5"/>
  <c r="M165" i="5"/>
  <c r="M164" i="5"/>
  <c r="M163" i="5"/>
  <c r="M162" i="5"/>
  <c r="M161" i="5"/>
  <c r="M180" i="5"/>
  <c r="M179" i="5"/>
  <c r="M178" i="5"/>
  <c r="M177" i="5"/>
  <c r="M176" i="5"/>
  <c r="M175" i="5"/>
  <c r="M174" i="5"/>
  <c r="M173" i="5"/>
  <c r="M172" i="5"/>
  <c r="M171" i="5"/>
  <c r="M190" i="5"/>
  <c r="M189" i="5"/>
  <c r="M188" i="5"/>
  <c r="M187" i="5"/>
  <c r="M186" i="5"/>
  <c r="M185" i="5"/>
  <c r="M184" i="5"/>
  <c r="M183" i="5"/>
  <c r="M182" i="5"/>
  <c r="M181" i="5"/>
  <c r="M200" i="5"/>
  <c r="M199" i="5"/>
  <c r="M198" i="5"/>
  <c r="M197" i="5"/>
  <c r="M196" i="5"/>
  <c r="M195" i="5"/>
  <c r="M194" i="5"/>
  <c r="M193" i="5"/>
  <c r="M192" i="5"/>
  <c r="M191" i="5"/>
  <c r="M202" i="5"/>
  <c r="M201" i="5"/>
  <c r="M160" i="5"/>
  <c r="M159" i="5"/>
  <c r="M158" i="5"/>
  <c r="M157" i="5"/>
  <c r="M156" i="5"/>
  <c r="M155" i="5"/>
  <c r="L170" i="5"/>
  <c r="L169" i="5"/>
  <c r="L168" i="5"/>
  <c r="L167" i="5"/>
  <c r="L166" i="5"/>
  <c r="L165" i="5"/>
  <c r="L164" i="5"/>
  <c r="L163" i="5"/>
  <c r="L162" i="5"/>
  <c r="L161" i="5"/>
  <c r="L180" i="5"/>
  <c r="L179" i="5"/>
  <c r="L178" i="5"/>
  <c r="L177" i="5"/>
  <c r="L176" i="5"/>
  <c r="L175" i="5"/>
  <c r="L174" i="5"/>
  <c r="L173" i="5"/>
  <c r="L172" i="5"/>
  <c r="L171" i="5"/>
  <c r="L190" i="5"/>
  <c r="L189" i="5"/>
  <c r="L188" i="5"/>
  <c r="L187" i="5"/>
  <c r="L186" i="5"/>
  <c r="L185" i="5"/>
  <c r="L184" i="5"/>
  <c r="L183" i="5"/>
  <c r="L182" i="5"/>
  <c r="L181" i="5"/>
  <c r="L200" i="5"/>
  <c r="L199" i="5"/>
  <c r="L198" i="5"/>
  <c r="L197" i="5"/>
  <c r="L196" i="5"/>
  <c r="L195" i="5"/>
  <c r="L194" i="5"/>
  <c r="L193" i="5"/>
  <c r="L192" i="5"/>
  <c r="L191" i="5"/>
  <c r="L202" i="5"/>
  <c r="L201" i="5"/>
  <c r="L160" i="5"/>
  <c r="L159" i="5"/>
  <c r="L158" i="5"/>
  <c r="L157" i="5"/>
  <c r="L156" i="5"/>
  <c r="L155" i="5"/>
  <c r="L203" i="5" s="1"/>
  <c r="K170" i="5"/>
  <c r="K169" i="5"/>
  <c r="K168" i="5"/>
  <c r="K167" i="5"/>
  <c r="K166" i="5"/>
  <c r="K165" i="5"/>
  <c r="K164" i="5"/>
  <c r="K163" i="5"/>
  <c r="K162" i="5"/>
  <c r="K161" i="5"/>
  <c r="K180" i="5"/>
  <c r="K179" i="5"/>
  <c r="K178" i="5"/>
  <c r="K177" i="5"/>
  <c r="K176" i="5"/>
  <c r="K175" i="5"/>
  <c r="K174" i="5"/>
  <c r="K173" i="5"/>
  <c r="K172" i="5"/>
  <c r="K171" i="5"/>
  <c r="K190" i="5"/>
  <c r="K189" i="5"/>
  <c r="K188" i="5"/>
  <c r="K187" i="5"/>
  <c r="K186" i="5"/>
  <c r="K185" i="5"/>
  <c r="K184" i="5"/>
  <c r="K183" i="5"/>
  <c r="K182" i="5"/>
  <c r="K181" i="5"/>
  <c r="K200" i="5"/>
  <c r="K199" i="5"/>
  <c r="K198" i="5"/>
  <c r="K197" i="5"/>
  <c r="K196" i="5"/>
  <c r="K195" i="5"/>
  <c r="K194" i="5"/>
  <c r="K193" i="5"/>
  <c r="K192" i="5"/>
  <c r="K191" i="5"/>
  <c r="K202" i="5"/>
  <c r="K201" i="5"/>
  <c r="K160" i="5"/>
  <c r="K159" i="5"/>
  <c r="K158" i="5"/>
  <c r="K157" i="5"/>
  <c r="K156" i="5"/>
  <c r="K155" i="5"/>
  <c r="K203" i="5" s="1"/>
  <c r="J170" i="5"/>
  <c r="J169" i="5"/>
  <c r="J168" i="5"/>
  <c r="J167" i="5"/>
  <c r="J166" i="5"/>
  <c r="J165" i="5"/>
  <c r="J164" i="5"/>
  <c r="J163" i="5"/>
  <c r="J162" i="5"/>
  <c r="J161" i="5"/>
  <c r="J180" i="5"/>
  <c r="J179" i="5"/>
  <c r="J178" i="5"/>
  <c r="J177" i="5"/>
  <c r="J176" i="5"/>
  <c r="J175" i="5"/>
  <c r="J174" i="5"/>
  <c r="J173" i="5"/>
  <c r="J172" i="5"/>
  <c r="J171" i="5"/>
  <c r="J190" i="5"/>
  <c r="J189" i="5"/>
  <c r="J188" i="5"/>
  <c r="J187" i="5"/>
  <c r="J186" i="5"/>
  <c r="J185" i="5"/>
  <c r="J184" i="5"/>
  <c r="J183" i="5"/>
  <c r="J182" i="5"/>
  <c r="J181" i="5"/>
  <c r="J200" i="5"/>
  <c r="J199" i="5"/>
  <c r="J198" i="5"/>
  <c r="J197" i="5"/>
  <c r="J196" i="5"/>
  <c r="J195" i="5"/>
  <c r="J194" i="5"/>
  <c r="J193" i="5"/>
  <c r="J192" i="5"/>
  <c r="J191" i="5"/>
  <c r="J202" i="5"/>
  <c r="J201" i="5"/>
  <c r="J160" i="5"/>
  <c r="J159" i="5"/>
  <c r="J158" i="5"/>
  <c r="J157" i="5"/>
  <c r="J156" i="5"/>
  <c r="J155" i="5"/>
  <c r="J203" i="5" s="1"/>
  <c r="I170" i="5"/>
  <c r="I169" i="5"/>
  <c r="I168" i="5"/>
  <c r="I167" i="5"/>
  <c r="I166" i="5"/>
  <c r="I165" i="5"/>
  <c r="I164" i="5"/>
  <c r="I163" i="5"/>
  <c r="I162" i="5"/>
  <c r="I161" i="5"/>
  <c r="I180" i="5"/>
  <c r="I179" i="5"/>
  <c r="I178" i="5"/>
  <c r="I177" i="5"/>
  <c r="I176" i="5"/>
  <c r="I175" i="5"/>
  <c r="I174" i="5"/>
  <c r="I173" i="5"/>
  <c r="I172" i="5"/>
  <c r="I171" i="5"/>
  <c r="I190" i="5"/>
  <c r="I189" i="5"/>
  <c r="I188" i="5"/>
  <c r="I187" i="5"/>
  <c r="I186" i="5"/>
  <c r="I185" i="5"/>
  <c r="I184" i="5"/>
  <c r="I183" i="5"/>
  <c r="I182" i="5"/>
  <c r="I181" i="5"/>
  <c r="I200" i="5"/>
  <c r="I199" i="5"/>
  <c r="I198" i="5"/>
  <c r="I197" i="5"/>
  <c r="I196" i="5"/>
  <c r="I195" i="5"/>
  <c r="I194" i="5"/>
  <c r="I193" i="5"/>
  <c r="I192" i="5"/>
  <c r="I191" i="5"/>
  <c r="I202" i="5"/>
  <c r="I201" i="5"/>
  <c r="I160" i="5"/>
  <c r="I159" i="5"/>
  <c r="I158" i="5"/>
  <c r="I157" i="5"/>
  <c r="I156" i="5"/>
  <c r="I155" i="5"/>
  <c r="H170" i="5"/>
  <c r="H169" i="5"/>
  <c r="H168" i="5"/>
  <c r="H167" i="5"/>
  <c r="H166" i="5"/>
  <c r="H165" i="5"/>
  <c r="H164" i="5"/>
  <c r="H163" i="5"/>
  <c r="H162" i="5"/>
  <c r="H161" i="5"/>
  <c r="H180" i="5"/>
  <c r="H179" i="5"/>
  <c r="H178" i="5"/>
  <c r="H177" i="5"/>
  <c r="H176" i="5"/>
  <c r="H175" i="5"/>
  <c r="H174" i="5"/>
  <c r="H173" i="5"/>
  <c r="H172" i="5"/>
  <c r="H171" i="5"/>
  <c r="H190" i="5"/>
  <c r="H189" i="5"/>
  <c r="H188" i="5"/>
  <c r="H187" i="5"/>
  <c r="H186" i="5"/>
  <c r="H185" i="5"/>
  <c r="H184" i="5"/>
  <c r="H183" i="5"/>
  <c r="H182" i="5"/>
  <c r="H181" i="5"/>
  <c r="H200" i="5"/>
  <c r="H199" i="5"/>
  <c r="H198" i="5"/>
  <c r="H197" i="5"/>
  <c r="H196" i="5"/>
  <c r="H195" i="5"/>
  <c r="H194" i="5"/>
  <c r="H193" i="5"/>
  <c r="H192" i="5"/>
  <c r="H191" i="5"/>
  <c r="H202" i="5"/>
  <c r="H201" i="5"/>
  <c r="H160" i="5"/>
  <c r="H159" i="5"/>
  <c r="H158" i="5"/>
  <c r="H157" i="5"/>
  <c r="H156" i="5"/>
  <c r="H155" i="5"/>
  <c r="G170" i="5"/>
  <c r="G169" i="5"/>
  <c r="G168" i="5"/>
  <c r="G167" i="5"/>
  <c r="G166" i="5"/>
  <c r="G165" i="5"/>
  <c r="G164" i="5"/>
  <c r="G163" i="5"/>
  <c r="G162" i="5"/>
  <c r="G161" i="5"/>
  <c r="G180" i="5"/>
  <c r="G179" i="5"/>
  <c r="G178" i="5"/>
  <c r="G177" i="5"/>
  <c r="G176" i="5"/>
  <c r="G175" i="5"/>
  <c r="G174" i="5"/>
  <c r="G173" i="5"/>
  <c r="G172" i="5"/>
  <c r="G171" i="5"/>
  <c r="G190" i="5"/>
  <c r="G189" i="5"/>
  <c r="G188" i="5"/>
  <c r="G187" i="5"/>
  <c r="G186" i="5"/>
  <c r="G185" i="5"/>
  <c r="G184" i="5"/>
  <c r="G183" i="5"/>
  <c r="G182" i="5"/>
  <c r="G181" i="5"/>
  <c r="G200" i="5"/>
  <c r="G199" i="5"/>
  <c r="G198" i="5"/>
  <c r="G197" i="5"/>
  <c r="G196" i="5"/>
  <c r="G195" i="5"/>
  <c r="G194" i="5"/>
  <c r="G193" i="5"/>
  <c r="G192" i="5"/>
  <c r="G191" i="5"/>
  <c r="G202" i="5"/>
  <c r="G201" i="5"/>
  <c r="G160" i="5"/>
  <c r="G159" i="5"/>
  <c r="G158" i="5"/>
  <c r="G157" i="5"/>
  <c r="G156" i="5"/>
  <c r="G155" i="5"/>
  <c r="C123" i="5"/>
  <c r="I17" i="6"/>
  <c r="I16" i="6"/>
  <c r="I15" i="6"/>
  <c r="I14" i="6"/>
  <c r="I13" i="6"/>
  <c r="I12" i="6"/>
  <c r="B78" i="12"/>
  <c r="BI27" i="11"/>
  <c r="BJ27" i="11" s="1"/>
  <c r="BN9" i="11"/>
  <c r="BJ9" i="11"/>
  <c r="BK9" i="11" s="1"/>
  <c r="BN13" i="11"/>
  <c r="BJ13" i="11"/>
  <c r="BK13" i="11" s="1"/>
  <c r="BN18" i="11"/>
  <c r="BJ18" i="11"/>
  <c r="BK18" i="11" s="1"/>
  <c r="BN20" i="11"/>
  <c r="BJ20" i="11"/>
  <c r="BK20" i="11" s="1"/>
  <c r="BN19" i="11"/>
  <c r="BJ19" i="11"/>
  <c r="BK19" i="11" s="1"/>
  <c r="BN22" i="11"/>
  <c r="BK22" i="11"/>
  <c r="BJ22" i="11"/>
  <c r="BN21" i="11"/>
  <c r="BK21" i="11"/>
  <c r="BJ21" i="11"/>
  <c r="BJ15" i="11"/>
  <c r="BK15" i="11" s="1"/>
  <c r="BN15" i="11"/>
  <c r="BN10" i="11"/>
  <c r="BJ10" i="11"/>
  <c r="BK10" i="11" s="1"/>
  <c r="BJ16" i="11"/>
  <c r="BK16" i="11" s="1"/>
  <c r="BN16" i="11"/>
  <c r="F68" i="6"/>
  <c r="D79" i="6"/>
  <c r="D80" i="6" s="1"/>
  <c r="J7" i="14"/>
  <c r="BI28" i="11"/>
  <c r="BJ28" i="11" s="1"/>
  <c r="BI29" i="11"/>
  <c r="BJ29" i="11" s="1"/>
  <c r="AY122" i="5" a="1"/>
  <c r="BN31" i="14" a="1"/>
  <c r="BN30" i="14" a="1"/>
  <c r="BN29" i="14" a="1"/>
  <c r="BN28" i="14" a="1"/>
  <c r="BN27" i="14" a="1"/>
  <c r="BN26" i="14" a="1"/>
  <c r="BN25" i="14" a="1"/>
  <c r="BN24" i="14" a="1"/>
  <c r="BN23" i="14" a="1"/>
  <c r="BN22" i="14" a="1"/>
  <c r="BN21" i="14" a="1"/>
  <c r="BN20" i="14" a="1"/>
  <c r="BK20" i="14" s="1"/>
  <c r="BL20" i="14" s="1"/>
  <c r="BN19" i="14" a="1"/>
  <c r="BN18" i="14" a="1"/>
  <c r="BN17" i="14" a="1"/>
  <c r="BK17" i="14" s="1"/>
  <c r="BL17" i="14" s="1"/>
  <c r="BN16" i="14" a="1"/>
  <c r="BK16" i="14" s="1"/>
  <c r="BL16" i="14" s="1"/>
  <c r="BN15" i="14" a="1"/>
  <c r="BN14" i="14" a="1"/>
  <c r="BN13" i="14" a="1"/>
  <c r="BK13" i="14" s="1"/>
  <c r="BL13" i="14" s="1"/>
  <c r="BN12" i="14" a="1"/>
  <c r="BN11" i="14" a="1"/>
  <c r="BK11" i="14" s="1"/>
  <c r="BL11" i="14" s="1"/>
  <c r="BN10" i="14" a="1"/>
  <c r="BK10" i="14" s="1"/>
  <c r="BN9" i="14" a="1"/>
  <c r="BN8" i="14" a="1"/>
  <c r="C130" i="5"/>
  <c r="L130" i="5"/>
  <c r="AE130" i="5"/>
  <c r="N130" i="5"/>
  <c r="AH130" i="5"/>
  <c r="S130" i="5"/>
  <c r="O130" i="5"/>
  <c r="W130" i="5"/>
  <c r="AD130" i="5"/>
  <c r="U130" i="5"/>
  <c r="X130" i="5"/>
  <c r="Q130" i="5"/>
  <c r="T130" i="5"/>
  <c r="G130" i="5"/>
  <c r="AG130" i="5"/>
  <c r="AC130" i="5"/>
  <c r="M130" i="5"/>
  <c r="H130" i="5"/>
  <c r="I130" i="5"/>
  <c r="J130" i="5"/>
  <c r="K130" i="5"/>
  <c r="AF130" i="5"/>
  <c r="V130" i="5"/>
  <c r="R130" i="5"/>
  <c r="AB130" i="5"/>
  <c r="C129" i="5"/>
  <c r="J129" i="5"/>
  <c r="M129" i="5"/>
  <c r="G129" i="5"/>
  <c r="AE129" i="5"/>
  <c r="H129" i="5"/>
  <c r="W129" i="5"/>
  <c r="AG129" i="5"/>
  <c r="R129" i="5"/>
  <c r="N129" i="5"/>
  <c r="AC129" i="5"/>
  <c r="V129" i="5"/>
  <c r="AD129" i="5"/>
  <c r="I129" i="5"/>
  <c r="O129" i="5"/>
  <c r="U129" i="5"/>
  <c r="K129" i="5"/>
  <c r="X129" i="5"/>
  <c r="AH129" i="5"/>
  <c r="AF129" i="5"/>
  <c r="L129" i="5"/>
  <c r="Q129" i="5"/>
  <c r="AA129" i="5"/>
  <c r="S129" i="5"/>
  <c r="AB129" i="5"/>
  <c r="T129" i="5"/>
  <c r="C128" i="5"/>
  <c r="S128" i="5"/>
  <c r="T128" i="5"/>
  <c r="AG128" i="5"/>
  <c r="X128" i="5"/>
  <c r="U128" i="5"/>
  <c r="W128" i="5"/>
  <c r="O128" i="5"/>
  <c r="N128" i="5"/>
  <c r="M128" i="5"/>
  <c r="R128" i="5"/>
  <c r="AD128" i="5"/>
  <c r="AH128" i="5"/>
  <c r="L128" i="5"/>
  <c r="AF128" i="5"/>
  <c r="K128" i="5"/>
  <c r="I128" i="5"/>
  <c r="H128" i="5"/>
  <c r="G128" i="5"/>
  <c r="AC128" i="5"/>
  <c r="AB128" i="5"/>
  <c r="AA128" i="5"/>
  <c r="Q128" i="5"/>
  <c r="V128" i="5"/>
  <c r="J128" i="5"/>
  <c r="AE128" i="5"/>
  <c r="C127" i="5"/>
  <c r="H127" i="5"/>
  <c r="AC127" i="5"/>
  <c r="J127" i="5"/>
  <c r="X127" i="5"/>
  <c r="P127" i="5"/>
  <c r="I127" i="5"/>
  <c r="AG127" i="5"/>
  <c r="K127" i="5"/>
  <c r="O127" i="5"/>
  <c r="Q127" i="5"/>
  <c r="S127" i="5"/>
  <c r="AH127" i="5"/>
  <c r="W127" i="5"/>
  <c r="T127" i="5"/>
  <c r="Y127" i="5"/>
  <c r="L127" i="5"/>
  <c r="V127" i="5"/>
  <c r="AB127" i="5"/>
  <c r="AF127" i="5"/>
  <c r="M127" i="5"/>
  <c r="U127" i="5"/>
  <c r="R127" i="5"/>
  <c r="AE127" i="5"/>
  <c r="AA127" i="5"/>
  <c r="G127" i="5"/>
  <c r="N127" i="5"/>
  <c r="AD127" i="5"/>
  <c r="C126" i="5"/>
  <c r="Y126" i="5"/>
  <c r="L126" i="5"/>
  <c r="I126" i="5"/>
  <c r="P126" i="5"/>
  <c r="AC126" i="5"/>
  <c r="V126" i="5"/>
  <c r="R126" i="5"/>
  <c r="J126" i="5"/>
  <c r="AF126" i="5"/>
  <c r="M126" i="5"/>
  <c r="T126" i="5"/>
  <c r="AB126" i="5"/>
  <c r="AA126" i="5"/>
  <c r="U126" i="5"/>
  <c r="Q126" i="5"/>
  <c r="AH126" i="5"/>
  <c r="S126" i="5"/>
  <c r="AE126" i="5"/>
  <c r="K126" i="5"/>
  <c r="N126" i="5"/>
  <c r="G126" i="5"/>
  <c r="W126" i="5"/>
  <c r="H126" i="5"/>
  <c r="X126" i="5"/>
  <c r="AG126" i="5"/>
  <c r="AD126" i="5"/>
  <c r="O126" i="5"/>
  <c r="C125" i="5"/>
  <c r="AC125" i="5"/>
  <c r="S125" i="5"/>
  <c r="P125" i="5"/>
  <c r="H125" i="5"/>
  <c r="AE125" i="5"/>
  <c r="G125" i="5"/>
  <c r="V125" i="5"/>
  <c r="Q125" i="5"/>
  <c r="AH125" i="5"/>
  <c r="AD125" i="5"/>
  <c r="T125" i="5"/>
  <c r="X125" i="5"/>
  <c r="U125" i="5"/>
  <c r="Y125" i="5"/>
  <c r="AA125" i="5"/>
  <c r="N125" i="5"/>
  <c r="W125" i="5"/>
  <c r="R125" i="5"/>
  <c r="AG125" i="5"/>
  <c r="O125" i="5"/>
  <c r="AB125" i="5"/>
  <c r="M125" i="5"/>
  <c r="L125" i="5"/>
  <c r="I125" i="5"/>
  <c r="AF125" i="5"/>
  <c r="K125" i="5"/>
  <c r="J125" i="5"/>
  <c r="C124" i="5"/>
  <c r="R124" i="5"/>
  <c r="P124" i="5"/>
  <c r="G124" i="5"/>
  <c r="V124" i="5"/>
  <c r="T124" i="5"/>
  <c r="Q124" i="5"/>
  <c r="AH124" i="5"/>
  <c r="H124" i="5"/>
  <c r="AA124" i="5"/>
  <c r="AC124" i="5"/>
  <c r="AB124" i="5"/>
  <c r="N124" i="5"/>
  <c r="K124" i="5"/>
  <c r="O124" i="5"/>
  <c r="AG124" i="5"/>
  <c r="AD124" i="5"/>
  <c r="S124" i="5"/>
  <c r="I124" i="5"/>
  <c r="U124" i="5"/>
  <c r="AF124" i="5"/>
  <c r="Y124" i="5"/>
  <c r="L124" i="5"/>
  <c r="AE124" i="5"/>
  <c r="W124" i="5"/>
  <c r="M124" i="5"/>
  <c r="X124" i="5"/>
  <c r="J124" i="5"/>
  <c r="L123" i="5"/>
  <c r="Y123" i="5"/>
  <c r="Q123" i="5"/>
  <c r="AH123" i="5"/>
  <c r="K123" i="5"/>
  <c r="S123" i="5"/>
  <c r="W123" i="5"/>
  <c r="J123" i="5"/>
  <c r="T123" i="5"/>
  <c r="AG123" i="5"/>
  <c r="I123" i="5"/>
  <c r="AD123" i="5"/>
  <c r="V123" i="5"/>
  <c r="AF123" i="5"/>
  <c r="H123" i="5"/>
  <c r="AE123" i="5"/>
  <c r="O123" i="5"/>
  <c r="P123" i="5"/>
  <c r="G123" i="5"/>
  <c r="AC123" i="5"/>
  <c r="AB123" i="5"/>
  <c r="AA123" i="5"/>
  <c r="N123" i="5"/>
  <c r="U123" i="5"/>
  <c r="M123" i="5"/>
  <c r="X123" i="5"/>
  <c r="R123" i="5"/>
  <c r="C140" i="5"/>
  <c r="AF140" i="5"/>
  <c r="P140" i="5"/>
  <c r="AG140" i="5"/>
  <c r="S140" i="5"/>
  <c r="T140" i="5"/>
  <c r="Q140" i="5"/>
  <c r="N140" i="5"/>
  <c r="O140" i="5"/>
  <c r="V140" i="5"/>
  <c r="AE140" i="5"/>
  <c r="Z140" i="5"/>
  <c r="H140" i="5"/>
  <c r="M140" i="5"/>
  <c r="J140" i="5"/>
  <c r="X140" i="5"/>
  <c r="R140" i="5"/>
  <c r="W140" i="5"/>
  <c r="G140" i="5"/>
  <c r="U140" i="5"/>
  <c r="L140" i="5"/>
  <c r="AB140" i="5"/>
  <c r="I140" i="5"/>
  <c r="AC140" i="5"/>
  <c r="AA140" i="5"/>
  <c r="AD140" i="5"/>
  <c r="K140" i="5"/>
  <c r="C139" i="5"/>
  <c r="AG139" i="5"/>
  <c r="Q139" i="5"/>
  <c r="AF139" i="5"/>
  <c r="AE139" i="5"/>
  <c r="V139" i="5"/>
  <c r="P139" i="5"/>
  <c r="N139" i="5"/>
  <c r="W139" i="5"/>
  <c r="K139" i="5"/>
  <c r="L139" i="5"/>
  <c r="I139" i="5"/>
  <c r="U139" i="5"/>
  <c r="R139" i="5"/>
  <c r="O139" i="5"/>
  <c r="T139" i="5"/>
  <c r="M139" i="5"/>
  <c r="G139" i="5"/>
  <c r="AC139" i="5"/>
  <c r="S139" i="5"/>
  <c r="AD139" i="5"/>
  <c r="H139" i="5"/>
  <c r="AB139" i="5"/>
  <c r="Z139" i="5"/>
  <c r="AA139" i="5"/>
  <c r="X139" i="5"/>
  <c r="J139" i="5"/>
  <c r="C138" i="5"/>
  <c r="Z138" i="5"/>
  <c r="X138" i="5"/>
  <c r="W138" i="5"/>
  <c r="V138" i="5"/>
  <c r="Q138" i="5"/>
  <c r="H138" i="5"/>
  <c r="N138" i="5"/>
  <c r="U138" i="5"/>
  <c r="T138" i="5"/>
  <c r="J138" i="5"/>
  <c r="L138" i="5"/>
  <c r="S138" i="5"/>
  <c r="R138" i="5"/>
  <c r="P138" i="5"/>
  <c r="AG138" i="5"/>
  <c r="AF138" i="5"/>
  <c r="G138" i="5"/>
  <c r="O138" i="5"/>
  <c r="AE138" i="5"/>
  <c r="AD138" i="5"/>
  <c r="I138" i="5"/>
  <c r="AC138" i="5"/>
  <c r="M138" i="5"/>
  <c r="K138" i="5"/>
  <c r="AB138" i="5"/>
  <c r="AA138" i="5"/>
  <c r="C137" i="5"/>
  <c r="M137" i="5"/>
  <c r="T137" i="5"/>
  <c r="AD137" i="5"/>
  <c r="U137" i="5"/>
  <c r="J137" i="5"/>
  <c r="S137" i="5"/>
  <c r="AE137" i="5"/>
  <c r="AF137" i="5"/>
  <c r="W137" i="5"/>
  <c r="H137" i="5"/>
  <c r="Q137" i="5"/>
  <c r="K137" i="5"/>
  <c r="AC137" i="5"/>
  <c r="P137" i="5"/>
  <c r="X137" i="5"/>
  <c r="AG137" i="5"/>
  <c r="I137" i="5"/>
  <c r="O137" i="5"/>
  <c r="G137" i="5"/>
  <c r="N137" i="5"/>
  <c r="Z137" i="5"/>
  <c r="AA137" i="5"/>
  <c r="V137" i="5"/>
  <c r="R137" i="5"/>
  <c r="AB137" i="5"/>
  <c r="L137" i="5"/>
  <c r="C136" i="5"/>
  <c r="X136" i="5"/>
  <c r="C135" i="5"/>
  <c r="X135" i="5"/>
  <c r="C134" i="5"/>
  <c r="X134" i="5"/>
  <c r="C133" i="5"/>
  <c r="X133" i="5"/>
  <c r="N133" i="5"/>
  <c r="AH133" i="5"/>
  <c r="C132" i="5"/>
  <c r="X132" i="5"/>
  <c r="N132" i="5"/>
  <c r="W132" i="5"/>
  <c r="AH132" i="5"/>
  <c r="C131" i="5"/>
  <c r="AH131" i="5"/>
  <c r="X131" i="5"/>
  <c r="N131" i="5"/>
  <c r="W131" i="5"/>
  <c r="AG131" i="5"/>
  <c r="C148" i="5"/>
  <c r="AH148" i="5"/>
  <c r="N148" i="5"/>
  <c r="X148" i="5"/>
  <c r="AG148" i="5"/>
  <c r="W148" i="5"/>
  <c r="C147" i="5"/>
  <c r="AG147" i="5"/>
  <c r="N147" i="5"/>
  <c r="W147" i="5"/>
  <c r="X147" i="5"/>
  <c r="AH147" i="5"/>
  <c r="C146" i="5"/>
  <c r="X146" i="5"/>
  <c r="N146" i="5"/>
  <c r="O146" i="5"/>
  <c r="W146" i="5"/>
  <c r="AG146" i="5"/>
  <c r="AH146" i="5"/>
  <c r="C145" i="5"/>
  <c r="X145" i="5"/>
  <c r="AH145" i="5"/>
  <c r="W145" i="5"/>
  <c r="N145" i="5"/>
  <c r="AG145" i="5"/>
  <c r="O145" i="5"/>
  <c r="C144" i="5"/>
  <c r="AH144" i="5"/>
  <c r="W144" i="5"/>
  <c r="AG144" i="5"/>
  <c r="X144" i="5"/>
  <c r="N144" i="5"/>
  <c r="O144" i="5"/>
  <c r="C143" i="5"/>
  <c r="W143" i="5"/>
  <c r="AH143" i="5"/>
  <c r="N143" i="5"/>
  <c r="O143" i="5"/>
  <c r="AG143" i="5"/>
  <c r="X143" i="5"/>
  <c r="C142" i="5"/>
  <c r="AH142" i="5"/>
  <c r="O142" i="5"/>
  <c r="AG142" i="5"/>
  <c r="N142" i="5"/>
  <c r="X142" i="5"/>
  <c r="W142" i="5"/>
  <c r="C141" i="5"/>
  <c r="AG141" i="5"/>
  <c r="X141" i="5"/>
  <c r="O141" i="5"/>
  <c r="W141" i="5"/>
  <c r="N141" i="5"/>
  <c r="AH141" i="5"/>
  <c r="BB4" i="14"/>
  <c r="BG30" i="11" a="1"/>
  <c r="B76" i="12"/>
  <c r="BG27" i="11" a="1"/>
  <c r="B77" i="12" s="1"/>
  <c r="R23" i="12"/>
  <c r="H23" i="6" s="1"/>
  <c r="R22" i="12"/>
  <c r="H22" i="6" s="1"/>
  <c r="R19" i="12"/>
  <c r="H19" i="6" s="1"/>
  <c r="R17" i="12"/>
  <c r="H17" i="6" s="1"/>
  <c r="R16" i="12"/>
  <c r="H16" i="6" s="1"/>
  <c r="L79" i="6" l="1"/>
  <c r="J79" i="6"/>
  <c r="L78" i="6"/>
  <c r="J78" i="6"/>
  <c r="L77" i="6"/>
  <c r="J77" i="6"/>
  <c r="L76" i="6"/>
  <c r="J76" i="6"/>
  <c r="L75" i="6"/>
  <c r="J75" i="6"/>
  <c r="L74" i="6"/>
  <c r="J74" i="6"/>
  <c r="L73" i="6"/>
  <c r="J73" i="6"/>
  <c r="M7" i="14"/>
  <c r="BL10" i="14"/>
  <c r="AE203" i="5"/>
  <c r="G203" i="5"/>
  <c r="AI203" i="5"/>
  <c r="V203" i="5"/>
  <c r="F135" i="5" a="1"/>
  <c r="F136" i="5" a="1"/>
  <c r="D144" i="5"/>
  <c r="D136" i="5"/>
  <c r="D135" i="5"/>
  <c r="D134" i="5"/>
  <c r="F134" i="5" a="1"/>
  <c r="F131" i="5" a="1"/>
  <c r="D133" i="5"/>
  <c r="D132" i="5"/>
  <c r="D131" i="5"/>
  <c r="D148" i="5"/>
  <c r="F145" i="5" a="1"/>
  <c r="AH203" i="5"/>
  <c r="F132" i="5" a="1"/>
  <c r="F147" i="5" a="1"/>
  <c r="AB203" i="5"/>
  <c r="D146" i="5"/>
  <c r="D145" i="5"/>
  <c r="F133" i="5" a="1"/>
  <c r="F148" i="5" a="1"/>
  <c r="F144" i="5" a="1"/>
  <c r="I203" i="5"/>
  <c r="D147" i="5"/>
  <c r="F146" i="5" a="1"/>
  <c r="AI149" i="5"/>
  <c r="AK149" i="5"/>
  <c r="AJ149" i="5"/>
  <c r="D143" i="5"/>
  <c r="D142" i="5"/>
  <c r="D141" i="5"/>
  <c r="AA203" i="5"/>
  <c r="U203" i="5"/>
  <c r="O203" i="5"/>
  <c r="H203" i="5"/>
  <c r="Z149" i="5"/>
  <c r="F143" i="5" a="1"/>
  <c r="F142" i="5" a="1"/>
  <c r="F141" i="5" a="1"/>
  <c r="AJ203" i="5"/>
  <c r="AG203" i="5"/>
  <c r="AD203" i="5"/>
  <c r="X203" i="5"/>
  <c r="R203" i="5"/>
  <c r="M203" i="5"/>
  <c r="K76" i="6"/>
  <c r="M76" i="6"/>
  <c r="E69" i="14"/>
  <c r="H69" i="14" s="1"/>
  <c r="D69" i="14"/>
  <c r="C69" i="14"/>
  <c r="J69" i="14" s="1" a="1"/>
  <c r="E68" i="14"/>
  <c r="H68" i="14" s="1"/>
  <c r="D68" i="14"/>
  <c r="F68" i="14" s="1"/>
  <c r="C68" i="14"/>
  <c r="J68" i="14" s="1" a="1"/>
  <c r="E67" i="14"/>
  <c r="H67" i="14" s="1"/>
  <c r="D67" i="14"/>
  <c r="C67" i="14"/>
  <c r="J67" i="14" s="1" a="1"/>
  <c r="E66" i="14"/>
  <c r="H66" i="14" s="1"/>
  <c r="D66" i="14"/>
  <c r="C66" i="14"/>
  <c r="J66" i="14" s="1" a="1"/>
  <c r="E65" i="14"/>
  <c r="H65" i="14" s="1"/>
  <c r="D65" i="14"/>
  <c r="C65" i="14"/>
  <c r="J65" i="14" s="1" a="1"/>
  <c r="E64" i="14"/>
  <c r="H64" i="14" s="1"/>
  <c r="D64" i="14"/>
  <c r="C64" i="14"/>
  <c r="J64" i="14" s="1" a="1"/>
  <c r="E63" i="14"/>
  <c r="H63" i="14" s="1"/>
  <c r="D63" i="14"/>
  <c r="C63" i="14"/>
  <c r="J63" i="14" s="1" a="1"/>
  <c r="E62" i="14"/>
  <c r="H62" i="14" s="1"/>
  <c r="D62" i="14"/>
  <c r="C62" i="14"/>
  <c r="J62" i="14" s="1" a="1"/>
  <c r="E61" i="14"/>
  <c r="H61" i="14" s="1"/>
  <c r="D61" i="14"/>
  <c r="C61" i="14"/>
  <c r="J61" i="14" s="1" a="1"/>
  <c r="E60" i="14"/>
  <c r="H60" i="14" s="1"/>
  <c r="D60" i="14"/>
  <c r="C60" i="14"/>
  <c r="J60" i="14" s="1" a="1"/>
  <c r="E59" i="14"/>
  <c r="H59" i="14" s="1"/>
  <c r="D59" i="14"/>
  <c r="C59" i="14"/>
  <c r="J59" i="14" s="1" a="1"/>
  <c r="E75" i="14"/>
  <c r="H75" i="14" s="1"/>
  <c r="D75" i="14"/>
  <c r="C75" i="14"/>
  <c r="J75" i="14" s="1" a="1"/>
  <c r="E74" i="14"/>
  <c r="H74" i="14" s="1"/>
  <c r="D74" i="14"/>
  <c r="C74" i="14"/>
  <c r="J74" i="14" s="1" a="1"/>
  <c r="E73" i="14"/>
  <c r="H73" i="14" s="1"/>
  <c r="D73" i="14"/>
  <c r="F73" i="14" s="1"/>
  <c r="C73" i="14"/>
  <c r="J73" i="14" s="1" a="1"/>
  <c r="E72" i="14"/>
  <c r="H72" i="14" s="1"/>
  <c r="D72" i="14"/>
  <c r="F72" i="14" s="1"/>
  <c r="C72" i="14"/>
  <c r="J72" i="14" s="1" a="1"/>
  <c r="E71" i="14"/>
  <c r="H71" i="14" s="1"/>
  <c r="D71" i="14"/>
  <c r="C71" i="14"/>
  <c r="J71" i="14" s="1" a="1"/>
  <c r="E70" i="14"/>
  <c r="H70" i="14" s="1"/>
  <c r="D70" i="14"/>
  <c r="C70" i="14"/>
  <c r="J70" i="14" s="1" a="1"/>
  <c r="I46" i="14"/>
  <c r="H46" i="14"/>
  <c r="G46" i="14"/>
  <c r="E46" i="14"/>
  <c r="D46" i="14"/>
  <c r="C46" i="14"/>
  <c r="H45" i="14"/>
  <c r="G45" i="14"/>
  <c r="E45" i="14"/>
  <c r="D45" i="14"/>
  <c r="C45" i="14"/>
  <c r="J54" i="14"/>
  <c r="I54" i="14"/>
  <c r="H54" i="14"/>
  <c r="G54" i="14"/>
  <c r="F54" i="14"/>
  <c r="E54" i="14"/>
  <c r="D54" i="14"/>
  <c r="C54" i="14"/>
  <c r="J53" i="14"/>
  <c r="I53" i="14"/>
  <c r="H53" i="14"/>
  <c r="G53" i="14"/>
  <c r="F53" i="14"/>
  <c r="E53" i="14"/>
  <c r="D53" i="14"/>
  <c r="C53" i="14"/>
  <c r="J52" i="14"/>
  <c r="I52" i="14"/>
  <c r="H52" i="14"/>
  <c r="G52" i="14"/>
  <c r="F52" i="14"/>
  <c r="E52" i="14"/>
  <c r="D52" i="14"/>
  <c r="C52" i="14"/>
  <c r="J51" i="14"/>
  <c r="I51" i="14"/>
  <c r="H51" i="14"/>
  <c r="G51" i="14"/>
  <c r="F51" i="14"/>
  <c r="E51" i="14"/>
  <c r="D51" i="14"/>
  <c r="C51" i="14"/>
  <c r="I50" i="14"/>
  <c r="H50" i="14"/>
  <c r="G50" i="14"/>
  <c r="E50" i="14"/>
  <c r="D50" i="14"/>
  <c r="C50" i="14"/>
  <c r="I49" i="14"/>
  <c r="H49" i="14"/>
  <c r="G49" i="14"/>
  <c r="E49" i="14"/>
  <c r="D49" i="14"/>
  <c r="C49" i="14"/>
  <c r="I48" i="14"/>
  <c r="H48" i="14"/>
  <c r="G48" i="14"/>
  <c r="E48" i="14"/>
  <c r="D48" i="14"/>
  <c r="C48" i="14"/>
  <c r="I47" i="14"/>
  <c r="H47" i="14"/>
  <c r="G47" i="14"/>
  <c r="E47" i="14"/>
  <c r="D47" i="14"/>
  <c r="C47" i="14"/>
  <c r="F170" i="5" a="1"/>
  <c r="D170" i="5"/>
  <c r="F169" i="5" a="1"/>
  <c r="D169" i="5"/>
  <c r="F168" i="5" a="1"/>
  <c r="D168" i="5"/>
  <c r="F167" i="5" a="1"/>
  <c r="D167" i="5"/>
  <c r="F166" i="5" a="1"/>
  <c r="D166" i="5"/>
  <c r="F165" i="5" a="1"/>
  <c r="D165" i="5"/>
  <c r="F164" i="5" a="1"/>
  <c r="D164" i="5"/>
  <c r="F163" i="5" a="1"/>
  <c r="D163" i="5"/>
  <c r="F162" i="5" a="1"/>
  <c r="D162" i="5"/>
  <c r="F161" i="5" a="1"/>
  <c r="D161" i="5"/>
  <c r="F180" i="5" a="1"/>
  <c r="D180" i="5"/>
  <c r="F179" i="5" a="1"/>
  <c r="D179" i="5"/>
  <c r="F178" i="5" a="1"/>
  <c r="D178" i="5"/>
  <c r="F177" i="5" a="1"/>
  <c r="D177" i="5"/>
  <c r="F176" i="5" a="1"/>
  <c r="D176" i="5"/>
  <c r="F175" i="5" a="1"/>
  <c r="D175" i="5"/>
  <c r="F174" i="5" a="1"/>
  <c r="D174" i="5"/>
  <c r="F173" i="5" a="1"/>
  <c r="D173" i="5"/>
  <c r="F172" i="5" a="1"/>
  <c r="D172" i="5"/>
  <c r="F171" i="5" a="1"/>
  <c r="D171" i="5"/>
  <c r="F190" i="5" a="1"/>
  <c r="D190" i="5"/>
  <c r="F189" i="5" a="1"/>
  <c r="D189" i="5"/>
  <c r="F188" i="5" a="1"/>
  <c r="D188" i="5"/>
  <c r="F187" i="5" a="1"/>
  <c r="D187" i="5"/>
  <c r="F186" i="5" a="1"/>
  <c r="D186" i="5"/>
  <c r="F185" i="5" a="1"/>
  <c r="D185" i="5"/>
  <c r="F184" i="5" a="1"/>
  <c r="D184" i="5"/>
  <c r="F183" i="5" a="1"/>
  <c r="D183" i="5"/>
  <c r="F182" i="5" a="1"/>
  <c r="D182" i="5"/>
  <c r="F181" i="5" a="1"/>
  <c r="D181" i="5"/>
  <c r="F200" i="5" a="1"/>
  <c r="D200" i="5"/>
  <c r="F199" i="5" a="1"/>
  <c r="D199" i="5"/>
  <c r="F198" i="5" a="1"/>
  <c r="D198" i="5"/>
  <c r="F197" i="5" a="1"/>
  <c r="D197" i="5"/>
  <c r="F196" i="5" a="1"/>
  <c r="D196" i="5"/>
  <c r="F195" i="5" a="1"/>
  <c r="D195" i="5"/>
  <c r="F194" i="5" a="1"/>
  <c r="D194" i="5"/>
  <c r="F193" i="5" a="1"/>
  <c r="D193" i="5"/>
  <c r="F192" i="5" a="1"/>
  <c r="D192" i="5"/>
  <c r="F191" i="5" a="1"/>
  <c r="D191" i="5"/>
  <c r="F202" i="5" a="1"/>
  <c r="D202" i="5"/>
  <c r="F201" i="5" a="1"/>
  <c r="D201" i="5"/>
  <c r="F160" i="5" a="1"/>
  <c r="D160" i="5"/>
  <c r="F159" i="5" a="1"/>
  <c r="D159" i="5"/>
  <c r="F158" i="5" a="1"/>
  <c r="D158" i="5"/>
  <c r="F157" i="5" a="1"/>
  <c r="D157" i="5"/>
  <c r="F156" i="5" a="1"/>
  <c r="D156" i="5"/>
  <c r="F155" i="5" a="1"/>
  <c r="D155" i="5"/>
  <c r="L17" i="6"/>
  <c r="K17" i="6"/>
  <c r="J17" i="6"/>
  <c r="L16" i="6"/>
  <c r="K16" i="6"/>
  <c r="J16" i="6"/>
  <c r="L15" i="6"/>
  <c r="K15" i="6"/>
  <c r="J15" i="6"/>
  <c r="L14" i="6"/>
  <c r="K14" i="6"/>
  <c r="J14" i="6"/>
  <c r="L13" i="6"/>
  <c r="K13" i="6"/>
  <c r="J13" i="6"/>
  <c r="L12" i="6"/>
  <c r="K12" i="6"/>
  <c r="J12" i="6"/>
  <c r="F75" i="6"/>
  <c r="F73" i="6"/>
  <c r="F78" i="6"/>
  <c r="F76" i="6"/>
  <c r="F77" i="6"/>
  <c r="F74" i="6"/>
  <c r="G80" i="6"/>
  <c r="F80" i="6"/>
  <c r="D130" i="5"/>
  <c r="F130" i="5" a="1"/>
  <c r="D129" i="5"/>
  <c r="F129" i="5" a="1"/>
  <c r="D128" i="5"/>
  <c r="F128" i="5" a="1"/>
  <c r="D127" i="5"/>
  <c r="F127" i="5" a="1"/>
  <c r="D126" i="5"/>
  <c r="F126" i="5" a="1"/>
  <c r="D125" i="5"/>
  <c r="F125" i="5" a="1"/>
  <c r="D124" i="5"/>
  <c r="F124" i="5" a="1"/>
  <c r="D123" i="5"/>
  <c r="F123" i="5" a="1"/>
  <c r="G149" i="5"/>
  <c r="D140" i="5"/>
  <c r="F140" i="5" a="1"/>
  <c r="D139" i="5"/>
  <c r="F139" i="5" a="1"/>
  <c r="D138" i="5"/>
  <c r="F138" i="5" a="1"/>
  <c r="D137" i="5"/>
  <c r="F137" i="5" a="1"/>
  <c r="L149" i="5"/>
  <c r="Y149" i="5"/>
  <c r="Q149" i="5"/>
  <c r="AH149" i="5"/>
  <c r="K149" i="5"/>
  <c r="S149" i="5"/>
  <c r="W149" i="5"/>
  <c r="J149" i="5"/>
  <c r="T149" i="5"/>
  <c r="AG149" i="5"/>
  <c r="I149" i="5"/>
  <c r="AD149" i="5"/>
  <c r="V149" i="5"/>
  <c r="AF149" i="5"/>
  <c r="H149" i="5"/>
  <c r="AE149" i="5"/>
  <c r="O149" i="5"/>
  <c r="P149" i="5"/>
  <c r="AC149" i="5"/>
  <c r="AB149" i="5"/>
  <c r="AA149" i="5"/>
  <c r="N149" i="5"/>
  <c r="U149" i="5"/>
  <c r="M149" i="5"/>
  <c r="X149" i="5"/>
  <c r="R149" i="5"/>
  <c r="K79" i="6"/>
  <c r="M79" i="6"/>
  <c r="K78" i="6"/>
  <c r="M78" i="6"/>
  <c r="M77" i="6"/>
  <c r="K77" i="6"/>
  <c r="M75" i="6"/>
  <c r="K75" i="6"/>
  <c r="M74" i="6"/>
  <c r="K74" i="6"/>
  <c r="M73" i="6"/>
  <c r="K73" i="6"/>
  <c r="F72" i="6"/>
  <c r="F79" i="6"/>
  <c r="J46" i="14" l="1"/>
  <c r="F46" i="14"/>
  <c r="F45" i="14"/>
  <c r="J50" i="14"/>
  <c r="F50" i="14"/>
  <c r="J49" i="14"/>
  <c r="F49" i="14"/>
  <c r="J48" i="14"/>
  <c r="F48" i="14"/>
  <c r="J47" i="14"/>
  <c r="F47" i="14"/>
  <c r="P7" i="14"/>
  <c r="B8" i="14" s="1"/>
  <c r="I45" i="14"/>
  <c r="J45" i="14" s="1"/>
  <c r="F70" i="14"/>
  <c r="F75" i="14"/>
  <c r="F65" i="14"/>
  <c r="F71" i="14"/>
  <c r="F64" i="14"/>
  <c r="F63" i="14"/>
  <c r="F74" i="14"/>
  <c r="F62" i="14"/>
  <c r="F59" i="14"/>
  <c r="F67" i="14"/>
  <c r="F66" i="14"/>
  <c r="F61" i="14"/>
  <c r="F60" i="14"/>
  <c r="F69" i="14"/>
  <c r="E144" i="5"/>
  <c r="B144" i="5" s="1"/>
  <c r="E136" i="5"/>
  <c r="B136" i="5" s="1"/>
  <c r="E135" i="5"/>
  <c r="B135" i="5"/>
  <c r="E134" i="5"/>
  <c r="B134" i="5"/>
  <c r="E133" i="5"/>
  <c r="B133" i="5"/>
  <c r="E132" i="5"/>
  <c r="B132" i="5"/>
  <c r="E131" i="5"/>
  <c r="B131" i="5" s="1"/>
  <c r="E148" i="5"/>
  <c r="B148" i="5" s="1"/>
  <c r="E146" i="5"/>
  <c r="B146" i="5"/>
  <c r="E145" i="5"/>
  <c r="B145" i="5" s="1"/>
  <c r="E147" i="5"/>
  <c r="B147" i="5" s="1"/>
  <c r="E143" i="5"/>
  <c r="B143" i="5" s="1"/>
  <c r="E142" i="5"/>
  <c r="B142" i="5" s="1"/>
  <c r="E141" i="5"/>
  <c r="B141" i="5" s="1"/>
  <c r="E130" i="5"/>
  <c r="B130" i="5" s="1"/>
  <c r="E129" i="5"/>
  <c r="B129" i="5" s="1"/>
  <c r="E128" i="5"/>
  <c r="B128" i="5" s="1"/>
  <c r="E127" i="5"/>
  <c r="B127" i="5" s="1"/>
  <c r="E126" i="5"/>
  <c r="B126" i="5" s="1"/>
  <c r="E125" i="5"/>
  <c r="B125" i="5" s="1"/>
  <c r="E124" i="5"/>
  <c r="B124" i="5" s="1"/>
  <c r="E123" i="5"/>
  <c r="B123" i="5" s="1"/>
  <c r="E140" i="5"/>
  <c r="B140" i="5" s="1"/>
  <c r="E139" i="5"/>
  <c r="B139" i="5"/>
  <c r="E138" i="5"/>
  <c r="B138" i="5"/>
  <c r="E137" i="5"/>
  <c r="B137" i="5" s="1"/>
  <c r="D12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4" authorId="0" shapeId="0" xr:uid="{54888222-9794-4B89-ADC1-C0A966CB2CB3}">
      <text>
        <r>
          <rPr>
            <b/>
            <sz val="9"/>
            <color indexed="81"/>
            <rFont val="Tahoma"/>
            <family val="2"/>
          </rPr>
          <t>Click this cell and use the dropdown arrow to pick any day in the plan (1-Aug-2026 to 13-Nov-2026). The list is driven by DEMAND BY DATE column A, so it extends automatically if the plan horizon grows. The whole dashboard re-prices to the date you choose.</t>
        </r>
      </text>
    </comment>
    <comment ref="F6" authorId="0" shapeId="0" xr:uid="{77B52DD3-BDE4-488F-9F8F-59A0F331CC3F}">
      <text>
        <r>
          <rPr>
            <b/>
            <sz val="9"/>
            <color indexed="81"/>
            <rFont val="Tahoma"/>
            <family val="2"/>
          </rPr>
          <t>User:</t>
        </r>
        <r>
          <rPr>
            <sz val="9"/>
            <color indexed="81"/>
            <rFont val="Tahoma"/>
            <family val="2"/>
          </rPr>
          <t xml:space="preserve">
Machines not in use on this date - the sum of every group's spare capacity. Includes 21 machines in groups no style uses at all.</t>
        </r>
      </text>
    </comment>
    <comment ref="H6" authorId="0" shapeId="0" xr:uid="{754A9251-34CA-4A90-93BE-42A3738EF02E}">
      <text>
        <r>
          <rPr>
            <b/>
            <sz val="9"/>
            <color indexed="81"/>
            <rFont val="Tahoma"/>
            <family val="2"/>
          </rPr>
          <t>User:</t>
        </r>
        <r>
          <rPr>
            <sz val="9"/>
            <color indexed="81"/>
            <rFont val="Tahoma"/>
            <family val="2"/>
          </rPr>
          <t xml:space="preserve">
Machines required divided by machines installed. Treat with care: machines are not interchangeable, so a comfortable overall figure can still hide groups over 100%.</t>
        </r>
      </text>
    </comment>
    <comment ref="H67" authorId="0" shapeId="0" xr:uid="{C5C73DC7-1B30-484B-8F10-B5FBE6C0E8BB}">
      <text>
        <r>
          <rPr>
            <b/>
            <sz val="9"/>
            <color indexed="81"/>
            <rFont val="Tahoma"/>
            <family val="2"/>
          </rPr>
          <t>User:</t>
        </r>
        <r>
          <rPr>
            <sz val="9"/>
            <color indexed="81"/>
            <rFont val="Tahoma"/>
            <family val="2"/>
          </rPr>
          <t xml:space="preserve">
Garment type now flows from MC MAP block 3 (column AG), where it is stored once per style. Do not type over this column - change the garment type in MC MAP and it updates here.</t>
        </r>
      </text>
    </comment>
    <comment ref="K71" authorId="0" shapeId="0" xr:uid="{1EBF9B6C-12CA-4D9C-8E1C-E6BB15030E18}">
      <text>
        <r>
          <rPr>
            <b/>
            <sz val="9"/>
            <color indexed="81"/>
            <rFont val="Tahoma"/>
            <family val="2"/>
          </rPr>
          <t>User:</t>
        </r>
        <r>
          <rPr>
            <sz val="9"/>
            <color indexed="81"/>
            <rFont val="Tahoma"/>
            <family val="2"/>
          </rPr>
          <t xml:space="preserve">
Pick any garment type from the dropdown. The table below shows which machine groups that garment occupies on the as-of date, biggest first. Source: MC MAP block 6.</t>
        </r>
      </text>
    </comment>
    <comment ref="M73" authorId="0" shapeId="0" xr:uid="{E567E9D0-1F80-437F-B49C-3C767B539211}">
      <text>
        <r>
          <rPr>
            <b/>
            <sz val="9"/>
            <color indexed="81"/>
            <rFont val="Tahoma"/>
            <family val="2"/>
          </rPr>
          <t>User:</t>
        </r>
        <r>
          <rPr>
            <sz val="9"/>
            <color indexed="81"/>
            <rFont val="Tahoma"/>
            <family val="2"/>
          </rPr>
          <t xml:space="preserve">
Share of that machine group's TOTAL INSTALLED count that is tied up making this garment on the as-of date. This is the utilisation of the group by this one garment.</t>
        </r>
      </text>
    </comment>
    <comment ref="M74" authorId="0" shapeId="0" xr:uid="{11CB4218-8D95-461B-BB29-F8A063D90249}">
      <text>
        <r>
          <rPr>
            <b/>
            <sz val="9"/>
            <color indexed="81"/>
            <rFont val="Tahoma"/>
            <family val="2"/>
          </rPr>
          <t>User:</t>
        </r>
        <r>
          <rPr>
            <sz val="9"/>
            <color indexed="81"/>
            <rFont val="Tahoma"/>
            <family val="2"/>
          </rPr>
          <t xml:space="preserve">
Share of that machine group's TOTAL INSTALLED count that is tied up making this garment on the as-of date. This is the utilisation of the group by this one garment.</t>
        </r>
      </text>
    </comment>
    <comment ref="M75" authorId="0" shapeId="0" xr:uid="{B47D4E58-B61E-47FF-8420-9BEF47702001}">
      <text>
        <r>
          <rPr>
            <b/>
            <sz val="9"/>
            <color indexed="81"/>
            <rFont val="Tahoma"/>
            <family val="2"/>
          </rPr>
          <t>User:</t>
        </r>
        <r>
          <rPr>
            <sz val="9"/>
            <color indexed="81"/>
            <rFont val="Tahoma"/>
            <family val="2"/>
          </rPr>
          <t xml:space="preserve">
Share of that machine group's TOTAL INSTALLED count that is tied up making this garment on the as-of date. This is the utilisation of the group by this one garment.</t>
        </r>
      </text>
    </comment>
    <comment ref="M76" authorId="0" shapeId="0" xr:uid="{8A5C0830-F962-4D7F-BA40-DEED44356040}">
      <text>
        <r>
          <rPr>
            <b/>
            <sz val="9"/>
            <color indexed="81"/>
            <rFont val="Tahoma"/>
            <family val="2"/>
          </rPr>
          <t>User:</t>
        </r>
        <r>
          <rPr>
            <sz val="9"/>
            <color indexed="81"/>
            <rFont val="Tahoma"/>
            <family val="2"/>
          </rPr>
          <t xml:space="preserve">
Share of that machine group's TOTAL INSTALLED count that is tied up making this garment on the as-of date. This is the utilisation of the group by this one garment.</t>
        </r>
      </text>
    </comment>
    <comment ref="M77" authorId="0" shapeId="0" xr:uid="{0917F84B-707F-4F46-90F2-AD163042EB41}">
      <text>
        <r>
          <rPr>
            <b/>
            <sz val="9"/>
            <color indexed="81"/>
            <rFont val="Tahoma"/>
            <family val="2"/>
          </rPr>
          <t>User:</t>
        </r>
        <r>
          <rPr>
            <sz val="9"/>
            <color indexed="81"/>
            <rFont val="Tahoma"/>
            <family val="2"/>
          </rPr>
          <t xml:space="preserve">
Share of that machine group's TOTAL INSTALLED count that is tied up making this garment on the as-of date. This is the utilisation of the group by this one garment.</t>
        </r>
      </text>
    </comment>
    <comment ref="M78" authorId="0" shapeId="0" xr:uid="{8A9AF4A8-2479-4790-A340-FD1BF9570C71}">
      <text>
        <r>
          <rPr>
            <b/>
            <sz val="9"/>
            <color indexed="81"/>
            <rFont val="Tahoma"/>
            <family val="2"/>
          </rPr>
          <t>User:</t>
        </r>
        <r>
          <rPr>
            <sz val="9"/>
            <color indexed="81"/>
            <rFont val="Tahoma"/>
            <family val="2"/>
          </rPr>
          <t xml:space="preserve">
Share of that machine group's TOTAL INSTALLED count that is tied up making this garment on the as-of date. This is the utilisation of the group by this one garment.</t>
        </r>
      </text>
    </comment>
    <comment ref="B79" authorId="0" shapeId="0" xr:uid="{45BA763A-C7E3-479A-BEAB-807D0810D303}">
      <text>
        <r>
          <rPr>
            <b/>
            <sz val="9"/>
            <color indexed="81"/>
            <rFont val="Tahoma"/>
            <family val="2"/>
          </rPr>
          <t>User:</t>
        </r>
        <r>
          <rPr>
            <sz val="9"/>
            <color indexed="81"/>
            <rFont val="Tahoma"/>
            <family val="2"/>
          </rPr>
          <t xml:space="preserve">
Lines with no style painted on the as-of date, or a thermal day whose specific style is not identified. They carry zero machines - this row exists so the block always accounts for all 26 lines.</t>
        </r>
      </text>
    </comment>
    <comment ref="M79" authorId="0" shapeId="0" xr:uid="{8BEA48F0-90D5-48CA-8F22-49FF61D559C8}">
      <text>
        <r>
          <rPr>
            <b/>
            <sz val="9"/>
            <color indexed="81"/>
            <rFont val="Tahoma"/>
            <family val="2"/>
          </rPr>
          <t>User:</t>
        </r>
        <r>
          <rPr>
            <sz val="9"/>
            <color indexed="81"/>
            <rFont val="Tahoma"/>
            <family val="2"/>
          </rPr>
          <t xml:space="preserve">
Share of that machine group's TOTAL INSTALLED count that is tied up making this garment on the as-of date. This is the utilisation of the group by this one garment.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2" authorId="0" shapeId="0" xr:uid="{6057C2C4-D75B-437C-BC30-F646830E928E}">
      <text>
        <r>
          <rPr>
            <b/>
            <sz val="9"/>
            <color indexed="81"/>
            <rFont val="Tahoma"/>
            <charset val="1"/>
          </rPr>
          <t>User:</t>
        </r>
        <r>
          <rPr>
            <sz val="9"/>
            <color indexed="81"/>
            <rFont val="Tahoma"/>
            <charset val="1"/>
          </rPr>
          <t xml:space="preserve">
First day of the plan. Change this one cell and every date on this sheet, plus DEMAND BY DATE, DASHBOARD and MD VIEW, moves with it.</t>
        </r>
      </text>
    </comment>
    <comment ref="B3" authorId="0" shapeId="0" xr:uid="{11B50BE1-FBDD-4B7F-9DE9-167568A49D39}">
      <text>
        <r>
          <rPr>
            <b/>
            <sz val="9"/>
            <color indexed="81"/>
            <rFont val="Tahoma"/>
            <charset val="1"/>
          </rPr>
          <t>User:</t>
        </r>
        <r>
          <rPr>
            <sz val="9"/>
            <color indexed="81"/>
            <rFont val="Tahoma"/>
            <charset val="1"/>
          </rPr>
          <t xml:space="preserve">
How many days the plan covers. Capacity is built to 200. Raise this number to extend the horizon - no formulas need touching.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X4" authorId="0" shapeId="0" xr:uid="{47E45EE0-675E-4C95-B9FA-3E8F538D0F3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5" authorId="0" shapeId="0" xr:uid="{4B7073C8-2AA5-4F02-BB30-5CF2F3DA22F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BG5" authorId="0" shapeId="0" xr:uid="{DC3D347F-83E3-4693-AC98-9EAE02536CFC}">
      <text>
        <r>
          <rPr>
            <b/>
            <sz val="9"/>
            <color indexed="81"/>
            <rFont val="Tahoma"/>
            <family val="2"/>
          </rPr>
          <t>User:</t>
        </r>
        <r>
          <rPr>
            <sz val="9"/>
            <color indexed="81"/>
            <rFont val="Tahoma"/>
            <family val="2"/>
          </rPr>
          <t xml:space="preserve">
Working days on which at least one machine group is over its installed count. On these days the plan cannot physically be run as painted, no matter how healthy the TOTAL machine number looks. This is the number that matters on a sewing floor - machines are not interchangeable between groups.</t>
        </r>
      </text>
    </comment>
    <comment ref="AX6" authorId="0" shapeId="0" xr:uid="{E75F2FAB-C7AF-4D88-94BF-F09FAB06B83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7" authorId="0" shapeId="0" xr:uid="{5E491656-DD99-4ED5-B61E-1CACAE8F166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8" authorId="0" shapeId="0" xr:uid="{514121E0-ECCA-4AA4-AD03-7B48CD19B03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9" authorId="0" shapeId="0" xr:uid="{423C1FD2-1147-45AB-8CF8-5379486CCF7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0" authorId="0" shapeId="0" xr:uid="{1C821F34-228D-40ED-BEC8-1F1F90DB3EE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1" authorId="0" shapeId="0" xr:uid="{0FE4D499-7876-410A-B9E3-349F89180022}">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2" authorId="0" shapeId="0" xr:uid="{E883C5BA-610E-4683-83F9-821DD0064CA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3" authorId="0" shapeId="0" xr:uid="{0A807ED0-F888-44A6-8F85-482B56805D1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4" authorId="0" shapeId="0" xr:uid="{66425A9F-7CEE-4E76-BB5F-CACC28D9B96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5" authorId="0" shapeId="0" xr:uid="{55E4BCDB-5292-4EA9-B63D-33415CF734B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6" authorId="0" shapeId="0" xr:uid="{43A00A40-3226-41F6-8738-65E0B26EAC7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7" authorId="0" shapeId="0" xr:uid="{AEFB801D-53CD-4A95-B30F-B53A4716D69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8" authorId="0" shapeId="0" xr:uid="{179C3C83-4278-412B-8716-8782BA6080A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9" authorId="0" shapeId="0" xr:uid="{672FF30B-651E-4404-8669-D57BB2CC556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0" authorId="0" shapeId="0" xr:uid="{35FE3DE6-F041-4DE9-A4A3-E9F427B0A335}">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1" authorId="0" shapeId="0" xr:uid="{ECE0F0C4-D497-4F65-82A1-9C4CBFBA829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2" authorId="0" shapeId="0" xr:uid="{A20D78DD-9ED9-4A3B-83B7-44D939E2871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3" authorId="0" shapeId="0" xr:uid="{73CD770F-8F12-435D-B80E-C5004CE8D3C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4" authorId="0" shapeId="0" xr:uid="{F4ABA070-4DD2-4936-AB5E-B88A85501141}">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5" authorId="0" shapeId="0" xr:uid="{4D3B8785-1DA1-4684-9B76-04D04E48715B}">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6" authorId="0" shapeId="0" xr:uid="{0B621D3C-6E8E-4AB4-B5E3-2825A998DC8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7" authorId="0" shapeId="0" xr:uid="{323B8537-F45F-43E7-8942-79DA73C8C05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8" authorId="0" shapeId="0" xr:uid="{D047AB08-7237-4757-971A-04D91242775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9" authorId="0" shapeId="0" xr:uid="{CFB80D3B-11D3-4784-A1E8-1F47AE94DB3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30" authorId="0" shapeId="0" xr:uid="{9FFC4B01-E78B-4CF9-94BD-0714EFE9E3F8}">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31" authorId="0" shapeId="0" xr:uid="{E427DCDE-C335-4E6F-8A37-8D5184B88B22}">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32" authorId="0" shapeId="0" xr:uid="{F972B2FE-CD8A-49C9-8231-1F13E789F8F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33" authorId="0" shapeId="0" xr:uid="{BA95DC1A-E308-486D-BC18-E8918326A5CC}">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34" authorId="0" shapeId="0" xr:uid="{2365D8C5-625A-4D53-A951-BF4DA96D0A4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35" authorId="0" shapeId="0" xr:uid="{54C90E9A-287F-45BE-92DF-829C7F35CA02}">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36" authorId="0" shapeId="0" xr:uid="{5C1B90F1-9659-4DE2-A0A2-040A683D646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37" authorId="0" shapeId="0" xr:uid="{8ECBAB1F-0119-4FD4-855F-577A5A7D2BB0}">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38" authorId="0" shapeId="0" xr:uid="{C8092848-BC07-4A6A-8532-36EFDC03E42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39" authorId="0" shapeId="0" xr:uid="{A539E2C7-5623-44D7-A146-05B2D47C9D91}">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40" authorId="0" shapeId="0" xr:uid="{FAC4C61A-95DB-47BB-A161-7033C7F71D58}">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41" authorId="0" shapeId="0" xr:uid="{36022EC2-CBC6-4B51-9B45-87A73D9B78A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42" authorId="0" shapeId="0" xr:uid="{A6CDF1A9-31C3-431F-94F6-77AD54196FF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43" authorId="0" shapeId="0" xr:uid="{413B318F-0A41-4DA0-9274-B38DF0D89EF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44" authorId="0" shapeId="0" xr:uid="{AE14A845-D4EA-4367-986F-677B3A4DC73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45" authorId="0" shapeId="0" xr:uid="{897B91CB-D8F9-472B-B176-85CDA09355D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46" authorId="0" shapeId="0" xr:uid="{F65A64FF-7B5B-49DD-A362-F032453BF94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47" authorId="0" shapeId="0" xr:uid="{FD9AEA00-75B1-4E65-9C38-71DB1CE48CA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48" authorId="0" shapeId="0" xr:uid="{02E77489-DB19-4CB3-AA3B-DB4DC0D4723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49" authorId="0" shapeId="0" xr:uid="{994BDFDF-BD30-4ADC-9EAB-79E7D7DF9E6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50" authorId="0" shapeId="0" xr:uid="{A3226026-F0BE-4419-95B3-4A88165C317C}">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51" authorId="0" shapeId="0" xr:uid="{0C419420-775A-4392-91C4-E7429DFA2A70}">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52" authorId="0" shapeId="0" xr:uid="{CC1DA654-739A-4DAF-A495-0B82C57B9F32}">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53" authorId="0" shapeId="0" xr:uid="{E4C2A8B1-3974-44EC-97BD-716878B626D1}">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54" authorId="0" shapeId="0" xr:uid="{2294B37F-BFB2-4A42-8C01-5E1258DD7E0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55" authorId="0" shapeId="0" xr:uid="{DA696FA2-1584-4D4D-A21E-1B3805846A8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56" authorId="0" shapeId="0" xr:uid="{E5784444-2D83-4DF8-81A8-5C8762E9DD9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57" authorId="0" shapeId="0" xr:uid="{81B4B203-9247-4CBA-A27B-67A13E93CFE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58" authorId="0" shapeId="0" xr:uid="{F681C0CA-D002-47EC-A5B8-D7A7991C6B8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59" authorId="0" shapeId="0" xr:uid="{B9687E2E-0B36-4432-9793-6D9742B9CCA0}">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60" authorId="0" shapeId="0" xr:uid="{52900B77-B341-4406-AA5F-AEA826300300}">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61" authorId="0" shapeId="0" xr:uid="{054E5B9B-08EA-4772-AD01-039A3B034DB5}">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62" authorId="0" shapeId="0" xr:uid="{5C5CDB90-BD33-436E-9D91-3182780703A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63" authorId="0" shapeId="0" xr:uid="{8B556492-D8C7-4E7E-AA7A-DD90C807796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64" authorId="0" shapeId="0" xr:uid="{699094AF-B462-4771-A68A-070F2504AF9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65" authorId="0" shapeId="0" xr:uid="{A11C600A-E5DB-4674-82B8-A3A1D633937C}">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66" authorId="0" shapeId="0" xr:uid="{D3EE591D-A237-462C-9A01-9B70AE29396C}">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67" authorId="0" shapeId="0" xr:uid="{3F2B3909-F5B0-49F4-B94B-171A0FD80A95}">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68" authorId="0" shapeId="0" xr:uid="{2BD99D2F-B134-4A71-A668-2ACA9623DF8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69" authorId="0" shapeId="0" xr:uid="{060FB6FE-2829-48F1-A095-20E57513443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70" authorId="0" shapeId="0" xr:uid="{30557487-276B-4FAB-AD31-B20257B89010}">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71" authorId="0" shapeId="0" xr:uid="{1B59B73F-FD03-4BC0-A59F-73F576AB205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72" authorId="0" shapeId="0" xr:uid="{B20936C2-768A-4DE9-BC06-8813850FF9D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73" authorId="0" shapeId="0" xr:uid="{361A8630-F844-49D1-A2DE-43BFA388DCB2}">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74" authorId="0" shapeId="0" xr:uid="{3AB2E1C2-A181-4C4D-8FBC-B45410E3ABD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75" authorId="0" shapeId="0" xr:uid="{0E2E6BE5-FAE2-4A70-9729-9767A3A7071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76" authorId="0" shapeId="0" xr:uid="{FCED653D-FAB5-494D-86D3-1473B36876E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77" authorId="0" shapeId="0" xr:uid="{EEFEA82F-C182-4A9A-8EA0-02EDB8CA44C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78" authorId="0" shapeId="0" xr:uid="{FF2E4B43-1CB0-4055-8D7A-5A500801AF22}">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79" authorId="0" shapeId="0" xr:uid="{4454B0F5-5A07-4DD5-BF6D-F5D015F4565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80" authorId="0" shapeId="0" xr:uid="{98494F3E-200C-4E86-B1FD-966EF54F7B7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81" authorId="0" shapeId="0" xr:uid="{76243DF8-9EFB-462B-A1A5-585C77C1E19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82" authorId="0" shapeId="0" xr:uid="{DB861190-CFB6-490A-8908-6398E2B6C7F1}">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83" authorId="0" shapeId="0" xr:uid="{E22E163E-D2E0-4C8E-A3DE-D57B7632C750}">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84" authorId="0" shapeId="0" xr:uid="{801D59FB-5710-4DDA-A231-7E522E47350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85" authorId="0" shapeId="0" xr:uid="{34B7059E-3F66-49AE-AE11-B563EDA4B0B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86" authorId="0" shapeId="0" xr:uid="{11B98657-AC02-4E12-A7E5-8F2097BC1CA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87" authorId="0" shapeId="0" xr:uid="{CFD7B309-EEE8-4FD3-BD3B-67C4F3544EE1}">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88" authorId="0" shapeId="0" xr:uid="{647C520D-FE91-46D5-B2EE-140E68357F2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89" authorId="0" shapeId="0" xr:uid="{4C89D44E-8357-45F8-9663-306571A7525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90" authorId="0" shapeId="0" xr:uid="{5DAC8BFF-245B-470B-9135-50D93140F47C}">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91" authorId="0" shapeId="0" xr:uid="{6C35AB59-7D35-4192-8888-6109B2B46C8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92" authorId="0" shapeId="0" xr:uid="{30D4C1F6-60F7-4657-8162-06DF3F4AF365}">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93" authorId="0" shapeId="0" xr:uid="{E17139EF-741F-4070-8444-EDC78995BB2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94" authorId="0" shapeId="0" xr:uid="{1B353B32-28A6-4CE1-8A62-A3328B406C9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95" authorId="0" shapeId="0" xr:uid="{0427F867-FD24-4505-863C-91A36A87E21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96" authorId="0" shapeId="0" xr:uid="{C2E16FD9-44A7-46FE-87BD-FF88DC5BA2C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97" authorId="0" shapeId="0" xr:uid="{2A6EB399-2F11-4C9C-9391-CE675A75EC0B}">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98" authorId="0" shapeId="0" xr:uid="{94847EAF-DE82-41C0-9CED-AF8AED5E4A9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99" authorId="0" shapeId="0" xr:uid="{F86710C8-F29A-481E-8F9A-1E5B97BFC5D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00" authorId="0" shapeId="0" xr:uid="{F20EA399-F9F1-458F-A938-6FBDEAE75A62}">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01" authorId="0" shapeId="0" xr:uid="{49BC28B7-9BA5-4222-8325-5A9C6727F37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02" authorId="0" shapeId="0" xr:uid="{CAF53286-B8A4-483B-8764-0768AAB1A05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03" authorId="0" shapeId="0" xr:uid="{DFD0027D-04B5-441C-8A4A-BD3D69320D2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04" authorId="0" shapeId="0" xr:uid="{9E86201B-48B2-43AA-AB5B-B6893A0E6551}">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05" authorId="0" shapeId="0" xr:uid="{55C5F05E-5757-45FD-A5FC-76ADAEEDA81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06" authorId="0" shapeId="0" xr:uid="{088E6CBE-3F9D-4556-825A-F508C33F983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07" authorId="0" shapeId="0" xr:uid="{EE6AB211-03EC-44E4-A415-3BF1DF983C6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08" authorId="0" shapeId="0" xr:uid="{53C011DF-515A-4C4C-98FE-30A2F3AFACE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09" authorId="0" shapeId="0" xr:uid="{DFB93941-FA16-48CB-A803-27C4FBE7079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10" authorId="0" shapeId="0" xr:uid="{F7E8AF35-DB68-4870-A367-A3498E17CD7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11" authorId="0" shapeId="0" xr:uid="{E4029932-8209-4CA8-B2F1-19F4EB54D4A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12" authorId="0" shapeId="0" xr:uid="{4330490F-A05A-4CA3-9E1C-4E1CD776761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13" authorId="0" shapeId="0" xr:uid="{D0EFD66C-EE3B-4A64-9171-FDFF5242464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14" authorId="0" shapeId="0" xr:uid="{D80E5271-2B00-41BC-9367-7FA5E803849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15" authorId="0" shapeId="0" xr:uid="{9265034A-BC47-4A3E-B5C9-8774712C93B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16" authorId="0" shapeId="0" xr:uid="{272555F9-1750-42CD-8D95-07210971C5B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17" authorId="0" shapeId="0" xr:uid="{D49165F2-D484-40EE-86F0-B6AC3089930B}">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18" authorId="0" shapeId="0" xr:uid="{EC4DEA29-7764-454C-AEFE-B314C44C729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19" authorId="0" shapeId="0" xr:uid="{D8C5CE2C-306B-4C7F-94C1-90E21394861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20" authorId="0" shapeId="0" xr:uid="{05FB7219-EB90-4E28-B94C-CA70421AC55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21" authorId="0" shapeId="0" xr:uid="{5AB40649-28EA-4E1D-A931-6DDA87DF4408}">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22" authorId="0" shapeId="0" xr:uid="{3989C8AA-1BFD-490B-BE12-267B55F4DDC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23" authorId="0" shapeId="0" xr:uid="{C7A312A1-5C9D-4240-8E1A-66CE33086C0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24" authorId="0" shapeId="0" xr:uid="{78D1E24B-6AFF-484B-963E-FE77C3DF9F0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25" authorId="0" shapeId="0" xr:uid="{0D7848D9-2ED3-4700-B3C0-F32FB6EC9EF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26" authorId="0" shapeId="0" xr:uid="{F1D25801-5E4B-45D5-84F3-96403932527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27" authorId="0" shapeId="0" xr:uid="{48832B3B-EF14-4942-B549-3D6F4EBF017B}">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28" authorId="0" shapeId="0" xr:uid="{E13A9DD3-E090-4816-B4AB-090BEFC646F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29" authorId="0" shapeId="0" xr:uid="{B117C3A6-1868-48E5-A556-A2BBCA881BD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30" authorId="0" shapeId="0" xr:uid="{26018EE4-BDBE-4CA0-9A8A-3CFD951466E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31" authorId="0" shapeId="0" xr:uid="{EA9D69D2-0D85-432A-B1DE-7747917AC5E2}">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32" authorId="0" shapeId="0" xr:uid="{3E51A20D-B727-4BA1-89CA-58BC2DE9C091}">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33" authorId="0" shapeId="0" xr:uid="{12ECAF5A-E7F9-4DFB-BD6A-79101A84CE7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34" authorId="0" shapeId="0" xr:uid="{F4B1FAEC-611A-4B54-BD28-AFF87A24F882}">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35" authorId="0" shapeId="0" xr:uid="{2A9BA0C4-12CB-4934-ADD4-9BB50F6C1EF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36" authorId="0" shapeId="0" xr:uid="{676BAFCF-6174-4AF3-A458-B3127A17ED9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37" authorId="0" shapeId="0" xr:uid="{3D418321-27F4-41C0-8820-C92A5D2338D5}">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38" authorId="0" shapeId="0" xr:uid="{648068D3-D673-4804-92EA-A3EE1D972EEC}">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39" authorId="0" shapeId="0" xr:uid="{52BFA396-8454-460C-BD1D-ED6FF1319F4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40" authorId="0" shapeId="0" xr:uid="{39CCDAB9-55F6-4B62-BE0A-CC27266718B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41" authorId="0" shapeId="0" xr:uid="{1B13D334-7C71-46D0-A3B1-657423D5FC0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42" authorId="0" shapeId="0" xr:uid="{11854DAC-65AA-4394-8128-117426340995}">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43" authorId="0" shapeId="0" xr:uid="{55068AF3-182B-4BD0-83D4-AD3030516E5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44" authorId="0" shapeId="0" xr:uid="{CB3D955E-EC70-4313-AC23-5A2C3C05E885}">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45" authorId="0" shapeId="0" xr:uid="{D7FA328F-E623-40CE-8651-1A70D336431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46" authorId="0" shapeId="0" xr:uid="{C752346D-DEF0-41CE-81AD-E02F4F6EF31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47" authorId="0" shapeId="0" xr:uid="{909E6734-F611-41D6-B5A0-4E5F0322C502}">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48" authorId="0" shapeId="0" xr:uid="{92A1E947-9D01-4D6F-9164-732FAB7028D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49" authorId="0" shapeId="0" xr:uid="{8DB78985-DD8D-46C5-B552-36B932EB909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50" authorId="0" shapeId="0" xr:uid="{1C3E0471-30C1-46E5-8B30-875B4D4849E5}">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51" authorId="0" shapeId="0" xr:uid="{AF51B06D-703E-427D-AF50-7E473689C97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52" authorId="0" shapeId="0" xr:uid="{991EDAF8-4626-49EA-8C7B-04CD1CDD965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53" authorId="0" shapeId="0" xr:uid="{20BDCB61-6796-42B8-B348-89DC8F0B374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54" authorId="0" shapeId="0" xr:uid="{1216FE62-0AF6-4D2E-8F38-6454080571B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55" authorId="0" shapeId="0" xr:uid="{394E014E-8137-4C2A-8D6F-C2198294BC1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56" authorId="0" shapeId="0" xr:uid="{32BF763F-8AB9-44A5-BBDE-FDB13DA6EEC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57" authorId="0" shapeId="0" xr:uid="{E12C0388-751F-447D-88DD-AE00338BCA0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58" authorId="0" shapeId="0" xr:uid="{A850CC5A-5F9E-4F21-8B5A-3327DFBB250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59" authorId="0" shapeId="0" xr:uid="{12E8D31C-4086-4216-810E-99E4BE1F6865}">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60" authorId="0" shapeId="0" xr:uid="{3C295663-9B77-458C-A362-365A309F03E1}">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61" authorId="0" shapeId="0" xr:uid="{5B6096EA-8F18-4A5B-A3C1-D8343C8D3CA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62" authorId="0" shapeId="0" xr:uid="{AEDE0774-5C99-4FE4-8296-3CA238E64F2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63" authorId="0" shapeId="0" xr:uid="{2E1F55F2-2C9E-4680-9036-D39EA0FEAD90}">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64" authorId="0" shapeId="0" xr:uid="{54620DC4-482C-4FC8-BF25-63EED8EEB1FB}">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65" authorId="0" shapeId="0" xr:uid="{533FA563-33ED-418F-9AE0-A5644829699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66" authorId="0" shapeId="0" xr:uid="{B69D9963-D873-4D68-A4F4-4DA5E20A742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67" authorId="0" shapeId="0" xr:uid="{4C12405B-D549-4F63-B55F-0DB3D8FEE6B8}">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68" authorId="0" shapeId="0" xr:uid="{B4C9B12B-6E83-439F-ABD0-D1464CB42B7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69" authorId="0" shapeId="0" xr:uid="{CE6E99EA-1441-4796-97CA-5AA46488A01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70" authorId="0" shapeId="0" xr:uid="{C7BD7030-A046-4CE4-AD5B-B1C8030F4E5F}">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71" authorId="0" shapeId="0" xr:uid="{1B327C74-EF26-43CE-BCD4-A6AEFDACEC42}">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72" authorId="0" shapeId="0" xr:uid="{3644A239-8931-4197-BEB6-BEEF6AAB1C8B}">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73" authorId="0" shapeId="0" xr:uid="{2BC78055-6488-4640-A2DF-E4246E7F606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74" authorId="0" shapeId="0" xr:uid="{3F645C79-9F2E-42A3-99AF-AC6EC657EF7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75" authorId="0" shapeId="0" xr:uid="{4EE5054E-2D44-4A0B-91D7-D7EF414BCCB0}">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76" authorId="0" shapeId="0" xr:uid="{0DABEC0B-D1A3-423C-8955-3FB8EC5F75B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77" authorId="0" shapeId="0" xr:uid="{05913A13-EFA2-4918-88DF-C23F96F7BA0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78" authorId="0" shapeId="0" xr:uid="{375E9243-75ED-4024-9A3A-AAD6948B405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79" authorId="0" shapeId="0" xr:uid="{84707B6B-161B-4192-B255-911A83632048}">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80" authorId="0" shapeId="0" xr:uid="{77BB1B6C-736F-40A5-9878-58862AF1CBC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81" authorId="0" shapeId="0" xr:uid="{88513549-D27B-4716-B021-E2096989C97C}">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82" authorId="0" shapeId="0" xr:uid="{C0CD0483-BB8E-410C-B26B-4FAB75585A1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83" authorId="0" shapeId="0" xr:uid="{8F3EE7C7-4402-4AE6-9F02-714F80781C40}">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84" authorId="0" shapeId="0" xr:uid="{0667A562-9935-49DD-8EE2-62E64ECA6B6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85" authorId="0" shapeId="0" xr:uid="{EE35D0D6-4963-41DE-B7B9-8327AE8278E7}">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86" authorId="0" shapeId="0" xr:uid="{5436ECD5-4A2E-4324-B91E-EFE10CD1826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87" authorId="0" shapeId="0" xr:uid="{619C064D-C378-4CE6-86BB-FA098CD048F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88" authorId="0" shapeId="0" xr:uid="{72956A5D-76D8-4D46-961A-AF6674C7359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89" authorId="0" shapeId="0" xr:uid="{572836ED-4ED1-406E-8332-1FAE6803BFE2}">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90" authorId="0" shapeId="0" xr:uid="{1BF0049C-341D-4B4A-B6C1-74F5B5098D0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91" authorId="0" shapeId="0" xr:uid="{A64C03D5-F6DE-496F-93DA-28799DC9F14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92" authorId="0" shapeId="0" xr:uid="{0400DD81-E1CD-414A-8F99-872157908799}">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93" authorId="0" shapeId="0" xr:uid="{111C5017-BBB4-4119-9412-D4E389BA370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94" authorId="0" shapeId="0" xr:uid="{B65A3133-4A57-4AE9-B621-1F96D87C52E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95" authorId="0" shapeId="0" xr:uid="{93CFCC08-6EFE-45C5-AEE2-D4EAEF5F50AB}">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96" authorId="0" shapeId="0" xr:uid="{95500C2C-AE73-4EDE-ACAB-5A61D73B1773}">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97" authorId="0" shapeId="0" xr:uid="{D0503762-BB86-40B1-A6F8-919D746057B4}">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98" authorId="0" shapeId="0" xr:uid="{551AC2DE-1701-4A67-B944-8DD1BEA8608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199" authorId="0" shapeId="0" xr:uid="{8558CC76-FBCB-47D4-9C58-834DC107881D}">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00" authorId="0" shapeId="0" xr:uid="{6D5A3DEA-496A-41C8-B9FE-30CA2D26D4B8}">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01" authorId="0" shapeId="0" xr:uid="{1CD983AA-B621-4E3E-8AEB-151CD1A6483A}">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02" authorId="0" shapeId="0" xr:uid="{57CFB704-C6E8-4355-83BC-248F786C7686}">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 ref="AX203" authorId="0" shapeId="0" xr:uid="{0051A154-93DC-439B-B111-08A6F58D7AEE}">
      <text>
        <r>
          <rPr>
            <b/>
            <sz val="9"/>
            <color indexed="81"/>
            <rFont val="Tahoma"/>
            <family val="2"/>
          </rPr>
          <t>User:</t>
        </r>
        <r>
          <rPr>
            <sz val="9"/>
            <color indexed="81"/>
            <rFont val="Tahoma"/>
            <family val="2"/>
          </rPr>
          <t xml:space="preserve">
How many machine groups are over their installed count on this day. Any value above zero means the plan as painted cannot physically be run that day, even if TOTAL machines look sufficient.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L10" authorId="0" shapeId="0" xr:uid="{1276F9D6-AF84-4C6C-8868-1B61A6160BB1}">
      <text>
        <r>
          <rPr>
            <b/>
            <sz val="9"/>
            <color indexed="81"/>
            <rFont val="Tahoma"/>
            <family val="2"/>
          </rPr>
          <t>User:</t>
        </r>
        <r>
          <rPr>
            <sz val="9"/>
            <color indexed="81"/>
            <rFont val="Tahoma"/>
            <family val="2"/>
          </rPr>
          <t xml:space="preserve">
Style 4406/4410 is held in EMBLISHMENT under the column heading "Panty" (column Q, 31 machines, 5000 pcs/day). Confirmed by the planning team. If that column is ever renamed to 4406/4410, change this cell to match.</t>
        </r>
      </text>
    </comment>
    <comment ref="L11" authorId="0" shapeId="0" xr:uid="{C84D7804-66FF-4980-BE59-23406F02B9FF}">
      <text>
        <r>
          <rPr>
            <b/>
            <sz val="9"/>
            <color indexed="81"/>
            <rFont val="Tahoma"/>
            <family val="2"/>
          </rPr>
          <t>User:</t>
        </r>
        <r>
          <rPr>
            <sz val="9"/>
            <color indexed="81"/>
            <rFont val="Tahoma"/>
            <family val="2"/>
          </rPr>
          <t xml:space="preserve">
Style 4406/10 is held in EMBLISHMENT under the column heading "Panty" (column Q, 31 machines, 5000 pcs/day). Confirmed by the planning team. If that column is ever renamed, change this cell to match.</t>
        </r>
      </text>
    </comment>
    <comment ref="L13" authorId="0" shapeId="0" xr:uid="{3EEF112B-36F6-4C01-9A78-C113BDC48D25}">
      <text>
        <r>
          <rPr>
            <b/>
            <sz val="9"/>
            <color indexed="81"/>
            <rFont val="Tahoma"/>
            <family val="2"/>
          </rPr>
          <t>User:</t>
        </r>
        <r>
          <rPr>
            <sz val="9"/>
            <color indexed="81"/>
            <rFont val="Tahoma"/>
            <family val="2"/>
          </rPr>
          <t xml:space="preserve">
TH01/02 is a mix. Recipe defaults to the HEAVIEST of the mix (TH-02 = 28 m/c) so capacity is never understated. Change to TH-01 (22) if the line only runs that.</t>
        </r>
      </text>
    </comment>
    <comment ref="L14" authorId="0" shapeId="0" xr:uid="{32AE6B05-908D-427D-9201-8E0D321A51DA}">
      <text>
        <r>
          <rPr>
            <b/>
            <sz val="9"/>
            <color indexed="81"/>
            <rFont val="Tahoma"/>
            <family val="2"/>
          </rPr>
          <t>User:</t>
        </r>
        <r>
          <rPr>
            <sz val="9"/>
            <color indexed="81"/>
            <rFont val="Tahoma"/>
            <family val="2"/>
          </rPr>
          <t xml:space="preserve">
Mix of TH-01 (22), TH-02 (28), TH-04 (19). Defaults to the heaviest, TH-02.</t>
        </r>
      </text>
    </comment>
    <comment ref="M18" authorId="0" shapeId="0" xr:uid="{C22B330C-D19B-4750-8081-F47EDA05247B}">
      <text>
        <r>
          <rPr>
            <b/>
            <sz val="9"/>
            <color indexed="81"/>
            <rFont val="Tahoma"/>
            <family val="2"/>
          </rPr>
          <t>User:</t>
        </r>
        <r>
          <rPr>
            <sz val="9"/>
            <color indexed="81"/>
            <rFont val="Tahoma"/>
            <family val="2"/>
          </rPr>
          <t xml:space="preserve">
THERMAL typed on its own is a category, not a specific style - no recipe can be applied. Replace with the actual thermal style on that line.</t>
        </r>
      </text>
    </comment>
    <comment ref="AG44" authorId="0" shapeId="0" xr:uid="{A3A83F0E-03D2-487A-AFA2-4B83E223B64C}">
      <text>
        <r>
          <rPr>
            <b/>
            <sz val="9"/>
            <color indexed="81"/>
            <rFont val="Tahoma"/>
            <family val="2"/>
          </rPr>
          <t>User:</t>
        </r>
        <r>
          <rPr>
            <sz val="9"/>
            <color indexed="81"/>
            <rFont val="Tahoma"/>
            <family val="2"/>
          </rPr>
          <t xml:space="preserve">
THERMAL is a colour category, not a style, so it has no garment type of its own.</t>
        </r>
      </text>
    </comment>
    <comment ref="AG45" authorId="0" shapeId="0" xr:uid="{812C5150-8998-42FD-A8B9-5C5DAE0D9F25}">
      <text>
        <r>
          <rPr>
            <b/>
            <sz val="9"/>
            <color indexed="81"/>
            <rFont val="Tahoma"/>
            <family val="2"/>
          </rPr>
          <t>User:</t>
        </r>
        <r>
          <rPr>
            <sz val="9"/>
            <color indexed="81"/>
            <rFont val="Tahoma"/>
            <family val="2"/>
          </rPr>
          <t xml:space="preserve">
VACCANT means the line has no work. No garment type.</t>
        </r>
      </text>
    </comment>
    <comment ref="AG47" authorId="0" shapeId="0" xr:uid="{3B47D3CF-067D-44F4-8C4D-CE35AFE4902E}">
      <text>
        <r>
          <rPr>
            <b/>
            <sz val="9"/>
            <color indexed="81"/>
            <rFont val="Tahoma"/>
            <family val="2"/>
          </rPr>
          <t>User:</t>
        </r>
        <r>
          <rPr>
            <sz val="9"/>
            <color indexed="81"/>
            <rFont val="Tahoma"/>
            <family val="2"/>
          </rPr>
          <t xml:space="preserve">
NEEDS YOUR INPUT. Style 4110 is not on any line on the current as-of date, but it does appear later in the plan (33 days). Type its garment type here.</t>
        </r>
      </text>
    </comment>
    <comment ref="AG48" authorId="0" shapeId="0" xr:uid="{1F814B06-7535-418A-A992-103FF4B57CB3}">
      <text>
        <r>
          <rPr>
            <b/>
            <sz val="9"/>
            <color indexed="81"/>
            <rFont val="Tahoma"/>
            <family val="2"/>
          </rPr>
          <t>User:</t>
        </r>
        <r>
          <rPr>
            <sz val="9"/>
            <color indexed="81"/>
            <rFont val="Tahoma"/>
            <family val="2"/>
          </rPr>
          <t xml:space="preserve">
Placeholder. 5520 is a thermal style - replace THERMAL with the actual garment type if you track thermals by garment.</t>
        </r>
      </text>
    </comment>
    <comment ref="B87" authorId="0" shapeId="0" xr:uid="{7B07AD37-1C9E-49F8-A807-AF992B81CB56}">
      <text>
        <r>
          <rPr>
            <b/>
            <sz val="9"/>
            <color indexed="81"/>
            <rFont val="Tahoma"/>
            <family val="2"/>
          </rPr>
          <t>Style on this line at the AS-OF DATE, read from the decoded colour plan. Blank means the PPC cell is unpainted, i.e. no work scheduled that day.</t>
        </r>
      </text>
    </comment>
    <comment ref="AH87" authorId="0" shapeId="0" xr:uid="{FAE19018-FF1B-4D63-8AD6-9DAE2A6926E5}">
      <text>
        <r>
          <rPr>
            <b/>
            <sz val="9"/>
            <color indexed="81"/>
            <rFont val="Tahoma"/>
            <family val="2"/>
          </rPr>
          <t>User:</t>
        </r>
        <r>
          <rPr>
            <sz val="9"/>
            <color indexed="81"/>
            <rFont val="Tahoma"/>
            <family val="2"/>
          </rPr>
          <t xml:space="preserve">
Garment type is an attribute of the STYLE, held once in block 3 column AG. It flows here automatically, so it can never be lost by typing over the dashboard.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<sst xmlns="http://schemas.openxmlformats.org/spreadsheetml/2006/main" count="1986" uniqueCount="592">
  <si>
    <t>Line Planning Chart</t>
  </si>
  <si>
    <t>M5</t>
  </si>
  <si>
    <t>M6</t>
  </si>
  <si>
    <t>M7</t>
  </si>
  <si>
    <t>M8</t>
  </si>
  <si>
    <t>Line No</t>
  </si>
  <si>
    <t>Style</t>
  </si>
  <si>
    <t>STYLES</t>
  </si>
  <si>
    <t>COLOUR CODES</t>
  </si>
  <si>
    <t>4300/4301</t>
  </si>
  <si>
    <t>RS 26/27</t>
  </si>
  <si>
    <t>RS26/27</t>
  </si>
  <si>
    <t>RS 17</t>
  </si>
  <si>
    <t>4406/10</t>
  </si>
  <si>
    <t>RS17</t>
  </si>
  <si>
    <t>THERMAL</t>
  </si>
  <si>
    <t>VACCANT</t>
  </si>
  <si>
    <t>4406/4410</t>
  </si>
  <si>
    <t>TH01/02</t>
  </si>
  <si>
    <t>TH01/02/04</t>
  </si>
  <si>
    <t>RS-27</t>
  </si>
  <si>
    <t>TRUNK</t>
  </si>
  <si>
    <t>BRIEF</t>
  </si>
  <si>
    <t>RS-17</t>
  </si>
  <si>
    <t>TH-01</t>
  </si>
  <si>
    <t>TH-02</t>
  </si>
  <si>
    <t>TH-04</t>
  </si>
  <si>
    <t>TH-05</t>
  </si>
  <si>
    <t>TH-06</t>
  </si>
  <si>
    <t>TYPE</t>
  </si>
  <si>
    <t>CATEGORY</t>
  </si>
  <si>
    <t>MODEL</t>
  </si>
  <si>
    <t>COMPANY</t>
  </si>
  <si>
    <t>MADE</t>
  </si>
  <si>
    <t>TOTAL</t>
  </si>
  <si>
    <t>Lock Stitch</t>
  </si>
  <si>
    <t>1 Needle lockstitch With Under Bed Trimmer</t>
  </si>
  <si>
    <t>MDL-1872</t>
  </si>
  <si>
    <t>Brand K</t>
  </si>
  <si>
    <t>JAPAN</t>
  </si>
  <si>
    <t>MDL-9754</t>
  </si>
  <si>
    <t>Brand F</t>
  </si>
  <si>
    <t>CHINA</t>
  </si>
  <si>
    <t xml:space="preserve">1 Needle lockstich with UBT </t>
  </si>
  <si>
    <t>MDL-3228</t>
  </si>
  <si>
    <t>CHAINA</t>
  </si>
  <si>
    <t>1 Needle lockstitch With Edge Trimmer</t>
  </si>
  <si>
    <t>MDL-1290</t>
  </si>
  <si>
    <t>Brand G</t>
  </si>
  <si>
    <t>1 Needle lockstitch With Under Trimmer &amp; Needle Feed</t>
  </si>
  <si>
    <t>MDL-7103</t>
  </si>
  <si>
    <t xml:space="preserve">2 Needle lockstitch With Split Bar &amp;  Under Bed  Trimmer </t>
  </si>
  <si>
    <t>MDL-2369</t>
  </si>
  <si>
    <t>MDL-6311</t>
  </si>
  <si>
    <t>Bartack With Programable</t>
  </si>
  <si>
    <t>MDL-9358</t>
  </si>
  <si>
    <t>MDL-4591</t>
  </si>
  <si>
    <t>Zig Zag</t>
  </si>
  <si>
    <t>MDL-0472</t>
  </si>
  <si>
    <t>Brand I</t>
  </si>
  <si>
    <t>pattern tracker</t>
  </si>
  <si>
    <t>MDL-7621</t>
  </si>
  <si>
    <t>Brand N</t>
  </si>
  <si>
    <t xml:space="preserve">Supermielastic bartack </t>
  </si>
  <si>
    <t>MDL-9953</t>
  </si>
  <si>
    <t>Brand M</t>
  </si>
  <si>
    <t>Button Hole</t>
  </si>
  <si>
    <t>MDL-6822</t>
  </si>
  <si>
    <t>Brand A</t>
  </si>
  <si>
    <t>MDL-4754</t>
  </si>
  <si>
    <t>MDL-9422</t>
  </si>
  <si>
    <t>Button attach</t>
  </si>
  <si>
    <t>MDL-8891</t>
  </si>
  <si>
    <t>2 Nneedle 4 Thread Over lock (RIB ATTACH)</t>
  </si>
  <si>
    <t>MDL-5065</t>
  </si>
  <si>
    <t>Brand J</t>
  </si>
  <si>
    <t xml:space="preserve">2 Nneedle 5 Thread Over lock </t>
  </si>
  <si>
    <t>MDL-2618</t>
  </si>
  <si>
    <t xml:space="preserve">2 Nneedle 4 Thread Over lock </t>
  </si>
  <si>
    <t>MDL-9772</t>
  </si>
  <si>
    <t>2 Nneedle 4 Thread Over lock</t>
  </si>
  <si>
    <t>MDL-5580</t>
  </si>
  <si>
    <t>2 Nneedle 4 Thread Over locK</t>
  </si>
  <si>
    <t>MDL-6738</t>
  </si>
  <si>
    <t>2 Needle 4 Thread Over Lock</t>
  </si>
  <si>
    <t>MDL-9026</t>
  </si>
  <si>
    <t>1 Needle 3 Thread Opverlock Machine (MC DEVICE)</t>
  </si>
  <si>
    <t>MDL-0877</t>
  </si>
  <si>
    <t>2 Needle 4 Thread Opverlock Machine ( FTR DEVICE)</t>
  </si>
  <si>
    <t>MDL-1944</t>
  </si>
  <si>
    <t>2 Needle 4 Thread Opverlock Machine (FTR DEVICE)</t>
  </si>
  <si>
    <t>MDL-5181</t>
  </si>
  <si>
    <t>MDL-9333</t>
  </si>
  <si>
    <t xml:space="preserve">2  Needle 4 Thread Opverlock Machine </t>
  </si>
  <si>
    <t>MDL-7680</t>
  </si>
  <si>
    <t>MDL-3722</t>
  </si>
  <si>
    <t>MDL-6306</t>
  </si>
  <si>
    <r>
      <t>2  Needle 4 Thread Cylinderbed  Opverlock Machine</t>
    </r>
    <r>
      <rPr>
        <sz val="7"/>
        <color rgb="FF000000"/>
        <rFont val="Calibri"/>
        <family val="2"/>
      </rPr>
      <t xml:space="preserve"> (ELASTIC ATTACH)</t>
    </r>
  </si>
  <si>
    <t>MDL-5532</t>
  </si>
  <si>
    <t>3 Needle 5 Thread Flat Lock (MANUAL)</t>
  </si>
  <si>
    <t>MDL-7301</t>
  </si>
  <si>
    <t>3 Needle 5 Thread Flat Lock (Binding)</t>
  </si>
  <si>
    <t>MDL-0844</t>
  </si>
  <si>
    <t>Chain Lock</t>
  </si>
  <si>
    <t>MDL-1621</t>
  </si>
  <si>
    <t>3 Needle 5 Thread Flat Lock - Bottam HEM</t>
  </si>
  <si>
    <t>MDL-1640</t>
  </si>
  <si>
    <t>3 Needle 5 Thread Flat Lock - Cylinder bed</t>
  </si>
  <si>
    <t>MDL-3675</t>
  </si>
  <si>
    <t>Multi Needle Chain Stich With Breaket Folder</t>
  </si>
  <si>
    <t>MDL-3568</t>
  </si>
  <si>
    <t>Brand H</t>
  </si>
  <si>
    <t>MDL-0552</t>
  </si>
  <si>
    <t>Chain stitch with breaket folder</t>
  </si>
  <si>
    <t>MDL-7954</t>
  </si>
  <si>
    <t>4 Needle 6 Thread Feed of the arm (LaRgo) interlock machine</t>
  </si>
  <si>
    <t>MDL-7858</t>
  </si>
  <si>
    <t>3 needle 5 thread flatlock machine</t>
  </si>
  <si>
    <t>MDL-3123</t>
  </si>
  <si>
    <t>MDL-0116</t>
  </si>
  <si>
    <r>
      <t xml:space="preserve">3 needle 5 thread flatlock cylinder bed flatlock machine - </t>
    </r>
    <r>
      <rPr>
        <sz val="7"/>
        <color rgb="FF000000"/>
        <rFont val="Calibri"/>
        <family val="2"/>
      </rPr>
      <t>TOP Elastic Att</t>
    </r>
  </si>
  <si>
    <t>MDL-5730</t>
  </si>
  <si>
    <t>3 needle 5 thread flat lock ( binding)</t>
  </si>
  <si>
    <t>MDL-4027</t>
  </si>
  <si>
    <t>3 needle 5 thread cylinderbed flatlock machine- Outer elastic attch</t>
  </si>
  <si>
    <t>MDL-0822</t>
  </si>
  <si>
    <t>3 needle 5 thread chain stitch vt</t>
  </si>
  <si>
    <t>MDL-0741</t>
  </si>
  <si>
    <t>Brand O</t>
  </si>
  <si>
    <t>MDL-8242</t>
  </si>
  <si>
    <t>snap button attaching [mannual]-top&amp; bottom part</t>
  </si>
  <si>
    <t>MDL-8898</t>
  </si>
  <si>
    <t>Brand L</t>
  </si>
  <si>
    <t>china</t>
  </si>
  <si>
    <t>double head heat transfer</t>
  </si>
  <si>
    <t>MDL-8882</t>
  </si>
  <si>
    <t>Brand B</t>
  </si>
  <si>
    <t xml:space="preserve">dable head heat transfer </t>
  </si>
  <si>
    <t>MDL-8528</t>
  </si>
  <si>
    <t>MDL-6294</t>
  </si>
  <si>
    <t>Brand C</t>
  </si>
  <si>
    <t>Others</t>
  </si>
  <si>
    <t>heat transfer priting MC</t>
  </si>
  <si>
    <t>MDL-4728</t>
  </si>
  <si>
    <t>Brand D</t>
  </si>
  <si>
    <t>HAND NEEDLE DTECTOR</t>
  </si>
  <si>
    <t>Brand E</t>
  </si>
  <si>
    <t>Machine</t>
  </si>
  <si>
    <t>RS-52</t>
  </si>
  <si>
    <t>6109-T</t>
  </si>
  <si>
    <t>4117-T</t>
  </si>
  <si>
    <t>RS-60</t>
  </si>
  <si>
    <t>RS-63</t>
  </si>
  <si>
    <t>Panty</t>
  </si>
  <si>
    <t>T Shirt</t>
  </si>
  <si>
    <t>RS-92</t>
  </si>
  <si>
    <t>BW-30</t>
  </si>
  <si>
    <t>POLO</t>
  </si>
  <si>
    <t>DNLS</t>
  </si>
  <si>
    <t>SNLS - Edge cutter</t>
  </si>
  <si>
    <t>Zig - Zag</t>
  </si>
  <si>
    <t>4th Overlock</t>
  </si>
  <si>
    <t>3th Overlock  (Leg elastic)</t>
  </si>
  <si>
    <t>5th Overlock</t>
  </si>
  <si>
    <t>Overlock (Ring Elastic Attach)</t>
  </si>
  <si>
    <t>Flatlock Hem</t>
  </si>
  <si>
    <t>F/L (Coverseam / Waist COVER SEAM</t>
  </si>
  <si>
    <t>F/L (Coverseam )</t>
  </si>
  <si>
    <t>Flatlock (Ring Elastic Attach)</t>
  </si>
  <si>
    <t>3N5T-F/L -BINDING</t>
  </si>
  <si>
    <t>3N5T-F/L -( TopStitch)</t>
  </si>
  <si>
    <t>FlatSeamer FS</t>
  </si>
  <si>
    <t>Kansai</t>
  </si>
  <si>
    <t>Feed Of Arm</t>
  </si>
  <si>
    <t>Flatlock      (VT)</t>
  </si>
  <si>
    <t>Snap button</t>
  </si>
  <si>
    <t>Button Attach</t>
  </si>
  <si>
    <t>GROUP</t>
  </si>
  <si>
    <t>SNLS</t>
  </si>
  <si>
    <t>SNEC</t>
  </si>
  <si>
    <t>ZIG ZAG</t>
  </si>
  <si>
    <t>BUTTON ATTACH</t>
  </si>
  <si>
    <t>BINDING</t>
  </si>
  <si>
    <t>VT</t>
  </si>
  <si>
    <t>OL</t>
  </si>
  <si>
    <t>FRO</t>
  </si>
  <si>
    <t>CHAINSTITCH</t>
  </si>
  <si>
    <t>LEG ELASTIC</t>
  </si>
  <si>
    <t>FLAT SEAMER</t>
  </si>
  <si>
    <t>COVER SEAM</t>
  </si>
  <si>
    <t>BARTACK</t>
  </si>
  <si>
    <t>LABEL ATTACH</t>
  </si>
  <si>
    <t>PATTERN TACKER</t>
  </si>
  <si>
    <t>KAAJ</t>
  </si>
  <si>
    <t>FLATLOCK</t>
  </si>
  <si>
    <t>BOTTOM HEM</t>
  </si>
  <si>
    <t>BELT FEEDING</t>
  </si>
  <si>
    <t>LACE ATTACH</t>
  </si>
  <si>
    <t>OUTER ELASTIC</t>
  </si>
  <si>
    <t>ILET M/F</t>
  </si>
  <si>
    <t>HEAT TRANSFER</t>
  </si>
  <si>
    <t>NEEDLE DETECTOR</t>
  </si>
  <si>
    <t>GROUP SUMMARY</t>
  </si>
  <si>
    <t>MACHINES</t>
  </si>
  <si>
    <t>% OF TOTAL</t>
  </si>
  <si>
    <t>MAPPING &amp; MACHINE-REQUIREMENT MATRIX</t>
  </si>
  <si>
    <t>1. OPERATION → MACHINE GROUP MAP</t>
  </si>
  <si>
    <t>Operation (EMBLISHMENT)</t>
  </si>
  <si>
    <t>Machine Group</t>
  </si>
  <si>
    <t>Installed</t>
  </si>
  <si>
    <t>2. PPC STYLE → EMBLISHMENT STYLE ALIAS (style list = PPC column A)</t>
  </si>
  <si>
    <t>Style (PPC col A)</t>
  </si>
  <si>
    <t>Total m/c</t>
  </si>
  <si>
    <t>Output pcs/day</t>
  </si>
  <si>
    <t>Status</t>
  </si>
  <si>
    <t>3. STYLE × MACHINE GROUP REQUIREMENT MATRIX (machines needed per line running that style)</t>
  </si>
  <si>
    <t>Sheet total</t>
  </si>
  <si>
    <t>Check</t>
  </si>
  <si>
    <t>4. LINE × MACHINE GROUP REQUIREMENT (from PPC line plan, current style per line)</t>
  </si>
  <si>
    <t>Line</t>
  </si>
  <si>
    <t>Style used</t>
  </si>
  <si>
    <t>TOTAL M/C</t>
  </si>
  <si>
    <t>TOTAL REQUIRED</t>
  </si>
  <si>
    <t>MACHINE DEPLOYMENT DASHBOARD</t>
  </si>
  <si>
    <t>Machines installed</t>
  </si>
  <si>
    <t>Machines required</t>
  </si>
  <si>
    <t>Planned output pcs/day</t>
  </si>
  <si>
    <t>MACHINE GROUP: INSTALLED vs. REQUIRED BY CURRENT STYLE MIX</t>
  </si>
  <si>
    <t>Machine group</t>
  </si>
  <si>
    <t>Required</t>
  </si>
  <si>
    <t>Surplus / (Short)</t>
  </si>
  <si>
    <t>Utilisation</t>
  </si>
  <si>
    <t>LINE LOADING (26 SEWING LINES)</t>
  </si>
  <si>
    <t>Machines req.</t>
  </si>
  <si>
    <t>Pcs per machine</t>
  </si>
  <si>
    <t>Gap</t>
  </si>
  <si>
    <t>HOW THIS MACHINE-PLANNING PACK WORKS</t>
  </si>
  <si>
    <t>The chain</t>
  </si>
  <si>
    <t>In plain words</t>
  </si>
  <si>
    <t>Block 1  (rows 4-28)</t>
  </si>
  <si>
    <t>New style introduced</t>
  </si>
  <si>
    <t>Machines bought or sold</t>
  </si>
  <si>
    <t>Blue text</t>
  </si>
  <si>
    <t>Black text</t>
  </si>
  <si>
    <t>2b. PLAN-TEXT → RECIPE + CATEGORY</t>
  </si>
  <si>
    <t>As typed in PPC</t>
  </si>
  <si>
    <t>EMBLISHMENT recipe used</t>
  </si>
  <si>
    <t>Category (PPC colour)</t>
  </si>
  <si>
    <t>STYLE</t>
  </si>
  <si>
    <t>VACANT</t>
  </si>
  <si>
    <t>← add any new plan spelling here</t>
  </si>
  <si>
    <t>Blank recipe = no machine count can be calculated. Category VACANT = line deliberately empty, not an error.</t>
  </si>
  <si>
    <t>Recipe used (from table 2b)</t>
  </si>
  <si>
    <t>← thermal sub-styles behind the THERMAL colour code</t>
  </si>
  <si>
    <t>Recipe (EMBL. col)</t>
  </si>
  <si>
    <t>Category</t>
  </si>
  <si>
    <t>Lines</t>
  </si>
  <si>
    <t>% of machines</t>
  </si>
  <si>
    <t>Green text</t>
  </si>
  <si>
    <t>Style names differ between sheets</t>
  </si>
  <si>
    <t>COLOUR LEGEND USED</t>
  </si>
  <si>
    <t>Hex</t>
  </si>
  <si>
    <t>Style / status</t>
  </si>
  <si>
    <t>Swatch</t>
  </si>
  <si>
    <t>#FF33CC</t>
  </si>
  <si>
    <t>#CC0000</t>
  </si>
  <si>
    <t>#00B050</t>
  </si>
  <si>
    <t>#66FF33</t>
  </si>
  <si>
    <t>#F4B084</t>
  </si>
  <si>
    <t>#00B0F0</t>
  </si>
  <si>
    <t>#FFFF00</t>
  </si>
  <si>
    <t>#C6E0B4</t>
  </si>
  <si>
    <t>#BF8F00</t>
  </si>
  <si>
    <t>#7030A0</t>
  </si>
  <si>
    <t>#ACB9CA</t>
  </si>
  <si>
    <t>#00FFFF</t>
  </si>
  <si>
    <t>#0D0D0D</t>
  </si>
  <si>
    <t>#3333CC</t>
  </si>
  <si>
    <t>#833C0C</t>
  </si>
  <si>
    <t>#000000</t>
  </si>
  <si>
    <t>#FFFFFF</t>
  </si>
  <si>
    <t>(not planned / blank)</t>
  </si>
  <si>
    <t>5. MATRIX TRANSPOSED (machine group down, style across) — feeds the DEMAND BY DATE engine</t>
  </si>
  <si>
    <t>MACHINE DEMAND BY DATE — every day of the plan, priced from the decoded colours</t>
  </si>
  <si>
    <t>Columns B:AA = machines needed per machine group. AB = total. AD:AV = how many lines run each style that day (the working). Driven entirely by PLAN DECODED.</t>
  </si>
  <si>
    <t>Date</t>
  </si>
  <si>
    <t>TOTAL m/c</t>
  </si>
  <si>
    <t>Lines planned</t>
  </si>
  <si>
    <t>Thermal not specified</t>
  </si>
  <si>
    <t>Style on this date</t>
  </si>
  <si>
    <t>3. CHANGEOVER FLAGS — 1 = the style changes on this day versus the day before</t>
  </si>
  <si>
    <t>Changeovers in plan</t>
  </si>
  <si>
    <t>PEAK MACHINE DEMAND ACROSS THE WHOLE 105-DAY PLAN  —  buy against these numbers, not against today</t>
  </si>
  <si>
    <t>Today</t>
  </si>
  <si>
    <t>Peak req.</t>
  </si>
  <si>
    <t>Peak date</t>
  </si>
  <si>
    <t>Gap at peak</t>
  </si>
  <si>
    <t>Verdict</t>
  </si>
  <si>
    <t>Style now</t>
  </si>
  <si>
    <t>Next change</t>
  </si>
  <si>
    <t>Changes to</t>
  </si>
  <si>
    <t>m/c now</t>
  </si>
  <si>
    <t>m/c after</t>
  </si>
  <si>
    <t>Change</t>
  </si>
  <si>
    <t>Chart source</t>
  </si>
  <si>
    <t>Every day</t>
  </si>
  <si>
    <t>PAJAMA</t>
  </si>
  <si>
    <t>VEST</t>
  </si>
  <si>
    <t>PANTY</t>
  </si>
  <si>
    <t>Garment type</t>
  </si>
  <si>
    <t>n/a</t>
  </si>
  <si>
    <t>(not set) / no work</t>
  </si>
  <si>
    <t>AS-OF DATE  ▾</t>
  </si>
  <si>
    <t>AGGREGATED MACHINE DEMAND OVER TIME</t>
  </si>
  <si>
    <t>Everything here is aggregated from columns A:AB on this sheet, which are themselves driven by the decoded colour plan. Nothing is typed.</t>
  </si>
  <si>
    <t>Peak demand</t>
  </si>
  <si>
    <t>Days with work</t>
  </si>
  <si>
    <t>Avg on working days</t>
  </si>
  <si>
    <t>Groups over capacity</t>
  </si>
  <si>
    <t>DEMAND BY WEEK</t>
  </si>
  <si>
    <t>Wk</t>
  </si>
  <si>
    <t>From</t>
  </si>
  <si>
    <t>To</t>
  </si>
  <si>
    <t>Working days</t>
  </si>
  <si>
    <t>Avg m/c</t>
  </si>
  <si>
    <t>Peak m/c</t>
  </si>
  <si>
    <t>Peak util</t>
  </si>
  <si>
    <t>DEMAND BY MONTH</t>
  </si>
  <si>
    <t>Mth</t>
  </si>
  <si>
    <t>Month</t>
  </si>
  <si>
    <t>PEAK DEMAND BY MACHINE GROUP, BY MONTH  —  when does each bottleneck actually bite?</t>
  </si>
  <si>
    <t>Worst month</t>
  </si>
  <si>
    <t>Gap at worst</t>
  </si>
  <si>
    <t>helper: first row of month</t>
  </si>
  <si>
    <t>helper: days in month</t>
  </si>
  <si>
    <t>Week</t>
  </si>
  <si>
    <t>Peak machines</t>
  </si>
  <si>
    <t>helper: first row</t>
  </si>
  <si>
    <t>helper: days</t>
  </si>
  <si>
    <t>Thermal style for this line (EDIT ME)</t>
  </si>
  <si>
    <t>helper</t>
  </si>
  <si>
    <t>Thermal recipe resolved (via MC MAP table 2b)</t>
  </si>
  <si>
    <t>TH02</t>
  </si>
  <si>
    <t>TH01</t>
  </si>
  <si>
    <t>TH04</t>
  </si>
  <si>
    <t>Installed per group (helper for the feasibility check below — do not delete)</t>
  </si>
  <si>
    <t>Days plan NOT runnable</t>
  </si>
  <si>
    <t>Machines used across ALL styles</t>
  </si>
  <si>
    <t>Ever usable?</t>
  </si>
  <si>
    <t>WORKINGS — backstage calculations and chart feeds. Hidden on purpose. Nothing here is for presentation.</t>
  </si>
  <si>
    <t>Deleting anything on this sheet will break the DASHBOARD. The charts and the next-changeover figures read from here.</t>
  </si>
  <si>
    <t>NEXT CHANGEOVER PER LINE — driven by the DASHBOARD as-of date (DASHBOARD!D4)</t>
  </si>
  <si>
    <t>helper: next date</t>
  </si>
  <si>
    <t>Next changeover anywhere</t>
  </si>
  <si>
    <t>date serial</t>
  </si>
  <si>
    <t>first line</t>
  </si>
  <si>
    <t>lines changing</t>
  </si>
  <si>
    <t>rank helper (bottleneck sort) — mirrors DASHBOARD rows 12:37</t>
  </si>
  <si>
    <t>chart source — utilisation by group</t>
  </si>
  <si>
    <t>TOTAL / TO BUY AT PEAK</t>
  </si>
  <si>
    <t>peaks fall on different dates —</t>
  </si>
  <si>
    <t>"To buy at peak" is the sum of each group's own worst-day shortfall. Those worst days are not the same date, so this is a procurement ceiling, not a single-day requirement.</t>
  </si>
  <si>
    <t>6. GARMENT TYPE x MACHINE GROUP — which machines each garment occupies on the as-of date</t>
  </si>
  <si>
    <t>MACHINES BY GROUP FOR THE GARMENT PICKED ON DASHBOARD!K71 — feeds the dashboard drill-down</t>
  </si>
  <si>
    <t>Machines for picked garment</t>
  </si>
  <si>
    <t>rank key</t>
  </si>
  <si>
    <t>Pick a garment  ▾</t>
  </si>
  <si>
    <t>Machines</t>
  </si>
  <si>
    <t>Share</t>
  </si>
  <si>
    <t>SHORTS</t>
  </si>
  <si>
    <t>GARMENT MASTER LIST</t>
  </si>
  <si>
    <t>% of group</t>
  </si>
  <si>
    <t>of installed</t>
  </si>
  <si>
    <t>Free to redeploy</t>
  </si>
  <si>
    <t>spare in groups that are working</t>
  </si>
  <si>
    <t>Idle, but unusable</t>
  </si>
  <si>
    <t>Short</t>
  </si>
  <si>
    <t>QUICK START — 60 SECONDS</t>
  </si>
  <si>
    <t>THE ONLY CELLS YOU EVER TYPE IN</t>
  </si>
  <si>
    <t>MONTH  ▾</t>
  </si>
  <si>
    <t>August 2026</t>
  </si>
  <si>
    <t>month index</t>
  </si>
  <si>
    <t>first row</t>
  </si>
  <si>
    <t>days</t>
  </si>
  <si>
    <t>working days</t>
  </si>
  <si>
    <t>Month  ▾</t>
  </si>
  <si>
    <t>WORKING CALENDAR — the only place non-working days are set</t>
  </si>
  <si>
    <t>Type Y or N in the Working column. Sundays default to N. Change any single Sunday to Y when the factory runs it.</t>
  </si>
  <si>
    <t>Day</t>
  </si>
  <si>
    <t>Working?</t>
  </si>
  <si>
    <t>Effective m/c</t>
  </si>
  <si>
    <t>Y</t>
  </si>
  <si>
    <t>N</t>
  </si>
  <si>
    <t>EFFECTIVE DATE ENGINE — every dated formula in the pack reads B75. DO NOT DELETE.</t>
  </si>
  <si>
    <t>Mode (DASHBOARD C4)</t>
  </si>
  <si>
    <t>Month picked (DASHBOARD E4)</t>
  </si>
  <si>
    <t>first row of month</t>
  </si>
  <si>
    <t>days in month</t>
  </si>
  <si>
    <t>peak-demand working day</t>
  </si>
  <si>
    <t>EFFECTIVE DATE USED BY THE PACK</t>
  </si>
  <si>
    <t>month: working days</t>
  </si>
  <si>
    <t>month: average m/c</t>
  </si>
  <si>
    <t>month: peak m/c</t>
  </si>
  <si>
    <t>last WORKING day of month</t>
  </si>
  <si>
    <t>DAY</t>
  </si>
  <si>
    <t>7. MACHINE GROUP x DATE — one month at a time.  Machine groups down, dates across.</t>
  </si>
  <si>
    <t>Month peak</t>
  </si>
  <si>
    <t>Working day?</t>
  </si>
  <si>
    <t>m/c per line</t>
  </si>
  <si>
    <t>BLOCK 7 SORT HELPER — ranks machine groups worst-first for the month picked on MC MAP B91</t>
  </si>
  <si>
    <t>Group</t>
  </si>
  <si>
    <t>VERDICT FOR THE MONTH</t>
  </si>
  <si>
    <t>Peak</t>
  </si>
  <si>
    <t>Days short</t>
  </si>
  <si>
    <t>TOTAL MACHINES NEEDED</t>
  </si>
  <si>
    <t>Machine types over capacity</t>
  </si>
  <si>
    <t>WHICH STYLES ARE RUNNING — number of lines on each style, same dates across</t>
  </si>
  <si>
    <t>Garment</t>
  </si>
  <si>
    <t>Lines peak</t>
  </si>
  <si>
    <t>Days run</t>
  </si>
  <si>
    <t>TOTAL LINES RUNNING</t>
  </si>
  <si>
    <t>MACHINE CAPACITY — MONTHLY DECISION VIEW</t>
  </si>
  <si>
    <t>month idx</t>
  </si>
  <si>
    <t>Family</t>
  </si>
  <si>
    <t>Family spare</t>
  </si>
  <si>
    <t>Cover by moving</t>
  </si>
  <si>
    <t>Must buy</t>
  </si>
  <si>
    <t>rank</t>
  </si>
  <si>
    <t>prior claims</t>
  </si>
  <si>
    <t>Own</t>
  </si>
  <si>
    <t>Need</t>
  </si>
  <si>
    <t>DECISION</t>
  </si>
  <si>
    <t>SPARE</t>
  </si>
  <si>
    <t>Can it help a shortage?</t>
  </si>
  <si>
    <t>spare rank</t>
  </si>
  <si>
    <t>Days</t>
  </si>
  <si>
    <t>Move</t>
  </si>
  <si>
    <t>Buy</t>
  </si>
  <si>
    <t>Used</t>
  </si>
  <si>
    <t>Machine groups short</t>
  </si>
  <si>
    <t>Machines required (month peak)</t>
  </si>
  <si>
    <t>Idle machines (this date)</t>
  </si>
  <si>
    <t>Garment Unit A</t>
  </si>
  <si>
    <t>F/L (Coverseam )with pullar</t>
  </si>
  <si>
    <t>Heat Seal</t>
  </si>
  <si>
    <t>Bartack</t>
  </si>
  <si>
    <t>Bartack Pattern tacker</t>
  </si>
  <si>
    <t>family / move logic for DASHBOARD group table (mirrors DASHBOARD rows 12:37)</t>
  </si>
  <si>
    <t>Prior claims</t>
  </si>
  <si>
    <t>Available</t>
  </si>
  <si>
    <t>LOCK-STITCH</t>
  </si>
  <si>
    <t>OVER-LOCK</t>
  </si>
  <si>
    <t>3th Overlock (Leg elastic)</t>
  </si>
  <si>
    <t>FLAT-LOCK</t>
  </si>
  <si>
    <t>FS</t>
  </si>
  <si>
    <t>MULTI-NEEDLE</t>
  </si>
  <si>
    <t>CS-DNLS</t>
  </si>
  <si>
    <t>Chain stitch</t>
  </si>
  <si>
    <t>Flatlock (VT)</t>
  </si>
  <si>
    <t>HT</t>
  </si>
  <si>
    <t>ILET</t>
  </si>
  <si>
    <t>BH</t>
  </si>
  <si>
    <t>BA</t>
  </si>
  <si>
    <t>BTK</t>
  </si>
  <si>
    <t>PATTERN-TACKER</t>
  </si>
  <si>
    <t>Bartack Pattern tacker (LABEL ATTACH )</t>
  </si>
  <si>
    <t>1. OPERATION → MACHINE (1:1 join on name; only Feed Of Arm differs, mapped to Chain stitch)</t>
  </si>
  <si>
    <t>=DASHBOARD!$E$4</t>
  </si>
  <si>
    <t>8. MACHINE CATEGORY — from New_MM column A (the factory's own grouping). Machines in the same category can cover for each other.</t>
  </si>
  <si>
    <t>Now sourced from the factory list, not inferred. Edit New_MM column A to change a category.</t>
  </si>
  <si>
    <t>Bridges EMBELISHMENT operations and PPC style names to New_MM groups. Blue cells are editable inputs.</t>
  </si>
  <si>
    <t>CATEGORY SORT ORDER for MD VIEW — groups machines by their New_MM category</t>
  </si>
  <si>
    <t>Category first appears at</t>
  </si>
  <si>
    <t>Sort key</t>
  </si>
  <si>
    <t>TOTAL MACHINES NEEDED (all machines)</t>
  </si>
  <si>
    <t>Machine  (grouped by category)</t>
  </si>
  <si>
    <t>Category  /  can it be covered by moving?</t>
  </si>
  <si>
    <t>SUPERSEDED — reference only. The live machine list is New_MM. Nothing reads from this sheet; kept for the model / brand / country asset detail.</t>
  </si>
  <si>
    <t xml:space="preserve">IDLE </t>
  </si>
  <si>
    <t>Light fill</t>
  </si>
  <si>
    <t>Original board colour</t>
  </si>
  <si>
    <t>1. THE PLAN — type or pick a style in every working cell</t>
  </si>
  <si>
    <t>SUPERSEDED — this painted board is no longer the plan. The live plan is the PLAN DECODED sheet, where styles are typed. Kept for history only; nothing reads from it.</t>
  </si>
  <si>
    <t>Machines to MOVE</t>
  </si>
  <si>
    <t>Machines to BUY</t>
  </si>
  <si>
    <t>Days plan won't run</t>
  </si>
  <si>
    <t xml:space="preserve">2. RESOLVED — </t>
  </si>
  <si>
    <t xml:space="preserve">LINE PLAN — MASTER </t>
  </si>
  <si>
    <t>MACHINE MASTER — the live machine list</t>
  </si>
  <si>
    <t>Machine names must match the operation rows on EMBELISHMENT exactly. CATEGORY groups machines that can cover for each other.</t>
  </si>
  <si>
    <t>TOTAL MACHINES</t>
  </si>
  <si>
    <t>PLAN STYLE LIST — drives the pricing matrix. DO NOT overwrite.</t>
  </si>
  <si>
    <t xml:space="preserve">VALIDATION LIST </t>
  </si>
  <si>
    <t>NEEDS INPUT</t>
  </si>
  <si>
    <t>T SHIRT</t>
  </si>
  <si>
    <t>9. STYLE × MACHINE MATRIX — TRANSPOSED, ALL 48 STYLES. This is the block the daily engine prices from. Machines down, styles across.</t>
  </si>
  <si>
    <t>WORKING — lines running each of the 48 styles on that date. Replaces the old AD:AV block (19 styles only).</t>
  </si>
  <si>
    <t>← the only place garment names are typed. Add a new garment type HERE first, then pick it in column AG.</t>
  </si>
  <si>
    <t>Six visible tabs, in reading order: MD VIEW → DASHBOARD → LINE PLAN → MC MASTER → EMBELISHMENT → MC MAP. Backstage and hidden: DEMAND BY DATE (the daily engine), WORKINGS (helpers), plus PPC and MACHINE MASTER which are ARCHIVES ONLY — nothing reads them, and updating them changes nothing.</t>
  </si>
  <si>
    <t>1.  Type the plan</t>
  </si>
  <si>
    <t>On LINE PLAN, pick a style in each cell of the grid B6:DB31 (26 lines down, 105 dates across). Use the dropdown — it only offers styles that exist. The cell colours itself automatically; you never paint anything.</t>
  </si>
  <si>
    <t>2.  Watch the check cell</t>
  </si>
  <si>
    <t>LINE PLAN HA2 must read "ALL PLANNED STYLES CAN BE PRICED". If it turns red it tells you how many cells use a style with no machine recipe — those cells are NOT being costed. Fix before trusting any number.</t>
  </si>
  <si>
    <t>3.  Pick a date</t>
  </si>
  <si>
    <t>On DASHBOARD, use the yellow date picker to choose any day. Every number re-prices to that day. MD VIEW does the same at month level.</t>
  </si>
  <si>
    <t>4.  Read the KPIs</t>
  </si>
  <si>
    <t>Installed · Required · Utilisation · Groups short · Lines loaded · Output. If "Groups short" is above zero, the plan cannot physically be run that day even if total machines look sufficient.</t>
  </si>
  <si>
    <t>5.  Buy against the peak</t>
  </si>
  <si>
    <t>The PEAK MACHINE DEMAND block uses the worst day in the whole plan, not today. Purchase decisions use that table — never the single-day view.</t>
  </si>
  <si>
    <t>Which thermal style each line runs, when that line has THERMAL days. THERMAL on its own is a category, not a style, so it cannot be priced until you name the variant here.</t>
  </si>
  <si>
    <t>How many of each machine we own. This sheet IS our capacity. Machines are keyed by name, so changing a quantity is all that is needed.</t>
  </si>
  <si>
    <t>MC MAP  AG33:AG80</t>
  </si>
  <si>
    <t>MC MAP  AJ33:AJ43</t>
  </si>
  <si>
    <t>THE GARMENT MASTER LIST. The only place garment names are typed. Add a new garment type here FIRST, then it becomes selectable in column AG.</t>
  </si>
  <si>
    <t>HOW THE DATA FLOWS</t>
  </si>
  <si>
    <t>LINE PLAN typed styles → LINE PLAN resolved grid (expands THERMAL into the actual variant) → MC MAP block 3 pricing matrix (how many of each machine does this style need?) → DEMAND BY DATE (repeat that sum for every line, every day) → DASHBOARD / MD VIEW (compare against MC MASTER installed).</t>
  </si>
  <si>
    <t>Every line runs one style. Every style has a fixed machine recipe. So the machines needed on any day = the sum of 26 recipes. Subtract what we own, group by group, and the shortage or surplus falls out.</t>
  </si>
  <si>
    <t>Where to debug</t>
  </si>
  <si>
    <t>MC MAP is the workshop — all joining, translating and adding up happens there in the open where you can audit it. If a DASHBOARD number looks wrong the cause is in MC MAP or LINE PLAN, never on the DASHBOARD itself.</t>
  </si>
  <si>
    <t>MC MAP — THE WORKSHOP</t>
  </si>
  <si>
    <t>OPERATION → MACHINE. A straight 1:1 join on the machine name, because MC MASTER names its machines exactly as EMBELISHMENT names its operation rows. Column C pulls the Available count from MC MASTER.</t>
  </si>
  <si>
    <t>Alias table  (K5:M28)</t>
  </si>
  <si>
    <t>Planner's text → EMBELISHMENT recipe column → category. Handles names that differ between sheets, e.g. "4406/10" is held in EMBELISHMENT as "Panty", and "RS 26/27" as "RS-27".</t>
  </si>
  <si>
    <t>Block 3  (rows 32-80)</t>
  </si>
  <si>
    <t>STYLE × MACHINE MATRIX — the heart of the pack. 48 style rows × 26 machine groups: all 42 EMBELISHMENT styles plus 6 legacy board names (4300/4301, RS 26/27, 4406/10, RS17, THERMAL, VACCANT). Columns AB:AD are a self-audit — the re-grouped total must equal the EMBELISHMENT sheet total, shown as OK. AE = recipe, AF = category, AG = garment type.</t>
  </si>
  <si>
    <t>Block 4  (rows 85-112)</t>
  </si>
  <si>
    <t>LINE × MACHINE GROUP for the as-of date. The 26 lines, each given the style it runs that day, exploded across the 26 groups. The total row IS the factory's machine demand on that date.</t>
  </si>
  <si>
    <t>Block 7  (rows 119-203)</t>
  </si>
  <si>
    <t>MONTH VIEW — machine groups and styles down, one month of dates across. Pick the month at B120.</t>
  </si>
  <si>
    <t>Block 9  (CZ4:EV30)</t>
  </si>
  <si>
    <t>THE MATRIX, TRANSPOSED — machines down, all 48 styles across. Identical numbers to block 3, just rotated, because the daily engine needs to read a machine group as a row. Nothing to maintain; it follows block 3 automatically. DO NOT DELETE.</t>
  </si>
  <si>
    <t>HOW TO KEEP IT ALIVE — 5 ROUTINES</t>
  </si>
  <si>
    <t>Nothing to do. Type or change styles on LINE PLAN and everything downstream re-prices instantly — there is no decode step any more. Just keep an eye on the check cell at LINE PLAN HA2.</t>
  </si>
  <si>
    <t>Filling a garment type</t>
  </si>
  <si>
    <t>Go to MC MAP column AG, find the style's row, and PICK from the dropdown. If the garment you want is not offered, add it to the GARMENT MASTER LIST at AJ33:AJ43 first, then pick it. Do not type free text into AG — the dropdown blocks it, because a typo would split the garment rollup into two half-totals. Pink "NEEDS INPUT" cells are the outstanding ones. This affects ONLY the by-garment breakdown; machine counts are correct either way.</t>
  </si>
  <si>
    <t>(1) Give it a column in EMBELISHMENT with its machine recipe. (2) If the planner's name differs from the EMBELISHMENT heading, add the pairing to the alias table MC MAP K5:M28. (3) Add one row to MC MAP block 3 by copying the row above, and point column A at the new EMBELISHMENT heading. (4) Add the style to the validation list on LINE PLAN column HE (HE5:HE47). (5) Set its garment type in AG. All 42 current EMBELISHMENT styles are already covered.</t>
  </si>
  <si>
    <t>Update the Available column in MC MASTER only. Machines are keyed by name, so nothing else needs touching — unless a brand-new machine TYPE is added, in which case the 26-machine width of MC MAP blocks 3, 4, 9 and DEMAND BY DATE must be extended.</t>
  </si>
  <si>
    <t>Extending the date horizon</t>
  </si>
  <si>
    <t>SELF-CHECKS — WHERE THE PACK TELLS YOU IT IS BROKEN</t>
  </si>
  <si>
    <t>Unpriceable styles. Green = every planned cell can be costed. Red = the count of cells using a style with no machine recipe. THIS IS THE MOST IMPORTANT CELL IN THE PACK — a style that cannot be priced plans happily and costs zero machines.</t>
  </si>
  <si>
    <t>MC MAP  AD33:AD80</t>
  </si>
  <si>
    <t>Matrix cross-foot. Every row must read OK or n/a. Any number means the re-grouped machine total disagrees with the EMBELISHMENT sheet total for that style.</t>
  </si>
  <si>
    <t>Pink "NEEDS INPUT" = garment type not yet set. Affects the by-garment breakdown only.</t>
  </si>
  <si>
    <t>DEMAND BY DATE  AX</t>
  </si>
  <si>
    <t>Groups over capacity, per day. Above zero means the plan cannot physically be run that day even if total machines look sufficient.</t>
  </si>
  <si>
    <t>DEMAND BY DATE  AW</t>
  </si>
  <si>
    <t>Thermal not specified. Counts lines with THERMAL days where no variant has been named in LINE PLAN GY36:GY61. Those lines are costing zero machines.</t>
  </si>
  <si>
    <t>COLOUR CONVENTIONS</t>
  </si>
  <si>
    <t>Something you type in — an input or a judgement call. Meant to be edited.</t>
  </si>
  <si>
    <t>A formula. Do not overwrite with a typed number — it breaks the audit trail.</t>
  </si>
  <si>
    <t>A value pulled from another sheet in this workbook.</t>
  </si>
  <si>
    <t>Light fills on the plan grid</t>
  </si>
  <si>
    <t>Applied automatically by conditional formatting from the typed style. You never paint a cell.</t>
  </si>
  <si>
    <t>Red / amber / grey / green flags</t>
  </si>
  <si>
    <t>DASHBOARD status: SHORT (need more than we own) / TIGHT (under 10% spare, one breakdown stops a line) / IDLE (nothing planned needs it) / OK.</t>
  </si>
  <si>
    <t>KNOWN GAPS — FLAGGED, NOT HIDDEN</t>
  </si>
  <si>
    <t>19 garment types unset</t>
  </si>
  <si>
    <t>MC MAP AG column: 4222, 4223, RS-52, RS-60, RS-63, RS-92, BW-30, 4359, 4523, 4525, 5200, 5201, 5220, 5500, 5501, 5503, 5543, 5544 and 4110 have no garment type yet. Machine counts are correct; only the by-garment breakdown excludes them.</t>
  </si>
  <si>
    <t>EMBELISHMENT does not always use the planner's name — e.g. 4406/10 is held as "Panty", RS 26/27 as "RS-27", 4300/4301 as separate 4300 and 4301 columns. The alias table at MC MAP K5:M28 handles this; no source sheet needs renaming.</t>
  </si>
  <si>
    <t>Thermal is a category</t>
  </si>
  <si>
    <t>THERMAL typed on its own cannot be priced — 5520, TH-01, TH-02, TH-04, TH-05 and TH-06 each have their own recipe. Name the variant in LINE PLAN GY36:GY61. Where a line runs a mix, the alias table defaults to the heaviest so capacity is never understated.</t>
  </si>
  <si>
    <t>PPC and MACHINE MASTER are archives</t>
  </si>
  <si>
    <t>Both hidden and referenced by nothing. Editing them changes no number in this pack. Kept only as a record of the original colour board and the original asset register.</t>
  </si>
  <si>
    <t>Last reviewed</t>
  </si>
  <si>
    <t>PLAN START</t>
  </si>
  <si>
    <t>DAYS IN PLAN</t>
  </si>
  <si>
    <t>LINE PLAN  B2 and B3</t>
  </si>
  <si>
    <t>THE TWO DATE CONTROLS (yellow). B2 = plan start date. B3 = how many days the plan covers. Change B3 and the horizon extends or shrinks instantly — dates, the grid, the daily engine and both dashboards all follow. Capacity is built to 200 days; do not exceed that number. Month views cover the first four calendar months from the plan start.</t>
  </si>
  <si>
    <t>LINE PLAN  B6:GS31</t>
  </si>
  <si>
    <t>THE PLAN ITSELF. One style per line per date, chosen from the dropdown. Days beyond the horizon set in B3 are inert and cost nothing.</t>
  </si>
  <si>
    <t>LINE PLAN  GY36:GY61</t>
  </si>
  <si>
    <t>MC MASTER  A3:C28</t>
  </si>
  <si>
    <t>EMBELISHMENT</t>
  </si>
  <si>
    <t>The machine recipe per style — 25 operation rows × 42 style columns. Row 28 is the daily output target. This is the demand side of the model. Fully editable.</t>
  </si>
  <si>
    <t>GARMENT TYPE per style, chosen from the dropdown. Cells reading "NEEDS INPUT" (shaded pink) are still blank.</t>
  </si>
  <si>
    <t>MC MAP  K5:M28 / B5:B29 / B120</t>
  </si>
  <si>
    <t>The alias table (planner's text → EMBELISHMENT column → category), the operation→machine map, and the month picker for the month view.</t>
  </si>
  <si>
    <t>DASHBOARD  C4 / D4 / E4 / K71</t>
  </si>
  <si>
    <t>View switch (DAY / MONTH END / MONTH PEAK), as-of date, month, and the garment picker for the drill-down. MD VIEW D4 is its month picker.</t>
  </si>
  <si>
    <t>DEMAND BY DATE  BS</t>
  </si>
  <si>
    <t>Working-day calendar, Y or N per date. Days you add by raising B3 default to Y, except Sundays which default to N. Override any day by typing over it.</t>
  </si>
  <si>
    <t>EVERYTHING ELSE IS LOCKED</t>
  </si>
  <si>
    <t>Every sheet is now protected. The cells listed above are the only ones that accept typing — every formula in the pack is locked and Excel will refuse to overwrite it. There is no password, so the protection can be lifted from Review › Unprotect Sheet if a structural change is genuinely needed. Treat that as a deliberate act, not a workaround.</t>
  </si>
  <si>
    <t>Also blocked</t>
  </si>
  <si>
    <t>Sorting, filtering, and inserting or deleting rows and columns are switched off on every sheet. Sorting the plan grid used to scramble the row references behind it — that can no longer happen by accident.</t>
  </si>
  <si>
    <t>ONE CELL. Raise LINE PLAN B3 ("DAYS IN PLAN"). Everything follows automatically: the date row, the plan grid, the resolved grid, the changeover flags, the daily engine, the peak-demand block and both dashboards. To shift the whole plan to a different start, change B2 instead. Capacity is built to 200 days — if you ever need more than that, ask me, because the grid width and the daily engine both have to grow. New days default to working, except Sundays; adjust in DEMAND BY DATE column BS.</t>
  </si>
  <si>
    <t>LINE PLAN  HA2</t>
  </si>
  <si>
    <t>Horizon capacity is 200 days</t>
  </si>
  <si>
    <t>Days 1-200 are pre-built. Set the live horizon with LINE PLAN B3 (currently 105). Going beyond 200 needs a structural change on LINE PLAN and DEMAND BY DATE.</t>
  </si>
  <si>
    <t>Matrix covers all 48 styles; horizon made adjustable from one cell with 200-day capacity; every sheet protected with only input cells editable; peak requirement 808 machines; zero formula errors workbook-wide.</t>
  </si>
  <si>
    <t>◄ CHANGE THIS to shift the whole plan to a different start date</t>
  </si>
  <si>
    <t>◄ CHANGE THIS to add or remove days (max 200). The date row is calculated and cannot be typed 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</si>
</sst>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
    <numFmt numFmtId="166" formatCode="#,##0.0;\(#,##0.0\);\-"/>
    <numFmt numFmtId="167" formatCode="#,##0.0"/>
    <numFmt numFmtId="168" formatCode="ddd\ d\-mmm"/>
    <numFmt numFmtId="169" formatCode="ddd\ d\-mmm\-yyyy"/>
    <numFmt numFmtId="170" formatCode="\+#,##0.0;\-#,##0.0;\-"/>
    <numFmt numFmtId="171" formatCode="d"/>
    <numFmt numFmtId="172" formatCode="#,##0;;\-"/>
    <numFmt numFmtId="173" formatCode="#,##0.0;\-#,##0.0;0"/>
    <numFmt numFmtId="174" formatCode="d\-mmm\-yyyy"/>
    <numFmt numFmtId="175" formatCode="d\-mmm;;"/>
    <numFmt numFmtId="176" formatCode="ddd\ d\-mmm;;"/>
  </numFmts>
  <fonts count="109">
    <font>
      <sz val="11"/>
      <color theme="1"/>
      <name val="Calibri"/>
      <family val="2"/>
      <scheme val="minor"/>
    </font>
    <font>
      <sz val="11"/>
      <color theme="1"/>
      <name val="Calibri"/>
      <family val="2"/>
      <scheme val="minor"/>
    </font>
    <font>
      <b/>
      <sz val="11"/>
      <color theme="1"/>
      <name val="Calibri"/>
      <family val="2"/>
      <scheme val="minor"/>
    </font>
    <font>
      <sz val="11"/>
      <color rgb="FF000000"/>
      <name val="Segoe UI"/>
      <family val="2"/>
    </font>
    <font>
      <sz val="14"/>
      <color rgb="FF000000"/>
      <name val="Calibri"/>
      <family val="2"/>
    </font>
    <font>
      <b/>
      <sz val="14"/>
      <color rgb="FF000000"/>
      <name val="Inherit"/>
    </font>
    <font>
      <b/>
      <sz val="11"/>
      <color indexed="8"/>
      <name val="Calibri"/>
      <family val="2"/>
    </font>
    <font>
      <b/>
      <sz val="14"/>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sz val="8"/>
      <color theme="1"/>
      <name val="Calibri"/>
      <family val="2"/>
      <scheme val="minor"/>
    </font>
    <font>
      <b/>
      <sz val="8"/>
      <color theme="1"/>
      <name val="Calibri"/>
      <family val="2"/>
      <scheme val="minor"/>
    </font>
    <font>
      <b/>
      <sz val="8"/>
      <color indexed="8"/>
      <name val="Calibri"/>
      <family val="2"/>
    </font>
    <font>
      <sz val="8"/>
      <color indexed="8"/>
      <name val="Calibri"/>
      <family val="2"/>
    </font>
    <font>
      <sz val="7"/>
      <color indexed="8"/>
      <name val="Calibri"/>
      <family val="2"/>
    </font>
    <font>
      <sz val="7"/>
      <color rgb="FF000000"/>
      <name val="Calibri"/>
      <family val="2"/>
    </font>
    <font>
      <b/>
      <sz val="8"/>
      <color rgb="FF000000"/>
      <name val="Calibri"/>
      <family val="2"/>
    </font>
    <font>
      <sz val="8"/>
      <color rgb="FF000000"/>
      <name val="Calibri"/>
      <family val="2"/>
      <scheme val="minor"/>
    </font>
    <font>
      <sz val="8"/>
      <color rgb="FF000000"/>
      <name val="Calibri"/>
      <family val="2"/>
    </font>
    <font>
      <b/>
      <sz val="8"/>
      <color rgb="FF000000"/>
      <name val="Calibri"/>
      <family val="2"/>
      <scheme val="minor"/>
    </font>
    <font>
      <i/>
      <sz val="11"/>
      <color rgb="FF808080"/>
      <name val="Calibri"/>
      <family val="2"/>
      <scheme val="minor"/>
    </font>
    <font>
      <b/>
      <sz val="11"/>
      <color rgb="FFFFFFFF"/>
      <name val="Calibri"/>
      <family val="2"/>
      <scheme val="minor"/>
    </font>
    <font>
      <sz val="11"/>
      <color rgb="FF0000FF"/>
      <name val="Calibri"/>
      <family val="2"/>
      <scheme val="minor"/>
    </font>
    <font>
      <i/>
      <sz val="9"/>
      <color rgb="FF808080"/>
      <name val="Calibri"/>
      <family val="2"/>
      <scheme val="minor"/>
    </font>
    <font>
      <b/>
      <sz val="10"/>
      <color rgb="FFFFFFFF"/>
      <name val="Calibri"/>
      <family val="2"/>
      <scheme val="minor"/>
    </font>
    <font>
      <b/>
      <sz val="11"/>
      <color rgb="FFC00000"/>
      <name val="Calibri"/>
      <family val="2"/>
      <scheme val="minor"/>
    </font>
    <font>
      <b/>
      <sz val="11"/>
      <color rgb="FF006100"/>
      <name val="Calibri"/>
      <family val="2"/>
      <scheme val="minor"/>
    </font>
    <font>
      <sz val="11"/>
      <color rgb="FFC00000"/>
      <name val="Calibri"/>
      <family val="2"/>
      <scheme val="minor"/>
    </font>
    <font>
      <sz val="11"/>
      <color theme="1"/>
      <name val="Calibri"/>
      <family val="2"/>
      <scheme val="minor"/>
    </font>
    <font>
      <b/>
      <sz val="11"/>
      <color rgb="FF0000FF"/>
      <name val="Calibri"/>
      <family val="2"/>
      <scheme val="minor"/>
    </font>
    <font>
      <sz val="11"/>
      <color rgb="FFFFFFFF"/>
      <name val="Calibri"/>
      <family val="2"/>
      <scheme val="minor"/>
    </font>
    <font>
      <sz val="9"/>
      <color rgb="FF808080"/>
      <name val="Calibri"/>
      <family val="2"/>
      <scheme val="minor"/>
    </font>
    <font>
      <sz val="9"/>
      <color indexed="81"/>
      <name val="Tahoma"/>
      <family val="2"/>
    </font>
    <font>
      <b/>
      <sz val="9"/>
      <color indexed="81"/>
      <name val="Tahoma"/>
      <family val="2"/>
    </font>
    <font>
      <sz val="11"/>
      <color rgb="FF008000"/>
      <name val="Calibri"/>
      <family val="2"/>
      <scheme val="minor"/>
    </font>
    <font>
      <sz val="9"/>
      <color rgb="FF008000"/>
      <name val="Calibri"/>
      <family val="2"/>
      <scheme val="minor"/>
    </font>
    <font>
      <b/>
      <sz val="9"/>
      <color rgb="FFFFFFFF"/>
      <name val="Calibri"/>
      <family val="2"/>
      <scheme val="minor"/>
    </font>
    <font>
      <b/>
      <sz val="11"/>
      <color rgb="FF808080"/>
      <name val="Calibri"/>
      <family val="2"/>
      <scheme val="minor"/>
    </font>
    <font>
      <b/>
      <sz val="8"/>
      <color rgb="FFBFBFBF"/>
      <name val="Calibri"/>
      <family val="2"/>
      <scheme val="minor"/>
    </font>
    <font>
      <sz val="8"/>
      <color rgb="FFBFBFBF"/>
      <name val="Calibri"/>
      <family val="2"/>
      <scheme val="minor"/>
    </font>
    <font>
      <b/>
      <sz val="15"/>
      <color rgb="FF1F3864"/>
      <name val="Calibri"/>
      <family val="2"/>
      <scheme val="minor"/>
    </font>
    <font>
      <b/>
      <sz val="11"/>
      <color rgb="FF1F3864"/>
      <name val="Calibri"/>
      <family val="2"/>
      <scheme val="minor"/>
    </font>
    <font>
      <i/>
      <sz val="10"/>
      <color rgb="FF808080"/>
      <name val="Calibri"/>
      <family val="2"/>
      <scheme val="minor"/>
    </font>
    <font>
      <b/>
      <sz val="12"/>
      <color rgb="FFFFFFFF"/>
      <name val="Calibri"/>
      <family val="2"/>
      <scheme val="minor"/>
    </font>
    <font>
      <i/>
      <sz val="11"/>
      <color rgb="FFBFBFBF"/>
      <name val="Calibri"/>
      <family val="2"/>
      <scheme val="minor"/>
    </font>
    <font>
      <b/>
      <sz val="10"/>
      <color rgb="FF1F3864"/>
      <name val="Calibri"/>
      <family val="2"/>
      <scheme val="minor"/>
    </font>
    <font>
      <b/>
      <sz val="9"/>
      <color rgb="FF9C0006"/>
      <name val="Calibri"/>
      <family val="2"/>
      <scheme val="minor"/>
    </font>
    <font>
      <sz val="9"/>
      <color rgb="FF0000FF"/>
      <name val="Calibri"/>
      <family val="2"/>
      <scheme val="minor"/>
    </font>
    <font>
      <i/>
      <sz val="8"/>
      <color rgb="FFBFBFBF"/>
      <name val="Calibri"/>
      <family val="2"/>
      <scheme val="minor"/>
    </font>
    <font>
      <b/>
      <sz val="14"/>
      <color rgb="FF1F3864"/>
      <name val="Calibri"/>
      <family val="2"/>
      <scheme val="minor"/>
    </font>
    <font>
      <b/>
      <sz val="14"/>
      <color rgb="FFC00000"/>
      <name val="Calibri"/>
      <family val="2"/>
      <scheme val="minor"/>
    </font>
    <font>
      <b/>
      <sz val="12"/>
      <color theme="1"/>
      <name val="Calibri"/>
      <family val="2"/>
      <scheme val="minor"/>
    </font>
    <font>
      <sz val="8"/>
      <color rgb="FF008000"/>
      <name val="Calibri"/>
      <family val="2"/>
      <scheme val="minor"/>
    </font>
    <font>
      <sz val="10"/>
      <color rgb="FF0000FF"/>
      <name val="Calibri"/>
      <family val="2"/>
      <scheme val="minor"/>
    </font>
    <font>
      <i/>
      <sz val="8"/>
      <color rgb="FF808080"/>
      <name val="Calibri"/>
      <family val="2"/>
      <scheme val="minor"/>
    </font>
    <font>
      <b/>
      <sz val="13"/>
      <color rgb="FF808080"/>
      <name val="Calibri"/>
      <family val="2"/>
      <scheme val="minor"/>
    </font>
    <font>
      <i/>
      <sz val="11"/>
      <color rgb="FFC00000"/>
      <name val="Calibri"/>
      <family val="2"/>
      <scheme val="minor"/>
    </font>
    <font>
      <b/>
      <sz val="16"/>
      <color rgb="FF1F3864"/>
      <name val="Calibri"/>
      <family val="2"/>
      <scheme val="minor"/>
    </font>
    <font>
      <sz val="9.5"/>
      <color rgb="FF808080"/>
      <name val="Calibri"/>
      <family val="2"/>
      <scheme val="minor"/>
    </font>
    <font>
      <sz val="9.5"/>
      <color rgb="FF7F7F7F"/>
      <name val="Calibri"/>
      <family val="2"/>
      <scheme val="minor"/>
    </font>
    <font>
      <b/>
      <sz val="9.5"/>
      <color rgb="FF1F3864"/>
      <name val="Calibri"/>
      <family val="2"/>
      <scheme val="minor"/>
    </font>
    <font>
      <sz val="9.5"/>
      <color theme="1"/>
      <name val="Calibri"/>
      <family val="2"/>
      <scheme val="minor"/>
    </font>
    <font>
      <b/>
      <sz val="9.5"/>
      <color rgb="FF0000FF"/>
      <name val="Calibri"/>
      <family val="2"/>
      <scheme val="minor"/>
    </font>
    <font>
      <i/>
      <sz val="9.5"/>
      <color rgb="FF808080"/>
      <name val="Calibri"/>
      <family val="2"/>
      <scheme val="minor"/>
    </font>
    <font>
      <b/>
      <sz val="16"/>
      <color theme="1"/>
      <name val="Calibri"/>
      <family val="2"/>
      <scheme val="minor"/>
    </font>
    <font>
      <b/>
      <sz val="10.5"/>
      <color rgb="FFFFFFFF"/>
      <name val="Calibri"/>
      <family val="2"/>
      <scheme val="minor"/>
    </font>
    <font>
      <b/>
      <sz val="9.5"/>
      <color theme="1"/>
      <name val="Calibri"/>
      <family val="2"/>
      <scheme val="minor"/>
    </font>
    <font>
      <sz val="8.5"/>
      <color rgb="FF7F7F7F"/>
      <name val="Calibri"/>
      <family val="2"/>
      <scheme val="minor"/>
    </font>
    <font>
      <b/>
      <sz val="9"/>
      <color rgb="FF1F3864"/>
      <name val="Calibri"/>
      <family val="2"/>
      <scheme val="minor"/>
    </font>
    <font>
      <b/>
      <sz val="9.5"/>
      <color rgb="FFC00000"/>
      <name val="Calibri"/>
      <family val="2"/>
      <scheme val="minor"/>
    </font>
    <font>
      <sz val="9.5"/>
      <color rgb="FFA66500"/>
      <name val="Calibri"/>
      <family val="2"/>
      <scheme val="minor"/>
    </font>
    <font>
      <sz val="9.5"/>
      <color rgb="FFFF0000"/>
      <name val="Calibri"/>
      <family val="2"/>
      <scheme val="minor"/>
    </font>
    <font>
      <sz val="9.5"/>
      <color rgb="FF000000"/>
      <name val="Calibri"/>
      <family val="2"/>
      <scheme val="minor"/>
    </font>
    <font>
      <b/>
      <i/>
      <sz val="9.5"/>
      <color rgb="FF808080"/>
      <name val="Calibri"/>
      <family val="2"/>
      <scheme val="minor"/>
    </font>
    <font>
      <b/>
      <sz val="9.5"/>
      <color rgb="FF9C0006"/>
      <name val="Calibri"/>
      <family val="2"/>
      <scheme val="minor"/>
    </font>
    <font>
      <b/>
      <sz val="10"/>
      <color rgb="FF9C0006"/>
      <name val="Calibri"/>
      <family val="2"/>
      <scheme val="minor"/>
    </font>
    <font>
      <i/>
      <sz val="8"/>
      <color rgb="FF9C0006"/>
      <name val="Calibri"/>
      <family val="2"/>
      <scheme val="minor"/>
    </font>
    <font>
      <i/>
      <sz val="8"/>
      <color rgb="FF7F7F7F"/>
      <name val="Calibri"/>
      <family val="2"/>
      <scheme val="minor"/>
    </font>
    <font>
      <b/>
      <sz val="10"/>
      <color rgb="FF0000FF"/>
      <name val="Calibri"/>
      <family val="2"/>
      <scheme val="minor"/>
    </font>
    <font>
      <sz val="8"/>
      <color rgb="FF7F7F7F"/>
      <name val="Calibri"/>
      <family val="2"/>
      <scheme val="minor"/>
    </font>
    <font>
      <sz val="9.5"/>
      <color rgb="FF008000"/>
      <name val="Calibri"/>
      <family val="2"/>
      <scheme val="minor"/>
    </font>
    <font>
      <b/>
      <sz val="11"/>
      <color rgb="FF7F7F7F"/>
      <name val="Calibri"/>
      <family val="2"/>
      <scheme val="minor"/>
    </font>
    <font>
      <b/>
      <sz val="11"/>
      <color rgb="FF9C0006"/>
      <name val="Calibri"/>
      <family val="2"/>
      <scheme val="minor"/>
    </font>
    <font>
      <i/>
      <sz val="9"/>
      <color rgb="FF9C0006"/>
      <name val="Calibri"/>
      <family val="2"/>
      <scheme val="minor"/>
    </font>
    <font>
      <b/>
      <sz val="16"/>
      <color rgb="FF006100"/>
      <name val="Calibri"/>
      <family val="2"/>
      <scheme val="minor"/>
    </font>
    <font>
      <b/>
      <sz val="16"/>
      <color rgb="FF7F7F7F"/>
      <name val="Calibri"/>
      <family val="2"/>
      <scheme val="minor"/>
    </font>
    <font>
      <b/>
      <sz val="16"/>
      <color rgb="FF9C0006"/>
      <name val="Calibri"/>
      <family val="2"/>
      <scheme val="minor"/>
    </font>
    <font>
      <i/>
      <sz val="11"/>
      <color rgb="FF7F7F7F"/>
      <name val="Calibri"/>
      <family val="2"/>
      <scheme val="minor"/>
    </font>
    <font>
      <b/>
      <sz val="11"/>
      <color rgb="FF0000FF"/>
      <name val="Calibri"/>
      <family val="2"/>
      <scheme val="minor"/>
    </font>
    <font>
      <b/>
      <sz val="8"/>
      <color rgb="FFFFFFFF"/>
      <name val="Calibri"/>
      <family val="2"/>
      <scheme val="minor"/>
    </font>
    <font>
      <sz val="11"/>
      <color rgb="FFA6A6A6"/>
      <name val="Calibri"/>
      <family val="2"/>
      <scheme val="minor"/>
    </font>
    <font>
      <sz val="8"/>
      <color rgb="FFA6A6A6"/>
      <name val="Calibri"/>
      <family val="2"/>
      <scheme val="minor"/>
    </font>
    <font>
      <sz val="9"/>
      <color rgb="FFFFFFFF"/>
      <name val="Calibri"/>
      <family val="2"/>
      <scheme val="minor"/>
    </font>
    <font>
      <b/>
      <sz val="17"/>
      <color rgb="FF1F3864"/>
      <name val="Calibri"/>
      <family val="2"/>
      <scheme val="minor"/>
    </font>
    <font>
      <b/>
      <sz val="17"/>
      <color rgb="FF006100"/>
      <name val="Calibri"/>
      <family val="2"/>
      <scheme val="minor"/>
    </font>
    <font>
      <b/>
      <sz val="17"/>
      <color rgb="FF9C0006"/>
      <name val="Calibri"/>
      <family val="2"/>
      <scheme val="minor"/>
    </font>
    <font>
      <b/>
      <sz val="17"/>
      <color rgb="FF7F7F7F"/>
      <name val="Calibri"/>
      <family val="2"/>
      <scheme val="minor"/>
    </font>
    <font>
      <i/>
      <sz val="9"/>
      <color rgb="FF7F7F7F"/>
      <name val="Calibri"/>
      <family val="2"/>
      <scheme val="minor"/>
    </font>
    <font>
      <b/>
      <sz val="11"/>
      <color rgb="FFC00000"/>
      <name val="Segoe UI"/>
      <family val="2"/>
    </font>
    <font>
      <i/>
      <sz val="11"/>
      <color theme="1"/>
      <name val="Calibri"/>
      <family val="2"/>
      <scheme val="minor"/>
    </font>
    <font>
      <sz val="10"/>
      <color rgb="FF000000"/>
      <name val="Calibri"/>
      <family val="2"/>
      <scheme val="minor"/>
    </font>
    <font>
      <b/>
      <sz val="11"/>
      <color rgb="FF1F4E79"/>
      <name val="Calibri"/>
      <family val="2"/>
      <scheme val="minor"/>
    </font>
    <font>
      <b/>
      <sz val="16"/>
      <color rgb="FF1F4E79"/>
      <name val="Calibri"/>
      <family val="2"/>
      <scheme val="minor"/>
    </font>
    <font>
      <b/>
      <sz val="12"/>
      <color rgb="FF1F4E79"/>
      <name val="Calibri"/>
      <family val="2"/>
      <scheme val="minor"/>
    </font>
    <font>
      <b/>
      <i/>
      <sz val="11"/>
      <color rgb="FF1F4E79"/>
      <name val="Calibri"/>
      <family val="2"/>
      <scheme val="minor"/>
    </font>
    <font>
      <sz val="9"/>
      <color indexed="81"/>
      <name val="Tahoma"/>
      <charset val="1"/>
    </font>
    <font>
      <b/>
      <sz val="9"/>
      <color indexed="81"/>
      <name val="Tahoma"/>
      <charset val="1"/>
    </font>
  </fonts>
  <fills count="48">
    <fill>
      <patternFill patternType="none"/>
    </fill>
    <fill>
      <patternFill patternType="gray125"/>
    </fill>
    <fill>
      <patternFill patternType="solid">
        <fgColor rgb="FFFFFFFF"/>
        <bgColor indexed="64"/>
      </patternFill>
    </fill>
    <fill>
      <patternFill patternType="solid">
        <fgColor rgb="FF9BC2E6"/>
        <bgColor indexed="64"/>
      </patternFill>
    </fill>
    <fill>
      <patternFill patternType="solid">
        <fgColor rgb="FFFF66FF"/>
        <bgColor indexed="64"/>
      </patternFill>
    </fill>
    <fill>
      <patternFill patternType="solid">
        <fgColor rgb="FFFFFF00"/>
        <bgColor indexed="64"/>
      </patternFill>
    </fill>
    <fill>
      <patternFill patternType="solid">
        <fgColor rgb="FFF8CBAD"/>
        <bgColor indexed="64"/>
      </patternFill>
    </fill>
    <fill>
      <patternFill patternType="solid">
        <fgColor rgb="FF00B050"/>
        <bgColor indexed="64"/>
      </patternFill>
    </fill>
    <fill>
      <patternFill patternType="solid">
        <fgColor rgb="FFFF33CC"/>
        <bgColor indexed="64"/>
      </patternFill>
    </fill>
    <fill>
      <patternFill patternType="solid">
        <fgColor rgb="FF000000"/>
        <bgColor indexed="64"/>
      </patternFill>
    </fill>
    <fill>
      <patternFill patternType="solid">
        <fgColor rgb="FFCC0000"/>
        <bgColor indexed="64"/>
      </patternFill>
    </fill>
    <fill>
      <patternFill patternType="solid">
        <fgColor rgb="FF3333CC"/>
        <bgColor indexed="64"/>
      </patternFill>
    </fill>
    <fill>
      <patternFill patternType="solid">
        <fgColor rgb="FF833C0C"/>
        <bgColor indexed="64"/>
      </patternFill>
    </fill>
    <fill>
      <patternFill patternType="solid">
        <fgColor rgb="FF66FF33"/>
        <bgColor indexed="64"/>
      </patternFill>
    </fill>
    <fill>
      <patternFill patternType="solid">
        <fgColor rgb="FFF4B084"/>
        <bgColor indexed="64"/>
      </patternFill>
    </fill>
    <fill>
      <patternFill patternType="solid">
        <fgColor rgb="FF00B0F0"/>
        <bgColor indexed="64"/>
      </patternFill>
    </fill>
    <fill>
      <patternFill patternType="solid">
        <fgColor rgb="FF7030A0"/>
        <bgColor indexed="64"/>
      </patternFill>
    </fill>
    <fill>
      <patternFill patternType="solid">
        <fgColor rgb="FFC6E0B4"/>
        <bgColor indexed="64"/>
      </patternFill>
    </fill>
    <fill>
      <patternFill patternType="solid">
        <fgColor rgb="FFBF8F00"/>
        <bgColor indexed="64"/>
      </patternFill>
    </fill>
    <fill>
      <patternFill patternType="solid">
        <fgColor rgb="FFACB9CA"/>
        <bgColor indexed="64"/>
      </patternFill>
    </fill>
    <fill>
      <patternFill patternType="solid">
        <fgColor rgb="FF00FFFF"/>
        <bgColor indexed="64"/>
      </patternFill>
    </fill>
    <fill>
      <patternFill patternType="solid">
        <fgColor rgb="FF0D0D0D"/>
        <bgColor indexed="64"/>
      </patternFill>
    </fill>
    <fill>
      <patternFill patternType="solid">
        <fgColor rgb="FFDDEBF7"/>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FF00"/>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79992065187536243"/>
        <bgColor indexed="64"/>
      </patternFill>
    </fill>
    <fill>
      <patternFill patternType="solid">
        <fgColor theme="7" tint="0.79998168889431442"/>
        <bgColor indexed="64"/>
      </patternFill>
    </fill>
    <fill>
      <patternFill patternType="solid">
        <fgColor theme="7" tint="0.79992065187536243"/>
        <bgColor indexed="64"/>
      </patternFill>
    </fill>
    <fill>
      <patternFill patternType="solid">
        <fgColor theme="8" tint="0.79998168889431442"/>
        <bgColor indexed="64"/>
      </patternFill>
    </fill>
    <fill>
      <patternFill patternType="solid">
        <fgColor theme="8" tint="0.79992065187536243"/>
        <bgColor indexed="64"/>
      </patternFill>
    </fill>
    <fill>
      <patternFill patternType="solid">
        <fgColor theme="6" tint="0.79998168889431442"/>
        <bgColor indexed="64"/>
      </patternFill>
    </fill>
    <fill>
      <patternFill patternType="solid">
        <fgColor rgb="FF1F3864"/>
        <bgColor indexed="64"/>
      </patternFill>
    </fill>
    <fill>
      <patternFill patternType="solid">
        <fgColor rgb="FFD9E1F2"/>
        <bgColor indexed="64"/>
      </patternFill>
    </fill>
    <fill>
      <patternFill patternType="solid">
        <fgColor rgb="FFFCE4D6"/>
        <bgColor indexed="64"/>
      </patternFill>
    </fill>
    <fill>
      <patternFill patternType="solid">
        <fgColor rgb="FFFFF2CC"/>
        <bgColor indexed="64"/>
      </patternFill>
    </fill>
    <fill>
      <patternFill patternType="solid">
        <fgColor rgb="FFC00000"/>
        <bgColor indexed="64"/>
      </patternFill>
    </fill>
    <fill>
      <patternFill patternType="solid">
        <fgColor rgb="FFF2F2F2"/>
        <bgColor indexed="64"/>
      </patternFill>
    </fill>
    <fill>
      <patternFill patternType="solid">
        <fgColor rgb="FFFDEDEC"/>
        <bgColor indexed="64"/>
      </patternFill>
    </fill>
    <fill>
      <patternFill patternType="solid">
        <fgColor rgb="FFEBF5EC"/>
        <bgColor indexed="64"/>
      </patternFill>
    </fill>
    <fill>
      <patternFill patternType="solid">
        <fgColor rgb="FF006100"/>
        <bgColor indexed="64"/>
      </patternFill>
    </fill>
    <fill>
      <patternFill patternType="solid">
        <fgColor rgb="FFFFC7CE"/>
        <bgColor indexed="64"/>
      </patternFill>
    </fill>
  </fills>
  <borders count="120">
    <border>
      <left/>
      <right/>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dashed">
        <color rgb="FF000000"/>
      </bottom>
      <diagonal/>
    </border>
    <border>
      <left style="medium">
        <color rgb="FF000000"/>
      </left>
      <right style="medium">
        <color rgb="FF000000"/>
      </right>
      <top/>
      <bottom style="dashed">
        <color rgb="FF000000"/>
      </bottom>
      <diagonal/>
    </border>
    <border>
      <left/>
      <right style="medium">
        <color rgb="FF000000"/>
      </right>
      <top/>
      <bottom style="dashed">
        <color rgb="FF000000"/>
      </bottom>
      <diagonal/>
    </border>
    <border>
      <left/>
      <right/>
      <top/>
      <bottom style="dashed">
        <color rgb="FF000000"/>
      </bottom>
      <diagonal/>
    </border>
    <border>
      <left/>
      <right/>
      <top style="dashed">
        <color rgb="FF000000"/>
      </top>
      <bottom style="dashed">
        <color rgb="FF000000"/>
      </bottom>
      <diagonal/>
    </border>
    <border>
      <left/>
      <right style="medium">
        <color rgb="FF000000"/>
      </right>
      <top style="dashed">
        <color rgb="FF000000"/>
      </top>
      <bottom style="dashed">
        <color rgb="FF000000"/>
      </bottom>
      <diagonal/>
    </border>
    <border>
      <left style="medium">
        <color rgb="FF000000"/>
      </left>
      <right style="medium">
        <color rgb="FF000000"/>
      </right>
      <top/>
      <bottom/>
      <diagonal/>
    </border>
    <border>
      <left style="medium">
        <color rgb="FF000000"/>
      </left>
      <right style="medium">
        <color rgb="FF000000"/>
      </right>
      <top style="dashed">
        <color rgb="FF000000"/>
      </top>
      <bottom style="dashed">
        <color rgb="FF000000"/>
      </bottom>
      <diagonal/>
    </border>
    <border>
      <left/>
      <right/>
      <top style="dashed">
        <color rgb="FF000000"/>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thin">
        <color auto="1"/>
      </bottom>
      <diagonal/>
    </border>
    <border>
      <left style="medium">
        <color indexed="64"/>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auto="1"/>
      </left>
      <right style="thin">
        <color rgb="FFBFBFBF"/>
      </right>
      <top style="thin">
        <color auto="1"/>
      </top>
      <bottom style="thin">
        <color rgb="FFBFBFBF"/>
      </bottom>
      <diagonal/>
    </border>
    <border>
      <left style="thin">
        <color rgb="FFBFBFBF"/>
      </left>
      <right style="thin">
        <color rgb="FFBFBFBF"/>
      </right>
      <top style="thin">
        <color auto="1"/>
      </top>
      <bottom style="thin">
        <color rgb="FFBFBFBF"/>
      </bottom>
      <diagonal/>
    </border>
    <border>
      <left style="thin">
        <color rgb="FFBFBFBF"/>
      </left>
      <right style="thin">
        <color auto="1"/>
      </right>
      <top style="thin">
        <color auto="1"/>
      </top>
      <bottom style="thin">
        <color rgb="FFBFBFBF"/>
      </bottom>
      <diagonal/>
    </border>
    <border>
      <left style="thin">
        <color auto="1"/>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auto="1"/>
      </right>
      <top style="thin">
        <color rgb="FFBFBFBF"/>
      </top>
      <bottom style="thin">
        <color rgb="FFBFBFBF"/>
      </bottom>
      <diagonal/>
    </border>
    <border>
      <left style="thin">
        <color rgb="FFBFBFBF"/>
      </left>
      <right style="thin">
        <color auto="1"/>
      </right>
      <top style="thin">
        <color auto="1"/>
      </top>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style="thin">
        <color rgb="FFBFBFBF"/>
      </left>
      <right style="thin">
        <color rgb="FFBFBFBF"/>
      </right>
      <top style="thin">
        <color rgb="FFBFBFBF"/>
      </top>
      <bottom/>
      <diagonal/>
    </border>
    <border>
      <left style="thin">
        <color rgb="FFBFBFBF"/>
      </left>
      <right style="thin">
        <color auto="1"/>
      </right>
      <top style="thin">
        <color rgb="FFBFBFBF"/>
      </top>
      <bottom/>
      <diagonal/>
    </border>
    <border>
      <left style="thin">
        <color auto="1"/>
      </left>
      <right style="thin">
        <color rgb="FFBFBFBF"/>
      </right>
      <top style="thin">
        <color auto="1"/>
      </top>
      <bottom style="thin">
        <color rgb="FFD9D9D9"/>
      </bottom>
      <diagonal/>
    </border>
    <border>
      <left style="thin">
        <color rgb="FFBFBFBF"/>
      </left>
      <right style="thin">
        <color rgb="FFBFBFBF"/>
      </right>
      <top style="thin">
        <color auto="1"/>
      </top>
      <bottom style="thin">
        <color rgb="FFD9D9D9"/>
      </bottom>
      <diagonal/>
    </border>
    <border>
      <left style="thin">
        <color rgb="FFBFBFBF"/>
      </left>
      <right style="thin">
        <color auto="1"/>
      </right>
      <top style="thin">
        <color auto="1"/>
      </top>
      <bottom style="thin">
        <color rgb="FFD9D9D9"/>
      </bottom>
      <diagonal/>
    </border>
    <border>
      <left style="thin">
        <color auto="1"/>
      </left>
      <right style="thin">
        <color rgb="FFBFBFBF"/>
      </right>
      <top style="thin">
        <color rgb="FFD9D9D9"/>
      </top>
      <bottom style="thin">
        <color rgb="FFD9D9D9"/>
      </bottom>
      <diagonal/>
    </border>
    <border>
      <left style="thin">
        <color rgb="FFBFBFBF"/>
      </left>
      <right style="thin">
        <color rgb="FFBFBFBF"/>
      </right>
      <top style="thin">
        <color rgb="FFD9D9D9"/>
      </top>
      <bottom style="thin">
        <color rgb="FFD9D9D9"/>
      </bottom>
      <diagonal/>
    </border>
    <border>
      <left style="thin">
        <color rgb="FFBFBFBF"/>
      </left>
      <right style="thin">
        <color auto="1"/>
      </right>
      <top style="thin">
        <color rgb="FFD9D9D9"/>
      </top>
      <bottom style="thin">
        <color rgb="FFD9D9D9"/>
      </bottom>
      <diagonal/>
    </border>
    <border>
      <left style="thin">
        <color rgb="FFBFBFBF"/>
      </left>
      <right style="thin">
        <color rgb="FFBFBFBF"/>
      </right>
      <top style="thin">
        <color rgb="FFD9D9D9"/>
      </top>
      <bottom/>
      <diagonal/>
    </border>
    <border>
      <left style="thin">
        <color rgb="FFBFBFBF"/>
      </left>
      <right style="thin">
        <color auto="1"/>
      </right>
      <top style="thin">
        <color rgb="FFD9D9D9"/>
      </top>
      <bottom/>
      <diagonal/>
    </border>
    <border>
      <left/>
      <right style="thick">
        <color rgb="FFFFFFFF"/>
      </right>
      <top/>
      <bottom/>
      <diagonal/>
    </border>
    <border>
      <left/>
      <right/>
      <top/>
      <bottom style="thin">
        <color rgb="FFE7E6E6"/>
      </bottom>
      <diagonal/>
    </border>
    <border>
      <left/>
      <right/>
      <top style="thin">
        <color rgb="FFE7E6E6"/>
      </top>
      <bottom style="thin">
        <color rgb="FFE7E6E6"/>
      </bottom>
      <diagonal/>
    </border>
    <border>
      <left/>
      <right/>
      <top style="thin">
        <color rgb="FFE7E6E6"/>
      </top>
      <bottom/>
      <diagonal/>
    </border>
    <border>
      <left style="thin">
        <color auto="1"/>
      </left>
      <right style="thin">
        <color rgb="FFBFBFBF"/>
      </right>
      <top style="thin">
        <color auto="1"/>
      </top>
      <bottom/>
      <diagonal/>
    </border>
    <border>
      <left style="thin">
        <color rgb="FFBFBFBF"/>
      </left>
      <right style="thin">
        <color rgb="FFBFBFBF"/>
      </right>
      <top style="thin">
        <color auto="1"/>
      </top>
      <bottom/>
      <diagonal/>
    </border>
    <border>
      <left style="thin">
        <color auto="1"/>
      </left>
      <right style="thin">
        <color rgb="FFBFBFBF"/>
      </right>
      <top style="thin">
        <color rgb="FFBFBFBF"/>
      </top>
      <bottom style="thin">
        <color rgb="FFE7E6E6"/>
      </bottom>
      <diagonal/>
    </border>
    <border>
      <left style="thin">
        <color rgb="FFBFBFBF"/>
      </left>
      <right style="thin">
        <color rgb="FFBFBFBF"/>
      </right>
      <top style="thin">
        <color rgb="FFBFBFBF"/>
      </top>
      <bottom style="thin">
        <color rgb="FFE7E6E6"/>
      </bottom>
      <diagonal/>
    </border>
    <border>
      <left style="thin">
        <color rgb="FFBFBFBF"/>
      </left>
      <right style="thin">
        <color auto="1"/>
      </right>
      <top style="thin">
        <color rgb="FFBFBFBF"/>
      </top>
      <bottom style="thin">
        <color rgb="FFE7E6E6"/>
      </bottom>
      <diagonal/>
    </border>
    <border>
      <left style="thin">
        <color auto="1"/>
      </left>
      <right style="thin">
        <color rgb="FFBFBFBF"/>
      </right>
      <top style="thin">
        <color rgb="FFE7E6E6"/>
      </top>
      <bottom style="thin">
        <color rgb="FFE7E6E6"/>
      </bottom>
      <diagonal/>
    </border>
    <border>
      <left style="thin">
        <color rgb="FFBFBFBF"/>
      </left>
      <right style="thin">
        <color rgb="FFBFBFBF"/>
      </right>
      <top style="thin">
        <color rgb="FFE7E6E6"/>
      </top>
      <bottom style="thin">
        <color rgb="FFE7E6E6"/>
      </bottom>
      <diagonal/>
    </border>
    <border>
      <left style="thin">
        <color rgb="FFBFBFBF"/>
      </left>
      <right style="thin">
        <color auto="1"/>
      </right>
      <top style="thin">
        <color rgb="FFE7E6E6"/>
      </top>
      <bottom style="thin">
        <color rgb="FFE7E6E6"/>
      </bottom>
      <diagonal/>
    </border>
    <border>
      <left style="thin">
        <color auto="1"/>
      </left>
      <right style="thin">
        <color rgb="FFBFBFBF"/>
      </right>
      <top style="thin">
        <color rgb="FFE7E6E6"/>
      </top>
      <bottom style="thin">
        <color rgb="FFBFBFBF"/>
      </bottom>
      <diagonal/>
    </border>
    <border>
      <left style="thin">
        <color rgb="FFBFBFBF"/>
      </left>
      <right style="thin">
        <color rgb="FFBFBFBF"/>
      </right>
      <top style="thin">
        <color rgb="FFE7E6E6"/>
      </top>
      <bottom style="thin">
        <color rgb="FFBFBFBF"/>
      </bottom>
      <diagonal/>
    </border>
    <border>
      <left style="thin">
        <color rgb="FFBFBFBF"/>
      </left>
      <right style="thin">
        <color auto="1"/>
      </right>
      <top style="thin">
        <color rgb="FFE7E6E6"/>
      </top>
      <bottom style="thin">
        <color rgb="FFBFBFBF"/>
      </bottom>
      <diagonal/>
    </border>
    <border>
      <left style="thin">
        <color auto="1"/>
      </left>
      <right style="thin">
        <color rgb="FFBFBFBF"/>
      </right>
      <top style="thin">
        <color rgb="FFBFBFBF"/>
      </top>
      <bottom/>
      <diagonal/>
    </border>
    <border>
      <left style="thin">
        <color auto="1"/>
      </left>
      <right style="thin">
        <color rgb="FFBFBFBF"/>
      </right>
      <top style="thin">
        <color rgb="FF1F3864"/>
      </top>
      <bottom style="thin">
        <color auto="1"/>
      </bottom>
      <diagonal/>
    </border>
    <border>
      <left style="thin">
        <color rgb="FFBFBFBF"/>
      </left>
      <right style="thin">
        <color rgb="FFBFBFBF"/>
      </right>
      <top style="thin">
        <color rgb="FF1F3864"/>
      </top>
      <bottom style="thin">
        <color auto="1"/>
      </bottom>
      <diagonal/>
    </border>
    <border>
      <left style="thin">
        <color rgb="FFBFBFBF"/>
      </left>
      <right style="thin">
        <color auto="1"/>
      </right>
      <top style="thin">
        <color rgb="FF1F3864"/>
      </top>
      <bottom style="thin">
        <color auto="1"/>
      </bottom>
      <diagonal/>
    </border>
    <border>
      <left/>
      <right/>
      <top style="thin">
        <color rgb="FF1F3864"/>
      </top>
      <bottom/>
      <diagonal/>
    </border>
    <border>
      <left style="thin">
        <color rgb="FFBFBFBF"/>
      </left>
      <right style="thin">
        <color rgb="FFBFBFBF"/>
      </right>
      <top style="thin">
        <color rgb="FF1F3864"/>
      </top>
      <bottom/>
      <diagonal/>
    </border>
    <border>
      <left style="thin">
        <color rgb="FFBFBFBF"/>
      </left>
      <right style="thin">
        <color auto="1"/>
      </right>
      <top style="thin">
        <color rgb="FF1F3864"/>
      </top>
      <bottom/>
      <diagonal/>
    </border>
    <border>
      <left/>
      <right/>
      <top style="thin">
        <color rgb="FFD9D9D9"/>
      </top>
      <bottom style="thin">
        <color rgb="FFE7E6E6"/>
      </bottom>
      <diagonal/>
    </border>
    <border>
      <left/>
      <right/>
      <top style="thin">
        <color rgb="FF9C0006"/>
      </top>
      <bottom/>
      <diagonal/>
    </border>
    <border>
      <left/>
      <right/>
      <top/>
      <bottom style="thick">
        <color rgb="FFFFFFFF"/>
      </bottom>
      <diagonal/>
    </border>
    <border>
      <left/>
      <right/>
      <top style="thick">
        <color rgb="FFFFFFFF"/>
      </top>
      <bottom/>
      <diagonal/>
    </border>
    <border>
      <left style="thick">
        <color rgb="FFFFFFFF"/>
      </left>
      <right style="thick">
        <color rgb="FFFFFFFF"/>
      </right>
      <top/>
      <bottom/>
      <diagonal/>
    </border>
    <border>
      <left style="thick">
        <color rgb="FFFFFFFF"/>
      </left>
      <right/>
      <top/>
      <bottom/>
      <diagonal/>
    </border>
    <border>
      <left/>
      <right style="thin">
        <color rgb="FFE7E6E6"/>
      </right>
      <top/>
      <bottom style="thin">
        <color rgb="FFE7E6E6"/>
      </bottom>
      <diagonal/>
    </border>
    <border>
      <left style="thin">
        <color rgb="FFE7E6E6"/>
      </left>
      <right style="thin">
        <color rgb="FFE7E6E6"/>
      </right>
      <top/>
      <bottom style="thin">
        <color rgb="FFE7E6E6"/>
      </bottom>
      <diagonal/>
    </border>
    <border>
      <left style="thin">
        <color rgb="FFE7E6E6"/>
      </left>
      <right/>
      <top/>
      <bottom style="thin">
        <color rgb="FFE7E6E6"/>
      </bottom>
      <diagonal/>
    </border>
    <border>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top style="thin">
        <color rgb="FFE7E6E6"/>
      </top>
      <bottom style="thin">
        <color rgb="FFE7E6E6"/>
      </bottom>
      <diagonal/>
    </border>
    <border>
      <left/>
      <right style="thin">
        <color rgb="FFE7E6E6"/>
      </right>
      <top style="thin">
        <color rgb="FFE7E6E6"/>
      </top>
      <bottom/>
      <diagonal/>
    </border>
    <border>
      <left style="thin">
        <color rgb="FFE7E6E6"/>
      </left>
      <right style="thin">
        <color rgb="FFE7E6E6"/>
      </right>
      <top style="thin">
        <color rgb="FFE7E6E6"/>
      </top>
      <bottom/>
      <diagonal/>
    </border>
    <border>
      <left style="thin">
        <color rgb="FFE7E6E6"/>
      </left>
      <right/>
      <top style="thin">
        <color rgb="FFE7E6E6"/>
      </top>
      <bottom/>
      <diagonal/>
    </border>
  </borders>
  <cellStyleXfs count="2">
    <xf numFmtId="0" fontId="0" fillId="0" borderId="0"/>
    <xf numFmtId="0" fontId="1" fillId="0" borderId="0"/>
  </cellStyleXfs>
  <cellXfs count="712">
    <xf numFmtId="0" fontId="0" fillId="0" borderId="0" xfId="0"/>
    <xf numFmtId="0" fontId="42" fillId="0" borderId="0" xfId="0" applyFont="1" applyProtection="1"/>
    <xf numFmtId="0" fontId="0" fillId="0" borderId="0" xfId="0" applyProtection="1"/>
    <xf numFmtId="0" fontId="106" fillId="0" borderId="0" xfId="0" applyFont="1" applyProtection="1"/>
    <xf numFmtId="0" fontId="22" fillId="0" borderId="0" xfId="0" applyFont="1" applyProtection="1"/>
    <xf numFmtId="0" fontId="84" fillId="47" borderId="0" xfId="0" applyFont="1" applyFill="1" applyProtection="1"/>
    <xf numFmtId="0" fontId="103" fillId="0" borderId="0" xfId="0" applyFont="1" applyProtection="1"/>
    <xf numFmtId="0" fontId="38" fillId="38" borderId="0" xfId="0" applyFont="1" applyFill="1" applyProtection="1"/>
    <xf numFmtId="0" fontId="94" fillId="38" borderId="0" xfId="0" applyFont="1" applyFill="1" applyProtection="1"/>
    <xf numFmtId="0" fontId="23" fillId="38" borderId="0" xfId="0" applyFont="1" applyFill="1" applyProtection="1"/>
    <xf numFmtId="0" fontId="32" fillId="38" borderId="0" xfId="0" applyFont="1" applyFill="1" applyProtection="1"/>
    <xf numFmtId="0" fontId="11" fillId="39" borderId="0" xfId="0" applyFont="1" applyFill="1" applyProtection="1"/>
    <xf numFmtId="0" fontId="2" fillId="39" borderId="0" xfId="0" applyFont="1" applyFill="1" applyProtection="1"/>
    <xf numFmtId="175" fontId="13" fillId="39" borderId="0" xfId="0" applyNumberFormat="1" applyFont="1" applyFill="1" applyAlignment="1" applyProtection="1">
      <alignment horizontal="center"/>
    </xf>
    <xf numFmtId="0" fontId="10" fillId="0" borderId="0" xfId="0" applyFont="1" applyAlignment="1" applyProtection="1">
      <alignment horizontal="center"/>
    </xf>
    <xf numFmtId="0" fontId="10" fillId="0" borderId="0" xfId="0" applyFont="1" applyProtection="1"/>
    <xf numFmtId="0" fontId="10" fillId="8" borderId="0" xfId="0" applyFont="1" applyFill="1" applyAlignment="1" applyProtection="1">
      <alignment horizontal="center"/>
    </xf>
    <xf numFmtId="0" fontId="36" fillId="0" borderId="0" xfId="0" applyFont="1" applyAlignment="1" applyProtection="1">
      <alignment horizontal="center"/>
    </xf>
    <xf numFmtId="0" fontId="12" fillId="0" borderId="0" xfId="0" applyFont="1" applyAlignment="1" applyProtection="1">
      <alignment horizontal="center"/>
    </xf>
    <xf numFmtId="0" fontId="0" fillId="0" borderId="0" xfId="0" applyAlignment="1" applyProtection="1">
      <alignment horizontal="center"/>
    </xf>
    <xf numFmtId="0" fontId="0" fillId="8" borderId="0" xfId="0" applyFill="1" applyProtection="1"/>
    <xf numFmtId="0" fontId="10" fillId="10" borderId="0" xfId="0" applyFont="1" applyFill="1" applyAlignment="1" applyProtection="1">
      <alignment horizontal="center"/>
    </xf>
    <xf numFmtId="0" fontId="0" fillId="10" borderId="0" xfId="0" applyFill="1" applyProtection="1"/>
    <xf numFmtId="0" fontId="10" fillId="7" borderId="0" xfId="0" applyFont="1" applyFill="1" applyAlignment="1" applyProtection="1">
      <alignment horizontal="center"/>
    </xf>
    <xf numFmtId="0" fontId="0" fillId="7" borderId="0" xfId="0" applyFill="1" applyProtection="1"/>
    <xf numFmtId="0" fontId="10" fillId="13" borderId="0" xfId="0" applyFont="1" applyFill="1" applyAlignment="1" applyProtection="1">
      <alignment horizontal="center"/>
    </xf>
    <xf numFmtId="0" fontId="0" fillId="13" borderId="0" xfId="0" applyFill="1" applyProtection="1"/>
    <xf numFmtId="0" fontId="10" fillId="14" borderId="0" xfId="0" applyFont="1" applyFill="1" applyAlignment="1" applyProtection="1">
      <alignment horizontal="center"/>
    </xf>
    <xf numFmtId="0" fontId="0" fillId="14" borderId="0" xfId="0" applyFill="1" applyProtection="1"/>
    <xf numFmtId="0" fontId="10" fillId="15" borderId="0" xfId="0" applyFont="1" applyFill="1" applyAlignment="1" applyProtection="1">
      <alignment horizontal="center"/>
    </xf>
    <xf numFmtId="0" fontId="0" fillId="15" borderId="0" xfId="0" applyFill="1" applyProtection="1"/>
    <xf numFmtId="0" fontId="10" fillId="5" borderId="0" xfId="0" applyFont="1" applyFill="1" applyAlignment="1" applyProtection="1">
      <alignment horizontal="center"/>
    </xf>
    <xf numFmtId="0" fontId="0" fillId="5" borderId="0" xfId="0" applyFill="1" applyProtection="1"/>
    <xf numFmtId="0" fontId="10" fillId="17" borderId="0" xfId="0" applyFont="1" applyFill="1" applyAlignment="1" applyProtection="1">
      <alignment horizontal="center"/>
    </xf>
    <xf numFmtId="0" fontId="0" fillId="17" borderId="0" xfId="0" applyFill="1" applyProtection="1"/>
    <xf numFmtId="0" fontId="10" fillId="18" borderId="0" xfId="0" applyFont="1" applyFill="1" applyAlignment="1" applyProtection="1">
      <alignment horizontal="center"/>
    </xf>
    <xf numFmtId="0" fontId="0" fillId="18" borderId="0" xfId="0" applyFill="1" applyProtection="1"/>
    <xf numFmtId="0" fontId="10" fillId="16" borderId="0" xfId="0" applyFont="1" applyFill="1" applyAlignment="1" applyProtection="1">
      <alignment horizontal="center"/>
    </xf>
    <xf numFmtId="0" fontId="0" fillId="16" borderId="0" xfId="0" applyFill="1" applyProtection="1"/>
    <xf numFmtId="0" fontId="10" fillId="19" borderId="0" xfId="0" applyFont="1" applyFill="1" applyAlignment="1" applyProtection="1">
      <alignment horizontal="center"/>
    </xf>
    <xf numFmtId="0" fontId="0" fillId="19" borderId="0" xfId="0" applyFill="1" applyProtection="1"/>
    <xf numFmtId="0" fontId="10" fillId="20" borderId="0" xfId="0" applyFont="1" applyFill="1" applyAlignment="1" applyProtection="1">
      <alignment horizontal="center"/>
    </xf>
    <xf numFmtId="0" fontId="0" fillId="20" borderId="0" xfId="0" applyFill="1" applyProtection="1"/>
    <xf numFmtId="0" fontId="10" fillId="21" borderId="0" xfId="0" applyFont="1" applyFill="1" applyAlignment="1" applyProtection="1">
      <alignment horizontal="center"/>
    </xf>
    <xf numFmtId="0" fontId="0" fillId="21" borderId="0" xfId="0" applyFill="1" applyProtection="1"/>
    <xf numFmtId="0" fontId="10" fillId="11" borderId="0" xfId="0" applyFont="1" applyFill="1" applyAlignment="1" applyProtection="1">
      <alignment horizontal="center"/>
    </xf>
    <xf numFmtId="0" fontId="0" fillId="11" borderId="0" xfId="0" applyFill="1" applyProtection="1"/>
    <xf numFmtId="0" fontId="10" fillId="12" borderId="0" xfId="0" applyFont="1" applyFill="1" applyAlignment="1" applyProtection="1">
      <alignment horizontal="center"/>
    </xf>
    <xf numFmtId="0" fontId="0" fillId="12" borderId="0" xfId="0" applyFill="1" applyProtection="1"/>
    <xf numFmtId="0" fontId="0" fillId="9" borderId="0" xfId="0" applyFill="1" applyProtection="1"/>
    <xf numFmtId="0" fontId="11" fillId="0" borderId="0" xfId="0" applyFont="1" applyProtection="1"/>
    <xf numFmtId="174" fontId="10" fillId="0" borderId="0" xfId="0" applyNumberFormat="1" applyFont="1" applyProtection="1"/>
    <xf numFmtId="0" fontId="41" fillId="0" borderId="0" xfId="0" applyFont="1" applyProtection="1"/>
    <xf numFmtId="175" fontId="2" fillId="39" borderId="0" xfId="0" applyNumberFormat="1" applyFont="1" applyFill="1" applyProtection="1"/>
    <xf numFmtId="0" fontId="0" fillId="0" borderId="0" xfId="0" applyAlignment="1" applyProtection="1">
      <alignment horizontal="left"/>
    </xf>
    <xf numFmtId="0" fontId="54" fillId="0" borderId="0" xfId="0" applyFont="1" applyProtection="1"/>
    <xf numFmtId="0" fontId="3" fillId="2" borderId="0" xfId="0" applyFont="1" applyFill="1" applyAlignment="1" applyProtection="1">
      <alignment horizontal="left"/>
    </xf>
    <xf numFmtId="174" fontId="31" fillId="5" borderId="0" xfId="0" applyNumberFormat="1" applyFont="1" applyFill="1" applyAlignment="1" applyProtection="1">
      <alignment horizontal="center"/>
      <protection locked="0"/>
    </xf>
    <xf numFmtId="0" fontId="31" fillId="5" borderId="0" xfId="0" applyFont="1" applyFill="1" applyAlignment="1" applyProtection="1">
      <alignment horizontal="center"/>
      <protection locked="0"/>
    </xf>
    <xf numFmtId="0" fontId="12" fillId="0" borderId="0" xfId="0" applyFont="1" applyAlignment="1" applyProtection="1">
      <alignment horizontal="center"/>
      <protection locked="0"/>
    </xf>
    <xf numFmtId="0" fontId="49" fillId="0" borderId="0" xfId="0" applyFont="1" applyProtection="1">
      <protection locked="0"/>
    </xf>
    <xf numFmtId="0" fontId="26" fillId="38" borderId="0" xfId="0" applyFont="1" applyFill="1" applyAlignment="1" applyProtection="1">
      <alignment horizontal="left" vertical="center"/>
    </xf>
    <xf numFmtId="0" fontId="26" fillId="38" borderId="0" xfId="0" applyFont="1" applyFill="1" applyAlignment="1" applyProtection="1">
      <alignment horizontal="center" vertical="center"/>
    </xf>
    <xf numFmtId="0" fontId="0" fillId="0" borderId="0" xfId="0" applyAlignment="1" applyProtection="1">
      <alignment vertical="center" wrapText="1"/>
    </xf>
    <xf numFmtId="0" fontId="51" fillId="0" borderId="0" xfId="0" applyFont="1" applyProtection="1"/>
    <xf numFmtId="0" fontId="89" fillId="0" borderId="0" xfId="0" applyFont="1" applyProtection="1"/>
    <xf numFmtId="0" fontId="9" fillId="0" borderId="102" xfId="0" applyFont="1" applyBorder="1" applyAlignment="1" applyProtection="1">
      <alignment vertical="center" wrapText="1"/>
    </xf>
    <xf numFmtId="0" fontId="9" fillId="39" borderId="102" xfId="0" applyFont="1" applyFill="1" applyBorder="1" applyAlignment="1" applyProtection="1">
      <alignment horizontal="center" vertical="center" wrapText="1"/>
    </xf>
    <xf numFmtId="0" fontId="102" fillId="0" borderId="111" xfId="0" applyFont="1" applyBorder="1" applyAlignment="1" applyProtection="1">
      <alignment vertical="center" wrapText="1"/>
      <protection locked="0"/>
    </xf>
    <xf numFmtId="0" fontId="102" fillId="0" borderId="112" xfId="0" applyFont="1" applyBorder="1" applyAlignment="1" applyProtection="1">
      <alignment vertical="center" wrapText="1"/>
      <protection locked="0"/>
    </xf>
    <xf numFmtId="3" fontId="102" fillId="0" borderId="113" xfId="0" applyNumberFormat="1" applyFont="1" applyBorder="1" applyAlignment="1" applyProtection="1">
      <alignment horizontal="center" vertical="center" wrapText="1"/>
      <protection locked="0"/>
    </xf>
    <xf numFmtId="0" fontId="102" fillId="0" borderId="114" xfId="0" applyFont="1" applyBorder="1" applyAlignment="1" applyProtection="1">
      <alignment vertical="center" wrapText="1"/>
      <protection locked="0"/>
    </xf>
    <xf numFmtId="0" fontId="102" fillId="0" borderId="115" xfId="0" applyFont="1" applyBorder="1" applyAlignment="1" applyProtection="1">
      <alignment vertical="center" wrapText="1"/>
      <protection locked="0"/>
    </xf>
    <xf numFmtId="3" fontId="102" fillId="0" borderId="116" xfId="0" applyNumberFormat="1" applyFont="1" applyBorder="1" applyAlignment="1" applyProtection="1">
      <alignment horizontal="center" vertical="center" wrapText="1"/>
      <protection locked="0"/>
    </xf>
    <xf numFmtId="0" fontId="102" fillId="0" borderId="117" xfId="0" applyFont="1" applyBorder="1" applyAlignment="1" applyProtection="1">
      <alignment vertical="center" wrapText="1"/>
      <protection locked="0"/>
    </xf>
    <xf numFmtId="0" fontId="102" fillId="0" borderId="118" xfId="0" applyFont="1" applyBorder="1" applyAlignment="1" applyProtection="1">
      <alignment vertical="center" wrapText="1"/>
      <protection locked="0"/>
    </xf>
    <xf numFmtId="3" fontId="102" fillId="0" borderId="119" xfId="0" applyNumberFormat="1" applyFont="1" applyBorder="1" applyAlignment="1" applyProtection="1">
      <alignment horizontal="center" vertical="center" wrapText="1"/>
      <protection locked="0"/>
    </xf>
    <xf numFmtId="0" fontId="9" fillId="0" borderId="34" xfId="0" applyFont="1" applyBorder="1" applyAlignment="1" applyProtection="1">
      <alignment horizontal="center" vertical="center"/>
      <protection locked="0"/>
    </xf>
    <xf numFmtId="0" fontId="9" fillId="25" borderId="35" xfId="0" applyFont="1" applyFill="1" applyBorder="1" applyAlignment="1" applyProtection="1">
      <alignment horizontal="center" vertical="center"/>
      <protection locked="0"/>
    </xf>
    <xf numFmtId="0" fontId="9" fillId="25" borderId="36" xfId="0" applyFont="1" applyFill="1" applyBorder="1" applyAlignment="1" applyProtection="1">
      <alignment horizontal="center" vertical="center"/>
      <protection locked="0"/>
    </xf>
    <xf numFmtId="0" fontId="9" fillId="25" borderId="37" xfId="0" applyFont="1" applyFill="1" applyBorder="1" applyAlignment="1" applyProtection="1">
      <alignment horizontal="center" vertical="center"/>
      <protection locked="0"/>
    </xf>
    <xf numFmtId="0" fontId="9" fillId="25" borderId="42" xfId="0" applyFont="1" applyFill="1" applyBorder="1" applyAlignment="1" applyProtection="1">
      <alignment horizontal="center" vertical="center"/>
      <protection locked="0"/>
    </xf>
    <xf numFmtId="0" fontId="9" fillId="26" borderId="37" xfId="0" applyFont="1" applyFill="1" applyBorder="1" applyAlignment="1" applyProtection="1">
      <alignment horizontal="center" vertical="center"/>
      <protection locked="0"/>
    </xf>
    <xf numFmtId="0" fontId="9" fillId="26" borderId="42" xfId="0" applyFont="1" applyFill="1" applyBorder="1" applyAlignment="1" applyProtection="1">
      <alignment horizontal="center" vertical="center"/>
      <protection locked="0"/>
    </xf>
    <xf numFmtId="0" fontId="9" fillId="27" borderId="42" xfId="0" applyFont="1" applyFill="1" applyBorder="1" applyAlignment="1" applyProtection="1">
      <alignment horizontal="center" vertical="center"/>
      <protection locked="0"/>
    </xf>
    <xf numFmtId="0" fontId="9" fillId="0" borderId="42" xfId="0" applyFont="1" applyBorder="1" applyAlignment="1" applyProtection="1">
      <alignment horizontal="center" vertical="center"/>
      <protection locked="0"/>
    </xf>
    <xf numFmtId="0" fontId="9" fillId="28" borderId="42" xfId="0" applyFont="1" applyFill="1" applyBorder="1" applyAlignment="1" applyProtection="1">
      <alignment horizontal="center" vertical="center"/>
      <protection locked="0"/>
    </xf>
    <xf numFmtId="0" fontId="9" fillId="28" borderId="36" xfId="0" applyFont="1" applyFill="1" applyBorder="1" applyAlignment="1" applyProtection="1">
      <alignment horizontal="center" vertical="center"/>
      <protection locked="0"/>
    </xf>
    <xf numFmtId="0" fontId="9" fillId="0" borderId="36" xfId="0" applyFont="1" applyBorder="1" applyAlignment="1" applyProtection="1">
      <alignment horizontal="center" vertical="center"/>
      <protection locked="0"/>
    </xf>
    <xf numFmtId="0" fontId="9" fillId="29" borderId="42" xfId="0" applyFont="1" applyFill="1" applyBorder="1" applyAlignment="1" applyProtection="1">
      <alignment horizontal="center" vertical="center"/>
      <protection locked="0"/>
    </xf>
    <xf numFmtId="0" fontId="9" fillId="29" borderId="37" xfId="0" applyFont="1" applyFill="1" applyBorder="1" applyAlignment="1" applyProtection="1">
      <alignment horizontal="center" vertical="center"/>
      <protection locked="0"/>
    </xf>
    <xf numFmtId="0" fontId="9" fillId="0" borderId="37" xfId="0" applyFont="1" applyBorder="1" applyAlignment="1" applyProtection="1">
      <alignment horizontal="center" vertical="center"/>
      <protection locked="0"/>
    </xf>
    <xf numFmtId="0" fontId="9" fillId="0" borderId="32" xfId="0" applyFont="1" applyBorder="1" applyAlignment="1" applyProtection="1">
      <alignment horizontal="center" vertical="center"/>
      <protection locked="0"/>
    </xf>
    <xf numFmtId="0" fontId="9" fillId="29" borderId="35" xfId="0" applyFont="1" applyFill="1" applyBorder="1" applyAlignment="1" applyProtection="1">
      <alignment horizontal="center" vertical="center"/>
      <protection locked="0"/>
    </xf>
    <xf numFmtId="0" fontId="9" fillId="29" borderId="36" xfId="0" applyFont="1" applyFill="1" applyBorder="1" applyAlignment="1" applyProtection="1">
      <alignment horizontal="center" vertical="center"/>
      <protection locked="0"/>
    </xf>
    <xf numFmtId="0" fontId="8" fillId="29" borderId="37" xfId="0" applyFont="1" applyFill="1" applyBorder="1" applyProtection="1">
      <protection locked="0"/>
    </xf>
    <xf numFmtId="0" fontId="8" fillId="29" borderId="42" xfId="0" applyFont="1" applyFill="1" applyBorder="1" applyProtection="1">
      <protection locked="0"/>
    </xf>
    <xf numFmtId="0" fontId="9" fillId="5" borderId="36" xfId="0" applyFont="1" applyFill="1" applyBorder="1" applyAlignment="1" applyProtection="1">
      <alignment horizontal="center" vertical="center"/>
      <protection locked="0"/>
    </xf>
    <xf numFmtId="0" fontId="9" fillId="5" borderId="42" xfId="0" applyFont="1" applyFill="1" applyBorder="1" applyAlignment="1" applyProtection="1">
      <alignment horizontal="center" vertical="center"/>
      <protection locked="0"/>
    </xf>
    <xf numFmtId="0" fontId="9" fillId="5" borderId="37" xfId="0" applyFont="1" applyFill="1" applyBorder="1" applyAlignment="1" applyProtection="1">
      <alignment horizontal="center" vertical="center"/>
      <protection locked="0"/>
    </xf>
    <xf numFmtId="0" fontId="9" fillId="0" borderId="43" xfId="0" applyFont="1" applyBorder="1" applyAlignment="1" applyProtection="1">
      <alignment horizontal="left" vertical="center"/>
      <protection locked="0"/>
    </xf>
    <xf numFmtId="0" fontId="8" fillId="30" borderId="38" xfId="0" applyFont="1" applyFill="1" applyBorder="1" applyAlignment="1" applyProtection="1">
      <alignment horizontal="center"/>
      <protection locked="0"/>
    </xf>
    <xf numFmtId="0" fontId="8" fillId="30" borderId="25" xfId="1" applyFont="1" applyFill="1" applyBorder="1" applyAlignment="1" applyProtection="1">
      <alignment horizontal="center"/>
      <protection locked="0"/>
    </xf>
    <xf numFmtId="0" fontId="8" fillId="0" borderId="44" xfId="1" applyFont="1" applyBorder="1" applyAlignment="1" applyProtection="1">
      <alignment horizontal="center"/>
      <protection locked="0"/>
    </xf>
    <xf numFmtId="0" fontId="8" fillId="0" borderId="24" xfId="0" applyFont="1" applyBorder="1" applyAlignment="1" applyProtection="1">
      <alignment horizontal="center"/>
      <protection locked="0"/>
    </xf>
    <xf numFmtId="0" fontId="8" fillId="0" borderId="30" xfId="0" applyFont="1" applyBorder="1" applyAlignment="1" applyProtection="1">
      <alignment horizontal="center"/>
      <protection locked="0"/>
    </xf>
    <xf numFmtId="0" fontId="8" fillId="0" borderId="25" xfId="0" applyFont="1" applyBorder="1" applyAlignment="1" applyProtection="1">
      <alignment horizontal="center"/>
      <protection locked="0"/>
    </xf>
    <xf numFmtId="0" fontId="8" fillId="30" borderId="44" xfId="0" applyFont="1" applyFill="1" applyBorder="1" applyAlignment="1" applyProtection="1">
      <alignment horizontal="center"/>
      <protection locked="0"/>
    </xf>
    <xf numFmtId="0" fontId="8" fillId="30" borderId="24" xfId="1" applyFont="1" applyFill="1" applyBorder="1" applyAlignment="1" applyProtection="1">
      <alignment horizontal="center"/>
      <protection locked="0"/>
    </xf>
    <xf numFmtId="0" fontId="8" fillId="30" borderId="25" xfId="0" applyFont="1" applyFill="1" applyBorder="1" applyAlignment="1" applyProtection="1">
      <alignment horizontal="center"/>
      <protection locked="0"/>
    </xf>
    <xf numFmtId="0" fontId="8" fillId="30" borderId="30" xfId="1" applyFont="1" applyFill="1" applyBorder="1" applyAlignment="1" applyProtection="1">
      <alignment horizontal="center"/>
      <protection locked="0"/>
    </xf>
    <xf numFmtId="0" fontId="9" fillId="0" borderId="45" xfId="0" applyFont="1" applyBorder="1" applyAlignment="1" applyProtection="1">
      <alignment horizontal="left" vertical="center"/>
      <protection locked="0"/>
    </xf>
    <xf numFmtId="0" fontId="8" fillId="30" borderId="39" xfId="0" applyFont="1" applyFill="1" applyBorder="1" applyAlignment="1" applyProtection="1">
      <alignment horizontal="center"/>
      <protection locked="0"/>
    </xf>
    <xf numFmtId="0" fontId="8" fillId="30" borderId="22" xfId="1" applyFont="1" applyFill="1" applyBorder="1" applyAlignment="1" applyProtection="1">
      <alignment horizontal="center"/>
      <protection locked="0"/>
    </xf>
    <xf numFmtId="0" fontId="8" fillId="0" borderId="46" xfId="1" applyFont="1" applyBorder="1" applyAlignment="1" applyProtection="1">
      <alignment horizontal="center"/>
      <protection locked="0"/>
    </xf>
    <xf numFmtId="0" fontId="8" fillId="0" borderId="21" xfId="0" applyFont="1" applyBorder="1" applyAlignment="1" applyProtection="1">
      <alignment horizontal="center"/>
      <protection locked="0"/>
    </xf>
    <xf numFmtId="0" fontId="8" fillId="0" borderId="31" xfId="0" applyFont="1" applyBorder="1" applyAlignment="1" applyProtection="1">
      <alignment horizontal="center"/>
      <protection locked="0"/>
    </xf>
    <xf numFmtId="0" fontId="8" fillId="0" borderId="22" xfId="0" applyFont="1" applyBorder="1" applyAlignment="1" applyProtection="1">
      <alignment horizontal="center"/>
      <protection locked="0"/>
    </xf>
    <xf numFmtId="0" fontId="8" fillId="30" borderId="46" xfId="0" applyFont="1" applyFill="1" applyBorder="1" applyAlignment="1" applyProtection="1">
      <alignment horizontal="center"/>
      <protection locked="0"/>
    </xf>
    <xf numFmtId="0" fontId="8" fillId="30" borderId="21" xfId="1" applyFont="1" applyFill="1" applyBorder="1" applyAlignment="1" applyProtection="1">
      <alignment horizontal="center"/>
      <protection locked="0"/>
    </xf>
    <xf numFmtId="0" fontId="8" fillId="30" borderId="22" xfId="0" applyFont="1" applyFill="1" applyBorder="1" applyAlignment="1" applyProtection="1">
      <alignment horizontal="center"/>
      <protection locked="0"/>
    </xf>
    <xf numFmtId="0" fontId="8" fillId="30" borderId="31" xfId="1" applyFont="1" applyFill="1" applyBorder="1" applyAlignment="1" applyProtection="1">
      <alignment horizontal="center"/>
      <protection locked="0"/>
    </xf>
    <xf numFmtId="0" fontId="9" fillId="0" borderId="47" xfId="0" applyFont="1" applyBorder="1" applyAlignment="1" applyProtection="1">
      <alignment horizontal="left" vertical="center"/>
      <protection locked="0"/>
    </xf>
    <xf numFmtId="0" fontId="8" fillId="30" borderId="40" xfId="0" applyFont="1" applyFill="1" applyBorder="1" applyAlignment="1" applyProtection="1">
      <alignment horizontal="center"/>
      <protection locked="0"/>
    </xf>
    <xf numFmtId="0" fontId="8" fillId="30" borderId="41" xfId="1" applyFont="1" applyFill="1" applyBorder="1" applyAlignment="1" applyProtection="1">
      <alignment horizontal="center"/>
      <protection locked="0"/>
    </xf>
    <xf numFmtId="0" fontId="8" fillId="0" borderId="48" xfId="1" applyFont="1" applyBorder="1" applyAlignment="1" applyProtection="1">
      <alignment horizontal="center"/>
      <protection locked="0"/>
    </xf>
    <xf numFmtId="0" fontId="8" fillId="0" borderId="49" xfId="0" applyFont="1" applyBorder="1" applyAlignment="1" applyProtection="1">
      <alignment horizontal="center"/>
      <protection locked="0"/>
    </xf>
    <xf numFmtId="0" fontId="8" fillId="0" borderId="50" xfId="0" applyFont="1" applyBorder="1" applyAlignment="1" applyProtection="1">
      <alignment horizontal="center"/>
      <protection locked="0"/>
    </xf>
    <xf numFmtId="0" fontId="8" fillId="0" borderId="41" xfId="0" applyFont="1" applyBorder="1" applyAlignment="1" applyProtection="1">
      <alignment horizontal="center"/>
      <protection locked="0"/>
    </xf>
    <xf numFmtId="0" fontId="8" fillId="30" borderId="48" xfId="0" applyFont="1" applyFill="1" applyBorder="1" applyAlignment="1" applyProtection="1">
      <alignment horizontal="center"/>
      <protection locked="0"/>
    </xf>
    <xf numFmtId="0" fontId="8" fillId="30" borderId="49" xfId="1" applyFont="1" applyFill="1" applyBorder="1" applyAlignment="1" applyProtection="1">
      <alignment horizontal="center"/>
      <protection locked="0"/>
    </xf>
    <xf numFmtId="0" fontId="8" fillId="30" borderId="41" xfId="0" applyFont="1" applyFill="1" applyBorder="1" applyAlignment="1" applyProtection="1">
      <alignment horizontal="center"/>
      <protection locked="0"/>
    </xf>
    <xf numFmtId="0" fontId="8" fillId="30" borderId="50" xfId="1" applyFont="1" applyFill="1" applyBorder="1" applyAlignment="1" applyProtection="1">
      <alignment horizontal="center"/>
      <protection locked="0"/>
    </xf>
    <xf numFmtId="0" fontId="9" fillId="31" borderId="20" xfId="0" applyFont="1" applyFill="1" applyBorder="1" applyAlignment="1" applyProtection="1">
      <alignment horizontal="left" vertical="center"/>
      <protection locked="0"/>
    </xf>
    <xf numFmtId="0" fontId="8" fillId="31" borderId="38" xfId="0" applyFont="1" applyFill="1" applyBorder="1" applyAlignment="1" applyProtection="1">
      <alignment horizontal="center"/>
      <protection locked="0"/>
    </xf>
    <xf numFmtId="0" fontId="8" fillId="32" borderId="25" xfId="1" applyFont="1" applyFill="1" applyBorder="1" applyAlignment="1" applyProtection="1">
      <alignment horizontal="center"/>
      <protection locked="0"/>
    </xf>
    <xf numFmtId="0" fontId="8" fillId="32" borderId="44" xfId="1" applyFont="1" applyFill="1" applyBorder="1" applyAlignment="1" applyProtection="1">
      <alignment horizontal="center"/>
      <protection locked="0"/>
    </xf>
    <xf numFmtId="0" fontId="8" fillId="31" borderId="24" xfId="0" applyFont="1" applyFill="1" applyBorder="1" applyAlignment="1" applyProtection="1">
      <alignment horizontal="center"/>
      <protection locked="0"/>
    </xf>
    <xf numFmtId="0" fontId="8" fillId="31" borderId="30" xfId="0" applyFont="1" applyFill="1" applyBorder="1" applyAlignment="1" applyProtection="1">
      <alignment horizontal="center"/>
      <protection locked="0"/>
    </xf>
    <xf numFmtId="0" fontId="8" fillId="31" borderId="25" xfId="0" applyFont="1" applyFill="1" applyBorder="1" applyAlignment="1" applyProtection="1">
      <alignment horizontal="center"/>
      <protection locked="0"/>
    </xf>
    <xf numFmtId="0" fontId="8" fillId="31" borderId="44" xfId="0" applyFont="1" applyFill="1" applyBorder="1" applyAlignment="1" applyProtection="1">
      <alignment horizontal="center"/>
      <protection locked="0"/>
    </xf>
    <xf numFmtId="0" fontId="8" fillId="32" borderId="24" xfId="1" applyFont="1" applyFill="1" applyBorder="1" applyAlignment="1" applyProtection="1">
      <alignment horizontal="center"/>
      <protection locked="0"/>
    </xf>
    <xf numFmtId="0" fontId="8" fillId="32" borderId="30" xfId="1" applyFont="1" applyFill="1" applyBorder="1" applyAlignment="1" applyProtection="1">
      <alignment horizontal="center"/>
      <protection locked="0"/>
    </xf>
    <xf numFmtId="0" fontId="9" fillId="31" borderId="51" xfId="0" applyFont="1" applyFill="1" applyBorder="1" applyAlignment="1" applyProtection="1">
      <alignment horizontal="left" vertical="center"/>
      <protection locked="0"/>
    </xf>
    <xf numFmtId="0" fontId="8" fillId="31" borderId="39" xfId="0" applyFont="1" applyFill="1" applyBorder="1" applyAlignment="1" applyProtection="1">
      <alignment horizontal="center"/>
      <protection locked="0"/>
    </xf>
    <xf numFmtId="0" fontId="8" fillId="32" borderId="22" xfId="1" applyFont="1" applyFill="1" applyBorder="1" applyAlignment="1" applyProtection="1">
      <alignment horizontal="center"/>
      <protection locked="0"/>
    </xf>
    <xf numFmtId="0" fontId="8" fillId="32" borderId="46" xfId="1" applyFont="1" applyFill="1" applyBorder="1" applyAlignment="1" applyProtection="1">
      <alignment horizontal="center"/>
      <protection locked="0"/>
    </xf>
    <xf numFmtId="0" fontId="8" fillId="31" borderId="21" xfId="0" applyFont="1" applyFill="1" applyBorder="1" applyAlignment="1" applyProtection="1">
      <alignment horizontal="center"/>
      <protection locked="0"/>
    </xf>
    <xf numFmtId="0" fontId="8" fillId="31" borderId="31" xfId="0" applyFont="1" applyFill="1" applyBorder="1" applyAlignment="1" applyProtection="1">
      <alignment horizontal="center"/>
      <protection locked="0"/>
    </xf>
    <xf numFmtId="0" fontId="8" fillId="31" borderId="22" xfId="0" applyFont="1" applyFill="1" applyBorder="1" applyAlignment="1" applyProtection="1">
      <alignment horizontal="center"/>
      <protection locked="0"/>
    </xf>
    <xf numFmtId="0" fontId="8" fillId="31" borderId="46" xfId="0" applyFont="1" applyFill="1" applyBorder="1" applyAlignment="1" applyProtection="1">
      <alignment horizontal="center"/>
      <protection locked="0"/>
    </xf>
    <xf numFmtId="0" fontId="8" fillId="32" borderId="21" xfId="1" applyFont="1" applyFill="1" applyBorder="1" applyAlignment="1" applyProtection="1">
      <alignment horizontal="center"/>
      <protection locked="0"/>
    </xf>
    <xf numFmtId="0" fontId="8" fillId="32" borderId="31" xfId="1" applyFont="1" applyFill="1" applyBorder="1" applyAlignment="1" applyProtection="1">
      <alignment horizontal="center"/>
      <protection locked="0"/>
    </xf>
    <xf numFmtId="0" fontId="8" fillId="31" borderId="39" xfId="0" applyFont="1" applyFill="1" applyBorder="1" applyProtection="1">
      <protection locked="0"/>
    </xf>
    <xf numFmtId="0" fontId="8" fillId="32" borderId="22" xfId="1" applyFont="1" applyFill="1" applyBorder="1" applyProtection="1">
      <protection locked="0"/>
    </xf>
    <xf numFmtId="0" fontId="9" fillId="31" borderId="52" xfId="0" applyFont="1" applyFill="1" applyBorder="1" applyAlignment="1" applyProtection="1">
      <alignment horizontal="left" vertical="center"/>
      <protection locked="0"/>
    </xf>
    <xf numFmtId="0" fontId="8" fillId="31" borderId="53" xfId="0" applyFont="1" applyFill="1" applyBorder="1" applyAlignment="1" applyProtection="1">
      <alignment horizontal="center"/>
      <protection locked="0"/>
    </xf>
    <xf numFmtId="0" fontId="8" fillId="32" borderId="27" xfId="1" applyFont="1" applyFill="1" applyBorder="1" applyProtection="1">
      <protection locked="0"/>
    </xf>
    <xf numFmtId="0" fontId="8" fillId="32" borderId="27" xfId="1" applyFont="1" applyFill="1" applyBorder="1" applyAlignment="1" applyProtection="1">
      <alignment horizontal="center"/>
      <protection locked="0"/>
    </xf>
    <xf numFmtId="0" fontId="8" fillId="32" borderId="54" xfId="1" applyFont="1" applyFill="1" applyBorder="1" applyAlignment="1" applyProtection="1">
      <alignment horizontal="center"/>
      <protection locked="0"/>
    </xf>
    <xf numFmtId="0" fontId="8" fillId="31" borderId="26" xfId="0" applyFont="1" applyFill="1" applyBorder="1" applyAlignment="1" applyProtection="1">
      <alignment horizontal="center"/>
      <protection locked="0"/>
    </xf>
    <xf numFmtId="0" fontId="8" fillId="31" borderId="55" xfId="0" applyFont="1" applyFill="1" applyBorder="1" applyAlignment="1" applyProtection="1">
      <alignment horizontal="center"/>
      <protection locked="0"/>
    </xf>
    <xf numFmtId="0" fontId="8" fillId="31" borderId="27" xfId="0" applyFont="1" applyFill="1" applyBorder="1" applyAlignment="1" applyProtection="1">
      <alignment horizontal="center"/>
      <protection locked="0"/>
    </xf>
    <xf numFmtId="0" fontId="8" fillId="31" borderId="54" xfId="0" applyFont="1" applyFill="1" applyBorder="1" applyAlignment="1" applyProtection="1">
      <alignment horizontal="center"/>
      <protection locked="0"/>
    </xf>
    <xf numFmtId="0" fontId="8" fillId="32" borderId="26" xfId="1" applyFont="1" applyFill="1" applyBorder="1" applyAlignment="1" applyProtection="1">
      <alignment horizontal="center"/>
      <protection locked="0"/>
    </xf>
    <xf numFmtId="0" fontId="8" fillId="32" borderId="55" xfId="1" applyFont="1" applyFill="1" applyBorder="1" applyAlignment="1" applyProtection="1">
      <alignment horizontal="center"/>
      <protection locked="0"/>
    </xf>
    <xf numFmtId="0" fontId="9" fillId="33" borderId="56" xfId="0" applyFont="1" applyFill="1" applyBorder="1" applyAlignment="1" applyProtection="1">
      <alignment horizontal="left" vertical="center"/>
      <protection locked="0"/>
    </xf>
    <xf numFmtId="0" fontId="8" fillId="33" borderId="57" xfId="0" applyFont="1" applyFill="1" applyBorder="1" applyAlignment="1" applyProtection="1">
      <alignment horizontal="center"/>
      <protection locked="0"/>
    </xf>
    <xf numFmtId="0" fontId="8" fillId="34" borderId="58" xfId="1" applyFont="1" applyFill="1" applyBorder="1" applyAlignment="1" applyProtection="1">
      <alignment horizontal="center"/>
      <protection locked="0"/>
    </xf>
    <xf numFmtId="0" fontId="8" fillId="34" borderId="59" xfId="1" applyFont="1" applyFill="1" applyBorder="1" applyAlignment="1" applyProtection="1">
      <alignment horizontal="center"/>
      <protection locked="0"/>
    </xf>
    <xf numFmtId="0" fontId="8" fillId="33" borderId="60" xfId="0" applyFont="1" applyFill="1" applyBorder="1" applyAlignment="1" applyProtection="1">
      <alignment horizontal="center"/>
      <protection locked="0"/>
    </xf>
    <xf numFmtId="0" fontId="8" fillId="33" borderId="61" xfId="0" applyFont="1" applyFill="1" applyBorder="1" applyAlignment="1" applyProtection="1">
      <alignment horizontal="center"/>
      <protection locked="0"/>
    </xf>
    <xf numFmtId="0" fontId="8" fillId="33" borderId="58" xfId="0" applyFont="1" applyFill="1" applyBorder="1" applyAlignment="1" applyProtection="1">
      <alignment horizontal="center"/>
      <protection locked="0"/>
    </xf>
    <xf numFmtId="0" fontId="8" fillId="33" borderId="59" xfId="0" applyFont="1" applyFill="1" applyBorder="1" applyAlignment="1" applyProtection="1">
      <alignment horizontal="center"/>
      <protection locked="0"/>
    </xf>
    <xf numFmtId="0" fontId="8" fillId="34" borderId="60" xfId="1" applyFont="1" applyFill="1" applyBorder="1" applyAlignment="1" applyProtection="1">
      <alignment horizontal="center"/>
      <protection locked="0"/>
    </xf>
    <xf numFmtId="0" fontId="8" fillId="34" borderId="61" xfId="1" applyFont="1" applyFill="1" applyBorder="1" applyAlignment="1" applyProtection="1">
      <alignment horizontal="center"/>
      <protection locked="0"/>
    </xf>
    <xf numFmtId="0" fontId="9" fillId="33" borderId="45" xfId="0" applyFont="1" applyFill="1" applyBorder="1" applyAlignment="1" applyProtection="1">
      <alignment horizontal="left" vertical="center"/>
      <protection locked="0"/>
    </xf>
    <xf numFmtId="0" fontId="8" fillId="33" borderId="38" xfId="0" applyFont="1" applyFill="1" applyBorder="1" applyAlignment="1" applyProtection="1">
      <alignment horizontal="center"/>
      <protection locked="0"/>
    </xf>
    <xf numFmtId="0" fontId="8" fillId="34" borderId="25" xfId="1" applyFont="1" applyFill="1" applyBorder="1" applyAlignment="1" applyProtection="1">
      <alignment horizontal="center"/>
      <protection locked="0"/>
    </xf>
    <xf numFmtId="0" fontId="8" fillId="34" borderId="44" xfId="1" applyFont="1" applyFill="1" applyBorder="1" applyAlignment="1" applyProtection="1">
      <alignment horizontal="center"/>
      <protection locked="0"/>
    </xf>
    <xf numFmtId="0" fontId="8" fillId="33" borderId="24" xfId="0" applyFont="1" applyFill="1" applyBorder="1" applyAlignment="1" applyProtection="1">
      <alignment horizontal="center"/>
      <protection locked="0"/>
    </xf>
    <xf numFmtId="0" fontId="8" fillId="33" borderId="30" xfId="0" applyFont="1" applyFill="1" applyBorder="1" applyAlignment="1" applyProtection="1">
      <alignment horizontal="center"/>
      <protection locked="0"/>
    </xf>
    <xf numFmtId="0" fontId="8" fillId="33" borderId="25" xfId="0" applyFont="1" applyFill="1" applyBorder="1" applyAlignment="1" applyProtection="1">
      <alignment horizontal="center"/>
      <protection locked="0"/>
    </xf>
    <xf numFmtId="0" fontId="8" fillId="33" borderId="44" xfId="0" applyFont="1" applyFill="1" applyBorder="1" applyAlignment="1" applyProtection="1">
      <alignment horizontal="center"/>
      <protection locked="0"/>
    </xf>
    <xf numFmtId="0" fontId="8" fillId="34" borderId="24" xfId="1" applyFont="1" applyFill="1" applyBorder="1" applyAlignment="1" applyProtection="1">
      <alignment horizontal="center"/>
      <protection locked="0"/>
    </xf>
    <xf numFmtId="0" fontId="8" fillId="34" borderId="30" xfId="1" applyFont="1" applyFill="1" applyBorder="1" applyAlignment="1" applyProtection="1">
      <alignment horizontal="center"/>
      <protection locked="0"/>
    </xf>
    <xf numFmtId="0" fontId="8" fillId="33" borderId="39" xfId="0" applyFont="1" applyFill="1" applyBorder="1" applyAlignment="1" applyProtection="1">
      <alignment horizontal="center"/>
      <protection locked="0"/>
    </xf>
    <xf numFmtId="0" fontId="8" fillId="34" borderId="22" xfId="1" applyFont="1" applyFill="1" applyBorder="1" applyAlignment="1" applyProtection="1">
      <alignment horizontal="center"/>
      <protection locked="0"/>
    </xf>
    <xf numFmtId="0" fontId="8" fillId="34" borderId="46" xfId="1" applyFont="1" applyFill="1" applyBorder="1" applyAlignment="1" applyProtection="1">
      <alignment horizontal="center"/>
      <protection locked="0"/>
    </xf>
    <xf numFmtId="0" fontId="8" fillId="33" borderId="21" xfId="0" applyFont="1" applyFill="1" applyBorder="1" applyAlignment="1" applyProtection="1">
      <alignment horizontal="center"/>
      <protection locked="0"/>
    </xf>
    <xf numFmtId="0" fontId="8" fillId="33" borderId="31" xfId="0" applyFont="1" applyFill="1" applyBorder="1" applyAlignment="1" applyProtection="1">
      <alignment horizontal="center"/>
      <protection locked="0"/>
    </xf>
    <xf numFmtId="0" fontId="8" fillId="33" borderId="22" xfId="0" applyFont="1" applyFill="1" applyBorder="1" applyAlignment="1" applyProtection="1">
      <alignment horizontal="center"/>
      <protection locked="0"/>
    </xf>
    <xf numFmtId="0" fontId="8" fillId="33" borderId="46" xfId="0" applyFont="1" applyFill="1" applyBorder="1" applyAlignment="1" applyProtection="1">
      <alignment horizontal="center"/>
      <protection locked="0"/>
    </xf>
    <xf numFmtId="0" fontId="8" fillId="34" borderId="21" xfId="1" applyFont="1" applyFill="1" applyBorder="1" applyAlignment="1" applyProtection="1">
      <alignment horizontal="center"/>
      <protection locked="0"/>
    </xf>
    <xf numFmtId="0" fontId="8" fillId="34" borderId="31" xfId="1" applyFont="1" applyFill="1" applyBorder="1" applyAlignment="1" applyProtection="1">
      <alignment horizontal="center"/>
      <protection locked="0"/>
    </xf>
    <xf numFmtId="0" fontId="8" fillId="34" borderId="21" xfId="1" applyFont="1" applyFill="1" applyBorder="1" applyProtection="1">
      <protection locked="0"/>
    </xf>
    <xf numFmtId="0" fontId="8" fillId="33" borderId="22" xfId="0" applyFont="1" applyFill="1" applyBorder="1" applyProtection="1">
      <protection locked="0"/>
    </xf>
    <xf numFmtId="0" fontId="8" fillId="34" borderId="22" xfId="1" applyFont="1" applyFill="1" applyBorder="1" applyProtection="1">
      <protection locked="0"/>
    </xf>
    <xf numFmtId="0" fontId="9" fillId="33" borderId="47" xfId="0" applyFont="1" applyFill="1" applyBorder="1" applyAlignment="1" applyProtection="1">
      <alignment horizontal="left" vertical="center"/>
      <protection locked="0"/>
    </xf>
    <xf numFmtId="0" fontId="8" fillId="33" borderId="53" xfId="0" applyFont="1" applyFill="1" applyBorder="1" applyAlignment="1" applyProtection="1">
      <alignment horizontal="center"/>
      <protection locked="0"/>
    </xf>
    <xf numFmtId="0" fontId="8" fillId="34" borderId="27" xfId="1" applyFont="1" applyFill="1" applyBorder="1" applyAlignment="1" applyProtection="1">
      <alignment horizontal="center"/>
      <protection locked="0"/>
    </xf>
    <xf numFmtId="0" fontId="8" fillId="34" borderId="54" xfId="1" applyFont="1" applyFill="1" applyBorder="1" applyAlignment="1" applyProtection="1">
      <alignment horizontal="center"/>
      <protection locked="0"/>
    </xf>
    <xf numFmtId="0" fontId="8" fillId="33" borderId="26" xfId="0" applyFont="1" applyFill="1" applyBorder="1" applyAlignment="1" applyProtection="1">
      <alignment horizontal="center"/>
      <protection locked="0"/>
    </xf>
    <xf numFmtId="0" fontId="8" fillId="33" borderId="55" xfId="0" applyFont="1" applyFill="1" applyBorder="1" applyAlignment="1" applyProtection="1">
      <alignment horizontal="center"/>
      <protection locked="0"/>
    </xf>
    <xf numFmtId="0" fontId="8" fillId="33" borderId="27" xfId="0" applyFont="1" applyFill="1" applyBorder="1" applyAlignment="1" applyProtection="1">
      <alignment horizontal="center"/>
      <protection locked="0"/>
    </xf>
    <xf numFmtId="0" fontId="8" fillId="33" borderId="54" xfId="0" applyFont="1" applyFill="1" applyBorder="1" applyAlignment="1" applyProtection="1">
      <alignment horizontal="center"/>
      <protection locked="0"/>
    </xf>
    <xf numFmtId="0" fontId="8" fillId="34" borderId="26" xfId="1" applyFont="1" applyFill="1" applyBorder="1" applyProtection="1">
      <protection locked="0"/>
    </xf>
    <xf numFmtId="0" fontId="8" fillId="33" borderId="27" xfId="0" applyFont="1" applyFill="1" applyBorder="1" applyProtection="1">
      <protection locked="0"/>
    </xf>
    <xf numFmtId="0" fontId="8" fillId="34" borderId="27" xfId="1" applyFont="1" applyFill="1" applyBorder="1" applyProtection="1">
      <protection locked="0"/>
    </xf>
    <xf numFmtId="0" fontId="8" fillId="34" borderId="55" xfId="1" applyFont="1" applyFill="1" applyBorder="1" applyAlignment="1" applyProtection="1">
      <alignment horizontal="center"/>
      <protection locked="0"/>
    </xf>
    <xf numFmtId="0" fontId="8" fillId="33" borderId="40" xfId="0" applyFont="1" applyFill="1" applyBorder="1" applyAlignment="1" applyProtection="1">
      <alignment horizontal="center"/>
      <protection locked="0"/>
    </xf>
    <xf numFmtId="0" fontId="8" fillId="34" borderId="41" xfId="1" applyFont="1" applyFill="1" applyBorder="1" applyAlignment="1" applyProtection="1">
      <alignment horizontal="center"/>
      <protection locked="0"/>
    </xf>
    <xf numFmtId="0" fontId="8" fillId="34" borderId="48" xfId="1" applyFont="1" applyFill="1" applyBorder="1" applyAlignment="1" applyProtection="1">
      <alignment horizontal="center"/>
      <protection locked="0"/>
    </xf>
    <xf numFmtId="0" fontId="8" fillId="33" borderId="49" xfId="0" applyFont="1" applyFill="1" applyBorder="1" applyAlignment="1" applyProtection="1">
      <alignment horizontal="center"/>
      <protection locked="0"/>
    </xf>
    <xf numFmtId="0" fontId="8" fillId="33" borderId="50" xfId="0" applyFont="1" applyFill="1" applyBorder="1" applyAlignment="1" applyProtection="1">
      <alignment horizontal="center"/>
      <protection locked="0"/>
    </xf>
    <xf numFmtId="0" fontId="8" fillId="33" borderId="41" xfId="0" applyFont="1" applyFill="1" applyBorder="1" applyAlignment="1" applyProtection="1">
      <alignment horizontal="center"/>
      <protection locked="0"/>
    </xf>
    <xf numFmtId="0" fontId="8" fillId="33" borderId="48" xfId="0" applyFont="1" applyFill="1" applyBorder="1" applyAlignment="1" applyProtection="1">
      <alignment horizontal="center"/>
      <protection locked="0"/>
    </xf>
    <xf numFmtId="0" fontId="8" fillId="34" borderId="49" xfId="1" applyFont="1" applyFill="1" applyBorder="1" applyProtection="1">
      <protection locked="0"/>
    </xf>
    <xf numFmtId="0" fontId="8" fillId="33" borderId="41" xfId="0" applyFont="1" applyFill="1" applyBorder="1" applyProtection="1">
      <protection locked="0"/>
    </xf>
    <xf numFmtId="0" fontId="8" fillId="34" borderId="41" xfId="1" applyFont="1" applyFill="1" applyBorder="1" applyProtection="1">
      <protection locked="0"/>
    </xf>
    <xf numFmtId="0" fontId="8" fillId="34" borderId="50" xfId="1" applyFont="1" applyFill="1" applyBorder="1" applyAlignment="1" applyProtection="1">
      <alignment horizontal="center"/>
      <protection locked="0"/>
    </xf>
    <xf numFmtId="0" fontId="9" fillId="35" borderId="20" xfId="0" applyFont="1" applyFill="1" applyBorder="1" applyAlignment="1" applyProtection="1">
      <alignment horizontal="left" vertical="center"/>
      <protection locked="0"/>
    </xf>
    <xf numFmtId="0" fontId="8" fillId="35" borderId="38" xfId="0" applyFont="1" applyFill="1" applyBorder="1" applyAlignment="1" applyProtection="1">
      <alignment horizontal="center"/>
      <protection locked="0"/>
    </xf>
    <xf numFmtId="0" fontId="8" fillId="36" borderId="25" xfId="1" applyFont="1" applyFill="1" applyBorder="1" applyAlignment="1" applyProtection="1">
      <alignment horizontal="center"/>
      <protection locked="0"/>
    </xf>
    <xf numFmtId="0" fontId="8" fillId="36" borderId="44" xfId="1" applyFont="1" applyFill="1" applyBorder="1" applyAlignment="1" applyProtection="1">
      <alignment horizontal="center"/>
      <protection locked="0"/>
    </xf>
    <xf numFmtId="0" fontId="8" fillId="35" borderId="24" xfId="0" applyFont="1" applyFill="1" applyBorder="1" applyAlignment="1" applyProtection="1">
      <alignment horizontal="center"/>
      <protection locked="0"/>
    </xf>
    <xf numFmtId="0" fontId="8" fillId="35" borderId="30" xfId="0" applyFont="1" applyFill="1" applyBorder="1" applyAlignment="1" applyProtection="1">
      <alignment horizontal="center"/>
      <protection locked="0"/>
    </xf>
    <xf numFmtId="0" fontId="8" fillId="35" borderId="25" xfId="0" applyFont="1" applyFill="1" applyBorder="1" applyAlignment="1" applyProtection="1">
      <alignment horizontal="center"/>
      <protection locked="0"/>
    </xf>
    <xf numFmtId="0" fontId="8" fillId="35" borderId="44" xfId="0" applyFont="1" applyFill="1" applyBorder="1" applyAlignment="1" applyProtection="1">
      <alignment horizontal="center"/>
      <protection locked="0"/>
    </xf>
    <xf numFmtId="0" fontId="8" fillId="36" borderId="24" xfId="1" applyFont="1" applyFill="1" applyBorder="1" applyAlignment="1" applyProtection="1">
      <alignment horizontal="center"/>
      <protection locked="0"/>
    </xf>
    <xf numFmtId="0" fontId="8" fillId="36" borderId="30" xfId="1" applyFont="1" applyFill="1" applyBorder="1" applyAlignment="1" applyProtection="1">
      <alignment horizontal="center"/>
      <protection locked="0"/>
    </xf>
    <xf numFmtId="0" fontId="9" fillId="35" borderId="51" xfId="0" applyFont="1" applyFill="1" applyBorder="1" applyAlignment="1" applyProtection="1">
      <alignment horizontal="left" vertical="center"/>
      <protection locked="0"/>
    </xf>
    <xf numFmtId="0" fontId="8" fillId="35" borderId="39" xfId="0" applyFont="1" applyFill="1" applyBorder="1" applyAlignment="1" applyProtection="1">
      <alignment horizontal="center"/>
      <protection locked="0"/>
    </xf>
    <xf numFmtId="0" fontId="8" fillId="36" borderId="22" xfId="1" applyFont="1" applyFill="1" applyBorder="1" applyAlignment="1" applyProtection="1">
      <alignment horizontal="center"/>
      <protection locked="0"/>
    </xf>
    <xf numFmtId="0" fontId="8" fillId="36" borderId="46" xfId="1" applyFont="1" applyFill="1" applyBorder="1" applyAlignment="1" applyProtection="1">
      <alignment horizontal="center"/>
      <protection locked="0"/>
    </xf>
    <xf numFmtId="0" fontId="8" fillId="35" borderId="21" xfId="0" applyFont="1" applyFill="1" applyBorder="1" applyAlignment="1" applyProtection="1">
      <alignment horizontal="center"/>
      <protection locked="0"/>
    </xf>
    <xf numFmtId="0" fontId="8" fillId="35" borderId="31" xfId="0" applyFont="1" applyFill="1" applyBorder="1" applyAlignment="1" applyProtection="1">
      <alignment horizontal="center"/>
      <protection locked="0"/>
    </xf>
    <xf numFmtId="0" fontId="8" fillId="35" borderId="22" xfId="0" applyFont="1" applyFill="1" applyBorder="1" applyAlignment="1" applyProtection="1">
      <alignment horizontal="center"/>
      <protection locked="0"/>
    </xf>
    <xf numFmtId="0" fontId="8" fillId="35" borderId="46" xfId="0" applyFont="1" applyFill="1" applyBorder="1" applyAlignment="1" applyProtection="1">
      <alignment horizontal="center"/>
      <protection locked="0"/>
    </xf>
    <xf numFmtId="0" fontId="8" fillId="36" borderId="21" xfId="1" applyFont="1" applyFill="1" applyBorder="1" applyAlignment="1" applyProtection="1">
      <alignment horizontal="center"/>
      <protection locked="0"/>
    </xf>
    <xf numFmtId="0" fontId="8" fillId="36" borderId="31" xfId="1" applyFont="1" applyFill="1" applyBorder="1" applyAlignment="1" applyProtection="1">
      <alignment horizontal="center"/>
      <protection locked="0"/>
    </xf>
    <xf numFmtId="0" fontId="9" fillId="35" borderId="62" xfId="0" applyFont="1" applyFill="1" applyBorder="1" applyAlignment="1" applyProtection="1">
      <alignment horizontal="left" vertical="center"/>
      <protection locked="0"/>
    </xf>
    <xf numFmtId="0" fontId="8" fillId="35" borderId="53" xfId="0" applyFont="1" applyFill="1" applyBorder="1" applyAlignment="1" applyProtection="1">
      <alignment horizontal="center"/>
      <protection locked="0"/>
    </xf>
    <xf numFmtId="0" fontId="8" fillId="36" borderId="27" xfId="1" applyFont="1" applyFill="1" applyBorder="1" applyAlignment="1" applyProtection="1">
      <alignment horizontal="center"/>
      <protection locked="0"/>
    </xf>
    <xf numFmtId="0" fontId="8" fillId="36" borderId="54" xfId="1" applyFont="1" applyFill="1" applyBorder="1" applyAlignment="1" applyProtection="1">
      <alignment horizontal="center"/>
      <protection locked="0"/>
    </xf>
    <xf numFmtId="0" fontId="8" fillId="35" borderId="26" xfId="0" applyFont="1" applyFill="1" applyBorder="1" applyAlignment="1" applyProtection="1">
      <alignment horizontal="center"/>
      <protection locked="0"/>
    </xf>
    <xf numFmtId="0" fontId="8" fillId="35" borderId="55" xfId="0" applyFont="1" applyFill="1" applyBorder="1" applyAlignment="1" applyProtection="1">
      <alignment horizontal="center"/>
      <protection locked="0"/>
    </xf>
    <xf numFmtId="0" fontId="8" fillId="35" borderId="27" xfId="0" applyFont="1" applyFill="1" applyBorder="1" applyAlignment="1" applyProtection="1">
      <alignment horizontal="center"/>
      <protection locked="0"/>
    </xf>
    <xf numFmtId="0" fontId="8" fillId="35" borderId="54" xfId="0" applyFont="1" applyFill="1" applyBorder="1" applyAlignment="1" applyProtection="1">
      <alignment horizontal="center"/>
      <protection locked="0"/>
    </xf>
    <xf numFmtId="0" fontId="8" fillId="36" borderId="26" xfId="1" applyFont="1" applyFill="1" applyBorder="1" applyAlignment="1" applyProtection="1">
      <alignment horizontal="center"/>
      <protection locked="0"/>
    </xf>
    <xf numFmtId="0" fontId="8" fillId="36" borderId="55" xfId="1" applyFont="1" applyFill="1" applyBorder="1" applyAlignment="1" applyProtection="1">
      <alignment horizontal="center"/>
      <protection locked="0"/>
    </xf>
    <xf numFmtId="0" fontId="9" fillId="35" borderId="52" xfId="0" applyFont="1" applyFill="1" applyBorder="1" applyAlignment="1" applyProtection="1">
      <alignment horizontal="left" vertical="center"/>
      <protection locked="0"/>
    </xf>
    <xf numFmtId="0" fontId="8" fillId="35" borderId="48" xfId="0" applyFont="1" applyFill="1" applyBorder="1" applyAlignment="1" applyProtection="1">
      <alignment horizontal="center"/>
      <protection locked="0"/>
    </xf>
    <xf numFmtId="0" fontId="8" fillId="35" borderId="41" xfId="0" applyFont="1" applyFill="1" applyBorder="1" applyAlignment="1" applyProtection="1">
      <alignment horizontal="center"/>
      <protection locked="0"/>
    </xf>
    <xf numFmtId="0" fontId="8" fillId="36" borderId="41" xfId="1" applyFont="1" applyFill="1" applyBorder="1" applyAlignment="1" applyProtection="1">
      <alignment horizontal="center"/>
      <protection locked="0"/>
    </xf>
    <xf numFmtId="0" fontId="8" fillId="36" borderId="50" xfId="1" applyFont="1" applyFill="1" applyBorder="1" applyAlignment="1" applyProtection="1">
      <alignment horizontal="center"/>
      <protection locked="0"/>
    </xf>
    <xf numFmtId="0" fontId="9" fillId="0" borderId="32" xfId="0" applyFont="1" applyBorder="1" applyAlignment="1" applyProtection="1">
      <alignment horizontal="center" vertical="center"/>
      <protection locked="0"/>
    </xf>
    <xf numFmtId="0" fontId="9" fillId="37" borderId="36" xfId="0" applyFont="1" applyFill="1" applyBorder="1" applyAlignment="1" applyProtection="1">
      <alignment horizontal="center" vertical="center"/>
      <protection locked="0"/>
    </xf>
    <xf numFmtId="0" fontId="9" fillId="37" borderId="33" xfId="0" applyFont="1" applyFill="1" applyBorder="1" applyAlignment="1" applyProtection="1">
      <alignment horizontal="center" vertical="center"/>
      <protection locked="0"/>
    </xf>
    <xf numFmtId="0" fontId="9" fillId="37" borderId="37" xfId="0" applyFont="1" applyFill="1" applyBorder="1" applyAlignment="1" applyProtection="1">
      <alignment horizontal="center" vertical="center"/>
      <protection locked="0"/>
    </xf>
    <xf numFmtId="0" fontId="9" fillId="37" borderId="29" xfId="0" applyFont="1" applyFill="1" applyBorder="1" applyAlignment="1" applyProtection="1">
      <alignment horizontal="center" vertical="center"/>
      <protection locked="0"/>
    </xf>
    <xf numFmtId="0" fontId="9" fillId="37" borderId="28" xfId="0" applyFont="1" applyFill="1" applyBorder="1" applyAlignment="1" applyProtection="1">
      <alignment horizontal="center" vertical="center"/>
      <protection locked="0"/>
    </xf>
    <xf numFmtId="0" fontId="8" fillId="0" borderId="22" xfId="0" applyFont="1" applyBorder="1" applyProtection="1">
      <protection locked="0"/>
    </xf>
    <xf numFmtId="0" fontId="7" fillId="0" borderId="0" xfId="0" applyFont="1" applyProtection="1"/>
    <xf numFmtId="0" fontId="0" fillId="38" borderId="0" xfId="0" applyFill="1" applyProtection="1"/>
    <xf numFmtId="0" fontId="2" fillId="39" borderId="0" xfId="0" applyFont="1" applyFill="1" applyAlignment="1" applyProtection="1">
      <alignment horizontal="center"/>
    </xf>
    <xf numFmtId="0" fontId="2" fillId="39" borderId="0" xfId="0" applyFont="1" applyFill="1" applyAlignment="1" applyProtection="1">
      <alignment wrapText="1"/>
    </xf>
    <xf numFmtId="0" fontId="2" fillId="22" borderId="0" xfId="0" applyFont="1" applyFill="1" applyProtection="1"/>
    <xf numFmtId="0" fontId="36" fillId="0" borderId="0" xfId="0" applyFont="1" applyProtection="1"/>
    <xf numFmtId="0" fontId="37" fillId="0" borderId="0" xfId="0" applyFont="1" applyProtection="1"/>
    <xf numFmtId="0" fontId="25" fillId="0" borderId="0" xfId="0" applyFont="1" applyProtection="1"/>
    <xf numFmtId="0" fontId="99" fillId="0" borderId="0" xfId="0" applyFont="1" applyProtection="1"/>
    <xf numFmtId="0" fontId="11" fillId="39" borderId="0" xfId="0" applyFont="1" applyFill="1" applyAlignment="1" applyProtection="1">
      <alignment wrapText="1"/>
    </xf>
    <xf numFmtId="0" fontId="11" fillId="39" borderId="0" xfId="0" applyFont="1" applyFill="1" applyAlignment="1" applyProtection="1">
      <alignment horizontal="center" wrapText="1"/>
    </xf>
    <xf numFmtId="0" fontId="2" fillId="40" borderId="0" xfId="0" applyFont="1" applyFill="1" applyProtection="1"/>
    <xf numFmtId="0" fontId="11" fillId="40" borderId="0" xfId="0" applyFont="1" applyFill="1" applyProtection="1"/>
    <xf numFmtId="0" fontId="11" fillId="39" borderId="0" xfId="0" applyFont="1" applyFill="1" applyAlignment="1" applyProtection="1">
      <alignment horizontal="center"/>
    </xf>
    <xf numFmtId="0" fontId="37" fillId="0" borderId="0" xfId="0" applyFont="1" applyAlignment="1" applyProtection="1">
      <alignment horizontal="center"/>
    </xf>
    <xf numFmtId="0" fontId="24" fillId="0" borderId="0" xfId="0" applyFont="1" applyAlignment="1" applyProtection="1">
      <alignment horizontal="center"/>
    </xf>
    <xf numFmtId="0" fontId="2" fillId="41" borderId="0" xfId="0" applyFont="1" applyFill="1" applyProtection="1"/>
    <xf numFmtId="0" fontId="2" fillId="41" borderId="0" xfId="0" applyFont="1" applyFill="1" applyAlignment="1" applyProtection="1">
      <alignment horizontal="center"/>
    </xf>
    <xf numFmtId="0" fontId="2" fillId="0" borderId="0" xfId="0" applyFont="1" applyProtection="1"/>
    <xf numFmtId="0" fontId="84" fillId="0" borderId="0" xfId="0" applyFont="1" applyProtection="1"/>
    <xf numFmtId="0" fontId="91" fillId="38" borderId="0" xfId="0" applyFont="1" applyFill="1" applyProtection="1"/>
    <xf numFmtId="171" fontId="91" fillId="38" borderId="0" xfId="0" applyNumberFormat="1" applyFont="1" applyFill="1" applyAlignment="1" applyProtection="1">
      <alignment horizontal="center"/>
    </xf>
    <xf numFmtId="0" fontId="92" fillId="0" borderId="0" xfId="0" applyFont="1" applyProtection="1"/>
    <xf numFmtId="0" fontId="13" fillId="39" borderId="0" xfId="0" applyFont="1" applyFill="1" applyProtection="1"/>
    <xf numFmtId="171" fontId="13" fillId="39" borderId="0" xfId="0" applyNumberFormat="1" applyFont="1" applyFill="1" applyProtection="1"/>
    <xf numFmtId="0" fontId="12" fillId="0" borderId="0" xfId="0" applyFont="1" applyAlignment="1" applyProtection="1">
      <alignment horizontal="left"/>
    </xf>
    <xf numFmtId="0" fontId="12" fillId="0" borderId="0" xfId="0" applyFont="1" applyProtection="1"/>
    <xf numFmtId="172" fontId="12" fillId="0" borderId="0" xfId="0" applyNumberFormat="1" applyFont="1" applyProtection="1"/>
    <xf numFmtId="172" fontId="93" fillId="0" borderId="0" xfId="0" applyNumberFormat="1" applyFont="1" applyProtection="1"/>
    <xf numFmtId="0" fontId="13" fillId="0" borderId="0" xfId="0" applyFont="1" applyProtection="1"/>
    <xf numFmtId="0" fontId="24" fillId="0" borderId="0" xfId="0" applyFont="1" applyProtection="1">
      <protection locked="0"/>
    </xf>
    <xf numFmtId="0" fontId="55" fillId="0" borderId="0" xfId="0" applyFont="1" applyProtection="1">
      <protection locked="0"/>
    </xf>
    <xf numFmtId="0" fontId="8" fillId="0" borderId="0" xfId="0" applyFont="1" applyProtection="1">
      <protection locked="0"/>
    </xf>
    <xf numFmtId="0" fontId="33" fillId="0" borderId="0" xfId="0" applyFont="1" applyProtection="1">
      <protection locked="0"/>
    </xf>
    <xf numFmtId="0" fontId="49" fillId="5" borderId="0" xfId="0" applyFont="1" applyFill="1" applyProtection="1">
      <protection locked="0"/>
    </xf>
    <xf numFmtId="0" fontId="56" fillId="0" borderId="0" xfId="0" applyFont="1" applyProtection="1">
      <protection locked="0"/>
    </xf>
    <xf numFmtId="0" fontId="25" fillId="0" borderId="0" xfId="0" applyFont="1" applyProtection="1">
      <protection locked="0"/>
    </xf>
    <xf numFmtId="49" fontId="90" fillId="5" borderId="0" xfId="0" applyNumberFormat="1" applyFont="1" applyFill="1" applyProtection="1">
      <protection locked="0"/>
    </xf>
    <xf numFmtId="0" fontId="59" fillId="0" borderId="0" xfId="0" applyFont="1" applyProtection="1"/>
    <xf numFmtId="0" fontId="61" fillId="0" borderId="0" xfId="0" applyFont="1" applyProtection="1"/>
    <xf numFmtId="0" fontId="47" fillId="0" borderId="0" xfId="0" applyFont="1" applyProtection="1"/>
    <xf numFmtId="0" fontId="63" fillId="0" borderId="0" xfId="0" applyFont="1" applyProtection="1"/>
    <xf numFmtId="0" fontId="65" fillId="0" borderId="0" xfId="0" applyFont="1" applyProtection="1"/>
    <xf numFmtId="0" fontId="38" fillId="38" borderId="0" xfId="0" applyFont="1" applyFill="1" applyAlignment="1" applyProtection="1">
      <alignment horizontal="center" vertical="center"/>
    </xf>
    <xf numFmtId="0" fontId="38" fillId="38" borderId="83" xfId="0" applyFont="1" applyFill="1" applyBorder="1" applyAlignment="1" applyProtection="1">
      <alignment horizontal="center" vertical="center"/>
    </xf>
    <xf numFmtId="0" fontId="38" fillId="38" borderId="0" xfId="0" applyFont="1" applyFill="1" applyAlignment="1" applyProtection="1">
      <alignment horizontal="center" vertical="center" wrapText="1"/>
    </xf>
    <xf numFmtId="0" fontId="38" fillId="42" borderId="0" xfId="0" applyFont="1" applyFill="1" applyAlignment="1" applyProtection="1">
      <alignment horizontal="center" vertical="center"/>
    </xf>
    <xf numFmtId="0" fontId="38" fillId="42" borderId="83" xfId="0" applyFont="1" applyFill="1" applyBorder="1" applyAlignment="1" applyProtection="1">
      <alignment horizontal="center" vertical="center"/>
    </xf>
    <xf numFmtId="164" fontId="66" fillId="39" borderId="0" xfId="0" applyNumberFormat="1" applyFont="1" applyFill="1" applyAlignment="1" applyProtection="1">
      <alignment horizontal="center" vertical="center"/>
    </xf>
    <xf numFmtId="3" fontId="66" fillId="39" borderId="83" xfId="0" applyNumberFormat="1" applyFont="1" applyFill="1" applyBorder="1" applyAlignment="1" applyProtection="1">
      <alignment horizontal="center" vertical="center"/>
    </xf>
    <xf numFmtId="166" fontId="66" fillId="39" borderId="0" xfId="0" applyNumberFormat="1" applyFont="1" applyFill="1" applyAlignment="1" applyProtection="1">
      <alignment horizontal="center" vertical="center"/>
    </xf>
    <xf numFmtId="166" fontId="87" fillId="39" borderId="0" xfId="0" applyNumberFormat="1" applyFont="1" applyFill="1" applyAlignment="1" applyProtection="1">
      <alignment horizontal="center" vertical="center"/>
    </xf>
    <xf numFmtId="165" fontId="87" fillId="39" borderId="83" xfId="0" applyNumberFormat="1" applyFont="1" applyFill="1" applyBorder="1" applyAlignment="1" applyProtection="1">
      <alignment horizontal="center" vertical="center"/>
    </xf>
    <xf numFmtId="165" fontId="59" fillId="39" borderId="0" xfId="0" applyNumberFormat="1" applyFont="1" applyFill="1" applyAlignment="1" applyProtection="1">
      <alignment horizontal="center" vertical="center"/>
    </xf>
    <xf numFmtId="1" fontId="59" fillId="39" borderId="83" xfId="0" applyNumberFormat="1" applyFont="1" applyFill="1" applyBorder="1" applyAlignment="1" applyProtection="1">
      <alignment horizontal="center" vertical="center"/>
    </xf>
    <xf numFmtId="3" fontId="88" fillId="44" borderId="0" xfId="0" applyNumberFormat="1" applyFont="1" applyFill="1" applyAlignment="1" applyProtection="1">
      <alignment horizontal="center" vertical="center"/>
    </xf>
    <xf numFmtId="0" fontId="88" fillId="44" borderId="83" xfId="0" applyFont="1" applyFill="1" applyBorder="1" applyAlignment="1" applyProtection="1">
      <alignment horizontal="center" vertical="center"/>
    </xf>
    <xf numFmtId="3" fontId="66" fillId="39" borderId="0" xfId="0" applyNumberFormat="1" applyFont="1" applyFill="1" applyAlignment="1" applyProtection="1">
      <alignment horizontal="center" vertical="center"/>
    </xf>
    <xf numFmtId="0" fontId="67" fillId="38" borderId="0" xfId="0" applyFont="1" applyFill="1" applyAlignment="1" applyProtection="1">
      <alignment horizontal="left" vertical="center"/>
    </xf>
    <xf numFmtId="0" fontId="67" fillId="38" borderId="0" xfId="0" applyFont="1" applyFill="1" applyAlignment="1" applyProtection="1">
      <alignment vertical="center"/>
    </xf>
    <xf numFmtId="0" fontId="70" fillId="39" borderId="63" xfId="0" applyFont="1" applyFill="1" applyBorder="1" applyAlignment="1" applyProtection="1">
      <alignment vertical="center"/>
    </xf>
    <xf numFmtId="0" fontId="70" fillId="39" borderId="64" xfId="0" applyFont="1" applyFill="1" applyBorder="1" applyAlignment="1" applyProtection="1">
      <alignment horizontal="center" vertical="center"/>
    </xf>
    <xf numFmtId="0" fontId="70" fillId="39" borderId="65" xfId="0" applyFont="1" applyFill="1" applyBorder="1" applyAlignment="1" applyProtection="1">
      <alignment horizontal="center" vertical="center"/>
    </xf>
    <xf numFmtId="0" fontId="70" fillId="39" borderId="0" xfId="0" applyFont="1" applyFill="1" applyAlignment="1" applyProtection="1">
      <alignment vertical="center"/>
    </xf>
    <xf numFmtId="0" fontId="70" fillId="39" borderId="87" xfId="0" applyFont="1" applyFill="1" applyBorder="1" applyAlignment="1" applyProtection="1">
      <alignment horizontal="center"/>
    </xf>
    <xf numFmtId="0" fontId="70" fillId="39" borderId="88" xfId="0" applyFont="1" applyFill="1" applyBorder="1" applyAlignment="1" applyProtection="1">
      <alignment horizontal="center"/>
    </xf>
    <xf numFmtId="0" fontId="70" fillId="39" borderId="69" xfId="0" applyFont="1" applyFill="1" applyBorder="1" applyAlignment="1" applyProtection="1">
      <alignment horizontal="center"/>
    </xf>
    <xf numFmtId="0" fontId="63" fillId="0" borderId="66" xfId="0" applyFont="1" applyBorder="1" applyProtection="1"/>
    <xf numFmtId="164" fontId="63" fillId="0" borderId="67" xfId="0" applyNumberFormat="1" applyFont="1" applyBorder="1" applyAlignment="1" applyProtection="1">
      <alignment horizontal="center"/>
    </xf>
    <xf numFmtId="166" fontId="63" fillId="0" borderId="67" xfId="0" applyNumberFormat="1" applyFont="1" applyBorder="1" applyAlignment="1" applyProtection="1">
      <alignment horizontal="center"/>
    </xf>
    <xf numFmtId="0" fontId="68" fillId="0" borderId="67" xfId="0" applyFont="1" applyBorder="1" applyAlignment="1" applyProtection="1">
      <alignment horizontal="center"/>
    </xf>
    <xf numFmtId="165" fontId="63" fillId="0" borderId="68" xfId="0" applyNumberFormat="1" applyFont="1" applyBorder="1" applyAlignment="1" applyProtection="1">
      <alignment horizontal="center"/>
    </xf>
    <xf numFmtId="0" fontId="63" fillId="0" borderId="89" xfId="0" applyFont="1" applyBorder="1" applyProtection="1"/>
    <xf numFmtId="166" fontId="71" fillId="0" borderId="90" xfId="0" applyNumberFormat="1" applyFont="1" applyBorder="1" applyAlignment="1" applyProtection="1">
      <alignment horizontal="center"/>
    </xf>
    <xf numFmtId="166" fontId="63" fillId="0" borderId="90" xfId="0" applyNumberFormat="1" applyFont="1" applyBorder="1" applyAlignment="1" applyProtection="1">
      <alignment horizontal="center"/>
    </xf>
    <xf numFmtId="164" fontId="63" fillId="0" borderId="91" xfId="0" applyNumberFormat="1" applyFont="1" applyBorder="1" applyAlignment="1" applyProtection="1">
      <alignment horizontal="center"/>
    </xf>
    <xf numFmtId="165" fontId="73" fillId="0" borderId="68" xfId="0" applyNumberFormat="1" applyFont="1" applyBorder="1" applyAlignment="1" applyProtection="1">
      <alignment horizontal="center"/>
    </xf>
    <xf numFmtId="0" fontId="63" fillId="0" borderId="92" xfId="0" applyFont="1" applyBorder="1" applyProtection="1"/>
    <xf numFmtId="166" fontId="71" fillId="0" borderId="93" xfId="0" applyNumberFormat="1" applyFont="1" applyBorder="1" applyAlignment="1" applyProtection="1">
      <alignment horizontal="center"/>
    </xf>
    <xf numFmtId="166" fontId="63" fillId="0" borderId="93" xfId="0" applyNumberFormat="1" applyFont="1" applyBorder="1" applyAlignment="1" applyProtection="1">
      <alignment horizontal="center"/>
    </xf>
    <xf numFmtId="164" fontId="63" fillId="0" borderId="94" xfId="0" applyNumberFormat="1" applyFont="1" applyBorder="1" applyAlignment="1" applyProtection="1">
      <alignment horizontal="center"/>
    </xf>
    <xf numFmtId="165" fontId="72" fillId="0" borderId="68" xfId="0" applyNumberFormat="1" applyFont="1" applyBorder="1" applyAlignment="1" applyProtection="1">
      <alignment horizontal="center"/>
    </xf>
    <xf numFmtId="0" fontId="63" fillId="26" borderId="66" xfId="0" applyFont="1" applyFill="1" applyBorder="1" applyProtection="1"/>
    <xf numFmtId="164" fontId="63" fillId="26" borderId="67" xfId="0" applyNumberFormat="1" applyFont="1" applyFill="1" applyBorder="1" applyAlignment="1" applyProtection="1">
      <alignment horizontal="center"/>
    </xf>
    <xf numFmtId="166" fontId="63" fillId="26" borderId="67" xfId="0" applyNumberFormat="1" applyFont="1" applyFill="1" applyBorder="1" applyAlignment="1" applyProtection="1">
      <alignment horizontal="center"/>
    </xf>
    <xf numFmtId="0" fontId="68" fillId="26" borderId="67" xfId="0" applyFont="1" applyFill="1" applyBorder="1" applyAlignment="1" applyProtection="1">
      <alignment horizontal="center"/>
    </xf>
    <xf numFmtId="165" fontId="63" fillId="26" borderId="68" xfId="0" applyNumberFormat="1" applyFont="1" applyFill="1" applyBorder="1" applyAlignment="1" applyProtection="1">
      <alignment horizontal="center"/>
    </xf>
    <xf numFmtId="0" fontId="10" fillId="26" borderId="0" xfId="0" applyFont="1" applyFill="1" applyProtection="1"/>
    <xf numFmtId="0" fontId="63" fillId="0" borderId="95" xfId="0" applyFont="1" applyBorder="1" applyProtection="1"/>
    <xf numFmtId="166" fontId="71" fillId="0" borderId="96" xfId="0" applyNumberFormat="1" applyFont="1" applyBorder="1" applyAlignment="1" applyProtection="1">
      <alignment horizontal="center"/>
    </xf>
    <xf numFmtId="166" fontId="63" fillId="0" borderId="96" xfId="0" applyNumberFormat="1" applyFont="1" applyBorder="1" applyAlignment="1" applyProtection="1">
      <alignment horizontal="center"/>
    </xf>
    <xf numFmtId="164" fontId="63" fillId="0" borderId="97" xfId="0" applyNumberFormat="1" applyFont="1" applyBorder="1" applyAlignment="1" applyProtection="1">
      <alignment horizontal="center"/>
    </xf>
    <xf numFmtId="165" fontId="73" fillId="26" borderId="68" xfId="0" applyNumberFormat="1" applyFont="1" applyFill="1" applyBorder="1" applyAlignment="1" applyProtection="1">
      <alignment horizontal="center"/>
    </xf>
    <xf numFmtId="0" fontId="67" fillId="38" borderId="0" xfId="0" applyFont="1" applyFill="1" applyAlignment="1" applyProtection="1">
      <alignment horizontal="left" vertical="center"/>
    </xf>
    <xf numFmtId="0" fontId="0" fillId="0" borderId="0" xfId="0" applyAlignment="1" applyProtection="1">
      <alignment vertical="center"/>
    </xf>
    <xf numFmtId="0" fontId="28" fillId="45" borderId="108" xfId="0" applyFont="1" applyFill="1" applyBorder="1" applyAlignment="1" applyProtection="1">
      <alignment vertical="center" indent="1"/>
    </xf>
    <xf numFmtId="0" fontId="69" fillId="45" borderId="108" xfId="0" applyFont="1" applyFill="1" applyBorder="1" applyAlignment="1" applyProtection="1">
      <alignment vertical="center"/>
    </xf>
    <xf numFmtId="0" fontId="0" fillId="45" borderId="108" xfId="0" applyFill="1" applyBorder="1" applyAlignment="1" applyProtection="1">
      <alignment vertical="center"/>
    </xf>
    <xf numFmtId="166" fontId="86" fillId="45" borderId="108" xfId="0" applyNumberFormat="1" applyFont="1" applyFill="1" applyBorder="1" applyAlignment="1" applyProtection="1">
      <alignment horizontal="right" vertical="center" indent="1"/>
    </xf>
    <xf numFmtId="0" fontId="0" fillId="45" borderId="0" xfId="0" applyFill="1" applyAlignment="1" applyProtection="1">
      <alignment vertical="center"/>
    </xf>
    <xf numFmtId="0" fontId="0" fillId="45" borderId="0" xfId="0" applyFill="1" applyAlignment="1" applyProtection="1">
      <alignment vertical="center"/>
    </xf>
    <xf numFmtId="0" fontId="83" fillId="43" borderId="108" xfId="0" applyFont="1" applyFill="1" applyBorder="1" applyAlignment="1" applyProtection="1">
      <alignment vertical="center" indent="1"/>
    </xf>
    <xf numFmtId="0" fontId="69" fillId="43" borderId="108" xfId="0" applyFont="1" applyFill="1" applyBorder="1" applyAlignment="1" applyProtection="1">
      <alignment vertical="center"/>
    </xf>
    <xf numFmtId="0" fontId="0" fillId="43" borderId="108" xfId="0" applyFill="1" applyBorder="1" applyAlignment="1" applyProtection="1">
      <alignment vertical="center"/>
    </xf>
    <xf numFmtId="166" fontId="87" fillId="43" borderId="108" xfId="0" applyNumberFormat="1" applyFont="1" applyFill="1" applyBorder="1" applyAlignment="1" applyProtection="1">
      <alignment horizontal="right" vertical="center" indent="1"/>
    </xf>
    <xf numFmtId="0" fontId="0" fillId="43" borderId="0" xfId="0" applyFill="1" applyAlignment="1" applyProtection="1">
      <alignment vertical="center"/>
    </xf>
    <xf numFmtId="0" fontId="0" fillId="43" borderId="0" xfId="0" applyFill="1" applyAlignment="1" applyProtection="1">
      <alignment vertical="center"/>
    </xf>
    <xf numFmtId="0" fontId="84" fillId="44" borderId="108" xfId="0" applyFont="1" applyFill="1" applyBorder="1" applyAlignment="1" applyProtection="1">
      <alignment vertical="center" indent="1"/>
    </xf>
    <xf numFmtId="0" fontId="69" fillId="44" borderId="108" xfId="0" applyFont="1" applyFill="1" applyBorder="1" applyAlignment="1" applyProtection="1">
      <alignment vertical="center"/>
    </xf>
    <xf numFmtId="0" fontId="0" fillId="44" borderId="108" xfId="0" applyFill="1" applyBorder="1" applyAlignment="1" applyProtection="1">
      <alignment vertical="center"/>
    </xf>
    <xf numFmtId="166" fontId="88" fillId="44" borderId="108" xfId="0" applyNumberFormat="1" applyFont="1" applyFill="1" applyBorder="1" applyAlignment="1" applyProtection="1">
      <alignment horizontal="right" vertical="center" indent="1"/>
    </xf>
    <xf numFmtId="0" fontId="0" fillId="44" borderId="107" xfId="0" applyFill="1" applyBorder="1" applyAlignment="1" applyProtection="1">
      <alignment vertical="center"/>
    </xf>
    <xf numFmtId="0" fontId="0" fillId="44" borderId="107" xfId="0" applyFill="1" applyBorder="1" applyAlignment="1" applyProtection="1">
      <alignment vertical="center"/>
    </xf>
    <xf numFmtId="0" fontId="85" fillId="0" borderId="0" xfId="0" applyFont="1" applyAlignment="1" applyProtection="1">
      <alignment vertical="center" indent="1"/>
    </xf>
    <xf numFmtId="0" fontId="63" fillId="0" borderId="98" xfId="0" applyFont="1" applyBorder="1" applyProtection="1"/>
    <xf numFmtId="164" fontId="63" fillId="0" borderId="73" xfId="0" applyNumberFormat="1" applyFont="1" applyBorder="1" applyAlignment="1" applyProtection="1">
      <alignment horizontal="center"/>
    </xf>
    <xf numFmtId="166" fontId="63" fillId="0" borderId="73" xfId="0" applyNumberFormat="1" applyFont="1" applyBorder="1" applyAlignment="1" applyProtection="1">
      <alignment horizontal="center"/>
    </xf>
    <xf numFmtId="0" fontId="68" fillId="0" borderId="73" xfId="0" applyFont="1" applyBorder="1" applyAlignment="1" applyProtection="1">
      <alignment horizontal="center"/>
    </xf>
    <xf numFmtId="165" fontId="63" fillId="0" borderId="74" xfId="0" applyNumberFormat="1" applyFont="1" applyBorder="1" applyAlignment="1" applyProtection="1">
      <alignment horizontal="center"/>
    </xf>
    <xf numFmtId="0" fontId="68" fillId="41" borderId="99" xfId="0" applyFont="1" applyFill="1" applyBorder="1" applyProtection="1"/>
    <xf numFmtId="164" fontId="68" fillId="41" borderId="100" xfId="0" applyNumberFormat="1" applyFont="1" applyFill="1" applyBorder="1" applyAlignment="1" applyProtection="1">
      <alignment horizontal="center"/>
    </xf>
    <xf numFmtId="166" fontId="68" fillId="41" borderId="100" xfId="0" applyNumberFormat="1" applyFont="1" applyFill="1" applyBorder="1" applyAlignment="1" applyProtection="1">
      <alignment horizontal="center"/>
    </xf>
    <xf numFmtId="0" fontId="68" fillId="41" borderId="100" xfId="0" applyFont="1" applyFill="1" applyBorder="1" applyAlignment="1" applyProtection="1">
      <alignment horizontal="center"/>
    </xf>
    <xf numFmtId="165" fontId="68" fillId="41" borderId="101" xfId="0" applyNumberFormat="1" applyFont="1" applyFill="1" applyBorder="1" applyAlignment="1" applyProtection="1">
      <alignment horizontal="center"/>
    </xf>
    <xf numFmtId="0" fontId="68" fillId="0" borderId="102" xfId="0" applyFont="1" applyBorder="1" applyProtection="1"/>
    <xf numFmtId="0" fontId="70" fillId="39" borderId="63" xfId="0" applyFont="1" applyFill="1" applyBorder="1" applyAlignment="1" applyProtection="1">
      <alignment horizontal="center" vertical="center"/>
    </xf>
    <xf numFmtId="0" fontId="70" fillId="39" borderId="64" xfId="0" applyFont="1" applyFill="1" applyBorder="1" applyAlignment="1" applyProtection="1">
      <alignment vertical="center"/>
    </xf>
    <xf numFmtId="0" fontId="63" fillId="0" borderId="66" xfId="0" applyFont="1" applyBorder="1" applyAlignment="1" applyProtection="1">
      <alignment horizontal="center"/>
    </xf>
    <xf numFmtId="0" fontId="63" fillId="0" borderId="67" xfId="0" applyFont="1" applyBorder="1" applyAlignment="1" applyProtection="1">
      <alignment horizontal="center"/>
    </xf>
    <xf numFmtId="0" fontId="63" fillId="0" borderId="68" xfId="0" applyFont="1" applyBorder="1" applyAlignment="1" applyProtection="1">
      <alignment horizontal="center"/>
    </xf>
    <xf numFmtId="0" fontId="63" fillId="0" borderId="98" xfId="0" applyFont="1" applyBorder="1" applyAlignment="1" applyProtection="1">
      <alignment horizontal="center"/>
    </xf>
    <xf numFmtId="0" fontId="63" fillId="0" borderId="73" xfId="0" applyFont="1" applyBorder="1" applyAlignment="1" applyProtection="1">
      <alignment horizontal="center"/>
    </xf>
    <xf numFmtId="0" fontId="63" fillId="0" borderId="74" xfId="0" applyFont="1" applyBorder="1" applyAlignment="1" applyProtection="1">
      <alignment horizontal="center"/>
    </xf>
    <xf numFmtId="0" fontId="68" fillId="41" borderId="100" xfId="0" applyFont="1" applyFill="1" applyBorder="1" applyProtection="1"/>
    <xf numFmtId="0" fontId="68" fillId="0" borderId="101" xfId="0" applyFont="1" applyBorder="1" applyProtection="1"/>
    <xf numFmtId="0" fontId="70" fillId="39" borderId="75" xfId="0" applyFont="1" applyFill="1" applyBorder="1" applyAlignment="1" applyProtection="1">
      <alignment vertical="center"/>
    </xf>
    <xf numFmtId="0" fontId="70" fillId="39" borderId="76" xfId="0" applyFont="1" applyFill="1" applyBorder="1" applyAlignment="1" applyProtection="1">
      <alignment horizontal="center" vertical="center"/>
    </xf>
    <xf numFmtId="0" fontId="70" fillId="39" borderId="77" xfId="0" applyFont="1" applyFill="1" applyBorder="1" applyAlignment="1" applyProtection="1">
      <alignment horizontal="center" vertical="center"/>
    </xf>
    <xf numFmtId="0" fontId="70" fillId="39" borderId="70" xfId="0" applyFont="1" applyFill="1" applyBorder="1" applyAlignment="1" applyProtection="1">
      <alignment horizontal="center" vertical="center"/>
    </xf>
    <xf numFmtId="0" fontId="62" fillId="39" borderId="0" xfId="0" applyFont="1" applyFill="1" applyAlignment="1" applyProtection="1">
      <alignment horizontal="center" vertical="center"/>
    </xf>
    <xf numFmtId="0" fontId="79" fillId="0" borderId="0" xfId="0" applyFont="1" applyAlignment="1" applyProtection="1">
      <alignment horizontal="center"/>
    </xf>
    <xf numFmtId="0" fontId="82" fillId="0" borderId="78" xfId="0" applyFont="1" applyBorder="1" applyProtection="1"/>
    <xf numFmtId="164" fontId="74" fillId="0" borderId="79" xfId="0" applyNumberFormat="1" applyFont="1" applyBorder="1" applyAlignment="1" applyProtection="1">
      <alignment horizontal="center"/>
    </xf>
    <xf numFmtId="166" fontId="74" fillId="0" borderId="79" xfId="0" applyNumberFormat="1" applyFont="1" applyBorder="1" applyAlignment="1" applyProtection="1">
      <alignment horizontal="center"/>
    </xf>
    <xf numFmtId="165" fontId="74" fillId="0" borderId="80" xfId="0" applyNumberFormat="1" applyFont="1" applyBorder="1" applyAlignment="1" applyProtection="1">
      <alignment horizontal="center"/>
    </xf>
    <xf numFmtId="0" fontId="63" fillId="0" borderId="71" xfId="0" applyFont="1" applyBorder="1" applyProtection="1"/>
    <xf numFmtId="0" fontId="70" fillId="39" borderId="84" xfId="0" applyFont="1" applyFill="1" applyBorder="1" applyProtection="1"/>
    <xf numFmtId="0" fontId="70" fillId="39" borderId="84" xfId="0" applyFont="1" applyFill="1" applyBorder="1" applyAlignment="1" applyProtection="1">
      <alignment horizontal="center"/>
    </xf>
    <xf numFmtId="0" fontId="63" fillId="0" borderId="85" xfId="0" applyFont="1" applyBorder="1" applyProtection="1"/>
    <xf numFmtId="166" fontId="68" fillId="0" borderId="85" xfId="0" applyNumberFormat="1" applyFont="1" applyBorder="1" applyProtection="1"/>
    <xf numFmtId="165" fontId="63" fillId="0" borderId="85" xfId="0" applyNumberFormat="1" applyFont="1" applyBorder="1" applyProtection="1"/>
    <xf numFmtId="164" fontId="63" fillId="0" borderId="85" xfId="0" applyNumberFormat="1" applyFont="1" applyBorder="1" applyAlignment="1" applyProtection="1">
      <alignment horizontal="center"/>
    </xf>
    <xf numFmtId="165" fontId="63" fillId="0" borderId="85" xfId="0" applyNumberFormat="1" applyFont="1" applyBorder="1" applyAlignment="1" applyProtection="1">
      <alignment horizontal="center"/>
    </xf>
    <xf numFmtId="0" fontId="82" fillId="0" borderId="71" xfId="0" applyFont="1" applyBorder="1" applyProtection="1"/>
    <xf numFmtId="0" fontId="75" fillId="0" borderId="72" xfId="0" applyFont="1" applyBorder="1" applyProtection="1"/>
    <xf numFmtId="164" fontId="60" fillId="0" borderId="81" xfId="0" applyNumberFormat="1" applyFont="1" applyBorder="1" applyAlignment="1" applyProtection="1">
      <alignment horizontal="center"/>
    </xf>
    <xf numFmtId="166" fontId="60" fillId="0" borderId="81" xfId="0" applyNumberFormat="1" applyFont="1" applyBorder="1" applyAlignment="1" applyProtection="1">
      <alignment horizontal="center"/>
    </xf>
    <xf numFmtId="165" fontId="60" fillId="0" borderId="82" xfId="0" applyNumberFormat="1" applyFont="1" applyBorder="1" applyAlignment="1" applyProtection="1">
      <alignment horizontal="center"/>
    </xf>
    <xf numFmtId="0" fontId="63" fillId="0" borderId="72" xfId="0" applyFont="1" applyBorder="1" applyProtection="1"/>
    <xf numFmtId="0" fontId="63" fillId="0" borderId="86" xfId="0" applyFont="1" applyBorder="1" applyProtection="1"/>
    <xf numFmtId="166" fontId="68" fillId="0" borderId="86" xfId="0" applyNumberFormat="1" applyFont="1" applyBorder="1" applyProtection="1"/>
    <xf numFmtId="165" fontId="63" fillId="0" borderId="86" xfId="0" applyNumberFormat="1" applyFont="1" applyBorder="1" applyProtection="1"/>
    <xf numFmtId="164" fontId="63" fillId="0" borderId="86" xfId="0" applyNumberFormat="1" applyFont="1" applyBorder="1" applyAlignment="1" applyProtection="1">
      <alignment horizontal="center"/>
    </xf>
    <xf numFmtId="165" fontId="63" fillId="0" borderId="86" xfId="0" applyNumberFormat="1" applyFont="1" applyBorder="1" applyAlignment="1" applyProtection="1">
      <alignment horizontal="center"/>
    </xf>
    <xf numFmtId="0" fontId="64" fillId="0" borderId="102" xfId="0" applyFont="1" applyBorder="1" applyProtection="1"/>
    <xf numFmtId="164" fontId="68" fillId="0" borderId="103" xfId="0" applyNumberFormat="1" applyFont="1" applyBorder="1" applyAlignment="1" applyProtection="1">
      <alignment horizontal="center"/>
    </xf>
    <xf numFmtId="166" fontId="68" fillId="0" borderId="103" xfId="0" applyNumberFormat="1" applyFont="1" applyBorder="1" applyAlignment="1" applyProtection="1">
      <alignment horizontal="center"/>
    </xf>
    <xf numFmtId="165" fontId="68" fillId="0" borderId="104" xfId="0" applyNumberFormat="1" applyFont="1" applyBorder="1" applyAlignment="1" applyProtection="1">
      <alignment horizontal="center"/>
    </xf>
    <xf numFmtId="0" fontId="11" fillId="0" borderId="102" xfId="0" applyFont="1" applyBorder="1" applyAlignment="1" applyProtection="1">
      <alignment horizontal="center"/>
    </xf>
    <xf numFmtId="0" fontId="62" fillId="43" borderId="102" xfId="0" applyFont="1" applyFill="1" applyBorder="1" applyProtection="1"/>
    <xf numFmtId="166" fontId="9" fillId="43" borderId="102" xfId="0" applyNumberFormat="1" applyFont="1" applyFill="1" applyBorder="1" applyProtection="1"/>
    <xf numFmtId="165" fontId="68" fillId="43" borderId="102" xfId="0" applyNumberFormat="1" applyFont="1" applyFill="1" applyBorder="1" applyProtection="1"/>
    <xf numFmtId="164" fontId="81" fillId="43" borderId="102" xfId="0" applyNumberFormat="1" applyFont="1" applyFill="1" applyBorder="1" applyAlignment="1" applyProtection="1">
      <alignment horizontal="center"/>
    </xf>
    <xf numFmtId="165" fontId="68" fillId="43" borderId="102" xfId="0" applyNumberFormat="1" applyFont="1" applyFill="1" applyBorder="1" applyAlignment="1" applyProtection="1">
      <alignment horizontal="center"/>
    </xf>
    <xf numFmtId="0" fontId="37" fillId="0" borderId="105" xfId="0" applyFont="1" applyBorder="1" applyProtection="1"/>
    <xf numFmtId="164" fontId="10" fillId="0" borderId="105" xfId="0" applyNumberFormat="1" applyFont="1" applyBorder="1" applyProtection="1"/>
    <xf numFmtId="166" fontId="10" fillId="0" borderId="105" xfId="0" applyNumberFormat="1" applyFont="1" applyBorder="1" applyProtection="1"/>
    <xf numFmtId="166" fontId="11" fillId="0" borderId="105" xfId="0" applyNumberFormat="1" applyFont="1" applyBorder="1" applyProtection="1"/>
    <xf numFmtId="168" fontId="10" fillId="0" borderId="105" xfId="0" applyNumberFormat="1" applyFont="1" applyBorder="1" applyAlignment="1" applyProtection="1">
      <alignment horizontal="center"/>
    </xf>
    <xf numFmtId="0" fontId="11" fillId="0" borderId="105" xfId="0" applyFont="1" applyBorder="1" applyAlignment="1" applyProtection="1">
      <alignment horizontal="center"/>
    </xf>
    <xf numFmtId="0" fontId="37" fillId="0" borderId="85" xfId="0" applyFont="1" applyBorder="1" applyProtection="1"/>
    <xf numFmtId="164" fontId="10" fillId="0" borderId="85" xfId="0" applyNumberFormat="1" applyFont="1" applyBorder="1" applyProtection="1"/>
    <xf numFmtId="166" fontId="10" fillId="0" borderId="85" xfId="0" applyNumberFormat="1" applyFont="1" applyBorder="1" applyProtection="1"/>
    <xf numFmtId="166" fontId="11" fillId="0" borderId="85" xfId="0" applyNumberFormat="1" applyFont="1" applyBorder="1" applyProtection="1"/>
    <xf numFmtId="168" fontId="10" fillId="0" borderId="85" xfId="0" applyNumberFormat="1" applyFont="1" applyBorder="1" applyAlignment="1" applyProtection="1">
      <alignment horizontal="center"/>
    </xf>
    <xf numFmtId="0" fontId="11" fillId="0" borderId="85" xfId="0" applyFont="1" applyBorder="1" applyAlignment="1" applyProtection="1">
      <alignment horizontal="center"/>
    </xf>
    <xf numFmtId="0" fontId="37" fillId="0" borderId="86" xfId="0" applyFont="1" applyBorder="1" applyProtection="1"/>
    <xf numFmtId="164" fontId="10" fillId="0" borderId="86" xfId="0" applyNumberFormat="1" applyFont="1" applyBorder="1" applyProtection="1"/>
    <xf numFmtId="166" fontId="10" fillId="0" borderId="86" xfId="0" applyNumberFormat="1" applyFont="1" applyBorder="1" applyProtection="1"/>
    <xf numFmtId="166" fontId="11" fillId="0" borderId="86" xfId="0" applyNumberFormat="1" applyFont="1" applyBorder="1" applyProtection="1"/>
    <xf numFmtId="168" fontId="10" fillId="0" borderId="86" xfId="0" applyNumberFormat="1" applyFont="1" applyBorder="1" applyAlignment="1" applyProtection="1">
      <alignment horizontal="center"/>
    </xf>
    <xf numFmtId="0" fontId="11" fillId="0" borderId="86" xfId="0" applyFont="1" applyBorder="1" applyAlignment="1" applyProtection="1">
      <alignment horizontal="center"/>
    </xf>
    <xf numFmtId="0" fontId="76" fillId="44" borderId="106" xfId="0" applyFont="1" applyFill="1" applyBorder="1" applyProtection="1"/>
    <xf numFmtId="164" fontId="68" fillId="44" borderId="106" xfId="0" applyNumberFormat="1" applyFont="1" applyFill="1" applyBorder="1" applyProtection="1"/>
    <xf numFmtId="0" fontId="0" fillId="44" borderId="106" xfId="0" applyFill="1" applyBorder="1" applyProtection="1"/>
    <xf numFmtId="166" fontId="68" fillId="44" borderId="106" xfId="0" applyNumberFormat="1" applyFont="1" applyFill="1" applyBorder="1" applyProtection="1"/>
    <xf numFmtId="0" fontId="78" fillId="44" borderId="106" xfId="0" applyFont="1" applyFill="1" applyBorder="1" applyAlignment="1" applyProtection="1">
      <alignment horizontal="right"/>
    </xf>
    <xf numFmtId="166" fontId="77" fillId="44" borderId="106" xfId="0" applyNumberFormat="1" applyFont="1" applyFill="1" applyBorder="1" applyAlignment="1" applyProtection="1">
      <alignment horizontal="right"/>
    </xf>
    <xf numFmtId="0" fontId="48" fillId="44" borderId="106" xfId="0" applyFont="1" applyFill="1" applyBorder="1" applyAlignment="1" applyProtection="1">
      <alignment horizontal="center"/>
    </xf>
    <xf numFmtId="0" fontId="79" fillId="0" borderId="0" xfId="0" applyFont="1" applyProtection="1"/>
    <xf numFmtId="0" fontId="63" fillId="0" borderId="0" xfId="0" applyFont="1" applyProtection="1">
      <protection locked="0"/>
    </xf>
    <xf numFmtId="169" fontId="64" fillId="5" borderId="0" xfId="0" applyNumberFormat="1" applyFont="1" applyFill="1" applyAlignment="1" applyProtection="1">
      <alignment horizontal="center"/>
      <protection locked="0"/>
    </xf>
    <xf numFmtId="49" fontId="63" fillId="0" borderId="0" xfId="0" applyNumberFormat="1" applyFont="1" applyProtection="1">
      <protection locked="0"/>
    </xf>
    <xf numFmtId="0" fontId="80" fillId="5" borderId="0" xfId="0" applyFont="1" applyFill="1" applyAlignment="1" applyProtection="1">
      <alignment horizontal="center"/>
      <protection locked="0"/>
    </xf>
    <xf numFmtId="0" fontId="95" fillId="0" borderId="0" xfId="0" applyFont="1" applyProtection="1"/>
    <xf numFmtId="0" fontId="43" fillId="0" borderId="0" xfId="0" applyFont="1" applyProtection="1"/>
    <xf numFmtId="0" fontId="38" fillId="38" borderId="83" xfId="0" applyFont="1" applyFill="1" applyBorder="1" applyAlignment="1" applyProtection="1">
      <alignment horizontal="center" vertical="center" wrapText="1"/>
    </xf>
    <xf numFmtId="0" fontId="0" fillId="0" borderId="109" xfId="0" applyBorder="1" applyProtection="1"/>
    <xf numFmtId="0" fontId="38" fillId="38" borderId="109" xfId="0" applyFont="1" applyFill="1" applyBorder="1" applyAlignment="1" applyProtection="1">
      <alignment horizontal="center" vertical="center" wrapText="1"/>
    </xf>
    <xf numFmtId="0" fontId="38" fillId="46" borderId="110" xfId="0" applyFont="1" applyFill="1" applyBorder="1" applyAlignment="1" applyProtection="1">
      <alignment horizontal="center" vertical="center" wrapText="1"/>
    </xf>
    <xf numFmtId="0" fontId="0" fillId="0" borderId="0" xfId="0" applyProtection="1"/>
    <xf numFmtId="0" fontId="0" fillId="0" borderId="83" xfId="0" applyBorder="1" applyProtection="1"/>
    <xf numFmtId="0" fontId="38" fillId="42" borderId="110" xfId="0" applyFont="1" applyFill="1" applyBorder="1" applyAlignment="1" applyProtection="1">
      <alignment horizontal="center" vertical="center" wrapText="1"/>
    </xf>
    <xf numFmtId="3" fontId="95" fillId="39" borderId="83" xfId="0" applyNumberFormat="1" applyFont="1" applyFill="1" applyBorder="1" applyAlignment="1" applyProtection="1">
      <alignment horizontal="center" vertical="center"/>
    </xf>
    <xf numFmtId="167" fontId="95" fillId="39" borderId="109" xfId="0" applyNumberFormat="1" applyFont="1" applyFill="1" applyBorder="1" applyAlignment="1" applyProtection="1">
      <alignment horizontal="center" vertical="center"/>
    </xf>
    <xf numFmtId="167" fontId="98" fillId="39" borderId="109" xfId="0" applyNumberFormat="1" applyFont="1" applyFill="1" applyBorder="1" applyAlignment="1" applyProtection="1">
      <alignment horizontal="center" vertical="center"/>
    </xf>
    <xf numFmtId="165" fontId="95" fillId="39" borderId="109" xfId="0" applyNumberFormat="1" applyFont="1" applyFill="1" applyBorder="1" applyAlignment="1" applyProtection="1">
      <alignment horizontal="center" vertical="center"/>
    </xf>
    <xf numFmtId="167" fontId="96" fillId="45" borderId="110" xfId="0" applyNumberFormat="1" applyFont="1" applyFill="1" applyBorder="1" applyAlignment="1" applyProtection="1">
      <alignment horizontal="center" vertical="center"/>
    </xf>
    <xf numFmtId="167" fontId="97" fillId="44" borderId="110" xfId="0" applyNumberFormat="1" applyFont="1" applyFill="1" applyBorder="1" applyAlignment="1" applyProtection="1">
      <alignment horizontal="center" vertical="center"/>
    </xf>
    <xf numFmtId="3" fontId="97" fillId="44" borderId="110" xfId="0" applyNumberFormat="1" applyFont="1" applyFill="1" applyBorder="1" applyAlignment="1" applyProtection="1">
      <alignment horizontal="center" vertical="center"/>
    </xf>
    <xf numFmtId="0" fontId="45" fillId="38" borderId="0" xfId="0" applyFont="1" applyFill="1" applyProtection="1"/>
    <xf numFmtId="171" fontId="13" fillId="39" borderId="0" xfId="0" applyNumberFormat="1" applyFont="1" applyFill="1" applyAlignment="1" applyProtection="1">
      <alignment horizontal="center"/>
    </xf>
    <xf numFmtId="0" fontId="12" fillId="26" borderId="0" xfId="0" applyFont="1" applyFill="1" applyProtection="1"/>
    <xf numFmtId="0" fontId="12" fillId="26" borderId="0" xfId="0" applyFont="1" applyFill="1" applyAlignment="1" applyProtection="1">
      <alignment horizontal="center"/>
    </xf>
    <xf numFmtId="173" fontId="93" fillId="0" borderId="0" xfId="0" applyNumberFormat="1" applyFont="1" applyAlignment="1" applyProtection="1">
      <alignment horizontal="center"/>
    </xf>
    <xf numFmtId="0" fontId="13" fillId="0" borderId="0" xfId="0" applyFont="1" applyAlignment="1" applyProtection="1">
      <alignment horizontal="center"/>
    </xf>
    <xf numFmtId="0" fontId="45" fillId="42" borderId="0" xfId="0" applyFont="1" applyFill="1" applyProtection="1"/>
    <xf numFmtId="0" fontId="0" fillId="42" borderId="0" xfId="0" applyFill="1" applyProtection="1"/>
    <xf numFmtId="3" fontId="10" fillId="0" borderId="0" xfId="0" applyNumberFormat="1" applyFont="1" applyAlignment="1" applyProtection="1">
      <alignment horizontal="center"/>
    </xf>
    <xf numFmtId="167" fontId="10" fillId="0" borderId="0" xfId="0" applyNumberFormat="1" applyFont="1" applyAlignment="1" applyProtection="1">
      <alignment horizontal="center"/>
    </xf>
    <xf numFmtId="0" fontId="45" fillId="46" borderId="0" xfId="0" applyFont="1" applyFill="1" applyProtection="1"/>
    <xf numFmtId="0" fontId="0" fillId="46" borderId="0" xfId="0" applyFill="1" applyProtection="1"/>
    <xf numFmtId="0" fontId="13" fillId="39" borderId="84" xfId="0" applyFont="1" applyFill="1" applyBorder="1" applyProtection="1"/>
    <xf numFmtId="0" fontId="10" fillId="0" borderId="85" xfId="0" applyFont="1" applyBorder="1" applyProtection="1"/>
    <xf numFmtId="3" fontId="10" fillId="0" borderId="85" xfId="0" applyNumberFormat="1" applyFont="1" applyBorder="1" applyAlignment="1" applyProtection="1">
      <alignment horizontal="center"/>
    </xf>
    <xf numFmtId="167" fontId="10" fillId="0" borderId="85" xfId="0" applyNumberFormat="1" applyFont="1" applyBorder="1" applyAlignment="1" applyProtection="1">
      <alignment horizontal="center"/>
    </xf>
    <xf numFmtId="0" fontId="10" fillId="0" borderId="86" xfId="0" applyFont="1" applyBorder="1" applyProtection="1"/>
    <xf numFmtId="3" fontId="10" fillId="0" borderId="86" xfId="0" applyNumberFormat="1" applyFont="1" applyBorder="1" applyAlignment="1" applyProtection="1">
      <alignment horizontal="center"/>
    </xf>
    <xf numFmtId="167" fontId="10" fillId="0" borderId="86" xfId="0" applyNumberFormat="1" applyFont="1" applyBorder="1" applyAlignment="1" applyProtection="1">
      <alignment horizontal="center"/>
    </xf>
    <xf numFmtId="49" fontId="90" fillId="5" borderId="0" xfId="0" applyNumberFormat="1" applyFont="1" applyFill="1" applyAlignment="1" applyProtection="1">
      <alignment horizontal="center"/>
      <protection locked="0"/>
    </xf>
    <xf numFmtId="0" fontId="46" fillId="0" borderId="0" xfId="0" applyFont="1" applyProtection="1"/>
    <xf numFmtId="0" fontId="44" fillId="0" borderId="0" xfId="0" applyFont="1" applyProtection="1"/>
    <xf numFmtId="176" fontId="0" fillId="0" borderId="0" xfId="0" applyNumberFormat="1" applyProtection="1"/>
    <xf numFmtId="164" fontId="10" fillId="0" borderId="0" xfId="0" applyNumberFormat="1" applyFont="1" applyProtection="1"/>
    <xf numFmtId="16" fontId="0" fillId="0" borderId="0" xfId="0" applyNumberFormat="1" applyProtection="1"/>
    <xf numFmtId="0" fontId="38" fillId="38" borderId="0" xfId="0" applyFont="1" applyFill="1" applyAlignment="1" applyProtection="1">
      <alignment horizontal="center" wrapText="1"/>
    </xf>
    <xf numFmtId="168" fontId="10" fillId="0" borderId="0" xfId="0" applyNumberFormat="1" applyFont="1" applyProtection="1"/>
    <xf numFmtId="3" fontId="51" fillId="43" borderId="0" xfId="0" applyNumberFormat="1" applyFont="1" applyFill="1" applyAlignment="1" applyProtection="1">
      <alignment horizontal="center"/>
    </xf>
    <xf numFmtId="167" fontId="52" fillId="43" borderId="0" xfId="0" applyNumberFormat="1" applyFont="1" applyFill="1" applyAlignment="1" applyProtection="1">
      <alignment horizontal="center"/>
    </xf>
    <xf numFmtId="168" fontId="53" fillId="43" borderId="0" xfId="0" applyNumberFormat="1" applyFont="1" applyFill="1" applyAlignment="1" applyProtection="1">
      <alignment horizontal="center"/>
    </xf>
    <xf numFmtId="3" fontId="52" fillId="43" borderId="0" xfId="0" applyNumberFormat="1" applyFont="1" applyFill="1" applyAlignment="1" applyProtection="1">
      <alignment horizontal="center"/>
    </xf>
    <xf numFmtId="3" fontId="7" fillId="43" borderId="0" xfId="0" applyNumberFormat="1" applyFont="1" applyFill="1" applyAlignment="1" applyProtection="1">
      <alignment horizontal="center"/>
    </xf>
    <xf numFmtId="167" fontId="7" fillId="43" borderId="0" xfId="0" applyNumberFormat="1" applyFont="1" applyFill="1" applyAlignment="1" applyProtection="1">
      <alignment horizontal="center"/>
    </xf>
    <xf numFmtId="0" fontId="50" fillId="0" borderId="0" xfId="0" applyFont="1" applyProtection="1"/>
    <xf numFmtId="0" fontId="11" fillId="39" borderId="70" xfId="0" applyFont="1" applyFill="1" applyBorder="1" applyAlignment="1" applyProtection="1">
      <alignment horizontal="center"/>
    </xf>
    <xf numFmtId="0" fontId="40" fillId="0" borderId="0" xfId="0" applyFont="1" applyProtection="1"/>
    <xf numFmtId="0" fontId="49" fillId="0" borderId="71" xfId="0" applyFont="1" applyBorder="1" applyAlignment="1" applyProtection="1">
      <alignment horizontal="center"/>
    </xf>
    <xf numFmtId="168" fontId="10" fillId="0" borderId="71" xfId="0" applyNumberFormat="1" applyFont="1" applyBorder="1" applyProtection="1"/>
    <xf numFmtId="164" fontId="10" fillId="0" borderId="71" xfId="0" applyNumberFormat="1" applyFont="1" applyBorder="1" applyAlignment="1" applyProtection="1">
      <alignment horizontal="center"/>
    </xf>
    <xf numFmtId="166" fontId="10" fillId="0" borderId="71" xfId="0" applyNumberFormat="1" applyFont="1" applyBorder="1" applyProtection="1"/>
    <xf numFmtId="166" fontId="11" fillId="0" borderId="71" xfId="0" applyNumberFormat="1" applyFont="1" applyBorder="1" applyProtection="1"/>
    <xf numFmtId="165" fontId="10" fillId="0" borderId="71" xfId="0" applyNumberFormat="1" applyFont="1" applyBorder="1" applyProtection="1"/>
    <xf numFmtId="0" fontId="11" fillId="0" borderId="71" xfId="0" applyFont="1" applyBorder="1" applyAlignment="1" applyProtection="1">
      <alignment horizontal="center"/>
    </xf>
    <xf numFmtId="166" fontId="41" fillId="0" borderId="0" xfId="0" applyNumberFormat="1" applyFont="1" applyProtection="1"/>
    <xf numFmtId="3" fontId="41" fillId="0" borderId="0" xfId="0" applyNumberFormat="1" applyFont="1" applyProtection="1"/>
    <xf numFmtId="0" fontId="0" fillId="0" borderId="0" xfId="0" applyAlignment="1" applyProtection="1">
      <alignment horizontal="right"/>
    </xf>
    <xf numFmtId="0" fontId="0" fillId="0" borderId="71" xfId="0" applyBorder="1" applyProtection="1"/>
    <xf numFmtId="0" fontId="0" fillId="0" borderId="72" xfId="0" applyBorder="1" applyProtection="1"/>
    <xf numFmtId="168" fontId="10" fillId="0" borderId="72" xfId="0" applyNumberFormat="1" applyFont="1" applyBorder="1" applyProtection="1"/>
    <xf numFmtId="164" fontId="10" fillId="0" borderId="72" xfId="0" applyNumberFormat="1" applyFont="1" applyBorder="1" applyAlignment="1" applyProtection="1">
      <alignment horizontal="center"/>
    </xf>
    <xf numFmtId="166" fontId="10" fillId="0" borderId="72" xfId="0" applyNumberFormat="1" applyFont="1" applyBorder="1" applyProtection="1"/>
    <xf numFmtId="166" fontId="11" fillId="0" borderId="72" xfId="0" applyNumberFormat="1" applyFont="1" applyBorder="1" applyProtection="1"/>
    <xf numFmtId="165" fontId="10" fillId="0" borderId="72" xfId="0" applyNumberFormat="1" applyFont="1" applyBorder="1" applyProtection="1"/>
    <xf numFmtId="0" fontId="11" fillId="0" borderId="72" xfId="0" applyFont="1" applyBorder="1" applyAlignment="1" applyProtection="1">
      <alignment horizontal="center"/>
    </xf>
    <xf numFmtId="0" fontId="11" fillId="39" borderId="70" xfId="0" applyFont="1" applyFill="1" applyBorder="1" applyProtection="1"/>
    <xf numFmtId="0" fontId="40" fillId="39" borderId="0" xfId="0" applyFont="1" applyFill="1" applyAlignment="1" applyProtection="1">
      <alignment horizontal="center"/>
    </xf>
    <xf numFmtId="0" fontId="10" fillId="0" borderId="71" xfId="0" applyFont="1" applyBorder="1" applyProtection="1"/>
    <xf numFmtId="0" fontId="49" fillId="0" borderId="72" xfId="0" applyFont="1" applyBorder="1" applyAlignment="1" applyProtection="1">
      <alignment horizontal="center"/>
    </xf>
    <xf numFmtId="0" fontId="10" fillId="0" borderId="72" xfId="0" applyFont="1" applyBorder="1" applyProtection="1"/>
    <xf numFmtId="0" fontId="41" fillId="0" borderId="0" xfId="0" applyFont="1" applyAlignment="1" applyProtection="1">
      <alignment horizontal="center"/>
    </xf>
    <xf numFmtId="0" fontId="37" fillId="0" borderId="71" xfId="0" applyFont="1" applyBorder="1" applyProtection="1"/>
    <xf numFmtId="0" fontId="10" fillId="0" borderId="71" xfId="0" applyFont="1" applyBorder="1" applyAlignment="1" applyProtection="1">
      <alignment horizontal="center"/>
    </xf>
    <xf numFmtId="0" fontId="37" fillId="0" borderId="72" xfId="0" applyFont="1" applyBorder="1" applyProtection="1"/>
    <xf numFmtId="0" fontId="10" fillId="0" borderId="72" xfId="0" applyFont="1" applyBorder="1" applyAlignment="1" applyProtection="1">
      <alignment horizontal="center"/>
    </xf>
    <xf numFmtId="0" fontId="49" fillId="0" borderId="0" xfId="0" applyFont="1" applyAlignment="1" applyProtection="1">
      <alignment horizontal="center"/>
      <protection locked="0"/>
    </xf>
    <xf numFmtId="0" fontId="57" fillId="0" borderId="0" xfId="0" applyFont="1" applyProtection="1"/>
    <xf numFmtId="0" fontId="58" fillId="0" borderId="0" xfId="0" applyFont="1" applyProtection="1"/>
    <xf numFmtId="168" fontId="0" fillId="0" borderId="0" xfId="0" applyNumberFormat="1" applyProtection="1"/>
    <xf numFmtId="166" fontId="0" fillId="0" borderId="0" xfId="0" applyNumberFormat="1" applyProtection="1"/>
    <xf numFmtId="170" fontId="0" fillId="0" borderId="0" xfId="0" applyNumberFormat="1" applyProtection="1"/>
    <xf numFmtId="165" fontId="0" fillId="0" borderId="0" xfId="0" applyNumberFormat="1" applyProtection="1"/>
    <xf numFmtId="0" fontId="39" fillId="0" borderId="0" xfId="0" applyFont="1" applyProtection="1"/>
    <xf numFmtId="0" fontId="27" fillId="0" borderId="0" xfId="0" applyFont="1" applyProtection="1"/>
    <xf numFmtId="49" fontId="10" fillId="0" borderId="0" xfId="0" applyNumberFormat="1" applyFont="1" applyProtection="1"/>
    <xf numFmtId="169" fontId="10" fillId="0" borderId="0" xfId="0" applyNumberFormat="1" applyFont="1" applyProtection="1"/>
    <xf numFmtId="169" fontId="11" fillId="0" borderId="0" xfId="0" applyNumberFormat="1" applyFont="1" applyProtection="1"/>
    <xf numFmtId="0" fontId="30" fillId="0" borderId="0" xfId="0" applyFont="1" applyAlignment="1" applyProtection="1">
      <alignment vertical="top"/>
    </xf>
    <xf numFmtId="0" fontId="30" fillId="0" borderId="0" xfId="0" applyFont="1" applyAlignment="1" applyProtection="1">
      <alignment vertical="top" wrapText="1"/>
    </xf>
    <xf numFmtId="0" fontId="104" fillId="0" borderId="0" xfId="0" applyFont="1" applyAlignment="1" applyProtection="1">
      <alignment vertical="top"/>
    </xf>
    <xf numFmtId="0" fontId="0" fillId="0" borderId="0" xfId="0" applyAlignment="1" applyProtection="1">
      <alignment vertical="top"/>
    </xf>
    <xf numFmtId="0" fontId="101" fillId="0" borderId="0" xfId="0" applyFont="1" applyAlignment="1" applyProtection="1">
      <alignment vertical="top" wrapText="1"/>
    </xf>
    <xf numFmtId="0" fontId="0" fillId="0" borderId="0" xfId="0" applyAlignment="1" applyProtection="1">
      <alignment vertical="top" wrapText="1"/>
    </xf>
    <xf numFmtId="0" fontId="53" fillId="22" borderId="0" xfId="0" applyFont="1" applyFill="1" applyAlignment="1" applyProtection="1">
      <alignment vertical="top"/>
    </xf>
    <xf numFmtId="0" fontId="0" fillId="22" borderId="0" xfId="0" applyFill="1" applyAlignment="1" applyProtection="1">
      <alignment vertical="top" wrapText="1"/>
    </xf>
    <xf numFmtId="0" fontId="103" fillId="0" borderId="0" xfId="0" applyFont="1" applyAlignment="1" applyProtection="1">
      <alignment vertical="top"/>
    </xf>
    <xf numFmtId="0" fontId="105" fillId="22" borderId="0" xfId="0" applyFont="1" applyFill="1" applyAlignment="1" applyProtection="1">
      <alignment vertical="top"/>
    </xf>
    <xf numFmtId="0" fontId="29" fillId="0" borderId="0" xfId="0" applyFont="1" applyAlignment="1" applyProtection="1">
      <alignment vertical="top" wrapText="1"/>
    </xf>
    <xf numFmtId="0" fontId="2" fillId="0" borderId="0" xfId="0" applyFont="1" applyAlignment="1" applyProtection="1">
      <alignment vertical="top" wrapText="1"/>
    </xf>
    <xf numFmtId="0" fontId="105" fillId="40" borderId="0" xfId="0" applyFont="1" applyFill="1" applyAlignment="1" applyProtection="1">
      <alignment vertical="top"/>
    </xf>
    <xf numFmtId="0" fontId="0" fillId="40" borderId="0" xfId="0" applyFill="1" applyAlignment="1" applyProtection="1">
      <alignment vertical="top" wrapText="1"/>
    </xf>
    <xf numFmtId="0" fontId="22" fillId="0" borderId="0" xfId="0" applyFont="1" applyAlignment="1" applyProtection="1">
      <alignment vertical="top" wrapText="1"/>
    </xf>
    <xf numFmtId="0" fontId="100" fillId="2" borderId="0" xfId="0" applyFont="1" applyFill="1" applyAlignment="1" applyProtection="1">
      <alignment horizontal="center"/>
    </xf>
    <xf numFmtId="0" fontId="3" fillId="2" borderId="0" xfId="0" applyFont="1" applyFill="1" applyAlignment="1" applyProtection="1">
      <alignment horizontal="center"/>
    </xf>
    <xf numFmtId="0" fontId="5" fillId="2" borderId="0" xfId="0" applyFont="1" applyFill="1" applyAlignment="1" applyProtection="1">
      <alignment vertical="center"/>
    </xf>
    <xf numFmtId="0" fontId="3" fillId="2" borderId="0" xfId="0" applyFont="1" applyFill="1" applyProtection="1"/>
    <xf numFmtId="0" fontId="5" fillId="3" borderId="2" xfId="0" applyFont="1" applyFill="1" applyBorder="1" applyAlignment="1" applyProtection="1">
      <alignment horizontal="center" vertical="center"/>
    </xf>
    <xf numFmtId="0" fontId="5" fillId="3" borderId="3" xfId="0" applyFont="1" applyFill="1" applyBorder="1" applyAlignment="1" applyProtection="1">
      <alignment horizontal="center" vertical="center"/>
    </xf>
    <xf numFmtId="0" fontId="5" fillId="4" borderId="6" xfId="0" applyFont="1" applyFill="1" applyBorder="1" applyAlignment="1" applyProtection="1">
      <alignment horizontal="center" vertical="center"/>
    </xf>
    <xf numFmtId="0" fontId="5" fillId="4" borderId="2" xfId="0" applyFont="1" applyFill="1" applyBorder="1" applyAlignment="1" applyProtection="1">
      <alignment horizontal="center" vertical="center"/>
    </xf>
    <xf numFmtId="0" fontId="5" fillId="4" borderId="3" xfId="0" applyFont="1" applyFill="1" applyBorder="1" applyAlignment="1" applyProtection="1">
      <alignment horizontal="center" vertical="center"/>
    </xf>
    <xf numFmtId="0" fontId="5" fillId="5" borderId="6" xfId="0" applyFont="1" applyFill="1" applyBorder="1" applyAlignment="1" applyProtection="1">
      <alignment horizontal="center" vertical="center"/>
    </xf>
    <xf numFmtId="0" fontId="5" fillId="5" borderId="2" xfId="0" applyFont="1" applyFill="1" applyBorder="1" applyAlignment="1" applyProtection="1">
      <alignment horizontal="center" vertical="center"/>
    </xf>
    <xf numFmtId="0" fontId="5" fillId="5" borderId="3" xfId="0" applyFont="1" applyFill="1" applyBorder="1" applyAlignment="1" applyProtection="1">
      <alignment horizontal="center" vertical="center"/>
    </xf>
    <xf numFmtId="0" fontId="5" fillId="6" borderId="6" xfId="0" applyFont="1" applyFill="1" applyBorder="1" applyAlignment="1" applyProtection="1">
      <alignment horizontal="center" vertical="center"/>
    </xf>
    <xf numFmtId="0" fontId="5" fillId="6" borderId="2" xfId="0" applyFont="1" applyFill="1" applyBorder="1" applyAlignment="1" applyProtection="1">
      <alignment horizontal="center" vertical="center"/>
    </xf>
    <xf numFmtId="0" fontId="5" fillId="6" borderId="3"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3" borderId="4" xfId="0" applyFont="1" applyFill="1" applyBorder="1" applyAlignment="1" applyProtection="1">
      <alignment horizontal="center" vertical="center"/>
    </xf>
    <xf numFmtId="0" fontId="5" fillId="3" borderId="5" xfId="0" applyFont="1" applyFill="1" applyBorder="1" applyAlignment="1" applyProtection="1">
      <alignment horizontal="center" vertical="center"/>
    </xf>
    <xf numFmtId="0" fontId="5" fillId="4" borderId="7" xfId="0" applyFont="1" applyFill="1" applyBorder="1" applyAlignment="1" applyProtection="1">
      <alignment horizontal="center" vertical="center"/>
    </xf>
    <xf numFmtId="0" fontId="5" fillId="4" borderId="4" xfId="0" applyFont="1" applyFill="1" applyBorder="1" applyAlignment="1" applyProtection="1">
      <alignment horizontal="center" vertical="center"/>
    </xf>
    <xf numFmtId="0" fontId="5" fillId="4" borderId="5" xfId="0" applyFont="1" applyFill="1" applyBorder="1" applyAlignment="1" applyProtection="1">
      <alignment horizontal="center" vertical="center"/>
    </xf>
    <xf numFmtId="0" fontId="5" fillId="5" borderId="7" xfId="0" applyFont="1" applyFill="1" applyBorder="1" applyAlignment="1" applyProtection="1">
      <alignment horizontal="center" vertical="center"/>
    </xf>
    <xf numFmtId="0" fontId="5" fillId="5" borderId="4" xfId="0" applyFont="1" applyFill="1" applyBorder="1" applyAlignment="1" applyProtection="1">
      <alignment horizontal="center" vertical="center"/>
    </xf>
    <xf numFmtId="0" fontId="5" fillId="5" borderId="5" xfId="0" applyFont="1" applyFill="1" applyBorder="1" applyAlignment="1" applyProtection="1">
      <alignment horizontal="center" vertical="center"/>
    </xf>
    <xf numFmtId="0" fontId="5" fillId="6" borderId="7" xfId="0" applyFont="1" applyFill="1" applyBorder="1" applyAlignment="1" applyProtection="1">
      <alignment horizontal="center" vertical="center"/>
    </xf>
    <xf numFmtId="0" fontId="5" fillId="6" borderId="4" xfId="0" applyFont="1" applyFill="1" applyBorder="1" applyAlignment="1" applyProtection="1">
      <alignment horizontal="center" vertical="center"/>
    </xf>
    <xf numFmtId="0" fontId="5" fillId="6" borderId="5" xfId="0" applyFont="1" applyFill="1" applyBorder="1" applyAlignment="1" applyProtection="1">
      <alignment horizontal="center" vertical="center"/>
    </xf>
    <xf numFmtId="0" fontId="5" fillId="2" borderId="8" xfId="0" applyFont="1" applyFill="1" applyBorder="1" applyAlignment="1" applyProtection="1">
      <alignment horizontal="center" vertical="center" wrapText="1"/>
    </xf>
    <xf numFmtId="0" fontId="5" fillId="2" borderId="9" xfId="0" applyFont="1" applyFill="1" applyBorder="1" applyAlignment="1" applyProtection="1">
      <alignment horizontal="center" vertical="center" wrapText="1"/>
    </xf>
    <xf numFmtId="16" fontId="5" fillId="2" borderId="1" xfId="0" applyNumberFormat="1" applyFont="1" applyFill="1" applyBorder="1" applyAlignment="1" applyProtection="1">
      <alignment horizontal="center" vertical="center" wrapText="1"/>
    </xf>
    <xf numFmtId="0" fontId="5" fillId="2" borderId="0" xfId="0" applyFont="1" applyFill="1" applyAlignment="1" applyProtection="1">
      <alignment horizontal="center" vertical="center"/>
    </xf>
    <xf numFmtId="0" fontId="4" fillId="5" borderId="10" xfId="0" applyFont="1" applyFill="1" applyBorder="1" applyAlignment="1" applyProtection="1">
      <alignment horizontal="center" vertical="center"/>
    </xf>
    <xf numFmtId="0" fontId="4" fillId="7" borderId="11" xfId="0" applyFont="1" applyFill="1" applyBorder="1" applyAlignment="1" applyProtection="1">
      <alignment horizontal="center" vertical="center"/>
    </xf>
    <xf numFmtId="0" fontId="5" fillId="8" borderId="12" xfId="0" applyFont="1" applyFill="1" applyBorder="1" applyAlignment="1" applyProtection="1">
      <alignment horizontal="center" vertical="center"/>
    </xf>
    <xf numFmtId="0" fontId="4" fillId="8" borderId="13" xfId="0" applyFont="1" applyFill="1" applyBorder="1" applyAlignment="1" applyProtection="1">
      <alignment horizontal="center" vertical="center"/>
    </xf>
    <xf numFmtId="0" fontId="4" fillId="9" borderId="0" xfId="0" applyFont="1" applyFill="1" applyAlignment="1" applyProtection="1">
      <alignment vertical="center"/>
    </xf>
    <xf numFmtId="0" fontId="4" fillId="8" borderId="14" xfId="0" applyFont="1" applyFill="1" applyBorder="1" applyAlignment="1" applyProtection="1">
      <alignment horizontal="center" vertical="center"/>
    </xf>
    <xf numFmtId="0" fontId="5" fillId="10" borderId="12" xfId="0" applyFont="1" applyFill="1" applyBorder="1" applyAlignment="1" applyProtection="1">
      <alignment horizontal="center" vertical="center"/>
    </xf>
    <xf numFmtId="0" fontId="4" fillId="10" borderId="13" xfId="0" applyFont="1" applyFill="1" applyBorder="1" applyAlignment="1" applyProtection="1">
      <alignment horizontal="center" vertical="center"/>
    </xf>
    <xf numFmtId="0" fontId="4" fillId="10" borderId="14" xfId="0" applyFont="1" applyFill="1" applyBorder="1" applyAlignment="1" applyProtection="1">
      <alignment horizontal="center" vertical="center"/>
    </xf>
    <xf numFmtId="0" fontId="5" fillId="11" borderId="0" xfId="0" applyFont="1" applyFill="1" applyAlignment="1" applyProtection="1">
      <alignment horizontal="center" vertical="center"/>
    </xf>
    <xf numFmtId="0" fontId="4" fillId="11" borderId="0" xfId="0" applyFont="1" applyFill="1" applyAlignment="1" applyProtection="1">
      <alignment vertical="center"/>
    </xf>
    <xf numFmtId="0" fontId="4" fillId="9" borderId="13" xfId="0" applyFont="1" applyFill="1" applyBorder="1" applyAlignment="1" applyProtection="1">
      <alignment horizontal="center" vertical="center"/>
    </xf>
    <xf numFmtId="0" fontId="5" fillId="12" borderId="14" xfId="0" applyFont="1" applyFill="1" applyBorder="1" applyAlignment="1" applyProtection="1">
      <alignment horizontal="center" vertical="center"/>
    </xf>
    <xf numFmtId="0" fontId="4" fillId="12" borderId="0" xfId="0" applyFont="1" applyFill="1" applyAlignment="1" applyProtection="1">
      <alignment horizontal="center" vertical="center"/>
    </xf>
    <xf numFmtId="0" fontId="3" fillId="0" borderId="0" xfId="0" applyFont="1" applyProtection="1"/>
    <xf numFmtId="0" fontId="4" fillId="7" borderId="13" xfId="0" applyFont="1" applyFill="1" applyBorder="1" applyAlignment="1" applyProtection="1">
      <alignment horizontal="center" vertical="center"/>
    </xf>
    <xf numFmtId="0" fontId="5" fillId="7" borderId="15" xfId="0" applyFont="1" applyFill="1" applyBorder="1" applyAlignment="1" applyProtection="1">
      <alignment horizontal="center" vertical="center"/>
    </xf>
    <xf numFmtId="0" fontId="4" fillId="7" borderId="14" xfId="0" applyFont="1" applyFill="1" applyBorder="1" applyAlignment="1" applyProtection="1">
      <alignment horizontal="center" vertical="center"/>
    </xf>
    <xf numFmtId="0" fontId="4" fillId="13" borderId="13" xfId="0" applyFont="1" applyFill="1" applyBorder="1" applyAlignment="1" applyProtection="1">
      <alignment horizontal="center" vertical="center"/>
    </xf>
    <xf numFmtId="0" fontId="5" fillId="13" borderId="13" xfId="0" applyFont="1" applyFill="1" applyBorder="1" applyAlignment="1" applyProtection="1">
      <alignment horizontal="center" vertical="center"/>
    </xf>
    <xf numFmtId="0" fontId="4" fillId="14" borderId="13" xfId="0" applyFont="1" applyFill="1" applyBorder="1" applyAlignment="1" applyProtection="1">
      <alignment horizontal="center" vertical="center"/>
    </xf>
    <xf numFmtId="0" fontId="4" fillId="2" borderId="13" xfId="0" applyFont="1" applyFill="1" applyBorder="1" applyAlignment="1" applyProtection="1">
      <alignment horizontal="center" vertical="center"/>
    </xf>
    <xf numFmtId="0" fontId="4" fillId="15" borderId="13" xfId="0" applyFont="1" applyFill="1" applyBorder="1" applyAlignment="1" applyProtection="1">
      <alignment horizontal="center" vertical="center"/>
    </xf>
    <xf numFmtId="0" fontId="5" fillId="16" borderId="14" xfId="0" applyFont="1" applyFill="1" applyBorder="1" applyAlignment="1" applyProtection="1">
      <alignment horizontal="center" vertical="center"/>
    </xf>
    <xf numFmtId="0" fontId="4" fillId="16" borderId="0" xfId="0" applyFont="1" applyFill="1" applyAlignment="1" applyProtection="1">
      <alignment vertical="center"/>
    </xf>
    <xf numFmtId="0" fontId="5" fillId="5" borderId="14" xfId="0" applyFont="1" applyFill="1" applyBorder="1" applyAlignment="1" applyProtection="1">
      <alignment horizontal="center" vertical="center"/>
    </xf>
    <xf numFmtId="0" fontId="4" fillId="5" borderId="13" xfId="0" applyFont="1" applyFill="1" applyBorder="1" applyAlignment="1" applyProtection="1">
      <alignment horizontal="center" vertical="center"/>
    </xf>
    <xf numFmtId="0" fontId="4" fillId="5" borderId="14" xfId="0" applyFont="1" applyFill="1" applyBorder="1" applyAlignment="1" applyProtection="1">
      <alignment horizontal="center" vertical="center"/>
    </xf>
    <xf numFmtId="0" fontId="5" fillId="15" borderId="12" xfId="0" applyFont="1" applyFill="1" applyBorder="1" applyAlignment="1" applyProtection="1">
      <alignment horizontal="center" vertical="center"/>
    </xf>
    <xf numFmtId="0" fontId="4" fillId="15" borderId="14" xfId="0" applyFont="1" applyFill="1" applyBorder="1" applyAlignment="1" applyProtection="1">
      <alignment horizontal="center" vertical="center"/>
    </xf>
    <xf numFmtId="0" fontId="4" fillId="17" borderId="13" xfId="0" applyFont="1" applyFill="1" applyBorder="1" applyAlignment="1" applyProtection="1">
      <alignment horizontal="center" vertical="center"/>
    </xf>
    <xf numFmtId="0" fontId="5" fillId="18" borderId="13" xfId="0" applyFont="1" applyFill="1" applyBorder="1" applyAlignment="1" applyProtection="1">
      <alignment horizontal="center" vertical="center"/>
    </xf>
    <xf numFmtId="0" fontId="4" fillId="16" borderId="13" xfId="0" applyFont="1" applyFill="1" applyBorder="1" applyAlignment="1" applyProtection="1">
      <alignment horizontal="center" vertical="center"/>
    </xf>
    <xf numFmtId="0" fontId="5" fillId="7" borderId="11" xfId="0" applyFont="1" applyFill="1" applyBorder="1" applyAlignment="1" applyProtection="1">
      <alignment horizontal="center" vertical="center"/>
    </xf>
    <xf numFmtId="0" fontId="5" fillId="14" borderId="13" xfId="0" applyFont="1" applyFill="1" applyBorder="1" applyAlignment="1" applyProtection="1">
      <alignment horizontal="center" vertical="center"/>
    </xf>
    <xf numFmtId="0" fontId="4" fillId="19" borderId="13" xfId="0" applyFont="1" applyFill="1" applyBorder="1" applyAlignment="1" applyProtection="1">
      <alignment horizontal="center" vertical="center"/>
    </xf>
    <xf numFmtId="0" fontId="4" fillId="20" borderId="13" xfId="0" applyFont="1" applyFill="1" applyBorder="1" applyAlignment="1" applyProtection="1">
      <alignment horizontal="center" vertical="center"/>
    </xf>
    <xf numFmtId="0" fontId="5" fillId="7" borderId="16" xfId="0" applyFont="1" applyFill="1" applyBorder="1" applyAlignment="1" applyProtection="1">
      <alignment horizontal="center" vertical="center"/>
    </xf>
    <xf numFmtId="0" fontId="5" fillId="16" borderId="13" xfId="0" applyFont="1" applyFill="1" applyBorder="1" applyAlignment="1" applyProtection="1">
      <alignment horizontal="center" vertical="center"/>
    </xf>
    <xf numFmtId="0" fontId="4" fillId="21" borderId="13" xfId="0" applyFont="1" applyFill="1" applyBorder="1" applyAlignment="1" applyProtection="1">
      <alignment horizontal="center" vertical="center"/>
    </xf>
    <xf numFmtId="0" fontId="4" fillId="7" borderId="17" xfId="0" applyFont="1" applyFill="1" applyBorder="1" applyAlignment="1" applyProtection="1">
      <alignment horizontal="center" vertical="center"/>
    </xf>
    <xf numFmtId="0" fontId="4" fillId="9" borderId="14" xfId="0" applyFont="1" applyFill="1" applyBorder="1" applyAlignment="1" applyProtection="1">
      <alignment horizontal="center" vertical="center"/>
    </xf>
    <xf numFmtId="0" fontId="5" fillId="17" borderId="18" xfId="0" applyFont="1" applyFill="1" applyBorder="1" applyAlignment="1" applyProtection="1">
      <alignment horizontal="center" vertical="center"/>
    </xf>
    <xf numFmtId="0" fontId="4" fillId="17" borderId="14" xfId="0" applyFont="1" applyFill="1" applyBorder="1" applyAlignment="1" applyProtection="1">
      <alignment horizontal="center" vertical="center"/>
    </xf>
    <xf numFmtId="0" fontId="5" fillId="19" borderId="14" xfId="0" applyFont="1" applyFill="1" applyBorder="1" applyAlignment="1" applyProtection="1">
      <alignment horizontal="center" vertical="center"/>
    </xf>
    <xf numFmtId="0" fontId="4" fillId="19" borderId="14" xfId="0" applyFont="1" applyFill="1" applyBorder="1" applyAlignment="1" applyProtection="1">
      <alignment horizontal="center" vertical="center"/>
    </xf>
    <xf numFmtId="0" fontId="5" fillId="17" borderId="13" xfId="0" applyFont="1" applyFill="1" applyBorder="1" applyAlignment="1" applyProtection="1">
      <alignment horizontal="center" vertical="center"/>
    </xf>
    <xf numFmtId="0" fontId="5" fillId="17" borderId="12" xfId="0" applyFont="1" applyFill="1" applyBorder="1" applyAlignment="1" applyProtection="1">
      <alignment horizontal="center" vertical="center"/>
    </xf>
    <xf numFmtId="0" fontId="5" fillId="5" borderId="12" xfId="0" applyFont="1" applyFill="1" applyBorder="1" applyAlignment="1" applyProtection="1">
      <alignment horizontal="center" vertical="center"/>
    </xf>
    <xf numFmtId="0" fontId="4" fillId="2" borderId="0" xfId="0" applyFont="1" applyFill="1" applyAlignment="1" applyProtection="1">
      <alignment vertical="center"/>
    </xf>
    <xf numFmtId="0" fontId="5" fillId="18" borderId="12" xfId="0" applyFont="1" applyFill="1" applyBorder="1" applyAlignment="1" applyProtection="1">
      <alignment horizontal="center" vertical="center"/>
    </xf>
    <xf numFmtId="0" fontId="4" fillId="18" borderId="13" xfId="0" applyFont="1" applyFill="1" applyBorder="1" applyAlignment="1" applyProtection="1">
      <alignment horizontal="center" vertical="center"/>
    </xf>
    <xf numFmtId="0" fontId="5" fillId="15" borderId="14" xfId="0" applyFont="1" applyFill="1" applyBorder="1" applyAlignment="1" applyProtection="1">
      <alignment horizontal="center" vertical="center"/>
    </xf>
    <xf numFmtId="0" fontId="5" fillId="2" borderId="11" xfId="0" applyFont="1" applyFill="1" applyBorder="1" applyAlignment="1" applyProtection="1">
      <alignment horizontal="center" vertical="center"/>
    </xf>
    <xf numFmtId="0" fontId="5" fillId="20" borderId="14" xfId="0" applyFont="1" applyFill="1" applyBorder="1" applyAlignment="1" applyProtection="1">
      <alignment horizontal="center" vertical="center"/>
    </xf>
    <xf numFmtId="0" fontId="5" fillId="20" borderId="13" xfId="0" applyFont="1" applyFill="1" applyBorder="1" applyAlignment="1" applyProtection="1">
      <alignment horizontal="center" vertical="center"/>
    </xf>
    <xf numFmtId="0" fontId="5" fillId="19" borderId="13" xfId="0" applyFont="1" applyFill="1" applyBorder="1" applyAlignment="1" applyProtection="1">
      <alignment horizontal="center" vertical="center"/>
    </xf>
    <xf numFmtId="0" fontId="5" fillId="17" borderId="14" xfId="0" applyFont="1" applyFill="1" applyBorder="1" applyAlignment="1" applyProtection="1">
      <alignment horizontal="center" vertical="center"/>
    </xf>
    <xf numFmtId="0" fontId="5" fillId="11" borderId="14" xfId="0" applyFont="1" applyFill="1" applyBorder="1" applyAlignment="1" applyProtection="1">
      <alignment horizontal="center" vertical="center"/>
    </xf>
    <xf numFmtId="0" fontId="4" fillId="5" borderId="7" xfId="0" applyFont="1" applyFill="1" applyBorder="1" applyAlignment="1" applyProtection="1">
      <alignment horizontal="center" vertical="center"/>
    </xf>
    <xf numFmtId="0" fontId="4" fillId="7" borderId="19" xfId="0" applyFont="1" applyFill="1" applyBorder="1" applyAlignment="1" applyProtection="1">
      <alignment horizontal="center" vertical="center"/>
    </xf>
    <xf numFmtId="0" fontId="0" fillId="2" borderId="0" xfId="0" applyFill="1" applyProtection="1"/>
    <xf numFmtId="0" fontId="14" fillId="0" borderId="20" xfId="0" applyFont="1" applyBorder="1" applyAlignment="1" applyProtection="1">
      <alignment horizontal="left" vertical="center"/>
    </xf>
    <xf numFmtId="0" fontId="14" fillId="0" borderId="21" xfId="0" applyFont="1" applyBorder="1" applyAlignment="1" applyProtection="1">
      <alignment horizontal="center" vertical="center"/>
    </xf>
    <xf numFmtId="0" fontId="14" fillId="0" borderId="22" xfId="0" applyFont="1" applyBorder="1" applyAlignment="1" applyProtection="1">
      <alignment horizontal="left" vertical="center"/>
    </xf>
    <xf numFmtId="0" fontId="14" fillId="0" borderId="22" xfId="0" applyFont="1" applyBorder="1" applyProtection="1"/>
    <xf numFmtId="0" fontId="14" fillId="0" borderId="22" xfId="0" applyFont="1" applyBorder="1" applyAlignment="1" applyProtection="1">
      <alignment horizontal="center" vertical="center"/>
    </xf>
    <xf numFmtId="0" fontId="14" fillId="0" borderId="31" xfId="0" applyFont="1" applyBorder="1" applyAlignment="1" applyProtection="1">
      <alignment horizontal="center" vertical="center"/>
    </xf>
    <xf numFmtId="0" fontId="18" fillId="0" borderId="22" xfId="0" applyFont="1" applyBorder="1" applyAlignment="1" applyProtection="1">
      <alignment horizontal="center" vertical="center"/>
    </xf>
    <xf numFmtId="0" fontId="9" fillId="0" borderId="0" xfId="0" applyFont="1" applyProtection="1"/>
    <xf numFmtId="0" fontId="14" fillId="0" borderId="23" xfId="0" applyFont="1" applyBorder="1" applyAlignment="1" applyProtection="1">
      <alignment horizontal="left" vertical="center"/>
    </xf>
    <xf numFmtId="0" fontId="15" fillId="0" borderId="24" xfId="0" applyFont="1" applyBorder="1" applyAlignment="1" applyProtection="1">
      <alignment horizontal="center" vertical="top"/>
    </xf>
    <xf numFmtId="0" fontId="15" fillId="0" borderId="25" xfId="0" applyFont="1" applyBorder="1" applyAlignment="1" applyProtection="1">
      <alignment horizontal="center" vertical="top"/>
    </xf>
    <xf numFmtId="0" fontId="15" fillId="0" borderId="30" xfId="0" applyFont="1" applyBorder="1" applyAlignment="1" applyProtection="1">
      <alignment horizontal="center" vertical="top"/>
    </xf>
    <xf numFmtId="0" fontId="19" fillId="0" borderId="22" xfId="0" applyFont="1" applyBorder="1" applyAlignment="1" applyProtection="1">
      <alignment horizontal="center" vertical="center"/>
    </xf>
    <xf numFmtId="0" fontId="13" fillId="6" borderId="22" xfId="0" applyFont="1" applyFill="1" applyBorder="1" applyAlignment="1" applyProtection="1">
      <alignment horizontal="center"/>
    </xf>
    <xf numFmtId="0" fontId="14" fillId="0" borderId="23" xfId="0" applyFont="1" applyBorder="1" applyAlignment="1" applyProtection="1">
      <alignment horizontal="left"/>
    </xf>
    <xf numFmtId="0" fontId="15" fillId="0" borderId="21" xfId="0" applyFont="1" applyBorder="1" applyAlignment="1" applyProtection="1">
      <alignment horizontal="center" vertical="top"/>
    </xf>
    <xf numFmtId="0" fontId="15" fillId="0" borderId="22" xfId="0" applyFont="1" applyBorder="1" applyAlignment="1" applyProtection="1">
      <alignment horizontal="center" vertical="top"/>
    </xf>
    <xf numFmtId="0" fontId="15" fillId="0" borderId="31" xfId="0" applyFont="1" applyBorder="1" applyAlignment="1" applyProtection="1">
      <alignment horizontal="center" vertical="top"/>
    </xf>
    <xf numFmtId="0" fontId="12" fillId="0" borderId="22" xfId="0" applyFont="1" applyBorder="1" applyAlignment="1" applyProtection="1">
      <alignment horizontal="left"/>
    </xf>
    <xf numFmtId="164" fontId="12" fillId="0" borderId="22" xfId="0" applyNumberFormat="1" applyFont="1" applyBorder="1" applyAlignment="1" applyProtection="1">
      <alignment horizontal="center"/>
    </xf>
    <xf numFmtId="165" fontId="12" fillId="0" borderId="22" xfId="0" applyNumberFormat="1" applyFont="1" applyBorder="1" applyAlignment="1" applyProtection="1">
      <alignment horizontal="center"/>
    </xf>
    <xf numFmtId="0" fontId="20" fillId="0" borderId="22" xfId="0" applyFont="1" applyBorder="1" applyAlignment="1" applyProtection="1">
      <alignment horizontal="center" vertical="center"/>
    </xf>
    <xf numFmtId="4" fontId="14" fillId="0" borderId="23" xfId="0" applyNumberFormat="1" applyFont="1" applyBorder="1" applyAlignment="1" applyProtection="1">
      <alignment horizontal="left" vertical="center"/>
    </xf>
    <xf numFmtId="0" fontId="15" fillId="23" borderId="21" xfId="0" applyFont="1" applyFill="1" applyBorder="1" applyAlignment="1" applyProtection="1">
      <alignment horizontal="center" vertical="top"/>
    </xf>
    <xf numFmtId="0" fontId="15" fillId="23" borderId="22" xfId="0" applyFont="1" applyFill="1" applyBorder="1" applyAlignment="1" applyProtection="1">
      <alignment horizontal="center" vertical="top"/>
    </xf>
    <xf numFmtId="0" fontId="15" fillId="23" borderId="25" xfId="0" applyFont="1" applyFill="1" applyBorder="1" applyAlignment="1" applyProtection="1">
      <alignment horizontal="center" vertical="top"/>
    </xf>
    <xf numFmtId="0" fontId="14" fillId="23" borderId="31" xfId="0" applyFont="1" applyFill="1" applyBorder="1" applyAlignment="1" applyProtection="1">
      <alignment horizontal="center" vertical="top"/>
    </xf>
    <xf numFmtId="0" fontId="21" fillId="6" borderId="22" xfId="0" applyFont="1" applyFill="1" applyBorder="1" applyAlignment="1" applyProtection="1">
      <alignment horizontal="center" vertical="center"/>
    </xf>
    <xf numFmtId="0" fontId="13" fillId="5" borderId="22" xfId="0" applyFont="1" applyFill="1" applyBorder="1" applyAlignment="1" applyProtection="1">
      <alignment horizontal="left"/>
    </xf>
    <xf numFmtId="164" fontId="13" fillId="5" borderId="22" xfId="0" applyNumberFormat="1" applyFont="1" applyFill="1" applyBorder="1" applyAlignment="1" applyProtection="1">
      <alignment horizontal="center"/>
    </xf>
    <xf numFmtId="165" fontId="13" fillId="5" borderId="22" xfId="0" applyNumberFormat="1" applyFont="1" applyFill="1" applyBorder="1" applyAlignment="1" applyProtection="1">
      <alignment horizontal="center"/>
    </xf>
    <xf numFmtId="0" fontId="16" fillId="0" borderId="21" xfId="0" applyFont="1" applyBorder="1" applyAlignment="1" applyProtection="1">
      <alignment horizontal="center" vertical="top"/>
    </xf>
    <xf numFmtId="0" fontId="14" fillId="23" borderId="21" xfId="0" applyFont="1" applyFill="1" applyBorder="1" applyAlignment="1" applyProtection="1">
      <alignment horizontal="center" vertical="top"/>
    </xf>
    <xf numFmtId="0" fontId="14" fillId="23" borderId="22" xfId="0" applyFont="1" applyFill="1" applyBorder="1" applyAlignment="1" applyProtection="1">
      <alignment horizontal="center" vertical="top"/>
    </xf>
    <xf numFmtId="0" fontId="15" fillId="5" borderId="21" xfId="0" applyFont="1" applyFill="1" applyBorder="1" applyAlignment="1" applyProtection="1">
      <alignment horizontal="center" vertical="top"/>
    </xf>
    <xf numFmtId="0" fontId="15" fillId="5" borderId="22" xfId="0" applyFont="1" applyFill="1" applyBorder="1" applyAlignment="1" applyProtection="1">
      <alignment horizontal="center" vertical="top"/>
    </xf>
    <xf numFmtId="0" fontId="21" fillId="5" borderId="22" xfId="0" applyFont="1" applyFill="1" applyBorder="1" applyAlignment="1" applyProtection="1">
      <alignment horizontal="center" vertical="center"/>
    </xf>
    <xf numFmtId="0" fontId="6" fillId="0" borderId="31" xfId="0" applyFont="1" applyBorder="1" applyAlignment="1" applyProtection="1">
      <alignment horizontal="center" vertical="top"/>
    </xf>
    <xf numFmtId="0" fontId="21" fillId="0" borderId="22" xfId="0" applyFont="1" applyBorder="1" applyAlignment="1" applyProtection="1">
      <alignment horizontal="center" vertical="center"/>
    </xf>
    <xf numFmtId="0" fontId="15" fillId="24" borderId="31" xfId="0" applyFont="1" applyFill="1" applyBorder="1" applyAlignment="1" applyProtection="1">
      <alignment horizontal="center" vertical="top"/>
    </xf>
    <xf numFmtId="0" fontId="15" fillId="0" borderId="26" xfId="0" applyFont="1" applyBorder="1" applyAlignment="1" applyProtection="1">
      <alignment horizontal="center" vertical="top"/>
    </xf>
    <xf numFmtId="0" fontId="15" fillId="0" borderId="27" xfId="0" applyFont="1" applyBorder="1" applyAlignment="1" applyProtection="1">
      <alignment horizontal="center" vertical="top"/>
    </xf>
    <xf numFmtId="0" fontId="15" fillId="0" borderId="55" xfId="0" applyFont="1" applyBorder="1" applyAlignment="1" applyProtection="1">
      <alignment horizontal="center" vertical="top"/>
    </xf>
    <xf numFmtId="0" fontId="14" fillId="0" borderId="22" xfId="0" applyFont="1" applyBorder="1" applyAlignment="1" applyProtection="1">
      <alignment horizontal="left"/>
    </xf>
    <xf numFmtId="0" fontId="27" fillId="0" borderId="0" xfId="0" applyFont="1" applyAlignment="1" applyProtection="1">
      <alignment vertical="top"/>
    </xf>
  </cellXfs>
  <cellStyles count="2">
    <cellStyle name="Normal" xfId="0" builtinId="0"/>
    <cellStyle name="Normal 3" xfId="1" xr:uid="{8994CC25-9676-4365-87B2-1E51EF7B7200}"/>
  </cellStyles>
  <dxfs count="97">
    <dxf>
      <font>
        <color rgb="FFC00000"/>
      </font>
      <fill>
        <patternFill patternType="solid">
          <fgColor indexed="64"/>
          <bgColor rgb="FFFCE4D6"/>
        </patternFill>
      </fill>
    </dxf>
    <dxf>
      <font>
        <color rgb="FF9C0006"/>
      </font>
      <fill>
        <patternFill patternType="solid">
          <fgColor indexed="64"/>
          <bgColor rgb="FFFFC7CE"/>
        </patternFill>
      </fill>
    </dxf>
    <dxf>
      <font>
        <color rgb="FFD9D9D9"/>
      </font>
      <fill>
        <patternFill patternType="solid">
          <fgColor indexed="64"/>
          <bgColor rgb="FFF2F2F2"/>
        </patternFill>
      </fill>
    </dxf>
    <dxf>
      <font>
        <b/>
        <i val="0"/>
        <color rgb="FF9C0006"/>
      </font>
      <fill>
        <patternFill patternType="solid">
          <fgColor indexed="64"/>
          <bgColor rgb="FFFFC7CE"/>
        </patternFill>
      </fill>
    </dxf>
    <dxf>
      <font>
        <b/>
        <i val="0"/>
        <color rgb="FF9C0006"/>
      </font>
    </dxf>
    <dxf>
      <font>
        <color rgb="FF006100"/>
      </font>
    </dxf>
    <dxf>
      <font>
        <color rgb="FFBFBFBF"/>
      </font>
    </dxf>
    <dxf>
      <font>
        <color rgb="FF9C6500"/>
      </font>
      <fill>
        <patternFill patternType="solid">
          <fgColor indexed="64"/>
          <bgColor rgb="FFFFEB9C"/>
        </patternFill>
      </fill>
    </dxf>
    <dxf>
      <font>
        <b/>
        <i val="0"/>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9C0006"/>
      </font>
      <fill>
        <patternFill patternType="solid">
          <fgColor indexed="64"/>
          <bgColor rgb="FFFFC7CE"/>
        </patternFill>
      </fill>
    </dxf>
    <dxf>
      <fill>
        <patternFill patternType="solid">
          <fgColor indexed="64"/>
          <bgColor rgb="FFF4F6FA"/>
        </patternFill>
      </fill>
    </dxf>
    <dxf>
      <font>
        <color rgb="FF000000"/>
      </font>
      <fill>
        <patternFill patternType="solid">
          <fgColor indexed="64"/>
          <bgColor rgb="FFF6C9C9"/>
        </patternFill>
      </fill>
    </dxf>
    <dxf>
      <font>
        <color rgb="FF000000"/>
      </font>
      <fill>
        <patternFill patternType="solid">
          <fgColor indexed="64"/>
          <bgColor rgb="FFCDEBD8"/>
        </patternFill>
      </fill>
    </dxf>
    <dxf>
      <font>
        <color rgb="FF000000"/>
      </font>
      <fill>
        <patternFill patternType="solid">
          <fgColor indexed="64"/>
          <bgColor rgb="FFE6F0DE"/>
        </patternFill>
      </fill>
    </dxf>
    <dxf>
      <font>
        <color rgb="FF000000"/>
      </font>
      <fill>
        <patternFill patternType="solid">
          <fgColor indexed="64"/>
          <bgColor rgb="FFE0D4EC"/>
        </patternFill>
      </fill>
    </dxf>
    <dxf>
      <font>
        <color rgb="FF000000"/>
      </font>
      <fill>
        <patternFill patternType="solid">
          <fgColor indexed="64"/>
          <bgColor rgb="FFEADCD2"/>
        </patternFill>
      </fill>
    </dxf>
    <dxf>
      <font>
        <color rgb="FF000000"/>
      </font>
      <fill>
        <patternFill patternType="solid">
          <fgColor indexed="64"/>
          <bgColor rgb="FFEFE0BC"/>
        </patternFill>
      </fill>
    </dxf>
    <dxf>
      <font>
        <color rgb="FF000000"/>
      </font>
      <fill>
        <patternFill patternType="solid">
          <fgColor indexed="64"/>
          <bgColor rgb="FFFFF7C2"/>
        </patternFill>
      </fill>
    </dxf>
    <dxf>
      <font>
        <color rgb="FF000000"/>
      </font>
      <fill>
        <patternFill patternType="solid">
          <fgColor indexed="64"/>
          <bgColor rgb="FFD6F7F7"/>
        </patternFill>
      </fill>
    </dxf>
    <dxf>
      <font>
        <color rgb="FF000000"/>
      </font>
      <fill>
        <patternFill patternType="solid">
          <fgColor indexed="64"/>
          <bgColor rgb="FFFBE5D6"/>
        </patternFill>
      </fill>
    </dxf>
    <dxf>
      <font>
        <color rgb="FF000000"/>
      </font>
      <fill>
        <patternFill patternType="solid">
          <fgColor indexed="64"/>
          <bgColor rgb="FFD4EEF9"/>
        </patternFill>
      </fill>
    </dxf>
    <dxf>
      <font>
        <color rgb="FF000000"/>
      </font>
      <fill>
        <patternFill patternType="solid">
          <fgColor indexed="64"/>
          <bgColor rgb="FFE5E9EF"/>
        </patternFill>
      </fill>
    </dxf>
    <dxf>
      <font>
        <color rgb="FF000000"/>
      </font>
      <fill>
        <patternFill patternType="solid">
          <fgColor indexed="64"/>
          <bgColor rgb="FFD6D9F2"/>
        </patternFill>
      </fill>
    </dxf>
    <dxf>
      <font>
        <color rgb="FF000000"/>
      </font>
      <fill>
        <patternFill patternType="solid">
          <fgColor indexed="64"/>
          <bgColor rgb="FFDCF7CE"/>
        </patternFill>
      </fill>
    </dxf>
    <dxf>
      <font>
        <color rgb="FF000000"/>
      </font>
      <fill>
        <patternFill patternType="solid">
          <fgColor indexed="64"/>
          <bgColor rgb="FFFFD6F0"/>
        </patternFill>
      </fill>
    </dxf>
    <dxf>
      <font>
        <color rgb="FF000000"/>
      </font>
      <fill>
        <patternFill patternType="solid">
          <fgColor indexed="64"/>
          <bgColor rgb="FFD6F7F7"/>
        </patternFill>
      </fill>
    </dxf>
    <dxf>
      <font>
        <color rgb="FF000000"/>
      </font>
      <fill>
        <patternFill patternType="solid">
          <fgColor indexed="64"/>
          <bgColor rgb="FFD9D9D9"/>
        </patternFill>
      </fill>
    </dxf>
    <dxf>
      <font>
        <color rgb="FF000000"/>
      </font>
      <fill>
        <patternFill patternType="solid">
          <fgColor indexed="64"/>
          <bgColor rgb="FFD6F7F7"/>
        </patternFill>
      </fill>
    </dxf>
    <dxf>
      <font>
        <color rgb="FF000000"/>
      </font>
      <fill>
        <patternFill patternType="solid">
          <fgColor indexed="64"/>
          <bgColor rgb="FFD6F7F7"/>
        </patternFill>
      </fill>
    </dxf>
    <dxf>
      <font>
        <color rgb="FF000000"/>
      </font>
      <fill>
        <patternFill patternType="solid">
          <fgColor indexed="64"/>
          <bgColor rgb="FFD6F7F7"/>
        </patternFill>
      </fill>
    </dxf>
    <dxf>
      <font>
        <color rgb="FF000000"/>
      </font>
      <fill>
        <patternFill patternType="solid">
          <fgColor indexed="64"/>
          <bgColor rgb="FFF6C9C9"/>
        </patternFill>
      </fill>
    </dxf>
    <dxf>
      <font>
        <color rgb="FF000000"/>
      </font>
      <fill>
        <patternFill patternType="solid">
          <fgColor indexed="64"/>
          <bgColor rgb="FFF6C9C9"/>
        </patternFill>
      </fill>
    </dxf>
    <dxf>
      <font>
        <color rgb="FF000000"/>
      </font>
      <fill>
        <patternFill patternType="solid">
          <fgColor indexed="64"/>
          <bgColor rgb="FFCDEBD8"/>
        </patternFill>
      </fill>
    </dxf>
    <dxf>
      <font>
        <color rgb="FF000000"/>
      </font>
      <fill>
        <patternFill patternType="solid">
          <fgColor indexed="64"/>
          <bgColor rgb="FFE0D4EC"/>
        </patternFill>
      </fill>
    </dxf>
    <dxf>
      <font>
        <color rgb="FF000000"/>
      </font>
      <fill>
        <patternFill patternType="solid">
          <fgColor indexed="64"/>
          <bgColor rgb="FFE6F0DE"/>
        </patternFill>
      </fill>
    </dxf>
    <dxf>
      <font>
        <color rgb="FF000000"/>
      </font>
      <fill>
        <patternFill patternType="solid">
          <fgColor indexed="64"/>
          <bgColor rgb="FFE8F4D9"/>
        </patternFill>
      </fill>
    </dxf>
    <dxf>
      <font>
        <color rgb="FF000000"/>
      </font>
      <fill>
        <patternFill patternType="solid">
          <fgColor indexed="64"/>
          <bgColor rgb="FFFDE9D9"/>
        </patternFill>
      </fill>
    </dxf>
    <dxf>
      <font>
        <color rgb="FF000000"/>
      </font>
      <fill>
        <patternFill patternType="solid">
          <fgColor indexed="64"/>
          <bgColor rgb="FFE4E4F6"/>
        </patternFill>
      </fill>
    </dxf>
    <dxf>
      <font>
        <color rgb="FF000000"/>
      </font>
      <fill>
        <patternFill patternType="solid">
          <fgColor indexed="64"/>
          <bgColor rgb="FFF3E2F3"/>
        </patternFill>
      </fill>
    </dxf>
    <dxf>
      <font>
        <color rgb="FF000000"/>
      </font>
      <fill>
        <patternFill patternType="solid">
          <fgColor indexed="64"/>
          <bgColor rgb="FFDDEEF2"/>
        </patternFill>
      </fill>
    </dxf>
    <dxf>
      <font>
        <color rgb="FF000000"/>
      </font>
      <fill>
        <patternFill patternType="solid">
          <fgColor indexed="64"/>
          <bgColor rgb="FFFBEEDC"/>
        </patternFill>
      </fill>
    </dxf>
    <dxf>
      <font>
        <color rgb="FF000000"/>
      </font>
      <fill>
        <patternFill patternType="solid">
          <fgColor indexed="64"/>
          <bgColor rgb="FFEAF3FB"/>
        </patternFill>
      </fill>
    </dxf>
    <dxf>
      <font>
        <color rgb="FF000000"/>
      </font>
      <fill>
        <patternFill patternType="solid">
          <fgColor indexed="64"/>
          <bgColor rgb="FFE7F6E7"/>
        </patternFill>
      </fill>
    </dxf>
    <dxf>
      <font>
        <color rgb="FF000000"/>
      </font>
      <fill>
        <patternFill patternType="solid">
          <fgColor indexed="64"/>
          <bgColor rgb="FFF9E4EC"/>
        </patternFill>
      </fill>
    </dxf>
    <dxf>
      <font>
        <color rgb="FF000000"/>
      </font>
      <fill>
        <patternFill patternType="solid">
          <fgColor indexed="64"/>
          <bgColor rgb="FFE9E4F9"/>
        </patternFill>
      </fill>
    </dxf>
    <dxf>
      <font>
        <color rgb="FF000000"/>
      </font>
      <fill>
        <patternFill patternType="solid">
          <fgColor indexed="64"/>
          <bgColor rgb="FFFFE9C7"/>
        </patternFill>
      </fill>
    </dxf>
    <dxf>
      <font>
        <color rgb="FF000000"/>
      </font>
      <fill>
        <patternFill patternType="solid">
          <fgColor indexed="64"/>
          <bgColor rgb="FFDCEFE6"/>
        </patternFill>
      </fill>
    </dxf>
    <dxf>
      <font>
        <color rgb="FF000000"/>
      </font>
      <fill>
        <patternFill patternType="solid">
          <fgColor indexed="64"/>
          <bgColor rgb="FFF1E6D8"/>
        </patternFill>
      </fill>
    </dxf>
    <dxf>
      <font>
        <color rgb="FF000000"/>
      </font>
      <fill>
        <patternFill patternType="solid">
          <fgColor indexed="64"/>
          <bgColor rgb="FFE2EFF7"/>
        </patternFill>
      </fill>
    </dxf>
    <dxf>
      <font>
        <color rgb="FF000000"/>
      </font>
      <fill>
        <patternFill patternType="solid">
          <fgColor indexed="64"/>
          <bgColor rgb="FFF7E7F0"/>
        </patternFill>
      </fill>
    </dxf>
    <dxf>
      <font>
        <color rgb="FF000000"/>
      </font>
      <fill>
        <patternFill patternType="solid">
          <fgColor indexed="64"/>
          <bgColor rgb="FFE6F2E2"/>
        </patternFill>
      </fill>
    </dxf>
    <dxf>
      <font>
        <color rgb="FF000000"/>
      </font>
      <fill>
        <patternFill patternType="solid">
          <fgColor indexed="64"/>
          <bgColor rgb="FFFFF2CC"/>
        </patternFill>
      </fill>
    </dxf>
    <dxf>
      <font>
        <color rgb="FF000000"/>
      </font>
      <fill>
        <patternFill patternType="solid">
          <fgColor indexed="64"/>
          <bgColor rgb="FFEDE1F0"/>
        </patternFill>
      </fill>
    </dxf>
    <dxf>
      <font>
        <color rgb="FF000000"/>
      </font>
      <fill>
        <patternFill patternType="solid">
          <fgColor indexed="64"/>
          <bgColor rgb="FFD6F7F7"/>
        </patternFill>
      </fill>
    </dxf>
    <dxf>
      <font>
        <color rgb="FF000000"/>
      </font>
      <fill>
        <patternFill patternType="solid">
          <fgColor indexed="64"/>
          <bgColor rgb="FFD6F7F7"/>
        </patternFill>
      </fill>
    </dxf>
    <dxf>
      <font>
        <color rgb="FF000000"/>
      </font>
      <fill>
        <patternFill patternType="solid">
          <fgColor indexed="64"/>
          <bgColor rgb="FFE8EDDA"/>
        </patternFill>
      </fill>
    </dxf>
    <dxf>
      <font>
        <color rgb="FF000000"/>
      </font>
      <fill>
        <patternFill patternType="solid">
          <fgColor indexed="64"/>
          <bgColor rgb="FFF4E1E1"/>
        </patternFill>
      </fill>
    </dxf>
    <dxf>
      <fill>
        <patternFill patternType="solid">
          <fgColor indexed="64"/>
          <bgColor rgb="FFE6F0DE"/>
        </patternFill>
      </fill>
    </dxf>
    <dxf>
      <fill>
        <patternFill patternType="solid">
          <fgColor indexed="64"/>
          <bgColor rgb="FFCDEBD8"/>
        </patternFill>
      </fill>
    </dxf>
    <dxf>
      <fill>
        <patternFill patternType="solid">
          <fgColor indexed="64"/>
          <bgColor rgb="FFF6C9C9"/>
        </patternFill>
      </fill>
    </dxf>
    <dxf>
      <font>
        <color rgb="FF000000"/>
      </font>
      <fill>
        <patternFill patternType="solid">
          <fgColor indexed="64"/>
          <bgColor rgb="FFD6F7F7"/>
        </patternFill>
      </fill>
    </dxf>
    <dxf>
      <font>
        <color rgb="FF000000"/>
      </font>
      <fill>
        <patternFill patternType="solid">
          <fgColor indexed="64"/>
          <bgColor rgb="FFD9D9D9"/>
        </patternFill>
      </fill>
    </dxf>
    <dxf>
      <font>
        <color rgb="FF000000"/>
      </font>
      <fill>
        <patternFill patternType="solid">
          <fgColor indexed="64"/>
          <bgColor rgb="FFE0D4EC"/>
        </patternFill>
      </fill>
    </dxf>
    <dxf>
      <font>
        <color rgb="FF000000"/>
      </font>
      <fill>
        <patternFill patternType="solid">
          <fgColor indexed="64"/>
          <bgColor rgb="FFCDEBD8"/>
        </patternFill>
      </fill>
    </dxf>
    <dxf>
      <font>
        <color rgb="FF000000"/>
      </font>
      <fill>
        <patternFill patternType="solid">
          <fgColor indexed="64"/>
          <bgColor rgb="FFFFD6F0"/>
        </patternFill>
      </fill>
    </dxf>
    <dxf>
      <font>
        <color rgb="FF000000"/>
      </font>
      <fill>
        <patternFill patternType="solid">
          <fgColor indexed="64"/>
          <bgColor rgb="FFD6D9F2"/>
        </patternFill>
      </fill>
    </dxf>
    <dxf>
      <font>
        <color rgb="FF000000"/>
      </font>
      <fill>
        <patternFill patternType="solid">
          <fgColor indexed="64"/>
          <bgColor rgb="FFD4EEF9"/>
        </patternFill>
      </fill>
    </dxf>
    <dxf>
      <font>
        <color rgb="FF000000"/>
      </font>
      <fill>
        <patternFill patternType="solid">
          <fgColor indexed="64"/>
          <bgColor rgb="FFD6F7F7"/>
        </patternFill>
      </fill>
    </dxf>
    <dxf>
      <font>
        <color rgb="FF000000"/>
      </font>
      <fill>
        <patternFill patternType="solid">
          <fgColor indexed="64"/>
          <bgColor rgb="FFEFE0BC"/>
        </patternFill>
      </fill>
    </dxf>
    <dxf>
      <font>
        <color rgb="FF9C0006"/>
      </font>
      <fill>
        <patternFill patternType="solid">
          <fgColor indexed="64"/>
          <bgColor rgb="FFFFC7CE"/>
        </patternFill>
      </fill>
    </dxf>
    <dxf>
      <font>
        <color rgb="FF9C0006"/>
      </font>
      <fill>
        <patternFill patternType="solid">
          <fgColor indexed="64"/>
          <bgColor rgb="FFFFC7CE"/>
        </patternFill>
      </fill>
    </dxf>
    <dxf>
      <fill>
        <patternFill>
          <bgColor rgb="FFFFFF9B"/>
        </patternFill>
      </fill>
    </dxf>
    <dxf>
      <fill>
        <patternFill>
          <bgColor rgb="FFCCE9AD"/>
        </patternFill>
      </fill>
    </dxf>
    <dxf>
      <font>
        <b/>
        <i val="0"/>
        <color rgb="FF9C0006"/>
      </font>
    </dxf>
    <dxf>
      <font>
        <b/>
        <i val="0"/>
        <color rgb="FF006100"/>
      </font>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7F6000"/>
      </font>
      <fill>
        <patternFill patternType="solid">
          <fgColor indexed="64"/>
          <bgColor rgb="FFFFE699"/>
        </patternFill>
      </fill>
    </dxf>
    <dxf>
      <font>
        <color rgb="FFC00000"/>
      </font>
      <fill>
        <patternFill patternType="solid">
          <fgColor indexed="64"/>
          <bgColor rgb="FFF8CBAD"/>
        </patternFill>
      </fill>
    </dxf>
    <dxf>
      <font>
        <color rgb="FFFF0000"/>
      </font>
    </dxf>
    <dxf>
      <font>
        <color rgb="FF006100"/>
      </font>
      <fill>
        <patternFill patternType="solid">
          <fgColor indexed="64"/>
          <bgColor rgb="FFC6EFCE"/>
        </patternFill>
      </fill>
    </dxf>
    <dxf>
      <font>
        <color rgb="FF404040"/>
      </font>
      <fill>
        <patternFill patternType="solid">
          <fgColor indexed="64"/>
          <bgColor rgb="FFD9D9D9"/>
        </patternFill>
      </fill>
    </dxf>
    <dxf>
      <font>
        <color rgb="FF7F6000"/>
      </font>
      <fill>
        <patternFill patternType="solid">
          <fgColor indexed="64"/>
          <bgColor rgb="FFFFE699"/>
        </patternFill>
      </fill>
    </dxf>
    <dxf>
      <font>
        <color rgb="FFC00000"/>
      </font>
      <fill>
        <patternFill patternType="solid">
          <fgColor indexed="64"/>
          <bgColor rgb="FFF8CBAD"/>
        </patternFill>
      </fill>
    </dxf>
    <dxf>
      <fill>
        <patternFill patternType="solid">
          <fgColor indexed="64"/>
          <bgColor rgb="FFF2F2F2"/>
        </patternFill>
      </fill>
    </dxf>
    <dxf>
      <fill>
        <patternFill patternType="solid">
          <fgColor indexed="64"/>
          <bgColor rgb="FFF2F2F2"/>
        </patternFill>
      </fill>
    </dxf>
    <dxf>
      <font>
        <b/>
        <i val="0"/>
        <color rgb="FF006100"/>
      </font>
    </dxf>
    <dxf>
      <font>
        <b/>
        <i val="0"/>
        <color rgb="FF9C0006"/>
      </font>
    </dxf>
    <dxf>
      <font>
        <b/>
        <i val="0"/>
        <color rgb="FF006100"/>
      </font>
    </dxf>
    <dxf>
      <font>
        <color rgb="FF9C0006"/>
      </font>
      <fill>
        <patternFill patternType="solid">
          <fgColor indexed="64"/>
          <bgColor rgb="FFFFC7CE"/>
        </patternFill>
      </fill>
    </dxf>
    <dxf>
      <font>
        <color rgb="FFD9D9D9"/>
      </font>
      <fill>
        <patternFill patternType="solid">
          <fgColor indexed="64"/>
          <bgColor rgb="FFF2F2F2"/>
        </patternFill>
      </fill>
    </dxf>
    <dxf>
      <font>
        <b/>
        <i val="0"/>
        <color rgb="FF9C0006"/>
      </font>
      <fill>
        <patternFill patternType="solid">
          <fgColor indexed="64"/>
          <bgColor rgb="FFFFC7CE"/>
        </patternFill>
      </fill>
    </dxf>
    <dxf>
      <fill>
        <patternFill patternType="solid">
          <fgColor indexed="64"/>
          <bgColor rgb="FFF2F2F2"/>
        </patternFill>
      </fill>
    </dxf>
  </dxfs>
  <tableStyles count="0" defaultTableStyle="TableStyleMedium2" defaultPivotStyle="PivotStyleLight16"/>
  <colors>
    <mruColors>
      <color rgb="FFFFDDE1"/>
      <color rgb="FFCCE9AD"/>
      <color rgb="FFFFFF9B"/>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Machines required per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DASHBOARD!$C$41</c:f>
              <c:strCache>
                <c:ptCount val="1"/>
                <c:pt idx="0">
                  <c:v>Style</c:v>
                </c:pt>
              </c:strCache>
            </c:strRef>
          </c:tx>
          <c:spPr>
            <a:solidFill>
              <a:schemeClr val="accent1"/>
            </a:solidFill>
            <a:ln>
              <a:noFill/>
            </a:ln>
            <a:effectLst/>
          </c:spPr>
          <c:invertIfNegative val="0"/>
          <c:val>
            <c:numRef>
              <c:f>DASHBOARD!$C$42:$C$67</c:f>
              <c:numCache>
                <c:formatCode>General</c:formatCode>
                <c:ptCount val="26"/>
                <c:pt idx="0">
                  <c:v>6137</c:v>
                </c:pt>
                <c:pt idx="1">
                  <c:v>6137</c:v>
                </c:pt>
                <c:pt idx="2">
                  <c:v>0</c:v>
                </c:pt>
                <c:pt idx="3">
                  <c:v>6137</c:v>
                </c:pt>
                <c:pt idx="4">
                  <c:v>6135</c:v>
                </c:pt>
                <c:pt idx="5">
                  <c:v>6137</c:v>
                </c:pt>
                <c:pt idx="6">
                  <c:v>6137</c:v>
                </c:pt>
                <c:pt idx="7">
                  <c:v>6135</c:v>
                </c:pt>
                <c:pt idx="8">
                  <c:v>6135</c:v>
                </c:pt>
                <c:pt idx="9">
                  <c:v>6109</c:v>
                </c:pt>
                <c:pt idx="10">
                  <c:v>6109</c:v>
                </c:pt>
                <c:pt idx="11">
                  <c:v>6109</c:v>
                </c:pt>
                <c:pt idx="12">
                  <c:v>6108</c:v>
                </c:pt>
                <c:pt idx="13">
                  <c:v>6108</c:v>
                </c:pt>
                <c:pt idx="14">
                  <c:v>4117</c:v>
                </c:pt>
                <c:pt idx="15">
                  <c:v>4117</c:v>
                </c:pt>
                <c:pt idx="16">
                  <c:v>4115</c:v>
                </c:pt>
                <c:pt idx="17">
                  <c:v>0</c:v>
                </c:pt>
                <c:pt idx="18">
                  <c:v>6820</c:v>
                </c:pt>
                <c:pt idx="19">
                  <c:v>6820</c:v>
                </c:pt>
                <c:pt idx="20">
                  <c:v>0</c:v>
                </c:pt>
                <c:pt idx="21">
                  <c:v>4300</c:v>
                </c:pt>
                <c:pt idx="22">
                  <c:v>0</c:v>
                </c:pt>
                <c:pt idx="23">
                  <c:v>5520</c:v>
                </c:pt>
                <c:pt idx="24">
                  <c:v>5520</c:v>
                </c:pt>
                <c:pt idx="25">
                  <c:v>7926</c:v>
                </c:pt>
              </c:numCache>
            </c:numRef>
          </c:val>
          <c:extLst>
            <c:ext xmlns:c16="http://schemas.microsoft.com/office/drawing/2014/chart" uri="{C3380CC4-5D6E-409C-BE32-E72D297353CC}">
              <c16:uniqueId val="{00000000-E9D9-416B-94D3-272CE9BC0F4E}"/>
            </c:ext>
          </c:extLst>
        </c:ser>
        <c:ser>
          <c:idx val="1"/>
          <c:order val="1"/>
          <c:tx>
            <c:strRef>
              <c:f>DASHBOARD!$D$41</c:f>
              <c:strCache>
                <c:ptCount val="1"/>
                <c:pt idx="0">
                  <c:v>Machines req.</c:v>
                </c:pt>
              </c:strCache>
            </c:strRef>
          </c:tx>
          <c:spPr>
            <a:solidFill>
              <a:schemeClr val="accent2"/>
            </a:solidFill>
            <a:ln>
              <a:noFill/>
            </a:ln>
            <a:effectLst/>
          </c:spPr>
          <c:invertIfNegative val="0"/>
          <c:val>
            <c:numRef>
              <c:f>DASHBOARD!$D$42:$D$67</c:f>
              <c:numCache>
                <c:formatCode>#,##0.0;\(#,##0.0\);\-</c:formatCode>
                <c:ptCount val="26"/>
                <c:pt idx="0">
                  <c:v>29</c:v>
                </c:pt>
                <c:pt idx="1">
                  <c:v>29</c:v>
                </c:pt>
                <c:pt idx="2">
                  <c:v>30</c:v>
                </c:pt>
                <c:pt idx="3">
                  <c:v>29</c:v>
                </c:pt>
                <c:pt idx="4">
                  <c:v>33.5</c:v>
                </c:pt>
                <c:pt idx="5">
                  <c:v>29</c:v>
                </c:pt>
                <c:pt idx="6">
                  <c:v>29</c:v>
                </c:pt>
                <c:pt idx="7">
                  <c:v>33.5</c:v>
                </c:pt>
                <c:pt idx="8">
                  <c:v>33.5</c:v>
                </c:pt>
                <c:pt idx="9">
                  <c:v>30</c:v>
                </c:pt>
                <c:pt idx="10">
                  <c:v>30</c:v>
                </c:pt>
                <c:pt idx="11">
                  <c:v>30</c:v>
                </c:pt>
                <c:pt idx="12">
                  <c:v>31.5</c:v>
                </c:pt>
                <c:pt idx="13">
                  <c:v>31.5</c:v>
                </c:pt>
                <c:pt idx="14">
                  <c:v>30.5</c:v>
                </c:pt>
                <c:pt idx="15">
                  <c:v>30.5</c:v>
                </c:pt>
                <c:pt idx="16">
                  <c:v>33.5</c:v>
                </c:pt>
                <c:pt idx="17">
                  <c:v>25</c:v>
                </c:pt>
                <c:pt idx="18">
                  <c:v>32</c:v>
                </c:pt>
                <c:pt idx="19">
                  <c:v>32</c:v>
                </c:pt>
                <c:pt idx="20">
                  <c:v>29.5</c:v>
                </c:pt>
                <c:pt idx="21">
                  <c:v>37.5</c:v>
                </c:pt>
                <c:pt idx="22">
                  <c:v>28</c:v>
                </c:pt>
                <c:pt idx="23">
                  <c:v>32</c:v>
                </c:pt>
                <c:pt idx="24">
                  <c:v>32</c:v>
                </c:pt>
                <c:pt idx="25">
                  <c:v>37</c:v>
                </c:pt>
              </c:numCache>
            </c:numRef>
          </c:val>
          <c:extLst>
            <c:ext xmlns:c16="http://schemas.microsoft.com/office/drawing/2014/chart" uri="{C3380CC4-5D6E-409C-BE32-E72D297353CC}">
              <c16:uniqueId val="{00000001-E9D9-416B-94D3-272CE9BC0F4E}"/>
            </c:ext>
          </c:extLst>
        </c:ser>
        <c:dLbls>
          <c:showLegendKey val="0"/>
          <c:showVal val="0"/>
          <c:showCatName val="0"/>
          <c:showSerName val="0"/>
          <c:showPercent val="0"/>
          <c:showBubbleSize val="0"/>
        </c:dLbls>
        <c:gapWidth val="219"/>
        <c:overlap val="-27"/>
        <c:axId val="445869952"/>
        <c:axId val="427575760"/>
      </c:barChart>
      <c:catAx>
        <c:axId val="4458699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575760"/>
        <c:crosses val="autoZero"/>
        <c:auto val="1"/>
        <c:lblAlgn val="ctr"/>
        <c:lblOffset val="100"/>
        <c:noMultiLvlLbl val="0"/>
      </c:catAx>
      <c:valAx>
        <c:axId val="42757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86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Machine demand across the plan vs. installed capacity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'DEMAND BY DATE'!$AZ$3</c:f>
              <c:strCache>
                <c:ptCount val="1"/>
                <c:pt idx="0">
                  <c:v>Machines required</c:v>
                </c:pt>
              </c:strCache>
            </c:strRef>
          </c:tx>
          <c:spPr>
            <a:ln w="28575" cap="rnd">
              <a:solidFill>
                <a:srgbClr val="C00000"/>
              </a:solidFill>
              <a:prstDash val="solid"/>
              <a:round/>
            </a:ln>
            <a:effectLst/>
          </c:spPr>
          <c:marker>
            <c:symbol val="none"/>
          </c:marker>
          <c:cat>
            <c:numRef>
              <c:f>'DEMAND BY DATE'!$AY$4:$AY$108</c:f>
              <c:numCache>
                <c:formatCode>d\-mmm</c:formatCode>
                <c:ptCount val="105"/>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numCache>
            </c:numRef>
          </c:cat>
          <c:val>
            <c:numRef>
              <c:f>'DEMAND BY DATE'!$AZ$4:$AZ$108</c:f>
              <c:numCache>
                <c:formatCode>General</c:formatCode>
                <c:ptCount val="105"/>
                <c:pt idx="0">
                  <c:v>808</c:v>
                </c:pt>
                <c:pt idx="1">
                  <c:v>808</c:v>
                </c:pt>
                <c:pt idx="2">
                  <c:v>808</c:v>
                </c:pt>
                <c:pt idx="3">
                  <c:v>808</c:v>
                </c:pt>
                <c:pt idx="4">
                  <c:v>808</c:v>
                </c:pt>
                <c:pt idx="5">
                  <c:v>808</c:v>
                </c:pt>
                <c:pt idx="6">
                  <c:v>808</c:v>
                </c:pt>
                <c:pt idx="7">
                  <c:v>808</c:v>
                </c:pt>
                <c:pt idx="8">
                  <c:v>808</c:v>
                </c:pt>
                <c:pt idx="9">
                  <c:v>808</c:v>
                </c:pt>
                <c:pt idx="10">
                  <c:v>808</c:v>
                </c:pt>
                <c:pt idx="11">
                  <c:v>801</c:v>
                </c:pt>
                <c:pt idx="12">
                  <c:v>801</c:v>
                </c:pt>
                <c:pt idx="13">
                  <c:v>654</c:v>
                </c:pt>
                <c:pt idx="14">
                  <c:v>801</c:v>
                </c:pt>
                <c:pt idx="15">
                  <c:v>801</c:v>
                </c:pt>
                <c:pt idx="16">
                  <c:v>801</c:v>
                </c:pt>
                <c:pt idx="17">
                  <c:v>801</c:v>
                </c:pt>
                <c:pt idx="18">
                  <c:v>801</c:v>
                </c:pt>
                <c:pt idx="19">
                  <c:v>801</c:v>
                </c:pt>
                <c:pt idx="20">
                  <c:v>801</c:v>
                </c:pt>
                <c:pt idx="21">
                  <c:v>801</c:v>
                </c:pt>
                <c:pt idx="22">
                  <c:v>801</c:v>
                </c:pt>
                <c:pt idx="23">
                  <c:v>801</c:v>
                </c:pt>
                <c:pt idx="24">
                  <c:v>801</c:v>
                </c:pt>
                <c:pt idx="25">
                  <c:v>801</c:v>
                </c:pt>
                <c:pt idx="26">
                  <c:v>801</c:v>
                </c:pt>
                <c:pt idx="27">
                  <c:v>801</c:v>
                </c:pt>
                <c:pt idx="28">
                  <c:v>801</c:v>
                </c:pt>
                <c:pt idx="29">
                  <c:v>801</c:v>
                </c:pt>
                <c:pt idx="30">
                  <c:v>801</c:v>
                </c:pt>
                <c:pt idx="31">
                  <c:v>801</c:v>
                </c:pt>
                <c:pt idx="32">
                  <c:v>801</c:v>
                </c:pt>
                <c:pt idx="33">
                  <c:v>801</c:v>
                </c:pt>
                <c:pt idx="34">
                  <c:v>801</c:v>
                </c:pt>
                <c:pt idx="35">
                  <c:v>801</c:v>
                </c:pt>
                <c:pt idx="36">
                  <c:v>734</c:v>
                </c:pt>
                <c:pt idx="37">
                  <c:v>791.5</c:v>
                </c:pt>
                <c:pt idx="38">
                  <c:v>761.5</c:v>
                </c:pt>
                <c:pt idx="39">
                  <c:v>792</c:v>
                </c:pt>
                <c:pt idx="40">
                  <c:v>792</c:v>
                </c:pt>
                <c:pt idx="41">
                  <c:v>792</c:v>
                </c:pt>
                <c:pt idx="42">
                  <c:v>792</c:v>
                </c:pt>
                <c:pt idx="43">
                  <c:v>792</c:v>
                </c:pt>
                <c:pt idx="44">
                  <c:v>792</c:v>
                </c:pt>
                <c:pt idx="45">
                  <c:v>788.5</c:v>
                </c:pt>
                <c:pt idx="46">
                  <c:v>788.5</c:v>
                </c:pt>
                <c:pt idx="47">
                  <c:v>760.5</c:v>
                </c:pt>
                <c:pt idx="48">
                  <c:v>760.5</c:v>
                </c:pt>
                <c:pt idx="49">
                  <c:v>760.5</c:v>
                </c:pt>
                <c:pt idx="50">
                  <c:v>668.5</c:v>
                </c:pt>
                <c:pt idx="51">
                  <c:v>729.5</c:v>
                </c:pt>
                <c:pt idx="52">
                  <c:v>729.5</c:v>
                </c:pt>
                <c:pt idx="53">
                  <c:v>700</c:v>
                </c:pt>
                <c:pt idx="54">
                  <c:v>729</c:v>
                </c:pt>
                <c:pt idx="55">
                  <c:v>729</c:v>
                </c:pt>
                <c:pt idx="56">
                  <c:v>729</c:v>
                </c:pt>
                <c:pt idx="57">
                  <c:v>729</c:v>
                </c:pt>
                <c:pt idx="58">
                  <c:v>729</c:v>
                </c:pt>
                <c:pt idx="59">
                  <c:v>729</c:v>
                </c:pt>
                <c:pt idx="60">
                  <c:v>729</c:v>
                </c:pt>
                <c:pt idx="61">
                  <c:v>650</c:v>
                </c:pt>
                <c:pt idx="62">
                  <c:v>650</c:v>
                </c:pt>
                <c:pt idx="63">
                  <c:v>650</c:v>
                </c:pt>
                <c:pt idx="64">
                  <c:v>616.5</c:v>
                </c:pt>
                <c:pt idx="65">
                  <c:v>647</c:v>
                </c:pt>
                <c:pt idx="66">
                  <c:v>647</c:v>
                </c:pt>
                <c:pt idx="67">
                  <c:v>647</c:v>
                </c:pt>
                <c:pt idx="68">
                  <c:v>647</c:v>
                </c:pt>
                <c:pt idx="69">
                  <c:v>647</c:v>
                </c:pt>
                <c:pt idx="70">
                  <c:v>407</c:v>
                </c:pt>
                <c:pt idx="71">
                  <c:v>407</c:v>
                </c:pt>
                <c:pt idx="72">
                  <c:v>407</c:v>
                </c:pt>
                <c:pt idx="73">
                  <c:v>407</c:v>
                </c:pt>
                <c:pt idx="74">
                  <c:v>407</c:v>
                </c:pt>
                <c:pt idx="75">
                  <c:v>407</c:v>
                </c:pt>
                <c:pt idx="76">
                  <c:v>163</c:v>
                </c:pt>
                <c:pt idx="77">
                  <c:v>163</c:v>
                </c:pt>
                <c:pt idx="78">
                  <c:v>163</c:v>
                </c:pt>
                <c:pt idx="79">
                  <c:v>163</c:v>
                </c:pt>
                <c:pt idx="80">
                  <c:v>74.5</c:v>
                </c:pt>
                <c:pt idx="81">
                  <c:v>74.5</c:v>
                </c:pt>
                <c:pt idx="82">
                  <c:v>37.5</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numCache>
            </c:numRef>
          </c:val>
          <c:smooth val="0"/>
          <c:extLst>
            <c:ext xmlns:c16="http://schemas.microsoft.com/office/drawing/2014/chart" uri="{C3380CC4-5D6E-409C-BE32-E72D297353CC}">
              <c16:uniqueId val="{00000000-3076-4AFD-AA18-0676BD89210D}"/>
            </c:ext>
          </c:extLst>
        </c:ser>
        <c:ser>
          <c:idx val="1"/>
          <c:order val="1"/>
          <c:tx>
            <c:strRef>
              <c:f>'DEMAND BY DATE'!$BA$3</c:f>
              <c:strCache>
                <c:ptCount val="1"/>
                <c:pt idx="0">
                  <c:v>Installed</c:v>
                </c:pt>
              </c:strCache>
            </c:strRef>
          </c:tx>
          <c:spPr>
            <a:ln w="28575" cap="rnd">
              <a:solidFill>
                <a:srgbClr val="1F3864"/>
              </a:solidFill>
              <a:prstDash val="solid"/>
              <a:round/>
            </a:ln>
            <a:effectLst/>
          </c:spPr>
          <c:marker>
            <c:symbol val="none"/>
          </c:marker>
          <c:cat>
            <c:numRef>
              <c:f>'DEMAND BY DATE'!$AY$4:$AY$108</c:f>
              <c:numCache>
                <c:formatCode>d\-mmm</c:formatCode>
                <c:ptCount val="105"/>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numCache>
            </c:numRef>
          </c:cat>
          <c:val>
            <c:numRef>
              <c:f>'DEMAND BY DATE'!$BA$4:$BA$108</c:f>
              <c:numCache>
                <c:formatCode>General</c:formatCode>
                <c:ptCount val="105"/>
                <c:pt idx="0">
                  <c:v>920</c:v>
                </c:pt>
                <c:pt idx="1">
                  <c:v>920</c:v>
                </c:pt>
                <c:pt idx="2">
                  <c:v>920</c:v>
                </c:pt>
                <c:pt idx="3">
                  <c:v>920</c:v>
                </c:pt>
                <c:pt idx="4">
                  <c:v>920</c:v>
                </c:pt>
                <c:pt idx="5">
                  <c:v>920</c:v>
                </c:pt>
                <c:pt idx="6">
                  <c:v>920</c:v>
                </c:pt>
                <c:pt idx="7">
                  <c:v>920</c:v>
                </c:pt>
                <c:pt idx="8">
                  <c:v>920</c:v>
                </c:pt>
                <c:pt idx="9">
                  <c:v>920</c:v>
                </c:pt>
                <c:pt idx="10">
                  <c:v>920</c:v>
                </c:pt>
                <c:pt idx="11">
                  <c:v>920</c:v>
                </c:pt>
                <c:pt idx="12">
                  <c:v>920</c:v>
                </c:pt>
                <c:pt idx="13">
                  <c:v>920</c:v>
                </c:pt>
                <c:pt idx="14">
                  <c:v>920</c:v>
                </c:pt>
                <c:pt idx="15">
                  <c:v>920</c:v>
                </c:pt>
                <c:pt idx="16">
                  <c:v>920</c:v>
                </c:pt>
                <c:pt idx="17">
                  <c:v>920</c:v>
                </c:pt>
                <c:pt idx="18">
                  <c:v>920</c:v>
                </c:pt>
                <c:pt idx="19">
                  <c:v>920</c:v>
                </c:pt>
                <c:pt idx="20">
                  <c:v>920</c:v>
                </c:pt>
                <c:pt idx="21">
                  <c:v>920</c:v>
                </c:pt>
                <c:pt idx="22">
                  <c:v>920</c:v>
                </c:pt>
                <c:pt idx="23">
                  <c:v>920</c:v>
                </c:pt>
                <c:pt idx="24">
                  <c:v>920</c:v>
                </c:pt>
                <c:pt idx="25">
                  <c:v>920</c:v>
                </c:pt>
                <c:pt idx="26">
                  <c:v>920</c:v>
                </c:pt>
                <c:pt idx="27">
                  <c:v>920</c:v>
                </c:pt>
                <c:pt idx="28">
                  <c:v>920</c:v>
                </c:pt>
                <c:pt idx="29">
                  <c:v>920</c:v>
                </c:pt>
                <c:pt idx="30">
                  <c:v>920</c:v>
                </c:pt>
                <c:pt idx="31">
                  <c:v>920</c:v>
                </c:pt>
                <c:pt idx="32">
                  <c:v>920</c:v>
                </c:pt>
                <c:pt idx="33">
                  <c:v>920</c:v>
                </c:pt>
                <c:pt idx="34">
                  <c:v>920</c:v>
                </c:pt>
                <c:pt idx="35">
                  <c:v>920</c:v>
                </c:pt>
                <c:pt idx="36">
                  <c:v>920</c:v>
                </c:pt>
                <c:pt idx="37">
                  <c:v>920</c:v>
                </c:pt>
                <c:pt idx="38">
                  <c:v>920</c:v>
                </c:pt>
                <c:pt idx="39">
                  <c:v>920</c:v>
                </c:pt>
                <c:pt idx="40">
                  <c:v>920</c:v>
                </c:pt>
                <c:pt idx="41">
                  <c:v>920</c:v>
                </c:pt>
                <c:pt idx="42">
                  <c:v>920</c:v>
                </c:pt>
                <c:pt idx="43">
                  <c:v>920</c:v>
                </c:pt>
                <c:pt idx="44">
                  <c:v>920</c:v>
                </c:pt>
                <c:pt idx="45">
                  <c:v>920</c:v>
                </c:pt>
                <c:pt idx="46">
                  <c:v>920</c:v>
                </c:pt>
                <c:pt idx="47">
                  <c:v>920</c:v>
                </c:pt>
                <c:pt idx="48">
                  <c:v>920</c:v>
                </c:pt>
                <c:pt idx="49">
                  <c:v>920</c:v>
                </c:pt>
                <c:pt idx="50">
                  <c:v>920</c:v>
                </c:pt>
                <c:pt idx="51">
                  <c:v>920</c:v>
                </c:pt>
                <c:pt idx="52">
                  <c:v>920</c:v>
                </c:pt>
                <c:pt idx="53">
                  <c:v>920</c:v>
                </c:pt>
                <c:pt idx="54">
                  <c:v>920</c:v>
                </c:pt>
                <c:pt idx="55">
                  <c:v>920</c:v>
                </c:pt>
                <c:pt idx="56">
                  <c:v>920</c:v>
                </c:pt>
                <c:pt idx="57">
                  <c:v>920</c:v>
                </c:pt>
                <c:pt idx="58">
                  <c:v>920</c:v>
                </c:pt>
                <c:pt idx="59">
                  <c:v>920</c:v>
                </c:pt>
                <c:pt idx="60">
                  <c:v>920</c:v>
                </c:pt>
                <c:pt idx="61">
                  <c:v>920</c:v>
                </c:pt>
                <c:pt idx="62">
                  <c:v>920</c:v>
                </c:pt>
                <c:pt idx="63">
                  <c:v>920</c:v>
                </c:pt>
                <c:pt idx="64">
                  <c:v>920</c:v>
                </c:pt>
                <c:pt idx="65">
                  <c:v>920</c:v>
                </c:pt>
                <c:pt idx="66">
                  <c:v>920</c:v>
                </c:pt>
                <c:pt idx="67">
                  <c:v>920</c:v>
                </c:pt>
                <c:pt idx="68">
                  <c:v>920</c:v>
                </c:pt>
                <c:pt idx="69">
                  <c:v>920</c:v>
                </c:pt>
                <c:pt idx="70">
                  <c:v>920</c:v>
                </c:pt>
                <c:pt idx="71">
                  <c:v>920</c:v>
                </c:pt>
                <c:pt idx="72">
                  <c:v>920</c:v>
                </c:pt>
                <c:pt idx="73">
                  <c:v>920</c:v>
                </c:pt>
                <c:pt idx="74">
                  <c:v>920</c:v>
                </c:pt>
                <c:pt idx="75">
                  <c:v>920</c:v>
                </c:pt>
                <c:pt idx="76">
                  <c:v>920</c:v>
                </c:pt>
                <c:pt idx="77">
                  <c:v>920</c:v>
                </c:pt>
                <c:pt idx="78">
                  <c:v>920</c:v>
                </c:pt>
                <c:pt idx="79">
                  <c:v>920</c:v>
                </c:pt>
                <c:pt idx="80">
                  <c:v>920</c:v>
                </c:pt>
                <c:pt idx="81">
                  <c:v>920</c:v>
                </c:pt>
                <c:pt idx="82">
                  <c:v>920</c:v>
                </c:pt>
                <c:pt idx="83">
                  <c:v>920</c:v>
                </c:pt>
                <c:pt idx="84">
                  <c:v>920</c:v>
                </c:pt>
                <c:pt idx="85">
                  <c:v>920</c:v>
                </c:pt>
                <c:pt idx="86">
                  <c:v>920</c:v>
                </c:pt>
                <c:pt idx="87">
                  <c:v>920</c:v>
                </c:pt>
                <c:pt idx="88">
                  <c:v>920</c:v>
                </c:pt>
                <c:pt idx="89">
                  <c:v>920</c:v>
                </c:pt>
                <c:pt idx="90">
                  <c:v>920</c:v>
                </c:pt>
                <c:pt idx="91">
                  <c:v>920</c:v>
                </c:pt>
                <c:pt idx="92">
                  <c:v>920</c:v>
                </c:pt>
                <c:pt idx="93">
                  <c:v>920</c:v>
                </c:pt>
                <c:pt idx="94">
                  <c:v>920</c:v>
                </c:pt>
                <c:pt idx="95">
                  <c:v>920</c:v>
                </c:pt>
                <c:pt idx="96">
                  <c:v>920</c:v>
                </c:pt>
                <c:pt idx="97">
                  <c:v>920</c:v>
                </c:pt>
                <c:pt idx="98">
                  <c:v>920</c:v>
                </c:pt>
                <c:pt idx="99">
                  <c:v>920</c:v>
                </c:pt>
                <c:pt idx="100">
                  <c:v>920</c:v>
                </c:pt>
                <c:pt idx="101">
                  <c:v>920</c:v>
                </c:pt>
                <c:pt idx="102">
                  <c:v>920</c:v>
                </c:pt>
                <c:pt idx="103">
                  <c:v>920</c:v>
                </c:pt>
                <c:pt idx="104">
                  <c:v>920</c:v>
                </c:pt>
              </c:numCache>
            </c:numRef>
          </c:val>
          <c:smooth val="0"/>
          <c:extLst>
            <c:ext xmlns:c16="http://schemas.microsoft.com/office/drawing/2014/chart" uri="{C3380CC4-5D6E-409C-BE32-E72D297353CC}">
              <c16:uniqueId val="{00000001-3076-4AFD-AA18-0676BD89210D}"/>
            </c:ext>
          </c:extLst>
        </c:ser>
        <c:dLbls>
          <c:showLegendKey val="0"/>
          <c:showVal val="0"/>
          <c:showCatName val="0"/>
          <c:showSerName val="0"/>
          <c:showPercent val="0"/>
          <c:showBubbleSize val="0"/>
        </c:dLbls>
        <c:smooth val="0"/>
        <c:axId val="1078285376"/>
        <c:axId val="1440845424"/>
      </c:lineChart>
      <c:dateAx>
        <c:axId val="1078285376"/>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45424"/>
        <c:crosses val="autoZero"/>
        <c:auto val="1"/>
        <c:lblOffset val="100"/>
        <c:baseTimeUnit val="days"/>
      </c:dateAx>
      <c:valAx>
        <c:axId val="144084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285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Utilisation by machine group (required ÷ installed) — 100% = full</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386603965697033E-2"/>
          <c:y val="1.393800698988403E-2"/>
          <c:w val="0.90001103555237416"/>
          <c:h val="0.73676932275357476"/>
        </c:manualLayout>
      </c:layout>
      <c:barChart>
        <c:barDir val="col"/>
        <c:grouping val="clustered"/>
        <c:varyColors val="0"/>
        <c:ser>
          <c:idx val="0"/>
          <c:order val="0"/>
          <c:tx>
            <c:strRef>
              <c:f>WORKINGS!$T$11</c:f>
              <c:strCache>
                <c:ptCount val="1"/>
                <c:pt idx="0">
                  <c:v>Utilisation</c:v>
                </c:pt>
              </c:strCache>
            </c:strRef>
          </c:tx>
          <c:spPr>
            <a:solidFill>
              <a:schemeClr val="accent1"/>
            </a:solidFill>
            <a:ln>
              <a:noFill/>
            </a:ln>
            <a:effectLst/>
          </c:spPr>
          <c:invertIfNegative val="0"/>
          <c:cat>
            <c:strRef>
              <c:f>WORKINGS!$S$12:$S$37</c:f>
              <c:strCache>
                <c:ptCount val="26"/>
                <c:pt idx="0">
                  <c:v>SNLS</c:v>
                </c:pt>
                <c:pt idx="1">
                  <c:v>DNLS</c:v>
                </c:pt>
                <c:pt idx="2">
                  <c:v>SNLS - Edge cutter</c:v>
                </c:pt>
                <c:pt idx="3">
                  <c:v>Zig - Zag</c:v>
                </c:pt>
                <c:pt idx="4">
                  <c:v>4th Overlock</c:v>
                </c:pt>
                <c:pt idx="5">
                  <c:v>3th Overlock (Leg elastic)</c:v>
                </c:pt>
                <c:pt idx="6">
                  <c:v>5th Overlock</c:v>
                </c:pt>
                <c:pt idx="7">
                  <c:v>Overlock (Ring Elastic Attach)</c:v>
                </c:pt>
                <c:pt idx="8">
                  <c:v>Flatlock Hem</c:v>
                </c:pt>
                <c:pt idx="9">
                  <c:v>F/L (Coverseam / Waist COVER SEAM</c:v>
                </c:pt>
                <c:pt idx="10">
                  <c:v>F/L (Coverseam )with pullar</c:v>
                </c:pt>
                <c:pt idx="11">
                  <c:v>F/L (Coverseam )</c:v>
                </c:pt>
                <c:pt idx="12">
                  <c:v>3N5T-F/L -( TopStitch)</c:v>
                </c:pt>
                <c:pt idx="13">
                  <c:v>Flatlock (VT)</c:v>
                </c:pt>
                <c:pt idx="14">
                  <c:v>Flatlock (Ring Elastic Attach)</c:v>
                </c:pt>
                <c:pt idx="15">
                  <c:v>3N5T-F/L -BINDING</c:v>
                </c:pt>
                <c:pt idx="16">
                  <c:v>FlatSeamer FS</c:v>
                </c:pt>
                <c:pt idx="17">
                  <c:v>Kansai</c:v>
                </c:pt>
                <c:pt idx="18">
                  <c:v>Chain stitch</c:v>
                </c:pt>
                <c:pt idx="19">
                  <c:v>Heat Seal</c:v>
                </c:pt>
                <c:pt idx="20">
                  <c:v>Snap button</c:v>
                </c:pt>
                <c:pt idx="21">
                  <c:v>Button Hole</c:v>
                </c:pt>
                <c:pt idx="22">
                  <c:v>Button Attach</c:v>
                </c:pt>
                <c:pt idx="23">
                  <c:v>Bartack</c:v>
                </c:pt>
                <c:pt idx="24">
                  <c:v>Bartack Pattern tacker (LABEL ATTACH )</c:v>
                </c:pt>
                <c:pt idx="25">
                  <c:v>Bartack Pattern tacker</c:v>
                </c:pt>
              </c:strCache>
            </c:strRef>
          </c:cat>
          <c:val>
            <c:numRef>
              <c:f>WORKINGS!$T$12:$T$37</c:f>
              <c:numCache>
                <c:formatCode>0.0%</c:formatCode>
                <c:ptCount val="26"/>
                <c:pt idx="0">
                  <c:v>0.82162162162162167</c:v>
                </c:pt>
                <c:pt idx="1">
                  <c:v>0.125</c:v>
                </c:pt>
                <c:pt idx="2">
                  <c:v>0</c:v>
                </c:pt>
                <c:pt idx="3">
                  <c:v>0.5</c:v>
                </c:pt>
                <c:pt idx="4">
                  <c:v>1.043010752688172</c:v>
                </c:pt>
                <c:pt idx="5">
                  <c:v>1.0333333333333334</c:v>
                </c:pt>
                <c:pt idx="6">
                  <c:v>0</c:v>
                </c:pt>
                <c:pt idx="7">
                  <c:v>1.2413793103448276</c:v>
                </c:pt>
                <c:pt idx="8">
                  <c:v>0.66176470588235292</c:v>
                </c:pt>
                <c:pt idx="9">
                  <c:v>0.30769230769230771</c:v>
                </c:pt>
                <c:pt idx="10">
                  <c:v>1.1756756756756757</c:v>
                </c:pt>
                <c:pt idx="11">
                  <c:v>2.8333333333333335</c:v>
                </c:pt>
                <c:pt idx="12">
                  <c:v>0.87037037037037035</c:v>
                </c:pt>
                <c:pt idx="13">
                  <c:v>0.61904761904761907</c:v>
                </c:pt>
                <c:pt idx="14">
                  <c:v>0.8214285714285714</c:v>
                </c:pt>
                <c:pt idx="15">
                  <c:v>0.68965517241379315</c:v>
                </c:pt>
                <c:pt idx="16">
                  <c:v>0</c:v>
                </c:pt>
                <c:pt idx="17">
                  <c:v>0.375</c:v>
                </c:pt>
                <c:pt idx="18">
                  <c:v>0</c:v>
                </c:pt>
                <c:pt idx="19">
                  <c:v>0.88571428571428568</c:v>
                </c:pt>
                <c:pt idx="20">
                  <c:v>1</c:v>
                </c:pt>
                <c:pt idx="21">
                  <c:v>0.66666666666666663</c:v>
                </c:pt>
                <c:pt idx="22">
                  <c:v>0</c:v>
                </c:pt>
                <c:pt idx="23">
                  <c:v>0.34615384615384615</c:v>
                </c:pt>
                <c:pt idx="24">
                  <c:v>0</c:v>
                </c:pt>
                <c:pt idx="25">
                  <c:v>0.82857142857142863</c:v>
                </c:pt>
              </c:numCache>
            </c:numRef>
          </c:val>
          <c:extLst>
            <c:ext xmlns:c16="http://schemas.microsoft.com/office/drawing/2014/chart" uri="{C3380CC4-5D6E-409C-BE32-E72D297353CC}">
              <c16:uniqueId val="{00000000-F84C-4490-8915-160C72139DCE}"/>
            </c:ext>
          </c:extLst>
        </c:ser>
        <c:dLbls>
          <c:showLegendKey val="0"/>
          <c:showVal val="0"/>
          <c:showCatName val="0"/>
          <c:showSerName val="0"/>
          <c:showPercent val="0"/>
          <c:showBubbleSize val="0"/>
        </c:dLbls>
        <c:gapWidth val="219"/>
        <c:overlap val="-27"/>
        <c:axId val="1795340768"/>
        <c:axId val="1440756144"/>
      </c:barChart>
      <c:catAx>
        <c:axId val="179534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756144"/>
        <c:crosses val="autoZero"/>
        <c:auto val="1"/>
        <c:lblAlgn val="ctr"/>
        <c:lblOffset val="100"/>
        <c:noMultiLvlLbl val="0"/>
      </c:catAx>
      <c:valAx>
        <c:axId val="14407561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34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Peak machine demand by week vs. installed capacity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'DEMAND BY DATE'!$BN$8</c:f>
              <c:strCache>
                <c:ptCount val="1"/>
                <c:pt idx="0">
                  <c:v>Peak machines</c:v>
                </c:pt>
              </c:strCache>
            </c:strRef>
          </c:tx>
          <c:spPr>
            <a:solidFill>
              <a:srgbClr val="C00000"/>
            </a:solidFill>
            <a:ln>
              <a:noFill/>
            </a:ln>
            <a:effectLst/>
          </c:spPr>
          <c:invertIfNegative val="0"/>
          <c:cat>
            <c:strRef>
              <c:f>'DEMAND BY DATE'!$BM$9:$BM$23</c:f>
              <c:strCache>
                <c:ptCount val="15"/>
                <c:pt idx="0">
                  <c:v>1-Aug</c:v>
                </c:pt>
                <c:pt idx="1">
                  <c:v>8-Aug</c:v>
                </c:pt>
                <c:pt idx="2">
                  <c:v>15-Aug</c:v>
                </c:pt>
                <c:pt idx="3">
                  <c:v>22-Aug</c:v>
                </c:pt>
                <c:pt idx="4">
                  <c:v>29-Aug</c:v>
                </c:pt>
                <c:pt idx="5">
                  <c:v>5-Sep</c:v>
                </c:pt>
                <c:pt idx="6">
                  <c:v>12-Sep</c:v>
                </c:pt>
                <c:pt idx="7">
                  <c:v>19-Sep</c:v>
                </c:pt>
                <c:pt idx="8">
                  <c:v>26-Sep</c:v>
                </c:pt>
                <c:pt idx="9">
                  <c:v>3-Oct</c:v>
                </c:pt>
                <c:pt idx="10">
                  <c:v>10-Oct</c:v>
                </c:pt>
                <c:pt idx="11">
                  <c:v>17-Oct</c:v>
                </c:pt>
                <c:pt idx="12">
                  <c:v>24-Oct</c:v>
                </c:pt>
                <c:pt idx="13">
                  <c:v>31-Oct</c:v>
                </c:pt>
                <c:pt idx="14">
                  <c:v>7-Nov</c:v>
                </c:pt>
              </c:strCache>
            </c:strRef>
          </c:cat>
          <c:val>
            <c:numRef>
              <c:f>'DEMAND BY DATE'!$BN$9:$BN$23</c:f>
              <c:numCache>
                <c:formatCode>#,##0.0;\(#,##0.0\);\-</c:formatCode>
                <c:ptCount val="15"/>
                <c:pt idx="0">
                  <c:v>808</c:v>
                </c:pt>
                <c:pt idx="1">
                  <c:v>808</c:v>
                </c:pt>
                <c:pt idx="2">
                  <c:v>801</c:v>
                </c:pt>
                <c:pt idx="3">
                  <c:v>801</c:v>
                </c:pt>
                <c:pt idx="4">
                  <c:v>801</c:v>
                </c:pt>
                <c:pt idx="5">
                  <c:v>801</c:v>
                </c:pt>
                <c:pt idx="6">
                  <c:v>792</c:v>
                </c:pt>
                <c:pt idx="7">
                  <c:v>760.5</c:v>
                </c:pt>
                <c:pt idx="8">
                  <c:v>729</c:v>
                </c:pt>
                <c:pt idx="9">
                  <c:v>650</c:v>
                </c:pt>
                <c:pt idx="10">
                  <c:v>407</c:v>
                </c:pt>
                <c:pt idx="11">
                  <c:v>163</c:v>
                </c:pt>
                <c:pt idx="12">
                  <c:v>0</c:v>
                </c:pt>
                <c:pt idx="13">
                  <c:v>0</c:v>
                </c:pt>
                <c:pt idx="14">
                  <c:v>0</c:v>
                </c:pt>
              </c:numCache>
            </c:numRef>
          </c:val>
          <c:extLst>
            <c:ext xmlns:c16="http://schemas.microsoft.com/office/drawing/2014/chart" uri="{C3380CC4-5D6E-409C-BE32-E72D297353CC}">
              <c16:uniqueId val="{00000000-B559-4435-9FFE-1F6F5DD845A2}"/>
            </c:ext>
          </c:extLst>
        </c:ser>
        <c:dLbls>
          <c:showLegendKey val="0"/>
          <c:showVal val="0"/>
          <c:showCatName val="0"/>
          <c:showSerName val="0"/>
          <c:showPercent val="0"/>
          <c:showBubbleSize val="0"/>
        </c:dLbls>
        <c:gapWidth val="219"/>
        <c:overlap val="-27"/>
        <c:axId val="1990215392"/>
        <c:axId val="1440799824"/>
      </c:barChart>
      <c:lineChart>
        <c:grouping val="standard"/>
        <c:varyColors val="0"/>
        <c:ser>
          <c:idx val="1"/>
          <c:order val="1"/>
          <c:tx>
            <c:strRef>
              <c:f>'DEMAND BY DATE'!$BO$8</c:f>
              <c:strCache>
                <c:ptCount val="1"/>
                <c:pt idx="0">
                  <c:v>Installed</c:v>
                </c:pt>
              </c:strCache>
            </c:strRef>
          </c:tx>
          <c:spPr>
            <a:ln w="28575" cap="rnd">
              <a:solidFill>
                <a:srgbClr val="1F3864"/>
              </a:solidFill>
              <a:prstDash val="solid"/>
              <a:round/>
            </a:ln>
            <a:effectLst/>
          </c:spPr>
          <c:marker>
            <c:symbol val="none"/>
          </c:marker>
          <c:cat>
            <c:strRef>
              <c:f>'DEMAND BY DATE'!$BM$9:$BM$23</c:f>
              <c:strCache>
                <c:ptCount val="15"/>
                <c:pt idx="0">
                  <c:v>1-Aug</c:v>
                </c:pt>
                <c:pt idx="1">
                  <c:v>8-Aug</c:v>
                </c:pt>
                <c:pt idx="2">
                  <c:v>15-Aug</c:v>
                </c:pt>
                <c:pt idx="3">
                  <c:v>22-Aug</c:v>
                </c:pt>
                <c:pt idx="4">
                  <c:v>29-Aug</c:v>
                </c:pt>
                <c:pt idx="5">
                  <c:v>5-Sep</c:v>
                </c:pt>
                <c:pt idx="6">
                  <c:v>12-Sep</c:v>
                </c:pt>
                <c:pt idx="7">
                  <c:v>19-Sep</c:v>
                </c:pt>
                <c:pt idx="8">
                  <c:v>26-Sep</c:v>
                </c:pt>
                <c:pt idx="9">
                  <c:v>3-Oct</c:v>
                </c:pt>
                <c:pt idx="10">
                  <c:v>10-Oct</c:v>
                </c:pt>
                <c:pt idx="11">
                  <c:v>17-Oct</c:v>
                </c:pt>
                <c:pt idx="12">
                  <c:v>24-Oct</c:v>
                </c:pt>
                <c:pt idx="13">
                  <c:v>31-Oct</c:v>
                </c:pt>
                <c:pt idx="14">
                  <c:v>7-Nov</c:v>
                </c:pt>
              </c:strCache>
            </c:strRef>
          </c:cat>
          <c:val>
            <c:numRef>
              <c:f>'DEMAND BY DATE'!$BO$9:$BO$23</c:f>
              <c:numCache>
                <c:formatCode>#,##0</c:formatCode>
                <c:ptCount val="15"/>
                <c:pt idx="0">
                  <c:v>920</c:v>
                </c:pt>
                <c:pt idx="1">
                  <c:v>920</c:v>
                </c:pt>
                <c:pt idx="2">
                  <c:v>920</c:v>
                </c:pt>
                <c:pt idx="3">
                  <c:v>920</c:v>
                </c:pt>
                <c:pt idx="4">
                  <c:v>920</c:v>
                </c:pt>
                <c:pt idx="5">
                  <c:v>920</c:v>
                </c:pt>
                <c:pt idx="6">
                  <c:v>920</c:v>
                </c:pt>
                <c:pt idx="7">
                  <c:v>920</c:v>
                </c:pt>
                <c:pt idx="8">
                  <c:v>920</c:v>
                </c:pt>
                <c:pt idx="9">
                  <c:v>920</c:v>
                </c:pt>
                <c:pt idx="10">
                  <c:v>920</c:v>
                </c:pt>
                <c:pt idx="11">
                  <c:v>920</c:v>
                </c:pt>
                <c:pt idx="12">
                  <c:v>920</c:v>
                </c:pt>
                <c:pt idx="13">
                  <c:v>920</c:v>
                </c:pt>
                <c:pt idx="14">
                  <c:v>920</c:v>
                </c:pt>
              </c:numCache>
            </c:numRef>
          </c:val>
          <c:smooth val="0"/>
          <c:extLst>
            <c:ext xmlns:c16="http://schemas.microsoft.com/office/drawing/2014/chart" uri="{C3380CC4-5D6E-409C-BE32-E72D297353CC}">
              <c16:uniqueId val="{00000001-B559-4435-9FFE-1F6F5DD845A2}"/>
            </c:ext>
          </c:extLst>
        </c:ser>
        <c:dLbls>
          <c:showLegendKey val="0"/>
          <c:showVal val="0"/>
          <c:showCatName val="0"/>
          <c:showSerName val="0"/>
          <c:showPercent val="0"/>
          <c:showBubbleSize val="0"/>
        </c:dLbls>
        <c:marker val="1"/>
        <c:smooth val="0"/>
        <c:axId val="1990215392"/>
        <c:axId val="1440799824"/>
      </c:lineChart>
      <c:catAx>
        <c:axId val="199021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799824"/>
        <c:crosses val="autoZero"/>
        <c:auto val="1"/>
        <c:lblAlgn val="ctr"/>
        <c:lblOffset val="100"/>
        <c:noMultiLvlLbl val="0"/>
      </c:catAx>
      <c:valAx>
        <c:axId val="144079982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215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19</xdr:col>
      <xdr:colOff>258289</xdr:colOff>
      <xdr:row>56</xdr:row>
      <xdr:rowOff>0</xdr:rowOff>
    </xdr:from>
    <xdr:to>
      <xdr:col>30</xdr:col>
      <xdr:colOff>258288</xdr:colOff>
      <xdr:row>78</xdr:row>
      <xdr:rowOff>0</xdr:rowOff>
    </xdr:to>
    <xdr:graphicFrame macro="">
      <xdr:nvGraphicFramePr>
        <xdr:cNvPr id="4" name="LineLoad">
          <a:extLst>
            <a:ext uri="{FF2B5EF4-FFF2-40B4-BE49-F238E27FC236}">
              <a16:creationId xmlns:a16="http://schemas.microsoft.com/office/drawing/2014/main" id="{FA941C7E-C788-06BB-D066-5C9DD46A2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279400</xdr:colOff>
      <xdr:row>3</xdr:row>
      <xdr:rowOff>187325</xdr:rowOff>
    </xdr:from>
    <xdr:to>
      <xdr:col>37</xdr:col>
      <xdr:colOff>228600</xdr:colOff>
      <xdr:row>28</xdr:row>
      <xdr:rowOff>0</xdr:rowOff>
    </xdr:to>
    <xdr:graphicFrame macro="">
      <xdr:nvGraphicFramePr>
        <xdr:cNvPr id="3" name="DemandCurve">
          <a:extLst>
            <a:ext uri="{FF2B5EF4-FFF2-40B4-BE49-F238E27FC236}">
              <a16:creationId xmlns:a16="http://schemas.microsoft.com/office/drawing/2014/main" id="{6B4A8DED-EABD-C141-A4E8-5D76B6E64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448159</xdr:colOff>
      <xdr:row>8</xdr:row>
      <xdr:rowOff>226017</xdr:rowOff>
    </xdr:from>
    <xdr:to>
      <xdr:col>33</xdr:col>
      <xdr:colOff>448159</xdr:colOff>
      <xdr:row>34</xdr:row>
      <xdr:rowOff>129152</xdr:rowOff>
    </xdr:to>
    <xdr:graphicFrame macro="">
      <xdr:nvGraphicFramePr>
        <xdr:cNvPr id="7" name="UtilisationByGroup">
          <a:extLst>
            <a:ext uri="{FF2B5EF4-FFF2-40B4-BE49-F238E27FC236}">
              <a16:creationId xmlns:a16="http://schemas.microsoft.com/office/drawing/2014/main" id="{B3F34DC5-DA90-BF21-33D3-9FB002B9F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54</xdr:col>
      <xdr:colOff>609599</xdr:colOff>
      <xdr:row>60</xdr:row>
      <xdr:rowOff>190499</xdr:rowOff>
    </xdr:from>
    <xdr:to>
      <xdr:col>62</xdr:col>
      <xdr:colOff>609599</xdr:colOff>
      <xdr:row>83</xdr:row>
      <xdr:rowOff>190499</xdr:rowOff>
    </xdr:to>
    <xdr:graphicFrame macro="">
      <xdr:nvGraphicFramePr>
        <xdr:cNvPr id="2" name="WeeklyPeak">
          <a:extLst>
            <a:ext uri="{FF2B5EF4-FFF2-40B4-BE49-F238E27FC236}">
              <a16:creationId xmlns:a16="http://schemas.microsoft.com/office/drawing/2014/main" id="{5ED36BEC-C8F5-4730-1B7B-C62627574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ECE3B-A849-4616-90DE-944022CFE1D8}">
  <sheetPr>
    <tabColor rgb="FF548235"/>
  </sheetPr>
  <dimension ref="A1:C217"/>
  <sheetViews>
    <sheetView workbookViewId="0">
      <selection activeCell="C30" sqref="C30"/>
    </sheetView>
    <sheetView topLeftCell="A94" workbookViewId="1"/>
  </sheetViews>
  <sheetFormatPr defaultRowHeight="15"/>
  <cols>
    <col min="1" max="1" width="3.85546875" style="2" customWidth="1"/>
    <col min="2" max="2" width="32.42578125" style="2" customWidth="1"/>
    <col min="3" max="3" width="144.7109375" style="2" customWidth="1"/>
    <col min="4" max="16384" width="9.140625" style="2"/>
  </cols>
  <sheetData>
    <row r="1" spans="1:3">
      <c r="A1" s="559"/>
      <c r="B1" s="559"/>
      <c r="C1" s="560"/>
    </row>
    <row r="2" spans="1:3" ht="21">
      <c r="A2" s="559"/>
      <c r="B2" s="561" t="s">
        <v>236</v>
      </c>
      <c r="C2" s="562"/>
    </row>
    <row r="3" spans="1:3" ht="45">
      <c r="A3" s="559"/>
      <c r="B3" s="562"/>
      <c r="C3" s="563" t="s">
        <v>498</v>
      </c>
    </row>
    <row r="4" spans="1:3">
      <c r="A4" s="559"/>
      <c r="B4" s="562"/>
      <c r="C4" s="564"/>
    </row>
    <row r="5" spans="1:3" ht="15.75">
      <c r="A5" s="559"/>
      <c r="B5" s="565" t="s">
        <v>377</v>
      </c>
      <c r="C5" s="566"/>
    </row>
    <row r="6" spans="1:3" ht="30">
      <c r="A6" s="559"/>
      <c r="B6" s="567" t="s">
        <v>499</v>
      </c>
      <c r="C6" s="564" t="s">
        <v>500</v>
      </c>
    </row>
    <row r="7" spans="1:3" ht="30">
      <c r="A7" s="559"/>
      <c r="B7" s="567" t="s">
        <v>501</v>
      </c>
      <c r="C7" s="564" t="s">
        <v>502</v>
      </c>
    </row>
    <row r="8" spans="1:3">
      <c r="A8" s="559"/>
      <c r="B8" s="567" t="s">
        <v>503</v>
      </c>
      <c r="C8" s="564" t="s">
        <v>504</v>
      </c>
    </row>
    <row r="9" spans="1:3" ht="30">
      <c r="A9" s="559"/>
      <c r="B9" s="567" t="s">
        <v>505</v>
      </c>
      <c r="C9" s="564" t="s">
        <v>506</v>
      </c>
    </row>
    <row r="10" spans="1:3">
      <c r="A10" s="559"/>
      <c r="B10" s="567" t="s">
        <v>507</v>
      </c>
      <c r="C10" s="564" t="s">
        <v>508</v>
      </c>
    </row>
    <row r="11" spans="1:3">
      <c r="A11" s="559"/>
      <c r="B11" s="567"/>
      <c r="C11" s="564"/>
    </row>
    <row r="12" spans="1:3" ht="15.75">
      <c r="A12" s="559"/>
      <c r="B12" s="568" t="s">
        <v>378</v>
      </c>
      <c r="C12" s="566"/>
    </row>
    <row r="13" spans="1:3" ht="30">
      <c r="A13" s="559"/>
      <c r="B13" s="567" t="s">
        <v>566</v>
      </c>
      <c r="C13" s="564" t="s">
        <v>567</v>
      </c>
    </row>
    <row r="14" spans="1:3">
      <c r="A14" s="559"/>
      <c r="B14" s="567" t="s">
        <v>568</v>
      </c>
      <c r="C14" s="564" t="s">
        <v>569</v>
      </c>
    </row>
    <row r="15" spans="1:3" ht="30">
      <c r="A15" s="559"/>
      <c r="B15" s="567" t="s">
        <v>570</v>
      </c>
      <c r="C15" s="564" t="s">
        <v>509</v>
      </c>
    </row>
    <row r="16" spans="1:3">
      <c r="A16" s="559"/>
      <c r="B16" s="567" t="s">
        <v>571</v>
      </c>
      <c r="C16" s="564" t="s">
        <v>510</v>
      </c>
    </row>
    <row r="17" spans="1:3">
      <c r="A17" s="559"/>
      <c r="B17" s="567" t="s">
        <v>572</v>
      </c>
      <c r="C17" s="564" t="s">
        <v>573</v>
      </c>
    </row>
    <row r="18" spans="1:3">
      <c r="A18" s="559"/>
      <c r="B18" s="567" t="s">
        <v>511</v>
      </c>
      <c r="C18" s="564" t="s">
        <v>574</v>
      </c>
    </row>
    <row r="19" spans="1:3">
      <c r="A19" s="559"/>
      <c r="B19" s="567" t="s">
        <v>512</v>
      </c>
      <c r="C19" s="564" t="s">
        <v>513</v>
      </c>
    </row>
    <row r="20" spans="1:3">
      <c r="A20" s="559"/>
      <c r="B20" s="567" t="s">
        <v>575</v>
      </c>
      <c r="C20" s="569" t="s">
        <v>576</v>
      </c>
    </row>
    <row r="21" spans="1:3">
      <c r="A21" s="559"/>
      <c r="B21" s="567" t="s">
        <v>577</v>
      </c>
      <c r="C21" s="564" t="s">
        <v>578</v>
      </c>
    </row>
    <row r="22" spans="1:3" ht="15.75">
      <c r="A22" s="559"/>
      <c r="B22" s="568" t="s">
        <v>579</v>
      </c>
      <c r="C22" s="566" t="s">
        <v>580</v>
      </c>
    </row>
    <row r="23" spans="1:3" ht="45">
      <c r="A23" s="559"/>
      <c r="B23" s="711" t="s">
        <v>581</v>
      </c>
      <c r="C23" s="569" t="s">
        <v>582</v>
      </c>
    </row>
    <row r="24" spans="1:3" ht="30">
      <c r="A24" s="559"/>
      <c r="B24" s="711" t="s">
        <v>583</v>
      </c>
      <c r="C24" s="569" t="s">
        <v>584</v>
      </c>
    </row>
    <row r="25" spans="1:3">
      <c r="A25" s="559"/>
      <c r="B25" s="567"/>
      <c r="C25" s="564"/>
    </row>
    <row r="26" spans="1:3" ht="15.75">
      <c r="A26" s="559"/>
      <c r="B26" s="568" t="s">
        <v>514</v>
      </c>
      <c r="C26" s="566"/>
    </row>
    <row r="27" spans="1:3" ht="30">
      <c r="A27" s="559"/>
      <c r="B27" s="567" t="s">
        <v>237</v>
      </c>
      <c r="C27" s="564" t="s">
        <v>515</v>
      </c>
    </row>
    <row r="28" spans="1:3" ht="30">
      <c r="A28" s="559"/>
      <c r="B28" s="567" t="s">
        <v>238</v>
      </c>
      <c r="C28" s="564" t="s">
        <v>516</v>
      </c>
    </row>
    <row r="29" spans="1:3" ht="30">
      <c r="A29" s="559"/>
      <c r="B29" s="567" t="s">
        <v>517</v>
      </c>
      <c r="C29" s="564" t="s">
        <v>518</v>
      </c>
    </row>
    <row r="30" spans="1:3">
      <c r="A30" s="559"/>
      <c r="B30" s="567"/>
      <c r="C30" s="564"/>
    </row>
    <row r="31" spans="1:3" ht="15.75">
      <c r="A31" s="559"/>
      <c r="B31" s="568" t="s">
        <v>519</v>
      </c>
      <c r="C31" s="566"/>
    </row>
    <row r="32" spans="1:3" ht="30">
      <c r="A32" s="559"/>
      <c r="B32" s="567" t="s">
        <v>239</v>
      </c>
      <c r="C32" s="564" t="s">
        <v>520</v>
      </c>
    </row>
    <row r="33" spans="1:3" ht="30">
      <c r="A33" s="559"/>
      <c r="B33" s="567" t="s">
        <v>521</v>
      </c>
      <c r="C33" s="564" t="s">
        <v>522</v>
      </c>
    </row>
    <row r="34" spans="1:3" ht="45">
      <c r="A34" s="559"/>
      <c r="B34" s="567" t="s">
        <v>523</v>
      </c>
      <c r="C34" s="570" t="s">
        <v>524</v>
      </c>
    </row>
    <row r="35" spans="1:3" ht="30">
      <c r="A35" s="559"/>
      <c r="B35" s="567" t="s">
        <v>525</v>
      </c>
      <c r="C35" s="564" t="s">
        <v>526</v>
      </c>
    </row>
    <row r="36" spans="1:3">
      <c r="A36" s="559"/>
      <c r="B36" s="567" t="s">
        <v>527</v>
      </c>
      <c r="C36" s="564" t="s">
        <v>528</v>
      </c>
    </row>
    <row r="37" spans="1:3" ht="30">
      <c r="A37" s="559"/>
      <c r="B37" s="567" t="s">
        <v>529</v>
      </c>
      <c r="C37" s="570" t="s">
        <v>530</v>
      </c>
    </row>
    <row r="38" spans="1:3">
      <c r="A38" s="559"/>
      <c r="B38" s="567"/>
      <c r="C38" s="564"/>
    </row>
    <row r="39" spans="1:3" ht="15.75">
      <c r="A39" s="559"/>
      <c r="B39" s="568" t="s">
        <v>531</v>
      </c>
      <c r="C39" s="566"/>
    </row>
    <row r="40" spans="1:3" ht="30">
      <c r="A40" s="559"/>
      <c r="B40" s="567" t="s">
        <v>305</v>
      </c>
      <c r="C40" s="564" t="s">
        <v>532</v>
      </c>
    </row>
    <row r="41" spans="1:3" ht="45">
      <c r="A41" s="559"/>
      <c r="B41" s="567" t="s">
        <v>533</v>
      </c>
      <c r="C41" s="570" t="s">
        <v>534</v>
      </c>
    </row>
    <row r="42" spans="1:3" ht="45">
      <c r="A42" s="559"/>
      <c r="B42" s="567" t="s">
        <v>240</v>
      </c>
      <c r="C42" s="564" t="s">
        <v>535</v>
      </c>
    </row>
    <row r="43" spans="1:3" ht="30">
      <c r="A43" s="559"/>
      <c r="B43" s="567" t="s">
        <v>241</v>
      </c>
      <c r="C43" s="564" t="s">
        <v>536</v>
      </c>
    </row>
    <row r="44" spans="1:3" ht="60">
      <c r="A44" s="559"/>
      <c r="B44" s="567" t="s">
        <v>537</v>
      </c>
      <c r="C44" s="570" t="s">
        <v>585</v>
      </c>
    </row>
    <row r="45" spans="1:3">
      <c r="A45" s="559"/>
      <c r="B45" s="567"/>
      <c r="C45" s="564"/>
    </row>
    <row r="46" spans="1:3" ht="15.75">
      <c r="A46" s="559"/>
      <c r="B46" s="568" t="s">
        <v>538</v>
      </c>
      <c r="C46" s="566"/>
    </row>
    <row r="47" spans="1:3" ht="30">
      <c r="A47" s="559"/>
      <c r="B47" s="567" t="s">
        <v>586</v>
      </c>
      <c r="C47" s="564" t="s">
        <v>539</v>
      </c>
    </row>
    <row r="48" spans="1:3" ht="30">
      <c r="A48" s="559"/>
      <c r="B48" s="567" t="s">
        <v>540</v>
      </c>
      <c r="C48" s="564" t="s">
        <v>541</v>
      </c>
    </row>
    <row r="49" spans="1:3">
      <c r="A49" s="559"/>
      <c r="B49" s="567" t="s">
        <v>511</v>
      </c>
      <c r="C49" s="564" t="s">
        <v>542</v>
      </c>
    </row>
    <row r="50" spans="1:3">
      <c r="A50" s="559"/>
      <c r="B50" s="567" t="s">
        <v>543</v>
      </c>
      <c r="C50" s="564" t="s">
        <v>544</v>
      </c>
    </row>
    <row r="51" spans="1:3">
      <c r="A51" s="559"/>
      <c r="B51" s="567" t="s">
        <v>545</v>
      </c>
      <c r="C51" s="564" t="s">
        <v>546</v>
      </c>
    </row>
    <row r="52" spans="1:3">
      <c r="A52" s="559"/>
      <c r="B52" s="567"/>
      <c r="C52" s="564"/>
    </row>
    <row r="53" spans="1:3" ht="15.75">
      <c r="A53" s="559"/>
      <c r="B53" s="568" t="s">
        <v>547</v>
      </c>
      <c r="C53" s="566"/>
    </row>
    <row r="54" spans="1:3">
      <c r="A54" s="559"/>
      <c r="B54" s="567" t="s">
        <v>242</v>
      </c>
      <c r="C54" s="564" t="s">
        <v>548</v>
      </c>
    </row>
    <row r="55" spans="1:3">
      <c r="A55" s="559"/>
      <c r="B55" s="567" t="s">
        <v>243</v>
      </c>
      <c r="C55" s="564" t="s">
        <v>549</v>
      </c>
    </row>
    <row r="56" spans="1:3">
      <c r="A56" s="559"/>
      <c r="B56" s="567" t="s">
        <v>258</v>
      </c>
      <c r="C56" s="564" t="s">
        <v>550</v>
      </c>
    </row>
    <row r="57" spans="1:3">
      <c r="A57" s="559"/>
      <c r="B57" s="567" t="s">
        <v>551</v>
      </c>
      <c r="C57" s="564" t="s">
        <v>552</v>
      </c>
    </row>
    <row r="58" spans="1:3">
      <c r="A58" s="559"/>
      <c r="B58" s="567" t="s">
        <v>553</v>
      </c>
      <c r="C58" s="564" t="s">
        <v>554</v>
      </c>
    </row>
    <row r="59" spans="1:3">
      <c r="A59" s="559"/>
      <c r="B59" s="567"/>
      <c r="C59" s="564"/>
    </row>
    <row r="60" spans="1:3" ht="15.75">
      <c r="A60" s="559"/>
      <c r="B60" s="571" t="s">
        <v>555</v>
      </c>
      <c r="C60" s="572"/>
    </row>
    <row r="61" spans="1:3" ht="30">
      <c r="A61" s="559"/>
      <c r="B61" s="567" t="s">
        <v>556</v>
      </c>
      <c r="C61" s="564" t="s">
        <v>557</v>
      </c>
    </row>
    <row r="62" spans="1:3" ht="30">
      <c r="A62" s="559"/>
      <c r="B62" s="567" t="s">
        <v>259</v>
      </c>
      <c r="C62" s="564" t="s">
        <v>558</v>
      </c>
    </row>
    <row r="63" spans="1:3" ht="30">
      <c r="A63" s="559"/>
      <c r="B63" s="567" t="s">
        <v>559</v>
      </c>
      <c r="C63" s="564" t="s">
        <v>560</v>
      </c>
    </row>
    <row r="64" spans="1:3" ht="30">
      <c r="A64" s="559"/>
      <c r="B64" s="567" t="s">
        <v>561</v>
      </c>
      <c r="C64" s="564" t="s">
        <v>562</v>
      </c>
    </row>
    <row r="65" spans="1:3" ht="30">
      <c r="A65" s="559"/>
      <c r="B65" s="567" t="s">
        <v>587</v>
      </c>
      <c r="C65" s="564" t="s">
        <v>588</v>
      </c>
    </row>
    <row r="66" spans="1:3">
      <c r="A66" s="559"/>
      <c r="B66" s="567"/>
      <c r="C66" s="564"/>
    </row>
    <row r="67" spans="1:3" ht="30">
      <c r="A67" s="559"/>
      <c r="B67" s="567" t="s">
        <v>563</v>
      </c>
      <c r="C67" s="573" t="s">
        <v>589</v>
      </c>
    </row>
    <row r="68" spans="1:3">
      <c r="A68" s="559"/>
    </row>
    <row r="69" spans="1:3">
      <c r="A69" s="559"/>
    </row>
    <row r="70" spans="1:3">
      <c r="A70" s="559"/>
    </row>
    <row r="71" spans="1:3">
      <c r="A71" s="559"/>
    </row>
    <row r="72" spans="1:3">
      <c r="A72" s="559"/>
    </row>
    <row r="73" spans="1:3">
      <c r="A73" s="559"/>
    </row>
    <row r="74" spans="1:3">
      <c r="A74" s="559"/>
    </row>
    <row r="75" spans="1:3">
      <c r="A75" s="559"/>
    </row>
    <row r="76" spans="1:3">
      <c r="A76" s="559"/>
    </row>
    <row r="77" spans="1:3">
      <c r="A77" s="559"/>
    </row>
    <row r="78" spans="1:3">
      <c r="A78" s="559"/>
    </row>
    <row r="79" spans="1:3">
      <c r="A79" s="559"/>
    </row>
    <row r="80" spans="1:3">
      <c r="A80" s="559"/>
    </row>
    <row r="81" spans="1:1">
      <c r="A81" s="559"/>
    </row>
    <row r="82" spans="1:1">
      <c r="A82" s="559"/>
    </row>
    <row r="83" spans="1:1">
      <c r="A83" s="559"/>
    </row>
    <row r="84" spans="1:1">
      <c r="A84" s="559"/>
    </row>
    <row r="85" spans="1:1">
      <c r="A85" s="559"/>
    </row>
    <row r="86" spans="1:1">
      <c r="A86" s="559"/>
    </row>
    <row r="87" spans="1:1">
      <c r="A87" s="559"/>
    </row>
    <row r="88" spans="1:1">
      <c r="A88" s="559"/>
    </row>
    <row r="89" spans="1:1">
      <c r="A89" s="559"/>
    </row>
    <row r="90" spans="1:1">
      <c r="A90" s="559"/>
    </row>
    <row r="91" spans="1:1">
      <c r="A91" s="559"/>
    </row>
    <row r="92" spans="1:1">
      <c r="A92" s="559"/>
    </row>
    <row r="93" spans="1:1">
      <c r="A93" s="559"/>
    </row>
    <row r="94" spans="1:1">
      <c r="A94" s="559"/>
    </row>
    <row r="95" spans="1:1">
      <c r="A95" s="559"/>
    </row>
    <row r="96" spans="1:1">
      <c r="A96" s="559"/>
    </row>
    <row r="97" spans="1:1">
      <c r="A97" s="559"/>
    </row>
    <row r="98" spans="1:1">
      <c r="A98" s="559"/>
    </row>
    <row r="99" spans="1:1">
      <c r="A99" s="559"/>
    </row>
    <row r="100" spans="1:1">
      <c r="A100" s="559"/>
    </row>
    <row r="101" spans="1:1">
      <c r="A101" s="559"/>
    </row>
    <row r="102" spans="1:1">
      <c r="A102" s="559"/>
    </row>
    <row r="103" spans="1:1">
      <c r="A103" s="559"/>
    </row>
    <row r="104" spans="1:1">
      <c r="A104" s="559"/>
    </row>
    <row r="105" spans="1:1">
      <c r="A105" s="559"/>
    </row>
    <row r="106" spans="1:1">
      <c r="A106" s="559"/>
    </row>
    <row r="107" spans="1:1">
      <c r="A107" s="559"/>
    </row>
    <row r="108" spans="1:1">
      <c r="A108" s="559"/>
    </row>
    <row r="109" spans="1:1">
      <c r="A109" s="559"/>
    </row>
    <row r="110" spans="1:1">
      <c r="A110" s="559"/>
    </row>
    <row r="111" spans="1:1">
      <c r="A111" s="559"/>
    </row>
    <row r="112" spans="1:1">
      <c r="A112" s="559"/>
    </row>
    <row r="113" spans="1:3">
      <c r="A113" s="559"/>
    </row>
    <row r="114" spans="1:3">
      <c r="A114" s="559"/>
    </row>
    <row r="115" spans="1:3">
      <c r="A115" s="559"/>
    </row>
    <row r="116" spans="1:3">
      <c r="A116" s="559"/>
    </row>
    <row r="117" spans="1:3">
      <c r="A117" s="559"/>
      <c r="B117" s="559"/>
      <c r="C117" s="560"/>
    </row>
    <row r="118" spans="1:3">
      <c r="A118" s="559"/>
      <c r="B118" s="559"/>
      <c r="C118" s="560"/>
    </row>
    <row r="119" spans="1:3">
      <c r="A119" s="559"/>
      <c r="B119" s="559"/>
      <c r="C119" s="560"/>
    </row>
    <row r="120" spans="1:3">
      <c r="A120" s="559"/>
      <c r="B120" s="559"/>
      <c r="C120" s="560"/>
    </row>
    <row r="121" spans="1:3">
      <c r="A121" s="559"/>
      <c r="B121" s="559"/>
      <c r="C121" s="560"/>
    </row>
    <row r="122" spans="1:3">
      <c r="A122" s="559"/>
      <c r="B122" s="559"/>
      <c r="C122" s="560"/>
    </row>
    <row r="123" spans="1:3">
      <c r="A123" s="559"/>
      <c r="B123" s="559"/>
      <c r="C123" s="560"/>
    </row>
    <row r="124" spans="1:3">
      <c r="A124" s="559"/>
      <c r="B124" s="559"/>
      <c r="C124" s="560"/>
    </row>
    <row r="125" spans="1:3">
      <c r="A125" s="559"/>
      <c r="B125" s="559"/>
      <c r="C125" s="560"/>
    </row>
    <row r="126" spans="1:3">
      <c r="A126" s="559"/>
      <c r="B126" s="559"/>
      <c r="C126" s="560"/>
    </row>
    <row r="127" spans="1:3">
      <c r="A127" s="559"/>
      <c r="B127" s="559"/>
      <c r="C127" s="560"/>
    </row>
    <row r="128" spans="1:3">
      <c r="A128" s="559"/>
      <c r="B128" s="559"/>
      <c r="C128" s="560"/>
    </row>
    <row r="129" spans="1:3">
      <c r="A129" s="559"/>
      <c r="B129" s="559"/>
      <c r="C129" s="560"/>
    </row>
    <row r="130" spans="1:3">
      <c r="A130" s="559"/>
      <c r="B130" s="559"/>
      <c r="C130" s="560"/>
    </row>
    <row r="131" spans="1:3">
      <c r="A131" s="559"/>
      <c r="B131" s="559"/>
      <c r="C131" s="560"/>
    </row>
    <row r="132" spans="1:3">
      <c r="A132" s="559"/>
      <c r="B132" s="559"/>
      <c r="C132" s="560"/>
    </row>
    <row r="133" spans="1:3">
      <c r="A133" s="559"/>
      <c r="B133" s="559"/>
      <c r="C133" s="560"/>
    </row>
    <row r="134" spans="1:3">
      <c r="A134" s="559"/>
      <c r="B134" s="559"/>
      <c r="C134" s="560"/>
    </row>
    <row r="135" spans="1:3">
      <c r="A135" s="559"/>
      <c r="B135" s="559"/>
      <c r="C135" s="560"/>
    </row>
    <row r="136" spans="1:3">
      <c r="A136" s="559"/>
      <c r="B136" s="559"/>
      <c r="C136" s="560"/>
    </row>
    <row r="137" spans="1:3">
      <c r="A137" s="559"/>
      <c r="B137" s="559"/>
      <c r="C137" s="560"/>
    </row>
    <row r="138" spans="1:3">
      <c r="A138" s="559"/>
      <c r="B138" s="559"/>
      <c r="C138" s="560"/>
    </row>
    <row r="139" spans="1:3">
      <c r="A139" s="559"/>
      <c r="B139" s="559"/>
      <c r="C139" s="560"/>
    </row>
    <row r="140" spans="1:3">
      <c r="A140" s="559"/>
      <c r="B140" s="559"/>
      <c r="C140" s="560"/>
    </row>
    <row r="141" spans="1:3">
      <c r="A141" s="559"/>
      <c r="B141" s="559"/>
      <c r="C141" s="560"/>
    </row>
    <row r="142" spans="1:3">
      <c r="A142" s="559"/>
      <c r="B142" s="559"/>
      <c r="C142" s="560"/>
    </row>
    <row r="143" spans="1:3">
      <c r="A143" s="559"/>
      <c r="B143" s="559"/>
      <c r="C143" s="560"/>
    </row>
    <row r="144" spans="1:3">
      <c r="A144" s="559"/>
      <c r="B144" s="559"/>
      <c r="C144" s="560"/>
    </row>
    <row r="145" spans="1:3">
      <c r="A145" s="559"/>
      <c r="B145" s="559"/>
      <c r="C145" s="560"/>
    </row>
    <row r="146" spans="1:3">
      <c r="A146" s="559"/>
      <c r="B146" s="559"/>
      <c r="C146" s="560"/>
    </row>
    <row r="147" spans="1:3">
      <c r="A147" s="559"/>
      <c r="B147" s="559"/>
      <c r="C147" s="560"/>
    </row>
    <row r="148" spans="1:3">
      <c r="A148" s="559"/>
      <c r="B148" s="559"/>
      <c r="C148" s="560"/>
    </row>
    <row r="149" spans="1:3">
      <c r="A149" s="559"/>
      <c r="B149" s="559"/>
      <c r="C149" s="560"/>
    </row>
    <row r="150" spans="1:3">
      <c r="A150" s="559"/>
      <c r="B150" s="559"/>
      <c r="C150" s="560"/>
    </row>
    <row r="151" spans="1:3">
      <c r="A151" s="559"/>
      <c r="B151" s="559"/>
      <c r="C151" s="560"/>
    </row>
    <row r="152" spans="1:3">
      <c r="A152" s="559"/>
      <c r="B152" s="559"/>
      <c r="C152" s="560"/>
    </row>
    <row r="153" spans="1:3">
      <c r="A153" s="559"/>
      <c r="B153" s="559"/>
      <c r="C153" s="560"/>
    </row>
    <row r="154" spans="1:3">
      <c r="A154" s="559"/>
      <c r="B154" s="559"/>
      <c r="C154" s="560"/>
    </row>
    <row r="155" spans="1:3">
      <c r="A155" s="559"/>
      <c r="B155" s="559"/>
      <c r="C155" s="560"/>
    </row>
    <row r="156" spans="1:3">
      <c r="A156" s="559"/>
      <c r="B156" s="559"/>
      <c r="C156" s="560"/>
    </row>
    <row r="157" spans="1:3">
      <c r="A157" s="559"/>
      <c r="B157" s="559"/>
      <c r="C157" s="560"/>
    </row>
    <row r="158" spans="1:3">
      <c r="A158" s="559"/>
      <c r="B158" s="559"/>
      <c r="C158" s="560"/>
    </row>
    <row r="159" spans="1:3">
      <c r="A159" s="559"/>
      <c r="B159" s="559"/>
      <c r="C159" s="560"/>
    </row>
    <row r="160" spans="1:3">
      <c r="A160" s="559"/>
      <c r="B160" s="559"/>
      <c r="C160" s="560"/>
    </row>
    <row r="161" spans="1:3">
      <c r="A161" s="559"/>
      <c r="B161" s="559"/>
      <c r="C161" s="560"/>
    </row>
    <row r="162" spans="1:3">
      <c r="A162" s="559"/>
      <c r="B162" s="559"/>
      <c r="C162" s="560"/>
    </row>
    <row r="163" spans="1:3">
      <c r="A163" s="559"/>
      <c r="B163" s="559"/>
      <c r="C163" s="560"/>
    </row>
    <row r="164" spans="1:3">
      <c r="A164" s="559"/>
      <c r="B164" s="559"/>
      <c r="C164" s="560"/>
    </row>
    <row r="165" spans="1:3">
      <c r="A165" s="559"/>
      <c r="B165" s="559"/>
      <c r="C165" s="560"/>
    </row>
    <row r="166" spans="1:3">
      <c r="A166" s="559"/>
      <c r="B166" s="559"/>
      <c r="C166" s="560"/>
    </row>
    <row r="167" spans="1:3">
      <c r="A167" s="559"/>
      <c r="B167" s="559"/>
      <c r="C167" s="560"/>
    </row>
    <row r="168" spans="1:3">
      <c r="A168" s="559"/>
      <c r="B168" s="559"/>
      <c r="C168" s="560"/>
    </row>
    <row r="169" spans="1:3">
      <c r="A169" s="559"/>
      <c r="B169" s="559"/>
      <c r="C169" s="560"/>
    </row>
    <row r="170" spans="1:3">
      <c r="A170" s="559"/>
      <c r="B170" s="559"/>
      <c r="C170" s="560"/>
    </row>
    <row r="171" spans="1:3">
      <c r="A171" s="559"/>
      <c r="B171" s="559"/>
      <c r="C171" s="560"/>
    </row>
    <row r="172" spans="1:3">
      <c r="A172" s="559"/>
      <c r="B172" s="559"/>
      <c r="C172" s="560"/>
    </row>
    <row r="173" spans="1:3">
      <c r="A173" s="559"/>
      <c r="B173" s="559"/>
      <c r="C173" s="560"/>
    </row>
    <row r="174" spans="1:3">
      <c r="A174" s="559"/>
      <c r="B174" s="559"/>
      <c r="C174" s="560"/>
    </row>
    <row r="175" spans="1:3">
      <c r="A175" s="559"/>
      <c r="B175" s="559"/>
      <c r="C175" s="560"/>
    </row>
    <row r="176" spans="1:3">
      <c r="A176" s="559"/>
      <c r="B176" s="559"/>
      <c r="C176" s="560"/>
    </row>
    <row r="177" spans="1:3">
      <c r="A177" s="559"/>
      <c r="B177" s="559"/>
      <c r="C177" s="560"/>
    </row>
    <row r="178" spans="1:3">
      <c r="A178" s="559"/>
      <c r="B178" s="559"/>
      <c r="C178" s="560"/>
    </row>
    <row r="179" spans="1:3">
      <c r="A179" s="559"/>
      <c r="B179" s="559"/>
      <c r="C179" s="560"/>
    </row>
    <row r="180" spans="1:3">
      <c r="A180" s="559"/>
      <c r="B180" s="559"/>
      <c r="C180" s="560"/>
    </row>
    <row r="181" spans="1:3">
      <c r="A181" s="559"/>
      <c r="B181" s="559"/>
      <c r="C181" s="560"/>
    </row>
    <row r="182" spans="1:3">
      <c r="A182" s="559"/>
      <c r="B182" s="559"/>
      <c r="C182" s="560"/>
    </row>
    <row r="183" spans="1:3">
      <c r="A183" s="559"/>
      <c r="B183" s="559"/>
      <c r="C183" s="560"/>
    </row>
    <row r="184" spans="1:3">
      <c r="A184" s="559"/>
      <c r="B184" s="559"/>
      <c r="C184" s="560"/>
    </row>
    <row r="185" spans="1:3">
      <c r="A185" s="559"/>
      <c r="B185" s="559"/>
      <c r="C185" s="560"/>
    </row>
    <row r="186" spans="1:3">
      <c r="A186" s="559"/>
      <c r="B186" s="559"/>
      <c r="C186" s="560"/>
    </row>
    <row r="187" spans="1:3">
      <c r="A187" s="559"/>
      <c r="B187" s="559"/>
      <c r="C187" s="560"/>
    </row>
    <row r="188" spans="1:3">
      <c r="A188" s="559"/>
      <c r="B188" s="559"/>
      <c r="C188" s="560"/>
    </row>
    <row r="189" spans="1:3">
      <c r="A189" s="559"/>
      <c r="B189" s="559"/>
      <c r="C189" s="560"/>
    </row>
    <row r="190" spans="1:3">
      <c r="A190" s="559"/>
      <c r="B190" s="559"/>
      <c r="C190" s="560"/>
    </row>
    <row r="191" spans="1:3">
      <c r="A191" s="559"/>
      <c r="B191" s="559"/>
      <c r="C191" s="560"/>
    </row>
    <row r="192" spans="1:3">
      <c r="A192" s="559"/>
      <c r="B192" s="559"/>
      <c r="C192" s="560"/>
    </row>
    <row r="193" spans="1:3">
      <c r="A193" s="559"/>
      <c r="B193" s="559"/>
      <c r="C193" s="560"/>
    </row>
    <row r="194" spans="1:3">
      <c r="A194" s="559"/>
      <c r="B194" s="559"/>
      <c r="C194" s="560"/>
    </row>
    <row r="195" spans="1:3">
      <c r="A195" s="559"/>
      <c r="B195" s="559"/>
      <c r="C195" s="560"/>
    </row>
    <row r="196" spans="1:3">
      <c r="A196" s="559"/>
      <c r="B196" s="559"/>
      <c r="C196" s="560"/>
    </row>
    <row r="197" spans="1:3">
      <c r="A197" s="559"/>
      <c r="B197" s="559"/>
      <c r="C197" s="560"/>
    </row>
    <row r="198" spans="1:3">
      <c r="A198" s="559"/>
      <c r="B198" s="559"/>
      <c r="C198" s="560"/>
    </row>
    <row r="199" spans="1:3">
      <c r="A199" s="559"/>
      <c r="B199" s="559"/>
      <c r="C199" s="560"/>
    </row>
    <row r="200" spans="1:3">
      <c r="A200" s="559"/>
      <c r="B200" s="559"/>
      <c r="C200" s="560"/>
    </row>
    <row r="201" spans="1:3">
      <c r="A201" s="559"/>
      <c r="B201" s="559"/>
      <c r="C201" s="560"/>
    </row>
    <row r="202" spans="1:3">
      <c r="A202" s="559"/>
      <c r="B202" s="559"/>
      <c r="C202" s="560"/>
    </row>
    <row r="203" spans="1:3">
      <c r="A203" s="559"/>
      <c r="B203" s="559"/>
      <c r="C203" s="560"/>
    </row>
    <row r="204" spans="1:3">
      <c r="A204" s="559"/>
      <c r="B204" s="559"/>
      <c r="C204" s="560"/>
    </row>
    <row r="205" spans="1:3">
      <c r="A205" s="559"/>
      <c r="B205" s="559"/>
      <c r="C205" s="560"/>
    </row>
    <row r="206" spans="1:3">
      <c r="A206" s="559"/>
      <c r="B206" s="559"/>
      <c r="C206" s="560"/>
    </row>
    <row r="207" spans="1:3">
      <c r="A207" s="559"/>
      <c r="B207" s="559"/>
      <c r="C207" s="560"/>
    </row>
    <row r="208" spans="1:3">
      <c r="A208" s="559"/>
      <c r="B208" s="559"/>
      <c r="C208" s="560"/>
    </row>
    <row r="209" spans="1:3">
      <c r="A209" s="559"/>
      <c r="B209" s="559"/>
      <c r="C209" s="560"/>
    </row>
    <row r="210" spans="1:3">
      <c r="A210" s="559"/>
      <c r="B210" s="559"/>
      <c r="C210" s="560"/>
    </row>
    <row r="211" spans="1:3">
      <c r="A211" s="559"/>
      <c r="B211" s="559"/>
      <c r="C211" s="560"/>
    </row>
    <row r="212" spans="1:3">
      <c r="A212" s="559"/>
      <c r="B212" s="559"/>
      <c r="C212" s="560"/>
    </row>
    <row r="213" spans="1:3">
      <c r="A213" s="559"/>
      <c r="B213" s="559"/>
      <c r="C213" s="560"/>
    </row>
    <row r="214" spans="1:3">
      <c r="A214" s="559"/>
      <c r="B214" s="559"/>
      <c r="C214" s="560"/>
    </row>
    <row r="215" spans="1:3">
      <c r="A215" s="559"/>
      <c r="B215" s="559"/>
      <c r="C215" s="560"/>
    </row>
    <row r="216" spans="1:3">
      <c r="A216" s="559"/>
      <c r="B216" s="559"/>
      <c r="C216" s="560"/>
    </row>
    <row r="217" spans="1:3">
      <c r="A217" s="559"/>
      <c r="B217" s="559"/>
      <c r="C217" s="560"/>
    </row>
  </sheetData>
  <sheetProtection sheet="1" objects="1" scenarios="1" formatCells="0" formatColumns="0" formatRow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8FA62-236B-4375-B7F5-A4DF90139627}">
  <sheetPr>
    <tabColor rgb="FFC00000"/>
  </sheetPr>
  <dimension ref="B1:BO75"/>
  <sheetViews>
    <sheetView showGridLines="0" zoomScaleNormal="100" workbookViewId="0">
      <selection activeCell="D4" sqref="D4"/>
    </sheetView>
    <sheetView showGridLines="0" tabSelected="1" zoomScale="114" workbookViewId="1">
      <selection activeCell="CE20" sqref="CE20"/>
    </sheetView>
  </sheetViews>
  <sheetFormatPr defaultRowHeight="15"/>
  <cols>
    <col min="1" max="1" width="2.7109375" style="2" customWidth="1"/>
    <col min="2" max="2" width="19.85546875" style="2" customWidth="1"/>
    <col min="3" max="3" width="28.5703125" style="2" customWidth="1"/>
    <col min="4" max="4" width="13.42578125" style="2" customWidth="1"/>
    <col min="5" max="5" width="5.7109375" style="2" customWidth="1"/>
    <col min="6" max="6" width="7.42578125" style="2" customWidth="1"/>
    <col min="7" max="35" width="5.7109375" style="2" customWidth="1"/>
    <col min="36" max="16384" width="9.140625" style="2"/>
  </cols>
  <sheetData>
    <row r="1" spans="2:67">
      <c r="BA1" s="52" t="s">
        <v>422</v>
      </c>
      <c r="BB1" s="52">
        <f>IFERROR(MATCH($D$4,'DEMAND BY DATE'!$BE$27:$BE$30,0),1)</f>
        <v>1</v>
      </c>
    </row>
    <row r="2" spans="2:67" ht="18.75" customHeight="1">
      <c r="B2" s="467" t="s">
        <v>421</v>
      </c>
      <c r="BA2" s="52" t="s">
        <v>382</v>
      </c>
      <c r="BB2" s="52">
        <f>INDEX('DEMAND BY DATE'!$BK$27:$BK$30,$BB$1)</f>
        <v>1</v>
      </c>
    </row>
    <row r="3" spans="2:67" ht="12" customHeight="1">
      <c r="B3" s="65" t="str">
        <f>'LINE PLAN'!$HB$21&amp;"   "</f>
        <v>Garment Unit A   </v>
      </c>
      <c r="BA3" s="52" t="s">
        <v>383</v>
      </c>
      <c r="BB3" s="52">
        <f>INDEX('DEMAND BY DATE'!$BL$27:$BL$30,$BB$1)</f>
        <v>31</v>
      </c>
    </row>
    <row r="4" spans="2:67" ht="15" customHeight="1">
      <c r="B4" s="468" t="s">
        <v>379</v>
      </c>
      <c r="D4" s="502" t="s">
        <v>380</v>
      </c>
      <c r="BA4" s="52" t="s">
        <v>384</v>
      </c>
      <c r="BB4" s="52">
        <f>INDEX('DEMAND BY DATE'!$BF$27:$BF$30,$BB$1)</f>
        <v>26</v>
      </c>
    </row>
    <row r="5" spans="2:67" ht="4.5" customHeight="1">
      <c r="BD5" s="292" t="s">
        <v>410</v>
      </c>
      <c r="BE5" s="292" t="s">
        <v>423</v>
      </c>
      <c r="BF5" s="292" t="s">
        <v>209</v>
      </c>
      <c r="BG5" s="292" t="s">
        <v>412</v>
      </c>
      <c r="BH5" s="292" t="s">
        <v>235</v>
      </c>
      <c r="BI5" s="292" t="s">
        <v>413</v>
      </c>
      <c r="BJ5" s="292" t="s">
        <v>424</v>
      </c>
      <c r="BK5" s="292" t="s">
        <v>425</v>
      </c>
      <c r="BL5" s="292" t="s">
        <v>426</v>
      </c>
      <c r="BM5" s="292" t="s">
        <v>427</v>
      </c>
      <c r="BN5" s="292" t="s">
        <v>428</v>
      </c>
      <c r="BO5" s="292" t="s">
        <v>434</v>
      </c>
    </row>
    <row r="6" spans="2:67" ht="27.95" customHeight="1">
      <c r="B6" s="469" t="s">
        <v>224</v>
      </c>
      <c r="C6" s="470"/>
      <c r="D6" s="471" t="s">
        <v>440</v>
      </c>
      <c r="E6" s="470"/>
      <c r="F6" s="470"/>
      <c r="G6" s="471" t="s">
        <v>478</v>
      </c>
      <c r="H6" s="470"/>
      <c r="I6" s="470"/>
      <c r="J6" s="471" t="s">
        <v>231</v>
      </c>
      <c r="K6" s="470"/>
      <c r="L6" s="470"/>
      <c r="M6" s="472" t="s">
        <v>483</v>
      </c>
      <c r="N6" s="473"/>
      <c r="O6" s="474"/>
      <c r="P6" s="475" t="s">
        <v>484</v>
      </c>
      <c r="Q6" s="473"/>
      <c r="R6" s="474"/>
      <c r="S6" s="475" t="s">
        <v>485</v>
      </c>
      <c r="T6" s="473"/>
      <c r="U6" s="473"/>
      <c r="BD6" s="289" t="str">
        <f>INDEX('MC MASTER'!$B$3:$B$28,1)</f>
        <v>SNLS</v>
      </c>
      <c r="BE6" s="289" t="str">
        <f>IFERROR(INDEX('MC MAP'!$BX$5:$BX$30,MATCH($BD6,'MC MAP'!$BW$5:$BW$30,0)),"?")</f>
        <v>LOCK-STITCH</v>
      </c>
      <c r="BF6" s="289">
        <f>INDEX('MC MASTER'!$C$3:$C$28,1)</f>
        <v>185</v>
      </c>
      <c r="BG6" s="289">
        <f ca="1">MAX(OFFSET('DEMAND BY DATE'!$B$4,$BB$2-1,MATCH($BD6,'DEMAND BY DATE'!$B$3:$AA$3,0)-1,$BB$3,1))</f>
        <v>152</v>
      </c>
      <c r="BH6" s="289">
        <f ca="1">$BF6-$BG6</f>
        <v>33</v>
      </c>
      <c r="BI6" s="289" cm="1">
        <f t="array" aca="1" ref="BI6" ca="1">SUMPRODUCT((OFFSET('DEMAND BY DATE'!$B$4,$BB$2-1,MATCH($BD6,'DEMAND BY DATE'!$B$3:$AA$3,0)-1,$BB$3,1)&gt;$BF6)*(OFFSET('DEMAND BY DATE'!$BS$4,$BB$2-1,0,$BB$3,1)="Y"))</f>
        <v>0</v>
      </c>
      <c r="BJ6" s="289" cm="1">
        <f t="array" aca="1" ref="BJ6" ca="1">SUMPRODUCT(($BE$6:$BE$31=$BE6)*($BH$6:$BH$31&gt;0)*$BH$6:$BH$31)-MAX(0,$BH6)</f>
        <v>13</v>
      </c>
      <c r="BK6" s="289">
        <f ca="1">IF($BH6&lt;0,MIN(-$BH6,MAX(0,$BJ6-$BN6)),0)</f>
        <v>0</v>
      </c>
      <c r="BL6" s="289">
        <f ca="1">IF($BH6&lt;0,-$BH6-$BK6,0)</f>
        <v>0</v>
      </c>
      <c r="BM6" s="289">
        <f ca="1">$BH6+ROW()/100000</f>
        <v>33.00006</v>
      </c>
      <c r="BN6" s="289" cm="1">
        <f t="array" aca="1" ref="BN6" ca="1">SUMPRODUCT(($BE$6:$BE$31=$BE6)*($BH$6:$BH$31&lt;0)*($BM$6:$BM$31&lt;$BM6)*(-$BH$6:$BH$31))</f>
        <v>0</v>
      </c>
      <c r="BO6" s="289">
        <f ca="1">MAX(0,$BH6)-ROW()/100000</f>
        <v>32.99994</v>
      </c>
    </row>
    <row r="7" spans="2:67" ht="33.950000000000003" customHeight="1">
      <c r="B7" s="476">
        <f>'MC MASTER'!$C$29</f>
        <v>920</v>
      </c>
      <c r="C7" s="470"/>
      <c r="D7" s="477">
        <f ca="1">INDEX('DEMAND BY DATE'!$BH$27:$BH$30,$BB$1)</f>
        <v>808</v>
      </c>
      <c r="E7" s="470"/>
      <c r="F7" s="470"/>
      <c r="G7" s="478" cm="1">
        <f t="array" aca="1" ref="G7" ca="1">SUMPRODUCT(($BH$6:$BH$31&gt;0)*$BH$6:$BH$31)</f>
        <v>121</v>
      </c>
      <c r="H7" s="470"/>
      <c r="I7" s="470"/>
      <c r="J7" s="479">
        <f ca="1">IFERROR($D$7/$B$7,0)</f>
        <v>0.878260869565217</v>
      </c>
      <c r="K7" s="470"/>
      <c r="L7" s="470"/>
      <c r="M7" s="480">
        <f ca="1">SUM($BK$6:$BK$31)</f>
        <v>18.5</v>
      </c>
      <c r="N7" s="473"/>
      <c r="O7" s="474"/>
      <c r="P7" s="481">
        <f ca="1">SUM($BL$6:$BL$31)</f>
        <v>28</v>
      </c>
      <c r="Q7" s="473"/>
      <c r="R7" s="474"/>
      <c r="S7" s="482" cm="1">
        <f t="array" aca="1" ref="S7" ca="1">SUMPRODUCT((OFFSET('DEMAND BY DATE'!$AX$4,$BB$2-1,0,$BB$3,1)&gt;0)*1)</f>
        <v>26</v>
      </c>
      <c r="T7" s="473"/>
      <c r="U7" s="473"/>
      <c r="BD7" s="289" t="str">
        <f>INDEX('MC MASTER'!$B$3:$B$28,2)</f>
        <v>DNLS</v>
      </c>
      <c r="BE7" s="289" t="str">
        <f>IFERROR(INDEX('MC MAP'!$BX$5:$BX$30,MATCH($BD7,'MC MAP'!$BW$5:$BW$30,0)),"?")</f>
        <v>LOCK-STITCH</v>
      </c>
      <c r="BF7" s="289">
        <f>INDEX('MC MASTER'!$C$3:$C$28,2)</f>
        <v>8</v>
      </c>
      <c r="BG7" s="289">
        <f ca="1">MAX(OFFSET('DEMAND BY DATE'!$B$4,$BB$2-1,MATCH($BD7,'DEMAND BY DATE'!$B$3:$AA$3,0)-1,$BB$3,1))</f>
        <v>1</v>
      </c>
      <c r="BH7" s="289">
        <f ca="1">$BF7-$BG7</f>
        <v>7</v>
      </c>
      <c r="BI7" s="289" cm="1">
        <f t="array" aca="1" ref="BI7" ca="1">SUMPRODUCT((OFFSET('DEMAND BY DATE'!$B$4,$BB$2-1,MATCH($BD7,'DEMAND BY DATE'!$B$3:$AA$3,0)-1,$BB$3,1)&gt;$BF7)*(OFFSET('DEMAND BY DATE'!$BS$4,$BB$2-1,0,$BB$3,1)="Y"))</f>
        <v>0</v>
      </c>
      <c r="BJ7" s="289" cm="1">
        <f t="array" aca="1" ref="BJ7" ca="1">SUMPRODUCT(($BE$6:$BE$31=$BE7)*($BH$6:$BH$31&gt;0)*$BH$6:$BH$31)-MAX(0,$BH7)</f>
        <v>39</v>
      </c>
      <c r="BK7" s="289">
        <f ca="1">IF($BH7&lt;0,MIN(-$BH7,MAX(0,$BJ7-$BN7)),0)</f>
        <v>0</v>
      </c>
      <c r="BL7" s="289">
        <f ca="1">IF($BH7&lt;0,-$BH7-$BK7,0)</f>
        <v>0</v>
      </c>
      <c r="BM7" s="289">
        <f ca="1">$BH7+ROW()/100000</f>
        <v>7.00007</v>
      </c>
      <c r="BN7" s="289" cm="1">
        <f t="array" aca="1" ref="BN7" ca="1">SUMPRODUCT(($BE$6:$BE$31=$BE7)*($BH$6:$BH$31&lt;0)*($BM$6:$BM$31&lt;$BM7)*(-$BH$6:$BH$31))</f>
        <v>0</v>
      </c>
      <c r="BO7" s="289">
        <f ca="1">MAX(0,$BH7)-ROW()/100000</f>
        <v>6.99993</v>
      </c>
    </row>
    <row r="8" spans="2:67">
      <c r="B8" s="282" t="str">
        <f ca="1">"In "&amp;$D$4&amp;": peak need "&amp;TEXT($D$7,"#,##0")&amp;" of "&amp;TEXT($B$7,"#,##0")&amp;" machines ("&amp;TEXT($J$7,"0.0%")&amp;").  "&amp;COUNTIF($BH$6:$BH$31,"&lt;0")&amp;" machine types short.  Move "&amp;TEXT($M$7,"#,##0.0")&amp;", buy "&amp;TEXT($P$7,"#,##0.0")&amp;".  "&amp;TEXT($G$7,"#,##0.0")&amp;" machines idle."</f>
        <v>In August 2026: peak need 808 of 920 machines (87.8%).  6 machine types short.  Move 18.5, buy 28.0.  121.0 machines idle.</v>
      </c>
      <c r="BD8" s="289" t="str">
        <f>INDEX('MC MASTER'!$B$3:$B$28,3)</f>
        <v>SNLS - Edge cutter</v>
      </c>
      <c r="BE8" s="289" t="str">
        <f>IFERROR(INDEX('MC MAP'!$BX$5:$BX$30,MATCH($BD8,'MC MAP'!$BW$5:$BW$30,0)),"?")</f>
        <v>LOCK-STITCH</v>
      </c>
      <c r="BF8" s="289">
        <f>INDEX('MC MASTER'!$C$3:$C$28,3)</f>
        <v>2</v>
      </c>
      <c r="BG8" s="289">
        <f ca="1">MAX(OFFSET('DEMAND BY DATE'!$B$4,$BB$2-1,MATCH($BD8,'DEMAND BY DATE'!$B$3:$AA$3,0)-1,$BB$3,1))</f>
        <v>0</v>
      </c>
      <c r="BH8" s="289">
        <f ca="1">$BF8-$BG8</f>
        <v>2</v>
      </c>
      <c r="BI8" s="289" cm="1">
        <f t="array" aca="1" ref="BI8" ca="1">SUMPRODUCT((OFFSET('DEMAND BY DATE'!$B$4,$BB$2-1,MATCH($BD8,'DEMAND BY DATE'!$B$3:$AA$3,0)-1,$BB$3,1)&gt;$BF8)*(OFFSET('DEMAND BY DATE'!$BS$4,$BB$2-1,0,$BB$3,1)="Y"))</f>
        <v>0</v>
      </c>
      <c r="BJ8" s="289" cm="1">
        <f t="array" aca="1" ref="BJ8" ca="1">SUMPRODUCT(($BE$6:$BE$31=$BE8)*($BH$6:$BH$31&gt;0)*$BH$6:$BH$31)-MAX(0,$BH8)</f>
        <v>44</v>
      </c>
      <c r="BK8" s="289">
        <f ca="1">IF($BH8&lt;0,MIN(-$BH8,MAX(0,$BJ8-$BN8)),0)</f>
        <v>0</v>
      </c>
      <c r="BL8" s="289">
        <f ca="1">IF($BH8&lt;0,-$BH8-$BK8,0)</f>
        <v>0</v>
      </c>
      <c r="BM8" s="289">
        <f ca="1">$BH8+ROW()/100000</f>
        <v>2.00008</v>
      </c>
      <c r="BN8" s="289" cm="1">
        <f t="array" aca="1" ref="BN8" ca="1">SUMPRODUCT(($BE$6:$BE$31=$BE8)*($BH$6:$BH$31&lt;0)*($BM$6:$BM$31&lt;$BM8)*(-$BH$6:$BH$31))</f>
        <v>0</v>
      </c>
      <c r="BO8" s="289">
        <f ca="1">MAX(0,$BH8)-ROW()/100000</f>
        <v>1.99992</v>
      </c>
    </row>
    <row r="9" spans="2:67" ht="6.75" customHeight="1">
      <c r="BD9" s="289" t="str">
        <f>INDEX('MC MASTER'!$B$3:$B$28,4)</f>
        <v>Zig - Zag</v>
      </c>
      <c r="BE9" s="289" t="str">
        <f>IFERROR(INDEX('MC MAP'!$BX$5:$BX$30,MATCH($BD9,'MC MAP'!$BW$5:$BW$30,0)),"?")</f>
        <v>LOCK-STITCH</v>
      </c>
      <c r="BF9" s="289">
        <f>INDEX('MC MASTER'!$C$3:$C$28,4)</f>
        <v>8</v>
      </c>
      <c r="BG9" s="289">
        <f ca="1">MAX(OFFSET('DEMAND BY DATE'!$B$4,$BB$2-1,MATCH($BD9,'DEMAND BY DATE'!$B$3:$AA$3,0)-1,$BB$3,1))</f>
        <v>4</v>
      </c>
      <c r="BH9" s="289">
        <f ca="1">$BF9-$BG9</f>
        <v>4</v>
      </c>
      <c r="BI9" s="289" cm="1">
        <f t="array" aca="1" ref="BI9" ca="1">SUMPRODUCT((OFFSET('DEMAND BY DATE'!$B$4,$BB$2-1,MATCH($BD9,'DEMAND BY DATE'!$B$3:$AA$3,0)-1,$BB$3,1)&gt;$BF9)*(OFFSET('DEMAND BY DATE'!$BS$4,$BB$2-1,0,$BB$3,1)="Y"))</f>
        <v>0</v>
      </c>
      <c r="BJ9" s="289" cm="1">
        <f t="array" aca="1" ref="BJ9" ca="1">SUMPRODUCT(($BE$6:$BE$31=$BE9)*($BH$6:$BH$31&gt;0)*$BH$6:$BH$31)-MAX(0,$BH9)</f>
        <v>42</v>
      </c>
      <c r="BK9" s="289">
        <f ca="1">IF($BH9&lt;0,MIN(-$BH9,MAX(0,$BJ9-$BN9)),0)</f>
        <v>0</v>
      </c>
      <c r="BL9" s="289">
        <f ca="1">IF($BH9&lt;0,-$BH9-$BK9,0)</f>
        <v>0</v>
      </c>
      <c r="BM9" s="289">
        <f ca="1">$BH9+ROW()/100000</f>
        <v>4.00009</v>
      </c>
      <c r="BN9" s="289" cm="1">
        <f t="array" aca="1" ref="BN9" ca="1">SUMPRODUCT(($BE$6:$BE$31=$BE9)*($BH$6:$BH$31&lt;0)*($BM$6:$BM$31&lt;$BM9)*(-$BH$6:$BH$31))</f>
        <v>0</v>
      </c>
      <c r="BO9" s="289">
        <f ca="1">MAX(0,$BH9)-ROW()/100000</f>
        <v>3.99991</v>
      </c>
    </row>
    <row r="10" spans="2:67" ht="15.75">
      <c r="B10" s="483" t="str">
        <f>"MACHINE CAPACITY - "&amp; TEXT(D4,"mmmm yyyy")</f>
        <v>MACHINE CAPACITY - August 2026</v>
      </c>
      <c r="C10" s="264"/>
      <c r="D10" s="264"/>
      <c r="E10" s="264"/>
      <c r="F10" s="264"/>
      <c r="G10" s="264"/>
      <c r="H10" s="264"/>
      <c r="I10" s="264"/>
      <c r="J10" s="264"/>
      <c r="K10" s="264"/>
      <c r="L10" s="264"/>
      <c r="M10" s="264"/>
      <c r="N10" s="264"/>
      <c r="O10" s="264"/>
      <c r="P10" s="264"/>
      <c r="Q10" s="264"/>
      <c r="R10" s="264"/>
      <c r="S10" s="264"/>
      <c r="T10" s="264"/>
      <c r="U10" s="264"/>
      <c r="V10" s="264"/>
      <c r="W10" s="264"/>
      <c r="X10" s="264"/>
      <c r="Y10" s="264"/>
      <c r="Z10" s="264"/>
      <c r="AA10" s="264"/>
      <c r="AB10" s="264"/>
      <c r="AC10" s="264"/>
      <c r="AD10" s="264"/>
      <c r="AE10" s="264"/>
      <c r="AF10" s="264"/>
      <c r="AG10" s="264"/>
      <c r="AH10" s="264"/>
      <c r="AI10" s="264"/>
      <c r="BD10" s="289" t="str">
        <f>INDEX('MC MASTER'!$B$3:$B$28,5)</f>
        <v>4th Overlock</v>
      </c>
      <c r="BE10" s="289" t="str">
        <f>IFERROR(INDEX('MC MAP'!$BX$5:$BX$30,MATCH($BD10,'MC MAP'!$BW$5:$BW$30,0)),"?")</f>
        <v>OVER-LOCK</v>
      </c>
      <c r="BF10" s="289">
        <f>INDEX('MC MASTER'!$C$3:$C$28,5)</f>
        <v>279</v>
      </c>
      <c r="BG10" s="289">
        <f ca="1">MAX(OFFSET('DEMAND BY DATE'!$B$4,$BB$2-1,MATCH($BD10,'DEMAND BY DATE'!$B$3:$AA$3,0)-1,$BB$3,1))</f>
        <v>291</v>
      </c>
      <c r="BH10" s="289">
        <f ca="1">$BF10-$BG10</f>
        <v>-12</v>
      </c>
      <c r="BI10" s="289" cm="1">
        <f t="array" aca="1" ref="BI10" ca="1">SUMPRODUCT((OFFSET('DEMAND BY DATE'!$B$4,$BB$2-1,MATCH($BD10,'DEMAND BY DATE'!$B$3:$AA$3,0)-1,$BB$3,1)&gt;$BF10)*(OFFSET('DEMAND BY DATE'!$BS$4,$BB$2-1,0,$BB$3,1)="Y"))</f>
        <v>11</v>
      </c>
      <c r="BJ10" s="289" cm="1">
        <f t="array" aca="1" ref="BJ10" ca="1">SUMPRODUCT(($BE$6:$BE$31=$BE10)*($BH$6:$BH$31&gt;0)*$BH$6:$BH$31)-MAX(0,$BH10)</f>
        <v>5</v>
      </c>
      <c r="BK10" s="289">
        <f ca="1">IF($BH10&lt;0,MIN(-$BH10,MAX(0,$BJ10-$BN10)),0)</f>
        <v>5</v>
      </c>
      <c r="BL10" s="289">
        <f ca="1">IF($BH10&lt;0,-$BH10-$BK10,0)</f>
        <v>7</v>
      </c>
      <c r="BM10" s="289">
        <f ca="1">$BH10+ROW()/100000</f>
        <v>-11.9999</v>
      </c>
      <c r="BN10" s="289" cm="1">
        <f t="array" aca="1" ref="BN10" ca="1">SUMPRODUCT(($BE$6:$BE$31=$BE10)*($BH$6:$BH$31&lt;0)*($BM$6:$BM$31&lt;$BM10)*(-$BH$6:$BH$31))</f>
        <v>0</v>
      </c>
      <c r="BO10" s="289">
        <f ca="1">MAX(0,$BH10)-ROW()/100000</f>
        <v>-0.0001</v>
      </c>
    </row>
    <row r="11" spans="2:67">
      <c r="B11" s="286" t="s">
        <v>255</v>
      </c>
      <c r="C11" s="286" t="s">
        <v>147</v>
      </c>
      <c r="D11" s="286" t="s">
        <v>429</v>
      </c>
      <c r="E11" s="484">
        <f>IF(1&gt;$BB$3,"",INDEX('DEMAND BY DATE'!$A$4:$A$203,$BB$2+0))</f>
        <v>46235</v>
      </c>
      <c r="F11" s="484">
        <f>IF(2&gt;$BB$3,"",INDEX('DEMAND BY DATE'!$A$4:$A$203,$BB$2+1))</f>
        <v>46236</v>
      </c>
      <c r="G11" s="484">
        <f>IF(3&gt;$BB$3,"",INDEX('DEMAND BY DATE'!$A$4:$A$203,$BB$2+2))</f>
        <v>46237</v>
      </c>
      <c r="H11" s="484">
        <f>IF(4&gt;$BB$3,"",INDEX('DEMAND BY DATE'!$A$4:$A$203,$BB$2+3))</f>
        <v>46238</v>
      </c>
      <c r="I11" s="484">
        <f>IF(5&gt;$BB$3,"",INDEX('DEMAND BY DATE'!$A$4:$A$203,$BB$2+4))</f>
        <v>46239</v>
      </c>
      <c r="J11" s="484">
        <f>IF(6&gt;$BB$3,"",INDEX('DEMAND BY DATE'!$A$4:$A$203,$BB$2+5))</f>
        <v>46240</v>
      </c>
      <c r="K11" s="484">
        <f>IF(7&gt;$BB$3,"",INDEX('DEMAND BY DATE'!$A$4:$A$203,$BB$2+6))</f>
        <v>46241</v>
      </c>
      <c r="L11" s="484">
        <f>IF(8&gt;$BB$3,"",INDEX('DEMAND BY DATE'!$A$4:$A$203,$BB$2+7))</f>
        <v>46242</v>
      </c>
      <c r="M11" s="484">
        <f>IF(9&gt;$BB$3,"",INDEX('DEMAND BY DATE'!$A$4:$A$203,$BB$2+8))</f>
        <v>46243</v>
      </c>
      <c r="N11" s="484">
        <f>IF(10&gt;$BB$3,"",INDEX('DEMAND BY DATE'!$A$4:$A$203,$BB$2+9))</f>
        <v>46244</v>
      </c>
      <c r="O11" s="484">
        <f>IF(11&gt;$BB$3,"",INDEX('DEMAND BY DATE'!$A$4:$A$203,$BB$2+10))</f>
        <v>46245</v>
      </c>
      <c r="P11" s="484">
        <f>IF(12&gt;$BB$3,"",INDEX('DEMAND BY DATE'!$A$4:$A$203,$BB$2+11))</f>
        <v>46246</v>
      </c>
      <c r="Q11" s="484">
        <f>IF(13&gt;$BB$3,"",INDEX('DEMAND BY DATE'!$A$4:$A$203,$BB$2+12))</f>
        <v>46247</v>
      </c>
      <c r="R11" s="484">
        <f>IF(14&gt;$BB$3,"",INDEX('DEMAND BY DATE'!$A$4:$A$203,$BB$2+13))</f>
        <v>46248</v>
      </c>
      <c r="S11" s="484">
        <f>IF(15&gt;$BB$3,"",INDEX('DEMAND BY DATE'!$A$4:$A$203,$BB$2+14))</f>
        <v>46249</v>
      </c>
      <c r="T11" s="484">
        <f>IF(16&gt;$BB$3,"",INDEX('DEMAND BY DATE'!$A$4:$A$203,$BB$2+15))</f>
        <v>46250</v>
      </c>
      <c r="U11" s="484">
        <f>IF(17&gt;$BB$3,"",INDEX('DEMAND BY DATE'!$A$4:$A$203,$BB$2+16))</f>
        <v>46251</v>
      </c>
      <c r="V11" s="484">
        <f>IF(18&gt;$BB$3,"",INDEX('DEMAND BY DATE'!$A$4:$A$203,$BB$2+17))</f>
        <v>46252</v>
      </c>
      <c r="W11" s="484">
        <f>IF(19&gt;$BB$3,"",INDEX('DEMAND BY DATE'!$A$4:$A$203,$BB$2+18))</f>
        <v>46253</v>
      </c>
      <c r="X11" s="484">
        <f>IF(20&gt;$BB$3,"",INDEX('DEMAND BY DATE'!$A$4:$A$203,$BB$2+19))</f>
        <v>46254</v>
      </c>
      <c r="Y11" s="484">
        <f>IF(21&gt;$BB$3,"",INDEX('DEMAND BY DATE'!$A$4:$A$203,$BB$2+20))</f>
        <v>46255</v>
      </c>
      <c r="Z11" s="484">
        <f>IF(22&gt;$BB$3,"",INDEX('DEMAND BY DATE'!$A$4:$A$203,$BB$2+21))</f>
        <v>46256</v>
      </c>
      <c r="AA11" s="484">
        <f>IF(23&gt;$BB$3,"",INDEX('DEMAND BY DATE'!$A$4:$A$203,$BB$2+22))</f>
        <v>46257</v>
      </c>
      <c r="AB11" s="484">
        <f>IF(24&gt;$BB$3,"",INDEX('DEMAND BY DATE'!$A$4:$A$203,$BB$2+23))</f>
        <v>46258</v>
      </c>
      <c r="AC11" s="484">
        <f>IF(25&gt;$BB$3,"",INDEX('DEMAND BY DATE'!$A$4:$A$203,$BB$2+24))</f>
        <v>46259</v>
      </c>
      <c r="AD11" s="484">
        <f>IF(26&gt;$BB$3,"",INDEX('DEMAND BY DATE'!$A$4:$A$203,$BB$2+25))</f>
        <v>46260</v>
      </c>
      <c r="AE11" s="484">
        <f>IF(27&gt;$BB$3,"",INDEX('DEMAND BY DATE'!$A$4:$A$203,$BB$2+26))</f>
        <v>46261</v>
      </c>
      <c r="AF11" s="484">
        <f>IF(28&gt;$BB$3,"",INDEX('DEMAND BY DATE'!$A$4:$A$203,$BB$2+27))</f>
        <v>46262</v>
      </c>
      <c r="AG11" s="484">
        <f>IF(29&gt;$BB$3,"",INDEX('DEMAND BY DATE'!$A$4:$A$203,$BB$2+28))</f>
        <v>46263</v>
      </c>
      <c r="AH11" s="484">
        <f>IF(30&gt;$BB$3,"",INDEX('DEMAND BY DATE'!$A$4:$A$203,$BB$2+29))</f>
        <v>46264</v>
      </c>
      <c r="AI11" s="484">
        <f>IF(31&gt;$BB$3,"",INDEX('DEMAND BY DATE'!$A$4:$A$203,$BB$2+30))</f>
        <v>46265</v>
      </c>
      <c r="BD11" s="289" t="str">
        <f>INDEX('MC MASTER'!$B$3:$B$28,6)</f>
        <v>3th Overlock (Leg elastic)</v>
      </c>
      <c r="BE11" s="289" t="str">
        <f>IFERROR(INDEX('MC MAP'!$BX$5:$BX$30,MATCH($BD11,'MC MAP'!$BW$5:$BW$30,0)),"?")</f>
        <v>OVER-LOCK</v>
      </c>
      <c r="BF11" s="289">
        <f>INDEX('MC MASTER'!$C$3:$C$28,6)</f>
        <v>30</v>
      </c>
      <c r="BG11" s="289">
        <f ca="1">MAX(OFFSET('DEMAND BY DATE'!$B$4,$BB$2-1,MATCH($BD11,'DEMAND BY DATE'!$B$3:$AA$3,0)-1,$BB$3,1))</f>
        <v>31</v>
      </c>
      <c r="BH11" s="289">
        <f ca="1">$BF11-$BG11</f>
        <v>-1</v>
      </c>
      <c r="BI11" s="289" cm="1">
        <f t="array" aca="1" ref="BI11" ca="1">SUMPRODUCT((OFFSET('DEMAND BY DATE'!$B$4,$BB$2-1,MATCH($BD11,'DEMAND BY DATE'!$B$3:$AA$3,0)-1,$BB$3,1)&gt;$BF11)*(OFFSET('DEMAND BY DATE'!$BS$4,$BB$2-1,0,$BB$3,1)="Y"))</f>
        <v>11</v>
      </c>
      <c r="BJ11" s="289" cm="1">
        <f t="array" aca="1" ref="BJ11" ca="1">SUMPRODUCT(($BE$6:$BE$31=$BE11)*($BH$6:$BH$31&gt;0)*$BH$6:$BH$31)-MAX(0,$BH11)</f>
        <v>5</v>
      </c>
      <c r="BK11" s="289">
        <f ca="1">IF($BH11&lt;0,MIN(-$BH11,MAX(0,$BJ11-$BN11)),0)</f>
        <v>0</v>
      </c>
      <c r="BL11" s="289">
        <f ca="1">IF($BH11&lt;0,-$BH11-$BK11,0)</f>
        <v>1</v>
      </c>
      <c r="BM11" s="289">
        <f ca="1">$BH11+ROW()/100000</f>
        <v>-0.99989</v>
      </c>
      <c r="BN11" s="289" cm="1">
        <f t="array" aca="1" ref="BN11" ca="1">SUMPRODUCT(($BE$6:$BE$31=$BE11)*($BH$6:$BH$31&lt;0)*($BM$6:$BM$31&lt;$BM11)*(-$BH$6:$BH$31))</f>
        <v>19</v>
      </c>
      <c r="BO11" s="289">
        <f ca="1">MAX(0,$BH11)-ROW()/100000</f>
        <v>-0.00011</v>
      </c>
    </row>
    <row r="12" spans="2:67">
      <c r="B12" s="485" t="str">
        <f>IFERROR(INDEX(WORKINGS!$B$116:$B$141,MATCH($C12,WORKINGS!$A$116:$A$141,0)),"")</f>
        <v>LOCK-STITCH</v>
      </c>
      <c r="C12" s="485" t="str">
        <f>INDEX(WORKINGS!$A$116:$A$141,MATCH(SMALL(WORKINGS!$D$116:$D$141,1),WORKINGS!$D$116:$D$141,0))</f>
        <v>SNLS</v>
      </c>
      <c r="D12" s="486">
        <f>IFERROR(INDEX($BF$6:$BF$31,MATCH($C12,$BD$6:$BD$31,0)),0)</f>
        <v>185</v>
      </c>
      <c r="E12" s="487">
        <f>IF(E$11="","",IFERROR($D12-INDEX('DEMAND BY DATE'!$B$4:$AA$203,MATCH(E$11,'DEMAND BY DATE'!$A$4:$A$203,0),MATCH($C12,'DEMAND BY DATE'!$B$3:$AA$3,0)),""))</f>
        <v>33</v>
      </c>
      <c r="F12" s="487">
        <f>IF(F$11="","",IFERROR($D12-INDEX('DEMAND BY DATE'!$B$4:$AA$203,MATCH(F$11,'DEMAND BY DATE'!$A$4:$A$203,0),MATCH($C12,'DEMAND BY DATE'!$B$3:$AA$3,0)),""))</f>
        <v>33</v>
      </c>
      <c r="G12" s="487">
        <f>IF(G$11="","",IFERROR($D12-INDEX('DEMAND BY DATE'!$B$4:$AA$203,MATCH(G$11,'DEMAND BY DATE'!$A$4:$A$203,0),MATCH($C12,'DEMAND BY DATE'!$B$3:$AA$3,0)),""))</f>
        <v>33</v>
      </c>
      <c r="H12" s="487">
        <f>IF(H$11="","",IFERROR($D12-INDEX('DEMAND BY DATE'!$B$4:$AA$203,MATCH(H$11,'DEMAND BY DATE'!$A$4:$A$203,0),MATCH($C12,'DEMAND BY DATE'!$B$3:$AA$3,0)),""))</f>
        <v>33</v>
      </c>
      <c r="I12" s="487">
        <f>IF(I$11="","",IFERROR($D12-INDEX('DEMAND BY DATE'!$B$4:$AA$203,MATCH(I$11,'DEMAND BY DATE'!$A$4:$A$203,0),MATCH($C12,'DEMAND BY DATE'!$B$3:$AA$3,0)),""))</f>
        <v>33</v>
      </c>
      <c r="J12" s="487">
        <f>IF(J$11="","",IFERROR($D12-INDEX('DEMAND BY DATE'!$B$4:$AA$203,MATCH(J$11,'DEMAND BY DATE'!$A$4:$A$203,0),MATCH($C12,'DEMAND BY DATE'!$B$3:$AA$3,0)),""))</f>
        <v>33</v>
      </c>
      <c r="K12" s="487">
        <f>IF(K$11="","",IFERROR($D12-INDEX('DEMAND BY DATE'!$B$4:$AA$203,MATCH(K$11,'DEMAND BY DATE'!$A$4:$A$203,0),MATCH($C12,'DEMAND BY DATE'!$B$3:$AA$3,0)),""))</f>
        <v>33</v>
      </c>
      <c r="L12" s="487">
        <f>IF(L$11="","",IFERROR($D12-INDEX('DEMAND BY DATE'!$B$4:$AA$203,MATCH(L$11,'DEMAND BY DATE'!$A$4:$A$203,0),MATCH($C12,'DEMAND BY DATE'!$B$3:$AA$3,0)),""))</f>
        <v>33</v>
      </c>
      <c r="M12" s="487">
        <f>IF(M$11="","",IFERROR($D12-INDEX('DEMAND BY DATE'!$B$4:$AA$203,MATCH(M$11,'DEMAND BY DATE'!$A$4:$A$203,0),MATCH($C12,'DEMAND BY DATE'!$B$3:$AA$3,0)),""))</f>
        <v>33</v>
      </c>
      <c r="N12" s="487">
        <f>IF(N$11="","",IFERROR($D12-INDEX('DEMAND BY DATE'!$B$4:$AA$203,MATCH(N$11,'DEMAND BY DATE'!$A$4:$A$203,0),MATCH($C12,'DEMAND BY DATE'!$B$3:$AA$3,0)),""))</f>
        <v>33</v>
      </c>
      <c r="O12" s="487">
        <f>IF(O$11="","",IFERROR($D12-INDEX('DEMAND BY DATE'!$B$4:$AA$203,MATCH(O$11,'DEMAND BY DATE'!$A$4:$A$203,0),MATCH($C12,'DEMAND BY DATE'!$B$3:$AA$3,0)),""))</f>
        <v>33</v>
      </c>
      <c r="P12" s="487">
        <f>IF(P$11="","",IFERROR($D12-INDEX('DEMAND BY DATE'!$B$4:$AA$203,MATCH(P$11,'DEMAND BY DATE'!$A$4:$A$203,0),MATCH($C12,'DEMAND BY DATE'!$B$3:$AA$3,0)),""))</f>
        <v>34.5</v>
      </c>
      <c r="Q12" s="487">
        <f>IF(Q$11="","",IFERROR($D12-INDEX('DEMAND BY DATE'!$B$4:$AA$203,MATCH(Q$11,'DEMAND BY DATE'!$A$4:$A$203,0),MATCH($C12,'DEMAND BY DATE'!$B$3:$AA$3,0)),""))</f>
        <v>34.5</v>
      </c>
      <c r="R12" s="487">
        <f>IF(R$11="","",IFERROR($D12-INDEX('DEMAND BY DATE'!$B$4:$AA$203,MATCH(R$11,'DEMAND BY DATE'!$A$4:$A$203,0),MATCH($C12,'DEMAND BY DATE'!$B$3:$AA$3,0)),""))</f>
        <v>54.5</v>
      </c>
      <c r="S12" s="487">
        <f>IF(S$11="","",IFERROR($D12-INDEX('DEMAND BY DATE'!$B$4:$AA$203,MATCH(S$11,'DEMAND BY DATE'!$A$4:$A$203,0),MATCH($C12,'DEMAND BY DATE'!$B$3:$AA$3,0)),""))</f>
        <v>40.5</v>
      </c>
      <c r="T12" s="487">
        <f>IF(T$11="","",IFERROR($D12-INDEX('DEMAND BY DATE'!$B$4:$AA$203,MATCH(T$11,'DEMAND BY DATE'!$A$4:$A$203,0),MATCH($C12,'DEMAND BY DATE'!$B$3:$AA$3,0)),""))</f>
        <v>40.5</v>
      </c>
      <c r="U12" s="487">
        <f>IF(U$11="","",IFERROR($D12-INDEX('DEMAND BY DATE'!$B$4:$AA$203,MATCH(U$11,'DEMAND BY DATE'!$A$4:$A$203,0),MATCH($C12,'DEMAND BY DATE'!$B$3:$AA$3,0)),""))</f>
        <v>40.5</v>
      </c>
      <c r="V12" s="487">
        <f>IF(V$11="","",IFERROR($D12-INDEX('DEMAND BY DATE'!$B$4:$AA$203,MATCH(V$11,'DEMAND BY DATE'!$A$4:$A$203,0),MATCH($C12,'DEMAND BY DATE'!$B$3:$AA$3,0)),""))</f>
        <v>40.5</v>
      </c>
      <c r="W12" s="487">
        <f>IF(W$11="","",IFERROR($D12-INDEX('DEMAND BY DATE'!$B$4:$AA$203,MATCH(W$11,'DEMAND BY DATE'!$A$4:$A$203,0),MATCH($C12,'DEMAND BY DATE'!$B$3:$AA$3,0)),""))</f>
        <v>40.5</v>
      </c>
      <c r="X12" s="487">
        <f>IF(X$11="","",IFERROR($D12-INDEX('DEMAND BY DATE'!$B$4:$AA$203,MATCH(X$11,'DEMAND BY DATE'!$A$4:$A$203,0),MATCH($C12,'DEMAND BY DATE'!$B$3:$AA$3,0)),""))</f>
        <v>40.5</v>
      </c>
      <c r="Y12" s="487">
        <f>IF(Y$11="","",IFERROR($D12-INDEX('DEMAND BY DATE'!$B$4:$AA$203,MATCH(Y$11,'DEMAND BY DATE'!$A$4:$A$203,0),MATCH($C12,'DEMAND BY DATE'!$B$3:$AA$3,0)),""))</f>
        <v>40.5</v>
      </c>
      <c r="Z12" s="487">
        <f>IF(Z$11="","",IFERROR($D12-INDEX('DEMAND BY DATE'!$B$4:$AA$203,MATCH(Z$11,'DEMAND BY DATE'!$A$4:$A$203,0),MATCH($C12,'DEMAND BY DATE'!$B$3:$AA$3,0)),""))</f>
        <v>40.5</v>
      </c>
      <c r="AA12" s="487">
        <f>IF(AA$11="","",IFERROR($D12-INDEX('DEMAND BY DATE'!$B$4:$AA$203,MATCH(AA$11,'DEMAND BY DATE'!$A$4:$A$203,0),MATCH($C12,'DEMAND BY DATE'!$B$3:$AA$3,0)),""))</f>
        <v>40.5</v>
      </c>
      <c r="AB12" s="487">
        <f>IF(AB$11="","",IFERROR($D12-INDEX('DEMAND BY DATE'!$B$4:$AA$203,MATCH(AB$11,'DEMAND BY DATE'!$A$4:$A$203,0),MATCH($C12,'DEMAND BY DATE'!$B$3:$AA$3,0)),""))</f>
        <v>40.5</v>
      </c>
      <c r="AC12" s="487">
        <f>IF(AC$11="","",IFERROR($D12-INDEX('DEMAND BY DATE'!$B$4:$AA$203,MATCH(AC$11,'DEMAND BY DATE'!$A$4:$A$203,0),MATCH($C12,'DEMAND BY DATE'!$B$3:$AA$3,0)),""))</f>
        <v>40.5</v>
      </c>
      <c r="AD12" s="487">
        <f>IF(AD$11="","",IFERROR($D12-INDEX('DEMAND BY DATE'!$B$4:$AA$203,MATCH(AD$11,'DEMAND BY DATE'!$A$4:$A$203,0),MATCH($C12,'DEMAND BY DATE'!$B$3:$AA$3,0)),""))</f>
        <v>40.5</v>
      </c>
      <c r="AE12" s="487">
        <f>IF(AE$11="","",IFERROR($D12-INDEX('DEMAND BY DATE'!$B$4:$AA$203,MATCH(AE$11,'DEMAND BY DATE'!$A$4:$A$203,0),MATCH($C12,'DEMAND BY DATE'!$B$3:$AA$3,0)),""))</f>
        <v>40.5</v>
      </c>
      <c r="AF12" s="487">
        <f>IF(AF$11="","",IFERROR($D12-INDEX('DEMAND BY DATE'!$B$4:$AA$203,MATCH(AF$11,'DEMAND BY DATE'!$A$4:$A$203,0),MATCH($C12,'DEMAND BY DATE'!$B$3:$AA$3,0)),""))</f>
        <v>40.5</v>
      </c>
      <c r="AG12" s="487">
        <f>IF(AG$11="","",IFERROR($D12-INDEX('DEMAND BY DATE'!$B$4:$AA$203,MATCH(AG$11,'DEMAND BY DATE'!$A$4:$A$203,0),MATCH($C12,'DEMAND BY DATE'!$B$3:$AA$3,0)),""))</f>
        <v>40.5</v>
      </c>
      <c r="AH12" s="487">
        <f>IF(AH$11="","",IFERROR($D12-INDEX('DEMAND BY DATE'!$B$4:$AA$203,MATCH(AH$11,'DEMAND BY DATE'!$A$4:$A$203,0),MATCH($C12,'DEMAND BY DATE'!$B$3:$AA$3,0)),""))</f>
        <v>40.5</v>
      </c>
      <c r="AI12" s="487">
        <f>IF(AI$11="","",IFERROR($D12-INDEX('DEMAND BY DATE'!$B$4:$AA$203,MATCH(AI$11,'DEMAND BY DATE'!$A$4:$A$203,0),MATCH($C12,'DEMAND BY DATE'!$B$3:$AA$3,0)),""))</f>
        <v>40.5</v>
      </c>
      <c r="BD12" s="289" t="str">
        <f>INDEX('MC MASTER'!$B$3:$B$28,7)</f>
        <v>5th Overlock</v>
      </c>
      <c r="BE12" s="289" t="str">
        <f>IFERROR(INDEX('MC MAP'!$BX$5:$BX$30,MATCH($BD12,'MC MAP'!$BW$5:$BW$30,0)),"?")</f>
        <v>OVER-LOCK</v>
      </c>
      <c r="BF12" s="289">
        <f>INDEX('MC MASTER'!$C$3:$C$28,7)</f>
        <v>5</v>
      </c>
      <c r="BG12" s="289">
        <f ca="1">MAX(OFFSET('DEMAND BY DATE'!$B$4,$BB$2-1,MATCH($BD12,'DEMAND BY DATE'!$B$3:$AA$3,0)-1,$BB$3,1))</f>
        <v>0</v>
      </c>
      <c r="BH12" s="289">
        <f ca="1">$BF12-$BG12</f>
        <v>5</v>
      </c>
      <c r="BI12" s="289" cm="1">
        <f t="array" aca="1" ref="BI12" ca="1">SUMPRODUCT((OFFSET('DEMAND BY DATE'!$B$4,$BB$2-1,MATCH($BD12,'DEMAND BY DATE'!$B$3:$AA$3,0)-1,$BB$3,1)&gt;$BF12)*(OFFSET('DEMAND BY DATE'!$BS$4,$BB$2-1,0,$BB$3,1)="Y"))</f>
        <v>0</v>
      </c>
      <c r="BJ12" s="289" cm="1">
        <f t="array" aca="1" ref="BJ12" ca="1">SUMPRODUCT(($BE$6:$BE$31=$BE12)*($BH$6:$BH$31&gt;0)*$BH$6:$BH$31)-MAX(0,$BH12)</f>
        <v>0</v>
      </c>
      <c r="BK12" s="289">
        <f ca="1">IF($BH12&lt;0,MIN(-$BH12,MAX(0,$BJ12-$BN12)),0)</f>
        <v>0</v>
      </c>
      <c r="BL12" s="289">
        <f ca="1">IF($BH12&lt;0,-$BH12-$BK12,0)</f>
        <v>0</v>
      </c>
      <c r="BM12" s="289">
        <f ca="1">$BH12+ROW()/100000</f>
        <v>5.00012</v>
      </c>
      <c r="BN12" s="289" cm="1">
        <f t="array" aca="1" ref="BN12" ca="1">SUMPRODUCT(($BE$6:$BE$31=$BE12)*($BH$6:$BH$31&lt;0)*($BM$6:$BM$31&lt;$BM12)*(-$BH$6:$BH$31))</f>
        <v>20</v>
      </c>
      <c r="BO12" s="289">
        <f ca="1">MAX(0,$BH12)-ROW()/100000</f>
        <v>4.99988</v>
      </c>
    </row>
    <row r="13" spans="2:67">
      <c r="B13" s="485" t="str">
        <f>IFERROR(INDEX(WORKINGS!$B$116:$B$141,MATCH($C13,WORKINGS!$A$116:$A$141,0)),"")</f>
        <v>LOCK-STITCH</v>
      </c>
      <c r="C13" s="485" t="str">
        <f>INDEX(WORKINGS!$A$116:$A$141,MATCH(SMALL(WORKINGS!$D$116:$D$141,2),WORKINGS!$D$116:$D$141,0))</f>
        <v>DNLS</v>
      </c>
      <c r="D13" s="486">
        <f>IFERROR(INDEX($BF$6:$BF$31,MATCH($C13,$BD$6:$BD$31,0)),0)</f>
        <v>8</v>
      </c>
      <c r="E13" s="487">
        <f>IF(E$11="","",IFERROR($D13-INDEX('DEMAND BY DATE'!$B$4:$AA$203,MATCH(E$11,'DEMAND BY DATE'!$A$4:$A$203,0),MATCH($C13,'DEMAND BY DATE'!$B$3:$AA$3,0)),""))</f>
        <v>7</v>
      </c>
      <c r="F13" s="487">
        <f>IF(F$11="","",IFERROR($D13-INDEX('DEMAND BY DATE'!$B$4:$AA$203,MATCH(F$11,'DEMAND BY DATE'!$A$4:$A$203,0),MATCH($C13,'DEMAND BY DATE'!$B$3:$AA$3,0)),""))</f>
        <v>7</v>
      </c>
      <c r="G13" s="487">
        <f>IF(G$11="","",IFERROR($D13-INDEX('DEMAND BY DATE'!$B$4:$AA$203,MATCH(G$11,'DEMAND BY DATE'!$A$4:$A$203,0),MATCH($C13,'DEMAND BY DATE'!$B$3:$AA$3,0)),""))</f>
        <v>7</v>
      </c>
      <c r="H13" s="487">
        <f>IF(H$11="","",IFERROR($D13-INDEX('DEMAND BY DATE'!$B$4:$AA$203,MATCH(H$11,'DEMAND BY DATE'!$A$4:$A$203,0),MATCH($C13,'DEMAND BY DATE'!$B$3:$AA$3,0)),""))</f>
        <v>7</v>
      </c>
      <c r="I13" s="487">
        <f>IF(I$11="","",IFERROR($D13-INDEX('DEMAND BY DATE'!$B$4:$AA$203,MATCH(I$11,'DEMAND BY DATE'!$A$4:$A$203,0),MATCH($C13,'DEMAND BY DATE'!$B$3:$AA$3,0)),""))</f>
        <v>7</v>
      </c>
      <c r="J13" s="487">
        <f>IF(J$11="","",IFERROR($D13-INDEX('DEMAND BY DATE'!$B$4:$AA$203,MATCH(J$11,'DEMAND BY DATE'!$A$4:$A$203,0),MATCH($C13,'DEMAND BY DATE'!$B$3:$AA$3,0)),""))</f>
        <v>7</v>
      </c>
      <c r="K13" s="487">
        <f>IF(K$11="","",IFERROR($D13-INDEX('DEMAND BY DATE'!$B$4:$AA$203,MATCH(K$11,'DEMAND BY DATE'!$A$4:$A$203,0),MATCH($C13,'DEMAND BY DATE'!$B$3:$AA$3,0)),""))</f>
        <v>7</v>
      </c>
      <c r="L13" s="487">
        <f>IF(L$11="","",IFERROR($D13-INDEX('DEMAND BY DATE'!$B$4:$AA$203,MATCH(L$11,'DEMAND BY DATE'!$A$4:$A$203,0),MATCH($C13,'DEMAND BY DATE'!$B$3:$AA$3,0)),""))</f>
        <v>7</v>
      </c>
      <c r="M13" s="487">
        <f>IF(M$11="","",IFERROR($D13-INDEX('DEMAND BY DATE'!$B$4:$AA$203,MATCH(M$11,'DEMAND BY DATE'!$A$4:$A$203,0),MATCH($C13,'DEMAND BY DATE'!$B$3:$AA$3,0)),""))</f>
        <v>7</v>
      </c>
      <c r="N13" s="487">
        <f>IF(N$11="","",IFERROR($D13-INDEX('DEMAND BY DATE'!$B$4:$AA$203,MATCH(N$11,'DEMAND BY DATE'!$A$4:$A$203,0),MATCH($C13,'DEMAND BY DATE'!$B$3:$AA$3,0)),""))</f>
        <v>7</v>
      </c>
      <c r="O13" s="487">
        <f>IF(O$11="","",IFERROR($D13-INDEX('DEMAND BY DATE'!$B$4:$AA$203,MATCH(O$11,'DEMAND BY DATE'!$A$4:$A$203,0),MATCH($C13,'DEMAND BY DATE'!$B$3:$AA$3,0)),""))</f>
        <v>7</v>
      </c>
      <c r="P13" s="487">
        <f>IF(P$11="","",IFERROR($D13-INDEX('DEMAND BY DATE'!$B$4:$AA$203,MATCH(P$11,'DEMAND BY DATE'!$A$4:$A$203,0),MATCH($C13,'DEMAND BY DATE'!$B$3:$AA$3,0)),""))</f>
        <v>7</v>
      </c>
      <c r="Q13" s="487">
        <f>IF(Q$11="","",IFERROR($D13-INDEX('DEMAND BY DATE'!$B$4:$AA$203,MATCH(Q$11,'DEMAND BY DATE'!$A$4:$A$203,0),MATCH($C13,'DEMAND BY DATE'!$B$3:$AA$3,0)),""))</f>
        <v>7</v>
      </c>
      <c r="R13" s="487">
        <f>IF(R$11="","",IFERROR($D13-INDEX('DEMAND BY DATE'!$B$4:$AA$203,MATCH(R$11,'DEMAND BY DATE'!$A$4:$A$203,0),MATCH($C13,'DEMAND BY DATE'!$B$3:$AA$3,0)),""))</f>
        <v>7</v>
      </c>
      <c r="S13" s="487">
        <f>IF(S$11="","",IFERROR($D13-INDEX('DEMAND BY DATE'!$B$4:$AA$203,MATCH(S$11,'DEMAND BY DATE'!$A$4:$A$203,0),MATCH($C13,'DEMAND BY DATE'!$B$3:$AA$3,0)),""))</f>
        <v>7</v>
      </c>
      <c r="T13" s="487">
        <f>IF(T$11="","",IFERROR($D13-INDEX('DEMAND BY DATE'!$B$4:$AA$203,MATCH(T$11,'DEMAND BY DATE'!$A$4:$A$203,0),MATCH($C13,'DEMAND BY DATE'!$B$3:$AA$3,0)),""))</f>
        <v>7</v>
      </c>
      <c r="U13" s="487">
        <f>IF(U$11="","",IFERROR($D13-INDEX('DEMAND BY DATE'!$B$4:$AA$203,MATCH(U$11,'DEMAND BY DATE'!$A$4:$A$203,0),MATCH($C13,'DEMAND BY DATE'!$B$3:$AA$3,0)),""))</f>
        <v>7</v>
      </c>
      <c r="V13" s="487">
        <f>IF(V$11="","",IFERROR($D13-INDEX('DEMAND BY DATE'!$B$4:$AA$203,MATCH(V$11,'DEMAND BY DATE'!$A$4:$A$203,0),MATCH($C13,'DEMAND BY DATE'!$B$3:$AA$3,0)),""))</f>
        <v>7</v>
      </c>
      <c r="W13" s="487">
        <f>IF(W$11="","",IFERROR($D13-INDEX('DEMAND BY DATE'!$B$4:$AA$203,MATCH(W$11,'DEMAND BY DATE'!$A$4:$A$203,0),MATCH($C13,'DEMAND BY DATE'!$B$3:$AA$3,0)),""))</f>
        <v>7</v>
      </c>
      <c r="X13" s="487">
        <f>IF(X$11="","",IFERROR($D13-INDEX('DEMAND BY DATE'!$B$4:$AA$203,MATCH(X$11,'DEMAND BY DATE'!$A$4:$A$203,0),MATCH($C13,'DEMAND BY DATE'!$B$3:$AA$3,0)),""))</f>
        <v>7</v>
      </c>
      <c r="Y13" s="487">
        <f>IF(Y$11="","",IFERROR($D13-INDEX('DEMAND BY DATE'!$B$4:$AA$203,MATCH(Y$11,'DEMAND BY DATE'!$A$4:$A$203,0),MATCH($C13,'DEMAND BY DATE'!$B$3:$AA$3,0)),""))</f>
        <v>7</v>
      </c>
      <c r="Z13" s="487">
        <f>IF(Z$11="","",IFERROR($D13-INDEX('DEMAND BY DATE'!$B$4:$AA$203,MATCH(Z$11,'DEMAND BY DATE'!$A$4:$A$203,0),MATCH($C13,'DEMAND BY DATE'!$B$3:$AA$3,0)),""))</f>
        <v>7</v>
      </c>
      <c r="AA13" s="487">
        <f>IF(AA$11="","",IFERROR($D13-INDEX('DEMAND BY DATE'!$B$4:$AA$203,MATCH(AA$11,'DEMAND BY DATE'!$A$4:$A$203,0),MATCH($C13,'DEMAND BY DATE'!$B$3:$AA$3,0)),""))</f>
        <v>7</v>
      </c>
      <c r="AB13" s="487">
        <f>IF(AB$11="","",IFERROR($D13-INDEX('DEMAND BY DATE'!$B$4:$AA$203,MATCH(AB$11,'DEMAND BY DATE'!$A$4:$A$203,0),MATCH($C13,'DEMAND BY DATE'!$B$3:$AA$3,0)),""))</f>
        <v>7</v>
      </c>
      <c r="AC13" s="487">
        <f>IF(AC$11="","",IFERROR($D13-INDEX('DEMAND BY DATE'!$B$4:$AA$203,MATCH(AC$11,'DEMAND BY DATE'!$A$4:$A$203,0),MATCH($C13,'DEMAND BY DATE'!$B$3:$AA$3,0)),""))</f>
        <v>7</v>
      </c>
      <c r="AD13" s="487">
        <f>IF(AD$11="","",IFERROR($D13-INDEX('DEMAND BY DATE'!$B$4:$AA$203,MATCH(AD$11,'DEMAND BY DATE'!$A$4:$A$203,0),MATCH($C13,'DEMAND BY DATE'!$B$3:$AA$3,0)),""))</f>
        <v>7</v>
      </c>
      <c r="AE13" s="487">
        <f>IF(AE$11="","",IFERROR($D13-INDEX('DEMAND BY DATE'!$B$4:$AA$203,MATCH(AE$11,'DEMAND BY DATE'!$A$4:$A$203,0),MATCH($C13,'DEMAND BY DATE'!$B$3:$AA$3,0)),""))</f>
        <v>7</v>
      </c>
      <c r="AF13" s="487">
        <f>IF(AF$11="","",IFERROR($D13-INDEX('DEMAND BY DATE'!$B$4:$AA$203,MATCH(AF$11,'DEMAND BY DATE'!$A$4:$A$203,0),MATCH($C13,'DEMAND BY DATE'!$B$3:$AA$3,0)),""))</f>
        <v>7</v>
      </c>
      <c r="AG13" s="487">
        <f>IF(AG$11="","",IFERROR($D13-INDEX('DEMAND BY DATE'!$B$4:$AA$203,MATCH(AG$11,'DEMAND BY DATE'!$A$4:$A$203,0),MATCH($C13,'DEMAND BY DATE'!$B$3:$AA$3,0)),""))</f>
        <v>7</v>
      </c>
      <c r="AH13" s="487">
        <f>IF(AH$11="","",IFERROR($D13-INDEX('DEMAND BY DATE'!$B$4:$AA$203,MATCH(AH$11,'DEMAND BY DATE'!$A$4:$A$203,0),MATCH($C13,'DEMAND BY DATE'!$B$3:$AA$3,0)),""))</f>
        <v>7</v>
      </c>
      <c r="AI13" s="487">
        <f>IF(AI$11="","",IFERROR($D13-INDEX('DEMAND BY DATE'!$B$4:$AA$203,MATCH(AI$11,'DEMAND BY DATE'!$A$4:$A$203,0),MATCH($C13,'DEMAND BY DATE'!$B$3:$AA$3,0)),""))</f>
        <v>7</v>
      </c>
      <c r="BD13" s="289" t="str">
        <f>INDEX('MC MASTER'!$B$3:$B$28,8)</f>
        <v>Overlock (Ring Elastic Attach)</v>
      </c>
      <c r="BE13" s="289" t="str">
        <f>IFERROR(INDEX('MC MAP'!$BX$5:$BX$30,MATCH($BD13,'MC MAP'!$BW$5:$BW$30,0)),"?")</f>
        <v>OVER-LOCK</v>
      </c>
      <c r="BF13" s="289">
        <f>INDEX('MC MASTER'!$C$3:$C$28,8)</f>
        <v>29</v>
      </c>
      <c r="BG13" s="289">
        <f ca="1">MAX(OFFSET('DEMAND BY DATE'!$B$4,$BB$2-1,MATCH($BD13,'DEMAND BY DATE'!$B$3:$AA$3,0)-1,$BB$3,1))</f>
        <v>36</v>
      </c>
      <c r="BH13" s="289">
        <f ca="1">$BF13-$BG13</f>
        <v>-7</v>
      </c>
      <c r="BI13" s="289" cm="1">
        <f t="array" aca="1" ref="BI13" ca="1">SUMPRODUCT((OFFSET('DEMAND BY DATE'!$B$4,$BB$2-1,MATCH($BD13,'DEMAND BY DATE'!$B$3:$AA$3,0)-1,$BB$3,1)&gt;$BF13)*(OFFSET('DEMAND BY DATE'!$BS$4,$BB$2-1,0,$BB$3,1)="Y"))</f>
        <v>26</v>
      </c>
      <c r="BJ13" s="289" cm="1">
        <f t="array" aca="1" ref="BJ13" ca="1">SUMPRODUCT(($BE$6:$BE$31=$BE13)*($BH$6:$BH$31&gt;0)*$BH$6:$BH$31)-MAX(0,$BH13)</f>
        <v>5</v>
      </c>
      <c r="BK13" s="289">
        <f ca="1">IF($BH13&lt;0,MIN(-$BH13,MAX(0,$BJ13-$BN13)),0)</f>
        <v>0</v>
      </c>
      <c r="BL13" s="289">
        <f ca="1">IF($BH13&lt;0,-$BH13-$BK13,0)</f>
        <v>7</v>
      </c>
      <c r="BM13" s="289">
        <f ca="1">$BH13+ROW()/100000</f>
        <v>-6.99987</v>
      </c>
      <c r="BN13" s="289" cm="1">
        <f t="array" aca="1" ref="BN13" ca="1">SUMPRODUCT(($BE$6:$BE$31=$BE13)*($BH$6:$BH$31&lt;0)*($BM$6:$BM$31&lt;$BM13)*(-$BH$6:$BH$31))</f>
        <v>12</v>
      </c>
      <c r="BO13" s="289">
        <f ca="1">MAX(0,$BH13)-ROW()/100000</f>
        <v>-0.00013</v>
      </c>
    </row>
    <row r="14" spans="2:67">
      <c r="B14" s="485" t="str">
        <f>IFERROR(INDEX(WORKINGS!$B$116:$B$141,MATCH($C14,WORKINGS!$A$116:$A$141,0)),"")</f>
        <v>LOCK-STITCH</v>
      </c>
      <c r="C14" s="485" t="str">
        <f>INDEX(WORKINGS!$A$116:$A$141,MATCH(SMALL(WORKINGS!$D$116:$D$141,3),WORKINGS!$D$116:$D$141,0))</f>
        <v>SNLS - Edge cutter</v>
      </c>
      <c r="D14" s="486">
        <f>IFERROR(INDEX($BF$6:$BF$31,MATCH($C14,$BD$6:$BD$31,0)),0)</f>
        <v>2</v>
      </c>
      <c r="E14" s="487">
        <f>IF(E$11="","",IFERROR($D14-INDEX('DEMAND BY DATE'!$B$4:$AA$203,MATCH(E$11,'DEMAND BY DATE'!$A$4:$A$203,0),MATCH($C14,'DEMAND BY DATE'!$B$3:$AA$3,0)),""))</f>
        <v>2</v>
      </c>
      <c r="F14" s="487">
        <f>IF(F$11="","",IFERROR($D14-INDEX('DEMAND BY DATE'!$B$4:$AA$203,MATCH(F$11,'DEMAND BY DATE'!$A$4:$A$203,0),MATCH($C14,'DEMAND BY DATE'!$B$3:$AA$3,0)),""))</f>
        <v>2</v>
      </c>
      <c r="G14" s="487">
        <f>IF(G$11="","",IFERROR($D14-INDEX('DEMAND BY DATE'!$B$4:$AA$203,MATCH(G$11,'DEMAND BY DATE'!$A$4:$A$203,0),MATCH($C14,'DEMAND BY DATE'!$B$3:$AA$3,0)),""))</f>
        <v>2</v>
      </c>
      <c r="H14" s="487">
        <f>IF(H$11="","",IFERROR($D14-INDEX('DEMAND BY DATE'!$B$4:$AA$203,MATCH(H$11,'DEMAND BY DATE'!$A$4:$A$203,0),MATCH($C14,'DEMAND BY DATE'!$B$3:$AA$3,0)),""))</f>
        <v>2</v>
      </c>
      <c r="I14" s="487">
        <f>IF(I$11="","",IFERROR($D14-INDEX('DEMAND BY DATE'!$B$4:$AA$203,MATCH(I$11,'DEMAND BY DATE'!$A$4:$A$203,0),MATCH($C14,'DEMAND BY DATE'!$B$3:$AA$3,0)),""))</f>
        <v>2</v>
      </c>
      <c r="J14" s="487">
        <f>IF(J$11="","",IFERROR($D14-INDEX('DEMAND BY DATE'!$B$4:$AA$203,MATCH(J$11,'DEMAND BY DATE'!$A$4:$A$203,0),MATCH($C14,'DEMAND BY DATE'!$B$3:$AA$3,0)),""))</f>
        <v>2</v>
      </c>
      <c r="K14" s="487">
        <f>IF(K$11="","",IFERROR($D14-INDEX('DEMAND BY DATE'!$B$4:$AA$203,MATCH(K$11,'DEMAND BY DATE'!$A$4:$A$203,0),MATCH($C14,'DEMAND BY DATE'!$B$3:$AA$3,0)),""))</f>
        <v>2</v>
      </c>
      <c r="L14" s="487">
        <f>IF(L$11="","",IFERROR($D14-INDEX('DEMAND BY DATE'!$B$4:$AA$203,MATCH(L$11,'DEMAND BY DATE'!$A$4:$A$203,0),MATCH($C14,'DEMAND BY DATE'!$B$3:$AA$3,0)),""))</f>
        <v>2</v>
      </c>
      <c r="M14" s="487">
        <f>IF(M$11="","",IFERROR($D14-INDEX('DEMAND BY DATE'!$B$4:$AA$203,MATCH(M$11,'DEMAND BY DATE'!$A$4:$A$203,0),MATCH($C14,'DEMAND BY DATE'!$B$3:$AA$3,0)),""))</f>
        <v>2</v>
      </c>
      <c r="N14" s="487">
        <f>IF(N$11="","",IFERROR($D14-INDEX('DEMAND BY DATE'!$B$4:$AA$203,MATCH(N$11,'DEMAND BY DATE'!$A$4:$A$203,0),MATCH($C14,'DEMAND BY DATE'!$B$3:$AA$3,0)),""))</f>
        <v>2</v>
      </c>
      <c r="O14" s="487">
        <f>IF(O$11="","",IFERROR($D14-INDEX('DEMAND BY DATE'!$B$4:$AA$203,MATCH(O$11,'DEMAND BY DATE'!$A$4:$A$203,0),MATCH($C14,'DEMAND BY DATE'!$B$3:$AA$3,0)),""))</f>
        <v>2</v>
      </c>
      <c r="P14" s="487">
        <f>IF(P$11="","",IFERROR($D14-INDEX('DEMAND BY DATE'!$B$4:$AA$203,MATCH(P$11,'DEMAND BY DATE'!$A$4:$A$203,0),MATCH($C14,'DEMAND BY DATE'!$B$3:$AA$3,0)),""))</f>
        <v>2</v>
      </c>
      <c r="Q14" s="487">
        <f>IF(Q$11="","",IFERROR($D14-INDEX('DEMAND BY DATE'!$B$4:$AA$203,MATCH(Q$11,'DEMAND BY DATE'!$A$4:$A$203,0),MATCH($C14,'DEMAND BY DATE'!$B$3:$AA$3,0)),""))</f>
        <v>2</v>
      </c>
      <c r="R14" s="487">
        <f>IF(R$11="","",IFERROR($D14-INDEX('DEMAND BY DATE'!$B$4:$AA$203,MATCH(R$11,'DEMAND BY DATE'!$A$4:$A$203,0),MATCH($C14,'DEMAND BY DATE'!$B$3:$AA$3,0)),""))</f>
        <v>2</v>
      </c>
      <c r="S14" s="487">
        <f>IF(S$11="","",IFERROR($D14-INDEX('DEMAND BY DATE'!$B$4:$AA$203,MATCH(S$11,'DEMAND BY DATE'!$A$4:$A$203,0),MATCH($C14,'DEMAND BY DATE'!$B$3:$AA$3,0)),""))</f>
        <v>2</v>
      </c>
      <c r="T14" s="487">
        <f>IF(T$11="","",IFERROR($D14-INDEX('DEMAND BY DATE'!$B$4:$AA$203,MATCH(T$11,'DEMAND BY DATE'!$A$4:$A$203,0),MATCH($C14,'DEMAND BY DATE'!$B$3:$AA$3,0)),""))</f>
        <v>2</v>
      </c>
      <c r="U14" s="487">
        <f>IF(U$11="","",IFERROR($D14-INDEX('DEMAND BY DATE'!$B$4:$AA$203,MATCH(U$11,'DEMAND BY DATE'!$A$4:$A$203,0),MATCH($C14,'DEMAND BY DATE'!$B$3:$AA$3,0)),""))</f>
        <v>2</v>
      </c>
      <c r="V14" s="487">
        <f>IF(V$11="","",IFERROR($D14-INDEX('DEMAND BY DATE'!$B$4:$AA$203,MATCH(V$11,'DEMAND BY DATE'!$A$4:$A$203,0),MATCH($C14,'DEMAND BY DATE'!$B$3:$AA$3,0)),""))</f>
        <v>2</v>
      </c>
      <c r="W14" s="487">
        <f>IF(W$11="","",IFERROR($D14-INDEX('DEMAND BY DATE'!$B$4:$AA$203,MATCH(W$11,'DEMAND BY DATE'!$A$4:$A$203,0),MATCH($C14,'DEMAND BY DATE'!$B$3:$AA$3,0)),""))</f>
        <v>2</v>
      </c>
      <c r="X14" s="487">
        <f>IF(X$11="","",IFERROR($D14-INDEX('DEMAND BY DATE'!$B$4:$AA$203,MATCH(X$11,'DEMAND BY DATE'!$A$4:$A$203,0),MATCH($C14,'DEMAND BY DATE'!$B$3:$AA$3,0)),""))</f>
        <v>2</v>
      </c>
      <c r="Y14" s="487">
        <f>IF(Y$11="","",IFERROR($D14-INDEX('DEMAND BY DATE'!$B$4:$AA$203,MATCH(Y$11,'DEMAND BY DATE'!$A$4:$A$203,0),MATCH($C14,'DEMAND BY DATE'!$B$3:$AA$3,0)),""))</f>
        <v>2</v>
      </c>
      <c r="Z14" s="487">
        <f>IF(Z$11="","",IFERROR($D14-INDEX('DEMAND BY DATE'!$B$4:$AA$203,MATCH(Z$11,'DEMAND BY DATE'!$A$4:$A$203,0),MATCH($C14,'DEMAND BY DATE'!$B$3:$AA$3,0)),""))</f>
        <v>2</v>
      </c>
      <c r="AA14" s="487">
        <f>IF(AA$11="","",IFERROR($D14-INDEX('DEMAND BY DATE'!$B$4:$AA$203,MATCH(AA$11,'DEMAND BY DATE'!$A$4:$A$203,0),MATCH($C14,'DEMAND BY DATE'!$B$3:$AA$3,0)),""))</f>
        <v>2</v>
      </c>
      <c r="AB14" s="487">
        <f>IF(AB$11="","",IFERROR($D14-INDEX('DEMAND BY DATE'!$B$4:$AA$203,MATCH(AB$11,'DEMAND BY DATE'!$A$4:$A$203,0),MATCH($C14,'DEMAND BY DATE'!$B$3:$AA$3,0)),""))</f>
        <v>2</v>
      </c>
      <c r="AC14" s="487">
        <f>IF(AC$11="","",IFERROR($D14-INDEX('DEMAND BY DATE'!$B$4:$AA$203,MATCH(AC$11,'DEMAND BY DATE'!$A$4:$A$203,0),MATCH($C14,'DEMAND BY DATE'!$B$3:$AA$3,0)),""))</f>
        <v>2</v>
      </c>
      <c r="AD14" s="487">
        <f>IF(AD$11="","",IFERROR($D14-INDEX('DEMAND BY DATE'!$B$4:$AA$203,MATCH(AD$11,'DEMAND BY DATE'!$A$4:$A$203,0),MATCH($C14,'DEMAND BY DATE'!$B$3:$AA$3,0)),""))</f>
        <v>2</v>
      </c>
      <c r="AE14" s="487">
        <f>IF(AE$11="","",IFERROR($D14-INDEX('DEMAND BY DATE'!$B$4:$AA$203,MATCH(AE$11,'DEMAND BY DATE'!$A$4:$A$203,0),MATCH($C14,'DEMAND BY DATE'!$B$3:$AA$3,0)),""))</f>
        <v>2</v>
      </c>
      <c r="AF14" s="487">
        <f>IF(AF$11="","",IFERROR($D14-INDEX('DEMAND BY DATE'!$B$4:$AA$203,MATCH(AF$11,'DEMAND BY DATE'!$A$4:$A$203,0),MATCH($C14,'DEMAND BY DATE'!$B$3:$AA$3,0)),""))</f>
        <v>2</v>
      </c>
      <c r="AG14" s="487">
        <f>IF(AG$11="","",IFERROR($D14-INDEX('DEMAND BY DATE'!$B$4:$AA$203,MATCH(AG$11,'DEMAND BY DATE'!$A$4:$A$203,0),MATCH($C14,'DEMAND BY DATE'!$B$3:$AA$3,0)),""))</f>
        <v>2</v>
      </c>
      <c r="AH14" s="487">
        <f>IF(AH$11="","",IFERROR($D14-INDEX('DEMAND BY DATE'!$B$4:$AA$203,MATCH(AH$11,'DEMAND BY DATE'!$A$4:$A$203,0),MATCH($C14,'DEMAND BY DATE'!$B$3:$AA$3,0)),""))</f>
        <v>2</v>
      </c>
      <c r="AI14" s="487">
        <f>IF(AI$11="","",IFERROR($D14-INDEX('DEMAND BY DATE'!$B$4:$AA$203,MATCH(AI$11,'DEMAND BY DATE'!$A$4:$A$203,0),MATCH($C14,'DEMAND BY DATE'!$B$3:$AA$3,0)),""))</f>
        <v>2</v>
      </c>
      <c r="BD14" s="289" t="str">
        <f>INDEX('MC MASTER'!$B$3:$B$28,9)</f>
        <v>Flatlock Hem</v>
      </c>
      <c r="BE14" s="289" t="str">
        <f>IFERROR(INDEX('MC MAP'!$BX$5:$BX$30,MATCH($BD14,'MC MAP'!$BW$5:$BW$30,0)),"?")</f>
        <v>FLAT-LOCK</v>
      </c>
      <c r="BF14" s="289">
        <f>INDEX('MC MASTER'!$C$3:$C$28,9)</f>
        <v>34</v>
      </c>
      <c r="BG14" s="289">
        <f ca="1">MAX(OFFSET('DEMAND BY DATE'!$B$4,$BB$2-1,MATCH($BD14,'DEMAND BY DATE'!$B$3:$AA$3,0)-1,$BB$3,1))</f>
        <v>27.5</v>
      </c>
      <c r="BH14" s="289">
        <f ca="1">$BF14-$BG14</f>
        <v>6.5</v>
      </c>
      <c r="BI14" s="289" cm="1">
        <f t="array" aca="1" ref="BI14" ca="1">SUMPRODUCT((OFFSET('DEMAND BY DATE'!$B$4,$BB$2-1,MATCH($BD14,'DEMAND BY DATE'!$B$3:$AA$3,0)-1,$BB$3,1)&gt;$BF14)*(OFFSET('DEMAND BY DATE'!$BS$4,$BB$2-1,0,$BB$3,1)="Y"))</f>
        <v>0</v>
      </c>
      <c r="BJ14" s="289" cm="1">
        <f t="array" aca="1" ref="BJ14" ca="1">SUMPRODUCT(($BE$6:$BE$31=$BE14)*($BH$6:$BH$31&gt;0)*$BH$6:$BH$31)-MAX(0,$BH14)</f>
        <v>7</v>
      </c>
      <c r="BK14" s="289">
        <f ca="1">IF($BH14&lt;0,MIN(-$BH14,MAX(0,$BJ14-$BN14)),0)</f>
        <v>0</v>
      </c>
      <c r="BL14" s="289">
        <f ca="1">IF($BH14&lt;0,-$BH14-$BK14,0)</f>
        <v>0</v>
      </c>
      <c r="BM14" s="289">
        <f ca="1">$BH14+ROW()/100000</f>
        <v>6.50014</v>
      </c>
      <c r="BN14" s="289" cm="1">
        <f t="array" aca="1" ref="BN14" ca="1">SUMPRODUCT(($BE$6:$BE$31=$BE14)*($BH$6:$BH$31&lt;0)*($BM$6:$BM$31&lt;$BM14)*(-$BH$6:$BH$31))</f>
        <v>26.5</v>
      </c>
      <c r="BO14" s="289">
        <f ca="1">MAX(0,$BH14)-ROW()/100000</f>
        <v>6.49986</v>
      </c>
    </row>
    <row r="15" spans="2:67">
      <c r="B15" s="485" t="str">
        <f>IFERROR(INDEX(WORKINGS!$B$116:$B$141,MATCH($C15,WORKINGS!$A$116:$A$141,0)),"")</f>
        <v>LOCK-STITCH</v>
      </c>
      <c r="C15" s="485" t="str">
        <f>INDEX(WORKINGS!$A$116:$A$141,MATCH(SMALL(WORKINGS!$D$116:$D$141,4),WORKINGS!$D$116:$D$141,0))</f>
        <v>Zig - Zag</v>
      </c>
      <c r="D15" s="486">
        <f>IFERROR(INDEX($BF$6:$BF$31,MATCH($C15,$BD$6:$BD$31,0)),0)</f>
        <v>8</v>
      </c>
      <c r="E15" s="487">
        <f>IF(E$11="","",IFERROR($D15-INDEX('DEMAND BY DATE'!$B$4:$AA$203,MATCH(E$11,'DEMAND BY DATE'!$A$4:$A$203,0),MATCH($C15,'DEMAND BY DATE'!$B$3:$AA$3,0)),""))</f>
        <v>4</v>
      </c>
      <c r="F15" s="487">
        <f>IF(F$11="","",IFERROR($D15-INDEX('DEMAND BY DATE'!$B$4:$AA$203,MATCH(F$11,'DEMAND BY DATE'!$A$4:$A$203,0),MATCH($C15,'DEMAND BY DATE'!$B$3:$AA$3,0)),""))</f>
        <v>4</v>
      </c>
      <c r="G15" s="487">
        <f>IF(G$11="","",IFERROR($D15-INDEX('DEMAND BY DATE'!$B$4:$AA$203,MATCH(G$11,'DEMAND BY DATE'!$A$4:$A$203,0),MATCH($C15,'DEMAND BY DATE'!$B$3:$AA$3,0)),""))</f>
        <v>4</v>
      </c>
      <c r="H15" s="487">
        <f>IF(H$11="","",IFERROR($D15-INDEX('DEMAND BY DATE'!$B$4:$AA$203,MATCH(H$11,'DEMAND BY DATE'!$A$4:$A$203,0),MATCH($C15,'DEMAND BY DATE'!$B$3:$AA$3,0)),""))</f>
        <v>4</v>
      </c>
      <c r="I15" s="487">
        <f>IF(I$11="","",IFERROR($D15-INDEX('DEMAND BY DATE'!$B$4:$AA$203,MATCH(I$11,'DEMAND BY DATE'!$A$4:$A$203,0),MATCH($C15,'DEMAND BY DATE'!$B$3:$AA$3,0)),""))</f>
        <v>4</v>
      </c>
      <c r="J15" s="487">
        <f>IF(J$11="","",IFERROR($D15-INDEX('DEMAND BY DATE'!$B$4:$AA$203,MATCH(J$11,'DEMAND BY DATE'!$A$4:$A$203,0),MATCH($C15,'DEMAND BY DATE'!$B$3:$AA$3,0)),""))</f>
        <v>4</v>
      </c>
      <c r="K15" s="487">
        <f>IF(K$11="","",IFERROR($D15-INDEX('DEMAND BY DATE'!$B$4:$AA$203,MATCH(K$11,'DEMAND BY DATE'!$A$4:$A$203,0),MATCH($C15,'DEMAND BY DATE'!$B$3:$AA$3,0)),""))</f>
        <v>4</v>
      </c>
      <c r="L15" s="487">
        <f>IF(L$11="","",IFERROR($D15-INDEX('DEMAND BY DATE'!$B$4:$AA$203,MATCH(L$11,'DEMAND BY DATE'!$A$4:$A$203,0),MATCH($C15,'DEMAND BY DATE'!$B$3:$AA$3,0)),""))</f>
        <v>4</v>
      </c>
      <c r="M15" s="487">
        <f>IF(M$11="","",IFERROR($D15-INDEX('DEMAND BY DATE'!$B$4:$AA$203,MATCH(M$11,'DEMAND BY DATE'!$A$4:$A$203,0),MATCH($C15,'DEMAND BY DATE'!$B$3:$AA$3,0)),""))</f>
        <v>4</v>
      </c>
      <c r="N15" s="487">
        <f>IF(N$11="","",IFERROR($D15-INDEX('DEMAND BY DATE'!$B$4:$AA$203,MATCH(N$11,'DEMAND BY DATE'!$A$4:$A$203,0),MATCH($C15,'DEMAND BY DATE'!$B$3:$AA$3,0)),""))</f>
        <v>4</v>
      </c>
      <c r="O15" s="487">
        <f>IF(O$11="","",IFERROR($D15-INDEX('DEMAND BY DATE'!$B$4:$AA$203,MATCH(O$11,'DEMAND BY DATE'!$A$4:$A$203,0),MATCH($C15,'DEMAND BY DATE'!$B$3:$AA$3,0)),""))</f>
        <v>4</v>
      </c>
      <c r="P15" s="487">
        <f>IF(P$11="","",IFERROR($D15-INDEX('DEMAND BY DATE'!$B$4:$AA$203,MATCH(P$11,'DEMAND BY DATE'!$A$4:$A$203,0),MATCH($C15,'DEMAND BY DATE'!$B$3:$AA$3,0)),""))</f>
        <v>4</v>
      </c>
      <c r="Q15" s="487">
        <f>IF(Q$11="","",IFERROR($D15-INDEX('DEMAND BY DATE'!$B$4:$AA$203,MATCH(Q$11,'DEMAND BY DATE'!$A$4:$A$203,0),MATCH($C15,'DEMAND BY DATE'!$B$3:$AA$3,0)),""))</f>
        <v>4</v>
      </c>
      <c r="R15" s="487">
        <f>IF(R$11="","",IFERROR($D15-INDEX('DEMAND BY DATE'!$B$4:$AA$203,MATCH(R$11,'DEMAND BY DATE'!$A$4:$A$203,0),MATCH($C15,'DEMAND BY DATE'!$B$3:$AA$3,0)),""))</f>
        <v>4</v>
      </c>
      <c r="S15" s="487">
        <f>IF(S$11="","",IFERROR($D15-INDEX('DEMAND BY DATE'!$B$4:$AA$203,MATCH(S$11,'DEMAND BY DATE'!$A$4:$A$203,0),MATCH($C15,'DEMAND BY DATE'!$B$3:$AA$3,0)),""))</f>
        <v>4</v>
      </c>
      <c r="T15" s="487">
        <f>IF(T$11="","",IFERROR($D15-INDEX('DEMAND BY DATE'!$B$4:$AA$203,MATCH(T$11,'DEMAND BY DATE'!$A$4:$A$203,0),MATCH($C15,'DEMAND BY DATE'!$B$3:$AA$3,0)),""))</f>
        <v>4</v>
      </c>
      <c r="U15" s="487">
        <f>IF(U$11="","",IFERROR($D15-INDEX('DEMAND BY DATE'!$B$4:$AA$203,MATCH(U$11,'DEMAND BY DATE'!$A$4:$A$203,0),MATCH($C15,'DEMAND BY DATE'!$B$3:$AA$3,0)),""))</f>
        <v>4</v>
      </c>
      <c r="V15" s="487">
        <f>IF(V$11="","",IFERROR($D15-INDEX('DEMAND BY DATE'!$B$4:$AA$203,MATCH(V$11,'DEMAND BY DATE'!$A$4:$A$203,0),MATCH($C15,'DEMAND BY DATE'!$B$3:$AA$3,0)),""))</f>
        <v>4</v>
      </c>
      <c r="W15" s="487">
        <f>IF(W$11="","",IFERROR($D15-INDEX('DEMAND BY DATE'!$B$4:$AA$203,MATCH(W$11,'DEMAND BY DATE'!$A$4:$A$203,0),MATCH($C15,'DEMAND BY DATE'!$B$3:$AA$3,0)),""))</f>
        <v>4</v>
      </c>
      <c r="X15" s="487">
        <f>IF(X$11="","",IFERROR($D15-INDEX('DEMAND BY DATE'!$B$4:$AA$203,MATCH(X$11,'DEMAND BY DATE'!$A$4:$A$203,0),MATCH($C15,'DEMAND BY DATE'!$B$3:$AA$3,0)),""))</f>
        <v>4</v>
      </c>
      <c r="Y15" s="487">
        <f>IF(Y$11="","",IFERROR($D15-INDEX('DEMAND BY DATE'!$B$4:$AA$203,MATCH(Y$11,'DEMAND BY DATE'!$A$4:$A$203,0),MATCH($C15,'DEMAND BY DATE'!$B$3:$AA$3,0)),""))</f>
        <v>4</v>
      </c>
      <c r="Z15" s="487">
        <f>IF(Z$11="","",IFERROR($D15-INDEX('DEMAND BY DATE'!$B$4:$AA$203,MATCH(Z$11,'DEMAND BY DATE'!$A$4:$A$203,0),MATCH($C15,'DEMAND BY DATE'!$B$3:$AA$3,0)),""))</f>
        <v>4</v>
      </c>
      <c r="AA15" s="487">
        <f>IF(AA$11="","",IFERROR($D15-INDEX('DEMAND BY DATE'!$B$4:$AA$203,MATCH(AA$11,'DEMAND BY DATE'!$A$4:$A$203,0),MATCH($C15,'DEMAND BY DATE'!$B$3:$AA$3,0)),""))</f>
        <v>4</v>
      </c>
      <c r="AB15" s="487">
        <f>IF(AB$11="","",IFERROR($D15-INDEX('DEMAND BY DATE'!$B$4:$AA$203,MATCH(AB$11,'DEMAND BY DATE'!$A$4:$A$203,0),MATCH($C15,'DEMAND BY DATE'!$B$3:$AA$3,0)),""))</f>
        <v>4</v>
      </c>
      <c r="AC15" s="487">
        <f>IF(AC$11="","",IFERROR($D15-INDEX('DEMAND BY DATE'!$B$4:$AA$203,MATCH(AC$11,'DEMAND BY DATE'!$A$4:$A$203,0),MATCH($C15,'DEMAND BY DATE'!$B$3:$AA$3,0)),""))</f>
        <v>4</v>
      </c>
      <c r="AD15" s="487">
        <f>IF(AD$11="","",IFERROR($D15-INDEX('DEMAND BY DATE'!$B$4:$AA$203,MATCH(AD$11,'DEMAND BY DATE'!$A$4:$A$203,0),MATCH($C15,'DEMAND BY DATE'!$B$3:$AA$3,0)),""))</f>
        <v>4</v>
      </c>
      <c r="AE15" s="487">
        <f>IF(AE$11="","",IFERROR($D15-INDEX('DEMAND BY DATE'!$B$4:$AA$203,MATCH(AE$11,'DEMAND BY DATE'!$A$4:$A$203,0),MATCH($C15,'DEMAND BY DATE'!$B$3:$AA$3,0)),""))</f>
        <v>4</v>
      </c>
      <c r="AF15" s="487">
        <f>IF(AF$11="","",IFERROR($D15-INDEX('DEMAND BY DATE'!$B$4:$AA$203,MATCH(AF$11,'DEMAND BY DATE'!$A$4:$A$203,0),MATCH($C15,'DEMAND BY DATE'!$B$3:$AA$3,0)),""))</f>
        <v>4</v>
      </c>
      <c r="AG15" s="487">
        <f>IF(AG$11="","",IFERROR($D15-INDEX('DEMAND BY DATE'!$B$4:$AA$203,MATCH(AG$11,'DEMAND BY DATE'!$A$4:$A$203,0),MATCH($C15,'DEMAND BY DATE'!$B$3:$AA$3,0)),""))</f>
        <v>4</v>
      </c>
      <c r="AH15" s="487">
        <f>IF(AH$11="","",IFERROR($D15-INDEX('DEMAND BY DATE'!$B$4:$AA$203,MATCH(AH$11,'DEMAND BY DATE'!$A$4:$A$203,0),MATCH($C15,'DEMAND BY DATE'!$B$3:$AA$3,0)),""))</f>
        <v>4</v>
      </c>
      <c r="AI15" s="487">
        <f>IF(AI$11="","",IFERROR($D15-INDEX('DEMAND BY DATE'!$B$4:$AA$203,MATCH(AI$11,'DEMAND BY DATE'!$A$4:$A$203,0),MATCH($C15,'DEMAND BY DATE'!$B$3:$AA$3,0)),""))</f>
        <v>4</v>
      </c>
      <c r="BD15" s="289" t="str">
        <f>INDEX('MC MASTER'!$B$3:$B$28,10)</f>
        <v>F/L (Coverseam / Waist COVER SEAM</v>
      </c>
      <c r="BE15" s="289" t="str">
        <f>IFERROR(INDEX('MC MAP'!$BX$5:$BX$30,MATCH($BD15,'MC MAP'!$BW$5:$BW$30,0)),"?")</f>
        <v>FLAT-LOCK</v>
      </c>
      <c r="BF15" s="289">
        <f>INDEX('MC MASTER'!$C$3:$C$28,10)</f>
        <v>13</v>
      </c>
      <c r="BG15" s="289">
        <f ca="1">MAX(OFFSET('DEMAND BY DATE'!$B$4,$BB$2-1,MATCH($BD15,'DEMAND BY DATE'!$B$3:$AA$3,0)-1,$BB$3,1))</f>
        <v>12</v>
      </c>
      <c r="BH15" s="289">
        <f ca="1">$BF15-$BG15</f>
        <v>1</v>
      </c>
      <c r="BI15" s="289" cm="1">
        <f t="array" aca="1" ref="BI15" ca="1">SUMPRODUCT((OFFSET('DEMAND BY DATE'!$B$4,$BB$2-1,MATCH($BD15,'DEMAND BY DATE'!$B$3:$AA$3,0)-1,$BB$3,1)&gt;$BF15)*(OFFSET('DEMAND BY DATE'!$BS$4,$BB$2-1,0,$BB$3,1)="Y"))</f>
        <v>0</v>
      </c>
      <c r="BJ15" s="289" cm="1">
        <f t="array" aca="1" ref="BJ15" ca="1">SUMPRODUCT(($BE$6:$BE$31=$BE15)*($BH$6:$BH$31&gt;0)*$BH$6:$BH$31)-MAX(0,$BH15)</f>
        <v>12.5</v>
      </c>
      <c r="BK15" s="289">
        <f ca="1">IF($BH15&lt;0,MIN(-$BH15,MAX(0,$BJ15-$BN15)),0)</f>
        <v>0</v>
      </c>
      <c r="BL15" s="289">
        <f ca="1">IF($BH15&lt;0,-$BH15-$BK15,0)</f>
        <v>0</v>
      </c>
      <c r="BM15" s="289">
        <f ca="1">$BH15+ROW()/100000</f>
        <v>1.00015</v>
      </c>
      <c r="BN15" s="289" cm="1">
        <f t="array" aca="1" ref="BN15" ca="1">SUMPRODUCT(($BE$6:$BE$31=$BE15)*($BH$6:$BH$31&lt;0)*($BM$6:$BM$31&lt;$BM15)*(-$BH$6:$BH$31))</f>
        <v>26.5</v>
      </c>
      <c r="BO15" s="289">
        <f ca="1">MAX(0,$BH15)-ROW()/100000</f>
        <v>0.99985</v>
      </c>
    </row>
    <row r="16" spans="2:67">
      <c r="B16" s="289" t="str">
        <f>IFERROR(INDEX(WORKINGS!$B$116:$B$141,MATCH($C16,WORKINGS!$A$116:$A$141,0)),"")</f>
        <v>OVER-LOCK</v>
      </c>
      <c r="C16" s="289" t="str">
        <f>INDEX(WORKINGS!$A$116:$A$141,MATCH(SMALL(WORKINGS!$D$116:$D$141,5),WORKINGS!$D$116:$D$141,0))</f>
        <v>4th Overlock</v>
      </c>
      <c r="D16" s="18">
        <f>IFERROR(INDEX($BF$6:$BF$31,MATCH($C16,$BD$6:$BD$31,0)),0)</f>
        <v>279</v>
      </c>
      <c r="E16" s="487">
        <f>IF(E$11="","",IFERROR($D16-INDEX('DEMAND BY DATE'!$B$4:$AA$203,MATCH(E$11,'DEMAND BY DATE'!$A$4:$A$203,0),MATCH($C16,'DEMAND BY DATE'!$B$3:$AA$3,0)),""))</f>
        <v>-12</v>
      </c>
      <c r="F16" s="487">
        <f>IF(F$11="","",IFERROR($D16-INDEX('DEMAND BY DATE'!$B$4:$AA$203,MATCH(F$11,'DEMAND BY DATE'!$A$4:$A$203,0),MATCH($C16,'DEMAND BY DATE'!$B$3:$AA$3,0)),""))</f>
        <v>-12</v>
      </c>
      <c r="G16" s="487">
        <f>IF(G$11="","",IFERROR($D16-INDEX('DEMAND BY DATE'!$B$4:$AA$203,MATCH(G$11,'DEMAND BY DATE'!$A$4:$A$203,0),MATCH($C16,'DEMAND BY DATE'!$B$3:$AA$3,0)),""))</f>
        <v>-12</v>
      </c>
      <c r="H16" s="487">
        <f>IF(H$11="","",IFERROR($D16-INDEX('DEMAND BY DATE'!$B$4:$AA$203,MATCH(H$11,'DEMAND BY DATE'!$A$4:$A$203,0),MATCH($C16,'DEMAND BY DATE'!$B$3:$AA$3,0)),""))</f>
        <v>-12</v>
      </c>
      <c r="I16" s="487">
        <f>IF(I$11="","",IFERROR($D16-INDEX('DEMAND BY DATE'!$B$4:$AA$203,MATCH(I$11,'DEMAND BY DATE'!$A$4:$A$203,0),MATCH($C16,'DEMAND BY DATE'!$B$3:$AA$3,0)),""))</f>
        <v>-12</v>
      </c>
      <c r="J16" s="487">
        <f>IF(J$11="","",IFERROR($D16-INDEX('DEMAND BY DATE'!$B$4:$AA$203,MATCH(J$11,'DEMAND BY DATE'!$A$4:$A$203,0),MATCH($C16,'DEMAND BY DATE'!$B$3:$AA$3,0)),""))</f>
        <v>-12</v>
      </c>
      <c r="K16" s="487">
        <f>IF(K$11="","",IFERROR($D16-INDEX('DEMAND BY DATE'!$B$4:$AA$203,MATCH(K$11,'DEMAND BY DATE'!$A$4:$A$203,0),MATCH($C16,'DEMAND BY DATE'!$B$3:$AA$3,0)),""))</f>
        <v>-12</v>
      </c>
      <c r="L16" s="487">
        <f>IF(L$11="","",IFERROR($D16-INDEX('DEMAND BY DATE'!$B$4:$AA$203,MATCH(L$11,'DEMAND BY DATE'!$A$4:$A$203,0),MATCH($C16,'DEMAND BY DATE'!$B$3:$AA$3,0)),""))</f>
        <v>-12</v>
      </c>
      <c r="M16" s="487">
        <f>IF(M$11="","",IFERROR($D16-INDEX('DEMAND BY DATE'!$B$4:$AA$203,MATCH(M$11,'DEMAND BY DATE'!$A$4:$A$203,0),MATCH($C16,'DEMAND BY DATE'!$B$3:$AA$3,0)),""))</f>
        <v>-12</v>
      </c>
      <c r="N16" s="487">
        <f>IF(N$11="","",IFERROR($D16-INDEX('DEMAND BY DATE'!$B$4:$AA$203,MATCH(N$11,'DEMAND BY DATE'!$A$4:$A$203,0),MATCH($C16,'DEMAND BY DATE'!$B$3:$AA$3,0)),""))</f>
        <v>-12</v>
      </c>
      <c r="O16" s="487">
        <f>IF(O$11="","",IFERROR($D16-INDEX('DEMAND BY DATE'!$B$4:$AA$203,MATCH(O$11,'DEMAND BY DATE'!$A$4:$A$203,0),MATCH($C16,'DEMAND BY DATE'!$B$3:$AA$3,0)),""))</f>
        <v>-12</v>
      </c>
      <c r="P16" s="487">
        <f>IF(P$11="","",IFERROR($D16-INDEX('DEMAND BY DATE'!$B$4:$AA$203,MATCH(P$11,'DEMAND BY DATE'!$A$4:$A$203,0),MATCH($C16,'DEMAND BY DATE'!$B$3:$AA$3,0)),""))</f>
        <v>-4</v>
      </c>
      <c r="Q16" s="487">
        <f>IF(Q$11="","",IFERROR($D16-INDEX('DEMAND BY DATE'!$B$4:$AA$203,MATCH(Q$11,'DEMAND BY DATE'!$A$4:$A$203,0),MATCH($C16,'DEMAND BY DATE'!$B$3:$AA$3,0)),""))</f>
        <v>-4</v>
      </c>
      <c r="R16" s="487">
        <f>IF(R$11="","",IFERROR($D16-INDEX('DEMAND BY DATE'!$B$4:$AA$203,MATCH(R$11,'DEMAND BY DATE'!$A$4:$A$203,0),MATCH($C16,'DEMAND BY DATE'!$B$3:$AA$3,0)),""))</f>
        <v>65</v>
      </c>
      <c r="S16" s="487">
        <f>IF(S$11="","",IFERROR($D16-INDEX('DEMAND BY DATE'!$B$4:$AA$203,MATCH(S$11,'DEMAND BY DATE'!$A$4:$A$203,0),MATCH($C16,'DEMAND BY DATE'!$B$3:$AA$3,0)),""))</f>
        <v>13</v>
      </c>
      <c r="T16" s="487">
        <f>IF(T$11="","",IFERROR($D16-INDEX('DEMAND BY DATE'!$B$4:$AA$203,MATCH(T$11,'DEMAND BY DATE'!$A$4:$A$203,0),MATCH($C16,'DEMAND BY DATE'!$B$3:$AA$3,0)),""))</f>
        <v>13</v>
      </c>
      <c r="U16" s="487">
        <f>IF(U$11="","",IFERROR($D16-INDEX('DEMAND BY DATE'!$B$4:$AA$203,MATCH(U$11,'DEMAND BY DATE'!$A$4:$A$203,0),MATCH($C16,'DEMAND BY DATE'!$B$3:$AA$3,0)),""))</f>
        <v>13</v>
      </c>
      <c r="V16" s="487">
        <f>IF(V$11="","",IFERROR($D16-INDEX('DEMAND BY DATE'!$B$4:$AA$203,MATCH(V$11,'DEMAND BY DATE'!$A$4:$A$203,0),MATCH($C16,'DEMAND BY DATE'!$B$3:$AA$3,0)),""))</f>
        <v>13</v>
      </c>
      <c r="W16" s="487">
        <f>IF(W$11="","",IFERROR($D16-INDEX('DEMAND BY DATE'!$B$4:$AA$203,MATCH(W$11,'DEMAND BY DATE'!$A$4:$A$203,0),MATCH($C16,'DEMAND BY DATE'!$B$3:$AA$3,0)),""))</f>
        <v>13</v>
      </c>
      <c r="X16" s="487">
        <f>IF(X$11="","",IFERROR($D16-INDEX('DEMAND BY DATE'!$B$4:$AA$203,MATCH(X$11,'DEMAND BY DATE'!$A$4:$A$203,0),MATCH($C16,'DEMAND BY DATE'!$B$3:$AA$3,0)),""))</f>
        <v>13</v>
      </c>
      <c r="Y16" s="487">
        <f>IF(Y$11="","",IFERROR($D16-INDEX('DEMAND BY DATE'!$B$4:$AA$203,MATCH(Y$11,'DEMAND BY DATE'!$A$4:$A$203,0),MATCH($C16,'DEMAND BY DATE'!$B$3:$AA$3,0)),""))</f>
        <v>13</v>
      </c>
      <c r="Z16" s="487">
        <f>IF(Z$11="","",IFERROR($D16-INDEX('DEMAND BY DATE'!$B$4:$AA$203,MATCH(Z$11,'DEMAND BY DATE'!$A$4:$A$203,0),MATCH($C16,'DEMAND BY DATE'!$B$3:$AA$3,0)),""))</f>
        <v>13</v>
      </c>
      <c r="AA16" s="487">
        <f>IF(AA$11="","",IFERROR($D16-INDEX('DEMAND BY DATE'!$B$4:$AA$203,MATCH(AA$11,'DEMAND BY DATE'!$A$4:$A$203,0),MATCH($C16,'DEMAND BY DATE'!$B$3:$AA$3,0)),""))</f>
        <v>13</v>
      </c>
      <c r="AB16" s="487">
        <f>IF(AB$11="","",IFERROR($D16-INDEX('DEMAND BY DATE'!$B$4:$AA$203,MATCH(AB$11,'DEMAND BY DATE'!$A$4:$A$203,0),MATCH($C16,'DEMAND BY DATE'!$B$3:$AA$3,0)),""))</f>
        <v>13</v>
      </c>
      <c r="AC16" s="487">
        <f>IF(AC$11="","",IFERROR($D16-INDEX('DEMAND BY DATE'!$B$4:$AA$203,MATCH(AC$11,'DEMAND BY DATE'!$A$4:$A$203,0),MATCH($C16,'DEMAND BY DATE'!$B$3:$AA$3,0)),""))</f>
        <v>13</v>
      </c>
      <c r="AD16" s="487">
        <f>IF(AD$11="","",IFERROR($D16-INDEX('DEMAND BY DATE'!$B$4:$AA$203,MATCH(AD$11,'DEMAND BY DATE'!$A$4:$A$203,0),MATCH($C16,'DEMAND BY DATE'!$B$3:$AA$3,0)),""))</f>
        <v>13</v>
      </c>
      <c r="AE16" s="487">
        <f>IF(AE$11="","",IFERROR($D16-INDEX('DEMAND BY DATE'!$B$4:$AA$203,MATCH(AE$11,'DEMAND BY DATE'!$A$4:$A$203,0),MATCH($C16,'DEMAND BY DATE'!$B$3:$AA$3,0)),""))</f>
        <v>13</v>
      </c>
      <c r="AF16" s="487">
        <f>IF(AF$11="","",IFERROR($D16-INDEX('DEMAND BY DATE'!$B$4:$AA$203,MATCH(AF$11,'DEMAND BY DATE'!$A$4:$A$203,0),MATCH($C16,'DEMAND BY DATE'!$B$3:$AA$3,0)),""))</f>
        <v>13</v>
      </c>
      <c r="AG16" s="487">
        <f>IF(AG$11="","",IFERROR($D16-INDEX('DEMAND BY DATE'!$B$4:$AA$203,MATCH(AG$11,'DEMAND BY DATE'!$A$4:$A$203,0),MATCH($C16,'DEMAND BY DATE'!$B$3:$AA$3,0)),""))</f>
        <v>13</v>
      </c>
      <c r="AH16" s="487">
        <f>IF(AH$11="","",IFERROR($D16-INDEX('DEMAND BY DATE'!$B$4:$AA$203,MATCH(AH$11,'DEMAND BY DATE'!$A$4:$A$203,0),MATCH($C16,'DEMAND BY DATE'!$B$3:$AA$3,0)),""))</f>
        <v>13</v>
      </c>
      <c r="AI16" s="487">
        <f>IF(AI$11="","",IFERROR($D16-INDEX('DEMAND BY DATE'!$B$4:$AA$203,MATCH(AI$11,'DEMAND BY DATE'!$A$4:$A$203,0),MATCH($C16,'DEMAND BY DATE'!$B$3:$AA$3,0)),""))</f>
        <v>13</v>
      </c>
      <c r="BD16" s="289" t="str">
        <f>INDEX('MC MASTER'!$B$3:$B$28,11)</f>
        <v>F/L (Coverseam )with pullar</v>
      </c>
      <c r="BE16" s="289" t="str">
        <f>IFERROR(INDEX('MC MAP'!$BX$5:$BX$30,MATCH($BD16,'MC MAP'!$BW$5:$BW$30,0)),"?")</f>
        <v>FLAT-LOCK</v>
      </c>
      <c r="BF16" s="289">
        <f>INDEX('MC MASTER'!$C$3:$C$28,11)</f>
        <v>37</v>
      </c>
      <c r="BG16" s="289">
        <f ca="1">MAX(OFFSET('DEMAND BY DATE'!$B$4,$BB$2-1,MATCH($BD16,'DEMAND BY DATE'!$B$3:$AA$3,0)-1,$BB$3,1))</f>
        <v>43.5</v>
      </c>
      <c r="BH16" s="289">
        <f ca="1">$BF16-$BG16</f>
        <v>-6.5</v>
      </c>
      <c r="BI16" s="289" cm="1">
        <f t="array" aca="1" ref="BI16" ca="1">SUMPRODUCT((OFFSET('DEMAND BY DATE'!$B$4,$BB$2-1,MATCH($BD16,'DEMAND BY DATE'!$B$3:$AA$3,0)-1,$BB$3,1)&gt;$BF16)*(OFFSET('DEMAND BY DATE'!$BS$4,$BB$2-1,0,$BB$3,1)="Y"))</f>
        <v>25</v>
      </c>
      <c r="BJ16" s="289" cm="1">
        <f t="array" aca="1" ref="BJ16" ca="1">SUMPRODUCT(($BE$6:$BE$31=$BE16)*($BH$6:$BH$31&gt;0)*$BH$6:$BH$31)-MAX(0,$BH16)</f>
        <v>13.5</v>
      </c>
      <c r="BK16" s="289">
        <f ca="1">IF($BH16&lt;0,MIN(-$BH16,MAX(0,$BJ16-$BN16)),0)</f>
        <v>0</v>
      </c>
      <c r="BL16" s="289">
        <f ca="1">IF($BH16&lt;0,-$BH16-$BK16,0)</f>
        <v>6.5</v>
      </c>
      <c r="BM16" s="289">
        <f ca="1">$BH16+ROW()/100000</f>
        <v>-6.49984</v>
      </c>
      <c r="BN16" s="289" cm="1">
        <f t="array" aca="1" ref="BN16" ca="1">SUMPRODUCT(($BE$6:$BE$31=$BE16)*($BH$6:$BH$31&lt;0)*($BM$6:$BM$31&lt;$BM16)*(-$BH$6:$BH$31))</f>
        <v>20</v>
      </c>
      <c r="BO16" s="289">
        <f ca="1">MAX(0,$BH16)-ROW()/100000</f>
        <v>-0.00016</v>
      </c>
    </row>
    <row r="17" spans="2:67">
      <c r="B17" s="289" t="str">
        <f>IFERROR(INDEX(WORKINGS!$B$116:$B$141,MATCH($C17,WORKINGS!$A$116:$A$141,0)),"")</f>
        <v>OVER-LOCK</v>
      </c>
      <c r="C17" s="289" t="str">
        <f>INDEX(WORKINGS!$A$116:$A$141,MATCH(SMALL(WORKINGS!$D$116:$D$141,6),WORKINGS!$D$116:$D$141,0))</f>
        <v>3th Overlock (Leg elastic)</v>
      </c>
      <c r="D17" s="18">
        <f>IFERROR(INDEX($BF$6:$BF$31,MATCH($C17,$BD$6:$BD$31,0)),0)</f>
        <v>30</v>
      </c>
      <c r="E17" s="487">
        <f>IF(E$11="","",IFERROR($D17-INDEX('DEMAND BY DATE'!$B$4:$AA$203,MATCH(E$11,'DEMAND BY DATE'!$A$4:$A$203,0),MATCH($C17,'DEMAND BY DATE'!$B$3:$AA$3,0)),""))</f>
        <v>-1</v>
      </c>
      <c r="F17" s="487">
        <f>IF(F$11="","",IFERROR($D17-INDEX('DEMAND BY DATE'!$B$4:$AA$203,MATCH(F$11,'DEMAND BY DATE'!$A$4:$A$203,0),MATCH($C17,'DEMAND BY DATE'!$B$3:$AA$3,0)),""))</f>
        <v>-1</v>
      </c>
      <c r="G17" s="487">
        <f>IF(G$11="","",IFERROR($D17-INDEX('DEMAND BY DATE'!$B$4:$AA$203,MATCH(G$11,'DEMAND BY DATE'!$A$4:$A$203,0),MATCH($C17,'DEMAND BY DATE'!$B$3:$AA$3,0)),""))</f>
        <v>-1</v>
      </c>
      <c r="H17" s="487">
        <f>IF(H$11="","",IFERROR($D17-INDEX('DEMAND BY DATE'!$B$4:$AA$203,MATCH(H$11,'DEMAND BY DATE'!$A$4:$A$203,0),MATCH($C17,'DEMAND BY DATE'!$B$3:$AA$3,0)),""))</f>
        <v>-1</v>
      </c>
      <c r="I17" s="487">
        <f>IF(I$11="","",IFERROR($D17-INDEX('DEMAND BY DATE'!$B$4:$AA$203,MATCH(I$11,'DEMAND BY DATE'!$A$4:$A$203,0),MATCH($C17,'DEMAND BY DATE'!$B$3:$AA$3,0)),""))</f>
        <v>-1</v>
      </c>
      <c r="J17" s="487">
        <f>IF(J$11="","",IFERROR($D17-INDEX('DEMAND BY DATE'!$B$4:$AA$203,MATCH(J$11,'DEMAND BY DATE'!$A$4:$A$203,0),MATCH($C17,'DEMAND BY DATE'!$B$3:$AA$3,0)),""))</f>
        <v>-1</v>
      </c>
      <c r="K17" s="487">
        <f>IF(K$11="","",IFERROR($D17-INDEX('DEMAND BY DATE'!$B$4:$AA$203,MATCH(K$11,'DEMAND BY DATE'!$A$4:$A$203,0),MATCH($C17,'DEMAND BY DATE'!$B$3:$AA$3,0)),""))</f>
        <v>-1</v>
      </c>
      <c r="L17" s="487">
        <f>IF(L$11="","",IFERROR($D17-INDEX('DEMAND BY DATE'!$B$4:$AA$203,MATCH(L$11,'DEMAND BY DATE'!$A$4:$A$203,0),MATCH($C17,'DEMAND BY DATE'!$B$3:$AA$3,0)),""))</f>
        <v>-1</v>
      </c>
      <c r="M17" s="487">
        <f>IF(M$11="","",IFERROR($D17-INDEX('DEMAND BY DATE'!$B$4:$AA$203,MATCH(M$11,'DEMAND BY DATE'!$A$4:$A$203,0),MATCH($C17,'DEMAND BY DATE'!$B$3:$AA$3,0)),""))</f>
        <v>-1</v>
      </c>
      <c r="N17" s="487">
        <f>IF(N$11="","",IFERROR($D17-INDEX('DEMAND BY DATE'!$B$4:$AA$203,MATCH(N$11,'DEMAND BY DATE'!$A$4:$A$203,0),MATCH($C17,'DEMAND BY DATE'!$B$3:$AA$3,0)),""))</f>
        <v>-1</v>
      </c>
      <c r="O17" s="487">
        <f>IF(O$11="","",IFERROR($D17-INDEX('DEMAND BY DATE'!$B$4:$AA$203,MATCH(O$11,'DEMAND BY DATE'!$A$4:$A$203,0),MATCH($C17,'DEMAND BY DATE'!$B$3:$AA$3,0)),""))</f>
        <v>-1</v>
      </c>
      <c r="P17" s="487">
        <f>IF(P$11="","",IFERROR($D17-INDEX('DEMAND BY DATE'!$B$4:$AA$203,MATCH(P$11,'DEMAND BY DATE'!$A$4:$A$203,0),MATCH($C17,'DEMAND BY DATE'!$B$3:$AA$3,0)),""))</f>
        <v>-1</v>
      </c>
      <c r="Q17" s="487">
        <f>IF(Q$11="","",IFERROR($D17-INDEX('DEMAND BY DATE'!$B$4:$AA$203,MATCH(Q$11,'DEMAND BY DATE'!$A$4:$A$203,0),MATCH($C17,'DEMAND BY DATE'!$B$3:$AA$3,0)),""))</f>
        <v>-1</v>
      </c>
      <c r="R17" s="487">
        <f>IF(R$11="","",IFERROR($D17-INDEX('DEMAND BY DATE'!$B$4:$AA$203,MATCH(R$11,'DEMAND BY DATE'!$A$4:$A$203,0),MATCH($C17,'DEMAND BY DATE'!$B$3:$AA$3,0)),""))</f>
        <v>17</v>
      </c>
      <c r="S17" s="487">
        <f>IF(S$11="","",IFERROR($D17-INDEX('DEMAND BY DATE'!$B$4:$AA$203,MATCH(S$11,'DEMAND BY DATE'!$A$4:$A$203,0),MATCH($C17,'DEMAND BY DATE'!$B$3:$AA$3,0)),""))</f>
        <v>0</v>
      </c>
      <c r="T17" s="487">
        <f>IF(T$11="","",IFERROR($D17-INDEX('DEMAND BY DATE'!$B$4:$AA$203,MATCH(T$11,'DEMAND BY DATE'!$A$4:$A$203,0),MATCH($C17,'DEMAND BY DATE'!$B$3:$AA$3,0)),""))</f>
        <v>0</v>
      </c>
      <c r="U17" s="487">
        <f>IF(U$11="","",IFERROR($D17-INDEX('DEMAND BY DATE'!$B$4:$AA$203,MATCH(U$11,'DEMAND BY DATE'!$A$4:$A$203,0),MATCH($C17,'DEMAND BY DATE'!$B$3:$AA$3,0)),""))</f>
        <v>0</v>
      </c>
      <c r="V17" s="487">
        <f>IF(V$11="","",IFERROR($D17-INDEX('DEMAND BY DATE'!$B$4:$AA$203,MATCH(V$11,'DEMAND BY DATE'!$A$4:$A$203,0),MATCH($C17,'DEMAND BY DATE'!$B$3:$AA$3,0)),""))</f>
        <v>0</v>
      </c>
      <c r="W17" s="487">
        <f>IF(W$11="","",IFERROR($D17-INDEX('DEMAND BY DATE'!$B$4:$AA$203,MATCH(W$11,'DEMAND BY DATE'!$A$4:$A$203,0),MATCH($C17,'DEMAND BY DATE'!$B$3:$AA$3,0)),""))</f>
        <v>0</v>
      </c>
      <c r="X17" s="487">
        <f>IF(X$11="","",IFERROR($D17-INDEX('DEMAND BY DATE'!$B$4:$AA$203,MATCH(X$11,'DEMAND BY DATE'!$A$4:$A$203,0),MATCH($C17,'DEMAND BY DATE'!$B$3:$AA$3,0)),""))</f>
        <v>0</v>
      </c>
      <c r="Y17" s="487">
        <f>IF(Y$11="","",IFERROR($D17-INDEX('DEMAND BY DATE'!$B$4:$AA$203,MATCH(Y$11,'DEMAND BY DATE'!$A$4:$A$203,0),MATCH($C17,'DEMAND BY DATE'!$B$3:$AA$3,0)),""))</f>
        <v>0</v>
      </c>
      <c r="Z17" s="487">
        <f>IF(Z$11="","",IFERROR($D17-INDEX('DEMAND BY DATE'!$B$4:$AA$203,MATCH(Z$11,'DEMAND BY DATE'!$A$4:$A$203,0),MATCH($C17,'DEMAND BY DATE'!$B$3:$AA$3,0)),""))</f>
        <v>0</v>
      </c>
      <c r="AA17" s="487">
        <f>IF(AA$11="","",IFERROR($D17-INDEX('DEMAND BY DATE'!$B$4:$AA$203,MATCH(AA$11,'DEMAND BY DATE'!$A$4:$A$203,0),MATCH($C17,'DEMAND BY DATE'!$B$3:$AA$3,0)),""))</f>
        <v>0</v>
      </c>
      <c r="AB17" s="487">
        <f>IF(AB$11="","",IFERROR($D17-INDEX('DEMAND BY DATE'!$B$4:$AA$203,MATCH(AB$11,'DEMAND BY DATE'!$A$4:$A$203,0),MATCH($C17,'DEMAND BY DATE'!$B$3:$AA$3,0)),""))</f>
        <v>0</v>
      </c>
      <c r="AC17" s="487">
        <f>IF(AC$11="","",IFERROR($D17-INDEX('DEMAND BY DATE'!$B$4:$AA$203,MATCH(AC$11,'DEMAND BY DATE'!$A$4:$A$203,0),MATCH($C17,'DEMAND BY DATE'!$B$3:$AA$3,0)),""))</f>
        <v>0</v>
      </c>
      <c r="AD17" s="487">
        <f>IF(AD$11="","",IFERROR($D17-INDEX('DEMAND BY DATE'!$B$4:$AA$203,MATCH(AD$11,'DEMAND BY DATE'!$A$4:$A$203,0),MATCH($C17,'DEMAND BY DATE'!$B$3:$AA$3,0)),""))</f>
        <v>0</v>
      </c>
      <c r="AE17" s="487">
        <f>IF(AE$11="","",IFERROR($D17-INDEX('DEMAND BY DATE'!$B$4:$AA$203,MATCH(AE$11,'DEMAND BY DATE'!$A$4:$A$203,0),MATCH($C17,'DEMAND BY DATE'!$B$3:$AA$3,0)),""))</f>
        <v>0</v>
      </c>
      <c r="AF17" s="487">
        <f>IF(AF$11="","",IFERROR($D17-INDEX('DEMAND BY DATE'!$B$4:$AA$203,MATCH(AF$11,'DEMAND BY DATE'!$A$4:$A$203,0),MATCH($C17,'DEMAND BY DATE'!$B$3:$AA$3,0)),""))</f>
        <v>0</v>
      </c>
      <c r="AG17" s="487">
        <f>IF(AG$11="","",IFERROR($D17-INDEX('DEMAND BY DATE'!$B$4:$AA$203,MATCH(AG$11,'DEMAND BY DATE'!$A$4:$A$203,0),MATCH($C17,'DEMAND BY DATE'!$B$3:$AA$3,0)),""))</f>
        <v>0</v>
      </c>
      <c r="AH17" s="487">
        <f>IF(AH$11="","",IFERROR($D17-INDEX('DEMAND BY DATE'!$B$4:$AA$203,MATCH(AH$11,'DEMAND BY DATE'!$A$4:$A$203,0),MATCH($C17,'DEMAND BY DATE'!$B$3:$AA$3,0)),""))</f>
        <v>0</v>
      </c>
      <c r="AI17" s="487">
        <f>IF(AI$11="","",IFERROR($D17-INDEX('DEMAND BY DATE'!$B$4:$AA$203,MATCH(AI$11,'DEMAND BY DATE'!$A$4:$A$203,0),MATCH($C17,'DEMAND BY DATE'!$B$3:$AA$3,0)),""))</f>
        <v>0</v>
      </c>
      <c r="BD17" s="289" t="str">
        <f>INDEX('MC MASTER'!$B$3:$B$28,12)</f>
        <v>F/L (Coverseam )</v>
      </c>
      <c r="BE17" s="289" t="str">
        <f>IFERROR(INDEX('MC MAP'!$BX$5:$BX$30,MATCH($BD17,'MC MAP'!$BW$5:$BW$30,0)),"?")</f>
        <v>FLAT-LOCK</v>
      </c>
      <c r="BF17" s="289">
        <f>INDEX('MC MASTER'!$C$3:$C$28,12)</f>
        <v>6</v>
      </c>
      <c r="BG17" s="289">
        <f ca="1">MAX(OFFSET('DEMAND BY DATE'!$B$4,$BB$2-1,MATCH($BD17,'DEMAND BY DATE'!$B$3:$AA$3,0)-1,$BB$3,1))</f>
        <v>17</v>
      </c>
      <c r="BH17" s="289">
        <f ca="1">$BF17-$BG17</f>
        <v>-11</v>
      </c>
      <c r="BI17" s="289" cm="1">
        <f t="array" aca="1" ref="BI17" ca="1">SUMPRODUCT((OFFSET('DEMAND BY DATE'!$B$4,$BB$2-1,MATCH($BD17,'DEMAND BY DATE'!$B$3:$AA$3,0)-1,$BB$3,1)&gt;$BF17)*(OFFSET('DEMAND BY DATE'!$BS$4,$BB$2-1,0,$BB$3,1)="Y"))</f>
        <v>26</v>
      </c>
      <c r="BJ17" s="289" cm="1">
        <f t="array" aca="1" ref="BJ17" ca="1">SUMPRODUCT(($BE$6:$BE$31=$BE17)*($BH$6:$BH$31&gt;0)*$BH$6:$BH$31)-MAX(0,$BH17)</f>
        <v>13.5</v>
      </c>
      <c r="BK17" s="289">
        <f ca="1">IF($BH17&lt;0,MIN(-$BH17,MAX(0,$BJ17-$BN17)),0)</f>
        <v>11</v>
      </c>
      <c r="BL17" s="289">
        <f ca="1">IF($BH17&lt;0,-$BH17-$BK17,0)</f>
        <v>0</v>
      </c>
      <c r="BM17" s="289">
        <f ca="1">$BH17+ROW()/100000</f>
        <v>-10.99983</v>
      </c>
      <c r="BN17" s="289" cm="1">
        <f t="array" aca="1" ref="BN17" ca="1">SUMPRODUCT(($BE$6:$BE$31=$BE17)*($BH$6:$BH$31&lt;0)*($BM$6:$BM$31&lt;$BM17)*(-$BH$6:$BH$31))</f>
        <v>0</v>
      </c>
      <c r="BO17" s="289">
        <f ca="1">MAX(0,$BH17)-ROW()/100000</f>
        <v>-0.00017</v>
      </c>
    </row>
    <row r="18" spans="2:67">
      <c r="B18" s="289" t="str">
        <f>IFERROR(INDEX(WORKINGS!$B$116:$B$141,MATCH($C18,WORKINGS!$A$116:$A$141,0)),"")</f>
        <v>OVER-LOCK</v>
      </c>
      <c r="C18" s="289" t="str">
        <f>INDEX(WORKINGS!$A$116:$A$141,MATCH(SMALL(WORKINGS!$D$116:$D$141,7),WORKINGS!$D$116:$D$141,0))</f>
        <v>5th Overlock</v>
      </c>
      <c r="D18" s="18">
        <f>IFERROR(INDEX($BF$6:$BF$31,MATCH($C18,$BD$6:$BD$31,0)),0)</f>
        <v>5</v>
      </c>
      <c r="E18" s="487">
        <f>IF(E$11="","",IFERROR($D18-INDEX('DEMAND BY DATE'!$B$4:$AA$203,MATCH(E$11,'DEMAND BY DATE'!$A$4:$A$203,0),MATCH($C18,'DEMAND BY DATE'!$B$3:$AA$3,0)),""))</f>
        <v>5</v>
      </c>
      <c r="F18" s="487">
        <f>IF(F$11="","",IFERROR($D18-INDEX('DEMAND BY DATE'!$B$4:$AA$203,MATCH(F$11,'DEMAND BY DATE'!$A$4:$A$203,0),MATCH($C18,'DEMAND BY DATE'!$B$3:$AA$3,0)),""))</f>
        <v>5</v>
      </c>
      <c r="G18" s="487">
        <f>IF(G$11="","",IFERROR($D18-INDEX('DEMAND BY DATE'!$B$4:$AA$203,MATCH(G$11,'DEMAND BY DATE'!$A$4:$A$203,0),MATCH($C18,'DEMAND BY DATE'!$B$3:$AA$3,0)),""))</f>
        <v>5</v>
      </c>
      <c r="H18" s="487">
        <f>IF(H$11="","",IFERROR($D18-INDEX('DEMAND BY DATE'!$B$4:$AA$203,MATCH(H$11,'DEMAND BY DATE'!$A$4:$A$203,0),MATCH($C18,'DEMAND BY DATE'!$B$3:$AA$3,0)),""))</f>
        <v>5</v>
      </c>
      <c r="I18" s="487">
        <f>IF(I$11="","",IFERROR($D18-INDEX('DEMAND BY DATE'!$B$4:$AA$203,MATCH(I$11,'DEMAND BY DATE'!$A$4:$A$203,0),MATCH($C18,'DEMAND BY DATE'!$B$3:$AA$3,0)),""))</f>
        <v>5</v>
      </c>
      <c r="J18" s="487">
        <f>IF(J$11="","",IFERROR($D18-INDEX('DEMAND BY DATE'!$B$4:$AA$203,MATCH(J$11,'DEMAND BY DATE'!$A$4:$A$203,0),MATCH($C18,'DEMAND BY DATE'!$B$3:$AA$3,0)),""))</f>
        <v>5</v>
      </c>
      <c r="K18" s="487">
        <f>IF(K$11="","",IFERROR($D18-INDEX('DEMAND BY DATE'!$B$4:$AA$203,MATCH(K$11,'DEMAND BY DATE'!$A$4:$A$203,0),MATCH($C18,'DEMAND BY DATE'!$B$3:$AA$3,0)),""))</f>
        <v>5</v>
      </c>
      <c r="L18" s="487">
        <f>IF(L$11="","",IFERROR($D18-INDEX('DEMAND BY DATE'!$B$4:$AA$203,MATCH(L$11,'DEMAND BY DATE'!$A$4:$A$203,0),MATCH($C18,'DEMAND BY DATE'!$B$3:$AA$3,0)),""))</f>
        <v>5</v>
      </c>
      <c r="M18" s="487">
        <f>IF(M$11="","",IFERROR($D18-INDEX('DEMAND BY DATE'!$B$4:$AA$203,MATCH(M$11,'DEMAND BY DATE'!$A$4:$A$203,0),MATCH($C18,'DEMAND BY DATE'!$B$3:$AA$3,0)),""))</f>
        <v>5</v>
      </c>
      <c r="N18" s="487">
        <f>IF(N$11="","",IFERROR($D18-INDEX('DEMAND BY DATE'!$B$4:$AA$203,MATCH(N$11,'DEMAND BY DATE'!$A$4:$A$203,0),MATCH($C18,'DEMAND BY DATE'!$B$3:$AA$3,0)),""))</f>
        <v>5</v>
      </c>
      <c r="O18" s="487">
        <f>IF(O$11="","",IFERROR($D18-INDEX('DEMAND BY DATE'!$B$4:$AA$203,MATCH(O$11,'DEMAND BY DATE'!$A$4:$A$203,0),MATCH($C18,'DEMAND BY DATE'!$B$3:$AA$3,0)),""))</f>
        <v>5</v>
      </c>
      <c r="P18" s="487">
        <f>IF(P$11="","",IFERROR($D18-INDEX('DEMAND BY DATE'!$B$4:$AA$203,MATCH(P$11,'DEMAND BY DATE'!$A$4:$A$203,0),MATCH($C18,'DEMAND BY DATE'!$B$3:$AA$3,0)),""))</f>
        <v>5</v>
      </c>
      <c r="Q18" s="487">
        <f>IF(Q$11="","",IFERROR($D18-INDEX('DEMAND BY DATE'!$B$4:$AA$203,MATCH(Q$11,'DEMAND BY DATE'!$A$4:$A$203,0),MATCH($C18,'DEMAND BY DATE'!$B$3:$AA$3,0)),""))</f>
        <v>5</v>
      </c>
      <c r="R18" s="487">
        <f>IF(R$11="","",IFERROR($D18-INDEX('DEMAND BY DATE'!$B$4:$AA$203,MATCH(R$11,'DEMAND BY DATE'!$A$4:$A$203,0),MATCH($C18,'DEMAND BY DATE'!$B$3:$AA$3,0)),""))</f>
        <v>5</v>
      </c>
      <c r="S18" s="487">
        <f>IF(S$11="","",IFERROR($D18-INDEX('DEMAND BY DATE'!$B$4:$AA$203,MATCH(S$11,'DEMAND BY DATE'!$A$4:$A$203,0),MATCH($C18,'DEMAND BY DATE'!$B$3:$AA$3,0)),""))</f>
        <v>5</v>
      </c>
      <c r="T18" s="487">
        <f>IF(T$11="","",IFERROR($D18-INDEX('DEMAND BY DATE'!$B$4:$AA$203,MATCH(T$11,'DEMAND BY DATE'!$A$4:$A$203,0),MATCH($C18,'DEMAND BY DATE'!$B$3:$AA$3,0)),""))</f>
        <v>5</v>
      </c>
      <c r="U18" s="487">
        <f>IF(U$11="","",IFERROR($D18-INDEX('DEMAND BY DATE'!$B$4:$AA$203,MATCH(U$11,'DEMAND BY DATE'!$A$4:$A$203,0),MATCH($C18,'DEMAND BY DATE'!$B$3:$AA$3,0)),""))</f>
        <v>5</v>
      </c>
      <c r="V18" s="487">
        <f>IF(V$11="","",IFERROR($D18-INDEX('DEMAND BY DATE'!$B$4:$AA$203,MATCH(V$11,'DEMAND BY DATE'!$A$4:$A$203,0),MATCH($C18,'DEMAND BY DATE'!$B$3:$AA$3,0)),""))</f>
        <v>5</v>
      </c>
      <c r="W18" s="487">
        <f>IF(W$11="","",IFERROR($D18-INDEX('DEMAND BY DATE'!$B$4:$AA$203,MATCH(W$11,'DEMAND BY DATE'!$A$4:$A$203,0),MATCH($C18,'DEMAND BY DATE'!$B$3:$AA$3,0)),""))</f>
        <v>5</v>
      </c>
      <c r="X18" s="487">
        <f>IF(X$11="","",IFERROR($D18-INDEX('DEMAND BY DATE'!$B$4:$AA$203,MATCH(X$11,'DEMAND BY DATE'!$A$4:$A$203,0),MATCH($C18,'DEMAND BY DATE'!$B$3:$AA$3,0)),""))</f>
        <v>5</v>
      </c>
      <c r="Y18" s="487">
        <f>IF(Y$11="","",IFERROR($D18-INDEX('DEMAND BY DATE'!$B$4:$AA$203,MATCH(Y$11,'DEMAND BY DATE'!$A$4:$A$203,0),MATCH($C18,'DEMAND BY DATE'!$B$3:$AA$3,0)),""))</f>
        <v>5</v>
      </c>
      <c r="Z18" s="487">
        <f>IF(Z$11="","",IFERROR($D18-INDEX('DEMAND BY DATE'!$B$4:$AA$203,MATCH(Z$11,'DEMAND BY DATE'!$A$4:$A$203,0),MATCH($C18,'DEMAND BY DATE'!$B$3:$AA$3,0)),""))</f>
        <v>5</v>
      </c>
      <c r="AA18" s="487">
        <f>IF(AA$11="","",IFERROR($D18-INDEX('DEMAND BY DATE'!$B$4:$AA$203,MATCH(AA$11,'DEMAND BY DATE'!$A$4:$A$203,0),MATCH($C18,'DEMAND BY DATE'!$B$3:$AA$3,0)),""))</f>
        <v>5</v>
      </c>
      <c r="AB18" s="487">
        <f>IF(AB$11="","",IFERROR($D18-INDEX('DEMAND BY DATE'!$B$4:$AA$203,MATCH(AB$11,'DEMAND BY DATE'!$A$4:$A$203,0),MATCH($C18,'DEMAND BY DATE'!$B$3:$AA$3,0)),""))</f>
        <v>5</v>
      </c>
      <c r="AC18" s="487">
        <f>IF(AC$11="","",IFERROR($D18-INDEX('DEMAND BY DATE'!$B$4:$AA$203,MATCH(AC$11,'DEMAND BY DATE'!$A$4:$A$203,0),MATCH($C18,'DEMAND BY DATE'!$B$3:$AA$3,0)),""))</f>
        <v>5</v>
      </c>
      <c r="AD18" s="487">
        <f>IF(AD$11="","",IFERROR($D18-INDEX('DEMAND BY DATE'!$B$4:$AA$203,MATCH(AD$11,'DEMAND BY DATE'!$A$4:$A$203,0),MATCH($C18,'DEMAND BY DATE'!$B$3:$AA$3,0)),""))</f>
        <v>5</v>
      </c>
      <c r="AE18" s="487">
        <f>IF(AE$11="","",IFERROR($D18-INDEX('DEMAND BY DATE'!$B$4:$AA$203,MATCH(AE$11,'DEMAND BY DATE'!$A$4:$A$203,0),MATCH($C18,'DEMAND BY DATE'!$B$3:$AA$3,0)),""))</f>
        <v>5</v>
      </c>
      <c r="AF18" s="487">
        <f>IF(AF$11="","",IFERROR($D18-INDEX('DEMAND BY DATE'!$B$4:$AA$203,MATCH(AF$11,'DEMAND BY DATE'!$A$4:$A$203,0),MATCH($C18,'DEMAND BY DATE'!$B$3:$AA$3,0)),""))</f>
        <v>5</v>
      </c>
      <c r="AG18" s="487">
        <f>IF(AG$11="","",IFERROR($D18-INDEX('DEMAND BY DATE'!$B$4:$AA$203,MATCH(AG$11,'DEMAND BY DATE'!$A$4:$A$203,0),MATCH($C18,'DEMAND BY DATE'!$B$3:$AA$3,0)),""))</f>
        <v>5</v>
      </c>
      <c r="AH18" s="487">
        <f>IF(AH$11="","",IFERROR($D18-INDEX('DEMAND BY DATE'!$B$4:$AA$203,MATCH(AH$11,'DEMAND BY DATE'!$A$4:$A$203,0),MATCH($C18,'DEMAND BY DATE'!$B$3:$AA$3,0)),""))</f>
        <v>5</v>
      </c>
      <c r="AI18" s="487">
        <f>IF(AI$11="","",IFERROR($D18-INDEX('DEMAND BY DATE'!$B$4:$AA$203,MATCH(AI$11,'DEMAND BY DATE'!$A$4:$A$203,0),MATCH($C18,'DEMAND BY DATE'!$B$3:$AA$3,0)),""))</f>
        <v>5</v>
      </c>
      <c r="BD18" s="289" t="str">
        <f>INDEX('MC MASTER'!$B$3:$B$28,13)</f>
        <v>Flatlock (Ring Elastic Attach)</v>
      </c>
      <c r="BE18" s="289" t="str">
        <f>IFERROR(INDEX('MC MAP'!$BX$5:$BX$30,MATCH($BD18,'MC MAP'!$BW$5:$BW$30,0)),"?")</f>
        <v>OUTER ELASTIC</v>
      </c>
      <c r="BF18" s="289">
        <f>INDEX('MC MASTER'!$C$3:$C$28,13)</f>
        <v>42</v>
      </c>
      <c r="BG18" s="289">
        <f ca="1">MAX(OFFSET('DEMAND BY DATE'!$B$4,$BB$2-1,MATCH($BD18,'DEMAND BY DATE'!$B$3:$AA$3,0)-1,$BB$3,1))</f>
        <v>34.5</v>
      </c>
      <c r="BH18" s="289">
        <f ca="1">$BF18-$BG18</f>
        <v>7.5</v>
      </c>
      <c r="BI18" s="289" cm="1">
        <f t="array" aca="1" ref="BI18" ca="1">SUMPRODUCT((OFFSET('DEMAND BY DATE'!$B$4,$BB$2-1,MATCH($BD18,'DEMAND BY DATE'!$B$3:$AA$3,0)-1,$BB$3,1)&gt;$BF18)*(OFFSET('DEMAND BY DATE'!$BS$4,$BB$2-1,0,$BB$3,1)="Y"))</f>
        <v>0</v>
      </c>
      <c r="BJ18" s="289" cm="1">
        <f t="array" aca="1" ref="BJ18" ca="1">SUMPRODUCT(($BE$6:$BE$31=$BE18)*($BH$6:$BH$31&gt;0)*$BH$6:$BH$31)-MAX(0,$BH18)</f>
        <v>0</v>
      </c>
      <c r="BK18" s="289">
        <f ca="1">IF($BH18&lt;0,MIN(-$BH18,MAX(0,$BJ18-$BN18)),0)</f>
        <v>0</v>
      </c>
      <c r="BL18" s="289">
        <f ca="1">IF($BH18&lt;0,-$BH18-$BK18,0)</f>
        <v>0</v>
      </c>
      <c r="BM18" s="289">
        <f ca="1">$BH18+ROW()/100000</f>
        <v>7.50018</v>
      </c>
      <c r="BN18" s="289" cm="1">
        <f t="array" aca="1" ref="BN18" ca="1">SUMPRODUCT(($BE$6:$BE$31=$BE18)*($BH$6:$BH$31&lt;0)*($BM$6:$BM$31&lt;$BM18)*(-$BH$6:$BH$31))</f>
        <v>0</v>
      </c>
      <c r="BO18" s="289">
        <f ca="1">MAX(0,$BH18)-ROW()/100000</f>
        <v>7.49982</v>
      </c>
    </row>
    <row r="19" spans="2:67">
      <c r="B19" s="289" t="str">
        <f>IFERROR(INDEX(WORKINGS!$B$116:$B$141,MATCH($C19,WORKINGS!$A$116:$A$141,0)),"")</f>
        <v>OVER-LOCK</v>
      </c>
      <c r="C19" s="289" t="str">
        <f>INDEX(WORKINGS!$A$116:$A$141,MATCH(SMALL(WORKINGS!$D$116:$D$141,8),WORKINGS!$D$116:$D$141,0))</f>
        <v>Overlock (Ring Elastic Attach)</v>
      </c>
      <c r="D19" s="18">
        <f>IFERROR(INDEX($BF$6:$BF$31,MATCH($C19,$BD$6:$BD$31,0)),0)</f>
        <v>29</v>
      </c>
      <c r="E19" s="487">
        <f>IF(E$11="","",IFERROR($D19-INDEX('DEMAND BY DATE'!$B$4:$AA$203,MATCH(E$11,'DEMAND BY DATE'!$A$4:$A$203,0),MATCH($C19,'DEMAND BY DATE'!$B$3:$AA$3,0)),""))</f>
        <v>-7</v>
      </c>
      <c r="F19" s="487">
        <f>IF(F$11="","",IFERROR($D19-INDEX('DEMAND BY DATE'!$B$4:$AA$203,MATCH(F$11,'DEMAND BY DATE'!$A$4:$A$203,0),MATCH($C19,'DEMAND BY DATE'!$B$3:$AA$3,0)),""))</f>
        <v>-7</v>
      </c>
      <c r="G19" s="487">
        <f>IF(G$11="","",IFERROR($D19-INDEX('DEMAND BY DATE'!$B$4:$AA$203,MATCH(G$11,'DEMAND BY DATE'!$A$4:$A$203,0),MATCH($C19,'DEMAND BY DATE'!$B$3:$AA$3,0)),""))</f>
        <v>-7</v>
      </c>
      <c r="H19" s="487">
        <f>IF(H$11="","",IFERROR($D19-INDEX('DEMAND BY DATE'!$B$4:$AA$203,MATCH(H$11,'DEMAND BY DATE'!$A$4:$A$203,0),MATCH($C19,'DEMAND BY DATE'!$B$3:$AA$3,0)),""))</f>
        <v>-7</v>
      </c>
      <c r="I19" s="487">
        <f>IF(I$11="","",IFERROR($D19-INDEX('DEMAND BY DATE'!$B$4:$AA$203,MATCH(I$11,'DEMAND BY DATE'!$A$4:$A$203,0),MATCH($C19,'DEMAND BY DATE'!$B$3:$AA$3,0)),""))</f>
        <v>-7</v>
      </c>
      <c r="J19" s="487">
        <f>IF(J$11="","",IFERROR($D19-INDEX('DEMAND BY DATE'!$B$4:$AA$203,MATCH(J$11,'DEMAND BY DATE'!$A$4:$A$203,0),MATCH($C19,'DEMAND BY DATE'!$B$3:$AA$3,0)),""))</f>
        <v>-7</v>
      </c>
      <c r="K19" s="487">
        <f>IF(K$11="","",IFERROR($D19-INDEX('DEMAND BY DATE'!$B$4:$AA$203,MATCH(K$11,'DEMAND BY DATE'!$A$4:$A$203,0),MATCH($C19,'DEMAND BY DATE'!$B$3:$AA$3,0)),""))</f>
        <v>-7</v>
      </c>
      <c r="L19" s="487">
        <f>IF(L$11="","",IFERROR($D19-INDEX('DEMAND BY DATE'!$B$4:$AA$203,MATCH(L$11,'DEMAND BY DATE'!$A$4:$A$203,0),MATCH($C19,'DEMAND BY DATE'!$B$3:$AA$3,0)),""))</f>
        <v>-7</v>
      </c>
      <c r="M19" s="487">
        <f>IF(M$11="","",IFERROR($D19-INDEX('DEMAND BY DATE'!$B$4:$AA$203,MATCH(M$11,'DEMAND BY DATE'!$A$4:$A$203,0),MATCH($C19,'DEMAND BY DATE'!$B$3:$AA$3,0)),""))</f>
        <v>-7</v>
      </c>
      <c r="N19" s="487">
        <f>IF(N$11="","",IFERROR($D19-INDEX('DEMAND BY DATE'!$B$4:$AA$203,MATCH(N$11,'DEMAND BY DATE'!$A$4:$A$203,0),MATCH($C19,'DEMAND BY DATE'!$B$3:$AA$3,0)),""))</f>
        <v>-7</v>
      </c>
      <c r="O19" s="487">
        <f>IF(O$11="","",IFERROR($D19-INDEX('DEMAND BY DATE'!$B$4:$AA$203,MATCH(O$11,'DEMAND BY DATE'!$A$4:$A$203,0),MATCH($C19,'DEMAND BY DATE'!$B$3:$AA$3,0)),""))</f>
        <v>-7</v>
      </c>
      <c r="P19" s="487">
        <f>IF(P$11="","",IFERROR($D19-INDEX('DEMAND BY DATE'!$B$4:$AA$203,MATCH(P$11,'DEMAND BY DATE'!$A$4:$A$203,0),MATCH($C19,'DEMAND BY DATE'!$B$3:$AA$3,0)),""))</f>
        <v>-7</v>
      </c>
      <c r="Q19" s="487">
        <f>IF(Q$11="","",IFERROR($D19-INDEX('DEMAND BY DATE'!$B$4:$AA$203,MATCH(Q$11,'DEMAND BY DATE'!$A$4:$A$203,0),MATCH($C19,'DEMAND BY DATE'!$B$3:$AA$3,0)),""))</f>
        <v>-7</v>
      </c>
      <c r="R19" s="487">
        <f>IF(R$11="","",IFERROR($D19-INDEX('DEMAND BY DATE'!$B$4:$AA$203,MATCH(R$11,'DEMAND BY DATE'!$A$4:$A$203,0),MATCH($C19,'DEMAND BY DATE'!$B$3:$AA$3,0)),""))</f>
        <v>-7</v>
      </c>
      <c r="S19" s="487">
        <f>IF(S$11="","",IFERROR($D19-INDEX('DEMAND BY DATE'!$B$4:$AA$203,MATCH(S$11,'DEMAND BY DATE'!$A$4:$A$203,0),MATCH($C19,'DEMAND BY DATE'!$B$3:$AA$3,0)),""))</f>
        <v>-7</v>
      </c>
      <c r="T19" s="487">
        <f>IF(T$11="","",IFERROR($D19-INDEX('DEMAND BY DATE'!$B$4:$AA$203,MATCH(T$11,'DEMAND BY DATE'!$A$4:$A$203,0),MATCH($C19,'DEMAND BY DATE'!$B$3:$AA$3,0)),""))</f>
        <v>-7</v>
      </c>
      <c r="U19" s="487">
        <f>IF(U$11="","",IFERROR($D19-INDEX('DEMAND BY DATE'!$B$4:$AA$203,MATCH(U$11,'DEMAND BY DATE'!$A$4:$A$203,0),MATCH($C19,'DEMAND BY DATE'!$B$3:$AA$3,0)),""))</f>
        <v>-7</v>
      </c>
      <c r="V19" s="487">
        <f>IF(V$11="","",IFERROR($D19-INDEX('DEMAND BY DATE'!$B$4:$AA$203,MATCH(V$11,'DEMAND BY DATE'!$A$4:$A$203,0),MATCH($C19,'DEMAND BY DATE'!$B$3:$AA$3,0)),""))</f>
        <v>-7</v>
      </c>
      <c r="W19" s="487">
        <f>IF(W$11="","",IFERROR($D19-INDEX('DEMAND BY DATE'!$B$4:$AA$203,MATCH(W$11,'DEMAND BY DATE'!$A$4:$A$203,0),MATCH($C19,'DEMAND BY DATE'!$B$3:$AA$3,0)),""))</f>
        <v>-7</v>
      </c>
      <c r="X19" s="487">
        <f>IF(X$11="","",IFERROR($D19-INDEX('DEMAND BY DATE'!$B$4:$AA$203,MATCH(X$11,'DEMAND BY DATE'!$A$4:$A$203,0),MATCH($C19,'DEMAND BY DATE'!$B$3:$AA$3,0)),""))</f>
        <v>-7</v>
      </c>
      <c r="Y19" s="487">
        <f>IF(Y$11="","",IFERROR($D19-INDEX('DEMAND BY DATE'!$B$4:$AA$203,MATCH(Y$11,'DEMAND BY DATE'!$A$4:$A$203,0),MATCH($C19,'DEMAND BY DATE'!$B$3:$AA$3,0)),""))</f>
        <v>-7</v>
      </c>
      <c r="Z19" s="487">
        <f>IF(Z$11="","",IFERROR($D19-INDEX('DEMAND BY DATE'!$B$4:$AA$203,MATCH(Z$11,'DEMAND BY DATE'!$A$4:$A$203,0),MATCH($C19,'DEMAND BY DATE'!$B$3:$AA$3,0)),""))</f>
        <v>-7</v>
      </c>
      <c r="AA19" s="487">
        <f>IF(AA$11="","",IFERROR($D19-INDEX('DEMAND BY DATE'!$B$4:$AA$203,MATCH(AA$11,'DEMAND BY DATE'!$A$4:$A$203,0),MATCH($C19,'DEMAND BY DATE'!$B$3:$AA$3,0)),""))</f>
        <v>-7</v>
      </c>
      <c r="AB19" s="487">
        <f>IF(AB$11="","",IFERROR($D19-INDEX('DEMAND BY DATE'!$B$4:$AA$203,MATCH(AB$11,'DEMAND BY DATE'!$A$4:$A$203,0),MATCH($C19,'DEMAND BY DATE'!$B$3:$AA$3,0)),""))</f>
        <v>-7</v>
      </c>
      <c r="AC19" s="487">
        <f>IF(AC$11="","",IFERROR($D19-INDEX('DEMAND BY DATE'!$B$4:$AA$203,MATCH(AC$11,'DEMAND BY DATE'!$A$4:$A$203,0),MATCH($C19,'DEMAND BY DATE'!$B$3:$AA$3,0)),""))</f>
        <v>-7</v>
      </c>
      <c r="AD19" s="487">
        <f>IF(AD$11="","",IFERROR($D19-INDEX('DEMAND BY DATE'!$B$4:$AA$203,MATCH(AD$11,'DEMAND BY DATE'!$A$4:$A$203,0),MATCH($C19,'DEMAND BY DATE'!$B$3:$AA$3,0)),""))</f>
        <v>-7</v>
      </c>
      <c r="AE19" s="487">
        <f>IF(AE$11="","",IFERROR($D19-INDEX('DEMAND BY DATE'!$B$4:$AA$203,MATCH(AE$11,'DEMAND BY DATE'!$A$4:$A$203,0),MATCH($C19,'DEMAND BY DATE'!$B$3:$AA$3,0)),""))</f>
        <v>-7</v>
      </c>
      <c r="AF19" s="487">
        <f>IF(AF$11="","",IFERROR($D19-INDEX('DEMAND BY DATE'!$B$4:$AA$203,MATCH(AF$11,'DEMAND BY DATE'!$A$4:$A$203,0),MATCH($C19,'DEMAND BY DATE'!$B$3:$AA$3,0)),""))</f>
        <v>-7</v>
      </c>
      <c r="AG19" s="487">
        <f>IF(AG$11="","",IFERROR($D19-INDEX('DEMAND BY DATE'!$B$4:$AA$203,MATCH(AG$11,'DEMAND BY DATE'!$A$4:$A$203,0),MATCH($C19,'DEMAND BY DATE'!$B$3:$AA$3,0)),""))</f>
        <v>-7</v>
      </c>
      <c r="AH19" s="487">
        <f>IF(AH$11="","",IFERROR($D19-INDEX('DEMAND BY DATE'!$B$4:$AA$203,MATCH(AH$11,'DEMAND BY DATE'!$A$4:$A$203,0),MATCH($C19,'DEMAND BY DATE'!$B$3:$AA$3,0)),""))</f>
        <v>-7</v>
      </c>
      <c r="AI19" s="487">
        <f>IF(AI$11="","",IFERROR($D19-INDEX('DEMAND BY DATE'!$B$4:$AA$203,MATCH(AI$11,'DEMAND BY DATE'!$A$4:$A$203,0),MATCH($C19,'DEMAND BY DATE'!$B$3:$AA$3,0)),""))</f>
        <v>-7</v>
      </c>
      <c r="BD19" s="289" t="str">
        <f>INDEX('MC MASTER'!$B$3:$B$28,14)</f>
        <v>3N5T-F/L -BINDING</v>
      </c>
      <c r="BE19" s="289" t="str">
        <f>IFERROR(INDEX('MC MAP'!$BX$5:$BX$30,MATCH($BD19,'MC MAP'!$BW$5:$BW$30,0)),"?")</f>
        <v>BINDING</v>
      </c>
      <c r="BF19" s="289">
        <f>INDEX('MC MASTER'!$C$3:$C$28,14)</f>
        <v>58</v>
      </c>
      <c r="BG19" s="289">
        <f ca="1">MAX(OFFSET('DEMAND BY DATE'!$B$4,$BB$2-1,MATCH($BD19,'DEMAND BY DATE'!$B$3:$AA$3,0)-1,$BB$3,1))</f>
        <v>42</v>
      </c>
      <c r="BH19" s="289">
        <f ca="1">$BF19-$BG19</f>
        <v>16</v>
      </c>
      <c r="BI19" s="289" cm="1">
        <f t="array" aca="1" ref="BI19" ca="1">SUMPRODUCT((OFFSET('DEMAND BY DATE'!$B$4,$BB$2-1,MATCH($BD19,'DEMAND BY DATE'!$B$3:$AA$3,0)-1,$BB$3,1)&gt;$BF19)*(OFFSET('DEMAND BY DATE'!$BS$4,$BB$2-1,0,$BB$3,1)="Y"))</f>
        <v>0</v>
      </c>
      <c r="BJ19" s="289" cm="1">
        <f t="array" aca="1" ref="BJ19" ca="1">SUMPRODUCT(($BE$6:$BE$31=$BE19)*($BH$6:$BH$31&gt;0)*$BH$6:$BH$31)-MAX(0,$BH19)</f>
        <v>0</v>
      </c>
      <c r="BK19" s="289">
        <f ca="1">IF($BH19&lt;0,MIN(-$BH19,MAX(0,$BJ19-$BN19)),0)</f>
        <v>0</v>
      </c>
      <c r="BL19" s="289">
        <f ca="1">IF($BH19&lt;0,-$BH19-$BK19,0)</f>
        <v>0</v>
      </c>
      <c r="BM19" s="289">
        <f ca="1">$BH19+ROW()/100000</f>
        <v>16.00019</v>
      </c>
      <c r="BN19" s="289" cm="1">
        <f t="array" aca="1" ref="BN19" ca="1">SUMPRODUCT(($BE$6:$BE$31=$BE19)*($BH$6:$BH$31&lt;0)*($BM$6:$BM$31&lt;$BM19)*(-$BH$6:$BH$31))</f>
        <v>0</v>
      </c>
      <c r="BO19" s="289">
        <f ca="1">MAX(0,$BH19)-ROW()/100000</f>
        <v>15.99981</v>
      </c>
    </row>
    <row r="20" spans="2:67">
      <c r="B20" s="485" t="str">
        <f>IFERROR(INDEX(WORKINGS!$B$116:$B$141,MATCH($C20,WORKINGS!$A$116:$A$141,0)),"")</f>
        <v>FLAT-LOCK</v>
      </c>
      <c r="C20" s="485" t="str">
        <f>INDEX(WORKINGS!$A$116:$A$141,MATCH(SMALL(WORKINGS!$D$116:$D$141,9),WORKINGS!$D$116:$D$141,0))</f>
        <v>Flatlock Hem</v>
      </c>
      <c r="D20" s="486">
        <f>IFERROR(INDEX($BF$6:$BF$31,MATCH($C20,$BD$6:$BD$31,0)),0)</f>
        <v>34</v>
      </c>
      <c r="E20" s="487">
        <f>IF(E$11="","",IFERROR($D20-INDEX('DEMAND BY DATE'!$B$4:$AA$203,MATCH(E$11,'DEMAND BY DATE'!$A$4:$A$203,0),MATCH($C20,'DEMAND BY DATE'!$B$3:$AA$3,0)),""))</f>
        <v>11.5</v>
      </c>
      <c r="F20" s="487">
        <f>IF(F$11="","",IFERROR($D20-INDEX('DEMAND BY DATE'!$B$4:$AA$203,MATCH(F$11,'DEMAND BY DATE'!$A$4:$A$203,0),MATCH($C20,'DEMAND BY DATE'!$B$3:$AA$3,0)),""))</f>
        <v>11.5</v>
      </c>
      <c r="G20" s="487">
        <f>IF(G$11="","",IFERROR($D20-INDEX('DEMAND BY DATE'!$B$4:$AA$203,MATCH(G$11,'DEMAND BY DATE'!$A$4:$A$203,0),MATCH($C20,'DEMAND BY DATE'!$B$3:$AA$3,0)),""))</f>
        <v>11.5</v>
      </c>
      <c r="H20" s="487">
        <f>IF(H$11="","",IFERROR($D20-INDEX('DEMAND BY DATE'!$B$4:$AA$203,MATCH(H$11,'DEMAND BY DATE'!$A$4:$A$203,0),MATCH($C20,'DEMAND BY DATE'!$B$3:$AA$3,0)),""))</f>
        <v>11.5</v>
      </c>
      <c r="I20" s="487">
        <f>IF(I$11="","",IFERROR($D20-INDEX('DEMAND BY DATE'!$B$4:$AA$203,MATCH(I$11,'DEMAND BY DATE'!$A$4:$A$203,0),MATCH($C20,'DEMAND BY DATE'!$B$3:$AA$3,0)),""))</f>
        <v>11.5</v>
      </c>
      <c r="J20" s="487">
        <f>IF(J$11="","",IFERROR($D20-INDEX('DEMAND BY DATE'!$B$4:$AA$203,MATCH(J$11,'DEMAND BY DATE'!$A$4:$A$203,0),MATCH($C20,'DEMAND BY DATE'!$B$3:$AA$3,0)),""))</f>
        <v>11.5</v>
      </c>
      <c r="K20" s="487">
        <f>IF(K$11="","",IFERROR($D20-INDEX('DEMAND BY DATE'!$B$4:$AA$203,MATCH(K$11,'DEMAND BY DATE'!$A$4:$A$203,0),MATCH($C20,'DEMAND BY DATE'!$B$3:$AA$3,0)),""))</f>
        <v>11.5</v>
      </c>
      <c r="L20" s="487">
        <f>IF(L$11="","",IFERROR($D20-INDEX('DEMAND BY DATE'!$B$4:$AA$203,MATCH(L$11,'DEMAND BY DATE'!$A$4:$A$203,0),MATCH($C20,'DEMAND BY DATE'!$B$3:$AA$3,0)),""))</f>
        <v>11.5</v>
      </c>
      <c r="M20" s="487">
        <f>IF(M$11="","",IFERROR($D20-INDEX('DEMAND BY DATE'!$B$4:$AA$203,MATCH(M$11,'DEMAND BY DATE'!$A$4:$A$203,0),MATCH($C20,'DEMAND BY DATE'!$B$3:$AA$3,0)),""))</f>
        <v>11.5</v>
      </c>
      <c r="N20" s="487">
        <f>IF(N$11="","",IFERROR($D20-INDEX('DEMAND BY DATE'!$B$4:$AA$203,MATCH(N$11,'DEMAND BY DATE'!$A$4:$A$203,0),MATCH($C20,'DEMAND BY DATE'!$B$3:$AA$3,0)),""))</f>
        <v>11.5</v>
      </c>
      <c r="O20" s="487">
        <f>IF(O$11="","",IFERROR($D20-INDEX('DEMAND BY DATE'!$B$4:$AA$203,MATCH(O$11,'DEMAND BY DATE'!$A$4:$A$203,0),MATCH($C20,'DEMAND BY DATE'!$B$3:$AA$3,0)),""))</f>
        <v>11.5</v>
      </c>
      <c r="P20" s="487">
        <f>IF(P$11="","",IFERROR($D20-INDEX('DEMAND BY DATE'!$B$4:$AA$203,MATCH(P$11,'DEMAND BY DATE'!$A$4:$A$203,0),MATCH($C20,'DEMAND BY DATE'!$B$3:$AA$3,0)),""))</f>
        <v>7.5</v>
      </c>
      <c r="Q20" s="487">
        <f>IF(Q$11="","",IFERROR($D20-INDEX('DEMAND BY DATE'!$B$4:$AA$203,MATCH(Q$11,'DEMAND BY DATE'!$A$4:$A$203,0),MATCH($C20,'DEMAND BY DATE'!$B$3:$AA$3,0)),""))</f>
        <v>7.5</v>
      </c>
      <c r="R20" s="487">
        <f>IF(R$11="","",IFERROR($D20-INDEX('DEMAND BY DATE'!$B$4:$AA$203,MATCH(R$11,'DEMAND BY DATE'!$A$4:$A$203,0),MATCH($C20,'DEMAND BY DATE'!$B$3:$AA$3,0)),""))</f>
        <v>6.5</v>
      </c>
      <c r="S20" s="487">
        <f>IF(S$11="","",IFERROR($D20-INDEX('DEMAND BY DATE'!$B$4:$AA$203,MATCH(S$11,'DEMAND BY DATE'!$A$4:$A$203,0),MATCH($C20,'DEMAND BY DATE'!$B$3:$AA$3,0)),""))</f>
        <v>6.5</v>
      </c>
      <c r="T20" s="487">
        <f>IF(T$11="","",IFERROR($D20-INDEX('DEMAND BY DATE'!$B$4:$AA$203,MATCH(T$11,'DEMAND BY DATE'!$A$4:$A$203,0),MATCH($C20,'DEMAND BY DATE'!$B$3:$AA$3,0)),""))</f>
        <v>6.5</v>
      </c>
      <c r="U20" s="487">
        <f>IF(U$11="","",IFERROR($D20-INDEX('DEMAND BY DATE'!$B$4:$AA$203,MATCH(U$11,'DEMAND BY DATE'!$A$4:$A$203,0),MATCH($C20,'DEMAND BY DATE'!$B$3:$AA$3,0)),""))</f>
        <v>6.5</v>
      </c>
      <c r="V20" s="487">
        <f>IF(V$11="","",IFERROR($D20-INDEX('DEMAND BY DATE'!$B$4:$AA$203,MATCH(V$11,'DEMAND BY DATE'!$A$4:$A$203,0),MATCH($C20,'DEMAND BY DATE'!$B$3:$AA$3,0)),""))</f>
        <v>6.5</v>
      </c>
      <c r="W20" s="487">
        <f>IF(W$11="","",IFERROR($D20-INDEX('DEMAND BY DATE'!$B$4:$AA$203,MATCH(W$11,'DEMAND BY DATE'!$A$4:$A$203,0),MATCH($C20,'DEMAND BY DATE'!$B$3:$AA$3,0)),""))</f>
        <v>6.5</v>
      </c>
      <c r="X20" s="487">
        <f>IF(X$11="","",IFERROR($D20-INDEX('DEMAND BY DATE'!$B$4:$AA$203,MATCH(X$11,'DEMAND BY DATE'!$A$4:$A$203,0),MATCH($C20,'DEMAND BY DATE'!$B$3:$AA$3,0)),""))</f>
        <v>6.5</v>
      </c>
      <c r="Y20" s="487">
        <f>IF(Y$11="","",IFERROR($D20-INDEX('DEMAND BY DATE'!$B$4:$AA$203,MATCH(Y$11,'DEMAND BY DATE'!$A$4:$A$203,0),MATCH($C20,'DEMAND BY DATE'!$B$3:$AA$3,0)),""))</f>
        <v>6.5</v>
      </c>
      <c r="Z20" s="487">
        <f>IF(Z$11="","",IFERROR($D20-INDEX('DEMAND BY DATE'!$B$4:$AA$203,MATCH(Z$11,'DEMAND BY DATE'!$A$4:$A$203,0),MATCH($C20,'DEMAND BY DATE'!$B$3:$AA$3,0)),""))</f>
        <v>6.5</v>
      </c>
      <c r="AA20" s="487">
        <f>IF(AA$11="","",IFERROR($D20-INDEX('DEMAND BY DATE'!$B$4:$AA$203,MATCH(AA$11,'DEMAND BY DATE'!$A$4:$A$203,0),MATCH($C20,'DEMAND BY DATE'!$B$3:$AA$3,0)),""))</f>
        <v>6.5</v>
      </c>
      <c r="AB20" s="487">
        <f>IF(AB$11="","",IFERROR($D20-INDEX('DEMAND BY DATE'!$B$4:$AA$203,MATCH(AB$11,'DEMAND BY DATE'!$A$4:$A$203,0),MATCH($C20,'DEMAND BY DATE'!$B$3:$AA$3,0)),""))</f>
        <v>6.5</v>
      </c>
      <c r="AC20" s="487">
        <f>IF(AC$11="","",IFERROR($D20-INDEX('DEMAND BY DATE'!$B$4:$AA$203,MATCH(AC$11,'DEMAND BY DATE'!$A$4:$A$203,0),MATCH($C20,'DEMAND BY DATE'!$B$3:$AA$3,0)),""))</f>
        <v>6.5</v>
      </c>
      <c r="AD20" s="487">
        <f>IF(AD$11="","",IFERROR($D20-INDEX('DEMAND BY DATE'!$B$4:$AA$203,MATCH(AD$11,'DEMAND BY DATE'!$A$4:$A$203,0),MATCH($C20,'DEMAND BY DATE'!$B$3:$AA$3,0)),""))</f>
        <v>6.5</v>
      </c>
      <c r="AE20" s="487">
        <f>IF(AE$11="","",IFERROR($D20-INDEX('DEMAND BY DATE'!$B$4:$AA$203,MATCH(AE$11,'DEMAND BY DATE'!$A$4:$A$203,0),MATCH($C20,'DEMAND BY DATE'!$B$3:$AA$3,0)),""))</f>
        <v>6.5</v>
      </c>
      <c r="AF20" s="487">
        <f>IF(AF$11="","",IFERROR($D20-INDEX('DEMAND BY DATE'!$B$4:$AA$203,MATCH(AF$11,'DEMAND BY DATE'!$A$4:$A$203,0),MATCH($C20,'DEMAND BY DATE'!$B$3:$AA$3,0)),""))</f>
        <v>6.5</v>
      </c>
      <c r="AG20" s="487">
        <f>IF(AG$11="","",IFERROR($D20-INDEX('DEMAND BY DATE'!$B$4:$AA$203,MATCH(AG$11,'DEMAND BY DATE'!$A$4:$A$203,0),MATCH($C20,'DEMAND BY DATE'!$B$3:$AA$3,0)),""))</f>
        <v>6.5</v>
      </c>
      <c r="AH20" s="487">
        <f>IF(AH$11="","",IFERROR($D20-INDEX('DEMAND BY DATE'!$B$4:$AA$203,MATCH(AH$11,'DEMAND BY DATE'!$A$4:$A$203,0),MATCH($C20,'DEMAND BY DATE'!$B$3:$AA$3,0)),""))</f>
        <v>6.5</v>
      </c>
      <c r="AI20" s="487">
        <f>IF(AI$11="","",IFERROR($D20-INDEX('DEMAND BY DATE'!$B$4:$AA$203,MATCH(AI$11,'DEMAND BY DATE'!$A$4:$A$203,0),MATCH($C20,'DEMAND BY DATE'!$B$3:$AA$3,0)),""))</f>
        <v>6.5</v>
      </c>
      <c r="BD20" s="289" t="str">
        <f>INDEX('MC MASTER'!$B$3:$B$28,15)</f>
        <v>3N5T-F/L -( TopStitch)</v>
      </c>
      <c r="BE20" s="289" t="str">
        <f>IFERROR(INDEX('MC MAP'!$BX$5:$BX$30,MATCH($BD20,'MC MAP'!$BW$5:$BW$30,0)),"?")</f>
        <v>FLAT-LOCK</v>
      </c>
      <c r="BF20" s="289">
        <f>INDEX('MC MASTER'!$C$3:$C$28,15)</f>
        <v>54</v>
      </c>
      <c r="BG20" s="289">
        <f ca="1">MAX(OFFSET('DEMAND BY DATE'!$B$4,$BB$2-1,MATCH($BD20,'DEMAND BY DATE'!$B$3:$AA$3,0)-1,$BB$3,1))</f>
        <v>63</v>
      </c>
      <c r="BH20" s="289">
        <f ca="1">$BF20-$BG20</f>
        <v>-9</v>
      </c>
      <c r="BI20" s="289" cm="1">
        <f t="array" aca="1" ref="BI20" ca="1">SUMPRODUCT((OFFSET('DEMAND BY DATE'!$B$4,$BB$2-1,MATCH($BD20,'DEMAND BY DATE'!$B$3:$AA$3,0)-1,$BB$3,1)&gt;$BF20)*(OFFSET('DEMAND BY DATE'!$BS$4,$BB$2-1,0,$BB$3,1)="Y"))</f>
        <v>14</v>
      </c>
      <c r="BJ20" s="289" cm="1">
        <f t="array" aca="1" ref="BJ20" ca="1">SUMPRODUCT(($BE$6:$BE$31=$BE20)*($BH$6:$BH$31&gt;0)*$BH$6:$BH$31)-MAX(0,$BH20)</f>
        <v>13.5</v>
      </c>
      <c r="BK20" s="289">
        <f ca="1">IF($BH20&lt;0,MIN(-$BH20,MAX(0,$BJ20-$BN20)),0)</f>
        <v>2.5</v>
      </c>
      <c r="BL20" s="289">
        <f ca="1">IF($BH20&lt;0,-$BH20-$BK20,0)</f>
        <v>6.5</v>
      </c>
      <c r="BM20" s="289">
        <f ca="1">$BH20+ROW()/100000</f>
        <v>-8.9998</v>
      </c>
      <c r="BN20" s="289" cm="1">
        <f t="array" aca="1" ref="BN20" ca="1">SUMPRODUCT(($BE$6:$BE$31=$BE20)*($BH$6:$BH$31&lt;0)*($BM$6:$BM$31&lt;$BM20)*(-$BH$6:$BH$31))</f>
        <v>11</v>
      </c>
      <c r="BO20" s="289">
        <f ca="1">MAX(0,$BH20)-ROW()/100000</f>
        <v>-0.0002</v>
      </c>
    </row>
    <row r="21" spans="2:67">
      <c r="B21" s="485" t="str">
        <f>IFERROR(INDEX(WORKINGS!$B$116:$B$141,MATCH($C21,WORKINGS!$A$116:$A$141,0)),"")</f>
        <v>FLAT-LOCK</v>
      </c>
      <c r="C21" s="485" t="str">
        <f>INDEX(WORKINGS!$A$116:$A$141,MATCH(SMALL(WORKINGS!$D$116:$D$141,10),WORKINGS!$D$116:$D$141,0))</f>
        <v>F/L (Coverseam / Waist COVER SEAM</v>
      </c>
      <c r="D21" s="486">
        <f>IFERROR(INDEX($BF$6:$BF$31,MATCH($C21,$BD$6:$BD$31,0)),0)</f>
        <v>13</v>
      </c>
      <c r="E21" s="487">
        <f>IF(E$11="","",IFERROR($D21-INDEX('DEMAND BY DATE'!$B$4:$AA$203,MATCH(E$11,'DEMAND BY DATE'!$A$4:$A$203,0),MATCH($C21,'DEMAND BY DATE'!$B$3:$AA$3,0)),""))</f>
        <v>9</v>
      </c>
      <c r="F21" s="487">
        <f>IF(F$11="","",IFERROR($D21-INDEX('DEMAND BY DATE'!$B$4:$AA$203,MATCH(F$11,'DEMAND BY DATE'!$A$4:$A$203,0),MATCH($C21,'DEMAND BY DATE'!$B$3:$AA$3,0)),""))</f>
        <v>9</v>
      </c>
      <c r="G21" s="487">
        <f>IF(G$11="","",IFERROR($D21-INDEX('DEMAND BY DATE'!$B$4:$AA$203,MATCH(G$11,'DEMAND BY DATE'!$A$4:$A$203,0),MATCH($C21,'DEMAND BY DATE'!$B$3:$AA$3,0)),""))</f>
        <v>9</v>
      </c>
      <c r="H21" s="487">
        <f>IF(H$11="","",IFERROR($D21-INDEX('DEMAND BY DATE'!$B$4:$AA$203,MATCH(H$11,'DEMAND BY DATE'!$A$4:$A$203,0),MATCH($C21,'DEMAND BY DATE'!$B$3:$AA$3,0)),""))</f>
        <v>9</v>
      </c>
      <c r="I21" s="487">
        <f>IF(I$11="","",IFERROR($D21-INDEX('DEMAND BY DATE'!$B$4:$AA$203,MATCH(I$11,'DEMAND BY DATE'!$A$4:$A$203,0),MATCH($C21,'DEMAND BY DATE'!$B$3:$AA$3,0)),""))</f>
        <v>9</v>
      </c>
      <c r="J21" s="487">
        <f>IF(J$11="","",IFERROR($D21-INDEX('DEMAND BY DATE'!$B$4:$AA$203,MATCH(J$11,'DEMAND BY DATE'!$A$4:$A$203,0),MATCH($C21,'DEMAND BY DATE'!$B$3:$AA$3,0)),""))</f>
        <v>9</v>
      </c>
      <c r="K21" s="487">
        <f>IF(K$11="","",IFERROR($D21-INDEX('DEMAND BY DATE'!$B$4:$AA$203,MATCH(K$11,'DEMAND BY DATE'!$A$4:$A$203,0),MATCH($C21,'DEMAND BY DATE'!$B$3:$AA$3,0)),""))</f>
        <v>9</v>
      </c>
      <c r="L21" s="487">
        <f>IF(L$11="","",IFERROR($D21-INDEX('DEMAND BY DATE'!$B$4:$AA$203,MATCH(L$11,'DEMAND BY DATE'!$A$4:$A$203,0),MATCH($C21,'DEMAND BY DATE'!$B$3:$AA$3,0)),""))</f>
        <v>9</v>
      </c>
      <c r="M21" s="487">
        <f>IF(M$11="","",IFERROR($D21-INDEX('DEMAND BY DATE'!$B$4:$AA$203,MATCH(M$11,'DEMAND BY DATE'!$A$4:$A$203,0),MATCH($C21,'DEMAND BY DATE'!$B$3:$AA$3,0)),""))</f>
        <v>9</v>
      </c>
      <c r="N21" s="487">
        <f>IF(N$11="","",IFERROR($D21-INDEX('DEMAND BY DATE'!$B$4:$AA$203,MATCH(N$11,'DEMAND BY DATE'!$A$4:$A$203,0),MATCH($C21,'DEMAND BY DATE'!$B$3:$AA$3,0)),""))</f>
        <v>9</v>
      </c>
      <c r="O21" s="487">
        <f>IF(O$11="","",IFERROR($D21-INDEX('DEMAND BY DATE'!$B$4:$AA$203,MATCH(O$11,'DEMAND BY DATE'!$A$4:$A$203,0),MATCH($C21,'DEMAND BY DATE'!$B$3:$AA$3,0)),""))</f>
        <v>9</v>
      </c>
      <c r="P21" s="487">
        <f>IF(P$11="","",IFERROR($D21-INDEX('DEMAND BY DATE'!$B$4:$AA$203,MATCH(P$11,'DEMAND BY DATE'!$A$4:$A$203,0),MATCH($C21,'DEMAND BY DATE'!$B$3:$AA$3,0)),""))</f>
        <v>9</v>
      </c>
      <c r="Q21" s="487">
        <f>IF(Q$11="","",IFERROR($D21-INDEX('DEMAND BY DATE'!$B$4:$AA$203,MATCH(Q$11,'DEMAND BY DATE'!$A$4:$A$203,0),MATCH($C21,'DEMAND BY DATE'!$B$3:$AA$3,0)),""))</f>
        <v>9</v>
      </c>
      <c r="R21" s="487">
        <f>IF(R$11="","",IFERROR($D21-INDEX('DEMAND BY DATE'!$B$4:$AA$203,MATCH(R$11,'DEMAND BY DATE'!$A$4:$A$203,0),MATCH($C21,'DEMAND BY DATE'!$B$3:$AA$3,0)),""))</f>
        <v>9</v>
      </c>
      <c r="S21" s="487">
        <f>IF(S$11="","",IFERROR($D21-INDEX('DEMAND BY DATE'!$B$4:$AA$203,MATCH(S$11,'DEMAND BY DATE'!$A$4:$A$203,0),MATCH($C21,'DEMAND BY DATE'!$B$3:$AA$3,0)),""))</f>
        <v>1</v>
      </c>
      <c r="T21" s="487">
        <f>IF(T$11="","",IFERROR($D21-INDEX('DEMAND BY DATE'!$B$4:$AA$203,MATCH(T$11,'DEMAND BY DATE'!$A$4:$A$203,0),MATCH($C21,'DEMAND BY DATE'!$B$3:$AA$3,0)),""))</f>
        <v>1</v>
      </c>
      <c r="U21" s="487">
        <f>IF(U$11="","",IFERROR($D21-INDEX('DEMAND BY DATE'!$B$4:$AA$203,MATCH(U$11,'DEMAND BY DATE'!$A$4:$A$203,0),MATCH($C21,'DEMAND BY DATE'!$B$3:$AA$3,0)),""))</f>
        <v>1</v>
      </c>
      <c r="V21" s="487">
        <f>IF(V$11="","",IFERROR($D21-INDEX('DEMAND BY DATE'!$B$4:$AA$203,MATCH(V$11,'DEMAND BY DATE'!$A$4:$A$203,0),MATCH($C21,'DEMAND BY DATE'!$B$3:$AA$3,0)),""))</f>
        <v>1</v>
      </c>
      <c r="W21" s="487">
        <f>IF(W$11="","",IFERROR($D21-INDEX('DEMAND BY DATE'!$B$4:$AA$203,MATCH(W$11,'DEMAND BY DATE'!$A$4:$A$203,0),MATCH($C21,'DEMAND BY DATE'!$B$3:$AA$3,0)),""))</f>
        <v>1</v>
      </c>
      <c r="X21" s="487">
        <f>IF(X$11="","",IFERROR($D21-INDEX('DEMAND BY DATE'!$B$4:$AA$203,MATCH(X$11,'DEMAND BY DATE'!$A$4:$A$203,0),MATCH($C21,'DEMAND BY DATE'!$B$3:$AA$3,0)),""))</f>
        <v>1</v>
      </c>
      <c r="Y21" s="487">
        <f>IF(Y$11="","",IFERROR($D21-INDEX('DEMAND BY DATE'!$B$4:$AA$203,MATCH(Y$11,'DEMAND BY DATE'!$A$4:$A$203,0),MATCH($C21,'DEMAND BY DATE'!$B$3:$AA$3,0)),""))</f>
        <v>1</v>
      </c>
      <c r="Z21" s="487">
        <f>IF(Z$11="","",IFERROR($D21-INDEX('DEMAND BY DATE'!$B$4:$AA$203,MATCH(Z$11,'DEMAND BY DATE'!$A$4:$A$203,0),MATCH($C21,'DEMAND BY DATE'!$B$3:$AA$3,0)),""))</f>
        <v>1</v>
      </c>
      <c r="AA21" s="487">
        <f>IF(AA$11="","",IFERROR($D21-INDEX('DEMAND BY DATE'!$B$4:$AA$203,MATCH(AA$11,'DEMAND BY DATE'!$A$4:$A$203,0),MATCH($C21,'DEMAND BY DATE'!$B$3:$AA$3,0)),""))</f>
        <v>1</v>
      </c>
      <c r="AB21" s="487">
        <f>IF(AB$11="","",IFERROR($D21-INDEX('DEMAND BY DATE'!$B$4:$AA$203,MATCH(AB$11,'DEMAND BY DATE'!$A$4:$A$203,0),MATCH($C21,'DEMAND BY DATE'!$B$3:$AA$3,0)),""))</f>
        <v>1</v>
      </c>
      <c r="AC21" s="487">
        <f>IF(AC$11="","",IFERROR($D21-INDEX('DEMAND BY DATE'!$B$4:$AA$203,MATCH(AC$11,'DEMAND BY DATE'!$A$4:$A$203,0),MATCH($C21,'DEMAND BY DATE'!$B$3:$AA$3,0)),""))</f>
        <v>1</v>
      </c>
      <c r="AD21" s="487">
        <f>IF(AD$11="","",IFERROR($D21-INDEX('DEMAND BY DATE'!$B$4:$AA$203,MATCH(AD$11,'DEMAND BY DATE'!$A$4:$A$203,0),MATCH($C21,'DEMAND BY DATE'!$B$3:$AA$3,0)),""))</f>
        <v>1</v>
      </c>
      <c r="AE21" s="487">
        <f>IF(AE$11="","",IFERROR($D21-INDEX('DEMAND BY DATE'!$B$4:$AA$203,MATCH(AE$11,'DEMAND BY DATE'!$A$4:$A$203,0),MATCH($C21,'DEMAND BY DATE'!$B$3:$AA$3,0)),""))</f>
        <v>1</v>
      </c>
      <c r="AF21" s="487">
        <f>IF(AF$11="","",IFERROR($D21-INDEX('DEMAND BY DATE'!$B$4:$AA$203,MATCH(AF$11,'DEMAND BY DATE'!$A$4:$A$203,0),MATCH($C21,'DEMAND BY DATE'!$B$3:$AA$3,0)),""))</f>
        <v>1</v>
      </c>
      <c r="AG21" s="487">
        <f>IF(AG$11="","",IFERROR($D21-INDEX('DEMAND BY DATE'!$B$4:$AA$203,MATCH(AG$11,'DEMAND BY DATE'!$A$4:$A$203,0),MATCH($C21,'DEMAND BY DATE'!$B$3:$AA$3,0)),""))</f>
        <v>1</v>
      </c>
      <c r="AH21" s="487">
        <f>IF(AH$11="","",IFERROR($D21-INDEX('DEMAND BY DATE'!$B$4:$AA$203,MATCH(AH$11,'DEMAND BY DATE'!$A$4:$A$203,0),MATCH($C21,'DEMAND BY DATE'!$B$3:$AA$3,0)),""))</f>
        <v>1</v>
      </c>
      <c r="AI21" s="487">
        <f>IF(AI$11="","",IFERROR($D21-INDEX('DEMAND BY DATE'!$B$4:$AA$203,MATCH(AI$11,'DEMAND BY DATE'!$A$4:$A$203,0),MATCH($C21,'DEMAND BY DATE'!$B$3:$AA$3,0)),""))</f>
        <v>1</v>
      </c>
      <c r="BD21" s="289" t="str">
        <f>INDEX('MC MASTER'!$B$3:$B$28,16)</f>
        <v>FlatSeamer FS</v>
      </c>
      <c r="BE21" s="289" t="str">
        <f>IFERROR(INDEX('MC MAP'!$BX$5:$BX$30,MATCH($BD21,'MC MAP'!$BW$5:$BW$30,0)),"?")</f>
        <v>FS</v>
      </c>
      <c r="BF21" s="289">
        <f>INDEX('MC MASTER'!$C$3:$C$28,16)</f>
        <v>8</v>
      </c>
      <c r="BG21" s="289">
        <f ca="1">MAX(OFFSET('DEMAND BY DATE'!$B$4,$BB$2-1,MATCH($BD21,'DEMAND BY DATE'!$B$3:$AA$3,0)-1,$BB$3,1))</f>
        <v>0</v>
      </c>
      <c r="BH21" s="289">
        <f ca="1">$BF21-$BG21</f>
        <v>8</v>
      </c>
      <c r="BI21" s="289" cm="1">
        <f t="array" aca="1" ref="BI21" ca="1">SUMPRODUCT((OFFSET('DEMAND BY DATE'!$B$4,$BB$2-1,MATCH($BD21,'DEMAND BY DATE'!$B$3:$AA$3,0)-1,$BB$3,1)&gt;$BF21)*(OFFSET('DEMAND BY DATE'!$BS$4,$BB$2-1,0,$BB$3,1)="Y"))</f>
        <v>0</v>
      </c>
      <c r="BJ21" s="289" cm="1">
        <f t="array" aca="1" ref="BJ21" ca="1">SUMPRODUCT(($BE$6:$BE$31=$BE21)*($BH$6:$BH$31&gt;0)*$BH$6:$BH$31)-MAX(0,$BH21)</f>
        <v>0</v>
      </c>
      <c r="BK21" s="289">
        <f ca="1">IF($BH21&lt;0,MIN(-$BH21,MAX(0,$BJ21-$BN21)),0)</f>
        <v>0</v>
      </c>
      <c r="BL21" s="289">
        <f ca="1">IF($BH21&lt;0,-$BH21-$BK21,0)</f>
        <v>0</v>
      </c>
      <c r="BM21" s="289">
        <f ca="1">$BH21+ROW()/100000</f>
        <v>8.00021</v>
      </c>
      <c r="BN21" s="289" cm="1">
        <f t="array" aca="1" ref="BN21" ca="1">SUMPRODUCT(($BE$6:$BE$31=$BE21)*($BH$6:$BH$31&lt;0)*($BM$6:$BM$31&lt;$BM21)*(-$BH$6:$BH$31))</f>
        <v>0</v>
      </c>
      <c r="BO21" s="289">
        <f ca="1">MAX(0,$BH21)-ROW()/100000</f>
        <v>7.99979</v>
      </c>
    </row>
    <row r="22" spans="2:67">
      <c r="B22" s="485" t="str">
        <f>IFERROR(INDEX(WORKINGS!$B$116:$B$141,MATCH($C22,WORKINGS!$A$116:$A$141,0)),"")</f>
        <v>FLAT-LOCK</v>
      </c>
      <c r="C22" s="485" t="str">
        <f>INDEX(WORKINGS!$A$116:$A$141,MATCH(SMALL(WORKINGS!$D$116:$D$141,11),WORKINGS!$D$116:$D$141,0))</f>
        <v>F/L (Coverseam )with pullar</v>
      </c>
      <c r="D22" s="486">
        <f>IFERROR(INDEX($BF$6:$BF$31,MATCH($C22,$BD$6:$BD$31,0)),0)</f>
        <v>37</v>
      </c>
      <c r="E22" s="487">
        <f>IF(E$11="","",IFERROR($D22-INDEX('DEMAND BY DATE'!$B$4:$AA$203,MATCH(E$11,'DEMAND BY DATE'!$A$4:$A$203,0),MATCH($C22,'DEMAND BY DATE'!$B$3:$AA$3,0)),""))</f>
        <v>-6.5</v>
      </c>
      <c r="F22" s="487">
        <f>IF(F$11="","",IFERROR($D22-INDEX('DEMAND BY DATE'!$B$4:$AA$203,MATCH(F$11,'DEMAND BY DATE'!$A$4:$A$203,0),MATCH($C22,'DEMAND BY DATE'!$B$3:$AA$3,0)),""))</f>
        <v>-6.5</v>
      </c>
      <c r="G22" s="487">
        <f>IF(G$11="","",IFERROR($D22-INDEX('DEMAND BY DATE'!$B$4:$AA$203,MATCH(G$11,'DEMAND BY DATE'!$A$4:$A$203,0),MATCH($C22,'DEMAND BY DATE'!$B$3:$AA$3,0)),""))</f>
        <v>-6.5</v>
      </c>
      <c r="H22" s="487">
        <f>IF(H$11="","",IFERROR($D22-INDEX('DEMAND BY DATE'!$B$4:$AA$203,MATCH(H$11,'DEMAND BY DATE'!$A$4:$A$203,0),MATCH($C22,'DEMAND BY DATE'!$B$3:$AA$3,0)),""))</f>
        <v>-6.5</v>
      </c>
      <c r="I22" s="487">
        <f>IF(I$11="","",IFERROR($D22-INDEX('DEMAND BY DATE'!$B$4:$AA$203,MATCH(I$11,'DEMAND BY DATE'!$A$4:$A$203,0),MATCH($C22,'DEMAND BY DATE'!$B$3:$AA$3,0)),""))</f>
        <v>-6.5</v>
      </c>
      <c r="J22" s="487">
        <f>IF(J$11="","",IFERROR($D22-INDEX('DEMAND BY DATE'!$B$4:$AA$203,MATCH(J$11,'DEMAND BY DATE'!$A$4:$A$203,0),MATCH($C22,'DEMAND BY DATE'!$B$3:$AA$3,0)),""))</f>
        <v>-6.5</v>
      </c>
      <c r="K22" s="487">
        <f>IF(K$11="","",IFERROR($D22-INDEX('DEMAND BY DATE'!$B$4:$AA$203,MATCH(K$11,'DEMAND BY DATE'!$A$4:$A$203,0),MATCH($C22,'DEMAND BY DATE'!$B$3:$AA$3,0)),""))</f>
        <v>-6.5</v>
      </c>
      <c r="L22" s="487">
        <f>IF(L$11="","",IFERROR($D22-INDEX('DEMAND BY DATE'!$B$4:$AA$203,MATCH(L$11,'DEMAND BY DATE'!$A$4:$A$203,0),MATCH($C22,'DEMAND BY DATE'!$B$3:$AA$3,0)),""))</f>
        <v>-6.5</v>
      </c>
      <c r="M22" s="487">
        <f>IF(M$11="","",IFERROR($D22-INDEX('DEMAND BY DATE'!$B$4:$AA$203,MATCH(M$11,'DEMAND BY DATE'!$A$4:$A$203,0),MATCH($C22,'DEMAND BY DATE'!$B$3:$AA$3,0)),""))</f>
        <v>-6.5</v>
      </c>
      <c r="N22" s="487">
        <f>IF(N$11="","",IFERROR($D22-INDEX('DEMAND BY DATE'!$B$4:$AA$203,MATCH(N$11,'DEMAND BY DATE'!$A$4:$A$203,0),MATCH($C22,'DEMAND BY DATE'!$B$3:$AA$3,0)),""))</f>
        <v>-6.5</v>
      </c>
      <c r="O22" s="487">
        <f>IF(O$11="","",IFERROR($D22-INDEX('DEMAND BY DATE'!$B$4:$AA$203,MATCH(O$11,'DEMAND BY DATE'!$A$4:$A$203,0),MATCH($C22,'DEMAND BY DATE'!$B$3:$AA$3,0)),""))</f>
        <v>-6.5</v>
      </c>
      <c r="P22" s="487">
        <f>IF(P$11="","",IFERROR($D22-INDEX('DEMAND BY DATE'!$B$4:$AA$203,MATCH(P$11,'DEMAND BY DATE'!$A$4:$A$203,0),MATCH($C22,'DEMAND BY DATE'!$B$3:$AA$3,0)),""))</f>
        <v>-6.5</v>
      </c>
      <c r="Q22" s="487">
        <f>IF(Q$11="","",IFERROR($D22-INDEX('DEMAND BY DATE'!$B$4:$AA$203,MATCH(Q$11,'DEMAND BY DATE'!$A$4:$A$203,0),MATCH($C22,'DEMAND BY DATE'!$B$3:$AA$3,0)),""))</f>
        <v>-6.5</v>
      </c>
      <c r="R22" s="487">
        <f>IF(R$11="","",IFERROR($D22-INDEX('DEMAND BY DATE'!$B$4:$AA$203,MATCH(R$11,'DEMAND BY DATE'!$A$4:$A$203,0),MATCH($C22,'DEMAND BY DATE'!$B$3:$AA$3,0)),""))</f>
        <v>11.5</v>
      </c>
      <c r="S22" s="487">
        <f>IF(S$11="","",IFERROR($D22-INDEX('DEMAND BY DATE'!$B$4:$AA$203,MATCH(S$11,'DEMAND BY DATE'!$A$4:$A$203,0),MATCH($C22,'DEMAND BY DATE'!$B$3:$AA$3,0)),""))</f>
        <v>-5.5</v>
      </c>
      <c r="T22" s="487">
        <f>IF(T$11="","",IFERROR($D22-INDEX('DEMAND BY DATE'!$B$4:$AA$203,MATCH(T$11,'DEMAND BY DATE'!$A$4:$A$203,0),MATCH($C22,'DEMAND BY DATE'!$B$3:$AA$3,0)),""))</f>
        <v>-5.5</v>
      </c>
      <c r="U22" s="487">
        <f>IF(U$11="","",IFERROR($D22-INDEX('DEMAND BY DATE'!$B$4:$AA$203,MATCH(U$11,'DEMAND BY DATE'!$A$4:$A$203,0),MATCH($C22,'DEMAND BY DATE'!$B$3:$AA$3,0)),""))</f>
        <v>-5.5</v>
      </c>
      <c r="V22" s="487">
        <f>IF(V$11="","",IFERROR($D22-INDEX('DEMAND BY DATE'!$B$4:$AA$203,MATCH(V$11,'DEMAND BY DATE'!$A$4:$A$203,0),MATCH($C22,'DEMAND BY DATE'!$B$3:$AA$3,0)),""))</f>
        <v>-5.5</v>
      </c>
      <c r="W22" s="487">
        <f>IF(W$11="","",IFERROR($D22-INDEX('DEMAND BY DATE'!$B$4:$AA$203,MATCH(W$11,'DEMAND BY DATE'!$A$4:$A$203,0),MATCH($C22,'DEMAND BY DATE'!$B$3:$AA$3,0)),""))</f>
        <v>-5.5</v>
      </c>
      <c r="X22" s="487">
        <f>IF(X$11="","",IFERROR($D22-INDEX('DEMAND BY DATE'!$B$4:$AA$203,MATCH(X$11,'DEMAND BY DATE'!$A$4:$A$203,0),MATCH($C22,'DEMAND BY DATE'!$B$3:$AA$3,0)),""))</f>
        <v>-5.5</v>
      </c>
      <c r="Y22" s="487">
        <f>IF(Y$11="","",IFERROR($D22-INDEX('DEMAND BY DATE'!$B$4:$AA$203,MATCH(Y$11,'DEMAND BY DATE'!$A$4:$A$203,0),MATCH($C22,'DEMAND BY DATE'!$B$3:$AA$3,0)),""))</f>
        <v>-5.5</v>
      </c>
      <c r="Z22" s="487">
        <f>IF(Z$11="","",IFERROR($D22-INDEX('DEMAND BY DATE'!$B$4:$AA$203,MATCH(Z$11,'DEMAND BY DATE'!$A$4:$A$203,0),MATCH($C22,'DEMAND BY DATE'!$B$3:$AA$3,0)),""))</f>
        <v>-5.5</v>
      </c>
      <c r="AA22" s="487">
        <f>IF(AA$11="","",IFERROR($D22-INDEX('DEMAND BY DATE'!$B$4:$AA$203,MATCH(AA$11,'DEMAND BY DATE'!$A$4:$A$203,0),MATCH($C22,'DEMAND BY DATE'!$B$3:$AA$3,0)),""))</f>
        <v>-5.5</v>
      </c>
      <c r="AB22" s="487">
        <f>IF(AB$11="","",IFERROR($D22-INDEX('DEMAND BY DATE'!$B$4:$AA$203,MATCH(AB$11,'DEMAND BY DATE'!$A$4:$A$203,0),MATCH($C22,'DEMAND BY DATE'!$B$3:$AA$3,0)),""))</f>
        <v>-5.5</v>
      </c>
      <c r="AC22" s="487">
        <f>IF(AC$11="","",IFERROR($D22-INDEX('DEMAND BY DATE'!$B$4:$AA$203,MATCH(AC$11,'DEMAND BY DATE'!$A$4:$A$203,0),MATCH($C22,'DEMAND BY DATE'!$B$3:$AA$3,0)),""))</f>
        <v>-5.5</v>
      </c>
      <c r="AD22" s="487">
        <f>IF(AD$11="","",IFERROR($D22-INDEX('DEMAND BY DATE'!$B$4:$AA$203,MATCH(AD$11,'DEMAND BY DATE'!$A$4:$A$203,0),MATCH($C22,'DEMAND BY DATE'!$B$3:$AA$3,0)),""))</f>
        <v>-5.5</v>
      </c>
      <c r="AE22" s="487">
        <f>IF(AE$11="","",IFERROR($D22-INDEX('DEMAND BY DATE'!$B$4:$AA$203,MATCH(AE$11,'DEMAND BY DATE'!$A$4:$A$203,0),MATCH($C22,'DEMAND BY DATE'!$B$3:$AA$3,0)),""))</f>
        <v>-5.5</v>
      </c>
      <c r="AF22" s="487">
        <f>IF(AF$11="","",IFERROR($D22-INDEX('DEMAND BY DATE'!$B$4:$AA$203,MATCH(AF$11,'DEMAND BY DATE'!$A$4:$A$203,0),MATCH($C22,'DEMAND BY DATE'!$B$3:$AA$3,0)),""))</f>
        <v>-5.5</v>
      </c>
      <c r="AG22" s="487">
        <f>IF(AG$11="","",IFERROR($D22-INDEX('DEMAND BY DATE'!$B$4:$AA$203,MATCH(AG$11,'DEMAND BY DATE'!$A$4:$A$203,0),MATCH($C22,'DEMAND BY DATE'!$B$3:$AA$3,0)),""))</f>
        <v>-5.5</v>
      </c>
      <c r="AH22" s="487">
        <f>IF(AH$11="","",IFERROR($D22-INDEX('DEMAND BY DATE'!$B$4:$AA$203,MATCH(AH$11,'DEMAND BY DATE'!$A$4:$A$203,0),MATCH($C22,'DEMAND BY DATE'!$B$3:$AA$3,0)),""))</f>
        <v>-5.5</v>
      </c>
      <c r="AI22" s="487">
        <f>IF(AI$11="","",IFERROR($D22-INDEX('DEMAND BY DATE'!$B$4:$AA$203,MATCH(AI$11,'DEMAND BY DATE'!$A$4:$A$203,0),MATCH($C22,'DEMAND BY DATE'!$B$3:$AA$3,0)),""))</f>
        <v>-5.5</v>
      </c>
      <c r="BD22" s="289" t="str">
        <f>INDEX('MC MASTER'!$B$3:$B$28,17)</f>
        <v>Kansai</v>
      </c>
      <c r="BE22" s="289" t="str">
        <f>IFERROR(INDEX('MC MAP'!$BX$5:$BX$30,MATCH($BD22,'MC MAP'!$BW$5:$BW$30,0)),"?")</f>
        <v>MULTI-NEEDLE</v>
      </c>
      <c r="BF22" s="289">
        <f>INDEX('MC MASTER'!$C$3:$C$28,17)</f>
        <v>8</v>
      </c>
      <c r="BG22" s="289">
        <f ca="1">MAX(OFFSET('DEMAND BY DATE'!$B$4,$BB$2-1,MATCH($BD22,'DEMAND BY DATE'!$B$3:$AA$3,0)-1,$BB$3,1))</f>
        <v>3</v>
      </c>
      <c r="BH22" s="289">
        <f ca="1">$BF22-$BG22</f>
        <v>5</v>
      </c>
      <c r="BI22" s="289" cm="1">
        <f t="array" aca="1" ref="BI22" ca="1">SUMPRODUCT((OFFSET('DEMAND BY DATE'!$B$4,$BB$2-1,MATCH($BD22,'DEMAND BY DATE'!$B$3:$AA$3,0)-1,$BB$3,1)&gt;$BF22)*(OFFSET('DEMAND BY DATE'!$BS$4,$BB$2-1,0,$BB$3,1)="Y"))</f>
        <v>0</v>
      </c>
      <c r="BJ22" s="289" cm="1">
        <f t="array" aca="1" ref="BJ22" ca="1">SUMPRODUCT(($BE$6:$BE$31=$BE22)*($BH$6:$BH$31&gt;0)*$BH$6:$BH$31)-MAX(0,$BH22)</f>
        <v>0</v>
      </c>
      <c r="BK22" s="289">
        <f ca="1">IF($BH22&lt;0,MIN(-$BH22,MAX(0,$BJ22-$BN22)),0)</f>
        <v>0</v>
      </c>
      <c r="BL22" s="289">
        <f ca="1">IF($BH22&lt;0,-$BH22-$BK22,0)</f>
        <v>0</v>
      </c>
      <c r="BM22" s="289">
        <f ca="1">$BH22+ROW()/100000</f>
        <v>5.00022</v>
      </c>
      <c r="BN22" s="289" cm="1">
        <f t="array" aca="1" ref="BN22" ca="1">SUMPRODUCT(($BE$6:$BE$31=$BE22)*($BH$6:$BH$31&lt;0)*($BM$6:$BM$31&lt;$BM22)*(-$BH$6:$BH$31))</f>
        <v>0</v>
      </c>
      <c r="BO22" s="289">
        <f ca="1">MAX(0,$BH22)-ROW()/100000</f>
        <v>4.99978</v>
      </c>
    </row>
    <row r="23" spans="2:67">
      <c r="B23" s="485" t="str">
        <f>IFERROR(INDEX(WORKINGS!$B$116:$B$141,MATCH($C23,WORKINGS!$A$116:$A$141,0)),"")</f>
        <v>FLAT-LOCK</v>
      </c>
      <c r="C23" s="485" t="str">
        <f>INDEX(WORKINGS!$A$116:$A$141,MATCH(SMALL(WORKINGS!$D$116:$D$141,12),WORKINGS!$D$116:$D$141,0))</f>
        <v>F/L (Coverseam )</v>
      </c>
      <c r="D23" s="486">
        <f>IFERROR(INDEX($BF$6:$BF$31,MATCH($C23,$BD$6:$BD$31,0)),0)</f>
        <v>6</v>
      </c>
      <c r="E23" s="487">
        <f>IF(E$11="","",IFERROR($D23-INDEX('DEMAND BY DATE'!$B$4:$AA$203,MATCH(E$11,'DEMAND BY DATE'!$A$4:$A$203,0),MATCH($C23,'DEMAND BY DATE'!$B$3:$AA$3,0)),""))</f>
        <v>-11</v>
      </c>
      <c r="F23" s="487">
        <f>IF(F$11="","",IFERROR($D23-INDEX('DEMAND BY DATE'!$B$4:$AA$203,MATCH(F$11,'DEMAND BY DATE'!$A$4:$A$203,0),MATCH($C23,'DEMAND BY DATE'!$B$3:$AA$3,0)),""))</f>
        <v>-11</v>
      </c>
      <c r="G23" s="487">
        <f>IF(G$11="","",IFERROR($D23-INDEX('DEMAND BY DATE'!$B$4:$AA$203,MATCH(G$11,'DEMAND BY DATE'!$A$4:$A$203,0),MATCH($C23,'DEMAND BY DATE'!$B$3:$AA$3,0)),""))</f>
        <v>-11</v>
      </c>
      <c r="H23" s="487">
        <f>IF(H$11="","",IFERROR($D23-INDEX('DEMAND BY DATE'!$B$4:$AA$203,MATCH(H$11,'DEMAND BY DATE'!$A$4:$A$203,0),MATCH($C23,'DEMAND BY DATE'!$B$3:$AA$3,0)),""))</f>
        <v>-11</v>
      </c>
      <c r="I23" s="487">
        <f>IF(I$11="","",IFERROR($D23-INDEX('DEMAND BY DATE'!$B$4:$AA$203,MATCH(I$11,'DEMAND BY DATE'!$A$4:$A$203,0),MATCH($C23,'DEMAND BY DATE'!$B$3:$AA$3,0)),""))</f>
        <v>-11</v>
      </c>
      <c r="J23" s="487">
        <f>IF(J$11="","",IFERROR($D23-INDEX('DEMAND BY DATE'!$B$4:$AA$203,MATCH(J$11,'DEMAND BY DATE'!$A$4:$A$203,0),MATCH($C23,'DEMAND BY DATE'!$B$3:$AA$3,0)),""))</f>
        <v>-11</v>
      </c>
      <c r="K23" s="487">
        <f>IF(K$11="","",IFERROR($D23-INDEX('DEMAND BY DATE'!$B$4:$AA$203,MATCH(K$11,'DEMAND BY DATE'!$A$4:$A$203,0),MATCH($C23,'DEMAND BY DATE'!$B$3:$AA$3,0)),""))</f>
        <v>-11</v>
      </c>
      <c r="L23" s="487">
        <f>IF(L$11="","",IFERROR($D23-INDEX('DEMAND BY DATE'!$B$4:$AA$203,MATCH(L$11,'DEMAND BY DATE'!$A$4:$A$203,0),MATCH($C23,'DEMAND BY DATE'!$B$3:$AA$3,0)),""))</f>
        <v>-11</v>
      </c>
      <c r="M23" s="487">
        <f>IF(M$11="","",IFERROR($D23-INDEX('DEMAND BY DATE'!$B$4:$AA$203,MATCH(M$11,'DEMAND BY DATE'!$A$4:$A$203,0),MATCH($C23,'DEMAND BY DATE'!$B$3:$AA$3,0)),""))</f>
        <v>-11</v>
      </c>
      <c r="N23" s="487">
        <f>IF(N$11="","",IFERROR($D23-INDEX('DEMAND BY DATE'!$B$4:$AA$203,MATCH(N$11,'DEMAND BY DATE'!$A$4:$A$203,0),MATCH($C23,'DEMAND BY DATE'!$B$3:$AA$3,0)),""))</f>
        <v>-11</v>
      </c>
      <c r="O23" s="487">
        <f>IF(O$11="","",IFERROR($D23-INDEX('DEMAND BY DATE'!$B$4:$AA$203,MATCH(O$11,'DEMAND BY DATE'!$A$4:$A$203,0),MATCH($C23,'DEMAND BY DATE'!$B$3:$AA$3,0)),""))</f>
        <v>-11</v>
      </c>
      <c r="P23" s="487">
        <f>IF(P$11="","",IFERROR($D23-INDEX('DEMAND BY DATE'!$B$4:$AA$203,MATCH(P$11,'DEMAND BY DATE'!$A$4:$A$203,0),MATCH($C23,'DEMAND BY DATE'!$B$3:$AA$3,0)),""))</f>
        <v>-11</v>
      </c>
      <c r="Q23" s="487">
        <f>IF(Q$11="","",IFERROR($D23-INDEX('DEMAND BY DATE'!$B$4:$AA$203,MATCH(Q$11,'DEMAND BY DATE'!$A$4:$A$203,0),MATCH($C23,'DEMAND BY DATE'!$B$3:$AA$3,0)),""))</f>
        <v>-11</v>
      </c>
      <c r="R23" s="487">
        <f>IF(R$11="","",IFERROR($D23-INDEX('DEMAND BY DATE'!$B$4:$AA$203,MATCH(R$11,'DEMAND BY DATE'!$A$4:$A$203,0),MATCH($C23,'DEMAND BY DATE'!$B$3:$AA$3,0)),""))</f>
        <v>-11</v>
      </c>
      <c r="S23" s="487">
        <f>IF(S$11="","",IFERROR($D23-INDEX('DEMAND BY DATE'!$B$4:$AA$203,MATCH(S$11,'DEMAND BY DATE'!$A$4:$A$203,0),MATCH($C23,'DEMAND BY DATE'!$B$3:$AA$3,0)),""))</f>
        <v>-11</v>
      </c>
      <c r="T23" s="487">
        <f>IF(T$11="","",IFERROR($D23-INDEX('DEMAND BY DATE'!$B$4:$AA$203,MATCH(T$11,'DEMAND BY DATE'!$A$4:$A$203,0),MATCH($C23,'DEMAND BY DATE'!$B$3:$AA$3,0)),""))</f>
        <v>-11</v>
      </c>
      <c r="U23" s="487">
        <f>IF(U$11="","",IFERROR($D23-INDEX('DEMAND BY DATE'!$B$4:$AA$203,MATCH(U$11,'DEMAND BY DATE'!$A$4:$A$203,0),MATCH($C23,'DEMAND BY DATE'!$B$3:$AA$3,0)),""))</f>
        <v>-11</v>
      </c>
      <c r="V23" s="487">
        <f>IF(V$11="","",IFERROR($D23-INDEX('DEMAND BY DATE'!$B$4:$AA$203,MATCH(V$11,'DEMAND BY DATE'!$A$4:$A$203,0),MATCH($C23,'DEMAND BY DATE'!$B$3:$AA$3,0)),""))</f>
        <v>-11</v>
      </c>
      <c r="W23" s="487">
        <f>IF(W$11="","",IFERROR($D23-INDEX('DEMAND BY DATE'!$B$4:$AA$203,MATCH(W$11,'DEMAND BY DATE'!$A$4:$A$203,0),MATCH($C23,'DEMAND BY DATE'!$B$3:$AA$3,0)),""))</f>
        <v>-11</v>
      </c>
      <c r="X23" s="487">
        <f>IF(X$11="","",IFERROR($D23-INDEX('DEMAND BY DATE'!$B$4:$AA$203,MATCH(X$11,'DEMAND BY DATE'!$A$4:$A$203,0),MATCH($C23,'DEMAND BY DATE'!$B$3:$AA$3,0)),""))</f>
        <v>-11</v>
      </c>
      <c r="Y23" s="487">
        <f>IF(Y$11="","",IFERROR($D23-INDEX('DEMAND BY DATE'!$B$4:$AA$203,MATCH(Y$11,'DEMAND BY DATE'!$A$4:$A$203,0),MATCH($C23,'DEMAND BY DATE'!$B$3:$AA$3,0)),""))</f>
        <v>-11</v>
      </c>
      <c r="Z23" s="487">
        <f>IF(Z$11="","",IFERROR($D23-INDEX('DEMAND BY DATE'!$B$4:$AA$203,MATCH(Z$11,'DEMAND BY DATE'!$A$4:$A$203,0),MATCH($C23,'DEMAND BY DATE'!$B$3:$AA$3,0)),""))</f>
        <v>-11</v>
      </c>
      <c r="AA23" s="487">
        <f>IF(AA$11="","",IFERROR($D23-INDEX('DEMAND BY DATE'!$B$4:$AA$203,MATCH(AA$11,'DEMAND BY DATE'!$A$4:$A$203,0),MATCH($C23,'DEMAND BY DATE'!$B$3:$AA$3,0)),""))</f>
        <v>-11</v>
      </c>
      <c r="AB23" s="487">
        <f>IF(AB$11="","",IFERROR($D23-INDEX('DEMAND BY DATE'!$B$4:$AA$203,MATCH(AB$11,'DEMAND BY DATE'!$A$4:$A$203,0),MATCH($C23,'DEMAND BY DATE'!$B$3:$AA$3,0)),""))</f>
        <v>-11</v>
      </c>
      <c r="AC23" s="487">
        <f>IF(AC$11="","",IFERROR($D23-INDEX('DEMAND BY DATE'!$B$4:$AA$203,MATCH(AC$11,'DEMAND BY DATE'!$A$4:$A$203,0),MATCH($C23,'DEMAND BY DATE'!$B$3:$AA$3,0)),""))</f>
        <v>-11</v>
      </c>
      <c r="AD23" s="487">
        <f>IF(AD$11="","",IFERROR($D23-INDEX('DEMAND BY DATE'!$B$4:$AA$203,MATCH(AD$11,'DEMAND BY DATE'!$A$4:$A$203,0),MATCH($C23,'DEMAND BY DATE'!$B$3:$AA$3,0)),""))</f>
        <v>-11</v>
      </c>
      <c r="AE23" s="487">
        <f>IF(AE$11="","",IFERROR($D23-INDEX('DEMAND BY DATE'!$B$4:$AA$203,MATCH(AE$11,'DEMAND BY DATE'!$A$4:$A$203,0),MATCH($C23,'DEMAND BY DATE'!$B$3:$AA$3,0)),""))</f>
        <v>-11</v>
      </c>
      <c r="AF23" s="487">
        <f>IF(AF$11="","",IFERROR($D23-INDEX('DEMAND BY DATE'!$B$4:$AA$203,MATCH(AF$11,'DEMAND BY DATE'!$A$4:$A$203,0),MATCH($C23,'DEMAND BY DATE'!$B$3:$AA$3,0)),""))</f>
        <v>-11</v>
      </c>
      <c r="AG23" s="487">
        <f>IF(AG$11="","",IFERROR($D23-INDEX('DEMAND BY DATE'!$B$4:$AA$203,MATCH(AG$11,'DEMAND BY DATE'!$A$4:$A$203,0),MATCH($C23,'DEMAND BY DATE'!$B$3:$AA$3,0)),""))</f>
        <v>-11</v>
      </c>
      <c r="AH23" s="487">
        <f>IF(AH$11="","",IFERROR($D23-INDEX('DEMAND BY DATE'!$B$4:$AA$203,MATCH(AH$11,'DEMAND BY DATE'!$A$4:$A$203,0),MATCH($C23,'DEMAND BY DATE'!$B$3:$AA$3,0)),""))</f>
        <v>-11</v>
      </c>
      <c r="AI23" s="487">
        <f>IF(AI$11="","",IFERROR($D23-INDEX('DEMAND BY DATE'!$B$4:$AA$203,MATCH(AI$11,'DEMAND BY DATE'!$A$4:$A$203,0),MATCH($C23,'DEMAND BY DATE'!$B$3:$AA$3,0)),""))</f>
        <v>-11</v>
      </c>
      <c r="BD23" s="289" t="str">
        <f>INDEX('MC MASTER'!$B$3:$B$28,18)</f>
        <v>Chain stitch</v>
      </c>
      <c r="BE23" s="289" t="str">
        <f>IFERROR(INDEX('MC MAP'!$BX$5:$BX$30,MATCH($BD23,'MC MAP'!$BW$5:$BW$30,0)),"?")</f>
        <v>CS-DNLS</v>
      </c>
      <c r="BF23" s="289">
        <f>INDEX('MC MASTER'!$C$3:$C$28,18)</f>
        <v>2</v>
      </c>
      <c r="BG23" s="289">
        <f ca="1">MAX(OFFSET('DEMAND BY DATE'!$B$4,$BB$2-1,MATCH($BD23,'DEMAND BY DATE'!$B$3:$AA$3,0)-1,$BB$3,1))</f>
        <v>0</v>
      </c>
      <c r="BH23" s="289">
        <f ca="1">$BF23-$BG23</f>
        <v>2</v>
      </c>
      <c r="BI23" s="289" cm="1">
        <f t="array" aca="1" ref="BI23" ca="1">SUMPRODUCT((OFFSET('DEMAND BY DATE'!$B$4,$BB$2-1,MATCH($BD23,'DEMAND BY DATE'!$B$3:$AA$3,0)-1,$BB$3,1)&gt;$BF23)*(OFFSET('DEMAND BY DATE'!$BS$4,$BB$2-1,0,$BB$3,1)="Y"))</f>
        <v>0</v>
      </c>
      <c r="BJ23" s="289" cm="1">
        <f t="array" aca="1" ref="BJ23" ca="1">SUMPRODUCT(($BE$6:$BE$31=$BE23)*($BH$6:$BH$31&gt;0)*$BH$6:$BH$31)-MAX(0,$BH23)</f>
        <v>0</v>
      </c>
      <c r="BK23" s="289">
        <f ca="1">IF($BH23&lt;0,MIN(-$BH23,MAX(0,$BJ23-$BN23)),0)</f>
        <v>0</v>
      </c>
      <c r="BL23" s="289">
        <f ca="1">IF($BH23&lt;0,-$BH23-$BK23,0)</f>
        <v>0</v>
      </c>
      <c r="BM23" s="289">
        <f ca="1">$BH23+ROW()/100000</f>
        <v>2.00023</v>
      </c>
      <c r="BN23" s="289" cm="1">
        <f t="array" aca="1" ref="BN23" ca="1">SUMPRODUCT(($BE$6:$BE$31=$BE23)*($BH$6:$BH$31&lt;0)*($BM$6:$BM$31&lt;$BM23)*(-$BH$6:$BH$31))</f>
        <v>0</v>
      </c>
      <c r="BO23" s="289">
        <f ca="1">MAX(0,$BH23)-ROW()/100000</f>
        <v>1.99977</v>
      </c>
    </row>
    <row r="24" spans="2:67">
      <c r="B24" s="485" t="str">
        <f>IFERROR(INDEX(WORKINGS!$B$116:$B$141,MATCH($C24,WORKINGS!$A$116:$A$141,0)),"")</f>
        <v>FLAT-LOCK</v>
      </c>
      <c r="C24" s="485" t="str">
        <f>INDEX(WORKINGS!$A$116:$A$141,MATCH(SMALL(WORKINGS!$D$116:$D$141,13),WORKINGS!$D$116:$D$141,0))</f>
        <v>3N5T-F/L -( TopStitch)</v>
      </c>
      <c r="D24" s="486">
        <f>IFERROR(INDEX($BF$6:$BF$31,MATCH($C24,$BD$6:$BD$31,0)),0)</f>
        <v>54</v>
      </c>
      <c r="E24" s="487">
        <f>IF(E$11="","",IFERROR($D24-INDEX('DEMAND BY DATE'!$B$4:$AA$203,MATCH(E$11,'DEMAND BY DATE'!$A$4:$A$203,0),MATCH($C24,'DEMAND BY DATE'!$B$3:$AA$3,0)),""))</f>
        <v>7</v>
      </c>
      <c r="F24" s="487">
        <f>IF(F$11="","",IFERROR($D24-INDEX('DEMAND BY DATE'!$B$4:$AA$203,MATCH(F$11,'DEMAND BY DATE'!$A$4:$A$203,0),MATCH($C24,'DEMAND BY DATE'!$B$3:$AA$3,0)),""))</f>
        <v>7</v>
      </c>
      <c r="G24" s="487">
        <f>IF(G$11="","",IFERROR($D24-INDEX('DEMAND BY DATE'!$B$4:$AA$203,MATCH(G$11,'DEMAND BY DATE'!$A$4:$A$203,0),MATCH($C24,'DEMAND BY DATE'!$B$3:$AA$3,0)),""))</f>
        <v>7</v>
      </c>
      <c r="H24" s="487">
        <f>IF(H$11="","",IFERROR($D24-INDEX('DEMAND BY DATE'!$B$4:$AA$203,MATCH(H$11,'DEMAND BY DATE'!$A$4:$A$203,0),MATCH($C24,'DEMAND BY DATE'!$B$3:$AA$3,0)),""))</f>
        <v>7</v>
      </c>
      <c r="I24" s="487">
        <f>IF(I$11="","",IFERROR($D24-INDEX('DEMAND BY DATE'!$B$4:$AA$203,MATCH(I$11,'DEMAND BY DATE'!$A$4:$A$203,0),MATCH($C24,'DEMAND BY DATE'!$B$3:$AA$3,0)),""))</f>
        <v>7</v>
      </c>
      <c r="J24" s="487">
        <f>IF(J$11="","",IFERROR($D24-INDEX('DEMAND BY DATE'!$B$4:$AA$203,MATCH(J$11,'DEMAND BY DATE'!$A$4:$A$203,0),MATCH($C24,'DEMAND BY DATE'!$B$3:$AA$3,0)),""))</f>
        <v>7</v>
      </c>
      <c r="K24" s="487">
        <f>IF(K$11="","",IFERROR($D24-INDEX('DEMAND BY DATE'!$B$4:$AA$203,MATCH(K$11,'DEMAND BY DATE'!$A$4:$A$203,0),MATCH($C24,'DEMAND BY DATE'!$B$3:$AA$3,0)),""))</f>
        <v>7</v>
      </c>
      <c r="L24" s="487">
        <f>IF(L$11="","",IFERROR($D24-INDEX('DEMAND BY DATE'!$B$4:$AA$203,MATCH(L$11,'DEMAND BY DATE'!$A$4:$A$203,0),MATCH($C24,'DEMAND BY DATE'!$B$3:$AA$3,0)),""))</f>
        <v>7</v>
      </c>
      <c r="M24" s="487">
        <f>IF(M$11="","",IFERROR($D24-INDEX('DEMAND BY DATE'!$B$4:$AA$203,MATCH(M$11,'DEMAND BY DATE'!$A$4:$A$203,0),MATCH($C24,'DEMAND BY DATE'!$B$3:$AA$3,0)),""))</f>
        <v>7</v>
      </c>
      <c r="N24" s="487">
        <f>IF(N$11="","",IFERROR($D24-INDEX('DEMAND BY DATE'!$B$4:$AA$203,MATCH(N$11,'DEMAND BY DATE'!$A$4:$A$203,0),MATCH($C24,'DEMAND BY DATE'!$B$3:$AA$3,0)),""))</f>
        <v>7</v>
      </c>
      <c r="O24" s="487">
        <f>IF(O$11="","",IFERROR($D24-INDEX('DEMAND BY DATE'!$B$4:$AA$203,MATCH(O$11,'DEMAND BY DATE'!$A$4:$A$203,0),MATCH($C24,'DEMAND BY DATE'!$B$3:$AA$3,0)),""))</f>
        <v>7</v>
      </c>
      <c r="P24" s="487">
        <f>IF(P$11="","",IFERROR($D24-INDEX('DEMAND BY DATE'!$B$4:$AA$203,MATCH(P$11,'DEMAND BY DATE'!$A$4:$A$203,0),MATCH($C24,'DEMAND BY DATE'!$B$3:$AA$3,0)),""))</f>
        <v>7</v>
      </c>
      <c r="Q24" s="487">
        <f>IF(Q$11="","",IFERROR($D24-INDEX('DEMAND BY DATE'!$B$4:$AA$203,MATCH(Q$11,'DEMAND BY DATE'!$A$4:$A$203,0),MATCH($C24,'DEMAND BY DATE'!$B$3:$AA$3,0)),""))</f>
        <v>7</v>
      </c>
      <c r="R24" s="487">
        <f>IF(R$11="","",IFERROR($D24-INDEX('DEMAND BY DATE'!$B$4:$AA$203,MATCH(R$11,'DEMAND BY DATE'!$A$4:$A$203,0),MATCH($C24,'DEMAND BY DATE'!$B$3:$AA$3,0)),""))</f>
        <v>3</v>
      </c>
      <c r="S24" s="487">
        <f>IF(S$11="","",IFERROR($D24-INDEX('DEMAND BY DATE'!$B$4:$AA$203,MATCH(S$11,'DEMAND BY DATE'!$A$4:$A$203,0),MATCH($C24,'DEMAND BY DATE'!$B$3:$AA$3,0)),""))</f>
        <v>-9</v>
      </c>
      <c r="T24" s="487">
        <f>IF(T$11="","",IFERROR($D24-INDEX('DEMAND BY DATE'!$B$4:$AA$203,MATCH(T$11,'DEMAND BY DATE'!$A$4:$A$203,0),MATCH($C24,'DEMAND BY DATE'!$B$3:$AA$3,0)),""))</f>
        <v>-9</v>
      </c>
      <c r="U24" s="487">
        <f>IF(U$11="","",IFERROR($D24-INDEX('DEMAND BY DATE'!$B$4:$AA$203,MATCH(U$11,'DEMAND BY DATE'!$A$4:$A$203,0),MATCH($C24,'DEMAND BY DATE'!$B$3:$AA$3,0)),""))</f>
        <v>-9</v>
      </c>
      <c r="V24" s="487">
        <f>IF(V$11="","",IFERROR($D24-INDEX('DEMAND BY DATE'!$B$4:$AA$203,MATCH(V$11,'DEMAND BY DATE'!$A$4:$A$203,0),MATCH($C24,'DEMAND BY DATE'!$B$3:$AA$3,0)),""))</f>
        <v>-9</v>
      </c>
      <c r="W24" s="487">
        <f>IF(W$11="","",IFERROR($D24-INDEX('DEMAND BY DATE'!$B$4:$AA$203,MATCH(W$11,'DEMAND BY DATE'!$A$4:$A$203,0),MATCH($C24,'DEMAND BY DATE'!$B$3:$AA$3,0)),""))</f>
        <v>-9</v>
      </c>
      <c r="X24" s="487">
        <f>IF(X$11="","",IFERROR($D24-INDEX('DEMAND BY DATE'!$B$4:$AA$203,MATCH(X$11,'DEMAND BY DATE'!$A$4:$A$203,0),MATCH($C24,'DEMAND BY DATE'!$B$3:$AA$3,0)),""))</f>
        <v>-9</v>
      </c>
      <c r="Y24" s="487">
        <f>IF(Y$11="","",IFERROR($D24-INDEX('DEMAND BY DATE'!$B$4:$AA$203,MATCH(Y$11,'DEMAND BY DATE'!$A$4:$A$203,0),MATCH($C24,'DEMAND BY DATE'!$B$3:$AA$3,0)),""))</f>
        <v>-9</v>
      </c>
      <c r="Z24" s="487">
        <f>IF(Z$11="","",IFERROR($D24-INDEX('DEMAND BY DATE'!$B$4:$AA$203,MATCH(Z$11,'DEMAND BY DATE'!$A$4:$A$203,0),MATCH($C24,'DEMAND BY DATE'!$B$3:$AA$3,0)),""))</f>
        <v>-9</v>
      </c>
      <c r="AA24" s="487">
        <f>IF(AA$11="","",IFERROR($D24-INDEX('DEMAND BY DATE'!$B$4:$AA$203,MATCH(AA$11,'DEMAND BY DATE'!$A$4:$A$203,0),MATCH($C24,'DEMAND BY DATE'!$B$3:$AA$3,0)),""))</f>
        <v>-9</v>
      </c>
      <c r="AB24" s="487">
        <f>IF(AB$11="","",IFERROR($D24-INDEX('DEMAND BY DATE'!$B$4:$AA$203,MATCH(AB$11,'DEMAND BY DATE'!$A$4:$A$203,0),MATCH($C24,'DEMAND BY DATE'!$B$3:$AA$3,0)),""))</f>
        <v>-9</v>
      </c>
      <c r="AC24" s="487">
        <f>IF(AC$11="","",IFERROR($D24-INDEX('DEMAND BY DATE'!$B$4:$AA$203,MATCH(AC$11,'DEMAND BY DATE'!$A$4:$A$203,0),MATCH($C24,'DEMAND BY DATE'!$B$3:$AA$3,0)),""))</f>
        <v>-9</v>
      </c>
      <c r="AD24" s="487">
        <f>IF(AD$11="","",IFERROR($D24-INDEX('DEMAND BY DATE'!$B$4:$AA$203,MATCH(AD$11,'DEMAND BY DATE'!$A$4:$A$203,0),MATCH($C24,'DEMAND BY DATE'!$B$3:$AA$3,0)),""))</f>
        <v>-9</v>
      </c>
      <c r="AE24" s="487">
        <f>IF(AE$11="","",IFERROR($D24-INDEX('DEMAND BY DATE'!$B$4:$AA$203,MATCH(AE$11,'DEMAND BY DATE'!$A$4:$A$203,0),MATCH($C24,'DEMAND BY DATE'!$B$3:$AA$3,0)),""))</f>
        <v>-9</v>
      </c>
      <c r="AF24" s="487">
        <f>IF(AF$11="","",IFERROR($D24-INDEX('DEMAND BY DATE'!$B$4:$AA$203,MATCH(AF$11,'DEMAND BY DATE'!$A$4:$A$203,0),MATCH($C24,'DEMAND BY DATE'!$B$3:$AA$3,0)),""))</f>
        <v>-9</v>
      </c>
      <c r="AG24" s="487">
        <f>IF(AG$11="","",IFERROR($D24-INDEX('DEMAND BY DATE'!$B$4:$AA$203,MATCH(AG$11,'DEMAND BY DATE'!$A$4:$A$203,0),MATCH($C24,'DEMAND BY DATE'!$B$3:$AA$3,0)),""))</f>
        <v>-9</v>
      </c>
      <c r="AH24" s="487">
        <f>IF(AH$11="","",IFERROR($D24-INDEX('DEMAND BY DATE'!$B$4:$AA$203,MATCH(AH$11,'DEMAND BY DATE'!$A$4:$A$203,0),MATCH($C24,'DEMAND BY DATE'!$B$3:$AA$3,0)),""))</f>
        <v>-9</v>
      </c>
      <c r="AI24" s="487">
        <f>IF(AI$11="","",IFERROR($D24-INDEX('DEMAND BY DATE'!$B$4:$AA$203,MATCH(AI$11,'DEMAND BY DATE'!$A$4:$A$203,0),MATCH($C24,'DEMAND BY DATE'!$B$3:$AA$3,0)),""))</f>
        <v>-9</v>
      </c>
      <c r="BD24" s="289" t="str">
        <f>INDEX('MC MASTER'!$B$3:$B$28,19)</f>
        <v>Flatlock (VT)</v>
      </c>
      <c r="BE24" s="289" t="str">
        <f>IFERROR(INDEX('MC MAP'!$BX$5:$BX$30,MATCH($BD24,'MC MAP'!$BW$5:$BW$30,0)),"?")</f>
        <v>FLAT-LOCK</v>
      </c>
      <c r="BF24" s="289">
        <f>INDEX('MC MASTER'!$C$3:$C$28,19)</f>
        <v>21</v>
      </c>
      <c r="BG24" s="289">
        <f ca="1">MAX(OFFSET('DEMAND BY DATE'!$B$4,$BB$2-1,MATCH($BD24,'DEMAND BY DATE'!$B$3:$AA$3,0)-1,$BB$3,1))</f>
        <v>15</v>
      </c>
      <c r="BH24" s="289">
        <f ca="1">$BF24-$BG24</f>
        <v>6</v>
      </c>
      <c r="BI24" s="289" cm="1">
        <f t="array" aca="1" ref="BI24" ca="1">SUMPRODUCT((OFFSET('DEMAND BY DATE'!$B$4,$BB$2-1,MATCH($BD24,'DEMAND BY DATE'!$B$3:$AA$3,0)-1,$BB$3,1)&gt;$BF24)*(OFFSET('DEMAND BY DATE'!$BS$4,$BB$2-1,0,$BB$3,1)="Y"))</f>
        <v>0</v>
      </c>
      <c r="BJ24" s="289" cm="1">
        <f t="array" aca="1" ref="BJ24" ca="1">SUMPRODUCT(($BE$6:$BE$31=$BE24)*($BH$6:$BH$31&gt;0)*$BH$6:$BH$31)-MAX(0,$BH24)</f>
        <v>7.5</v>
      </c>
      <c r="BK24" s="289">
        <f ca="1">IF($BH24&lt;0,MIN(-$BH24,MAX(0,$BJ24-$BN24)),0)</f>
        <v>0</v>
      </c>
      <c r="BL24" s="289">
        <f ca="1">IF($BH24&lt;0,-$BH24-$BK24,0)</f>
        <v>0</v>
      </c>
      <c r="BM24" s="289">
        <f ca="1">$BH24+ROW()/100000</f>
        <v>6.00024</v>
      </c>
      <c r="BN24" s="289" cm="1">
        <f t="array" aca="1" ref="BN24" ca="1">SUMPRODUCT(($BE$6:$BE$31=$BE24)*($BH$6:$BH$31&lt;0)*($BM$6:$BM$31&lt;$BM24)*(-$BH$6:$BH$31))</f>
        <v>26.5</v>
      </c>
      <c r="BO24" s="289">
        <f ca="1">MAX(0,$BH24)-ROW()/100000</f>
        <v>5.99976</v>
      </c>
    </row>
    <row r="25" spans="2:67">
      <c r="B25" s="485" t="str">
        <f>IFERROR(INDEX(WORKINGS!$B$116:$B$141,MATCH($C25,WORKINGS!$A$116:$A$141,0)),"")</f>
        <v>FLAT-LOCK</v>
      </c>
      <c r="C25" s="485" t="str">
        <f>INDEX(WORKINGS!$A$116:$A$141,MATCH(SMALL(WORKINGS!$D$116:$D$141,14),WORKINGS!$D$116:$D$141,0))</f>
        <v>Flatlock (VT)</v>
      </c>
      <c r="D25" s="486">
        <f>IFERROR(INDEX($BF$6:$BF$31,MATCH($C25,$BD$6:$BD$31,0)),0)</f>
        <v>21</v>
      </c>
      <c r="E25" s="487">
        <f>IF(E$11="","",IFERROR($D25-INDEX('DEMAND BY DATE'!$B$4:$AA$203,MATCH(E$11,'DEMAND BY DATE'!$A$4:$A$203,0),MATCH($C25,'DEMAND BY DATE'!$B$3:$AA$3,0)),""))</f>
        <v>8</v>
      </c>
      <c r="F25" s="487">
        <f>IF(F$11="","",IFERROR($D25-INDEX('DEMAND BY DATE'!$B$4:$AA$203,MATCH(F$11,'DEMAND BY DATE'!$A$4:$A$203,0),MATCH($C25,'DEMAND BY DATE'!$B$3:$AA$3,0)),""))</f>
        <v>8</v>
      </c>
      <c r="G25" s="487">
        <f>IF(G$11="","",IFERROR($D25-INDEX('DEMAND BY DATE'!$B$4:$AA$203,MATCH(G$11,'DEMAND BY DATE'!$A$4:$A$203,0),MATCH($C25,'DEMAND BY DATE'!$B$3:$AA$3,0)),""))</f>
        <v>8</v>
      </c>
      <c r="H25" s="487">
        <f>IF(H$11="","",IFERROR($D25-INDEX('DEMAND BY DATE'!$B$4:$AA$203,MATCH(H$11,'DEMAND BY DATE'!$A$4:$A$203,0),MATCH($C25,'DEMAND BY DATE'!$B$3:$AA$3,0)),""))</f>
        <v>8</v>
      </c>
      <c r="I25" s="487">
        <f>IF(I$11="","",IFERROR($D25-INDEX('DEMAND BY DATE'!$B$4:$AA$203,MATCH(I$11,'DEMAND BY DATE'!$A$4:$A$203,0),MATCH($C25,'DEMAND BY DATE'!$B$3:$AA$3,0)),""))</f>
        <v>8</v>
      </c>
      <c r="J25" s="487">
        <f>IF(J$11="","",IFERROR($D25-INDEX('DEMAND BY DATE'!$B$4:$AA$203,MATCH(J$11,'DEMAND BY DATE'!$A$4:$A$203,0),MATCH($C25,'DEMAND BY DATE'!$B$3:$AA$3,0)),""))</f>
        <v>8</v>
      </c>
      <c r="K25" s="487">
        <f>IF(K$11="","",IFERROR($D25-INDEX('DEMAND BY DATE'!$B$4:$AA$203,MATCH(K$11,'DEMAND BY DATE'!$A$4:$A$203,0),MATCH($C25,'DEMAND BY DATE'!$B$3:$AA$3,0)),""))</f>
        <v>8</v>
      </c>
      <c r="L25" s="487">
        <f>IF(L$11="","",IFERROR($D25-INDEX('DEMAND BY DATE'!$B$4:$AA$203,MATCH(L$11,'DEMAND BY DATE'!$A$4:$A$203,0),MATCH($C25,'DEMAND BY DATE'!$B$3:$AA$3,0)),""))</f>
        <v>8</v>
      </c>
      <c r="M25" s="487">
        <f>IF(M$11="","",IFERROR($D25-INDEX('DEMAND BY DATE'!$B$4:$AA$203,MATCH(M$11,'DEMAND BY DATE'!$A$4:$A$203,0),MATCH($C25,'DEMAND BY DATE'!$B$3:$AA$3,0)),""))</f>
        <v>8</v>
      </c>
      <c r="N25" s="487">
        <f>IF(N$11="","",IFERROR($D25-INDEX('DEMAND BY DATE'!$B$4:$AA$203,MATCH(N$11,'DEMAND BY DATE'!$A$4:$A$203,0),MATCH($C25,'DEMAND BY DATE'!$B$3:$AA$3,0)),""))</f>
        <v>8</v>
      </c>
      <c r="O25" s="487">
        <f>IF(O$11="","",IFERROR($D25-INDEX('DEMAND BY DATE'!$B$4:$AA$203,MATCH(O$11,'DEMAND BY DATE'!$A$4:$A$203,0),MATCH($C25,'DEMAND BY DATE'!$B$3:$AA$3,0)),""))</f>
        <v>8</v>
      </c>
      <c r="P25" s="487">
        <f>IF(P$11="","",IFERROR($D25-INDEX('DEMAND BY DATE'!$B$4:$AA$203,MATCH(P$11,'DEMAND BY DATE'!$A$4:$A$203,0),MATCH($C25,'DEMAND BY DATE'!$B$3:$AA$3,0)),""))</f>
        <v>8</v>
      </c>
      <c r="Q25" s="487">
        <f>IF(Q$11="","",IFERROR($D25-INDEX('DEMAND BY DATE'!$B$4:$AA$203,MATCH(Q$11,'DEMAND BY DATE'!$A$4:$A$203,0),MATCH($C25,'DEMAND BY DATE'!$B$3:$AA$3,0)),""))</f>
        <v>8</v>
      </c>
      <c r="R25" s="487">
        <f>IF(R$11="","",IFERROR($D25-INDEX('DEMAND BY DATE'!$B$4:$AA$203,MATCH(R$11,'DEMAND BY DATE'!$A$4:$A$203,0),MATCH($C25,'DEMAND BY DATE'!$B$3:$AA$3,0)),""))</f>
        <v>8</v>
      </c>
      <c r="S25" s="487">
        <f>IF(S$11="","",IFERROR($D25-INDEX('DEMAND BY DATE'!$B$4:$AA$203,MATCH(S$11,'DEMAND BY DATE'!$A$4:$A$203,0),MATCH($C25,'DEMAND BY DATE'!$B$3:$AA$3,0)),""))</f>
        <v>6</v>
      </c>
      <c r="T25" s="487">
        <f>IF(T$11="","",IFERROR($D25-INDEX('DEMAND BY DATE'!$B$4:$AA$203,MATCH(T$11,'DEMAND BY DATE'!$A$4:$A$203,0),MATCH($C25,'DEMAND BY DATE'!$B$3:$AA$3,0)),""))</f>
        <v>6</v>
      </c>
      <c r="U25" s="487">
        <f>IF(U$11="","",IFERROR($D25-INDEX('DEMAND BY DATE'!$B$4:$AA$203,MATCH(U$11,'DEMAND BY DATE'!$A$4:$A$203,0),MATCH($C25,'DEMAND BY DATE'!$B$3:$AA$3,0)),""))</f>
        <v>6</v>
      </c>
      <c r="V25" s="487">
        <f>IF(V$11="","",IFERROR($D25-INDEX('DEMAND BY DATE'!$B$4:$AA$203,MATCH(V$11,'DEMAND BY DATE'!$A$4:$A$203,0),MATCH($C25,'DEMAND BY DATE'!$B$3:$AA$3,0)),""))</f>
        <v>6</v>
      </c>
      <c r="W25" s="487">
        <f>IF(W$11="","",IFERROR($D25-INDEX('DEMAND BY DATE'!$B$4:$AA$203,MATCH(W$11,'DEMAND BY DATE'!$A$4:$A$203,0),MATCH($C25,'DEMAND BY DATE'!$B$3:$AA$3,0)),""))</f>
        <v>6</v>
      </c>
      <c r="X25" s="487">
        <f>IF(X$11="","",IFERROR($D25-INDEX('DEMAND BY DATE'!$B$4:$AA$203,MATCH(X$11,'DEMAND BY DATE'!$A$4:$A$203,0),MATCH($C25,'DEMAND BY DATE'!$B$3:$AA$3,0)),""))</f>
        <v>6</v>
      </c>
      <c r="Y25" s="487">
        <f>IF(Y$11="","",IFERROR($D25-INDEX('DEMAND BY DATE'!$B$4:$AA$203,MATCH(Y$11,'DEMAND BY DATE'!$A$4:$A$203,0),MATCH($C25,'DEMAND BY DATE'!$B$3:$AA$3,0)),""))</f>
        <v>6</v>
      </c>
      <c r="Z25" s="487">
        <f>IF(Z$11="","",IFERROR($D25-INDEX('DEMAND BY DATE'!$B$4:$AA$203,MATCH(Z$11,'DEMAND BY DATE'!$A$4:$A$203,0),MATCH($C25,'DEMAND BY DATE'!$B$3:$AA$3,0)),""))</f>
        <v>6</v>
      </c>
      <c r="AA25" s="487">
        <f>IF(AA$11="","",IFERROR($D25-INDEX('DEMAND BY DATE'!$B$4:$AA$203,MATCH(AA$11,'DEMAND BY DATE'!$A$4:$A$203,0),MATCH($C25,'DEMAND BY DATE'!$B$3:$AA$3,0)),""))</f>
        <v>6</v>
      </c>
      <c r="AB25" s="487">
        <f>IF(AB$11="","",IFERROR($D25-INDEX('DEMAND BY DATE'!$B$4:$AA$203,MATCH(AB$11,'DEMAND BY DATE'!$A$4:$A$203,0),MATCH($C25,'DEMAND BY DATE'!$B$3:$AA$3,0)),""))</f>
        <v>6</v>
      </c>
      <c r="AC25" s="487">
        <f>IF(AC$11="","",IFERROR($D25-INDEX('DEMAND BY DATE'!$B$4:$AA$203,MATCH(AC$11,'DEMAND BY DATE'!$A$4:$A$203,0),MATCH($C25,'DEMAND BY DATE'!$B$3:$AA$3,0)),""))</f>
        <v>6</v>
      </c>
      <c r="AD25" s="487">
        <f>IF(AD$11="","",IFERROR($D25-INDEX('DEMAND BY DATE'!$B$4:$AA$203,MATCH(AD$11,'DEMAND BY DATE'!$A$4:$A$203,0),MATCH($C25,'DEMAND BY DATE'!$B$3:$AA$3,0)),""))</f>
        <v>6</v>
      </c>
      <c r="AE25" s="487">
        <f>IF(AE$11="","",IFERROR($D25-INDEX('DEMAND BY DATE'!$B$4:$AA$203,MATCH(AE$11,'DEMAND BY DATE'!$A$4:$A$203,0),MATCH($C25,'DEMAND BY DATE'!$B$3:$AA$3,0)),""))</f>
        <v>6</v>
      </c>
      <c r="AF25" s="487">
        <f>IF(AF$11="","",IFERROR($D25-INDEX('DEMAND BY DATE'!$B$4:$AA$203,MATCH(AF$11,'DEMAND BY DATE'!$A$4:$A$203,0),MATCH($C25,'DEMAND BY DATE'!$B$3:$AA$3,0)),""))</f>
        <v>6</v>
      </c>
      <c r="AG25" s="487">
        <f>IF(AG$11="","",IFERROR($D25-INDEX('DEMAND BY DATE'!$B$4:$AA$203,MATCH(AG$11,'DEMAND BY DATE'!$A$4:$A$203,0),MATCH($C25,'DEMAND BY DATE'!$B$3:$AA$3,0)),""))</f>
        <v>6</v>
      </c>
      <c r="AH25" s="487">
        <f>IF(AH$11="","",IFERROR($D25-INDEX('DEMAND BY DATE'!$B$4:$AA$203,MATCH(AH$11,'DEMAND BY DATE'!$A$4:$A$203,0),MATCH($C25,'DEMAND BY DATE'!$B$3:$AA$3,0)),""))</f>
        <v>6</v>
      </c>
      <c r="AI25" s="487">
        <f>IF(AI$11="","",IFERROR($D25-INDEX('DEMAND BY DATE'!$B$4:$AA$203,MATCH(AI$11,'DEMAND BY DATE'!$A$4:$A$203,0),MATCH($C25,'DEMAND BY DATE'!$B$3:$AA$3,0)),""))</f>
        <v>6</v>
      </c>
      <c r="BD25" s="289" t="str">
        <f>INDEX('MC MASTER'!$B$3:$B$28,20)</f>
        <v>Heat Seal</v>
      </c>
      <c r="BE25" s="289" t="str">
        <f>IFERROR(INDEX('MC MAP'!$BX$5:$BX$30,MATCH($BD25,'MC MAP'!$BW$5:$BW$30,0)),"?")</f>
        <v>HT</v>
      </c>
      <c r="BF25" s="289">
        <f>INDEX('MC MASTER'!$C$3:$C$28,20)</f>
        <v>35</v>
      </c>
      <c r="BG25" s="289">
        <f ca="1">MAX(OFFSET('DEMAND BY DATE'!$B$4,$BB$2-1,MATCH($BD25,'DEMAND BY DATE'!$B$3:$AA$3,0)-1,$BB$3,1))</f>
        <v>32.5</v>
      </c>
      <c r="BH25" s="289">
        <f ca="1">$BF25-$BG25</f>
        <v>2.5</v>
      </c>
      <c r="BI25" s="289" cm="1">
        <f t="array" aca="1" ref="BI25" ca="1">SUMPRODUCT((OFFSET('DEMAND BY DATE'!$B$4,$BB$2-1,MATCH($BD25,'DEMAND BY DATE'!$B$3:$AA$3,0)-1,$BB$3,1)&gt;$BF25)*(OFFSET('DEMAND BY DATE'!$BS$4,$BB$2-1,0,$BB$3,1)="Y"))</f>
        <v>0</v>
      </c>
      <c r="BJ25" s="289" cm="1">
        <f t="array" aca="1" ref="BJ25" ca="1">SUMPRODUCT(($BE$6:$BE$31=$BE25)*($BH$6:$BH$31&gt;0)*$BH$6:$BH$31)-MAX(0,$BH25)</f>
        <v>0</v>
      </c>
      <c r="BK25" s="289">
        <f ca="1">IF($BH25&lt;0,MIN(-$BH25,MAX(0,$BJ25-$BN25)),0)</f>
        <v>0</v>
      </c>
      <c r="BL25" s="289">
        <f ca="1">IF($BH25&lt;0,-$BH25-$BK25,0)</f>
        <v>0</v>
      </c>
      <c r="BM25" s="289">
        <f ca="1">$BH25+ROW()/100000</f>
        <v>2.50025</v>
      </c>
      <c r="BN25" s="289" cm="1">
        <f t="array" aca="1" ref="BN25" ca="1">SUMPRODUCT(($BE$6:$BE$31=$BE25)*($BH$6:$BH$31&lt;0)*($BM$6:$BM$31&lt;$BM25)*(-$BH$6:$BH$31))</f>
        <v>0</v>
      </c>
      <c r="BO25" s="289">
        <f ca="1">MAX(0,$BH25)-ROW()/100000</f>
        <v>2.49975</v>
      </c>
    </row>
    <row r="26" spans="2:67">
      <c r="B26" s="289" t="str">
        <f>IFERROR(INDEX(WORKINGS!$B$116:$B$141,MATCH($C26,WORKINGS!$A$116:$A$141,0)),"")</f>
        <v>OUTER ELASTIC</v>
      </c>
      <c r="C26" s="289" t="str">
        <f>INDEX(WORKINGS!$A$116:$A$141,MATCH(SMALL(WORKINGS!$D$116:$D$141,15),WORKINGS!$D$116:$D$141,0))</f>
        <v>Flatlock (Ring Elastic Attach)</v>
      </c>
      <c r="D26" s="18">
        <f>IFERROR(INDEX($BF$6:$BF$31,MATCH($C26,$BD$6:$BD$31,0)),0)</f>
        <v>42</v>
      </c>
      <c r="E26" s="487">
        <f>IF(E$11="","",IFERROR($D26-INDEX('DEMAND BY DATE'!$B$4:$AA$203,MATCH(E$11,'DEMAND BY DATE'!$A$4:$A$203,0),MATCH($C26,'DEMAND BY DATE'!$B$3:$AA$3,0)),""))</f>
        <v>7.5</v>
      </c>
      <c r="F26" s="487">
        <f>IF(F$11="","",IFERROR($D26-INDEX('DEMAND BY DATE'!$B$4:$AA$203,MATCH(F$11,'DEMAND BY DATE'!$A$4:$A$203,0),MATCH($C26,'DEMAND BY DATE'!$B$3:$AA$3,0)),""))</f>
        <v>7.5</v>
      </c>
      <c r="G26" s="487">
        <f>IF(G$11="","",IFERROR($D26-INDEX('DEMAND BY DATE'!$B$4:$AA$203,MATCH(G$11,'DEMAND BY DATE'!$A$4:$A$203,0),MATCH($C26,'DEMAND BY DATE'!$B$3:$AA$3,0)),""))</f>
        <v>7.5</v>
      </c>
      <c r="H26" s="487">
        <f>IF(H$11="","",IFERROR($D26-INDEX('DEMAND BY DATE'!$B$4:$AA$203,MATCH(H$11,'DEMAND BY DATE'!$A$4:$A$203,0),MATCH($C26,'DEMAND BY DATE'!$B$3:$AA$3,0)),""))</f>
        <v>7.5</v>
      </c>
      <c r="I26" s="487">
        <f>IF(I$11="","",IFERROR($D26-INDEX('DEMAND BY DATE'!$B$4:$AA$203,MATCH(I$11,'DEMAND BY DATE'!$A$4:$A$203,0),MATCH($C26,'DEMAND BY DATE'!$B$3:$AA$3,0)),""))</f>
        <v>7.5</v>
      </c>
      <c r="J26" s="487">
        <f>IF(J$11="","",IFERROR($D26-INDEX('DEMAND BY DATE'!$B$4:$AA$203,MATCH(J$11,'DEMAND BY DATE'!$A$4:$A$203,0),MATCH($C26,'DEMAND BY DATE'!$B$3:$AA$3,0)),""))</f>
        <v>7.5</v>
      </c>
      <c r="K26" s="487">
        <f>IF(K$11="","",IFERROR($D26-INDEX('DEMAND BY DATE'!$B$4:$AA$203,MATCH(K$11,'DEMAND BY DATE'!$A$4:$A$203,0),MATCH($C26,'DEMAND BY DATE'!$B$3:$AA$3,0)),""))</f>
        <v>7.5</v>
      </c>
      <c r="L26" s="487">
        <f>IF(L$11="","",IFERROR($D26-INDEX('DEMAND BY DATE'!$B$4:$AA$203,MATCH(L$11,'DEMAND BY DATE'!$A$4:$A$203,0),MATCH($C26,'DEMAND BY DATE'!$B$3:$AA$3,0)),""))</f>
        <v>7.5</v>
      </c>
      <c r="M26" s="487">
        <f>IF(M$11="","",IFERROR($D26-INDEX('DEMAND BY DATE'!$B$4:$AA$203,MATCH(M$11,'DEMAND BY DATE'!$A$4:$A$203,0),MATCH($C26,'DEMAND BY DATE'!$B$3:$AA$3,0)),""))</f>
        <v>7.5</v>
      </c>
      <c r="N26" s="487">
        <f>IF(N$11="","",IFERROR($D26-INDEX('DEMAND BY DATE'!$B$4:$AA$203,MATCH(N$11,'DEMAND BY DATE'!$A$4:$A$203,0),MATCH($C26,'DEMAND BY DATE'!$B$3:$AA$3,0)),""))</f>
        <v>7.5</v>
      </c>
      <c r="O26" s="487">
        <f>IF(O$11="","",IFERROR($D26-INDEX('DEMAND BY DATE'!$B$4:$AA$203,MATCH(O$11,'DEMAND BY DATE'!$A$4:$A$203,0),MATCH($C26,'DEMAND BY DATE'!$B$3:$AA$3,0)),""))</f>
        <v>7.5</v>
      </c>
      <c r="P26" s="487">
        <f>IF(P$11="","",IFERROR($D26-INDEX('DEMAND BY DATE'!$B$4:$AA$203,MATCH(P$11,'DEMAND BY DATE'!$A$4:$A$203,0),MATCH($C26,'DEMAND BY DATE'!$B$3:$AA$3,0)),""))</f>
        <v>7.5</v>
      </c>
      <c r="Q26" s="487">
        <f>IF(Q$11="","",IFERROR($D26-INDEX('DEMAND BY DATE'!$B$4:$AA$203,MATCH(Q$11,'DEMAND BY DATE'!$A$4:$A$203,0),MATCH($C26,'DEMAND BY DATE'!$B$3:$AA$3,0)),""))</f>
        <v>7.5</v>
      </c>
      <c r="R26" s="487">
        <f>IF(R$11="","",IFERROR($D26-INDEX('DEMAND BY DATE'!$B$4:$AA$203,MATCH(R$11,'DEMAND BY DATE'!$A$4:$A$203,0),MATCH($C26,'DEMAND BY DATE'!$B$3:$AA$3,0)),""))</f>
        <v>22.5</v>
      </c>
      <c r="S26" s="487">
        <f>IF(S$11="","",IFERROR($D26-INDEX('DEMAND BY DATE'!$B$4:$AA$203,MATCH(S$11,'DEMAND BY DATE'!$A$4:$A$203,0),MATCH($C26,'DEMAND BY DATE'!$B$3:$AA$3,0)),""))</f>
        <v>13.5</v>
      </c>
      <c r="T26" s="487">
        <f>IF(T$11="","",IFERROR($D26-INDEX('DEMAND BY DATE'!$B$4:$AA$203,MATCH(T$11,'DEMAND BY DATE'!$A$4:$A$203,0),MATCH($C26,'DEMAND BY DATE'!$B$3:$AA$3,0)),""))</f>
        <v>13.5</v>
      </c>
      <c r="U26" s="487">
        <f>IF(U$11="","",IFERROR($D26-INDEX('DEMAND BY DATE'!$B$4:$AA$203,MATCH(U$11,'DEMAND BY DATE'!$A$4:$A$203,0),MATCH($C26,'DEMAND BY DATE'!$B$3:$AA$3,0)),""))</f>
        <v>13.5</v>
      </c>
      <c r="V26" s="487">
        <f>IF(V$11="","",IFERROR($D26-INDEX('DEMAND BY DATE'!$B$4:$AA$203,MATCH(V$11,'DEMAND BY DATE'!$A$4:$A$203,0),MATCH($C26,'DEMAND BY DATE'!$B$3:$AA$3,0)),""))</f>
        <v>13.5</v>
      </c>
      <c r="W26" s="487">
        <f>IF(W$11="","",IFERROR($D26-INDEX('DEMAND BY DATE'!$B$4:$AA$203,MATCH(W$11,'DEMAND BY DATE'!$A$4:$A$203,0),MATCH($C26,'DEMAND BY DATE'!$B$3:$AA$3,0)),""))</f>
        <v>13.5</v>
      </c>
      <c r="X26" s="487">
        <f>IF(X$11="","",IFERROR($D26-INDEX('DEMAND BY DATE'!$B$4:$AA$203,MATCH(X$11,'DEMAND BY DATE'!$A$4:$A$203,0),MATCH($C26,'DEMAND BY DATE'!$B$3:$AA$3,0)),""))</f>
        <v>13.5</v>
      </c>
      <c r="Y26" s="487">
        <f>IF(Y$11="","",IFERROR($D26-INDEX('DEMAND BY DATE'!$B$4:$AA$203,MATCH(Y$11,'DEMAND BY DATE'!$A$4:$A$203,0),MATCH($C26,'DEMAND BY DATE'!$B$3:$AA$3,0)),""))</f>
        <v>13.5</v>
      </c>
      <c r="Z26" s="487">
        <f>IF(Z$11="","",IFERROR($D26-INDEX('DEMAND BY DATE'!$B$4:$AA$203,MATCH(Z$11,'DEMAND BY DATE'!$A$4:$A$203,0),MATCH($C26,'DEMAND BY DATE'!$B$3:$AA$3,0)),""))</f>
        <v>13.5</v>
      </c>
      <c r="AA26" s="487">
        <f>IF(AA$11="","",IFERROR($D26-INDEX('DEMAND BY DATE'!$B$4:$AA$203,MATCH(AA$11,'DEMAND BY DATE'!$A$4:$A$203,0),MATCH($C26,'DEMAND BY DATE'!$B$3:$AA$3,0)),""))</f>
        <v>13.5</v>
      </c>
      <c r="AB26" s="487">
        <f>IF(AB$11="","",IFERROR($D26-INDEX('DEMAND BY DATE'!$B$4:$AA$203,MATCH(AB$11,'DEMAND BY DATE'!$A$4:$A$203,0),MATCH($C26,'DEMAND BY DATE'!$B$3:$AA$3,0)),""))</f>
        <v>13.5</v>
      </c>
      <c r="AC26" s="487">
        <f>IF(AC$11="","",IFERROR($D26-INDEX('DEMAND BY DATE'!$B$4:$AA$203,MATCH(AC$11,'DEMAND BY DATE'!$A$4:$A$203,0),MATCH($C26,'DEMAND BY DATE'!$B$3:$AA$3,0)),""))</f>
        <v>13.5</v>
      </c>
      <c r="AD26" s="487">
        <f>IF(AD$11="","",IFERROR($D26-INDEX('DEMAND BY DATE'!$B$4:$AA$203,MATCH(AD$11,'DEMAND BY DATE'!$A$4:$A$203,0),MATCH($C26,'DEMAND BY DATE'!$B$3:$AA$3,0)),""))</f>
        <v>13.5</v>
      </c>
      <c r="AE26" s="487">
        <f>IF(AE$11="","",IFERROR($D26-INDEX('DEMAND BY DATE'!$B$4:$AA$203,MATCH(AE$11,'DEMAND BY DATE'!$A$4:$A$203,0),MATCH($C26,'DEMAND BY DATE'!$B$3:$AA$3,0)),""))</f>
        <v>13.5</v>
      </c>
      <c r="AF26" s="487">
        <f>IF(AF$11="","",IFERROR($D26-INDEX('DEMAND BY DATE'!$B$4:$AA$203,MATCH(AF$11,'DEMAND BY DATE'!$A$4:$A$203,0),MATCH($C26,'DEMAND BY DATE'!$B$3:$AA$3,0)),""))</f>
        <v>13.5</v>
      </c>
      <c r="AG26" s="487">
        <f>IF(AG$11="","",IFERROR($D26-INDEX('DEMAND BY DATE'!$B$4:$AA$203,MATCH(AG$11,'DEMAND BY DATE'!$A$4:$A$203,0),MATCH($C26,'DEMAND BY DATE'!$B$3:$AA$3,0)),""))</f>
        <v>13.5</v>
      </c>
      <c r="AH26" s="487">
        <f>IF(AH$11="","",IFERROR($D26-INDEX('DEMAND BY DATE'!$B$4:$AA$203,MATCH(AH$11,'DEMAND BY DATE'!$A$4:$A$203,0),MATCH($C26,'DEMAND BY DATE'!$B$3:$AA$3,0)),""))</f>
        <v>13.5</v>
      </c>
      <c r="AI26" s="487">
        <f>IF(AI$11="","",IFERROR($D26-INDEX('DEMAND BY DATE'!$B$4:$AA$203,MATCH(AI$11,'DEMAND BY DATE'!$A$4:$A$203,0),MATCH($C26,'DEMAND BY DATE'!$B$3:$AA$3,0)),""))</f>
        <v>13.5</v>
      </c>
      <c r="BD26" s="289" t="str">
        <f>INDEX('MC MASTER'!$B$3:$B$28,21)</f>
        <v>Snap button</v>
      </c>
      <c r="BE26" s="289" t="str">
        <f>IFERROR(INDEX('MC MAP'!$BX$5:$BX$30,MATCH($BD26,'MC MAP'!$BW$5:$BW$30,0)),"?")</f>
        <v>ILET</v>
      </c>
      <c r="BF26" s="289">
        <f>INDEX('MC MASTER'!$C$3:$C$28,21)</f>
        <v>2</v>
      </c>
      <c r="BG26" s="289">
        <f ca="1">MAX(OFFSET('DEMAND BY DATE'!$B$4,$BB$2-1,MATCH($BD26,'DEMAND BY DATE'!$B$3:$AA$3,0)-1,$BB$3,1))</f>
        <v>2</v>
      </c>
      <c r="BH26" s="289">
        <f ca="1">$BF26-$BG26</f>
        <v>0</v>
      </c>
      <c r="BI26" s="289" cm="1">
        <f t="array" aca="1" ref="BI26" ca="1">SUMPRODUCT((OFFSET('DEMAND BY DATE'!$B$4,$BB$2-1,MATCH($BD26,'DEMAND BY DATE'!$B$3:$AA$3,0)-1,$BB$3,1)&gt;$BF26)*(OFFSET('DEMAND BY DATE'!$BS$4,$BB$2-1,0,$BB$3,1)="Y"))</f>
        <v>0</v>
      </c>
      <c r="BJ26" s="289" cm="1">
        <f t="array" aca="1" ref="BJ26" ca="1">SUMPRODUCT(($BE$6:$BE$31=$BE26)*($BH$6:$BH$31&gt;0)*$BH$6:$BH$31)-MAX(0,$BH26)</f>
        <v>0</v>
      </c>
      <c r="BK26" s="289">
        <f ca="1">IF($BH26&lt;0,MIN(-$BH26,MAX(0,$BJ26-$BN26)),0)</f>
        <v>0</v>
      </c>
      <c r="BL26" s="289">
        <f ca="1">IF($BH26&lt;0,-$BH26-$BK26,0)</f>
        <v>0</v>
      </c>
      <c r="BM26" s="289">
        <f ca="1">$BH26+ROW()/100000</f>
        <v>0.00026</v>
      </c>
      <c r="BN26" s="289" cm="1">
        <f t="array" aca="1" ref="BN26" ca="1">SUMPRODUCT(($BE$6:$BE$31=$BE26)*($BH$6:$BH$31&lt;0)*($BM$6:$BM$31&lt;$BM26)*(-$BH$6:$BH$31))</f>
        <v>0</v>
      </c>
      <c r="BO26" s="289">
        <f ca="1">MAX(0,$BH26)-ROW()/100000</f>
        <v>-0.00026</v>
      </c>
    </row>
    <row r="27" spans="2:67">
      <c r="B27" s="485" t="str">
        <f>IFERROR(INDEX(WORKINGS!$B$116:$B$141,MATCH($C27,WORKINGS!$A$116:$A$141,0)),"")</f>
        <v>BINDING</v>
      </c>
      <c r="C27" s="485" t="str">
        <f>INDEX(WORKINGS!$A$116:$A$141,MATCH(SMALL(WORKINGS!$D$116:$D$141,16),WORKINGS!$D$116:$D$141,0))</f>
        <v>3N5T-F/L -BINDING</v>
      </c>
      <c r="D27" s="486">
        <f>IFERROR(INDEX($BF$6:$BF$31,MATCH($C27,$BD$6:$BD$31,0)),0)</f>
        <v>58</v>
      </c>
      <c r="E27" s="487">
        <f>IF(E$11="","",IFERROR($D27-INDEX('DEMAND BY DATE'!$B$4:$AA$203,MATCH(E$11,'DEMAND BY DATE'!$A$4:$A$203,0),MATCH($C27,'DEMAND BY DATE'!$B$3:$AA$3,0)),""))</f>
        <v>18</v>
      </c>
      <c r="F27" s="487">
        <f>IF(F$11="","",IFERROR($D27-INDEX('DEMAND BY DATE'!$B$4:$AA$203,MATCH(F$11,'DEMAND BY DATE'!$A$4:$A$203,0),MATCH($C27,'DEMAND BY DATE'!$B$3:$AA$3,0)),""))</f>
        <v>18</v>
      </c>
      <c r="G27" s="487">
        <f>IF(G$11="","",IFERROR($D27-INDEX('DEMAND BY DATE'!$B$4:$AA$203,MATCH(G$11,'DEMAND BY DATE'!$A$4:$A$203,0),MATCH($C27,'DEMAND BY DATE'!$B$3:$AA$3,0)),""))</f>
        <v>18</v>
      </c>
      <c r="H27" s="487">
        <f>IF(H$11="","",IFERROR($D27-INDEX('DEMAND BY DATE'!$B$4:$AA$203,MATCH(H$11,'DEMAND BY DATE'!$A$4:$A$203,0),MATCH($C27,'DEMAND BY DATE'!$B$3:$AA$3,0)),""))</f>
        <v>18</v>
      </c>
      <c r="I27" s="487">
        <f>IF(I$11="","",IFERROR($D27-INDEX('DEMAND BY DATE'!$B$4:$AA$203,MATCH(I$11,'DEMAND BY DATE'!$A$4:$A$203,0),MATCH($C27,'DEMAND BY DATE'!$B$3:$AA$3,0)),""))</f>
        <v>18</v>
      </c>
      <c r="J27" s="487">
        <f>IF(J$11="","",IFERROR($D27-INDEX('DEMAND BY DATE'!$B$4:$AA$203,MATCH(J$11,'DEMAND BY DATE'!$A$4:$A$203,0),MATCH($C27,'DEMAND BY DATE'!$B$3:$AA$3,0)),""))</f>
        <v>18</v>
      </c>
      <c r="K27" s="487">
        <f>IF(K$11="","",IFERROR($D27-INDEX('DEMAND BY DATE'!$B$4:$AA$203,MATCH(K$11,'DEMAND BY DATE'!$A$4:$A$203,0),MATCH($C27,'DEMAND BY DATE'!$B$3:$AA$3,0)),""))</f>
        <v>18</v>
      </c>
      <c r="L27" s="487">
        <f>IF(L$11="","",IFERROR($D27-INDEX('DEMAND BY DATE'!$B$4:$AA$203,MATCH(L$11,'DEMAND BY DATE'!$A$4:$A$203,0),MATCH($C27,'DEMAND BY DATE'!$B$3:$AA$3,0)),""))</f>
        <v>18</v>
      </c>
      <c r="M27" s="487">
        <f>IF(M$11="","",IFERROR($D27-INDEX('DEMAND BY DATE'!$B$4:$AA$203,MATCH(M$11,'DEMAND BY DATE'!$A$4:$A$203,0),MATCH($C27,'DEMAND BY DATE'!$B$3:$AA$3,0)),""))</f>
        <v>18</v>
      </c>
      <c r="N27" s="487">
        <f>IF(N$11="","",IFERROR($D27-INDEX('DEMAND BY DATE'!$B$4:$AA$203,MATCH(N$11,'DEMAND BY DATE'!$A$4:$A$203,0),MATCH($C27,'DEMAND BY DATE'!$B$3:$AA$3,0)),""))</f>
        <v>18</v>
      </c>
      <c r="O27" s="487">
        <f>IF(O$11="","",IFERROR($D27-INDEX('DEMAND BY DATE'!$B$4:$AA$203,MATCH(O$11,'DEMAND BY DATE'!$A$4:$A$203,0),MATCH($C27,'DEMAND BY DATE'!$B$3:$AA$3,0)),""))</f>
        <v>18</v>
      </c>
      <c r="P27" s="487">
        <f>IF(P$11="","",IFERROR($D27-INDEX('DEMAND BY DATE'!$B$4:$AA$203,MATCH(P$11,'DEMAND BY DATE'!$A$4:$A$203,0),MATCH($C27,'DEMAND BY DATE'!$B$3:$AA$3,0)),""))</f>
        <v>19</v>
      </c>
      <c r="Q27" s="487">
        <f>IF(Q$11="","",IFERROR($D27-INDEX('DEMAND BY DATE'!$B$4:$AA$203,MATCH(Q$11,'DEMAND BY DATE'!$A$4:$A$203,0),MATCH($C27,'DEMAND BY DATE'!$B$3:$AA$3,0)),""))</f>
        <v>19</v>
      </c>
      <c r="R27" s="487">
        <f>IF(R$11="","",IFERROR($D27-INDEX('DEMAND BY DATE'!$B$4:$AA$203,MATCH(R$11,'DEMAND BY DATE'!$A$4:$A$203,0),MATCH($C27,'DEMAND BY DATE'!$B$3:$AA$3,0)),""))</f>
        <v>16</v>
      </c>
      <c r="S27" s="487">
        <f>IF(S$11="","",IFERROR($D27-INDEX('DEMAND BY DATE'!$B$4:$AA$203,MATCH(S$11,'DEMAND BY DATE'!$A$4:$A$203,0),MATCH($C27,'DEMAND BY DATE'!$B$3:$AA$3,0)),""))</f>
        <v>16</v>
      </c>
      <c r="T27" s="487">
        <f>IF(T$11="","",IFERROR($D27-INDEX('DEMAND BY DATE'!$B$4:$AA$203,MATCH(T$11,'DEMAND BY DATE'!$A$4:$A$203,0),MATCH($C27,'DEMAND BY DATE'!$B$3:$AA$3,0)),""))</f>
        <v>16</v>
      </c>
      <c r="U27" s="487">
        <f>IF(U$11="","",IFERROR($D27-INDEX('DEMAND BY DATE'!$B$4:$AA$203,MATCH(U$11,'DEMAND BY DATE'!$A$4:$A$203,0),MATCH($C27,'DEMAND BY DATE'!$B$3:$AA$3,0)),""))</f>
        <v>16</v>
      </c>
      <c r="V27" s="487">
        <f>IF(V$11="","",IFERROR($D27-INDEX('DEMAND BY DATE'!$B$4:$AA$203,MATCH(V$11,'DEMAND BY DATE'!$A$4:$A$203,0),MATCH($C27,'DEMAND BY DATE'!$B$3:$AA$3,0)),""))</f>
        <v>16</v>
      </c>
      <c r="W27" s="487">
        <f>IF(W$11="","",IFERROR($D27-INDEX('DEMAND BY DATE'!$B$4:$AA$203,MATCH(W$11,'DEMAND BY DATE'!$A$4:$A$203,0),MATCH($C27,'DEMAND BY DATE'!$B$3:$AA$3,0)),""))</f>
        <v>16</v>
      </c>
      <c r="X27" s="487">
        <f>IF(X$11="","",IFERROR($D27-INDEX('DEMAND BY DATE'!$B$4:$AA$203,MATCH(X$11,'DEMAND BY DATE'!$A$4:$A$203,0),MATCH($C27,'DEMAND BY DATE'!$B$3:$AA$3,0)),""))</f>
        <v>16</v>
      </c>
      <c r="Y27" s="487">
        <f>IF(Y$11="","",IFERROR($D27-INDEX('DEMAND BY DATE'!$B$4:$AA$203,MATCH(Y$11,'DEMAND BY DATE'!$A$4:$A$203,0),MATCH($C27,'DEMAND BY DATE'!$B$3:$AA$3,0)),""))</f>
        <v>16</v>
      </c>
      <c r="Z27" s="487">
        <f>IF(Z$11="","",IFERROR($D27-INDEX('DEMAND BY DATE'!$B$4:$AA$203,MATCH(Z$11,'DEMAND BY DATE'!$A$4:$A$203,0),MATCH($C27,'DEMAND BY DATE'!$B$3:$AA$3,0)),""))</f>
        <v>16</v>
      </c>
      <c r="AA27" s="487">
        <f>IF(AA$11="","",IFERROR($D27-INDEX('DEMAND BY DATE'!$B$4:$AA$203,MATCH(AA$11,'DEMAND BY DATE'!$A$4:$A$203,0),MATCH($C27,'DEMAND BY DATE'!$B$3:$AA$3,0)),""))</f>
        <v>16</v>
      </c>
      <c r="AB27" s="487">
        <f>IF(AB$11="","",IFERROR($D27-INDEX('DEMAND BY DATE'!$B$4:$AA$203,MATCH(AB$11,'DEMAND BY DATE'!$A$4:$A$203,0),MATCH($C27,'DEMAND BY DATE'!$B$3:$AA$3,0)),""))</f>
        <v>16</v>
      </c>
      <c r="AC27" s="487">
        <f>IF(AC$11="","",IFERROR($D27-INDEX('DEMAND BY DATE'!$B$4:$AA$203,MATCH(AC$11,'DEMAND BY DATE'!$A$4:$A$203,0),MATCH($C27,'DEMAND BY DATE'!$B$3:$AA$3,0)),""))</f>
        <v>16</v>
      </c>
      <c r="AD27" s="487">
        <f>IF(AD$11="","",IFERROR($D27-INDEX('DEMAND BY DATE'!$B$4:$AA$203,MATCH(AD$11,'DEMAND BY DATE'!$A$4:$A$203,0),MATCH($C27,'DEMAND BY DATE'!$B$3:$AA$3,0)),""))</f>
        <v>16</v>
      </c>
      <c r="AE27" s="487">
        <f>IF(AE$11="","",IFERROR($D27-INDEX('DEMAND BY DATE'!$B$4:$AA$203,MATCH(AE$11,'DEMAND BY DATE'!$A$4:$A$203,0),MATCH($C27,'DEMAND BY DATE'!$B$3:$AA$3,0)),""))</f>
        <v>16</v>
      </c>
      <c r="AF27" s="487">
        <f>IF(AF$11="","",IFERROR($D27-INDEX('DEMAND BY DATE'!$B$4:$AA$203,MATCH(AF$11,'DEMAND BY DATE'!$A$4:$A$203,0),MATCH($C27,'DEMAND BY DATE'!$B$3:$AA$3,0)),""))</f>
        <v>16</v>
      </c>
      <c r="AG27" s="487">
        <f>IF(AG$11="","",IFERROR($D27-INDEX('DEMAND BY DATE'!$B$4:$AA$203,MATCH(AG$11,'DEMAND BY DATE'!$A$4:$A$203,0),MATCH($C27,'DEMAND BY DATE'!$B$3:$AA$3,0)),""))</f>
        <v>16</v>
      </c>
      <c r="AH27" s="487">
        <f>IF(AH$11="","",IFERROR($D27-INDEX('DEMAND BY DATE'!$B$4:$AA$203,MATCH(AH$11,'DEMAND BY DATE'!$A$4:$A$203,0),MATCH($C27,'DEMAND BY DATE'!$B$3:$AA$3,0)),""))</f>
        <v>16</v>
      </c>
      <c r="AI27" s="487">
        <f>IF(AI$11="","",IFERROR($D27-INDEX('DEMAND BY DATE'!$B$4:$AA$203,MATCH(AI$11,'DEMAND BY DATE'!$A$4:$A$203,0),MATCH($C27,'DEMAND BY DATE'!$B$3:$AA$3,0)),""))</f>
        <v>16</v>
      </c>
      <c r="BD27" s="289" t="str">
        <f>INDEX('MC MASTER'!$B$3:$B$28,22)</f>
        <v>Button Hole</v>
      </c>
      <c r="BE27" s="289" t="str">
        <f>IFERROR(INDEX('MC MAP'!$BX$5:$BX$30,MATCH($BD27,'MC MAP'!$BW$5:$BW$30,0)),"?")</f>
        <v>BH</v>
      </c>
      <c r="BF27" s="289">
        <f>INDEX('MC MASTER'!$C$3:$C$28,22)</f>
        <v>3</v>
      </c>
      <c r="BG27" s="289">
        <f ca="1">MAX(OFFSET('DEMAND BY DATE'!$B$4,$BB$2-1,MATCH($BD27,'DEMAND BY DATE'!$B$3:$AA$3,0)-1,$BB$3,1))</f>
        <v>2</v>
      </c>
      <c r="BH27" s="289">
        <f ca="1">$BF27-$BG27</f>
        <v>1</v>
      </c>
      <c r="BI27" s="289" cm="1">
        <f t="array" aca="1" ref="BI27" ca="1">SUMPRODUCT((OFFSET('DEMAND BY DATE'!$B$4,$BB$2-1,MATCH($BD27,'DEMAND BY DATE'!$B$3:$AA$3,0)-1,$BB$3,1)&gt;$BF27)*(OFFSET('DEMAND BY DATE'!$BS$4,$BB$2-1,0,$BB$3,1)="Y"))</f>
        <v>0</v>
      </c>
      <c r="BJ27" s="289" cm="1">
        <f t="array" aca="1" ref="BJ27" ca="1">SUMPRODUCT(($BE$6:$BE$31=$BE27)*($BH$6:$BH$31&gt;0)*$BH$6:$BH$31)-MAX(0,$BH27)</f>
        <v>0</v>
      </c>
      <c r="BK27" s="289">
        <f ca="1">IF($BH27&lt;0,MIN(-$BH27,MAX(0,$BJ27-$BN27)),0)</f>
        <v>0</v>
      </c>
      <c r="BL27" s="289">
        <f ca="1">IF($BH27&lt;0,-$BH27-$BK27,0)</f>
        <v>0</v>
      </c>
      <c r="BM27" s="289">
        <f ca="1">$BH27+ROW()/100000</f>
        <v>1.00027</v>
      </c>
      <c r="BN27" s="289" cm="1">
        <f t="array" aca="1" ref="BN27" ca="1">SUMPRODUCT(($BE$6:$BE$31=$BE27)*($BH$6:$BH$31&lt;0)*($BM$6:$BM$31&lt;$BM27)*(-$BH$6:$BH$31))</f>
        <v>0</v>
      </c>
      <c r="BO27" s="289">
        <f ca="1">MAX(0,$BH27)-ROW()/100000</f>
        <v>0.99973</v>
      </c>
    </row>
    <row r="28" spans="2:67">
      <c r="B28" s="289" t="str">
        <f>IFERROR(INDEX(WORKINGS!$B$116:$B$141,MATCH($C28,WORKINGS!$A$116:$A$141,0)),"")</f>
        <v>FS</v>
      </c>
      <c r="C28" s="289" t="str">
        <f>INDEX(WORKINGS!$A$116:$A$141,MATCH(SMALL(WORKINGS!$D$116:$D$141,17),WORKINGS!$D$116:$D$141,0))</f>
        <v>FlatSeamer FS</v>
      </c>
      <c r="D28" s="18">
        <f>IFERROR(INDEX($BF$6:$BF$31,MATCH($C28,$BD$6:$BD$31,0)),0)</f>
        <v>8</v>
      </c>
      <c r="E28" s="487">
        <f>IF(E$11="","",IFERROR($D28-INDEX('DEMAND BY DATE'!$B$4:$AA$203,MATCH(E$11,'DEMAND BY DATE'!$A$4:$A$203,0),MATCH($C28,'DEMAND BY DATE'!$B$3:$AA$3,0)),""))</f>
        <v>8</v>
      </c>
      <c r="F28" s="487">
        <f>IF(F$11="","",IFERROR($D28-INDEX('DEMAND BY DATE'!$B$4:$AA$203,MATCH(F$11,'DEMAND BY DATE'!$A$4:$A$203,0),MATCH($C28,'DEMAND BY DATE'!$B$3:$AA$3,0)),""))</f>
        <v>8</v>
      </c>
      <c r="G28" s="487">
        <f>IF(G$11="","",IFERROR($D28-INDEX('DEMAND BY DATE'!$B$4:$AA$203,MATCH(G$11,'DEMAND BY DATE'!$A$4:$A$203,0),MATCH($C28,'DEMAND BY DATE'!$B$3:$AA$3,0)),""))</f>
        <v>8</v>
      </c>
      <c r="H28" s="487">
        <f>IF(H$11="","",IFERROR($D28-INDEX('DEMAND BY DATE'!$B$4:$AA$203,MATCH(H$11,'DEMAND BY DATE'!$A$4:$A$203,0),MATCH($C28,'DEMAND BY DATE'!$B$3:$AA$3,0)),""))</f>
        <v>8</v>
      </c>
      <c r="I28" s="487">
        <f>IF(I$11="","",IFERROR($D28-INDEX('DEMAND BY DATE'!$B$4:$AA$203,MATCH(I$11,'DEMAND BY DATE'!$A$4:$A$203,0),MATCH($C28,'DEMAND BY DATE'!$B$3:$AA$3,0)),""))</f>
        <v>8</v>
      </c>
      <c r="J28" s="487">
        <f>IF(J$11="","",IFERROR($D28-INDEX('DEMAND BY DATE'!$B$4:$AA$203,MATCH(J$11,'DEMAND BY DATE'!$A$4:$A$203,0),MATCH($C28,'DEMAND BY DATE'!$B$3:$AA$3,0)),""))</f>
        <v>8</v>
      </c>
      <c r="K28" s="487">
        <f>IF(K$11="","",IFERROR($D28-INDEX('DEMAND BY DATE'!$B$4:$AA$203,MATCH(K$11,'DEMAND BY DATE'!$A$4:$A$203,0),MATCH($C28,'DEMAND BY DATE'!$B$3:$AA$3,0)),""))</f>
        <v>8</v>
      </c>
      <c r="L28" s="487">
        <f>IF(L$11="","",IFERROR($D28-INDEX('DEMAND BY DATE'!$B$4:$AA$203,MATCH(L$11,'DEMAND BY DATE'!$A$4:$A$203,0),MATCH($C28,'DEMAND BY DATE'!$B$3:$AA$3,0)),""))</f>
        <v>8</v>
      </c>
      <c r="M28" s="487">
        <f>IF(M$11="","",IFERROR($D28-INDEX('DEMAND BY DATE'!$B$4:$AA$203,MATCH(M$11,'DEMAND BY DATE'!$A$4:$A$203,0),MATCH($C28,'DEMAND BY DATE'!$B$3:$AA$3,0)),""))</f>
        <v>8</v>
      </c>
      <c r="N28" s="487">
        <f>IF(N$11="","",IFERROR($D28-INDEX('DEMAND BY DATE'!$B$4:$AA$203,MATCH(N$11,'DEMAND BY DATE'!$A$4:$A$203,0),MATCH($C28,'DEMAND BY DATE'!$B$3:$AA$3,0)),""))</f>
        <v>8</v>
      </c>
      <c r="O28" s="487">
        <f>IF(O$11="","",IFERROR($D28-INDEX('DEMAND BY DATE'!$B$4:$AA$203,MATCH(O$11,'DEMAND BY DATE'!$A$4:$A$203,0),MATCH($C28,'DEMAND BY DATE'!$B$3:$AA$3,0)),""))</f>
        <v>8</v>
      </c>
      <c r="P28" s="487">
        <f>IF(P$11="","",IFERROR($D28-INDEX('DEMAND BY DATE'!$B$4:$AA$203,MATCH(P$11,'DEMAND BY DATE'!$A$4:$A$203,0),MATCH($C28,'DEMAND BY DATE'!$B$3:$AA$3,0)),""))</f>
        <v>8</v>
      </c>
      <c r="Q28" s="487">
        <f>IF(Q$11="","",IFERROR($D28-INDEX('DEMAND BY DATE'!$B$4:$AA$203,MATCH(Q$11,'DEMAND BY DATE'!$A$4:$A$203,0),MATCH($C28,'DEMAND BY DATE'!$B$3:$AA$3,0)),""))</f>
        <v>8</v>
      </c>
      <c r="R28" s="487">
        <f>IF(R$11="","",IFERROR($D28-INDEX('DEMAND BY DATE'!$B$4:$AA$203,MATCH(R$11,'DEMAND BY DATE'!$A$4:$A$203,0),MATCH($C28,'DEMAND BY DATE'!$B$3:$AA$3,0)),""))</f>
        <v>8</v>
      </c>
      <c r="S28" s="487">
        <f>IF(S$11="","",IFERROR($D28-INDEX('DEMAND BY DATE'!$B$4:$AA$203,MATCH(S$11,'DEMAND BY DATE'!$A$4:$A$203,0),MATCH($C28,'DEMAND BY DATE'!$B$3:$AA$3,0)),""))</f>
        <v>8</v>
      </c>
      <c r="T28" s="487">
        <f>IF(T$11="","",IFERROR($D28-INDEX('DEMAND BY DATE'!$B$4:$AA$203,MATCH(T$11,'DEMAND BY DATE'!$A$4:$A$203,0),MATCH($C28,'DEMAND BY DATE'!$B$3:$AA$3,0)),""))</f>
        <v>8</v>
      </c>
      <c r="U28" s="487">
        <f>IF(U$11="","",IFERROR($D28-INDEX('DEMAND BY DATE'!$B$4:$AA$203,MATCH(U$11,'DEMAND BY DATE'!$A$4:$A$203,0),MATCH($C28,'DEMAND BY DATE'!$B$3:$AA$3,0)),""))</f>
        <v>8</v>
      </c>
      <c r="V28" s="487">
        <f>IF(V$11="","",IFERROR($D28-INDEX('DEMAND BY DATE'!$B$4:$AA$203,MATCH(V$11,'DEMAND BY DATE'!$A$4:$A$203,0),MATCH($C28,'DEMAND BY DATE'!$B$3:$AA$3,0)),""))</f>
        <v>8</v>
      </c>
      <c r="W28" s="487">
        <f>IF(W$11="","",IFERROR($D28-INDEX('DEMAND BY DATE'!$B$4:$AA$203,MATCH(W$11,'DEMAND BY DATE'!$A$4:$A$203,0),MATCH($C28,'DEMAND BY DATE'!$B$3:$AA$3,0)),""))</f>
        <v>8</v>
      </c>
      <c r="X28" s="487">
        <f>IF(X$11="","",IFERROR($D28-INDEX('DEMAND BY DATE'!$B$4:$AA$203,MATCH(X$11,'DEMAND BY DATE'!$A$4:$A$203,0),MATCH($C28,'DEMAND BY DATE'!$B$3:$AA$3,0)),""))</f>
        <v>8</v>
      </c>
      <c r="Y28" s="487">
        <f>IF(Y$11="","",IFERROR($D28-INDEX('DEMAND BY DATE'!$B$4:$AA$203,MATCH(Y$11,'DEMAND BY DATE'!$A$4:$A$203,0),MATCH($C28,'DEMAND BY DATE'!$B$3:$AA$3,0)),""))</f>
        <v>8</v>
      </c>
      <c r="Z28" s="487">
        <f>IF(Z$11="","",IFERROR($D28-INDEX('DEMAND BY DATE'!$B$4:$AA$203,MATCH(Z$11,'DEMAND BY DATE'!$A$4:$A$203,0),MATCH($C28,'DEMAND BY DATE'!$B$3:$AA$3,0)),""))</f>
        <v>8</v>
      </c>
      <c r="AA28" s="487">
        <f>IF(AA$11="","",IFERROR($D28-INDEX('DEMAND BY DATE'!$B$4:$AA$203,MATCH(AA$11,'DEMAND BY DATE'!$A$4:$A$203,0),MATCH($C28,'DEMAND BY DATE'!$B$3:$AA$3,0)),""))</f>
        <v>8</v>
      </c>
      <c r="AB28" s="487">
        <f>IF(AB$11="","",IFERROR($D28-INDEX('DEMAND BY DATE'!$B$4:$AA$203,MATCH(AB$11,'DEMAND BY DATE'!$A$4:$A$203,0),MATCH($C28,'DEMAND BY DATE'!$B$3:$AA$3,0)),""))</f>
        <v>8</v>
      </c>
      <c r="AC28" s="487">
        <f>IF(AC$11="","",IFERROR($D28-INDEX('DEMAND BY DATE'!$B$4:$AA$203,MATCH(AC$11,'DEMAND BY DATE'!$A$4:$A$203,0),MATCH($C28,'DEMAND BY DATE'!$B$3:$AA$3,0)),""))</f>
        <v>8</v>
      </c>
      <c r="AD28" s="487">
        <f>IF(AD$11="","",IFERROR($D28-INDEX('DEMAND BY DATE'!$B$4:$AA$203,MATCH(AD$11,'DEMAND BY DATE'!$A$4:$A$203,0),MATCH($C28,'DEMAND BY DATE'!$B$3:$AA$3,0)),""))</f>
        <v>8</v>
      </c>
      <c r="AE28" s="487">
        <f>IF(AE$11="","",IFERROR($D28-INDEX('DEMAND BY DATE'!$B$4:$AA$203,MATCH(AE$11,'DEMAND BY DATE'!$A$4:$A$203,0),MATCH($C28,'DEMAND BY DATE'!$B$3:$AA$3,0)),""))</f>
        <v>8</v>
      </c>
      <c r="AF28" s="487">
        <f>IF(AF$11="","",IFERROR($D28-INDEX('DEMAND BY DATE'!$B$4:$AA$203,MATCH(AF$11,'DEMAND BY DATE'!$A$4:$A$203,0),MATCH($C28,'DEMAND BY DATE'!$B$3:$AA$3,0)),""))</f>
        <v>8</v>
      </c>
      <c r="AG28" s="487">
        <f>IF(AG$11="","",IFERROR($D28-INDEX('DEMAND BY DATE'!$B$4:$AA$203,MATCH(AG$11,'DEMAND BY DATE'!$A$4:$A$203,0),MATCH($C28,'DEMAND BY DATE'!$B$3:$AA$3,0)),""))</f>
        <v>8</v>
      </c>
      <c r="AH28" s="487">
        <f>IF(AH$11="","",IFERROR($D28-INDEX('DEMAND BY DATE'!$B$4:$AA$203,MATCH(AH$11,'DEMAND BY DATE'!$A$4:$A$203,0),MATCH($C28,'DEMAND BY DATE'!$B$3:$AA$3,0)),""))</f>
        <v>8</v>
      </c>
      <c r="AI28" s="487">
        <f>IF(AI$11="","",IFERROR($D28-INDEX('DEMAND BY DATE'!$B$4:$AA$203,MATCH(AI$11,'DEMAND BY DATE'!$A$4:$A$203,0),MATCH($C28,'DEMAND BY DATE'!$B$3:$AA$3,0)),""))</f>
        <v>8</v>
      </c>
      <c r="BD28" s="289" t="str">
        <f>INDEX('MC MASTER'!$B$3:$B$28,23)</f>
        <v>Button Attach</v>
      </c>
      <c r="BE28" s="289" t="str">
        <f>IFERROR(INDEX('MC MAP'!$BX$5:$BX$30,MATCH($BD28,'MC MAP'!$BW$5:$BW$30,0)),"?")</f>
        <v>BA</v>
      </c>
      <c r="BF28" s="289">
        <f>INDEX('MC MASTER'!$C$3:$C$28,23)</f>
        <v>1</v>
      </c>
      <c r="BG28" s="289">
        <f ca="1">MAX(OFFSET('DEMAND BY DATE'!$B$4,$BB$2-1,MATCH($BD28,'DEMAND BY DATE'!$B$3:$AA$3,0)-1,$BB$3,1))</f>
        <v>0</v>
      </c>
      <c r="BH28" s="289">
        <f ca="1">$BF28-$BG28</f>
        <v>1</v>
      </c>
      <c r="BI28" s="289" cm="1">
        <f t="array" aca="1" ref="BI28" ca="1">SUMPRODUCT((OFFSET('DEMAND BY DATE'!$B$4,$BB$2-1,MATCH($BD28,'DEMAND BY DATE'!$B$3:$AA$3,0)-1,$BB$3,1)&gt;$BF28)*(OFFSET('DEMAND BY DATE'!$BS$4,$BB$2-1,0,$BB$3,1)="Y"))</f>
        <v>0</v>
      </c>
      <c r="BJ28" s="289" cm="1">
        <f t="array" aca="1" ref="BJ28" ca="1">SUMPRODUCT(($BE$6:$BE$31=$BE28)*($BH$6:$BH$31&gt;0)*$BH$6:$BH$31)-MAX(0,$BH28)</f>
        <v>0</v>
      </c>
      <c r="BK28" s="289">
        <f ca="1">IF($BH28&lt;0,MIN(-$BH28,MAX(0,$BJ28-$BN28)),0)</f>
        <v>0</v>
      </c>
      <c r="BL28" s="289">
        <f ca="1">IF($BH28&lt;0,-$BH28-$BK28,0)</f>
        <v>0</v>
      </c>
      <c r="BM28" s="289">
        <f ca="1">$BH28+ROW()/100000</f>
        <v>1.00028</v>
      </c>
      <c r="BN28" s="289" cm="1">
        <f t="array" aca="1" ref="BN28" ca="1">SUMPRODUCT(($BE$6:$BE$31=$BE28)*($BH$6:$BH$31&lt;0)*($BM$6:$BM$31&lt;$BM28)*(-$BH$6:$BH$31))</f>
        <v>0</v>
      </c>
      <c r="BO28" s="289">
        <f ca="1">MAX(0,$BH28)-ROW()/100000</f>
        <v>0.99972</v>
      </c>
    </row>
    <row r="29" spans="2:67">
      <c r="B29" s="289" t="str">
        <f>IFERROR(INDEX(WORKINGS!$B$116:$B$141,MATCH($C29,WORKINGS!$A$116:$A$141,0)),"")</f>
        <v>MULTI-NEEDLE</v>
      </c>
      <c r="C29" s="289" t="str">
        <f>INDEX(WORKINGS!$A$116:$A$141,MATCH(SMALL(WORKINGS!$D$116:$D$141,18),WORKINGS!$D$116:$D$141,0))</f>
        <v>Kansai</v>
      </c>
      <c r="D29" s="18">
        <f>IFERROR(INDEX($BF$6:$BF$31,MATCH($C29,$BD$6:$BD$31,0)),0)</f>
        <v>8</v>
      </c>
      <c r="E29" s="487">
        <f>IF(E$11="","",IFERROR($D29-INDEX('DEMAND BY DATE'!$B$4:$AA$203,MATCH(E$11,'DEMAND BY DATE'!$A$4:$A$203,0),MATCH($C29,'DEMAND BY DATE'!$B$3:$AA$3,0)),""))</f>
        <v>5</v>
      </c>
      <c r="F29" s="487">
        <f>IF(F$11="","",IFERROR($D29-INDEX('DEMAND BY DATE'!$B$4:$AA$203,MATCH(F$11,'DEMAND BY DATE'!$A$4:$A$203,0),MATCH($C29,'DEMAND BY DATE'!$B$3:$AA$3,0)),""))</f>
        <v>5</v>
      </c>
      <c r="G29" s="487">
        <f>IF(G$11="","",IFERROR($D29-INDEX('DEMAND BY DATE'!$B$4:$AA$203,MATCH(G$11,'DEMAND BY DATE'!$A$4:$A$203,0),MATCH($C29,'DEMAND BY DATE'!$B$3:$AA$3,0)),""))</f>
        <v>5</v>
      </c>
      <c r="H29" s="487">
        <f>IF(H$11="","",IFERROR($D29-INDEX('DEMAND BY DATE'!$B$4:$AA$203,MATCH(H$11,'DEMAND BY DATE'!$A$4:$A$203,0),MATCH($C29,'DEMAND BY DATE'!$B$3:$AA$3,0)),""))</f>
        <v>5</v>
      </c>
      <c r="I29" s="487">
        <f>IF(I$11="","",IFERROR($D29-INDEX('DEMAND BY DATE'!$B$4:$AA$203,MATCH(I$11,'DEMAND BY DATE'!$A$4:$A$203,0),MATCH($C29,'DEMAND BY DATE'!$B$3:$AA$3,0)),""))</f>
        <v>5</v>
      </c>
      <c r="J29" s="487">
        <f>IF(J$11="","",IFERROR($D29-INDEX('DEMAND BY DATE'!$B$4:$AA$203,MATCH(J$11,'DEMAND BY DATE'!$A$4:$A$203,0),MATCH($C29,'DEMAND BY DATE'!$B$3:$AA$3,0)),""))</f>
        <v>5</v>
      </c>
      <c r="K29" s="487">
        <f>IF(K$11="","",IFERROR($D29-INDEX('DEMAND BY DATE'!$B$4:$AA$203,MATCH(K$11,'DEMAND BY DATE'!$A$4:$A$203,0),MATCH($C29,'DEMAND BY DATE'!$B$3:$AA$3,0)),""))</f>
        <v>5</v>
      </c>
      <c r="L29" s="487">
        <f>IF(L$11="","",IFERROR($D29-INDEX('DEMAND BY DATE'!$B$4:$AA$203,MATCH(L$11,'DEMAND BY DATE'!$A$4:$A$203,0),MATCH($C29,'DEMAND BY DATE'!$B$3:$AA$3,0)),""))</f>
        <v>5</v>
      </c>
      <c r="M29" s="487">
        <f>IF(M$11="","",IFERROR($D29-INDEX('DEMAND BY DATE'!$B$4:$AA$203,MATCH(M$11,'DEMAND BY DATE'!$A$4:$A$203,0),MATCH($C29,'DEMAND BY DATE'!$B$3:$AA$3,0)),""))</f>
        <v>5</v>
      </c>
      <c r="N29" s="487">
        <f>IF(N$11="","",IFERROR($D29-INDEX('DEMAND BY DATE'!$B$4:$AA$203,MATCH(N$11,'DEMAND BY DATE'!$A$4:$A$203,0),MATCH($C29,'DEMAND BY DATE'!$B$3:$AA$3,0)),""))</f>
        <v>5</v>
      </c>
      <c r="O29" s="487">
        <f>IF(O$11="","",IFERROR($D29-INDEX('DEMAND BY DATE'!$B$4:$AA$203,MATCH(O$11,'DEMAND BY DATE'!$A$4:$A$203,0),MATCH($C29,'DEMAND BY DATE'!$B$3:$AA$3,0)),""))</f>
        <v>5</v>
      </c>
      <c r="P29" s="487">
        <f>IF(P$11="","",IFERROR($D29-INDEX('DEMAND BY DATE'!$B$4:$AA$203,MATCH(P$11,'DEMAND BY DATE'!$A$4:$A$203,0),MATCH($C29,'DEMAND BY DATE'!$B$3:$AA$3,0)),""))</f>
        <v>5</v>
      </c>
      <c r="Q29" s="487">
        <f>IF(Q$11="","",IFERROR($D29-INDEX('DEMAND BY DATE'!$B$4:$AA$203,MATCH(Q$11,'DEMAND BY DATE'!$A$4:$A$203,0),MATCH($C29,'DEMAND BY DATE'!$B$3:$AA$3,0)),""))</f>
        <v>5</v>
      </c>
      <c r="R29" s="487">
        <f>IF(R$11="","",IFERROR($D29-INDEX('DEMAND BY DATE'!$B$4:$AA$203,MATCH(R$11,'DEMAND BY DATE'!$A$4:$A$203,0),MATCH($C29,'DEMAND BY DATE'!$B$3:$AA$3,0)),""))</f>
        <v>5</v>
      </c>
      <c r="S29" s="487">
        <f>IF(S$11="","",IFERROR($D29-INDEX('DEMAND BY DATE'!$B$4:$AA$203,MATCH(S$11,'DEMAND BY DATE'!$A$4:$A$203,0),MATCH($C29,'DEMAND BY DATE'!$B$3:$AA$3,0)),""))</f>
        <v>5</v>
      </c>
      <c r="T29" s="487">
        <f>IF(T$11="","",IFERROR($D29-INDEX('DEMAND BY DATE'!$B$4:$AA$203,MATCH(T$11,'DEMAND BY DATE'!$A$4:$A$203,0),MATCH($C29,'DEMAND BY DATE'!$B$3:$AA$3,0)),""))</f>
        <v>5</v>
      </c>
      <c r="U29" s="487">
        <f>IF(U$11="","",IFERROR($D29-INDEX('DEMAND BY DATE'!$B$4:$AA$203,MATCH(U$11,'DEMAND BY DATE'!$A$4:$A$203,0),MATCH($C29,'DEMAND BY DATE'!$B$3:$AA$3,0)),""))</f>
        <v>5</v>
      </c>
      <c r="V29" s="487">
        <f>IF(V$11="","",IFERROR($D29-INDEX('DEMAND BY DATE'!$B$4:$AA$203,MATCH(V$11,'DEMAND BY DATE'!$A$4:$A$203,0),MATCH($C29,'DEMAND BY DATE'!$B$3:$AA$3,0)),""))</f>
        <v>5</v>
      </c>
      <c r="W29" s="487">
        <f>IF(W$11="","",IFERROR($D29-INDEX('DEMAND BY DATE'!$B$4:$AA$203,MATCH(W$11,'DEMAND BY DATE'!$A$4:$A$203,0),MATCH($C29,'DEMAND BY DATE'!$B$3:$AA$3,0)),""))</f>
        <v>5</v>
      </c>
      <c r="X29" s="487">
        <f>IF(X$11="","",IFERROR($D29-INDEX('DEMAND BY DATE'!$B$4:$AA$203,MATCH(X$11,'DEMAND BY DATE'!$A$4:$A$203,0),MATCH($C29,'DEMAND BY DATE'!$B$3:$AA$3,0)),""))</f>
        <v>5</v>
      </c>
      <c r="Y29" s="487">
        <f>IF(Y$11="","",IFERROR($D29-INDEX('DEMAND BY DATE'!$B$4:$AA$203,MATCH(Y$11,'DEMAND BY DATE'!$A$4:$A$203,0),MATCH($C29,'DEMAND BY DATE'!$B$3:$AA$3,0)),""))</f>
        <v>5</v>
      </c>
      <c r="Z29" s="487">
        <f>IF(Z$11="","",IFERROR($D29-INDEX('DEMAND BY DATE'!$B$4:$AA$203,MATCH(Z$11,'DEMAND BY DATE'!$A$4:$A$203,0),MATCH($C29,'DEMAND BY DATE'!$B$3:$AA$3,0)),""))</f>
        <v>5</v>
      </c>
      <c r="AA29" s="487">
        <f>IF(AA$11="","",IFERROR($D29-INDEX('DEMAND BY DATE'!$B$4:$AA$203,MATCH(AA$11,'DEMAND BY DATE'!$A$4:$A$203,0),MATCH($C29,'DEMAND BY DATE'!$B$3:$AA$3,0)),""))</f>
        <v>5</v>
      </c>
      <c r="AB29" s="487">
        <f>IF(AB$11="","",IFERROR($D29-INDEX('DEMAND BY DATE'!$B$4:$AA$203,MATCH(AB$11,'DEMAND BY DATE'!$A$4:$A$203,0),MATCH($C29,'DEMAND BY DATE'!$B$3:$AA$3,0)),""))</f>
        <v>5</v>
      </c>
      <c r="AC29" s="487">
        <f>IF(AC$11="","",IFERROR($D29-INDEX('DEMAND BY DATE'!$B$4:$AA$203,MATCH(AC$11,'DEMAND BY DATE'!$A$4:$A$203,0),MATCH($C29,'DEMAND BY DATE'!$B$3:$AA$3,0)),""))</f>
        <v>5</v>
      </c>
      <c r="AD29" s="487">
        <f>IF(AD$11="","",IFERROR($D29-INDEX('DEMAND BY DATE'!$B$4:$AA$203,MATCH(AD$11,'DEMAND BY DATE'!$A$4:$A$203,0),MATCH($C29,'DEMAND BY DATE'!$B$3:$AA$3,0)),""))</f>
        <v>5</v>
      </c>
      <c r="AE29" s="487">
        <f>IF(AE$11="","",IFERROR($D29-INDEX('DEMAND BY DATE'!$B$4:$AA$203,MATCH(AE$11,'DEMAND BY DATE'!$A$4:$A$203,0),MATCH($C29,'DEMAND BY DATE'!$B$3:$AA$3,0)),""))</f>
        <v>5</v>
      </c>
      <c r="AF29" s="487">
        <f>IF(AF$11="","",IFERROR($D29-INDEX('DEMAND BY DATE'!$B$4:$AA$203,MATCH(AF$11,'DEMAND BY DATE'!$A$4:$A$203,0),MATCH($C29,'DEMAND BY DATE'!$B$3:$AA$3,0)),""))</f>
        <v>5</v>
      </c>
      <c r="AG29" s="487">
        <f>IF(AG$11="","",IFERROR($D29-INDEX('DEMAND BY DATE'!$B$4:$AA$203,MATCH(AG$11,'DEMAND BY DATE'!$A$4:$A$203,0),MATCH($C29,'DEMAND BY DATE'!$B$3:$AA$3,0)),""))</f>
        <v>5</v>
      </c>
      <c r="AH29" s="487">
        <f>IF(AH$11="","",IFERROR($D29-INDEX('DEMAND BY DATE'!$B$4:$AA$203,MATCH(AH$11,'DEMAND BY DATE'!$A$4:$A$203,0),MATCH($C29,'DEMAND BY DATE'!$B$3:$AA$3,0)),""))</f>
        <v>5</v>
      </c>
      <c r="AI29" s="487">
        <f>IF(AI$11="","",IFERROR($D29-INDEX('DEMAND BY DATE'!$B$4:$AA$203,MATCH(AI$11,'DEMAND BY DATE'!$A$4:$A$203,0),MATCH($C29,'DEMAND BY DATE'!$B$3:$AA$3,0)),""))</f>
        <v>5</v>
      </c>
      <c r="BD29" s="289" t="str">
        <f>INDEX('MC MASTER'!$B$3:$B$28,24)</f>
        <v>Bartack</v>
      </c>
      <c r="BE29" s="289" t="str">
        <f>IFERROR(INDEX('MC MAP'!$BX$5:$BX$30,MATCH($BD29,'MC MAP'!$BW$5:$BW$30,0)),"?")</f>
        <v>BTK</v>
      </c>
      <c r="BF29" s="289">
        <f>INDEX('MC MASTER'!$C$3:$C$28,24)</f>
        <v>13</v>
      </c>
      <c r="BG29" s="289">
        <f ca="1">MAX(OFFSET('DEMAND BY DATE'!$B$4,$BB$2-1,MATCH($BD29,'DEMAND BY DATE'!$B$3:$AA$3,0)-1,$BB$3,1))</f>
        <v>7.5</v>
      </c>
      <c r="BH29" s="289">
        <f ca="1">$BF29-$BG29</f>
        <v>5.5</v>
      </c>
      <c r="BI29" s="289" cm="1">
        <f t="array" aca="1" ref="BI29" ca="1">SUMPRODUCT((OFFSET('DEMAND BY DATE'!$B$4,$BB$2-1,MATCH($BD29,'DEMAND BY DATE'!$B$3:$AA$3,0)-1,$BB$3,1)&gt;$BF29)*(OFFSET('DEMAND BY DATE'!$BS$4,$BB$2-1,0,$BB$3,1)="Y"))</f>
        <v>0</v>
      </c>
      <c r="BJ29" s="289" cm="1">
        <f t="array" aca="1" ref="BJ29" ca="1">SUMPRODUCT(($BE$6:$BE$31=$BE29)*($BH$6:$BH$31&gt;0)*$BH$6:$BH$31)-MAX(0,$BH29)</f>
        <v>0</v>
      </c>
      <c r="BK29" s="289">
        <f ca="1">IF($BH29&lt;0,MIN(-$BH29,MAX(0,$BJ29-$BN29)),0)</f>
        <v>0</v>
      </c>
      <c r="BL29" s="289">
        <f ca="1">IF($BH29&lt;0,-$BH29-$BK29,0)</f>
        <v>0</v>
      </c>
      <c r="BM29" s="289">
        <f ca="1">$BH29+ROW()/100000</f>
        <v>5.50029</v>
      </c>
      <c r="BN29" s="289" cm="1">
        <f t="array" aca="1" ref="BN29" ca="1">SUMPRODUCT(($BE$6:$BE$31=$BE29)*($BH$6:$BH$31&lt;0)*($BM$6:$BM$31&lt;$BM29)*(-$BH$6:$BH$31))</f>
        <v>0</v>
      </c>
      <c r="BO29" s="289">
        <f ca="1">MAX(0,$BH29)-ROW()/100000</f>
        <v>5.49971</v>
      </c>
    </row>
    <row r="30" spans="2:67">
      <c r="B30" s="289" t="str">
        <f>IFERROR(INDEX(WORKINGS!$B$116:$B$141,MATCH($C30,WORKINGS!$A$116:$A$141,0)),"")</f>
        <v>CS-DNLS</v>
      </c>
      <c r="C30" s="289" t="str">
        <f>INDEX(WORKINGS!$A$116:$A$141,MATCH(SMALL(WORKINGS!$D$116:$D$141,19),WORKINGS!$D$116:$D$141,0))</f>
        <v>Chain stitch</v>
      </c>
      <c r="D30" s="18">
        <f>IFERROR(INDEX($BF$6:$BF$31,MATCH($C30,$BD$6:$BD$31,0)),0)</f>
        <v>2</v>
      </c>
      <c r="E30" s="487">
        <f>IF(E$11="","",IFERROR($D30-INDEX('DEMAND BY DATE'!$B$4:$AA$203,MATCH(E$11,'DEMAND BY DATE'!$A$4:$A$203,0),MATCH($C30,'DEMAND BY DATE'!$B$3:$AA$3,0)),""))</f>
        <v>2</v>
      </c>
      <c r="F30" s="487">
        <f>IF(F$11="","",IFERROR($D30-INDEX('DEMAND BY DATE'!$B$4:$AA$203,MATCH(F$11,'DEMAND BY DATE'!$A$4:$A$203,0),MATCH($C30,'DEMAND BY DATE'!$B$3:$AA$3,0)),""))</f>
        <v>2</v>
      </c>
      <c r="G30" s="487">
        <f>IF(G$11="","",IFERROR($D30-INDEX('DEMAND BY DATE'!$B$4:$AA$203,MATCH(G$11,'DEMAND BY DATE'!$A$4:$A$203,0),MATCH($C30,'DEMAND BY DATE'!$B$3:$AA$3,0)),""))</f>
        <v>2</v>
      </c>
      <c r="H30" s="487">
        <f>IF(H$11="","",IFERROR($D30-INDEX('DEMAND BY DATE'!$B$4:$AA$203,MATCH(H$11,'DEMAND BY DATE'!$A$4:$A$203,0),MATCH($C30,'DEMAND BY DATE'!$B$3:$AA$3,0)),""))</f>
        <v>2</v>
      </c>
      <c r="I30" s="487">
        <f>IF(I$11="","",IFERROR($D30-INDEX('DEMAND BY DATE'!$B$4:$AA$203,MATCH(I$11,'DEMAND BY DATE'!$A$4:$A$203,0),MATCH($C30,'DEMAND BY DATE'!$B$3:$AA$3,0)),""))</f>
        <v>2</v>
      </c>
      <c r="J30" s="487">
        <f>IF(J$11="","",IFERROR($D30-INDEX('DEMAND BY DATE'!$B$4:$AA$203,MATCH(J$11,'DEMAND BY DATE'!$A$4:$A$203,0),MATCH($C30,'DEMAND BY DATE'!$B$3:$AA$3,0)),""))</f>
        <v>2</v>
      </c>
      <c r="K30" s="487">
        <f>IF(K$11="","",IFERROR($D30-INDEX('DEMAND BY DATE'!$B$4:$AA$203,MATCH(K$11,'DEMAND BY DATE'!$A$4:$A$203,0),MATCH($C30,'DEMAND BY DATE'!$B$3:$AA$3,0)),""))</f>
        <v>2</v>
      </c>
      <c r="L30" s="487">
        <f>IF(L$11="","",IFERROR($D30-INDEX('DEMAND BY DATE'!$B$4:$AA$203,MATCH(L$11,'DEMAND BY DATE'!$A$4:$A$203,0),MATCH($C30,'DEMAND BY DATE'!$B$3:$AA$3,0)),""))</f>
        <v>2</v>
      </c>
      <c r="M30" s="487">
        <f>IF(M$11="","",IFERROR($D30-INDEX('DEMAND BY DATE'!$B$4:$AA$203,MATCH(M$11,'DEMAND BY DATE'!$A$4:$A$203,0),MATCH($C30,'DEMAND BY DATE'!$B$3:$AA$3,0)),""))</f>
        <v>2</v>
      </c>
      <c r="N30" s="487">
        <f>IF(N$11="","",IFERROR($D30-INDEX('DEMAND BY DATE'!$B$4:$AA$203,MATCH(N$11,'DEMAND BY DATE'!$A$4:$A$203,0),MATCH($C30,'DEMAND BY DATE'!$B$3:$AA$3,0)),""))</f>
        <v>2</v>
      </c>
      <c r="O30" s="487">
        <f>IF(O$11="","",IFERROR($D30-INDEX('DEMAND BY DATE'!$B$4:$AA$203,MATCH(O$11,'DEMAND BY DATE'!$A$4:$A$203,0),MATCH($C30,'DEMAND BY DATE'!$B$3:$AA$3,0)),""))</f>
        <v>2</v>
      </c>
      <c r="P30" s="487">
        <f>IF(P$11="","",IFERROR($D30-INDEX('DEMAND BY DATE'!$B$4:$AA$203,MATCH(P$11,'DEMAND BY DATE'!$A$4:$A$203,0),MATCH($C30,'DEMAND BY DATE'!$B$3:$AA$3,0)),""))</f>
        <v>2</v>
      </c>
      <c r="Q30" s="487">
        <f>IF(Q$11="","",IFERROR($D30-INDEX('DEMAND BY DATE'!$B$4:$AA$203,MATCH(Q$11,'DEMAND BY DATE'!$A$4:$A$203,0),MATCH($C30,'DEMAND BY DATE'!$B$3:$AA$3,0)),""))</f>
        <v>2</v>
      </c>
      <c r="R30" s="487">
        <f>IF(R$11="","",IFERROR($D30-INDEX('DEMAND BY DATE'!$B$4:$AA$203,MATCH(R$11,'DEMAND BY DATE'!$A$4:$A$203,0),MATCH($C30,'DEMAND BY DATE'!$B$3:$AA$3,0)),""))</f>
        <v>2</v>
      </c>
      <c r="S30" s="487">
        <f>IF(S$11="","",IFERROR($D30-INDEX('DEMAND BY DATE'!$B$4:$AA$203,MATCH(S$11,'DEMAND BY DATE'!$A$4:$A$203,0),MATCH($C30,'DEMAND BY DATE'!$B$3:$AA$3,0)),""))</f>
        <v>2</v>
      </c>
      <c r="T30" s="487">
        <f>IF(T$11="","",IFERROR($D30-INDEX('DEMAND BY DATE'!$B$4:$AA$203,MATCH(T$11,'DEMAND BY DATE'!$A$4:$A$203,0),MATCH($C30,'DEMAND BY DATE'!$B$3:$AA$3,0)),""))</f>
        <v>2</v>
      </c>
      <c r="U30" s="487">
        <f>IF(U$11="","",IFERROR($D30-INDEX('DEMAND BY DATE'!$B$4:$AA$203,MATCH(U$11,'DEMAND BY DATE'!$A$4:$A$203,0),MATCH($C30,'DEMAND BY DATE'!$B$3:$AA$3,0)),""))</f>
        <v>2</v>
      </c>
      <c r="V30" s="487">
        <f>IF(V$11="","",IFERROR($D30-INDEX('DEMAND BY DATE'!$B$4:$AA$203,MATCH(V$11,'DEMAND BY DATE'!$A$4:$A$203,0),MATCH($C30,'DEMAND BY DATE'!$B$3:$AA$3,0)),""))</f>
        <v>2</v>
      </c>
      <c r="W30" s="487">
        <f>IF(W$11="","",IFERROR($D30-INDEX('DEMAND BY DATE'!$B$4:$AA$203,MATCH(W$11,'DEMAND BY DATE'!$A$4:$A$203,0),MATCH($C30,'DEMAND BY DATE'!$B$3:$AA$3,0)),""))</f>
        <v>2</v>
      </c>
      <c r="X30" s="487">
        <f>IF(X$11="","",IFERROR($D30-INDEX('DEMAND BY DATE'!$B$4:$AA$203,MATCH(X$11,'DEMAND BY DATE'!$A$4:$A$203,0),MATCH($C30,'DEMAND BY DATE'!$B$3:$AA$3,0)),""))</f>
        <v>2</v>
      </c>
      <c r="Y30" s="487">
        <f>IF(Y$11="","",IFERROR($D30-INDEX('DEMAND BY DATE'!$B$4:$AA$203,MATCH(Y$11,'DEMAND BY DATE'!$A$4:$A$203,0),MATCH($C30,'DEMAND BY DATE'!$B$3:$AA$3,0)),""))</f>
        <v>2</v>
      </c>
      <c r="Z30" s="487">
        <f>IF(Z$11="","",IFERROR($D30-INDEX('DEMAND BY DATE'!$B$4:$AA$203,MATCH(Z$11,'DEMAND BY DATE'!$A$4:$A$203,0),MATCH($C30,'DEMAND BY DATE'!$B$3:$AA$3,0)),""))</f>
        <v>2</v>
      </c>
      <c r="AA30" s="487">
        <f>IF(AA$11="","",IFERROR($D30-INDEX('DEMAND BY DATE'!$B$4:$AA$203,MATCH(AA$11,'DEMAND BY DATE'!$A$4:$A$203,0),MATCH($C30,'DEMAND BY DATE'!$B$3:$AA$3,0)),""))</f>
        <v>2</v>
      </c>
      <c r="AB30" s="487">
        <f>IF(AB$11="","",IFERROR($D30-INDEX('DEMAND BY DATE'!$B$4:$AA$203,MATCH(AB$11,'DEMAND BY DATE'!$A$4:$A$203,0),MATCH($C30,'DEMAND BY DATE'!$B$3:$AA$3,0)),""))</f>
        <v>2</v>
      </c>
      <c r="AC30" s="487">
        <f>IF(AC$11="","",IFERROR($D30-INDEX('DEMAND BY DATE'!$B$4:$AA$203,MATCH(AC$11,'DEMAND BY DATE'!$A$4:$A$203,0),MATCH($C30,'DEMAND BY DATE'!$B$3:$AA$3,0)),""))</f>
        <v>2</v>
      </c>
      <c r="AD30" s="487">
        <f>IF(AD$11="","",IFERROR($D30-INDEX('DEMAND BY DATE'!$B$4:$AA$203,MATCH(AD$11,'DEMAND BY DATE'!$A$4:$A$203,0),MATCH($C30,'DEMAND BY DATE'!$B$3:$AA$3,0)),""))</f>
        <v>2</v>
      </c>
      <c r="AE30" s="487">
        <f>IF(AE$11="","",IFERROR($D30-INDEX('DEMAND BY DATE'!$B$4:$AA$203,MATCH(AE$11,'DEMAND BY DATE'!$A$4:$A$203,0),MATCH($C30,'DEMAND BY DATE'!$B$3:$AA$3,0)),""))</f>
        <v>2</v>
      </c>
      <c r="AF30" s="487">
        <f>IF(AF$11="","",IFERROR($D30-INDEX('DEMAND BY DATE'!$B$4:$AA$203,MATCH(AF$11,'DEMAND BY DATE'!$A$4:$A$203,0),MATCH($C30,'DEMAND BY DATE'!$B$3:$AA$3,0)),""))</f>
        <v>2</v>
      </c>
      <c r="AG30" s="487">
        <f>IF(AG$11="","",IFERROR($D30-INDEX('DEMAND BY DATE'!$B$4:$AA$203,MATCH(AG$11,'DEMAND BY DATE'!$A$4:$A$203,0),MATCH($C30,'DEMAND BY DATE'!$B$3:$AA$3,0)),""))</f>
        <v>2</v>
      </c>
      <c r="AH30" s="487">
        <f>IF(AH$11="","",IFERROR($D30-INDEX('DEMAND BY DATE'!$B$4:$AA$203,MATCH(AH$11,'DEMAND BY DATE'!$A$4:$A$203,0),MATCH($C30,'DEMAND BY DATE'!$B$3:$AA$3,0)),""))</f>
        <v>2</v>
      </c>
      <c r="AI30" s="487">
        <f>IF(AI$11="","",IFERROR($D30-INDEX('DEMAND BY DATE'!$B$4:$AA$203,MATCH(AI$11,'DEMAND BY DATE'!$A$4:$A$203,0),MATCH($C30,'DEMAND BY DATE'!$B$3:$AA$3,0)),""))</f>
        <v>2</v>
      </c>
      <c r="BD30" s="289" t="str">
        <f>INDEX('MC MASTER'!$B$3:$B$28,25)</f>
        <v>Bartack Pattern tacker (LABEL ATTACH )</v>
      </c>
      <c r="BE30" s="289" t="str">
        <f>IFERROR(INDEX('MC MAP'!$BX$5:$BX$30,MATCH($BD30,'MC MAP'!$BW$5:$BW$30,0)),"?")</f>
        <v>PATTERN-TACKER</v>
      </c>
      <c r="BF30" s="289">
        <f>INDEX('MC MASTER'!$C$3:$C$28,25)</f>
        <v>2</v>
      </c>
      <c r="BG30" s="289">
        <f ca="1">MAX(OFFSET('DEMAND BY DATE'!$B$4,$BB$2-1,MATCH($BD30,'DEMAND BY DATE'!$B$3:$AA$3,0)-1,$BB$3,1))</f>
        <v>0</v>
      </c>
      <c r="BH30" s="289">
        <f ca="1">$BF30-$BG30</f>
        <v>2</v>
      </c>
      <c r="BI30" s="289" cm="1">
        <f t="array" aca="1" ref="BI30" ca="1">SUMPRODUCT((OFFSET('DEMAND BY DATE'!$B$4,$BB$2-1,MATCH($BD30,'DEMAND BY DATE'!$B$3:$AA$3,0)-1,$BB$3,1)&gt;$BF30)*(OFFSET('DEMAND BY DATE'!$BS$4,$BB$2-1,0,$BB$3,1)="Y"))</f>
        <v>0</v>
      </c>
      <c r="BJ30" s="289" cm="1">
        <f t="array" aca="1" ref="BJ30" ca="1">SUMPRODUCT(($BE$6:$BE$31=$BE30)*($BH$6:$BH$31&gt;0)*$BH$6:$BH$31)-MAX(0,$BH30)</f>
        <v>6</v>
      </c>
      <c r="BK30" s="289">
        <f ca="1">IF($BH30&lt;0,MIN(-$BH30,MAX(0,$BJ30-$BN30)),0)</f>
        <v>0</v>
      </c>
      <c r="BL30" s="289">
        <f ca="1">IF($BH30&lt;0,-$BH30-$BK30,0)</f>
        <v>0</v>
      </c>
      <c r="BM30" s="289">
        <f ca="1">$BH30+ROW()/100000</f>
        <v>2.0003</v>
      </c>
      <c r="BN30" s="289" cm="1">
        <f t="array" aca="1" ref="BN30" ca="1">SUMPRODUCT(($BE$6:$BE$31=$BE30)*($BH$6:$BH$31&lt;0)*($BM$6:$BM$31&lt;$BM30)*(-$BH$6:$BH$31))</f>
        <v>0</v>
      </c>
      <c r="BO30" s="289">
        <f ca="1">MAX(0,$BH30)-ROW()/100000</f>
        <v>1.9997</v>
      </c>
    </row>
    <row r="31" spans="2:67">
      <c r="B31" s="289" t="str">
        <f>IFERROR(INDEX(WORKINGS!$B$116:$B$141,MATCH($C31,WORKINGS!$A$116:$A$141,0)),"")</f>
        <v>HT</v>
      </c>
      <c r="C31" s="289" t="str">
        <f>INDEX(WORKINGS!$A$116:$A$141,MATCH(SMALL(WORKINGS!$D$116:$D$141,20),WORKINGS!$D$116:$D$141,0))</f>
        <v>Heat Seal</v>
      </c>
      <c r="D31" s="18">
        <f>IFERROR(INDEX($BF$6:$BF$31,MATCH($C31,$BD$6:$BD$31,0)),0)</f>
        <v>35</v>
      </c>
      <c r="E31" s="487">
        <f>IF(E$11="","",IFERROR($D31-INDEX('DEMAND BY DATE'!$B$4:$AA$203,MATCH(E$11,'DEMAND BY DATE'!$A$4:$A$203,0),MATCH($C31,'DEMAND BY DATE'!$B$3:$AA$3,0)),""))</f>
        <v>4</v>
      </c>
      <c r="F31" s="487">
        <f>IF(F$11="","",IFERROR($D31-INDEX('DEMAND BY DATE'!$B$4:$AA$203,MATCH(F$11,'DEMAND BY DATE'!$A$4:$A$203,0),MATCH($C31,'DEMAND BY DATE'!$B$3:$AA$3,0)),""))</f>
        <v>4</v>
      </c>
      <c r="G31" s="487">
        <f>IF(G$11="","",IFERROR($D31-INDEX('DEMAND BY DATE'!$B$4:$AA$203,MATCH(G$11,'DEMAND BY DATE'!$A$4:$A$203,0),MATCH($C31,'DEMAND BY DATE'!$B$3:$AA$3,0)),""))</f>
        <v>4</v>
      </c>
      <c r="H31" s="487">
        <f>IF(H$11="","",IFERROR($D31-INDEX('DEMAND BY DATE'!$B$4:$AA$203,MATCH(H$11,'DEMAND BY DATE'!$A$4:$A$203,0),MATCH($C31,'DEMAND BY DATE'!$B$3:$AA$3,0)),""))</f>
        <v>4</v>
      </c>
      <c r="I31" s="487">
        <f>IF(I$11="","",IFERROR($D31-INDEX('DEMAND BY DATE'!$B$4:$AA$203,MATCH(I$11,'DEMAND BY DATE'!$A$4:$A$203,0),MATCH($C31,'DEMAND BY DATE'!$B$3:$AA$3,0)),""))</f>
        <v>4</v>
      </c>
      <c r="J31" s="487">
        <f>IF(J$11="","",IFERROR($D31-INDEX('DEMAND BY DATE'!$B$4:$AA$203,MATCH(J$11,'DEMAND BY DATE'!$A$4:$A$203,0),MATCH($C31,'DEMAND BY DATE'!$B$3:$AA$3,0)),""))</f>
        <v>4</v>
      </c>
      <c r="K31" s="487">
        <f>IF(K$11="","",IFERROR($D31-INDEX('DEMAND BY DATE'!$B$4:$AA$203,MATCH(K$11,'DEMAND BY DATE'!$A$4:$A$203,0),MATCH($C31,'DEMAND BY DATE'!$B$3:$AA$3,0)),""))</f>
        <v>4</v>
      </c>
      <c r="L31" s="487">
        <f>IF(L$11="","",IFERROR($D31-INDEX('DEMAND BY DATE'!$B$4:$AA$203,MATCH(L$11,'DEMAND BY DATE'!$A$4:$A$203,0),MATCH($C31,'DEMAND BY DATE'!$B$3:$AA$3,0)),""))</f>
        <v>4</v>
      </c>
      <c r="M31" s="487">
        <f>IF(M$11="","",IFERROR($D31-INDEX('DEMAND BY DATE'!$B$4:$AA$203,MATCH(M$11,'DEMAND BY DATE'!$A$4:$A$203,0),MATCH($C31,'DEMAND BY DATE'!$B$3:$AA$3,0)),""))</f>
        <v>4</v>
      </c>
      <c r="N31" s="487">
        <f>IF(N$11="","",IFERROR($D31-INDEX('DEMAND BY DATE'!$B$4:$AA$203,MATCH(N$11,'DEMAND BY DATE'!$A$4:$A$203,0),MATCH($C31,'DEMAND BY DATE'!$B$3:$AA$3,0)),""))</f>
        <v>4</v>
      </c>
      <c r="O31" s="487">
        <f>IF(O$11="","",IFERROR($D31-INDEX('DEMAND BY DATE'!$B$4:$AA$203,MATCH(O$11,'DEMAND BY DATE'!$A$4:$A$203,0),MATCH($C31,'DEMAND BY DATE'!$B$3:$AA$3,0)),""))</f>
        <v>4</v>
      </c>
      <c r="P31" s="487">
        <f>IF(P$11="","",IFERROR($D31-INDEX('DEMAND BY DATE'!$B$4:$AA$203,MATCH(P$11,'DEMAND BY DATE'!$A$4:$A$203,0),MATCH($C31,'DEMAND BY DATE'!$B$3:$AA$3,0)),""))</f>
        <v>4.5</v>
      </c>
      <c r="Q31" s="487">
        <f>IF(Q$11="","",IFERROR($D31-INDEX('DEMAND BY DATE'!$B$4:$AA$203,MATCH(Q$11,'DEMAND BY DATE'!$A$4:$A$203,0),MATCH($C31,'DEMAND BY DATE'!$B$3:$AA$3,0)),""))</f>
        <v>4.5</v>
      </c>
      <c r="R31" s="487">
        <f>IF(R$11="","",IFERROR($D31-INDEX('DEMAND BY DATE'!$B$4:$AA$203,MATCH(R$11,'DEMAND BY DATE'!$A$4:$A$203,0),MATCH($C31,'DEMAND BY DATE'!$B$3:$AA$3,0)),""))</f>
        <v>9.5</v>
      </c>
      <c r="S31" s="487">
        <f>IF(S$11="","",IFERROR($D31-INDEX('DEMAND BY DATE'!$B$4:$AA$203,MATCH(S$11,'DEMAND BY DATE'!$A$4:$A$203,0),MATCH($C31,'DEMAND BY DATE'!$B$3:$AA$3,0)),""))</f>
        <v>2.5</v>
      </c>
      <c r="T31" s="487">
        <f>IF(T$11="","",IFERROR($D31-INDEX('DEMAND BY DATE'!$B$4:$AA$203,MATCH(T$11,'DEMAND BY DATE'!$A$4:$A$203,0),MATCH($C31,'DEMAND BY DATE'!$B$3:$AA$3,0)),""))</f>
        <v>2.5</v>
      </c>
      <c r="U31" s="487">
        <f>IF(U$11="","",IFERROR($D31-INDEX('DEMAND BY DATE'!$B$4:$AA$203,MATCH(U$11,'DEMAND BY DATE'!$A$4:$A$203,0),MATCH($C31,'DEMAND BY DATE'!$B$3:$AA$3,0)),""))</f>
        <v>2.5</v>
      </c>
      <c r="V31" s="487">
        <f>IF(V$11="","",IFERROR($D31-INDEX('DEMAND BY DATE'!$B$4:$AA$203,MATCH(V$11,'DEMAND BY DATE'!$A$4:$A$203,0),MATCH($C31,'DEMAND BY DATE'!$B$3:$AA$3,0)),""))</f>
        <v>2.5</v>
      </c>
      <c r="W31" s="487">
        <f>IF(W$11="","",IFERROR($D31-INDEX('DEMAND BY DATE'!$B$4:$AA$203,MATCH(W$11,'DEMAND BY DATE'!$A$4:$A$203,0),MATCH($C31,'DEMAND BY DATE'!$B$3:$AA$3,0)),""))</f>
        <v>2.5</v>
      </c>
      <c r="X31" s="487">
        <f>IF(X$11="","",IFERROR($D31-INDEX('DEMAND BY DATE'!$B$4:$AA$203,MATCH(X$11,'DEMAND BY DATE'!$A$4:$A$203,0),MATCH($C31,'DEMAND BY DATE'!$B$3:$AA$3,0)),""))</f>
        <v>2.5</v>
      </c>
      <c r="Y31" s="487">
        <f>IF(Y$11="","",IFERROR($D31-INDEX('DEMAND BY DATE'!$B$4:$AA$203,MATCH(Y$11,'DEMAND BY DATE'!$A$4:$A$203,0),MATCH($C31,'DEMAND BY DATE'!$B$3:$AA$3,0)),""))</f>
        <v>2.5</v>
      </c>
      <c r="Z31" s="487">
        <f>IF(Z$11="","",IFERROR($D31-INDEX('DEMAND BY DATE'!$B$4:$AA$203,MATCH(Z$11,'DEMAND BY DATE'!$A$4:$A$203,0),MATCH($C31,'DEMAND BY DATE'!$B$3:$AA$3,0)),""))</f>
        <v>2.5</v>
      </c>
      <c r="AA31" s="487">
        <f>IF(AA$11="","",IFERROR($D31-INDEX('DEMAND BY DATE'!$B$4:$AA$203,MATCH(AA$11,'DEMAND BY DATE'!$A$4:$A$203,0),MATCH($C31,'DEMAND BY DATE'!$B$3:$AA$3,0)),""))</f>
        <v>2.5</v>
      </c>
      <c r="AB31" s="487">
        <f>IF(AB$11="","",IFERROR($D31-INDEX('DEMAND BY DATE'!$B$4:$AA$203,MATCH(AB$11,'DEMAND BY DATE'!$A$4:$A$203,0),MATCH($C31,'DEMAND BY DATE'!$B$3:$AA$3,0)),""))</f>
        <v>2.5</v>
      </c>
      <c r="AC31" s="487">
        <f>IF(AC$11="","",IFERROR($D31-INDEX('DEMAND BY DATE'!$B$4:$AA$203,MATCH(AC$11,'DEMAND BY DATE'!$A$4:$A$203,0),MATCH($C31,'DEMAND BY DATE'!$B$3:$AA$3,0)),""))</f>
        <v>2.5</v>
      </c>
      <c r="AD31" s="487">
        <f>IF(AD$11="","",IFERROR($D31-INDEX('DEMAND BY DATE'!$B$4:$AA$203,MATCH(AD$11,'DEMAND BY DATE'!$A$4:$A$203,0),MATCH($C31,'DEMAND BY DATE'!$B$3:$AA$3,0)),""))</f>
        <v>2.5</v>
      </c>
      <c r="AE31" s="487">
        <f>IF(AE$11="","",IFERROR($D31-INDEX('DEMAND BY DATE'!$B$4:$AA$203,MATCH(AE$11,'DEMAND BY DATE'!$A$4:$A$203,0),MATCH($C31,'DEMAND BY DATE'!$B$3:$AA$3,0)),""))</f>
        <v>2.5</v>
      </c>
      <c r="AF31" s="487">
        <f>IF(AF$11="","",IFERROR($D31-INDEX('DEMAND BY DATE'!$B$4:$AA$203,MATCH(AF$11,'DEMAND BY DATE'!$A$4:$A$203,0),MATCH($C31,'DEMAND BY DATE'!$B$3:$AA$3,0)),""))</f>
        <v>2.5</v>
      </c>
      <c r="AG31" s="487">
        <f>IF(AG$11="","",IFERROR($D31-INDEX('DEMAND BY DATE'!$B$4:$AA$203,MATCH(AG$11,'DEMAND BY DATE'!$A$4:$A$203,0),MATCH($C31,'DEMAND BY DATE'!$B$3:$AA$3,0)),""))</f>
        <v>2.5</v>
      </c>
      <c r="AH31" s="487">
        <f>IF(AH$11="","",IFERROR($D31-INDEX('DEMAND BY DATE'!$B$4:$AA$203,MATCH(AH$11,'DEMAND BY DATE'!$A$4:$A$203,0),MATCH($C31,'DEMAND BY DATE'!$B$3:$AA$3,0)),""))</f>
        <v>2.5</v>
      </c>
      <c r="AI31" s="487">
        <f>IF(AI$11="","",IFERROR($D31-INDEX('DEMAND BY DATE'!$B$4:$AA$203,MATCH(AI$11,'DEMAND BY DATE'!$A$4:$A$203,0),MATCH($C31,'DEMAND BY DATE'!$B$3:$AA$3,0)),""))</f>
        <v>2.5</v>
      </c>
      <c r="BD31" s="289" t="str">
        <f>INDEX('MC MASTER'!$B$3:$B$28,26)</f>
        <v>Bartack Pattern tacker</v>
      </c>
      <c r="BE31" s="289" t="str">
        <f>IFERROR(INDEX('MC MAP'!$BX$5:$BX$30,MATCH($BD31,'MC MAP'!$BW$5:$BW$30,0)),"?")</f>
        <v>PATTERN-TACKER</v>
      </c>
      <c r="BF31" s="289">
        <f>INDEX('MC MASTER'!$C$3:$C$28,26)</f>
        <v>35</v>
      </c>
      <c r="BG31" s="289">
        <f ca="1">MAX(OFFSET('DEMAND BY DATE'!$B$4,$BB$2-1,MATCH($BD31,'DEMAND BY DATE'!$B$3:$AA$3,0)-1,$BB$3,1))</f>
        <v>29</v>
      </c>
      <c r="BH31" s="289">
        <f ca="1">$BF31-$BG31</f>
        <v>6</v>
      </c>
      <c r="BI31" s="289" cm="1">
        <f t="array" aca="1" ref="BI31" ca="1">SUMPRODUCT((OFFSET('DEMAND BY DATE'!$B$4,$BB$2-1,MATCH($BD31,'DEMAND BY DATE'!$B$3:$AA$3,0)-1,$BB$3,1)&gt;$BF31)*(OFFSET('DEMAND BY DATE'!$BS$4,$BB$2-1,0,$BB$3,1)="Y"))</f>
        <v>0</v>
      </c>
      <c r="BJ31" s="289" cm="1">
        <f t="array" aca="1" ref="BJ31" ca="1">SUMPRODUCT(($BE$6:$BE$31=$BE31)*($BH$6:$BH$31&gt;0)*$BH$6:$BH$31)-MAX(0,$BH31)</f>
        <v>2</v>
      </c>
      <c r="BK31" s="289">
        <f ca="1">IF($BH31&lt;0,MIN(-$BH31,MAX(0,$BJ31-$BN31)),0)</f>
        <v>0</v>
      </c>
      <c r="BL31" s="289">
        <f ca="1">IF($BH31&lt;0,-$BH31-$BK31,0)</f>
        <v>0</v>
      </c>
      <c r="BM31" s="289">
        <f ca="1">$BH31+ROW()/100000</f>
        <v>6.00031</v>
      </c>
      <c r="BN31" s="289" cm="1">
        <f t="array" aca="1" ref="BN31" ca="1">SUMPRODUCT(($BE$6:$BE$31=$BE31)*($BH$6:$BH$31&lt;0)*($BM$6:$BM$31&lt;$BM31)*(-$BH$6:$BH$31))</f>
        <v>0</v>
      </c>
      <c r="BO31" s="289">
        <f ca="1">MAX(0,$BH31)-ROW()/100000</f>
        <v>5.99969</v>
      </c>
    </row>
    <row r="32" spans="2:67">
      <c r="B32" s="289" t="str">
        <f>IFERROR(INDEX(WORKINGS!$B$116:$B$141,MATCH($C32,WORKINGS!$A$116:$A$141,0)),"")</f>
        <v>ILET</v>
      </c>
      <c r="C32" s="289" t="str">
        <f>INDEX(WORKINGS!$A$116:$A$141,MATCH(SMALL(WORKINGS!$D$116:$D$141,21),WORKINGS!$D$116:$D$141,0))</f>
        <v>Snap button</v>
      </c>
      <c r="D32" s="18">
        <f>IFERROR(INDEX($BF$6:$BF$31,MATCH($C32,$BD$6:$BD$31,0)),0)</f>
        <v>2</v>
      </c>
      <c r="E32" s="487">
        <f>IF(E$11="","",IFERROR($D32-INDEX('DEMAND BY DATE'!$B$4:$AA$203,MATCH(E$11,'DEMAND BY DATE'!$A$4:$A$203,0),MATCH($C32,'DEMAND BY DATE'!$B$3:$AA$3,0)),""))</f>
        <v>0</v>
      </c>
      <c r="F32" s="487">
        <f>IF(F$11="","",IFERROR($D32-INDEX('DEMAND BY DATE'!$B$4:$AA$203,MATCH(F$11,'DEMAND BY DATE'!$A$4:$A$203,0),MATCH($C32,'DEMAND BY DATE'!$B$3:$AA$3,0)),""))</f>
        <v>0</v>
      </c>
      <c r="G32" s="487">
        <f>IF(G$11="","",IFERROR($D32-INDEX('DEMAND BY DATE'!$B$4:$AA$203,MATCH(G$11,'DEMAND BY DATE'!$A$4:$A$203,0),MATCH($C32,'DEMAND BY DATE'!$B$3:$AA$3,0)),""))</f>
        <v>0</v>
      </c>
      <c r="H32" s="487">
        <f>IF(H$11="","",IFERROR($D32-INDEX('DEMAND BY DATE'!$B$4:$AA$203,MATCH(H$11,'DEMAND BY DATE'!$A$4:$A$203,0),MATCH($C32,'DEMAND BY DATE'!$B$3:$AA$3,0)),""))</f>
        <v>0</v>
      </c>
      <c r="I32" s="487">
        <f>IF(I$11="","",IFERROR($D32-INDEX('DEMAND BY DATE'!$B$4:$AA$203,MATCH(I$11,'DEMAND BY DATE'!$A$4:$A$203,0),MATCH($C32,'DEMAND BY DATE'!$B$3:$AA$3,0)),""))</f>
        <v>0</v>
      </c>
      <c r="J32" s="487">
        <f>IF(J$11="","",IFERROR($D32-INDEX('DEMAND BY DATE'!$B$4:$AA$203,MATCH(J$11,'DEMAND BY DATE'!$A$4:$A$203,0),MATCH($C32,'DEMAND BY DATE'!$B$3:$AA$3,0)),""))</f>
        <v>0</v>
      </c>
      <c r="K32" s="487">
        <f>IF(K$11="","",IFERROR($D32-INDEX('DEMAND BY DATE'!$B$4:$AA$203,MATCH(K$11,'DEMAND BY DATE'!$A$4:$A$203,0),MATCH($C32,'DEMAND BY DATE'!$B$3:$AA$3,0)),""))</f>
        <v>0</v>
      </c>
      <c r="L32" s="487">
        <f>IF(L$11="","",IFERROR($D32-INDEX('DEMAND BY DATE'!$B$4:$AA$203,MATCH(L$11,'DEMAND BY DATE'!$A$4:$A$203,0),MATCH($C32,'DEMAND BY DATE'!$B$3:$AA$3,0)),""))</f>
        <v>0</v>
      </c>
      <c r="M32" s="487">
        <f>IF(M$11="","",IFERROR($D32-INDEX('DEMAND BY DATE'!$B$4:$AA$203,MATCH(M$11,'DEMAND BY DATE'!$A$4:$A$203,0),MATCH($C32,'DEMAND BY DATE'!$B$3:$AA$3,0)),""))</f>
        <v>0</v>
      </c>
      <c r="N32" s="487">
        <f>IF(N$11="","",IFERROR($D32-INDEX('DEMAND BY DATE'!$B$4:$AA$203,MATCH(N$11,'DEMAND BY DATE'!$A$4:$A$203,0),MATCH($C32,'DEMAND BY DATE'!$B$3:$AA$3,0)),""))</f>
        <v>0</v>
      </c>
      <c r="O32" s="487">
        <f>IF(O$11="","",IFERROR($D32-INDEX('DEMAND BY DATE'!$B$4:$AA$203,MATCH(O$11,'DEMAND BY DATE'!$A$4:$A$203,0),MATCH($C32,'DEMAND BY DATE'!$B$3:$AA$3,0)),""))</f>
        <v>0</v>
      </c>
      <c r="P32" s="487">
        <f>IF(P$11="","",IFERROR($D32-INDEX('DEMAND BY DATE'!$B$4:$AA$203,MATCH(P$11,'DEMAND BY DATE'!$A$4:$A$203,0),MATCH($C32,'DEMAND BY DATE'!$B$3:$AA$3,0)),""))</f>
        <v>0</v>
      </c>
      <c r="Q32" s="487">
        <f>IF(Q$11="","",IFERROR($D32-INDEX('DEMAND BY DATE'!$B$4:$AA$203,MATCH(Q$11,'DEMAND BY DATE'!$A$4:$A$203,0),MATCH($C32,'DEMAND BY DATE'!$B$3:$AA$3,0)),""))</f>
        <v>0</v>
      </c>
      <c r="R32" s="487">
        <f>IF(R$11="","",IFERROR($D32-INDEX('DEMAND BY DATE'!$B$4:$AA$203,MATCH(R$11,'DEMAND BY DATE'!$A$4:$A$203,0),MATCH($C32,'DEMAND BY DATE'!$B$3:$AA$3,0)),""))</f>
        <v>0</v>
      </c>
      <c r="S32" s="487">
        <f>IF(S$11="","",IFERROR($D32-INDEX('DEMAND BY DATE'!$B$4:$AA$203,MATCH(S$11,'DEMAND BY DATE'!$A$4:$A$203,0),MATCH($C32,'DEMAND BY DATE'!$B$3:$AA$3,0)),""))</f>
        <v>0</v>
      </c>
      <c r="T32" s="487">
        <f>IF(T$11="","",IFERROR($D32-INDEX('DEMAND BY DATE'!$B$4:$AA$203,MATCH(T$11,'DEMAND BY DATE'!$A$4:$A$203,0),MATCH($C32,'DEMAND BY DATE'!$B$3:$AA$3,0)),""))</f>
        <v>0</v>
      </c>
      <c r="U32" s="487">
        <f>IF(U$11="","",IFERROR($D32-INDEX('DEMAND BY DATE'!$B$4:$AA$203,MATCH(U$11,'DEMAND BY DATE'!$A$4:$A$203,0),MATCH($C32,'DEMAND BY DATE'!$B$3:$AA$3,0)),""))</f>
        <v>0</v>
      </c>
      <c r="V32" s="487">
        <f>IF(V$11="","",IFERROR($D32-INDEX('DEMAND BY DATE'!$B$4:$AA$203,MATCH(V$11,'DEMAND BY DATE'!$A$4:$A$203,0),MATCH($C32,'DEMAND BY DATE'!$B$3:$AA$3,0)),""))</f>
        <v>0</v>
      </c>
      <c r="W32" s="487">
        <f>IF(W$11="","",IFERROR($D32-INDEX('DEMAND BY DATE'!$B$4:$AA$203,MATCH(W$11,'DEMAND BY DATE'!$A$4:$A$203,0),MATCH($C32,'DEMAND BY DATE'!$B$3:$AA$3,0)),""))</f>
        <v>0</v>
      </c>
      <c r="X32" s="487">
        <f>IF(X$11="","",IFERROR($D32-INDEX('DEMAND BY DATE'!$B$4:$AA$203,MATCH(X$11,'DEMAND BY DATE'!$A$4:$A$203,0),MATCH($C32,'DEMAND BY DATE'!$B$3:$AA$3,0)),""))</f>
        <v>0</v>
      </c>
      <c r="Y32" s="487">
        <f>IF(Y$11="","",IFERROR($D32-INDEX('DEMAND BY DATE'!$B$4:$AA$203,MATCH(Y$11,'DEMAND BY DATE'!$A$4:$A$203,0),MATCH($C32,'DEMAND BY DATE'!$B$3:$AA$3,0)),""))</f>
        <v>0</v>
      </c>
      <c r="Z32" s="487">
        <f>IF(Z$11="","",IFERROR($D32-INDEX('DEMAND BY DATE'!$B$4:$AA$203,MATCH(Z$11,'DEMAND BY DATE'!$A$4:$A$203,0),MATCH($C32,'DEMAND BY DATE'!$B$3:$AA$3,0)),""))</f>
        <v>0</v>
      </c>
      <c r="AA32" s="487">
        <f>IF(AA$11="","",IFERROR($D32-INDEX('DEMAND BY DATE'!$B$4:$AA$203,MATCH(AA$11,'DEMAND BY DATE'!$A$4:$A$203,0),MATCH($C32,'DEMAND BY DATE'!$B$3:$AA$3,0)),""))</f>
        <v>0</v>
      </c>
      <c r="AB32" s="487">
        <f>IF(AB$11="","",IFERROR($D32-INDEX('DEMAND BY DATE'!$B$4:$AA$203,MATCH(AB$11,'DEMAND BY DATE'!$A$4:$A$203,0),MATCH($C32,'DEMAND BY DATE'!$B$3:$AA$3,0)),""))</f>
        <v>0</v>
      </c>
      <c r="AC32" s="487">
        <f>IF(AC$11="","",IFERROR($D32-INDEX('DEMAND BY DATE'!$B$4:$AA$203,MATCH(AC$11,'DEMAND BY DATE'!$A$4:$A$203,0),MATCH($C32,'DEMAND BY DATE'!$B$3:$AA$3,0)),""))</f>
        <v>0</v>
      </c>
      <c r="AD32" s="487">
        <f>IF(AD$11="","",IFERROR($D32-INDEX('DEMAND BY DATE'!$B$4:$AA$203,MATCH(AD$11,'DEMAND BY DATE'!$A$4:$A$203,0),MATCH($C32,'DEMAND BY DATE'!$B$3:$AA$3,0)),""))</f>
        <v>0</v>
      </c>
      <c r="AE32" s="487">
        <f>IF(AE$11="","",IFERROR($D32-INDEX('DEMAND BY DATE'!$B$4:$AA$203,MATCH(AE$11,'DEMAND BY DATE'!$A$4:$A$203,0),MATCH($C32,'DEMAND BY DATE'!$B$3:$AA$3,0)),""))</f>
        <v>0</v>
      </c>
      <c r="AF32" s="487">
        <f>IF(AF$11="","",IFERROR($D32-INDEX('DEMAND BY DATE'!$B$4:$AA$203,MATCH(AF$11,'DEMAND BY DATE'!$A$4:$A$203,0),MATCH($C32,'DEMAND BY DATE'!$B$3:$AA$3,0)),""))</f>
        <v>0</v>
      </c>
      <c r="AG32" s="487">
        <f>IF(AG$11="","",IFERROR($D32-INDEX('DEMAND BY DATE'!$B$4:$AA$203,MATCH(AG$11,'DEMAND BY DATE'!$A$4:$A$203,0),MATCH($C32,'DEMAND BY DATE'!$B$3:$AA$3,0)),""))</f>
        <v>0</v>
      </c>
      <c r="AH32" s="487">
        <f>IF(AH$11="","",IFERROR($D32-INDEX('DEMAND BY DATE'!$B$4:$AA$203,MATCH(AH$11,'DEMAND BY DATE'!$A$4:$A$203,0),MATCH($C32,'DEMAND BY DATE'!$B$3:$AA$3,0)),""))</f>
        <v>0</v>
      </c>
      <c r="AI32" s="487">
        <f>IF(AI$11="","",IFERROR($D32-INDEX('DEMAND BY DATE'!$B$4:$AA$203,MATCH(AI$11,'DEMAND BY DATE'!$A$4:$A$203,0),MATCH($C32,'DEMAND BY DATE'!$B$3:$AA$3,0)),""))</f>
        <v>0</v>
      </c>
    </row>
    <row r="33" spans="2:35">
      <c r="B33" s="485" t="str">
        <f>IFERROR(INDEX(WORKINGS!$B$116:$B$141,MATCH($C33,WORKINGS!$A$116:$A$141,0)),"")</f>
        <v>BH</v>
      </c>
      <c r="C33" s="485" t="str">
        <f>INDEX(WORKINGS!$A$116:$A$141,MATCH(SMALL(WORKINGS!$D$116:$D$141,22),WORKINGS!$D$116:$D$141,0))</f>
        <v>Button Hole</v>
      </c>
      <c r="D33" s="486">
        <f>IFERROR(INDEX($BF$6:$BF$31,MATCH($C33,$BD$6:$BD$31,0)),0)</f>
        <v>3</v>
      </c>
      <c r="E33" s="487">
        <f>IF(E$11="","",IFERROR($D33-INDEX('DEMAND BY DATE'!$B$4:$AA$203,MATCH(E$11,'DEMAND BY DATE'!$A$4:$A$203,0),MATCH($C33,'DEMAND BY DATE'!$B$3:$AA$3,0)),""))</f>
        <v>1</v>
      </c>
      <c r="F33" s="487">
        <f>IF(F$11="","",IFERROR($D33-INDEX('DEMAND BY DATE'!$B$4:$AA$203,MATCH(F$11,'DEMAND BY DATE'!$A$4:$A$203,0),MATCH($C33,'DEMAND BY DATE'!$B$3:$AA$3,0)),""))</f>
        <v>1</v>
      </c>
      <c r="G33" s="487">
        <f>IF(G$11="","",IFERROR($D33-INDEX('DEMAND BY DATE'!$B$4:$AA$203,MATCH(G$11,'DEMAND BY DATE'!$A$4:$A$203,0),MATCH($C33,'DEMAND BY DATE'!$B$3:$AA$3,0)),""))</f>
        <v>1</v>
      </c>
      <c r="H33" s="487">
        <f>IF(H$11="","",IFERROR($D33-INDEX('DEMAND BY DATE'!$B$4:$AA$203,MATCH(H$11,'DEMAND BY DATE'!$A$4:$A$203,0),MATCH($C33,'DEMAND BY DATE'!$B$3:$AA$3,0)),""))</f>
        <v>1</v>
      </c>
      <c r="I33" s="487">
        <f>IF(I$11="","",IFERROR($D33-INDEX('DEMAND BY DATE'!$B$4:$AA$203,MATCH(I$11,'DEMAND BY DATE'!$A$4:$A$203,0),MATCH($C33,'DEMAND BY DATE'!$B$3:$AA$3,0)),""))</f>
        <v>1</v>
      </c>
      <c r="J33" s="487">
        <f>IF(J$11="","",IFERROR($D33-INDEX('DEMAND BY DATE'!$B$4:$AA$203,MATCH(J$11,'DEMAND BY DATE'!$A$4:$A$203,0),MATCH($C33,'DEMAND BY DATE'!$B$3:$AA$3,0)),""))</f>
        <v>1</v>
      </c>
      <c r="K33" s="487">
        <f>IF(K$11="","",IFERROR($D33-INDEX('DEMAND BY DATE'!$B$4:$AA$203,MATCH(K$11,'DEMAND BY DATE'!$A$4:$A$203,0),MATCH($C33,'DEMAND BY DATE'!$B$3:$AA$3,0)),""))</f>
        <v>1</v>
      </c>
      <c r="L33" s="487">
        <f>IF(L$11="","",IFERROR($D33-INDEX('DEMAND BY DATE'!$B$4:$AA$203,MATCH(L$11,'DEMAND BY DATE'!$A$4:$A$203,0),MATCH($C33,'DEMAND BY DATE'!$B$3:$AA$3,0)),""))</f>
        <v>1</v>
      </c>
      <c r="M33" s="487">
        <f>IF(M$11="","",IFERROR($D33-INDEX('DEMAND BY DATE'!$B$4:$AA$203,MATCH(M$11,'DEMAND BY DATE'!$A$4:$A$203,0),MATCH($C33,'DEMAND BY DATE'!$B$3:$AA$3,0)),""))</f>
        <v>1</v>
      </c>
      <c r="N33" s="487">
        <f>IF(N$11="","",IFERROR($D33-INDEX('DEMAND BY DATE'!$B$4:$AA$203,MATCH(N$11,'DEMAND BY DATE'!$A$4:$A$203,0),MATCH($C33,'DEMAND BY DATE'!$B$3:$AA$3,0)),""))</f>
        <v>1</v>
      </c>
      <c r="O33" s="487">
        <f>IF(O$11="","",IFERROR($D33-INDEX('DEMAND BY DATE'!$B$4:$AA$203,MATCH(O$11,'DEMAND BY DATE'!$A$4:$A$203,0),MATCH($C33,'DEMAND BY DATE'!$B$3:$AA$3,0)),""))</f>
        <v>1</v>
      </c>
      <c r="P33" s="487">
        <f>IF(P$11="","",IFERROR($D33-INDEX('DEMAND BY DATE'!$B$4:$AA$203,MATCH(P$11,'DEMAND BY DATE'!$A$4:$A$203,0),MATCH($C33,'DEMAND BY DATE'!$B$3:$AA$3,0)),""))</f>
        <v>1</v>
      </c>
      <c r="Q33" s="487">
        <f>IF(Q$11="","",IFERROR($D33-INDEX('DEMAND BY DATE'!$B$4:$AA$203,MATCH(Q$11,'DEMAND BY DATE'!$A$4:$A$203,0),MATCH($C33,'DEMAND BY DATE'!$B$3:$AA$3,0)),""))</f>
        <v>1</v>
      </c>
      <c r="R33" s="487">
        <f>IF(R$11="","",IFERROR($D33-INDEX('DEMAND BY DATE'!$B$4:$AA$203,MATCH(R$11,'DEMAND BY DATE'!$A$4:$A$203,0),MATCH($C33,'DEMAND BY DATE'!$B$3:$AA$3,0)),""))</f>
        <v>1</v>
      </c>
      <c r="S33" s="487">
        <f>IF(S$11="","",IFERROR($D33-INDEX('DEMAND BY DATE'!$B$4:$AA$203,MATCH(S$11,'DEMAND BY DATE'!$A$4:$A$203,0),MATCH($C33,'DEMAND BY DATE'!$B$3:$AA$3,0)),""))</f>
        <v>1</v>
      </c>
      <c r="T33" s="487">
        <f>IF(T$11="","",IFERROR($D33-INDEX('DEMAND BY DATE'!$B$4:$AA$203,MATCH(T$11,'DEMAND BY DATE'!$A$4:$A$203,0),MATCH($C33,'DEMAND BY DATE'!$B$3:$AA$3,0)),""))</f>
        <v>1</v>
      </c>
      <c r="U33" s="487">
        <f>IF(U$11="","",IFERROR($D33-INDEX('DEMAND BY DATE'!$B$4:$AA$203,MATCH(U$11,'DEMAND BY DATE'!$A$4:$A$203,0),MATCH($C33,'DEMAND BY DATE'!$B$3:$AA$3,0)),""))</f>
        <v>1</v>
      </c>
      <c r="V33" s="487">
        <f>IF(V$11="","",IFERROR($D33-INDEX('DEMAND BY DATE'!$B$4:$AA$203,MATCH(V$11,'DEMAND BY DATE'!$A$4:$A$203,0),MATCH($C33,'DEMAND BY DATE'!$B$3:$AA$3,0)),""))</f>
        <v>1</v>
      </c>
      <c r="W33" s="487">
        <f>IF(W$11="","",IFERROR($D33-INDEX('DEMAND BY DATE'!$B$4:$AA$203,MATCH(W$11,'DEMAND BY DATE'!$A$4:$A$203,0),MATCH($C33,'DEMAND BY DATE'!$B$3:$AA$3,0)),""))</f>
        <v>1</v>
      </c>
      <c r="X33" s="487">
        <f>IF(X$11="","",IFERROR($D33-INDEX('DEMAND BY DATE'!$B$4:$AA$203,MATCH(X$11,'DEMAND BY DATE'!$A$4:$A$203,0),MATCH($C33,'DEMAND BY DATE'!$B$3:$AA$3,0)),""))</f>
        <v>1</v>
      </c>
      <c r="Y33" s="487">
        <f>IF(Y$11="","",IFERROR($D33-INDEX('DEMAND BY DATE'!$B$4:$AA$203,MATCH(Y$11,'DEMAND BY DATE'!$A$4:$A$203,0),MATCH($C33,'DEMAND BY DATE'!$B$3:$AA$3,0)),""))</f>
        <v>1</v>
      </c>
      <c r="Z33" s="487">
        <f>IF(Z$11="","",IFERROR($D33-INDEX('DEMAND BY DATE'!$B$4:$AA$203,MATCH(Z$11,'DEMAND BY DATE'!$A$4:$A$203,0),MATCH($C33,'DEMAND BY DATE'!$B$3:$AA$3,0)),""))</f>
        <v>1</v>
      </c>
      <c r="AA33" s="487">
        <f>IF(AA$11="","",IFERROR($D33-INDEX('DEMAND BY DATE'!$B$4:$AA$203,MATCH(AA$11,'DEMAND BY DATE'!$A$4:$A$203,0),MATCH($C33,'DEMAND BY DATE'!$B$3:$AA$3,0)),""))</f>
        <v>1</v>
      </c>
      <c r="AB33" s="487">
        <f>IF(AB$11="","",IFERROR($D33-INDEX('DEMAND BY DATE'!$B$4:$AA$203,MATCH(AB$11,'DEMAND BY DATE'!$A$4:$A$203,0),MATCH($C33,'DEMAND BY DATE'!$B$3:$AA$3,0)),""))</f>
        <v>1</v>
      </c>
      <c r="AC33" s="487">
        <f>IF(AC$11="","",IFERROR($D33-INDEX('DEMAND BY DATE'!$B$4:$AA$203,MATCH(AC$11,'DEMAND BY DATE'!$A$4:$A$203,0),MATCH($C33,'DEMAND BY DATE'!$B$3:$AA$3,0)),""))</f>
        <v>1</v>
      </c>
      <c r="AD33" s="487">
        <f>IF(AD$11="","",IFERROR($D33-INDEX('DEMAND BY DATE'!$B$4:$AA$203,MATCH(AD$11,'DEMAND BY DATE'!$A$4:$A$203,0),MATCH($C33,'DEMAND BY DATE'!$B$3:$AA$3,0)),""))</f>
        <v>1</v>
      </c>
      <c r="AE33" s="487">
        <f>IF(AE$11="","",IFERROR($D33-INDEX('DEMAND BY DATE'!$B$4:$AA$203,MATCH(AE$11,'DEMAND BY DATE'!$A$4:$A$203,0),MATCH($C33,'DEMAND BY DATE'!$B$3:$AA$3,0)),""))</f>
        <v>1</v>
      </c>
      <c r="AF33" s="487">
        <f>IF(AF$11="","",IFERROR($D33-INDEX('DEMAND BY DATE'!$B$4:$AA$203,MATCH(AF$11,'DEMAND BY DATE'!$A$4:$A$203,0),MATCH($C33,'DEMAND BY DATE'!$B$3:$AA$3,0)),""))</f>
        <v>1</v>
      </c>
      <c r="AG33" s="487">
        <f>IF(AG$11="","",IFERROR($D33-INDEX('DEMAND BY DATE'!$B$4:$AA$203,MATCH(AG$11,'DEMAND BY DATE'!$A$4:$A$203,0),MATCH($C33,'DEMAND BY DATE'!$B$3:$AA$3,0)),""))</f>
        <v>1</v>
      </c>
      <c r="AH33" s="487">
        <f>IF(AH$11="","",IFERROR($D33-INDEX('DEMAND BY DATE'!$B$4:$AA$203,MATCH(AH$11,'DEMAND BY DATE'!$A$4:$A$203,0),MATCH($C33,'DEMAND BY DATE'!$B$3:$AA$3,0)),""))</f>
        <v>1</v>
      </c>
      <c r="AI33" s="487">
        <f>IF(AI$11="","",IFERROR($D33-INDEX('DEMAND BY DATE'!$B$4:$AA$203,MATCH(AI$11,'DEMAND BY DATE'!$A$4:$A$203,0),MATCH($C33,'DEMAND BY DATE'!$B$3:$AA$3,0)),""))</f>
        <v>1</v>
      </c>
    </row>
    <row r="34" spans="2:35">
      <c r="B34" s="485" t="str">
        <f>IFERROR(INDEX(WORKINGS!$B$116:$B$141,MATCH($C34,WORKINGS!$A$116:$A$141,0)),"")</f>
        <v>BA</v>
      </c>
      <c r="C34" s="485" t="str">
        <f>INDEX(WORKINGS!$A$116:$A$141,MATCH(SMALL(WORKINGS!$D$116:$D$141,23),WORKINGS!$D$116:$D$141,0))</f>
        <v>Button Attach</v>
      </c>
      <c r="D34" s="486">
        <f>IFERROR(INDEX($BF$6:$BF$31,MATCH($C34,$BD$6:$BD$31,0)),0)</f>
        <v>1</v>
      </c>
      <c r="E34" s="487">
        <f>IF(E$11="","",IFERROR($D34-INDEX('DEMAND BY DATE'!$B$4:$AA$203,MATCH(E$11,'DEMAND BY DATE'!$A$4:$A$203,0),MATCH($C34,'DEMAND BY DATE'!$B$3:$AA$3,0)),""))</f>
        <v>1</v>
      </c>
      <c r="F34" s="487">
        <f>IF(F$11="","",IFERROR($D34-INDEX('DEMAND BY DATE'!$B$4:$AA$203,MATCH(F$11,'DEMAND BY DATE'!$A$4:$A$203,0),MATCH($C34,'DEMAND BY DATE'!$B$3:$AA$3,0)),""))</f>
        <v>1</v>
      </c>
      <c r="G34" s="487">
        <f>IF(G$11="","",IFERROR($D34-INDEX('DEMAND BY DATE'!$B$4:$AA$203,MATCH(G$11,'DEMAND BY DATE'!$A$4:$A$203,0),MATCH($C34,'DEMAND BY DATE'!$B$3:$AA$3,0)),""))</f>
        <v>1</v>
      </c>
      <c r="H34" s="487">
        <f>IF(H$11="","",IFERROR($D34-INDEX('DEMAND BY DATE'!$B$4:$AA$203,MATCH(H$11,'DEMAND BY DATE'!$A$4:$A$203,0),MATCH($C34,'DEMAND BY DATE'!$B$3:$AA$3,0)),""))</f>
        <v>1</v>
      </c>
      <c r="I34" s="487">
        <f>IF(I$11="","",IFERROR($D34-INDEX('DEMAND BY DATE'!$B$4:$AA$203,MATCH(I$11,'DEMAND BY DATE'!$A$4:$A$203,0),MATCH($C34,'DEMAND BY DATE'!$B$3:$AA$3,0)),""))</f>
        <v>1</v>
      </c>
      <c r="J34" s="487">
        <f>IF(J$11="","",IFERROR($D34-INDEX('DEMAND BY DATE'!$B$4:$AA$203,MATCH(J$11,'DEMAND BY DATE'!$A$4:$A$203,0),MATCH($C34,'DEMAND BY DATE'!$B$3:$AA$3,0)),""))</f>
        <v>1</v>
      </c>
      <c r="K34" s="487">
        <f>IF(K$11="","",IFERROR($D34-INDEX('DEMAND BY DATE'!$B$4:$AA$203,MATCH(K$11,'DEMAND BY DATE'!$A$4:$A$203,0),MATCH($C34,'DEMAND BY DATE'!$B$3:$AA$3,0)),""))</f>
        <v>1</v>
      </c>
      <c r="L34" s="487">
        <f>IF(L$11="","",IFERROR($D34-INDEX('DEMAND BY DATE'!$B$4:$AA$203,MATCH(L$11,'DEMAND BY DATE'!$A$4:$A$203,0),MATCH($C34,'DEMAND BY DATE'!$B$3:$AA$3,0)),""))</f>
        <v>1</v>
      </c>
      <c r="M34" s="487">
        <f>IF(M$11="","",IFERROR($D34-INDEX('DEMAND BY DATE'!$B$4:$AA$203,MATCH(M$11,'DEMAND BY DATE'!$A$4:$A$203,0),MATCH($C34,'DEMAND BY DATE'!$B$3:$AA$3,0)),""))</f>
        <v>1</v>
      </c>
      <c r="N34" s="487">
        <f>IF(N$11="","",IFERROR($D34-INDEX('DEMAND BY DATE'!$B$4:$AA$203,MATCH(N$11,'DEMAND BY DATE'!$A$4:$A$203,0),MATCH($C34,'DEMAND BY DATE'!$B$3:$AA$3,0)),""))</f>
        <v>1</v>
      </c>
      <c r="O34" s="487">
        <f>IF(O$11="","",IFERROR($D34-INDEX('DEMAND BY DATE'!$B$4:$AA$203,MATCH(O$11,'DEMAND BY DATE'!$A$4:$A$203,0),MATCH($C34,'DEMAND BY DATE'!$B$3:$AA$3,0)),""))</f>
        <v>1</v>
      </c>
      <c r="P34" s="487">
        <f>IF(P$11="","",IFERROR($D34-INDEX('DEMAND BY DATE'!$B$4:$AA$203,MATCH(P$11,'DEMAND BY DATE'!$A$4:$A$203,0),MATCH($C34,'DEMAND BY DATE'!$B$3:$AA$3,0)),""))</f>
        <v>1</v>
      </c>
      <c r="Q34" s="487">
        <f>IF(Q$11="","",IFERROR($D34-INDEX('DEMAND BY DATE'!$B$4:$AA$203,MATCH(Q$11,'DEMAND BY DATE'!$A$4:$A$203,0),MATCH($C34,'DEMAND BY DATE'!$B$3:$AA$3,0)),""))</f>
        <v>1</v>
      </c>
      <c r="R34" s="487">
        <f>IF(R$11="","",IFERROR($D34-INDEX('DEMAND BY DATE'!$B$4:$AA$203,MATCH(R$11,'DEMAND BY DATE'!$A$4:$A$203,0),MATCH($C34,'DEMAND BY DATE'!$B$3:$AA$3,0)),""))</f>
        <v>1</v>
      </c>
      <c r="S34" s="487">
        <f>IF(S$11="","",IFERROR($D34-INDEX('DEMAND BY DATE'!$B$4:$AA$203,MATCH(S$11,'DEMAND BY DATE'!$A$4:$A$203,0),MATCH($C34,'DEMAND BY DATE'!$B$3:$AA$3,0)),""))</f>
        <v>1</v>
      </c>
      <c r="T34" s="487">
        <f>IF(T$11="","",IFERROR($D34-INDEX('DEMAND BY DATE'!$B$4:$AA$203,MATCH(T$11,'DEMAND BY DATE'!$A$4:$A$203,0),MATCH($C34,'DEMAND BY DATE'!$B$3:$AA$3,0)),""))</f>
        <v>1</v>
      </c>
      <c r="U34" s="487">
        <f>IF(U$11="","",IFERROR($D34-INDEX('DEMAND BY DATE'!$B$4:$AA$203,MATCH(U$11,'DEMAND BY DATE'!$A$4:$A$203,0),MATCH($C34,'DEMAND BY DATE'!$B$3:$AA$3,0)),""))</f>
        <v>1</v>
      </c>
      <c r="V34" s="487">
        <f>IF(V$11="","",IFERROR($D34-INDEX('DEMAND BY DATE'!$B$4:$AA$203,MATCH(V$11,'DEMAND BY DATE'!$A$4:$A$203,0),MATCH($C34,'DEMAND BY DATE'!$B$3:$AA$3,0)),""))</f>
        <v>1</v>
      </c>
      <c r="W34" s="487">
        <f>IF(W$11="","",IFERROR($D34-INDEX('DEMAND BY DATE'!$B$4:$AA$203,MATCH(W$11,'DEMAND BY DATE'!$A$4:$A$203,0),MATCH($C34,'DEMAND BY DATE'!$B$3:$AA$3,0)),""))</f>
        <v>1</v>
      </c>
      <c r="X34" s="487">
        <f>IF(X$11="","",IFERROR($D34-INDEX('DEMAND BY DATE'!$B$4:$AA$203,MATCH(X$11,'DEMAND BY DATE'!$A$4:$A$203,0),MATCH($C34,'DEMAND BY DATE'!$B$3:$AA$3,0)),""))</f>
        <v>1</v>
      </c>
      <c r="Y34" s="487">
        <f>IF(Y$11="","",IFERROR($D34-INDEX('DEMAND BY DATE'!$B$4:$AA$203,MATCH(Y$11,'DEMAND BY DATE'!$A$4:$A$203,0),MATCH($C34,'DEMAND BY DATE'!$B$3:$AA$3,0)),""))</f>
        <v>1</v>
      </c>
      <c r="Z34" s="487">
        <f>IF(Z$11="","",IFERROR($D34-INDEX('DEMAND BY DATE'!$B$4:$AA$203,MATCH(Z$11,'DEMAND BY DATE'!$A$4:$A$203,0),MATCH($C34,'DEMAND BY DATE'!$B$3:$AA$3,0)),""))</f>
        <v>1</v>
      </c>
      <c r="AA34" s="487">
        <f>IF(AA$11="","",IFERROR($D34-INDEX('DEMAND BY DATE'!$B$4:$AA$203,MATCH(AA$11,'DEMAND BY DATE'!$A$4:$A$203,0),MATCH($C34,'DEMAND BY DATE'!$B$3:$AA$3,0)),""))</f>
        <v>1</v>
      </c>
      <c r="AB34" s="487">
        <f>IF(AB$11="","",IFERROR($D34-INDEX('DEMAND BY DATE'!$B$4:$AA$203,MATCH(AB$11,'DEMAND BY DATE'!$A$4:$A$203,0),MATCH($C34,'DEMAND BY DATE'!$B$3:$AA$3,0)),""))</f>
        <v>1</v>
      </c>
      <c r="AC34" s="487">
        <f>IF(AC$11="","",IFERROR($D34-INDEX('DEMAND BY DATE'!$B$4:$AA$203,MATCH(AC$11,'DEMAND BY DATE'!$A$4:$A$203,0),MATCH($C34,'DEMAND BY DATE'!$B$3:$AA$3,0)),""))</f>
        <v>1</v>
      </c>
      <c r="AD34" s="487">
        <f>IF(AD$11="","",IFERROR($D34-INDEX('DEMAND BY DATE'!$B$4:$AA$203,MATCH(AD$11,'DEMAND BY DATE'!$A$4:$A$203,0),MATCH($C34,'DEMAND BY DATE'!$B$3:$AA$3,0)),""))</f>
        <v>1</v>
      </c>
      <c r="AE34" s="487">
        <f>IF(AE$11="","",IFERROR($D34-INDEX('DEMAND BY DATE'!$B$4:$AA$203,MATCH(AE$11,'DEMAND BY DATE'!$A$4:$A$203,0),MATCH($C34,'DEMAND BY DATE'!$B$3:$AA$3,0)),""))</f>
        <v>1</v>
      </c>
      <c r="AF34" s="487">
        <f>IF(AF$11="","",IFERROR($D34-INDEX('DEMAND BY DATE'!$B$4:$AA$203,MATCH(AF$11,'DEMAND BY DATE'!$A$4:$A$203,0),MATCH($C34,'DEMAND BY DATE'!$B$3:$AA$3,0)),""))</f>
        <v>1</v>
      </c>
      <c r="AG34" s="487">
        <f>IF(AG$11="","",IFERROR($D34-INDEX('DEMAND BY DATE'!$B$4:$AA$203,MATCH(AG$11,'DEMAND BY DATE'!$A$4:$A$203,0),MATCH($C34,'DEMAND BY DATE'!$B$3:$AA$3,0)),""))</f>
        <v>1</v>
      </c>
      <c r="AH34" s="487">
        <f>IF(AH$11="","",IFERROR($D34-INDEX('DEMAND BY DATE'!$B$4:$AA$203,MATCH(AH$11,'DEMAND BY DATE'!$A$4:$A$203,0),MATCH($C34,'DEMAND BY DATE'!$B$3:$AA$3,0)),""))</f>
        <v>1</v>
      </c>
      <c r="AI34" s="487">
        <f>IF(AI$11="","",IFERROR($D34-INDEX('DEMAND BY DATE'!$B$4:$AA$203,MATCH(AI$11,'DEMAND BY DATE'!$A$4:$A$203,0),MATCH($C34,'DEMAND BY DATE'!$B$3:$AA$3,0)),""))</f>
        <v>1</v>
      </c>
    </row>
    <row r="35" spans="2:35">
      <c r="B35" s="289" t="str">
        <f>IFERROR(INDEX(WORKINGS!$B$116:$B$141,MATCH($C35,WORKINGS!$A$116:$A$141,0)),"")</f>
        <v>BTK</v>
      </c>
      <c r="C35" s="289" t="str">
        <f>INDEX(WORKINGS!$A$116:$A$141,MATCH(SMALL(WORKINGS!$D$116:$D$141,24),WORKINGS!$D$116:$D$141,0))</f>
        <v>Bartack</v>
      </c>
      <c r="D35" s="18">
        <f>IFERROR(INDEX($BF$6:$BF$31,MATCH($C35,$BD$6:$BD$31,0)),0)</f>
        <v>13</v>
      </c>
      <c r="E35" s="487">
        <f>IF(E$11="","",IFERROR($D35-INDEX('DEMAND BY DATE'!$B$4:$AA$203,MATCH(E$11,'DEMAND BY DATE'!$A$4:$A$203,0),MATCH($C35,'DEMAND BY DATE'!$B$3:$AA$3,0)),""))</f>
        <v>8.5</v>
      </c>
      <c r="F35" s="487">
        <f>IF(F$11="","",IFERROR($D35-INDEX('DEMAND BY DATE'!$B$4:$AA$203,MATCH(F$11,'DEMAND BY DATE'!$A$4:$A$203,0),MATCH($C35,'DEMAND BY DATE'!$B$3:$AA$3,0)),""))</f>
        <v>8.5</v>
      </c>
      <c r="G35" s="487">
        <f>IF(G$11="","",IFERROR($D35-INDEX('DEMAND BY DATE'!$B$4:$AA$203,MATCH(G$11,'DEMAND BY DATE'!$A$4:$A$203,0),MATCH($C35,'DEMAND BY DATE'!$B$3:$AA$3,0)),""))</f>
        <v>8.5</v>
      </c>
      <c r="H35" s="487">
        <f>IF(H$11="","",IFERROR($D35-INDEX('DEMAND BY DATE'!$B$4:$AA$203,MATCH(H$11,'DEMAND BY DATE'!$A$4:$A$203,0),MATCH($C35,'DEMAND BY DATE'!$B$3:$AA$3,0)),""))</f>
        <v>8.5</v>
      </c>
      <c r="I35" s="487">
        <f>IF(I$11="","",IFERROR($D35-INDEX('DEMAND BY DATE'!$B$4:$AA$203,MATCH(I$11,'DEMAND BY DATE'!$A$4:$A$203,0),MATCH($C35,'DEMAND BY DATE'!$B$3:$AA$3,0)),""))</f>
        <v>8.5</v>
      </c>
      <c r="J35" s="487">
        <f>IF(J$11="","",IFERROR($D35-INDEX('DEMAND BY DATE'!$B$4:$AA$203,MATCH(J$11,'DEMAND BY DATE'!$A$4:$A$203,0),MATCH($C35,'DEMAND BY DATE'!$B$3:$AA$3,0)),""))</f>
        <v>8.5</v>
      </c>
      <c r="K35" s="487">
        <f>IF(K$11="","",IFERROR($D35-INDEX('DEMAND BY DATE'!$B$4:$AA$203,MATCH(K$11,'DEMAND BY DATE'!$A$4:$A$203,0),MATCH($C35,'DEMAND BY DATE'!$B$3:$AA$3,0)),""))</f>
        <v>8.5</v>
      </c>
      <c r="L35" s="487">
        <f>IF(L$11="","",IFERROR($D35-INDEX('DEMAND BY DATE'!$B$4:$AA$203,MATCH(L$11,'DEMAND BY DATE'!$A$4:$A$203,0),MATCH($C35,'DEMAND BY DATE'!$B$3:$AA$3,0)),""))</f>
        <v>8.5</v>
      </c>
      <c r="M35" s="487">
        <f>IF(M$11="","",IFERROR($D35-INDEX('DEMAND BY DATE'!$B$4:$AA$203,MATCH(M$11,'DEMAND BY DATE'!$A$4:$A$203,0),MATCH($C35,'DEMAND BY DATE'!$B$3:$AA$3,0)),""))</f>
        <v>8.5</v>
      </c>
      <c r="N35" s="487">
        <f>IF(N$11="","",IFERROR($D35-INDEX('DEMAND BY DATE'!$B$4:$AA$203,MATCH(N$11,'DEMAND BY DATE'!$A$4:$A$203,0),MATCH($C35,'DEMAND BY DATE'!$B$3:$AA$3,0)),""))</f>
        <v>8.5</v>
      </c>
      <c r="O35" s="487">
        <f>IF(O$11="","",IFERROR($D35-INDEX('DEMAND BY DATE'!$B$4:$AA$203,MATCH(O$11,'DEMAND BY DATE'!$A$4:$A$203,0),MATCH($C35,'DEMAND BY DATE'!$B$3:$AA$3,0)),""))</f>
        <v>8.5</v>
      </c>
      <c r="P35" s="487">
        <f>IF(P$11="","",IFERROR($D35-INDEX('DEMAND BY DATE'!$B$4:$AA$203,MATCH(P$11,'DEMAND BY DATE'!$A$4:$A$203,0),MATCH($C35,'DEMAND BY DATE'!$B$3:$AA$3,0)),""))</f>
        <v>8.5</v>
      </c>
      <c r="Q35" s="487">
        <f>IF(Q$11="","",IFERROR($D35-INDEX('DEMAND BY DATE'!$B$4:$AA$203,MATCH(Q$11,'DEMAND BY DATE'!$A$4:$A$203,0),MATCH($C35,'DEMAND BY DATE'!$B$3:$AA$3,0)),""))</f>
        <v>8.5</v>
      </c>
      <c r="R35" s="487">
        <f>IF(R$11="","",IFERROR($D35-INDEX('DEMAND BY DATE'!$B$4:$AA$203,MATCH(R$11,'DEMAND BY DATE'!$A$4:$A$203,0),MATCH($C35,'DEMAND BY DATE'!$B$3:$AA$3,0)),""))</f>
        <v>8.5</v>
      </c>
      <c r="S35" s="487">
        <f>IF(S$11="","",IFERROR($D35-INDEX('DEMAND BY DATE'!$B$4:$AA$203,MATCH(S$11,'DEMAND BY DATE'!$A$4:$A$203,0),MATCH($C35,'DEMAND BY DATE'!$B$3:$AA$3,0)),""))</f>
        <v>5.5</v>
      </c>
      <c r="T35" s="487">
        <f>IF(T$11="","",IFERROR($D35-INDEX('DEMAND BY DATE'!$B$4:$AA$203,MATCH(T$11,'DEMAND BY DATE'!$A$4:$A$203,0),MATCH($C35,'DEMAND BY DATE'!$B$3:$AA$3,0)),""))</f>
        <v>5.5</v>
      </c>
      <c r="U35" s="487">
        <f>IF(U$11="","",IFERROR($D35-INDEX('DEMAND BY DATE'!$B$4:$AA$203,MATCH(U$11,'DEMAND BY DATE'!$A$4:$A$203,0),MATCH($C35,'DEMAND BY DATE'!$B$3:$AA$3,0)),""))</f>
        <v>5.5</v>
      </c>
      <c r="V35" s="487">
        <f>IF(V$11="","",IFERROR($D35-INDEX('DEMAND BY DATE'!$B$4:$AA$203,MATCH(V$11,'DEMAND BY DATE'!$A$4:$A$203,0),MATCH($C35,'DEMAND BY DATE'!$B$3:$AA$3,0)),""))</f>
        <v>5.5</v>
      </c>
      <c r="W35" s="487">
        <f>IF(W$11="","",IFERROR($D35-INDEX('DEMAND BY DATE'!$B$4:$AA$203,MATCH(W$11,'DEMAND BY DATE'!$A$4:$A$203,0),MATCH($C35,'DEMAND BY DATE'!$B$3:$AA$3,0)),""))</f>
        <v>5.5</v>
      </c>
      <c r="X35" s="487">
        <f>IF(X$11="","",IFERROR($D35-INDEX('DEMAND BY DATE'!$B$4:$AA$203,MATCH(X$11,'DEMAND BY DATE'!$A$4:$A$203,0),MATCH($C35,'DEMAND BY DATE'!$B$3:$AA$3,0)),""))</f>
        <v>5.5</v>
      </c>
      <c r="Y35" s="487">
        <f>IF(Y$11="","",IFERROR($D35-INDEX('DEMAND BY DATE'!$B$4:$AA$203,MATCH(Y$11,'DEMAND BY DATE'!$A$4:$A$203,0),MATCH($C35,'DEMAND BY DATE'!$B$3:$AA$3,0)),""))</f>
        <v>5.5</v>
      </c>
      <c r="Z35" s="487">
        <f>IF(Z$11="","",IFERROR($D35-INDEX('DEMAND BY DATE'!$B$4:$AA$203,MATCH(Z$11,'DEMAND BY DATE'!$A$4:$A$203,0),MATCH($C35,'DEMAND BY DATE'!$B$3:$AA$3,0)),""))</f>
        <v>5.5</v>
      </c>
      <c r="AA35" s="487">
        <f>IF(AA$11="","",IFERROR($D35-INDEX('DEMAND BY DATE'!$B$4:$AA$203,MATCH(AA$11,'DEMAND BY DATE'!$A$4:$A$203,0),MATCH($C35,'DEMAND BY DATE'!$B$3:$AA$3,0)),""))</f>
        <v>5.5</v>
      </c>
      <c r="AB35" s="487">
        <f>IF(AB$11="","",IFERROR($D35-INDEX('DEMAND BY DATE'!$B$4:$AA$203,MATCH(AB$11,'DEMAND BY DATE'!$A$4:$A$203,0),MATCH($C35,'DEMAND BY DATE'!$B$3:$AA$3,0)),""))</f>
        <v>5.5</v>
      </c>
      <c r="AC35" s="487">
        <f>IF(AC$11="","",IFERROR($D35-INDEX('DEMAND BY DATE'!$B$4:$AA$203,MATCH(AC$11,'DEMAND BY DATE'!$A$4:$A$203,0),MATCH($C35,'DEMAND BY DATE'!$B$3:$AA$3,0)),""))</f>
        <v>5.5</v>
      </c>
      <c r="AD35" s="487">
        <f>IF(AD$11="","",IFERROR($D35-INDEX('DEMAND BY DATE'!$B$4:$AA$203,MATCH(AD$11,'DEMAND BY DATE'!$A$4:$A$203,0),MATCH($C35,'DEMAND BY DATE'!$B$3:$AA$3,0)),""))</f>
        <v>5.5</v>
      </c>
      <c r="AE35" s="487">
        <f>IF(AE$11="","",IFERROR($D35-INDEX('DEMAND BY DATE'!$B$4:$AA$203,MATCH(AE$11,'DEMAND BY DATE'!$A$4:$A$203,0),MATCH($C35,'DEMAND BY DATE'!$B$3:$AA$3,0)),""))</f>
        <v>5.5</v>
      </c>
      <c r="AF35" s="487">
        <f>IF(AF$11="","",IFERROR($D35-INDEX('DEMAND BY DATE'!$B$4:$AA$203,MATCH(AF$11,'DEMAND BY DATE'!$A$4:$A$203,0),MATCH($C35,'DEMAND BY DATE'!$B$3:$AA$3,0)),""))</f>
        <v>5.5</v>
      </c>
      <c r="AG35" s="487">
        <f>IF(AG$11="","",IFERROR($D35-INDEX('DEMAND BY DATE'!$B$4:$AA$203,MATCH(AG$11,'DEMAND BY DATE'!$A$4:$A$203,0),MATCH($C35,'DEMAND BY DATE'!$B$3:$AA$3,0)),""))</f>
        <v>5.5</v>
      </c>
      <c r="AH35" s="487">
        <f>IF(AH$11="","",IFERROR($D35-INDEX('DEMAND BY DATE'!$B$4:$AA$203,MATCH(AH$11,'DEMAND BY DATE'!$A$4:$A$203,0),MATCH($C35,'DEMAND BY DATE'!$B$3:$AA$3,0)),""))</f>
        <v>5.5</v>
      </c>
      <c r="AI35" s="487">
        <f>IF(AI$11="","",IFERROR($D35-INDEX('DEMAND BY DATE'!$B$4:$AA$203,MATCH(AI$11,'DEMAND BY DATE'!$A$4:$A$203,0),MATCH($C35,'DEMAND BY DATE'!$B$3:$AA$3,0)),""))</f>
        <v>5.5</v>
      </c>
    </row>
    <row r="36" spans="2:35">
      <c r="B36" s="485" t="str">
        <f>IFERROR(INDEX(WORKINGS!$B$116:$B$141,MATCH($C36,WORKINGS!$A$116:$A$141,0)),"")</f>
        <v>PATTERN-TACKER</v>
      </c>
      <c r="C36" s="485" t="str">
        <f>INDEX(WORKINGS!$A$116:$A$141,MATCH(SMALL(WORKINGS!$D$116:$D$141,25),WORKINGS!$D$116:$D$141,0))</f>
        <v>Bartack Pattern tacker (LABEL ATTACH )</v>
      </c>
      <c r="D36" s="486">
        <f>IFERROR(INDEX($BF$6:$BF$31,MATCH($C36,$BD$6:$BD$31,0)),0)</f>
        <v>2</v>
      </c>
      <c r="E36" s="487">
        <f>IF(E$11="","",IFERROR($D36-INDEX('DEMAND BY DATE'!$B$4:$AA$203,MATCH(E$11,'DEMAND BY DATE'!$A$4:$A$203,0),MATCH($C36,'DEMAND BY DATE'!$B$3:$AA$3,0)),""))</f>
        <v>2</v>
      </c>
      <c r="F36" s="487">
        <f>IF(F$11="","",IFERROR($D36-INDEX('DEMAND BY DATE'!$B$4:$AA$203,MATCH(F$11,'DEMAND BY DATE'!$A$4:$A$203,0),MATCH($C36,'DEMAND BY DATE'!$B$3:$AA$3,0)),""))</f>
        <v>2</v>
      </c>
      <c r="G36" s="487">
        <f>IF(G$11="","",IFERROR($D36-INDEX('DEMAND BY DATE'!$B$4:$AA$203,MATCH(G$11,'DEMAND BY DATE'!$A$4:$A$203,0),MATCH($C36,'DEMAND BY DATE'!$B$3:$AA$3,0)),""))</f>
        <v>2</v>
      </c>
      <c r="H36" s="487">
        <f>IF(H$11="","",IFERROR($D36-INDEX('DEMAND BY DATE'!$B$4:$AA$203,MATCH(H$11,'DEMAND BY DATE'!$A$4:$A$203,0),MATCH($C36,'DEMAND BY DATE'!$B$3:$AA$3,0)),""))</f>
        <v>2</v>
      </c>
      <c r="I36" s="487">
        <f>IF(I$11="","",IFERROR($D36-INDEX('DEMAND BY DATE'!$B$4:$AA$203,MATCH(I$11,'DEMAND BY DATE'!$A$4:$A$203,0),MATCH($C36,'DEMAND BY DATE'!$B$3:$AA$3,0)),""))</f>
        <v>2</v>
      </c>
      <c r="J36" s="487">
        <f>IF(J$11="","",IFERROR($D36-INDEX('DEMAND BY DATE'!$B$4:$AA$203,MATCH(J$11,'DEMAND BY DATE'!$A$4:$A$203,0),MATCH($C36,'DEMAND BY DATE'!$B$3:$AA$3,0)),""))</f>
        <v>2</v>
      </c>
      <c r="K36" s="487">
        <f>IF(K$11="","",IFERROR($D36-INDEX('DEMAND BY DATE'!$B$4:$AA$203,MATCH(K$11,'DEMAND BY DATE'!$A$4:$A$203,0),MATCH($C36,'DEMAND BY DATE'!$B$3:$AA$3,0)),""))</f>
        <v>2</v>
      </c>
      <c r="L36" s="487">
        <f>IF(L$11="","",IFERROR($D36-INDEX('DEMAND BY DATE'!$B$4:$AA$203,MATCH(L$11,'DEMAND BY DATE'!$A$4:$A$203,0),MATCH($C36,'DEMAND BY DATE'!$B$3:$AA$3,0)),""))</f>
        <v>2</v>
      </c>
      <c r="M36" s="487">
        <f>IF(M$11="","",IFERROR($D36-INDEX('DEMAND BY DATE'!$B$4:$AA$203,MATCH(M$11,'DEMAND BY DATE'!$A$4:$A$203,0),MATCH($C36,'DEMAND BY DATE'!$B$3:$AA$3,0)),""))</f>
        <v>2</v>
      </c>
      <c r="N36" s="487">
        <f>IF(N$11="","",IFERROR($D36-INDEX('DEMAND BY DATE'!$B$4:$AA$203,MATCH(N$11,'DEMAND BY DATE'!$A$4:$A$203,0),MATCH($C36,'DEMAND BY DATE'!$B$3:$AA$3,0)),""))</f>
        <v>2</v>
      </c>
      <c r="O36" s="487">
        <f>IF(O$11="","",IFERROR($D36-INDEX('DEMAND BY DATE'!$B$4:$AA$203,MATCH(O$11,'DEMAND BY DATE'!$A$4:$A$203,0),MATCH($C36,'DEMAND BY DATE'!$B$3:$AA$3,0)),""))</f>
        <v>2</v>
      </c>
      <c r="P36" s="487">
        <f>IF(P$11="","",IFERROR($D36-INDEX('DEMAND BY DATE'!$B$4:$AA$203,MATCH(P$11,'DEMAND BY DATE'!$A$4:$A$203,0),MATCH($C36,'DEMAND BY DATE'!$B$3:$AA$3,0)),""))</f>
        <v>2</v>
      </c>
      <c r="Q36" s="487">
        <f>IF(Q$11="","",IFERROR($D36-INDEX('DEMAND BY DATE'!$B$4:$AA$203,MATCH(Q$11,'DEMAND BY DATE'!$A$4:$A$203,0),MATCH($C36,'DEMAND BY DATE'!$B$3:$AA$3,0)),""))</f>
        <v>2</v>
      </c>
      <c r="R36" s="487">
        <f>IF(R$11="","",IFERROR($D36-INDEX('DEMAND BY DATE'!$B$4:$AA$203,MATCH(R$11,'DEMAND BY DATE'!$A$4:$A$203,0),MATCH($C36,'DEMAND BY DATE'!$B$3:$AA$3,0)),""))</f>
        <v>2</v>
      </c>
      <c r="S36" s="487">
        <f>IF(S$11="","",IFERROR($D36-INDEX('DEMAND BY DATE'!$B$4:$AA$203,MATCH(S$11,'DEMAND BY DATE'!$A$4:$A$203,0),MATCH($C36,'DEMAND BY DATE'!$B$3:$AA$3,0)),""))</f>
        <v>2</v>
      </c>
      <c r="T36" s="487">
        <f>IF(T$11="","",IFERROR($D36-INDEX('DEMAND BY DATE'!$B$4:$AA$203,MATCH(T$11,'DEMAND BY DATE'!$A$4:$A$203,0),MATCH($C36,'DEMAND BY DATE'!$B$3:$AA$3,0)),""))</f>
        <v>2</v>
      </c>
      <c r="U36" s="487">
        <f>IF(U$11="","",IFERROR($D36-INDEX('DEMAND BY DATE'!$B$4:$AA$203,MATCH(U$11,'DEMAND BY DATE'!$A$4:$A$203,0),MATCH($C36,'DEMAND BY DATE'!$B$3:$AA$3,0)),""))</f>
        <v>2</v>
      </c>
      <c r="V36" s="487">
        <f>IF(V$11="","",IFERROR($D36-INDEX('DEMAND BY DATE'!$B$4:$AA$203,MATCH(V$11,'DEMAND BY DATE'!$A$4:$A$203,0),MATCH($C36,'DEMAND BY DATE'!$B$3:$AA$3,0)),""))</f>
        <v>2</v>
      </c>
      <c r="W36" s="487">
        <f>IF(W$11="","",IFERROR($D36-INDEX('DEMAND BY DATE'!$B$4:$AA$203,MATCH(W$11,'DEMAND BY DATE'!$A$4:$A$203,0),MATCH($C36,'DEMAND BY DATE'!$B$3:$AA$3,0)),""))</f>
        <v>2</v>
      </c>
      <c r="X36" s="487">
        <f>IF(X$11="","",IFERROR($D36-INDEX('DEMAND BY DATE'!$B$4:$AA$203,MATCH(X$11,'DEMAND BY DATE'!$A$4:$A$203,0),MATCH($C36,'DEMAND BY DATE'!$B$3:$AA$3,0)),""))</f>
        <v>2</v>
      </c>
      <c r="Y36" s="487">
        <f>IF(Y$11="","",IFERROR($D36-INDEX('DEMAND BY DATE'!$B$4:$AA$203,MATCH(Y$11,'DEMAND BY DATE'!$A$4:$A$203,0),MATCH($C36,'DEMAND BY DATE'!$B$3:$AA$3,0)),""))</f>
        <v>2</v>
      </c>
      <c r="Z36" s="487">
        <f>IF(Z$11="","",IFERROR($D36-INDEX('DEMAND BY DATE'!$B$4:$AA$203,MATCH(Z$11,'DEMAND BY DATE'!$A$4:$A$203,0),MATCH($C36,'DEMAND BY DATE'!$B$3:$AA$3,0)),""))</f>
        <v>2</v>
      </c>
      <c r="AA36" s="487">
        <f>IF(AA$11="","",IFERROR($D36-INDEX('DEMAND BY DATE'!$B$4:$AA$203,MATCH(AA$11,'DEMAND BY DATE'!$A$4:$A$203,0),MATCH($C36,'DEMAND BY DATE'!$B$3:$AA$3,0)),""))</f>
        <v>2</v>
      </c>
      <c r="AB36" s="487">
        <f>IF(AB$11="","",IFERROR($D36-INDEX('DEMAND BY DATE'!$B$4:$AA$203,MATCH(AB$11,'DEMAND BY DATE'!$A$4:$A$203,0),MATCH($C36,'DEMAND BY DATE'!$B$3:$AA$3,0)),""))</f>
        <v>2</v>
      </c>
      <c r="AC36" s="487">
        <f>IF(AC$11="","",IFERROR($D36-INDEX('DEMAND BY DATE'!$B$4:$AA$203,MATCH(AC$11,'DEMAND BY DATE'!$A$4:$A$203,0),MATCH($C36,'DEMAND BY DATE'!$B$3:$AA$3,0)),""))</f>
        <v>2</v>
      </c>
      <c r="AD36" s="487">
        <f>IF(AD$11="","",IFERROR($D36-INDEX('DEMAND BY DATE'!$B$4:$AA$203,MATCH(AD$11,'DEMAND BY DATE'!$A$4:$A$203,0),MATCH($C36,'DEMAND BY DATE'!$B$3:$AA$3,0)),""))</f>
        <v>2</v>
      </c>
      <c r="AE36" s="487">
        <f>IF(AE$11="","",IFERROR($D36-INDEX('DEMAND BY DATE'!$B$4:$AA$203,MATCH(AE$11,'DEMAND BY DATE'!$A$4:$A$203,0),MATCH($C36,'DEMAND BY DATE'!$B$3:$AA$3,0)),""))</f>
        <v>2</v>
      </c>
      <c r="AF36" s="487">
        <f>IF(AF$11="","",IFERROR($D36-INDEX('DEMAND BY DATE'!$B$4:$AA$203,MATCH(AF$11,'DEMAND BY DATE'!$A$4:$A$203,0),MATCH($C36,'DEMAND BY DATE'!$B$3:$AA$3,0)),""))</f>
        <v>2</v>
      </c>
      <c r="AG36" s="487">
        <f>IF(AG$11="","",IFERROR($D36-INDEX('DEMAND BY DATE'!$B$4:$AA$203,MATCH(AG$11,'DEMAND BY DATE'!$A$4:$A$203,0),MATCH($C36,'DEMAND BY DATE'!$B$3:$AA$3,0)),""))</f>
        <v>2</v>
      </c>
      <c r="AH36" s="487">
        <f>IF(AH$11="","",IFERROR($D36-INDEX('DEMAND BY DATE'!$B$4:$AA$203,MATCH(AH$11,'DEMAND BY DATE'!$A$4:$A$203,0),MATCH($C36,'DEMAND BY DATE'!$B$3:$AA$3,0)),""))</f>
        <v>2</v>
      </c>
      <c r="AI36" s="487">
        <f>IF(AI$11="","",IFERROR($D36-INDEX('DEMAND BY DATE'!$B$4:$AA$203,MATCH(AI$11,'DEMAND BY DATE'!$A$4:$A$203,0),MATCH($C36,'DEMAND BY DATE'!$B$3:$AA$3,0)),""))</f>
        <v>2</v>
      </c>
    </row>
    <row r="37" spans="2:35">
      <c r="B37" s="485" t="str">
        <f>IFERROR(INDEX(WORKINGS!$B$116:$B$141,MATCH($C37,WORKINGS!$A$116:$A$141,0)),"")</f>
        <v>PATTERN-TACKER</v>
      </c>
      <c r="C37" s="485" t="str">
        <f>INDEX(WORKINGS!$A$116:$A$141,MATCH(SMALL(WORKINGS!$D$116:$D$141,26),WORKINGS!$D$116:$D$141,0))</f>
        <v>Bartack Pattern tacker</v>
      </c>
      <c r="D37" s="486">
        <f>IFERROR(INDEX($BF$6:$BF$31,MATCH($C37,$BD$6:$BD$31,0)),0)</f>
        <v>35</v>
      </c>
      <c r="E37" s="487">
        <f>IF(E$11="","",IFERROR($D37-INDEX('DEMAND BY DATE'!$B$4:$AA$203,MATCH(E$11,'DEMAND BY DATE'!$A$4:$A$203,0),MATCH($C37,'DEMAND BY DATE'!$B$3:$AA$3,0)),""))</f>
        <v>6</v>
      </c>
      <c r="F37" s="487">
        <f>IF(F$11="","",IFERROR($D37-INDEX('DEMAND BY DATE'!$B$4:$AA$203,MATCH(F$11,'DEMAND BY DATE'!$A$4:$A$203,0),MATCH($C37,'DEMAND BY DATE'!$B$3:$AA$3,0)),""))</f>
        <v>6</v>
      </c>
      <c r="G37" s="487">
        <f>IF(G$11="","",IFERROR($D37-INDEX('DEMAND BY DATE'!$B$4:$AA$203,MATCH(G$11,'DEMAND BY DATE'!$A$4:$A$203,0),MATCH($C37,'DEMAND BY DATE'!$B$3:$AA$3,0)),""))</f>
        <v>6</v>
      </c>
      <c r="H37" s="487">
        <f>IF(H$11="","",IFERROR($D37-INDEX('DEMAND BY DATE'!$B$4:$AA$203,MATCH(H$11,'DEMAND BY DATE'!$A$4:$A$203,0),MATCH($C37,'DEMAND BY DATE'!$B$3:$AA$3,0)),""))</f>
        <v>6</v>
      </c>
      <c r="I37" s="487">
        <f>IF(I$11="","",IFERROR($D37-INDEX('DEMAND BY DATE'!$B$4:$AA$203,MATCH(I$11,'DEMAND BY DATE'!$A$4:$A$203,0),MATCH($C37,'DEMAND BY DATE'!$B$3:$AA$3,0)),""))</f>
        <v>6</v>
      </c>
      <c r="J37" s="487">
        <f>IF(J$11="","",IFERROR($D37-INDEX('DEMAND BY DATE'!$B$4:$AA$203,MATCH(J$11,'DEMAND BY DATE'!$A$4:$A$203,0),MATCH($C37,'DEMAND BY DATE'!$B$3:$AA$3,0)),""))</f>
        <v>6</v>
      </c>
      <c r="K37" s="487">
        <f>IF(K$11="","",IFERROR($D37-INDEX('DEMAND BY DATE'!$B$4:$AA$203,MATCH(K$11,'DEMAND BY DATE'!$A$4:$A$203,0),MATCH($C37,'DEMAND BY DATE'!$B$3:$AA$3,0)),""))</f>
        <v>6</v>
      </c>
      <c r="L37" s="487">
        <f>IF(L$11="","",IFERROR($D37-INDEX('DEMAND BY DATE'!$B$4:$AA$203,MATCH(L$11,'DEMAND BY DATE'!$A$4:$A$203,0),MATCH($C37,'DEMAND BY DATE'!$B$3:$AA$3,0)),""))</f>
        <v>6</v>
      </c>
      <c r="M37" s="487">
        <f>IF(M$11="","",IFERROR($D37-INDEX('DEMAND BY DATE'!$B$4:$AA$203,MATCH(M$11,'DEMAND BY DATE'!$A$4:$A$203,0),MATCH($C37,'DEMAND BY DATE'!$B$3:$AA$3,0)),""))</f>
        <v>6</v>
      </c>
      <c r="N37" s="487">
        <f>IF(N$11="","",IFERROR($D37-INDEX('DEMAND BY DATE'!$B$4:$AA$203,MATCH(N$11,'DEMAND BY DATE'!$A$4:$A$203,0),MATCH($C37,'DEMAND BY DATE'!$B$3:$AA$3,0)),""))</f>
        <v>6</v>
      </c>
      <c r="O37" s="487">
        <f>IF(O$11="","",IFERROR($D37-INDEX('DEMAND BY DATE'!$B$4:$AA$203,MATCH(O$11,'DEMAND BY DATE'!$A$4:$A$203,0),MATCH($C37,'DEMAND BY DATE'!$B$3:$AA$3,0)),""))</f>
        <v>6</v>
      </c>
      <c r="P37" s="487">
        <f>IF(P$11="","",IFERROR($D37-INDEX('DEMAND BY DATE'!$B$4:$AA$203,MATCH(P$11,'DEMAND BY DATE'!$A$4:$A$203,0),MATCH($C37,'DEMAND BY DATE'!$B$3:$AA$3,0)),""))</f>
        <v>6</v>
      </c>
      <c r="Q37" s="487">
        <f>IF(Q$11="","",IFERROR($D37-INDEX('DEMAND BY DATE'!$B$4:$AA$203,MATCH(Q$11,'DEMAND BY DATE'!$A$4:$A$203,0),MATCH($C37,'DEMAND BY DATE'!$B$3:$AA$3,0)),""))</f>
        <v>6</v>
      </c>
      <c r="R37" s="487">
        <f>IF(R$11="","",IFERROR($D37-INDEX('DEMAND BY DATE'!$B$4:$AA$203,MATCH(R$11,'DEMAND BY DATE'!$A$4:$A$203,0),MATCH($C37,'DEMAND BY DATE'!$B$3:$AA$3,0)),""))</f>
        <v>16</v>
      </c>
      <c r="S37" s="487">
        <f>IF(S$11="","",IFERROR($D37-INDEX('DEMAND BY DATE'!$B$4:$AA$203,MATCH(S$11,'DEMAND BY DATE'!$A$4:$A$203,0),MATCH($C37,'DEMAND BY DATE'!$B$3:$AA$3,0)),""))</f>
        <v>10</v>
      </c>
      <c r="T37" s="487">
        <f>IF(T$11="","",IFERROR($D37-INDEX('DEMAND BY DATE'!$B$4:$AA$203,MATCH(T$11,'DEMAND BY DATE'!$A$4:$A$203,0),MATCH($C37,'DEMAND BY DATE'!$B$3:$AA$3,0)),""))</f>
        <v>10</v>
      </c>
      <c r="U37" s="487">
        <f>IF(U$11="","",IFERROR($D37-INDEX('DEMAND BY DATE'!$B$4:$AA$203,MATCH(U$11,'DEMAND BY DATE'!$A$4:$A$203,0),MATCH($C37,'DEMAND BY DATE'!$B$3:$AA$3,0)),""))</f>
        <v>10</v>
      </c>
      <c r="V37" s="487">
        <f>IF(V$11="","",IFERROR($D37-INDEX('DEMAND BY DATE'!$B$4:$AA$203,MATCH(V$11,'DEMAND BY DATE'!$A$4:$A$203,0),MATCH($C37,'DEMAND BY DATE'!$B$3:$AA$3,0)),""))</f>
        <v>10</v>
      </c>
      <c r="W37" s="487">
        <f>IF(W$11="","",IFERROR($D37-INDEX('DEMAND BY DATE'!$B$4:$AA$203,MATCH(W$11,'DEMAND BY DATE'!$A$4:$A$203,0),MATCH($C37,'DEMAND BY DATE'!$B$3:$AA$3,0)),""))</f>
        <v>10</v>
      </c>
      <c r="X37" s="487">
        <f>IF(X$11="","",IFERROR($D37-INDEX('DEMAND BY DATE'!$B$4:$AA$203,MATCH(X$11,'DEMAND BY DATE'!$A$4:$A$203,0),MATCH($C37,'DEMAND BY DATE'!$B$3:$AA$3,0)),""))</f>
        <v>10</v>
      </c>
      <c r="Y37" s="487">
        <f>IF(Y$11="","",IFERROR($D37-INDEX('DEMAND BY DATE'!$B$4:$AA$203,MATCH(Y$11,'DEMAND BY DATE'!$A$4:$A$203,0),MATCH($C37,'DEMAND BY DATE'!$B$3:$AA$3,0)),""))</f>
        <v>10</v>
      </c>
      <c r="Z37" s="487">
        <f>IF(Z$11="","",IFERROR($D37-INDEX('DEMAND BY DATE'!$B$4:$AA$203,MATCH(Z$11,'DEMAND BY DATE'!$A$4:$A$203,0),MATCH($C37,'DEMAND BY DATE'!$B$3:$AA$3,0)),""))</f>
        <v>10</v>
      </c>
      <c r="AA37" s="487">
        <f>IF(AA$11="","",IFERROR($D37-INDEX('DEMAND BY DATE'!$B$4:$AA$203,MATCH(AA$11,'DEMAND BY DATE'!$A$4:$A$203,0),MATCH($C37,'DEMAND BY DATE'!$B$3:$AA$3,0)),""))</f>
        <v>10</v>
      </c>
      <c r="AB37" s="487">
        <f>IF(AB$11="","",IFERROR($D37-INDEX('DEMAND BY DATE'!$B$4:$AA$203,MATCH(AB$11,'DEMAND BY DATE'!$A$4:$A$203,0),MATCH($C37,'DEMAND BY DATE'!$B$3:$AA$3,0)),""))</f>
        <v>10</v>
      </c>
      <c r="AC37" s="487">
        <f>IF(AC$11="","",IFERROR($D37-INDEX('DEMAND BY DATE'!$B$4:$AA$203,MATCH(AC$11,'DEMAND BY DATE'!$A$4:$A$203,0),MATCH($C37,'DEMAND BY DATE'!$B$3:$AA$3,0)),""))</f>
        <v>10</v>
      </c>
      <c r="AD37" s="487">
        <f>IF(AD$11="","",IFERROR($D37-INDEX('DEMAND BY DATE'!$B$4:$AA$203,MATCH(AD$11,'DEMAND BY DATE'!$A$4:$A$203,0),MATCH($C37,'DEMAND BY DATE'!$B$3:$AA$3,0)),""))</f>
        <v>10</v>
      </c>
      <c r="AE37" s="487">
        <f>IF(AE$11="","",IFERROR($D37-INDEX('DEMAND BY DATE'!$B$4:$AA$203,MATCH(AE$11,'DEMAND BY DATE'!$A$4:$A$203,0),MATCH($C37,'DEMAND BY DATE'!$B$3:$AA$3,0)),""))</f>
        <v>10</v>
      </c>
      <c r="AF37" s="487">
        <f>IF(AF$11="","",IFERROR($D37-INDEX('DEMAND BY DATE'!$B$4:$AA$203,MATCH(AF$11,'DEMAND BY DATE'!$A$4:$A$203,0),MATCH($C37,'DEMAND BY DATE'!$B$3:$AA$3,0)),""))</f>
        <v>10</v>
      </c>
      <c r="AG37" s="487">
        <f>IF(AG$11="","",IFERROR($D37-INDEX('DEMAND BY DATE'!$B$4:$AA$203,MATCH(AG$11,'DEMAND BY DATE'!$A$4:$A$203,0),MATCH($C37,'DEMAND BY DATE'!$B$3:$AA$3,0)),""))</f>
        <v>10</v>
      </c>
      <c r="AH37" s="487">
        <f>IF(AH$11="","",IFERROR($D37-INDEX('DEMAND BY DATE'!$B$4:$AA$203,MATCH(AH$11,'DEMAND BY DATE'!$A$4:$A$203,0),MATCH($C37,'DEMAND BY DATE'!$B$3:$AA$3,0)),""))</f>
        <v>10</v>
      </c>
      <c r="AI37" s="487">
        <f>IF(AI$11="","",IFERROR($D37-INDEX('DEMAND BY DATE'!$B$4:$AA$203,MATCH(AI$11,'DEMAND BY DATE'!$A$4:$A$203,0),MATCH($C37,'DEMAND BY DATE'!$B$3:$AA$3,0)),""))</f>
        <v>10</v>
      </c>
    </row>
    <row r="38" spans="2:35">
      <c r="B38" s="292" t="s">
        <v>474</v>
      </c>
      <c r="C38" s="292"/>
      <c r="D38" s="488">
        <f>'MC MASTER'!$C$29</f>
        <v>920</v>
      </c>
      <c r="E38" s="488">
        <f>IF(E$11="","",INDEX('DEMAND BY DATE'!$AB$4:$AB$203,MATCH(E$11,'DEMAND BY DATE'!$A$4:$A$203,0)))</f>
        <v>808</v>
      </c>
      <c r="F38" s="488">
        <f>IF(F$11="","",INDEX('DEMAND BY DATE'!$AB$4:$AB$203,MATCH(F$11,'DEMAND BY DATE'!$A$4:$A$203,0)))</f>
        <v>808</v>
      </c>
      <c r="G38" s="488">
        <f>IF(G$11="","",INDEX('DEMAND BY DATE'!$AB$4:$AB$203,MATCH(G$11,'DEMAND BY DATE'!$A$4:$A$203,0)))</f>
        <v>808</v>
      </c>
      <c r="H38" s="488">
        <f>IF(H$11="","",INDEX('DEMAND BY DATE'!$AB$4:$AB$203,MATCH(H$11,'DEMAND BY DATE'!$A$4:$A$203,0)))</f>
        <v>808</v>
      </c>
      <c r="I38" s="488">
        <f>IF(I$11="","",INDEX('DEMAND BY DATE'!$AB$4:$AB$203,MATCH(I$11,'DEMAND BY DATE'!$A$4:$A$203,0)))</f>
        <v>808</v>
      </c>
      <c r="J38" s="488">
        <f>IF(J$11="","",INDEX('DEMAND BY DATE'!$AB$4:$AB$203,MATCH(J$11,'DEMAND BY DATE'!$A$4:$A$203,0)))</f>
        <v>808</v>
      </c>
      <c r="K38" s="488">
        <f>IF(K$11="","",INDEX('DEMAND BY DATE'!$AB$4:$AB$203,MATCH(K$11,'DEMAND BY DATE'!$A$4:$A$203,0)))</f>
        <v>808</v>
      </c>
      <c r="L38" s="488">
        <f>IF(L$11="","",INDEX('DEMAND BY DATE'!$AB$4:$AB$203,MATCH(L$11,'DEMAND BY DATE'!$A$4:$A$203,0)))</f>
        <v>808</v>
      </c>
      <c r="M38" s="488">
        <f>IF(M$11="","",INDEX('DEMAND BY DATE'!$AB$4:$AB$203,MATCH(M$11,'DEMAND BY DATE'!$A$4:$A$203,0)))</f>
        <v>808</v>
      </c>
      <c r="N38" s="488">
        <f>IF(N$11="","",INDEX('DEMAND BY DATE'!$AB$4:$AB$203,MATCH(N$11,'DEMAND BY DATE'!$A$4:$A$203,0)))</f>
        <v>808</v>
      </c>
      <c r="O38" s="488">
        <f>IF(O$11="","",INDEX('DEMAND BY DATE'!$AB$4:$AB$203,MATCH(O$11,'DEMAND BY DATE'!$A$4:$A$203,0)))</f>
        <v>808</v>
      </c>
      <c r="P38" s="488">
        <f>IF(P$11="","",INDEX('DEMAND BY DATE'!$AB$4:$AB$203,MATCH(P$11,'DEMAND BY DATE'!$A$4:$A$203,0)))</f>
        <v>801</v>
      </c>
      <c r="Q38" s="488">
        <f>IF(Q$11="","",INDEX('DEMAND BY DATE'!$AB$4:$AB$203,MATCH(Q$11,'DEMAND BY DATE'!$A$4:$A$203,0)))</f>
        <v>801</v>
      </c>
      <c r="R38" s="488">
        <f>IF(R$11="","",INDEX('DEMAND BY DATE'!$AB$4:$AB$203,MATCH(R$11,'DEMAND BY DATE'!$A$4:$A$203,0)))</f>
        <v>654</v>
      </c>
      <c r="S38" s="488">
        <f>IF(S$11="","",INDEX('DEMAND BY DATE'!$AB$4:$AB$203,MATCH(S$11,'DEMAND BY DATE'!$A$4:$A$203,0)))</f>
        <v>801</v>
      </c>
      <c r="T38" s="488">
        <f>IF(T$11="","",INDEX('DEMAND BY DATE'!$AB$4:$AB$203,MATCH(T$11,'DEMAND BY DATE'!$A$4:$A$203,0)))</f>
        <v>801</v>
      </c>
      <c r="U38" s="488">
        <f>IF(U$11="","",INDEX('DEMAND BY DATE'!$AB$4:$AB$203,MATCH(U$11,'DEMAND BY DATE'!$A$4:$A$203,0)))</f>
        <v>801</v>
      </c>
      <c r="V38" s="488">
        <f>IF(V$11="","",INDEX('DEMAND BY DATE'!$AB$4:$AB$203,MATCH(V$11,'DEMAND BY DATE'!$A$4:$A$203,0)))</f>
        <v>801</v>
      </c>
      <c r="W38" s="488">
        <f>IF(W$11="","",INDEX('DEMAND BY DATE'!$AB$4:$AB$203,MATCH(W$11,'DEMAND BY DATE'!$A$4:$A$203,0)))</f>
        <v>801</v>
      </c>
      <c r="X38" s="488">
        <f>IF(X$11="","",INDEX('DEMAND BY DATE'!$AB$4:$AB$203,MATCH(X$11,'DEMAND BY DATE'!$A$4:$A$203,0)))</f>
        <v>801</v>
      </c>
      <c r="Y38" s="488">
        <f>IF(Y$11="","",INDEX('DEMAND BY DATE'!$AB$4:$AB$203,MATCH(Y$11,'DEMAND BY DATE'!$A$4:$A$203,0)))</f>
        <v>801</v>
      </c>
      <c r="Z38" s="488">
        <f>IF(Z$11="","",INDEX('DEMAND BY DATE'!$AB$4:$AB$203,MATCH(Z$11,'DEMAND BY DATE'!$A$4:$A$203,0)))</f>
        <v>801</v>
      </c>
      <c r="AA38" s="488">
        <f>IF(AA$11="","",INDEX('DEMAND BY DATE'!$AB$4:$AB$203,MATCH(AA$11,'DEMAND BY DATE'!$A$4:$A$203,0)))</f>
        <v>801</v>
      </c>
      <c r="AB38" s="488">
        <f>IF(AB$11="","",INDEX('DEMAND BY DATE'!$AB$4:$AB$203,MATCH(AB$11,'DEMAND BY DATE'!$A$4:$A$203,0)))</f>
        <v>801</v>
      </c>
      <c r="AC38" s="488">
        <f>IF(AC$11="","",INDEX('DEMAND BY DATE'!$AB$4:$AB$203,MATCH(AC$11,'DEMAND BY DATE'!$A$4:$A$203,0)))</f>
        <v>801</v>
      </c>
      <c r="AD38" s="488">
        <f>IF(AD$11="","",INDEX('DEMAND BY DATE'!$AB$4:$AB$203,MATCH(AD$11,'DEMAND BY DATE'!$A$4:$A$203,0)))</f>
        <v>801</v>
      </c>
      <c r="AE38" s="488">
        <f>IF(AE$11="","",INDEX('DEMAND BY DATE'!$AB$4:$AB$203,MATCH(AE$11,'DEMAND BY DATE'!$A$4:$A$203,0)))</f>
        <v>801</v>
      </c>
      <c r="AF38" s="488">
        <f>IF(AF$11="","",INDEX('DEMAND BY DATE'!$AB$4:$AB$203,MATCH(AF$11,'DEMAND BY DATE'!$A$4:$A$203,0)))</f>
        <v>801</v>
      </c>
      <c r="AG38" s="488">
        <f>IF(AG$11="","",INDEX('DEMAND BY DATE'!$AB$4:$AB$203,MATCH(AG$11,'DEMAND BY DATE'!$A$4:$A$203,0)))</f>
        <v>801</v>
      </c>
      <c r="AH38" s="488">
        <f>IF(AH$11="","",INDEX('DEMAND BY DATE'!$AB$4:$AB$203,MATCH(AH$11,'DEMAND BY DATE'!$A$4:$A$203,0)))</f>
        <v>801</v>
      </c>
      <c r="AI38" s="488">
        <f>IF(AI$11="","",INDEX('DEMAND BY DATE'!$AB$4:$AB$203,MATCH(AI$11,'DEMAND BY DATE'!$A$4:$A$203,0)))</f>
        <v>801</v>
      </c>
    </row>
    <row r="39" spans="2:35">
      <c r="B39" s="292" t="s">
        <v>415</v>
      </c>
      <c r="C39" s="292"/>
      <c r="D39" s="292"/>
      <c r="E39" s="488">
        <f>IF(E$11="","",IFERROR(INDEX('DEMAND BY DATE'!$AX$4:$AX$203,MATCH(E$11,'DEMAND BY DATE'!$A$4:$A$203,0)),""))</f>
        <v>5</v>
      </c>
      <c r="F39" s="488">
        <f>IF(F$11="","",IFERROR(INDEX('DEMAND BY DATE'!$AX$4:$AX$203,MATCH(F$11,'DEMAND BY DATE'!$A$4:$A$203,0)),""))</f>
        <v>0</v>
      </c>
      <c r="G39" s="488">
        <f>IF(G$11="","",IFERROR(INDEX('DEMAND BY DATE'!$AX$4:$AX$203,MATCH(G$11,'DEMAND BY DATE'!$A$4:$A$203,0)),""))</f>
        <v>5</v>
      </c>
      <c r="H39" s="488">
        <f>IF(H$11="","",IFERROR(INDEX('DEMAND BY DATE'!$AX$4:$AX$203,MATCH(H$11,'DEMAND BY DATE'!$A$4:$A$203,0)),""))</f>
        <v>5</v>
      </c>
      <c r="I39" s="488">
        <f>IF(I$11="","",IFERROR(INDEX('DEMAND BY DATE'!$AX$4:$AX$203,MATCH(I$11,'DEMAND BY DATE'!$A$4:$A$203,0)),""))</f>
        <v>5</v>
      </c>
      <c r="J39" s="488">
        <f>IF(J$11="","",IFERROR(INDEX('DEMAND BY DATE'!$AX$4:$AX$203,MATCH(J$11,'DEMAND BY DATE'!$A$4:$A$203,0)),""))</f>
        <v>5</v>
      </c>
      <c r="K39" s="488">
        <f>IF(K$11="","",IFERROR(INDEX('DEMAND BY DATE'!$AX$4:$AX$203,MATCH(K$11,'DEMAND BY DATE'!$A$4:$A$203,0)),""))</f>
        <v>5</v>
      </c>
      <c r="L39" s="488">
        <f>IF(L$11="","",IFERROR(INDEX('DEMAND BY DATE'!$AX$4:$AX$203,MATCH(L$11,'DEMAND BY DATE'!$A$4:$A$203,0)),""))</f>
        <v>5</v>
      </c>
      <c r="M39" s="488">
        <f>IF(M$11="","",IFERROR(INDEX('DEMAND BY DATE'!$AX$4:$AX$203,MATCH(M$11,'DEMAND BY DATE'!$A$4:$A$203,0)),""))</f>
        <v>0</v>
      </c>
      <c r="N39" s="488">
        <f>IF(N$11="","",IFERROR(INDEX('DEMAND BY DATE'!$AX$4:$AX$203,MATCH(N$11,'DEMAND BY DATE'!$A$4:$A$203,0)),""))</f>
        <v>5</v>
      </c>
      <c r="O39" s="488">
        <f>IF(O$11="","",IFERROR(INDEX('DEMAND BY DATE'!$AX$4:$AX$203,MATCH(O$11,'DEMAND BY DATE'!$A$4:$A$203,0)),""))</f>
        <v>5</v>
      </c>
      <c r="P39" s="488">
        <f>IF(P$11="","",IFERROR(INDEX('DEMAND BY DATE'!$AX$4:$AX$203,MATCH(P$11,'DEMAND BY DATE'!$A$4:$A$203,0)),""))</f>
        <v>5</v>
      </c>
      <c r="Q39" s="488">
        <f>IF(Q$11="","",IFERROR(INDEX('DEMAND BY DATE'!$AX$4:$AX$203,MATCH(Q$11,'DEMAND BY DATE'!$A$4:$A$203,0)),""))</f>
        <v>5</v>
      </c>
      <c r="R39" s="488">
        <f>IF(R$11="","",IFERROR(INDEX('DEMAND BY DATE'!$AX$4:$AX$203,MATCH(R$11,'DEMAND BY DATE'!$A$4:$A$203,0)),""))</f>
        <v>2</v>
      </c>
      <c r="S39" s="488">
        <f>IF(S$11="","",IFERROR(INDEX('DEMAND BY DATE'!$AX$4:$AX$203,MATCH(S$11,'DEMAND BY DATE'!$A$4:$A$203,0)),""))</f>
        <v>4</v>
      </c>
      <c r="T39" s="488">
        <f>IF(T$11="","",IFERROR(INDEX('DEMAND BY DATE'!$AX$4:$AX$203,MATCH(T$11,'DEMAND BY DATE'!$A$4:$A$203,0)),""))</f>
        <v>0</v>
      </c>
      <c r="U39" s="488">
        <f>IF(U$11="","",IFERROR(INDEX('DEMAND BY DATE'!$AX$4:$AX$203,MATCH(U$11,'DEMAND BY DATE'!$A$4:$A$203,0)),""))</f>
        <v>4</v>
      </c>
      <c r="V39" s="488">
        <f>IF(V$11="","",IFERROR(INDEX('DEMAND BY DATE'!$AX$4:$AX$203,MATCH(V$11,'DEMAND BY DATE'!$A$4:$A$203,0)),""))</f>
        <v>4</v>
      </c>
      <c r="W39" s="488">
        <f>IF(W$11="","",IFERROR(INDEX('DEMAND BY DATE'!$AX$4:$AX$203,MATCH(W$11,'DEMAND BY DATE'!$A$4:$A$203,0)),""))</f>
        <v>4</v>
      </c>
      <c r="X39" s="488">
        <f>IF(X$11="","",IFERROR(INDEX('DEMAND BY DATE'!$AX$4:$AX$203,MATCH(X$11,'DEMAND BY DATE'!$A$4:$A$203,0)),""))</f>
        <v>4</v>
      </c>
      <c r="Y39" s="488">
        <f>IF(Y$11="","",IFERROR(INDEX('DEMAND BY DATE'!$AX$4:$AX$203,MATCH(Y$11,'DEMAND BY DATE'!$A$4:$A$203,0)),""))</f>
        <v>4</v>
      </c>
      <c r="Z39" s="488">
        <f>IF(Z$11="","",IFERROR(INDEX('DEMAND BY DATE'!$AX$4:$AX$203,MATCH(Z$11,'DEMAND BY DATE'!$A$4:$A$203,0)),""))</f>
        <v>4</v>
      </c>
      <c r="AA39" s="488">
        <f>IF(AA$11="","",IFERROR(INDEX('DEMAND BY DATE'!$AX$4:$AX$203,MATCH(AA$11,'DEMAND BY DATE'!$A$4:$A$203,0)),""))</f>
        <v>0</v>
      </c>
      <c r="AB39" s="488">
        <f>IF(AB$11="","",IFERROR(INDEX('DEMAND BY DATE'!$AX$4:$AX$203,MATCH(AB$11,'DEMAND BY DATE'!$A$4:$A$203,0)),""))</f>
        <v>4</v>
      </c>
      <c r="AC39" s="488">
        <f>IF(AC$11="","",IFERROR(INDEX('DEMAND BY DATE'!$AX$4:$AX$203,MATCH(AC$11,'DEMAND BY DATE'!$A$4:$A$203,0)),""))</f>
        <v>4</v>
      </c>
      <c r="AD39" s="488">
        <f>IF(AD$11="","",IFERROR(INDEX('DEMAND BY DATE'!$AX$4:$AX$203,MATCH(AD$11,'DEMAND BY DATE'!$A$4:$A$203,0)),""))</f>
        <v>4</v>
      </c>
      <c r="AE39" s="488">
        <f>IF(AE$11="","",IFERROR(INDEX('DEMAND BY DATE'!$AX$4:$AX$203,MATCH(AE$11,'DEMAND BY DATE'!$A$4:$A$203,0)),""))</f>
        <v>4</v>
      </c>
      <c r="AF39" s="488">
        <f>IF(AF$11="","",IFERROR(INDEX('DEMAND BY DATE'!$AX$4:$AX$203,MATCH(AF$11,'DEMAND BY DATE'!$A$4:$A$203,0)),""))</f>
        <v>4</v>
      </c>
      <c r="AG39" s="488">
        <f>IF(AG$11="","",IFERROR(INDEX('DEMAND BY DATE'!$AX$4:$AX$203,MATCH(AG$11,'DEMAND BY DATE'!$A$4:$A$203,0)),""))</f>
        <v>4</v>
      </c>
      <c r="AH39" s="488">
        <f>IF(AH$11="","",IFERROR(INDEX('DEMAND BY DATE'!$AX$4:$AX$203,MATCH(AH$11,'DEMAND BY DATE'!$A$4:$A$203,0)),""))</f>
        <v>0</v>
      </c>
      <c r="AI39" s="488">
        <f>IF(AI$11="","",IFERROR(INDEX('DEMAND BY DATE'!$AX$4:$AX$203,MATCH(AI$11,'DEMAND BY DATE'!$A$4:$A$203,0)),""))</f>
        <v>4</v>
      </c>
    </row>
    <row r="40" spans="2:35">
      <c r="B40" s="292" t="s">
        <v>407</v>
      </c>
      <c r="C40" s="292"/>
      <c r="D40" s="292"/>
      <c r="E40" s="488" t="str">
        <f>IF(E$11="","",IFERROR(INDEX('DEMAND BY DATE'!$BS$4:$BS$203,MATCH(E$11,'DEMAND BY DATE'!$A$4:$A$203,0)),""))</f>
        <v>Y</v>
      </c>
      <c r="F40" s="488" t="str">
        <f>IF(F$11="","",IFERROR(INDEX('DEMAND BY DATE'!$BS$4:$BS$203,MATCH(F$11,'DEMAND BY DATE'!$A$4:$A$203,0)),""))</f>
        <v>N</v>
      </c>
      <c r="G40" s="488" t="str">
        <f>IF(G$11="","",IFERROR(INDEX('DEMAND BY DATE'!$BS$4:$BS$203,MATCH(G$11,'DEMAND BY DATE'!$A$4:$A$203,0)),""))</f>
        <v>Y</v>
      </c>
      <c r="H40" s="488" t="str">
        <f>IF(H$11="","",IFERROR(INDEX('DEMAND BY DATE'!$BS$4:$BS$203,MATCH(H$11,'DEMAND BY DATE'!$A$4:$A$203,0)),""))</f>
        <v>Y</v>
      </c>
      <c r="I40" s="488" t="str">
        <f>IF(I$11="","",IFERROR(INDEX('DEMAND BY DATE'!$BS$4:$BS$203,MATCH(I$11,'DEMAND BY DATE'!$A$4:$A$203,0)),""))</f>
        <v>Y</v>
      </c>
      <c r="J40" s="488" t="str">
        <f>IF(J$11="","",IFERROR(INDEX('DEMAND BY DATE'!$BS$4:$BS$203,MATCH(J$11,'DEMAND BY DATE'!$A$4:$A$203,0)),""))</f>
        <v>Y</v>
      </c>
      <c r="K40" s="488" t="str">
        <f>IF(K$11="","",IFERROR(INDEX('DEMAND BY DATE'!$BS$4:$BS$203,MATCH(K$11,'DEMAND BY DATE'!$A$4:$A$203,0)),""))</f>
        <v>Y</v>
      </c>
      <c r="L40" s="488" t="str">
        <f>IF(L$11="","",IFERROR(INDEX('DEMAND BY DATE'!$BS$4:$BS$203,MATCH(L$11,'DEMAND BY DATE'!$A$4:$A$203,0)),""))</f>
        <v>Y</v>
      </c>
      <c r="M40" s="488" t="str">
        <f>IF(M$11="","",IFERROR(INDEX('DEMAND BY DATE'!$BS$4:$BS$203,MATCH(M$11,'DEMAND BY DATE'!$A$4:$A$203,0)),""))</f>
        <v>N</v>
      </c>
      <c r="N40" s="488" t="str">
        <f>IF(N$11="","",IFERROR(INDEX('DEMAND BY DATE'!$BS$4:$BS$203,MATCH(N$11,'DEMAND BY DATE'!$A$4:$A$203,0)),""))</f>
        <v>Y</v>
      </c>
      <c r="O40" s="488" t="str">
        <f>IF(O$11="","",IFERROR(INDEX('DEMAND BY DATE'!$BS$4:$BS$203,MATCH(O$11,'DEMAND BY DATE'!$A$4:$A$203,0)),""))</f>
        <v>Y</v>
      </c>
      <c r="P40" s="488" t="str">
        <f>IF(P$11="","",IFERROR(INDEX('DEMAND BY DATE'!$BS$4:$BS$203,MATCH(P$11,'DEMAND BY DATE'!$A$4:$A$203,0)),""))</f>
        <v>Y</v>
      </c>
      <c r="Q40" s="488" t="str">
        <f>IF(Q$11="","",IFERROR(INDEX('DEMAND BY DATE'!$BS$4:$BS$203,MATCH(Q$11,'DEMAND BY DATE'!$A$4:$A$203,0)),""))</f>
        <v>Y</v>
      </c>
      <c r="R40" s="488" t="str">
        <f>IF(R$11="","",IFERROR(INDEX('DEMAND BY DATE'!$BS$4:$BS$203,MATCH(R$11,'DEMAND BY DATE'!$A$4:$A$203,0)),""))</f>
        <v>Y</v>
      </c>
      <c r="S40" s="488" t="str">
        <f>IF(S$11="","",IFERROR(INDEX('DEMAND BY DATE'!$BS$4:$BS$203,MATCH(S$11,'DEMAND BY DATE'!$A$4:$A$203,0)),""))</f>
        <v>Y</v>
      </c>
      <c r="T40" s="488" t="str">
        <f>IF(T$11="","",IFERROR(INDEX('DEMAND BY DATE'!$BS$4:$BS$203,MATCH(T$11,'DEMAND BY DATE'!$A$4:$A$203,0)),""))</f>
        <v>N</v>
      </c>
      <c r="U40" s="488" t="str">
        <f>IF(U$11="","",IFERROR(INDEX('DEMAND BY DATE'!$BS$4:$BS$203,MATCH(U$11,'DEMAND BY DATE'!$A$4:$A$203,0)),""))</f>
        <v>Y</v>
      </c>
      <c r="V40" s="488" t="str">
        <f>IF(V$11="","",IFERROR(INDEX('DEMAND BY DATE'!$BS$4:$BS$203,MATCH(V$11,'DEMAND BY DATE'!$A$4:$A$203,0)),""))</f>
        <v>Y</v>
      </c>
      <c r="W40" s="488" t="str">
        <f>IF(W$11="","",IFERROR(INDEX('DEMAND BY DATE'!$BS$4:$BS$203,MATCH(W$11,'DEMAND BY DATE'!$A$4:$A$203,0)),""))</f>
        <v>Y</v>
      </c>
      <c r="X40" s="488" t="str">
        <f>IF(X$11="","",IFERROR(INDEX('DEMAND BY DATE'!$BS$4:$BS$203,MATCH(X$11,'DEMAND BY DATE'!$A$4:$A$203,0)),""))</f>
        <v>Y</v>
      </c>
      <c r="Y40" s="488" t="str">
        <f>IF(Y$11="","",IFERROR(INDEX('DEMAND BY DATE'!$BS$4:$BS$203,MATCH(Y$11,'DEMAND BY DATE'!$A$4:$A$203,0)),""))</f>
        <v>Y</v>
      </c>
      <c r="Z40" s="488" t="str">
        <f>IF(Z$11="","",IFERROR(INDEX('DEMAND BY DATE'!$BS$4:$BS$203,MATCH(Z$11,'DEMAND BY DATE'!$A$4:$A$203,0)),""))</f>
        <v>Y</v>
      </c>
      <c r="AA40" s="488" t="str">
        <f>IF(AA$11="","",IFERROR(INDEX('DEMAND BY DATE'!$BS$4:$BS$203,MATCH(AA$11,'DEMAND BY DATE'!$A$4:$A$203,0)),""))</f>
        <v>N</v>
      </c>
      <c r="AB40" s="488" t="str">
        <f>IF(AB$11="","",IFERROR(INDEX('DEMAND BY DATE'!$BS$4:$BS$203,MATCH(AB$11,'DEMAND BY DATE'!$A$4:$A$203,0)),""))</f>
        <v>Y</v>
      </c>
      <c r="AC40" s="488" t="str">
        <f>IF(AC$11="","",IFERROR(INDEX('DEMAND BY DATE'!$BS$4:$BS$203,MATCH(AC$11,'DEMAND BY DATE'!$A$4:$A$203,0)),""))</f>
        <v>Y</v>
      </c>
      <c r="AD40" s="488" t="str">
        <f>IF(AD$11="","",IFERROR(INDEX('DEMAND BY DATE'!$BS$4:$BS$203,MATCH(AD$11,'DEMAND BY DATE'!$A$4:$A$203,0)),""))</f>
        <v>Y</v>
      </c>
      <c r="AE40" s="488" t="str">
        <f>IF(AE$11="","",IFERROR(INDEX('DEMAND BY DATE'!$BS$4:$BS$203,MATCH(AE$11,'DEMAND BY DATE'!$A$4:$A$203,0)),""))</f>
        <v>Y</v>
      </c>
      <c r="AF40" s="488" t="str">
        <f>IF(AF$11="","",IFERROR(INDEX('DEMAND BY DATE'!$BS$4:$BS$203,MATCH(AF$11,'DEMAND BY DATE'!$A$4:$A$203,0)),""))</f>
        <v>Y</v>
      </c>
      <c r="AG40" s="488" t="str">
        <f>IF(AG$11="","",IFERROR(INDEX('DEMAND BY DATE'!$BS$4:$BS$203,MATCH(AG$11,'DEMAND BY DATE'!$A$4:$A$203,0)),""))</f>
        <v>Y</v>
      </c>
      <c r="AH40" s="488" t="str">
        <f>IF(AH$11="","",IFERROR(INDEX('DEMAND BY DATE'!$BS$4:$BS$203,MATCH(AH$11,'DEMAND BY DATE'!$A$4:$A$203,0)),""))</f>
        <v>N</v>
      </c>
      <c r="AI40" s="488" t="str">
        <f>IF(AI$11="","",IFERROR(INDEX('DEMAND BY DATE'!$BS$4:$BS$203,MATCH(AI$11,'DEMAND BY DATE'!$A$4:$A$203,0)),""))</f>
        <v>Y</v>
      </c>
    </row>
    <row r="43" spans="2:35" ht="15.75" hidden="1">
      <c r="B43" s="489" t="str">
        <f>"ACTION LIST FOR "&amp;UPPER($D$4)&amp;"  —  move first, buy only what cannot be covered"</f>
        <v>ACTION LIST FOR AUGUST 2026  —  move first, buy only what cannot be covered</v>
      </c>
      <c r="C43" s="490"/>
      <c r="D43" s="490"/>
      <c r="E43" s="490"/>
      <c r="F43" s="490"/>
      <c r="G43" s="490"/>
      <c r="H43" s="490"/>
      <c r="I43" s="490"/>
      <c r="J43" s="490"/>
      <c r="K43" s="490"/>
      <c r="L43" s="490"/>
      <c r="M43" s="490"/>
      <c r="N43" s="490"/>
      <c r="O43" s="490"/>
      <c r="P43" s="490"/>
      <c r="Q43" s="490"/>
      <c r="R43" s="490"/>
      <c r="S43" s="490"/>
      <c r="T43" s="490"/>
      <c r="U43" s="490"/>
      <c r="V43" s="490"/>
      <c r="W43" s="490"/>
      <c r="X43" s="490"/>
      <c r="Y43" s="490"/>
      <c r="Z43" s="490"/>
      <c r="AA43" s="490"/>
      <c r="AB43" s="490"/>
      <c r="AC43" s="490"/>
      <c r="AD43" s="490"/>
      <c r="AE43" s="490"/>
      <c r="AF43" s="490"/>
      <c r="AG43" s="490"/>
    </row>
    <row r="44" spans="2:35" hidden="1">
      <c r="B44" s="286" t="s">
        <v>228</v>
      </c>
      <c r="C44" s="286" t="s">
        <v>423</v>
      </c>
      <c r="D44" s="286" t="s">
        <v>429</v>
      </c>
      <c r="E44" s="286" t="s">
        <v>430</v>
      </c>
      <c r="F44" s="286" t="s">
        <v>376</v>
      </c>
      <c r="G44" s="286" t="s">
        <v>435</v>
      </c>
      <c r="H44" s="286" t="s">
        <v>436</v>
      </c>
      <c r="I44" s="286" t="s">
        <v>437</v>
      </c>
      <c r="J44" s="286" t="s">
        <v>431</v>
      </c>
      <c r="K44" s="286"/>
      <c r="L44" s="286"/>
      <c r="M44" s="286"/>
      <c r="N44" s="286"/>
      <c r="O44" s="286"/>
      <c r="P44" s="286"/>
      <c r="Q44" s="286"/>
      <c r="R44" s="286"/>
      <c r="S44" s="286"/>
      <c r="T44" s="286"/>
      <c r="U44" s="286"/>
      <c r="V44" s="286"/>
      <c r="W44" s="286"/>
      <c r="X44" s="286"/>
      <c r="Y44" s="286"/>
      <c r="Z44" s="286"/>
      <c r="AA44" s="286"/>
      <c r="AB44" s="286"/>
      <c r="AC44" s="286"/>
      <c r="AD44" s="286"/>
      <c r="AE44" s="286"/>
      <c r="AF44" s="286"/>
      <c r="AG44" s="286"/>
    </row>
    <row r="45" spans="2:35" hidden="1">
      <c r="B45" s="15" t="str">
        <f ca="1">IFERROR(IF(SMALL($BM$6:$BM$31,1)&gt;=0,"",INDEX($BD$6:$BD$31,MATCH(SMALL($BM$6:$BM$31,1),$BM$6:$BM$31,0))),"")</f>
        <v>4th Overlock</v>
      </c>
      <c r="C45" s="15" t="str">
        <f ca="1">IF($B45="","",INDEX($BE$6:$BE$31,MATCH($B45,$BD$6:$BD$31,0)))</f>
        <v>OVER-LOCK</v>
      </c>
      <c r="D45" s="491">
        <f ca="1">IF($B45="","",INDEX($BF$6:$BF$31,MATCH($B45,$BD$6:$BD$31,0)))</f>
        <v>279</v>
      </c>
      <c r="E45" s="491">
        <f ca="1">IF($B45="","",INDEX($BG$6:$BG$31,MATCH($B45,$BD$6:$BD$31,0)))</f>
        <v>291</v>
      </c>
      <c r="F45" s="492">
        <f ca="1">IF($B45="","",$E45-$D45)</f>
        <v>12</v>
      </c>
      <c r="G45" s="491">
        <f ca="1">IF($B45="","",INDEX($BI$6:$BI$31,MATCH($B45,$BD$6:$BD$31,0)))</f>
        <v>11</v>
      </c>
      <c r="H45" s="492">
        <f ca="1">IF($B45="","",INDEX($BK$6:$BK$31,MATCH($B45,$BD$6:$BD$31,0)))</f>
        <v>5</v>
      </c>
      <c r="I45" s="492">
        <f ca="1">IF($B45="","",INDEX($BL$6:$BL$31,MATCH($B45,$BD$6:$BD$31,0)))</f>
        <v>7</v>
      </c>
      <c r="J45" s="15" t="str">
        <f ca="1">IF($B45="","",IF($H45&gt;0,"MOVE "&amp;TEXT($H45,"#,##0.0")&amp;" from "&amp;$C45&amp;" family"&amp;IF($I45&gt;0,", then BUY "&amp;TEXT($I45,"#,##0.0"),""),"BUY / HIRE "&amp;TEXT($I45,"#,##0.0")&amp;" — no spare in "&amp;$C45))</f>
        <v>MOVE 5.0 from OVER-LOCK family, then BUY 7.0</v>
      </c>
    </row>
    <row r="46" spans="2:35" hidden="1">
      <c r="B46" s="15" t="str">
        <f ca="1">IFERROR(IF(SMALL($BM$6:$BM$31,2)&gt;=0,"",INDEX($BD$6:$BD$31,MATCH(SMALL($BM$6:$BM$31,2),$BM$6:$BM$31,0))),"")</f>
        <v>F/L (Coverseam )</v>
      </c>
      <c r="C46" s="15" t="str">
        <f ca="1">IF($B46="","",INDEX($BE$6:$BE$31,MATCH($B46,$BD$6:$BD$31,0)))</f>
        <v>FLAT-LOCK</v>
      </c>
      <c r="D46" s="491">
        <f ca="1">IF($B46="","",INDEX($BF$6:$BF$31,MATCH($B46,$BD$6:$BD$31,0)))</f>
        <v>6</v>
      </c>
      <c r="E46" s="491">
        <f ca="1">IF($B46="","",INDEX($BG$6:$BG$31,MATCH($B46,$BD$6:$BD$31,0)))</f>
        <v>17</v>
      </c>
      <c r="F46" s="492">
        <f ca="1">IF($B46="","",$E46-$D46)</f>
        <v>11</v>
      </c>
      <c r="G46" s="491">
        <f ca="1">IF($B46="","",INDEX($BI$6:$BI$31,MATCH($B46,$BD$6:$BD$31,0)))</f>
        <v>26</v>
      </c>
      <c r="H46" s="492">
        <f ca="1">IF($B46="","",INDEX($BK$6:$BK$31,MATCH($B46,$BD$6:$BD$31,0)))</f>
        <v>11</v>
      </c>
      <c r="I46" s="492">
        <f ca="1">IF($B46="","",INDEX($BL$6:$BL$31,MATCH($B46,$BD$6:$BD$31,0)))</f>
        <v>0</v>
      </c>
      <c r="J46" s="15" t="str">
        <f ca="1">IF($B46="","",IF($H46&gt;0,"MOVE "&amp;TEXT($H46,"#,##0.0")&amp;" from "&amp;$C46&amp;" family"&amp;IF($I46&gt;0,", then BUY "&amp;TEXT($I46,"#,##0.0"),""),"BUY / HIRE "&amp;TEXT($I46,"#,##0.0")&amp;" — no spare in "&amp;$C46))</f>
        <v>MOVE 11.0 from FLAT-LOCK family</v>
      </c>
    </row>
    <row r="47" spans="2:35" hidden="1">
      <c r="B47" s="15" t="str">
        <f ca="1">IFERROR(IF(SMALL($BM$6:$BM$31,3)&gt;=0,"",INDEX($BD$6:$BD$31,MATCH(SMALL($BM$6:$BM$31,3),$BM$6:$BM$31,0))),"")</f>
        <v>3N5T-F/L -( TopStitch)</v>
      </c>
      <c r="C47" s="15" t="str">
        <f ca="1">IF($B47="","",INDEX($BE$6:$BE$31,MATCH($B47,$BD$6:$BD$31,0)))</f>
        <v>FLAT-LOCK</v>
      </c>
      <c r="D47" s="491">
        <f ca="1">IF($B47="","",INDEX($BF$6:$BF$31,MATCH($B47,$BD$6:$BD$31,0)))</f>
        <v>54</v>
      </c>
      <c r="E47" s="491">
        <f ca="1">IF($B47="","",INDEX($BG$6:$BG$31,MATCH($B47,$BD$6:$BD$31,0)))</f>
        <v>63</v>
      </c>
      <c r="F47" s="492">
        <f ca="1">IF($B47="","",$E47-$D47)</f>
        <v>9</v>
      </c>
      <c r="G47" s="491">
        <f ca="1">IF($B47="","",INDEX($BI$6:$BI$31,MATCH($B47,$BD$6:$BD$31,0)))</f>
        <v>14</v>
      </c>
      <c r="H47" s="492">
        <f ca="1">IF($B47="","",INDEX($BK$6:$BK$31,MATCH($B47,$BD$6:$BD$31,0)))</f>
        <v>2.5</v>
      </c>
      <c r="I47" s="492">
        <f ca="1">IF($B47="","",INDEX($BL$6:$BL$31,MATCH($B47,$BD$6:$BD$31,0)))</f>
        <v>6.5</v>
      </c>
      <c r="J47" s="15" t="str">
        <f ca="1">IF($B47="","",IF($H47&gt;0,"MOVE "&amp;TEXT($H47,"#,##0.0")&amp;" from "&amp;$C47&amp;" family"&amp;IF($I47&gt;0,", then BUY "&amp;TEXT($I47,"#,##0.0"),""),"BUY / HIRE "&amp;TEXT($I47,"#,##0.0")&amp;" — no spare in "&amp;$C47))</f>
        <v>MOVE 2.5 from FLAT-LOCK family, then BUY 6.5</v>
      </c>
    </row>
    <row r="48" spans="2:35" hidden="1">
      <c r="B48" s="15" t="str">
        <f ca="1">IFERROR(IF(SMALL($BM$6:$BM$31,4)&gt;=0,"",INDEX($BD$6:$BD$31,MATCH(SMALL($BM$6:$BM$31,4),$BM$6:$BM$31,0))),"")</f>
        <v>Overlock (Ring Elastic Attach)</v>
      </c>
      <c r="C48" s="15" t="str">
        <f ca="1">IF($B48="","",INDEX($BE$6:$BE$31,MATCH($B48,$BD$6:$BD$31,0)))</f>
        <v>OVER-LOCK</v>
      </c>
      <c r="D48" s="491">
        <f ca="1">IF($B48="","",INDEX($BF$6:$BF$31,MATCH($B48,$BD$6:$BD$31,0)))</f>
        <v>29</v>
      </c>
      <c r="E48" s="491">
        <f ca="1">IF($B48="","",INDEX($BG$6:$BG$31,MATCH($B48,$BD$6:$BD$31,0)))</f>
        <v>36</v>
      </c>
      <c r="F48" s="492">
        <f ca="1">IF($B48="","",$E48-$D48)</f>
        <v>7</v>
      </c>
      <c r="G48" s="491">
        <f ca="1">IF($B48="","",INDEX($BI$6:$BI$31,MATCH($B48,$BD$6:$BD$31,0)))</f>
        <v>26</v>
      </c>
      <c r="H48" s="492">
        <f ca="1">IF($B48="","",INDEX($BK$6:$BK$31,MATCH($B48,$BD$6:$BD$31,0)))</f>
        <v>0</v>
      </c>
      <c r="I48" s="492">
        <f ca="1">IF($B48="","",INDEX($BL$6:$BL$31,MATCH($B48,$BD$6:$BD$31,0)))</f>
        <v>7</v>
      </c>
      <c r="J48" s="15" t="str">
        <f ca="1">IF($B48="","",IF($H48&gt;0,"MOVE "&amp;TEXT($H48,"#,##0.0")&amp;" from "&amp;$C48&amp;" family"&amp;IF($I48&gt;0,", then BUY "&amp;TEXT($I48,"#,##0.0"),""),"BUY / HIRE "&amp;TEXT($I48,"#,##0.0")&amp;" — no spare in "&amp;$C48))</f>
        <v>BUY / HIRE 7.0 — no spare in OVER-LOCK</v>
      </c>
    </row>
    <row r="49" spans="2:33" hidden="1">
      <c r="B49" s="15" t="str">
        <f ca="1">IFERROR(IF(SMALL($BM$6:$BM$31,5)&gt;=0,"",INDEX($BD$6:$BD$31,MATCH(SMALL($BM$6:$BM$31,5),$BM$6:$BM$31,0))),"")</f>
        <v>F/L (Coverseam )with pullar</v>
      </c>
      <c r="C49" s="15" t="str">
        <f ca="1">IF($B49="","",INDEX($BE$6:$BE$31,MATCH($B49,$BD$6:$BD$31,0)))</f>
        <v>FLAT-LOCK</v>
      </c>
      <c r="D49" s="491">
        <f ca="1">IF($B49="","",INDEX($BF$6:$BF$31,MATCH($B49,$BD$6:$BD$31,0)))</f>
        <v>37</v>
      </c>
      <c r="E49" s="491">
        <f ca="1">IF($B49="","",INDEX($BG$6:$BG$31,MATCH($B49,$BD$6:$BD$31,0)))</f>
        <v>43.5</v>
      </c>
      <c r="F49" s="492">
        <f ca="1">IF($B49="","",$E49-$D49)</f>
        <v>6.5</v>
      </c>
      <c r="G49" s="491">
        <f ca="1">IF($B49="","",INDEX($BI$6:$BI$31,MATCH($B49,$BD$6:$BD$31,0)))</f>
        <v>25</v>
      </c>
      <c r="H49" s="492">
        <f ca="1">IF($B49="","",INDEX($BK$6:$BK$31,MATCH($B49,$BD$6:$BD$31,0)))</f>
        <v>0</v>
      </c>
      <c r="I49" s="492">
        <f ca="1">IF($B49="","",INDEX($BL$6:$BL$31,MATCH($B49,$BD$6:$BD$31,0)))</f>
        <v>6.5</v>
      </c>
      <c r="J49" s="15" t="str">
        <f ca="1">IF($B49="","",IF($H49&gt;0,"MOVE "&amp;TEXT($H49,"#,##0.0")&amp;" from "&amp;$C49&amp;" family"&amp;IF($I49&gt;0,", then BUY "&amp;TEXT($I49,"#,##0.0"),""),"BUY / HIRE "&amp;TEXT($I49,"#,##0.0")&amp;" — no spare in "&amp;$C49))</f>
        <v>BUY / HIRE 6.5 — no spare in FLAT-LOCK</v>
      </c>
    </row>
    <row r="50" spans="2:33" hidden="1">
      <c r="B50" s="15" t="str">
        <f ca="1">IFERROR(IF(SMALL($BM$6:$BM$31,6)&gt;=0,"",INDEX($BD$6:$BD$31,MATCH(SMALL($BM$6:$BM$31,6),$BM$6:$BM$31,0))),"")</f>
        <v>3th Overlock (Leg elastic)</v>
      </c>
      <c r="C50" s="15" t="str">
        <f ca="1">IF($B50="","",INDEX($BE$6:$BE$31,MATCH($B50,$BD$6:$BD$31,0)))</f>
        <v>OVER-LOCK</v>
      </c>
      <c r="D50" s="491">
        <f ca="1">IF($B50="","",INDEX($BF$6:$BF$31,MATCH($B50,$BD$6:$BD$31,0)))</f>
        <v>30</v>
      </c>
      <c r="E50" s="491">
        <f ca="1">IF($B50="","",INDEX($BG$6:$BG$31,MATCH($B50,$BD$6:$BD$31,0)))</f>
        <v>31</v>
      </c>
      <c r="F50" s="492">
        <f ca="1">IF($B50="","",$E50-$D50)</f>
        <v>1</v>
      </c>
      <c r="G50" s="491">
        <f ca="1">IF($B50="","",INDEX($BI$6:$BI$31,MATCH($B50,$BD$6:$BD$31,0)))</f>
        <v>11</v>
      </c>
      <c r="H50" s="492">
        <f ca="1">IF($B50="","",INDEX($BK$6:$BK$31,MATCH($B50,$BD$6:$BD$31,0)))</f>
        <v>0</v>
      </c>
      <c r="I50" s="492">
        <f ca="1">IF($B50="","",INDEX($BL$6:$BL$31,MATCH($B50,$BD$6:$BD$31,0)))</f>
        <v>1</v>
      </c>
      <c r="J50" s="15" t="str">
        <f ca="1">IF($B50="","",IF($H50&gt;0,"MOVE "&amp;TEXT($H50,"#,##0.0")&amp;" from "&amp;$C50&amp;" family"&amp;IF($I50&gt;0,", then BUY "&amp;TEXT($I50,"#,##0.0"),""),"BUY / HIRE "&amp;TEXT($I50,"#,##0.0")&amp;" — no spare in "&amp;$C50))</f>
        <v>BUY / HIRE 1.0 — no spare in OVER-LOCK</v>
      </c>
    </row>
    <row r="51" spans="2:33" hidden="1">
      <c r="B51" s="15" t="str">
        <f ca="1">IFERROR(IF(SMALL($BM$6:$BM$31,7)&gt;=0,"",INDEX($BD$6:$BD$31,MATCH(SMALL($BM$6:$BM$31,7),$BM$6:$BM$31,0))),"")</f>
        <v/>
      </c>
      <c r="C51" s="15" t="str">
        <f ca="1">IF($B51="","",INDEX($BE$6:$BE$31,MATCH($B51,$BD$6:$BD$31,0)))</f>
        <v/>
      </c>
      <c r="D51" s="491" t="str">
        <f ca="1">IF($B51="","",INDEX($BF$6:$BF$31,MATCH($B51,$BD$6:$BD$31,0)))</f>
        <v/>
      </c>
      <c r="E51" s="491" t="str">
        <f ca="1">IF($B51="","",INDEX($BG$6:$BG$31,MATCH($B51,$BD$6:$BD$31,0)))</f>
        <v/>
      </c>
      <c r="F51" s="492" t="str">
        <f ca="1">IF($B51="","",$E51-$D51)</f>
        <v/>
      </c>
      <c r="G51" s="491" t="str">
        <f ca="1">IF($B51="","",INDEX($BI$6:$BI$31,MATCH($B51,$BD$6:$BD$31,0)))</f>
        <v/>
      </c>
      <c r="H51" s="492" t="str">
        <f ca="1">IF($B51="","",INDEX($BK$6:$BK$31,MATCH($B51,$BD$6:$BD$31,0)))</f>
        <v/>
      </c>
      <c r="I51" s="492" t="str">
        <f ca="1">IF($B51="","",INDEX($BL$6:$BL$31,MATCH($B51,$BD$6:$BD$31,0)))</f>
        <v/>
      </c>
      <c r="J51" s="15" t="str">
        <f ca="1">IF($B51="","",IF($H51&gt;0,"MOVE "&amp;TEXT($H51,"#,##0.0")&amp;" from "&amp;$C51&amp;" family"&amp;IF($I51&gt;0,", then BUY "&amp;TEXT($I51,"#,##0.0"),""),"BUY / HIRE "&amp;TEXT($I51,"#,##0.0")&amp;" — no spare in "&amp;$C51))</f>
        <v/>
      </c>
    </row>
    <row r="52" spans="2:33" hidden="1">
      <c r="B52" s="15" t="str">
        <f ca="1">IFERROR(IF(SMALL($BM$6:$BM$31,8)&gt;=0,"",INDEX($BD$6:$BD$31,MATCH(SMALL($BM$6:$BM$31,8),$BM$6:$BM$31,0))),"")</f>
        <v/>
      </c>
      <c r="C52" s="15" t="str">
        <f ca="1">IF($B52="","",INDEX($BE$6:$BE$31,MATCH($B52,$BD$6:$BD$31,0)))</f>
        <v/>
      </c>
      <c r="D52" s="491" t="str">
        <f ca="1">IF($B52="","",INDEX($BF$6:$BF$31,MATCH($B52,$BD$6:$BD$31,0)))</f>
        <v/>
      </c>
      <c r="E52" s="491" t="str">
        <f ca="1">IF($B52="","",INDEX($BG$6:$BG$31,MATCH($B52,$BD$6:$BD$31,0)))</f>
        <v/>
      </c>
      <c r="F52" s="492" t="str">
        <f ca="1">IF($B52="","",$E52-$D52)</f>
        <v/>
      </c>
      <c r="G52" s="491" t="str">
        <f ca="1">IF($B52="","",INDEX($BI$6:$BI$31,MATCH($B52,$BD$6:$BD$31,0)))</f>
        <v/>
      </c>
      <c r="H52" s="492" t="str">
        <f ca="1">IF($B52="","",INDEX($BK$6:$BK$31,MATCH($B52,$BD$6:$BD$31,0)))</f>
        <v/>
      </c>
      <c r="I52" s="492" t="str">
        <f ca="1">IF($B52="","",INDEX($BL$6:$BL$31,MATCH($B52,$BD$6:$BD$31,0)))</f>
        <v/>
      </c>
      <c r="J52" s="15" t="str">
        <f ca="1">IF($B52="","",IF($H52&gt;0,"MOVE "&amp;TEXT($H52,"#,##0.0")&amp;" from "&amp;$C52&amp;" family"&amp;IF($I52&gt;0,", then BUY "&amp;TEXT($I52,"#,##0.0"),""),"BUY / HIRE "&amp;TEXT($I52,"#,##0.0")&amp;" — no spare in "&amp;$C52))</f>
        <v/>
      </c>
    </row>
    <row r="53" spans="2:33">
      <c r="B53" s="15" t="str">
        <f ca="1">IFERROR(IF(SMALL($BM$6:$BM$31,9)&gt;=0,"",INDEX($BD$6:$BD$31,MATCH(SMALL($BM$6:$BM$31,9),$BM$6:$BM$31,0))),"")</f>
        <v/>
      </c>
      <c r="C53" s="15" t="str">
        <f ca="1">IF($B53="","",INDEX($BE$6:$BE$31,MATCH($B53,$BD$6:$BD$31,0)))</f>
        <v/>
      </c>
      <c r="D53" s="491" t="str">
        <f ca="1">IF($B53="","",INDEX($BF$6:$BF$31,MATCH($B53,$BD$6:$BD$31,0)))</f>
        <v/>
      </c>
      <c r="E53" s="491" t="str">
        <f ca="1">IF($B53="","",INDEX($BG$6:$BG$31,MATCH($B53,$BD$6:$BD$31,0)))</f>
        <v/>
      </c>
      <c r="F53" s="492" t="str">
        <f ca="1">IF($B53="","",$E53-$D53)</f>
        <v/>
      </c>
      <c r="G53" s="491" t="str">
        <f ca="1">IF($B53="","",INDEX($BI$6:$BI$31,MATCH($B53,$BD$6:$BD$31,0)))</f>
        <v/>
      </c>
      <c r="H53" s="492" t="str">
        <f ca="1">IF($B53="","",INDEX($BK$6:$BK$31,MATCH($B53,$BD$6:$BD$31,0)))</f>
        <v/>
      </c>
      <c r="I53" s="492" t="str">
        <f ca="1">IF($B53="","",INDEX($BL$6:$BL$31,MATCH($B53,$BD$6:$BD$31,0)))</f>
        <v/>
      </c>
      <c r="J53" s="15" t="str">
        <f ca="1">IF($B53="","",IF($H53&gt;0,"MOVE "&amp;TEXT($H53,"#,##0.0")&amp;" from "&amp;$C53&amp;" family"&amp;IF($I53&gt;0,", then BUY "&amp;TEXT($I53,"#,##0.0"),""),"BUY / HIRE "&amp;TEXT($I53,"#,##0.0")&amp;" — no spare in "&amp;$C53))</f>
        <v/>
      </c>
    </row>
    <row r="54" spans="2:33">
      <c r="B54" s="15" t="str">
        <f ca="1">IFERROR(IF(SMALL($BM$6:$BM$31,10)&gt;=0,"",INDEX($BD$6:$BD$31,MATCH(SMALL($BM$6:$BM$31,10),$BM$6:$BM$31,0))),"")</f>
        <v/>
      </c>
      <c r="C54" s="15" t="str">
        <f ca="1">IF($B54="","",INDEX($BE$6:$BE$31,MATCH($B54,$BD$6:$BD$31,0)))</f>
        <v/>
      </c>
      <c r="D54" s="491" t="str">
        <f ca="1">IF($B54="","",INDEX($BF$6:$BF$31,MATCH($B54,$BD$6:$BD$31,0)))</f>
        <v/>
      </c>
      <c r="E54" s="491" t="str">
        <f ca="1">IF($B54="","",INDEX($BG$6:$BG$31,MATCH($B54,$BD$6:$BD$31,0)))</f>
        <v/>
      </c>
      <c r="F54" s="492" t="str">
        <f ca="1">IF($B54="","",$E54-$D54)</f>
        <v/>
      </c>
      <c r="G54" s="491" t="str">
        <f ca="1">IF($B54="","",INDEX($BI$6:$BI$31,MATCH($B54,$BD$6:$BD$31,0)))</f>
        <v/>
      </c>
      <c r="H54" s="492" t="str">
        <f ca="1">IF($B54="","",INDEX($BK$6:$BK$31,MATCH($B54,$BD$6:$BD$31,0)))</f>
        <v/>
      </c>
      <c r="I54" s="492" t="str">
        <f ca="1">IF($B54="","",INDEX($BL$6:$BL$31,MATCH($B54,$BD$6:$BD$31,0)))</f>
        <v/>
      </c>
      <c r="J54" s="15" t="str">
        <f ca="1">IF($B54="","",IF($H54&gt;0,"MOVE "&amp;TEXT($H54,"#,##0.0")&amp;" from "&amp;$C54&amp;" family"&amp;IF($I54&gt;0,", then BUY "&amp;TEXT($I54,"#,##0.0"),""),"BUY / HIRE "&amp;TEXT($I54,"#,##0.0")&amp;" — no spare in "&amp;$C54))</f>
        <v/>
      </c>
    </row>
    <row r="57" spans="2:33" ht="15.75">
      <c r="B57" s="493" t="str">
        <f>"IDLE &amp; SPARE MACHINES — "&amp;UPPER($D$4)</f>
        <v>IDLE &amp; SPARE MACHINES — AUGUST 2026</v>
      </c>
      <c r="C57" s="494"/>
      <c r="D57" s="494"/>
      <c r="E57" s="494"/>
      <c r="F57" s="494"/>
      <c r="G57" s="494"/>
      <c r="H57" s="494"/>
      <c r="I57" s="494"/>
      <c r="J57" s="494"/>
      <c r="K57" s="494"/>
      <c r="L57" s="494"/>
      <c r="M57" s="494"/>
      <c r="N57" s="494"/>
      <c r="O57" s="494"/>
      <c r="P57" s="494"/>
      <c r="Q57" s="494"/>
      <c r="R57" s="494"/>
      <c r="S57" s="494"/>
      <c r="T57" s="494"/>
      <c r="U57" s="494"/>
      <c r="V57" s="494"/>
      <c r="W57" s="494"/>
      <c r="X57" s="494"/>
      <c r="Y57" s="494"/>
      <c r="Z57" s="494"/>
      <c r="AA57" s="494"/>
      <c r="AB57" s="494"/>
      <c r="AC57" s="494"/>
      <c r="AD57" s="494"/>
      <c r="AE57" s="494"/>
      <c r="AF57" s="494"/>
      <c r="AG57" s="494"/>
    </row>
    <row r="58" spans="2:33">
      <c r="B58" s="495" t="s">
        <v>228</v>
      </c>
      <c r="C58" s="495" t="s">
        <v>423</v>
      </c>
      <c r="D58" s="495" t="s">
        <v>429</v>
      </c>
      <c r="E58" s="495" t="s">
        <v>438</v>
      </c>
      <c r="F58" s="495" t="s">
        <v>432</v>
      </c>
      <c r="G58" s="495"/>
      <c r="H58" s="495" t="s">
        <v>214</v>
      </c>
      <c r="I58" s="495"/>
      <c r="J58" s="495" t="s">
        <v>433</v>
      </c>
      <c r="K58" s="286"/>
      <c r="L58" s="286"/>
      <c r="M58" s="286"/>
      <c r="N58" s="286"/>
      <c r="O58" s="286"/>
      <c r="P58" s="286"/>
      <c r="Q58" s="286"/>
      <c r="R58" s="286"/>
      <c r="S58" s="286"/>
      <c r="T58" s="286"/>
      <c r="U58" s="286"/>
      <c r="V58" s="286"/>
      <c r="W58" s="286"/>
      <c r="X58" s="286"/>
      <c r="Y58" s="286"/>
      <c r="Z58" s="286"/>
      <c r="AA58" s="286"/>
      <c r="AB58" s="286"/>
      <c r="AC58" s="286"/>
      <c r="AD58" s="286"/>
      <c r="AE58" s="286"/>
      <c r="AF58" s="286"/>
      <c r="AG58" s="286"/>
    </row>
    <row r="59" spans="2:33">
      <c r="B59" s="496" t="str">
        <f ca="1">IFERROR(IF(LARGE($BO$6:$BO$31,1)&lt;=0,"",INDEX($BD$6:$BD$31,MATCH(LARGE($BO$6:$BO$31,1),$BO$6:$BO$31,0))),"")</f>
        <v>SNLS</v>
      </c>
      <c r="C59" s="496" t="str">
        <f ca="1">IF($B59="","",INDEX($BE$6:$BE$31,MATCH($B59,$BD$6:$BD$31,0)))</f>
        <v>LOCK-STITCH</v>
      </c>
      <c r="D59" s="497">
        <f ca="1">IF($B59="","",INDEX($BF$6:$BF$31,MATCH($B59,$BD$6:$BD$31,0)))</f>
        <v>185</v>
      </c>
      <c r="E59" s="497">
        <f ca="1">IF($B59="","",INDEX($BG$6:$BG$31,MATCH($B59,$BD$6:$BD$31,0)))</f>
        <v>152</v>
      </c>
      <c r="F59" s="498">
        <f ca="1">IF($B59="","",$D59-$E59)</f>
        <v>33</v>
      </c>
      <c r="G59" s="496"/>
      <c r="H59" s="496" t="str">
        <f ca="1">IF($B59="","",IF($E59=0,"NEVER USED","PART USED"))</f>
        <v>PART USED</v>
      </c>
      <c r="I59" s="496"/>
      <c r="J59" s="496" cm="1" t="str">
        <f t="array" aca="1" ref="J59" ca="1">IF($B59="","",IF(SUMPRODUCT(($BE$6:$BE$31=$C59)*($BH$6:$BH$31&lt;0))&gt;0,"YES — "&amp;$C59&amp;" family has a shortage","no — nothing short in "&amp;$C59))</f>
        <v>no — nothing short in LOCK-STITCH</v>
      </c>
    </row>
    <row r="60" spans="2:33">
      <c r="B60" s="496" t="str">
        <f ca="1">IFERROR(IF(LARGE($BO$6:$BO$31,2)&lt;=0,"",INDEX($BD$6:$BD$31,MATCH(LARGE($BO$6:$BO$31,2),$BO$6:$BO$31,0))),"")</f>
        <v>3N5T-F/L -BINDING</v>
      </c>
      <c r="C60" s="496" t="str">
        <f ca="1">IF($B60="","",INDEX($BE$6:$BE$31,MATCH($B60,$BD$6:$BD$31,0)))</f>
        <v>BINDING</v>
      </c>
      <c r="D60" s="497">
        <f ca="1">IF($B60="","",INDEX($BF$6:$BF$31,MATCH($B60,$BD$6:$BD$31,0)))</f>
        <v>58</v>
      </c>
      <c r="E60" s="497">
        <f ca="1">IF($B60="","",INDEX($BG$6:$BG$31,MATCH($B60,$BD$6:$BD$31,0)))</f>
        <v>42</v>
      </c>
      <c r="F60" s="498">
        <f ca="1">IF($B60="","",$D60-$E60)</f>
        <v>16</v>
      </c>
      <c r="G60" s="496"/>
      <c r="H60" s="496" t="str">
        <f ca="1">IF($B60="","",IF($E60=0,"NEVER USED","PART USED"))</f>
        <v>PART USED</v>
      </c>
      <c r="I60" s="496"/>
      <c r="J60" s="496" cm="1" t="str">
        <f t="array" aca="1" ref="J60" ca="1">IF($B60="","",IF(SUMPRODUCT(($BE$6:$BE$31=$C60)*($BH$6:$BH$31&lt;0))&gt;0,"YES — "&amp;$C60&amp;" family has a shortage","no — nothing short in "&amp;$C60))</f>
        <v>no — nothing short in BINDING</v>
      </c>
    </row>
    <row r="61" spans="2:33">
      <c r="B61" s="496" t="str">
        <f ca="1">IFERROR(IF(LARGE($BO$6:$BO$31,3)&lt;=0,"",INDEX($BD$6:$BD$31,MATCH(LARGE($BO$6:$BO$31,3),$BO$6:$BO$31,0))),"")</f>
        <v>FlatSeamer FS</v>
      </c>
      <c r="C61" s="496" t="str">
        <f ca="1">IF($B61="","",INDEX($BE$6:$BE$31,MATCH($B61,$BD$6:$BD$31,0)))</f>
        <v>FS</v>
      </c>
      <c r="D61" s="497">
        <f ca="1">IF($B61="","",INDEX($BF$6:$BF$31,MATCH($B61,$BD$6:$BD$31,0)))</f>
        <v>8</v>
      </c>
      <c r="E61" s="497">
        <f ca="1">IF($B61="","",INDEX($BG$6:$BG$31,MATCH($B61,$BD$6:$BD$31,0)))</f>
        <v>0</v>
      </c>
      <c r="F61" s="498">
        <f ca="1">IF($B61="","",$D61-$E61)</f>
        <v>8</v>
      </c>
      <c r="G61" s="496"/>
      <c r="H61" s="496" t="str">
        <f ca="1">IF($B61="","",IF($E61=0,"NEVER USED","PART USED"))</f>
        <v>NEVER USED</v>
      </c>
      <c r="I61" s="496"/>
      <c r="J61" s="496" cm="1" t="str">
        <f t="array" aca="1" ref="J61" ca="1">IF($B61="","",IF(SUMPRODUCT(($BE$6:$BE$31=$C61)*($BH$6:$BH$31&lt;0))&gt;0,"YES — "&amp;$C61&amp;" family has a shortage","no — nothing short in "&amp;$C61))</f>
        <v>no — nothing short in FS</v>
      </c>
    </row>
    <row r="62" spans="2:33">
      <c r="B62" s="496" t="str">
        <f ca="1">IFERROR(IF(LARGE($BO$6:$BO$31,4)&lt;=0,"",INDEX($BD$6:$BD$31,MATCH(LARGE($BO$6:$BO$31,4),$BO$6:$BO$31,0))),"")</f>
        <v>Flatlock (Ring Elastic Attach)</v>
      </c>
      <c r="C62" s="496" t="str">
        <f ca="1">IF($B62="","",INDEX($BE$6:$BE$31,MATCH($B62,$BD$6:$BD$31,0)))</f>
        <v>OUTER ELASTIC</v>
      </c>
      <c r="D62" s="497">
        <f ca="1">IF($B62="","",INDEX($BF$6:$BF$31,MATCH($B62,$BD$6:$BD$31,0)))</f>
        <v>42</v>
      </c>
      <c r="E62" s="497">
        <f ca="1">IF($B62="","",INDEX($BG$6:$BG$31,MATCH($B62,$BD$6:$BD$31,0)))</f>
        <v>34.5</v>
      </c>
      <c r="F62" s="498">
        <f ca="1">IF($B62="","",$D62-$E62)</f>
        <v>7.5</v>
      </c>
      <c r="G62" s="496"/>
      <c r="H62" s="496" t="str">
        <f ca="1">IF($B62="","",IF($E62=0,"NEVER USED","PART USED"))</f>
        <v>PART USED</v>
      </c>
      <c r="I62" s="496"/>
      <c r="J62" s="496" cm="1" t="str">
        <f t="array" aca="1" ref="J62" ca="1">IF($B62="","",IF(SUMPRODUCT(($BE$6:$BE$31=$C62)*($BH$6:$BH$31&lt;0))&gt;0,"YES — "&amp;$C62&amp;" family has a shortage","no — nothing short in "&amp;$C62))</f>
        <v>no — nothing short in OUTER ELASTIC</v>
      </c>
    </row>
    <row r="63" spans="2:33">
      <c r="B63" s="496" t="str">
        <f ca="1">IFERROR(IF(LARGE($BO$6:$BO$31,5)&lt;=0,"",INDEX($BD$6:$BD$31,MATCH(LARGE($BO$6:$BO$31,5),$BO$6:$BO$31,0))),"")</f>
        <v>DNLS</v>
      </c>
      <c r="C63" s="496" t="str">
        <f ca="1">IF($B63="","",INDEX($BE$6:$BE$31,MATCH($B63,$BD$6:$BD$31,0)))</f>
        <v>LOCK-STITCH</v>
      </c>
      <c r="D63" s="497">
        <f ca="1">IF($B63="","",INDEX($BF$6:$BF$31,MATCH($B63,$BD$6:$BD$31,0)))</f>
        <v>8</v>
      </c>
      <c r="E63" s="497">
        <f ca="1">IF($B63="","",INDEX($BG$6:$BG$31,MATCH($B63,$BD$6:$BD$31,0)))</f>
        <v>1</v>
      </c>
      <c r="F63" s="498">
        <f ca="1">IF($B63="","",$D63-$E63)</f>
        <v>7</v>
      </c>
      <c r="G63" s="496"/>
      <c r="H63" s="496" t="str">
        <f ca="1">IF($B63="","",IF($E63=0,"NEVER USED","PART USED"))</f>
        <v>PART USED</v>
      </c>
      <c r="I63" s="496"/>
      <c r="J63" s="496" cm="1" t="str">
        <f t="array" aca="1" ref="J63" ca="1">IF($B63="","",IF(SUMPRODUCT(($BE$6:$BE$31=$C63)*($BH$6:$BH$31&lt;0))&gt;0,"YES — "&amp;$C63&amp;" family has a shortage","no — nothing short in "&amp;$C63))</f>
        <v>no — nothing short in LOCK-STITCH</v>
      </c>
    </row>
    <row r="64" spans="2:33">
      <c r="B64" s="496" t="str">
        <f ca="1">IFERROR(IF(LARGE($BO$6:$BO$31,6)&lt;=0,"",INDEX($BD$6:$BD$31,MATCH(LARGE($BO$6:$BO$31,6),$BO$6:$BO$31,0))),"")</f>
        <v>Flatlock Hem</v>
      </c>
      <c r="C64" s="496" t="str">
        <f ca="1">IF($B64="","",INDEX($BE$6:$BE$31,MATCH($B64,$BD$6:$BD$31,0)))</f>
        <v>FLAT-LOCK</v>
      </c>
      <c r="D64" s="497">
        <f ca="1">IF($B64="","",INDEX($BF$6:$BF$31,MATCH($B64,$BD$6:$BD$31,0)))</f>
        <v>34</v>
      </c>
      <c r="E64" s="497">
        <f ca="1">IF($B64="","",INDEX($BG$6:$BG$31,MATCH($B64,$BD$6:$BD$31,0)))</f>
        <v>27.5</v>
      </c>
      <c r="F64" s="498">
        <f ca="1">IF($B64="","",$D64-$E64)</f>
        <v>6.5</v>
      </c>
      <c r="G64" s="496"/>
      <c r="H64" s="496" t="str">
        <f ca="1">IF($B64="","",IF($E64=0,"NEVER USED","PART USED"))</f>
        <v>PART USED</v>
      </c>
      <c r="I64" s="496"/>
      <c r="J64" s="496" cm="1" t="str">
        <f t="array" aca="1" ref="J64" ca="1">IF($B64="","",IF(SUMPRODUCT(($BE$6:$BE$31=$C64)*($BH$6:$BH$31&lt;0))&gt;0,"YES — "&amp;$C64&amp;" family has a shortage","no — nothing short in "&amp;$C64))</f>
        <v>YES — FLAT-LOCK family has a shortage</v>
      </c>
    </row>
    <row r="65" spans="2:10">
      <c r="B65" s="496" t="str">
        <f ca="1">IFERROR(IF(LARGE($BO$6:$BO$31,7)&lt;=0,"",INDEX($BD$6:$BD$31,MATCH(LARGE($BO$6:$BO$31,7),$BO$6:$BO$31,0))),"")</f>
        <v>Flatlock (VT)</v>
      </c>
      <c r="C65" s="496" t="str">
        <f ca="1">IF($B65="","",INDEX($BE$6:$BE$31,MATCH($B65,$BD$6:$BD$31,0)))</f>
        <v>FLAT-LOCK</v>
      </c>
      <c r="D65" s="497">
        <f ca="1">IF($B65="","",INDEX($BF$6:$BF$31,MATCH($B65,$BD$6:$BD$31,0)))</f>
        <v>21</v>
      </c>
      <c r="E65" s="497">
        <f ca="1">IF($B65="","",INDEX($BG$6:$BG$31,MATCH($B65,$BD$6:$BD$31,0)))</f>
        <v>15</v>
      </c>
      <c r="F65" s="498">
        <f ca="1">IF($B65="","",$D65-$E65)</f>
        <v>6</v>
      </c>
      <c r="G65" s="496"/>
      <c r="H65" s="496" t="str">
        <f ca="1">IF($B65="","",IF($E65=0,"NEVER USED","PART USED"))</f>
        <v>PART USED</v>
      </c>
      <c r="I65" s="496"/>
      <c r="J65" s="496" cm="1" t="str">
        <f t="array" aca="1" ref="J65" ca="1">IF($B65="","",IF(SUMPRODUCT(($BE$6:$BE$31=$C65)*($BH$6:$BH$31&lt;0))&gt;0,"YES — "&amp;$C65&amp;" family has a shortage","no — nothing short in "&amp;$C65))</f>
        <v>YES — FLAT-LOCK family has a shortage</v>
      </c>
    </row>
    <row r="66" spans="2:10">
      <c r="B66" s="496" t="str">
        <f ca="1">IFERROR(IF(LARGE($BO$6:$BO$31,8)&lt;=0,"",INDEX($BD$6:$BD$31,MATCH(LARGE($BO$6:$BO$31,8),$BO$6:$BO$31,0))),"")</f>
        <v>Bartack Pattern tacker</v>
      </c>
      <c r="C66" s="496" t="str">
        <f ca="1">IF($B66="","",INDEX($BE$6:$BE$31,MATCH($B66,$BD$6:$BD$31,0)))</f>
        <v>PATTERN-TACKER</v>
      </c>
      <c r="D66" s="497">
        <f ca="1">IF($B66="","",INDEX($BF$6:$BF$31,MATCH($B66,$BD$6:$BD$31,0)))</f>
        <v>35</v>
      </c>
      <c r="E66" s="497">
        <f ca="1">IF($B66="","",INDEX($BG$6:$BG$31,MATCH($B66,$BD$6:$BD$31,0)))</f>
        <v>29</v>
      </c>
      <c r="F66" s="498">
        <f ca="1">IF($B66="","",$D66-$E66)</f>
        <v>6</v>
      </c>
      <c r="G66" s="496"/>
      <c r="H66" s="496" t="str">
        <f ca="1">IF($B66="","",IF($E66=0,"NEVER USED","PART USED"))</f>
        <v>PART USED</v>
      </c>
      <c r="I66" s="496"/>
      <c r="J66" s="496" cm="1" t="str">
        <f t="array" aca="1" ref="J66" ca="1">IF($B66="","",IF(SUMPRODUCT(($BE$6:$BE$31=$C66)*($BH$6:$BH$31&lt;0))&gt;0,"YES — "&amp;$C66&amp;" family has a shortage","no — nothing short in "&amp;$C66))</f>
        <v>no — nothing short in PATTERN-TACKER</v>
      </c>
    </row>
    <row r="67" spans="2:10">
      <c r="B67" s="496" t="str">
        <f ca="1">IFERROR(IF(LARGE($BO$6:$BO$31,9)&lt;=0,"",INDEX($BD$6:$BD$31,MATCH(LARGE($BO$6:$BO$31,9),$BO$6:$BO$31,0))),"")</f>
        <v>Bartack</v>
      </c>
      <c r="C67" s="496" t="str">
        <f ca="1">IF($B67="","",INDEX($BE$6:$BE$31,MATCH($B67,$BD$6:$BD$31,0)))</f>
        <v>BTK</v>
      </c>
      <c r="D67" s="497">
        <f ca="1">IF($B67="","",INDEX($BF$6:$BF$31,MATCH($B67,$BD$6:$BD$31,0)))</f>
        <v>13</v>
      </c>
      <c r="E67" s="497">
        <f ca="1">IF($B67="","",INDEX($BG$6:$BG$31,MATCH($B67,$BD$6:$BD$31,0)))</f>
        <v>7.5</v>
      </c>
      <c r="F67" s="498">
        <f ca="1">IF($B67="","",$D67-$E67)</f>
        <v>5.5</v>
      </c>
      <c r="G67" s="496"/>
      <c r="H67" s="496" t="str">
        <f ca="1">IF($B67="","",IF($E67=0,"NEVER USED","PART USED"))</f>
        <v>PART USED</v>
      </c>
      <c r="I67" s="496"/>
      <c r="J67" s="496" cm="1" t="str">
        <f t="array" aca="1" ref="J67" ca="1">IF($B67="","",IF(SUMPRODUCT(($BE$6:$BE$31=$C67)*($BH$6:$BH$31&lt;0))&gt;0,"YES — "&amp;$C67&amp;" family has a shortage","no — nothing short in "&amp;$C67))</f>
        <v>no — nothing short in BTK</v>
      </c>
    </row>
    <row r="68" spans="2:10">
      <c r="B68" s="496" t="str">
        <f ca="1">IFERROR(IF(LARGE($BO$6:$BO$31,10)&lt;=0,"",INDEX($BD$6:$BD$31,MATCH(LARGE($BO$6:$BO$31,10),$BO$6:$BO$31,0))),"")</f>
        <v>5th Overlock</v>
      </c>
      <c r="C68" s="496" t="str">
        <f ca="1">IF($B68="","",INDEX($BE$6:$BE$31,MATCH($B68,$BD$6:$BD$31,0)))</f>
        <v>OVER-LOCK</v>
      </c>
      <c r="D68" s="497">
        <f ca="1">IF($B68="","",INDEX($BF$6:$BF$31,MATCH($B68,$BD$6:$BD$31,0)))</f>
        <v>5</v>
      </c>
      <c r="E68" s="497">
        <f ca="1">IF($B68="","",INDEX($BG$6:$BG$31,MATCH($B68,$BD$6:$BD$31,0)))</f>
        <v>0</v>
      </c>
      <c r="F68" s="498">
        <f ca="1">IF($B68="","",$D68-$E68)</f>
        <v>5</v>
      </c>
      <c r="G68" s="496"/>
      <c r="H68" s="496" t="str">
        <f ca="1">IF($B68="","",IF($E68=0,"NEVER USED","PART USED"))</f>
        <v>NEVER USED</v>
      </c>
      <c r="I68" s="496"/>
      <c r="J68" s="496" cm="1" t="str">
        <f t="array" aca="1" ref="J68" ca="1">IF($B68="","",IF(SUMPRODUCT(($BE$6:$BE$31=$C68)*($BH$6:$BH$31&lt;0))&gt;0,"YES — "&amp;$C68&amp;" family has a shortage","no — nothing short in "&amp;$C68))</f>
        <v>YES — OVER-LOCK family has a shortage</v>
      </c>
    </row>
    <row r="69" spans="2:10">
      <c r="B69" s="496" t="str">
        <f ca="1">IFERROR(IF(LARGE($BO$6:$BO$31,11)&lt;=0,"",INDEX($BD$6:$BD$31,MATCH(LARGE($BO$6:$BO$31,11),$BO$6:$BO$31,0))),"")</f>
        <v>Kansai</v>
      </c>
      <c r="C69" s="496" t="str">
        <f ca="1">IF($B69="","",INDEX($BE$6:$BE$31,MATCH($B69,$BD$6:$BD$31,0)))</f>
        <v>MULTI-NEEDLE</v>
      </c>
      <c r="D69" s="497">
        <f ca="1">IF($B69="","",INDEX($BF$6:$BF$31,MATCH($B69,$BD$6:$BD$31,0)))</f>
        <v>8</v>
      </c>
      <c r="E69" s="497">
        <f ca="1">IF($B69="","",INDEX($BG$6:$BG$31,MATCH($B69,$BD$6:$BD$31,0)))</f>
        <v>3</v>
      </c>
      <c r="F69" s="498">
        <f ca="1">IF($B69="","",$D69-$E69)</f>
        <v>5</v>
      </c>
      <c r="G69" s="496"/>
      <c r="H69" s="496" t="str">
        <f ca="1">IF($B69="","",IF($E69=0,"NEVER USED","PART USED"))</f>
        <v>PART USED</v>
      </c>
      <c r="I69" s="496"/>
      <c r="J69" s="496" cm="1" t="str">
        <f t="array" aca="1" ref="J69" ca="1">IF($B69="","",IF(SUMPRODUCT(($BE$6:$BE$31=$C69)*($BH$6:$BH$31&lt;0))&gt;0,"YES — "&amp;$C69&amp;" family has a shortage","no — nothing short in "&amp;$C69))</f>
        <v>no — nothing short in MULTI-NEEDLE</v>
      </c>
    </row>
    <row r="70" spans="2:10">
      <c r="B70" s="496" t="str">
        <f ca="1">IFERROR(IF(LARGE($BO$6:$BO$31,12)&lt;=0,"",INDEX($BD$6:$BD$31,MATCH(LARGE($BO$6:$BO$31,12),$BO$6:$BO$31,0))),"")</f>
        <v>Zig - Zag</v>
      </c>
      <c r="C70" s="496" t="str">
        <f ca="1">IF($B70="","",INDEX($BE$6:$BE$31,MATCH($B70,$BD$6:$BD$31,0)))</f>
        <v>LOCK-STITCH</v>
      </c>
      <c r="D70" s="497">
        <f ca="1">IF($B70="","",INDEX($BF$6:$BF$31,MATCH($B70,$BD$6:$BD$31,0)))</f>
        <v>8</v>
      </c>
      <c r="E70" s="497">
        <f ca="1">IF($B70="","",INDEX($BG$6:$BG$31,MATCH($B70,$BD$6:$BD$31,0)))</f>
        <v>4</v>
      </c>
      <c r="F70" s="498">
        <f ca="1">IF($B70="","",$D70-$E70)</f>
        <v>4</v>
      </c>
      <c r="G70" s="496"/>
      <c r="H70" s="496" t="str">
        <f ca="1">IF($B70="","",IF($E70=0,"NEVER USED","PART USED"))</f>
        <v>PART USED</v>
      </c>
      <c r="I70" s="496"/>
      <c r="J70" s="496" cm="1" t="str">
        <f t="array" aca="1" ref="J70" ca="1">IF($B70="","",IF(SUMPRODUCT(($BE$6:$BE$31=$C70)*($BH$6:$BH$31&lt;0))&gt;0,"YES — "&amp;$C70&amp;" family has a shortage","no — nothing short in "&amp;$C70))</f>
        <v>no — nothing short in LOCK-STITCH</v>
      </c>
    </row>
    <row r="71" spans="2:10">
      <c r="B71" s="496" t="str">
        <f ca="1">IFERROR(IF(LARGE($BO$6:$BO$31,13)&lt;=0,"",INDEX($BD$6:$BD$31,MATCH(LARGE($BO$6:$BO$31,13),$BO$6:$BO$31,0))),"")</f>
        <v>Heat Seal</v>
      </c>
      <c r="C71" s="496" t="str">
        <f ca="1">IF($B71="","",INDEX($BE$6:$BE$31,MATCH($B71,$BD$6:$BD$31,0)))</f>
        <v>HT</v>
      </c>
      <c r="D71" s="497">
        <f ca="1">IF($B71="","",INDEX($BF$6:$BF$31,MATCH($B71,$BD$6:$BD$31,0)))</f>
        <v>35</v>
      </c>
      <c r="E71" s="497">
        <f ca="1">IF($B71="","",INDEX($BG$6:$BG$31,MATCH($B71,$BD$6:$BD$31,0)))</f>
        <v>32.5</v>
      </c>
      <c r="F71" s="498">
        <f ca="1">IF($B71="","",$D71-$E71)</f>
        <v>2.5</v>
      </c>
      <c r="G71" s="496"/>
      <c r="H71" s="496" t="str">
        <f ca="1">IF($B71="","",IF($E71=0,"NEVER USED","PART USED"))</f>
        <v>PART USED</v>
      </c>
      <c r="I71" s="496"/>
      <c r="J71" s="496" cm="1" t="str">
        <f t="array" aca="1" ref="J71" ca="1">IF($B71="","",IF(SUMPRODUCT(($BE$6:$BE$31=$C71)*($BH$6:$BH$31&lt;0))&gt;0,"YES — "&amp;$C71&amp;" family has a shortage","no — nothing short in "&amp;$C71))</f>
        <v>no — nothing short in HT</v>
      </c>
    </row>
    <row r="72" spans="2:10">
      <c r="B72" s="496" t="str">
        <f ca="1">IFERROR(IF(LARGE($BO$6:$BO$31,14)&lt;=0,"",INDEX($BD$6:$BD$31,MATCH(LARGE($BO$6:$BO$31,14),$BO$6:$BO$31,0))),"")</f>
        <v>SNLS - Edge cutter</v>
      </c>
      <c r="C72" s="496" t="str">
        <f ca="1">IF($B72="","",INDEX($BE$6:$BE$31,MATCH($B72,$BD$6:$BD$31,0)))</f>
        <v>LOCK-STITCH</v>
      </c>
      <c r="D72" s="497">
        <f ca="1">IF($B72="","",INDEX($BF$6:$BF$31,MATCH($B72,$BD$6:$BD$31,0)))</f>
        <v>2</v>
      </c>
      <c r="E72" s="497">
        <f ca="1">IF($B72="","",INDEX($BG$6:$BG$31,MATCH($B72,$BD$6:$BD$31,0)))</f>
        <v>0</v>
      </c>
      <c r="F72" s="498">
        <f ca="1">IF($B72="","",$D72-$E72)</f>
        <v>2</v>
      </c>
      <c r="G72" s="496"/>
      <c r="H72" s="496" t="str">
        <f ca="1">IF($B72="","",IF($E72=0,"NEVER USED","PART USED"))</f>
        <v>NEVER USED</v>
      </c>
      <c r="I72" s="496"/>
      <c r="J72" s="496" cm="1" t="str">
        <f t="array" aca="1" ref="J72" ca="1">IF($B72="","",IF(SUMPRODUCT(($BE$6:$BE$31=$C72)*($BH$6:$BH$31&lt;0))&gt;0,"YES — "&amp;$C72&amp;" family has a shortage","no — nothing short in "&amp;$C72))</f>
        <v>no — nothing short in LOCK-STITCH</v>
      </c>
    </row>
    <row r="73" spans="2:10">
      <c r="B73" s="496" t="str">
        <f ca="1">IFERROR(IF(LARGE($BO$6:$BO$31,15)&lt;=0,"",INDEX($BD$6:$BD$31,MATCH(LARGE($BO$6:$BO$31,15),$BO$6:$BO$31,0))),"")</f>
        <v>Chain stitch</v>
      </c>
      <c r="C73" s="496" t="str">
        <f ca="1">IF($B73="","",INDEX($BE$6:$BE$31,MATCH($B73,$BD$6:$BD$31,0)))</f>
        <v>CS-DNLS</v>
      </c>
      <c r="D73" s="497">
        <f ca="1">IF($B73="","",INDEX($BF$6:$BF$31,MATCH($B73,$BD$6:$BD$31,0)))</f>
        <v>2</v>
      </c>
      <c r="E73" s="497">
        <f ca="1">IF($B73="","",INDEX($BG$6:$BG$31,MATCH($B73,$BD$6:$BD$31,0)))</f>
        <v>0</v>
      </c>
      <c r="F73" s="498">
        <f ca="1">IF($B73="","",$D73-$E73)</f>
        <v>2</v>
      </c>
      <c r="G73" s="496"/>
      <c r="H73" s="496" t="str">
        <f ca="1">IF($B73="","",IF($E73=0,"NEVER USED","PART USED"))</f>
        <v>NEVER USED</v>
      </c>
      <c r="I73" s="496"/>
      <c r="J73" s="496" cm="1" t="str">
        <f t="array" aca="1" ref="J73" ca="1">IF($B73="","",IF(SUMPRODUCT(($BE$6:$BE$31=$C73)*($BH$6:$BH$31&lt;0))&gt;0,"YES — "&amp;$C73&amp;" family has a shortage","no — nothing short in "&amp;$C73))</f>
        <v>no — nothing short in CS-DNLS</v>
      </c>
    </row>
    <row r="74" spans="2:10">
      <c r="B74" s="496" t="str">
        <f ca="1">IFERROR(IF(LARGE($BO$6:$BO$31,16)&lt;=0,"",INDEX($BD$6:$BD$31,MATCH(LARGE($BO$6:$BO$31,16),$BO$6:$BO$31,0))),"")</f>
        <v>Bartack Pattern tacker (LABEL ATTACH )</v>
      </c>
      <c r="C74" s="496" t="str">
        <f ca="1">IF($B74="","",INDEX($BE$6:$BE$31,MATCH($B74,$BD$6:$BD$31,0)))</f>
        <v>PATTERN-TACKER</v>
      </c>
      <c r="D74" s="497">
        <f ca="1">IF($B74="","",INDEX($BF$6:$BF$31,MATCH($B74,$BD$6:$BD$31,0)))</f>
        <v>2</v>
      </c>
      <c r="E74" s="497">
        <f ca="1">IF($B74="","",INDEX($BG$6:$BG$31,MATCH($B74,$BD$6:$BD$31,0)))</f>
        <v>0</v>
      </c>
      <c r="F74" s="498">
        <f ca="1">IF($B74="","",$D74-$E74)</f>
        <v>2</v>
      </c>
      <c r="G74" s="496"/>
      <c r="H74" s="496" t="str">
        <f ca="1">IF($B74="","",IF($E74=0,"NEVER USED","PART USED"))</f>
        <v>NEVER USED</v>
      </c>
      <c r="I74" s="496"/>
      <c r="J74" s="496" cm="1" t="str">
        <f t="array" aca="1" ref="J74" ca="1">IF($B74="","",IF(SUMPRODUCT(($BE$6:$BE$31=$C74)*($BH$6:$BH$31&lt;0))&gt;0,"YES — "&amp;$C74&amp;" family has a shortage","no — nothing short in "&amp;$C74))</f>
        <v>no — nothing short in PATTERN-TACKER</v>
      </c>
    </row>
    <row r="75" spans="2:10">
      <c r="B75" s="499" t="str">
        <f ca="1">IFERROR(IF(LARGE($BO$6:$BO$31,17)&lt;=0,"",INDEX($BD$6:$BD$31,MATCH(LARGE($BO$6:$BO$31,17),$BO$6:$BO$31,0))),"")</f>
        <v>F/L (Coverseam / Waist COVER SEAM</v>
      </c>
      <c r="C75" s="499" t="str">
        <f ca="1">IF($B75="","",INDEX($BE$6:$BE$31,MATCH($B75,$BD$6:$BD$31,0)))</f>
        <v>FLAT-LOCK</v>
      </c>
      <c r="D75" s="500">
        <f ca="1">IF($B75="","",INDEX($BF$6:$BF$31,MATCH($B75,$BD$6:$BD$31,0)))</f>
        <v>13</v>
      </c>
      <c r="E75" s="500">
        <f ca="1">IF($B75="","",INDEX($BG$6:$BG$31,MATCH($B75,$BD$6:$BD$31,0)))</f>
        <v>12</v>
      </c>
      <c r="F75" s="501">
        <f ca="1">IF($B75="","",$D75-$E75)</f>
        <v>1</v>
      </c>
      <c r="G75" s="499"/>
      <c r="H75" s="499" t="str">
        <f ca="1">IF($B75="","",IF($E75=0,"NEVER USED","PART USED"))</f>
        <v>PART USED</v>
      </c>
      <c r="I75" s="499"/>
      <c r="J75" s="499" cm="1" t="str">
        <f t="array" aca="1" ref="J75" ca="1">IF($B75="","",IF(SUMPRODUCT(($BE$6:$BE$31=$C75)*($BH$6:$BH$31&lt;0))&gt;0,"YES — "&amp;$C75&amp;" family has a shortage","no — nothing short in "&amp;$C75))</f>
        <v>YES — FLAT-LOCK family has a shortage</v>
      </c>
    </row>
  </sheetData>
  <sheetProtection sheet="1" objects="1" scenarios="1" formatCells="0" formatColumns="0" formatRows="0"/>
  <mergeCells count="14">
    <mergeCell ref="S6:U6"/>
    <mergeCell ref="S7:U7"/>
    <mergeCell ref="B6:C6"/>
    <mergeCell ref="B7:C7"/>
    <mergeCell ref="D6:F6"/>
    <mergeCell ref="D7:F7"/>
    <mergeCell ref="G6:I6"/>
    <mergeCell ref="G7:I7"/>
    <mergeCell ref="J6:L6"/>
    <mergeCell ref="J7:L7"/>
    <mergeCell ref="M6:O6"/>
    <mergeCell ref="M7:O7"/>
    <mergeCell ref="P6:R6"/>
    <mergeCell ref="P7:R7"/>
  </mergeCells>
  <conditionalFormatting sqref="E12:AI37">
    <cfRule type="cellIs" dxfId="95" priority="11" operator="lessThan">
      <formula>0</formula>
    </cfRule>
    <cfRule type="expression" dxfId="94" priority="12">
      <formula>E$40&lt;&gt;"Y"</formula>
    </cfRule>
  </conditionalFormatting>
  <conditionalFormatting sqref="E39:AI39">
    <cfRule type="cellIs" dxfId="93" priority="13" operator="greaterThan">
      <formula>0</formula>
    </cfRule>
  </conditionalFormatting>
  <conditionalFormatting sqref="J45:J54">
    <cfRule type="containsText" dxfId="92" priority="4" operator="containsText" text="MOVE">
      <formula>NOT(ISERROR(SEARCH("MOVE",J45)))</formula>
    </cfRule>
    <cfRule type="containsText" dxfId="91" priority="5" operator="containsText" text="BUY / HIRE">
      <formula>NOT(ISERROR(SEARCH("BUY / HIRE",J45)))</formula>
    </cfRule>
  </conditionalFormatting>
  <conditionalFormatting sqref="J59:J75">
    <cfRule type="containsText" dxfId="90" priority="10" operator="containsText" text="YES">
      <formula>NOT(ISERROR(SEARCH("YES",J59)))</formula>
    </cfRule>
  </conditionalFormatting>
  <pageMargins left="0.25" right="0.25" top="0.75" bottom="0.75" header="0.3" footer="0.3"/>
  <pageSetup scale="60" fitToHeight="0" orientation="landscape" horizontalDpi="300" verticalDpi="300"/>
  <rowBreaks count="1" manualBreakCount="1">
    <brk id="53" max="66" man="1"/>
  </rowBreaks>
  <colBreaks count="1" manualBreakCount="1">
    <brk id="34" max="1048575" man="1"/>
  </colBreaks>
  <extLst>
    <ext xmlns:x14="http://schemas.microsoft.com/office/spreadsheetml/2009/9/main" uri="{78C0D931-6437-407d-A8EE-F0AAD7539E65}">
      <x14:conditionalFormattings>
        <x14:conditionalFormatting xmlns:xm="http://schemas.microsoft.com/office/excel/2006/main">
          <x14:cfRule type="expression" priority="14" id="{D9492428-9BCE-4D9E-A482-52C5201336B0}">
            <xm:f>MOD(MATCH($B12,'MC MASTER'!$A$3:$A$28,0),2)=0</xm:f>
            <x14:dxf>
              <fill>
                <patternFill patternType="solid">
                  <fgColor indexed="64"/>
                  <bgColor rgb="FFF2F2F2"/>
                </patternFill>
              </fill>
            </x14:dxf>
          </x14:cfRule>
          <xm:sqref>B12:D37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2BDBE3E-3EB6-4F82-9360-C540AE4A958F}">
          <x14:formula1>
            <xm:f>'DEMAND BY DATE'!$BE$27:$BE$30</xm:f>
          </x14:formula1>
          <xm:sqref>D4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AF048-A7EE-420E-AB63-1881E59EB9DA}">
  <sheetPr>
    <tabColor rgb="FF1F3864"/>
  </sheetPr>
  <dimension ref="B2:M111"/>
  <sheetViews>
    <sheetView showGridLines="0" zoomScale="118" workbookViewId="0">
      <pane ySplit="7" topLeftCell="A8" activePane="bottomLeft" state="frozen"/>
      <selection pane="bottomLeft" activeCell="H20" sqref="H20"/>
    </sheetView>
    <sheetView workbookViewId="1"/>
  </sheetViews>
  <sheetFormatPr defaultRowHeight="15"/>
  <cols>
    <col min="1" max="1" width="2.28515625" style="2" customWidth="1"/>
    <col min="2" max="2" width="21" style="2" customWidth="1"/>
    <col min="3" max="3" width="17.140625" style="2" customWidth="1"/>
    <col min="4" max="4" width="19.7109375" style="2" customWidth="1"/>
    <col min="5" max="6" width="15.28515625" style="2" customWidth="1"/>
    <col min="7" max="7" width="24" style="2" bestFit="1" customWidth="1"/>
    <col min="8" max="8" width="39" style="2" customWidth="1"/>
    <col min="9" max="9" width="28.5703125" style="2" customWidth="1"/>
    <col min="10" max="12" width="15.28515625" style="2" customWidth="1"/>
    <col min="13" max="16384" width="9.140625" style="2"/>
  </cols>
  <sheetData>
    <row r="2" spans="2:13" ht="24" customHeight="1">
      <c r="B2" s="301" t="s">
        <v>223</v>
      </c>
    </row>
    <row r="3" spans="2:13">
      <c r="B3" s="302" t="str">
        <f>'LINE PLAN'!$HB$21&amp;"  |  Machines vs. style embellishment requirement  |  Plan start: "&amp;TEXT('LINE PLAN'!$HB$22,"d-mmm-yyyy")</f>
        <v>Garment Unit A  |  Machines vs. style embellishment requirement  |  Plan start: 1-Aug-2026</v>
      </c>
    </row>
    <row r="4" spans="2:13">
      <c r="B4" s="303" t="s">
        <v>312</v>
      </c>
      <c r="C4" s="463" t="s">
        <v>404</v>
      </c>
      <c r="D4" s="464">
        <v>46242</v>
      </c>
      <c r="E4" s="465" t="s">
        <v>380</v>
      </c>
      <c r="F4" s="305" t="str">
        <f>IF($C$4="DAY","Plan day "&amp;MATCH(WORKINGS!$B$75,'LINE PLAN'!$B$35:$GS$35,0)&amp;" of "&amp;'LINE PLAN'!$B$3&amp;"  |  "&amp;INDEX('DEMAND BY DATE'!$AC$4:$AC$203,MATCH(WORKINGS!$B$75,'LINE PLAN'!$B$35:$GS$35,0))&amp;" lines planned",$C$4&amp;" OF "&amp;UPPER($E$4)&amp;" = "&amp;TEXT(WORKINGS!$B$75,"ddd d-mmm")&amp;"  |  month: "&amp;TEXT(WORKINGS!$B$76,"#,##0")&amp;" working days, avg "&amp;TEXT(WORKINGS!$B$77,"#,##0")&amp;", peak "&amp;TEXT(WORKINGS!$B$78,"#,##0")&amp;" m/c")</f>
        <v>Plan day 8 of 105  |  26 lines planned</v>
      </c>
      <c r="G4" s="304"/>
      <c r="H4" s="304"/>
      <c r="I4" s="304"/>
      <c r="J4" s="304"/>
      <c r="K4" s="304"/>
      <c r="L4" s="304"/>
      <c r="M4" s="304"/>
    </row>
    <row r="5" spans="2:13" ht="20.100000000000001" customHeight="1">
      <c r="B5" s="306" t="s">
        <v>224</v>
      </c>
      <c r="C5" s="307"/>
      <c r="D5" s="306" t="s">
        <v>225</v>
      </c>
      <c r="E5" s="307"/>
      <c r="F5" s="308" t="s">
        <v>441</v>
      </c>
      <c r="G5" s="307"/>
      <c r="H5" s="306" t="s">
        <v>231</v>
      </c>
      <c r="I5" s="307"/>
      <c r="J5" s="309" t="s">
        <v>439</v>
      </c>
      <c r="K5" s="310"/>
      <c r="L5" s="306" t="s">
        <v>226</v>
      </c>
      <c r="M5" s="306"/>
    </row>
    <row r="6" spans="2:13" ht="33.950000000000003" customHeight="1">
      <c r="B6" s="311">
        <f>'MC MASTER'!C29</f>
        <v>920</v>
      </c>
      <c r="C6" s="312"/>
      <c r="D6" s="313">
        <f>'MC MAP'!AD113</f>
        <v>808</v>
      </c>
      <c r="E6" s="312"/>
      <c r="F6" s="314">
        <f>SUMIF($E$12:$E$37,"&gt;0")</f>
        <v>149.5</v>
      </c>
      <c r="G6" s="315"/>
      <c r="H6" s="316">
        <f>IFERROR($D$6/$B$6,0)</f>
        <v>0.878260869565217</v>
      </c>
      <c r="I6" s="317"/>
      <c r="J6" s="318">
        <f>COUNTIF($F$12:$F$37,"SHORT")</f>
        <v>5</v>
      </c>
      <c r="K6" s="319"/>
      <c r="L6" s="320">
        <f>'MC MAP'!AE113</f>
        <v>81700</v>
      </c>
      <c r="M6" s="320"/>
    </row>
    <row r="9" spans="2:13" ht="20.100000000000001" customHeight="1">
      <c r="B9" s="321" t="s">
        <v>227</v>
      </c>
      <c r="C9" s="322"/>
      <c r="D9" s="322"/>
      <c r="E9" s="322"/>
      <c r="F9" s="322"/>
      <c r="G9" s="322"/>
      <c r="H9" s="264"/>
      <c r="I9" s="321" t="str">
        <f>"TOP 6 BOTTLENECKS OF "&amp;$J$6&amp;" SHORT GROUPS (buy / hire / re-balance)"</f>
        <v>TOP 6 BOTTLENECKS OF 5 SHORT GROUPS (buy / hire / re-balance)</v>
      </c>
      <c r="J9" s="322"/>
      <c r="K9" s="322"/>
      <c r="L9" s="322"/>
    </row>
    <row r="10" spans="2:13" ht="15" customHeight="1"/>
    <row r="11" spans="2:13" ht="15.95" customHeight="1">
      <c r="B11" s="323" t="s">
        <v>475</v>
      </c>
      <c r="C11" s="324" t="s">
        <v>209</v>
      </c>
      <c r="D11" s="324" t="s">
        <v>229</v>
      </c>
      <c r="E11" s="324" t="s">
        <v>230</v>
      </c>
      <c r="F11" s="324" t="s">
        <v>214</v>
      </c>
      <c r="G11" s="325" t="s">
        <v>231</v>
      </c>
      <c r="H11" s="326" t="s">
        <v>476</v>
      </c>
      <c r="I11" s="327" t="s">
        <v>228</v>
      </c>
      <c r="J11" s="328" t="s">
        <v>235</v>
      </c>
      <c r="K11" s="328" t="s">
        <v>209</v>
      </c>
      <c r="L11" s="329" t="s">
        <v>229</v>
      </c>
    </row>
    <row r="12" spans="2:13" ht="15" customHeight="1">
      <c r="B12" s="330" t="str">
        <f>INDEX(WORKINGS!$A$116:$A$141,MATCH(SMALL(WORKINGS!$D$116:$D$141,1),WORKINGS!$D$116:$D$141,0))</f>
        <v>SNLS</v>
      </c>
      <c r="C12" s="331">
        <f>IFERROR(INDEX('MC MASTER'!$C$3:$C$28,MATCH($B12,'MC MASTER'!$B$3:$B$28,0)),0)</f>
        <v>185</v>
      </c>
      <c r="D12" s="332">
        <f>IFERROR(INDEX('MC MAP'!$D$113:$AC$113,MATCH($B12,'MC MAP'!$D$86:$AC$86,0)),0)</f>
        <v>152</v>
      </c>
      <c r="E12" s="332">
        <f>C12-D12</f>
        <v>33</v>
      </c>
      <c r="F12" s="333" t="str">
        <f>IF($D12=0,"IDLE",IF($E12&lt;0,"SHORT",IF($E12/$C12&lt;=0.1,"TIGHT","OK")))</f>
        <v>OK</v>
      </c>
      <c r="G12" s="334">
        <f>IFERROR($D12/$C12,"")</f>
        <v>0.821621621621622</v>
      </c>
      <c r="H12" s="15" t="str">
        <f>IF($E12&gt;=0,WORKINGS!$N12,IF(WORKINGS!$Q12&lt;=0,WORKINGS!$N12&amp;" — no spare, BUY "&amp;TEXT(WORKINGS!$R12,"#,##0.0"),IF(WORKINGS!$R12&lt;=0,WORKINGS!$N12&amp;" — MOVE "&amp;TEXT(WORKINGS!$Q12,"#,##0.0"),WORKINGS!$N12&amp;" — MOVE "&amp;TEXT(WORKINGS!$Q12,"#,##0.0")&amp;", BUY "&amp;TEXT(WORKINGS!$R12,"#,##0.0"))))</f>
        <v>LOCK-STITCH</v>
      </c>
      <c r="I12" s="335" t="str">
        <f>IFERROR(IF(SMALL(WORKINGS!$M$12:$M$37,ROW()-11)&gt;=0,"",INDEX($B$12:$B$37,MATCH(SMALL(WORKINGS!$M$12:$M$37,ROW()-11),WORKINGS!$M$12:$M$37,0))),"")</f>
        <v>4th Overlock</v>
      </c>
      <c r="J12" s="336">
        <f>IF($I12="","",INDEX($E$12:$E$37,MATCH($I12,$B$12:$B$37,0)))</f>
        <v>-12</v>
      </c>
      <c r="K12" s="337">
        <f>IF($I12="","",INDEX($C$12:$C$37,MATCH($I12,$B$12:$B$37,0)))</f>
        <v>279</v>
      </c>
      <c r="L12" s="338">
        <f>IF($I12="","",INDEX($D$12:$D$37,MATCH($I12,$B$12:$B$37,0)))</f>
        <v>291</v>
      </c>
    </row>
    <row r="13" spans="2:13" ht="15" customHeight="1">
      <c r="B13" s="330" t="str">
        <f>INDEX(WORKINGS!$A$116:$A$141,MATCH(SMALL(WORKINGS!$D$116:$D$141,2),WORKINGS!$D$116:$D$141,0))</f>
        <v>DNLS</v>
      </c>
      <c r="C13" s="331">
        <f>IFERROR(INDEX('MC MASTER'!$C$3:$C$28,MATCH($B13,'MC MASTER'!$B$3:$B$28,0)),0)</f>
        <v>8</v>
      </c>
      <c r="D13" s="332">
        <f>IFERROR(INDEX('MC MAP'!$D$113:$AC$113,MATCH($B13,'MC MAP'!$D$86:$AC$86,0)),0)</f>
        <v>1</v>
      </c>
      <c r="E13" s="332">
        <f>C13-D13</f>
        <v>7</v>
      </c>
      <c r="F13" s="333" t="str">
        <f>IF($D13=0,"IDLE",IF($E13&lt;0,"SHORT",IF($E13/$C13&lt;=0.1,"TIGHT","OK")))</f>
        <v>OK</v>
      </c>
      <c r="G13" s="339">
        <f>IFERROR($D13/$C13,"")</f>
        <v>0.125</v>
      </c>
      <c r="H13" s="15" t="str">
        <f>IF($E13&gt;=0,WORKINGS!$N13,IF(WORKINGS!$Q13&lt;=0,WORKINGS!$N13&amp;" — no spare, BUY "&amp;TEXT(WORKINGS!$R13,"#,##0.0"),IF(WORKINGS!$R13&lt;=0,WORKINGS!$N13&amp;" — MOVE "&amp;TEXT(WORKINGS!$Q13,"#,##0.0"),WORKINGS!$N13&amp;" — MOVE "&amp;TEXT(WORKINGS!$Q13,"#,##0.0")&amp;", BUY "&amp;TEXT(WORKINGS!$R13,"#,##0.0"))))</f>
        <v>LOCK-STITCH</v>
      </c>
      <c r="I13" s="340" t="str">
        <f>IFERROR(IF(SMALL(WORKINGS!$M$12:$M$37,ROW()-11)&gt;=0,"",INDEX($B$12:$B$37,MATCH(SMALL(WORKINGS!$M$12:$M$37,ROW()-11),WORKINGS!$M$12:$M$37,0))),"")</f>
        <v>F/L (Coverseam )</v>
      </c>
      <c r="J13" s="341">
        <f>IF($I13="","",INDEX($E$12:$E$37,MATCH($I13,$B$12:$B$37,0)))</f>
        <v>-11</v>
      </c>
      <c r="K13" s="342">
        <f>IF($I13="","",INDEX($C$12:$C$37,MATCH($I13,$B$12:$B$37,0)))</f>
        <v>6</v>
      </c>
      <c r="L13" s="343">
        <f>IF($I13="","",INDEX($D$12:$D$37,MATCH($I13,$B$12:$B$37,0)))</f>
        <v>17</v>
      </c>
    </row>
    <row r="14" spans="2:13" ht="15" customHeight="1">
      <c r="B14" s="330" t="str">
        <f>INDEX(WORKINGS!$A$116:$A$141,MATCH(SMALL(WORKINGS!$D$116:$D$141,3),WORKINGS!$D$116:$D$141,0))</f>
        <v>SNLS - Edge cutter</v>
      </c>
      <c r="C14" s="331">
        <f>IFERROR(INDEX('MC MASTER'!$C$3:$C$28,MATCH($B14,'MC MASTER'!$B$3:$B$28,0)),0)</f>
        <v>2</v>
      </c>
      <c r="D14" s="332">
        <f>IFERROR(INDEX('MC MAP'!$D$113:$AC$113,MATCH($B14,'MC MAP'!$D$86:$AC$86,0)),0)</f>
        <v>0</v>
      </c>
      <c r="E14" s="332">
        <f>C14-D14</f>
        <v>2</v>
      </c>
      <c r="F14" s="333" t="str">
        <f>IF($D14=0,"IDLE",IF($E14&lt;0,"SHORT",IF($E14/$C14&lt;=0.1,"TIGHT","OK")))</f>
        <v>IDLE</v>
      </c>
      <c r="G14" s="334">
        <f>IFERROR($D14/$C14,"")</f>
        <v>0</v>
      </c>
      <c r="H14" s="15" t="str">
        <f>IF($E14&gt;=0,WORKINGS!$N14,IF(WORKINGS!$Q14&lt;=0,WORKINGS!$N14&amp;" — no spare, BUY "&amp;TEXT(WORKINGS!$R14,"#,##0.0"),IF(WORKINGS!$R14&lt;=0,WORKINGS!$N14&amp;" — MOVE "&amp;TEXT(WORKINGS!$Q14,"#,##0.0"),WORKINGS!$N14&amp;" — MOVE "&amp;TEXT(WORKINGS!$Q14,"#,##0.0")&amp;", BUY "&amp;TEXT(WORKINGS!$R14,"#,##0.0"))))</f>
        <v>LOCK-STITCH</v>
      </c>
      <c r="I14" s="340" t="str">
        <f>IFERROR(IF(SMALL(WORKINGS!$M$12:$M$37,ROW()-11)&gt;=0,"",INDEX($B$12:$B$37,MATCH(SMALL(WORKINGS!$M$12:$M$37,ROW()-11),WORKINGS!$M$12:$M$37,0))),"")</f>
        <v>Overlock (Ring Elastic Attach)</v>
      </c>
      <c r="J14" s="341">
        <f>IF($I14="","",INDEX($E$12:$E$37,MATCH($I14,$B$12:$B$37,0)))</f>
        <v>-7</v>
      </c>
      <c r="K14" s="342">
        <f>IF($I14="","",INDEX($C$12:$C$37,MATCH($I14,$B$12:$B$37,0)))</f>
        <v>29</v>
      </c>
      <c r="L14" s="343">
        <f>IF($I14="","",INDEX($D$12:$D$37,MATCH($I14,$B$12:$B$37,0)))</f>
        <v>36</v>
      </c>
    </row>
    <row r="15" spans="2:13" ht="15" customHeight="1">
      <c r="B15" s="330" t="str">
        <f>INDEX(WORKINGS!$A$116:$A$141,MATCH(SMALL(WORKINGS!$D$116:$D$141,4),WORKINGS!$D$116:$D$141,0))</f>
        <v>Zig - Zag</v>
      </c>
      <c r="C15" s="331">
        <f>IFERROR(INDEX('MC MASTER'!$C$3:$C$28,MATCH($B15,'MC MASTER'!$B$3:$B$28,0)),0)</f>
        <v>8</v>
      </c>
      <c r="D15" s="332">
        <f>IFERROR(INDEX('MC MAP'!$D$113:$AC$113,MATCH($B15,'MC MAP'!$D$86:$AC$86,0)),0)</f>
        <v>4</v>
      </c>
      <c r="E15" s="332">
        <f>C15-D15</f>
        <v>4</v>
      </c>
      <c r="F15" s="333" t="str">
        <f>IF($D15=0,"IDLE",IF($E15&lt;0,"SHORT",IF($E15/$C15&lt;=0.1,"TIGHT","OK")))</f>
        <v>OK</v>
      </c>
      <c r="G15" s="344">
        <f>IFERROR($D15/$C15,"")</f>
        <v>0.5</v>
      </c>
      <c r="H15" s="15" t="str">
        <f>IF($E15&gt;=0,WORKINGS!$N15,IF(WORKINGS!$Q15&lt;=0,WORKINGS!$N15&amp;" — no spare, BUY "&amp;TEXT(WORKINGS!$R15,"#,##0.0"),IF(WORKINGS!$R15&lt;=0,WORKINGS!$N15&amp;" — MOVE "&amp;TEXT(WORKINGS!$Q15,"#,##0.0"),WORKINGS!$N15&amp;" — MOVE "&amp;TEXT(WORKINGS!$Q15,"#,##0.0")&amp;", BUY "&amp;TEXT(WORKINGS!$R15,"#,##0.0"))))</f>
        <v>LOCK-STITCH</v>
      </c>
      <c r="I15" s="340" t="str">
        <f>IFERROR(IF(SMALL(WORKINGS!$M$12:$M$37,ROW()-11)&gt;=0,"",INDEX($B$12:$B$37,MATCH(SMALL(WORKINGS!$M$12:$M$37,ROW()-11),WORKINGS!$M$12:$M$37,0))),"")</f>
        <v>F/L (Coverseam )with pullar</v>
      </c>
      <c r="J15" s="341">
        <f>IF($I15="","",INDEX($E$12:$E$37,MATCH($I15,$B$12:$B$37,0)))</f>
        <v>-6.5</v>
      </c>
      <c r="K15" s="342">
        <f>IF($I15="","",INDEX($C$12:$C$37,MATCH($I15,$B$12:$B$37,0)))</f>
        <v>37</v>
      </c>
      <c r="L15" s="343">
        <f>IF($I15="","",INDEX($D$12:$D$37,MATCH($I15,$B$12:$B$37,0)))</f>
        <v>43.5</v>
      </c>
    </row>
    <row r="16" spans="2:13" ht="15" customHeight="1">
      <c r="B16" s="330" t="str">
        <f>INDEX(WORKINGS!$A$116:$A$141,MATCH(SMALL(WORKINGS!$D$116:$D$141,5),WORKINGS!$D$116:$D$141,0))</f>
        <v>4th Overlock</v>
      </c>
      <c r="C16" s="331">
        <f>IFERROR(INDEX('MC MASTER'!$C$3:$C$28,MATCH($B16,'MC MASTER'!$B$3:$B$28,0)),0)</f>
        <v>279</v>
      </c>
      <c r="D16" s="332">
        <f>IFERROR(INDEX('MC MAP'!$D$113:$AC$113,MATCH($B16,'MC MAP'!$D$86:$AC$86,0)),0)</f>
        <v>291</v>
      </c>
      <c r="E16" s="332">
        <f>C16-D16</f>
        <v>-12</v>
      </c>
      <c r="F16" s="333" t="str">
        <f>IF($D16=0,"IDLE",IF($E16&lt;0,"SHORT",IF($E16/$C16&lt;=0.1,"TIGHT","OK")))</f>
        <v>SHORT</v>
      </c>
      <c r="G16" s="334">
        <f>IFERROR($D16/$C16,"")</f>
        <v>1.04301075268817</v>
      </c>
      <c r="H16" s="15" t="str">
        <f>IF($E16&gt;=0,WORKINGS!$N16,IF(WORKINGS!$Q16&lt;=0,WORKINGS!$N16&amp;" — no spare, BUY "&amp;TEXT(WORKINGS!$R16,"#,##0.0"),IF(WORKINGS!$R16&lt;=0,WORKINGS!$N16&amp;" — MOVE "&amp;TEXT(WORKINGS!$Q16,"#,##0.0"),WORKINGS!$N16&amp;" — MOVE "&amp;TEXT(WORKINGS!$Q16,"#,##0.0")&amp;", BUY "&amp;TEXT(WORKINGS!$R16,"#,##0.0"))))</f>
        <v>OVER-LOCK — MOVE 5.0, BUY 7.0</v>
      </c>
      <c r="I16" s="340" t="str">
        <f>IFERROR(IF(SMALL(WORKINGS!$M$12:$M$37,ROW()-11)&gt;=0,"",INDEX($B$12:$B$37,MATCH(SMALL(WORKINGS!$M$12:$M$37,ROW()-11),WORKINGS!$M$12:$M$37,0))),"")</f>
        <v>3th Overlock (Leg elastic)</v>
      </c>
      <c r="J16" s="341">
        <f>IF($I16="","",INDEX($E$12:$E$37,MATCH($I16,$B$12:$B$37,0)))</f>
        <v>-1</v>
      </c>
      <c r="K16" s="342">
        <f>IF($I16="","",INDEX($C$12:$C$37,MATCH($I16,$B$12:$B$37,0)))</f>
        <v>30</v>
      </c>
      <c r="L16" s="343">
        <f>IF($I16="","",INDEX($D$12:$D$37,MATCH($I16,$B$12:$B$37,0)))</f>
        <v>31</v>
      </c>
    </row>
    <row r="17" spans="2:13" ht="15" customHeight="1">
      <c r="B17" s="345" t="str">
        <f>INDEX(WORKINGS!$A$116:$A$141,MATCH(SMALL(WORKINGS!$D$116:$D$141,6),WORKINGS!$D$116:$D$141,0))</f>
        <v>3th Overlock (Leg elastic)</v>
      </c>
      <c r="C17" s="346">
        <f>IFERROR(INDEX('MC MASTER'!$C$3:$C$28,MATCH($B17,'MC MASTER'!$B$3:$B$28,0)),0)</f>
        <v>30</v>
      </c>
      <c r="D17" s="347">
        <f>IFERROR(INDEX('MC MAP'!$D$113:$AC$113,MATCH($B17,'MC MAP'!$D$86:$AC$86,0)),0)</f>
        <v>31</v>
      </c>
      <c r="E17" s="347">
        <f>C17-D17</f>
        <v>-1</v>
      </c>
      <c r="F17" s="348" t="str">
        <f>IF($D17=0,"IDLE",IF($E17&lt;0,"SHORT",IF($E17/$C17&lt;=0.1,"TIGHT","OK")))</f>
        <v>SHORT</v>
      </c>
      <c r="G17" s="349">
        <f>IFERROR($D17/$C17,"")</f>
        <v>1.03333333333333</v>
      </c>
      <c r="H17" s="350" t="str">
        <f>IF($E17&gt;=0,WORKINGS!$N17,IF(WORKINGS!$Q17&lt;=0,WORKINGS!$N17&amp;" — no spare, BUY "&amp;TEXT(WORKINGS!$R17,"#,##0.0"),IF(WORKINGS!$R17&lt;=0,WORKINGS!$N17&amp;" — MOVE "&amp;TEXT(WORKINGS!$Q17,"#,##0.0"),WORKINGS!$N17&amp;" — MOVE "&amp;TEXT(WORKINGS!$Q17,"#,##0.0")&amp;", BUY "&amp;TEXT(WORKINGS!$R17,"#,##0.0"))))</f>
        <v>OVER-LOCK — no spare, BUY 1.0</v>
      </c>
      <c r="I17" s="351" t="str">
        <f>IFERROR(IF(SMALL(WORKINGS!$M$12:$M$37,ROW()-11)&gt;=0,"",INDEX($B$12:$B$37,MATCH(SMALL(WORKINGS!$M$12:$M$37,ROW()-11),WORKINGS!$M$12:$M$37,0))),"")</f>
        <v/>
      </c>
      <c r="J17" s="352" t="str">
        <f>IF($I17="","",INDEX($E$12:$E$37,MATCH($I17,$B$12:$B$37,0)))</f>
        <v/>
      </c>
      <c r="K17" s="353" t="str">
        <f>IF($I17="","",INDEX($C$12:$C$37,MATCH($I17,$B$12:$B$37,0)))</f>
        <v/>
      </c>
      <c r="L17" s="354" t="str">
        <f>IF($I17="","",INDEX($D$12:$D$37,MATCH($I17,$B$12:$B$37,0)))</f>
        <v/>
      </c>
    </row>
    <row r="18" spans="2:13" ht="15" customHeight="1">
      <c r="B18" s="345" t="str">
        <f>INDEX(WORKINGS!$A$116:$A$141,MATCH(SMALL(WORKINGS!$D$116:$D$141,7),WORKINGS!$D$116:$D$141,0))</f>
        <v>5th Overlock</v>
      </c>
      <c r="C18" s="346">
        <f>IFERROR(INDEX('MC MASTER'!$C$3:$C$28,MATCH($B18,'MC MASTER'!$B$3:$B$28,0)),0)</f>
        <v>5</v>
      </c>
      <c r="D18" s="347">
        <f>IFERROR(INDEX('MC MAP'!$D$113:$AC$113,MATCH($B18,'MC MAP'!$D$86:$AC$86,0)),0)</f>
        <v>0</v>
      </c>
      <c r="E18" s="347">
        <f>C18-D18</f>
        <v>5</v>
      </c>
      <c r="F18" s="348" t="str">
        <f>IF($D18=0,"IDLE",IF($E18&lt;0,"SHORT",IF($E18/$C18&lt;=0.1,"TIGHT","OK")))</f>
        <v>IDLE</v>
      </c>
      <c r="G18" s="355">
        <f>IFERROR($D18/$C18,"")</f>
        <v>0</v>
      </c>
      <c r="H18" s="350" t="str">
        <f>IF($E18&gt;=0,WORKINGS!$N18,IF(WORKINGS!$Q18&lt;=0,WORKINGS!$N18&amp;" — no spare, BUY "&amp;TEXT(WORKINGS!$R18,"#,##0.0"),IF(WORKINGS!$R18&lt;=0,WORKINGS!$N18&amp;" — MOVE "&amp;TEXT(WORKINGS!$Q18,"#,##0.0"),WORKINGS!$N18&amp;" — MOVE "&amp;TEXT(WORKINGS!$Q18,"#,##0.0")&amp;", BUY "&amp;TEXT(WORKINGS!$R18,"#,##0.0"))))</f>
        <v>OVER-LOCK</v>
      </c>
    </row>
    <row r="19" spans="2:13" ht="15" customHeight="1" thickBot="1">
      <c r="B19" s="330" t="str">
        <f>INDEX(WORKINGS!$A$116:$A$141,MATCH(SMALL(WORKINGS!$D$116:$D$141,8),WORKINGS!$D$116:$D$141,0))</f>
        <v>Overlock (Ring Elastic Attach)</v>
      </c>
      <c r="C19" s="331">
        <f>IFERROR(INDEX('MC MASTER'!$C$3:$C$28,MATCH($B19,'MC MASTER'!$B$3:$B$28,0)),0)</f>
        <v>29</v>
      </c>
      <c r="D19" s="332">
        <f>IFERROR(INDEX('MC MAP'!$D$113:$AC$113,MATCH($B19,'MC MAP'!$D$86:$AC$86,0)),0)</f>
        <v>36</v>
      </c>
      <c r="E19" s="332">
        <f>C19-D19</f>
        <v>-7</v>
      </c>
      <c r="F19" s="333" t="str">
        <f>IF($D19=0,"IDLE",IF($E19&lt;0,"SHORT",IF($E19/$C19&lt;=0.1,"TIGHT","OK")))</f>
        <v>SHORT</v>
      </c>
      <c r="G19" s="334">
        <f>IFERROR($D19/$C19,"")</f>
        <v>1.24137931034483</v>
      </c>
      <c r="H19" s="15" t="str">
        <f>IF($E19&gt;=0,WORKINGS!$N19,IF(WORKINGS!$Q19&lt;=0,WORKINGS!$N19&amp;" — no spare, BUY "&amp;TEXT(WORKINGS!$R19,"#,##0.0"),IF(WORKINGS!$R19&lt;=0,WORKINGS!$N19&amp;" — MOVE "&amp;TEXT(WORKINGS!$Q19,"#,##0.0"),WORKINGS!$N19&amp;" — MOVE "&amp;TEXT(WORKINGS!$Q19,"#,##0.0")&amp;", BUY "&amp;TEXT(WORKINGS!$R19,"#,##0.0"))))</f>
        <v>OVER-LOCK — no spare, BUY 7.0</v>
      </c>
      <c r="I19" s="356" t="str">
        <f>"IDLE &amp; AVAILABLE CAPACITY ON "&amp;UPPER(TEXT(WORKINGS!$B$75,"ddd d-mmm"))</f>
        <v>IDLE &amp; AVAILABLE CAPACITY ON SAT 8-AUG</v>
      </c>
      <c r="J19" s="357"/>
      <c r="K19" s="357"/>
      <c r="L19" s="357"/>
      <c r="M19" s="357"/>
    </row>
    <row r="20" spans="2:13" ht="15" customHeight="1" thickTop="1">
      <c r="B20" s="330" t="str">
        <f>INDEX(WORKINGS!$A$116:$A$141,MATCH(SMALL(WORKINGS!$D$116:$D$141,9),WORKINGS!$D$116:$D$141,0))</f>
        <v>Flatlock Hem</v>
      </c>
      <c r="C20" s="331">
        <f>IFERROR(INDEX('MC MASTER'!$C$3:$C$28,MATCH($B20,'MC MASTER'!$B$3:$B$28,0)),0)</f>
        <v>34</v>
      </c>
      <c r="D20" s="332">
        <f>IFERROR(INDEX('MC MAP'!$D$113:$AC$113,MATCH($B20,'MC MAP'!$D$86:$AC$86,0)),0)</f>
        <v>22.5</v>
      </c>
      <c r="E20" s="332">
        <f>C20-D20</f>
        <v>11.5</v>
      </c>
      <c r="F20" s="333" t="str">
        <f>IF($D20=0,"IDLE",IF($E20&lt;0,"SHORT",IF($E20/$C20&lt;=0.1,"TIGHT","OK")))</f>
        <v>OK</v>
      </c>
      <c r="G20" s="334">
        <f>IFERROR($D20/$C20,"")</f>
        <v>0.661764705882353</v>
      </c>
      <c r="H20" s="15" t="str">
        <f>IF($E20&gt;=0,WORKINGS!$N20,IF(WORKINGS!$Q20&lt;=0,WORKINGS!$N20&amp;" — no spare, BUY "&amp;TEXT(WORKINGS!$R20,"#,##0.0"),IF(WORKINGS!$R20&lt;=0,WORKINGS!$N20&amp;" — MOVE "&amp;TEXT(WORKINGS!$Q20,"#,##0.0"),WORKINGS!$N20&amp;" — MOVE "&amp;TEXT(WORKINGS!$Q20,"#,##0.0")&amp;", BUY "&amp;TEXT(WORKINGS!$R20,"#,##0.0"))))</f>
        <v>FLAT-LOCK</v>
      </c>
      <c r="I20" s="358" t="s">
        <v>373</v>
      </c>
      <c r="J20" s="359" t="s">
        <v>374</v>
      </c>
      <c r="K20" s="360"/>
      <c r="L20" s="361">
        <f>SUMIF($E$12:$E$37,"&gt;0")-$L$22</f>
        <v>145.5</v>
      </c>
      <c r="M20" s="360"/>
    </row>
    <row r="21" spans="2:13" ht="15" customHeight="1" thickBot="1">
      <c r="B21" s="345" t="str">
        <f>INDEX(WORKINGS!$A$116:$A$141,MATCH(SMALL(WORKINGS!$D$116:$D$141,10),WORKINGS!$D$116:$D$141,0))</f>
        <v>F/L (Coverseam / Waist COVER SEAM</v>
      </c>
      <c r="C21" s="346">
        <f>IFERROR(INDEX('MC MASTER'!$C$3:$C$28,MATCH($B21,'MC MASTER'!$B$3:$B$28,0)),0)</f>
        <v>13</v>
      </c>
      <c r="D21" s="347">
        <f>IFERROR(INDEX('MC MAP'!$D$113:$AC$113,MATCH($B21,'MC MAP'!$D$86:$AC$86,0)),0)</f>
        <v>4</v>
      </c>
      <c r="E21" s="347">
        <f>C21-D21</f>
        <v>9</v>
      </c>
      <c r="F21" s="348" t="str">
        <f>IF($D21=0,"IDLE",IF($E21&lt;0,"SHORT",IF($E21/$C21&lt;=0.1,"TIGHT","OK")))</f>
        <v>OK</v>
      </c>
      <c r="G21" s="355">
        <f>IFERROR($D21/$C21,"")</f>
        <v>0.307692307692308</v>
      </c>
      <c r="H21" s="350" t="str">
        <f>IF($E21&gt;=0,WORKINGS!$N21,IF(WORKINGS!$Q21&lt;=0,WORKINGS!$N21&amp;" — no spare, BUY "&amp;TEXT(WORKINGS!$R21,"#,##0.0"),IF(WORKINGS!$R21&lt;=0,WORKINGS!$N21&amp;" — MOVE "&amp;TEXT(WORKINGS!$Q21,"#,##0.0"),WORKINGS!$N21&amp;" — MOVE "&amp;TEXT(WORKINGS!$Q21,"#,##0.0")&amp;", BUY "&amp;TEXT(WORKINGS!$R21,"#,##0.0"))))</f>
        <v>FLAT-LOCK</v>
      </c>
      <c r="I21" s="362"/>
      <c r="J21" s="363"/>
      <c r="K21" s="363"/>
      <c r="L21" s="363"/>
      <c r="M21" s="363"/>
    </row>
    <row r="22" spans="2:13" ht="15" customHeight="1" thickTop="1">
      <c r="B22" s="345" t="str">
        <f>INDEX(WORKINGS!$A$116:$A$141,MATCH(SMALL(WORKINGS!$D$116:$D$141,11),WORKINGS!$D$116:$D$141,0))</f>
        <v>F/L (Coverseam )with pullar</v>
      </c>
      <c r="C22" s="346">
        <f>IFERROR(INDEX('MC MASTER'!$C$3:$C$28,MATCH($B22,'MC MASTER'!$B$3:$B$28,0)),0)</f>
        <v>37</v>
      </c>
      <c r="D22" s="347">
        <f>IFERROR(INDEX('MC MAP'!$D$113:$AC$113,MATCH($B22,'MC MAP'!$D$86:$AC$86,0)),0)</f>
        <v>43.5</v>
      </c>
      <c r="E22" s="347">
        <f>C22-D22</f>
        <v>-6.5</v>
      </c>
      <c r="F22" s="348" t="str">
        <f>IF($D22=0,"IDLE",IF($E22&lt;0,"SHORT",IF($E22/$C22&lt;=0.1,"TIGHT","OK")))</f>
        <v>SHORT</v>
      </c>
      <c r="G22" s="355">
        <f>IFERROR($D22/$C22,"")</f>
        <v>1.17567567567568</v>
      </c>
      <c r="H22" s="350" t="str">
        <f>IF($E22&gt;=0,WORKINGS!$N22,IF(WORKINGS!$Q22&lt;=0,WORKINGS!$N22&amp;" — no spare, BUY "&amp;TEXT(WORKINGS!$R22,"#,##0.0"),IF(WORKINGS!$R22&lt;=0,WORKINGS!$N22&amp;" — MOVE "&amp;TEXT(WORKINGS!$Q22,"#,##0.0"),WORKINGS!$N22&amp;" — MOVE "&amp;TEXT(WORKINGS!$Q22,"#,##0.0")&amp;", BUY "&amp;TEXT(WORKINGS!$R22,"#,##0.0"))))</f>
        <v>FLAT-LOCK — MOVE 6.5</v>
      </c>
      <c r="I22" s="364" t="s">
        <v>375</v>
      </c>
      <c r="J22" s="365" t="str">
        <f>COUNTIF('MC MAP'!$BU$5:$BU$30,0)&amp;" groups no style needs at all"</f>
        <v>2 groups no style needs at all</v>
      </c>
      <c r="K22" s="366"/>
      <c r="L22" s="367" cm="1">
        <f t="array" ref="L22">SUMPRODUCT(--('MC MAP'!$BU$5:$BU$30=0)*'MC MASTER'!$C$3:$C$28)</f>
        <v>4</v>
      </c>
      <c r="M22" s="366"/>
    </row>
    <row r="23" spans="2:13" ht="15" customHeight="1" thickBot="1">
      <c r="B23" s="330" t="str">
        <f>INDEX(WORKINGS!$A$116:$A$141,MATCH(SMALL(WORKINGS!$D$116:$D$141,12),WORKINGS!$D$116:$D$141,0))</f>
        <v>F/L (Coverseam )</v>
      </c>
      <c r="C23" s="331">
        <f>IFERROR(INDEX('MC MASTER'!$C$3:$C$28,MATCH($B23,'MC MASTER'!$B$3:$B$28,0)),0)</f>
        <v>6</v>
      </c>
      <c r="D23" s="332">
        <f>IFERROR(INDEX('MC MAP'!$D$113:$AC$113,MATCH($B23,'MC MAP'!$D$86:$AC$86,0)),0)</f>
        <v>17</v>
      </c>
      <c r="E23" s="332">
        <f>C23-D23</f>
        <v>-11</v>
      </c>
      <c r="F23" s="333" t="str">
        <f>IF($D23=0,"IDLE",IF($E23&lt;0,"SHORT",IF($E23/$C23&lt;=0.1,"TIGHT","OK")))</f>
        <v>SHORT</v>
      </c>
      <c r="G23" s="334">
        <f>IFERROR($D23/$C23,"")</f>
        <v>2.83333333333333</v>
      </c>
      <c r="H23" s="15" t="str">
        <f>IF($E23&gt;=0,WORKINGS!$N23,IF(WORKINGS!$Q23&lt;=0,WORKINGS!$N23&amp;" — no spare, BUY "&amp;TEXT(WORKINGS!$R23,"#,##0.0"),IF(WORKINGS!$R23&lt;=0,WORKINGS!$N23&amp;" — MOVE "&amp;TEXT(WORKINGS!$Q23,"#,##0.0"),WORKINGS!$N23&amp;" — MOVE "&amp;TEXT(WORKINGS!$Q23,"#,##0.0")&amp;", BUY "&amp;TEXT(WORKINGS!$R23,"#,##0.0"))))</f>
        <v>FLAT-LOCK — MOVE 11.0</v>
      </c>
      <c r="I23" s="368"/>
      <c r="J23" s="369"/>
      <c r="K23" s="369"/>
      <c r="L23" s="369"/>
      <c r="M23" s="369"/>
    </row>
    <row r="24" spans="2:13" ht="15" customHeight="1" thickTop="1">
      <c r="B24" s="330" t="str">
        <f>INDEX(WORKINGS!$A$116:$A$141,MATCH(SMALL(WORKINGS!$D$116:$D$141,13),WORKINGS!$D$116:$D$141,0))</f>
        <v>3N5T-F/L -( TopStitch)</v>
      </c>
      <c r="C24" s="331">
        <f>IFERROR(INDEX('MC MASTER'!$C$3:$C$28,MATCH($B24,'MC MASTER'!$B$3:$B$28,0)),0)</f>
        <v>54</v>
      </c>
      <c r="D24" s="332">
        <f>IFERROR(INDEX('MC MAP'!$D$113:$AC$113,MATCH($B24,'MC MAP'!$D$86:$AC$86,0)),0)</f>
        <v>47</v>
      </c>
      <c r="E24" s="332">
        <f>C24-D24</f>
        <v>7</v>
      </c>
      <c r="F24" s="333" t="str">
        <f>IF($D24=0,"IDLE",IF($E24&lt;0,"SHORT",IF($E24/$C24&lt;=0.1,"TIGHT","OK")))</f>
        <v>OK</v>
      </c>
      <c r="G24" s="334">
        <f>IFERROR($D24/$C24,"")</f>
        <v>0.87037037037037</v>
      </c>
      <c r="H24" s="15" t="str">
        <f>IF($E24&gt;=0,WORKINGS!$N24,IF(WORKINGS!$Q24&lt;=0,WORKINGS!$N24&amp;" — no spare, BUY "&amp;TEXT(WORKINGS!$R24,"#,##0.0"),IF(WORKINGS!$R24&lt;=0,WORKINGS!$N24&amp;" — MOVE "&amp;TEXT(WORKINGS!$Q24,"#,##0.0"),WORKINGS!$N24&amp;" — MOVE "&amp;TEXT(WORKINGS!$Q24,"#,##0.0")&amp;", BUY "&amp;TEXT(WORKINGS!$R24,"#,##0.0"))))</f>
        <v>FLAT-LOCK</v>
      </c>
      <c r="I24" s="370" t="s">
        <v>376</v>
      </c>
      <c r="J24" s="371" t="str">
        <f>COUNTIF($F$12:$F$37,"SHORT")&amp;" groups need more than we own"</f>
        <v>5 groups need more than we own</v>
      </c>
      <c r="K24" s="372"/>
      <c r="L24" s="373">
        <f>-SUMIF($E$12:$E$37,"&lt;0")</f>
        <v>37.5</v>
      </c>
      <c r="M24" s="372"/>
    </row>
    <row r="25" spans="2:13" ht="15" customHeight="1" thickBot="1">
      <c r="B25" s="330" t="str">
        <f>INDEX(WORKINGS!$A$116:$A$141,MATCH(SMALL(WORKINGS!$D$116:$D$141,14),WORKINGS!$D$116:$D$141,0))</f>
        <v>Flatlock (VT)</v>
      </c>
      <c r="C25" s="331">
        <f>IFERROR(INDEX('MC MASTER'!$C$3:$C$28,MATCH($B25,'MC MASTER'!$B$3:$B$28,0)),0)</f>
        <v>21</v>
      </c>
      <c r="D25" s="332">
        <f>IFERROR(INDEX('MC MAP'!$D$113:$AC$113,MATCH($B25,'MC MAP'!$D$86:$AC$86,0)),0)</f>
        <v>13</v>
      </c>
      <c r="E25" s="332">
        <f>C25-D25</f>
        <v>8</v>
      </c>
      <c r="F25" s="333" t="str">
        <f>IF($D25=0,"IDLE",IF($E25&lt;0,"SHORT",IF($E25/$C25&lt;=0.1,"TIGHT","OK")))</f>
        <v>OK</v>
      </c>
      <c r="G25" s="339">
        <f>IFERROR($D25/$C25,"")</f>
        <v>0.619047619047619</v>
      </c>
      <c r="H25" s="15" t="str">
        <f>IF($E25&gt;=0,WORKINGS!$N25,IF(WORKINGS!$Q25&lt;=0,WORKINGS!$N25&amp;" — no spare, BUY "&amp;TEXT(WORKINGS!$R25,"#,##0.0"),IF(WORKINGS!$R25&lt;=0,WORKINGS!$N25&amp;" — MOVE "&amp;TEXT(WORKINGS!$Q25,"#,##0.0"),WORKINGS!$N25&amp;" — MOVE "&amp;TEXT(WORKINGS!$Q25,"#,##0.0")&amp;", BUY "&amp;TEXT(WORKINGS!$R25,"#,##0.0"))))</f>
        <v>FLAT-LOCK</v>
      </c>
      <c r="I25" s="374"/>
      <c r="J25" s="375"/>
      <c r="K25" s="375"/>
      <c r="L25" s="375"/>
      <c r="M25" s="375"/>
    </row>
    <row r="26" spans="2:13" ht="15" customHeight="1" thickTop="1">
      <c r="B26" s="345" t="str">
        <f>INDEX(WORKINGS!$A$116:$A$141,MATCH(SMALL(WORKINGS!$D$116:$D$141,15),WORKINGS!$D$116:$D$141,0))</f>
        <v>Flatlock (Ring Elastic Attach)</v>
      </c>
      <c r="C26" s="346">
        <f>IFERROR(INDEX('MC MASTER'!$C$3:$C$28,MATCH($B26,'MC MASTER'!$B$3:$B$28,0)),0)</f>
        <v>42</v>
      </c>
      <c r="D26" s="347">
        <f>IFERROR(INDEX('MC MAP'!$D$113:$AC$113,MATCH($B26,'MC MAP'!$D$86:$AC$86,0)),0)</f>
        <v>34.5</v>
      </c>
      <c r="E26" s="347">
        <f>C26-D26</f>
        <v>7.5</v>
      </c>
      <c r="F26" s="348" t="str">
        <f>IF($D26=0,"IDLE",IF($E26&lt;0,"SHORT",IF($E26/$C26&lt;=0.1,"TIGHT","OK")))</f>
        <v>OK</v>
      </c>
      <c r="G26" s="349">
        <f>IFERROR($D26/$C26,"")</f>
        <v>0.821428571428571</v>
      </c>
      <c r="H26" s="350" t="str">
        <f>IF($E26&gt;=0,WORKINGS!$N26,IF(WORKINGS!$Q26&lt;=0,WORKINGS!$N26&amp;" — no spare, BUY "&amp;TEXT(WORKINGS!$R26,"#,##0.0"),IF(WORKINGS!$R26&lt;=0,WORKINGS!$N26&amp;" — MOVE "&amp;TEXT(WORKINGS!$Q26,"#,##0.0"),WORKINGS!$N26&amp;" — MOVE "&amp;TEXT(WORKINGS!$Q26,"#,##0.0")&amp;", BUY "&amp;TEXT(WORKINGS!$R26,"#,##0.0"))))</f>
        <v>OUTER ELASTIC</v>
      </c>
      <c r="I26" s="376" t="str">
        <f>IF($L$24=0,"No shortage — all "&amp;TEXT($L$20+$L$22,"#,##0")&amp;" idle machines are genuine spare capacity.",TEXT($L$24,"#,##0")&amp;" short vs "&amp;TEXT($L$20,"#,##0")&amp;" free — wrong machine types. Buy, hire or convert.")</f>
        <v>38 short vs 146 free — wrong machine types. Buy, hire or convert.</v>
      </c>
      <c r="J26" s="357"/>
      <c r="K26" s="357"/>
      <c r="L26" s="357"/>
      <c r="M26" s="357"/>
    </row>
    <row r="27" spans="2:13" ht="15" customHeight="1">
      <c r="B27" s="345" t="str">
        <f>INDEX(WORKINGS!$A$116:$A$141,MATCH(SMALL(WORKINGS!$D$116:$D$141,16),WORKINGS!$D$116:$D$141,0))</f>
        <v>3N5T-F/L -BINDING</v>
      </c>
      <c r="C27" s="346">
        <f>IFERROR(INDEX('MC MASTER'!$C$3:$C$28,MATCH($B27,'MC MASTER'!$B$3:$B$28,0)),0)</f>
        <v>58</v>
      </c>
      <c r="D27" s="347">
        <f>IFERROR(INDEX('MC MAP'!$D$113:$AC$113,MATCH($B27,'MC MAP'!$D$86:$AC$86,0)),0)</f>
        <v>40</v>
      </c>
      <c r="E27" s="347">
        <f>C27-D27</f>
        <v>18</v>
      </c>
      <c r="F27" s="348" t="str">
        <f>IF($D27=0,"IDLE",IF($E27&lt;0,"SHORT",IF($E27/$C27&lt;=0.1,"TIGHT","OK")))</f>
        <v>OK</v>
      </c>
      <c r="G27" s="349">
        <f>IFERROR($D27/$C27,"")</f>
        <v>0.689655172413793</v>
      </c>
      <c r="H27" s="350" t="str">
        <f>IF($E27&gt;=0,WORKINGS!$N27,IF(WORKINGS!$Q27&lt;=0,WORKINGS!$N27&amp;" — no spare, BUY "&amp;TEXT(WORKINGS!$R27,"#,##0.0"),IF(WORKINGS!$R27&lt;=0,WORKINGS!$N27&amp;" — MOVE "&amp;TEXT(WORKINGS!$Q27,"#,##0.0"),WORKINGS!$N27&amp;" — MOVE "&amp;TEXT(WORKINGS!$Q27,"#,##0.0")&amp;", BUY "&amp;TEXT(WORKINGS!$R27,"#,##0.0"))))</f>
        <v>BINDING</v>
      </c>
      <c r="I27" s="357"/>
      <c r="J27" s="357"/>
      <c r="K27" s="357"/>
      <c r="L27" s="357"/>
      <c r="M27" s="357"/>
    </row>
    <row r="28" spans="2:13" ht="15" customHeight="1">
      <c r="B28" s="345" t="str">
        <f>INDEX(WORKINGS!$A$116:$A$141,MATCH(SMALL(WORKINGS!$D$116:$D$141,17),WORKINGS!$D$116:$D$141,0))</f>
        <v>FlatSeamer FS</v>
      </c>
      <c r="C28" s="346">
        <f>IFERROR(INDEX('MC MASTER'!$C$3:$C$28,MATCH($B28,'MC MASTER'!$B$3:$B$28,0)),0)</f>
        <v>8</v>
      </c>
      <c r="D28" s="347">
        <f>IFERROR(INDEX('MC MAP'!$D$113:$AC$113,MATCH($B28,'MC MAP'!$D$86:$AC$86,0)),0)</f>
        <v>0</v>
      </c>
      <c r="E28" s="347">
        <f>C28-D28</f>
        <v>8</v>
      </c>
      <c r="F28" s="348" t="str">
        <f>IF($D28=0,"IDLE",IF($E28&lt;0,"SHORT",IF($E28/$C28&lt;=0.1,"TIGHT","OK")))</f>
        <v>IDLE</v>
      </c>
      <c r="G28" s="349">
        <f>IFERROR($D28/$C28,"")</f>
        <v>0</v>
      </c>
      <c r="H28" s="350" t="str">
        <f>IF($E28&gt;=0,WORKINGS!$N28,IF(WORKINGS!$Q28&lt;=0,WORKINGS!$N28&amp;" — no spare, BUY "&amp;TEXT(WORKINGS!$R28,"#,##0.0"),IF(WORKINGS!$R28&lt;=0,WORKINGS!$N28&amp;" — MOVE "&amp;TEXT(WORKINGS!$Q28,"#,##0.0"),WORKINGS!$N28&amp;" — MOVE "&amp;TEXT(WORKINGS!$Q28,"#,##0.0")&amp;", BUY "&amp;TEXT(WORKINGS!$R28,"#,##0.0"))))</f>
        <v>FS</v>
      </c>
    </row>
    <row r="29" spans="2:13" ht="15" customHeight="1">
      <c r="B29" s="345" t="str">
        <f>INDEX(WORKINGS!$A$116:$A$141,MATCH(SMALL(WORKINGS!$D$116:$D$141,18),WORKINGS!$D$116:$D$141,0))</f>
        <v>Kansai</v>
      </c>
      <c r="C29" s="346">
        <f>IFERROR(INDEX('MC MASTER'!$C$3:$C$28,MATCH($B29,'MC MASTER'!$B$3:$B$28,0)),0)</f>
        <v>8</v>
      </c>
      <c r="D29" s="347">
        <f>IFERROR(INDEX('MC MAP'!$D$113:$AC$113,MATCH($B29,'MC MAP'!$D$86:$AC$86,0)),0)</f>
        <v>3</v>
      </c>
      <c r="E29" s="347">
        <f>C29-D29</f>
        <v>5</v>
      </c>
      <c r="F29" s="348" t="str">
        <f>IF($D29=0,"IDLE",IF($E29&lt;0,"SHORT",IF($E29/$C29&lt;=0.1,"TIGHT","OK")))</f>
        <v>OK</v>
      </c>
      <c r="G29" s="349">
        <f>IFERROR($D29/$C29,"")</f>
        <v>0.375</v>
      </c>
      <c r="H29" s="350" t="str">
        <f>IF($E29&gt;=0,WORKINGS!$N29,IF(WORKINGS!$Q29&lt;=0,WORKINGS!$N29&amp;" — no spare, BUY "&amp;TEXT(WORKINGS!$R29,"#,##0.0"),IF(WORKINGS!$R29&lt;=0,WORKINGS!$N29&amp;" — MOVE "&amp;TEXT(WORKINGS!$Q29,"#,##0.0"),WORKINGS!$N29&amp;" — MOVE "&amp;TEXT(WORKINGS!$Q29,"#,##0.0")&amp;", BUY "&amp;TEXT(WORKINGS!$R29,"#,##0.0"))))</f>
        <v>MULTI-NEEDLE</v>
      </c>
    </row>
    <row r="30" spans="2:13" ht="15" customHeight="1">
      <c r="B30" s="330" t="str">
        <f>INDEX(WORKINGS!$A$116:$A$141,MATCH(SMALL(WORKINGS!$D$116:$D$141,19),WORKINGS!$D$116:$D$141,0))</f>
        <v>Chain stitch</v>
      </c>
      <c r="C30" s="331">
        <f>IFERROR(INDEX('MC MASTER'!$C$3:$C$28,MATCH($B30,'MC MASTER'!$B$3:$B$28,0)),0)</f>
        <v>2</v>
      </c>
      <c r="D30" s="332">
        <f>IFERROR(INDEX('MC MAP'!$D$113:$AC$113,MATCH($B30,'MC MAP'!$D$86:$AC$86,0)),0)</f>
        <v>0</v>
      </c>
      <c r="E30" s="332">
        <f>C30-D30</f>
        <v>2</v>
      </c>
      <c r="F30" s="333" t="str">
        <f>IF($D30=0,"IDLE",IF($E30&lt;0,"SHORT",IF($E30/$C30&lt;=0.1,"TIGHT","OK")))</f>
        <v>IDLE</v>
      </c>
      <c r="G30" s="334">
        <f>IFERROR($D30/$C30,"")</f>
        <v>0</v>
      </c>
      <c r="H30" s="15" t="str">
        <f>IF($E30&gt;=0,WORKINGS!$N30,IF(WORKINGS!$Q30&lt;=0,WORKINGS!$N30&amp;" — no spare, BUY "&amp;TEXT(WORKINGS!$R30,"#,##0.0"),IF(WORKINGS!$R30&lt;=0,WORKINGS!$N30&amp;" — MOVE "&amp;TEXT(WORKINGS!$Q30,"#,##0.0"),WORKINGS!$N30&amp;" — MOVE "&amp;TEXT(WORKINGS!$Q30,"#,##0.0")&amp;", BUY "&amp;TEXT(WORKINGS!$R30,"#,##0.0"))))</f>
        <v>CS-DNLS</v>
      </c>
    </row>
    <row r="31" spans="2:13" ht="15" customHeight="1">
      <c r="B31" s="330" t="str">
        <f>INDEX(WORKINGS!$A$116:$A$141,MATCH(SMALL(WORKINGS!$D$116:$D$141,20),WORKINGS!$D$116:$D$141,0))</f>
        <v>Heat Seal</v>
      </c>
      <c r="C31" s="331">
        <f>IFERROR(INDEX('MC MASTER'!$C$3:$C$28,MATCH($B31,'MC MASTER'!$B$3:$B$28,0)),0)</f>
        <v>35</v>
      </c>
      <c r="D31" s="332">
        <f>IFERROR(INDEX('MC MAP'!$D$113:$AC$113,MATCH($B31,'MC MAP'!$D$86:$AC$86,0)),0)</f>
        <v>31</v>
      </c>
      <c r="E31" s="332">
        <f>C31-D31</f>
        <v>4</v>
      </c>
      <c r="F31" s="333" t="str">
        <f>IF($D31=0,"IDLE",IF($E31&lt;0,"SHORT",IF($E31/$C31&lt;=0.1,"TIGHT","OK")))</f>
        <v>OK</v>
      </c>
      <c r="G31" s="339">
        <f>IFERROR($D31/$C31,"")</f>
        <v>0.885714285714286</v>
      </c>
      <c r="H31" s="15" t="str">
        <f>IF($E31&gt;=0,WORKINGS!$N31,IF(WORKINGS!$Q31&lt;=0,WORKINGS!$N31&amp;" — no spare, BUY "&amp;TEXT(WORKINGS!$R31,"#,##0.0"),IF(WORKINGS!$R31&lt;=0,WORKINGS!$N31&amp;" — MOVE "&amp;TEXT(WORKINGS!$Q31,"#,##0.0"),WORKINGS!$N31&amp;" — MOVE "&amp;TEXT(WORKINGS!$Q31,"#,##0.0")&amp;", BUY "&amp;TEXT(WORKINGS!$R31,"#,##0.0"))))</f>
        <v>HT</v>
      </c>
    </row>
    <row r="32" spans="2:13" ht="15" customHeight="1">
      <c r="B32" s="330" t="str">
        <f>INDEX(WORKINGS!$A$116:$A$141,MATCH(SMALL(WORKINGS!$D$116:$D$141,21),WORKINGS!$D$116:$D$141,0))</f>
        <v>Snap button</v>
      </c>
      <c r="C32" s="331">
        <f>IFERROR(INDEX('MC MASTER'!$C$3:$C$28,MATCH($B32,'MC MASTER'!$B$3:$B$28,0)),0)</f>
        <v>2</v>
      </c>
      <c r="D32" s="332">
        <f>IFERROR(INDEX('MC MAP'!$D$113:$AC$113,MATCH($B32,'MC MAP'!$D$86:$AC$86,0)),0)</f>
        <v>2</v>
      </c>
      <c r="E32" s="332">
        <f>C32-D32</f>
        <v>0</v>
      </c>
      <c r="F32" s="333" t="str">
        <f>IF($D32=0,"IDLE",IF($E32&lt;0,"SHORT",IF($E32/$C32&lt;=0.1,"TIGHT","OK")))</f>
        <v>TIGHT</v>
      </c>
      <c r="G32" s="339">
        <f>IFERROR($D32/$C32,"")</f>
        <v>1</v>
      </c>
      <c r="H32" s="15" t="str">
        <f>IF($E32&gt;=0,WORKINGS!$N32,IF(WORKINGS!$Q32&lt;=0,WORKINGS!$N32&amp;" — no spare, BUY "&amp;TEXT(WORKINGS!$R32,"#,##0.0"),IF(WORKINGS!$R32&lt;=0,WORKINGS!$N32&amp;" — MOVE "&amp;TEXT(WORKINGS!$Q32,"#,##0.0"),WORKINGS!$N32&amp;" — MOVE "&amp;TEXT(WORKINGS!$Q32,"#,##0.0")&amp;", BUY "&amp;TEXT(WORKINGS!$R32,"#,##0.0"))))</f>
        <v>ILET</v>
      </c>
    </row>
    <row r="33" spans="2:8" ht="15" customHeight="1">
      <c r="B33" s="330" t="str">
        <f>INDEX(WORKINGS!$A$116:$A$141,MATCH(SMALL(WORKINGS!$D$116:$D$141,22),WORKINGS!$D$116:$D$141,0))</f>
        <v>Button Hole</v>
      </c>
      <c r="C33" s="331">
        <f>IFERROR(INDEX('MC MASTER'!$C$3:$C$28,MATCH($B33,'MC MASTER'!$B$3:$B$28,0)),0)</f>
        <v>3</v>
      </c>
      <c r="D33" s="332">
        <f>IFERROR(INDEX('MC MAP'!$D$113:$AC$113,MATCH($B33,'MC MAP'!$D$86:$AC$86,0)),0)</f>
        <v>2</v>
      </c>
      <c r="E33" s="332">
        <f>C33-D33</f>
        <v>1</v>
      </c>
      <c r="F33" s="333" t="str">
        <f>IF($D33=0,"IDLE",IF($E33&lt;0,"SHORT",IF($E33/$C33&lt;=0.1,"TIGHT","OK")))</f>
        <v>OK</v>
      </c>
      <c r="G33" s="344">
        <f>IFERROR($D33/$C33,"")</f>
        <v>0.666666666666667</v>
      </c>
      <c r="H33" s="15" t="str">
        <f>IF($E33&gt;=0,WORKINGS!$N33,IF(WORKINGS!$Q33&lt;=0,WORKINGS!$N33&amp;" — no spare, BUY "&amp;TEXT(WORKINGS!$R33,"#,##0.0"),IF(WORKINGS!$R33&lt;=0,WORKINGS!$N33&amp;" — MOVE "&amp;TEXT(WORKINGS!$Q33,"#,##0.0"),WORKINGS!$N33&amp;" — MOVE "&amp;TEXT(WORKINGS!$Q33,"#,##0.0")&amp;", BUY "&amp;TEXT(WORKINGS!$R33,"#,##0.0"))))</f>
        <v>BH</v>
      </c>
    </row>
    <row r="34" spans="2:8" ht="15" customHeight="1">
      <c r="B34" s="330" t="str">
        <f>INDEX(WORKINGS!$A$116:$A$141,MATCH(SMALL(WORKINGS!$D$116:$D$141,23),WORKINGS!$D$116:$D$141,0))</f>
        <v>Button Attach</v>
      </c>
      <c r="C34" s="331">
        <f>IFERROR(INDEX('MC MASTER'!$C$3:$C$28,MATCH($B34,'MC MASTER'!$B$3:$B$28,0)),0)</f>
        <v>1</v>
      </c>
      <c r="D34" s="332">
        <f>IFERROR(INDEX('MC MAP'!$D$113:$AC$113,MATCH($B34,'MC MAP'!$D$86:$AC$86,0)),0)</f>
        <v>0</v>
      </c>
      <c r="E34" s="332">
        <f>C34-D34</f>
        <v>1</v>
      </c>
      <c r="F34" s="333" t="str">
        <f>IF($D34=0,"IDLE",IF($E34&lt;0,"SHORT",IF($E34/$C34&lt;=0.1,"TIGHT","OK")))</f>
        <v>IDLE</v>
      </c>
      <c r="G34" s="334">
        <f>IFERROR($D34/$C34,"")</f>
        <v>0</v>
      </c>
      <c r="H34" s="15" t="str">
        <f>IF($E34&gt;=0,WORKINGS!$N34,IF(WORKINGS!$Q34&lt;=0,WORKINGS!$N34&amp;" — no spare, BUY "&amp;TEXT(WORKINGS!$R34,"#,##0.0"),IF(WORKINGS!$R34&lt;=0,WORKINGS!$N34&amp;" — MOVE "&amp;TEXT(WORKINGS!$Q34,"#,##0.0"),WORKINGS!$N34&amp;" — MOVE "&amp;TEXT(WORKINGS!$Q34,"#,##0.0")&amp;", BUY "&amp;TEXT(WORKINGS!$R34,"#,##0.0"))))</f>
        <v>BA</v>
      </c>
    </row>
    <row r="35" spans="2:8" ht="15" customHeight="1">
      <c r="B35" s="330" t="str">
        <f>INDEX(WORKINGS!$A$116:$A$141,MATCH(SMALL(WORKINGS!$D$116:$D$141,24),WORKINGS!$D$116:$D$141,0))</f>
        <v>Bartack</v>
      </c>
      <c r="C35" s="331">
        <f>IFERROR(INDEX('MC MASTER'!$C$3:$C$28,MATCH($B35,'MC MASTER'!$B$3:$B$28,0)),0)</f>
        <v>13</v>
      </c>
      <c r="D35" s="332">
        <f>IFERROR(INDEX('MC MAP'!$D$113:$AC$113,MATCH($B35,'MC MAP'!$D$86:$AC$86,0)),0)</f>
        <v>4.5</v>
      </c>
      <c r="E35" s="332">
        <f>C35-D35</f>
        <v>8.5</v>
      </c>
      <c r="F35" s="333" t="str">
        <f>IF($D35=0,"IDLE",IF($E35&lt;0,"SHORT",IF($E35/$C35&lt;=0.1,"TIGHT","OK")))</f>
        <v>OK</v>
      </c>
      <c r="G35" s="334">
        <f>IFERROR($D35/$C35,"")</f>
        <v>0.346153846153846</v>
      </c>
      <c r="H35" s="15" t="str">
        <f>IF($E35&gt;=0,WORKINGS!$N35,IF(WORKINGS!$Q35&lt;=0,WORKINGS!$N35&amp;" — no spare, BUY "&amp;TEXT(WORKINGS!$R35,"#,##0.0"),IF(WORKINGS!$R35&lt;=0,WORKINGS!$N35&amp;" — MOVE "&amp;TEXT(WORKINGS!$Q35,"#,##0.0"),WORKINGS!$N35&amp;" — MOVE "&amp;TEXT(WORKINGS!$Q35,"#,##0.0")&amp;", BUY "&amp;TEXT(WORKINGS!$R35,"#,##0.0"))))</f>
        <v>BTK</v>
      </c>
    </row>
    <row r="36" spans="2:8" ht="15" customHeight="1">
      <c r="B36" s="330" t="str">
        <f>INDEX(WORKINGS!$A$116:$A$141,MATCH(SMALL(WORKINGS!$D$116:$D$141,25),WORKINGS!$D$116:$D$141,0))</f>
        <v>Bartack Pattern tacker (LABEL ATTACH )</v>
      </c>
      <c r="C36" s="331">
        <f>IFERROR(INDEX('MC MASTER'!$C$3:$C$28,MATCH($B36,'MC MASTER'!$B$3:$B$28,0)),0)</f>
        <v>2</v>
      </c>
      <c r="D36" s="332">
        <f>IFERROR(INDEX('MC MAP'!$D$113:$AC$113,MATCH($B36,'MC MAP'!$D$86:$AC$86,0)),0)</f>
        <v>0</v>
      </c>
      <c r="E36" s="332">
        <f>C36-D36</f>
        <v>2</v>
      </c>
      <c r="F36" s="333" t="str">
        <f>IF($D36=0,"IDLE",IF($E36&lt;0,"SHORT",IF($E36/$C36&lt;=0.1,"TIGHT","OK")))</f>
        <v>IDLE</v>
      </c>
      <c r="G36" s="334">
        <f>IFERROR($D36/$C36,"")</f>
        <v>0</v>
      </c>
      <c r="H36" s="15" t="str">
        <f>IF($E36&gt;=0,WORKINGS!$N36,IF(WORKINGS!$Q36&lt;=0,WORKINGS!$N36&amp;" — no spare, BUY "&amp;TEXT(WORKINGS!$R36,"#,##0.0"),IF(WORKINGS!$R36&lt;=0,WORKINGS!$N36&amp;" — MOVE "&amp;TEXT(WORKINGS!$Q36,"#,##0.0"),WORKINGS!$N36&amp;" — MOVE "&amp;TEXT(WORKINGS!$Q36,"#,##0.0")&amp;", BUY "&amp;TEXT(WORKINGS!$R36,"#,##0.0"))))</f>
        <v>PATTERN-TACKER</v>
      </c>
    </row>
    <row r="37" spans="2:8" ht="15" customHeight="1">
      <c r="B37" s="377" t="str">
        <f>INDEX(WORKINGS!$A$116:$A$141,MATCH(SMALL(WORKINGS!$D$116:$D$141,26),WORKINGS!$D$116:$D$141,0))</f>
        <v>Bartack Pattern tacker</v>
      </c>
      <c r="C37" s="378">
        <f>IFERROR(INDEX('MC MASTER'!$C$3:$C$28,MATCH($B37,'MC MASTER'!$B$3:$B$28,0)),0)</f>
        <v>35</v>
      </c>
      <c r="D37" s="379">
        <f>IFERROR(INDEX('MC MAP'!$D$113:$AC$113,MATCH($B37,'MC MAP'!$D$86:$AC$86,0)),0)</f>
        <v>29</v>
      </c>
      <c r="E37" s="379">
        <f>C37-D37</f>
        <v>6</v>
      </c>
      <c r="F37" s="380" t="str">
        <f>IF($D37=0,"IDLE",IF($E37&lt;0,"SHORT",IF($E37/$C37&lt;=0.1,"TIGHT","OK")))</f>
        <v>OK</v>
      </c>
      <c r="G37" s="381">
        <f>IFERROR($D37/$C37,"")</f>
        <v>0.828571428571429</v>
      </c>
      <c r="H37" s="15" t="str">
        <f>IF($E37&gt;=0,WORKINGS!$N37,IF(WORKINGS!$Q37&lt;=0,WORKINGS!$N37&amp;" — no spare, BUY "&amp;TEXT(WORKINGS!$R37,"#,##0.0"),IF(WORKINGS!$R37&lt;=0,WORKINGS!$N37&amp;" — MOVE "&amp;TEXT(WORKINGS!$Q37,"#,##0.0"),WORKINGS!$N37&amp;" — MOVE "&amp;TEXT(WORKINGS!$Q37,"#,##0.0")&amp;", BUY "&amp;TEXT(WORKINGS!$R37,"#,##0.0"))))</f>
        <v>PATTERN-TACKER</v>
      </c>
    </row>
    <row r="38" spans="2:8" ht="15" customHeight="1">
      <c r="B38" s="382" t="s">
        <v>34</v>
      </c>
      <c r="C38" s="383">
        <f>SUM(C12:C37)</f>
        <v>920</v>
      </c>
      <c r="D38" s="384">
        <f>SUM(D12:D37)</f>
        <v>808</v>
      </c>
      <c r="E38" s="384">
        <f>C38-D38</f>
        <v>112</v>
      </c>
      <c r="F38" s="385"/>
      <c r="G38" s="386">
        <f>IFERROR(D38/C38,"")</f>
        <v>0.878260869565217</v>
      </c>
      <c r="H38" s="387"/>
    </row>
    <row r="40" spans="2:8" ht="20.100000000000001" customHeight="1">
      <c r="B40" s="321" t="s">
        <v>232</v>
      </c>
      <c r="C40" s="322"/>
      <c r="D40" s="322"/>
      <c r="E40" s="322"/>
      <c r="F40" s="322"/>
      <c r="G40" s="322"/>
      <c r="H40" s="322"/>
    </row>
    <row r="41" spans="2:8">
      <c r="B41" s="388" t="s">
        <v>219</v>
      </c>
      <c r="C41" s="389" t="s">
        <v>6</v>
      </c>
      <c r="D41" s="324" t="s">
        <v>233</v>
      </c>
      <c r="E41" s="324" t="s">
        <v>213</v>
      </c>
      <c r="F41" s="324" t="s">
        <v>234</v>
      </c>
      <c r="G41" s="324" t="s">
        <v>214</v>
      </c>
      <c r="H41" s="325" t="s">
        <v>309</v>
      </c>
    </row>
    <row r="42" spans="2:8">
      <c r="B42" s="390">
        <f>'MC MAP'!A89</f>
        <v>3</v>
      </c>
      <c r="C42" s="391">
        <f>'MC MAP'!C89</f>
        <v>6137</v>
      </c>
      <c r="D42" s="332">
        <f>'MC MAP'!AD89</f>
        <v>29</v>
      </c>
      <c r="E42" s="331">
        <f>'MC MAP'!AE89</f>
        <v>3500</v>
      </c>
      <c r="F42" s="332">
        <f>IFERROR($E42/$D42,"-")</f>
        <v>120.689655172414</v>
      </c>
      <c r="G42" s="391" t="str">
        <f>'MC MAP'!AF89</f>
        <v>OK</v>
      </c>
      <c r="H42" s="392" t="str">
        <f>'MC MAP'!AH89</f>
        <v>BRIEF</v>
      </c>
    </row>
    <row r="43" spans="2:8">
      <c r="B43" s="390">
        <f>'MC MAP'!A93</f>
        <v>7</v>
      </c>
      <c r="C43" s="391">
        <f>'MC MAP'!C93</f>
        <v>6137</v>
      </c>
      <c r="D43" s="332">
        <f>'MC MAP'!AD93</f>
        <v>29</v>
      </c>
      <c r="E43" s="331">
        <f>'MC MAP'!AE93</f>
        <v>3500</v>
      </c>
      <c r="F43" s="332">
        <f>IFERROR($E43/$D43,"-")</f>
        <v>120.689655172414</v>
      </c>
      <c r="G43" s="391" t="str">
        <f>'MC MAP'!AF93</f>
        <v>OK</v>
      </c>
      <c r="H43" s="392" t="str">
        <f>'MC MAP'!AH93</f>
        <v>BRIEF</v>
      </c>
    </row>
    <row r="44" spans="2:8">
      <c r="B44" s="390">
        <f>'MC MAP'!A99</f>
        <v>13</v>
      </c>
      <c r="C44" s="391" t="str">
        <f>'MC MAP'!C99</f>
        <v>RS-17</v>
      </c>
      <c r="D44" s="332">
        <f>'MC MAP'!AD99</f>
        <v>30</v>
      </c>
      <c r="E44" s="331">
        <f>'MC MAP'!AE99</f>
        <v>2000</v>
      </c>
      <c r="F44" s="332">
        <f>IFERROR($E44/$D44,"-")</f>
        <v>66.6666666666667</v>
      </c>
      <c r="G44" s="391" t="str">
        <f>'MC MAP'!AF99</f>
        <v>OK</v>
      </c>
      <c r="H44" s="392" t="str">
        <f>'MC MAP'!AH99</f>
        <v>BRIEF</v>
      </c>
    </row>
    <row r="45" spans="2:8">
      <c r="B45" s="390">
        <f>'MC MAP'!A100</f>
        <v>14</v>
      </c>
      <c r="C45" s="391">
        <f>'MC MAP'!C100</f>
        <v>6137</v>
      </c>
      <c r="D45" s="332">
        <f>'MC MAP'!AD100</f>
        <v>29</v>
      </c>
      <c r="E45" s="331">
        <f>'MC MAP'!AE100</f>
        <v>3500</v>
      </c>
      <c r="F45" s="332">
        <f>IFERROR($E45/$D45,"-")</f>
        <v>120.689655172414</v>
      </c>
      <c r="G45" s="391" t="str">
        <f>'MC MAP'!AF100</f>
        <v>OK</v>
      </c>
      <c r="H45" s="392" t="str">
        <f>'MC MAP'!AH100</f>
        <v>BRIEF</v>
      </c>
    </row>
    <row r="46" spans="2:8">
      <c r="B46" s="390">
        <f>'MC MAP'!A101</f>
        <v>15</v>
      </c>
      <c r="C46" s="391">
        <f>'MC MAP'!C101</f>
        <v>6135</v>
      </c>
      <c r="D46" s="332">
        <f>'MC MAP'!AD101</f>
        <v>33.5</v>
      </c>
      <c r="E46" s="331">
        <f>'MC MAP'!AE101</f>
        <v>3500</v>
      </c>
      <c r="F46" s="332">
        <f>IFERROR($E46/$D46,"-")</f>
        <v>104.477611940299</v>
      </c>
      <c r="G46" s="391" t="str">
        <f>'MC MAP'!AF101</f>
        <v>OK</v>
      </c>
      <c r="H46" s="392" t="str">
        <f>'MC MAP'!AH101</f>
        <v>BRIEF</v>
      </c>
    </row>
    <row r="47" spans="2:8">
      <c r="B47" s="390">
        <f>'MC MAP'!A106</f>
        <v>20</v>
      </c>
      <c r="C47" s="391">
        <f>'MC MAP'!C106</f>
        <v>6137</v>
      </c>
      <c r="D47" s="332">
        <f>'MC MAP'!AD106</f>
        <v>29</v>
      </c>
      <c r="E47" s="331">
        <f>'MC MAP'!AE106</f>
        <v>3500</v>
      </c>
      <c r="F47" s="332">
        <f>IFERROR($E47/$D47,"-")</f>
        <v>120.689655172414</v>
      </c>
      <c r="G47" s="391" t="str">
        <f>'MC MAP'!AF106</f>
        <v>OK</v>
      </c>
      <c r="H47" s="392" t="str">
        <f>'MC MAP'!AH106</f>
        <v>BRIEF</v>
      </c>
    </row>
    <row r="48" spans="2:8">
      <c r="B48" s="390">
        <f>'MC MAP'!A107</f>
        <v>21</v>
      </c>
      <c r="C48" s="391">
        <f>'MC MAP'!C107</f>
        <v>6137</v>
      </c>
      <c r="D48" s="332">
        <f>'MC MAP'!AD107</f>
        <v>29</v>
      </c>
      <c r="E48" s="331">
        <f>'MC MAP'!AE107</f>
        <v>3500</v>
      </c>
      <c r="F48" s="332">
        <f>IFERROR($E48/$D48,"-")</f>
        <v>120.689655172414</v>
      </c>
      <c r="G48" s="391" t="str">
        <f>'MC MAP'!AF107</f>
        <v>OK</v>
      </c>
      <c r="H48" s="392" t="str">
        <f>'MC MAP'!AH107</f>
        <v>BRIEF</v>
      </c>
    </row>
    <row r="49" spans="2:8">
      <c r="B49" s="390">
        <f>'MC MAP'!A109</f>
        <v>23</v>
      </c>
      <c r="C49" s="391">
        <f>'MC MAP'!C109</f>
        <v>6135</v>
      </c>
      <c r="D49" s="332">
        <f>'MC MAP'!AD109</f>
        <v>33.5</v>
      </c>
      <c r="E49" s="331">
        <f>'MC MAP'!AE109</f>
        <v>3500</v>
      </c>
      <c r="F49" s="332">
        <f>IFERROR($E49/$D49,"-")</f>
        <v>104.477611940299</v>
      </c>
      <c r="G49" s="391" t="str">
        <f>'MC MAP'!AF109</f>
        <v>OK</v>
      </c>
      <c r="H49" s="392" t="str">
        <f>'MC MAP'!AH109</f>
        <v>BRIEF</v>
      </c>
    </row>
    <row r="50" spans="2:8">
      <c r="B50" s="390">
        <f>'MC MAP'!A112</f>
        <v>26</v>
      </c>
      <c r="C50" s="391">
        <f>'MC MAP'!C112</f>
        <v>6135</v>
      </c>
      <c r="D50" s="332">
        <f>'MC MAP'!AD112</f>
        <v>33.5</v>
      </c>
      <c r="E50" s="331">
        <f>'MC MAP'!AE112</f>
        <v>3500</v>
      </c>
      <c r="F50" s="332">
        <f>IFERROR($E50/$D50,"-")</f>
        <v>104.477611940299</v>
      </c>
      <c r="G50" s="391" t="str">
        <f>'MC MAP'!AF112</f>
        <v>OK</v>
      </c>
      <c r="H50" s="392" t="str">
        <f>'MC MAP'!AH112</f>
        <v>BRIEF</v>
      </c>
    </row>
    <row r="51" spans="2:8">
      <c r="B51" s="390">
        <f>'MC MAP'!A94</f>
        <v>8</v>
      </c>
      <c r="C51" s="391">
        <f>'MC MAP'!C94</f>
        <v>6109</v>
      </c>
      <c r="D51" s="332">
        <f>'MC MAP'!AD94</f>
        <v>30</v>
      </c>
      <c r="E51" s="331">
        <f>'MC MAP'!AE94</f>
        <v>3500</v>
      </c>
      <c r="F51" s="332">
        <f>IFERROR($E51/$D51,"-")</f>
        <v>116.666666666667</v>
      </c>
      <c r="G51" s="391" t="str">
        <f>'MC MAP'!AF94</f>
        <v>OK</v>
      </c>
      <c r="H51" s="392" t="str">
        <f>'MC MAP'!AH94</f>
        <v>TRUNK</v>
      </c>
    </row>
    <row r="52" spans="2:8">
      <c r="B52" s="390">
        <f>'MC MAP'!A95</f>
        <v>9</v>
      </c>
      <c r="C52" s="391">
        <f>'MC MAP'!C95</f>
        <v>6109</v>
      </c>
      <c r="D52" s="332">
        <f>'MC MAP'!AD95</f>
        <v>30</v>
      </c>
      <c r="E52" s="331">
        <f>'MC MAP'!AE95</f>
        <v>3500</v>
      </c>
      <c r="F52" s="332">
        <f>IFERROR($E52/$D52,"-")</f>
        <v>116.666666666667</v>
      </c>
      <c r="G52" s="391" t="str">
        <f>'MC MAP'!AF95</f>
        <v>OK</v>
      </c>
      <c r="H52" s="392" t="str">
        <f>'MC MAP'!AH95</f>
        <v>TRUNK</v>
      </c>
    </row>
    <row r="53" spans="2:8">
      <c r="B53" s="390">
        <f>'MC MAP'!A96</f>
        <v>10</v>
      </c>
      <c r="C53" s="391">
        <f>'MC MAP'!C96</f>
        <v>6109</v>
      </c>
      <c r="D53" s="332">
        <f>'MC MAP'!AD96</f>
        <v>30</v>
      </c>
      <c r="E53" s="331">
        <f>'MC MAP'!AE96</f>
        <v>3500</v>
      </c>
      <c r="F53" s="332">
        <f>IFERROR($E53/$D53,"-")</f>
        <v>116.666666666667</v>
      </c>
      <c r="G53" s="391" t="str">
        <f>'MC MAP'!AF96</f>
        <v>OK</v>
      </c>
      <c r="H53" s="392" t="str">
        <f>'MC MAP'!AH96</f>
        <v>TRUNK</v>
      </c>
    </row>
    <row r="54" spans="2:8">
      <c r="B54" s="390">
        <f>'MC MAP'!A97</f>
        <v>11</v>
      </c>
      <c r="C54" s="391">
        <f>'MC MAP'!C97</f>
        <v>6108</v>
      </c>
      <c r="D54" s="332">
        <f>'MC MAP'!AD97</f>
        <v>31.5</v>
      </c>
      <c r="E54" s="331">
        <f>'MC MAP'!AE97</f>
        <v>3500</v>
      </c>
      <c r="F54" s="332">
        <f>IFERROR($E54/$D54,"-")</f>
        <v>111.111111111111</v>
      </c>
      <c r="G54" s="391" t="str">
        <f>'MC MAP'!AF97</f>
        <v>OK</v>
      </c>
      <c r="H54" s="392" t="str">
        <f>'MC MAP'!AH97</f>
        <v>TRUNK</v>
      </c>
    </row>
    <row r="55" spans="2:8">
      <c r="B55" s="390">
        <f>'MC MAP'!A98</f>
        <v>12</v>
      </c>
      <c r="C55" s="391">
        <f>'MC MAP'!C98</f>
        <v>6108</v>
      </c>
      <c r="D55" s="332">
        <f>'MC MAP'!AD98</f>
        <v>31.5</v>
      </c>
      <c r="E55" s="331">
        <f>'MC MAP'!AE98</f>
        <v>3500</v>
      </c>
      <c r="F55" s="332">
        <f>IFERROR($E55/$D55,"-")</f>
        <v>111.111111111111</v>
      </c>
      <c r="G55" s="391" t="str">
        <f>'MC MAP'!AF98</f>
        <v>OK</v>
      </c>
      <c r="H55" s="392" t="str">
        <f>'MC MAP'!AH98</f>
        <v>TRUNK</v>
      </c>
    </row>
    <row r="56" spans="2:8">
      <c r="B56" s="390">
        <f>'MC MAP'!A103</f>
        <v>17</v>
      </c>
      <c r="C56" s="391">
        <f>'MC MAP'!C103</f>
        <v>4117</v>
      </c>
      <c r="D56" s="332">
        <f>'MC MAP'!AD103</f>
        <v>30.5</v>
      </c>
      <c r="E56" s="331">
        <f>'MC MAP'!AE103</f>
        <v>3000</v>
      </c>
      <c r="F56" s="332">
        <f>IFERROR($E56/$D56,"-")</f>
        <v>98.3606557377049</v>
      </c>
      <c r="G56" s="391" t="str">
        <f>'MC MAP'!AF103</f>
        <v>OK</v>
      </c>
      <c r="H56" s="392" t="str">
        <f>'MC MAP'!AH103</f>
        <v>TRUNK</v>
      </c>
    </row>
    <row r="57" spans="2:8">
      <c r="B57" s="390">
        <f>'MC MAP'!A104</f>
        <v>18</v>
      </c>
      <c r="C57" s="391">
        <f>'MC MAP'!C104</f>
        <v>4117</v>
      </c>
      <c r="D57" s="332">
        <f>'MC MAP'!AD104</f>
        <v>30.5</v>
      </c>
      <c r="E57" s="331">
        <f>'MC MAP'!AE104</f>
        <v>3000</v>
      </c>
      <c r="F57" s="332">
        <f>IFERROR($E57/$D57,"-")</f>
        <v>98.3606557377049</v>
      </c>
      <c r="G57" s="391" t="str">
        <f>'MC MAP'!AF104</f>
        <v>OK</v>
      </c>
      <c r="H57" s="392" t="str">
        <f>'MC MAP'!AH104</f>
        <v>TRUNK</v>
      </c>
    </row>
    <row r="58" spans="2:8">
      <c r="B58" s="390">
        <f>'MC MAP'!A105</f>
        <v>19</v>
      </c>
      <c r="C58" s="391">
        <f>'MC MAP'!C105</f>
        <v>4115</v>
      </c>
      <c r="D58" s="332">
        <f>'MC MAP'!AD105</f>
        <v>33.5</v>
      </c>
      <c r="E58" s="331">
        <f>'MC MAP'!AE105</f>
        <v>3000</v>
      </c>
      <c r="F58" s="332">
        <f>IFERROR($E58/$D58,"-")</f>
        <v>89.5522388059702</v>
      </c>
      <c r="G58" s="391" t="str">
        <f>'MC MAP'!AF105</f>
        <v>OK</v>
      </c>
      <c r="H58" s="392" t="str">
        <f>'MC MAP'!AH105</f>
        <v>TRUNK</v>
      </c>
    </row>
    <row r="59" spans="2:8">
      <c r="B59" s="390">
        <f>'MC MAP'!A90</f>
        <v>4</v>
      </c>
      <c r="C59" s="391" t="str">
        <f>'MC MAP'!C90</f>
        <v>RS-27</v>
      </c>
      <c r="D59" s="332">
        <f>'MC MAP'!AD90</f>
        <v>25</v>
      </c>
      <c r="E59" s="331">
        <f>'MC MAP'!AE90</f>
        <v>3000</v>
      </c>
      <c r="F59" s="332">
        <f>IFERROR($E59/$D59,"-")</f>
        <v>120</v>
      </c>
      <c r="G59" s="391" t="str">
        <f>'MC MAP'!AF90</f>
        <v>OK</v>
      </c>
      <c r="H59" s="392" t="str">
        <f>'MC MAP'!AH90</f>
        <v>VEST</v>
      </c>
    </row>
    <row r="60" spans="2:8">
      <c r="B60" s="390">
        <f>'MC MAP'!A91</f>
        <v>5</v>
      </c>
      <c r="C60" s="391">
        <f>'MC MAP'!C91</f>
        <v>6820</v>
      </c>
      <c r="D60" s="332">
        <f>'MC MAP'!AD91</f>
        <v>32</v>
      </c>
      <c r="E60" s="331">
        <f>'MC MAP'!AE91</f>
        <v>5000</v>
      </c>
      <c r="F60" s="332">
        <f>IFERROR($E60/$D60,"-")</f>
        <v>156.25</v>
      </c>
      <c r="G60" s="391" t="str">
        <f>'MC MAP'!AF91</f>
        <v>OK</v>
      </c>
      <c r="H60" s="392" t="str">
        <f>'MC MAP'!AH91</f>
        <v>VEST</v>
      </c>
    </row>
    <row r="61" spans="2:8">
      <c r="B61" s="390">
        <f>'MC MAP'!A92</f>
        <v>6</v>
      </c>
      <c r="C61" s="391">
        <f>'MC MAP'!C92</f>
        <v>6820</v>
      </c>
      <c r="D61" s="332">
        <f>'MC MAP'!AD92</f>
        <v>32</v>
      </c>
      <c r="E61" s="331">
        <f>'MC MAP'!AE92</f>
        <v>5000</v>
      </c>
      <c r="F61" s="332">
        <f>IFERROR($E61/$D61,"-")</f>
        <v>156.25</v>
      </c>
      <c r="G61" s="391" t="str">
        <f>'MC MAP'!AF92</f>
        <v>OK</v>
      </c>
      <c r="H61" s="392" t="str">
        <f>'MC MAP'!AH92</f>
        <v>VEST</v>
      </c>
    </row>
    <row r="62" spans="2:8">
      <c r="B62" s="390">
        <f>'MC MAP'!A102</f>
        <v>16</v>
      </c>
      <c r="C62" s="391" t="str">
        <f>'MC MAP'!C102</f>
        <v>Panty</v>
      </c>
      <c r="D62" s="332">
        <f>'MC MAP'!AD102</f>
        <v>29.5</v>
      </c>
      <c r="E62" s="331">
        <f>'MC MAP'!AE102</f>
        <v>5000</v>
      </c>
      <c r="F62" s="332">
        <f>IFERROR($E62/$D62,"-")</f>
        <v>169.491525423729</v>
      </c>
      <c r="G62" s="391" t="str">
        <f>'MC MAP'!AF102</f>
        <v>OK</v>
      </c>
      <c r="H62" s="392" t="str">
        <f>'MC MAP'!AH102</f>
        <v>PANTY</v>
      </c>
    </row>
    <row r="63" spans="2:8">
      <c r="B63" s="390">
        <f>'MC MAP'!A88</f>
        <v>2</v>
      </c>
      <c r="C63" s="391">
        <f>'MC MAP'!C88</f>
        <v>4300</v>
      </c>
      <c r="D63" s="332">
        <f>'MC MAP'!AD88</f>
        <v>37.5</v>
      </c>
      <c r="E63" s="331">
        <f>'MC MAP'!AE88</f>
        <v>1000</v>
      </c>
      <c r="F63" s="332">
        <f>IFERROR($E63/$D63,"-")</f>
        <v>26.6666666666667</v>
      </c>
      <c r="G63" s="391" t="str">
        <f>'MC MAP'!AF88</f>
        <v>OK</v>
      </c>
      <c r="H63" s="392" t="str">
        <f>'MC MAP'!AH88</f>
        <v>PAJAMA</v>
      </c>
    </row>
    <row r="64" spans="2:8">
      <c r="B64" s="390">
        <f>'MC MAP'!A108</f>
        <v>22</v>
      </c>
      <c r="C64" s="391" t="str">
        <f>'MC MAP'!C108</f>
        <v>TH-02</v>
      </c>
      <c r="D64" s="332">
        <f>'MC MAP'!AD108</f>
        <v>28</v>
      </c>
      <c r="E64" s="331">
        <f>'MC MAP'!AE108</f>
        <v>1200</v>
      </c>
      <c r="F64" s="332">
        <f>IFERROR($E64/$D64,"-")</f>
        <v>42.8571428571429</v>
      </c>
      <c r="G64" s="391" t="str">
        <f>'MC MAP'!AF108</f>
        <v>OK</v>
      </c>
      <c r="H64" s="392" t="str">
        <f>'MC MAP'!AH108</f>
        <v>THERMAL</v>
      </c>
    </row>
    <row r="65" spans="2:13">
      <c r="B65" s="390">
        <f>'MC MAP'!A110</f>
        <v>24</v>
      </c>
      <c r="C65" s="391">
        <f>'MC MAP'!C110</f>
        <v>5520</v>
      </c>
      <c r="D65" s="332">
        <f>'MC MAP'!AD110</f>
        <v>32</v>
      </c>
      <c r="E65" s="331">
        <f>'MC MAP'!AE110</f>
        <v>2000</v>
      </c>
      <c r="F65" s="332">
        <f>IFERROR($E65/$D65,"-")</f>
        <v>62.5</v>
      </c>
      <c r="G65" s="391" t="str">
        <f>'MC MAP'!AF110</f>
        <v>OK</v>
      </c>
      <c r="H65" s="392" t="str">
        <f>'MC MAP'!AH110</f>
        <v>THERMAL</v>
      </c>
    </row>
    <row r="66" spans="2:13">
      <c r="B66" s="390">
        <f>'MC MAP'!A111</f>
        <v>25</v>
      </c>
      <c r="C66" s="391">
        <f>'MC MAP'!C111</f>
        <v>5520</v>
      </c>
      <c r="D66" s="332">
        <f>'MC MAP'!AD111</f>
        <v>32</v>
      </c>
      <c r="E66" s="331">
        <f>'MC MAP'!AE111</f>
        <v>2000</v>
      </c>
      <c r="F66" s="332">
        <f>IFERROR($E66/$D66,"-")</f>
        <v>62.5</v>
      </c>
      <c r="G66" s="391" t="str">
        <f>'MC MAP'!AF111</f>
        <v>OK</v>
      </c>
      <c r="H66" s="392" t="str">
        <f>'MC MAP'!AH111</f>
        <v>THERMAL</v>
      </c>
    </row>
    <row r="67" spans="2:13">
      <c r="B67" s="393">
        <f>'MC MAP'!A87</f>
        <v>1</v>
      </c>
      <c r="C67" s="394">
        <f>'MC MAP'!C87</f>
        <v>7926</v>
      </c>
      <c r="D67" s="379">
        <f>'MC MAP'!AD87</f>
        <v>37</v>
      </c>
      <c r="E67" s="378">
        <f>'MC MAP'!AE87</f>
        <v>1000</v>
      </c>
      <c r="F67" s="379">
        <f>IFERROR($E67/$D67,"-")</f>
        <v>27.027027027027</v>
      </c>
      <c r="G67" s="394" t="str">
        <f>'MC MAP'!AF87</f>
        <v>OK</v>
      </c>
      <c r="H67" s="395" t="str">
        <f>'MC MAP'!AH87</f>
        <v>SHORTS</v>
      </c>
    </row>
    <row r="68" spans="2:13">
      <c r="B68" s="382" t="s">
        <v>34</v>
      </c>
      <c r="C68" s="396"/>
      <c r="D68" s="384">
        <f>SUM(D42:D67)</f>
        <v>808</v>
      </c>
      <c r="E68" s="383">
        <f>SUM(E42:E67)</f>
        <v>81700</v>
      </c>
      <c r="F68" s="384">
        <f>IFERROR(E68/D68,"-")</f>
        <v>101.113861386139</v>
      </c>
      <c r="G68" s="396"/>
      <c r="H68" s="397"/>
    </row>
    <row r="70" spans="2:13" ht="20.100000000000001" customHeight="1">
      <c r="B70" s="321" t="str">
        <f>"MACHINES AND OUTPUT BY GARMENT TYPE ON "&amp;UPPER(TEXT(WORKINGS!$B$75,"ddd d-mmm-yyyy"))</f>
        <v>MACHINES AND OUTPUT BY GARMENT TYPE ON SAT 8-AUG-2026</v>
      </c>
      <c r="C70" s="322"/>
      <c r="D70" s="322"/>
      <c r="E70" s="322"/>
      <c r="F70" s="322"/>
      <c r="G70" s="322"/>
      <c r="I70" s="321" t="str">
        <f>"MACHINES ENGAGED IN ONE GARMENT ON "&amp;UPPER(TEXT(WORKINGS!$B$75,"ddd d-mmm-yyyy"))</f>
        <v>MACHINES ENGAGED IN ONE GARMENT ON SAT 8-AUG-2026</v>
      </c>
      <c r="J70" s="322"/>
      <c r="K70" s="322"/>
      <c r="L70" s="322"/>
      <c r="M70" s="322"/>
    </row>
    <row r="71" spans="2:13" ht="15" customHeight="1">
      <c r="B71" s="398" t="s">
        <v>309</v>
      </c>
      <c r="C71" s="399" t="s">
        <v>256</v>
      </c>
      <c r="D71" s="399" t="s">
        <v>233</v>
      </c>
      <c r="E71" s="399" t="s">
        <v>213</v>
      </c>
      <c r="F71" s="400" t="s">
        <v>257</v>
      </c>
      <c r="G71" s="401" t="s">
        <v>217</v>
      </c>
      <c r="I71" s="402" t="s">
        <v>366</v>
      </c>
      <c r="K71" s="466" t="s">
        <v>21</v>
      </c>
      <c r="M71" s="403" t="s">
        <v>372</v>
      </c>
    </row>
    <row r="72" spans="2:13" ht="15" customHeight="1">
      <c r="B72" s="404" t="str">
        <f>'MC MAP'!$AJ33</f>
        <v>BRIEF</v>
      </c>
      <c r="C72" s="405">
        <f>COUNTIF($H$42:$H$67,$B72)</f>
        <v>9</v>
      </c>
      <c r="D72" s="406">
        <f>SUMIF($H$42:$H$67,$B72,$D$42:$D$67)</f>
        <v>275.5</v>
      </c>
      <c r="E72" s="405">
        <f>SUMIF($H$42:$H$67,$B72,$E$42:$E$67)</f>
        <v>30000</v>
      </c>
      <c r="F72" s="407">
        <f>IFERROR($D72/$D$80,"-")</f>
        <v>0.340965346534654</v>
      </c>
      <c r="G72" s="408"/>
      <c r="I72" s="409" t="s">
        <v>228</v>
      </c>
      <c r="J72" s="410" t="s">
        <v>367</v>
      </c>
      <c r="K72" s="410" t="s">
        <v>368</v>
      </c>
      <c r="L72" s="410" t="s">
        <v>209</v>
      </c>
      <c r="M72" s="410" t="s">
        <v>371</v>
      </c>
    </row>
    <row r="73" spans="2:13" ht="15" customHeight="1">
      <c r="B73" s="404" t="str">
        <f>'MC MAP'!$AJ34</f>
        <v>TRUNK</v>
      </c>
      <c r="C73" s="405">
        <f>COUNTIF($H$42:$H$67,$B73)</f>
        <v>8</v>
      </c>
      <c r="D73" s="406">
        <f>SUMIF($H$42:$H$67,$B73,$D$42:$D$67)</f>
        <v>247.5</v>
      </c>
      <c r="E73" s="405">
        <f>SUMIF($H$42:$H$67,$B73,$E$42:$E$67)</f>
        <v>26500</v>
      </c>
      <c r="F73" s="407">
        <f>IFERROR($D73/$D$80,"-")</f>
        <v>0.306311881188119</v>
      </c>
      <c r="G73" s="408"/>
      <c r="I73" s="411" t="str">
        <f>IFERROR(IF(LARGE(WORKINGS!$C$41:$C$66,ROW()-72)&lt;=0,"",INDEX(WORKINGS!$A$41:$A$66,MATCH(LARGE(WORKINGS!$C$41:$C$66,ROW()-72),WORKINGS!$C$41:$C$66,0))),"")</f>
        <v>4th Overlock</v>
      </c>
      <c r="J73" s="412">
        <f>IF($I73="","",INDEX(WORKINGS!$B$41:$B$66,MATCH($I73,WORKINGS!$A$41:$A$66,0)))</f>
        <v>76</v>
      </c>
      <c r="K73" s="413">
        <f>IFERROR(IF($I73="","",$J73/INDEX('MC MAP'!$CB$35:$CB$42,MATCH($K$71,'MC MAP'!$BA$35:$BA$42,0))),"")</f>
        <v>0.307070707070707</v>
      </c>
      <c r="L73" s="414">
        <f>IFERROR(IF($I73="","",INDEX('MC MASTER'!$C$3:$C$28,MATCH($I73,'MC MASTER'!$B$3:$B$28,0))),"")</f>
        <v>279</v>
      </c>
      <c r="M73" s="415">
        <f>IFERROR(IF($I73="","",$J73/$L73),"")</f>
        <v>0.272401433691756</v>
      </c>
    </row>
    <row r="74" spans="2:13" ht="15" customHeight="1">
      <c r="B74" s="404" t="str">
        <f>'MC MAP'!$AJ35</f>
        <v>VEST</v>
      </c>
      <c r="C74" s="405">
        <f>COUNTIF($H$42:$H$67,$B74)</f>
        <v>3</v>
      </c>
      <c r="D74" s="406">
        <f>SUMIF($H$42:$H$67,$B74,$D$42:$D$67)</f>
        <v>89</v>
      </c>
      <c r="E74" s="405">
        <f>SUMIF($H$42:$H$67,$B74,$E$42:$E$67)</f>
        <v>13000</v>
      </c>
      <c r="F74" s="407">
        <f>IFERROR($D74/$D$80,"-")</f>
        <v>0.110148514851485</v>
      </c>
      <c r="G74" s="408"/>
      <c r="I74" s="411" t="str">
        <f>IFERROR(IF(LARGE(WORKINGS!$C$41:$C$66,ROW()-72)&lt;=0,"",INDEX(WORKINGS!$A$41:$A$66,MATCH(LARGE(WORKINGS!$C$41:$C$66,ROW()-72),WORKINGS!$C$41:$C$66,0))),"")</f>
        <v>SNLS</v>
      </c>
      <c r="J74" s="412">
        <f>IF($I74="","",INDEX(WORKINGS!$B$41:$B$66,MATCH($I74,WORKINGS!$A$41:$A$66,0)))</f>
        <v>47</v>
      </c>
      <c r="K74" s="413">
        <f>IFERROR(IF($I74="","",$J74/INDEX('MC MAP'!$CB$35:$CB$42,MATCH($K$71,'MC MAP'!$BA$35:$BA$42,0))),"")</f>
        <v>0.18989898989899</v>
      </c>
      <c r="L74" s="414">
        <f>IFERROR(IF($I74="","",INDEX('MC MASTER'!$C$3:$C$28,MATCH($I74,'MC MASTER'!$B$3:$B$28,0))),"")</f>
        <v>185</v>
      </c>
      <c r="M74" s="415">
        <f>IFERROR(IF($I74="","",$J74/$L74),"")</f>
        <v>0.254054054054054</v>
      </c>
    </row>
    <row r="75" spans="2:13" ht="15" customHeight="1">
      <c r="B75" s="404" t="str">
        <f>'MC MAP'!$AJ36</f>
        <v>THERMAL</v>
      </c>
      <c r="C75" s="405">
        <f>COUNTIF($H$42:$H$67,$B75)</f>
        <v>3</v>
      </c>
      <c r="D75" s="406">
        <f>SUMIF($H$42:$H$67,$B75,$D$42:$D$67)</f>
        <v>92</v>
      </c>
      <c r="E75" s="405">
        <f>SUMIF($H$42:$H$67,$B75,$E$42:$E$67)</f>
        <v>5200</v>
      </c>
      <c r="F75" s="407">
        <f>IFERROR($D75/$D$80,"-")</f>
        <v>0.113861386138614</v>
      </c>
      <c r="G75" s="408"/>
      <c r="I75" s="411" t="str">
        <f>IFERROR(IF(LARGE(WORKINGS!$C$41:$C$66,ROW()-72)&lt;=0,"",INDEX(WORKINGS!$A$41:$A$66,MATCH(LARGE(WORKINGS!$C$41:$C$66,ROW()-72),WORKINGS!$C$41:$C$66,0))),"")</f>
        <v>3N5T-F/L -( TopStitch)</v>
      </c>
      <c r="J75" s="412">
        <f>IF($I75="","",INDEX(WORKINGS!$B$41:$B$66,MATCH($I75,WORKINGS!$A$41:$A$66,0)))</f>
        <v>29</v>
      </c>
      <c r="K75" s="413">
        <f>IFERROR(IF($I75="","",$J75/INDEX('MC MAP'!$CB$35:$CB$42,MATCH($K$71,'MC MAP'!$BA$35:$BA$42,0))),"")</f>
        <v>0.117171717171717</v>
      </c>
      <c r="L75" s="414">
        <f>IFERROR(IF($I75="","",INDEX('MC MASTER'!$C$3:$C$28,MATCH($I75,'MC MASTER'!$B$3:$B$28,0))),"")</f>
        <v>54</v>
      </c>
      <c r="M75" s="415">
        <f>IFERROR(IF($I75="","",$J75/$L75),"")</f>
        <v>0.537037037037037</v>
      </c>
    </row>
    <row r="76" spans="2:13" ht="15" customHeight="1">
      <c r="B76" s="404" t="str">
        <f>'MC MAP'!$AJ37</f>
        <v>SHORTS</v>
      </c>
      <c r="C76" s="405">
        <f>COUNTIF($H$42:$H$67,$B76)</f>
        <v>1</v>
      </c>
      <c r="D76" s="406">
        <f>SUMIF($H$42:$H$67,$B76,$D$42:$D$67)</f>
        <v>37</v>
      </c>
      <c r="E76" s="405">
        <f>SUMIF($H$42:$H$67,$B76,$E$42:$E$67)</f>
        <v>1000</v>
      </c>
      <c r="F76" s="407">
        <f>IFERROR($D76/$D$80,"-")</f>
        <v>0.0457920792079208</v>
      </c>
      <c r="G76" s="408"/>
      <c r="I76" s="411" t="str">
        <f>IFERROR(IF(LARGE(WORKINGS!$C$41:$C$66,ROW()-72)&lt;=0,"",INDEX(WORKINGS!$A$41:$A$66,MATCH(LARGE(WORKINGS!$C$41:$C$66,ROW()-72),WORKINGS!$C$41:$C$66,0))),"")</f>
        <v>Overlock (Ring Elastic Attach)</v>
      </c>
      <c r="J76" s="412">
        <f>IF($I76="","",INDEX(WORKINGS!$B$41:$B$66,MATCH($I76,WORKINGS!$A$41:$A$66,0)))</f>
        <v>18</v>
      </c>
      <c r="K76" s="413">
        <f>IFERROR(IF($I76="","",$J76/INDEX('MC MAP'!$CB$35:$CB$42,MATCH($K$71,'MC MAP'!$BA$35:$BA$42,0))),"")</f>
        <v>0.0727272727272727</v>
      </c>
      <c r="L76" s="414">
        <f>IFERROR(IF($I76="","",INDEX('MC MASTER'!$C$3:$C$28,MATCH($I76,'MC MASTER'!$B$3:$B$28,0))),"")</f>
        <v>29</v>
      </c>
      <c r="M76" s="415">
        <f>IFERROR(IF($I76="","",$J76/$L76),"")</f>
        <v>0.620689655172414</v>
      </c>
    </row>
    <row r="77" spans="2:13" ht="15" customHeight="1">
      <c r="B77" s="416" t="str">
        <f>'MC MAP'!$AJ38</f>
        <v>PAJAMA</v>
      </c>
      <c r="C77" s="405">
        <f>COUNTIF($H$42:$H$67,$B77)</f>
        <v>1</v>
      </c>
      <c r="D77" s="406">
        <f>SUMIF($H$42:$H$67,$B77,$D$42:$D$67)</f>
        <v>37.5</v>
      </c>
      <c r="E77" s="405">
        <f>SUMIF($H$42:$H$67,$B77,$E$42:$E$67)</f>
        <v>1000</v>
      </c>
      <c r="F77" s="407">
        <f>IFERROR($D77/$D$80,"-")</f>
        <v>0.0464108910891089</v>
      </c>
      <c r="G77" s="408"/>
      <c r="I77" s="411" t="str">
        <f>IFERROR(IF(LARGE(WORKINGS!$C$41:$C$66,ROW()-72)&lt;=0,"",INDEX(WORKINGS!$A$41:$A$66,MATCH(LARGE(WORKINGS!$C$41:$C$66,ROW()-72),WORKINGS!$C$41:$C$66,0))),"")</f>
        <v>3N5T-F/L -BINDING</v>
      </c>
      <c r="J77" s="412">
        <f>IF($I77="","",INDEX(WORKINGS!$B$41:$B$66,MATCH($I77,WORKINGS!$A$41:$A$66,0)))</f>
        <v>17</v>
      </c>
      <c r="K77" s="413">
        <f>IFERROR(IF($I77="","",$J77/INDEX('MC MAP'!$CB$35:$CB$42,MATCH($K$71,'MC MAP'!$BA$35:$BA$42,0))),"")</f>
        <v>0.0686868686868687</v>
      </c>
      <c r="L77" s="414">
        <f>IFERROR(IF($I77="","",INDEX('MC MASTER'!$C$3:$C$28,MATCH($I77,'MC MASTER'!$B$3:$B$28,0))),"")</f>
        <v>58</v>
      </c>
      <c r="M77" s="415">
        <f>IFERROR(IF($I77="","",$J77/$L77),"")</f>
        <v>0.293103448275862</v>
      </c>
    </row>
    <row r="78" spans="2:13" ht="15" customHeight="1">
      <c r="B78" s="416" t="str">
        <f>'MC MAP'!$AJ39</f>
        <v>PANTY</v>
      </c>
      <c r="C78" s="405">
        <f>COUNTIF($H$42:$H$67,$B78)</f>
        <v>1</v>
      </c>
      <c r="D78" s="406">
        <f>SUMIF($H$42:$H$67,$B78,$D$42:$D$67)</f>
        <v>29.5</v>
      </c>
      <c r="E78" s="405">
        <f>SUMIF($H$42:$H$67,$B78,$E$42:$E$67)</f>
        <v>5000</v>
      </c>
      <c r="F78" s="407">
        <f>IFERROR($D78/$D$80,"-")</f>
        <v>0.036509900990099</v>
      </c>
      <c r="G78" s="408"/>
      <c r="I78" s="411" t="str">
        <f>IFERROR(IF(LARGE(WORKINGS!$C$41:$C$66,ROW()-72)&lt;=0,"",INDEX(WORKINGS!$A$41:$A$66,MATCH(LARGE(WORKINGS!$C$41:$C$66,ROW()-72),WORKINGS!$C$41:$C$66,0))),"")</f>
        <v>Flatlock (Ring Elastic Attach)</v>
      </c>
      <c r="J78" s="412">
        <f>IF($I78="","",INDEX(WORKINGS!$B$41:$B$66,MATCH($I78,WORKINGS!$A$41:$A$66,0)))</f>
        <v>16.5</v>
      </c>
      <c r="K78" s="413">
        <f>IFERROR(IF($I78="","",$J78/INDEX('MC MAP'!$CB$35:$CB$42,MATCH($K$71,'MC MAP'!$BA$35:$BA$42,0))),"")</f>
        <v>0.0666666666666667</v>
      </c>
      <c r="L78" s="414">
        <f>IFERROR(IF($I78="","",INDEX('MC MASTER'!$C$3:$C$28,MATCH($I78,'MC MASTER'!$B$3:$B$28,0))),"")</f>
        <v>42</v>
      </c>
      <c r="M78" s="415">
        <f>IFERROR(IF($I78="","",$J78/$L78),"")</f>
        <v>0.392857142857143</v>
      </c>
    </row>
    <row r="79" spans="2:13" ht="15" customHeight="1">
      <c r="B79" s="417" t="s">
        <v>311</v>
      </c>
      <c r="C79" s="418">
        <f>COUNTA($H$42:$H$67)-SUM($C$72:$C$78)</f>
        <v>0</v>
      </c>
      <c r="D79" s="419">
        <f>$D$68-SUM($D$72:$D$78)</f>
        <v>0</v>
      </c>
      <c r="E79" s="418">
        <f>$E$68-SUM($E$72:$E$78)</f>
        <v>0</v>
      </c>
      <c r="F79" s="420">
        <f>IFERROR($D79/$D$80,"-")</f>
        <v>0</v>
      </c>
      <c r="G79" s="421"/>
      <c r="I79" s="422" t="str">
        <f>IFERROR(IF(LARGE(WORKINGS!$C$41:$C$66,ROW()-72)&lt;=0,"",INDEX(WORKINGS!$A$41:$A$66,MATCH(LARGE(WORKINGS!$C$41:$C$66,ROW()-72),WORKINGS!$C$41:$C$66,0))),"")</f>
        <v>Bartack Pattern tacker</v>
      </c>
      <c r="J79" s="423">
        <f>IF($I79="","",INDEX(WORKINGS!$B$41:$B$66,MATCH($I79,WORKINGS!$A$41:$A$66,0)))</f>
        <v>14</v>
      </c>
      <c r="K79" s="424">
        <f>IFERROR(IF($I79="","",$J79/INDEX('MC MAP'!$CB$35:$CB$42,MATCH($K$71,'MC MAP'!$BA$35:$BA$42,0))),"")</f>
        <v>0.0565656565656566</v>
      </c>
      <c r="L79" s="425">
        <f>IFERROR(IF($I79="","",INDEX('MC MASTER'!$C$3:$C$28,MATCH($I79,'MC MASTER'!$B$3:$B$28,0))),"")</f>
        <v>35</v>
      </c>
      <c r="M79" s="426">
        <f>IFERROR(IF($I79="","",$J79/$L79),"")</f>
        <v>0.4</v>
      </c>
    </row>
    <row r="80" spans="2:13" ht="15" customHeight="1">
      <c r="B80" s="427" t="s">
        <v>34</v>
      </c>
      <c r="C80" s="428">
        <f>SUM($C$72:$C$79)</f>
        <v>26</v>
      </c>
      <c r="D80" s="429">
        <f>SUM($D$72:$D$79)</f>
        <v>808</v>
      </c>
      <c r="E80" s="428">
        <f>SUM($E$72:$E$79)</f>
        <v>81700</v>
      </c>
      <c r="F80" s="430">
        <f>IFERROR($D80/$D$80,"-")</f>
        <v>1</v>
      </c>
      <c r="G80" s="431" t="str">
        <f>IF(AND($C80=COUNTA($B$42:$B$67),ABS($D80-$D$68)&lt;0.01,ABS($E80-$E$68)&lt;0.01),"TIES TO LINE TABLE","** DOES NOT TIE — check the garment list **")</f>
        <v>TIES TO LINE TABLE</v>
      </c>
      <c r="I80" s="432" t="str">
        <f>"TOTAL "&amp;$K$71&amp;" — all "&amp;COUNTIF(WORKINGS!$B$41:$B$66,"&gt;0")&amp;" groups used"</f>
        <v>TOTAL TRUNK — all 12 groups used</v>
      </c>
      <c r="J80" s="433">
        <f>IFERROR(INDEX('MC MAP'!$CB$35:$CB$42,MATCH($K$71,'MC MAP'!$BA$35:$BA$42,0)),0)</f>
        <v>247.5</v>
      </c>
      <c r="K80" s="434">
        <f>IFERROR($J80/$J80,"")</f>
        <v>1</v>
      </c>
      <c r="L80" s="435" t="str">
        <f>IFERROR(INDEX('MC MAP'!$CC$35:$CC$42,MATCH($K$71,'MC MAP'!$BA$35:$BA$42,0))&amp;" lines","")</f>
        <v>8 lines</v>
      </c>
      <c r="M80" s="436">
        <f>IFERROR(IF($J80=0,"",$J80/'MC MASTER'!$C$29),"")</f>
        <v>0.269021739130435</v>
      </c>
    </row>
    <row r="81" spans="2:8" ht="20.100000000000001" customHeight="1">
      <c r="B81" s="321" t="s">
        <v>292</v>
      </c>
      <c r="C81" s="322"/>
      <c r="D81" s="322"/>
      <c r="E81" s="322"/>
      <c r="F81" s="322"/>
      <c r="G81" s="322"/>
      <c r="H81" s="322"/>
    </row>
    <row r="82" spans="2:8">
      <c r="B82" s="326"/>
      <c r="C82" s="326"/>
      <c r="D82" s="326"/>
      <c r="E82" s="326"/>
      <c r="F82" s="326"/>
      <c r="G82" s="326"/>
      <c r="H82" s="326"/>
    </row>
    <row r="83" spans="2:8">
      <c r="B83" s="11" t="s">
        <v>228</v>
      </c>
      <c r="C83" s="276" t="s">
        <v>209</v>
      </c>
      <c r="D83" s="276" t="s">
        <v>293</v>
      </c>
      <c r="E83" s="276" t="s">
        <v>294</v>
      </c>
      <c r="F83" s="276" t="s">
        <v>295</v>
      </c>
      <c r="G83" s="276" t="s">
        <v>296</v>
      </c>
      <c r="H83" s="276" t="s">
        <v>297</v>
      </c>
    </row>
    <row r="84" spans="2:8">
      <c r="B84" s="437" t="str">
        <f>$B12</f>
        <v>SNLS</v>
      </c>
      <c r="C84" s="438">
        <f>$C12</f>
        <v>185</v>
      </c>
      <c r="D84" s="439">
        <f>$D12</f>
        <v>152</v>
      </c>
      <c r="E84" s="440">
        <f>MAX(INDEX('DEMAND BY DATE'!$B$4:$AA$203,0,MATCH($B84,'DEMAND BY DATE'!$B$3:$AA$3,0)))</f>
        <v>152</v>
      </c>
      <c r="F84" s="441">
        <f>IF($E84=0,"—",IFERROR(INDEX('DEMAND BY DATE'!$A$4:$A$203,MATCH($E84,INDEX('DEMAND BY DATE'!$B$4:$AA$203,0,MATCH($B84,'DEMAND BY DATE'!$B$3:$AA$3,0)),0)),""))</f>
        <v>46235</v>
      </c>
      <c r="G84" s="440">
        <f>$C84-$E84</f>
        <v>33</v>
      </c>
      <c r="H84" s="442" t="str">
        <f>IF($E84=0,"IDLE ALL PLAN",IF($G84&lt;0,"BUY "&amp;TEXT(-$G84,"#,##0.0"),IF($G84/$C84&lt;=0.1,"TIGHT","OK")))</f>
        <v>OK</v>
      </c>
    </row>
    <row r="85" spans="2:8">
      <c r="B85" s="443" t="str">
        <f>$B13</f>
        <v>DNLS</v>
      </c>
      <c r="C85" s="444">
        <f>$C13</f>
        <v>8</v>
      </c>
      <c r="D85" s="445">
        <f>$D13</f>
        <v>1</v>
      </c>
      <c r="E85" s="446">
        <f>MAX(INDEX('DEMAND BY DATE'!$B$4:$AA$203,0,MATCH($B85,'DEMAND BY DATE'!$B$3:$AA$3,0)))</f>
        <v>1</v>
      </c>
      <c r="F85" s="447">
        <f>IF($E85=0,"—",IFERROR(INDEX('DEMAND BY DATE'!$A$4:$A$203,MATCH($E85,INDEX('DEMAND BY DATE'!$B$4:$AA$203,0,MATCH($B85,'DEMAND BY DATE'!$B$3:$AA$3,0)),0)),""))</f>
        <v>46235</v>
      </c>
      <c r="G85" s="446">
        <f>$C85-$E85</f>
        <v>7</v>
      </c>
      <c r="H85" s="448" t="str">
        <f>IF($E85=0,"IDLE ALL PLAN",IF($G85&lt;0,"BUY "&amp;TEXT(-$G85,"#,##0.0"),IF($G85/$C85&lt;=0.1,"TIGHT","OK")))</f>
        <v>OK</v>
      </c>
    </row>
    <row r="86" spans="2:8">
      <c r="B86" s="443" t="str">
        <f>$B14</f>
        <v>SNLS - Edge cutter</v>
      </c>
      <c r="C86" s="444">
        <f>$C14</f>
        <v>2</v>
      </c>
      <c r="D86" s="445">
        <f>$D14</f>
        <v>0</v>
      </c>
      <c r="E86" s="446">
        <f>MAX(INDEX('DEMAND BY DATE'!$B$4:$AA$203,0,MATCH($B86,'DEMAND BY DATE'!$B$3:$AA$3,0)))</f>
        <v>0</v>
      </c>
      <c r="F86" s="447" t="str">
        <f>IF($E86=0,"—",IFERROR(INDEX('DEMAND BY DATE'!$A$4:$A$203,MATCH($E86,INDEX('DEMAND BY DATE'!$B$4:$AA$203,0,MATCH($B86,'DEMAND BY DATE'!$B$3:$AA$3,0)),0)),""))</f>
        <v>—</v>
      </c>
      <c r="G86" s="446">
        <f>$C86-$E86</f>
        <v>2</v>
      </c>
      <c r="H86" s="448" t="str">
        <f>IF($E86=0,"IDLE ALL PLAN",IF($G86&lt;0,"BUY "&amp;TEXT(-$G86,"#,##0.0"),IF($G86/$C86&lt;=0.1,"TIGHT","OK")))</f>
        <v>IDLE ALL PLAN</v>
      </c>
    </row>
    <row r="87" spans="2:8">
      <c r="B87" s="443" t="str">
        <f>$B15</f>
        <v>Zig - Zag</v>
      </c>
      <c r="C87" s="444">
        <f>$C15</f>
        <v>8</v>
      </c>
      <c r="D87" s="445">
        <f>$D15</f>
        <v>4</v>
      </c>
      <c r="E87" s="446">
        <f>MAX(INDEX('DEMAND BY DATE'!$B$4:$AA$203,0,MATCH($B87,'DEMAND BY DATE'!$B$3:$AA$3,0)))</f>
        <v>4</v>
      </c>
      <c r="F87" s="447">
        <f>IF($E87=0,"—",IFERROR(INDEX('DEMAND BY DATE'!$A$4:$A$203,MATCH($E87,INDEX('DEMAND BY DATE'!$B$4:$AA$203,0,MATCH($B87,'DEMAND BY DATE'!$B$3:$AA$3,0)),0)),""))</f>
        <v>46235</v>
      </c>
      <c r="G87" s="446">
        <f>$C87-$E87</f>
        <v>4</v>
      </c>
      <c r="H87" s="448" t="str">
        <f>IF($E87=0,"IDLE ALL PLAN",IF($G87&lt;0,"BUY "&amp;TEXT(-$G87,"#,##0.0"),IF($G87/$C87&lt;=0.1,"TIGHT","OK")))</f>
        <v>OK</v>
      </c>
    </row>
    <row r="88" spans="2:8">
      <c r="B88" s="443" t="str">
        <f>$B16</f>
        <v>4th Overlock</v>
      </c>
      <c r="C88" s="444">
        <f>$C16</f>
        <v>279</v>
      </c>
      <c r="D88" s="445">
        <f>$D16</f>
        <v>291</v>
      </c>
      <c r="E88" s="446">
        <f>MAX(INDEX('DEMAND BY DATE'!$B$4:$AA$203,0,MATCH($B88,'DEMAND BY DATE'!$B$3:$AA$3,0)))</f>
        <v>291</v>
      </c>
      <c r="F88" s="447">
        <f>IF($E88=0,"—",IFERROR(INDEX('DEMAND BY DATE'!$A$4:$A$203,MATCH($E88,INDEX('DEMAND BY DATE'!$B$4:$AA$203,0,MATCH($B88,'DEMAND BY DATE'!$B$3:$AA$3,0)),0)),""))</f>
        <v>46235</v>
      </c>
      <c r="G88" s="446">
        <f>$C88-$E88</f>
        <v>-12</v>
      </c>
      <c r="H88" s="448" t="str">
        <f>IF($E88=0,"IDLE ALL PLAN",IF($G88&lt;0,"BUY "&amp;TEXT(-$G88,"#,##0.0"),IF($G88/$C88&lt;=0.1,"TIGHT","OK")))</f>
        <v>BUY 12.0</v>
      </c>
    </row>
    <row r="89" spans="2:8">
      <c r="B89" s="443" t="str">
        <f>$B17</f>
        <v>3th Overlock (Leg elastic)</v>
      </c>
      <c r="C89" s="444">
        <f>$C17</f>
        <v>30</v>
      </c>
      <c r="D89" s="445">
        <f>$D17</f>
        <v>31</v>
      </c>
      <c r="E89" s="446">
        <f>MAX(INDEX('DEMAND BY DATE'!$B$4:$AA$203,0,MATCH($B89,'DEMAND BY DATE'!$B$3:$AA$3,0)))</f>
        <v>31</v>
      </c>
      <c r="F89" s="447">
        <f>IF($E89=0,"—",IFERROR(INDEX('DEMAND BY DATE'!$A$4:$A$203,MATCH($E89,INDEX('DEMAND BY DATE'!$B$4:$AA$203,0,MATCH($B89,'DEMAND BY DATE'!$B$3:$AA$3,0)),0)),""))</f>
        <v>46235</v>
      </c>
      <c r="G89" s="446">
        <f>$C89-$E89</f>
        <v>-1</v>
      </c>
      <c r="H89" s="448" t="str">
        <f>IF($E89=0,"IDLE ALL PLAN",IF($G89&lt;0,"BUY "&amp;TEXT(-$G89,"#,##0.0"),IF($G89/$C89&lt;=0.1,"TIGHT","OK")))</f>
        <v>BUY 1.0</v>
      </c>
    </row>
    <row r="90" spans="2:8">
      <c r="B90" s="443" t="str">
        <f>$B18</f>
        <v>5th Overlock</v>
      </c>
      <c r="C90" s="444">
        <f>$C18</f>
        <v>5</v>
      </c>
      <c r="D90" s="445">
        <f>$D18</f>
        <v>0</v>
      </c>
      <c r="E90" s="446">
        <f>MAX(INDEX('DEMAND BY DATE'!$B$4:$AA$203,0,MATCH($B90,'DEMAND BY DATE'!$B$3:$AA$3,0)))</f>
        <v>0</v>
      </c>
      <c r="F90" s="447" t="str">
        <f>IF($E90=0,"—",IFERROR(INDEX('DEMAND BY DATE'!$A$4:$A$203,MATCH($E90,INDEX('DEMAND BY DATE'!$B$4:$AA$203,0,MATCH($B90,'DEMAND BY DATE'!$B$3:$AA$3,0)),0)),""))</f>
        <v>—</v>
      </c>
      <c r="G90" s="446">
        <f>$C90-$E90</f>
        <v>5</v>
      </c>
      <c r="H90" s="448" t="str">
        <f>IF($E90=0,"IDLE ALL PLAN",IF($G90&lt;0,"BUY "&amp;TEXT(-$G90,"#,##0.0"),IF($G90/$C90&lt;=0.1,"TIGHT","OK")))</f>
        <v>IDLE ALL PLAN</v>
      </c>
    </row>
    <row r="91" spans="2:8">
      <c r="B91" s="443" t="str">
        <f>$B19</f>
        <v>Overlock (Ring Elastic Attach)</v>
      </c>
      <c r="C91" s="444">
        <f>$C19</f>
        <v>29</v>
      </c>
      <c r="D91" s="445">
        <f>$D19</f>
        <v>36</v>
      </c>
      <c r="E91" s="446">
        <f>MAX(INDEX('DEMAND BY DATE'!$B$4:$AA$203,0,MATCH($B91,'DEMAND BY DATE'!$B$3:$AA$3,0)))</f>
        <v>41</v>
      </c>
      <c r="F91" s="447">
        <f>IF($E91=0,"—",IFERROR(INDEX('DEMAND BY DATE'!$A$4:$A$203,MATCH($E91,INDEX('DEMAND BY DATE'!$B$4:$AA$203,0,MATCH($B91,'DEMAND BY DATE'!$B$3:$AA$3,0)),0)),""))</f>
        <v>46286</v>
      </c>
      <c r="G91" s="446">
        <f>$C91-$E91</f>
        <v>-12</v>
      </c>
      <c r="H91" s="448" t="str">
        <f>IF($E91=0,"IDLE ALL PLAN",IF($G91&lt;0,"BUY "&amp;TEXT(-$G91,"#,##0.0"),IF($G91/$C91&lt;=0.1,"TIGHT","OK")))</f>
        <v>BUY 12.0</v>
      </c>
    </row>
    <row r="92" spans="2:8">
      <c r="B92" s="443" t="str">
        <f>$B20</f>
        <v>Flatlock Hem</v>
      </c>
      <c r="C92" s="444">
        <f>$C20</f>
        <v>34</v>
      </c>
      <c r="D92" s="445">
        <f>$D20</f>
        <v>22.5</v>
      </c>
      <c r="E92" s="446">
        <f>MAX(INDEX('DEMAND BY DATE'!$B$4:$AA$203,0,MATCH($B92,'DEMAND BY DATE'!$B$3:$AA$3,0)))</f>
        <v>32.5</v>
      </c>
      <c r="F92" s="447">
        <f>IF($E92=0,"—",IFERROR(INDEX('DEMAND BY DATE'!$A$4:$A$203,MATCH($E92,INDEX('DEMAND BY DATE'!$B$4:$AA$203,0,MATCH($B92,'DEMAND BY DATE'!$B$3:$AA$3,0)),0)),""))</f>
        <v>46286</v>
      </c>
      <c r="G92" s="446">
        <f>$C92-$E92</f>
        <v>1.5</v>
      </c>
      <c r="H92" s="448" t="str">
        <f>IF($E92=0,"IDLE ALL PLAN",IF($G92&lt;0,"BUY "&amp;TEXT(-$G92,"#,##0.0"),IF($G92/$C92&lt;=0.1,"TIGHT","OK")))</f>
        <v>TIGHT</v>
      </c>
    </row>
    <row r="93" spans="2:8">
      <c r="B93" s="443" t="str">
        <f>$B21</f>
        <v>F/L (Coverseam / Waist COVER SEAM</v>
      </c>
      <c r="C93" s="444">
        <f>$C21</f>
        <v>13</v>
      </c>
      <c r="D93" s="445">
        <f>$D21</f>
        <v>4</v>
      </c>
      <c r="E93" s="446">
        <f>MAX(INDEX('DEMAND BY DATE'!$B$4:$AA$203,0,MATCH($B93,'DEMAND BY DATE'!$B$3:$AA$3,0)))</f>
        <v>16</v>
      </c>
      <c r="F93" s="447">
        <f>IF($E93=0,"—",IFERROR(INDEX('DEMAND BY DATE'!$A$4:$A$203,MATCH($E93,INDEX('DEMAND BY DATE'!$B$4:$AA$203,0,MATCH($B93,'DEMAND BY DATE'!$B$3:$AA$3,0)),0)),""))</f>
        <v>46272</v>
      </c>
      <c r="G93" s="446">
        <f>$C93-$E93</f>
        <v>-3</v>
      </c>
      <c r="H93" s="448" t="str">
        <f>IF($E93=0,"IDLE ALL PLAN",IF($G93&lt;0,"BUY "&amp;TEXT(-$G93,"#,##0.0"),IF($G93/$C93&lt;=0.1,"TIGHT","OK")))</f>
        <v>BUY 3.0</v>
      </c>
    </row>
    <row r="94" spans="2:8">
      <c r="B94" s="443" t="str">
        <f>$B22</f>
        <v>F/L (Coverseam )with pullar</v>
      </c>
      <c r="C94" s="444">
        <f>$C22</f>
        <v>37</v>
      </c>
      <c r="D94" s="445">
        <f>$D22</f>
        <v>43.5</v>
      </c>
      <c r="E94" s="446">
        <f>MAX(INDEX('DEMAND BY DATE'!$B$4:$AA$203,0,MATCH($B94,'DEMAND BY DATE'!$B$3:$AA$3,0)))</f>
        <v>43.5</v>
      </c>
      <c r="F94" s="447">
        <f>IF($E94=0,"—",IFERROR(INDEX('DEMAND BY DATE'!$A$4:$A$203,MATCH($E94,INDEX('DEMAND BY DATE'!$B$4:$AA$203,0,MATCH($B94,'DEMAND BY DATE'!$B$3:$AA$3,0)),0)),""))</f>
        <v>46235</v>
      </c>
      <c r="G94" s="446">
        <f>$C94-$E94</f>
        <v>-6.5</v>
      </c>
      <c r="H94" s="448" t="str">
        <f>IF($E94=0,"IDLE ALL PLAN",IF($G94&lt;0,"BUY "&amp;TEXT(-$G94,"#,##0.0"),IF($G94/$C94&lt;=0.1,"TIGHT","OK")))</f>
        <v>BUY 6.5</v>
      </c>
    </row>
    <row r="95" spans="2:8">
      <c r="B95" s="443" t="str">
        <f>$B23</f>
        <v>F/L (Coverseam )</v>
      </c>
      <c r="C95" s="444">
        <f>$C23</f>
        <v>6</v>
      </c>
      <c r="D95" s="445">
        <f>$D23</f>
        <v>17</v>
      </c>
      <c r="E95" s="446">
        <f>MAX(INDEX('DEMAND BY DATE'!$B$4:$AA$203,0,MATCH($B95,'DEMAND BY DATE'!$B$3:$AA$3,0)))</f>
        <v>33</v>
      </c>
      <c r="F95" s="447">
        <f>IF($E95=0,"—",IFERROR(INDEX('DEMAND BY DATE'!$A$4:$A$203,MATCH($E95,INDEX('DEMAND BY DATE'!$B$4:$AA$203,0,MATCH($B95,'DEMAND BY DATE'!$B$3:$AA$3,0)),0)),""))</f>
        <v>46286</v>
      </c>
      <c r="G95" s="446">
        <f>$C95-$E95</f>
        <v>-27</v>
      </c>
      <c r="H95" s="448" t="str">
        <f>IF($E95=0,"IDLE ALL PLAN",IF($G95&lt;0,"BUY "&amp;TEXT(-$G95,"#,##0.0"),IF($G95/$C95&lt;=0.1,"TIGHT","OK")))</f>
        <v>BUY 27.0</v>
      </c>
    </row>
    <row r="96" spans="2:8">
      <c r="B96" s="443" t="str">
        <f>$B24</f>
        <v>3N5T-F/L -( TopStitch)</v>
      </c>
      <c r="C96" s="444">
        <f>$C24</f>
        <v>54</v>
      </c>
      <c r="D96" s="445">
        <f>$D24</f>
        <v>47</v>
      </c>
      <c r="E96" s="446">
        <f>MAX(INDEX('DEMAND BY DATE'!$B$4:$AA$203,0,MATCH($B96,'DEMAND BY DATE'!$B$3:$AA$3,0)))</f>
        <v>67</v>
      </c>
      <c r="F96" s="447">
        <f>IF($E96=0,"—",IFERROR(INDEX('DEMAND BY DATE'!$A$4:$A$203,MATCH($E96,INDEX('DEMAND BY DATE'!$B$4:$AA$203,0,MATCH($B96,'DEMAND BY DATE'!$B$3:$AA$3,0)),0)),""))</f>
        <v>46272</v>
      </c>
      <c r="G96" s="446">
        <f>$C96-$E96</f>
        <v>-13</v>
      </c>
      <c r="H96" s="448" t="str">
        <f>IF($E96=0,"IDLE ALL PLAN",IF($G96&lt;0,"BUY "&amp;TEXT(-$G96,"#,##0.0"),IF($G96/$C96&lt;=0.1,"TIGHT","OK")))</f>
        <v>BUY 13.0</v>
      </c>
    </row>
    <row r="97" spans="2:8">
      <c r="B97" s="443" t="str">
        <f>$B25</f>
        <v>Flatlock (VT)</v>
      </c>
      <c r="C97" s="444">
        <f>$C25</f>
        <v>21</v>
      </c>
      <c r="D97" s="445">
        <f>$D25</f>
        <v>13</v>
      </c>
      <c r="E97" s="446">
        <f>MAX(INDEX('DEMAND BY DATE'!$B$4:$AA$203,0,MATCH($B97,'DEMAND BY DATE'!$B$3:$AA$3,0)))</f>
        <v>18</v>
      </c>
      <c r="F97" s="447">
        <f>IF($E97=0,"—",IFERROR(INDEX('DEMAND BY DATE'!$A$4:$A$203,MATCH($E97,INDEX('DEMAND BY DATE'!$B$4:$AA$203,0,MATCH($B97,'DEMAND BY DATE'!$B$3:$AA$3,0)),0)),""))</f>
        <v>46272</v>
      </c>
      <c r="G97" s="446">
        <f>$C97-$E97</f>
        <v>3</v>
      </c>
      <c r="H97" s="448" t="str">
        <f>IF($E97=0,"IDLE ALL PLAN",IF($G97&lt;0,"BUY "&amp;TEXT(-$G97,"#,##0.0"),IF($G97/$C97&lt;=0.1,"TIGHT","OK")))</f>
        <v>OK</v>
      </c>
    </row>
    <row r="98" spans="2:8">
      <c r="B98" s="443" t="str">
        <f>$B26</f>
        <v>Flatlock (Ring Elastic Attach)</v>
      </c>
      <c r="C98" s="444">
        <f>$C26</f>
        <v>42</v>
      </c>
      <c r="D98" s="445">
        <f>$D26</f>
        <v>34.5</v>
      </c>
      <c r="E98" s="446">
        <f>MAX(INDEX('DEMAND BY DATE'!$B$4:$AA$203,0,MATCH($B98,'DEMAND BY DATE'!$B$3:$AA$3,0)))</f>
        <v>36</v>
      </c>
      <c r="F98" s="447">
        <f>IF($E98=0,"—",IFERROR(INDEX('DEMAND BY DATE'!$A$4:$A$203,MATCH($E98,INDEX('DEMAND BY DATE'!$B$4:$AA$203,0,MATCH($B98,'DEMAND BY DATE'!$B$3:$AA$3,0)),0)),""))</f>
        <v>46280</v>
      </c>
      <c r="G98" s="446">
        <f>$C98-$E98</f>
        <v>6</v>
      </c>
      <c r="H98" s="448" t="str">
        <f>IF($E98=0,"IDLE ALL PLAN",IF($G98&lt;0,"BUY "&amp;TEXT(-$G98,"#,##0.0"),IF($G98/$C98&lt;=0.1,"TIGHT","OK")))</f>
        <v>OK</v>
      </c>
    </row>
    <row r="99" spans="2:8">
      <c r="B99" s="443" t="str">
        <f>$B27</f>
        <v>3N5T-F/L -BINDING</v>
      </c>
      <c r="C99" s="444">
        <f>$C27</f>
        <v>58</v>
      </c>
      <c r="D99" s="445">
        <f>$D27</f>
        <v>40</v>
      </c>
      <c r="E99" s="446">
        <f>MAX(INDEX('DEMAND BY DATE'!$B$4:$AA$203,0,MATCH($B99,'DEMAND BY DATE'!$B$3:$AA$3,0)))</f>
        <v>43</v>
      </c>
      <c r="F99" s="447">
        <f>IF($E99=0,"—",IFERROR(INDEX('DEMAND BY DATE'!$A$4:$A$203,MATCH($E99,INDEX('DEMAND BY DATE'!$B$4:$AA$203,0,MATCH($B99,'DEMAND BY DATE'!$B$3:$AA$3,0)),0)),""))</f>
        <v>46274</v>
      </c>
      <c r="G99" s="446">
        <f>$C99-$E99</f>
        <v>15</v>
      </c>
      <c r="H99" s="448" t="str">
        <f>IF($E99=0,"IDLE ALL PLAN",IF($G99&lt;0,"BUY "&amp;TEXT(-$G99,"#,##0.0"),IF($G99/$C99&lt;=0.1,"TIGHT","OK")))</f>
        <v>OK</v>
      </c>
    </row>
    <row r="100" spans="2:8">
      <c r="B100" s="443" t="str">
        <f>$B28</f>
        <v>FlatSeamer FS</v>
      </c>
      <c r="C100" s="444">
        <f>$C28</f>
        <v>8</v>
      </c>
      <c r="D100" s="445">
        <f>$D28</f>
        <v>0</v>
      </c>
      <c r="E100" s="446">
        <f>MAX(INDEX('DEMAND BY DATE'!$B$4:$AA$203,0,MATCH($B100,'DEMAND BY DATE'!$B$3:$AA$3,0)))</f>
        <v>0</v>
      </c>
      <c r="F100" s="447" t="str">
        <f>IF($E100=0,"—",IFERROR(INDEX('DEMAND BY DATE'!$A$4:$A$203,MATCH($E100,INDEX('DEMAND BY DATE'!$B$4:$AA$203,0,MATCH($B100,'DEMAND BY DATE'!$B$3:$AA$3,0)),0)),""))</f>
        <v>—</v>
      </c>
      <c r="G100" s="446">
        <f>$C100-$E100</f>
        <v>8</v>
      </c>
      <c r="H100" s="448" t="str">
        <f>IF($E100=0,"IDLE ALL PLAN",IF($G100&lt;0,"BUY "&amp;TEXT(-$G100,"#,##0.0"),IF($G100/$C100&lt;=0.1,"TIGHT","OK")))</f>
        <v>IDLE ALL PLAN</v>
      </c>
    </row>
    <row r="101" spans="2:8">
      <c r="B101" s="443" t="str">
        <f>$B29</f>
        <v>Kansai</v>
      </c>
      <c r="C101" s="444">
        <f>$C29</f>
        <v>8</v>
      </c>
      <c r="D101" s="445">
        <f>$D29</f>
        <v>3</v>
      </c>
      <c r="E101" s="446">
        <f>MAX(INDEX('DEMAND BY DATE'!$B$4:$AA$203,0,MATCH($B101,'DEMAND BY DATE'!$B$3:$AA$3,0)))</f>
        <v>3</v>
      </c>
      <c r="F101" s="447">
        <f>IF($E101=0,"—",IFERROR(INDEX('DEMAND BY DATE'!$A$4:$A$203,MATCH($E101,INDEX('DEMAND BY DATE'!$B$4:$AA$203,0,MATCH($B101,'DEMAND BY DATE'!$B$3:$AA$3,0)),0)),""))</f>
        <v>46235</v>
      </c>
      <c r="G101" s="446">
        <f>$C101-$E101</f>
        <v>5</v>
      </c>
      <c r="H101" s="448" t="str">
        <f>IF($E101=0,"IDLE ALL PLAN",IF($G101&lt;0,"BUY "&amp;TEXT(-$G101,"#,##0.0"),IF($G101/$C101&lt;=0.1,"TIGHT","OK")))</f>
        <v>OK</v>
      </c>
    </row>
    <row r="102" spans="2:8">
      <c r="B102" s="443" t="str">
        <f>$B30</f>
        <v>Chain stitch</v>
      </c>
      <c r="C102" s="444">
        <f>$C30</f>
        <v>2</v>
      </c>
      <c r="D102" s="445">
        <f>$D30</f>
        <v>0</v>
      </c>
      <c r="E102" s="446">
        <f>MAX(INDEX('DEMAND BY DATE'!$B$4:$AA$203,0,MATCH($B102,'DEMAND BY DATE'!$B$3:$AA$3,0)))</f>
        <v>0</v>
      </c>
      <c r="F102" s="447" t="str">
        <f>IF($E102=0,"—",IFERROR(INDEX('DEMAND BY DATE'!$A$4:$A$203,MATCH($E102,INDEX('DEMAND BY DATE'!$B$4:$AA$203,0,MATCH($B102,'DEMAND BY DATE'!$B$3:$AA$3,0)),0)),""))</f>
        <v>—</v>
      </c>
      <c r="G102" s="446">
        <f>$C102-$E102</f>
        <v>2</v>
      </c>
      <c r="H102" s="448" t="str">
        <f>IF($E102=0,"IDLE ALL PLAN",IF($G102&lt;0,"BUY "&amp;TEXT(-$G102,"#,##0.0"),IF($G102/$C102&lt;=0.1,"TIGHT","OK")))</f>
        <v>IDLE ALL PLAN</v>
      </c>
    </row>
    <row r="103" spans="2:8">
      <c r="B103" s="443" t="str">
        <f>$B31</f>
        <v>Heat Seal</v>
      </c>
      <c r="C103" s="444">
        <f>$C31</f>
        <v>35</v>
      </c>
      <c r="D103" s="445">
        <f>$D31</f>
        <v>31</v>
      </c>
      <c r="E103" s="446">
        <f>MAX(INDEX('DEMAND BY DATE'!$B$4:$AA$203,0,MATCH($B103,'DEMAND BY DATE'!$B$3:$AA$3,0)))</f>
        <v>33.5</v>
      </c>
      <c r="F103" s="447">
        <f>IF($E103=0,"—",IFERROR(INDEX('DEMAND BY DATE'!$A$4:$A$203,MATCH($E103,INDEX('DEMAND BY DATE'!$B$4:$AA$203,0,MATCH($B103,'DEMAND BY DATE'!$B$3:$AA$3,0)),0)),""))</f>
        <v>46272</v>
      </c>
      <c r="G103" s="446">
        <f>$C103-$E103</f>
        <v>1.5</v>
      </c>
      <c r="H103" s="448" t="str">
        <f>IF($E103=0,"IDLE ALL PLAN",IF($G103&lt;0,"BUY "&amp;TEXT(-$G103,"#,##0.0"),IF($G103/$C103&lt;=0.1,"TIGHT","OK")))</f>
        <v>TIGHT</v>
      </c>
    </row>
    <row r="104" spans="2:8">
      <c r="B104" s="443" t="str">
        <f>$B32</f>
        <v>Snap button</v>
      </c>
      <c r="C104" s="444">
        <f>$C32</f>
        <v>2</v>
      </c>
      <c r="D104" s="445">
        <f>$D32</f>
        <v>2</v>
      </c>
      <c r="E104" s="446">
        <f>MAX(INDEX('DEMAND BY DATE'!$B$4:$AA$203,0,MATCH($B104,'DEMAND BY DATE'!$B$3:$AA$3,0)))</f>
        <v>2</v>
      </c>
      <c r="F104" s="447">
        <f>IF($E104=0,"—",IFERROR(INDEX('DEMAND BY DATE'!$A$4:$A$203,MATCH($E104,INDEX('DEMAND BY DATE'!$B$4:$AA$203,0,MATCH($B104,'DEMAND BY DATE'!$B$3:$AA$3,0)),0)),""))</f>
        <v>46235</v>
      </c>
      <c r="G104" s="446">
        <f>$C104-$E104</f>
        <v>0</v>
      </c>
      <c r="H104" s="448" t="str">
        <f>IF($E104=0,"IDLE ALL PLAN",IF($G104&lt;0,"BUY "&amp;TEXT(-$G104,"#,##0.0"),IF($G104/$C104&lt;=0.1,"TIGHT","OK")))</f>
        <v>TIGHT</v>
      </c>
    </row>
    <row r="105" spans="2:8">
      <c r="B105" s="443" t="str">
        <f>$B33</f>
        <v>Button Hole</v>
      </c>
      <c r="C105" s="444">
        <f>$C33</f>
        <v>3</v>
      </c>
      <c r="D105" s="445">
        <f>$D33</f>
        <v>2</v>
      </c>
      <c r="E105" s="446">
        <f>MAX(INDEX('DEMAND BY DATE'!$B$4:$AA$203,0,MATCH($B105,'DEMAND BY DATE'!$B$3:$AA$3,0)))</f>
        <v>2</v>
      </c>
      <c r="F105" s="447">
        <f>IF($E105=0,"—",IFERROR(INDEX('DEMAND BY DATE'!$A$4:$A$203,MATCH($E105,INDEX('DEMAND BY DATE'!$B$4:$AA$203,0,MATCH($B105,'DEMAND BY DATE'!$B$3:$AA$3,0)),0)),""))</f>
        <v>46235</v>
      </c>
      <c r="G105" s="446">
        <f>$C105-$E105</f>
        <v>1</v>
      </c>
      <c r="H105" s="448" t="str">
        <f>IF($E105=0,"IDLE ALL PLAN",IF($G105&lt;0,"BUY "&amp;TEXT(-$G105,"#,##0.0"),IF($G105/$C105&lt;=0.1,"TIGHT","OK")))</f>
        <v>OK</v>
      </c>
    </row>
    <row r="106" spans="2:8">
      <c r="B106" s="443" t="str">
        <f>$B34</f>
        <v>Button Attach</v>
      </c>
      <c r="C106" s="444">
        <f>$C34</f>
        <v>1</v>
      </c>
      <c r="D106" s="445">
        <f>$D34</f>
        <v>0</v>
      </c>
      <c r="E106" s="446">
        <f>MAX(INDEX('DEMAND BY DATE'!$B$4:$AA$203,0,MATCH($B106,'DEMAND BY DATE'!$B$3:$AA$3,0)))</f>
        <v>0</v>
      </c>
      <c r="F106" s="447" t="str">
        <f>IF($E106=0,"—",IFERROR(INDEX('DEMAND BY DATE'!$A$4:$A$203,MATCH($E106,INDEX('DEMAND BY DATE'!$B$4:$AA$203,0,MATCH($B106,'DEMAND BY DATE'!$B$3:$AA$3,0)),0)),""))</f>
        <v>—</v>
      </c>
      <c r="G106" s="446">
        <f>$C106-$E106</f>
        <v>1</v>
      </c>
      <c r="H106" s="448" t="str">
        <f>IF($E106=0,"IDLE ALL PLAN",IF($G106&lt;0,"BUY "&amp;TEXT(-$G106,"#,##0.0"),IF($G106/$C106&lt;=0.1,"TIGHT","OK")))</f>
        <v>IDLE ALL PLAN</v>
      </c>
    </row>
    <row r="107" spans="2:8">
      <c r="B107" s="443" t="str">
        <f>$B35</f>
        <v>Bartack</v>
      </c>
      <c r="C107" s="444">
        <f>$C35</f>
        <v>13</v>
      </c>
      <c r="D107" s="445">
        <f>$D35</f>
        <v>4.5</v>
      </c>
      <c r="E107" s="446">
        <f>MAX(INDEX('DEMAND BY DATE'!$B$4:$AA$203,0,MATCH($B107,'DEMAND BY DATE'!$B$3:$AA$3,0)))</f>
        <v>10</v>
      </c>
      <c r="F107" s="447">
        <f>IF($E107=0,"—",IFERROR(INDEX('DEMAND BY DATE'!$A$4:$A$203,MATCH($E107,INDEX('DEMAND BY DATE'!$B$4:$AA$203,0,MATCH($B107,'DEMAND BY DATE'!$B$3:$AA$3,0)),0)),""))</f>
        <v>46272</v>
      </c>
      <c r="G107" s="446">
        <f>$C107-$E107</f>
        <v>3</v>
      </c>
      <c r="H107" s="448" t="str">
        <f>IF($E107=0,"IDLE ALL PLAN",IF($G107&lt;0,"BUY "&amp;TEXT(-$G107,"#,##0.0"),IF($G107/$C107&lt;=0.1,"TIGHT","OK")))</f>
        <v>OK</v>
      </c>
    </row>
    <row r="108" spans="2:8">
      <c r="B108" s="443" t="str">
        <f>$B36</f>
        <v>Bartack Pattern tacker (LABEL ATTACH )</v>
      </c>
      <c r="C108" s="444">
        <f>$C36</f>
        <v>2</v>
      </c>
      <c r="D108" s="445">
        <f>$D36</f>
        <v>0</v>
      </c>
      <c r="E108" s="446">
        <f>MAX(INDEX('DEMAND BY DATE'!$B$4:$AA$203,0,MATCH($B108,'DEMAND BY DATE'!$B$3:$AA$3,0)))</f>
        <v>0</v>
      </c>
      <c r="F108" s="447" t="str">
        <f>IF($E108=0,"—",IFERROR(INDEX('DEMAND BY DATE'!$A$4:$A$203,MATCH($E108,INDEX('DEMAND BY DATE'!$B$4:$AA$203,0,MATCH($B108,'DEMAND BY DATE'!$B$3:$AA$3,0)),0)),""))</f>
        <v>—</v>
      </c>
      <c r="G108" s="446">
        <f>$C108-$E108</f>
        <v>2</v>
      </c>
      <c r="H108" s="448" t="str">
        <f>IF($E108=0,"IDLE ALL PLAN",IF($G108&lt;0,"BUY "&amp;TEXT(-$G108,"#,##0.0"),IF($G108/$C108&lt;=0.1,"TIGHT","OK")))</f>
        <v>IDLE ALL PLAN</v>
      </c>
    </row>
    <row r="109" spans="2:8">
      <c r="B109" s="449" t="str">
        <f>$B37</f>
        <v>Bartack Pattern tacker</v>
      </c>
      <c r="C109" s="450">
        <f>$C37</f>
        <v>35</v>
      </c>
      <c r="D109" s="451">
        <f>$D37</f>
        <v>29</v>
      </c>
      <c r="E109" s="452">
        <f>MAX(INDEX('DEMAND BY DATE'!$B$4:$AA$203,0,MATCH($B109,'DEMAND BY DATE'!$B$3:$AA$3,0)))</f>
        <v>29</v>
      </c>
      <c r="F109" s="453">
        <f>IF($E109=0,"—",IFERROR(INDEX('DEMAND BY DATE'!$A$4:$A$203,MATCH($E109,INDEX('DEMAND BY DATE'!$B$4:$AA$203,0,MATCH($B109,'DEMAND BY DATE'!$B$3:$AA$3,0)),0)),""))</f>
        <v>46235</v>
      </c>
      <c r="G109" s="452">
        <f>$C109-$E109</f>
        <v>6</v>
      </c>
      <c r="H109" s="454" t="str">
        <f>IF($E109=0,"IDLE ALL PLAN",IF($G109&lt;0,"BUY "&amp;TEXT(-$G109,"#,##0.0"),IF($G109/$C109&lt;=0.1,"TIGHT","OK")))</f>
        <v>OK</v>
      </c>
    </row>
    <row r="110" spans="2:8" ht="15" customHeight="1">
      <c r="B110" s="455" t="s">
        <v>359</v>
      </c>
      <c r="C110" s="456">
        <f>SUM($C$84:$C$109)</f>
        <v>920</v>
      </c>
      <c r="D110" s="457"/>
      <c r="E110" s="458"/>
      <c r="F110" s="459" t="s">
        <v>360</v>
      </c>
      <c r="G110" s="460">
        <f>-SUMIF($G$84:$G$109,"&lt;0")</f>
        <v>74.5</v>
      </c>
      <c r="H110" s="461" t="str">
        <f>COUNTIF($H$84:$H$109,"BUY*")&amp;" groups"</f>
        <v>7 groups</v>
      </c>
    </row>
    <row r="111" spans="2:8" ht="15" customHeight="1">
      <c r="B111" s="462" t="s">
        <v>361</v>
      </c>
    </row>
  </sheetData>
  <sheetProtection sheet="1" objects="1" scenarios="1" formatCells="0" formatColumns="0" formatRows="0"/>
  <sortState xmlns:xlrd2="http://schemas.microsoft.com/office/spreadsheetml/2017/richdata2" ref="B12:H37">
    <sortCondition ref="H12:H37" customList="BRIEF,TRUNK,VEST,PANTY,PAJAMA,THERMAL"/>
  </sortState>
  <mergeCells count="27">
    <mergeCell ref="L6:M6"/>
    <mergeCell ref="B5:C5"/>
    <mergeCell ref="D5:E5"/>
    <mergeCell ref="F5:G5"/>
    <mergeCell ref="H5:I5"/>
    <mergeCell ref="J5:K5"/>
    <mergeCell ref="L5:M5"/>
    <mergeCell ref="B6:C6"/>
    <mergeCell ref="D6:E6"/>
    <mergeCell ref="F6:G6"/>
    <mergeCell ref="H6:I6"/>
    <mergeCell ref="J6:K6"/>
    <mergeCell ref="J22:K22"/>
    <mergeCell ref="J23:K23"/>
    <mergeCell ref="L22:M22"/>
    <mergeCell ref="L23:M23"/>
    <mergeCell ref="J24:K24"/>
    <mergeCell ref="I19:M19"/>
    <mergeCell ref="J20:K20"/>
    <mergeCell ref="J21:K21"/>
    <mergeCell ref="L20:M20"/>
    <mergeCell ref="L21:M21"/>
    <mergeCell ref="J25:K25"/>
    <mergeCell ref="L24:M24"/>
    <mergeCell ref="L25:M25"/>
    <mergeCell ref="I26:M26"/>
    <mergeCell ref="I27:M27"/>
  </mergeCells>
  <conditionalFormatting sqref="D42:D67">
    <cfRule type="dataBar" priority="12">
      <dataBar>
        <cfvo type="min"/>
        <cfvo type="max"/>
        <color rgb="FFA9D08E"/>
      </dataBar>
      <extLst>
        <ext xmlns:x14="http://schemas.microsoft.com/office/spreadsheetml/2009/9/main" uri="{B025F937-C7B1-47D3-B67F-A62EFF666E3E}">
          <x14:id>{D12B4F88-66CF-4ED5-AE4B-4A0C6E385BFF}</x14:id>
        </ext>
      </extLst>
    </cfRule>
  </conditionalFormatting>
  <conditionalFormatting sqref="F12:F37">
    <cfRule type="containsText" dxfId="87" priority="4" operator="containsText" text="SHORT">
      <formula>NOT(ISERROR(SEARCH("SHORT",F12)))</formula>
    </cfRule>
    <cfRule type="containsText" dxfId="86" priority="5" operator="containsText" text="TIGHT">
      <formula>NOT(ISERROR(SEARCH("TIGHT",F12)))</formula>
    </cfRule>
    <cfRule type="containsText" dxfId="85" priority="6" operator="containsText" text="IDLE">
      <formula>NOT(ISERROR(SEARCH("IDLE",F12)))</formula>
    </cfRule>
    <cfRule type="containsText" dxfId="84" priority="7" operator="containsText" text="OK">
      <formula>NOT(ISERROR(SEARCH("OK",F12)))</formula>
    </cfRule>
  </conditionalFormatting>
  <conditionalFormatting sqref="G12:G37">
    <cfRule type="dataBar" priority="3">
      <dataBar>
        <cfvo type="min"/>
        <cfvo type="max"/>
        <color rgb="FF8FAADC"/>
      </dataBar>
      <extLst>
        <ext xmlns:x14="http://schemas.microsoft.com/office/spreadsheetml/2009/9/main" uri="{B025F937-C7B1-47D3-B67F-A62EFF666E3E}">
          <x14:id>{24EC6EF2-3448-4074-BCFC-348E415F46D7}</x14:id>
        </ext>
      </extLst>
    </cfRule>
    <cfRule type="expression" dxfId="83" priority="11">
      <formula>$G12&gt;100</formula>
    </cfRule>
  </conditionalFormatting>
  <conditionalFormatting sqref="G42:G67">
    <cfRule type="containsText" dxfId="82" priority="8" operator="containsText" text="NOT IN">
      <formula>NOT(ISERROR(SEARCH("NOT IN",G42)))</formula>
    </cfRule>
    <cfRule type="containsText" dxfId="81" priority="9" operator="containsText" text="NO EMBL">
      <formula>NOT(ISERROR(SEARCH("NO EMBL",G42)))</formula>
    </cfRule>
    <cfRule type="containsText" dxfId="80" priority="10" operator="containsText" text="OK">
      <formula>NOT(ISERROR(SEARCH("OK",G42)))</formula>
    </cfRule>
  </conditionalFormatting>
  <conditionalFormatting sqref="G80">
    <cfRule type="containsText" dxfId="79" priority="15" operator="containsText" text="TIES">
      <formula>NOT(ISERROR(SEARCH("TIES",G80)))</formula>
    </cfRule>
    <cfRule type="containsText" dxfId="78" priority="16" operator="containsText" text="DOES NOT">
      <formula>NOT(ISERROR(SEARCH("DOES NOT",G80)))</formula>
    </cfRule>
  </conditionalFormatting>
  <conditionalFormatting sqref="H12:H37">
    <cfRule type="containsText" dxfId="77" priority="18" operator="containsText" text="MOVE">
      <formula>NOT(ISERROR(SEARCH("MOVE",H12)))</formula>
    </cfRule>
    <cfRule type="containsText" dxfId="76" priority="19" operator="containsText" text="no spare">
      <formula>NOT(ISERROR(SEARCH("no spare",H12)))</formula>
    </cfRule>
  </conditionalFormatting>
  <conditionalFormatting sqref="H84:H110">
    <cfRule type="cellIs" dxfId="75" priority="1" operator="equal">
      <formula>"OK"</formula>
    </cfRule>
    <cfRule type="cellIs" dxfId="74" priority="2" operator="equal">
      <formula>"TIGHT"</formula>
    </cfRule>
    <cfRule type="containsText" dxfId="73" priority="14" operator="containsText" text="BUY">
      <formula>NOT(ISERROR(SEARCH("BUY",H84)))</formula>
    </cfRule>
  </conditionalFormatting>
  <conditionalFormatting sqref="M73:M79">
    <cfRule type="cellIs" dxfId="72" priority="17" operator="greaterThan">
      <formula>0.8</formula>
    </cfRule>
  </conditionalFormatting>
  <dataValidations count="4">
    <dataValidation type="list" allowBlank="1" showInputMessage="1" showErrorMessage="1" errorTitle="Not a garment type" error="Choose from the dropdown." promptTitle="Garment type" prompt="Pick a garment to see which machine groups it occupies." sqref="K71" xr:uid="{CF0A42AB-F110-42B0-BCA3-2E398773A01C}">
      <formula1>$B$72:$B$78</formula1>
    </dataValidation>
    <dataValidation type="list" allowBlank="1" showInputMessage="1" showErrorMessage="1" errorTitle="View" error="Choose DAY, MONTH END or MONTH PEAK." sqref="C4">
      <formula1>"DAY,MONTH END,MONTH PEAK"</formula1>
    </dataValidation>
    <dataValidation type="list" allowBlank="1" showInputMessage="1" showErrorMessage="1" errorTitle="Not a plan date" error="Pick a date inside the plan horizon." sqref="D4">
      <formula1>OFFSET('DEMAND BY DATE'!$A$4,0,0,'LINE PLAN'!$B$3,1)</formula1>
    </dataValidation>
    <dataValidation type="list" allowBlank="1" showInputMessage="1" showErrorMessage="1" errorTitle="Month" error="Pick a month from the list." sqref="E4">
      <formula1>'DEMAND BY DATE'!$BE$27:$BE$30</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20" id="{6EE62BE6-35CB-46E4-BDC4-681F7A3523F8}">
            <xm:f>MOD(MATCH(IFERROR(INDEX('MC MASTER'!$A$3:$A$28,MATCH($B12,'MC MASTER'!$B$3:$B$28,0)),""),'MC MASTER'!$A$3:$A$28,0),2)=0</xm:f>
            <x14:dxf>
              <fill>
                <patternFill patternType="solid">
                  <fgColor indexed="64"/>
                  <bgColor rgb="FFF2F2F2"/>
                </patternFill>
              </fill>
            </x14:dxf>
          </x14:cfRule>
          <xm:sqref>B12:H37</xm:sqref>
        </x14:conditionalFormatting>
        <x14:conditionalFormatting xmlns:xm="http://schemas.microsoft.com/office/excel/2006/main">
          <x14:cfRule type="expression" priority="21" id="{09747672-2DAB-4B34-9E28-7A52625D3C1E}">
            <xm:f>MOD(MATCH(IFERROR(INDEX('MC MASTER'!$A$3:$A$28,MATCH($B84,'MC MASTER'!$B$3:$B$28,0)),""),'MC MASTER'!$A$3:$A$28,0),2)=0</xm:f>
            <x14:dxf>
              <fill>
                <patternFill patternType="solid">
                  <fgColor indexed="64"/>
                  <bgColor rgb="FFF2F2F2"/>
                </patternFill>
              </fill>
            </x14:dxf>
          </x14:cfRule>
          <xm:sqref>B84:H109</xm:sqref>
        </x14:conditionalFormatting>
        <x14:conditionalFormatting xmlns:xm="http://schemas.microsoft.com/office/excel/2006/main">
          <x14:cfRule type="dataBar" id="{D12B4F88-66CF-4ED5-AE4B-4A0C6E385BFF}">
            <x14:dataBar minLength="0" maxLength="100" direction="leftToRight" negativeBarColorSameAsPositive="1" axisPosition="none">
              <x14:cfvo type="min"/>
              <x14:cfvo type="max"/>
            </x14:dataBar>
          </x14:cfRule>
          <xm:sqref>D42:D67</xm:sqref>
        </x14:conditionalFormatting>
        <x14:conditionalFormatting xmlns:xm="http://schemas.microsoft.com/office/excel/2006/main">
          <x14:cfRule type="dataBar" id="{24EC6EF2-3448-4074-BCFC-348E415F46D7}">
            <x14:dataBar minLength="0" maxLength="100" direction="leftToRight" negativeBarColorSameAsPositive="1" axisPosition="none">
              <x14:cfvo type="min"/>
              <x14:cfvo type="max"/>
            </x14:dataBar>
          </x14:cfRule>
          <xm:sqref>G12:G37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Date is not in the plan" error="Choose a date from the dropdown. The plan covers 1-Aug-2026 to 13-Nov-2026 only." promptTitle="As-of date" prompt="Pick any day in the plan (1-Aug-2026 to 13-Nov-2026). The whole dashboard re-prices to that date." xr:uid="{31ECBA41-3B1F-49BB-BFDF-520B4D51AEFB}">
          <x14:formula1>
            <xm:f>'DEMAND BY DATE'!$A$4:$A$108</xm:f>
          </x14:formula1>
          <xm:sqref>D4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799A2-7562-4A7E-A622-6AE14DFAEC35}">
  <sheetPr>
    <tabColor rgb="FF808080"/>
  </sheetPr>
  <dimension ref="A1:DG30"/>
  <sheetViews>
    <sheetView topLeftCell="V1" zoomScale="75" workbookViewId="0">
      <selection activeCell="BB31" sqref="BB31:BN31"/>
    </sheetView>
    <sheetView zoomScale="60" workbookViewId="1"/>
  </sheetViews>
  <sheetFormatPr defaultRowHeight="15"/>
  <cols>
    <col min="1" max="1" width="14.85546875" style="2" bestFit="1" customWidth="1"/>
    <col min="2" max="4" width="9.140625" style="2"/>
    <col min="5" max="5" width="13.85546875" style="2" bestFit="1" customWidth="1"/>
    <col min="6" max="6" width="16.140625" style="2" bestFit="1" customWidth="1"/>
    <col min="7" max="15" width="9.140625" style="2"/>
    <col min="16" max="37" width="10.5703125" style="2" bestFit="1" customWidth="1"/>
    <col min="38" max="46" width="9.140625" style="2"/>
    <col min="47" max="67" width="10.42578125" style="2" bestFit="1" customWidth="1"/>
    <col min="68" max="75" width="9.140625" style="2"/>
    <col min="76" max="76" width="8.42578125" style="2" bestFit="1" customWidth="1"/>
    <col min="77" max="97" width="10" style="2" bestFit="1" customWidth="1"/>
    <col min="98" max="107" width="9.140625" style="2"/>
    <col min="108" max="111" width="10.42578125" style="2" bestFit="1" customWidth="1"/>
    <col min="112" max="16384" width="9.140625" style="2"/>
  </cols>
  <sheetData>
    <row r="1" spans="1:111" ht="18.75" thickBot="1">
      <c r="A1" s="574" t="s">
        <v>482</v>
      </c>
      <c r="B1" s="575"/>
      <c r="C1" s="575"/>
      <c r="D1" s="576" t="s">
        <v>442</v>
      </c>
      <c r="E1" s="576"/>
      <c r="F1" s="575"/>
      <c r="G1" s="577"/>
      <c r="H1" s="577"/>
      <c r="I1" s="577"/>
      <c r="J1" s="577"/>
      <c r="K1" s="577"/>
      <c r="L1" s="577"/>
      <c r="M1" s="577"/>
      <c r="N1" s="577"/>
      <c r="O1" s="577"/>
      <c r="P1" s="577"/>
      <c r="Q1" s="577"/>
      <c r="R1" s="577"/>
      <c r="S1" s="577"/>
      <c r="T1" s="577"/>
      <c r="U1" s="577"/>
      <c r="V1" s="577"/>
      <c r="W1" s="577"/>
      <c r="X1" s="577"/>
      <c r="Y1" s="577"/>
      <c r="Z1" s="577"/>
      <c r="AA1" s="577"/>
      <c r="AB1" s="577"/>
      <c r="AC1" s="577"/>
      <c r="AD1" s="577"/>
      <c r="AE1" s="577"/>
      <c r="AF1" s="577"/>
      <c r="AG1" s="577"/>
      <c r="AH1" s="577"/>
      <c r="AI1" s="577"/>
      <c r="AJ1" s="577"/>
      <c r="AK1" s="577"/>
      <c r="AL1" s="577"/>
      <c r="AM1" s="577"/>
      <c r="AN1" s="577"/>
      <c r="AO1" s="577"/>
      <c r="AP1" s="577"/>
      <c r="AQ1" s="577"/>
      <c r="AR1" s="577"/>
      <c r="AS1" s="577"/>
      <c r="AT1" s="577"/>
      <c r="AU1" s="577"/>
      <c r="AV1" s="577"/>
      <c r="AW1" s="577"/>
      <c r="AX1" s="577"/>
      <c r="AY1" s="577"/>
      <c r="AZ1" s="577"/>
      <c r="BA1" s="577"/>
      <c r="BB1" s="577"/>
      <c r="BC1" s="577"/>
      <c r="BD1" s="577"/>
      <c r="BE1" s="577"/>
      <c r="BF1" s="577"/>
      <c r="BG1" s="577"/>
      <c r="BH1" s="577"/>
      <c r="BI1" s="577"/>
      <c r="BJ1" s="577"/>
      <c r="BK1" s="577"/>
      <c r="BL1" s="577"/>
      <c r="BM1" s="577"/>
      <c r="BN1" s="577"/>
      <c r="BO1" s="577"/>
      <c r="BP1" s="577"/>
      <c r="BQ1" s="577"/>
      <c r="BR1" s="577"/>
      <c r="BS1" s="577"/>
      <c r="BT1" s="577"/>
      <c r="BU1" s="577"/>
      <c r="BV1" s="577"/>
      <c r="BW1" s="577"/>
      <c r="BX1" s="577"/>
      <c r="BY1" s="577"/>
      <c r="BZ1" s="577"/>
      <c r="CA1" s="577"/>
      <c r="CB1" s="577"/>
      <c r="CC1" s="577"/>
      <c r="CD1" s="577"/>
      <c r="CE1" s="577"/>
      <c r="CF1" s="577"/>
      <c r="CG1" s="577"/>
      <c r="CH1" s="577"/>
      <c r="CI1" s="577"/>
      <c r="CJ1" s="577"/>
      <c r="CK1" s="577"/>
      <c r="CL1" s="577"/>
      <c r="CM1" s="577"/>
      <c r="CN1" s="577"/>
      <c r="CO1" s="577"/>
      <c r="CP1" s="577"/>
      <c r="CQ1" s="577"/>
      <c r="CR1" s="577"/>
      <c r="CS1" s="577"/>
      <c r="CT1" s="577"/>
      <c r="CU1" s="577"/>
      <c r="CV1" s="577"/>
      <c r="CW1" s="577"/>
      <c r="CX1" s="577"/>
      <c r="CY1" s="577"/>
      <c r="CZ1" s="577"/>
      <c r="DA1" s="577"/>
      <c r="DB1" s="577"/>
      <c r="DC1" s="577"/>
      <c r="DD1" s="577"/>
      <c r="DE1" s="577"/>
      <c r="DF1" s="577"/>
      <c r="DG1" s="577"/>
    </row>
    <row r="2" spans="1:111" ht="18">
      <c r="A2" s="575"/>
      <c r="B2" s="575"/>
      <c r="C2" s="575"/>
      <c r="D2" s="576" t="s">
        <v>0</v>
      </c>
      <c r="E2" s="576"/>
      <c r="F2" s="575"/>
      <c r="G2" s="578" t="s">
        <v>1</v>
      </c>
      <c r="H2" s="578"/>
      <c r="I2" s="578"/>
      <c r="J2" s="578"/>
      <c r="K2" s="578"/>
      <c r="L2" s="578"/>
      <c r="M2" s="578"/>
      <c r="N2" s="578"/>
      <c r="O2" s="578"/>
      <c r="P2" s="578"/>
      <c r="Q2" s="578"/>
      <c r="R2" s="578"/>
      <c r="S2" s="578"/>
      <c r="T2" s="578"/>
      <c r="U2" s="578"/>
      <c r="V2" s="578"/>
      <c r="W2" s="578"/>
      <c r="X2" s="578"/>
      <c r="Y2" s="578"/>
      <c r="Z2" s="578"/>
      <c r="AA2" s="579"/>
      <c r="AB2" s="580" t="s">
        <v>2</v>
      </c>
      <c r="AC2" s="581"/>
      <c r="AD2" s="581"/>
      <c r="AE2" s="581"/>
      <c r="AF2" s="581"/>
      <c r="AG2" s="581"/>
      <c r="AH2" s="581"/>
      <c r="AI2" s="581"/>
      <c r="AJ2" s="581"/>
      <c r="AK2" s="581"/>
      <c r="AL2" s="581"/>
      <c r="AM2" s="581"/>
      <c r="AN2" s="581"/>
      <c r="AO2" s="581"/>
      <c r="AP2" s="581"/>
      <c r="AQ2" s="581"/>
      <c r="AR2" s="581"/>
      <c r="AS2" s="581"/>
      <c r="AT2" s="581"/>
      <c r="AU2" s="581"/>
      <c r="AV2" s="581"/>
      <c r="AW2" s="581"/>
      <c r="AX2" s="581"/>
      <c r="AY2" s="581"/>
      <c r="AZ2" s="581"/>
      <c r="BA2" s="581"/>
      <c r="BB2" s="581"/>
      <c r="BC2" s="582"/>
      <c r="BD2" s="583" t="s">
        <v>3</v>
      </c>
      <c r="BE2" s="584"/>
      <c r="BF2" s="584"/>
      <c r="BG2" s="584"/>
      <c r="BH2" s="584"/>
      <c r="BI2" s="584"/>
      <c r="BJ2" s="584"/>
      <c r="BK2" s="584"/>
      <c r="BL2" s="584"/>
      <c r="BM2" s="584"/>
      <c r="BN2" s="584"/>
      <c r="BO2" s="584"/>
      <c r="BP2" s="584"/>
      <c r="BQ2" s="584"/>
      <c r="BR2" s="584"/>
      <c r="BS2" s="584"/>
      <c r="BT2" s="584"/>
      <c r="BU2" s="584"/>
      <c r="BV2" s="584"/>
      <c r="BW2" s="584"/>
      <c r="BX2" s="584"/>
      <c r="BY2" s="584"/>
      <c r="BZ2" s="584"/>
      <c r="CA2" s="584"/>
      <c r="CB2" s="584"/>
      <c r="CC2" s="584"/>
      <c r="CD2" s="584"/>
      <c r="CE2" s="585"/>
      <c r="CF2" s="586" t="s">
        <v>4</v>
      </c>
      <c r="CG2" s="587"/>
      <c r="CH2" s="587"/>
      <c r="CI2" s="587"/>
      <c r="CJ2" s="587"/>
      <c r="CK2" s="587"/>
      <c r="CL2" s="587"/>
      <c r="CM2" s="587"/>
      <c r="CN2" s="587"/>
      <c r="CO2" s="587"/>
      <c r="CP2" s="587"/>
      <c r="CQ2" s="587"/>
      <c r="CR2" s="587"/>
      <c r="CS2" s="587"/>
      <c r="CT2" s="587"/>
      <c r="CU2" s="587"/>
      <c r="CV2" s="587"/>
      <c r="CW2" s="587"/>
      <c r="CX2" s="587"/>
      <c r="CY2" s="587"/>
      <c r="CZ2" s="587"/>
      <c r="DA2" s="587"/>
      <c r="DB2" s="587"/>
      <c r="DC2" s="587"/>
      <c r="DD2" s="587"/>
      <c r="DE2" s="587"/>
      <c r="DF2" s="587"/>
      <c r="DG2" s="588"/>
    </row>
    <row r="3" spans="1:111" ht="18.75" thickBot="1">
      <c r="A3" s="575"/>
      <c r="B3" s="575"/>
      <c r="C3" s="575"/>
      <c r="D3" s="589"/>
      <c r="E3" s="589"/>
      <c r="F3" s="575"/>
      <c r="G3" s="590"/>
      <c r="H3" s="590"/>
      <c r="I3" s="590"/>
      <c r="J3" s="590"/>
      <c r="K3" s="590"/>
      <c r="L3" s="590"/>
      <c r="M3" s="590"/>
      <c r="N3" s="590"/>
      <c r="O3" s="590"/>
      <c r="P3" s="590"/>
      <c r="Q3" s="590"/>
      <c r="R3" s="590"/>
      <c r="S3" s="590"/>
      <c r="T3" s="590"/>
      <c r="U3" s="590"/>
      <c r="V3" s="590"/>
      <c r="W3" s="590"/>
      <c r="X3" s="590"/>
      <c r="Y3" s="590"/>
      <c r="Z3" s="590"/>
      <c r="AA3" s="591"/>
      <c r="AB3" s="592"/>
      <c r="AC3" s="593"/>
      <c r="AD3" s="593"/>
      <c r="AE3" s="593"/>
      <c r="AF3" s="593"/>
      <c r="AG3" s="593"/>
      <c r="AH3" s="593"/>
      <c r="AI3" s="593"/>
      <c r="AJ3" s="593"/>
      <c r="AK3" s="593"/>
      <c r="AL3" s="593"/>
      <c r="AM3" s="593"/>
      <c r="AN3" s="593"/>
      <c r="AO3" s="593"/>
      <c r="AP3" s="593"/>
      <c r="AQ3" s="593"/>
      <c r="AR3" s="593"/>
      <c r="AS3" s="593"/>
      <c r="AT3" s="593"/>
      <c r="AU3" s="593"/>
      <c r="AV3" s="593"/>
      <c r="AW3" s="593"/>
      <c r="AX3" s="593"/>
      <c r="AY3" s="593"/>
      <c r="AZ3" s="593"/>
      <c r="BA3" s="593"/>
      <c r="BB3" s="593"/>
      <c r="BC3" s="594"/>
      <c r="BD3" s="595"/>
      <c r="BE3" s="596"/>
      <c r="BF3" s="596"/>
      <c r="BG3" s="596"/>
      <c r="BH3" s="596"/>
      <c r="BI3" s="596"/>
      <c r="BJ3" s="596"/>
      <c r="BK3" s="596"/>
      <c r="BL3" s="596"/>
      <c r="BM3" s="596"/>
      <c r="BN3" s="596"/>
      <c r="BO3" s="596"/>
      <c r="BP3" s="596"/>
      <c r="BQ3" s="596"/>
      <c r="BR3" s="596"/>
      <c r="BS3" s="596"/>
      <c r="BT3" s="596"/>
      <c r="BU3" s="596"/>
      <c r="BV3" s="596"/>
      <c r="BW3" s="596"/>
      <c r="BX3" s="596"/>
      <c r="BY3" s="596"/>
      <c r="BZ3" s="596"/>
      <c r="CA3" s="596"/>
      <c r="CB3" s="596"/>
      <c r="CC3" s="596"/>
      <c r="CD3" s="596"/>
      <c r="CE3" s="597"/>
      <c r="CF3" s="598"/>
      <c r="CG3" s="599"/>
      <c r="CH3" s="599"/>
      <c r="CI3" s="599"/>
      <c r="CJ3" s="599"/>
      <c r="CK3" s="599"/>
      <c r="CL3" s="599"/>
      <c r="CM3" s="599"/>
      <c r="CN3" s="599"/>
      <c r="CO3" s="599"/>
      <c r="CP3" s="599"/>
      <c r="CQ3" s="599"/>
      <c r="CR3" s="599"/>
      <c r="CS3" s="599"/>
      <c r="CT3" s="599"/>
      <c r="CU3" s="599"/>
      <c r="CV3" s="599"/>
      <c r="CW3" s="599"/>
      <c r="CX3" s="599"/>
      <c r="CY3" s="599"/>
      <c r="CZ3" s="599"/>
      <c r="DA3" s="599"/>
      <c r="DB3" s="599"/>
      <c r="DC3" s="599"/>
      <c r="DD3" s="599"/>
      <c r="DE3" s="599"/>
      <c r="DF3" s="599"/>
      <c r="DG3" s="600"/>
    </row>
    <row r="4" spans="1:111" ht="36.75" thickBot="1">
      <c r="A4" s="577"/>
      <c r="B4" s="577"/>
      <c r="C4" s="577"/>
      <c r="D4" s="601" t="s">
        <v>5</v>
      </c>
      <c r="E4" s="602" t="s">
        <v>6</v>
      </c>
      <c r="F4" s="602"/>
      <c r="G4" s="603">
        <v>46235</v>
      </c>
      <c r="H4" s="603">
        <v>46236</v>
      </c>
      <c r="I4" s="603">
        <v>46237</v>
      </c>
      <c r="J4" s="603">
        <v>46238</v>
      </c>
      <c r="K4" s="603">
        <v>46239</v>
      </c>
      <c r="L4" s="603">
        <v>46240</v>
      </c>
      <c r="M4" s="603">
        <v>46241</v>
      </c>
      <c r="N4" s="603">
        <v>46242</v>
      </c>
      <c r="O4" s="603">
        <v>46243</v>
      </c>
      <c r="P4" s="603">
        <v>46244</v>
      </c>
      <c r="Q4" s="603">
        <v>46245</v>
      </c>
      <c r="R4" s="603">
        <v>46246</v>
      </c>
      <c r="S4" s="603">
        <v>46247</v>
      </c>
      <c r="T4" s="603">
        <v>46248</v>
      </c>
      <c r="U4" s="603">
        <v>46249</v>
      </c>
      <c r="V4" s="603">
        <v>46250</v>
      </c>
      <c r="W4" s="603">
        <v>46251</v>
      </c>
      <c r="X4" s="603">
        <v>46252</v>
      </c>
      <c r="Y4" s="603">
        <v>46253</v>
      </c>
      <c r="Z4" s="603">
        <v>46254</v>
      </c>
      <c r="AA4" s="603">
        <v>46255</v>
      </c>
      <c r="AB4" s="603">
        <v>46256</v>
      </c>
      <c r="AC4" s="603">
        <v>46257</v>
      </c>
      <c r="AD4" s="603">
        <v>46258</v>
      </c>
      <c r="AE4" s="603">
        <v>46259</v>
      </c>
      <c r="AF4" s="603">
        <v>46260</v>
      </c>
      <c r="AG4" s="603">
        <v>46261</v>
      </c>
      <c r="AH4" s="603">
        <v>46262</v>
      </c>
      <c r="AI4" s="603">
        <v>46263</v>
      </c>
      <c r="AJ4" s="603">
        <v>46264</v>
      </c>
      <c r="AK4" s="603">
        <v>46265</v>
      </c>
      <c r="AL4" s="603">
        <v>46266</v>
      </c>
      <c r="AM4" s="603">
        <v>46267</v>
      </c>
      <c r="AN4" s="603">
        <v>46268</v>
      </c>
      <c r="AO4" s="603">
        <v>46269</v>
      </c>
      <c r="AP4" s="603">
        <v>46270</v>
      </c>
      <c r="AQ4" s="603">
        <v>46271</v>
      </c>
      <c r="AR4" s="603">
        <v>46272</v>
      </c>
      <c r="AS4" s="603">
        <v>46273</v>
      </c>
      <c r="AT4" s="603">
        <v>46274</v>
      </c>
      <c r="AU4" s="603">
        <v>46275</v>
      </c>
      <c r="AV4" s="603">
        <v>46276</v>
      </c>
      <c r="AW4" s="603">
        <v>46277</v>
      </c>
      <c r="AX4" s="603">
        <v>46278</v>
      </c>
      <c r="AY4" s="603">
        <v>46279</v>
      </c>
      <c r="AZ4" s="603">
        <v>46280</v>
      </c>
      <c r="BA4" s="603">
        <v>46281</v>
      </c>
      <c r="BB4" s="603">
        <v>46282</v>
      </c>
      <c r="BC4" s="603">
        <v>46283</v>
      </c>
      <c r="BD4" s="603">
        <v>46284</v>
      </c>
      <c r="BE4" s="603">
        <v>46285</v>
      </c>
      <c r="BF4" s="603">
        <v>46286</v>
      </c>
      <c r="BG4" s="603">
        <v>46287</v>
      </c>
      <c r="BH4" s="603">
        <v>46288</v>
      </c>
      <c r="BI4" s="603">
        <v>46289</v>
      </c>
      <c r="BJ4" s="603">
        <v>46290</v>
      </c>
      <c r="BK4" s="603">
        <v>46291</v>
      </c>
      <c r="BL4" s="603">
        <v>46292</v>
      </c>
      <c r="BM4" s="603">
        <v>46293</v>
      </c>
      <c r="BN4" s="603">
        <v>46294</v>
      </c>
      <c r="BO4" s="603">
        <v>46295</v>
      </c>
      <c r="BP4" s="603">
        <v>46296</v>
      </c>
      <c r="BQ4" s="603">
        <v>46297</v>
      </c>
      <c r="BR4" s="603">
        <v>46298</v>
      </c>
      <c r="BS4" s="603">
        <v>46299</v>
      </c>
      <c r="BT4" s="603">
        <v>46300</v>
      </c>
      <c r="BU4" s="603">
        <v>46301</v>
      </c>
      <c r="BV4" s="603">
        <v>46302</v>
      </c>
      <c r="BW4" s="603">
        <v>46303</v>
      </c>
      <c r="BX4" s="603">
        <v>46304</v>
      </c>
      <c r="BY4" s="603">
        <v>46305</v>
      </c>
      <c r="BZ4" s="603">
        <v>46306</v>
      </c>
      <c r="CA4" s="603">
        <v>46307</v>
      </c>
      <c r="CB4" s="603">
        <v>46308</v>
      </c>
      <c r="CC4" s="603">
        <v>46309</v>
      </c>
      <c r="CD4" s="603">
        <v>46310</v>
      </c>
      <c r="CE4" s="603">
        <v>46311</v>
      </c>
      <c r="CF4" s="603">
        <v>46312</v>
      </c>
      <c r="CG4" s="603">
        <v>46313</v>
      </c>
      <c r="CH4" s="603">
        <v>46314</v>
      </c>
      <c r="CI4" s="603">
        <v>46315</v>
      </c>
      <c r="CJ4" s="603">
        <v>46316</v>
      </c>
      <c r="CK4" s="603">
        <v>46317</v>
      </c>
      <c r="CL4" s="603">
        <v>46318</v>
      </c>
      <c r="CM4" s="603">
        <v>46319</v>
      </c>
      <c r="CN4" s="603">
        <v>46320</v>
      </c>
      <c r="CO4" s="603">
        <v>46321</v>
      </c>
      <c r="CP4" s="603">
        <v>46322</v>
      </c>
      <c r="CQ4" s="603">
        <v>46323</v>
      </c>
      <c r="CR4" s="603">
        <v>46324</v>
      </c>
      <c r="CS4" s="603">
        <v>46325</v>
      </c>
      <c r="CT4" s="603">
        <v>46326</v>
      </c>
      <c r="CU4" s="603">
        <v>46327</v>
      </c>
      <c r="CV4" s="603">
        <v>46328</v>
      </c>
      <c r="CW4" s="603">
        <v>46329</v>
      </c>
      <c r="CX4" s="603">
        <v>46330</v>
      </c>
      <c r="CY4" s="603">
        <v>46331</v>
      </c>
      <c r="CZ4" s="603">
        <v>46332</v>
      </c>
      <c r="DA4" s="603">
        <v>46333</v>
      </c>
      <c r="DB4" s="603">
        <v>46334</v>
      </c>
      <c r="DC4" s="603">
        <v>46335</v>
      </c>
      <c r="DD4" s="603">
        <v>46336</v>
      </c>
      <c r="DE4" s="603">
        <v>46337</v>
      </c>
      <c r="DF4" s="603">
        <v>46338</v>
      </c>
      <c r="DG4" s="603">
        <v>46339</v>
      </c>
    </row>
    <row r="5" spans="1:111" ht="18.75">
      <c r="A5" s="604" t="s">
        <v>7</v>
      </c>
      <c r="B5" s="604" t="s">
        <v>8</v>
      </c>
      <c r="C5" s="575"/>
      <c r="D5" s="605">
        <v>1</v>
      </c>
      <c r="E5" s="606">
        <v>7926</v>
      </c>
      <c r="F5" s="607">
        <v>7926</v>
      </c>
      <c r="G5" s="608"/>
      <c r="H5" s="608"/>
      <c r="I5" s="608"/>
      <c r="J5" s="608"/>
      <c r="K5" s="608"/>
      <c r="L5" s="608"/>
      <c r="M5" s="608"/>
      <c r="N5" s="608"/>
      <c r="O5" s="608"/>
      <c r="P5" s="608"/>
      <c r="Q5" s="608"/>
      <c r="R5" s="608"/>
      <c r="S5" s="608"/>
      <c r="T5" s="608"/>
      <c r="U5" s="608"/>
      <c r="V5" s="608"/>
      <c r="W5" s="608"/>
      <c r="X5" s="608"/>
      <c r="Y5" s="608"/>
      <c r="Z5" s="608"/>
      <c r="AA5" s="608"/>
      <c r="AB5" s="608"/>
      <c r="AC5" s="608"/>
      <c r="AD5" s="608"/>
      <c r="AE5" s="608"/>
      <c r="AF5" s="608"/>
      <c r="AG5" s="608"/>
      <c r="AH5" s="608"/>
      <c r="AI5" s="608"/>
      <c r="AJ5" s="608"/>
      <c r="AK5" s="608"/>
      <c r="AL5" s="608"/>
      <c r="AM5" s="608"/>
      <c r="AN5" s="608"/>
      <c r="AO5" s="608"/>
      <c r="AP5" s="608"/>
      <c r="AQ5" s="608"/>
      <c r="AR5" s="608"/>
      <c r="AS5" s="608"/>
      <c r="AT5" s="608"/>
      <c r="AU5" s="608"/>
      <c r="AV5" s="608"/>
      <c r="AW5" s="608"/>
      <c r="AX5" s="608"/>
      <c r="AY5" s="608"/>
      <c r="AZ5" s="608"/>
      <c r="BA5" s="608"/>
      <c r="BB5" s="608"/>
      <c r="BC5" s="608"/>
      <c r="BD5" s="608"/>
      <c r="BE5" s="608"/>
      <c r="BF5" s="608"/>
      <c r="BG5" s="608"/>
      <c r="BH5" s="608"/>
      <c r="BI5" s="608"/>
      <c r="BJ5" s="608"/>
      <c r="BK5" s="608"/>
      <c r="BL5" s="608"/>
      <c r="BM5" s="608"/>
      <c r="BN5" s="608"/>
      <c r="BO5" s="608"/>
      <c r="BP5" s="608"/>
      <c r="BQ5" s="608"/>
      <c r="BR5" s="608"/>
      <c r="BS5" s="608"/>
      <c r="BT5" s="608"/>
      <c r="BU5" s="608"/>
      <c r="BV5" s="608"/>
      <c r="BW5" s="608"/>
      <c r="BX5" s="608"/>
      <c r="BY5" s="608"/>
      <c r="BZ5" s="608"/>
      <c r="CA5" s="608"/>
      <c r="CB5" s="608"/>
      <c r="CC5" s="608"/>
      <c r="CD5" s="608"/>
      <c r="CE5" s="608"/>
      <c r="CF5" s="608"/>
      <c r="CG5" s="608"/>
      <c r="CH5" s="608"/>
      <c r="CI5" s="608"/>
      <c r="CJ5" s="608"/>
      <c r="CK5" s="609"/>
      <c r="CL5" s="577"/>
      <c r="CM5" s="577"/>
      <c r="CN5" s="577"/>
      <c r="CO5" s="577"/>
      <c r="CP5" s="577"/>
      <c r="CQ5" s="577"/>
      <c r="CR5" s="577"/>
      <c r="CS5" s="577"/>
      <c r="CT5" s="577"/>
      <c r="CU5" s="577"/>
      <c r="CV5" s="577"/>
      <c r="CW5" s="577"/>
      <c r="CX5" s="577"/>
      <c r="CY5" s="577"/>
      <c r="CZ5" s="577"/>
      <c r="DA5" s="577"/>
      <c r="DB5" s="577"/>
      <c r="DC5" s="577"/>
      <c r="DD5" s="577"/>
      <c r="DE5" s="577"/>
      <c r="DF5" s="577"/>
      <c r="DG5" s="577"/>
    </row>
    <row r="6" spans="1:111" ht="18.75">
      <c r="A6" s="604">
        <v>7926</v>
      </c>
      <c r="B6" s="610"/>
      <c r="C6" s="575"/>
      <c r="D6" s="605">
        <v>2</v>
      </c>
      <c r="E6" s="606" t="s">
        <v>9</v>
      </c>
      <c r="F6" s="611" t="s">
        <v>9</v>
      </c>
      <c r="G6" s="612"/>
      <c r="H6" s="612"/>
      <c r="I6" s="612"/>
      <c r="J6" s="612"/>
      <c r="K6" s="612"/>
      <c r="L6" s="612"/>
      <c r="M6" s="612"/>
      <c r="N6" s="612"/>
      <c r="O6" s="612"/>
      <c r="P6" s="612"/>
      <c r="Q6" s="612"/>
      <c r="R6" s="612"/>
      <c r="S6" s="612"/>
      <c r="T6" s="612"/>
      <c r="U6" s="612"/>
      <c r="V6" s="612"/>
      <c r="W6" s="612"/>
      <c r="X6" s="612"/>
      <c r="Y6" s="612"/>
      <c r="Z6" s="612"/>
      <c r="AA6" s="612"/>
      <c r="AB6" s="612"/>
      <c r="AC6" s="612"/>
      <c r="AD6" s="612"/>
      <c r="AE6" s="612"/>
      <c r="AF6" s="612"/>
      <c r="AG6" s="612"/>
      <c r="AH6" s="612"/>
      <c r="AI6" s="612"/>
      <c r="AJ6" s="612"/>
      <c r="AK6" s="612"/>
      <c r="AL6" s="612"/>
      <c r="AM6" s="612"/>
      <c r="AN6" s="612"/>
      <c r="AO6" s="612"/>
      <c r="AP6" s="612"/>
      <c r="AQ6" s="612"/>
      <c r="AR6" s="612"/>
      <c r="AS6" s="612"/>
      <c r="AT6" s="612"/>
      <c r="AU6" s="612"/>
      <c r="AV6" s="612"/>
      <c r="AW6" s="612"/>
      <c r="AX6" s="612"/>
      <c r="AY6" s="612"/>
      <c r="AZ6" s="612"/>
      <c r="BA6" s="612"/>
      <c r="BB6" s="612"/>
      <c r="BC6" s="612"/>
      <c r="BD6" s="612"/>
      <c r="BE6" s="612"/>
      <c r="BF6" s="612"/>
      <c r="BG6" s="612"/>
      <c r="BH6" s="612"/>
      <c r="BI6" s="612"/>
      <c r="BJ6" s="612"/>
      <c r="BK6" s="612"/>
      <c r="BL6" s="612"/>
      <c r="BM6" s="612"/>
      <c r="BN6" s="612"/>
      <c r="BO6" s="612"/>
      <c r="BP6" s="612"/>
      <c r="BQ6" s="612"/>
      <c r="BR6" s="612"/>
      <c r="BS6" s="612"/>
      <c r="BT6" s="612"/>
      <c r="BU6" s="612"/>
      <c r="BV6" s="612"/>
      <c r="BW6" s="612"/>
      <c r="BX6" s="612"/>
      <c r="BY6" s="612"/>
      <c r="BZ6" s="612"/>
      <c r="CA6" s="612"/>
      <c r="CB6" s="612"/>
      <c r="CC6" s="612"/>
      <c r="CD6" s="612"/>
      <c r="CE6" s="612"/>
      <c r="CF6" s="612"/>
      <c r="CG6" s="612"/>
      <c r="CH6" s="612"/>
      <c r="CI6" s="612"/>
      <c r="CJ6" s="612"/>
      <c r="CK6" s="613"/>
      <c r="CL6" s="609"/>
      <c r="CM6" s="577"/>
      <c r="CN6" s="577"/>
      <c r="CO6" s="577"/>
      <c r="CP6" s="577"/>
      <c r="CQ6" s="577"/>
      <c r="CR6" s="577"/>
      <c r="CS6" s="577"/>
      <c r="CT6" s="577"/>
      <c r="CU6" s="577"/>
      <c r="CV6" s="577"/>
      <c r="CW6" s="577"/>
      <c r="CX6" s="577"/>
      <c r="CY6" s="577"/>
      <c r="CZ6" s="577"/>
      <c r="DA6" s="577"/>
      <c r="DB6" s="577"/>
      <c r="DC6" s="577"/>
      <c r="DD6" s="577"/>
      <c r="DE6" s="577"/>
      <c r="DF6" s="577"/>
      <c r="DG6" s="577"/>
    </row>
    <row r="7" spans="1:111" ht="18.75">
      <c r="A7" s="604" t="s">
        <v>9</v>
      </c>
      <c r="B7" s="612"/>
      <c r="C7" s="575"/>
      <c r="D7" s="605">
        <v>3</v>
      </c>
      <c r="E7" s="606">
        <v>6137</v>
      </c>
      <c r="F7" s="614">
        <v>6137</v>
      </c>
      <c r="G7" s="615"/>
      <c r="H7" s="615"/>
      <c r="I7" s="615"/>
      <c r="J7" s="615"/>
      <c r="K7" s="615"/>
      <c r="L7" s="615"/>
      <c r="M7" s="615"/>
      <c r="N7" s="615"/>
      <c r="O7" s="615"/>
      <c r="P7" s="615"/>
      <c r="Q7" s="615"/>
      <c r="R7" s="615"/>
      <c r="S7" s="615"/>
      <c r="T7" s="616"/>
      <c r="U7" s="617">
        <v>4110</v>
      </c>
      <c r="V7" s="617"/>
      <c r="W7" s="617"/>
      <c r="X7" s="617"/>
      <c r="Y7" s="617"/>
      <c r="Z7" s="618"/>
      <c r="AA7" s="618"/>
      <c r="AB7" s="618"/>
      <c r="AC7" s="618"/>
      <c r="AD7" s="618"/>
      <c r="AE7" s="618"/>
      <c r="AF7" s="618"/>
      <c r="AG7" s="618"/>
      <c r="AH7" s="618"/>
      <c r="AI7" s="618"/>
      <c r="AJ7" s="618"/>
      <c r="AK7" s="618"/>
      <c r="AL7" s="618"/>
      <c r="AM7" s="618"/>
      <c r="AN7" s="618"/>
      <c r="AO7" s="618"/>
      <c r="AP7" s="618"/>
      <c r="AQ7" s="618"/>
      <c r="AR7" s="618"/>
      <c r="AS7" s="618"/>
      <c r="AT7" s="618"/>
      <c r="AU7" s="618"/>
      <c r="AV7" s="618"/>
      <c r="AW7" s="618"/>
      <c r="AX7" s="618"/>
      <c r="AY7" s="618"/>
      <c r="AZ7" s="618"/>
      <c r="BA7" s="618"/>
      <c r="BB7" s="616"/>
      <c r="BD7" s="619"/>
      <c r="BE7" s="619"/>
      <c r="BF7" s="619"/>
      <c r="BG7" s="619"/>
      <c r="BH7" s="619"/>
      <c r="BI7" s="619"/>
      <c r="BJ7" s="619"/>
      <c r="BK7" s="577"/>
      <c r="BL7" s="577"/>
      <c r="BM7" s="577"/>
      <c r="BN7" s="577"/>
      <c r="BO7" s="577"/>
      <c r="BP7" s="577"/>
      <c r="BQ7" s="577"/>
      <c r="BR7" s="577"/>
      <c r="BS7" s="577"/>
      <c r="BT7" s="577"/>
      <c r="BU7" s="577"/>
      <c r="BV7" s="577"/>
      <c r="BW7" s="577"/>
      <c r="BX7" s="577"/>
      <c r="BY7" s="577"/>
      <c r="BZ7" s="577"/>
      <c r="CA7" s="577"/>
      <c r="CB7" s="577"/>
      <c r="CC7" s="577"/>
      <c r="CD7" s="577"/>
      <c r="CE7" s="577"/>
      <c r="CF7" s="577"/>
      <c r="CG7" s="577"/>
      <c r="CH7" s="577"/>
      <c r="CI7" s="577"/>
      <c r="CJ7" s="577"/>
      <c r="CK7" s="577"/>
      <c r="CL7" s="577"/>
      <c r="CM7" s="577"/>
      <c r="CN7" s="577"/>
      <c r="CO7" s="577"/>
      <c r="CP7" s="577"/>
      <c r="CQ7" s="577"/>
      <c r="CR7" s="577"/>
      <c r="CS7" s="577"/>
      <c r="CT7" s="577"/>
      <c r="CU7" s="577"/>
      <c r="CV7" s="577"/>
      <c r="CW7" s="577"/>
      <c r="CX7" s="577"/>
      <c r="CY7" s="577"/>
      <c r="CZ7" s="577"/>
      <c r="DA7" s="577"/>
      <c r="DB7" s="577"/>
      <c r="DC7" s="577"/>
      <c r="DD7" s="577"/>
      <c r="DE7" s="577"/>
      <c r="DF7" s="577"/>
      <c r="DG7" s="577"/>
    </row>
    <row r="8" spans="1:111" ht="18.75">
      <c r="A8" s="604" t="s">
        <v>10</v>
      </c>
      <c r="B8" s="620"/>
      <c r="C8" s="575"/>
      <c r="D8" s="605">
        <v>4</v>
      </c>
      <c r="E8" s="606" t="s">
        <v>11</v>
      </c>
      <c r="F8" s="621" t="s">
        <v>11</v>
      </c>
      <c r="G8" s="622"/>
      <c r="H8" s="622"/>
      <c r="I8" s="622"/>
      <c r="J8" s="622"/>
      <c r="K8" s="622"/>
      <c r="L8" s="622"/>
      <c r="M8" s="622"/>
      <c r="N8" s="622"/>
      <c r="O8" s="622"/>
      <c r="P8" s="622"/>
      <c r="Q8" s="622"/>
      <c r="R8" s="622"/>
      <c r="S8" s="622"/>
      <c r="T8" s="620"/>
      <c r="U8" s="620"/>
      <c r="V8" s="620"/>
      <c r="W8" s="620"/>
      <c r="X8" s="620"/>
      <c r="Y8" s="620"/>
      <c r="Z8" s="622"/>
      <c r="AA8" s="622"/>
      <c r="AB8" s="622"/>
      <c r="AC8" s="622"/>
      <c r="AD8" s="622"/>
      <c r="AE8" s="622"/>
      <c r="AF8" s="622"/>
      <c r="AG8" s="622"/>
      <c r="AH8" s="622"/>
      <c r="AI8" s="622"/>
      <c r="AJ8" s="622"/>
      <c r="AK8" s="622"/>
      <c r="AL8" s="622"/>
      <c r="AM8" s="622"/>
      <c r="AN8" s="622"/>
      <c r="AO8" s="622"/>
      <c r="AP8" s="622"/>
      <c r="AQ8" s="622"/>
      <c r="AR8" s="622"/>
      <c r="AS8" s="622"/>
      <c r="AT8" s="622"/>
      <c r="AU8" s="622"/>
      <c r="AV8" s="622"/>
      <c r="AW8" s="622"/>
      <c r="AX8" s="622"/>
      <c r="AY8" s="622"/>
      <c r="AZ8" s="622"/>
      <c r="BA8" s="622"/>
      <c r="BB8" s="620"/>
      <c r="BC8" s="622"/>
      <c r="BD8" s="622"/>
      <c r="BE8" s="622"/>
      <c r="BF8" s="622"/>
      <c r="BG8" s="622"/>
      <c r="BH8" s="622"/>
      <c r="BI8" s="622"/>
      <c r="BJ8" s="622"/>
      <c r="BK8" s="622"/>
      <c r="BL8" s="622"/>
      <c r="BM8" s="622"/>
      <c r="BN8" s="622"/>
      <c r="BO8" s="622"/>
      <c r="BP8" s="609"/>
      <c r="BQ8" s="577"/>
      <c r="BR8" s="577"/>
      <c r="BS8" s="577"/>
      <c r="BT8" s="577"/>
      <c r="BU8" s="577"/>
      <c r="BV8" s="577"/>
      <c r="BW8" s="577"/>
      <c r="BX8" s="577"/>
      <c r="BY8" s="577"/>
      <c r="BZ8" s="577"/>
      <c r="CA8" s="577"/>
      <c r="CB8" s="577"/>
      <c r="CC8" s="577"/>
      <c r="CD8" s="577"/>
      <c r="CE8" s="577"/>
      <c r="CF8" s="577"/>
      <c r="CG8" s="577"/>
      <c r="CH8" s="577"/>
      <c r="CI8" s="577"/>
      <c r="CJ8" s="577"/>
      <c r="CK8" s="577"/>
      <c r="CL8" s="577"/>
      <c r="CM8" s="577"/>
      <c r="CN8" s="577"/>
      <c r="CO8" s="577"/>
      <c r="CP8" s="577"/>
      <c r="CQ8" s="577"/>
      <c r="CR8" s="577"/>
      <c r="CS8" s="577"/>
      <c r="CT8" s="577"/>
      <c r="CU8" s="577"/>
      <c r="CV8" s="577"/>
      <c r="CW8" s="577"/>
      <c r="CX8" s="577"/>
      <c r="CY8" s="577"/>
      <c r="CZ8" s="577"/>
      <c r="DA8" s="577"/>
      <c r="DB8" s="577"/>
      <c r="DC8" s="577"/>
      <c r="DD8" s="577"/>
      <c r="DE8" s="577"/>
      <c r="DF8" s="577"/>
      <c r="DG8" s="577"/>
    </row>
    <row r="9" spans="1:111" ht="18.75">
      <c r="A9" s="604">
        <v>6820</v>
      </c>
      <c r="B9" s="623"/>
      <c r="C9" s="575"/>
      <c r="D9" s="605">
        <v>5</v>
      </c>
      <c r="E9" s="606" t="s">
        <v>11</v>
      </c>
      <c r="F9" s="624">
        <v>6820</v>
      </c>
      <c r="G9" s="623"/>
      <c r="H9" s="623"/>
      <c r="I9" s="623"/>
      <c r="J9" s="623"/>
      <c r="K9" s="623"/>
      <c r="L9" s="623"/>
      <c r="M9" s="623"/>
      <c r="N9" s="623"/>
      <c r="O9" s="623"/>
      <c r="P9" s="623"/>
      <c r="Q9" s="623"/>
      <c r="R9" s="620"/>
      <c r="S9" s="620"/>
      <c r="T9" s="620"/>
      <c r="U9" s="620"/>
      <c r="V9" s="620"/>
      <c r="W9" s="620"/>
      <c r="X9" s="620"/>
      <c r="Y9" s="620"/>
      <c r="Z9" s="620"/>
      <c r="AA9" s="620"/>
      <c r="AB9" s="620"/>
      <c r="AC9" s="620"/>
      <c r="AD9" s="620"/>
      <c r="AE9" s="620"/>
      <c r="AF9" s="620"/>
      <c r="AG9" s="620"/>
      <c r="AH9" s="620"/>
      <c r="AI9" s="620"/>
      <c r="AJ9" s="620"/>
      <c r="AK9" s="620"/>
      <c r="AL9" s="620"/>
      <c r="AM9" s="620"/>
      <c r="AN9" s="620"/>
      <c r="AO9" s="620"/>
      <c r="AP9" s="620"/>
      <c r="AQ9" s="620"/>
      <c r="AR9" s="620"/>
      <c r="AS9" s="620"/>
      <c r="AT9" s="620"/>
      <c r="AU9" s="620"/>
      <c r="AV9" s="620"/>
      <c r="AW9" s="620"/>
      <c r="AX9" s="620"/>
      <c r="AY9" s="620"/>
      <c r="AZ9" s="620"/>
      <c r="BA9" s="620"/>
      <c r="BB9" s="620"/>
      <c r="BC9" s="620"/>
      <c r="BD9" s="620"/>
      <c r="BE9" s="620"/>
      <c r="BF9" s="620"/>
      <c r="BG9" s="620"/>
      <c r="BH9" s="620"/>
      <c r="BI9" s="620"/>
      <c r="BJ9" s="620"/>
      <c r="BK9" s="620"/>
      <c r="BL9" s="620"/>
      <c r="BM9" s="620"/>
      <c r="BN9" s="620"/>
      <c r="BO9" s="620"/>
      <c r="BP9" s="609"/>
      <c r="BQ9" s="577"/>
      <c r="BR9" s="577"/>
      <c r="BS9" s="577"/>
      <c r="BT9" s="577"/>
      <c r="BU9" s="577"/>
      <c r="BV9" s="577"/>
      <c r="BW9" s="577"/>
      <c r="BX9" s="577"/>
      <c r="BY9" s="577"/>
      <c r="BZ9" s="577"/>
      <c r="CA9" s="577"/>
      <c r="CB9" s="577"/>
      <c r="CC9" s="577"/>
      <c r="CD9" s="577"/>
      <c r="CE9" s="577"/>
      <c r="CF9" s="577"/>
      <c r="CG9" s="577"/>
      <c r="CH9" s="577"/>
      <c r="CI9" s="577"/>
      <c r="CJ9" s="577"/>
      <c r="CK9" s="577"/>
      <c r="CL9" s="577"/>
      <c r="CM9" s="577"/>
      <c r="CN9" s="577"/>
      <c r="CO9" s="577"/>
      <c r="CP9" s="577"/>
      <c r="CQ9" s="577"/>
      <c r="CR9" s="577"/>
      <c r="CS9" s="577"/>
      <c r="CT9" s="577"/>
      <c r="CU9" s="577"/>
      <c r="CV9" s="577"/>
      <c r="CW9" s="577"/>
      <c r="CX9" s="577"/>
      <c r="CY9" s="577"/>
      <c r="CZ9" s="577"/>
      <c r="DA9" s="577"/>
      <c r="DB9" s="577"/>
      <c r="DC9" s="577"/>
      <c r="DD9" s="577"/>
      <c r="DE9" s="577"/>
      <c r="DF9" s="577"/>
      <c r="DG9" s="577"/>
    </row>
    <row r="10" spans="1:111" ht="18.75">
      <c r="A10" s="604">
        <v>6108</v>
      </c>
      <c r="B10" s="625"/>
      <c r="C10" s="575"/>
      <c r="D10" s="605">
        <v>6</v>
      </c>
      <c r="E10" s="606">
        <v>6820</v>
      </c>
      <c r="F10" s="624">
        <v>6820</v>
      </c>
      <c r="G10" s="623"/>
      <c r="H10" s="623"/>
      <c r="I10" s="623"/>
      <c r="J10" s="623"/>
      <c r="K10" s="623"/>
      <c r="L10" s="623"/>
      <c r="M10" s="623"/>
      <c r="N10" s="623"/>
      <c r="O10" s="623"/>
      <c r="P10" s="623"/>
      <c r="Q10" s="623"/>
      <c r="R10" s="623"/>
      <c r="S10" s="623"/>
      <c r="T10" s="623"/>
      <c r="U10" s="623"/>
      <c r="V10" s="623"/>
      <c r="W10" s="623"/>
      <c r="X10" s="623"/>
      <c r="Y10" s="623"/>
      <c r="Z10" s="623"/>
      <c r="AA10" s="623"/>
      <c r="AB10" s="623"/>
      <c r="AC10" s="623"/>
      <c r="AD10" s="623"/>
      <c r="AE10" s="623"/>
      <c r="AF10" s="623"/>
      <c r="AG10" s="623"/>
      <c r="AH10" s="623"/>
      <c r="AI10" s="623"/>
      <c r="AJ10" s="623"/>
      <c r="AK10" s="623"/>
      <c r="AL10" s="623"/>
      <c r="AM10" s="623"/>
      <c r="AN10" s="623"/>
      <c r="AO10" s="623"/>
      <c r="AP10" s="623"/>
      <c r="AQ10" s="623"/>
      <c r="AR10" s="623"/>
      <c r="AS10" s="623"/>
      <c r="AT10" s="623"/>
      <c r="AU10" s="623"/>
      <c r="AV10" s="623"/>
      <c r="AW10" s="623"/>
      <c r="AX10" s="623"/>
      <c r="AY10" s="623"/>
      <c r="AZ10" s="623"/>
      <c r="BA10" s="623"/>
      <c r="BB10" s="623"/>
      <c r="BC10" s="623"/>
      <c r="BD10" s="623"/>
      <c r="BE10" s="616"/>
      <c r="BF10" s="626"/>
      <c r="BG10" s="577"/>
      <c r="BH10" s="577"/>
      <c r="BI10" s="577"/>
      <c r="BJ10" s="577"/>
      <c r="BK10" s="577"/>
      <c r="BL10" s="577"/>
      <c r="BM10" s="577"/>
      <c r="BN10" s="577"/>
      <c r="BO10" s="577"/>
      <c r="BP10" s="577"/>
      <c r="BQ10" s="577"/>
      <c r="BR10" s="577"/>
      <c r="BS10" s="577"/>
      <c r="BT10" s="577"/>
      <c r="BU10" s="577"/>
      <c r="BV10" s="577"/>
      <c r="BW10" s="577"/>
      <c r="BX10" s="577"/>
      <c r="BY10" s="577"/>
      <c r="BZ10" s="577"/>
      <c r="CA10" s="577"/>
      <c r="CB10" s="577"/>
      <c r="CC10" s="577"/>
      <c r="CD10" s="577"/>
      <c r="CE10" s="577"/>
      <c r="CF10" s="577"/>
      <c r="CG10" s="577"/>
      <c r="CH10" s="577"/>
      <c r="CI10" s="577"/>
      <c r="CJ10" s="577"/>
      <c r="CK10" s="577"/>
      <c r="CL10" s="577"/>
      <c r="CM10" s="577"/>
      <c r="CN10" s="577"/>
      <c r="CO10" s="577"/>
      <c r="CP10" s="577"/>
      <c r="CQ10" s="577"/>
      <c r="CR10" s="577"/>
      <c r="CS10" s="577"/>
      <c r="CT10" s="577"/>
      <c r="CU10" s="577"/>
      <c r="CV10" s="577"/>
      <c r="CW10" s="577"/>
      <c r="CX10" s="577"/>
      <c r="CY10" s="577"/>
      <c r="CZ10" s="577"/>
      <c r="DA10" s="577"/>
      <c r="DB10" s="577"/>
      <c r="DC10" s="577"/>
      <c r="DD10" s="577"/>
      <c r="DE10" s="577"/>
      <c r="DF10" s="577"/>
      <c r="DG10" s="577"/>
    </row>
    <row r="11" spans="1:111" ht="18.75">
      <c r="A11" s="604">
        <v>6109</v>
      </c>
      <c r="B11" s="627"/>
      <c r="C11" s="575"/>
      <c r="D11" s="605">
        <v>7</v>
      </c>
      <c r="E11" s="606">
        <v>6137</v>
      </c>
      <c r="F11" s="614">
        <v>6137</v>
      </c>
      <c r="G11" s="615"/>
      <c r="H11" s="615"/>
      <c r="I11" s="615"/>
      <c r="J11" s="615"/>
      <c r="K11" s="615"/>
      <c r="L11" s="615"/>
      <c r="M11" s="615"/>
      <c r="N11" s="615"/>
      <c r="O11" s="615"/>
      <c r="P11" s="615"/>
      <c r="Q11" s="615"/>
      <c r="R11" s="615"/>
      <c r="S11" s="615"/>
      <c r="T11" s="616"/>
      <c r="U11" s="628" t="s">
        <v>12</v>
      </c>
      <c r="V11" s="628"/>
      <c r="W11" s="628"/>
      <c r="X11" s="629"/>
      <c r="Y11" s="629"/>
      <c r="Z11" s="629"/>
      <c r="AA11" s="629"/>
      <c r="AB11" s="629"/>
      <c r="AC11" s="629"/>
      <c r="AD11" s="629"/>
      <c r="AE11" s="629"/>
      <c r="AF11" s="629"/>
      <c r="AG11" s="629"/>
      <c r="AH11" s="629"/>
      <c r="AI11" s="629"/>
      <c r="AJ11" s="629"/>
      <c r="AK11" s="629"/>
      <c r="AL11" s="629"/>
      <c r="AM11" s="629"/>
      <c r="AN11" s="629"/>
      <c r="AO11" s="629"/>
      <c r="AP11" s="629"/>
      <c r="AQ11" s="629"/>
      <c r="AR11" s="629"/>
      <c r="AS11" s="616"/>
      <c r="AT11" s="630">
        <v>4117</v>
      </c>
      <c r="AU11" s="630"/>
      <c r="AV11" s="630"/>
      <c r="AW11" s="630"/>
      <c r="AX11" s="631"/>
      <c r="AY11" s="631"/>
      <c r="AZ11" s="631"/>
      <c r="BA11" s="631"/>
      <c r="BB11" s="631"/>
      <c r="BC11" s="631"/>
      <c r="BD11" s="631"/>
      <c r="BE11" s="631"/>
      <c r="BF11" s="631"/>
      <c r="BG11" s="632"/>
      <c r="BH11" s="632"/>
      <c r="BI11" s="632"/>
      <c r="BJ11" s="632"/>
      <c r="BK11" s="632"/>
      <c r="BL11" s="632"/>
      <c r="BM11" s="632"/>
      <c r="BN11" s="632"/>
      <c r="BO11" s="632"/>
      <c r="BP11" s="632"/>
      <c r="BQ11" s="632"/>
      <c r="BR11" s="632"/>
      <c r="BS11" s="632"/>
      <c r="BT11" s="632"/>
      <c r="BU11" s="632"/>
      <c r="BV11" s="632"/>
      <c r="BW11" s="632"/>
      <c r="BX11" s="632"/>
      <c r="BY11" s="632"/>
      <c r="BZ11" s="632"/>
      <c r="CA11" s="632"/>
      <c r="CB11" s="632"/>
      <c r="CC11" s="632"/>
      <c r="CD11" s="632"/>
      <c r="CE11" s="609"/>
      <c r="CF11" s="577"/>
      <c r="CG11" s="577"/>
      <c r="CH11" s="577"/>
      <c r="CI11" s="577"/>
      <c r="CJ11" s="577"/>
      <c r="CK11" s="577"/>
      <c r="CL11" s="577"/>
      <c r="CM11" s="577"/>
      <c r="CN11" s="577"/>
      <c r="CO11" s="577"/>
      <c r="CP11" s="577"/>
      <c r="CQ11" s="577"/>
      <c r="CR11" s="577"/>
      <c r="CS11" s="577"/>
      <c r="CT11" s="577"/>
      <c r="CU11" s="577"/>
      <c r="CV11" s="577"/>
      <c r="CW11" s="577"/>
      <c r="CX11" s="577"/>
      <c r="CY11" s="577"/>
      <c r="CZ11" s="577"/>
      <c r="DA11" s="577"/>
      <c r="DB11" s="577"/>
      <c r="DC11" s="577"/>
      <c r="DD11" s="577"/>
      <c r="DE11" s="577"/>
      <c r="DF11" s="577"/>
      <c r="DG11" s="577"/>
    </row>
    <row r="12" spans="1:111" ht="18.75">
      <c r="A12" s="604">
        <v>4117</v>
      </c>
      <c r="B12" s="631"/>
      <c r="C12" s="575"/>
      <c r="D12" s="605">
        <v>8</v>
      </c>
      <c r="E12" s="606">
        <v>6109</v>
      </c>
      <c r="F12" s="633">
        <v>6109</v>
      </c>
      <c r="G12" s="634"/>
      <c r="H12" s="634"/>
      <c r="I12" s="634"/>
      <c r="J12" s="634"/>
      <c r="K12" s="634"/>
      <c r="L12" s="634"/>
      <c r="M12" s="634"/>
      <c r="N12" s="634"/>
      <c r="O12" s="634"/>
      <c r="P12" s="634"/>
      <c r="Q12" s="634"/>
      <c r="R12" s="634"/>
      <c r="S12" s="634"/>
      <c r="T12" s="627"/>
      <c r="U12" s="627"/>
      <c r="V12" s="627"/>
      <c r="W12" s="627"/>
      <c r="X12" s="634"/>
      <c r="Y12" s="634"/>
      <c r="Z12" s="634"/>
      <c r="AA12" s="634"/>
      <c r="AB12" s="634"/>
      <c r="AC12" s="634"/>
      <c r="AD12" s="634"/>
      <c r="AE12" s="634"/>
      <c r="AF12" s="634"/>
      <c r="AG12" s="634"/>
      <c r="AH12" s="634"/>
      <c r="AI12" s="634"/>
      <c r="AJ12" s="634"/>
      <c r="AK12" s="634"/>
      <c r="AL12" s="634"/>
      <c r="AM12" s="634"/>
      <c r="AN12" s="634"/>
      <c r="AO12" s="634"/>
      <c r="AP12" s="634"/>
      <c r="AQ12" s="634"/>
      <c r="AR12" s="634"/>
      <c r="AS12" s="627"/>
      <c r="AT12" s="627"/>
      <c r="AU12" s="627"/>
      <c r="AV12" s="627"/>
      <c r="AW12" s="627"/>
      <c r="AX12" s="627"/>
      <c r="AY12" s="627"/>
      <c r="AZ12" s="627"/>
      <c r="BA12" s="627"/>
      <c r="BB12" s="627"/>
      <c r="BC12" s="627"/>
      <c r="BD12" s="627"/>
      <c r="BE12" s="627"/>
      <c r="BF12" s="627"/>
      <c r="BG12" s="627"/>
      <c r="BH12" s="627"/>
      <c r="BI12" s="627"/>
      <c r="BJ12" s="627"/>
      <c r="BK12" s="627"/>
      <c r="BL12" s="627"/>
      <c r="BM12" s="627"/>
      <c r="BN12" s="627"/>
      <c r="BO12" s="627"/>
      <c r="BP12" s="627"/>
      <c r="BQ12" s="627"/>
      <c r="BR12" s="627"/>
      <c r="BS12" s="627"/>
      <c r="BT12" s="627"/>
      <c r="BU12" s="627"/>
      <c r="BV12" s="627"/>
      <c r="BW12" s="627"/>
      <c r="BX12" s="627"/>
      <c r="BY12" s="609"/>
      <c r="BZ12" s="577"/>
      <c r="CA12" s="577"/>
      <c r="CB12" s="577"/>
      <c r="CC12" s="577"/>
      <c r="CD12" s="577"/>
      <c r="CE12" s="577"/>
      <c r="CF12" s="577"/>
      <c r="CG12" s="577"/>
      <c r="CH12" s="577"/>
      <c r="CI12" s="577"/>
      <c r="CJ12" s="577"/>
      <c r="CK12" s="577"/>
      <c r="CL12" s="577"/>
      <c r="CM12" s="577"/>
      <c r="CN12" s="577"/>
      <c r="CO12" s="577"/>
      <c r="CP12" s="577"/>
      <c r="CQ12" s="577"/>
      <c r="CR12" s="577"/>
      <c r="CS12" s="577"/>
      <c r="CT12" s="577"/>
      <c r="CU12" s="577"/>
      <c r="CV12" s="577"/>
      <c r="CW12" s="577"/>
      <c r="CX12" s="577"/>
      <c r="CY12" s="577"/>
      <c r="CZ12" s="577"/>
      <c r="DA12" s="577"/>
      <c r="DB12" s="577"/>
      <c r="DC12" s="577"/>
      <c r="DD12" s="577"/>
      <c r="DE12" s="577"/>
      <c r="DF12" s="577"/>
      <c r="DG12" s="577"/>
    </row>
    <row r="13" spans="1:111" ht="18.75">
      <c r="A13" s="604" t="s">
        <v>13</v>
      </c>
      <c r="B13" s="635"/>
      <c r="C13" s="575"/>
      <c r="D13" s="605">
        <v>9</v>
      </c>
      <c r="E13" s="606">
        <v>6109</v>
      </c>
      <c r="F13" s="633">
        <v>6109</v>
      </c>
      <c r="G13" s="627"/>
      <c r="H13" s="627"/>
      <c r="I13" s="627"/>
      <c r="J13" s="627"/>
      <c r="K13" s="627"/>
      <c r="L13" s="627"/>
      <c r="M13" s="627"/>
      <c r="N13" s="627"/>
      <c r="O13" s="627"/>
      <c r="P13" s="627"/>
      <c r="Q13" s="627"/>
      <c r="R13" s="627"/>
      <c r="S13" s="627"/>
      <c r="T13" s="627"/>
      <c r="U13" s="627"/>
      <c r="V13" s="627"/>
      <c r="W13" s="627"/>
      <c r="X13" s="627"/>
      <c r="Y13" s="627"/>
      <c r="Z13" s="627"/>
      <c r="AA13" s="627"/>
      <c r="AB13" s="627"/>
      <c r="AC13" s="627"/>
      <c r="AD13" s="627"/>
      <c r="AE13" s="627"/>
      <c r="AF13" s="627"/>
      <c r="AG13" s="627"/>
      <c r="AH13" s="627"/>
      <c r="AI13" s="627"/>
      <c r="AJ13" s="627"/>
      <c r="AK13" s="627"/>
      <c r="AL13" s="627"/>
      <c r="AM13" s="627"/>
      <c r="AN13" s="627"/>
      <c r="AO13" s="627"/>
      <c r="AP13" s="627"/>
      <c r="AQ13" s="627"/>
      <c r="AR13" s="627"/>
      <c r="AS13" s="627"/>
      <c r="AT13" s="627"/>
      <c r="AU13" s="627"/>
      <c r="AV13" s="627"/>
      <c r="AW13" s="627"/>
      <c r="AX13" s="627"/>
      <c r="AY13" s="627"/>
      <c r="AZ13" s="627"/>
      <c r="BA13" s="627"/>
      <c r="BB13" s="627"/>
      <c r="BC13" s="627"/>
      <c r="BD13" s="627"/>
      <c r="BE13" s="627"/>
      <c r="BF13" s="627"/>
      <c r="BG13" s="627"/>
      <c r="BH13" s="627"/>
      <c r="BI13" s="627"/>
      <c r="BJ13" s="627"/>
      <c r="BK13" s="627"/>
      <c r="BL13" s="627"/>
      <c r="BM13" s="627"/>
      <c r="BN13" s="627"/>
      <c r="BO13" s="627"/>
      <c r="BP13" s="627"/>
      <c r="BQ13" s="627"/>
      <c r="BR13" s="627"/>
      <c r="BS13" s="627"/>
      <c r="BT13" s="627"/>
      <c r="BU13" s="627"/>
      <c r="BV13" s="627"/>
      <c r="BW13" s="627"/>
      <c r="BX13" s="627"/>
      <c r="BY13" s="609"/>
      <c r="BZ13" s="577"/>
      <c r="CA13" s="577"/>
      <c r="CB13" s="577"/>
      <c r="CC13" s="577"/>
      <c r="CD13" s="577"/>
      <c r="CE13" s="577"/>
      <c r="CF13" s="577"/>
      <c r="CG13" s="577"/>
      <c r="CH13" s="577"/>
      <c r="CI13" s="577"/>
      <c r="CJ13" s="577"/>
      <c r="CK13" s="577"/>
      <c r="CL13" s="577"/>
      <c r="CM13" s="577"/>
      <c r="CN13" s="577"/>
      <c r="CO13" s="577"/>
      <c r="CP13" s="577"/>
      <c r="CQ13" s="577"/>
      <c r="CR13" s="577"/>
      <c r="CS13" s="577"/>
      <c r="CT13" s="577"/>
      <c r="CU13" s="577"/>
      <c r="CV13" s="577"/>
      <c r="CW13" s="577"/>
      <c r="CX13" s="577"/>
      <c r="CY13" s="577"/>
      <c r="CZ13" s="577"/>
      <c r="DA13" s="577"/>
      <c r="DB13" s="577"/>
      <c r="DC13" s="577"/>
      <c r="DD13" s="577"/>
      <c r="DE13" s="577"/>
      <c r="DF13" s="577"/>
      <c r="DG13" s="577"/>
    </row>
    <row r="14" spans="1:111" ht="18.75">
      <c r="A14" s="604">
        <v>4115</v>
      </c>
      <c r="B14" s="636"/>
      <c r="C14" s="575"/>
      <c r="D14" s="605">
        <v>10</v>
      </c>
      <c r="E14" s="606">
        <v>6109</v>
      </c>
      <c r="F14" s="633">
        <v>6109</v>
      </c>
      <c r="G14" s="627"/>
      <c r="H14" s="627"/>
      <c r="I14" s="627"/>
      <c r="J14" s="627"/>
      <c r="K14" s="627"/>
      <c r="L14" s="627"/>
      <c r="M14" s="627"/>
      <c r="N14" s="627"/>
      <c r="O14" s="627"/>
      <c r="P14" s="627"/>
      <c r="Q14" s="627"/>
      <c r="R14" s="627"/>
      <c r="S14" s="627"/>
      <c r="T14" s="627"/>
      <c r="U14" s="627"/>
      <c r="V14" s="627"/>
      <c r="W14" s="627"/>
      <c r="X14" s="627"/>
      <c r="Y14" s="627"/>
      <c r="Z14" s="627"/>
      <c r="AA14" s="627"/>
      <c r="AB14" s="627"/>
      <c r="AC14" s="627"/>
      <c r="AD14" s="627"/>
      <c r="AE14" s="627"/>
      <c r="AF14" s="627"/>
      <c r="AG14" s="627"/>
      <c r="AH14" s="627"/>
      <c r="AI14" s="627"/>
      <c r="AJ14" s="627"/>
      <c r="AK14" s="627"/>
      <c r="AL14" s="627"/>
      <c r="AM14" s="627"/>
      <c r="AN14" s="627"/>
      <c r="AO14" s="627"/>
      <c r="AP14" s="627"/>
      <c r="AQ14" s="627"/>
      <c r="AR14" s="627"/>
      <c r="AS14" s="627"/>
      <c r="AT14" s="627"/>
      <c r="AU14" s="627"/>
      <c r="AV14" s="627"/>
      <c r="AW14" s="627"/>
      <c r="AX14" s="627"/>
      <c r="AY14" s="627"/>
      <c r="AZ14" s="627"/>
      <c r="BA14" s="627"/>
      <c r="BB14" s="627"/>
      <c r="BC14" s="627"/>
      <c r="BD14" s="627"/>
      <c r="BE14" s="627"/>
      <c r="BF14" s="627"/>
      <c r="BG14" s="627"/>
      <c r="BH14" s="627"/>
      <c r="BI14" s="627"/>
      <c r="BJ14" s="627"/>
      <c r="BK14" s="627"/>
      <c r="BL14" s="627"/>
      <c r="BM14" s="627"/>
      <c r="BN14" s="627"/>
      <c r="BO14" s="627"/>
      <c r="BP14" s="627"/>
      <c r="BQ14" s="627"/>
      <c r="BR14" s="627"/>
      <c r="BS14" s="627"/>
      <c r="BT14" s="627"/>
      <c r="BU14" s="627"/>
      <c r="BV14" s="627"/>
      <c r="BW14" s="627"/>
      <c r="BX14" s="627"/>
      <c r="BY14" s="609"/>
      <c r="BZ14" s="577"/>
      <c r="CA14" s="577"/>
      <c r="CB14" s="577"/>
      <c r="CC14" s="577"/>
      <c r="CD14" s="577"/>
      <c r="CE14" s="577"/>
      <c r="CF14" s="577"/>
      <c r="CG14" s="577"/>
      <c r="CH14" s="577"/>
      <c r="CI14" s="577"/>
      <c r="CJ14" s="577"/>
      <c r="CK14" s="577"/>
      <c r="CL14" s="577"/>
      <c r="CM14" s="577"/>
      <c r="CN14" s="577"/>
      <c r="CO14" s="577"/>
      <c r="CP14" s="577"/>
      <c r="CQ14" s="577"/>
      <c r="CR14" s="577"/>
      <c r="CS14" s="577"/>
      <c r="CT14" s="577"/>
      <c r="CU14" s="577"/>
      <c r="CV14" s="577"/>
      <c r="CW14" s="577"/>
      <c r="CX14" s="577"/>
      <c r="CY14" s="577"/>
      <c r="CZ14" s="577"/>
      <c r="DA14" s="577"/>
      <c r="DB14" s="577"/>
      <c r="DC14" s="577"/>
      <c r="DD14" s="577"/>
      <c r="DE14" s="577"/>
      <c r="DF14" s="577"/>
      <c r="DG14" s="577"/>
    </row>
    <row r="15" spans="1:111" ht="18.75">
      <c r="A15" s="604" t="s">
        <v>14</v>
      </c>
      <c r="B15" s="637"/>
      <c r="C15" s="575"/>
      <c r="D15" s="605">
        <v>11</v>
      </c>
      <c r="E15" s="638">
        <v>6108</v>
      </c>
      <c r="F15" s="639">
        <v>6108</v>
      </c>
      <c r="G15" s="625"/>
      <c r="H15" s="625"/>
      <c r="I15" s="625"/>
      <c r="J15" s="625"/>
      <c r="K15" s="625"/>
      <c r="L15" s="625"/>
      <c r="M15" s="625"/>
      <c r="N15" s="625"/>
      <c r="O15" s="625"/>
      <c r="P15" s="625"/>
      <c r="Q15" s="625"/>
      <c r="R15" s="625"/>
      <c r="S15" s="625"/>
      <c r="T15" s="625"/>
      <c r="U15" s="625"/>
      <c r="V15" s="625"/>
      <c r="W15" s="625"/>
      <c r="X15" s="625"/>
      <c r="Y15" s="625"/>
      <c r="Z15" s="625"/>
      <c r="AA15" s="625"/>
      <c r="AB15" s="625"/>
      <c r="AC15" s="625"/>
      <c r="AD15" s="625"/>
      <c r="AE15" s="625"/>
      <c r="AF15" s="625"/>
      <c r="AG15" s="625"/>
      <c r="AH15" s="625"/>
      <c r="AI15" s="625"/>
      <c r="AJ15" s="625"/>
      <c r="AK15" s="625"/>
      <c r="AL15" s="625"/>
      <c r="AM15" s="625"/>
      <c r="AN15" s="625"/>
      <c r="AO15" s="625"/>
      <c r="AP15" s="625"/>
      <c r="AQ15" s="625"/>
      <c r="AR15" s="625"/>
      <c r="AS15" s="625"/>
      <c r="AT15" s="625"/>
      <c r="AU15" s="625"/>
      <c r="AV15" s="625"/>
      <c r="AW15" s="625"/>
      <c r="AX15" s="625"/>
      <c r="AY15" s="625"/>
      <c r="AZ15" s="630">
        <v>4117</v>
      </c>
      <c r="BA15" s="630"/>
      <c r="BB15" s="630"/>
      <c r="BC15" s="630"/>
      <c r="BD15" s="631"/>
      <c r="BE15" s="631"/>
      <c r="BF15" s="631"/>
      <c r="BG15" s="631"/>
      <c r="BH15" s="631"/>
      <c r="BI15" s="631"/>
      <c r="BJ15" s="631"/>
      <c r="BK15" s="631"/>
      <c r="BL15" s="631"/>
      <c r="BM15" s="631"/>
      <c r="BN15" s="631"/>
      <c r="BO15" s="631"/>
      <c r="BP15" s="631"/>
      <c r="BQ15" s="631"/>
      <c r="BR15" s="631"/>
      <c r="BS15" s="631"/>
      <c r="BT15" s="631"/>
      <c r="BU15" s="631"/>
      <c r="BV15" s="631"/>
      <c r="BW15" s="631"/>
      <c r="BX15" s="631"/>
      <c r="BY15" s="632"/>
      <c r="BZ15" s="632"/>
      <c r="CA15" s="632"/>
      <c r="CB15" s="632"/>
      <c r="CC15" s="632"/>
      <c r="CD15" s="632"/>
      <c r="CE15" s="609"/>
      <c r="CF15" s="577"/>
      <c r="CG15" s="577"/>
      <c r="CH15" s="577"/>
      <c r="CI15" s="577"/>
      <c r="CJ15" s="577"/>
      <c r="CK15" s="577"/>
      <c r="CL15" s="577"/>
      <c r="CM15" s="577"/>
      <c r="CN15" s="577"/>
      <c r="CO15" s="577"/>
      <c r="CP15" s="577"/>
      <c r="CQ15" s="577"/>
      <c r="CR15" s="577"/>
      <c r="CS15" s="577"/>
      <c r="CT15" s="577"/>
      <c r="CU15" s="577"/>
      <c r="CV15" s="577"/>
      <c r="CW15" s="577"/>
      <c r="CX15" s="577"/>
      <c r="CY15" s="577"/>
      <c r="CZ15" s="577"/>
      <c r="DA15" s="577"/>
      <c r="DB15" s="577"/>
      <c r="DC15" s="577"/>
      <c r="DD15" s="577"/>
      <c r="DE15" s="577"/>
      <c r="DF15" s="577"/>
      <c r="DG15" s="577"/>
    </row>
    <row r="16" spans="1:111" ht="18.75">
      <c r="A16" s="604">
        <v>6135</v>
      </c>
      <c r="B16" s="640"/>
      <c r="C16" s="575"/>
      <c r="D16" s="605">
        <v>12</v>
      </c>
      <c r="E16" s="638">
        <v>6108</v>
      </c>
      <c r="F16" s="639">
        <v>6108</v>
      </c>
      <c r="G16" s="625"/>
      <c r="H16" s="625"/>
      <c r="I16" s="625"/>
      <c r="J16" s="625"/>
      <c r="K16" s="625"/>
      <c r="L16" s="625"/>
      <c r="M16" s="625"/>
      <c r="N16" s="625"/>
      <c r="O16" s="625"/>
      <c r="P16" s="625"/>
      <c r="Q16" s="625"/>
      <c r="R16" s="625"/>
      <c r="S16" s="625"/>
      <c r="T16" s="625"/>
      <c r="U16" s="625"/>
      <c r="V16" s="625"/>
      <c r="W16" s="625"/>
      <c r="X16" s="625"/>
      <c r="Y16" s="625"/>
      <c r="Z16" s="625"/>
      <c r="AA16" s="625"/>
      <c r="AB16" s="625"/>
      <c r="AC16" s="625"/>
      <c r="AD16" s="625"/>
      <c r="AE16" s="625"/>
      <c r="AF16" s="625"/>
      <c r="AG16" s="625"/>
      <c r="AH16" s="625"/>
      <c r="AI16" s="625"/>
      <c r="AJ16" s="625"/>
      <c r="AK16" s="625"/>
      <c r="AL16" s="625"/>
      <c r="AM16" s="625"/>
      <c r="AN16" s="625"/>
      <c r="AO16" s="625"/>
      <c r="AP16" s="625"/>
      <c r="AQ16" s="625"/>
      <c r="AR16" s="625"/>
      <c r="AS16" s="625"/>
      <c r="AT16" s="625"/>
      <c r="AU16" s="625"/>
      <c r="AV16" s="625"/>
      <c r="AW16" s="625"/>
      <c r="AX16" s="625"/>
      <c r="AY16" s="625"/>
      <c r="AZ16" s="630">
        <v>4117</v>
      </c>
      <c r="BA16" s="630"/>
      <c r="BB16" s="630"/>
      <c r="BC16" s="630"/>
      <c r="BD16" s="631"/>
      <c r="BE16" s="631"/>
      <c r="BF16" s="631"/>
      <c r="BG16" s="631"/>
      <c r="BH16" s="631"/>
      <c r="BI16" s="631"/>
      <c r="BJ16" s="631"/>
      <c r="BK16" s="631"/>
      <c r="BL16" s="631"/>
      <c r="BM16" s="631"/>
      <c r="BN16" s="631"/>
      <c r="BO16" s="631"/>
      <c r="BP16" s="631"/>
      <c r="BQ16" s="631"/>
      <c r="BR16" s="631"/>
      <c r="BS16" s="631"/>
      <c r="BT16" s="631"/>
      <c r="BU16" s="631"/>
      <c r="BV16" s="631"/>
      <c r="BW16" s="631"/>
      <c r="BX16" s="631"/>
      <c r="BY16" s="631"/>
      <c r="BZ16" s="631"/>
      <c r="CA16" s="631"/>
      <c r="CB16" s="631"/>
      <c r="CC16" s="631"/>
      <c r="CD16" s="631"/>
      <c r="CE16" s="609"/>
      <c r="CF16" s="577"/>
      <c r="CG16" s="577"/>
      <c r="CH16" s="577"/>
      <c r="CI16" s="577"/>
      <c r="CJ16" s="577"/>
      <c r="CK16" s="577"/>
      <c r="CL16" s="577"/>
      <c r="CM16" s="577"/>
      <c r="CN16" s="577"/>
      <c r="CO16" s="577"/>
      <c r="CP16" s="577"/>
      <c r="CQ16" s="577"/>
      <c r="CR16" s="577"/>
      <c r="CS16" s="577"/>
      <c r="CT16" s="577"/>
      <c r="CU16" s="577"/>
      <c r="CV16" s="577"/>
      <c r="CW16" s="577"/>
      <c r="CX16" s="577"/>
      <c r="CY16" s="577"/>
      <c r="CZ16" s="577"/>
      <c r="DA16" s="577"/>
      <c r="DB16" s="577"/>
      <c r="DC16" s="577"/>
      <c r="DD16" s="577"/>
      <c r="DE16" s="577"/>
      <c r="DF16" s="577"/>
      <c r="DG16" s="577"/>
    </row>
    <row r="17" spans="1:111" ht="18.75">
      <c r="A17" s="604" t="s">
        <v>15</v>
      </c>
      <c r="B17" s="641"/>
      <c r="C17" s="575"/>
      <c r="D17" s="605">
        <v>13</v>
      </c>
      <c r="E17" s="642" t="s">
        <v>14</v>
      </c>
      <c r="F17" s="643" t="s">
        <v>14</v>
      </c>
      <c r="G17" s="629"/>
      <c r="H17" s="629"/>
      <c r="I17" s="629"/>
      <c r="J17" s="629"/>
      <c r="K17" s="629"/>
      <c r="L17" s="629"/>
      <c r="M17" s="629"/>
      <c r="N17" s="629"/>
      <c r="O17" s="629"/>
      <c r="P17" s="629"/>
      <c r="Q17" s="629"/>
      <c r="R17" s="629"/>
      <c r="S17" s="629"/>
      <c r="T17" s="629"/>
      <c r="U17" s="629"/>
      <c r="V17" s="629"/>
      <c r="W17" s="629"/>
      <c r="X17" s="629"/>
      <c r="Y17" s="629"/>
      <c r="Z17" s="629"/>
      <c r="AA17" s="629"/>
      <c r="AB17" s="629"/>
      <c r="AC17" s="629"/>
      <c r="AD17" s="629"/>
      <c r="AE17" s="629"/>
      <c r="AF17" s="629"/>
      <c r="AG17" s="629"/>
      <c r="AH17" s="629"/>
      <c r="AI17" s="629"/>
      <c r="AJ17" s="629"/>
      <c r="AK17" s="629"/>
      <c r="AL17" s="629"/>
      <c r="AM17" s="629"/>
      <c r="AN17" s="629"/>
      <c r="AO17" s="629"/>
      <c r="AP17" s="629"/>
      <c r="AQ17" s="629"/>
      <c r="AR17" s="629"/>
      <c r="AS17" s="629"/>
      <c r="AT17" s="629"/>
      <c r="AU17" s="629"/>
      <c r="AV17" s="629"/>
      <c r="AW17" s="629"/>
      <c r="AX17" s="629"/>
      <c r="AY17" s="629"/>
      <c r="AZ17" s="629"/>
      <c r="BA17" s="629"/>
      <c r="BB17" s="629"/>
      <c r="BC17" s="629"/>
      <c r="BD17" s="629"/>
      <c r="BE17" s="616"/>
      <c r="BF17" s="630">
        <v>4117</v>
      </c>
      <c r="BG17" s="630"/>
      <c r="BH17" s="630"/>
      <c r="BI17" s="630"/>
      <c r="BJ17" s="631"/>
      <c r="BK17" s="631"/>
      <c r="BL17" s="631"/>
      <c r="BM17" s="631"/>
      <c r="BN17" s="631"/>
      <c r="BO17" s="631"/>
      <c r="BP17" s="631"/>
      <c r="BQ17" s="631"/>
      <c r="BR17" s="631"/>
      <c r="BS17" s="631"/>
      <c r="BT17" s="631"/>
      <c r="BU17" s="631"/>
      <c r="BV17" s="631"/>
      <c r="BW17" s="631"/>
      <c r="BX17" s="631"/>
      <c r="BY17" s="631"/>
      <c r="BZ17" s="631"/>
      <c r="CA17" s="631"/>
      <c r="CB17" s="631"/>
      <c r="CC17" s="631"/>
      <c r="CD17" s="631"/>
      <c r="CE17" s="609"/>
      <c r="CF17" s="577"/>
      <c r="CG17" s="577"/>
      <c r="CH17" s="577"/>
      <c r="CI17" s="577"/>
      <c r="CJ17" s="577"/>
      <c r="CK17" s="577"/>
      <c r="CL17" s="577"/>
      <c r="CM17" s="577"/>
      <c r="CN17" s="577"/>
      <c r="CO17" s="577"/>
      <c r="CP17" s="577"/>
      <c r="CQ17" s="577"/>
      <c r="CR17" s="577"/>
      <c r="CS17" s="577"/>
      <c r="CT17" s="577"/>
      <c r="CU17" s="577"/>
      <c r="CV17" s="577"/>
      <c r="CW17" s="577"/>
      <c r="CX17" s="577"/>
      <c r="CY17" s="577"/>
      <c r="CZ17" s="577"/>
      <c r="DA17" s="577"/>
      <c r="DB17" s="577"/>
      <c r="DC17" s="577"/>
      <c r="DD17" s="577"/>
      <c r="DE17" s="577"/>
      <c r="DF17" s="577"/>
      <c r="DG17" s="577"/>
    </row>
    <row r="18" spans="1:111" ht="18.75">
      <c r="A18" s="604" t="s">
        <v>16</v>
      </c>
      <c r="B18" s="644"/>
      <c r="C18" s="575"/>
      <c r="D18" s="605">
        <v>14</v>
      </c>
      <c r="E18" s="645">
        <v>6137</v>
      </c>
      <c r="F18" s="614">
        <v>6137</v>
      </c>
      <c r="G18" s="615"/>
      <c r="H18" s="615"/>
      <c r="I18" s="615"/>
      <c r="J18" s="615"/>
      <c r="K18" s="615"/>
      <c r="L18" s="615"/>
      <c r="M18" s="615"/>
      <c r="N18" s="615"/>
      <c r="O18" s="615"/>
      <c r="P18" s="615"/>
      <c r="Q18" s="615"/>
      <c r="R18" s="615"/>
      <c r="S18" s="615"/>
      <c r="T18" s="646"/>
      <c r="U18" s="647" t="s">
        <v>13</v>
      </c>
      <c r="V18" s="647"/>
      <c r="W18" s="647"/>
      <c r="X18" s="648"/>
      <c r="Y18" s="648"/>
      <c r="Z18" s="648"/>
      <c r="AA18" s="648"/>
      <c r="AB18" s="648"/>
      <c r="AC18" s="648"/>
      <c r="AD18" s="648"/>
      <c r="AE18" s="648"/>
      <c r="AF18" s="648"/>
      <c r="AG18" s="648"/>
      <c r="AH18" s="648"/>
      <c r="AI18" s="648"/>
      <c r="AJ18" s="648"/>
      <c r="AK18" s="648"/>
      <c r="AL18" s="648"/>
      <c r="AM18" s="648"/>
      <c r="AN18" s="648"/>
      <c r="AO18" s="648"/>
      <c r="AP18" s="648"/>
      <c r="AQ18" s="648"/>
      <c r="AR18" s="648"/>
      <c r="AS18" s="648"/>
      <c r="AT18" s="648"/>
      <c r="AU18" s="648"/>
      <c r="AV18" s="648"/>
      <c r="AW18" s="648"/>
      <c r="AX18" s="648"/>
      <c r="AY18" s="648"/>
      <c r="AZ18" s="648"/>
      <c r="BA18" s="648"/>
      <c r="BB18" s="648"/>
      <c r="BC18" s="648"/>
      <c r="BD18" s="648"/>
      <c r="BE18" s="635"/>
      <c r="BF18" s="635"/>
      <c r="BG18" s="635"/>
      <c r="BH18" s="635"/>
      <c r="BI18" s="635"/>
      <c r="BJ18" s="635"/>
      <c r="BK18" s="635"/>
      <c r="BL18" s="635"/>
      <c r="BM18" s="635"/>
      <c r="BN18" s="635"/>
      <c r="BO18" s="635"/>
      <c r="BP18" s="635"/>
      <c r="BQ18" s="635"/>
      <c r="BR18" s="635"/>
      <c r="BS18" s="635"/>
      <c r="BT18" s="635"/>
      <c r="BU18" s="635"/>
      <c r="BV18" s="635"/>
      <c r="BW18" s="635"/>
      <c r="BX18" s="635"/>
      <c r="BY18" s="635"/>
      <c r="BZ18" s="635"/>
      <c r="CA18" s="635"/>
      <c r="CB18" s="635"/>
      <c r="CC18" s="635"/>
      <c r="CD18" s="635"/>
      <c r="CE18" s="648"/>
      <c r="CF18" s="648"/>
      <c r="CG18" s="648"/>
      <c r="CH18" s="648"/>
      <c r="CI18" s="609"/>
      <c r="CJ18" s="577"/>
      <c r="CK18" s="577"/>
      <c r="CL18" s="577"/>
      <c r="CM18" s="577"/>
      <c r="CN18" s="577"/>
      <c r="CO18" s="577"/>
      <c r="CP18" s="577"/>
      <c r="CQ18" s="577"/>
      <c r="CR18" s="577"/>
      <c r="CS18" s="577"/>
      <c r="CT18" s="577"/>
      <c r="CU18" s="577"/>
      <c r="CV18" s="577"/>
      <c r="CW18" s="577"/>
      <c r="CX18" s="577"/>
      <c r="CY18" s="577"/>
      <c r="CZ18" s="577"/>
      <c r="DA18" s="577"/>
      <c r="DB18" s="577"/>
      <c r="DC18" s="577"/>
      <c r="DD18" s="577"/>
      <c r="DE18" s="577"/>
      <c r="DF18" s="577"/>
      <c r="DG18" s="577"/>
    </row>
    <row r="19" spans="1:111" ht="18.75">
      <c r="A19" s="604">
        <v>6137</v>
      </c>
      <c r="B19" s="615"/>
      <c r="C19" s="575"/>
      <c r="D19" s="605">
        <v>15</v>
      </c>
      <c r="E19" s="606">
        <v>6135</v>
      </c>
      <c r="F19" s="649">
        <v>6135</v>
      </c>
      <c r="G19" s="650"/>
      <c r="H19" s="650"/>
      <c r="I19" s="650"/>
      <c r="J19" s="650"/>
      <c r="K19" s="650"/>
      <c r="L19" s="650"/>
      <c r="M19" s="650"/>
      <c r="N19" s="650"/>
      <c r="O19" s="650"/>
      <c r="P19" s="650"/>
      <c r="Q19" s="650"/>
      <c r="R19" s="650"/>
      <c r="S19" s="650"/>
      <c r="T19" s="616"/>
      <c r="U19" s="651"/>
      <c r="V19" s="651"/>
      <c r="W19" s="651"/>
      <c r="X19" s="635"/>
      <c r="Y19" s="635"/>
      <c r="Z19" s="635"/>
      <c r="AA19" s="635"/>
      <c r="AB19" s="635"/>
      <c r="AC19" s="635"/>
      <c r="AD19" s="635"/>
      <c r="AE19" s="635"/>
      <c r="AF19" s="635"/>
      <c r="AG19" s="635"/>
      <c r="AH19" s="635"/>
      <c r="AI19" s="635"/>
      <c r="AJ19" s="635"/>
      <c r="AK19" s="635"/>
      <c r="AL19" s="635"/>
      <c r="AM19" s="635"/>
      <c r="AN19" s="635"/>
      <c r="AO19" s="635"/>
      <c r="AP19" s="635"/>
      <c r="AQ19" s="635"/>
      <c r="AR19" s="635"/>
      <c r="AS19" s="635"/>
      <c r="AT19" s="635"/>
      <c r="AU19" s="635"/>
      <c r="AV19" s="635"/>
      <c r="AW19" s="635"/>
      <c r="AX19" s="635"/>
      <c r="AY19" s="635"/>
      <c r="AZ19" s="635"/>
      <c r="BA19" s="635"/>
      <c r="BB19" s="635"/>
      <c r="BC19" s="635"/>
      <c r="BD19" s="635"/>
      <c r="BE19" s="635"/>
      <c r="BF19" s="635"/>
      <c r="BG19" s="635"/>
      <c r="BH19" s="635"/>
      <c r="BI19" s="635"/>
      <c r="BJ19" s="635"/>
      <c r="BK19" s="635"/>
      <c r="BL19" s="635"/>
      <c r="BM19" s="635"/>
      <c r="BN19" s="635"/>
      <c r="BO19" s="635"/>
      <c r="BP19" s="635"/>
      <c r="BQ19" s="635"/>
      <c r="BR19" s="635"/>
      <c r="BS19" s="635"/>
      <c r="BT19" s="635"/>
      <c r="BU19" s="635"/>
      <c r="BV19" s="635"/>
      <c r="BW19" s="635"/>
      <c r="BX19" s="635"/>
      <c r="BY19" s="635"/>
      <c r="BZ19" s="635"/>
      <c r="CA19" s="635"/>
      <c r="CB19" s="635"/>
      <c r="CC19" s="635"/>
      <c r="CD19" s="635"/>
      <c r="CE19" s="635"/>
      <c r="CF19" s="635"/>
      <c r="CG19" s="635"/>
      <c r="CH19" s="635"/>
      <c r="CI19" s="609"/>
      <c r="CJ19" s="577"/>
      <c r="CK19" s="577"/>
      <c r="CL19" s="577"/>
      <c r="CM19" s="577"/>
      <c r="CN19" s="577"/>
      <c r="CO19" s="577"/>
      <c r="CP19" s="577"/>
      <c r="CQ19" s="577"/>
      <c r="CR19" s="577"/>
      <c r="CS19" s="577"/>
      <c r="CT19" s="577"/>
      <c r="CU19" s="577"/>
      <c r="CV19" s="577"/>
      <c r="CW19" s="577"/>
      <c r="CX19" s="577"/>
      <c r="CY19" s="577"/>
      <c r="CZ19" s="577"/>
      <c r="DA19" s="577"/>
      <c r="DB19" s="577"/>
      <c r="DC19" s="577"/>
      <c r="DD19" s="577"/>
      <c r="DE19" s="577"/>
      <c r="DF19" s="577"/>
      <c r="DG19" s="577"/>
    </row>
    <row r="20" spans="1:111" ht="18.75">
      <c r="A20" s="604">
        <v>4110</v>
      </c>
      <c r="B20" s="618"/>
      <c r="C20" s="575"/>
      <c r="D20" s="605">
        <v>16</v>
      </c>
      <c r="E20" s="606" t="s">
        <v>17</v>
      </c>
      <c r="F20" s="652" t="s">
        <v>17</v>
      </c>
      <c r="G20" s="635"/>
      <c r="H20" s="635"/>
      <c r="I20" s="635"/>
      <c r="J20" s="635"/>
      <c r="K20" s="635"/>
      <c r="L20" s="635"/>
      <c r="M20" s="635"/>
      <c r="N20" s="635"/>
      <c r="O20" s="635"/>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5"/>
      <c r="AY20" s="635"/>
      <c r="AZ20" s="635"/>
      <c r="BA20" s="635"/>
      <c r="BB20" s="635"/>
      <c r="BC20" s="635"/>
      <c r="BD20" s="635"/>
      <c r="BE20" s="635"/>
      <c r="BF20" s="635"/>
      <c r="BG20" s="635"/>
      <c r="BH20" s="635"/>
      <c r="BI20" s="635"/>
      <c r="BJ20" s="635"/>
      <c r="BK20" s="635"/>
      <c r="BL20" s="635"/>
      <c r="BM20" s="635"/>
      <c r="BN20" s="635"/>
      <c r="BO20" s="635"/>
      <c r="BP20" s="635"/>
      <c r="BQ20" s="635"/>
      <c r="BR20" s="635"/>
      <c r="BS20" s="635"/>
      <c r="BT20" s="635"/>
      <c r="BU20" s="635"/>
      <c r="BV20" s="635"/>
      <c r="BW20" s="635"/>
      <c r="BX20" s="635"/>
      <c r="BY20" s="635"/>
      <c r="BZ20" s="635"/>
      <c r="CA20" s="635"/>
      <c r="CB20" s="635"/>
      <c r="CC20" s="635"/>
      <c r="CD20" s="635"/>
      <c r="CE20" s="635"/>
      <c r="CF20" s="635"/>
      <c r="CG20" s="635"/>
      <c r="CH20" s="635"/>
      <c r="CI20" s="609"/>
      <c r="CJ20" s="577"/>
      <c r="CK20" s="577"/>
      <c r="CL20" s="577"/>
      <c r="CM20" s="577"/>
      <c r="CN20" s="577"/>
      <c r="CO20" s="577"/>
      <c r="CP20" s="577"/>
      <c r="CQ20" s="577"/>
      <c r="CR20" s="577"/>
      <c r="CS20" s="577"/>
      <c r="CT20" s="577"/>
      <c r="CU20" s="577"/>
      <c r="CV20" s="577"/>
      <c r="CW20" s="577"/>
      <c r="CX20" s="577"/>
      <c r="CY20" s="577"/>
      <c r="CZ20" s="577"/>
      <c r="DA20" s="577"/>
      <c r="DB20" s="577"/>
      <c r="DC20" s="577"/>
      <c r="DD20" s="577"/>
      <c r="DE20" s="577"/>
      <c r="DF20" s="577"/>
      <c r="DG20" s="577"/>
    </row>
    <row r="21" spans="1:111" ht="18.75">
      <c r="A21" s="575"/>
      <c r="B21" s="575"/>
      <c r="C21" s="575"/>
      <c r="D21" s="605">
        <v>17</v>
      </c>
      <c r="E21" s="606">
        <v>4117</v>
      </c>
      <c r="F21" s="653">
        <v>4117</v>
      </c>
      <c r="G21" s="631"/>
      <c r="H21" s="631"/>
      <c r="I21" s="631"/>
      <c r="J21" s="631"/>
      <c r="K21" s="631"/>
      <c r="L21" s="631"/>
      <c r="M21" s="631"/>
      <c r="N21" s="631"/>
      <c r="O21" s="631"/>
      <c r="P21" s="631"/>
      <c r="Q21" s="631"/>
      <c r="R21" s="631"/>
      <c r="S21" s="631"/>
      <c r="T21" s="631"/>
      <c r="U21" s="631"/>
      <c r="V21" s="631"/>
      <c r="W21" s="631"/>
      <c r="X21" s="631"/>
      <c r="Y21" s="631"/>
      <c r="Z21" s="631"/>
      <c r="AA21" s="631"/>
      <c r="AB21" s="631"/>
      <c r="AC21" s="631"/>
      <c r="AD21" s="631"/>
      <c r="AE21" s="631"/>
      <c r="AF21" s="631"/>
      <c r="AG21" s="631"/>
      <c r="AH21" s="631"/>
      <c r="AI21" s="631"/>
      <c r="AJ21" s="631"/>
      <c r="AK21" s="631"/>
      <c r="AL21" s="631"/>
      <c r="AM21" s="631"/>
      <c r="AN21" s="631"/>
      <c r="AO21" s="631"/>
      <c r="AP21" s="631"/>
      <c r="AQ21" s="631"/>
      <c r="AR21" s="631"/>
      <c r="AS21" s="631"/>
      <c r="AT21" s="631"/>
      <c r="AU21" s="631"/>
      <c r="AV21" s="631"/>
      <c r="AW21" s="631"/>
      <c r="AX21" s="631"/>
      <c r="AY21" s="631"/>
      <c r="AZ21" s="631"/>
      <c r="BA21" s="631"/>
      <c r="BB21" s="631"/>
      <c r="BC21" s="631"/>
      <c r="BD21" s="631"/>
      <c r="BE21" s="631"/>
      <c r="BF21" s="631"/>
      <c r="BG21" s="631"/>
      <c r="BH21" s="631"/>
      <c r="BI21" s="631"/>
      <c r="BJ21" s="631"/>
      <c r="BK21" s="631"/>
      <c r="BL21" s="631"/>
      <c r="BM21" s="631"/>
      <c r="BN21" s="631"/>
      <c r="BO21" s="631"/>
      <c r="BP21" s="631"/>
      <c r="BQ21" s="631"/>
      <c r="BR21" s="631"/>
      <c r="BS21" s="631"/>
      <c r="BT21" s="631"/>
      <c r="BU21" s="631"/>
      <c r="BV21" s="631"/>
      <c r="BW21" s="631"/>
      <c r="BX21" s="631"/>
      <c r="BY21" s="631"/>
      <c r="BZ21" s="631"/>
      <c r="CA21" s="631"/>
      <c r="CB21" s="631"/>
      <c r="CC21" s="631"/>
      <c r="CD21" s="631"/>
      <c r="CE21" s="609"/>
      <c r="CF21" s="577"/>
      <c r="CG21" s="577"/>
      <c r="CH21" s="577"/>
      <c r="CI21" s="577"/>
      <c r="CJ21" s="577"/>
      <c r="CK21" s="577"/>
      <c r="CL21" s="577"/>
      <c r="CM21" s="577"/>
      <c r="CN21" s="577"/>
      <c r="CO21" s="577"/>
      <c r="CP21" s="577"/>
      <c r="CQ21" s="577"/>
      <c r="CR21" s="577"/>
      <c r="CS21" s="577"/>
      <c r="CT21" s="577"/>
      <c r="CU21" s="577"/>
      <c r="CV21" s="577"/>
      <c r="CW21" s="577"/>
      <c r="CX21" s="577"/>
      <c r="CY21" s="577"/>
      <c r="CZ21" s="577"/>
      <c r="DA21" s="577"/>
      <c r="DB21" s="577"/>
      <c r="DC21" s="577"/>
      <c r="DD21" s="577"/>
      <c r="DE21" s="577"/>
      <c r="DF21" s="654"/>
      <c r="DG21" s="577"/>
    </row>
    <row r="22" spans="1:111" ht="18.75">
      <c r="A22" s="575"/>
      <c r="B22" s="575"/>
      <c r="C22" s="575"/>
      <c r="D22" s="605">
        <v>18</v>
      </c>
      <c r="E22" s="606">
        <v>4117</v>
      </c>
      <c r="F22" s="653">
        <v>4117</v>
      </c>
      <c r="G22" s="631"/>
      <c r="H22" s="631"/>
      <c r="I22" s="631"/>
      <c r="J22" s="631"/>
      <c r="K22" s="631"/>
      <c r="L22" s="631"/>
      <c r="M22" s="631"/>
      <c r="N22" s="631"/>
      <c r="O22" s="631"/>
      <c r="P22" s="631"/>
      <c r="Q22" s="631"/>
      <c r="R22" s="631"/>
      <c r="S22" s="631"/>
      <c r="T22" s="631"/>
      <c r="U22" s="631"/>
      <c r="V22" s="631"/>
      <c r="W22" s="631"/>
      <c r="X22" s="631"/>
      <c r="Y22" s="631"/>
      <c r="Z22" s="631"/>
      <c r="AA22" s="631"/>
      <c r="AB22" s="631"/>
      <c r="AC22" s="631"/>
      <c r="AD22" s="631"/>
      <c r="AE22" s="631"/>
      <c r="AF22" s="631"/>
      <c r="AG22" s="631"/>
      <c r="AH22" s="631"/>
      <c r="AI22" s="631"/>
      <c r="AJ22" s="631"/>
      <c r="AK22" s="631"/>
      <c r="AL22" s="631"/>
      <c r="AM22" s="631"/>
      <c r="AN22" s="631"/>
      <c r="AO22" s="631"/>
      <c r="AP22" s="631"/>
      <c r="AQ22" s="631"/>
      <c r="AR22" s="631"/>
      <c r="AS22" s="631"/>
      <c r="AT22" s="631"/>
      <c r="AU22" s="631"/>
      <c r="AV22" s="631"/>
      <c r="AW22" s="631"/>
      <c r="AX22" s="631"/>
      <c r="AY22" s="631"/>
      <c r="AZ22" s="631"/>
      <c r="BA22" s="631"/>
      <c r="BB22" s="631"/>
      <c r="BC22" s="631"/>
      <c r="BD22" s="631"/>
      <c r="BE22" s="631"/>
      <c r="BF22" s="631"/>
      <c r="BG22" s="631"/>
      <c r="BH22" s="631"/>
      <c r="BI22" s="631"/>
      <c r="BJ22" s="631"/>
      <c r="BK22" s="631"/>
      <c r="BL22" s="631"/>
      <c r="BM22" s="631"/>
      <c r="BN22" s="631"/>
      <c r="BO22" s="631"/>
      <c r="BP22" s="631"/>
      <c r="BQ22" s="631"/>
      <c r="BR22" s="631"/>
      <c r="BS22" s="631"/>
      <c r="BT22" s="631"/>
      <c r="BU22" s="631"/>
      <c r="BV22" s="631"/>
      <c r="BW22" s="631"/>
      <c r="BX22" s="631"/>
      <c r="BY22" s="631"/>
      <c r="BZ22" s="631"/>
      <c r="CA22" s="631"/>
      <c r="CB22" s="631"/>
      <c r="CC22" s="631"/>
      <c r="CD22" s="631"/>
      <c r="CE22" s="609"/>
      <c r="CF22" s="577"/>
      <c r="CG22" s="577"/>
      <c r="CH22" s="577"/>
      <c r="CI22" s="577"/>
      <c r="CJ22" s="577"/>
      <c r="CK22" s="577"/>
      <c r="CL22" s="577"/>
      <c r="CM22" s="577"/>
      <c r="CN22" s="577"/>
      <c r="CO22" s="577"/>
      <c r="CP22" s="577"/>
      <c r="CQ22" s="577"/>
      <c r="CR22" s="577"/>
      <c r="CS22" s="577"/>
      <c r="CT22" s="577"/>
      <c r="CU22" s="577"/>
      <c r="CV22" s="577"/>
      <c r="CW22" s="577"/>
      <c r="CX22" s="577"/>
      <c r="CY22" s="577"/>
      <c r="CZ22" s="577"/>
      <c r="DA22" s="577"/>
      <c r="DB22" s="577"/>
      <c r="DC22" s="577"/>
      <c r="DD22" s="577"/>
      <c r="DE22" s="577"/>
      <c r="DF22" s="654"/>
      <c r="DG22" s="577"/>
    </row>
    <row r="23" spans="1:111" ht="18.75">
      <c r="A23" s="575"/>
      <c r="B23" s="575"/>
      <c r="C23" s="575"/>
      <c r="D23" s="605">
        <v>19</v>
      </c>
      <c r="E23" s="606">
        <v>4115</v>
      </c>
      <c r="F23" s="655">
        <v>4115</v>
      </c>
      <c r="G23" s="656"/>
      <c r="H23" s="656"/>
      <c r="I23" s="656"/>
      <c r="J23" s="656"/>
      <c r="K23" s="656"/>
      <c r="L23" s="656"/>
      <c r="M23" s="656"/>
      <c r="N23" s="656"/>
      <c r="O23" s="656"/>
      <c r="P23" s="656"/>
      <c r="Q23" s="656"/>
      <c r="R23" s="656"/>
      <c r="S23" s="656"/>
      <c r="T23" s="656"/>
      <c r="U23" s="656"/>
      <c r="V23" s="656"/>
      <c r="W23" s="656"/>
      <c r="X23" s="656"/>
      <c r="Y23" s="656"/>
      <c r="Z23" s="656"/>
      <c r="AA23" s="656"/>
      <c r="AB23" s="656"/>
      <c r="AC23" s="656"/>
      <c r="AD23" s="656"/>
      <c r="AE23" s="656"/>
      <c r="AF23" s="656"/>
      <c r="AG23" s="656"/>
      <c r="AH23" s="656"/>
      <c r="AI23" s="656"/>
      <c r="AJ23" s="656"/>
      <c r="AK23" s="656"/>
      <c r="AL23" s="656"/>
      <c r="AM23" s="656"/>
      <c r="AN23" s="656"/>
      <c r="AO23" s="656"/>
      <c r="AP23" s="656"/>
      <c r="AQ23" s="656"/>
      <c r="AR23" s="656"/>
      <c r="AS23" s="656"/>
      <c r="AT23" s="656"/>
      <c r="AU23" s="656"/>
      <c r="AV23" s="656"/>
      <c r="AW23" s="656"/>
      <c r="AX23" s="656"/>
      <c r="AY23" s="656"/>
      <c r="AZ23" s="656"/>
      <c r="BA23" s="656"/>
      <c r="BB23" s="656"/>
      <c r="BC23" s="656"/>
      <c r="BD23" s="656"/>
      <c r="BE23" s="656"/>
      <c r="BF23" s="656"/>
      <c r="BG23" s="656"/>
      <c r="BH23" s="656"/>
      <c r="BI23" s="656"/>
      <c r="BJ23" s="656"/>
      <c r="BK23" s="656"/>
      <c r="BL23" s="656"/>
      <c r="BM23" s="656"/>
      <c r="BN23" s="656"/>
      <c r="BO23" s="656"/>
      <c r="BP23" s="656"/>
      <c r="BQ23" s="656"/>
      <c r="BR23" s="656"/>
      <c r="BS23" s="616"/>
      <c r="BT23" s="631"/>
      <c r="BU23" s="631"/>
      <c r="BV23" s="631"/>
      <c r="BW23" s="631"/>
      <c r="BX23" s="631"/>
      <c r="BY23" s="631"/>
      <c r="BZ23" s="631"/>
      <c r="CA23" s="631"/>
      <c r="CB23" s="631"/>
      <c r="CC23" s="631"/>
      <c r="CD23" s="631"/>
      <c r="CE23" s="609"/>
      <c r="CF23" s="577"/>
      <c r="CG23" s="577"/>
      <c r="CH23" s="577"/>
      <c r="CI23" s="577"/>
      <c r="CJ23" s="577"/>
      <c r="CK23" s="577"/>
      <c r="CL23" s="577"/>
      <c r="CM23" s="577"/>
      <c r="CN23" s="577"/>
      <c r="CO23" s="577"/>
      <c r="CP23" s="577"/>
      <c r="CQ23" s="577"/>
      <c r="CR23" s="577"/>
      <c r="CS23" s="577"/>
      <c r="CT23" s="577"/>
      <c r="CU23" s="577"/>
      <c r="CV23" s="577"/>
      <c r="CW23" s="577"/>
      <c r="CX23" s="577"/>
      <c r="CY23" s="577"/>
      <c r="CZ23" s="577"/>
      <c r="DA23" s="577"/>
      <c r="DB23" s="577"/>
      <c r="DC23" s="577"/>
      <c r="DD23" s="577"/>
      <c r="DE23" s="577"/>
      <c r="DF23" s="654"/>
      <c r="DG23" s="577"/>
    </row>
    <row r="24" spans="1:111" ht="18.75">
      <c r="A24" s="575"/>
      <c r="B24" s="575"/>
      <c r="C24" s="575"/>
      <c r="D24" s="605">
        <v>20</v>
      </c>
      <c r="E24" s="606">
        <v>6137</v>
      </c>
      <c r="F24" s="614">
        <v>6137</v>
      </c>
      <c r="G24" s="615"/>
      <c r="H24" s="615"/>
      <c r="I24" s="615"/>
      <c r="J24" s="615"/>
      <c r="K24" s="615"/>
      <c r="L24" s="615"/>
      <c r="M24" s="615"/>
      <c r="N24" s="615"/>
      <c r="O24" s="615"/>
      <c r="P24" s="615"/>
      <c r="Q24" s="615"/>
      <c r="R24" s="615"/>
      <c r="S24" s="615"/>
      <c r="T24" s="625"/>
      <c r="U24" s="625"/>
      <c r="V24" s="625"/>
      <c r="W24" s="625"/>
      <c r="X24" s="625"/>
      <c r="Y24" s="625"/>
      <c r="Z24" s="625"/>
      <c r="AA24" s="625"/>
      <c r="AB24" s="625"/>
      <c r="AC24" s="625"/>
      <c r="AD24" s="625"/>
      <c r="AE24" s="625"/>
      <c r="AF24" s="625"/>
      <c r="AG24" s="625"/>
      <c r="AH24" s="625"/>
      <c r="AI24" s="625"/>
      <c r="AJ24" s="625"/>
      <c r="AK24" s="625"/>
      <c r="AL24" s="625"/>
      <c r="AM24" s="625"/>
      <c r="AN24" s="625"/>
      <c r="AO24" s="625"/>
      <c r="AP24" s="625"/>
      <c r="AQ24" s="625"/>
      <c r="AR24" s="625"/>
      <c r="AS24" s="625"/>
      <c r="AT24" s="625"/>
      <c r="AU24" s="625"/>
      <c r="AV24" s="625"/>
      <c r="AW24" s="625"/>
      <c r="AX24" s="625"/>
      <c r="AY24" s="625"/>
      <c r="AZ24" s="657">
        <v>6109</v>
      </c>
      <c r="BA24" s="657"/>
      <c r="BB24" s="657"/>
      <c r="BC24" s="627"/>
      <c r="BD24" s="627"/>
      <c r="BE24" s="627"/>
      <c r="BF24" s="627"/>
      <c r="BG24" s="627"/>
      <c r="BH24" s="627"/>
      <c r="BI24" s="627"/>
      <c r="BJ24" s="627"/>
      <c r="BK24" s="627"/>
      <c r="BL24" s="627"/>
      <c r="BM24" s="627"/>
      <c r="BN24" s="627"/>
      <c r="BO24" s="627"/>
      <c r="BP24" s="627"/>
      <c r="BQ24" s="627"/>
      <c r="BR24" s="627"/>
      <c r="BS24" s="627"/>
      <c r="BT24" s="627"/>
      <c r="BU24" s="627"/>
      <c r="BV24" s="627"/>
      <c r="BW24" s="627"/>
      <c r="BX24" s="627"/>
      <c r="BY24" s="609"/>
      <c r="BZ24" s="577"/>
      <c r="CA24" s="577"/>
      <c r="CB24" s="577"/>
      <c r="CC24" s="577"/>
      <c r="CD24" s="577"/>
      <c r="CE24" s="577"/>
      <c r="CF24" s="577"/>
      <c r="CG24" s="577"/>
      <c r="CH24" s="577"/>
      <c r="CI24" s="577"/>
      <c r="CJ24" s="577"/>
      <c r="CK24" s="577"/>
      <c r="CL24" s="577"/>
      <c r="CM24" s="577"/>
      <c r="CN24" s="577"/>
      <c r="CO24" s="577"/>
      <c r="CP24" s="577"/>
      <c r="CQ24" s="577"/>
      <c r="CR24" s="577"/>
      <c r="CS24" s="577"/>
      <c r="CT24" s="577"/>
      <c r="CU24" s="577"/>
      <c r="CV24" s="577"/>
      <c r="CW24" s="577"/>
      <c r="CX24" s="577"/>
      <c r="CY24" s="577"/>
      <c r="CZ24" s="577"/>
      <c r="DA24" s="577"/>
      <c r="DB24" s="577"/>
      <c r="DC24" s="577"/>
      <c r="DD24" s="577"/>
      <c r="DE24" s="577"/>
      <c r="DF24" s="577"/>
      <c r="DG24" s="577"/>
    </row>
    <row r="25" spans="1:111" ht="18.75">
      <c r="A25" s="575"/>
      <c r="B25" s="575"/>
      <c r="C25" s="575"/>
      <c r="D25" s="605">
        <v>21</v>
      </c>
      <c r="E25" s="606">
        <v>6137</v>
      </c>
      <c r="F25" s="614">
        <v>6137</v>
      </c>
      <c r="G25" s="615"/>
      <c r="H25" s="615"/>
      <c r="I25" s="615"/>
      <c r="J25" s="615"/>
      <c r="K25" s="615"/>
      <c r="L25" s="615"/>
      <c r="M25" s="615"/>
      <c r="N25" s="615"/>
      <c r="O25" s="615"/>
      <c r="P25" s="615"/>
      <c r="Q25" s="615"/>
      <c r="R25" s="615"/>
      <c r="S25" s="615"/>
      <c r="T25" s="616"/>
      <c r="U25" s="628" t="s">
        <v>12</v>
      </c>
      <c r="V25" s="628"/>
      <c r="W25" s="628"/>
      <c r="X25" s="629"/>
      <c r="Y25" s="629"/>
      <c r="Z25" s="629"/>
      <c r="AA25" s="629"/>
      <c r="AB25" s="629"/>
      <c r="AC25" s="629"/>
      <c r="AD25" s="629"/>
      <c r="AE25" s="629"/>
      <c r="AF25" s="629"/>
      <c r="AG25" s="629"/>
      <c r="AH25" s="629"/>
      <c r="AI25" s="629"/>
      <c r="AJ25" s="629"/>
      <c r="AK25" s="629"/>
      <c r="AL25" s="629"/>
      <c r="AM25" s="629"/>
      <c r="AN25" s="629"/>
      <c r="AO25" s="629"/>
      <c r="AP25" s="629"/>
      <c r="AQ25" s="629"/>
      <c r="AR25" s="629"/>
      <c r="AS25" s="629"/>
      <c r="AT25" s="629"/>
      <c r="AU25" s="629"/>
      <c r="AV25" s="629"/>
      <c r="AW25" s="629"/>
      <c r="AX25" s="629"/>
      <c r="AY25" s="629"/>
      <c r="AZ25" s="629"/>
      <c r="BA25" s="629"/>
      <c r="BB25" s="629"/>
      <c r="BC25" s="629"/>
      <c r="BD25" s="629"/>
      <c r="BE25" s="616"/>
      <c r="BF25" s="630">
        <v>4117</v>
      </c>
      <c r="BG25" s="630"/>
      <c r="BH25" s="630"/>
      <c r="BI25" s="630"/>
      <c r="BJ25" s="631"/>
      <c r="BK25" s="631"/>
      <c r="BL25" s="631"/>
      <c r="BM25" s="631"/>
      <c r="BN25" s="631"/>
      <c r="BO25" s="631"/>
      <c r="BP25" s="631"/>
      <c r="BQ25" s="631"/>
      <c r="BR25" s="631"/>
      <c r="BS25" s="631"/>
      <c r="BT25" s="631"/>
      <c r="BU25" s="631"/>
      <c r="BV25" s="631"/>
      <c r="BW25" s="631"/>
      <c r="BX25" s="631"/>
      <c r="BY25" s="632"/>
      <c r="BZ25" s="632"/>
      <c r="CA25" s="632"/>
      <c r="CB25" s="632"/>
      <c r="CC25" s="632"/>
      <c r="CD25" s="632"/>
      <c r="CE25" s="609"/>
      <c r="CF25" s="577"/>
      <c r="CG25" s="577"/>
      <c r="CH25" s="577"/>
      <c r="CI25" s="577"/>
      <c r="CJ25" s="577"/>
      <c r="CK25" s="577"/>
      <c r="CL25" s="577"/>
      <c r="CM25" s="577"/>
      <c r="CN25" s="577"/>
      <c r="CO25" s="577"/>
      <c r="CP25" s="577"/>
      <c r="CQ25" s="577"/>
      <c r="CR25" s="577"/>
      <c r="CS25" s="577"/>
      <c r="CT25" s="577"/>
      <c r="CU25" s="577"/>
      <c r="CV25" s="577"/>
      <c r="CW25" s="577"/>
      <c r="CX25" s="577"/>
      <c r="CY25" s="577"/>
      <c r="CZ25" s="577"/>
      <c r="DA25" s="577"/>
      <c r="DB25" s="577"/>
      <c r="DC25" s="577"/>
      <c r="DD25" s="577"/>
      <c r="DE25" s="577"/>
      <c r="DF25" s="577"/>
      <c r="DG25" s="577"/>
    </row>
    <row r="26" spans="1:111" ht="18.75">
      <c r="A26" s="575"/>
      <c r="B26" s="575"/>
      <c r="C26" s="575"/>
      <c r="D26" s="605">
        <v>22</v>
      </c>
      <c r="E26" s="658" t="s">
        <v>18</v>
      </c>
      <c r="F26" s="659" t="s">
        <v>344</v>
      </c>
      <c r="G26" s="659"/>
      <c r="H26" s="659"/>
      <c r="I26" s="659"/>
      <c r="J26" s="659"/>
      <c r="K26" s="659"/>
      <c r="L26" s="659"/>
      <c r="M26" s="659"/>
      <c r="N26" s="659"/>
      <c r="O26" s="659"/>
      <c r="P26" s="659"/>
      <c r="Q26" s="659"/>
      <c r="R26" s="659"/>
      <c r="S26" s="659"/>
      <c r="T26" s="660"/>
      <c r="U26" s="660"/>
      <c r="V26" s="660"/>
      <c r="W26" s="660"/>
      <c r="X26" s="659"/>
      <c r="Y26" s="659"/>
      <c r="Z26" s="659"/>
      <c r="AA26" s="659"/>
      <c r="AB26" s="659"/>
      <c r="AC26" s="659"/>
      <c r="AD26" s="659"/>
      <c r="AE26" s="659"/>
      <c r="AF26" s="659"/>
      <c r="AG26" s="659"/>
      <c r="AH26" s="659"/>
      <c r="AI26" s="659"/>
      <c r="AJ26" s="659"/>
      <c r="AK26" s="659"/>
      <c r="AL26" s="659"/>
      <c r="AM26" s="659"/>
      <c r="AN26" s="659"/>
      <c r="AO26" s="659"/>
      <c r="AP26" s="659"/>
      <c r="AQ26" s="659"/>
      <c r="AR26" s="659"/>
      <c r="AS26" s="659"/>
      <c r="AT26" s="659"/>
      <c r="AU26" s="659"/>
      <c r="AV26" s="659"/>
      <c r="AW26" s="659"/>
      <c r="AX26" s="659"/>
      <c r="AY26" s="659"/>
      <c r="AZ26" s="659"/>
      <c r="BA26" s="659"/>
      <c r="BB26" s="659"/>
      <c r="BC26" s="659"/>
      <c r="BD26" s="659"/>
      <c r="BE26" s="660"/>
      <c r="BF26" s="660"/>
      <c r="BG26" s="660"/>
      <c r="BH26" s="660"/>
      <c r="BI26" s="660"/>
      <c r="BJ26" s="660"/>
      <c r="BK26" s="660"/>
      <c r="BL26" s="660"/>
      <c r="BM26" s="660"/>
      <c r="BN26" s="660"/>
      <c r="BO26" s="660"/>
      <c r="BP26" s="660"/>
      <c r="BQ26" s="660"/>
      <c r="BR26" s="660"/>
      <c r="BS26" s="660"/>
      <c r="BT26" s="660"/>
      <c r="BU26" s="660"/>
      <c r="BV26" s="660"/>
      <c r="BW26" s="660"/>
      <c r="BX26" s="660"/>
      <c r="BY26" s="616"/>
      <c r="BZ26" s="577"/>
      <c r="CA26" s="577"/>
      <c r="CB26" s="577"/>
      <c r="CC26" s="577"/>
      <c r="CD26" s="577"/>
      <c r="CE26" s="577"/>
      <c r="CF26" s="577"/>
      <c r="CG26" s="577"/>
      <c r="CH26" s="577"/>
      <c r="CI26" s="577"/>
      <c r="CJ26" s="577"/>
      <c r="CK26" s="577"/>
      <c r="CL26" s="577"/>
      <c r="CM26" s="577"/>
      <c r="CN26" s="577"/>
      <c r="CO26" s="577"/>
      <c r="CP26" s="577"/>
      <c r="CQ26" s="577"/>
      <c r="CR26" s="577"/>
      <c r="CS26" s="577"/>
      <c r="CT26" s="577"/>
      <c r="CU26" s="577"/>
      <c r="CV26" s="577"/>
      <c r="CW26" s="577"/>
      <c r="CX26" s="577"/>
      <c r="CY26" s="577"/>
      <c r="CZ26" s="577"/>
      <c r="DA26" s="577"/>
      <c r="DB26" s="577"/>
      <c r="DC26" s="577"/>
      <c r="DD26" s="577"/>
      <c r="DE26" s="577"/>
      <c r="DF26" s="577"/>
      <c r="DG26" s="577"/>
    </row>
    <row r="27" spans="1:111" ht="18.75">
      <c r="A27" s="575"/>
      <c r="B27" s="575"/>
      <c r="C27" s="575"/>
      <c r="D27" s="605">
        <v>23</v>
      </c>
      <c r="E27" s="638">
        <v>6135</v>
      </c>
      <c r="F27" s="661">
        <v>6135</v>
      </c>
      <c r="G27" s="640"/>
      <c r="H27" s="640"/>
      <c r="I27" s="640"/>
      <c r="J27" s="640"/>
      <c r="K27" s="640"/>
      <c r="L27" s="640"/>
      <c r="M27" s="640"/>
      <c r="N27" s="640"/>
      <c r="O27" s="640"/>
      <c r="P27" s="640"/>
      <c r="Q27" s="640"/>
      <c r="R27" s="640"/>
      <c r="S27" s="640"/>
      <c r="T27" s="640"/>
      <c r="U27" s="640"/>
      <c r="V27" s="640"/>
      <c r="W27" s="640"/>
      <c r="X27" s="640"/>
      <c r="Y27" s="640"/>
      <c r="Z27" s="640"/>
      <c r="AA27" s="640"/>
      <c r="AB27" s="640"/>
      <c r="AC27" s="640"/>
      <c r="AD27" s="640"/>
      <c r="AE27" s="640"/>
      <c r="AF27" s="640"/>
      <c r="AG27" s="640"/>
      <c r="AH27" s="640"/>
      <c r="AI27" s="640"/>
      <c r="AJ27" s="640"/>
      <c r="AK27" s="640"/>
      <c r="AL27" s="640"/>
      <c r="AM27" s="640"/>
      <c r="AN27" s="640"/>
      <c r="AO27" s="640"/>
      <c r="AP27" s="640"/>
      <c r="AQ27" s="616"/>
      <c r="AR27" s="662" t="s">
        <v>13</v>
      </c>
      <c r="AS27" s="662"/>
      <c r="AT27" s="662"/>
      <c r="AU27" s="635"/>
      <c r="AV27" s="635"/>
      <c r="AW27" s="635"/>
      <c r="AX27" s="635"/>
      <c r="AY27" s="635"/>
      <c r="AZ27" s="635"/>
      <c r="BA27" s="635"/>
      <c r="BB27" s="635"/>
      <c r="BC27" s="635"/>
      <c r="BD27" s="635"/>
      <c r="BE27" s="635"/>
      <c r="BF27" s="635"/>
      <c r="BG27" s="635"/>
      <c r="BH27" s="616"/>
      <c r="BI27" s="663">
        <v>6137</v>
      </c>
      <c r="BJ27" s="663"/>
      <c r="BK27" s="615"/>
      <c r="BL27" s="615"/>
      <c r="BM27" s="615"/>
      <c r="BN27" s="615"/>
      <c r="BO27" s="615"/>
      <c r="BP27" s="616"/>
      <c r="BQ27" s="577"/>
      <c r="BR27" s="577"/>
      <c r="BS27" s="577"/>
      <c r="BT27" s="577"/>
      <c r="BU27" s="577"/>
      <c r="BV27" s="577"/>
      <c r="BW27" s="577"/>
      <c r="BX27" s="577"/>
      <c r="BY27" s="577"/>
      <c r="BZ27" s="577"/>
      <c r="CA27" s="577"/>
      <c r="CB27" s="577"/>
      <c r="CC27" s="577"/>
      <c r="CD27" s="577"/>
      <c r="CE27" s="577"/>
      <c r="CF27" s="577"/>
      <c r="CG27" s="577"/>
      <c r="CH27" s="577"/>
      <c r="CI27" s="577"/>
      <c r="CJ27" s="577"/>
      <c r="CK27" s="577"/>
      <c r="CL27" s="577"/>
      <c r="CM27" s="577"/>
      <c r="CN27" s="577"/>
      <c r="CO27" s="577"/>
      <c r="CP27" s="577"/>
      <c r="CQ27" s="577"/>
      <c r="CR27" s="577"/>
      <c r="CS27" s="577"/>
      <c r="CT27" s="577"/>
      <c r="CU27" s="577"/>
      <c r="CV27" s="577"/>
      <c r="CW27" s="577"/>
      <c r="CX27" s="577"/>
      <c r="CY27" s="577"/>
      <c r="CZ27" s="577"/>
      <c r="DA27" s="577"/>
      <c r="DB27" s="577"/>
      <c r="DC27" s="577"/>
      <c r="DD27" s="577"/>
      <c r="DE27" s="577"/>
      <c r="DF27" s="577"/>
      <c r="DG27" s="577"/>
    </row>
    <row r="28" spans="1:111" ht="18.75">
      <c r="A28" s="575"/>
      <c r="B28" s="575"/>
      <c r="C28" s="575"/>
      <c r="D28" s="605">
        <v>24</v>
      </c>
      <c r="E28" s="658">
        <v>5520</v>
      </c>
      <c r="F28" s="660">
        <v>5520</v>
      </c>
      <c r="G28" s="660"/>
      <c r="H28" s="660"/>
      <c r="I28" s="660"/>
      <c r="J28" s="660"/>
      <c r="K28" s="660"/>
      <c r="L28" s="660"/>
      <c r="M28" s="660"/>
      <c r="N28" s="660"/>
      <c r="O28" s="660"/>
      <c r="P28" s="660"/>
      <c r="Q28" s="660"/>
      <c r="R28" s="660"/>
      <c r="S28" s="660"/>
      <c r="T28" s="660"/>
      <c r="U28" s="660"/>
      <c r="V28" s="660"/>
      <c r="W28" s="660"/>
      <c r="X28" s="660"/>
      <c r="Y28" s="660"/>
      <c r="Z28" s="660"/>
      <c r="AA28" s="660"/>
      <c r="AB28" s="660"/>
      <c r="AC28" s="660"/>
      <c r="AD28" s="660"/>
      <c r="AE28" s="660"/>
      <c r="AF28" s="660"/>
      <c r="AG28" s="660"/>
      <c r="AH28" s="660"/>
      <c r="AI28" s="660"/>
      <c r="AJ28" s="660"/>
      <c r="AK28" s="660"/>
      <c r="AL28" s="660"/>
      <c r="AM28" s="660"/>
      <c r="AN28" s="660"/>
      <c r="AO28" s="660"/>
      <c r="AP28" s="660"/>
      <c r="AQ28" s="660"/>
      <c r="AR28" s="660"/>
      <c r="AS28" s="660"/>
      <c r="AT28" s="660"/>
      <c r="AU28" s="660"/>
      <c r="AV28" s="660"/>
      <c r="AW28" s="660"/>
      <c r="AX28" s="660"/>
      <c r="AY28" s="660"/>
      <c r="AZ28" s="660"/>
      <c r="BA28" s="660"/>
      <c r="BB28" s="660"/>
      <c r="BC28" s="660"/>
      <c r="BD28" s="660"/>
      <c r="BE28" s="660"/>
      <c r="BF28" s="660"/>
      <c r="BG28" s="660"/>
      <c r="BH28" s="660"/>
      <c r="BI28" s="660"/>
      <c r="BJ28" s="660"/>
      <c r="BK28" s="659"/>
      <c r="BL28" s="659"/>
      <c r="BM28" s="659"/>
      <c r="BN28" s="659"/>
      <c r="BO28" s="659"/>
      <c r="BP28" s="660"/>
      <c r="BQ28" s="659"/>
      <c r="BR28" s="659"/>
      <c r="BS28" s="659"/>
      <c r="BT28" s="659"/>
      <c r="BU28" s="659"/>
      <c r="BV28" s="659"/>
      <c r="BW28" s="659"/>
      <c r="BX28" s="659"/>
      <c r="BY28" s="646"/>
      <c r="BZ28" s="577"/>
      <c r="CA28" s="577"/>
      <c r="CB28" s="577"/>
      <c r="CC28" s="577"/>
      <c r="CD28" s="577"/>
      <c r="CE28" s="577"/>
      <c r="CF28" s="577"/>
      <c r="CG28" s="577"/>
      <c r="CH28" s="577"/>
      <c r="CI28" s="577"/>
      <c r="CJ28" s="577"/>
      <c r="CK28" s="577"/>
      <c r="CL28" s="577"/>
      <c r="CM28" s="577"/>
      <c r="CN28" s="577"/>
      <c r="CO28" s="577"/>
      <c r="CP28" s="577"/>
      <c r="CQ28" s="577"/>
      <c r="CR28" s="577"/>
      <c r="CS28" s="577"/>
      <c r="CT28" s="577"/>
      <c r="CU28" s="577"/>
      <c r="CV28" s="577"/>
      <c r="CW28" s="577"/>
      <c r="CX28" s="577"/>
      <c r="CY28" s="577"/>
      <c r="CZ28" s="577"/>
      <c r="DA28" s="577"/>
      <c r="DB28" s="577"/>
      <c r="DC28" s="577"/>
      <c r="DD28" s="577"/>
      <c r="DE28" s="577"/>
      <c r="DF28" s="577"/>
      <c r="DG28" s="577"/>
    </row>
    <row r="29" spans="1:111" ht="18.75">
      <c r="A29" s="575"/>
      <c r="B29" s="575"/>
      <c r="C29" s="575"/>
      <c r="D29" s="605">
        <v>25</v>
      </c>
      <c r="E29" s="658">
        <v>5520</v>
      </c>
      <c r="F29" s="660">
        <v>5520</v>
      </c>
      <c r="G29" s="660"/>
      <c r="H29" s="660"/>
      <c r="I29" s="660"/>
      <c r="J29" s="660"/>
      <c r="K29" s="660"/>
      <c r="L29" s="660"/>
      <c r="M29" s="660"/>
      <c r="N29" s="660"/>
      <c r="O29" s="660"/>
      <c r="P29" s="660"/>
      <c r="Q29" s="660"/>
      <c r="R29" s="660"/>
      <c r="S29" s="660"/>
      <c r="T29" s="660"/>
      <c r="U29" s="660"/>
      <c r="V29" s="660"/>
      <c r="W29" s="660"/>
      <c r="X29" s="660"/>
      <c r="Y29" s="660"/>
      <c r="Z29" s="660"/>
      <c r="AA29" s="660"/>
      <c r="AB29" s="660"/>
      <c r="AC29" s="660"/>
      <c r="AD29" s="660"/>
      <c r="AE29" s="660"/>
      <c r="AF29" s="660"/>
      <c r="AG29" s="660"/>
      <c r="AH29" s="660"/>
      <c r="AI29" s="660"/>
      <c r="AJ29" s="660"/>
      <c r="AK29" s="660"/>
      <c r="AL29" s="660"/>
      <c r="AM29" s="660"/>
      <c r="AN29" s="660"/>
      <c r="AO29" s="660"/>
      <c r="AP29" s="660"/>
      <c r="AQ29" s="660"/>
      <c r="AR29" s="660"/>
      <c r="AS29" s="660"/>
      <c r="AT29" s="660"/>
      <c r="AU29" s="660"/>
      <c r="AV29" s="660"/>
      <c r="AW29" s="660"/>
      <c r="AX29" s="660"/>
      <c r="AY29" s="660"/>
      <c r="AZ29" s="660"/>
      <c r="BA29" s="660"/>
      <c r="BB29" s="660"/>
      <c r="BC29" s="660"/>
      <c r="BD29" s="660"/>
      <c r="BE29" s="660"/>
      <c r="BF29" s="660"/>
      <c r="BG29" s="660"/>
      <c r="BH29" s="660"/>
      <c r="BI29" s="660"/>
      <c r="BJ29" s="660"/>
      <c r="BK29" s="660"/>
      <c r="BL29" s="660"/>
      <c r="BM29" s="660"/>
      <c r="BN29" s="660"/>
      <c r="BO29" s="660"/>
      <c r="BP29" s="660"/>
      <c r="BQ29" s="660"/>
      <c r="BR29" s="660"/>
      <c r="BS29" s="660"/>
      <c r="BT29" s="660"/>
      <c r="BU29" s="660"/>
      <c r="BV29" s="660"/>
      <c r="BW29" s="660"/>
      <c r="BX29" s="660"/>
      <c r="BY29" s="616"/>
      <c r="BZ29" s="577"/>
      <c r="CA29" s="577"/>
      <c r="CB29" s="577"/>
      <c r="CC29" s="577"/>
      <c r="CD29" s="577"/>
      <c r="CE29" s="577"/>
      <c r="CF29" s="577"/>
      <c r="CG29" s="577"/>
      <c r="CH29" s="577"/>
      <c r="CI29" s="577"/>
      <c r="CJ29" s="577"/>
      <c r="CK29" s="577"/>
      <c r="CL29" s="577"/>
      <c r="CM29" s="577"/>
      <c r="CN29" s="577"/>
      <c r="CO29" s="577"/>
      <c r="CP29" s="577"/>
      <c r="CQ29" s="577"/>
      <c r="CR29" s="577"/>
      <c r="CS29" s="577"/>
      <c r="CT29" s="577"/>
      <c r="CU29" s="577"/>
      <c r="CV29" s="577"/>
      <c r="CW29" s="577"/>
      <c r="CX29" s="577"/>
      <c r="CY29" s="577"/>
      <c r="CZ29" s="577"/>
      <c r="DA29" s="577"/>
      <c r="DB29" s="577"/>
      <c r="DC29" s="577"/>
      <c r="DD29" s="577"/>
      <c r="DE29" s="577"/>
      <c r="DF29" s="577"/>
      <c r="DG29" s="577"/>
    </row>
    <row r="30" spans="1:111" ht="19.5" thickBot="1">
      <c r="A30" s="575"/>
      <c r="B30" s="575"/>
      <c r="C30" s="575"/>
      <c r="D30" s="664">
        <v>26</v>
      </c>
      <c r="E30" s="665">
        <v>6135</v>
      </c>
      <c r="F30" s="661">
        <v>6135</v>
      </c>
      <c r="G30" s="640"/>
      <c r="H30" s="640"/>
      <c r="I30" s="640"/>
      <c r="J30" s="640"/>
      <c r="K30" s="640"/>
      <c r="L30" s="640"/>
      <c r="M30" s="640"/>
      <c r="N30" s="640"/>
      <c r="O30" s="640"/>
      <c r="P30" s="640"/>
      <c r="Q30" s="640"/>
      <c r="R30" s="640"/>
      <c r="S30" s="640"/>
      <c r="T30" s="640"/>
      <c r="U30" s="640"/>
      <c r="V30" s="640"/>
      <c r="W30" s="640"/>
      <c r="X30" s="640"/>
      <c r="Y30" s="640"/>
      <c r="Z30" s="640"/>
      <c r="AA30" s="640"/>
      <c r="AB30" s="640"/>
      <c r="AC30" s="640"/>
      <c r="AD30" s="640"/>
      <c r="AE30" s="640"/>
      <c r="AF30" s="640"/>
      <c r="AG30" s="640"/>
      <c r="AH30" s="640"/>
      <c r="AI30" s="640"/>
      <c r="AJ30" s="640"/>
      <c r="AK30" s="640"/>
      <c r="AL30" s="640"/>
      <c r="AM30" s="640"/>
      <c r="AN30" s="640"/>
      <c r="AO30" s="640"/>
      <c r="AP30" s="640"/>
      <c r="AQ30" s="616"/>
      <c r="AR30" s="660" t="s">
        <v>342</v>
      </c>
      <c r="AS30" s="660"/>
      <c r="AT30" s="660"/>
      <c r="AU30" s="660"/>
      <c r="AV30" s="660"/>
      <c r="AW30" s="660"/>
      <c r="AX30" s="660"/>
      <c r="AY30" s="660"/>
      <c r="AZ30" s="660"/>
      <c r="BA30" s="660"/>
      <c r="BB30" s="660"/>
      <c r="BC30" s="660"/>
      <c r="BD30" s="660"/>
      <c r="BE30" s="660"/>
      <c r="BF30" s="660"/>
      <c r="BG30" s="660"/>
      <c r="BH30" s="660"/>
      <c r="BI30" s="660"/>
      <c r="BJ30" s="660"/>
      <c r="BK30" s="660"/>
      <c r="BL30" s="660"/>
      <c r="BM30" s="660"/>
      <c r="BN30" s="660"/>
      <c r="BO30" s="660"/>
      <c r="BP30" s="660"/>
      <c r="BQ30" s="660"/>
      <c r="BR30" s="660"/>
      <c r="BS30" s="660"/>
      <c r="BT30" s="660"/>
      <c r="BU30" s="660"/>
      <c r="BV30" s="660"/>
      <c r="BW30" s="660"/>
      <c r="BX30" s="660"/>
      <c r="BY30" s="616"/>
      <c r="BZ30" s="577"/>
      <c r="CA30" s="577"/>
      <c r="CB30" s="666"/>
      <c r="CC30" s="666"/>
      <c r="CD30" s="666"/>
      <c r="CE30" s="666"/>
      <c r="CF30" s="666"/>
      <c r="CG30" s="666"/>
      <c r="CH30" s="666"/>
      <c r="CI30" s="666"/>
      <c r="CJ30" s="666"/>
      <c r="CK30" s="666"/>
      <c r="CL30" s="666"/>
      <c r="CM30" s="666"/>
      <c r="CN30" s="666"/>
      <c r="CO30" s="666"/>
      <c r="CP30" s="666"/>
      <c r="CQ30" s="666"/>
      <c r="CR30" s="666"/>
      <c r="CS30" s="666"/>
      <c r="CT30" s="666"/>
      <c r="CU30" s="666"/>
      <c r="CV30" s="666"/>
      <c r="CW30" s="666"/>
      <c r="CX30" s="666"/>
      <c r="CY30" s="666"/>
      <c r="CZ30" s="666"/>
      <c r="DA30" s="666"/>
      <c r="DB30" s="666"/>
      <c r="DC30" s="666"/>
      <c r="DD30" s="666"/>
      <c r="DE30" s="666"/>
      <c r="DF30" s="666"/>
      <c r="DG30" s="666"/>
    </row>
  </sheetData>
  <sheetProtection sheet="1" objects="1" scenarios="1" formatCells="0" formatColumns="0" formatRows="0"/>
  <mergeCells count="18">
    <mergeCell ref="U18:W19"/>
    <mergeCell ref="AZ24:BB24"/>
    <mergeCell ref="U25:W25"/>
    <mergeCell ref="BF25:BI25"/>
    <mergeCell ref="AR27:AT27"/>
    <mergeCell ref="BI27:BJ27"/>
    <mergeCell ref="CF2:DG3"/>
    <mergeCell ref="BF17:BI17"/>
    <mergeCell ref="D1:E1"/>
    <mergeCell ref="D2:E2"/>
    <mergeCell ref="G2:AA3"/>
    <mergeCell ref="AB2:BC3"/>
    <mergeCell ref="BD2:CE3"/>
    <mergeCell ref="U7:Y7"/>
    <mergeCell ref="U11:W11"/>
    <mergeCell ref="AT11:AW11"/>
    <mergeCell ref="AZ15:BC15"/>
    <mergeCell ref="AZ16:BC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C5D7E-124C-4E1A-9A17-E5AA758BA619}">
  <sheetPr>
    <tabColor rgb="FF1F3864"/>
  </sheetPr>
  <dimension ref="A1:HG91"/>
  <sheetViews>
    <sheetView tabSelected="1" zoomScale="106" workbookViewId="0">
      <pane xSplit="2" ySplit="5" topLeftCell="C6" activePane="bottomRight" state="frozen"/>
      <selection pane="topRight" activeCell="C1" sqref="C1"/>
      <selection pane="bottomLeft" activeCell="A6" sqref="A6"/>
      <selection pane="bottomRight" activeCell="C3" sqref="C3"/>
    </sheetView>
    <sheetView zoomScale="99" workbookViewId="1">
      <pane xSplit="1" topLeftCell="CU1" activePane="topRight" state="frozen"/>
      <selection activeCell="A27" sqref="A27"/>
      <selection pane="topRight" activeCell="DN14" sqref="DN14"/>
    </sheetView>
  </sheetViews>
  <sheetFormatPr defaultRowHeight="15"/>
  <cols>
    <col min="1" max="1" width="8" style="2" customWidth="1"/>
    <col min="2" max="2" width="13.5703125" style="2" customWidth="1"/>
    <col min="3" max="201" width="8" style="2" customWidth="1"/>
    <col min="202" max="205" width="9.140625" style="2"/>
    <col min="206" max="206" width="10.7109375" style="2" customWidth="1"/>
    <col min="207" max="212" width="9.140625" style="2"/>
    <col min="213" max="213" width="69.42578125" style="2" bestFit="1" customWidth="1"/>
    <col min="214" max="16384" width="9.140625" style="2"/>
  </cols>
  <sheetData>
    <row r="1" spans="1:215" ht="19.5">
      <c r="A1" s="1" t="s">
        <v>487</v>
      </c>
    </row>
    <row r="2" spans="1:215">
      <c r="A2" s="3" t="s">
        <v>564</v>
      </c>
      <c r="B2" s="57">
        <v>46235</v>
      </c>
      <c r="C2" s="555" t="s">
        <v>590</v>
      </c>
      <c r="HA2" s="5" cm="1" t="str">
        <f t="array" ref="HA2">IF(SUMPRODUCT(($B$36:$GS$61&lt;&gt;"")*(COUNTIF('MC MAP'!$A$33:$A$80,$B$36:$GS$61)=0))=0,"ALL PLANNED STYLES CAN BE PRICED","** "&amp;SUMPRODUCT(($B$36:$GS$61&lt;&gt;"")*(COUNTIF('MC MAP'!$A$33:$A$80,$B$36:$GS$61)=0))&amp;" PLANNED CELLS USE A STYLE WITH NO MACHINE RECIPE — THEY ARE NOT COSTED **")</f>
        <v>ALL PLANNED STYLES CAN BE PRICED</v>
      </c>
    </row>
    <row r="3" spans="1:215">
      <c r="A3" s="6" t="s">
        <v>565</v>
      </c>
      <c r="B3" s="58">
        <v>105</v>
      </c>
      <c r="C3" s="555" t="s">
        <v>591</v>
      </c>
      <c r="HA3" s="7" t="s">
        <v>491</v>
      </c>
      <c r="HB3" s="8"/>
      <c r="HC3" s="8"/>
      <c r="HE3" s="9" t="s">
        <v>492</v>
      </c>
      <c r="HF3" s="10"/>
      <c r="HG3" s="10"/>
    </row>
    <row r="4" spans="1:215">
      <c r="A4" s="9" t="s">
        <v>481</v>
      </c>
      <c r="B4" s="10"/>
      <c r="GX4" s="9" t="s">
        <v>260</v>
      </c>
      <c r="GY4" s="10"/>
      <c r="GZ4" s="10"/>
      <c r="HA4" s="11" t="s">
        <v>6</v>
      </c>
      <c r="HB4" s="11" t="s">
        <v>479</v>
      </c>
      <c r="HC4" s="11" t="s">
        <v>480</v>
      </c>
      <c r="HE4" s="11" t="s">
        <v>6</v>
      </c>
    </row>
    <row r="5" spans="1:215">
      <c r="A5" s="12" t="s">
        <v>219</v>
      </c>
      <c r="B5" s="13">
        <f>IF(COLUMN()-1&gt;$B$3,0,$B$2+COLUMN()-2)</f>
        <v>46235</v>
      </c>
      <c r="C5" s="13">
        <f>IF(COLUMN()-1&gt;$B$3,0,$B$2+COLUMN()-2)</f>
        <v>46236</v>
      </c>
      <c r="D5" s="13">
        <f>IF(COLUMN()-1&gt;$B$3,0,$B$2+COLUMN()-2)</f>
        <v>46237</v>
      </c>
      <c r="E5" s="13">
        <f>IF(COLUMN()-1&gt;$B$3,0,$B$2+COLUMN()-2)</f>
        <v>46238</v>
      </c>
      <c r="F5" s="13">
        <f>IF(COLUMN()-1&gt;$B$3,0,$B$2+COLUMN()-2)</f>
        <v>46239</v>
      </c>
      <c r="G5" s="13">
        <f>IF(COLUMN()-1&gt;$B$3,0,$B$2+COLUMN()-2)</f>
        <v>46240</v>
      </c>
      <c r="H5" s="13">
        <f>IF(COLUMN()-1&gt;$B$3,0,$B$2+COLUMN()-2)</f>
        <v>46241</v>
      </c>
      <c r="I5" s="13">
        <f>IF(COLUMN()-1&gt;$B$3,0,$B$2+COLUMN()-2)</f>
        <v>46242</v>
      </c>
      <c r="J5" s="13">
        <f>IF(COLUMN()-1&gt;$B$3,0,$B$2+COLUMN()-2)</f>
        <v>46243</v>
      </c>
      <c r="K5" s="13">
        <f>IF(COLUMN()-1&gt;$B$3,0,$B$2+COLUMN()-2)</f>
        <v>46244</v>
      </c>
      <c r="L5" s="13">
        <f>IF(COLUMN()-1&gt;$B$3,0,$B$2+COLUMN()-2)</f>
        <v>46245</v>
      </c>
      <c r="M5" s="13">
        <f>IF(COLUMN()-1&gt;$B$3,0,$B$2+COLUMN()-2)</f>
        <v>46246</v>
      </c>
      <c r="N5" s="13">
        <f>IF(COLUMN()-1&gt;$B$3,0,$B$2+COLUMN()-2)</f>
        <v>46247</v>
      </c>
      <c r="O5" s="13">
        <f>IF(COLUMN()-1&gt;$B$3,0,$B$2+COLUMN()-2)</f>
        <v>46248</v>
      </c>
      <c r="P5" s="13">
        <f>IF(COLUMN()-1&gt;$B$3,0,$B$2+COLUMN()-2)</f>
        <v>46249</v>
      </c>
      <c r="Q5" s="13">
        <f>IF(COLUMN()-1&gt;$B$3,0,$B$2+COLUMN()-2)</f>
        <v>46250</v>
      </c>
      <c r="R5" s="13">
        <f>IF(COLUMN()-1&gt;$B$3,0,$B$2+COLUMN()-2)</f>
        <v>46251</v>
      </c>
      <c r="S5" s="13">
        <f>IF(COLUMN()-1&gt;$B$3,0,$B$2+COLUMN()-2)</f>
        <v>46252</v>
      </c>
      <c r="T5" s="13">
        <f>IF(COLUMN()-1&gt;$B$3,0,$B$2+COLUMN()-2)</f>
        <v>46253</v>
      </c>
      <c r="U5" s="13">
        <f>IF(COLUMN()-1&gt;$B$3,0,$B$2+COLUMN()-2)</f>
        <v>46254</v>
      </c>
      <c r="V5" s="13">
        <f>IF(COLUMN()-1&gt;$B$3,0,$B$2+COLUMN()-2)</f>
        <v>46255</v>
      </c>
      <c r="W5" s="13">
        <f>IF(COLUMN()-1&gt;$B$3,0,$B$2+COLUMN()-2)</f>
        <v>46256</v>
      </c>
      <c r="X5" s="13">
        <f>IF(COLUMN()-1&gt;$B$3,0,$B$2+COLUMN()-2)</f>
        <v>46257</v>
      </c>
      <c r="Y5" s="13">
        <f>IF(COLUMN()-1&gt;$B$3,0,$B$2+COLUMN()-2)</f>
        <v>46258</v>
      </c>
      <c r="Z5" s="13">
        <f>IF(COLUMN()-1&gt;$B$3,0,$B$2+COLUMN()-2)</f>
        <v>46259</v>
      </c>
      <c r="AA5" s="13">
        <f>IF(COLUMN()-1&gt;$B$3,0,$B$2+COLUMN()-2)</f>
        <v>46260</v>
      </c>
      <c r="AB5" s="13">
        <f>IF(COLUMN()-1&gt;$B$3,0,$B$2+COLUMN()-2)</f>
        <v>46261</v>
      </c>
      <c r="AC5" s="13">
        <f>IF(COLUMN()-1&gt;$B$3,0,$B$2+COLUMN()-2)</f>
        <v>46262</v>
      </c>
      <c r="AD5" s="13">
        <f>IF(COLUMN()-1&gt;$B$3,0,$B$2+COLUMN()-2)</f>
        <v>46263</v>
      </c>
      <c r="AE5" s="13">
        <f>IF(COLUMN()-1&gt;$B$3,0,$B$2+COLUMN()-2)</f>
        <v>46264</v>
      </c>
      <c r="AF5" s="13">
        <f>IF(COLUMN()-1&gt;$B$3,0,$B$2+COLUMN()-2)</f>
        <v>46265</v>
      </c>
      <c r="AG5" s="13">
        <f>IF(COLUMN()-1&gt;$B$3,0,$B$2+COLUMN()-2)</f>
        <v>46266</v>
      </c>
      <c r="AH5" s="13">
        <f>IF(COLUMN()-1&gt;$B$3,0,$B$2+COLUMN()-2)</f>
        <v>46267</v>
      </c>
      <c r="AI5" s="13">
        <f>IF(COLUMN()-1&gt;$B$3,0,$B$2+COLUMN()-2)</f>
        <v>46268</v>
      </c>
      <c r="AJ5" s="13">
        <f>IF(COLUMN()-1&gt;$B$3,0,$B$2+COLUMN()-2)</f>
        <v>46269</v>
      </c>
      <c r="AK5" s="13">
        <f>IF(COLUMN()-1&gt;$B$3,0,$B$2+COLUMN()-2)</f>
        <v>46270</v>
      </c>
      <c r="AL5" s="13">
        <f>IF(COLUMN()-1&gt;$B$3,0,$B$2+COLUMN()-2)</f>
        <v>46271</v>
      </c>
      <c r="AM5" s="13">
        <f>IF(COLUMN()-1&gt;$B$3,0,$B$2+COLUMN()-2)</f>
        <v>46272</v>
      </c>
      <c r="AN5" s="13">
        <f>IF(COLUMN()-1&gt;$B$3,0,$B$2+COLUMN()-2)</f>
        <v>46273</v>
      </c>
      <c r="AO5" s="13">
        <f>IF(COLUMN()-1&gt;$B$3,0,$B$2+COLUMN()-2)</f>
        <v>46274</v>
      </c>
      <c r="AP5" s="13">
        <f>IF(COLUMN()-1&gt;$B$3,0,$B$2+COLUMN()-2)</f>
        <v>46275</v>
      </c>
      <c r="AQ5" s="13">
        <f>IF(COLUMN()-1&gt;$B$3,0,$B$2+COLUMN()-2)</f>
        <v>46276</v>
      </c>
      <c r="AR5" s="13">
        <f>IF(COLUMN()-1&gt;$B$3,0,$B$2+COLUMN()-2)</f>
        <v>46277</v>
      </c>
      <c r="AS5" s="13">
        <f>IF(COLUMN()-1&gt;$B$3,0,$B$2+COLUMN()-2)</f>
        <v>46278</v>
      </c>
      <c r="AT5" s="13">
        <f>IF(COLUMN()-1&gt;$B$3,0,$B$2+COLUMN()-2)</f>
        <v>46279</v>
      </c>
      <c r="AU5" s="13">
        <f>IF(COLUMN()-1&gt;$B$3,0,$B$2+COLUMN()-2)</f>
        <v>46280</v>
      </c>
      <c r="AV5" s="13">
        <f>IF(COLUMN()-1&gt;$B$3,0,$B$2+COLUMN()-2)</f>
        <v>46281</v>
      </c>
      <c r="AW5" s="13">
        <f>IF(COLUMN()-1&gt;$B$3,0,$B$2+COLUMN()-2)</f>
        <v>46282</v>
      </c>
      <c r="AX5" s="13">
        <f>IF(COLUMN()-1&gt;$B$3,0,$B$2+COLUMN()-2)</f>
        <v>46283</v>
      </c>
      <c r="AY5" s="13">
        <f>IF(COLUMN()-1&gt;$B$3,0,$B$2+COLUMN()-2)</f>
        <v>46284</v>
      </c>
      <c r="AZ5" s="13">
        <f>IF(COLUMN()-1&gt;$B$3,0,$B$2+COLUMN()-2)</f>
        <v>46285</v>
      </c>
      <c r="BA5" s="13">
        <f>IF(COLUMN()-1&gt;$B$3,0,$B$2+COLUMN()-2)</f>
        <v>46286</v>
      </c>
      <c r="BB5" s="13">
        <f>IF(COLUMN()-1&gt;$B$3,0,$B$2+COLUMN()-2)</f>
        <v>46287</v>
      </c>
      <c r="BC5" s="13">
        <f>IF(COLUMN()-1&gt;$B$3,0,$B$2+COLUMN()-2)</f>
        <v>46288</v>
      </c>
      <c r="BD5" s="13">
        <f>IF(COLUMN()-1&gt;$B$3,0,$B$2+COLUMN()-2)</f>
        <v>46289</v>
      </c>
      <c r="BE5" s="13">
        <f>IF(COLUMN()-1&gt;$B$3,0,$B$2+COLUMN()-2)</f>
        <v>46290</v>
      </c>
      <c r="BF5" s="13">
        <f>IF(COLUMN()-1&gt;$B$3,0,$B$2+COLUMN()-2)</f>
        <v>46291</v>
      </c>
      <c r="BG5" s="13">
        <f>IF(COLUMN()-1&gt;$B$3,0,$B$2+COLUMN()-2)</f>
        <v>46292</v>
      </c>
      <c r="BH5" s="13">
        <f>IF(COLUMN()-1&gt;$B$3,0,$B$2+COLUMN()-2)</f>
        <v>46293</v>
      </c>
      <c r="BI5" s="13">
        <f>IF(COLUMN()-1&gt;$B$3,0,$B$2+COLUMN()-2)</f>
        <v>46294</v>
      </c>
      <c r="BJ5" s="13">
        <f>IF(COLUMN()-1&gt;$B$3,0,$B$2+COLUMN()-2)</f>
        <v>46295</v>
      </c>
      <c r="BK5" s="13">
        <f>IF(COLUMN()-1&gt;$B$3,0,$B$2+COLUMN()-2)</f>
        <v>46296</v>
      </c>
      <c r="BL5" s="13">
        <f>IF(COLUMN()-1&gt;$B$3,0,$B$2+COLUMN()-2)</f>
        <v>46297</v>
      </c>
      <c r="BM5" s="13">
        <f>IF(COLUMN()-1&gt;$B$3,0,$B$2+COLUMN()-2)</f>
        <v>46298</v>
      </c>
      <c r="BN5" s="13">
        <f>IF(COLUMN()-1&gt;$B$3,0,$B$2+COLUMN()-2)</f>
        <v>46299</v>
      </c>
      <c r="BO5" s="13">
        <f>IF(COLUMN()-1&gt;$B$3,0,$B$2+COLUMN()-2)</f>
        <v>46300</v>
      </c>
      <c r="BP5" s="13">
        <f>IF(COLUMN()-1&gt;$B$3,0,$B$2+COLUMN()-2)</f>
        <v>46301</v>
      </c>
      <c r="BQ5" s="13">
        <f>IF(COLUMN()-1&gt;$B$3,0,$B$2+COLUMN()-2)</f>
        <v>46302</v>
      </c>
      <c r="BR5" s="13">
        <f>IF(COLUMN()-1&gt;$B$3,0,$B$2+COLUMN()-2)</f>
        <v>46303</v>
      </c>
      <c r="BS5" s="13">
        <f>IF(COLUMN()-1&gt;$B$3,0,$B$2+COLUMN()-2)</f>
        <v>46304</v>
      </c>
      <c r="BT5" s="13">
        <f>IF(COLUMN()-1&gt;$B$3,0,$B$2+COLUMN()-2)</f>
        <v>46305</v>
      </c>
      <c r="BU5" s="13">
        <f>IF(COLUMN()-1&gt;$B$3,0,$B$2+COLUMN()-2)</f>
        <v>46306</v>
      </c>
      <c r="BV5" s="13">
        <f>IF(COLUMN()-1&gt;$B$3,0,$B$2+COLUMN()-2)</f>
        <v>46307</v>
      </c>
      <c r="BW5" s="13">
        <f>IF(COLUMN()-1&gt;$B$3,0,$B$2+COLUMN()-2)</f>
        <v>46308</v>
      </c>
      <c r="BX5" s="13">
        <f>IF(COLUMN()-1&gt;$B$3,0,$B$2+COLUMN()-2)</f>
        <v>46309</v>
      </c>
      <c r="BY5" s="13">
        <f>IF(COLUMN()-1&gt;$B$3,0,$B$2+COLUMN()-2)</f>
        <v>46310</v>
      </c>
      <c r="BZ5" s="13">
        <f>IF(COLUMN()-1&gt;$B$3,0,$B$2+COLUMN()-2)</f>
        <v>46311</v>
      </c>
      <c r="CA5" s="13">
        <f>IF(COLUMN()-1&gt;$B$3,0,$B$2+COLUMN()-2)</f>
        <v>46312</v>
      </c>
      <c r="CB5" s="13">
        <f>IF(COLUMN()-1&gt;$B$3,0,$B$2+COLUMN()-2)</f>
        <v>46313</v>
      </c>
      <c r="CC5" s="13">
        <f>IF(COLUMN()-1&gt;$B$3,0,$B$2+COLUMN()-2)</f>
        <v>46314</v>
      </c>
      <c r="CD5" s="13">
        <f>IF(COLUMN()-1&gt;$B$3,0,$B$2+COLUMN()-2)</f>
        <v>46315</v>
      </c>
      <c r="CE5" s="13">
        <f>IF(COLUMN()-1&gt;$B$3,0,$B$2+COLUMN()-2)</f>
        <v>46316</v>
      </c>
      <c r="CF5" s="13">
        <f>IF(COLUMN()-1&gt;$B$3,0,$B$2+COLUMN()-2)</f>
        <v>46317</v>
      </c>
      <c r="CG5" s="13">
        <f>IF(COLUMN()-1&gt;$B$3,0,$B$2+COLUMN()-2)</f>
        <v>46318</v>
      </c>
      <c r="CH5" s="13">
        <f>IF(COLUMN()-1&gt;$B$3,0,$B$2+COLUMN()-2)</f>
        <v>46319</v>
      </c>
      <c r="CI5" s="13">
        <f>IF(COLUMN()-1&gt;$B$3,0,$B$2+COLUMN()-2)</f>
        <v>46320</v>
      </c>
      <c r="CJ5" s="13">
        <f>IF(COLUMN()-1&gt;$B$3,0,$B$2+COLUMN()-2)</f>
        <v>46321</v>
      </c>
      <c r="CK5" s="13">
        <f>IF(COLUMN()-1&gt;$B$3,0,$B$2+COLUMN()-2)</f>
        <v>46322</v>
      </c>
      <c r="CL5" s="13">
        <f>IF(COLUMN()-1&gt;$B$3,0,$B$2+COLUMN()-2)</f>
        <v>46323</v>
      </c>
      <c r="CM5" s="13">
        <f>IF(COLUMN()-1&gt;$B$3,0,$B$2+COLUMN()-2)</f>
        <v>46324</v>
      </c>
      <c r="CN5" s="13">
        <f>IF(COLUMN()-1&gt;$B$3,0,$B$2+COLUMN()-2)</f>
        <v>46325</v>
      </c>
      <c r="CO5" s="13">
        <f>IF(COLUMN()-1&gt;$B$3,0,$B$2+COLUMN()-2)</f>
        <v>46326</v>
      </c>
      <c r="CP5" s="13">
        <f>IF(COLUMN()-1&gt;$B$3,0,$B$2+COLUMN()-2)</f>
        <v>46327</v>
      </c>
      <c r="CQ5" s="13">
        <f>IF(COLUMN()-1&gt;$B$3,0,$B$2+COLUMN()-2)</f>
        <v>46328</v>
      </c>
      <c r="CR5" s="13">
        <f>IF(COLUMN()-1&gt;$B$3,0,$B$2+COLUMN()-2)</f>
        <v>46329</v>
      </c>
      <c r="CS5" s="13">
        <f>IF(COLUMN()-1&gt;$B$3,0,$B$2+COLUMN()-2)</f>
        <v>46330</v>
      </c>
      <c r="CT5" s="13">
        <f>IF(COLUMN()-1&gt;$B$3,0,$B$2+COLUMN()-2)</f>
        <v>46331</v>
      </c>
      <c r="CU5" s="13">
        <f>IF(COLUMN()-1&gt;$B$3,0,$B$2+COLUMN()-2)</f>
        <v>46332</v>
      </c>
      <c r="CV5" s="13">
        <f>IF(COLUMN()-1&gt;$B$3,0,$B$2+COLUMN()-2)</f>
        <v>46333</v>
      </c>
      <c r="CW5" s="13">
        <f>IF(COLUMN()-1&gt;$B$3,0,$B$2+COLUMN()-2)</f>
        <v>46334</v>
      </c>
      <c r="CX5" s="13">
        <f>IF(COLUMN()-1&gt;$B$3,0,$B$2+COLUMN()-2)</f>
        <v>46335</v>
      </c>
      <c r="CY5" s="13">
        <f>IF(COLUMN()-1&gt;$B$3,0,$B$2+COLUMN()-2)</f>
        <v>46336</v>
      </c>
      <c r="CZ5" s="13">
        <f>IF(COLUMN()-1&gt;$B$3,0,$B$2+COLUMN()-2)</f>
        <v>46337</v>
      </c>
      <c r="DA5" s="13">
        <f>IF(COLUMN()-1&gt;$B$3,0,$B$2+COLUMN()-2)</f>
        <v>46338</v>
      </c>
      <c r="DB5" s="13">
        <f>IF(COLUMN()-1&gt;$B$3,0,$B$2+COLUMN()-2)</f>
        <v>46339</v>
      </c>
      <c r="DC5" s="13">
        <f>IF(COLUMN()-1&gt;$B$3,0,$B$2+COLUMN()-2)</f>
        <v>0</v>
      </c>
      <c r="DD5" s="13">
        <f>IF(COLUMN()-1&gt;$B$3,0,$B$2+COLUMN()-2)</f>
        <v>0</v>
      </c>
      <c r="DE5" s="13">
        <f>IF(COLUMN()-1&gt;$B$3,0,$B$2+COLUMN()-2)</f>
        <v>0</v>
      </c>
      <c r="DF5" s="13">
        <f>IF(COLUMN()-1&gt;$B$3,0,$B$2+COLUMN()-2)</f>
        <v>0</v>
      </c>
      <c r="DG5" s="13">
        <f>IF(COLUMN()-1&gt;$B$3,0,$B$2+COLUMN()-2)</f>
        <v>0</v>
      </c>
      <c r="DH5" s="13">
        <f>IF(COLUMN()-1&gt;$B$3,0,$B$2+COLUMN()-2)</f>
        <v>0</v>
      </c>
      <c r="DI5" s="13">
        <f>IF(COLUMN()-1&gt;$B$3,0,$B$2+COLUMN()-2)</f>
        <v>0</v>
      </c>
      <c r="DJ5" s="13">
        <f>IF(COLUMN()-1&gt;$B$3,0,$B$2+COLUMN()-2)</f>
        <v>0</v>
      </c>
      <c r="DK5" s="13">
        <f>IF(COLUMN()-1&gt;$B$3,0,$B$2+COLUMN()-2)</f>
        <v>0</v>
      </c>
      <c r="DL5" s="13">
        <f>IF(COLUMN()-1&gt;$B$3,0,$B$2+COLUMN()-2)</f>
        <v>0</v>
      </c>
      <c r="DM5" s="13">
        <f>IF(COLUMN()-1&gt;$B$3,0,$B$2+COLUMN()-2)</f>
        <v>0</v>
      </c>
      <c r="DN5" s="13">
        <f>IF(COLUMN()-1&gt;$B$3,0,$B$2+COLUMN()-2)</f>
        <v>0</v>
      </c>
      <c r="DO5" s="13">
        <f>IF(COLUMN()-1&gt;$B$3,0,$B$2+COLUMN()-2)</f>
        <v>0</v>
      </c>
      <c r="DP5" s="13">
        <f>IF(COLUMN()-1&gt;$B$3,0,$B$2+COLUMN()-2)</f>
        <v>0</v>
      </c>
      <c r="DQ5" s="13">
        <f>IF(COLUMN()-1&gt;$B$3,0,$B$2+COLUMN()-2)</f>
        <v>0</v>
      </c>
      <c r="DR5" s="13">
        <f>IF(COLUMN()-1&gt;$B$3,0,$B$2+COLUMN()-2)</f>
        <v>0</v>
      </c>
      <c r="DS5" s="13">
        <f>IF(COLUMN()-1&gt;$B$3,0,$B$2+COLUMN()-2)</f>
        <v>0</v>
      </c>
      <c r="DT5" s="13">
        <f>IF(COLUMN()-1&gt;$B$3,0,$B$2+COLUMN()-2)</f>
        <v>0</v>
      </c>
      <c r="DU5" s="13">
        <f>IF(COLUMN()-1&gt;$B$3,0,$B$2+COLUMN()-2)</f>
        <v>0</v>
      </c>
      <c r="DV5" s="13">
        <f>IF(COLUMN()-1&gt;$B$3,0,$B$2+COLUMN()-2)</f>
        <v>0</v>
      </c>
      <c r="DW5" s="13">
        <f>IF(COLUMN()-1&gt;$B$3,0,$B$2+COLUMN()-2)</f>
        <v>0</v>
      </c>
      <c r="DX5" s="13">
        <f>IF(COLUMN()-1&gt;$B$3,0,$B$2+COLUMN()-2)</f>
        <v>0</v>
      </c>
      <c r="DY5" s="13">
        <f>IF(COLUMN()-1&gt;$B$3,0,$B$2+COLUMN()-2)</f>
        <v>0</v>
      </c>
      <c r="DZ5" s="13">
        <f>IF(COLUMN()-1&gt;$B$3,0,$B$2+COLUMN()-2)</f>
        <v>0</v>
      </c>
      <c r="EA5" s="13">
        <f>IF(COLUMN()-1&gt;$B$3,0,$B$2+COLUMN()-2)</f>
        <v>0</v>
      </c>
      <c r="EB5" s="13">
        <f>IF(COLUMN()-1&gt;$B$3,0,$B$2+COLUMN()-2)</f>
        <v>0</v>
      </c>
      <c r="EC5" s="13">
        <f>IF(COLUMN()-1&gt;$B$3,0,$B$2+COLUMN()-2)</f>
        <v>0</v>
      </c>
      <c r="ED5" s="13">
        <f>IF(COLUMN()-1&gt;$B$3,0,$B$2+COLUMN()-2)</f>
        <v>0</v>
      </c>
      <c r="EE5" s="13">
        <f>IF(COLUMN()-1&gt;$B$3,0,$B$2+COLUMN()-2)</f>
        <v>0</v>
      </c>
      <c r="EF5" s="13">
        <f>IF(COLUMN()-1&gt;$B$3,0,$B$2+COLUMN()-2)</f>
        <v>0</v>
      </c>
      <c r="EG5" s="13">
        <f>IF(COLUMN()-1&gt;$B$3,0,$B$2+COLUMN()-2)</f>
        <v>0</v>
      </c>
      <c r="EH5" s="13">
        <f>IF(COLUMN()-1&gt;$B$3,0,$B$2+COLUMN()-2)</f>
        <v>0</v>
      </c>
      <c r="EI5" s="13">
        <f>IF(COLUMN()-1&gt;$B$3,0,$B$2+COLUMN()-2)</f>
        <v>0</v>
      </c>
      <c r="EJ5" s="13">
        <f>IF(COLUMN()-1&gt;$B$3,0,$B$2+COLUMN()-2)</f>
        <v>0</v>
      </c>
      <c r="EK5" s="13">
        <f>IF(COLUMN()-1&gt;$B$3,0,$B$2+COLUMN()-2)</f>
        <v>0</v>
      </c>
      <c r="EL5" s="13">
        <f>IF(COLUMN()-1&gt;$B$3,0,$B$2+COLUMN()-2)</f>
        <v>0</v>
      </c>
      <c r="EM5" s="13">
        <f>IF(COLUMN()-1&gt;$B$3,0,$B$2+COLUMN()-2)</f>
        <v>0</v>
      </c>
      <c r="EN5" s="13">
        <f>IF(COLUMN()-1&gt;$B$3,0,$B$2+COLUMN()-2)</f>
        <v>0</v>
      </c>
      <c r="EO5" s="13">
        <f>IF(COLUMN()-1&gt;$B$3,0,$B$2+COLUMN()-2)</f>
        <v>0</v>
      </c>
      <c r="EP5" s="13">
        <f>IF(COLUMN()-1&gt;$B$3,0,$B$2+COLUMN()-2)</f>
        <v>0</v>
      </c>
      <c r="EQ5" s="13">
        <f>IF(COLUMN()-1&gt;$B$3,0,$B$2+COLUMN()-2)</f>
        <v>0</v>
      </c>
      <c r="ER5" s="13">
        <f>IF(COLUMN()-1&gt;$B$3,0,$B$2+COLUMN()-2)</f>
        <v>0</v>
      </c>
      <c r="ES5" s="13">
        <f>IF(COLUMN()-1&gt;$B$3,0,$B$2+COLUMN()-2)</f>
        <v>0</v>
      </c>
      <c r="ET5" s="13">
        <f>IF(COLUMN()-1&gt;$B$3,0,$B$2+COLUMN()-2)</f>
        <v>0</v>
      </c>
      <c r="EU5" s="13">
        <f>IF(COLUMN()-1&gt;$B$3,0,$B$2+COLUMN()-2)</f>
        <v>0</v>
      </c>
      <c r="EV5" s="13">
        <f>IF(COLUMN()-1&gt;$B$3,0,$B$2+COLUMN()-2)</f>
        <v>0</v>
      </c>
      <c r="EW5" s="13">
        <f>IF(COLUMN()-1&gt;$B$3,0,$B$2+COLUMN()-2)</f>
        <v>0</v>
      </c>
      <c r="EX5" s="13">
        <f>IF(COLUMN()-1&gt;$B$3,0,$B$2+COLUMN()-2)</f>
        <v>0</v>
      </c>
      <c r="EY5" s="13">
        <f>IF(COLUMN()-1&gt;$B$3,0,$B$2+COLUMN()-2)</f>
        <v>0</v>
      </c>
      <c r="EZ5" s="13">
        <f>IF(COLUMN()-1&gt;$B$3,0,$B$2+COLUMN()-2)</f>
        <v>0</v>
      </c>
      <c r="FA5" s="13">
        <f>IF(COLUMN()-1&gt;$B$3,0,$B$2+COLUMN()-2)</f>
        <v>0</v>
      </c>
      <c r="FB5" s="13">
        <f>IF(COLUMN()-1&gt;$B$3,0,$B$2+COLUMN()-2)</f>
        <v>0</v>
      </c>
      <c r="FC5" s="13">
        <f>IF(COLUMN()-1&gt;$B$3,0,$B$2+COLUMN()-2)</f>
        <v>0</v>
      </c>
      <c r="FD5" s="13">
        <f>IF(COLUMN()-1&gt;$B$3,0,$B$2+COLUMN()-2)</f>
        <v>0</v>
      </c>
      <c r="FE5" s="13">
        <f>IF(COLUMN()-1&gt;$B$3,0,$B$2+COLUMN()-2)</f>
        <v>0</v>
      </c>
      <c r="FF5" s="13">
        <f>IF(COLUMN()-1&gt;$B$3,0,$B$2+COLUMN()-2)</f>
        <v>0</v>
      </c>
      <c r="FG5" s="13">
        <f>IF(COLUMN()-1&gt;$B$3,0,$B$2+COLUMN()-2)</f>
        <v>0</v>
      </c>
      <c r="FH5" s="13">
        <f>IF(COLUMN()-1&gt;$B$3,0,$B$2+COLUMN()-2)</f>
        <v>0</v>
      </c>
      <c r="FI5" s="13">
        <f>IF(COLUMN()-1&gt;$B$3,0,$B$2+COLUMN()-2)</f>
        <v>0</v>
      </c>
      <c r="FJ5" s="13">
        <f>IF(COLUMN()-1&gt;$B$3,0,$B$2+COLUMN()-2)</f>
        <v>0</v>
      </c>
      <c r="FK5" s="13">
        <f>IF(COLUMN()-1&gt;$B$3,0,$B$2+COLUMN()-2)</f>
        <v>0</v>
      </c>
      <c r="FL5" s="13">
        <f>IF(COLUMN()-1&gt;$B$3,0,$B$2+COLUMN()-2)</f>
        <v>0</v>
      </c>
      <c r="FM5" s="13">
        <f>IF(COLUMN()-1&gt;$B$3,0,$B$2+COLUMN()-2)</f>
        <v>0</v>
      </c>
      <c r="FN5" s="13">
        <f>IF(COLUMN()-1&gt;$B$3,0,$B$2+COLUMN()-2)</f>
        <v>0</v>
      </c>
      <c r="FO5" s="13">
        <f>IF(COLUMN()-1&gt;$B$3,0,$B$2+COLUMN()-2)</f>
        <v>0</v>
      </c>
      <c r="FP5" s="13">
        <f>IF(COLUMN()-1&gt;$B$3,0,$B$2+COLUMN()-2)</f>
        <v>0</v>
      </c>
      <c r="FQ5" s="13">
        <f>IF(COLUMN()-1&gt;$B$3,0,$B$2+COLUMN()-2)</f>
        <v>0</v>
      </c>
      <c r="FR5" s="13">
        <f>IF(COLUMN()-1&gt;$B$3,0,$B$2+COLUMN()-2)</f>
        <v>0</v>
      </c>
      <c r="FS5" s="13">
        <f>IF(COLUMN()-1&gt;$B$3,0,$B$2+COLUMN()-2)</f>
        <v>0</v>
      </c>
      <c r="FT5" s="13">
        <f>IF(COLUMN()-1&gt;$B$3,0,$B$2+COLUMN()-2)</f>
        <v>0</v>
      </c>
      <c r="FU5" s="13">
        <f>IF(COLUMN()-1&gt;$B$3,0,$B$2+COLUMN()-2)</f>
        <v>0</v>
      </c>
      <c r="FV5" s="13">
        <f>IF(COLUMN()-1&gt;$B$3,0,$B$2+COLUMN()-2)</f>
        <v>0</v>
      </c>
      <c r="FW5" s="13">
        <f>IF(COLUMN()-1&gt;$B$3,0,$B$2+COLUMN()-2)</f>
        <v>0</v>
      </c>
      <c r="FX5" s="13">
        <f>IF(COLUMN()-1&gt;$B$3,0,$B$2+COLUMN()-2)</f>
        <v>0</v>
      </c>
      <c r="FY5" s="13">
        <f>IF(COLUMN()-1&gt;$B$3,0,$B$2+COLUMN()-2)</f>
        <v>0</v>
      </c>
      <c r="FZ5" s="13">
        <f>IF(COLUMN()-1&gt;$B$3,0,$B$2+COLUMN()-2)</f>
        <v>0</v>
      </c>
      <c r="GA5" s="13">
        <f>IF(COLUMN()-1&gt;$B$3,0,$B$2+COLUMN()-2)</f>
        <v>0</v>
      </c>
      <c r="GB5" s="13">
        <f>IF(COLUMN()-1&gt;$B$3,0,$B$2+COLUMN()-2)</f>
        <v>0</v>
      </c>
      <c r="GC5" s="13">
        <f>IF(COLUMN()-1&gt;$B$3,0,$B$2+COLUMN()-2)</f>
        <v>0</v>
      </c>
      <c r="GD5" s="13">
        <f>IF(COLUMN()-1&gt;$B$3,0,$B$2+COLUMN()-2)</f>
        <v>0</v>
      </c>
      <c r="GE5" s="13">
        <f>IF(COLUMN()-1&gt;$B$3,0,$B$2+COLUMN()-2)</f>
        <v>0</v>
      </c>
      <c r="GF5" s="13">
        <f>IF(COLUMN()-1&gt;$B$3,0,$B$2+COLUMN()-2)</f>
        <v>0</v>
      </c>
      <c r="GG5" s="13">
        <f>IF(COLUMN()-1&gt;$B$3,0,$B$2+COLUMN()-2)</f>
        <v>0</v>
      </c>
      <c r="GH5" s="13">
        <f>IF(COLUMN()-1&gt;$B$3,0,$B$2+COLUMN()-2)</f>
        <v>0</v>
      </c>
      <c r="GI5" s="13">
        <f>IF(COLUMN()-1&gt;$B$3,0,$B$2+COLUMN()-2)</f>
        <v>0</v>
      </c>
      <c r="GJ5" s="13">
        <f>IF(COLUMN()-1&gt;$B$3,0,$B$2+COLUMN()-2)</f>
        <v>0</v>
      </c>
      <c r="GK5" s="13">
        <f>IF(COLUMN()-1&gt;$B$3,0,$B$2+COLUMN()-2)</f>
        <v>0</v>
      </c>
      <c r="GL5" s="13">
        <f>IF(COLUMN()-1&gt;$B$3,0,$B$2+COLUMN()-2)</f>
        <v>0</v>
      </c>
      <c r="GM5" s="13">
        <f>IF(COLUMN()-1&gt;$B$3,0,$B$2+COLUMN()-2)</f>
        <v>0</v>
      </c>
      <c r="GN5" s="13">
        <f>IF(COLUMN()-1&gt;$B$3,0,$B$2+COLUMN()-2)</f>
        <v>0</v>
      </c>
      <c r="GO5" s="13">
        <f>IF(COLUMN()-1&gt;$B$3,0,$B$2+COLUMN()-2)</f>
        <v>0</v>
      </c>
      <c r="GP5" s="13">
        <f>IF(COLUMN()-1&gt;$B$3,0,$B$2+COLUMN()-2)</f>
        <v>0</v>
      </c>
      <c r="GQ5" s="13">
        <f>IF(COLUMN()-1&gt;$B$3,0,$B$2+COLUMN()-2)</f>
        <v>0</v>
      </c>
      <c r="GR5" s="13">
        <f>IF(COLUMN()-1&gt;$B$3,0,$B$2+COLUMN()-2)</f>
        <v>0</v>
      </c>
      <c r="GS5" s="13">
        <f>IF(COLUMN()-1&gt;$B$3,0,$B$2+COLUMN()-2)</f>
        <v>0</v>
      </c>
      <c r="GX5" s="12" t="s">
        <v>261</v>
      </c>
      <c r="GY5" s="12" t="s">
        <v>262</v>
      </c>
      <c r="GZ5" s="12" t="s">
        <v>263</v>
      </c>
      <c r="HA5" s="14">
        <v>7926</v>
      </c>
      <c r="HB5" s="15"/>
      <c r="HC5" s="16" t="s">
        <v>264</v>
      </c>
      <c r="HE5" s="14">
        <v>6135</v>
      </c>
    </row>
    <row r="6" spans="1:215">
      <c r="A6" s="17">
        <v>1</v>
      </c>
      <c r="B6" s="59">
        <v>7926</v>
      </c>
      <c r="C6" s="59">
        <v>7926</v>
      </c>
      <c r="D6" s="59">
        <v>7926</v>
      </c>
      <c r="E6" s="59">
        <v>7926</v>
      </c>
      <c r="F6" s="59">
        <v>7926</v>
      </c>
      <c r="G6" s="59">
        <v>7926</v>
      </c>
      <c r="H6" s="59">
        <v>7926</v>
      </c>
      <c r="I6" s="59">
        <v>7926</v>
      </c>
      <c r="J6" s="59">
        <v>7926</v>
      </c>
      <c r="K6" s="59">
        <v>7926</v>
      </c>
      <c r="L6" s="59">
        <v>7926</v>
      </c>
      <c r="M6" s="59">
        <v>7926</v>
      </c>
      <c r="N6" s="59">
        <v>7926</v>
      </c>
      <c r="O6" s="59">
        <v>7926</v>
      </c>
      <c r="P6" s="59">
        <v>7926</v>
      </c>
      <c r="Q6" s="59">
        <v>7926</v>
      </c>
      <c r="R6" s="59">
        <v>7926</v>
      </c>
      <c r="S6" s="59">
        <v>7926</v>
      </c>
      <c r="T6" s="59">
        <v>7926</v>
      </c>
      <c r="U6" s="59">
        <v>7926</v>
      </c>
      <c r="V6" s="59">
        <v>7926</v>
      </c>
      <c r="W6" s="59">
        <v>7926</v>
      </c>
      <c r="X6" s="59">
        <v>7926</v>
      </c>
      <c r="Y6" s="59">
        <v>7926</v>
      </c>
      <c r="Z6" s="59">
        <v>7926</v>
      </c>
      <c r="AA6" s="59">
        <v>7926</v>
      </c>
      <c r="AB6" s="59">
        <v>7926</v>
      </c>
      <c r="AC6" s="59">
        <v>7926</v>
      </c>
      <c r="AD6" s="59">
        <v>7926</v>
      </c>
      <c r="AE6" s="59">
        <v>7926</v>
      </c>
      <c r="AF6" s="59">
        <v>7926</v>
      </c>
      <c r="AG6" s="59">
        <v>7926</v>
      </c>
      <c r="AH6" s="59">
        <v>7926</v>
      </c>
      <c r="AI6" s="59">
        <v>7926</v>
      </c>
      <c r="AJ6" s="59">
        <v>7926</v>
      </c>
      <c r="AK6" s="59">
        <v>7926</v>
      </c>
      <c r="AL6" s="59">
        <v>7926</v>
      </c>
      <c r="AM6" s="59">
        <v>7926</v>
      </c>
      <c r="AN6" s="59">
        <v>7926</v>
      </c>
      <c r="AO6" s="59">
        <v>7926</v>
      </c>
      <c r="AP6" s="59">
        <v>7926</v>
      </c>
      <c r="AQ6" s="59">
        <v>7926</v>
      </c>
      <c r="AR6" s="59">
        <v>7926</v>
      </c>
      <c r="AS6" s="59">
        <v>7926</v>
      </c>
      <c r="AT6" s="59">
        <v>7926</v>
      </c>
      <c r="AU6" s="59">
        <v>7926</v>
      </c>
      <c r="AV6" s="59">
        <v>7926</v>
      </c>
      <c r="AW6" s="59">
        <v>7926</v>
      </c>
      <c r="AX6" s="59">
        <v>7926</v>
      </c>
      <c r="AY6" s="59">
        <v>7926</v>
      </c>
      <c r="AZ6" s="59">
        <v>7926</v>
      </c>
      <c r="BA6" s="59">
        <v>7926</v>
      </c>
      <c r="BB6" s="59">
        <v>7926</v>
      </c>
      <c r="BC6" s="59">
        <v>7926</v>
      </c>
      <c r="BD6" s="59">
        <v>7926</v>
      </c>
      <c r="BE6" s="59">
        <v>7926</v>
      </c>
      <c r="BF6" s="59">
        <v>7926</v>
      </c>
      <c r="BG6" s="59">
        <v>7926</v>
      </c>
      <c r="BH6" s="59">
        <v>7926</v>
      </c>
      <c r="BI6" s="59">
        <v>7926</v>
      </c>
      <c r="BJ6" s="59">
        <v>7926</v>
      </c>
      <c r="BK6" s="59">
        <v>7926</v>
      </c>
      <c r="BL6" s="59">
        <v>7926</v>
      </c>
      <c r="BM6" s="59">
        <v>7926</v>
      </c>
      <c r="BN6" s="59">
        <v>7926</v>
      </c>
      <c r="BO6" s="59">
        <v>7926</v>
      </c>
      <c r="BP6" s="59">
        <v>7926</v>
      </c>
      <c r="BQ6" s="59">
        <v>7926</v>
      </c>
      <c r="BR6" s="59">
        <v>7926</v>
      </c>
      <c r="BS6" s="59">
        <v>7926</v>
      </c>
      <c r="BT6" s="59">
        <v>7926</v>
      </c>
      <c r="BU6" s="59">
        <v>7926</v>
      </c>
      <c r="BV6" s="59">
        <v>7926</v>
      </c>
      <c r="BW6" s="59">
        <v>7926</v>
      </c>
      <c r="BX6" s="59">
        <v>7926</v>
      </c>
      <c r="BY6" s="59">
        <v>7926</v>
      </c>
      <c r="BZ6" s="59">
        <v>7926</v>
      </c>
      <c r="CA6" s="59">
        <v>7926</v>
      </c>
      <c r="CB6" s="59">
        <v>7926</v>
      </c>
      <c r="CC6" s="59">
        <v>7926</v>
      </c>
      <c r="CD6" s="59">
        <v>7926</v>
      </c>
      <c r="CE6" s="59">
        <v>7926</v>
      </c>
      <c r="CF6" s="59" t="s">
        <v>16</v>
      </c>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18"/>
      <c r="GX6" s="2" t="s">
        <v>264</v>
      </c>
      <c r="GY6" s="19">
        <v>7926</v>
      </c>
      <c r="GZ6" s="20"/>
      <c r="HA6" s="14" t="s">
        <v>9</v>
      </c>
      <c r="HB6" s="15"/>
      <c r="HC6" s="21" t="s">
        <v>265</v>
      </c>
      <c r="HE6" s="14">
        <v>6137</v>
      </c>
    </row>
    <row r="7" spans="1:215">
      <c r="A7" s="17">
        <v>2</v>
      </c>
      <c r="B7" s="59" t="s">
        <v>9</v>
      </c>
      <c r="C7" s="59" t="s">
        <v>9</v>
      </c>
      <c r="D7" s="59" t="s">
        <v>9</v>
      </c>
      <c r="E7" s="59" t="s">
        <v>9</v>
      </c>
      <c r="F7" s="59" t="s">
        <v>9</v>
      </c>
      <c r="G7" s="59" t="s">
        <v>9</v>
      </c>
      <c r="H7" s="59" t="s">
        <v>9</v>
      </c>
      <c r="I7" s="59" t="s">
        <v>9</v>
      </c>
      <c r="J7" s="59" t="s">
        <v>9</v>
      </c>
      <c r="K7" s="59" t="s">
        <v>9</v>
      </c>
      <c r="L7" s="59" t="s">
        <v>9</v>
      </c>
      <c r="M7" s="59" t="s">
        <v>9</v>
      </c>
      <c r="N7" s="59" t="s">
        <v>9</v>
      </c>
      <c r="O7" s="59" t="s">
        <v>9</v>
      </c>
      <c r="P7" s="59" t="s">
        <v>9</v>
      </c>
      <c r="Q7" s="59" t="s">
        <v>9</v>
      </c>
      <c r="R7" s="59" t="s">
        <v>9</v>
      </c>
      <c r="S7" s="59" t="s">
        <v>9</v>
      </c>
      <c r="T7" s="59" t="s">
        <v>9</v>
      </c>
      <c r="U7" s="59" t="s">
        <v>9</v>
      </c>
      <c r="V7" s="59" t="s">
        <v>9</v>
      </c>
      <c r="W7" s="59" t="s">
        <v>9</v>
      </c>
      <c r="X7" s="59" t="s">
        <v>9</v>
      </c>
      <c r="Y7" s="59" t="s">
        <v>9</v>
      </c>
      <c r="Z7" s="59" t="s">
        <v>9</v>
      </c>
      <c r="AA7" s="59" t="s">
        <v>9</v>
      </c>
      <c r="AB7" s="59" t="s">
        <v>9</v>
      </c>
      <c r="AC7" s="59" t="s">
        <v>9</v>
      </c>
      <c r="AD7" s="59" t="s">
        <v>9</v>
      </c>
      <c r="AE7" s="59" t="s">
        <v>9</v>
      </c>
      <c r="AF7" s="59" t="s">
        <v>9</v>
      </c>
      <c r="AG7" s="59" t="s">
        <v>9</v>
      </c>
      <c r="AH7" s="59" t="s">
        <v>9</v>
      </c>
      <c r="AI7" s="59" t="s">
        <v>9</v>
      </c>
      <c r="AJ7" s="59" t="s">
        <v>9</v>
      </c>
      <c r="AK7" s="59" t="s">
        <v>9</v>
      </c>
      <c r="AL7" s="59" t="s">
        <v>9</v>
      </c>
      <c r="AM7" s="59" t="s">
        <v>9</v>
      </c>
      <c r="AN7" s="59" t="s">
        <v>9</v>
      </c>
      <c r="AO7" s="59" t="s">
        <v>9</v>
      </c>
      <c r="AP7" s="59" t="s">
        <v>9</v>
      </c>
      <c r="AQ7" s="59" t="s">
        <v>9</v>
      </c>
      <c r="AR7" s="59" t="s">
        <v>9</v>
      </c>
      <c r="AS7" s="59" t="s">
        <v>9</v>
      </c>
      <c r="AT7" s="59" t="s">
        <v>9</v>
      </c>
      <c r="AU7" s="59" t="s">
        <v>9</v>
      </c>
      <c r="AV7" s="59" t="s">
        <v>9</v>
      </c>
      <c r="AW7" s="59" t="s">
        <v>9</v>
      </c>
      <c r="AX7" s="59" t="s">
        <v>9</v>
      </c>
      <c r="AY7" s="59" t="s">
        <v>9</v>
      </c>
      <c r="AZ7" s="59" t="s">
        <v>9</v>
      </c>
      <c r="BA7" s="59" t="s">
        <v>9</v>
      </c>
      <c r="BB7" s="59" t="s">
        <v>9</v>
      </c>
      <c r="BC7" s="59" t="s">
        <v>9</v>
      </c>
      <c r="BD7" s="59" t="s">
        <v>9</v>
      </c>
      <c r="BE7" s="59" t="s">
        <v>9</v>
      </c>
      <c r="BF7" s="59" t="s">
        <v>9</v>
      </c>
      <c r="BG7" s="59" t="s">
        <v>9</v>
      </c>
      <c r="BH7" s="59" t="s">
        <v>9</v>
      </c>
      <c r="BI7" s="59" t="s">
        <v>9</v>
      </c>
      <c r="BJ7" s="59" t="s">
        <v>9</v>
      </c>
      <c r="BK7" s="59" t="s">
        <v>9</v>
      </c>
      <c r="BL7" s="59" t="s">
        <v>9</v>
      </c>
      <c r="BM7" s="59" t="s">
        <v>9</v>
      </c>
      <c r="BN7" s="59" t="s">
        <v>9</v>
      </c>
      <c r="BO7" s="59" t="s">
        <v>9</v>
      </c>
      <c r="BP7" s="59" t="s">
        <v>9</v>
      </c>
      <c r="BQ7" s="59" t="s">
        <v>9</v>
      </c>
      <c r="BR7" s="59" t="s">
        <v>9</v>
      </c>
      <c r="BS7" s="59" t="s">
        <v>9</v>
      </c>
      <c r="BT7" s="59" t="s">
        <v>9</v>
      </c>
      <c r="BU7" s="59" t="s">
        <v>9</v>
      </c>
      <c r="BV7" s="59" t="s">
        <v>9</v>
      </c>
      <c r="BW7" s="59" t="s">
        <v>9</v>
      </c>
      <c r="BX7" s="59" t="s">
        <v>9</v>
      </c>
      <c r="BY7" s="59" t="s">
        <v>9</v>
      </c>
      <c r="BZ7" s="59" t="s">
        <v>9</v>
      </c>
      <c r="CA7" s="59" t="s">
        <v>9</v>
      </c>
      <c r="CB7" s="59" t="s">
        <v>9</v>
      </c>
      <c r="CC7" s="59" t="s">
        <v>9</v>
      </c>
      <c r="CD7" s="59" t="s">
        <v>9</v>
      </c>
      <c r="CE7" s="59" t="s">
        <v>9</v>
      </c>
      <c r="CF7" s="59" t="s">
        <v>9</v>
      </c>
      <c r="CG7" s="59" t="s">
        <v>16</v>
      </c>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c r="GP7" s="59"/>
      <c r="GQ7" s="59"/>
      <c r="GR7" s="59"/>
      <c r="GS7" s="59"/>
      <c r="GX7" s="2" t="s">
        <v>265</v>
      </c>
      <c r="GY7" s="19" t="s">
        <v>9</v>
      </c>
      <c r="GZ7" s="22"/>
      <c r="HA7" s="14" t="s">
        <v>10</v>
      </c>
      <c r="HB7" s="15"/>
      <c r="HC7" s="23" t="s">
        <v>266</v>
      </c>
      <c r="HE7" s="14" t="s">
        <v>23</v>
      </c>
    </row>
    <row r="8" spans="1:215">
      <c r="A8" s="17">
        <v>3</v>
      </c>
      <c r="B8" s="59">
        <v>6137</v>
      </c>
      <c r="C8" s="59">
        <v>6137</v>
      </c>
      <c r="D8" s="59">
        <v>6137</v>
      </c>
      <c r="E8" s="59">
        <v>6137</v>
      </c>
      <c r="F8" s="59">
        <v>6137</v>
      </c>
      <c r="G8" s="59">
        <v>6137</v>
      </c>
      <c r="H8" s="59">
        <v>6137</v>
      </c>
      <c r="I8" s="59">
        <v>6137</v>
      </c>
      <c r="J8" s="59">
        <v>6137</v>
      </c>
      <c r="K8" s="59">
        <v>6137</v>
      </c>
      <c r="L8" s="59">
        <v>6137</v>
      </c>
      <c r="M8" s="59">
        <v>6137</v>
      </c>
      <c r="N8" s="59">
        <v>6137</v>
      </c>
      <c r="O8" s="59" t="s">
        <v>16</v>
      </c>
      <c r="P8" s="59">
        <v>4110</v>
      </c>
      <c r="Q8" s="59">
        <v>4110</v>
      </c>
      <c r="R8" s="59">
        <v>4110</v>
      </c>
      <c r="S8" s="59">
        <v>4110</v>
      </c>
      <c r="T8" s="59">
        <v>4110</v>
      </c>
      <c r="U8" s="59">
        <v>4110</v>
      </c>
      <c r="V8" s="59">
        <v>4110</v>
      </c>
      <c r="W8" s="59">
        <v>4110</v>
      </c>
      <c r="X8" s="59">
        <v>4110</v>
      </c>
      <c r="Y8" s="59">
        <v>4110</v>
      </c>
      <c r="Z8" s="59">
        <v>4110</v>
      </c>
      <c r="AA8" s="59">
        <v>4110</v>
      </c>
      <c r="AB8" s="59">
        <v>4110</v>
      </c>
      <c r="AC8" s="59">
        <v>4110</v>
      </c>
      <c r="AD8" s="59">
        <v>4110</v>
      </c>
      <c r="AE8" s="59">
        <v>4110</v>
      </c>
      <c r="AF8" s="59">
        <v>4110</v>
      </c>
      <c r="AG8" s="59">
        <v>4110</v>
      </c>
      <c r="AH8" s="59">
        <v>4110</v>
      </c>
      <c r="AI8" s="59">
        <v>4110</v>
      </c>
      <c r="AJ8" s="59">
        <v>4110</v>
      </c>
      <c r="AK8" s="59">
        <v>4110</v>
      </c>
      <c r="AL8" s="59">
        <v>4110</v>
      </c>
      <c r="AM8" s="59">
        <v>4110</v>
      </c>
      <c r="AN8" s="59">
        <v>4110</v>
      </c>
      <c r="AO8" s="59">
        <v>4110</v>
      </c>
      <c r="AP8" s="59">
        <v>4110</v>
      </c>
      <c r="AQ8" s="59">
        <v>4110</v>
      </c>
      <c r="AR8" s="59">
        <v>4110</v>
      </c>
      <c r="AS8" s="59">
        <v>4110</v>
      </c>
      <c r="AT8" s="59">
        <v>4110</v>
      </c>
      <c r="AU8" s="59">
        <v>4110</v>
      </c>
      <c r="AV8" s="59">
        <v>4110</v>
      </c>
      <c r="AW8" s="59" t="s">
        <v>16</v>
      </c>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c r="GP8" s="59"/>
      <c r="GQ8" s="59"/>
      <c r="GR8" s="59"/>
      <c r="GS8" s="59"/>
      <c r="GX8" s="2" t="s">
        <v>266</v>
      </c>
      <c r="GY8" s="19" t="s">
        <v>10</v>
      </c>
      <c r="GZ8" s="24"/>
      <c r="HA8" s="14">
        <v>6820</v>
      </c>
      <c r="HB8" s="15"/>
      <c r="HC8" s="25" t="s">
        <v>267</v>
      </c>
      <c r="HE8" s="14">
        <v>4110</v>
      </c>
    </row>
    <row r="9" spans="1:215">
      <c r="A9" s="17">
        <v>4</v>
      </c>
      <c r="B9" s="59" t="s">
        <v>10</v>
      </c>
      <c r="C9" s="59" t="s">
        <v>10</v>
      </c>
      <c r="D9" s="59" t="s">
        <v>10</v>
      </c>
      <c r="E9" s="59" t="s">
        <v>10</v>
      </c>
      <c r="F9" s="59" t="s">
        <v>10</v>
      </c>
      <c r="G9" s="59" t="s">
        <v>10</v>
      </c>
      <c r="H9" s="59" t="s">
        <v>10</v>
      </c>
      <c r="I9" s="59" t="s">
        <v>10</v>
      </c>
      <c r="J9" s="59" t="s">
        <v>10</v>
      </c>
      <c r="K9" s="59" t="s">
        <v>10</v>
      </c>
      <c r="L9" s="59" t="s">
        <v>10</v>
      </c>
      <c r="M9" s="59" t="s">
        <v>10</v>
      </c>
      <c r="N9" s="59" t="s">
        <v>10</v>
      </c>
      <c r="O9" s="59" t="s">
        <v>10</v>
      </c>
      <c r="P9" s="59" t="s">
        <v>10</v>
      </c>
      <c r="Q9" s="59" t="s">
        <v>10</v>
      </c>
      <c r="R9" s="59" t="s">
        <v>10</v>
      </c>
      <c r="S9" s="59" t="s">
        <v>10</v>
      </c>
      <c r="T9" s="59" t="s">
        <v>10</v>
      </c>
      <c r="U9" s="59" t="s">
        <v>10</v>
      </c>
      <c r="V9" s="59" t="s">
        <v>10</v>
      </c>
      <c r="W9" s="59" t="s">
        <v>10</v>
      </c>
      <c r="X9" s="59" t="s">
        <v>10</v>
      </c>
      <c r="Y9" s="59" t="s">
        <v>10</v>
      </c>
      <c r="Z9" s="59" t="s">
        <v>10</v>
      </c>
      <c r="AA9" s="59" t="s">
        <v>10</v>
      </c>
      <c r="AB9" s="59" t="s">
        <v>10</v>
      </c>
      <c r="AC9" s="59" t="s">
        <v>10</v>
      </c>
      <c r="AD9" s="59" t="s">
        <v>10</v>
      </c>
      <c r="AE9" s="59" t="s">
        <v>10</v>
      </c>
      <c r="AF9" s="59" t="s">
        <v>10</v>
      </c>
      <c r="AG9" s="59" t="s">
        <v>10</v>
      </c>
      <c r="AH9" s="59" t="s">
        <v>10</v>
      </c>
      <c r="AI9" s="59" t="s">
        <v>10</v>
      </c>
      <c r="AJ9" s="59" t="s">
        <v>10</v>
      </c>
      <c r="AK9" s="59" t="s">
        <v>10</v>
      </c>
      <c r="AL9" s="59" t="s">
        <v>10</v>
      </c>
      <c r="AM9" s="59" t="s">
        <v>10</v>
      </c>
      <c r="AN9" s="59" t="s">
        <v>10</v>
      </c>
      <c r="AO9" s="59" t="s">
        <v>10</v>
      </c>
      <c r="AP9" s="59" t="s">
        <v>10</v>
      </c>
      <c r="AQ9" s="59" t="s">
        <v>10</v>
      </c>
      <c r="AR9" s="59" t="s">
        <v>10</v>
      </c>
      <c r="AS9" s="59" t="s">
        <v>10</v>
      </c>
      <c r="AT9" s="59" t="s">
        <v>10</v>
      </c>
      <c r="AU9" s="59" t="s">
        <v>10</v>
      </c>
      <c r="AV9" s="59" t="s">
        <v>10</v>
      </c>
      <c r="AW9" s="59" t="s">
        <v>10</v>
      </c>
      <c r="AX9" s="59" t="s">
        <v>10</v>
      </c>
      <c r="AY9" s="59" t="s">
        <v>10</v>
      </c>
      <c r="AZ9" s="59" t="s">
        <v>10</v>
      </c>
      <c r="BA9" s="59" t="s">
        <v>10</v>
      </c>
      <c r="BB9" s="59" t="s">
        <v>10</v>
      </c>
      <c r="BC9" s="59" t="s">
        <v>10</v>
      </c>
      <c r="BD9" s="59" t="s">
        <v>10</v>
      </c>
      <c r="BE9" s="59" t="s">
        <v>10</v>
      </c>
      <c r="BF9" s="59" t="s">
        <v>10</v>
      </c>
      <c r="BG9" s="59" t="s">
        <v>10</v>
      </c>
      <c r="BH9" s="59" t="s">
        <v>10</v>
      </c>
      <c r="BI9" s="59" t="s">
        <v>10</v>
      </c>
      <c r="BJ9" s="59" t="s">
        <v>10</v>
      </c>
      <c r="BK9" s="59" t="s">
        <v>16</v>
      </c>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59"/>
      <c r="ES9" s="59"/>
      <c r="ET9" s="59"/>
      <c r="EU9" s="59"/>
      <c r="EV9" s="59"/>
      <c r="EW9" s="59"/>
      <c r="EX9" s="59"/>
      <c r="EY9" s="59"/>
      <c r="EZ9" s="59"/>
      <c r="FA9" s="59"/>
      <c r="FB9" s="59"/>
      <c r="FC9" s="59"/>
      <c r="FD9" s="59"/>
      <c r="FE9" s="59"/>
      <c r="FF9" s="59"/>
      <c r="FG9" s="59"/>
      <c r="FH9" s="59"/>
      <c r="FI9" s="59"/>
      <c r="FJ9" s="59"/>
      <c r="FK9" s="59"/>
      <c r="FL9" s="59"/>
      <c r="FM9" s="59"/>
      <c r="FN9" s="59"/>
      <c r="FO9" s="59"/>
      <c r="FP9" s="59"/>
      <c r="FQ9" s="59"/>
      <c r="FR9" s="59"/>
      <c r="FS9" s="59"/>
      <c r="FT9" s="59"/>
      <c r="FU9" s="59"/>
      <c r="FV9" s="59"/>
      <c r="FW9" s="59"/>
      <c r="FX9" s="59"/>
      <c r="FY9" s="59"/>
      <c r="FZ9" s="59"/>
      <c r="GA9" s="59"/>
      <c r="GB9" s="59"/>
      <c r="GC9" s="59"/>
      <c r="GD9" s="59"/>
      <c r="GE9" s="59"/>
      <c r="GF9" s="59"/>
      <c r="GG9" s="59"/>
      <c r="GH9" s="59"/>
      <c r="GI9" s="59"/>
      <c r="GJ9" s="59"/>
      <c r="GK9" s="59"/>
      <c r="GL9" s="59"/>
      <c r="GM9" s="59"/>
      <c r="GN9" s="59"/>
      <c r="GO9" s="59"/>
      <c r="GP9" s="59"/>
      <c r="GQ9" s="59"/>
      <c r="GR9" s="59"/>
      <c r="GS9" s="59"/>
      <c r="GX9" s="2" t="s">
        <v>267</v>
      </c>
      <c r="GY9" s="19">
        <v>6820</v>
      </c>
      <c r="GZ9" s="26"/>
      <c r="HA9" s="14">
        <v>6108</v>
      </c>
      <c r="HB9" s="15"/>
      <c r="HC9" s="27" t="s">
        <v>268</v>
      </c>
      <c r="HE9" s="14" t="s">
        <v>148</v>
      </c>
    </row>
    <row r="10" spans="1:215">
      <c r="A10" s="17">
        <v>5</v>
      </c>
      <c r="B10" s="59">
        <v>6820</v>
      </c>
      <c r="C10" s="59">
        <v>6820</v>
      </c>
      <c r="D10" s="59">
        <v>6820</v>
      </c>
      <c r="E10" s="59">
        <v>6820</v>
      </c>
      <c r="F10" s="59">
        <v>6820</v>
      </c>
      <c r="G10" s="59">
        <v>6820</v>
      </c>
      <c r="H10" s="59">
        <v>6820</v>
      </c>
      <c r="I10" s="59">
        <v>6820</v>
      </c>
      <c r="J10" s="59">
        <v>6820</v>
      </c>
      <c r="K10" s="59">
        <v>6820</v>
      </c>
      <c r="L10" s="59">
        <v>6820</v>
      </c>
      <c r="M10" s="59" t="s">
        <v>10</v>
      </c>
      <c r="N10" s="59" t="s">
        <v>10</v>
      </c>
      <c r="O10" s="59" t="s">
        <v>10</v>
      </c>
      <c r="P10" s="59" t="s">
        <v>10</v>
      </c>
      <c r="Q10" s="59" t="s">
        <v>10</v>
      </c>
      <c r="R10" s="59" t="s">
        <v>10</v>
      </c>
      <c r="S10" s="59" t="s">
        <v>10</v>
      </c>
      <c r="T10" s="59" t="s">
        <v>10</v>
      </c>
      <c r="U10" s="59" t="s">
        <v>10</v>
      </c>
      <c r="V10" s="59" t="s">
        <v>10</v>
      </c>
      <c r="W10" s="59" t="s">
        <v>10</v>
      </c>
      <c r="X10" s="59" t="s">
        <v>10</v>
      </c>
      <c r="Y10" s="59" t="s">
        <v>10</v>
      </c>
      <c r="Z10" s="59" t="s">
        <v>10</v>
      </c>
      <c r="AA10" s="59" t="s">
        <v>10</v>
      </c>
      <c r="AB10" s="59" t="s">
        <v>10</v>
      </c>
      <c r="AC10" s="59" t="s">
        <v>10</v>
      </c>
      <c r="AD10" s="59" t="s">
        <v>10</v>
      </c>
      <c r="AE10" s="59" t="s">
        <v>10</v>
      </c>
      <c r="AF10" s="59" t="s">
        <v>10</v>
      </c>
      <c r="AG10" s="59" t="s">
        <v>10</v>
      </c>
      <c r="AH10" s="59" t="s">
        <v>10</v>
      </c>
      <c r="AI10" s="59" t="s">
        <v>10</v>
      </c>
      <c r="AJ10" s="59" t="s">
        <v>10</v>
      </c>
      <c r="AK10" s="59" t="s">
        <v>10</v>
      </c>
      <c r="AL10" s="59" t="s">
        <v>10</v>
      </c>
      <c r="AM10" s="59" t="s">
        <v>10</v>
      </c>
      <c r="AN10" s="59" t="s">
        <v>10</v>
      </c>
      <c r="AO10" s="59" t="s">
        <v>10</v>
      </c>
      <c r="AP10" s="59" t="s">
        <v>10</v>
      </c>
      <c r="AQ10" s="59" t="s">
        <v>10</v>
      </c>
      <c r="AR10" s="59" t="s">
        <v>10</v>
      </c>
      <c r="AS10" s="59" t="s">
        <v>10</v>
      </c>
      <c r="AT10" s="59" t="s">
        <v>10</v>
      </c>
      <c r="AU10" s="59" t="s">
        <v>10</v>
      </c>
      <c r="AV10" s="59" t="s">
        <v>10</v>
      </c>
      <c r="AW10" s="59" t="s">
        <v>10</v>
      </c>
      <c r="AX10" s="59" t="s">
        <v>10</v>
      </c>
      <c r="AY10" s="59" t="s">
        <v>10</v>
      </c>
      <c r="AZ10" s="59" t="s">
        <v>10</v>
      </c>
      <c r="BA10" s="59" t="s">
        <v>10</v>
      </c>
      <c r="BB10" s="59" t="s">
        <v>10</v>
      </c>
      <c r="BC10" s="59" t="s">
        <v>10</v>
      </c>
      <c r="BD10" s="59" t="s">
        <v>10</v>
      </c>
      <c r="BE10" s="59" t="s">
        <v>10</v>
      </c>
      <c r="BF10" s="59" t="s">
        <v>10</v>
      </c>
      <c r="BG10" s="59" t="s">
        <v>10</v>
      </c>
      <c r="BH10" s="59" t="s">
        <v>10</v>
      </c>
      <c r="BI10" s="59" t="s">
        <v>10</v>
      </c>
      <c r="BJ10" s="59" t="s">
        <v>10</v>
      </c>
      <c r="BK10" s="59" t="s">
        <v>16</v>
      </c>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c r="CY10" s="59"/>
      <c r="CZ10" s="59"/>
      <c r="DA10" s="59"/>
      <c r="DB10" s="59"/>
      <c r="DC10" s="59"/>
      <c r="DD10" s="59"/>
      <c r="DE10" s="59"/>
      <c r="DF10" s="59"/>
      <c r="DG10" s="59"/>
      <c r="DH10" s="59"/>
      <c r="DI10" s="59"/>
      <c r="DJ10" s="59"/>
      <c r="DK10" s="59"/>
      <c r="DL10" s="5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59"/>
      <c r="ES10" s="59"/>
      <c r="ET10" s="59"/>
      <c r="EU10" s="59"/>
      <c r="EV10" s="59"/>
      <c r="EW10" s="59"/>
      <c r="EX10" s="59"/>
      <c r="EY10" s="59"/>
      <c r="EZ10" s="59"/>
      <c r="FA10" s="59"/>
      <c r="FB10" s="59"/>
      <c r="FC10" s="59"/>
      <c r="FD10" s="59"/>
      <c r="FE10" s="59"/>
      <c r="FF10" s="59"/>
      <c r="FG10" s="59"/>
      <c r="FH10" s="59"/>
      <c r="FI10" s="59"/>
      <c r="FJ10" s="59"/>
      <c r="FK10" s="59"/>
      <c r="FL10" s="59"/>
      <c r="FM10" s="59"/>
      <c r="FN10" s="59"/>
      <c r="FO10" s="59"/>
      <c r="FP10" s="59"/>
      <c r="FQ10" s="59"/>
      <c r="FR10" s="59"/>
      <c r="FS10" s="59"/>
      <c r="FT10" s="59"/>
      <c r="FU10" s="59"/>
      <c r="FV10" s="59"/>
      <c r="FW10" s="59"/>
      <c r="FX10" s="59"/>
      <c r="FY10" s="59"/>
      <c r="FZ10" s="59"/>
      <c r="GA10" s="59"/>
      <c r="GB10" s="59"/>
      <c r="GC10" s="59"/>
      <c r="GD10" s="59"/>
      <c r="GE10" s="59"/>
      <c r="GF10" s="59"/>
      <c r="GG10" s="59"/>
      <c r="GH10" s="59"/>
      <c r="GI10" s="59"/>
      <c r="GJ10" s="59"/>
      <c r="GK10" s="59"/>
      <c r="GL10" s="59"/>
      <c r="GM10" s="59"/>
      <c r="GN10" s="59"/>
      <c r="GO10" s="59"/>
      <c r="GP10" s="59"/>
      <c r="GQ10" s="59"/>
      <c r="GR10" s="59"/>
      <c r="GS10" s="59"/>
      <c r="GX10" s="2" t="s">
        <v>268</v>
      </c>
      <c r="GY10" s="19">
        <v>6108</v>
      </c>
      <c r="GZ10" s="28"/>
      <c r="HA10" s="14">
        <v>6109</v>
      </c>
      <c r="HB10" s="15"/>
      <c r="HC10" s="29" t="s">
        <v>269</v>
      </c>
      <c r="HE10" s="14">
        <v>6108</v>
      </c>
    </row>
    <row r="11" spans="1:215">
      <c r="A11" s="17">
        <v>6</v>
      </c>
      <c r="B11" s="59">
        <v>6820</v>
      </c>
      <c r="C11" s="59">
        <v>6820</v>
      </c>
      <c r="D11" s="59">
        <v>6820</v>
      </c>
      <c r="E11" s="59">
        <v>6820</v>
      </c>
      <c r="F11" s="59">
        <v>6820</v>
      </c>
      <c r="G11" s="59">
        <v>6820</v>
      </c>
      <c r="H11" s="59">
        <v>6820</v>
      </c>
      <c r="I11" s="59">
        <v>6820</v>
      </c>
      <c r="J11" s="59">
        <v>6820</v>
      </c>
      <c r="K11" s="59">
        <v>6820</v>
      </c>
      <c r="L11" s="59">
        <v>6820</v>
      </c>
      <c r="M11" s="59">
        <v>6820</v>
      </c>
      <c r="N11" s="59">
        <v>6820</v>
      </c>
      <c r="O11" s="59">
        <v>6820</v>
      </c>
      <c r="P11" s="59">
        <v>6820</v>
      </c>
      <c r="Q11" s="59">
        <v>6820</v>
      </c>
      <c r="R11" s="59">
        <v>6820</v>
      </c>
      <c r="S11" s="59">
        <v>6820</v>
      </c>
      <c r="T11" s="59">
        <v>6820</v>
      </c>
      <c r="U11" s="59">
        <v>6820</v>
      </c>
      <c r="V11" s="59">
        <v>6820</v>
      </c>
      <c r="W11" s="59">
        <v>6820</v>
      </c>
      <c r="X11" s="59">
        <v>6820</v>
      </c>
      <c r="Y11" s="59">
        <v>6820</v>
      </c>
      <c r="Z11" s="59">
        <v>6820</v>
      </c>
      <c r="AA11" s="59">
        <v>6820</v>
      </c>
      <c r="AB11" s="59">
        <v>6820</v>
      </c>
      <c r="AC11" s="59">
        <v>6820</v>
      </c>
      <c r="AD11" s="59">
        <v>6820</v>
      </c>
      <c r="AE11" s="59">
        <v>6820</v>
      </c>
      <c r="AF11" s="59">
        <v>6820</v>
      </c>
      <c r="AG11" s="59">
        <v>6820</v>
      </c>
      <c r="AH11" s="59">
        <v>6820</v>
      </c>
      <c r="AI11" s="59">
        <v>6820</v>
      </c>
      <c r="AJ11" s="59">
        <v>6820</v>
      </c>
      <c r="AK11" s="59">
        <v>6820</v>
      </c>
      <c r="AL11" s="59">
        <v>6820</v>
      </c>
      <c r="AM11" s="59">
        <v>6820</v>
      </c>
      <c r="AN11" s="59">
        <v>6820</v>
      </c>
      <c r="AO11" s="59">
        <v>6820</v>
      </c>
      <c r="AP11" s="59">
        <v>6820</v>
      </c>
      <c r="AQ11" s="59">
        <v>6820</v>
      </c>
      <c r="AR11" s="59">
        <v>6820</v>
      </c>
      <c r="AS11" s="59">
        <v>6820</v>
      </c>
      <c r="AT11" s="59">
        <v>6820</v>
      </c>
      <c r="AU11" s="59">
        <v>6820</v>
      </c>
      <c r="AV11" s="59">
        <v>6820</v>
      </c>
      <c r="AW11" s="59">
        <v>6820</v>
      </c>
      <c r="AX11" s="59">
        <v>6820</v>
      </c>
      <c r="AY11" s="59">
        <v>6820</v>
      </c>
      <c r="AZ11" s="59" t="s">
        <v>16</v>
      </c>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c r="FE11" s="59"/>
      <c r="FF11" s="59"/>
      <c r="FG11" s="59"/>
      <c r="FH11" s="59"/>
      <c r="FI11" s="59"/>
      <c r="FJ11" s="59"/>
      <c r="FK11" s="59"/>
      <c r="FL11" s="59"/>
      <c r="FM11" s="59"/>
      <c r="FN11" s="59"/>
      <c r="FO11" s="59"/>
      <c r="FP11" s="59"/>
      <c r="FQ11" s="59"/>
      <c r="FR11" s="59"/>
      <c r="FS11" s="59"/>
      <c r="FT11" s="59"/>
      <c r="FU11" s="59"/>
      <c r="FV11" s="59"/>
      <c r="FW11" s="59"/>
      <c r="FX11" s="59"/>
      <c r="FY11" s="59"/>
      <c r="FZ11" s="59"/>
      <c r="GA11" s="59"/>
      <c r="GB11" s="59"/>
      <c r="GC11" s="59"/>
      <c r="GD11" s="59"/>
      <c r="GE11" s="59"/>
      <c r="GF11" s="59"/>
      <c r="GG11" s="59"/>
      <c r="GH11" s="59"/>
      <c r="GI11" s="59"/>
      <c r="GJ11" s="59"/>
      <c r="GK11" s="59"/>
      <c r="GL11" s="59"/>
      <c r="GM11" s="59"/>
      <c r="GN11" s="59"/>
      <c r="GO11" s="59"/>
      <c r="GP11" s="59"/>
      <c r="GQ11" s="59"/>
      <c r="GR11" s="59"/>
      <c r="GS11" s="59"/>
      <c r="GX11" s="2" t="s">
        <v>269</v>
      </c>
      <c r="GY11" s="19">
        <v>6109</v>
      </c>
      <c r="GZ11" s="30"/>
      <c r="HA11" s="14">
        <v>4117</v>
      </c>
      <c r="HB11" s="15"/>
      <c r="HC11" s="31" t="s">
        <v>270</v>
      </c>
      <c r="HE11" s="14" t="s">
        <v>149</v>
      </c>
    </row>
    <row r="12" spans="1:215">
      <c r="A12" s="17">
        <v>7</v>
      </c>
      <c r="B12" s="59">
        <v>6137</v>
      </c>
      <c r="C12" s="59">
        <v>6137</v>
      </c>
      <c r="D12" s="59">
        <v>6137</v>
      </c>
      <c r="E12" s="59">
        <v>6137</v>
      </c>
      <c r="F12" s="59">
        <v>6137</v>
      </c>
      <c r="G12" s="59">
        <v>6137</v>
      </c>
      <c r="H12" s="59">
        <v>6137</v>
      </c>
      <c r="I12" s="59">
        <v>6137</v>
      </c>
      <c r="J12" s="59">
        <v>6137</v>
      </c>
      <c r="K12" s="59">
        <v>6137</v>
      </c>
      <c r="L12" s="59">
        <v>6137</v>
      </c>
      <c r="M12" s="59">
        <v>6137</v>
      </c>
      <c r="N12" s="59">
        <v>6137</v>
      </c>
      <c r="O12" s="59" t="s">
        <v>16</v>
      </c>
      <c r="P12" s="59" t="s">
        <v>14</v>
      </c>
      <c r="Q12" s="59" t="s">
        <v>14</v>
      </c>
      <c r="R12" s="59" t="s">
        <v>14</v>
      </c>
      <c r="S12" s="59" t="s">
        <v>14</v>
      </c>
      <c r="T12" s="59" t="s">
        <v>14</v>
      </c>
      <c r="U12" s="59" t="s">
        <v>14</v>
      </c>
      <c r="V12" s="59" t="s">
        <v>14</v>
      </c>
      <c r="W12" s="59" t="s">
        <v>14</v>
      </c>
      <c r="X12" s="59" t="s">
        <v>14</v>
      </c>
      <c r="Y12" s="59" t="s">
        <v>14</v>
      </c>
      <c r="Z12" s="59" t="s">
        <v>14</v>
      </c>
      <c r="AA12" s="59" t="s">
        <v>14</v>
      </c>
      <c r="AB12" s="59" t="s">
        <v>14</v>
      </c>
      <c r="AC12" s="59" t="s">
        <v>14</v>
      </c>
      <c r="AD12" s="59" t="s">
        <v>14</v>
      </c>
      <c r="AE12" s="59" t="s">
        <v>14</v>
      </c>
      <c r="AF12" s="59" t="s">
        <v>14</v>
      </c>
      <c r="AG12" s="59" t="s">
        <v>14</v>
      </c>
      <c r="AH12" s="59" t="s">
        <v>14</v>
      </c>
      <c r="AI12" s="59" t="s">
        <v>14</v>
      </c>
      <c r="AJ12" s="59" t="s">
        <v>14</v>
      </c>
      <c r="AK12" s="59" t="s">
        <v>14</v>
      </c>
      <c r="AL12" s="59" t="s">
        <v>14</v>
      </c>
      <c r="AM12" s="59" t="s">
        <v>14</v>
      </c>
      <c r="AN12" s="59" t="s">
        <v>16</v>
      </c>
      <c r="AO12" s="59">
        <v>4117</v>
      </c>
      <c r="AP12" s="59">
        <v>4117</v>
      </c>
      <c r="AQ12" s="59">
        <v>4117</v>
      </c>
      <c r="AR12" s="59">
        <v>4117</v>
      </c>
      <c r="AS12" s="59">
        <v>4117</v>
      </c>
      <c r="AT12" s="59">
        <v>4117</v>
      </c>
      <c r="AU12" s="59">
        <v>4117</v>
      </c>
      <c r="AV12" s="59">
        <v>4117</v>
      </c>
      <c r="AW12" s="59">
        <v>4117</v>
      </c>
      <c r="AX12" s="59">
        <v>4117</v>
      </c>
      <c r="AY12" s="59">
        <v>4117</v>
      </c>
      <c r="AZ12" s="59">
        <v>4117</v>
      </c>
      <c r="BA12" s="59">
        <v>4117</v>
      </c>
      <c r="BB12" s="59">
        <v>4117</v>
      </c>
      <c r="BC12" s="59">
        <v>4117</v>
      </c>
      <c r="BD12" s="59">
        <v>4117</v>
      </c>
      <c r="BE12" s="59">
        <v>4117</v>
      </c>
      <c r="BF12" s="59">
        <v>4117</v>
      </c>
      <c r="BG12" s="59">
        <v>4117</v>
      </c>
      <c r="BH12" s="59">
        <v>4117</v>
      </c>
      <c r="BI12" s="59">
        <v>4117</v>
      </c>
      <c r="BJ12" s="59">
        <v>4117</v>
      </c>
      <c r="BK12" s="59">
        <v>4117</v>
      </c>
      <c r="BL12" s="59">
        <v>4117</v>
      </c>
      <c r="BM12" s="59">
        <v>4117</v>
      </c>
      <c r="BN12" s="59">
        <v>4117</v>
      </c>
      <c r="BO12" s="59">
        <v>4117</v>
      </c>
      <c r="BP12" s="59">
        <v>4117</v>
      </c>
      <c r="BQ12" s="59">
        <v>4117</v>
      </c>
      <c r="BR12" s="59">
        <v>4117</v>
      </c>
      <c r="BS12" s="59">
        <v>4117</v>
      </c>
      <c r="BT12" s="59">
        <v>4117</v>
      </c>
      <c r="BU12" s="59">
        <v>4117</v>
      </c>
      <c r="BV12" s="59">
        <v>4117</v>
      </c>
      <c r="BW12" s="59">
        <v>4117</v>
      </c>
      <c r="BX12" s="59">
        <v>4117</v>
      </c>
      <c r="BY12" s="59">
        <v>4117</v>
      </c>
      <c r="BZ12" s="59" t="s">
        <v>16</v>
      </c>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c r="EQ12" s="59"/>
      <c r="ER12" s="59"/>
      <c r="ES12" s="59"/>
      <c r="ET12" s="59"/>
      <c r="EU12" s="59"/>
      <c r="EV12" s="59"/>
      <c r="EW12" s="59"/>
      <c r="EX12" s="59"/>
      <c r="EY12" s="59"/>
      <c r="EZ12" s="59"/>
      <c r="FA12" s="59"/>
      <c r="FB12" s="59"/>
      <c r="FC12" s="59"/>
      <c r="FD12" s="59"/>
      <c r="FE12" s="59"/>
      <c r="FF12" s="59"/>
      <c r="FG12" s="59"/>
      <c r="FH12" s="59"/>
      <c r="FI12" s="59"/>
      <c r="FJ12" s="59"/>
      <c r="FK12" s="59"/>
      <c r="FL12" s="59"/>
      <c r="FM12" s="59"/>
      <c r="FN12" s="59"/>
      <c r="FO12" s="59"/>
      <c r="FP12" s="59"/>
      <c r="FQ12" s="59"/>
      <c r="FR12" s="59"/>
      <c r="FS12" s="59"/>
      <c r="FT12" s="59"/>
      <c r="FU12" s="59"/>
      <c r="FV12" s="59"/>
      <c r="FW12" s="59"/>
      <c r="FX12" s="59"/>
      <c r="FY12" s="59"/>
      <c r="FZ12" s="59"/>
      <c r="GA12" s="59"/>
      <c r="GB12" s="59"/>
      <c r="GC12" s="59"/>
      <c r="GD12" s="59"/>
      <c r="GE12" s="59"/>
      <c r="GF12" s="59"/>
      <c r="GG12" s="59"/>
      <c r="GH12" s="59"/>
      <c r="GI12" s="59"/>
      <c r="GJ12" s="59"/>
      <c r="GK12" s="59"/>
      <c r="GL12" s="59"/>
      <c r="GM12" s="59"/>
      <c r="GN12" s="59"/>
      <c r="GO12" s="59"/>
      <c r="GP12" s="59"/>
      <c r="GQ12" s="59"/>
      <c r="GR12" s="59"/>
      <c r="GS12" s="59"/>
      <c r="GX12" s="2" t="s">
        <v>270</v>
      </c>
      <c r="GY12" s="19">
        <v>4117</v>
      </c>
      <c r="GZ12" s="32"/>
      <c r="HA12" s="14" t="s">
        <v>13</v>
      </c>
      <c r="HB12" s="15"/>
      <c r="HC12" s="33" t="s">
        <v>271</v>
      </c>
      <c r="HE12" s="14">
        <v>6109</v>
      </c>
    </row>
    <row r="13" spans="1:215">
      <c r="A13" s="17">
        <v>8</v>
      </c>
      <c r="B13" s="59">
        <v>6109</v>
      </c>
      <c r="C13" s="59">
        <v>6109</v>
      </c>
      <c r="D13" s="59">
        <v>6109</v>
      </c>
      <c r="E13" s="59">
        <v>6109</v>
      </c>
      <c r="F13" s="59">
        <v>6109</v>
      </c>
      <c r="G13" s="59">
        <v>6109</v>
      </c>
      <c r="H13" s="59">
        <v>6109</v>
      </c>
      <c r="I13" s="59">
        <v>6109</v>
      </c>
      <c r="J13" s="59">
        <v>6109</v>
      </c>
      <c r="K13" s="59">
        <v>6109</v>
      </c>
      <c r="L13" s="59">
        <v>6109</v>
      </c>
      <c r="M13" s="59">
        <v>6109</v>
      </c>
      <c r="N13" s="59">
        <v>6109</v>
      </c>
      <c r="O13" s="59">
        <v>6109</v>
      </c>
      <c r="P13" s="59">
        <v>6109</v>
      </c>
      <c r="Q13" s="59">
        <v>6109</v>
      </c>
      <c r="R13" s="59">
        <v>6109</v>
      </c>
      <c r="S13" s="59">
        <v>6109</v>
      </c>
      <c r="T13" s="59">
        <v>6109</v>
      </c>
      <c r="U13" s="59">
        <v>6109</v>
      </c>
      <c r="V13" s="59">
        <v>6109</v>
      </c>
      <c r="W13" s="59">
        <v>6109</v>
      </c>
      <c r="X13" s="59">
        <v>6109</v>
      </c>
      <c r="Y13" s="59">
        <v>6109</v>
      </c>
      <c r="Z13" s="59">
        <v>6109</v>
      </c>
      <c r="AA13" s="59">
        <v>6109</v>
      </c>
      <c r="AB13" s="59">
        <v>6109</v>
      </c>
      <c r="AC13" s="59">
        <v>6109</v>
      </c>
      <c r="AD13" s="59">
        <v>6109</v>
      </c>
      <c r="AE13" s="59">
        <v>6109</v>
      </c>
      <c r="AF13" s="59">
        <v>6109</v>
      </c>
      <c r="AG13" s="59">
        <v>6109</v>
      </c>
      <c r="AH13" s="59">
        <v>6109</v>
      </c>
      <c r="AI13" s="59">
        <v>6109</v>
      </c>
      <c r="AJ13" s="59">
        <v>6109</v>
      </c>
      <c r="AK13" s="59">
        <v>6109</v>
      </c>
      <c r="AL13" s="59">
        <v>6109</v>
      </c>
      <c r="AM13" s="59">
        <v>6109</v>
      </c>
      <c r="AN13" s="59">
        <v>6109</v>
      </c>
      <c r="AO13" s="59">
        <v>6109</v>
      </c>
      <c r="AP13" s="59">
        <v>6109</v>
      </c>
      <c r="AQ13" s="59">
        <v>6109</v>
      </c>
      <c r="AR13" s="59">
        <v>6109</v>
      </c>
      <c r="AS13" s="59">
        <v>6109</v>
      </c>
      <c r="AT13" s="59">
        <v>6109</v>
      </c>
      <c r="AU13" s="59">
        <v>6109</v>
      </c>
      <c r="AV13" s="59">
        <v>6109</v>
      </c>
      <c r="AW13" s="59">
        <v>6109</v>
      </c>
      <c r="AX13" s="59">
        <v>6109</v>
      </c>
      <c r="AY13" s="59">
        <v>6109</v>
      </c>
      <c r="AZ13" s="59">
        <v>6109</v>
      </c>
      <c r="BA13" s="59">
        <v>6109</v>
      </c>
      <c r="BB13" s="59">
        <v>6109</v>
      </c>
      <c r="BC13" s="59">
        <v>6109</v>
      </c>
      <c r="BD13" s="59">
        <v>6109</v>
      </c>
      <c r="BE13" s="59">
        <v>6109</v>
      </c>
      <c r="BF13" s="59">
        <v>6109</v>
      </c>
      <c r="BG13" s="59">
        <v>6109</v>
      </c>
      <c r="BH13" s="59">
        <v>6109</v>
      </c>
      <c r="BI13" s="59">
        <v>6109</v>
      </c>
      <c r="BJ13" s="59">
        <v>6109</v>
      </c>
      <c r="BK13" s="59">
        <v>6109</v>
      </c>
      <c r="BL13" s="59">
        <v>6109</v>
      </c>
      <c r="BM13" s="59">
        <v>6109</v>
      </c>
      <c r="BN13" s="59">
        <v>6109</v>
      </c>
      <c r="BO13" s="59">
        <v>6109</v>
      </c>
      <c r="BP13" s="59">
        <v>6109</v>
      </c>
      <c r="BQ13" s="59">
        <v>6109</v>
      </c>
      <c r="BR13" s="59">
        <v>6109</v>
      </c>
      <c r="BS13" s="59">
        <v>6109</v>
      </c>
      <c r="BT13" s="59" t="s">
        <v>16</v>
      </c>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X13" s="2" t="s">
        <v>271</v>
      </c>
      <c r="GY13" s="19" t="s">
        <v>13</v>
      </c>
      <c r="GZ13" s="34"/>
      <c r="HA13" s="14">
        <v>4115</v>
      </c>
      <c r="HB13" s="15"/>
      <c r="HC13" s="35" t="s">
        <v>272</v>
      </c>
      <c r="HE13" s="14">
        <v>4115</v>
      </c>
    </row>
    <row r="14" spans="1:215">
      <c r="A14" s="17">
        <v>9</v>
      </c>
      <c r="B14" s="59">
        <v>6109</v>
      </c>
      <c r="C14" s="59">
        <v>6109</v>
      </c>
      <c r="D14" s="59">
        <v>6109</v>
      </c>
      <c r="E14" s="59">
        <v>6109</v>
      </c>
      <c r="F14" s="59">
        <v>6109</v>
      </c>
      <c r="G14" s="59">
        <v>6109</v>
      </c>
      <c r="H14" s="59">
        <v>6109</v>
      </c>
      <c r="I14" s="59">
        <v>6109</v>
      </c>
      <c r="J14" s="59">
        <v>6109</v>
      </c>
      <c r="K14" s="59">
        <v>6109</v>
      </c>
      <c r="L14" s="59">
        <v>6109</v>
      </c>
      <c r="M14" s="59">
        <v>6109</v>
      </c>
      <c r="N14" s="59">
        <v>6109</v>
      </c>
      <c r="O14" s="59">
        <v>6109</v>
      </c>
      <c r="P14" s="59">
        <v>6109</v>
      </c>
      <c r="Q14" s="59">
        <v>6109</v>
      </c>
      <c r="R14" s="59">
        <v>6109</v>
      </c>
      <c r="S14" s="59">
        <v>6109</v>
      </c>
      <c r="T14" s="59">
        <v>6109</v>
      </c>
      <c r="U14" s="59">
        <v>6109</v>
      </c>
      <c r="V14" s="59">
        <v>6109</v>
      </c>
      <c r="W14" s="59">
        <v>6109</v>
      </c>
      <c r="X14" s="59">
        <v>6109</v>
      </c>
      <c r="Y14" s="59">
        <v>6109</v>
      </c>
      <c r="Z14" s="59">
        <v>6109</v>
      </c>
      <c r="AA14" s="59">
        <v>6109</v>
      </c>
      <c r="AB14" s="59">
        <v>6109</v>
      </c>
      <c r="AC14" s="59">
        <v>6109</v>
      </c>
      <c r="AD14" s="59">
        <v>6109</v>
      </c>
      <c r="AE14" s="59">
        <v>6109</v>
      </c>
      <c r="AF14" s="59">
        <v>6109</v>
      </c>
      <c r="AG14" s="59">
        <v>6109</v>
      </c>
      <c r="AH14" s="59">
        <v>6109</v>
      </c>
      <c r="AI14" s="59">
        <v>6109</v>
      </c>
      <c r="AJ14" s="59">
        <v>6109</v>
      </c>
      <c r="AK14" s="59">
        <v>6109</v>
      </c>
      <c r="AL14" s="59">
        <v>6109</v>
      </c>
      <c r="AM14" s="59">
        <v>6109</v>
      </c>
      <c r="AN14" s="59">
        <v>6109</v>
      </c>
      <c r="AO14" s="59">
        <v>6109</v>
      </c>
      <c r="AP14" s="59">
        <v>6109</v>
      </c>
      <c r="AQ14" s="59">
        <v>6109</v>
      </c>
      <c r="AR14" s="59">
        <v>6109</v>
      </c>
      <c r="AS14" s="59">
        <v>6109</v>
      </c>
      <c r="AT14" s="59">
        <v>6109</v>
      </c>
      <c r="AU14" s="59">
        <v>6109</v>
      </c>
      <c r="AV14" s="59">
        <v>6109</v>
      </c>
      <c r="AW14" s="59">
        <v>6109</v>
      </c>
      <c r="AX14" s="59">
        <v>6109</v>
      </c>
      <c r="AY14" s="59">
        <v>6109</v>
      </c>
      <c r="AZ14" s="59">
        <v>6109</v>
      </c>
      <c r="BA14" s="59">
        <v>6109</v>
      </c>
      <c r="BB14" s="59">
        <v>6109</v>
      </c>
      <c r="BC14" s="59">
        <v>6109</v>
      </c>
      <c r="BD14" s="59">
        <v>6109</v>
      </c>
      <c r="BE14" s="59">
        <v>6109</v>
      </c>
      <c r="BF14" s="59">
        <v>6109</v>
      </c>
      <c r="BG14" s="59">
        <v>6109</v>
      </c>
      <c r="BH14" s="59">
        <v>6109</v>
      </c>
      <c r="BI14" s="59">
        <v>6109</v>
      </c>
      <c r="BJ14" s="59">
        <v>6109</v>
      </c>
      <c r="BK14" s="59">
        <v>6109</v>
      </c>
      <c r="BL14" s="59">
        <v>6109</v>
      </c>
      <c r="BM14" s="59">
        <v>6109</v>
      </c>
      <c r="BN14" s="59">
        <v>6109</v>
      </c>
      <c r="BO14" s="59">
        <v>6109</v>
      </c>
      <c r="BP14" s="59">
        <v>6109</v>
      </c>
      <c r="BQ14" s="59">
        <v>6109</v>
      </c>
      <c r="BR14" s="59">
        <v>6109</v>
      </c>
      <c r="BS14" s="59">
        <v>6109</v>
      </c>
      <c r="BT14" s="59" t="s">
        <v>16</v>
      </c>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c r="EQ14" s="59"/>
      <c r="ER14" s="59"/>
      <c r="ES14" s="59"/>
      <c r="ET14" s="59"/>
      <c r="EU14" s="59"/>
      <c r="EV14" s="59"/>
      <c r="EW14" s="59"/>
      <c r="EX14" s="59"/>
      <c r="EY14" s="59"/>
      <c r="EZ14" s="59"/>
      <c r="FA14" s="59"/>
      <c r="FB14" s="59"/>
      <c r="FC14" s="59"/>
      <c r="FD14" s="59"/>
      <c r="FE14" s="59"/>
      <c r="FF14" s="59"/>
      <c r="FG14" s="59"/>
      <c r="FH14" s="59"/>
      <c r="FI14" s="59"/>
      <c r="FJ14" s="59"/>
      <c r="FK14" s="59"/>
      <c r="FL14" s="59"/>
      <c r="FM14" s="59"/>
      <c r="FN14" s="59"/>
      <c r="FO14" s="59"/>
      <c r="FP14" s="59"/>
      <c r="FQ14" s="59"/>
      <c r="FR14" s="59"/>
      <c r="FS14" s="59"/>
      <c r="FT14" s="59"/>
      <c r="FU14" s="59"/>
      <c r="FV14" s="59"/>
      <c r="FW14" s="59"/>
      <c r="FX14" s="59"/>
      <c r="FY14" s="59"/>
      <c r="FZ14" s="59"/>
      <c r="GA14" s="59"/>
      <c r="GB14" s="59"/>
      <c r="GC14" s="59"/>
      <c r="GD14" s="59"/>
      <c r="GE14" s="59"/>
      <c r="GF14" s="59"/>
      <c r="GG14" s="59"/>
      <c r="GH14" s="59"/>
      <c r="GI14" s="59"/>
      <c r="GJ14" s="59"/>
      <c r="GK14" s="59"/>
      <c r="GL14" s="59"/>
      <c r="GM14" s="59"/>
      <c r="GN14" s="59"/>
      <c r="GO14" s="59"/>
      <c r="GP14" s="59"/>
      <c r="GQ14" s="59"/>
      <c r="GR14" s="59"/>
      <c r="GS14" s="59"/>
      <c r="GX14" s="2" t="s">
        <v>272</v>
      </c>
      <c r="GY14" s="19">
        <v>4115</v>
      </c>
      <c r="GZ14" s="36"/>
      <c r="HA14" s="14" t="s">
        <v>14</v>
      </c>
      <c r="HB14" s="15"/>
      <c r="HC14" s="37" t="s">
        <v>273</v>
      </c>
      <c r="HE14" s="14" t="s">
        <v>150</v>
      </c>
    </row>
    <row r="15" spans="1:215">
      <c r="A15" s="17">
        <v>10</v>
      </c>
      <c r="B15" s="59">
        <v>6109</v>
      </c>
      <c r="C15" s="59">
        <v>6109</v>
      </c>
      <c r="D15" s="59">
        <v>6109</v>
      </c>
      <c r="E15" s="59">
        <v>6109</v>
      </c>
      <c r="F15" s="59">
        <v>6109</v>
      </c>
      <c r="G15" s="59">
        <v>6109</v>
      </c>
      <c r="H15" s="59">
        <v>6109</v>
      </c>
      <c r="I15" s="59">
        <v>6109</v>
      </c>
      <c r="J15" s="59">
        <v>6109</v>
      </c>
      <c r="K15" s="59">
        <v>6109</v>
      </c>
      <c r="L15" s="59">
        <v>6109</v>
      </c>
      <c r="M15" s="59">
        <v>6109</v>
      </c>
      <c r="N15" s="59">
        <v>6109</v>
      </c>
      <c r="O15" s="59">
        <v>6109</v>
      </c>
      <c r="P15" s="59">
        <v>6109</v>
      </c>
      <c r="Q15" s="59">
        <v>6109</v>
      </c>
      <c r="R15" s="59">
        <v>6109</v>
      </c>
      <c r="S15" s="59">
        <v>6109</v>
      </c>
      <c r="T15" s="59">
        <v>6109</v>
      </c>
      <c r="U15" s="59">
        <v>6109</v>
      </c>
      <c r="V15" s="59">
        <v>6109</v>
      </c>
      <c r="W15" s="59">
        <v>6109</v>
      </c>
      <c r="X15" s="59">
        <v>6109</v>
      </c>
      <c r="Y15" s="59">
        <v>6109</v>
      </c>
      <c r="Z15" s="59">
        <v>6109</v>
      </c>
      <c r="AA15" s="59">
        <v>6109</v>
      </c>
      <c r="AB15" s="59">
        <v>6109</v>
      </c>
      <c r="AC15" s="59">
        <v>6109</v>
      </c>
      <c r="AD15" s="59">
        <v>6109</v>
      </c>
      <c r="AE15" s="59">
        <v>6109</v>
      </c>
      <c r="AF15" s="59">
        <v>6109</v>
      </c>
      <c r="AG15" s="59">
        <v>6109</v>
      </c>
      <c r="AH15" s="59">
        <v>6109</v>
      </c>
      <c r="AI15" s="59">
        <v>6109</v>
      </c>
      <c r="AJ15" s="59">
        <v>6109</v>
      </c>
      <c r="AK15" s="59">
        <v>6109</v>
      </c>
      <c r="AL15" s="59">
        <v>6109</v>
      </c>
      <c r="AM15" s="59">
        <v>6109</v>
      </c>
      <c r="AN15" s="59">
        <v>6109</v>
      </c>
      <c r="AO15" s="59">
        <v>6109</v>
      </c>
      <c r="AP15" s="59">
        <v>6109</v>
      </c>
      <c r="AQ15" s="59">
        <v>6109</v>
      </c>
      <c r="AR15" s="59">
        <v>6109</v>
      </c>
      <c r="AS15" s="59">
        <v>6109</v>
      </c>
      <c r="AT15" s="59">
        <v>6109</v>
      </c>
      <c r="AU15" s="59">
        <v>6109</v>
      </c>
      <c r="AV15" s="59">
        <v>6109</v>
      </c>
      <c r="AW15" s="59">
        <v>6109</v>
      </c>
      <c r="AX15" s="59">
        <v>6109</v>
      </c>
      <c r="AY15" s="59">
        <v>6109</v>
      </c>
      <c r="AZ15" s="59">
        <v>6109</v>
      </c>
      <c r="BA15" s="59">
        <v>6109</v>
      </c>
      <c r="BB15" s="59">
        <v>6109</v>
      </c>
      <c r="BC15" s="59">
        <v>6109</v>
      </c>
      <c r="BD15" s="59">
        <v>6109</v>
      </c>
      <c r="BE15" s="59">
        <v>6109</v>
      </c>
      <c r="BF15" s="59">
        <v>6109</v>
      </c>
      <c r="BG15" s="59">
        <v>6109</v>
      </c>
      <c r="BH15" s="59">
        <v>6109</v>
      </c>
      <c r="BI15" s="59">
        <v>6109</v>
      </c>
      <c r="BJ15" s="59">
        <v>6109</v>
      </c>
      <c r="BK15" s="59">
        <v>6109</v>
      </c>
      <c r="BL15" s="59">
        <v>6109</v>
      </c>
      <c r="BM15" s="59">
        <v>6109</v>
      </c>
      <c r="BN15" s="59">
        <v>6109</v>
      </c>
      <c r="BO15" s="59">
        <v>6109</v>
      </c>
      <c r="BP15" s="59">
        <v>6109</v>
      </c>
      <c r="BQ15" s="59">
        <v>6109</v>
      </c>
      <c r="BR15" s="59">
        <v>6109</v>
      </c>
      <c r="BS15" s="59">
        <v>6109</v>
      </c>
      <c r="BT15" s="59" t="s">
        <v>16</v>
      </c>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c r="CX15" s="59"/>
      <c r="CY15" s="59"/>
      <c r="CZ15" s="59"/>
      <c r="DA15" s="59"/>
      <c r="DB15" s="59"/>
      <c r="DC15" s="59"/>
      <c r="DD15" s="59"/>
      <c r="DE15" s="59"/>
      <c r="DF15" s="59"/>
      <c r="DG15" s="59"/>
      <c r="DH15" s="59"/>
      <c r="DI15" s="59"/>
      <c r="DJ15" s="59"/>
      <c r="DK15" s="59"/>
      <c r="DL15" s="59"/>
      <c r="DM15" s="59"/>
      <c r="DN15" s="59"/>
      <c r="DO15" s="59"/>
      <c r="DP15" s="59"/>
      <c r="DQ15" s="59"/>
      <c r="DR15" s="59"/>
      <c r="DS15" s="59"/>
      <c r="DT15" s="59"/>
      <c r="DU15" s="59"/>
      <c r="DV15" s="59"/>
      <c r="DW15" s="59"/>
      <c r="DX15" s="59"/>
      <c r="DY15" s="59"/>
      <c r="DZ15" s="59"/>
      <c r="EA15" s="59"/>
      <c r="EB15" s="59"/>
      <c r="EC15" s="59"/>
      <c r="ED15" s="59"/>
      <c r="EE15" s="59"/>
      <c r="EF15" s="59"/>
      <c r="EG15" s="59"/>
      <c r="EH15" s="59"/>
      <c r="EI15" s="59"/>
      <c r="EJ15" s="59"/>
      <c r="EK15" s="59"/>
      <c r="EL15" s="59"/>
      <c r="EM15" s="59"/>
      <c r="EN15" s="59"/>
      <c r="EO15" s="59"/>
      <c r="EP15" s="59"/>
      <c r="EQ15" s="59"/>
      <c r="ER15" s="59"/>
      <c r="ES15" s="59"/>
      <c r="ET15" s="59"/>
      <c r="EU15" s="59"/>
      <c r="EV15" s="59"/>
      <c r="EW15" s="59"/>
      <c r="EX15" s="59"/>
      <c r="EY15" s="59"/>
      <c r="EZ15" s="59"/>
      <c r="FA15" s="59"/>
      <c r="FB15" s="59"/>
      <c r="FC15" s="59"/>
      <c r="FD15" s="59"/>
      <c r="FE15" s="59"/>
      <c r="FF15" s="59"/>
      <c r="FG15" s="59"/>
      <c r="FH15" s="59"/>
      <c r="FI15" s="59"/>
      <c r="FJ15" s="59"/>
      <c r="FK15" s="59"/>
      <c r="FL15" s="59"/>
      <c r="FM15" s="59"/>
      <c r="FN15" s="59"/>
      <c r="FO15" s="59"/>
      <c r="FP15" s="59"/>
      <c r="FQ15" s="59"/>
      <c r="FR15" s="59"/>
      <c r="FS15" s="59"/>
      <c r="FT15" s="59"/>
      <c r="FU15" s="59"/>
      <c r="FV15" s="59"/>
      <c r="FW15" s="59"/>
      <c r="FX15" s="59"/>
      <c r="FY15" s="59"/>
      <c r="FZ15" s="59"/>
      <c r="GA15" s="59"/>
      <c r="GB15" s="59"/>
      <c r="GC15" s="59"/>
      <c r="GD15" s="59"/>
      <c r="GE15" s="59"/>
      <c r="GF15" s="59"/>
      <c r="GG15" s="59"/>
      <c r="GH15" s="59"/>
      <c r="GI15" s="59"/>
      <c r="GJ15" s="59"/>
      <c r="GK15" s="59"/>
      <c r="GL15" s="59"/>
      <c r="GM15" s="59"/>
      <c r="GN15" s="59"/>
      <c r="GO15" s="59"/>
      <c r="GP15" s="59"/>
      <c r="GQ15" s="59"/>
      <c r="GR15" s="59"/>
      <c r="GS15" s="59"/>
      <c r="GX15" s="2" t="s">
        <v>273</v>
      </c>
      <c r="GY15" s="19" t="s">
        <v>14</v>
      </c>
      <c r="GZ15" s="38"/>
      <c r="HA15" s="14">
        <v>6135</v>
      </c>
      <c r="HB15" s="15"/>
      <c r="HC15" s="39" t="s">
        <v>274</v>
      </c>
      <c r="HE15" s="14">
        <v>4117</v>
      </c>
    </row>
    <row r="16" spans="1:215">
      <c r="A16" s="17">
        <v>11</v>
      </c>
      <c r="B16" s="59">
        <v>6108</v>
      </c>
      <c r="C16" s="59">
        <v>6108</v>
      </c>
      <c r="D16" s="59">
        <v>6108</v>
      </c>
      <c r="E16" s="59">
        <v>6108</v>
      </c>
      <c r="F16" s="59">
        <v>6108</v>
      </c>
      <c r="G16" s="59">
        <v>6108</v>
      </c>
      <c r="H16" s="59">
        <v>6108</v>
      </c>
      <c r="I16" s="59">
        <v>6108</v>
      </c>
      <c r="J16" s="59">
        <v>6108</v>
      </c>
      <c r="K16" s="59">
        <v>6108</v>
      </c>
      <c r="L16" s="59">
        <v>6108</v>
      </c>
      <c r="M16" s="59">
        <v>6108</v>
      </c>
      <c r="N16" s="59">
        <v>6108</v>
      </c>
      <c r="O16" s="59">
        <v>6108</v>
      </c>
      <c r="P16" s="59">
        <v>6108</v>
      </c>
      <c r="Q16" s="59">
        <v>6108</v>
      </c>
      <c r="R16" s="59">
        <v>6108</v>
      </c>
      <c r="S16" s="59">
        <v>6108</v>
      </c>
      <c r="T16" s="59">
        <v>6108</v>
      </c>
      <c r="U16" s="59">
        <v>6108</v>
      </c>
      <c r="V16" s="59">
        <v>6108</v>
      </c>
      <c r="W16" s="59">
        <v>6108</v>
      </c>
      <c r="X16" s="59">
        <v>6108</v>
      </c>
      <c r="Y16" s="59">
        <v>6108</v>
      </c>
      <c r="Z16" s="59">
        <v>6108</v>
      </c>
      <c r="AA16" s="59">
        <v>6108</v>
      </c>
      <c r="AB16" s="59">
        <v>6108</v>
      </c>
      <c r="AC16" s="59">
        <v>6108</v>
      </c>
      <c r="AD16" s="59">
        <v>6108</v>
      </c>
      <c r="AE16" s="59">
        <v>6108</v>
      </c>
      <c r="AF16" s="59">
        <v>6108</v>
      </c>
      <c r="AG16" s="59">
        <v>6108</v>
      </c>
      <c r="AH16" s="59">
        <v>6108</v>
      </c>
      <c r="AI16" s="59">
        <v>6108</v>
      </c>
      <c r="AJ16" s="59">
        <v>6108</v>
      </c>
      <c r="AK16" s="59">
        <v>6108</v>
      </c>
      <c r="AL16" s="59">
        <v>6108</v>
      </c>
      <c r="AM16" s="59">
        <v>6108</v>
      </c>
      <c r="AN16" s="59">
        <v>6108</v>
      </c>
      <c r="AO16" s="59">
        <v>6108</v>
      </c>
      <c r="AP16" s="59">
        <v>6108</v>
      </c>
      <c r="AQ16" s="59">
        <v>6108</v>
      </c>
      <c r="AR16" s="59">
        <v>6108</v>
      </c>
      <c r="AS16" s="59">
        <v>6108</v>
      </c>
      <c r="AT16" s="59">
        <v>6108</v>
      </c>
      <c r="AU16" s="59">
        <v>4117</v>
      </c>
      <c r="AV16" s="59">
        <v>4117</v>
      </c>
      <c r="AW16" s="59">
        <v>4117</v>
      </c>
      <c r="AX16" s="59">
        <v>4117</v>
      </c>
      <c r="AY16" s="59">
        <v>4117</v>
      </c>
      <c r="AZ16" s="59">
        <v>4117</v>
      </c>
      <c r="BA16" s="59">
        <v>4117</v>
      </c>
      <c r="BB16" s="59">
        <v>4117</v>
      </c>
      <c r="BC16" s="59">
        <v>4117</v>
      </c>
      <c r="BD16" s="59">
        <v>4117</v>
      </c>
      <c r="BE16" s="59">
        <v>4117</v>
      </c>
      <c r="BF16" s="59">
        <v>4117</v>
      </c>
      <c r="BG16" s="59">
        <v>4117</v>
      </c>
      <c r="BH16" s="59">
        <v>4117</v>
      </c>
      <c r="BI16" s="59">
        <v>4117</v>
      </c>
      <c r="BJ16" s="59">
        <v>4117</v>
      </c>
      <c r="BK16" s="59">
        <v>4117</v>
      </c>
      <c r="BL16" s="59">
        <v>4117</v>
      </c>
      <c r="BM16" s="59">
        <v>4117</v>
      </c>
      <c r="BN16" s="59">
        <v>4117</v>
      </c>
      <c r="BO16" s="59">
        <v>4117</v>
      </c>
      <c r="BP16" s="59">
        <v>4117</v>
      </c>
      <c r="BQ16" s="59">
        <v>4117</v>
      </c>
      <c r="BR16" s="59">
        <v>4117</v>
      </c>
      <c r="BS16" s="59">
        <v>4117</v>
      </c>
      <c r="BT16" s="59">
        <v>4117</v>
      </c>
      <c r="BU16" s="59">
        <v>4117</v>
      </c>
      <c r="BV16" s="59">
        <v>4117</v>
      </c>
      <c r="BW16" s="59">
        <v>4117</v>
      </c>
      <c r="BX16" s="59">
        <v>4117</v>
      </c>
      <c r="BY16" s="59">
        <v>4117</v>
      </c>
      <c r="BZ16" s="59" t="s">
        <v>16</v>
      </c>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59"/>
      <c r="DD16" s="59"/>
      <c r="DE16" s="59"/>
      <c r="DF16" s="59"/>
      <c r="DG16" s="59"/>
      <c r="DH16" s="59"/>
      <c r="DI16" s="59"/>
      <c r="DJ16" s="59"/>
      <c r="DK16" s="59"/>
      <c r="DL16" s="59"/>
      <c r="DM16" s="59"/>
      <c r="DN16" s="59"/>
      <c r="DO16" s="59"/>
      <c r="DP16" s="59"/>
      <c r="DQ16" s="59"/>
      <c r="DR16" s="59"/>
      <c r="DS16" s="59"/>
      <c r="DT16" s="59"/>
      <c r="DU16" s="59"/>
      <c r="DV16" s="59"/>
      <c r="DW16" s="59"/>
      <c r="DX16" s="59"/>
      <c r="DY16" s="59"/>
      <c r="DZ16" s="59"/>
      <c r="EA16" s="59"/>
      <c r="EB16" s="59"/>
      <c r="EC16" s="59"/>
      <c r="ED16" s="59"/>
      <c r="EE16" s="59"/>
      <c r="EF16" s="59"/>
      <c r="EG16" s="59"/>
      <c r="EH16" s="59"/>
      <c r="EI16" s="59"/>
      <c r="EJ16" s="59"/>
      <c r="EK16" s="59"/>
      <c r="EL16" s="59"/>
      <c r="EM16" s="59"/>
      <c r="EN16" s="59"/>
      <c r="EO16" s="59"/>
      <c r="EP16" s="59"/>
      <c r="EQ16" s="59"/>
      <c r="ER16" s="59"/>
      <c r="ES16" s="59"/>
      <c r="ET16" s="59"/>
      <c r="EU16" s="59"/>
      <c r="EV16" s="59"/>
      <c r="EW16" s="59"/>
      <c r="EX16" s="59"/>
      <c r="EY16" s="59"/>
      <c r="EZ16" s="59"/>
      <c r="FA16" s="59"/>
      <c r="FB16" s="59"/>
      <c r="FC16" s="59"/>
      <c r="FD16" s="59"/>
      <c r="FE16" s="59"/>
      <c r="FF16" s="59"/>
      <c r="FG16" s="59"/>
      <c r="FH16" s="59"/>
      <c r="FI16" s="59"/>
      <c r="FJ16" s="59"/>
      <c r="FK16" s="59"/>
      <c r="FL16" s="59"/>
      <c r="FM16" s="59"/>
      <c r="FN16" s="59"/>
      <c r="FO16" s="59"/>
      <c r="FP16" s="59"/>
      <c r="FQ16" s="59"/>
      <c r="FR16" s="59"/>
      <c r="FS16" s="59"/>
      <c r="FT16" s="59"/>
      <c r="FU16" s="59"/>
      <c r="FV16" s="59"/>
      <c r="FW16" s="59"/>
      <c r="FX16" s="59"/>
      <c r="FY16" s="59"/>
      <c r="FZ16" s="59"/>
      <c r="GA16" s="59"/>
      <c r="GB16" s="59"/>
      <c r="GC16" s="59"/>
      <c r="GD16" s="59"/>
      <c r="GE16" s="59"/>
      <c r="GF16" s="59"/>
      <c r="GG16" s="59"/>
      <c r="GH16" s="59"/>
      <c r="GI16" s="59"/>
      <c r="GJ16" s="59"/>
      <c r="GK16" s="59"/>
      <c r="GL16" s="59"/>
      <c r="GM16" s="59"/>
      <c r="GN16" s="59"/>
      <c r="GO16" s="59"/>
      <c r="GP16" s="59"/>
      <c r="GQ16" s="59"/>
      <c r="GR16" s="59"/>
      <c r="GS16" s="59"/>
      <c r="GX16" s="2" t="s">
        <v>274</v>
      </c>
      <c r="GY16" s="19">
        <v>6135</v>
      </c>
      <c r="GZ16" s="40"/>
      <c r="HA16" s="14" t="s">
        <v>15</v>
      </c>
      <c r="HB16" s="15"/>
      <c r="HC16" s="41" t="s">
        <v>275</v>
      </c>
      <c r="HE16" s="14" t="s">
        <v>151</v>
      </c>
    </row>
    <row r="17" spans="1:213">
      <c r="A17" s="17">
        <v>12</v>
      </c>
      <c r="B17" s="59">
        <v>6108</v>
      </c>
      <c r="C17" s="59">
        <v>6108</v>
      </c>
      <c r="D17" s="59">
        <v>6108</v>
      </c>
      <c r="E17" s="59">
        <v>6108</v>
      </c>
      <c r="F17" s="59">
        <v>6108</v>
      </c>
      <c r="G17" s="59">
        <v>6108</v>
      </c>
      <c r="H17" s="59">
        <v>6108</v>
      </c>
      <c r="I17" s="59">
        <v>6108</v>
      </c>
      <c r="J17" s="59">
        <v>6108</v>
      </c>
      <c r="K17" s="59">
        <v>6108</v>
      </c>
      <c r="L17" s="59">
        <v>6108</v>
      </c>
      <c r="M17" s="59">
        <v>6108</v>
      </c>
      <c r="N17" s="59">
        <v>6108</v>
      </c>
      <c r="O17" s="59">
        <v>6108</v>
      </c>
      <c r="P17" s="59">
        <v>6108</v>
      </c>
      <c r="Q17" s="59">
        <v>6108</v>
      </c>
      <c r="R17" s="59">
        <v>6108</v>
      </c>
      <c r="S17" s="59">
        <v>6108</v>
      </c>
      <c r="T17" s="59">
        <v>6108</v>
      </c>
      <c r="U17" s="59">
        <v>6108</v>
      </c>
      <c r="V17" s="59">
        <v>6108</v>
      </c>
      <c r="W17" s="59">
        <v>6108</v>
      </c>
      <c r="X17" s="59">
        <v>6108</v>
      </c>
      <c r="Y17" s="59">
        <v>6108</v>
      </c>
      <c r="Z17" s="59">
        <v>6108</v>
      </c>
      <c r="AA17" s="59">
        <v>6108</v>
      </c>
      <c r="AB17" s="59">
        <v>6108</v>
      </c>
      <c r="AC17" s="59">
        <v>6108</v>
      </c>
      <c r="AD17" s="59">
        <v>6108</v>
      </c>
      <c r="AE17" s="59">
        <v>6108</v>
      </c>
      <c r="AF17" s="59">
        <v>6108</v>
      </c>
      <c r="AG17" s="59">
        <v>6108</v>
      </c>
      <c r="AH17" s="59">
        <v>6108</v>
      </c>
      <c r="AI17" s="59">
        <v>6108</v>
      </c>
      <c r="AJ17" s="59">
        <v>6108</v>
      </c>
      <c r="AK17" s="59">
        <v>6108</v>
      </c>
      <c r="AL17" s="59">
        <v>6108</v>
      </c>
      <c r="AM17" s="59">
        <v>6108</v>
      </c>
      <c r="AN17" s="59">
        <v>6108</v>
      </c>
      <c r="AO17" s="59">
        <v>6108</v>
      </c>
      <c r="AP17" s="59">
        <v>6108</v>
      </c>
      <c r="AQ17" s="59">
        <v>6108</v>
      </c>
      <c r="AR17" s="59">
        <v>6108</v>
      </c>
      <c r="AS17" s="59">
        <v>6108</v>
      </c>
      <c r="AT17" s="59">
        <v>6108</v>
      </c>
      <c r="AU17" s="59">
        <v>4117</v>
      </c>
      <c r="AV17" s="59">
        <v>4117</v>
      </c>
      <c r="AW17" s="59">
        <v>4117</v>
      </c>
      <c r="AX17" s="59">
        <v>4117</v>
      </c>
      <c r="AY17" s="59">
        <v>4117</v>
      </c>
      <c r="AZ17" s="59">
        <v>4117</v>
      </c>
      <c r="BA17" s="59">
        <v>4117</v>
      </c>
      <c r="BB17" s="59">
        <v>4117</v>
      </c>
      <c r="BC17" s="59">
        <v>4117</v>
      </c>
      <c r="BD17" s="59">
        <v>4117</v>
      </c>
      <c r="BE17" s="59">
        <v>4117</v>
      </c>
      <c r="BF17" s="59">
        <v>4117</v>
      </c>
      <c r="BG17" s="59">
        <v>4117</v>
      </c>
      <c r="BH17" s="59">
        <v>4117</v>
      </c>
      <c r="BI17" s="59">
        <v>4117</v>
      </c>
      <c r="BJ17" s="59">
        <v>4117</v>
      </c>
      <c r="BK17" s="59">
        <v>4117</v>
      </c>
      <c r="BL17" s="59">
        <v>4117</v>
      </c>
      <c r="BM17" s="59">
        <v>4117</v>
      </c>
      <c r="BN17" s="59">
        <v>4117</v>
      </c>
      <c r="BO17" s="59">
        <v>4117</v>
      </c>
      <c r="BP17" s="59">
        <v>4117</v>
      </c>
      <c r="BQ17" s="59">
        <v>4117</v>
      </c>
      <c r="BR17" s="59">
        <v>4117</v>
      </c>
      <c r="BS17" s="59">
        <v>4117</v>
      </c>
      <c r="BT17" s="59">
        <v>4117</v>
      </c>
      <c r="BU17" s="59">
        <v>4117</v>
      </c>
      <c r="BV17" s="59">
        <v>4117</v>
      </c>
      <c r="BW17" s="59">
        <v>4117</v>
      </c>
      <c r="BX17" s="59">
        <v>4117</v>
      </c>
      <c r="BY17" s="59">
        <v>4117</v>
      </c>
      <c r="BZ17" s="59" t="s">
        <v>16</v>
      </c>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59"/>
      <c r="DB17" s="59"/>
      <c r="DC17" s="59"/>
      <c r="DD17" s="59"/>
      <c r="DE17" s="59"/>
      <c r="DF17" s="59"/>
      <c r="DG17" s="59"/>
      <c r="DH17" s="59"/>
      <c r="DI17" s="59"/>
      <c r="DJ17" s="59"/>
      <c r="DK17" s="59"/>
      <c r="DL17" s="59"/>
      <c r="DM17" s="59"/>
      <c r="DN17" s="59"/>
      <c r="DO17" s="59"/>
      <c r="DP17" s="59"/>
      <c r="DQ17" s="59"/>
      <c r="DR17" s="59"/>
      <c r="DS17" s="59"/>
      <c r="DT17" s="59"/>
      <c r="DU17" s="59"/>
      <c r="DV17" s="59"/>
      <c r="DW17" s="59"/>
      <c r="DX17" s="59"/>
      <c r="DY17" s="59"/>
      <c r="DZ17" s="59"/>
      <c r="EA17" s="59"/>
      <c r="EB17" s="59"/>
      <c r="EC17" s="59"/>
      <c r="ED17" s="59"/>
      <c r="EE17" s="59"/>
      <c r="EF17" s="59"/>
      <c r="EG17" s="59"/>
      <c r="EH17" s="59"/>
      <c r="EI17" s="59"/>
      <c r="EJ17" s="59"/>
      <c r="EK17" s="59"/>
      <c r="EL17" s="59"/>
      <c r="EM17" s="59"/>
      <c r="EN17" s="59"/>
      <c r="EO17" s="59"/>
      <c r="EP17" s="59"/>
      <c r="EQ17" s="59"/>
      <c r="ER17" s="59"/>
      <c r="ES17" s="59"/>
      <c r="ET17" s="59"/>
      <c r="EU17" s="59"/>
      <c r="EV17" s="59"/>
      <c r="EW17" s="59"/>
      <c r="EX17" s="59"/>
      <c r="EY17" s="59"/>
      <c r="EZ17" s="59"/>
      <c r="FA17" s="59"/>
      <c r="FB17" s="59"/>
      <c r="FC17" s="59"/>
      <c r="FD17" s="59"/>
      <c r="FE17" s="59"/>
      <c r="FF17" s="59"/>
      <c r="FG17" s="59"/>
      <c r="FH17" s="59"/>
      <c r="FI17" s="59"/>
      <c r="FJ17" s="59"/>
      <c r="FK17" s="59"/>
      <c r="FL17" s="59"/>
      <c r="FM17" s="59"/>
      <c r="FN17" s="59"/>
      <c r="FO17" s="59"/>
      <c r="FP17" s="59"/>
      <c r="FQ17" s="59"/>
      <c r="FR17" s="59"/>
      <c r="FS17" s="59"/>
      <c r="FT17" s="59"/>
      <c r="FU17" s="59"/>
      <c r="FV17" s="59"/>
      <c r="FW17" s="59"/>
      <c r="FX17" s="59"/>
      <c r="FY17" s="59"/>
      <c r="FZ17" s="59"/>
      <c r="GA17" s="59"/>
      <c r="GB17" s="59"/>
      <c r="GC17" s="59"/>
      <c r="GD17" s="59"/>
      <c r="GE17" s="59"/>
      <c r="GF17" s="59"/>
      <c r="GG17" s="59"/>
      <c r="GH17" s="59"/>
      <c r="GI17" s="59"/>
      <c r="GJ17" s="59"/>
      <c r="GK17" s="59"/>
      <c r="GL17" s="59"/>
      <c r="GM17" s="59"/>
      <c r="GN17" s="59"/>
      <c r="GO17" s="59"/>
      <c r="GP17" s="59"/>
      <c r="GQ17" s="59"/>
      <c r="GR17" s="59"/>
      <c r="GS17" s="59"/>
      <c r="GX17" s="2" t="s">
        <v>275</v>
      </c>
      <c r="GY17" s="19" t="s">
        <v>15</v>
      </c>
      <c r="GZ17" s="42"/>
      <c r="HA17" s="14" t="s">
        <v>16</v>
      </c>
      <c r="HB17" s="15"/>
      <c r="HC17" s="43" t="s">
        <v>276</v>
      </c>
      <c r="HE17" s="14" t="s">
        <v>152</v>
      </c>
    </row>
    <row r="18" spans="1:213">
      <c r="A18" s="17">
        <v>13</v>
      </c>
      <c r="B18" s="59" t="s">
        <v>14</v>
      </c>
      <c r="C18" s="59" t="s">
        <v>14</v>
      </c>
      <c r="D18" s="59" t="s">
        <v>14</v>
      </c>
      <c r="E18" s="59" t="s">
        <v>14</v>
      </c>
      <c r="F18" s="59" t="s">
        <v>14</v>
      </c>
      <c r="G18" s="59" t="s">
        <v>14</v>
      </c>
      <c r="H18" s="59" t="s">
        <v>14</v>
      </c>
      <c r="I18" s="59" t="s">
        <v>14</v>
      </c>
      <c r="J18" s="59" t="s">
        <v>14</v>
      </c>
      <c r="K18" s="59" t="s">
        <v>14</v>
      </c>
      <c r="L18" s="59" t="s">
        <v>14</v>
      </c>
      <c r="M18" s="59" t="s">
        <v>14</v>
      </c>
      <c r="N18" s="59" t="s">
        <v>14</v>
      </c>
      <c r="O18" s="59" t="s">
        <v>14</v>
      </c>
      <c r="P18" s="59" t="s">
        <v>14</v>
      </c>
      <c r="Q18" s="59" t="s">
        <v>14</v>
      </c>
      <c r="R18" s="59" t="s">
        <v>14</v>
      </c>
      <c r="S18" s="59" t="s">
        <v>14</v>
      </c>
      <c r="T18" s="59" t="s">
        <v>14</v>
      </c>
      <c r="U18" s="59" t="s">
        <v>14</v>
      </c>
      <c r="V18" s="59" t="s">
        <v>14</v>
      </c>
      <c r="W18" s="59" t="s">
        <v>14</v>
      </c>
      <c r="X18" s="59" t="s">
        <v>14</v>
      </c>
      <c r="Y18" s="59" t="s">
        <v>14</v>
      </c>
      <c r="Z18" s="59" t="s">
        <v>14</v>
      </c>
      <c r="AA18" s="59" t="s">
        <v>14</v>
      </c>
      <c r="AB18" s="59" t="s">
        <v>14</v>
      </c>
      <c r="AC18" s="59" t="s">
        <v>14</v>
      </c>
      <c r="AD18" s="59" t="s">
        <v>14</v>
      </c>
      <c r="AE18" s="59" t="s">
        <v>14</v>
      </c>
      <c r="AF18" s="59" t="s">
        <v>14</v>
      </c>
      <c r="AG18" s="59" t="s">
        <v>14</v>
      </c>
      <c r="AH18" s="59" t="s">
        <v>14</v>
      </c>
      <c r="AI18" s="59" t="s">
        <v>14</v>
      </c>
      <c r="AJ18" s="59" t="s">
        <v>14</v>
      </c>
      <c r="AK18" s="59" t="s">
        <v>14</v>
      </c>
      <c r="AL18" s="59" t="s">
        <v>14</v>
      </c>
      <c r="AM18" s="59" t="s">
        <v>14</v>
      </c>
      <c r="AN18" s="59" t="s">
        <v>14</v>
      </c>
      <c r="AO18" s="59" t="s">
        <v>14</v>
      </c>
      <c r="AP18" s="59" t="s">
        <v>14</v>
      </c>
      <c r="AQ18" s="59" t="s">
        <v>14</v>
      </c>
      <c r="AR18" s="59" t="s">
        <v>14</v>
      </c>
      <c r="AS18" s="59" t="s">
        <v>14</v>
      </c>
      <c r="AT18" s="59" t="s">
        <v>14</v>
      </c>
      <c r="AU18" s="59" t="s">
        <v>14</v>
      </c>
      <c r="AV18" s="59" t="s">
        <v>14</v>
      </c>
      <c r="AW18" s="59" t="s">
        <v>14</v>
      </c>
      <c r="AX18" s="59" t="s">
        <v>14</v>
      </c>
      <c r="AY18" s="59" t="s">
        <v>14</v>
      </c>
      <c r="AZ18" s="59" t="s">
        <v>16</v>
      </c>
      <c r="BA18" s="59">
        <v>4117</v>
      </c>
      <c r="BB18" s="59">
        <v>4117</v>
      </c>
      <c r="BC18" s="59">
        <v>4117</v>
      </c>
      <c r="BD18" s="59">
        <v>4117</v>
      </c>
      <c r="BE18" s="59">
        <v>4117</v>
      </c>
      <c r="BF18" s="59">
        <v>4117</v>
      </c>
      <c r="BG18" s="59">
        <v>4117</v>
      </c>
      <c r="BH18" s="59">
        <v>4117</v>
      </c>
      <c r="BI18" s="59">
        <v>4117</v>
      </c>
      <c r="BJ18" s="59">
        <v>4117</v>
      </c>
      <c r="BK18" s="59">
        <v>4117</v>
      </c>
      <c r="BL18" s="59">
        <v>4117</v>
      </c>
      <c r="BM18" s="59">
        <v>4117</v>
      </c>
      <c r="BN18" s="59">
        <v>4117</v>
      </c>
      <c r="BO18" s="59">
        <v>4117</v>
      </c>
      <c r="BP18" s="59">
        <v>4117</v>
      </c>
      <c r="BQ18" s="59">
        <v>4117</v>
      </c>
      <c r="BR18" s="59">
        <v>4117</v>
      </c>
      <c r="BS18" s="59">
        <v>4117</v>
      </c>
      <c r="BT18" s="59">
        <v>4117</v>
      </c>
      <c r="BU18" s="59">
        <v>4117</v>
      </c>
      <c r="BV18" s="59">
        <v>4117</v>
      </c>
      <c r="BW18" s="59">
        <v>4117</v>
      </c>
      <c r="BX18" s="59">
        <v>4117</v>
      </c>
      <c r="BY18" s="59">
        <v>4117</v>
      </c>
      <c r="BZ18" s="59" t="s">
        <v>16</v>
      </c>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59"/>
      <c r="DC18" s="59"/>
      <c r="DD18" s="59"/>
      <c r="DE18" s="59"/>
      <c r="DF18" s="59"/>
      <c r="DG18" s="59"/>
      <c r="DH18" s="59"/>
      <c r="DI18" s="59"/>
      <c r="DJ18" s="59"/>
      <c r="DK18" s="59"/>
      <c r="DL18" s="59"/>
      <c r="DM18" s="59"/>
      <c r="DN18" s="59"/>
      <c r="DO18" s="59"/>
      <c r="DP18" s="59"/>
      <c r="DQ18" s="59"/>
      <c r="DR18" s="59"/>
      <c r="DS18" s="59"/>
      <c r="DT18" s="59"/>
      <c r="DU18" s="59"/>
      <c r="DV18" s="59"/>
      <c r="DW18" s="59"/>
      <c r="DX18" s="59"/>
      <c r="DY18" s="59"/>
      <c r="DZ18" s="59"/>
      <c r="EA18" s="59"/>
      <c r="EB18" s="59"/>
      <c r="EC18" s="59"/>
      <c r="ED18" s="59"/>
      <c r="EE18" s="59"/>
      <c r="EF18" s="59"/>
      <c r="EG18" s="59"/>
      <c r="EH18" s="59"/>
      <c r="EI18" s="59"/>
      <c r="EJ18" s="59"/>
      <c r="EK18" s="59"/>
      <c r="EL18" s="59"/>
      <c r="EM18" s="59"/>
      <c r="EN18" s="59"/>
      <c r="EO18" s="59"/>
      <c r="EP18" s="59"/>
      <c r="EQ18" s="59"/>
      <c r="ER18" s="59"/>
      <c r="ES18" s="59"/>
      <c r="ET18" s="59"/>
      <c r="EU18" s="59"/>
      <c r="EV18" s="59"/>
      <c r="EW18" s="59"/>
      <c r="EX18" s="59"/>
      <c r="EY18" s="59"/>
      <c r="EZ18" s="59"/>
      <c r="FA18" s="59"/>
      <c r="FB18" s="59"/>
      <c r="FC18" s="59"/>
      <c r="FD18" s="59"/>
      <c r="FE18" s="59"/>
      <c r="FF18" s="59"/>
      <c r="FG18" s="59"/>
      <c r="FH18" s="59"/>
      <c r="FI18" s="59"/>
      <c r="FJ18" s="59"/>
      <c r="FK18" s="59"/>
      <c r="FL18" s="59"/>
      <c r="FM18" s="59"/>
      <c r="FN18" s="59"/>
      <c r="FO18" s="59"/>
      <c r="FP18" s="59"/>
      <c r="FQ18" s="59"/>
      <c r="FR18" s="59"/>
      <c r="FS18" s="59"/>
      <c r="FT18" s="59"/>
      <c r="FU18" s="59"/>
      <c r="FV18" s="59"/>
      <c r="FW18" s="59"/>
      <c r="FX18" s="59"/>
      <c r="FY18" s="59"/>
      <c r="FZ18" s="59"/>
      <c r="GA18" s="59"/>
      <c r="GB18" s="59"/>
      <c r="GC18" s="59"/>
      <c r="GD18" s="59"/>
      <c r="GE18" s="59"/>
      <c r="GF18" s="59"/>
      <c r="GG18" s="59"/>
      <c r="GH18" s="59"/>
      <c r="GI18" s="59"/>
      <c r="GJ18" s="59"/>
      <c r="GK18" s="59"/>
      <c r="GL18" s="59"/>
      <c r="GM18" s="59"/>
      <c r="GN18" s="59"/>
      <c r="GO18" s="59"/>
      <c r="GP18" s="59"/>
      <c r="GQ18" s="59"/>
      <c r="GR18" s="59"/>
      <c r="GS18" s="59"/>
      <c r="GX18" s="2" t="s">
        <v>276</v>
      </c>
      <c r="GY18" s="19" t="s">
        <v>16</v>
      </c>
      <c r="GZ18" s="44"/>
      <c r="HA18" s="14">
        <v>6137</v>
      </c>
      <c r="HB18" s="15"/>
      <c r="HC18" s="45" t="s">
        <v>277</v>
      </c>
      <c r="HE18" s="14">
        <v>4523</v>
      </c>
    </row>
    <row r="19" spans="1:213">
      <c r="A19" s="17">
        <v>14</v>
      </c>
      <c r="B19" s="59">
        <v>6137</v>
      </c>
      <c r="C19" s="59">
        <v>6137</v>
      </c>
      <c r="D19" s="59">
        <v>6137</v>
      </c>
      <c r="E19" s="59">
        <v>6137</v>
      </c>
      <c r="F19" s="59">
        <v>6137</v>
      </c>
      <c r="G19" s="59">
        <v>6137</v>
      </c>
      <c r="H19" s="59">
        <v>6137</v>
      </c>
      <c r="I19" s="59">
        <v>6137</v>
      </c>
      <c r="J19" s="59">
        <v>6137</v>
      </c>
      <c r="K19" s="59">
        <v>6137</v>
      </c>
      <c r="L19" s="59">
        <v>6137</v>
      </c>
      <c r="M19" s="59">
        <v>6137</v>
      </c>
      <c r="N19" s="59">
        <v>6137</v>
      </c>
      <c r="O19" s="59" t="s">
        <v>16</v>
      </c>
      <c r="P19" s="59" t="s">
        <v>13</v>
      </c>
      <c r="Q19" s="59" t="s">
        <v>13</v>
      </c>
      <c r="R19" s="59" t="s">
        <v>13</v>
      </c>
      <c r="S19" s="59" t="s">
        <v>13</v>
      </c>
      <c r="T19" s="59" t="s">
        <v>13</v>
      </c>
      <c r="U19" s="59" t="s">
        <v>13</v>
      </c>
      <c r="V19" s="59" t="s">
        <v>13</v>
      </c>
      <c r="W19" s="59" t="s">
        <v>13</v>
      </c>
      <c r="X19" s="59" t="s">
        <v>13</v>
      </c>
      <c r="Y19" s="59" t="s">
        <v>13</v>
      </c>
      <c r="Z19" s="59" t="s">
        <v>13</v>
      </c>
      <c r="AA19" s="59" t="s">
        <v>13</v>
      </c>
      <c r="AB19" s="59" t="s">
        <v>13</v>
      </c>
      <c r="AC19" s="59" t="s">
        <v>13</v>
      </c>
      <c r="AD19" s="59" t="s">
        <v>13</v>
      </c>
      <c r="AE19" s="59" t="s">
        <v>13</v>
      </c>
      <c r="AF19" s="59" t="s">
        <v>13</v>
      </c>
      <c r="AG19" s="59" t="s">
        <v>13</v>
      </c>
      <c r="AH19" s="59" t="s">
        <v>13</v>
      </c>
      <c r="AI19" s="59" t="s">
        <v>13</v>
      </c>
      <c r="AJ19" s="59" t="s">
        <v>13</v>
      </c>
      <c r="AK19" s="59" t="s">
        <v>13</v>
      </c>
      <c r="AL19" s="59" t="s">
        <v>13</v>
      </c>
      <c r="AM19" s="59" t="s">
        <v>13</v>
      </c>
      <c r="AN19" s="59" t="s">
        <v>13</v>
      </c>
      <c r="AO19" s="59" t="s">
        <v>13</v>
      </c>
      <c r="AP19" s="59" t="s">
        <v>13</v>
      </c>
      <c r="AQ19" s="59" t="s">
        <v>13</v>
      </c>
      <c r="AR19" s="59" t="s">
        <v>13</v>
      </c>
      <c r="AS19" s="59" t="s">
        <v>13</v>
      </c>
      <c r="AT19" s="59" t="s">
        <v>13</v>
      </c>
      <c r="AU19" s="59" t="s">
        <v>13</v>
      </c>
      <c r="AV19" s="59" t="s">
        <v>13</v>
      </c>
      <c r="AW19" s="59" t="s">
        <v>13</v>
      </c>
      <c r="AX19" s="59" t="s">
        <v>13</v>
      </c>
      <c r="AY19" s="59" t="s">
        <v>13</v>
      </c>
      <c r="AZ19" s="59" t="s">
        <v>13</v>
      </c>
      <c r="BA19" s="59" t="s">
        <v>13</v>
      </c>
      <c r="BB19" s="59" t="s">
        <v>13</v>
      </c>
      <c r="BC19" s="59" t="s">
        <v>13</v>
      </c>
      <c r="BD19" s="59" t="s">
        <v>13</v>
      </c>
      <c r="BE19" s="59" t="s">
        <v>13</v>
      </c>
      <c r="BF19" s="59" t="s">
        <v>13</v>
      </c>
      <c r="BG19" s="59" t="s">
        <v>13</v>
      </c>
      <c r="BH19" s="59" t="s">
        <v>13</v>
      </c>
      <c r="BI19" s="59" t="s">
        <v>13</v>
      </c>
      <c r="BJ19" s="59" t="s">
        <v>13</v>
      </c>
      <c r="BK19" s="59" t="s">
        <v>13</v>
      </c>
      <c r="BL19" s="59" t="s">
        <v>13</v>
      </c>
      <c r="BM19" s="59" t="s">
        <v>13</v>
      </c>
      <c r="BN19" s="59" t="s">
        <v>13</v>
      </c>
      <c r="BO19" s="59" t="s">
        <v>13</v>
      </c>
      <c r="BP19" s="59" t="s">
        <v>13</v>
      </c>
      <c r="BQ19" s="59" t="s">
        <v>13</v>
      </c>
      <c r="BR19" s="59" t="s">
        <v>13</v>
      </c>
      <c r="BS19" s="59" t="s">
        <v>13</v>
      </c>
      <c r="BT19" s="59" t="s">
        <v>13</v>
      </c>
      <c r="BU19" s="59" t="s">
        <v>13</v>
      </c>
      <c r="BV19" s="59" t="s">
        <v>13</v>
      </c>
      <c r="BW19" s="59" t="s">
        <v>13</v>
      </c>
      <c r="BX19" s="59" t="s">
        <v>13</v>
      </c>
      <c r="BY19" s="59" t="s">
        <v>13</v>
      </c>
      <c r="BZ19" s="59" t="s">
        <v>13</v>
      </c>
      <c r="CA19" s="59" t="s">
        <v>13</v>
      </c>
      <c r="CB19" s="59" t="s">
        <v>13</v>
      </c>
      <c r="CC19" s="59" t="s">
        <v>13</v>
      </c>
      <c r="CD19" s="59" t="s">
        <v>16</v>
      </c>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59"/>
      <c r="EN19" s="59"/>
      <c r="EO19" s="59"/>
      <c r="EP19" s="59"/>
      <c r="EQ19" s="59"/>
      <c r="ER19" s="59"/>
      <c r="ES19" s="59"/>
      <c r="ET19" s="59"/>
      <c r="EU19" s="59"/>
      <c r="EV19" s="59"/>
      <c r="EW19" s="59"/>
      <c r="EX19" s="59"/>
      <c r="EY19" s="59"/>
      <c r="EZ19" s="59"/>
      <c r="FA19" s="59"/>
      <c r="FB19" s="59"/>
      <c r="FC19" s="59"/>
      <c r="FD19" s="59"/>
      <c r="FE19" s="59"/>
      <c r="FF19" s="59"/>
      <c r="FG19" s="59"/>
      <c r="FH19" s="59"/>
      <c r="FI19" s="59"/>
      <c r="FJ19" s="59"/>
      <c r="FK19" s="59"/>
      <c r="FL19" s="59"/>
      <c r="FM19" s="59"/>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c r="GO19" s="59"/>
      <c r="GP19" s="59"/>
      <c r="GQ19" s="59"/>
      <c r="GR19" s="59"/>
      <c r="GS19" s="59"/>
      <c r="GX19" s="2" t="s">
        <v>277</v>
      </c>
      <c r="GY19" s="19">
        <v>6137</v>
      </c>
      <c r="GZ19" s="46"/>
      <c r="HA19" s="14">
        <v>4110</v>
      </c>
      <c r="HB19" s="15"/>
      <c r="HC19" s="47" t="s">
        <v>278</v>
      </c>
      <c r="HE19" s="14">
        <v>4525</v>
      </c>
    </row>
    <row r="20" spans="1:213">
      <c r="A20" s="17">
        <v>15</v>
      </c>
      <c r="B20" s="59">
        <v>6135</v>
      </c>
      <c r="C20" s="59">
        <v>6135</v>
      </c>
      <c r="D20" s="59">
        <v>6135</v>
      </c>
      <c r="E20" s="59">
        <v>6135</v>
      </c>
      <c r="F20" s="59">
        <v>6135</v>
      </c>
      <c r="G20" s="59">
        <v>6135</v>
      </c>
      <c r="H20" s="59">
        <v>6135</v>
      </c>
      <c r="I20" s="59">
        <v>6135</v>
      </c>
      <c r="J20" s="59">
        <v>6135</v>
      </c>
      <c r="K20" s="59">
        <v>6135</v>
      </c>
      <c r="L20" s="59">
        <v>6135</v>
      </c>
      <c r="M20" s="59">
        <v>6135</v>
      </c>
      <c r="N20" s="59">
        <v>6135</v>
      </c>
      <c r="O20" s="59" t="s">
        <v>16</v>
      </c>
      <c r="P20" s="59" t="s">
        <v>13</v>
      </c>
      <c r="Q20" s="59" t="s">
        <v>13</v>
      </c>
      <c r="R20" s="59" t="s">
        <v>13</v>
      </c>
      <c r="S20" s="59" t="s">
        <v>13</v>
      </c>
      <c r="T20" s="59" t="s">
        <v>13</v>
      </c>
      <c r="U20" s="59" t="s">
        <v>13</v>
      </c>
      <c r="V20" s="59" t="s">
        <v>13</v>
      </c>
      <c r="W20" s="59" t="s">
        <v>13</v>
      </c>
      <c r="X20" s="59" t="s">
        <v>13</v>
      </c>
      <c r="Y20" s="59" t="s">
        <v>13</v>
      </c>
      <c r="Z20" s="59" t="s">
        <v>13</v>
      </c>
      <c r="AA20" s="59" t="s">
        <v>13</v>
      </c>
      <c r="AB20" s="59" t="s">
        <v>13</v>
      </c>
      <c r="AC20" s="59" t="s">
        <v>13</v>
      </c>
      <c r="AD20" s="59" t="s">
        <v>13</v>
      </c>
      <c r="AE20" s="59" t="s">
        <v>13</v>
      </c>
      <c r="AF20" s="59" t="s">
        <v>13</v>
      </c>
      <c r="AG20" s="59" t="s">
        <v>13</v>
      </c>
      <c r="AH20" s="59" t="s">
        <v>13</v>
      </c>
      <c r="AI20" s="59" t="s">
        <v>13</v>
      </c>
      <c r="AJ20" s="59" t="s">
        <v>13</v>
      </c>
      <c r="AK20" s="59" t="s">
        <v>13</v>
      </c>
      <c r="AL20" s="59" t="s">
        <v>13</v>
      </c>
      <c r="AM20" s="59" t="s">
        <v>13</v>
      </c>
      <c r="AN20" s="59" t="s">
        <v>13</v>
      </c>
      <c r="AO20" s="59" t="s">
        <v>13</v>
      </c>
      <c r="AP20" s="59" t="s">
        <v>13</v>
      </c>
      <c r="AQ20" s="59" t="s">
        <v>13</v>
      </c>
      <c r="AR20" s="59" t="s">
        <v>13</v>
      </c>
      <c r="AS20" s="59" t="s">
        <v>13</v>
      </c>
      <c r="AT20" s="59" t="s">
        <v>13</v>
      </c>
      <c r="AU20" s="59" t="s">
        <v>13</v>
      </c>
      <c r="AV20" s="59" t="s">
        <v>13</v>
      </c>
      <c r="AW20" s="59" t="s">
        <v>13</v>
      </c>
      <c r="AX20" s="59" t="s">
        <v>13</v>
      </c>
      <c r="AY20" s="59" t="s">
        <v>13</v>
      </c>
      <c r="AZ20" s="59" t="s">
        <v>13</v>
      </c>
      <c r="BA20" s="59" t="s">
        <v>13</v>
      </c>
      <c r="BB20" s="59" t="s">
        <v>13</v>
      </c>
      <c r="BC20" s="59" t="s">
        <v>13</v>
      </c>
      <c r="BD20" s="59" t="s">
        <v>13</v>
      </c>
      <c r="BE20" s="59" t="s">
        <v>13</v>
      </c>
      <c r="BF20" s="59" t="s">
        <v>13</v>
      </c>
      <c r="BG20" s="59" t="s">
        <v>13</v>
      </c>
      <c r="BH20" s="59" t="s">
        <v>13</v>
      </c>
      <c r="BI20" s="59" t="s">
        <v>13</v>
      </c>
      <c r="BJ20" s="59" t="s">
        <v>13</v>
      </c>
      <c r="BK20" s="59" t="s">
        <v>13</v>
      </c>
      <c r="BL20" s="59" t="s">
        <v>13</v>
      </c>
      <c r="BM20" s="59" t="s">
        <v>13</v>
      </c>
      <c r="BN20" s="59" t="s">
        <v>13</v>
      </c>
      <c r="BO20" s="59" t="s">
        <v>13</v>
      </c>
      <c r="BP20" s="59" t="s">
        <v>13</v>
      </c>
      <c r="BQ20" s="59" t="s">
        <v>13</v>
      </c>
      <c r="BR20" s="59" t="s">
        <v>13</v>
      </c>
      <c r="BS20" s="59" t="s">
        <v>13</v>
      </c>
      <c r="BT20" s="59" t="s">
        <v>13</v>
      </c>
      <c r="BU20" s="59" t="s">
        <v>13</v>
      </c>
      <c r="BV20" s="59" t="s">
        <v>13</v>
      </c>
      <c r="BW20" s="59" t="s">
        <v>13</v>
      </c>
      <c r="BX20" s="59" t="s">
        <v>13</v>
      </c>
      <c r="BY20" s="59" t="s">
        <v>13</v>
      </c>
      <c r="BZ20" s="59" t="s">
        <v>13</v>
      </c>
      <c r="CA20" s="59" t="s">
        <v>13</v>
      </c>
      <c r="CB20" s="59" t="s">
        <v>13</v>
      </c>
      <c r="CC20" s="59" t="s">
        <v>13</v>
      </c>
      <c r="CD20" s="59" t="s">
        <v>16</v>
      </c>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c r="FF20" s="59"/>
      <c r="FG20" s="59"/>
      <c r="FH20" s="59"/>
      <c r="FI20" s="59"/>
      <c r="FJ20" s="59"/>
      <c r="FK20" s="59"/>
      <c r="FL20" s="59"/>
      <c r="FM20" s="59"/>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X20" s="2" t="s">
        <v>278</v>
      </c>
      <c r="GY20" s="19">
        <v>4110</v>
      </c>
      <c r="GZ20" s="48"/>
      <c r="HA20" s="15"/>
      <c r="HB20" s="15"/>
      <c r="HC20" s="15"/>
      <c r="HE20" s="14" t="s">
        <v>153</v>
      </c>
    </row>
    <row r="21" spans="1:213">
      <c r="A21" s="17">
        <v>16</v>
      </c>
      <c r="B21" s="59" t="s">
        <v>13</v>
      </c>
      <c r="C21" s="59" t="s">
        <v>13</v>
      </c>
      <c r="D21" s="59" t="s">
        <v>13</v>
      </c>
      <c r="E21" s="59" t="s">
        <v>13</v>
      </c>
      <c r="F21" s="59" t="s">
        <v>13</v>
      </c>
      <c r="G21" s="59" t="s">
        <v>13</v>
      </c>
      <c r="H21" s="59" t="s">
        <v>13</v>
      </c>
      <c r="I21" s="59" t="s">
        <v>13</v>
      </c>
      <c r="J21" s="59" t="s">
        <v>13</v>
      </c>
      <c r="K21" s="59" t="s">
        <v>13</v>
      </c>
      <c r="L21" s="59" t="s">
        <v>13</v>
      </c>
      <c r="M21" s="59" t="s">
        <v>13</v>
      </c>
      <c r="N21" s="59" t="s">
        <v>13</v>
      </c>
      <c r="O21" s="59" t="s">
        <v>13</v>
      </c>
      <c r="P21" s="59" t="s">
        <v>13</v>
      </c>
      <c r="Q21" s="59" t="s">
        <v>13</v>
      </c>
      <c r="R21" s="59" t="s">
        <v>13</v>
      </c>
      <c r="S21" s="59" t="s">
        <v>13</v>
      </c>
      <c r="T21" s="59" t="s">
        <v>13</v>
      </c>
      <c r="U21" s="59" t="s">
        <v>13</v>
      </c>
      <c r="V21" s="59" t="s">
        <v>13</v>
      </c>
      <c r="W21" s="59" t="s">
        <v>13</v>
      </c>
      <c r="X21" s="59" t="s">
        <v>13</v>
      </c>
      <c r="Y21" s="59" t="s">
        <v>13</v>
      </c>
      <c r="Z21" s="59" t="s">
        <v>13</v>
      </c>
      <c r="AA21" s="59" t="s">
        <v>13</v>
      </c>
      <c r="AB21" s="59" t="s">
        <v>13</v>
      </c>
      <c r="AC21" s="59" t="s">
        <v>13</v>
      </c>
      <c r="AD21" s="59" t="s">
        <v>13</v>
      </c>
      <c r="AE21" s="59" t="s">
        <v>13</v>
      </c>
      <c r="AF21" s="59" t="s">
        <v>13</v>
      </c>
      <c r="AG21" s="59" t="s">
        <v>13</v>
      </c>
      <c r="AH21" s="59" t="s">
        <v>13</v>
      </c>
      <c r="AI21" s="59" t="s">
        <v>13</v>
      </c>
      <c r="AJ21" s="59" t="s">
        <v>13</v>
      </c>
      <c r="AK21" s="59" t="s">
        <v>13</v>
      </c>
      <c r="AL21" s="59" t="s">
        <v>13</v>
      </c>
      <c r="AM21" s="59" t="s">
        <v>13</v>
      </c>
      <c r="AN21" s="59" t="s">
        <v>13</v>
      </c>
      <c r="AO21" s="59" t="s">
        <v>13</v>
      </c>
      <c r="AP21" s="59" t="s">
        <v>13</v>
      </c>
      <c r="AQ21" s="59" t="s">
        <v>13</v>
      </c>
      <c r="AR21" s="59" t="s">
        <v>13</v>
      </c>
      <c r="AS21" s="59" t="s">
        <v>13</v>
      </c>
      <c r="AT21" s="59" t="s">
        <v>13</v>
      </c>
      <c r="AU21" s="59" t="s">
        <v>13</v>
      </c>
      <c r="AV21" s="59" t="s">
        <v>13</v>
      </c>
      <c r="AW21" s="59" t="s">
        <v>13</v>
      </c>
      <c r="AX21" s="59" t="s">
        <v>13</v>
      </c>
      <c r="AY21" s="59" t="s">
        <v>13</v>
      </c>
      <c r="AZ21" s="59" t="s">
        <v>13</v>
      </c>
      <c r="BA21" s="59" t="s">
        <v>13</v>
      </c>
      <c r="BB21" s="59" t="s">
        <v>13</v>
      </c>
      <c r="BC21" s="59" t="s">
        <v>13</v>
      </c>
      <c r="BD21" s="59" t="s">
        <v>13</v>
      </c>
      <c r="BE21" s="59" t="s">
        <v>13</v>
      </c>
      <c r="BF21" s="59" t="s">
        <v>13</v>
      </c>
      <c r="BG21" s="59" t="s">
        <v>13</v>
      </c>
      <c r="BH21" s="59" t="s">
        <v>13</v>
      </c>
      <c r="BI21" s="59" t="s">
        <v>13</v>
      </c>
      <c r="BJ21" s="59" t="s">
        <v>13</v>
      </c>
      <c r="BK21" s="59" t="s">
        <v>13</v>
      </c>
      <c r="BL21" s="59" t="s">
        <v>13</v>
      </c>
      <c r="BM21" s="59" t="s">
        <v>13</v>
      </c>
      <c r="BN21" s="59" t="s">
        <v>13</v>
      </c>
      <c r="BO21" s="59" t="s">
        <v>13</v>
      </c>
      <c r="BP21" s="59" t="s">
        <v>13</v>
      </c>
      <c r="BQ21" s="59" t="s">
        <v>13</v>
      </c>
      <c r="BR21" s="59" t="s">
        <v>13</v>
      </c>
      <c r="BS21" s="59" t="s">
        <v>13</v>
      </c>
      <c r="BT21" s="59" t="s">
        <v>13</v>
      </c>
      <c r="BU21" s="59" t="s">
        <v>13</v>
      </c>
      <c r="BV21" s="59" t="s">
        <v>13</v>
      </c>
      <c r="BW21" s="59" t="s">
        <v>13</v>
      </c>
      <c r="BX21" s="59" t="s">
        <v>13</v>
      </c>
      <c r="BY21" s="59" t="s">
        <v>13</v>
      </c>
      <c r="BZ21" s="59" t="s">
        <v>13</v>
      </c>
      <c r="CA21" s="59" t="s">
        <v>13</v>
      </c>
      <c r="CB21" s="59" t="s">
        <v>13</v>
      </c>
      <c r="CC21" s="59" t="s">
        <v>13</v>
      </c>
      <c r="CD21" s="59" t="s">
        <v>16</v>
      </c>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X21" s="2" t="s">
        <v>279</v>
      </c>
      <c r="GY21" s="19" t="s">
        <v>16</v>
      </c>
      <c r="GZ21" s="49"/>
      <c r="HA21" s="50"/>
      <c r="HB21" s="15" t="s">
        <v>442</v>
      </c>
      <c r="HC21" s="15"/>
      <c r="HE21" s="14" t="s">
        <v>154</v>
      </c>
    </row>
    <row r="22" spans="1:213">
      <c r="A22" s="17">
        <v>17</v>
      </c>
      <c r="B22" s="59">
        <v>4117</v>
      </c>
      <c r="C22" s="59">
        <v>4117</v>
      </c>
      <c r="D22" s="59">
        <v>4117</v>
      </c>
      <c r="E22" s="59">
        <v>4117</v>
      </c>
      <c r="F22" s="59">
        <v>4117</v>
      </c>
      <c r="G22" s="59">
        <v>4117</v>
      </c>
      <c r="H22" s="59">
        <v>4117</v>
      </c>
      <c r="I22" s="59">
        <v>4117</v>
      </c>
      <c r="J22" s="59">
        <v>4117</v>
      </c>
      <c r="K22" s="59">
        <v>4117</v>
      </c>
      <c r="L22" s="59">
        <v>4117</v>
      </c>
      <c r="M22" s="59">
        <v>4117</v>
      </c>
      <c r="N22" s="59">
        <v>4117</v>
      </c>
      <c r="O22" s="59">
        <v>4117</v>
      </c>
      <c r="P22" s="59">
        <v>4117</v>
      </c>
      <c r="Q22" s="59">
        <v>4117</v>
      </c>
      <c r="R22" s="59">
        <v>4117</v>
      </c>
      <c r="S22" s="59">
        <v>4117</v>
      </c>
      <c r="T22" s="59">
        <v>4117</v>
      </c>
      <c r="U22" s="59">
        <v>4117</v>
      </c>
      <c r="V22" s="59">
        <v>4117</v>
      </c>
      <c r="W22" s="59">
        <v>4117</v>
      </c>
      <c r="X22" s="59">
        <v>4117</v>
      </c>
      <c r="Y22" s="59">
        <v>4117</v>
      </c>
      <c r="Z22" s="59">
        <v>4117</v>
      </c>
      <c r="AA22" s="59">
        <v>4117</v>
      </c>
      <c r="AB22" s="59">
        <v>4117</v>
      </c>
      <c r="AC22" s="59">
        <v>4117</v>
      </c>
      <c r="AD22" s="59">
        <v>4117</v>
      </c>
      <c r="AE22" s="59">
        <v>4117</v>
      </c>
      <c r="AF22" s="59">
        <v>4117</v>
      </c>
      <c r="AG22" s="59">
        <v>4117</v>
      </c>
      <c r="AH22" s="59">
        <v>4117</v>
      </c>
      <c r="AI22" s="59">
        <v>4117</v>
      </c>
      <c r="AJ22" s="59">
        <v>4117</v>
      </c>
      <c r="AK22" s="59">
        <v>4117</v>
      </c>
      <c r="AL22" s="59">
        <v>4117</v>
      </c>
      <c r="AM22" s="59">
        <v>4117</v>
      </c>
      <c r="AN22" s="59">
        <v>4117</v>
      </c>
      <c r="AO22" s="59">
        <v>4117</v>
      </c>
      <c r="AP22" s="59">
        <v>4117</v>
      </c>
      <c r="AQ22" s="59">
        <v>4117</v>
      </c>
      <c r="AR22" s="59">
        <v>4117</v>
      </c>
      <c r="AS22" s="59">
        <v>4117</v>
      </c>
      <c r="AT22" s="59">
        <v>4117</v>
      </c>
      <c r="AU22" s="59">
        <v>4117</v>
      </c>
      <c r="AV22" s="59">
        <v>4117</v>
      </c>
      <c r="AW22" s="59">
        <v>4117</v>
      </c>
      <c r="AX22" s="59">
        <v>4117</v>
      </c>
      <c r="AY22" s="59">
        <v>4117</v>
      </c>
      <c r="AZ22" s="59">
        <v>4117</v>
      </c>
      <c r="BA22" s="59">
        <v>4117</v>
      </c>
      <c r="BB22" s="59">
        <v>4117</v>
      </c>
      <c r="BC22" s="59">
        <v>4117</v>
      </c>
      <c r="BD22" s="59">
        <v>4117</v>
      </c>
      <c r="BE22" s="59">
        <v>4117</v>
      </c>
      <c r="BF22" s="59">
        <v>4117</v>
      </c>
      <c r="BG22" s="59">
        <v>4117</v>
      </c>
      <c r="BH22" s="59">
        <v>4117</v>
      </c>
      <c r="BI22" s="59">
        <v>4117</v>
      </c>
      <c r="BJ22" s="59">
        <v>4117</v>
      </c>
      <c r="BK22" s="59">
        <v>4117</v>
      </c>
      <c r="BL22" s="59">
        <v>4117</v>
      </c>
      <c r="BM22" s="59">
        <v>4117</v>
      </c>
      <c r="BN22" s="59">
        <v>4117</v>
      </c>
      <c r="BO22" s="59">
        <v>4117</v>
      </c>
      <c r="BP22" s="59">
        <v>4117</v>
      </c>
      <c r="BQ22" s="59">
        <v>4117</v>
      </c>
      <c r="BR22" s="59">
        <v>4117</v>
      </c>
      <c r="BS22" s="59">
        <v>4117</v>
      </c>
      <c r="BT22" s="59">
        <v>4117</v>
      </c>
      <c r="BU22" s="59">
        <v>4117</v>
      </c>
      <c r="BV22" s="59">
        <v>4117</v>
      </c>
      <c r="BW22" s="59">
        <v>4117</v>
      </c>
      <c r="BX22" s="59">
        <v>4117</v>
      </c>
      <c r="BY22" s="59">
        <v>4117</v>
      </c>
      <c r="BZ22" s="59" t="s">
        <v>16</v>
      </c>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X22" s="2" t="s">
        <v>280</v>
      </c>
      <c r="GY22" s="2" t="s">
        <v>281</v>
      </c>
      <c r="HA22" s="50"/>
      <c r="HB22" s="51">
        <v>46235</v>
      </c>
      <c r="HC22" s="15"/>
      <c r="HE22" s="14">
        <v>6820</v>
      </c>
    </row>
    <row r="23" spans="1:213">
      <c r="A23" s="17">
        <v>18</v>
      </c>
      <c r="B23" s="59">
        <v>4117</v>
      </c>
      <c r="C23" s="59">
        <v>4117</v>
      </c>
      <c r="D23" s="59">
        <v>4117</v>
      </c>
      <c r="E23" s="59">
        <v>4117</v>
      </c>
      <c r="F23" s="59">
        <v>4117</v>
      </c>
      <c r="G23" s="59">
        <v>4117</v>
      </c>
      <c r="H23" s="59">
        <v>4117</v>
      </c>
      <c r="I23" s="59">
        <v>4117</v>
      </c>
      <c r="J23" s="59">
        <v>4117</v>
      </c>
      <c r="K23" s="59">
        <v>4117</v>
      </c>
      <c r="L23" s="59">
        <v>4117</v>
      </c>
      <c r="M23" s="59">
        <v>4117</v>
      </c>
      <c r="N23" s="59">
        <v>4117</v>
      </c>
      <c r="O23" s="59">
        <v>4117</v>
      </c>
      <c r="P23" s="59">
        <v>4117</v>
      </c>
      <c r="Q23" s="59">
        <v>4117</v>
      </c>
      <c r="R23" s="59">
        <v>4117</v>
      </c>
      <c r="S23" s="59">
        <v>4117</v>
      </c>
      <c r="T23" s="59">
        <v>4117</v>
      </c>
      <c r="U23" s="59">
        <v>4117</v>
      </c>
      <c r="V23" s="59">
        <v>4117</v>
      </c>
      <c r="W23" s="59">
        <v>4117</v>
      </c>
      <c r="X23" s="59">
        <v>4117</v>
      </c>
      <c r="Y23" s="59">
        <v>4117</v>
      </c>
      <c r="Z23" s="59">
        <v>4117</v>
      </c>
      <c r="AA23" s="59">
        <v>4117</v>
      </c>
      <c r="AB23" s="59">
        <v>4117</v>
      </c>
      <c r="AC23" s="59">
        <v>4117</v>
      </c>
      <c r="AD23" s="59">
        <v>4117</v>
      </c>
      <c r="AE23" s="59">
        <v>4117</v>
      </c>
      <c r="AF23" s="59">
        <v>4117</v>
      </c>
      <c r="AG23" s="59">
        <v>4117</v>
      </c>
      <c r="AH23" s="59">
        <v>4117</v>
      </c>
      <c r="AI23" s="59">
        <v>4117</v>
      </c>
      <c r="AJ23" s="59">
        <v>4117</v>
      </c>
      <c r="AK23" s="59">
        <v>4117</v>
      </c>
      <c r="AL23" s="59">
        <v>4117</v>
      </c>
      <c r="AM23" s="59">
        <v>4117</v>
      </c>
      <c r="AN23" s="59">
        <v>4117</v>
      </c>
      <c r="AO23" s="59">
        <v>4117</v>
      </c>
      <c r="AP23" s="59">
        <v>4117</v>
      </c>
      <c r="AQ23" s="59">
        <v>4117</v>
      </c>
      <c r="AR23" s="59">
        <v>4117</v>
      </c>
      <c r="AS23" s="59">
        <v>4117</v>
      </c>
      <c r="AT23" s="59">
        <v>4117</v>
      </c>
      <c r="AU23" s="59">
        <v>4117</v>
      </c>
      <c r="AV23" s="59">
        <v>4117</v>
      </c>
      <c r="AW23" s="59">
        <v>4117</v>
      </c>
      <c r="AX23" s="59">
        <v>4117</v>
      </c>
      <c r="AY23" s="59">
        <v>4117</v>
      </c>
      <c r="AZ23" s="59">
        <v>4117</v>
      </c>
      <c r="BA23" s="59">
        <v>4117</v>
      </c>
      <c r="BB23" s="59">
        <v>4117</v>
      </c>
      <c r="BC23" s="59">
        <v>4117</v>
      </c>
      <c r="BD23" s="59">
        <v>4117</v>
      </c>
      <c r="BE23" s="59">
        <v>4117</v>
      </c>
      <c r="BF23" s="59">
        <v>4117</v>
      </c>
      <c r="BG23" s="59">
        <v>4117</v>
      </c>
      <c r="BH23" s="59">
        <v>4117</v>
      </c>
      <c r="BI23" s="59">
        <v>4117</v>
      </c>
      <c r="BJ23" s="59">
        <v>4117</v>
      </c>
      <c r="BK23" s="59">
        <v>4117</v>
      </c>
      <c r="BL23" s="59">
        <v>4117</v>
      </c>
      <c r="BM23" s="59">
        <v>4117</v>
      </c>
      <c r="BN23" s="59">
        <v>4117</v>
      </c>
      <c r="BO23" s="59">
        <v>4117</v>
      </c>
      <c r="BP23" s="59">
        <v>4117</v>
      </c>
      <c r="BQ23" s="59">
        <v>4117</v>
      </c>
      <c r="BR23" s="59">
        <v>4117</v>
      </c>
      <c r="BS23" s="59">
        <v>4117</v>
      </c>
      <c r="BT23" s="59">
        <v>4117</v>
      </c>
      <c r="BU23" s="59">
        <v>4117</v>
      </c>
      <c r="BV23" s="59">
        <v>4117</v>
      </c>
      <c r="BW23" s="59">
        <v>4117</v>
      </c>
      <c r="BX23" s="59">
        <v>4117</v>
      </c>
      <c r="BY23" s="59">
        <v>4117</v>
      </c>
      <c r="BZ23" s="59" t="s">
        <v>16</v>
      </c>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c r="FF23" s="59"/>
      <c r="FG23" s="59"/>
      <c r="FH23" s="59"/>
      <c r="FI23" s="59"/>
      <c r="FJ23" s="59"/>
      <c r="FK23" s="59"/>
      <c r="FL23" s="59"/>
      <c r="FM23" s="59"/>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HA23" s="15"/>
      <c r="HE23" s="14" t="s">
        <v>20</v>
      </c>
    </row>
    <row r="24" spans="1:213">
      <c r="A24" s="17">
        <v>19</v>
      </c>
      <c r="B24" s="59">
        <v>4115</v>
      </c>
      <c r="C24" s="59">
        <v>4115</v>
      </c>
      <c r="D24" s="59">
        <v>4115</v>
      </c>
      <c r="E24" s="59">
        <v>4115</v>
      </c>
      <c r="F24" s="59">
        <v>4115</v>
      </c>
      <c r="G24" s="59">
        <v>4115</v>
      </c>
      <c r="H24" s="59">
        <v>4115</v>
      </c>
      <c r="I24" s="59">
        <v>4115</v>
      </c>
      <c r="J24" s="59">
        <v>4115</v>
      </c>
      <c r="K24" s="59">
        <v>4115</v>
      </c>
      <c r="L24" s="59">
        <v>4115</v>
      </c>
      <c r="M24" s="59">
        <v>4115</v>
      </c>
      <c r="N24" s="59">
        <v>4115</v>
      </c>
      <c r="O24" s="59">
        <v>4115</v>
      </c>
      <c r="P24" s="59">
        <v>4115</v>
      </c>
      <c r="Q24" s="59">
        <v>4115</v>
      </c>
      <c r="R24" s="59">
        <v>4115</v>
      </c>
      <c r="S24" s="59">
        <v>4115</v>
      </c>
      <c r="T24" s="59">
        <v>4115</v>
      </c>
      <c r="U24" s="59">
        <v>4115</v>
      </c>
      <c r="V24" s="59">
        <v>4115</v>
      </c>
      <c r="W24" s="59">
        <v>4115</v>
      </c>
      <c r="X24" s="59">
        <v>4115</v>
      </c>
      <c r="Y24" s="59">
        <v>4115</v>
      </c>
      <c r="Z24" s="59">
        <v>4115</v>
      </c>
      <c r="AA24" s="59">
        <v>4115</v>
      </c>
      <c r="AB24" s="59">
        <v>4115</v>
      </c>
      <c r="AC24" s="59">
        <v>4115</v>
      </c>
      <c r="AD24" s="59">
        <v>4115</v>
      </c>
      <c r="AE24" s="59">
        <v>4115</v>
      </c>
      <c r="AF24" s="59">
        <v>4115</v>
      </c>
      <c r="AG24" s="59">
        <v>4115</v>
      </c>
      <c r="AH24" s="59">
        <v>4115</v>
      </c>
      <c r="AI24" s="59">
        <v>4115</v>
      </c>
      <c r="AJ24" s="59">
        <v>4115</v>
      </c>
      <c r="AK24" s="59">
        <v>4115</v>
      </c>
      <c r="AL24" s="59">
        <v>4115</v>
      </c>
      <c r="AM24" s="59">
        <v>4115</v>
      </c>
      <c r="AN24" s="59">
        <v>4115</v>
      </c>
      <c r="AO24" s="59">
        <v>4115</v>
      </c>
      <c r="AP24" s="59">
        <v>4115</v>
      </c>
      <c r="AQ24" s="59">
        <v>4115</v>
      </c>
      <c r="AR24" s="59">
        <v>4115</v>
      </c>
      <c r="AS24" s="59">
        <v>4115</v>
      </c>
      <c r="AT24" s="59">
        <v>4115</v>
      </c>
      <c r="AU24" s="59">
        <v>4115</v>
      </c>
      <c r="AV24" s="59">
        <v>4115</v>
      </c>
      <c r="AW24" s="59">
        <v>4115</v>
      </c>
      <c r="AX24" s="59">
        <v>4115</v>
      </c>
      <c r="AY24" s="59">
        <v>4115</v>
      </c>
      <c r="AZ24" s="59">
        <v>4115</v>
      </c>
      <c r="BA24" s="59">
        <v>4115</v>
      </c>
      <c r="BB24" s="59">
        <v>4115</v>
      </c>
      <c r="BC24" s="59">
        <v>4115</v>
      </c>
      <c r="BD24" s="59">
        <v>4115</v>
      </c>
      <c r="BE24" s="59">
        <v>4115</v>
      </c>
      <c r="BF24" s="59">
        <v>4115</v>
      </c>
      <c r="BG24" s="59">
        <v>4115</v>
      </c>
      <c r="BH24" s="59">
        <v>4115</v>
      </c>
      <c r="BI24" s="59">
        <v>4115</v>
      </c>
      <c r="BJ24" s="59">
        <v>4115</v>
      </c>
      <c r="BK24" s="59">
        <v>4115</v>
      </c>
      <c r="BL24" s="59">
        <v>4115</v>
      </c>
      <c r="BM24" s="59">
        <v>4115</v>
      </c>
      <c r="BN24" s="59" t="s">
        <v>16</v>
      </c>
      <c r="BO24" s="59">
        <v>4117</v>
      </c>
      <c r="BP24" s="59">
        <v>4117</v>
      </c>
      <c r="BQ24" s="59">
        <v>4117</v>
      </c>
      <c r="BR24" s="59">
        <v>4117</v>
      </c>
      <c r="BS24" s="59">
        <v>4117</v>
      </c>
      <c r="BT24" s="59">
        <v>4117</v>
      </c>
      <c r="BU24" s="59">
        <v>4117</v>
      </c>
      <c r="BV24" s="59">
        <v>4117</v>
      </c>
      <c r="BW24" s="59">
        <v>4117</v>
      </c>
      <c r="BX24" s="59">
        <v>4117</v>
      </c>
      <c r="BY24" s="59">
        <v>4117</v>
      </c>
      <c r="BZ24" s="59" t="s">
        <v>16</v>
      </c>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c r="EB24" s="59"/>
      <c r="EC24" s="59"/>
      <c r="ED24" s="59"/>
      <c r="EE24" s="59"/>
      <c r="EF24" s="59"/>
      <c r="EG24" s="59"/>
      <c r="EH24" s="59"/>
      <c r="EI24" s="59"/>
      <c r="EJ24" s="59"/>
      <c r="EK24" s="59"/>
      <c r="EL24" s="59"/>
      <c r="EM24" s="59"/>
      <c r="EN24" s="59"/>
      <c r="EO24" s="59"/>
      <c r="EP24" s="59"/>
      <c r="EQ24" s="59"/>
      <c r="ER24" s="59"/>
      <c r="ES24" s="59"/>
      <c r="ET24" s="59"/>
      <c r="EU24" s="59"/>
      <c r="EV24" s="59"/>
      <c r="EW24" s="59"/>
      <c r="EX24" s="59"/>
      <c r="EY24" s="59"/>
      <c r="EZ24" s="59"/>
      <c r="FA24" s="59"/>
      <c r="FB24" s="59"/>
      <c r="FC24" s="59"/>
      <c r="FD24" s="59"/>
      <c r="FE24" s="59"/>
      <c r="FF24" s="59"/>
      <c r="FG24" s="59"/>
      <c r="FH24" s="59"/>
      <c r="FI24" s="59"/>
      <c r="FJ24" s="59"/>
      <c r="FK24" s="59"/>
      <c r="FL24" s="59"/>
      <c r="FM24" s="59"/>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c r="GO24" s="59"/>
      <c r="GP24" s="59"/>
      <c r="GQ24" s="59"/>
      <c r="GR24" s="59"/>
      <c r="GS24" s="59"/>
      <c r="HA24" s="15"/>
      <c r="HE24" s="14">
        <v>5201</v>
      </c>
    </row>
    <row r="25" spans="1:213">
      <c r="A25" s="17">
        <v>20</v>
      </c>
      <c r="B25" s="59">
        <v>6137</v>
      </c>
      <c r="C25" s="59">
        <v>6137</v>
      </c>
      <c r="D25" s="59">
        <v>6137</v>
      </c>
      <c r="E25" s="59">
        <v>6137</v>
      </c>
      <c r="F25" s="59">
        <v>6137</v>
      </c>
      <c r="G25" s="59">
        <v>6137</v>
      </c>
      <c r="H25" s="59">
        <v>6137</v>
      </c>
      <c r="I25" s="59">
        <v>6137</v>
      </c>
      <c r="J25" s="59">
        <v>6137</v>
      </c>
      <c r="K25" s="59">
        <v>6137</v>
      </c>
      <c r="L25" s="59">
        <v>6137</v>
      </c>
      <c r="M25" s="59">
        <v>6137</v>
      </c>
      <c r="N25" s="59">
        <v>6137</v>
      </c>
      <c r="O25" s="59">
        <v>6108</v>
      </c>
      <c r="P25" s="59">
        <v>6108</v>
      </c>
      <c r="Q25" s="59">
        <v>6108</v>
      </c>
      <c r="R25" s="59">
        <v>6108</v>
      </c>
      <c r="S25" s="59">
        <v>6108</v>
      </c>
      <c r="T25" s="59">
        <v>6108</v>
      </c>
      <c r="U25" s="59">
        <v>6108</v>
      </c>
      <c r="V25" s="59">
        <v>6108</v>
      </c>
      <c r="W25" s="59">
        <v>6108</v>
      </c>
      <c r="X25" s="59">
        <v>6108</v>
      </c>
      <c r="Y25" s="59">
        <v>6108</v>
      </c>
      <c r="Z25" s="59">
        <v>6108</v>
      </c>
      <c r="AA25" s="59">
        <v>6108</v>
      </c>
      <c r="AB25" s="59">
        <v>6108</v>
      </c>
      <c r="AC25" s="59">
        <v>6108</v>
      </c>
      <c r="AD25" s="59">
        <v>6108</v>
      </c>
      <c r="AE25" s="59">
        <v>6108</v>
      </c>
      <c r="AF25" s="59">
        <v>6108</v>
      </c>
      <c r="AG25" s="59">
        <v>6108</v>
      </c>
      <c r="AH25" s="59">
        <v>6108</v>
      </c>
      <c r="AI25" s="59">
        <v>6108</v>
      </c>
      <c r="AJ25" s="59">
        <v>6108</v>
      </c>
      <c r="AK25" s="59">
        <v>6108</v>
      </c>
      <c r="AL25" s="59">
        <v>6108</v>
      </c>
      <c r="AM25" s="59">
        <v>6108</v>
      </c>
      <c r="AN25" s="59">
        <v>6108</v>
      </c>
      <c r="AO25" s="59">
        <v>6108</v>
      </c>
      <c r="AP25" s="59">
        <v>6108</v>
      </c>
      <c r="AQ25" s="59">
        <v>6108</v>
      </c>
      <c r="AR25" s="59">
        <v>6108</v>
      </c>
      <c r="AS25" s="59">
        <v>6108</v>
      </c>
      <c r="AT25" s="59">
        <v>6108</v>
      </c>
      <c r="AU25" s="59">
        <v>6109</v>
      </c>
      <c r="AV25" s="59">
        <v>6109</v>
      </c>
      <c r="AW25" s="59">
        <v>6109</v>
      </c>
      <c r="AX25" s="59">
        <v>6109</v>
      </c>
      <c r="AY25" s="59">
        <v>6109</v>
      </c>
      <c r="AZ25" s="59">
        <v>6109</v>
      </c>
      <c r="BA25" s="59">
        <v>6109</v>
      </c>
      <c r="BB25" s="59">
        <v>6109</v>
      </c>
      <c r="BC25" s="59">
        <v>6109</v>
      </c>
      <c r="BD25" s="59">
        <v>6109</v>
      </c>
      <c r="BE25" s="59">
        <v>6109</v>
      </c>
      <c r="BF25" s="59">
        <v>6109</v>
      </c>
      <c r="BG25" s="59">
        <v>6109</v>
      </c>
      <c r="BH25" s="59">
        <v>6109</v>
      </c>
      <c r="BI25" s="59">
        <v>6109</v>
      </c>
      <c r="BJ25" s="59">
        <v>6109</v>
      </c>
      <c r="BK25" s="59">
        <v>6109</v>
      </c>
      <c r="BL25" s="59">
        <v>6109</v>
      </c>
      <c r="BM25" s="59">
        <v>6109</v>
      </c>
      <c r="BN25" s="59">
        <v>6109</v>
      </c>
      <c r="BO25" s="59">
        <v>6109</v>
      </c>
      <c r="BP25" s="59">
        <v>6109</v>
      </c>
      <c r="BQ25" s="59">
        <v>6109</v>
      </c>
      <c r="BR25" s="59">
        <v>6109</v>
      </c>
      <c r="BS25" s="59">
        <v>6109</v>
      </c>
      <c r="BT25" s="59" t="s">
        <v>16</v>
      </c>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c r="EJ25" s="59"/>
      <c r="EK25" s="59"/>
      <c r="EL25" s="59"/>
      <c r="EM25" s="59"/>
      <c r="EN25" s="59"/>
      <c r="EO25" s="59"/>
      <c r="EP25" s="59"/>
      <c r="EQ25" s="59"/>
      <c r="ER25" s="59"/>
      <c r="ES25" s="59"/>
      <c r="ET25" s="59"/>
      <c r="EU25" s="59"/>
      <c r="EV25" s="59"/>
      <c r="EW25" s="59"/>
      <c r="EX25" s="59"/>
      <c r="EY25" s="59"/>
      <c r="EZ25" s="59"/>
      <c r="FA25" s="59"/>
      <c r="FB25" s="59"/>
      <c r="FC25" s="59"/>
      <c r="FD25" s="59"/>
      <c r="FE25" s="59"/>
      <c r="FF25" s="59"/>
      <c r="FG25" s="59"/>
      <c r="FH25" s="59"/>
      <c r="FI25" s="59"/>
      <c r="FJ25" s="59"/>
      <c r="FK25" s="59"/>
      <c r="FL25" s="59"/>
      <c r="FM25" s="59"/>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c r="GO25" s="59"/>
      <c r="GP25" s="59"/>
      <c r="GQ25" s="59"/>
      <c r="GR25" s="59"/>
      <c r="GS25" s="59"/>
      <c r="HA25" s="15"/>
      <c r="HE25" s="14">
        <v>4223</v>
      </c>
    </row>
    <row r="26" spans="1:213">
      <c r="A26" s="17">
        <v>21</v>
      </c>
      <c r="B26" s="59">
        <v>6137</v>
      </c>
      <c r="C26" s="59">
        <v>6137</v>
      </c>
      <c r="D26" s="59">
        <v>6137</v>
      </c>
      <c r="E26" s="59">
        <v>6137</v>
      </c>
      <c r="F26" s="59">
        <v>6137</v>
      </c>
      <c r="G26" s="59">
        <v>6137</v>
      </c>
      <c r="H26" s="59">
        <v>6137</v>
      </c>
      <c r="I26" s="59">
        <v>6137</v>
      </c>
      <c r="J26" s="59">
        <v>6137</v>
      </c>
      <c r="K26" s="59">
        <v>6137</v>
      </c>
      <c r="L26" s="59">
        <v>6137</v>
      </c>
      <c r="M26" s="59">
        <v>6137</v>
      </c>
      <c r="N26" s="59">
        <v>6137</v>
      </c>
      <c r="O26" s="59" t="s">
        <v>16</v>
      </c>
      <c r="P26" s="59" t="s">
        <v>14</v>
      </c>
      <c r="Q26" s="59" t="s">
        <v>14</v>
      </c>
      <c r="R26" s="59" t="s">
        <v>14</v>
      </c>
      <c r="S26" s="59" t="s">
        <v>14</v>
      </c>
      <c r="T26" s="59" t="s">
        <v>14</v>
      </c>
      <c r="U26" s="59" t="s">
        <v>14</v>
      </c>
      <c r="V26" s="59" t="s">
        <v>14</v>
      </c>
      <c r="W26" s="59" t="s">
        <v>14</v>
      </c>
      <c r="X26" s="59" t="s">
        <v>14</v>
      </c>
      <c r="Y26" s="59" t="s">
        <v>14</v>
      </c>
      <c r="Z26" s="59" t="s">
        <v>14</v>
      </c>
      <c r="AA26" s="59" t="s">
        <v>14</v>
      </c>
      <c r="AB26" s="59" t="s">
        <v>14</v>
      </c>
      <c r="AC26" s="59" t="s">
        <v>14</v>
      </c>
      <c r="AD26" s="59" t="s">
        <v>14</v>
      </c>
      <c r="AE26" s="59" t="s">
        <v>14</v>
      </c>
      <c r="AF26" s="59" t="s">
        <v>14</v>
      </c>
      <c r="AG26" s="59" t="s">
        <v>14</v>
      </c>
      <c r="AH26" s="59" t="s">
        <v>14</v>
      </c>
      <c r="AI26" s="59" t="s">
        <v>14</v>
      </c>
      <c r="AJ26" s="59" t="s">
        <v>14</v>
      </c>
      <c r="AK26" s="59" t="s">
        <v>14</v>
      </c>
      <c r="AL26" s="59" t="s">
        <v>14</v>
      </c>
      <c r="AM26" s="59" t="s">
        <v>14</v>
      </c>
      <c r="AN26" s="59" t="s">
        <v>14</v>
      </c>
      <c r="AO26" s="59" t="s">
        <v>14</v>
      </c>
      <c r="AP26" s="59" t="s">
        <v>14</v>
      </c>
      <c r="AQ26" s="59" t="s">
        <v>14</v>
      </c>
      <c r="AR26" s="59" t="s">
        <v>14</v>
      </c>
      <c r="AS26" s="59" t="s">
        <v>14</v>
      </c>
      <c r="AT26" s="59" t="s">
        <v>14</v>
      </c>
      <c r="AU26" s="59" t="s">
        <v>14</v>
      </c>
      <c r="AV26" s="59" t="s">
        <v>14</v>
      </c>
      <c r="AW26" s="59" t="s">
        <v>14</v>
      </c>
      <c r="AX26" s="59" t="s">
        <v>14</v>
      </c>
      <c r="AY26" s="59" t="s">
        <v>14</v>
      </c>
      <c r="AZ26" s="59" t="s">
        <v>16</v>
      </c>
      <c r="BA26" s="59">
        <v>4117</v>
      </c>
      <c r="BB26" s="59">
        <v>4117</v>
      </c>
      <c r="BC26" s="59">
        <v>4117</v>
      </c>
      <c r="BD26" s="59">
        <v>4117</v>
      </c>
      <c r="BE26" s="59">
        <v>4117</v>
      </c>
      <c r="BF26" s="59">
        <v>4117</v>
      </c>
      <c r="BG26" s="59">
        <v>4117</v>
      </c>
      <c r="BH26" s="59">
        <v>4117</v>
      </c>
      <c r="BI26" s="59">
        <v>4117</v>
      </c>
      <c r="BJ26" s="59">
        <v>4117</v>
      </c>
      <c r="BK26" s="59">
        <v>4117</v>
      </c>
      <c r="BL26" s="59">
        <v>4117</v>
      </c>
      <c r="BM26" s="59">
        <v>4117</v>
      </c>
      <c r="BN26" s="59">
        <v>4117</v>
      </c>
      <c r="BO26" s="59">
        <v>4117</v>
      </c>
      <c r="BP26" s="59">
        <v>4117</v>
      </c>
      <c r="BQ26" s="59">
        <v>4117</v>
      </c>
      <c r="BR26" s="59">
        <v>4117</v>
      </c>
      <c r="BS26" s="59">
        <v>4117</v>
      </c>
      <c r="BT26" s="59">
        <v>4117</v>
      </c>
      <c r="BU26" s="59">
        <v>4117</v>
      </c>
      <c r="BV26" s="59">
        <v>4117</v>
      </c>
      <c r="BW26" s="59">
        <v>4117</v>
      </c>
      <c r="BX26" s="59">
        <v>4117</v>
      </c>
      <c r="BY26" s="59">
        <v>4117</v>
      </c>
      <c r="BZ26" s="59" t="s">
        <v>16</v>
      </c>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c r="EF26" s="59"/>
      <c r="EG26" s="59"/>
      <c r="EH26" s="59"/>
      <c r="EI26" s="59"/>
      <c r="EJ26" s="59"/>
      <c r="EK26" s="59"/>
      <c r="EL26" s="59"/>
      <c r="EM26" s="59"/>
      <c r="EN26" s="59"/>
      <c r="EO26" s="59"/>
      <c r="EP26" s="59"/>
      <c r="EQ26" s="59"/>
      <c r="ER26" s="59"/>
      <c r="ES26" s="59"/>
      <c r="ET26" s="59"/>
      <c r="EU26" s="59"/>
      <c r="EV26" s="59"/>
      <c r="EW26" s="59"/>
      <c r="EX26" s="59"/>
      <c r="EY26" s="59"/>
      <c r="EZ26" s="59"/>
      <c r="FA26" s="59"/>
      <c r="FB26" s="59"/>
      <c r="FC26" s="59"/>
      <c r="FD26" s="59"/>
      <c r="FE26" s="59"/>
      <c r="FF26" s="59"/>
      <c r="FG26" s="59"/>
      <c r="FH26" s="59"/>
      <c r="FI26" s="59"/>
      <c r="FJ26" s="59"/>
      <c r="FK26" s="59"/>
      <c r="FL26" s="59"/>
      <c r="FM26" s="59"/>
      <c r="FN26" s="59"/>
      <c r="FO26" s="59"/>
      <c r="FP26" s="59"/>
      <c r="FQ26" s="59"/>
      <c r="FR26" s="59"/>
      <c r="FS26" s="59"/>
      <c r="FT26" s="59"/>
      <c r="FU26" s="59"/>
      <c r="FV26" s="59"/>
      <c r="FW26" s="59"/>
      <c r="FX26" s="59"/>
      <c r="FY26" s="59"/>
      <c r="FZ26" s="59"/>
      <c r="GA26" s="59"/>
      <c r="GB26" s="59"/>
      <c r="GC26" s="59"/>
      <c r="GD26" s="59"/>
      <c r="GE26" s="59"/>
      <c r="GF26" s="59"/>
      <c r="GG26" s="59"/>
      <c r="GH26" s="59"/>
      <c r="GI26" s="59"/>
      <c r="GJ26" s="59"/>
      <c r="GK26" s="59"/>
      <c r="GL26" s="59"/>
      <c r="GM26" s="59"/>
      <c r="GN26" s="59"/>
      <c r="GO26" s="59"/>
      <c r="GP26" s="59"/>
      <c r="GQ26" s="59"/>
      <c r="GR26" s="59"/>
      <c r="GS26" s="59"/>
      <c r="HA26" s="15"/>
      <c r="HE26" s="14">
        <v>4222</v>
      </c>
    </row>
    <row r="27" spans="1:213">
      <c r="A27" s="17">
        <v>22</v>
      </c>
      <c r="B27" s="59" t="s">
        <v>15</v>
      </c>
      <c r="C27" s="59" t="s">
        <v>15</v>
      </c>
      <c r="D27" s="59" t="s">
        <v>15</v>
      </c>
      <c r="E27" s="59" t="s">
        <v>15</v>
      </c>
      <c r="F27" s="59" t="s">
        <v>15</v>
      </c>
      <c r="G27" s="59" t="s">
        <v>15</v>
      </c>
      <c r="H27" s="59" t="s">
        <v>15</v>
      </c>
      <c r="I27" s="59" t="s">
        <v>15</v>
      </c>
      <c r="J27" s="59" t="s">
        <v>15</v>
      </c>
      <c r="K27" s="59" t="s">
        <v>15</v>
      </c>
      <c r="L27" s="59" t="s">
        <v>15</v>
      </c>
      <c r="M27" s="59" t="s">
        <v>15</v>
      </c>
      <c r="N27" s="59" t="s">
        <v>15</v>
      </c>
      <c r="O27" s="59" t="s">
        <v>15</v>
      </c>
      <c r="P27" s="59" t="s">
        <v>15</v>
      </c>
      <c r="Q27" s="59" t="s">
        <v>15</v>
      </c>
      <c r="R27" s="59" t="s">
        <v>15</v>
      </c>
      <c r="S27" s="59" t="s">
        <v>15</v>
      </c>
      <c r="T27" s="59" t="s">
        <v>15</v>
      </c>
      <c r="U27" s="59" t="s">
        <v>15</v>
      </c>
      <c r="V27" s="59" t="s">
        <v>15</v>
      </c>
      <c r="W27" s="59" t="s">
        <v>15</v>
      </c>
      <c r="X27" s="59" t="s">
        <v>15</v>
      </c>
      <c r="Y27" s="59" t="s">
        <v>15</v>
      </c>
      <c r="Z27" s="59" t="s">
        <v>15</v>
      </c>
      <c r="AA27" s="59" t="s">
        <v>15</v>
      </c>
      <c r="AB27" s="59" t="s">
        <v>15</v>
      </c>
      <c r="AC27" s="59" t="s">
        <v>15</v>
      </c>
      <c r="AD27" s="59" t="s">
        <v>15</v>
      </c>
      <c r="AE27" s="59" t="s">
        <v>15</v>
      </c>
      <c r="AF27" s="59" t="s">
        <v>15</v>
      </c>
      <c r="AG27" s="59" t="s">
        <v>15</v>
      </c>
      <c r="AH27" s="59" t="s">
        <v>15</v>
      </c>
      <c r="AI27" s="59" t="s">
        <v>15</v>
      </c>
      <c r="AJ27" s="59" t="s">
        <v>15</v>
      </c>
      <c r="AK27" s="59" t="s">
        <v>15</v>
      </c>
      <c r="AL27" s="59" t="s">
        <v>15</v>
      </c>
      <c r="AM27" s="59" t="s">
        <v>15</v>
      </c>
      <c r="AN27" s="59" t="s">
        <v>15</v>
      </c>
      <c r="AO27" s="59" t="s">
        <v>15</v>
      </c>
      <c r="AP27" s="59" t="s">
        <v>15</v>
      </c>
      <c r="AQ27" s="59" t="s">
        <v>15</v>
      </c>
      <c r="AR27" s="59" t="s">
        <v>15</v>
      </c>
      <c r="AS27" s="59" t="s">
        <v>15</v>
      </c>
      <c r="AT27" s="59" t="s">
        <v>15</v>
      </c>
      <c r="AU27" s="59" t="s">
        <v>15</v>
      </c>
      <c r="AV27" s="59" t="s">
        <v>15</v>
      </c>
      <c r="AW27" s="59" t="s">
        <v>15</v>
      </c>
      <c r="AX27" s="59" t="s">
        <v>15</v>
      </c>
      <c r="AY27" s="59" t="s">
        <v>15</v>
      </c>
      <c r="AZ27" s="59" t="s">
        <v>15</v>
      </c>
      <c r="BA27" s="59" t="s">
        <v>15</v>
      </c>
      <c r="BB27" s="59" t="s">
        <v>15</v>
      </c>
      <c r="BC27" s="59" t="s">
        <v>15</v>
      </c>
      <c r="BD27" s="59" t="s">
        <v>15</v>
      </c>
      <c r="BE27" s="59" t="s">
        <v>15</v>
      </c>
      <c r="BF27" s="59" t="s">
        <v>15</v>
      </c>
      <c r="BG27" s="59" t="s">
        <v>15</v>
      </c>
      <c r="BH27" s="59" t="s">
        <v>15</v>
      </c>
      <c r="BI27" s="59" t="s">
        <v>15</v>
      </c>
      <c r="BJ27" s="59" t="s">
        <v>15</v>
      </c>
      <c r="BK27" s="59" t="s">
        <v>15</v>
      </c>
      <c r="BL27" s="59" t="s">
        <v>15</v>
      </c>
      <c r="BM27" s="59" t="s">
        <v>15</v>
      </c>
      <c r="BN27" s="59" t="s">
        <v>15</v>
      </c>
      <c r="BO27" s="59" t="s">
        <v>15</v>
      </c>
      <c r="BP27" s="59" t="s">
        <v>15</v>
      </c>
      <c r="BQ27" s="59" t="s">
        <v>15</v>
      </c>
      <c r="BR27" s="59" t="s">
        <v>15</v>
      </c>
      <c r="BS27" s="59" t="s">
        <v>15</v>
      </c>
      <c r="BT27" s="59" t="s">
        <v>16</v>
      </c>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c r="EB27" s="59"/>
      <c r="EC27" s="59"/>
      <c r="ED27" s="59"/>
      <c r="EE27" s="59"/>
      <c r="EF27" s="59"/>
      <c r="EG27" s="59"/>
      <c r="EH27" s="59"/>
      <c r="EI27" s="59"/>
      <c r="EJ27" s="59"/>
      <c r="EK27" s="59"/>
      <c r="EL27" s="59"/>
      <c r="EM27" s="59"/>
      <c r="EN27" s="59"/>
      <c r="EO27" s="59"/>
      <c r="EP27" s="59"/>
      <c r="EQ27" s="59"/>
      <c r="ER27" s="59"/>
      <c r="ES27" s="59"/>
      <c r="ET27" s="59"/>
      <c r="EU27" s="59"/>
      <c r="EV27" s="59"/>
      <c r="EW27" s="59"/>
      <c r="EX27" s="59"/>
      <c r="EY27" s="59"/>
      <c r="EZ27" s="59"/>
      <c r="FA27" s="59"/>
      <c r="FB27" s="59"/>
      <c r="FC27" s="59"/>
      <c r="FD27" s="59"/>
      <c r="FE27" s="59"/>
      <c r="FF27" s="59"/>
      <c r="FG27" s="59"/>
      <c r="FH27" s="59"/>
      <c r="FI27" s="59"/>
      <c r="FJ27" s="59"/>
      <c r="FK27" s="59"/>
      <c r="FL27" s="59"/>
      <c r="FM27" s="59"/>
      <c r="FN27" s="59"/>
      <c r="FO27" s="59"/>
      <c r="FP27" s="59"/>
      <c r="FQ27" s="59"/>
      <c r="FR27" s="59"/>
      <c r="FS27" s="59"/>
      <c r="FT27" s="59"/>
      <c r="FU27" s="59"/>
      <c r="FV27" s="59"/>
      <c r="FW27" s="59"/>
      <c r="FX27" s="59"/>
      <c r="FY27" s="59"/>
      <c r="FZ27" s="59"/>
      <c r="GA27" s="59"/>
      <c r="GB27" s="59"/>
      <c r="GC27" s="59"/>
      <c r="GD27" s="59"/>
      <c r="GE27" s="59"/>
      <c r="GF27" s="59"/>
      <c r="GG27" s="59"/>
      <c r="GH27" s="59"/>
      <c r="GI27" s="59"/>
      <c r="GJ27" s="59"/>
      <c r="GK27" s="59"/>
      <c r="GL27" s="59"/>
      <c r="GM27" s="59"/>
      <c r="GN27" s="59"/>
      <c r="GO27" s="59"/>
      <c r="GP27" s="59"/>
      <c r="GQ27" s="59"/>
      <c r="GR27" s="59"/>
      <c r="GS27" s="59"/>
      <c r="HA27" s="15"/>
      <c r="HE27" s="14">
        <v>4300</v>
      </c>
    </row>
    <row r="28" spans="1:213">
      <c r="A28" s="17">
        <v>23</v>
      </c>
      <c r="B28" s="59">
        <v>6135</v>
      </c>
      <c r="C28" s="59">
        <v>6135</v>
      </c>
      <c r="D28" s="59">
        <v>6135</v>
      </c>
      <c r="E28" s="59">
        <v>6135</v>
      </c>
      <c r="F28" s="59">
        <v>6135</v>
      </c>
      <c r="G28" s="59">
        <v>6135</v>
      </c>
      <c r="H28" s="59">
        <v>6135</v>
      </c>
      <c r="I28" s="59">
        <v>6135</v>
      </c>
      <c r="J28" s="59">
        <v>6135</v>
      </c>
      <c r="K28" s="59">
        <v>6135</v>
      </c>
      <c r="L28" s="59">
        <v>6135</v>
      </c>
      <c r="M28" s="59">
        <v>6135</v>
      </c>
      <c r="N28" s="59">
        <v>6135</v>
      </c>
      <c r="O28" s="59">
        <v>6135</v>
      </c>
      <c r="P28" s="59">
        <v>6135</v>
      </c>
      <c r="Q28" s="59">
        <v>6135</v>
      </c>
      <c r="R28" s="59">
        <v>6135</v>
      </c>
      <c r="S28" s="59">
        <v>6135</v>
      </c>
      <c r="T28" s="59">
        <v>6135</v>
      </c>
      <c r="U28" s="59">
        <v>6135</v>
      </c>
      <c r="V28" s="59">
        <v>6135</v>
      </c>
      <c r="W28" s="59">
        <v>6135</v>
      </c>
      <c r="X28" s="59">
        <v>6135</v>
      </c>
      <c r="Y28" s="59">
        <v>6135</v>
      </c>
      <c r="Z28" s="59">
        <v>6135</v>
      </c>
      <c r="AA28" s="59">
        <v>6135</v>
      </c>
      <c r="AB28" s="59">
        <v>6135</v>
      </c>
      <c r="AC28" s="59">
        <v>6135</v>
      </c>
      <c r="AD28" s="59">
        <v>6135</v>
      </c>
      <c r="AE28" s="59">
        <v>6135</v>
      </c>
      <c r="AF28" s="59">
        <v>6135</v>
      </c>
      <c r="AG28" s="59">
        <v>6135</v>
      </c>
      <c r="AH28" s="59">
        <v>6135</v>
      </c>
      <c r="AI28" s="59">
        <v>6135</v>
      </c>
      <c r="AJ28" s="59">
        <v>6135</v>
      </c>
      <c r="AK28" s="59">
        <v>6135</v>
      </c>
      <c r="AL28" s="59" t="s">
        <v>16</v>
      </c>
      <c r="AM28" s="59" t="s">
        <v>13</v>
      </c>
      <c r="AN28" s="59" t="s">
        <v>13</v>
      </c>
      <c r="AO28" s="59" t="s">
        <v>13</v>
      </c>
      <c r="AP28" s="59" t="s">
        <v>13</v>
      </c>
      <c r="AQ28" s="59" t="s">
        <v>13</v>
      </c>
      <c r="AR28" s="59" t="s">
        <v>13</v>
      </c>
      <c r="AS28" s="59" t="s">
        <v>13</v>
      </c>
      <c r="AT28" s="59" t="s">
        <v>13</v>
      </c>
      <c r="AU28" s="59" t="s">
        <v>13</v>
      </c>
      <c r="AV28" s="59" t="s">
        <v>13</v>
      </c>
      <c r="AW28" s="59" t="s">
        <v>13</v>
      </c>
      <c r="AX28" s="59" t="s">
        <v>13</v>
      </c>
      <c r="AY28" s="59" t="s">
        <v>13</v>
      </c>
      <c r="AZ28" s="59" t="s">
        <v>13</v>
      </c>
      <c r="BA28" s="59" t="s">
        <v>13</v>
      </c>
      <c r="BB28" s="59" t="s">
        <v>13</v>
      </c>
      <c r="BC28" s="59" t="s">
        <v>16</v>
      </c>
      <c r="BD28" s="59">
        <v>6137</v>
      </c>
      <c r="BE28" s="59">
        <v>6137</v>
      </c>
      <c r="BF28" s="59">
        <v>6137</v>
      </c>
      <c r="BG28" s="59">
        <v>6137</v>
      </c>
      <c r="BH28" s="59">
        <v>6137</v>
      </c>
      <c r="BI28" s="59">
        <v>6137</v>
      </c>
      <c r="BJ28" s="59">
        <v>6137</v>
      </c>
      <c r="BK28" s="59" t="s">
        <v>16</v>
      </c>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59"/>
      <c r="CR28" s="59"/>
      <c r="CS28" s="59"/>
      <c r="CT28" s="59"/>
      <c r="CU28" s="59"/>
      <c r="CV28" s="59"/>
      <c r="CW28" s="59"/>
      <c r="CX28" s="59"/>
      <c r="CY28" s="59"/>
      <c r="CZ28" s="59"/>
      <c r="DA28" s="59"/>
      <c r="DB28" s="59"/>
      <c r="DC28" s="59"/>
      <c r="DD28" s="59"/>
      <c r="DE28" s="59"/>
      <c r="DF28" s="59"/>
      <c r="DG28" s="59"/>
      <c r="DH28" s="59"/>
      <c r="DI28" s="59"/>
      <c r="DJ28" s="59"/>
      <c r="DK28" s="59"/>
      <c r="DL28" s="59"/>
      <c r="DM28" s="59"/>
      <c r="DN28" s="59"/>
      <c r="DO28" s="59"/>
      <c r="DP28" s="59"/>
      <c r="DQ28" s="59"/>
      <c r="DR28" s="59"/>
      <c r="DS28" s="59"/>
      <c r="DT28" s="59"/>
      <c r="DU28" s="59"/>
      <c r="DV28" s="59"/>
      <c r="DW28" s="59"/>
      <c r="DX28" s="59"/>
      <c r="DY28" s="59"/>
      <c r="DZ28" s="59"/>
      <c r="EA28" s="59"/>
      <c r="EB28" s="59"/>
      <c r="EC28" s="59"/>
      <c r="ED28" s="59"/>
      <c r="EE28" s="59"/>
      <c r="EF28" s="59"/>
      <c r="EG28" s="59"/>
      <c r="EH28" s="59"/>
      <c r="EI28" s="59"/>
      <c r="EJ28" s="59"/>
      <c r="EK28" s="59"/>
      <c r="EL28" s="59"/>
      <c r="EM28" s="59"/>
      <c r="EN28" s="59"/>
      <c r="EO28" s="59"/>
      <c r="EP28" s="59"/>
      <c r="EQ28" s="59"/>
      <c r="ER28" s="59"/>
      <c r="ES28" s="59"/>
      <c r="ET28" s="59"/>
      <c r="EU28" s="59"/>
      <c r="EV28" s="59"/>
      <c r="EW28" s="59"/>
      <c r="EX28" s="59"/>
      <c r="EY28" s="59"/>
      <c r="EZ28" s="59"/>
      <c r="FA28" s="59"/>
      <c r="FB28" s="59"/>
      <c r="FC28" s="59"/>
      <c r="FD28" s="59"/>
      <c r="FE28" s="59"/>
      <c r="FF28" s="59"/>
      <c r="FG28" s="59"/>
      <c r="FH28" s="59"/>
      <c r="FI28" s="59"/>
      <c r="FJ28" s="59"/>
      <c r="FK28" s="59"/>
      <c r="FL28" s="59"/>
      <c r="FM28" s="59"/>
      <c r="FN28" s="59"/>
      <c r="FO28" s="59"/>
      <c r="FP28" s="59"/>
      <c r="FQ28" s="59"/>
      <c r="FR28" s="59"/>
      <c r="FS28" s="59"/>
      <c r="FT28" s="59"/>
      <c r="FU28" s="59"/>
      <c r="FV28" s="59"/>
      <c r="FW28" s="59"/>
      <c r="FX28" s="59"/>
      <c r="FY28" s="59"/>
      <c r="FZ28" s="59"/>
      <c r="GA28" s="59"/>
      <c r="GB28" s="59"/>
      <c r="GC28" s="59"/>
      <c r="GD28" s="59"/>
      <c r="GE28" s="59"/>
      <c r="GF28" s="59"/>
      <c r="GG28" s="59"/>
      <c r="GH28" s="59"/>
      <c r="GI28" s="59"/>
      <c r="GJ28" s="59"/>
      <c r="GK28" s="59"/>
      <c r="GL28" s="59"/>
      <c r="GM28" s="59"/>
      <c r="GN28" s="59"/>
      <c r="GO28" s="59"/>
      <c r="GP28" s="59"/>
      <c r="GQ28" s="59"/>
      <c r="GR28" s="59"/>
      <c r="GS28" s="59"/>
      <c r="HA28" s="15"/>
      <c r="HE28" s="14">
        <v>4359</v>
      </c>
    </row>
    <row r="29" spans="1:213">
      <c r="A29" s="17">
        <v>24</v>
      </c>
      <c r="B29" s="59" t="s">
        <v>15</v>
      </c>
      <c r="C29" s="59" t="s">
        <v>15</v>
      </c>
      <c r="D29" s="59" t="s">
        <v>15</v>
      </c>
      <c r="E29" s="59" t="s">
        <v>15</v>
      </c>
      <c r="F29" s="59" t="s">
        <v>15</v>
      </c>
      <c r="G29" s="59" t="s">
        <v>15</v>
      </c>
      <c r="H29" s="59" t="s">
        <v>15</v>
      </c>
      <c r="I29" s="59" t="s">
        <v>15</v>
      </c>
      <c r="J29" s="59" t="s">
        <v>15</v>
      </c>
      <c r="K29" s="59" t="s">
        <v>15</v>
      </c>
      <c r="L29" s="59" t="s">
        <v>15</v>
      </c>
      <c r="M29" s="59" t="s">
        <v>15</v>
      </c>
      <c r="N29" s="59" t="s">
        <v>15</v>
      </c>
      <c r="O29" s="59" t="s">
        <v>15</v>
      </c>
      <c r="P29" s="59" t="s">
        <v>15</v>
      </c>
      <c r="Q29" s="59" t="s">
        <v>15</v>
      </c>
      <c r="R29" s="59" t="s">
        <v>15</v>
      </c>
      <c r="S29" s="59" t="s">
        <v>15</v>
      </c>
      <c r="T29" s="59" t="s">
        <v>15</v>
      </c>
      <c r="U29" s="59" t="s">
        <v>15</v>
      </c>
      <c r="V29" s="59" t="s">
        <v>15</v>
      </c>
      <c r="W29" s="59" t="s">
        <v>15</v>
      </c>
      <c r="X29" s="59" t="s">
        <v>15</v>
      </c>
      <c r="Y29" s="59" t="s">
        <v>15</v>
      </c>
      <c r="Z29" s="59" t="s">
        <v>15</v>
      </c>
      <c r="AA29" s="59" t="s">
        <v>15</v>
      </c>
      <c r="AB29" s="59" t="s">
        <v>15</v>
      </c>
      <c r="AC29" s="59" t="s">
        <v>15</v>
      </c>
      <c r="AD29" s="59" t="s">
        <v>15</v>
      </c>
      <c r="AE29" s="59" t="s">
        <v>15</v>
      </c>
      <c r="AF29" s="59" t="s">
        <v>15</v>
      </c>
      <c r="AG29" s="59" t="s">
        <v>15</v>
      </c>
      <c r="AH29" s="59" t="s">
        <v>15</v>
      </c>
      <c r="AI29" s="59" t="s">
        <v>15</v>
      </c>
      <c r="AJ29" s="59" t="s">
        <v>15</v>
      </c>
      <c r="AK29" s="59" t="s">
        <v>15</v>
      </c>
      <c r="AL29" s="59" t="s">
        <v>15</v>
      </c>
      <c r="AM29" s="59" t="s">
        <v>15</v>
      </c>
      <c r="AN29" s="59" t="s">
        <v>15</v>
      </c>
      <c r="AO29" s="59" t="s">
        <v>15</v>
      </c>
      <c r="AP29" s="59" t="s">
        <v>15</v>
      </c>
      <c r="AQ29" s="59" t="s">
        <v>15</v>
      </c>
      <c r="AR29" s="59" t="s">
        <v>15</v>
      </c>
      <c r="AS29" s="59" t="s">
        <v>15</v>
      </c>
      <c r="AT29" s="59" t="s">
        <v>15</v>
      </c>
      <c r="AU29" s="59" t="s">
        <v>15</v>
      </c>
      <c r="AV29" s="59" t="s">
        <v>15</v>
      </c>
      <c r="AW29" s="59" t="s">
        <v>15</v>
      </c>
      <c r="AX29" s="59" t="s">
        <v>15</v>
      </c>
      <c r="AY29" s="59" t="s">
        <v>15</v>
      </c>
      <c r="AZ29" s="59" t="s">
        <v>15</v>
      </c>
      <c r="BA29" s="59" t="s">
        <v>15</v>
      </c>
      <c r="BB29" s="59" t="s">
        <v>15</v>
      </c>
      <c r="BC29" s="59" t="s">
        <v>15</v>
      </c>
      <c r="BD29" s="59" t="s">
        <v>15</v>
      </c>
      <c r="BE29" s="59" t="s">
        <v>15</v>
      </c>
      <c r="BF29" s="59" t="s">
        <v>15</v>
      </c>
      <c r="BG29" s="59" t="s">
        <v>15</v>
      </c>
      <c r="BH29" s="59" t="s">
        <v>15</v>
      </c>
      <c r="BI29" s="59" t="s">
        <v>15</v>
      </c>
      <c r="BJ29" s="59" t="s">
        <v>15</v>
      </c>
      <c r="BK29" s="59" t="s">
        <v>15</v>
      </c>
      <c r="BL29" s="59" t="s">
        <v>15</v>
      </c>
      <c r="BM29" s="59" t="s">
        <v>15</v>
      </c>
      <c r="BN29" s="59" t="s">
        <v>15</v>
      </c>
      <c r="BO29" s="59" t="s">
        <v>15</v>
      </c>
      <c r="BP29" s="59" t="s">
        <v>15</v>
      </c>
      <c r="BQ29" s="59" t="s">
        <v>15</v>
      </c>
      <c r="BR29" s="59" t="s">
        <v>15</v>
      </c>
      <c r="BS29" s="59" t="s">
        <v>15</v>
      </c>
      <c r="BT29" s="59" t="s">
        <v>16</v>
      </c>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c r="CX29" s="59"/>
      <c r="CY29" s="59"/>
      <c r="CZ29" s="59"/>
      <c r="DA29" s="59"/>
      <c r="DB29" s="59"/>
      <c r="DC29" s="59"/>
      <c r="DD29" s="59"/>
      <c r="DE29" s="59"/>
      <c r="DF29" s="59"/>
      <c r="DG29" s="59"/>
      <c r="DH29" s="59"/>
      <c r="DI29" s="59"/>
      <c r="DJ29" s="59"/>
      <c r="DK29" s="59"/>
      <c r="DL29" s="59"/>
      <c r="DM29" s="59"/>
      <c r="DN29" s="59"/>
      <c r="DO29" s="59"/>
      <c r="DP29" s="59"/>
      <c r="DQ29" s="59"/>
      <c r="DR29" s="59"/>
      <c r="DS29" s="59"/>
      <c r="DT29" s="59"/>
      <c r="DU29" s="59"/>
      <c r="DV29" s="59"/>
      <c r="DW29" s="59"/>
      <c r="DX29" s="59"/>
      <c r="DY29" s="59"/>
      <c r="DZ29" s="59"/>
      <c r="EA29" s="59"/>
      <c r="EB29" s="59"/>
      <c r="EC29" s="59"/>
      <c r="ED29" s="59"/>
      <c r="EE29" s="59"/>
      <c r="EF29" s="59"/>
      <c r="EG29" s="59"/>
      <c r="EH29" s="59"/>
      <c r="EI29" s="59"/>
      <c r="EJ29" s="59"/>
      <c r="EK29" s="59"/>
      <c r="EL29" s="59"/>
      <c r="EM29" s="59"/>
      <c r="EN29" s="59"/>
      <c r="EO29" s="59"/>
      <c r="EP29" s="59"/>
      <c r="EQ29" s="59"/>
      <c r="ER29" s="59"/>
      <c r="ES29" s="59"/>
      <c r="ET29" s="59"/>
      <c r="EU29" s="59"/>
      <c r="EV29" s="59"/>
      <c r="EW29" s="59"/>
      <c r="EX29" s="59"/>
      <c r="EY29" s="59"/>
      <c r="EZ29" s="59"/>
      <c r="FA29" s="59"/>
      <c r="FB29" s="59"/>
      <c r="FC29" s="59"/>
      <c r="FD29" s="59"/>
      <c r="FE29" s="59"/>
      <c r="FF29" s="59"/>
      <c r="FG29" s="59"/>
      <c r="FH29" s="59"/>
      <c r="FI29" s="59"/>
      <c r="FJ29" s="59"/>
      <c r="FK29" s="59"/>
      <c r="FL29" s="59"/>
      <c r="FM29" s="59"/>
      <c r="FN29" s="59"/>
      <c r="FO29" s="59"/>
      <c r="FP29" s="59"/>
      <c r="FQ29" s="59"/>
      <c r="FR29" s="59"/>
      <c r="FS29" s="59"/>
      <c r="FT29" s="59"/>
      <c r="FU29" s="59"/>
      <c r="FV29" s="59"/>
      <c r="FW29" s="59"/>
      <c r="FX29" s="59"/>
      <c r="FY29" s="59"/>
      <c r="FZ29" s="59"/>
      <c r="GA29" s="59"/>
      <c r="GB29" s="59"/>
      <c r="GC29" s="59"/>
      <c r="GD29" s="59"/>
      <c r="GE29" s="59"/>
      <c r="GF29" s="59"/>
      <c r="GG29" s="59"/>
      <c r="GH29" s="59"/>
      <c r="GI29" s="59"/>
      <c r="GJ29" s="59"/>
      <c r="GK29" s="59"/>
      <c r="GL29" s="59"/>
      <c r="GM29" s="59"/>
      <c r="GN29" s="59"/>
      <c r="GO29" s="59"/>
      <c r="GP29" s="59"/>
      <c r="GQ29" s="59"/>
      <c r="GR29" s="59"/>
      <c r="GS29" s="59"/>
      <c r="HA29" s="15"/>
      <c r="HE29" s="14">
        <v>4301</v>
      </c>
    </row>
    <row r="30" spans="1:213">
      <c r="A30" s="17">
        <v>25</v>
      </c>
      <c r="B30" s="59" t="s">
        <v>15</v>
      </c>
      <c r="C30" s="59" t="s">
        <v>15</v>
      </c>
      <c r="D30" s="59" t="s">
        <v>15</v>
      </c>
      <c r="E30" s="59" t="s">
        <v>15</v>
      </c>
      <c r="F30" s="59" t="s">
        <v>15</v>
      </c>
      <c r="G30" s="59" t="s">
        <v>15</v>
      </c>
      <c r="H30" s="59" t="s">
        <v>15</v>
      </c>
      <c r="I30" s="59" t="s">
        <v>15</v>
      </c>
      <c r="J30" s="59" t="s">
        <v>15</v>
      </c>
      <c r="K30" s="59" t="s">
        <v>15</v>
      </c>
      <c r="L30" s="59" t="s">
        <v>15</v>
      </c>
      <c r="M30" s="59" t="s">
        <v>15</v>
      </c>
      <c r="N30" s="59" t="s">
        <v>15</v>
      </c>
      <c r="O30" s="59" t="s">
        <v>15</v>
      </c>
      <c r="P30" s="59" t="s">
        <v>15</v>
      </c>
      <c r="Q30" s="59" t="s">
        <v>15</v>
      </c>
      <c r="R30" s="59" t="s">
        <v>15</v>
      </c>
      <c r="S30" s="59" t="s">
        <v>15</v>
      </c>
      <c r="T30" s="59" t="s">
        <v>15</v>
      </c>
      <c r="U30" s="59" t="s">
        <v>15</v>
      </c>
      <c r="V30" s="59" t="s">
        <v>15</v>
      </c>
      <c r="W30" s="59" t="s">
        <v>15</v>
      </c>
      <c r="X30" s="59" t="s">
        <v>15</v>
      </c>
      <c r="Y30" s="59" t="s">
        <v>15</v>
      </c>
      <c r="Z30" s="59" t="s">
        <v>15</v>
      </c>
      <c r="AA30" s="59" t="s">
        <v>15</v>
      </c>
      <c r="AB30" s="59" t="s">
        <v>15</v>
      </c>
      <c r="AC30" s="59" t="s">
        <v>15</v>
      </c>
      <c r="AD30" s="59" t="s">
        <v>15</v>
      </c>
      <c r="AE30" s="59" t="s">
        <v>15</v>
      </c>
      <c r="AF30" s="59" t="s">
        <v>15</v>
      </c>
      <c r="AG30" s="59" t="s">
        <v>15</v>
      </c>
      <c r="AH30" s="59" t="s">
        <v>15</v>
      </c>
      <c r="AI30" s="59" t="s">
        <v>15</v>
      </c>
      <c r="AJ30" s="59" t="s">
        <v>15</v>
      </c>
      <c r="AK30" s="59" t="s">
        <v>15</v>
      </c>
      <c r="AL30" s="59" t="s">
        <v>15</v>
      </c>
      <c r="AM30" s="59" t="s">
        <v>15</v>
      </c>
      <c r="AN30" s="59" t="s">
        <v>15</v>
      </c>
      <c r="AO30" s="59" t="s">
        <v>15</v>
      </c>
      <c r="AP30" s="59" t="s">
        <v>15</v>
      </c>
      <c r="AQ30" s="59" t="s">
        <v>15</v>
      </c>
      <c r="AR30" s="59" t="s">
        <v>15</v>
      </c>
      <c r="AS30" s="59" t="s">
        <v>15</v>
      </c>
      <c r="AT30" s="59" t="s">
        <v>15</v>
      </c>
      <c r="AU30" s="59" t="s">
        <v>15</v>
      </c>
      <c r="AV30" s="59" t="s">
        <v>15</v>
      </c>
      <c r="AW30" s="59" t="s">
        <v>15</v>
      </c>
      <c r="AX30" s="59" t="s">
        <v>15</v>
      </c>
      <c r="AY30" s="59" t="s">
        <v>15</v>
      </c>
      <c r="AZ30" s="59" t="s">
        <v>15</v>
      </c>
      <c r="BA30" s="59" t="s">
        <v>15</v>
      </c>
      <c r="BB30" s="59" t="s">
        <v>15</v>
      </c>
      <c r="BC30" s="59" t="s">
        <v>15</v>
      </c>
      <c r="BD30" s="59" t="s">
        <v>15</v>
      </c>
      <c r="BE30" s="59" t="s">
        <v>15</v>
      </c>
      <c r="BF30" s="59" t="s">
        <v>15</v>
      </c>
      <c r="BG30" s="59" t="s">
        <v>15</v>
      </c>
      <c r="BH30" s="59" t="s">
        <v>15</v>
      </c>
      <c r="BI30" s="59" t="s">
        <v>15</v>
      </c>
      <c r="BJ30" s="59" t="s">
        <v>15</v>
      </c>
      <c r="BK30" s="59" t="s">
        <v>15</v>
      </c>
      <c r="BL30" s="59" t="s">
        <v>15</v>
      </c>
      <c r="BM30" s="59" t="s">
        <v>15</v>
      </c>
      <c r="BN30" s="59" t="s">
        <v>15</v>
      </c>
      <c r="BO30" s="59" t="s">
        <v>15</v>
      </c>
      <c r="BP30" s="59" t="s">
        <v>15</v>
      </c>
      <c r="BQ30" s="59" t="s">
        <v>15</v>
      </c>
      <c r="BR30" s="59" t="s">
        <v>15</v>
      </c>
      <c r="BS30" s="59" t="s">
        <v>15</v>
      </c>
      <c r="BT30" s="59" t="s">
        <v>16</v>
      </c>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c r="CY30" s="59"/>
      <c r="CZ30" s="59"/>
      <c r="DA30" s="59"/>
      <c r="DB30" s="59"/>
      <c r="DC30" s="59"/>
      <c r="DD30" s="59"/>
      <c r="DE30" s="59"/>
      <c r="DF30" s="59"/>
      <c r="DG30" s="59"/>
      <c r="DH30" s="59"/>
      <c r="DI30" s="59"/>
      <c r="DJ30" s="59"/>
      <c r="DK30" s="59"/>
      <c r="DL30" s="59"/>
      <c r="DM30" s="59"/>
      <c r="DN30" s="59"/>
      <c r="DO30" s="59"/>
      <c r="DP30" s="59"/>
      <c r="DQ30" s="59"/>
      <c r="DR30" s="59"/>
      <c r="DS30" s="59"/>
      <c r="DT30" s="59"/>
      <c r="DU30" s="59"/>
      <c r="DV30" s="59"/>
      <c r="DW30" s="59"/>
      <c r="DX30" s="59"/>
      <c r="DY30" s="59"/>
      <c r="DZ30" s="59"/>
      <c r="EA30" s="59"/>
      <c r="EB30" s="59"/>
      <c r="EC30" s="59"/>
      <c r="ED30" s="59"/>
      <c r="EE30" s="59"/>
      <c r="EF30" s="59"/>
      <c r="EG30" s="59"/>
      <c r="EH30" s="59"/>
      <c r="EI30" s="59"/>
      <c r="EJ30" s="59"/>
      <c r="EK30" s="59"/>
      <c r="EL30" s="59"/>
      <c r="EM30" s="59"/>
      <c r="EN30" s="59"/>
      <c r="EO30" s="59"/>
      <c r="EP30" s="59"/>
      <c r="EQ30" s="59"/>
      <c r="ER30" s="59"/>
      <c r="ES30" s="59"/>
      <c r="ET30" s="59"/>
      <c r="EU30" s="59"/>
      <c r="EV30" s="59"/>
      <c r="EW30" s="59"/>
      <c r="EX30" s="59"/>
      <c r="EY30" s="59"/>
      <c r="EZ30" s="59"/>
      <c r="FA30" s="59"/>
      <c r="FB30" s="59"/>
      <c r="FC30" s="59"/>
      <c r="FD30" s="59"/>
      <c r="FE30" s="59"/>
      <c r="FF30" s="59"/>
      <c r="FG30" s="59"/>
      <c r="FH30" s="59"/>
      <c r="FI30" s="59"/>
      <c r="FJ30" s="59"/>
      <c r="FK30" s="59"/>
      <c r="FL30" s="59"/>
      <c r="FM30" s="59"/>
      <c r="FN30" s="59"/>
      <c r="FO30" s="59"/>
      <c r="FP30" s="59"/>
      <c r="FQ30" s="59"/>
      <c r="FR30" s="59"/>
      <c r="FS30" s="59"/>
      <c r="FT30" s="59"/>
      <c r="FU30" s="59"/>
      <c r="FV30" s="59"/>
      <c r="FW30" s="59"/>
      <c r="FX30" s="59"/>
      <c r="FY30" s="59"/>
      <c r="FZ30" s="59"/>
      <c r="GA30" s="59"/>
      <c r="GB30" s="59"/>
      <c r="GC30" s="59"/>
      <c r="GD30" s="59"/>
      <c r="GE30" s="59"/>
      <c r="GF30" s="59"/>
      <c r="GG30" s="59"/>
      <c r="GH30" s="59"/>
      <c r="GI30" s="59"/>
      <c r="GJ30" s="59"/>
      <c r="GK30" s="59"/>
      <c r="GL30" s="59"/>
      <c r="GM30" s="59"/>
      <c r="GN30" s="59"/>
      <c r="GO30" s="59"/>
      <c r="GP30" s="59"/>
      <c r="GQ30" s="59"/>
      <c r="GR30" s="59"/>
      <c r="GS30" s="59"/>
      <c r="HA30" s="15"/>
      <c r="HE30" s="14" t="s">
        <v>155</v>
      </c>
    </row>
    <row r="31" spans="1:213">
      <c r="A31" s="17">
        <v>26</v>
      </c>
      <c r="B31" s="59">
        <v>6135</v>
      </c>
      <c r="C31" s="59">
        <v>6135</v>
      </c>
      <c r="D31" s="59">
        <v>6135</v>
      </c>
      <c r="E31" s="59">
        <v>6135</v>
      </c>
      <c r="F31" s="59">
        <v>6135</v>
      </c>
      <c r="G31" s="59">
        <v>6135</v>
      </c>
      <c r="H31" s="59">
        <v>6135</v>
      </c>
      <c r="I31" s="59">
        <v>6135</v>
      </c>
      <c r="J31" s="59">
        <v>6135</v>
      </c>
      <c r="K31" s="59">
        <v>6135</v>
      </c>
      <c r="L31" s="59">
        <v>6135</v>
      </c>
      <c r="M31" s="59">
        <v>6135</v>
      </c>
      <c r="N31" s="59">
        <v>6135</v>
      </c>
      <c r="O31" s="59">
        <v>6135</v>
      </c>
      <c r="P31" s="59">
        <v>6135</v>
      </c>
      <c r="Q31" s="59">
        <v>6135</v>
      </c>
      <c r="R31" s="59">
        <v>6135</v>
      </c>
      <c r="S31" s="59">
        <v>6135</v>
      </c>
      <c r="T31" s="59">
        <v>6135</v>
      </c>
      <c r="U31" s="59">
        <v>6135</v>
      </c>
      <c r="V31" s="59">
        <v>6135</v>
      </c>
      <c r="W31" s="59">
        <v>6135</v>
      </c>
      <c r="X31" s="59">
        <v>6135</v>
      </c>
      <c r="Y31" s="59">
        <v>6135</v>
      </c>
      <c r="Z31" s="59">
        <v>6135</v>
      </c>
      <c r="AA31" s="59">
        <v>6135</v>
      </c>
      <c r="AB31" s="59">
        <v>6135</v>
      </c>
      <c r="AC31" s="59">
        <v>6135</v>
      </c>
      <c r="AD31" s="59">
        <v>6135</v>
      </c>
      <c r="AE31" s="59">
        <v>6135</v>
      </c>
      <c r="AF31" s="59">
        <v>6135</v>
      </c>
      <c r="AG31" s="59">
        <v>6135</v>
      </c>
      <c r="AH31" s="59">
        <v>6135</v>
      </c>
      <c r="AI31" s="59">
        <v>6135</v>
      </c>
      <c r="AJ31" s="59">
        <v>6135</v>
      </c>
      <c r="AK31" s="59">
        <v>6135</v>
      </c>
      <c r="AL31" s="59" t="s">
        <v>16</v>
      </c>
      <c r="AM31" s="59" t="s">
        <v>15</v>
      </c>
      <c r="AN31" s="59" t="s">
        <v>15</v>
      </c>
      <c r="AO31" s="59" t="s">
        <v>15</v>
      </c>
      <c r="AP31" s="59" t="s">
        <v>15</v>
      </c>
      <c r="AQ31" s="59" t="s">
        <v>15</v>
      </c>
      <c r="AR31" s="59" t="s">
        <v>15</v>
      </c>
      <c r="AS31" s="59" t="s">
        <v>15</v>
      </c>
      <c r="AT31" s="59" t="s">
        <v>15</v>
      </c>
      <c r="AU31" s="59" t="s">
        <v>15</v>
      </c>
      <c r="AV31" s="59" t="s">
        <v>15</v>
      </c>
      <c r="AW31" s="59" t="s">
        <v>15</v>
      </c>
      <c r="AX31" s="59" t="s">
        <v>15</v>
      </c>
      <c r="AY31" s="59" t="s">
        <v>15</v>
      </c>
      <c r="AZ31" s="59" t="s">
        <v>15</v>
      </c>
      <c r="BA31" s="59" t="s">
        <v>15</v>
      </c>
      <c r="BB31" s="59" t="s">
        <v>15</v>
      </c>
      <c r="BC31" s="59" t="s">
        <v>15</v>
      </c>
      <c r="BD31" s="59" t="s">
        <v>15</v>
      </c>
      <c r="BE31" s="59" t="s">
        <v>15</v>
      </c>
      <c r="BF31" s="59" t="s">
        <v>15</v>
      </c>
      <c r="BG31" s="59" t="s">
        <v>15</v>
      </c>
      <c r="BH31" s="59" t="s">
        <v>15</v>
      </c>
      <c r="BI31" s="59" t="s">
        <v>15</v>
      </c>
      <c r="BJ31" s="59" t="s">
        <v>15</v>
      </c>
      <c r="BK31" s="59" t="s">
        <v>15</v>
      </c>
      <c r="BL31" s="59" t="s">
        <v>15</v>
      </c>
      <c r="BM31" s="59" t="s">
        <v>15</v>
      </c>
      <c r="BN31" s="59" t="s">
        <v>15</v>
      </c>
      <c r="BO31" s="59" t="s">
        <v>15</v>
      </c>
      <c r="BP31" s="59" t="s">
        <v>15</v>
      </c>
      <c r="BQ31" s="59" t="s">
        <v>15</v>
      </c>
      <c r="BR31" s="59" t="s">
        <v>15</v>
      </c>
      <c r="BS31" s="59" t="s">
        <v>15</v>
      </c>
      <c r="BT31" s="59" t="s">
        <v>16</v>
      </c>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59"/>
      <c r="DB31" s="59"/>
      <c r="DC31" s="59"/>
      <c r="DD31" s="59"/>
      <c r="DE31" s="59"/>
      <c r="DF31" s="59"/>
      <c r="DG31" s="59"/>
      <c r="DH31" s="59"/>
      <c r="DI31" s="59"/>
      <c r="DJ31" s="59"/>
      <c r="DK31" s="59"/>
      <c r="DL31" s="59"/>
      <c r="DM31" s="59"/>
      <c r="DN31" s="59"/>
      <c r="DO31" s="59"/>
      <c r="DP31" s="59"/>
      <c r="DQ31" s="59"/>
      <c r="DR31" s="59"/>
      <c r="DS31" s="59"/>
      <c r="DT31" s="59"/>
      <c r="DU31" s="59"/>
      <c r="DV31" s="59"/>
      <c r="DW31" s="59"/>
      <c r="DX31" s="59"/>
      <c r="DY31" s="59"/>
      <c r="DZ31" s="59"/>
      <c r="EA31" s="59"/>
      <c r="EB31" s="59"/>
      <c r="EC31" s="59"/>
      <c r="ED31" s="59"/>
      <c r="EE31" s="59"/>
      <c r="EF31" s="59"/>
      <c r="EG31" s="59"/>
      <c r="EH31" s="59"/>
      <c r="EI31" s="59"/>
      <c r="EJ31" s="59"/>
      <c r="EK31" s="59"/>
      <c r="EL31" s="59"/>
      <c r="EM31" s="59"/>
      <c r="EN31" s="59"/>
      <c r="EO31" s="59"/>
      <c r="EP31" s="59"/>
      <c r="EQ31" s="59"/>
      <c r="ER31" s="59"/>
      <c r="ES31" s="59"/>
      <c r="ET31" s="59"/>
      <c r="EU31" s="59"/>
      <c r="EV31" s="59"/>
      <c r="EW31" s="59"/>
      <c r="EX31" s="59"/>
      <c r="EY31" s="59"/>
      <c r="EZ31" s="59"/>
      <c r="FA31" s="59"/>
      <c r="FB31" s="59"/>
      <c r="FC31" s="59"/>
      <c r="FD31" s="59"/>
      <c r="FE31" s="59"/>
      <c r="FF31" s="59"/>
      <c r="FG31" s="59"/>
      <c r="FH31" s="59"/>
      <c r="FI31" s="59"/>
      <c r="FJ31" s="59"/>
      <c r="FK31" s="59"/>
      <c r="FL31" s="59"/>
      <c r="FM31" s="59"/>
      <c r="FN31" s="59"/>
      <c r="FO31" s="59"/>
      <c r="FP31" s="59"/>
      <c r="FQ31" s="59"/>
      <c r="FR31" s="59"/>
      <c r="FS31" s="59"/>
      <c r="FT31" s="59"/>
      <c r="FU31" s="59"/>
      <c r="FV31" s="59"/>
      <c r="FW31" s="59"/>
      <c r="FX31" s="59"/>
      <c r="FY31" s="59"/>
      <c r="FZ31" s="59"/>
      <c r="GA31" s="59"/>
      <c r="GB31" s="59"/>
      <c r="GC31" s="59"/>
      <c r="GD31" s="59"/>
      <c r="GE31" s="59"/>
      <c r="GF31" s="59"/>
      <c r="GG31" s="59"/>
      <c r="GH31" s="59"/>
      <c r="GI31" s="59"/>
      <c r="GJ31" s="59"/>
      <c r="GK31" s="59"/>
      <c r="GL31" s="59"/>
      <c r="GM31" s="59"/>
      <c r="GN31" s="59"/>
      <c r="GO31" s="59"/>
      <c r="GP31" s="59"/>
      <c r="GQ31" s="59"/>
      <c r="GR31" s="59"/>
      <c r="GS31" s="59"/>
      <c r="HA31" s="15"/>
      <c r="HE31" s="14" t="s">
        <v>156</v>
      </c>
    </row>
    <row r="32" spans="1:213">
      <c r="HA32" s="15"/>
      <c r="HE32" s="14">
        <v>5200</v>
      </c>
    </row>
    <row r="33" spans="1:213">
      <c r="HA33" s="15"/>
      <c r="HE33" s="14">
        <v>5220</v>
      </c>
    </row>
    <row r="34" spans="1:213">
      <c r="A34" s="9" t="s">
        <v>486</v>
      </c>
      <c r="B34" s="10"/>
      <c r="GW34" s="52" t="s">
        <v>340</v>
      </c>
      <c r="HA34" s="15"/>
      <c r="HE34" s="14">
        <v>5500</v>
      </c>
    </row>
    <row r="35" spans="1:213">
      <c r="A35" s="12" t="s">
        <v>219</v>
      </c>
      <c r="B35" s="53">
        <f>B$5</f>
        <v>46235</v>
      </c>
      <c r="C35" s="53">
        <f>C$5</f>
        <v>46236</v>
      </c>
      <c r="D35" s="53">
        <f>D$5</f>
        <v>46237</v>
      </c>
      <c r="E35" s="53">
        <f>E$5</f>
        <v>46238</v>
      </c>
      <c r="F35" s="53">
        <f>F$5</f>
        <v>46239</v>
      </c>
      <c r="G35" s="53">
        <f>G$5</f>
        <v>46240</v>
      </c>
      <c r="H35" s="53">
        <f>H$5</f>
        <v>46241</v>
      </c>
      <c r="I35" s="53">
        <f>I$5</f>
        <v>46242</v>
      </c>
      <c r="J35" s="53">
        <f>J$5</f>
        <v>46243</v>
      </c>
      <c r="K35" s="53">
        <f>K$5</f>
        <v>46244</v>
      </c>
      <c r="L35" s="53">
        <f>L$5</f>
        <v>46245</v>
      </c>
      <c r="M35" s="53">
        <f>M$5</f>
        <v>46246</v>
      </c>
      <c r="N35" s="53">
        <f>N$5</f>
        <v>46247</v>
      </c>
      <c r="O35" s="53">
        <f>O$5</f>
        <v>46248</v>
      </c>
      <c r="P35" s="53">
        <f>P$5</f>
        <v>46249</v>
      </c>
      <c r="Q35" s="53">
        <f>Q$5</f>
        <v>46250</v>
      </c>
      <c r="R35" s="53">
        <f>R$5</f>
        <v>46251</v>
      </c>
      <c r="S35" s="53">
        <f>S$5</f>
        <v>46252</v>
      </c>
      <c r="T35" s="53">
        <f>T$5</f>
        <v>46253</v>
      </c>
      <c r="U35" s="53">
        <f>U$5</f>
        <v>46254</v>
      </c>
      <c r="V35" s="53">
        <f>V$5</f>
        <v>46255</v>
      </c>
      <c r="W35" s="53">
        <f>W$5</f>
        <v>46256</v>
      </c>
      <c r="X35" s="53">
        <f>X$5</f>
        <v>46257</v>
      </c>
      <c r="Y35" s="53">
        <f>Y$5</f>
        <v>46258</v>
      </c>
      <c r="Z35" s="53">
        <f>Z$5</f>
        <v>46259</v>
      </c>
      <c r="AA35" s="53">
        <f>AA$5</f>
        <v>46260</v>
      </c>
      <c r="AB35" s="53">
        <f>AB$5</f>
        <v>46261</v>
      </c>
      <c r="AC35" s="53">
        <f>AC$5</f>
        <v>46262</v>
      </c>
      <c r="AD35" s="53">
        <f>AD$5</f>
        <v>46263</v>
      </c>
      <c r="AE35" s="53">
        <f>AE$5</f>
        <v>46264</v>
      </c>
      <c r="AF35" s="53">
        <f>AF$5</f>
        <v>46265</v>
      </c>
      <c r="AG35" s="53">
        <f>AG$5</f>
        <v>46266</v>
      </c>
      <c r="AH35" s="53">
        <f>AH$5</f>
        <v>46267</v>
      </c>
      <c r="AI35" s="53">
        <f>AI$5</f>
        <v>46268</v>
      </c>
      <c r="AJ35" s="53">
        <f>AJ$5</f>
        <v>46269</v>
      </c>
      <c r="AK35" s="53">
        <f>AK$5</f>
        <v>46270</v>
      </c>
      <c r="AL35" s="53">
        <f>AL$5</f>
        <v>46271</v>
      </c>
      <c r="AM35" s="53">
        <f>AM$5</f>
        <v>46272</v>
      </c>
      <c r="AN35" s="53">
        <f>AN$5</f>
        <v>46273</v>
      </c>
      <c r="AO35" s="53">
        <f>AO$5</f>
        <v>46274</v>
      </c>
      <c r="AP35" s="53">
        <f>AP$5</f>
        <v>46275</v>
      </c>
      <c r="AQ35" s="53">
        <f>AQ$5</f>
        <v>46276</v>
      </c>
      <c r="AR35" s="53">
        <f>AR$5</f>
        <v>46277</v>
      </c>
      <c r="AS35" s="53">
        <f>AS$5</f>
        <v>46278</v>
      </c>
      <c r="AT35" s="53">
        <f>AT$5</f>
        <v>46279</v>
      </c>
      <c r="AU35" s="53">
        <f>AU$5</f>
        <v>46280</v>
      </c>
      <c r="AV35" s="53">
        <f>AV$5</f>
        <v>46281</v>
      </c>
      <c r="AW35" s="53">
        <f>AW$5</f>
        <v>46282</v>
      </c>
      <c r="AX35" s="53">
        <f>AX$5</f>
        <v>46283</v>
      </c>
      <c r="AY35" s="53">
        <f>AY$5</f>
        <v>46284</v>
      </c>
      <c r="AZ35" s="53">
        <f>AZ$5</f>
        <v>46285</v>
      </c>
      <c r="BA35" s="53">
        <f>BA$5</f>
        <v>46286</v>
      </c>
      <c r="BB35" s="53">
        <f>BB$5</f>
        <v>46287</v>
      </c>
      <c r="BC35" s="53">
        <f>BC$5</f>
        <v>46288</v>
      </c>
      <c r="BD35" s="53">
        <f>BD$5</f>
        <v>46289</v>
      </c>
      <c r="BE35" s="53">
        <f>BE$5</f>
        <v>46290</v>
      </c>
      <c r="BF35" s="53">
        <f>BF$5</f>
        <v>46291</v>
      </c>
      <c r="BG35" s="53">
        <f>BG$5</f>
        <v>46292</v>
      </c>
      <c r="BH35" s="53">
        <f>BH$5</f>
        <v>46293</v>
      </c>
      <c r="BI35" s="53">
        <f>BI$5</f>
        <v>46294</v>
      </c>
      <c r="BJ35" s="53">
        <f>BJ$5</f>
        <v>46295</v>
      </c>
      <c r="BK35" s="53">
        <f>BK$5</f>
        <v>46296</v>
      </c>
      <c r="BL35" s="53">
        <f>BL$5</f>
        <v>46297</v>
      </c>
      <c r="BM35" s="53">
        <f>BM$5</f>
        <v>46298</v>
      </c>
      <c r="BN35" s="53">
        <f>BN$5</f>
        <v>46299</v>
      </c>
      <c r="BO35" s="53">
        <f>BO$5</f>
        <v>46300</v>
      </c>
      <c r="BP35" s="53">
        <f>BP$5</f>
        <v>46301</v>
      </c>
      <c r="BQ35" s="53">
        <f>BQ$5</f>
        <v>46302</v>
      </c>
      <c r="BR35" s="53">
        <f>BR$5</f>
        <v>46303</v>
      </c>
      <c r="BS35" s="53">
        <f>BS$5</f>
        <v>46304</v>
      </c>
      <c r="BT35" s="53">
        <f>BT$5</f>
        <v>46305</v>
      </c>
      <c r="BU35" s="53">
        <f>BU$5</f>
        <v>46306</v>
      </c>
      <c r="BV35" s="53">
        <f>BV$5</f>
        <v>46307</v>
      </c>
      <c r="BW35" s="53">
        <f>BW$5</f>
        <v>46308</v>
      </c>
      <c r="BX35" s="53">
        <f>BX$5</f>
        <v>46309</v>
      </c>
      <c r="BY35" s="53">
        <f>BY$5</f>
        <v>46310</v>
      </c>
      <c r="BZ35" s="53">
        <f>BZ$5</f>
        <v>46311</v>
      </c>
      <c r="CA35" s="53">
        <f>CA$5</f>
        <v>46312</v>
      </c>
      <c r="CB35" s="53">
        <f>CB$5</f>
        <v>46313</v>
      </c>
      <c r="CC35" s="53">
        <f>CC$5</f>
        <v>46314</v>
      </c>
      <c r="CD35" s="53">
        <f>CD$5</f>
        <v>46315</v>
      </c>
      <c r="CE35" s="53">
        <f>CE$5</f>
        <v>46316</v>
      </c>
      <c r="CF35" s="53">
        <f>CF$5</f>
        <v>46317</v>
      </c>
      <c r="CG35" s="53">
        <f>CG$5</f>
        <v>46318</v>
      </c>
      <c r="CH35" s="53">
        <f>CH$5</f>
        <v>46319</v>
      </c>
      <c r="CI35" s="53">
        <f>CI$5</f>
        <v>46320</v>
      </c>
      <c r="CJ35" s="53">
        <f>CJ$5</f>
        <v>46321</v>
      </c>
      <c r="CK35" s="53">
        <f>CK$5</f>
        <v>46322</v>
      </c>
      <c r="CL35" s="53">
        <f>CL$5</f>
        <v>46323</v>
      </c>
      <c r="CM35" s="53">
        <f>CM$5</f>
        <v>46324</v>
      </c>
      <c r="CN35" s="53">
        <f>CN$5</f>
        <v>46325</v>
      </c>
      <c r="CO35" s="53">
        <f>CO$5</f>
        <v>46326</v>
      </c>
      <c r="CP35" s="53">
        <f>CP$5</f>
        <v>46327</v>
      </c>
      <c r="CQ35" s="53">
        <f>CQ$5</f>
        <v>46328</v>
      </c>
      <c r="CR35" s="53">
        <f>CR$5</f>
        <v>46329</v>
      </c>
      <c r="CS35" s="53">
        <f>CS$5</f>
        <v>46330</v>
      </c>
      <c r="CT35" s="53">
        <f>CT$5</f>
        <v>46331</v>
      </c>
      <c r="CU35" s="53">
        <f>CU$5</f>
        <v>46332</v>
      </c>
      <c r="CV35" s="53">
        <f>CV$5</f>
        <v>46333</v>
      </c>
      <c r="CW35" s="53">
        <f>CW$5</f>
        <v>46334</v>
      </c>
      <c r="CX35" s="53">
        <f>CX$5</f>
        <v>46335</v>
      </c>
      <c r="CY35" s="53">
        <f>CY$5</f>
        <v>46336</v>
      </c>
      <c r="CZ35" s="53">
        <f>CZ$5</f>
        <v>46337</v>
      </c>
      <c r="DA35" s="53">
        <f>DA$5</f>
        <v>46338</v>
      </c>
      <c r="DB35" s="53">
        <f>DB$5</f>
        <v>46339</v>
      </c>
      <c r="DC35" s="53">
        <f>DC$5</f>
        <v>0</v>
      </c>
      <c r="DD35" s="53">
        <f>DD$5</f>
        <v>0</v>
      </c>
      <c r="DE35" s="53">
        <f>DE$5</f>
        <v>0</v>
      </c>
      <c r="DF35" s="53">
        <f>DF$5</f>
        <v>0</v>
      </c>
      <c r="DG35" s="53">
        <f>DG$5</f>
        <v>0</v>
      </c>
      <c r="DH35" s="53">
        <f>DH$5</f>
        <v>0</v>
      </c>
      <c r="DI35" s="53">
        <f>DI$5</f>
        <v>0</v>
      </c>
      <c r="DJ35" s="53">
        <f>DJ$5</f>
        <v>0</v>
      </c>
      <c r="DK35" s="53">
        <f>DK$5</f>
        <v>0</v>
      </c>
      <c r="DL35" s="53">
        <f>DL$5</f>
        <v>0</v>
      </c>
      <c r="DM35" s="53">
        <f>DM$5</f>
        <v>0</v>
      </c>
      <c r="DN35" s="53">
        <f>DN$5</f>
        <v>0</v>
      </c>
      <c r="DO35" s="53">
        <f>DO$5</f>
        <v>0</v>
      </c>
      <c r="DP35" s="53">
        <f>DP$5</f>
        <v>0</v>
      </c>
      <c r="DQ35" s="53">
        <f>DQ$5</f>
        <v>0</v>
      </c>
      <c r="DR35" s="53">
        <f>DR$5</f>
        <v>0</v>
      </c>
      <c r="DS35" s="53">
        <f>DS$5</f>
        <v>0</v>
      </c>
      <c r="DT35" s="53">
        <f>DT$5</f>
        <v>0</v>
      </c>
      <c r="DU35" s="53">
        <f>DU$5</f>
        <v>0</v>
      </c>
      <c r="DV35" s="53">
        <f>DV$5</f>
        <v>0</v>
      </c>
      <c r="DW35" s="53">
        <f>DW$5</f>
        <v>0</v>
      </c>
      <c r="DX35" s="53">
        <f>DX$5</f>
        <v>0</v>
      </c>
      <c r="DY35" s="53">
        <f>DY$5</f>
        <v>0</v>
      </c>
      <c r="DZ35" s="53">
        <f>DZ$5</f>
        <v>0</v>
      </c>
      <c r="EA35" s="53">
        <f>EA$5</f>
        <v>0</v>
      </c>
      <c r="EB35" s="53">
        <f>EB$5</f>
        <v>0</v>
      </c>
      <c r="EC35" s="53">
        <f>EC$5</f>
        <v>0</v>
      </c>
      <c r="ED35" s="53">
        <f>ED$5</f>
        <v>0</v>
      </c>
      <c r="EE35" s="53">
        <f>EE$5</f>
        <v>0</v>
      </c>
      <c r="EF35" s="53">
        <f>EF$5</f>
        <v>0</v>
      </c>
      <c r="EG35" s="53">
        <f>EG$5</f>
        <v>0</v>
      </c>
      <c r="EH35" s="53">
        <f>EH$5</f>
        <v>0</v>
      </c>
      <c r="EI35" s="53">
        <f>EI$5</f>
        <v>0</v>
      </c>
      <c r="EJ35" s="53">
        <f>EJ$5</f>
        <v>0</v>
      </c>
      <c r="EK35" s="53">
        <f>EK$5</f>
        <v>0</v>
      </c>
      <c r="EL35" s="53">
        <f>EL$5</f>
        <v>0</v>
      </c>
      <c r="EM35" s="53">
        <f>EM$5</f>
        <v>0</v>
      </c>
      <c r="EN35" s="53">
        <f>EN$5</f>
        <v>0</v>
      </c>
      <c r="EO35" s="53">
        <f>EO$5</f>
        <v>0</v>
      </c>
      <c r="EP35" s="53">
        <f>EP$5</f>
        <v>0</v>
      </c>
      <c r="EQ35" s="53">
        <f>EQ$5</f>
        <v>0</v>
      </c>
      <c r="ER35" s="53">
        <f>ER$5</f>
        <v>0</v>
      </c>
      <c r="ES35" s="53">
        <f>ES$5</f>
        <v>0</v>
      </c>
      <c r="ET35" s="53">
        <f>ET$5</f>
        <v>0</v>
      </c>
      <c r="EU35" s="53">
        <f>EU$5</f>
        <v>0</v>
      </c>
      <c r="EV35" s="53">
        <f>EV$5</f>
        <v>0</v>
      </c>
      <c r="EW35" s="53">
        <f>EW$5</f>
        <v>0</v>
      </c>
      <c r="EX35" s="53">
        <f>EX$5</f>
        <v>0</v>
      </c>
      <c r="EY35" s="53">
        <f>EY$5</f>
        <v>0</v>
      </c>
      <c r="EZ35" s="53">
        <f>EZ$5</f>
        <v>0</v>
      </c>
      <c r="FA35" s="53">
        <f>FA$5</f>
        <v>0</v>
      </c>
      <c r="FB35" s="53">
        <f>FB$5</f>
        <v>0</v>
      </c>
      <c r="FC35" s="53">
        <f>FC$5</f>
        <v>0</v>
      </c>
      <c r="FD35" s="53">
        <f>FD$5</f>
        <v>0</v>
      </c>
      <c r="FE35" s="53">
        <f>FE$5</f>
        <v>0</v>
      </c>
      <c r="FF35" s="53">
        <f>FF$5</f>
        <v>0</v>
      </c>
      <c r="FG35" s="53">
        <f>FG$5</f>
        <v>0</v>
      </c>
      <c r="FH35" s="53">
        <f>FH$5</f>
        <v>0</v>
      </c>
      <c r="FI35" s="53">
        <f>FI$5</f>
        <v>0</v>
      </c>
      <c r="FJ35" s="53">
        <f>FJ$5</f>
        <v>0</v>
      </c>
      <c r="FK35" s="53">
        <f>FK$5</f>
        <v>0</v>
      </c>
      <c r="FL35" s="53">
        <f>FL$5</f>
        <v>0</v>
      </c>
      <c r="FM35" s="53">
        <f>FM$5</f>
        <v>0</v>
      </c>
      <c r="FN35" s="53">
        <f>FN$5</f>
        <v>0</v>
      </c>
      <c r="FO35" s="53">
        <f>FO$5</f>
        <v>0</v>
      </c>
      <c r="FP35" s="53">
        <f>FP$5</f>
        <v>0</v>
      </c>
      <c r="FQ35" s="53">
        <f>FQ$5</f>
        <v>0</v>
      </c>
      <c r="FR35" s="53">
        <f>FR$5</f>
        <v>0</v>
      </c>
      <c r="FS35" s="53">
        <f>FS$5</f>
        <v>0</v>
      </c>
      <c r="FT35" s="53">
        <f>FT$5</f>
        <v>0</v>
      </c>
      <c r="FU35" s="53">
        <f>FU$5</f>
        <v>0</v>
      </c>
      <c r="FV35" s="53">
        <f>FV$5</f>
        <v>0</v>
      </c>
      <c r="FW35" s="53">
        <f>FW$5</f>
        <v>0</v>
      </c>
      <c r="FX35" s="53">
        <f>FX$5</f>
        <v>0</v>
      </c>
      <c r="FY35" s="53">
        <f>FY$5</f>
        <v>0</v>
      </c>
      <c r="FZ35" s="53">
        <f>FZ$5</f>
        <v>0</v>
      </c>
      <c r="GA35" s="53">
        <f>GA$5</f>
        <v>0</v>
      </c>
      <c r="GB35" s="53">
        <f>GB$5</f>
        <v>0</v>
      </c>
      <c r="GC35" s="53">
        <f>GC$5</f>
        <v>0</v>
      </c>
      <c r="GD35" s="53">
        <f>GD$5</f>
        <v>0</v>
      </c>
      <c r="GE35" s="53">
        <f>GE$5</f>
        <v>0</v>
      </c>
      <c r="GF35" s="53">
        <f>GF$5</f>
        <v>0</v>
      </c>
      <c r="GG35" s="53">
        <f>GG$5</f>
        <v>0</v>
      </c>
      <c r="GH35" s="53">
        <f>GH$5</f>
        <v>0</v>
      </c>
      <c r="GI35" s="53">
        <f>GI$5</f>
        <v>0</v>
      </c>
      <c r="GJ35" s="53">
        <f>GJ$5</f>
        <v>0</v>
      </c>
      <c r="GK35" s="53">
        <f>GK$5</f>
        <v>0</v>
      </c>
      <c r="GL35" s="53">
        <f>GL$5</f>
        <v>0</v>
      </c>
      <c r="GM35" s="53">
        <f>GM$5</f>
        <v>0</v>
      </c>
      <c r="GN35" s="53">
        <f>GN$5</f>
        <v>0</v>
      </c>
      <c r="GO35" s="53">
        <f>GO$5</f>
        <v>0</v>
      </c>
      <c r="GP35" s="53">
        <f>GP$5</f>
        <v>0</v>
      </c>
      <c r="GQ35" s="53">
        <f>GQ$5</f>
        <v>0</v>
      </c>
      <c r="GR35" s="53">
        <f>GR$5</f>
        <v>0</v>
      </c>
      <c r="GS35" s="53">
        <f>GS$5</f>
        <v>0</v>
      </c>
      <c r="GW35" s="52" t="s">
        <v>341</v>
      </c>
      <c r="GY35" s="11" t="s">
        <v>339</v>
      </c>
      <c r="HA35" s="15"/>
      <c r="HE35" s="14">
        <v>5501</v>
      </c>
    </row>
    <row r="36" spans="1:213">
      <c r="A36" s="2">
        <f>$A6</f>
        <v>1</v>
      </c>
      <c r="B36" s="54">
        <f>IF(B6="","",IF(B6&lt;&gt;"THERMAL",B6,IF($GW36="","THERMAL - NOT SPECIFIED",$GW36)))</f>
        <v>7926</v>
      </c>
      <c r="C36" s="54">
        <f>IF(C6="","",IF(C6&lt;&gt;"THERMAL",C6,IF($GW36="","THERMAL - NOT SPECIFIED",$GW36)))</f>
        <v>7926</v>
      </c>
      <c r="D36" s="54">
        <f>IF(D6="","",IF(D6&lt;&gt;"THERMAL",D6,IF($GW36="","THERMAL - NOT SPECIFIED",$GW36)))</f>
        <v>7926</v>
      </c>
      <c r="E36" s="54">
        <f>IF(E6="","",IF(E6&lt;&gt;"THERMAL",E6,IF($GW36="","THERMAL - NOT SPECIFIED",$GW36)))</f>
        <v>7926</v>
      </c>
      <c r="F36" s="54">
        <f>IF(F6="","",IF(F6&lt;&gt;"THERMAL",F6,IF($GW36="","THERMAL - NOT SPECIFIED",$GW36)))</f>
        <v>7926</v>
      </c>
      <c r="G36" s="54">
        <f>IF(G6="","",IF(G6&lt;&gt;"THERMAL",G6,IF($GW36="","THERMAL - NOT SPECIFIED",$GW36)))</f>
        <v>7926</v>
      </c>
      <c r="H36" s="54">
        <f>IF(H6="","",IF(H6&lt;&gt;"THERMAL",H6,IF($GW36="","THERMAL - NOT SPECIFIED",$GW36)))</f>
        <v>7926</v>
      </c>
      <c r="I36" s="54">
        <f>IF(I6="","",IF(I6&lt;&gt;"THERMAL",I6,IF($GW36="","THERMAL - NOT SPECIFIED",$GW36)))</f>
        <v>7926</v>
      </c>
      <c r="J36" s="54">
        <f>IF(J6="","",IF(J6&lt;&gt;"THERMAL",J6,IF($GW36="","THERMAL - NOT SPECIFIED",$GW36)))</f>
        <v>7926</v>
      </c>
      <c r="K36" s="54">
        <f>IF(K6="","",IF(K6&lt;&gt;"THERMAL",K6,IF($GW36="","THERMAL - NOT SPECIFIED",$GW36)))</f>
        <v>7926</v>
      </c>
      <c r="L36" s="54">
        <f>IF(L6="","",IF(L6&lt;&gt;"THERMAL",L6,IF($GW36="","THERMAL - NOT SPECIFIED",$GW36)))</f>
        <v>7926</v>
      </c>
      <c r="M36" s="54">
        <f>IF(M6="","",IF(M6&lt;&gt;"THERMAL",M6,IF($GW36="","THERMAL - NOT SPECIFIED",$GW36)))</f>
        <v>7926</v>
      </c>
      <c r="N36" s="54">
        <f>IF(N6="","",IF(N6&lt;&gt;"THERMAL",N6,IF($GW36="","THERMAL - NOT SPECIFIED",$GW36)))</f>
        <v>7926</v>
      </c>
      <c r="O36" s="54">
        <f>IF(O6="","",IF(O6&lt;&gt;"THERMAL",O6,IF($GW36="","THERMAL - NOT SPECIFIED",$GW36)))</f>
        <v>7926</v>
      </c>
      <c r="P36" s="54">
        <f>IF(P6="","",IF(P6&lt;&gt;"THERMAL",P6,IF($GW36="","THERMAL - NOT SPECIFIED",$GW36)))</f>
        <v>7926</v>
      </c>
      <c r="Q36" s="54">
        <f>IF(Q6="","",IF(Q6&lt;&gt;"THERMAL",Q6,IF($GW36="","THERMAL - NOT SPECIFIED",$GW36)))</f>
        <v>7926</v>
      </c>
      <c r="R36" s="54">
        <f>IF(R6="","",IF(R6&lt;&gt;"THERMAL",R6,IF($GW36="","THERMAL - NOT SPECIFIED",$GW36)))</f>
        <v>7926</v>
      </c>
      <c r="S36" s="54">
        <f>IF(S6="","",IF(S6&lt;&gt;"THERMAL",S6,IF($GW36="","THERMAL - NOT SPECIFIED",$GW36)))</f>
        <v>7926</v>
      </c>
      <c r="T36" s="54">
        <f>IF(T6="","",IF(T6&lt;&gt;"THERMAL",T6,IF($GW36="","THERMAL - NOT SPECIFIED",$GW36)))</f>
        <v>7926</v>
      </c>
      <c r="U36" s="54">
        <f>IF(U6="","",IF(U6&lt;&gt;"THERMAL",U6,IF($GW36="","THERMAL - NOT SPECIFIED",$GW36)))</f>
        <v>7926</v>
      </c>
      <c r="V36" s="54">
        <f>IF(V6="","",IF(V6&lt;&gt;"THERMAL",V6,IF($GW36="","THERMAL - NOT SPECIFIED",$GW36)))</f>
        <v>7926</v>
      </c>
      <c r="W36" s="54">
        <f>IF(W6="","",IF(W6&lt;&gt;"THERMAL",W6,IF($GW36="","THERMAL - NOT SPECIFIED",$GW36)))</f>
        <v>7926</v>
      </c>
      <c r="X36" s="54">
        <f>IF(X6="","",IF(X6&lt;&gt;"THERMAL",X6,IF($GW36="","THERMAL - NOT SPECIFIED",$GW36)))</f>
        <v>7926</v>
      </c>
      <c r="Y36" s="54">
        <f>IF(Y6="","",IF(Y6&lt;&gt;"THERMAL",Y6,IF($GW36="","THERMAL - NOT SPECIFIED",$GW36)))</f>
        <v>7926</v>
      </c>
      <c r="Z36" s="54">
        <f>IF(Z6="","",IF(Z6&lt;&gt;"THERMAL",Z6,IF($GW36="","THERMAL - NOT SPECIFIED",$GW36)))</f>
        <v>7926</v>
      </c>
      <c r="AA36" s="54">
        <f>IF(AA6="","",IF(AA6&lt;&gt;"THERMAL",AA6,IF($GW36="","THERMAL - NOT SPECIFIED",$GW36)))</f>
        <v>7926</v>
      </c>
      <c r="AB36" s="54">
        <f>IF(AB6="","",IF(AB6&lt;&gt;"THERMAL",AB6,IF($GW36="","THERMAL - NOT SPECIFIED",$GW36)))</f>
        <v>7926</v>
      </c>
      <c r="AC36" s="54">
        <f>IF(AC6="","",IF(AC6&lt;&gt;"THERMAL",AC6,IF($GW36="","THERMAL - NOT SPECIFIED",$GW36)))</f>
        <v>7926</v>
      </c>
      <c r="AD36" s="54">
        <f>IF(AD6="","",IF(AD6&lt;&gt;"THERMAL",AD6,IF($GW36="","THERMAL - NOT SPECIFIED",$GW36)))</f>
        <v>7926</v>
      </c>
      <c r="AE36" s="54">
        <f>IF(AE6="","",IF(AE6&lt;&gt;"THERMAL",AE6,IF($GW36="","THERMAL - NOT SPECIFIED",$GW36)))</f>
        <v>7926</v>
      </c>
      <c r="AF36" s="54">
        <f>IF(AF6="","",IF(AF6&lt;&gt;"THERMAL",AF6,IF($GW36="","THERMAL - NOT SPECIFIED",$GW36)))</f>
        <v>7926</v>
      </c>
      <c r="AG36" s="54">
        <f>IF(AG6="","",IF(AG6&lt;&gt;"THERMAL",AG6,IF($GW36="","THERMAL - NOT SPECIFIED",$GW36)))</f>
        <v>7926</v>
      </c>
      <c r="AH36" s="54">
        <f>IF(AH6="","",IF(AH6&lt;&gt;"THERMAL",AH6,IF($GW36="","THERMAL - NOT SPECIFIED",$GW36)))</f>
        <v>7926</v>
      </c>
      <c r="AI36" s="54">
        <f>IF(AI6="","",IF(AI6&lt;&gt;"THERMAL",AI6,IF($GW36="","THERMAL - NOT SPECIFIED",$GW36)))</f>
        <v>7926</v>
      </c>
      <c r="AJ36" s="54">
        <f>IF(AJ6="","",IF(AJ6&lt;&gt;"THERMAL",AJ6,IF($GW36="","THERMAL - NOT SPECIFIED",$GW36)))</f>
        <v>7926</v>
      </c>
      <c r="AK36" s="54">
        <f>IF(AK6="","",IF(AK6&lt;&gt;"THERMAL",AK6,IF($GW36="","THERMAL - NOT SPECIFIED",$GW36)))</f>
        <v>7926</v>
      </c>
      <c r="AL36" s="54">
        <f>IF(AL6="","",IF(AL6&lt;&gt;"THERMAL",AL6,IF($GW36="","THERMAL - NOT SPECIFIED",$GW36)))</f>
        <v>7926</v>
      </c>
      <c r="AM36" s="54">
        <f>IF(AM6="","",IF(AM6&lt;&gt;"THERMAL",AM6,IF($GW36="","THERMAL - NOT SPECIFIED",$GW36)))</f>
        <v>7926</v>
      </c>
      <c r="AN36" s="54">
        <f>IF(AN6="","",IF(AN6&lt;&gt;"THERMAL",AN6,IF($GW36="","THERMAL - NOT SPECIFIED",$GW36)))</f>
        <v>7926</v>
      </c>
      <c r="AO36" s="54">
        <f>IF(AO6="","",IF(AO6&lt;&gt;"THERMAL",AO6,IF($GW36="","THERMAL - NOT SPECIFIED",$GW36)))</f>
        <v>7926</v>
      </c>
      <c r="AP36" s="54">
        <f>IF(AP6="","",IF(AP6&lt;&gt;"THERMAL",AP6,IF($GW36="","THERMAL - NOT SPECIFIED",$GW36)))</f>
        <v>7926</v>
      </c>
      <c r="AQ36" s="54">
        <f>IF(AQ6="","",IF(AQ6&lt;&gt;"THERMAL",AQ6,IF($GW36="","THERMAL - NOT SPECIFIED",$GW36)))</f>
        <v>7926</v>
      </c>
      <c r="AR36" s="54">
        <f>IF(AR6="","",IF(AR6&lt;&gt;"THERMAL",AR6,IF($GW36="","THERMAL - NOT SPECIFIED",$GW36)))</f>
        <v>7926</v>
      </c>
      <c r="AS36" s="54">
        <f>IF(AS6="","",IF(AS6&lt;&gt;"THERMAL",AS6,IF($GW36="","THERMAL - NOT SPECIFIED",$GW36)))</f>
        <v>7926</v>
      </c>
      <c r="AT36" s="54">
        <f>IF(AT6="","",IF(AT6&lt;&gt;"THERMAL",AT6,IF($GW36="","THERMAL - NOT SPECIFIED",$GW36)))</f>
        <v>7926</v>
      </c>
      <c r="AU36" s="54">
        <f>IF(AU6="","",IF(AU6&lt;&gt;"THERMAL",AU6,IF($GW36="","THERMAL - NOT SPECIFIED",$GW36)))</f>
        <v>7926</v>
      </c>
      <c r="AV36" s="54">
        <f>IF(AV6="","",IF(AV6&lt;&gt;"THERMAL",AV6,IF($GW36="","THERMAL - NOT SPECIFIED",$GW36)))</f>
        <v>7926</v>
      </c>
      <c r="AW36" s="54">
        <f>IF(AW6="","",IF(AW6&lt;&gt;"THERMAL",AW6,IF($GW36="","THERMAL - NOT SPECIFIED",$GW36)))</f>
        <v>7926</v>
      </c>
      <c r="AX36" s="54">
        <f>IF(AX6="","",IF(AX6&lt;&gt;"THERMAL",AX6,IF($GW36="","THERMAL - NOT SPECIFIED",$GW36)))</f>
        <v>7926</v>
      </c>
      <c r="AY36" s="54">
        <f>IF(AY6="","",IF(AY6&lt;&gt;"THERMAL",AY6,IF($GW36="","THERMAL - NOT SPECIFIED",$GW36)))</f>
        <v>7926</v>
      </c>
      <c r="AZ36" s="54">
        <f>IF(AZ6="","",IF(AZ6&lt;&gt;"THERMAL",AZ6,IF($GW36="","THERMAL - NOT SPECIFIED",$GW36)))</f>
        <v>7926</v>
      </c>
      <c r="BA36" s="54">
        <f>IF(BA6="","",IF(BA6&lt;&gt;"THERMAL",BA6,IF($GW36="","THERMAL - NOT SPECIFIED",$GW36)))</f>
        <v>7926</v>
      </c>
      <c r="BB36" s="54">
        <f>IF(BB6="","",IF(BB6&lt;&gt;"THERMAL",BB6,IF($GW36="","THERMAL - NOT SPECIFIED",$GW36)))</f>
        <v>7926</v>
      </c>
      <c r="BC36" s="54">
        <f>IF(BC6="","",IF(BC6&lt;&gt;"THERMAL",BC6,IF($GW36="","THERMAL - NOT SPECIFIED",$GW36)))</f>
        <v>7926</v>
      </c>
      <c r="BD36" s="54">
        <f>IF(BD6="","",IF(BD6&lt;&gt;"THERMAL",BD6,IF($GW36="","THERMAL - NOT SPECIFIED",$GW36)))</f>
        <v>7926</v>
      </c>
      <c r="BE36" s="54">
        <f>IF(BE6="","",IF(BE6&lt;&gt;"THERMAL",BE6,IF($GW36="","THERMAL - NOT SPECIFIED",$GW36)))</f>
        <v>7926</v>
      </c>
      <c r="BF36" s="54">
        <f>IF(BF6="","",IF(BF6&lt;&gt;"THERMAL",BF6,IF($GW36="","THERMAL - NOT SPECIFIED",$GW36)))</f>
        <v>7926</v>
      </c>
      <c r="BG36" s="54">
        <f>IF(BG6="","",IF(BG6&lt;&gt;"THERMAL",BG6,IF($GW36="","THERMAL - NOT SPECIFIED",$GW36)))</f>
        <v>7926</v>
      </c>
      <c r="BH36" s="54">
        <f>IF(BH6="","",IF(BH6&lt;&gt;"THERMAL",BH6,IF($GW36="","THERMAL - NOT SPECIFIED",$GW36)))</f>
        <v>7926</v>
      </c>
      <c r="BI36" s="54">
        <f>IF(BI6="","",IF(BI6&lt;&gt;"THERMAL",BI6,IF($GW36="","THERMAL - NOT SPECIFIED",$GW36)))</f>
        <v>7926</v>
      </c>
      <c r="BJ36" s="54">
        <f>IF(BJ6="","",IF(BJ6&lt;&gt;"THERMAL",BJ6,IF($GW36="","THERMAL - NOT SPECIFIED",$GW36)))</f>
        <v>7926</v>
      </c>
      <c r="BK36" s="54">
        <f>IF(BK6="","",IF(BK6&lt;&gt;"THERMAL",BK6,IF($GW36="","THERMAL - NOT SPECIFIED",$GW36)))</f>
        <v>7926</v>
      </c>
      <c r="BL36" s="54">
        <f>IF(BL6="","",IF(BL6&lt;&gt;"THERMAL",BL6,IF($GW36="","THERMAL - NOT SPECIFIED",$GW36)))</f>
        <v>7926</v>
      </c>
      <c r="BM36" s="54">
        <f>IF(BM6="","",IF(BM6&lt;&gt;"THERMAL",BM6,IF($GW36="","THERMAL - NOT SPECIFIED",$GW36)))</f>
        <v>7926</v>
      </c>
      <c r="BN36" s="54">
        <f>IF(BN6="","",IF(BN6&lt;&gt;"THERMAL",BN6,IF($GW36="","THERMAL - NOT SPECIFIED",$GW36)))</f>
        <v>7926</v>
      </c>
      <c r="BO36" s="54">
        <f>IF(BO6="","",IF(BO6&lt;&gt;"THERMAL",BO6,IF($GW36="","THERMAL - NOT SPECIFIED",$GW36)))</f>
        <v>7926</v>
      </c>
      <c r="BP36" s="54">
        <f>IF(BP6="","",IF(BP6&lt;&gt;"THERMAL",BP6,IF($GW36="","THERMAL - NOT SPECIFIED",$GW36)))</f>
        <v>7926</v>
      </c>
      <c r="BQ36" s="54">
        <f>IF(BQ6="","",IF(BQ6&lt;&gt;"THERMAL",BQ6,IF($GW36="","THERMAL - NOT SPECIFIED",$GW36)))</f>
        <v>7926</v>
      </c>
      <c r="BR36" s="54">
        <f>IF(BR6="","",IF(BR6&lt;&gt;"THERMAL",BR6,IF($GW36="","THERMAL - NOT SPECIFIED",$GW36)))</f>
        <v>7926</v>
      </c>
      <c r="BS36" s="54">
        <f>IF(BS6="","",IF(BS6&lt;&gt;"THERMAL",BS6,IF($GW36="","THERMAL - NOT SPECIFIED",$GW36)))</f>
        <v>7926</v>
      </c>
      <c r="BT36" s="54">
        <f>IF(BT6="","",IF(BT6&lt;&gt;"THERMAL",BT6,IF($GW36="","THERMAL - NOT SPECIFIED",$GW36)))</f>
        <v>7926</v>
      </c>
      <c r="BU36" s="54">
        <f>IF(BU6="","",IF(BU6&lt;&gt;"THERMAL",BU6,IF($GW36="","THERMAL - NOT SPECIFIED",$GW36)))</f>
        <v>7926</v>
      </c>
      <c r="BV36" s="54">
        <f>IF(BV6="","",IF(BV6&lt;&gt;"THERMAL",BV6,IF($GW36="","THERMAL - NOT SPECIFIED",$GW36)))</f>
        <v>7926</v>
      </c>
      <c r="BW36" s="54">
        <f>IF(BW6="","",IF(BW6&lt;&gt;"THERMAL",BW6,IF($GW36="","THERMAL - NOT SPECIFIED",$GW36)))</f>
        <v>7926</v>
      </c>
      <c r="BX36" s="54">
        <f>IF(BX6="","",IF(BX6&lt;&gt;"THERMAL",BX6,IF($GW36="","THERMAL - NOT SPECIFIED",$GW36)))</f>
        <v>7926</v>
      </c>
      <c r="BY36" s="54">
        <f>IF(BY6="","",IF(BY6&lt;&gt;"THERMAL",BY6,IF($GW36="","THERMAL - NOT SPECIFIED",$GW36)))</f>
        <v>7926</v>
      </c>
      <c r="BZ36" s="54">
        <f>IF(BZ6="","",IF(BZ6&lt;&gt;"THERMAL",BZ6,IF($GW36="","THERMAL - NOT SPECIFIED",$GW36)))</f>
        <v>7926</v>
      </c>
      <c r="CA36" s="54">
        <f>IF(CA6="","",IF(CA6&lt;&gt;"THERMAL",CA6,IF($GW36="","THERMAL - NOT SPECIFIED",$GW36)))</f>
        <v>7926</v>
      </c>
      <c r="CB36" s="54">
        <f>IF(CB6="","",IF(CB6&lt;&gt;"THERMAL",CB6,IF($GW36="","THERMAL - NOT SPECIFIED",$GW36)))</f>
        <v>7926</v>
      </c>
      <c r="CC36" s="54">
        <f>IF(CC6="","",IF(CC6&lt;&gt;"THERMAL",CC6,IF($GW36="","THERMAL - NOT SPECIFIED",$GW36)))</f>
        <v>7926</v>
      </c>
      <c r="CD36" s="54">
        <f>IF(CD6="","",IF(CD6&lt;&gt;"THERMAL",CD6,IF($GW36="","THERMAL - NOT SPECIFIED",$GW36)))</f>
        <v>7926</v>
      </c>
      <c r="CE36" s="54">
        <f>IF(CE6="","",IF(CE6&lt;&gt;"THERMAL",CE6,IF($GW36="","THERMAL - NOT SPECIFIED",$GW36)))</f>
        <v>7926</v>
      </c>
      <c r="CF36" s="54" t="str">
        <f>IF(CF6="","",IF(CF6&lt;&gt;"THERMAL",CF6,IF($GW36="","THERMAL - NOT SPECIFIED",$GW36)))</f>
        <v>VACCANT</v>
      </c>
      <c r="CG36" s="54" t="str">
        <f>IF(CG6="","",IF(CG6&lt;&gt;"THERMAL",CG6,IF($GW36="","THERMAL - NOT SPECIFIED",$GW36)))</f>
        <v/>
      </c>
      <c r="CH36" s="54" t="str">
        <f>IF(CH6="","",IF(CH6&lt;&gt;"THERMAL",CH6,IF($GW36="","THERMAL - NOT SPECIFIED",$GW36)))</f>
        <v/>
      </c>
      <c r="CI36" s="54" t="str">
        <f>IF(CI6="","",IF(CI6&lt;&gt;"THERMAL",CI6,IF($GW36="","THERMAL - NOT SPECIFIED",$GW36)))</f>
        <v/>
      </c>
      <c r="CJ36" s="54" t="str">
        <f>IF(CJ6="","",IF(CJ6&lt;&gt;"THERMAL",CJ6,IF($GW36="","THERMAL - NOT SPECIFIED",$GW36)))</f>
        <v/>
      </c>
      <c r="CK36" s="54" t="str">
        <f>IF(CK6="","",IF(CK6&lt;&gt;"THERMAL",CK6,IF($GW36="","THERMAL - NOT SPECIFIED",$GW36)))</f>
        <v/>
      </c>
      <c r="CL36" s="54" t="str">
        <f>IF(CL6="","",IF(CL6&lt;&gt;"THERMAL",CL6,IF($GW36="","THERMAL - NOT SPECIFIED",$GW36)))</f>
        <v/>
      </c>
      <c r="CM36" s="54" t="str">
        <f>IF(CM6="","",IF(CM6&lt;&gt;"THERMAL",CM6,IF($GW36="","THERMAL - NOT SPECIFIED",$GW36)))</f>
        <v/>
      </c>
      <c r="CN36" s="54" t="str">
        <f>IF(CN6="","",IF(CN6&lt;&gt;"THERMAL",CN6,IF($GW36="","THERMAL - NOT SPECIFIED",$GW36)))</f>
        <v/>
      </c>
      <c r="CO36" s="54" t="str">
        <f>IF(CO6="","",IF(CO6&lt;&gt;"THERMAL",CO6,IF($GW36="","THERMAL - NOT SPECIFIED",$GW36)))</f>
        <v/>
      </c>
      <c r="CP36" s="54" t="str">
        <f>IF(CP6="","",IF(CP6&lt;&gt;"THERMAL",CP6,IF($GW36="","THERMAL - NOT SPECIFIED",$GW36)))</f>
        <v/>
      </c>
      <c r="CQ36" s="54" t="str">
        <f>IF(CQ6="","",IF(CQ6&lt;&gt;"THERMAL",CQ6,IF($GW36="","THERMAL - NOT SPECIFIED",$GW36)))</f>
        <v/>
      </c>
      <c r="CR36" s="54" t="str">
        <f>IF(CR6="","",IF(CR6&lt;&gt;"THERMAL",CR6,IF($GW36="","THERMAL - NOT SPECIFIED",$GW36)))</f>
        <v/>
      </c>
      <c r="CS36" s="54" t="str">
        <f>IF(CS6="","",IF(CS6&lt;&gt;"THERMAL",CS6,IF($GW36="","THERMAL - NOT SPECIFIED",$GW36)))</f>
        <v/>
      </c>
      <c r="CT36" s="54" t="str">
        <f>IF(CT6="","",IF(CT6&lt;&gt;"THERMAL",CT6,IF($GW36="","THERMAL - NOT SPECIFIED",$GW36)))</f>
        <v/>
      </c>
      <c r="CU36" s="54" t="str">
        <f>IF(CU6="","",IF(CU6&lt;&gt;"THERMAL",CU6,IF($GW36="","THERMAL - NOT SPECIFIED",$GW36)))</f>
        <v/>
      </c>
      <c r="CV36" s="54" t="str">
        <f>IF(CV6="","",IF(CV6&lt;&gt;"THERMAL",CV6,IF($GW36="","THERMAL - NOT SPECIFIED",$GW36)))</f>
        <v/>
      </c>
      <c r="CW36" s="54" t="str">
        <f>IF(CW6="","",IF(CW6&lt;&gt;"THERMAL",CW6,IF($GW36="","THERMAL - NOT SPECIFIED",$GW36)))</f>
        <v/>
      </c>
      <c r="CX36" s="54" t="str">
        <f>IF(CX6="","",IF(CX6&lt;&gt;"THERMAL",CX6,IF($GW36="","THERMAL - NOT SPECIFIED",$GW36)))</f>
        <v/>
      </c>
      <c r="CY36" s="54" t="str">
        <f>IF(CY6="","",IF(CY6&lt;&gt;"THERMAL",CY6,IF($GW36="","THERMAL - NOT SPECIFIED",$GW36)))</f>
        <v/>
      </c>
      <c r="CZ36" s="54" t="str">
        <f>IF(CZ6="","",IF(CZ6&lt;&gt;"THERMAL",CZ6,IF($GW36="","THERMAL - NOT SPECIFIED",$GW36)))</f>
        <v/>
      </c>
      <c r="DA36" s="54" t="str">
        <f>IF(DA6="","",IF(DA6&lt;&gt;"THERMAL",DA6,IF($GW36="","THERMAL - NOT SPECIFIED",$GW36)))</f>
        <v/>
      </c>
      <c r="DB36" s="54" t="str">
        <f>IF(DB6="","",IF(DB6&lt;&gt;"THERMAL",DB6,IF($GW36="","THERMAL - NOT SPECIFIED",$GW36)))</f>
        <v/>
      </c>
      <c r="DC36" s="54" t="str">
        <f>IF(DC6="","",IF(DC6&lt;&gt;"THERMAL",DC6,IF($GW36="","THERMAL - NOT SPECIFIED",$GW36)))</f>
        <v/>
      </c>
      <c r="DD36" s="54" t="str">
        <f>IF(DD6="","",IF(DD6&lt;&gt;"THERMAL",DD6,IF($GW36="","THERMAL - NOT SPECIFIED",$GW36)))</f>
        <v/>
      </c>
      <c r="DE36" s="54" t="str">
        <f>IF(DE6="","",IF(DE6&lt;&gt;"THERMAL",DE6,IF($GW36="","THERMAL - NOT SPECIFIED",$GW36)))</f>
        <v/>
      </c>
      <c r="DF36" s="54" t="str">
        <f>IF(DF6="","",IF(DF6&lt;&gt;"THERMAL",DF6,IF($GW36="","THERMAL - NOT SPECIFIED",$GW36)))</f>
        <v/>
      </c>
      <c r="DG36" s="54" t="str">
        <f>IF(DG6="","",IF(DG6&lt;&gt;"THERMAL",DG6,IF($GW36="","THERMAL - NOT SPECIFIED",$GW36)))</f>
        <v/>
      </c>
      <c r="DH36" s="54" t="str">
        <f>IF(DH6="","",IF(DH6&lt;&gt;"THERMAL",DH6,IF($GW36="","THERMAL - NOT SPECIFIED",$GW36)))</f>
        <v/>
      </c>
      <c r="DI36" s="54" t="str">
        <f>IF(DI6="","",IF(DI6&lt;&gt;"THERMAL",DI6,IF($GW36="","THERMAL - NOT SPECIFIED",$GW36)))</f>
        <v/>
      </c>
      <c r="DJ36" s="54" t="str">
        <f>IF(DJ6="","",IF(DJ6&lt;&gt;"THERMAL",DJ6,IF($GW36="","THERMAL - NOT SPECIFIED",$GW36)))</f>
        <v/>
      </c>
      <c r="DK36" s="54" t="str">
        <f>IF(DK6="","",IF(DK6&lt;&gt;"THERMAL",DK6,IF($GW36="","THERMAL - NOT SPECIFIED",$GW36)))</f>
        <v/>
      </c>
      <c r="DL36" s="54" t="str">
        <f>IF(DL6="","",IF(DL6&lt;&gt;"THERMAL",DL6,IF($GW36="","THERMAL - NOT SPECIFIED",$GW36)))</f>
        <v/>
      </c>
      <c r="DM36" s="54" t="str">
        <f>IF(DM6="","",IF(DM6&lt;&gt;"THERMAL",DM6,IF($GW36="","THERMAL - NOT SPECIFIED",$GW36)))</f>
        <v/>
      </c>
      <c r="DN36" s="54" t="str">
        <f>IF(DN6="","",IF(DN6&lt;&gt;"THERMAL",DN6,IF($GW36="","THERMAL - NOT SPECIFIED",$GW36)))</f>
        <v/>
      </c>
      <c r="DO36" s="54" t="str">
        <f>IF(DO6="","",IF(DO6&lt;&gt;"THERMAL",DO6,IF($GW36="","THERMAL - NOT SPECIFIED",$GW36)))</f>
        <v/>
      </c>
      <c r="DP36" s="54" t="str">
        <f>IF(DP6="","",IF(DP6&lt;&gt;"THERMAL",DP6,IF($GW36="","THERMAL - NOT SPECIFIED",$GW36)))</f>
        <v/>
      </c>
      <c r="DQ36" s="54" t="str">
        <f>IF(DQ6="","",IF(DQ6&lt;&gt;"THERMAL",DQ6,IF($GW36="","THERMAL - NOT SPECIFIED",$GW36)))</f>
        <v/>
      </c>
      <c r="DR36" s="54" t="str">
        <f>IF(DR6="","",IF(DR6&lt;&gt;"THERMAL",DR6,IF($GW36="","THERMAL - NOT SPECIFIED",$GW36)))</f>
        <v/>
      </c>
      <c r="DS36" s="54" t="str">
        <f>IF(DS6="","",IF(DS6&lt;&gt;"THERMAL",DS6,IF($GW36="","THERMAL - NOT SPECIFIED",$GW36)))</f>
        <v/>
      </c>
      <c r="DT36" s="54" t="str">
        <f>IF(DT6="","",IF(DT6&lt;&gt;"THERMAL",DT6,IF($GW36="","THERMAL - NOT SPECIFIED",$GW36)))</f>
        <v/>
      </c>
      <c r="DU36" s="54" t="str">
        <f>IF(DU6="","",IF(DU6&lt;&gt;"THERMAL",DU6,IF($GW36="","THERMAL - NOT SPECIFIED",$GW36)))</f>
        <v/>
      </c>
      <c r="DV36" s="54" t="str">
        <f>IF(DV6="","",IF(DV6&lt;&gt;"THERMAL",DV6,IF($GW36="","THERMAL - NOT SPECIFIED",$GW36)))</f>
        <v/>
      </c>
      <c r="DW36" s="54" t="str">
        <f>IF(DW6="","",IF(DW6&lt;&gt;"THERMAL",DW6,IF($GW36="","THERMAL - NOT SPECIFIED",$GW36)))</f>
        <v/>
      </c>
      <c r="DX36" s="54" t="str">
        <f>IF(DX6="","",IF(DX6&lt;&gt;"THERMAL",DX6,IF($GW36="","THERMAL - NOT SPECIFIED",$GW36)))</f>
        <v/>
      </c>
      <c r="DY36" s="54" t="str">
        <f>IF(DY6="","",IF(DY6&lt;&gt;"THERMAL",DY6,IF($GW36="","THERMAL - NOT SPECIFIED",$GW36)))</f>
        <v/>
      </c>
      <c r="DZ36" s="54" t="str">
        <f>IF(DZ6="","",IF(DZ6&lt;&gt;"THERMAL",DZ6,IF($GW36="","THERMAL - NOT SPECIFIED",$GW36)))</f>
        <v/>
      </c>
      <c r="EA36" s="54" t="str">
        <f>IF(EA6="","",IF(EA6&lt;&gt;"THERMAL",EA6,IF($GW36="","THERMAL - NOT SPECIFIED",$GW36)))</f>
        <v/>
      </c>
      <c r="EB36" s="54" t="str">
        <f>IF(EB6="","",IF(EB6&lt;&gt;"THERMAL",EB6,IF($GW36="","THERMAL - NOT SPECIFIED",$GW36)))</f>
        <v/>
      </c>
      <c r="EC36" s="54" t="str">
        <f>IF(EC6="","",IF(EC6&lt;&gt;"THERMAL",EC6,IF($GW36="","THERMAL - NOT SPECIFIED",$GW36)))</f>
        <v/>
      </c>
      <c r="ED36" s="54" t="str">
        <f>IF(ED6="","",IF(ED6&lt;&gt;"THERMAL",ED6,IF($GW36="","THERMAL - NOT SPECIFIED",$GW36)))</f>
        <v/>
      </c>
      <c r="EE36" s="54" t="str">
        <f>IF(EE6="","",IF(EE6&lt;&gt;"THERMAL",EE6,IF($GW36="","THERMAL - NOT SPECIFIED",$GW36)))</f>
        <v/>
      </c>
      <c r="EF36" s="54" t="str">
        <f>IF(EF6="","",IF(EF6&lt;&gt;"THERMAL",EF6,IF($GW36="","THERMAL - NOT SPECIFIED",$GW36)))</f>
        <v/>
      </c>
      <c r="EG36" s="54" t="str">
        <f>IF(EG6="","",IF(EG6&lt;&gt;"THERMAL",EG6,IF($GW36="","THERMAL - NOT SPECIFIED",$GW36)))</f>
        <v/>
      </c>
      <c r="EH36" s="54" t="str">
        <f>IF(EH6="","",IF(EH6&lt;&gt;"THERMAL",EH6,IF($GW36="","THERMAL - NOT SPECIFIED",$GW36)))</f>
        <v/>
      </c>
      <c r="EI36" s="54" t="str">
        <f>IF(EI6="","",IF(EI6&lt;&gt;"THERMAL",EI6,IF($GW36="","THERMAL - NOT SPECIFIED",$GW36)))</f>
        <v/>
      </c>
      <c r="EJ36" s="54" t="str">
        <f>IF(EJ6="","",IF(EJ6&lt;&gt;"THERMAL",EJ6,IF($GW36="","THERMAL - NOT SPECIFIED",$GW36)))</f>
        <v/>
      </c>
      <c r="EK36" s="54" t="str">
        <f>IF(EK6="","",IF(EK6&lt;&gt;"THERMAL",EK6,IF($GW36="","THERMAL - NOT SPECIFIED",$GW36)))</f>
        <v/>
      </c>
      <c r="EL36" s="54" t="str">
        <f>IF(EL6="","",IF(EL6&lt;&gt;"THERMAL",EL6,IF($GW36="","THERMAL - NOT SPECIFIED",$GW36)))</f>
        <v/>
      </c>
      <c r="EM36" s="54" t="str">
        <f>IF(EM6="","",IF(EM6&lt;&gt;"THERMAL",EM6,IF($GW36="","THERMAL - NOT SPECIFIED",$GW36)))</f>
        <v/>
      </c>
      <c r="EN36" s="54" t="str">
        <f>IF(EN6="","",IF(EN6&lt;&gt;"THERMAL",EN6,IF($GW36="","THERMAL - NOT SPECIFIED",$GW36)))</f>
        <v/>
      </c>
      <c r="EO36" s="54" t="str">
        <f>IF(EO6="","",IF(EO6&lt;&gt;"THERMAL",EO6,IF($GW36="","THERMAL - NOT SPECIFIED",$GW36)))</f>
        <v/>
      </c>
      <c r="EP36" s="54" t="str">
        <f>IF(EP6="","",IF(EP6&lt;&gt;"THERMAL",EP6,IF($GW36="","THERMAL - NOT SPECIFIED",$GW36)))</f>
        <v/>
      </c>
      <c r="EQ36" s="54" t="str">
        <f>IF(EQ6="","",IF(EQ6&lt;&gt;"THERMAL",EQ6,IF($GW36="","THERMAL - NOT SPECIFIED",$GW36)))</f>
        <v/>
      </c>
      <c r="ER36" s="54" t="str">
        <f>IF(ER6="","",IF(ER6&lt;&gt;"THERMAL",ER6,IF($GW36="","THERMAL - NOT SPECIFIED",$GW36)))</f>
        <v/>
      </c>
      <c r="ES36" s="54" t="str">
        <f>IF(ES6="","",IF(ES6&lt;&gt;"THERMAL",ES6,IF($GW36="","THERMAL - NOT SPECIFIED",$GW36)))</f>
        <v/>
      </c>
      <c r="ET36" s="54" t="str">
        <f>IF(ET6="","",IF(ET6&lt;&gt;"THERMAL",ET6,IF($GW36="","THERMAL - NOT SPECIFIED",$GW36)))</f>
        <v/>
      </c>
      <c r="EU36" s="54" t="str">
        <f>IF(EU6="","",IF(EU6&lt;&gt;"THERMAL",EU6,IF($GW36="","THERMAL - NOT SPECIFIED",$GW36)))</f>
        <v/>
      </c>
      <c r="EV36" s="54" t="str">
        <f>IF(EV6="","",IF(EV6&lt;&gt;"THERMAL",EV6,IF($GW36="","THERMAL - NOT SPECIFIED",$GW36)))</f>
        <v/>
      </c>
      <c r="EW36" s="54" t="str">
        <f>IF(EW6="","",IF(EW6&lt;&gt;"THERMAL",EW6,IF($GW36="","THERMAL - NOT SPECIFIED",$GW36)))</f>
        <v/>
      </c>
      <c r="EX36" s="54" t="str">
        <f>IF(EX6="","",IF(EX6&lt;&gt;"THERMAL",EX6,IF($GW36="","THERMAL - NOT SPECIFIED",$GW36)))</f>
        <v/>
      </c>
      <c r="EY36" s="54" t="str">
        <f>IF(EY6="","",IF(EY6&lt;&gt;"THERMAL",EY6,IF($GW36="","THERMAL - NOT SPECIFIED",$GW36)))</f>
        <v/>
      </c>
      <c r="EZ36" s="54" t="str">
        <f>IF(EZ6="","",IF(EZ6&lt;&gt;"THERMAL",EZ6,IF($GW36="","THERMAL - NOT SPECIFIED",$GW36)))</f>
        <v/>
      </c>
      <c r="FA36" s="54" t="str">
        <f>IF(FA6="","",IF(FA6&lt;&gt;"THERMAL",FA6,IF($GW36="","THERMAL - NOT SPECIFIED",$GW36)))</f>
        <v/>
      </c>
      <c r="FB36" s="54" t="str">
        <f>IF(FB6="","",IF(FB6&lt;&gt;"THERMAL",FB6,IF($GW36="","THERMAL - NOT SPECIFIED",$GW36)))</f>
        <v/>
      </c>
      <c r="FC36" s="54" t="str">
        <f>IF(FC6="","",IF(FC6&lt;&gt;"THERMAL",FC6,IF($GW36="","THERMAL - NOT SPECIFIED",$GW36)))</f>
        <v/>
      </c>
      <c r="FD36" s="54" t="str">
        <f>IF(FD6="","",IF(FD6&lt;&gt;"THERMAL",FD6,IF($GW36="","THERMAL - NOT SPECIFIED",$GW36)))</f>
        <v/>
      </c>
      <c r="FE36" s="54" t="str">
        <f>IF(FE6="","",IF(FE6&lt;&gt;"THERMAL",FE6,IF($GW36="","THERMAL - NOT SPECIFIED",$GW36)))</f>
        <v/>
      </c>
      <c r="FF36" s="54" t="str">
        <f>IF(FF6="","",IF(FF6&lt;&gt;"THERMAL",FF6,IF($GW36="","THERMAL - NOT SPECIFIED",$GW36)))</f>
        <v/>
      </c>
      <c r="FG36" s="54" t="str">
        <f>IF(FG6="","",IF(FG6&lt;&gt;"THERMAL",FG6,IF($GW36="","THERMAL - NOT SPECIFIED",$GW36)))</f>
        <v/>
      </c>
      <c r="FH36" s="54" t="str">
        <f>IF(FH6="","",IF(FH6&lt;&gt;"THERMAL",FH6,IF($GW36="","THERMAL - NOT SPECIFIED",$GW36)))</f>
        <v/>
      </c>
      <c r="FI36" s="54" t="str">
        <f>IF(FI6="","",IF(FI6&lt;&gt;"THERMAL",FI6,IF($GW36="","THERMAL - NOT SPECIFIED",$GW36)))</f>
        <v/>
      </c>
      <c r="FJ36" s="54" t="str">
        <f>IF(FJ6="","",IF(FJ6&lt;&gt;"THERMAL",FJ6,IF($GW36="","THERMAL - NOT SPECIFIED",$GW36)))</f>
        <v/>
      </c>
      <c r="FK36" s="54" t="str">
        <f>IF(FK6="","",IF(FK6&lt;&gt;"THERMAL",FK6,IF($GW36="","THERMAL - NOT SPECIFIED",$GW36)))</f>
        <v/>
      </c>
      <c r="FL36" s="54" t="str">
        <f>IF(FL6="","",IF(FL6&lt;&gt;"THERMAL",FL6,IF($GW36="","THERMAL - NOT SPECIFIED",$GW36)))</f>
        <v/>
      </c>
      <c r="FM36" s="54" t="str">
        <f>IF(FM6="","",IF(FM6&lt;&gt;"THERMAL",FM6,IF($GW36="","THERMAL - NOT SPECIFIED",$GW36)))</f>
        <v/>
      </c>
      <c r="FN36" s="54" t="str">
        <f>IF(FN6="","",IF(FN6&lt;&gt;"THERMAL",FN6,IF($GW36="","THERMAL - NOT SPECIFIED",$GW36)))</f>
        <v/>
      </c>
      <c r="FO36" s="54" t="str">
        <f>IF(FO6="","",IF(FO6&lt;&gt;"THERMAL",FO6,IF($GW36="","THERMAL - NOT SPECIFIED",$GW36)))</f>
        <v/>
      </c>
      <c r="FP36" s="54" t="str">
        <f>IF(FP6="","",IF(FP6&lt;&gt;"THERMAL",FP6,IF($GW36="","THERMAL - NOT SPECIFIED",$GW36)))</f>
        <v/>
      </c>
      <c r="FQ36" s="54" t="str">
        <f>IF(FQ6="","",IF(FQ6&lt;&gt;"THERMAL",FQ6,IF($GW36="","THERMAL - NOT SPECIFIED",$GW36)))</f>
        <v/>
      </c>
      <c r="FR36" s="54" t="str">
        <f>IF(FR6="","",IF(FR6&lt;&gt;"THERMAL",FR6,IF($GW36="","THERMAL - NOT SPECIFIED",$GW36)))</f>
        <v/>
      </c>
      <c r="FS36" s="54" t="str">
        <f>IF(FS6="","",IF(FS6&lt;&gt;"THERMAL",FS6,IF($GW36="","THERMAL - NOT SPECIFIED",$GW36)))</f>
        <v/>
      </c>
      <c r="FT36" s="54" t="str">
        <f>IF(FT6="","",IF(FT6&lt;&gt;"THERMAL",FT6,IF($GW36="","THERMAL - NOT SPECIFIED",$GW36)))</f>
        <v/>
      </c>
      <c r="FU36" s="54" t="str">
        <f>IF(FU6="","",IF(FU6&lt;&gt;"THERMAL",FU6,IF($GW36="","THERMAL - NOT SPECIFIED",$GW36)))</f>
        <v/>
      </c>
      <c r="FV36" s="54" t="str">
        <f>IF(FV6="","",IF(FV6&lt;&gt;"THERMAL",FV6,IF($GW36="","THERMAL - NOT SPECIFIED",$GW36)))</f>
        <v/>
      </c>
      <c r="FW36" s="54" t="str">
        <f>IF(FW6="","",IF(FW6&lt;&gt;"THERMAL",FW6,IF($GW36="","THERMAL - NOT SPECIFIED",$GW36)))</f>
        <v/>
      </c>
      <c r="FX36" s="54" t="str">
        <f>IF(FX6="","",IF(FX6&lt;&gt;"THERMAL",FX6,IF($GW36="","THERMAL - NOT SPECIFIED",$GW36)))</f>
        <v/>
      </c>
      <c r="FY36" s="54" t="str">
        <f>IF(FY6="","",IF(FY6&lt;&gt;"THERMAL",FY6,IF($GW36="","THERMAL - NOT SPECIFIED",$GW36)))</f>
        <v/>
      </c>
      <c r="FZ36" s="54" t="str">
        <f>IF(FZ6="","",IF(FZ6&lt;&gt;"THERMAL",FZ6,IF($GW36="","THERMAL - NOT SPECIFIED",$GW36)))</f>
        <v/>
      </c>
      <c r="GA36" s="54" t="str">
        <f>IF(GA6="","",IF(GA6&lt;&gt;"THERMAL",GA6,IF($GW36="","THERMAL - NOT SPECIFIED",$GW36)))</f>
        <v/>
      </c>
      <c r="GB36" s="54" t="str">
        <f>IF(GB6="","",IF(GB6&lt;&gt;"THERMAL",GB6,IF($GW36="","THERMAL - NOT SPECIFIED",$GW36)))</f>
        <v/>
      </c>
      <c r="GC36" s="54" t="str">
        <f>IF(GC6="","",IF(GC6&lt;&gt;"THERMAL",GC6,IF($GW36="","THERMAL - NOT SPECIFIED",$GW36)))</f>
        <v/>
      </c>
      <c r="GD36" s="54" t="str">
        <f>IF(GD6="","",IF(GD6&lt;&gt;"THERMAL",GD6,IF($GW36="","THERMAL - NOT SPECIFIED",$GW36)))</f>
        <v/>
      </c>
      <c r="GE36" s="54" t="str">
        <f>IF(GE6="","",IF(GE6&lt;&gt;"THERMAL",GE6,IF($GW36="","THERMAL - NOT SPECIFIED",$GW36)))</f>
        <v/>
      </c>
      <c r="GF36" s="54" t="str">
        <f>IF(GF6="","",IF(GF6&lt;&gt;"THERMAL",GF6,IF($GW36="","THERMAL - NOT SPECIFIED",$GW36)))</f>
        <v/>
      </c>
      <c r="GG36" s="54" t="str">
        <f>IF(GG6="","",IF(GG6&lt;&gt;"THERMAL",GG6,IF($GW36="","THERMAL - NOT SPECIFIED",$GW36)))</f>
        <v/>
      </c>
      <c r="GH36" s="54" t="str">
        <f>IF(GH6="","",IF(GH6&lt;&gt;"THERMAL",GH6,IF($GW36="","THERMAL - NOT SPECIFIED",$GW36)))</f>
        <v/>
      </c>
      <c r="GI36" s="54" t="str">
        <f>IF(GI6="","",IF(GI6&lt;&gt;"THERMAL",GI6,IF($GW36="","THERMAL - NOT SPECIFIED",$GW36)))</f>
        <v/>
      </c>
      <c r="GJ36" s="54" t="str">
        <f>IF(GJ6="","",IF(GJ6&lt;&gt;"THERMAL",GJ6,IF($GW36="","THERMAL - NOT SPECIFIED",$GW36)))</f>
        <v/>
      </c>
      <c r="GK36" s="54" t="str">
        <f>IF(GK6="","",IF(GK6&lt;&gt;"THERMAL",GK6,IF($GW36="","THERMAL - NOT SPECIFIED",$GW36)))</f>
        <v/>
      </c>
      <c r="GL36" s="54" t="str">
        <f>IF(GL6="","",IF(GL6&lt;&gt;"THERMAL",GL6,IF($GW36="","THERMAL - NOT SPECIFIED",$GW36)))</f>
        <v/>
      </c>
      <c r="GM36" s="54" t="str">
        <f>IF(GM6="","",IF(GM6&lt;&gt;"THERMAL",GM6,IF($GW36="","THERMAL - NOT SPECIFIED",$GW36)))</f>
        <v/>
      </c>
      <c r="GN36" s="54" t="str">
        <f>IF(GN6="","",IF(GN6&lt;&gt;"THERMAL",GN6,IF($GW36="","THERMAL - NOT SPECIFIED",$GW36)))</f>
        <v/>
      </c>
      <c r="GO36" s="54" t="str">
        <f>IF(GO6="","",IF(GO6&lt;&gt;"THERMAL",GO6,IF($GW36="","THERMAL - NOT SPECIFIED",$GW36)))</f>
        <v/>
      </c>
      <c r="GP36" s="54" t="str">
        <f>IF(GP6="","",IF(GP6&lt;&gt;"THERMAL",GP6,IF($GW36="","THERMAL - NOT SPECIFIED",$GW36)))</f>
        <v/>
      </c>
      <c r="GQ36" s="54" t="str">
        <f>IF(GQ6="","",IF(GQ6&lt;&gt;"THERMAL",GQ6,IF($GW36="","THERMAL - NOT SPECIFIED",$GW36)))</f>
        <v/>
      </c>
      <c r="GR36" s="54" t="str">
        <f>IF(GR6="","",IF(GR6&lt;&gt;"THERMAL",GR6,IF($GW36="","THERMAL - NOT SPECIFIED",$GW36)))</f>
        <v/>
      </c>
      <c r="GS36" s="54" t="str">
        <f>IF(GS6="","",IF(GS6&lt;&gt;"THERMAL",GS6,IF($GW36="","THERMAL - NOT SPECIFIED",$GW36)))</f>
        <v/>
      </c>
      <c r="GW36" s="55" t="str">
        <f>IF($GY36="","",IFERROR(INDEX('MC MAP'!$L$5:$L$28,MATCH($GY36,'MC MAP'!$K$5:$K$28,0)),$GY36))</f>
        <v/>
      </c>
      <c r="GY36" s="60"/>
      <c r="HA36" s="15"/>
      <c r="HE36" s="14" t="s">
        <v>157</v>
      </c>
    </row>
    <row r="37" spans="1:213">
      <c r="A37" s="2">
        <f>$A7</f>
        <v>2</v>
      </c>
      <c r="B37" s="54" t="str">
        <f>IF(B7="","",IF(B7&lt;&gt;"THERMAL",B7,IF($GW37="","THERMAL - NOT SPECIFIED",$GW37)))</f>
        <v>4300/4301</v>
      </c>
      <c r="C37" s="54" t="str">
        <f>IF(C7="","",IF(C7&lt;&gt;"THERMAL",C7,IF($GW37="","THERMAL - NOT SPECIFIED",$GW37)))</f>
        <v>4300/4301</v>
      </c>
      <c r="D37" s="54" t="str">
        <f>IF(D7="","",IF(D7&lt;&gt;"THERMAL",D7,IF($GW37="","THERMAL - NOT SPECIFIED",$GW37)))</f>
        <v>4300/4301</v>
      </c>
      <c r="E37" s="54" t="str">
        <f>IF(E7="","",IF(E7&lt;&gt;"THERMAL",E7,IF($GW37="","THERMAL - NOT SPECIFIED",$GW37)))</f>
        <v>4300/4301</v>
      </c>
      <c r="F37" s="54" t="str">
        <f>IF(F7="","",IF(F7&lt;&gt;"THERMAL",F7,IF($GW37="","THERMAL - NOT SPECIFIED",$GW37)))</f>
        <v>4300/4301</v>
      </c>
      <c r="G37" s="54" t="str">
        <f>IF(G7="","",IF(G7&lt;&gt;"THERMAL",G7,IF($GW37="","THERMAL - NOT SPECIFIED",$GW37)))</f>
        <v>4300/4301</v>
      </c>
      <c r="H37" s="54" t="str">
        <f>IF(H7="","",IF(H7&lt;&gt;"THERMAL",H7,IF($GW37="","THERMAL - NOT SPECIFIED",$GW37)))</f>
        <v>4300/4301</v>
      </c>
      <c r="I37" s="54" t="str">
        <f>IF(I7="","",IF(I7&lt;&gt;"THERMAL",I7,IF($GW37="","THERMAL - NOT SPECIFIED",$GW37)))</f>
        <v>4300/4301</v>
      </c>
      <c r="J37" s="54" t="str">
        <f>IF(J7="","",IF(J7&lt;&gt;"THERMAL",J7,IF($GW37="","THERMAL - NOT SPECIFIED",$GW37)))</f>
        <v>4300/4301</v>
      </c>
      <c r="K37" s="54" t="str">
        <f>IF(K7="","",IF(K7&lt;&gt;"THERMAL",K7,IF($GW37="","THERMAL - NOT SPECIFIED",$GW37)))</f>
        <v>4300/4301</v>
      </c>
      <c r="L37" s="54" t="str">
        <f>IF(L7="","",IF(L7&lt;&gt;"THERMAL",L7,IF($GW37="","THERMAL - NOT SPECIFIED",$GW37)))</f>
        <v>4300/4301</v>
      </c>
      <c r="M37" s="54" t="str">
        <f>IF(M7="","",IF(M7&lt;&gt;"THERMAL",M7,IF($GW37="","THERMAL - NOT SPECIFIED",$GW37)))</f>
        <v>4300/4301</v>
      </c>
      <c r="N37" s="54" t="str">
        <f>IF(N7="","",IF(N7&lt;&gt;"THERMAL",N7,IF($GW37="","THERMAL - NOT SPECIFIED",$GW37)))</f>
        <v>4300/4301</v>
      </c>
      <c r="O37" s="54" t="str">
        <f>IF(O7="","",IF(O7&lt;&gt;"THERMAL",O7,IF($GW37="","THERMAL - NOT SPECIFIED",$GW37)))</f>
        <v>4300/4301</v>
      </c>
      <c r="P37" s="54" t="str">
        <f>IF(P7="","",IF(P7&lt;&gt;"THERMAL",P7,IF($GW37="","THERMAL - NOT SPECIFIED",$GW37)))</f>
        <v>4300/4301</v>
      </c>
      <c r="Q37" s="54" t="str">
        <f>IF(Q7="","",IF(Q7&lt;&gt;"THERMAL",Q7,IF($GW37="","THERMAL - NOT SPECIFIED",$GW37)))</f>
        <v>4300/4301</v>
      </c>
      <c r="R37" s="54" t="str">
        <f>IF(R7="","",IF(R7&lt;&gt;"THERMAL",R7,IF($GW37="","THERMAL - NOT SPECIFIED",$GW37)))</f>
        <v>4300/4301</v>
      </c>
      <c r="S37" s="54" t="str">
        <f>IF(S7="","",IF(S7&lt;&gt;"THERMAL",S7,IF($GW37="","THERMAL - NOT SPECIFIED",$GW37)))</f>
        <v>4300/4301</v>
      </c>
      <c r="T37" s="54" t="str">
        <f>IF(T7="","",IF(T7&lt;&gt;"THERMAL",T7,IF($GW37="","THERMAL - NOT SPECIFIED",$GW37)))</f>
        <v>4300/4301</v>
      </c>
      <c r="U37" s="54" t="str">
        <f>IF(U7="","",IF(U7&lt;&gt;"THERMAL",U7,IF($GW37="","THERMAL - NOT SPECIFIED",$GW37)))</f>
        <v>4300/4301</v>
      </c>
      <c r="V37" s="54" t="str">
        <f>IF(V7="","",IF(V7&lt;&gt;"THERMAL",V7,IF($GW37="","THERMAL - NOT SPECIFIED",$GW37)))</f>
        <v>4300/4301</v>
      </c>
      <c r="W37" s="54" t="str">
        <f>IF(W7="","",IF(W7&lt;&gt;"THERMAL",W7,IF($GW37="","THERMAL - NOT SPECIFIED",$GW37)))</f>
        <v>4300/4301</v>
      </c>
      <c r="X37" s="54" t="str">
        <f>IF(X7="","",IF(X7&lt;&gt;"THERMAL",X7,IF($GW37="","THERMAL - NOT SPECIFIED",$GW37)))</f>
        <v>4300/4301</v>
      </c>
      <c r="Y37" s="54" t="str">
        <f>IF(Y7="","",IF(Y7&lt;&gt;"THERMAL",Y7,IF($GW37="","THERMAL - NOT SPECIFIED",$GW37)))</f>
        <v>4300/4301</v>
      </c>
      <c r="Z37" s="54" t="str">
        <f>IF(Z7="","",IF(Z7&lt;&gt;"THERMAL",Z7,IF($GW37="","THERMAL - NOT SPECIFIED",$GW37)))</f>
        <v>4300/4301</v>
      </c>
      <c r="AA37" s="54" t="str">
        <f>IF(AA7="","",IF(AA7&lt;&gt;"THERMAL",AA7,IF($GW37="","THERMAL - NOT SPECIFIED",$GW37)))</f>
        <v>4300/4301</v>
      </c>
      <c r="AB37" s="54" t="str">
        <f>IF(AB7="","",IF(AB7&lt;&gt;"THERMAL",AB7,IF($GW37="","THERMAL - NOT SPECIFIED",$GW37)))</f>
        <v>4300/4301</v>
      </c>
      <c r="AC37" s="54" t="str">
        <f>IF(AC7="","",IF(AC7&lt;&gt;"THERMAL",AC7,IF($GW37="","THERMAL - NOT SPECIFIED",$GW37)))</f>
        <v>4300/4301</v>
      </c>
      <c r="AD37" s="54" t="str">
        <f>IF(AD7="","",IF(AD7&lt;&gt;"THERMAL",AD7,IF($GW37="","THERMAL - NOT SPECIFIED",$GW37)))</f>
        <v>4300/4301</v>
      </c>
      <c r="AE37" s="54" t="str">
        <f>IF(AE7="","",IF(AE7&lt;&gt;"THERMAL",AE7,IF($GW37="","THERMAL - NOT SPECIFIED",$GW37)))</f>
        <v>4300/4301</v>
      </c>
      <c r="AF37" s="54" t="str">
        <f>IF(AF7="","",IF(AF7&lt;&gt;"THERMAL",AF7,IF($GW37="","THERMAL - NOT SPECIFIED",$GW37)))</f>
        <v>4300/4301</v>
      </c>
      <c r="AG37" s="54" t="str">
        <f>IF(AG7="","",IF(AG7&lt;&gt;"THERMAL",AG7,IF($GW37="","THERMAL - NOT SPECIFIED",$GW37)))</f>
        <v>4300/4301</v>
      </c>
      <c r="AH37" s="54" t="str">
        <f>IF(AH7="","",IF(AH7&lt;&gt;"THERMAL",AH7,IF($GW37="","THERMAL - NOT SPECIFIED",$GW37)))</f>
        <v>4300/4301</v>
      </c>
      <c r="AI37" s="54" t="str">
        <f>IF(AI7="","",IF(AI7&lt;&gt;"THERMAL",AI7,IF($GW37="","THERMAL - NOT SPECIFIED",$GW37)))</f>
        <v>4300/4301</v>
      </c>
      <c r="AJ37" s="54" t="str">
        <f>IF(AJ7="","",IF(AJ7&lt;&gt;"THERMAL",AJ7,IF($GW37="","THERMAL - NOT SPECIFIED",$GW37)))</f>
        <v>4300/4301</v>
      </c>
      <c r="AK37" s="54" t="str">
        <f>IF(AK7="","",IF(AK7&lt;&gt;"THERMAL",AK7,IF($GW37="","THERMAL - NOT SPECIFIED",$GW37)))</f>
        <v>4300/4301</v>
      </c>
      <c r="AL37" s="54" t="str">
        <f>IF(AL7="","",IF(AL7&lt;&gt;"THERMAL",AL7,IF($GW37="","THERMAL - NOT SPECIFIED",$GW37)))</f>
        <v>4300/4301</v>
      </c>
      <c r="AM37" s="54" t="str">
        <f>IF(AM7="","",IF(AM7&lt;&gt;"THERMAL",AM7,IF($GW37="","THERMAL - NOT SPECIFIED",$GW37)))</f>
        <v>4300/4301</v>
      </c>
      <c r="AN37" s="54" t="str">
        <f>IF(AN7="","",IF(AN7&lt;&gt;"THERMAL",AN7,IF($GW37="","THERMAL - NOT SPECIFIED",$GW37)))</f>
        <v>4300/4301</v>
      </c>
      <c r="AO37" s="54" t="str">
        <f>IF(AO7="","",IF(AO7&lt;&gt;"THERMAL",AO7,IF($GW37="","THERMAL - NOT SPECIFIED",$GW37)))</f>
        <v>4300/4301</v>
      </c>
      <c r="AP37" s="54" t="str">
        <f>IF(AP7="","",IF(AP7&lt;&gt;"THERMAL",AP7,IF($GW37="","THERMAL - NOT SPECIFIED",$GW37)))</f>
        <v>4300/4301</v>
      </c>
      <c r="AQ37" s="54" t="str">
        <f>IF(AQ7="","",IF(AQ7&lt;&gt;"THERMAL",AQ7,IF($GW37="","THERMAL - NOT SPECIFIED",$GW37)))</f>
        <v>4300/4301</v>
      </c>
      <c r="AR37" s="54" t="str">
        <f>IF(AR7="","",IF(AR7&lt;&gt;"THERMAL",AR7,IF($GW37="","THERMAL - NOT SPECIFIED",$GW37)))</f>
        <v>4300/4301</v>
      </c>
      <c r="AS37" s="54" t="str">
        <f>IF(AS7="","",IF(AS7&lt;&gt;"THERMAL",AS7,IF($GW37="","THERMAL - NOT SPECIFIED",$GW37)))</f>
        <v>4300/4301</v>
      </c>
      <c r="AT37" s="54" t="str">
        <f>IF(AT7="","",IF(AT7&lt;&gt;"THERMAL",AT7,IF($GW37="","THERMAL - NOT SPECIFIED",$GW37)))</f>
        <v>4300/4301</v>
      </c>
      <c r="AU37" s="54" t="str">
        <f>IF(AU7="","",IF(AU7&lt;&gt;"THERMAL",AU7,IF($GW37="","THERMAL - NOT SPECIFIED",$GW37)))</f>
        <v>4300/4301</v>
      </c>
      <c r="AV37" s="54" t="str">
        <f>IF(AV7="","",IF(AV7&lt;&gt;"THERMAL",AV7,IF($GW37="","THERMAL - NOT SPECIFIED",$GW37)))</f>
        <v>4300/4301</v>
      </c>
      <c r="AW37" s="54" t="str">
        <f>IF(AW7="","",IF(AW7&lt;&gt;"THERMAL",AW7,IF($GW37="","THERMAL - NOT SPECIFIED",$GW37)))</f>
        <v>4300/4301</v>
      </c>
      <c r="AX37" s="54" t="str">
        <f>IF(AX7="","",IF(AX7&lt;&gt;"THERMAL",AX7,IF($GW37="","THERMAL - NOT SPECIFIED",$GW37)))</f>
        <v>4300/4301</v>
      </c>
      <c r="AY37" s="54" t="str">
        <f>IF(AY7="","",IF(AY7&lt;&gt;"THERMAL",AY7,IF($GW37="","THERMAL - NOT SPECIFIED",$GW37)))</f>
        <v>4300/4301</v>
      </c>
      <c r="AZ37" s="54" t="str">
        <f>IF(AZ7="","",IF(AZ7&lt;&gt;"THERMAL",AZ7,IF($GW37="","THERMAL - NOT SPECIFIED",$GW37)))</f>
        <v>4300/4301</v>
      </c>
      <c r="BA37" s="54" t="str">
        <f>IF(BA7="","",IF(BA7&lt;&gt;"THERMAL",BA7,IF($GW37="","THERMAL - NOT SPECIFIED",$GW37)))</f>
        <v>4300/4301</v>
      </c>
      <c r="BB37" s="54" t="str">
        <f>IF(BB7="","",IF(BB7&lt;&gt;"THERMAL",BB7,IF($GW37="","THERMAL - NOT SPECIFIED",$GW37)))</f>
        <v>4300/4301</v>
      </c>
      <c r="BC37" s="54" t="str">
        <f>IF(BC7="","",IF(BC7&lt;&gt;"THERMAL",BC7,IF($GW37="","THERMAL - NOT SPECIFIED",$GW37)))</f>
        <v>4300/4301</v>
      </c>
      <c r="BD37" s="54" t="str">
        <f>IF(BD7="","",IF(BD7&lt;&gt;"THERMAL",BD7,IF($GW37="","THERMAL - NOT SPECIFIED",$GW37)))</f>
        <v>4300/4301</v>
      </c>
      <c r="BE37" s="54" t="str">
        <f>IF(BE7="","",IF(BE7&lt;&gt;"THERMAL",BE7,IF($GW37="","THERMAL - NOT SPECIFIED",$GW37)))</f>
        <v>4300/4301</v>
      </c>
      <c r="BF37" s="54" t="str">
        <f>IF(BF7="","",IF(BF7&lt;&gt;"THERMAL",BF7,IF($GW37="","THERMAL - NOT SPECIFIED",$GW37)))</f>
        <v>4300/4301</v>
      </c>
      <c r="BG37" s="54" t="str">
        <f>IF(BG7="","",IF(BG7&lt;&gt;"THERMAL",BG7,IF($GW37="","THERMAL - NOT SPECIFIED",$GW37)))</f>
        <v>4300/4301</v>
      </c>
      <c r="BH37" s="54" t="str">
        <f>IF(BH7="","",IF(BH7&lt;&gt;"THERMAL",BH7,IF($GW37="","THERMAL - NOT SPECIFIED",$GW37)))</f>
        <v>4300/4301</v>
      </c>
      <c r="BI37" s="54" t="str">
        <f>IF(BI7="","",IF(BI7&lt;&gt;"THERMAL",BI7,IF($GW37="","THERMAL - NOT SPECIFIED",$GW37)))</f>
        <v>4300/4301</v>
      </c>
      <c r="BJ37" s="54" t="str">
        <f>IF(BJ7="","",IF(BJ7&lt;&gt;"THERMAL",BJ7,IF($GW37="","THERMAL - NOT SPECIFIED",$GW37)))</f>
        <v>4300/4301</v>
      </c>
      <c r="BK37" s="54" t="str">
        <f>IF(BK7="","",IF(BK7&lt;&gt;"THERMAL",BK7,IF($GW37="","THERMAL - NOT SPECIFIED",$GW37)))</f>
        <v>4300/4301</v>
      </c>
      <c r="BL37" s="54" t="str">
        <f>IF(BL7="","",IF(BL7&lt;&gt;"THERMAL",BL7,IF($GW37="","THERMAL - NOT SPECIFIED",$GW37)))</f>
        <v>4300/4301</v>
      </c>
      <c r="BM37" s="54" t="str">
        <f>IF(BM7="","",IF(BM7&lt;&gt;"THERMAL",BM7,IF($GW37="","THERMAL - NOT SPECIFIED",$GW37)))</f>
        <v>4300/4301</v>
      </c>
      <c r="BN37" s="54" t="str">
        <f>IF(BN7="","",IF(BN7&lt;&gt;"THERMAL",BN7,IF($GW37="","THERMAL - NOT SPECIFIED",$GW37)))</f>
        <v>4300/4301</v>
      </c>
      <c r="BO37" s="54" t="str">
        <f>IF(BO7="","",IF(BO7&lt;&gt;"THERMAL",BO7,IF($GW37="","THERMAL - NOT SPECIFIED",$GW37)))</f>
        <v>4300/4301</v>
      </c>
      <c r="BP37" s="54" t="str">
        <f>IF(BP7="","",IF(BP7&lt;&gt;"THERMAL",BP7,IF($GW37="","THERMAL - NOT SPECIFIED",$GW37)))</f>
        <v>4300/4301</v>
      </c>
      <c r="BQ37" s="54" t="str">
        <f>IF(BQ7="","",IF(BQ7&lt;&gt;"THERMAL",BQ7,IF($GW37="","THERMAL - NOT SPECIFIED",$GW37)))</f>
        <v>4300/4301</v>
      </c>
      <c r="BR37" s="54" t="str">
        <f>IF(BR7="","",IF(BR7&lt;&gt;"THERMAL",BR7,IF($GW37="","THERMAL - NOT SPECIFIED",$GW37)))</f>
        <v>4300/4301</v>
      </c>
      <c r="BS37" s="54" t="str">
        <f>IF(BS7="","",IF(BS7&lt;&gt;"THERMAL",BS7,IF($GW37="","THERMAL - NOT SPECIFIED",$GW37)))</f>
        <v>4300/4301</v>
      </c>
      <c r="BT37" s="54" t="str">
        <f>IF(BT7="","",IF(BT7&lt;&gt;"THERMAL",BT7,IF($GW37="","THERMAL - NOT SPECIFIED",$GW37)))</f>
        <v>4300/4301</v>
      </c>
      <c r="BU37" s="54" t="str">
        <f>IF(BU7="","",IF(BU7&lt;&gt;"THERMAL",BU7,IF($GW37="","THERMAL - NOT SPECIFIED",$GW37)))</f>
        <v>4300/4301</v>
      </c>
      <c r="BV37" s="54" t="str">
        <f>IF(BV7="","",IF(BV7&lt;&gt;"THERMAL",BV7,IF($GW37="","THERMAL - NOT SPECIFIED",$GW37)))</f>
        <v>4300/4301</v>
      </c>
      <c r="BW37" s="54" t="str">
        <f>IF(BW7="","",IF(BW7&lt;&gt;"THERMAL",BW7,IF($GW37="","THERMAL - NOT SPECIFIED",$GW37)))</f>
        <v>4300/4301</v>
      </c>
      <c r="BX37" s="54" t="str">
        <f>IF(BX7="","",IF(BX7&lt;&gt;"THERMAL",BX7,IF($GW37="","THERMAL - NOT SPECIFIED",$GW37)))</f>
        <v>4300/4301</v>
      </c>
      <c r="BY37" s="54" t="str">
        <f>IF(BY7="","",IF(BY7&lt;&gt;"THERMAL",BY7,IF($GW37="","THERMAL - NOT SPECIFIED",$GW37)))</f>
        <v>4300/4301</v>
      </c>
      <c r="BZ37" s="54" t="str">
        <f>IF(BZ7="","",IF(BZ7&lt;&gt;"THERMAL",BZ7,IF($GW37="","THERMAL - NOT SPECIFIED",$GW37)))</f>
        <v>4300/4301</v>
      </c>
      <c r="CA37" s="54" t="str">
        <f>IF(CA7="","",IF(CA7&lt;&gt;"THERMAL",CA7,IF($GW37="","THERMAL - NOT SPECIFIED",$GW37)))</f>
        <v>4300/4301</v>
      </c>
      <c r="CB37" s="54" t="str">
        <f>IF(CB7="","",IF(CB7&lt;&gt;"THERMAL",CB7,IF($GW37="","THERMAL - NOT SPECIFIED",$GW37)))</f>
        <v>4300/4301</v>
      </c>
      <c r="CC37" s="54" t="str">
        <f>IF(CC7="","",IF(CC7&lt;&gt;"THERMAL",CC7,IF($GW37="","THERMAL - NOT SPECIFIED",$GW37)))</f>
        <v>4300/4301</v>
      </c>
      <c r="CD37" s="54" t="str">
        <f>IF(CD7="","",IF(CD7&lt;&gt;"THERMAL",CD7,IF($GW37="","THERMAL - NOT SPECIFIED",$GW37)))</f>
        <v>4300/4301</v>
      </c>
      <c r="CE37" s="54" t="str">
        <f>IF(CE7="","",IF(CE7&lt;&gt;"THERMAL",CE7,IF($GW37="","THERMAL - NOT SPECIFIED",$GW37)))</f>
        <v>4300/4301</v>
      </c>
      <c r="CF37" s="54" t="str">
        <f>IF(CF7="","",IF(CF7&lt;&gt;"THERMAL",CF7,IF($GW37="","THERMAL - NOT SPECIFIED",$GW37)))</f>
        <v>4300/4301</v>
      </c>
      <c r="CG37" s="54" t="str">
        <f>IF(CG7="","",IF(CG7&lt;&gt;"THERMAL",CG7,IF($GW37="","THERMAL - NOT SPECIFIED",$GW37)))</f>
        <v>VACCANT</v>
      </c>
      <c r="CH37" s="54" t="str">
        <f>IF(CH7="","",IF(CH7&lt;&gt;"THERMAL",CH7,IF($GW37="","THERMAL - NOT SPECIFIED",$GW37)))</f>
        <v/>
      </c>
      <c r="CI37" s="54" t="str">
        <f>IF(CI7="","",IF(CI7&lt;&gt;"THERMAL",CI7,IF($GW37="","THERMAL - NOT SPECIFIED",$GW37)))</f>
        <v/>
      </c>
      <c r="CJ37" s="54" t="str">
        <f>IF(CJ7="","",IF(CJ7&lt;&gt;"THERMAL",CJ7,IF($GW37="","THERMAL - NOT SPECIFIED",$GW37)))</f>
        <v/>
      </c>
      <c r="CK37" s="54" t="str">
        <f>IF(CK7="","",IF(CK7&lt;&gt;"THERMAL",CK7,IF($GW37="","THERMAL - NOT SPECIFIED",$GW37)))</f>
        <v/>
      </c>
      <c r="CL37" s="54" t="str">
        <f>IF(CL7="","",IF(CL7&lt;&gt;"THERMAL",CL7,IF($GW37="","THERMAL - NOT SPECIFIED",$GW37)))</f>
        <v/>
      </c>
      <c r="CM37" s="54" t="str">
        <f>IF(CM7="","",IF(CM7&lt;&gt;"THERMAL",CM7,IF($GW37="","THERMAL - NOT SPECIFIED",$GW37)))</f>
        <v/>
      </c>
      <c r="CN37" s="54" t="str">
        <f>IF(CN7="","",IF(CN7&lt;&gt;"THERMAL",CN7,IF($GW37="","THERMAL - NOT SPECIFIED",$GW37)))</f>
        <v/>
      </c>
      <c r="CO37" s="54" t="str">
        <f>IF(CO7="","",IF(CO7&lt;&gt;"THERMAL",CO7,IF($GW37="","THERMAL - NOT SPECIFIED",$GW37)))</f>
        <v/>
      </c>
      <c r="CP37" s="54" t="str">
        <f>IF(CP7="","",IF(CP7&lt;&gt;"THERMAL",CP7,IF($GW37="","THERMAL - NOT SPECIFIED",$GW37)))</f>
        <v/>
      </c>
      <c r="CQ37" s="54" t="str">
        <f>IF(CQ7="","",IF(CQ7&lt;&gt;"THERMAL",CQ7,IF($GW37="","THERMAL - NOT SPECIFIED",$GW37)))</f>
        <v/>
      </c>
      <c r="CR37" s="54" t="str">
        <f>IF(CR7="","",IF(CR7&lt;&gt;"THERMAL",CR7,IF($GW37="","THERMAL - NOT SPECIFIED",$GW37)))</f>
        <v/>
      </c>
      <c r="CS37" s="54" t="str">
        <f>IF(CS7="","",IF(CS7&lt;&gt;"THERMAL",CS7,IF($GW37="","THERMAL - NOT SPECIFIED",$GW37)))</f>
        <v/>
      </c>
      <c r="CT37" s="54" t="str">
        <f>IF(CT7="","",IF(CT7&lt;&gt;"THERMAL",CT7,IF($GW37="","THERMAL - NOT SPECIFIED",$GW37)))</f>
        <v/>
      </c>
      <c r="CU37" s="54" t="str">
        <f>IF(CU7="","",IF(CU7&lt;&gt;"THERMAL",CU7,IF($GW37="","THERMAL - NOT SPECIFIED",$GW37)))</f>
        <v/>
      </c>
      <c r="CV37" s="54" t="str">
        <f>IF(CV7="","",IF(CV7&lt;&gt;"THERMAL",CV7,IF($GW37="","THERMAL - NOT SPECIFIED",$GW37)))</f>
        <v/>
      </c>
      <c r="CW37" s="54" t="str">
        <f>IF(CW7="","",IF(CW7&lt;&gt;"THERMAL",CW7,IF($GW37="","THERMAL - NOT SPECIFIED",$GW37)))</f>
        <v/>
      </c>
      <c r="CX37" s="54" t="str">
        <f>IF(CX7="","",IF(CX7&lt;&gt;"THERMAL",CX7,IF($GW37="","THERMAL - NOT SPECIFIED",$GW37)))</f>
        <v/>
      </c>
      <c r="CY37" s="54" t="str">
        <f>IF(CY7="","",IF(CY7&lt;&gt;"THERMAL",CY7,IF($GW37="","THERMAL - NOT SPECIFIED",$GW37)))</f>
        <v/>
      </c>
      <c r="CZ37" s="54" t="str">
        <f>IF(CZ7="","",IF(CZ7&lt;&gt;"THERMAL",CZ7,IF($GW37="","THERMAL - NOT SPECIFIED",$GW37)))</f>
        <v/>
      </c>
      <c r="DA37" s="54" t="str">
        <f>IF(DA7="","",IF(DA7&lt;&gt;"THERMAL",DA7,IF($GW37="","THERMAL - NOT SPECIFIED",$GW37)))</f>
        <v/>
      </c>
      <c r="DB37" s="54" t="str">
        <f>IF(DB7="","",IF(DB7&lt;&gt;"THERMAL",DB7,IF($GW37="","THERMAL - NOT SPECIFIED",$GW37)))</f>
        <v/>
      </c>
      <c r="DC37" s="54" t="str">
        <f>IF(DC7="","",IF(DC7&lt;&gt;"THERMAL",DC7,IF($GW37="","THERMAL - NOT SPECIFIED",$GW37)))</f>
        <v/>
      </c>
      <c r="DD37" s="54" t="str">
        <f>IF(DD7="","",IF(DD7&lt;&gt;"THERMAL",DD7,IF($GW37="","THERMAL - NOT SPECIFIED",$GW37)))</f>
        <v/>
      </c>
      <c r="DE37" s="54" t="str">
        <f>IF(DE7="","",IF(DE7&lt;&gt;"THERMAL",DE7,IF($GW37="","THERMAL - NOT SPECIFIED",$GW37)))</f>
        <v/>
      </c>
      <c r="DF37" s="54" t="str">
        <f>IF(DF7="","",IF(DF7&lt;&gt;"THERMAL",DF7,IF($GW37="","THERMAL - NOT SPECIFIED",$GW37)))</f>
        <v/>
      </c>
      <c r="DG37" s="54" t="str">
        <f>IF(DG7="","",IF(DG7&lt;&gt;"THERMAL",DG7,IF($GW37="","THERMAL - NOT SPECIFIED",$GW37)))</f>
        <v/>
      </c>
      <c r="DH37" s="54" t="str">
        <f>IF(DH7="","",IF(DH7&lt;&gt;"THERMAL",DH7,IF($GW37="","THERMAL - NOT SPECIFIED",$GW37)))</f>
        <v/>
      </c>
      <c r="DI37" s="54" t="str">
        <f>IF(DI7="","",IF(DI7&lt;&gt;"THERMAL",DI7,IF($GW37="","THERMAL - NOT SPECIFIED",$GW37)))</f>
        <v/>
      </c>
      <c r="DJ37" s="54" t="str">
        <f>IF(DJ7="","",IF(DJ7&lt;&gt;"THERMAL",DJ7,IF($GW37="","THERMAL - NOT SPECIFIED",$GW37)))</f>
        <v/>
      </c>
      <c r="DK37" s="54" t="str">
        <f>IF(DK7="","",IF(DK7&lt;&gt;"THERMAL",DK7,IF($GW37="","THERMAL - NOT SPECIFIED",$GW37)))</f>
        <v/>
      </c>
      <c r="DL37" s="54" t="str">
        <f>IF(DL7="","",IF(DL7&lt;&gt;"THERMAL",DL7,IF($GW37="","THERMAL - NOT SPECIFIED",$GW37)))</f>
        <v/>
      </c>
      <c r="DM37" s="54" t="str">
        <f>IF(DM7="","",IF(DM7&lt;&gt;"THERMAL",DM7,IF($GW37="","THERMAL - NOT SPECIFIED",$GW37)))</f>
        <v/>
      </c>
      <c r="DN37" s="54" t="str">
        <f>IF(DN7="","",IF(DN7&lt;&gt;"THERMAL",DN7,IF($GW37="","THERMAL - NOT SPECIFIED",$GW37)))</f>
        <v/>
      </c>
      <c r="DO37" s="54" t="str">
        <f>IF(DO7="","",IF(DO7&lt;&gt;"THERMAL",DO7,IF($GW37="","THERMAL - NOT SPECIFIED",$GW37)))</f>
        <v/>
      </c>
      <c r="DP37" s="54" t="str">
        <f>IF(DP7="","",IF(DP7&lt;&gt;"THERMAL",DP7,IF($GW37="","THERMAL - NOT SPECIFIED",$GW37)))</f>
        <v/>
      </c>
      <c r="DQ37" s="54" t="str">
        <f>IF(DQ7="","",IF(DQ7&lt;&gt;"THERMAL",DQ7,IF($GW37="","THERMAL - NOT SPECIFIED",$GW37)))</f>
        <v/>
      </c>
      <c r="DR37" s="54" t="str">
        <f>IF(DR7="","",IF(DR7&lt;&gt;"THERMAL",DR7,IF($GW37="","THERMAL - NOT SPECIFIED",$GW37)))</f>
        <v/>
      </c>
      <c r="DS37" s="54" t="str">
        <f>IF(DS7="","",IF(DS7&lt;&gt;"THERMAL",DS7,IF($GW37="","THERMAL - NOT SPECIFIED",$GW37)))</f>
        <v/>
      </c>
      <c r="DT37" s="54" t="str">
        <f>IF(DT7="","",IF(DT7&lt;&gt;"THERMAL",DT7,IF($GW37="","THERMAL - NOT SPECIFIED",$GW37)))</f>
        <v/>
      </c>
      <c r="DU37" s="54" t="str">
        <f>IF(DU7="","",IF(DU7&lt;&gt;"THERMAL",DU7,IF($GW37="","THERMAL - NOT SPECIFIED",$GW37)))</f>
        <v/>
      </c>
      <c r="DV37" s="54" t="str">
        <f>IF(DV7="","",IF(DV7&lt;&gt;"THERMAL",DV7,IF($GW37="","THERMAL - NOT SPECIFIED",$GW37)))</f>
        <v/>
      </c>
      <c r="DW37" s="54" t="str">
        <f>IF(DW7="","",IF(DW7&lt;&gt;"THERMAL",DW7,IF($GW37="","THERMAL - NOT SPECIFIED",$GW37)))</f>
        <v/>
      </c>
      <c r="DX37" s="54" t="str">
        <f>IF(DX7="","",IF(DX7&lt;&gt;"THERMAL",DX7,IF($GW37="","THERMAL - NOT SPECIFIED",$GW37)))</f>
        <v/>
      </c>
      <c r="DY37" s="54" t="str">
        <f>IF(DY7="","",IF(DY7&lt;&gt;"THERMAL",DY7,IF($GW37="","THERMAL - NOT SPECIFIED",$GW37)))</f>
        <v/>
      </c>
      <c r="DZ37" s="54" t="str">
        <f>IF(DZ7="","",IF(DZ7&lt;&gt;"THERMAL",DZ7,IF($GW37="","THERMAL - NOT SPECIFIED",$GW37)))</f>
        <v/>
      </c>
      <c r="EA37" s="54" t="str">
        <f>IF(EA7="","",IF(EA7&lt;&gt;"THERMAL",EA7,IF($GW37="","THERMAL - NOT SPECIFIED",$GW37)))</f>
        <v/>
      </c>
      <c r="EB37" s="54" t="str">
        <f>IF(EB7="","",IF(EB7&lt;&gt;"THERMAL",EB7,IF($GW37="","THERMAL - NOT SPECIFIED",$GW37)))</f>
        <v/>
      </c>
      <c r="EC37" s="54" t="str">
        <f>IF(EC7="","",IF(EC7&lt;&gt;"THERMAL",EC7,IF($GW37="","THERMAL - NOT SPECIFIED",$GW37)))</f>
        <v/>
      </c>
      <c r="ED37" s="54" t="str">
        <f>IF(ED7="","",IF(ED7&lt;&gt;"THERMAL",ED7,IF($GW37="","THERMAL - NOT SPECIFIED",$GW37)))</f>
        <v/>
      </c>
      <c r="EE37" s="54" t="str">
        <f>IF(EE7="","",IF(EE7&lt;&gt;"THERMAL",EE7,IF($GW37="","THERMAL - NOT SPECIFIED",$GW37)))</f>
        <v/>
      </c>
      <c r="EF37" s="54" t="str">
        <f>IF(EF7="","",IF(EF7&lt;&gt;"THERMAL",EF7,IF($GW37="","THERMAL - NOT SPECIFIED",$GW37)))</f>
        <v/>
      </c>
      <c r="EG37" s="54" t="str">
        <f>IF(EG7="","",IF(EG7&lt;&gt;"THERMAL",EG7,IF($GW37="","THERMAL - NOT SPECIFIED",$GW37)))</f>
        <v/>
      </c>
      <c r="EH37" s="54" t="str">
        <f>IF(EH7="","",IF(EH7&lt;&gt;"THERMAL",EH7,IF($GW37="","THERMAL - NOT SPECIFIED",$GW37)))</f>
        <v/>
      </c>
      <c r="EI37" s="54" t="str">
        <f>IF(EI7="","",IF(EI7&lt;&gt;"THERMAL",EI7,IF($GW37="","THERMAL - NOT SPECIFIED",$GW37)))</f>
        <v/>
      </c>
      <c r="EJ37" s="54" t="str">
        <f>IF(EJ7="","",IF(EJ7&lt;&gt;"THERMAL",EJ7,IF($GW37="","THERMAL - NOT SPECIFIED",$GW37)))</f>
        <v/>
      </c>
      <c r="EK37" s="54" t="str">
        <f>IF(EK7="","",IF(EK7&lt;&gt;"THERMAL",EK7,IF($GW37="","THERMAL - NOT SPECIFIED",$GW37)))</f>
        <v/>
      </c>
      <c r="EL37" s="54" t="str">
        <f>IF(EL7="","",IF(EL7&lt;&gt;"THERMAL",EL7,IF($GW37="","THERMAL - NOT SPECIFIED",$GW37)))</f>
        <v/>
      </c>
      <c r="EM37" s="54" t="str">
        <f>IF(EM7="","",IF(EM7&lt;&gt;"THERMAL",EM7,IF($GW37="","THERMAL - NOT SPECIFIED",$GW37)))</f>
        <v/>
      </c>
      <c r="EN37" s="54" t="str">
        <f>IF(EN7="","",IF(EN7&lt;&gt;"THERMAL",EN7,IF($GW37="","THERMAL - NOT SPECIFIED",$GW37)))</f>
        <v/>
      </c>
      <c r="EO37" s="54" t="str">
        <f>IF(EO7="","",IF(EO7&lt;&gt;"THERMAL",EO7,IF($GW37="","THERMAL - NOT SPECIFIED",$GW37)))</f>
        <v/>
      </c>
      <c r="EP37" s="54" t="str">
        <f>IF(EP7="","",IF(EP7&lt;&gt;"THERMAL",EP7,IF($GW37="","THERMAL - NOT SPECIFIED",$GW37)))</f>
        <v/>
      </c>
      <c r="EQ37" s="54" t="str">
        <f>IF(EQ7="","",IF(EQ7&lt;&gt;"THERMAL",EQ7,IF($GW37="","THERMAL - NOT SPECIFIED",$GW37)))</f>
        <v/>
      </c>
      <c r="ER37" s="54" t="str">
        <f>IF(ER7="","",IF(ER7&lt;&gt;"THERMAL",ER7,IF($GW37="","THERMAL - NOT SPECIFIED",$GW37)))</f>
        <v/>
      </c>
      <c r="ES37" s="54" t="str">
        <f>IF(ES7="","",IF(ES7&lt;&gt;"THERMAL",ES7,IF($GW37="","THERMAL - NOT SPECIFIED",$GW37)))</f>
        <v/>
      </c>
      <c r="ET37" s="54" t="str">
        <f>IF(ET7="","",IF(ET7&lt;&gt;"THERMAL",ET7,IF($GW37="","THERMAL - NOT SPECIFIED",$GW37)))</f>
        <v/>
      </c>
      <c r="EU37" s="54" t="str">
        <f>IF(EU7="","",IF(EU7&lt;&gt;"THERMAL",EU7,IF($GW37="","THERMAL - NOT SPECIFIED",$GW37)))</f>
        <v/>
      </c>
      <c r="EV37" s="54" t="str">
        <f>IF(EV7="","",IF(EV7&lt;&gt;"THERMAL",EV7,IF($GW37="","THERMAL - NOT SPECIFIED",$GW37)))</f>
        <v/>
      </c>
      <c r="EW37" s="54" t="str">
        <f>IF(EW7="","",IF(EW7&lt;&gt;"THERMAL",EW7,IF($GW37="","THERMAL - NOT SPECIFIED",$GW37)))</f>
        <v/>
      </c>
      <c r="EX37" s="54" t="str">
        <f>IF(EX7="","",IF(EX7&lt;&gt;"THERMAL",EX7,IF($GW37="","THERMAL - NOT SPECIFIED",$GW37)))</f>
        <v/>
      </c>
      <c r="EY37" s="54" t="str">
        <f>IF(EY7="","",IF(EY7&lt;&gt;"THERMAL",EY7,IF($GW37="","THERMAL - NOT SPECIFIED",$GW37)))</f>
        <v/>
      </c>
      <c r="EZ37" s="54" t="str">
        <f>IF(EZ7="","",IF(EZ7&lt;&gt;"THERMAL",EZ7,IF($GW37="","THERMAL - NOT SPECIFIED",$GW37)))</f>
        <v/>
      </c>
      <c r="FA37" s="54" t="str">
        <f>IF(FA7="","",IF(FA7&lt;&gt;"THERMAL",FA7,IF($GW37="","THERMAL - NOT SPECIFIED",$GW37)))</f>
        <v/>
      </c>
      <c r="FB37" s="54" t="str">
        <f>IF(FB7="","",IF(FB7&lt;&gt;"THERMAL",FB7,IF($GW37="","THERMAL - NOT SPECIFIED",$GW37)))</f>
        <v/>
      </c>
      <c r="FC37" s="54" t="str">
        <f>IF(FC7="","",IF(FC7&lt;&gt;"THERMAL",FC7,IF($GW37="","THERMAL - NOT SPECIFIED",$GW37)))</f>
        <v/>
      </c>
      <c r="FD37" s="54" t="str">
        <f>IF(FD7="","",IF(FD7&lt;&gt;"THERMAL",FD7,IF($GW37="","THERMAL - NOT SPECIFIED",$GW37)))</f>
        <v/>
      </c>
      <c r="FE37" s="54" t="str">
        <f>IF(FE7="","",IF(FE7&lt;&gt;"THERMAL",FE7,IF($GW37="","THERMAL - NOT SPECIFIED",$GW37)))</f>
        <v/>
      </c>
      <c r="FF37" s="54" t="str">
        <f>IF(FF7="","",IF(FF7&lt;&gt;"THERMAL",FF7,IF($GW37="","THERMAL - NOT SPECIFIED",$GW37)))</f>
        <v/>
      </c>
      <c r="FG37" s="54" t="str">
        <f>IF(FG7="","",IF(FG7&lt;&gt;"THERMAL",FG7,IF($GW37="","THERMAL - NOT SPECIFIED",$GW37)))</f>
        <v/>
      </c>
      <c r="FH37" s="54" t="str">
        <f>IF(FH7="","",IF(FH7&lt;&gt;"THERMAL",FH7,IF($GW37="","THERMAL - NOT SPECIFIED",$GW37)))</f>
        <v/>
      </c>
      <c r="FI37" s="54" t="str">
        <f>IF(FI7="","",IF(FI7&lt;&gt;"THERMAL",FI7,IF($GW37="","THERMAL - NOT SPECIFIED",$GW37)))</f>
        <v/>
      </c>
      <c r="FJ37" s="54" t="str">
        <f>IF(FJ7="","",IF(FJ7&lt;&gt;"THERMAL",FJ7,IF($GW37="","THERMAL - NOT SPECIFIED",$GW37)))</f>
        <v/>
      </c>
      <c r="FK37" s="54" t="str">
        <f>IF(FK7="","",IF(FK7&lt;&gt;"THERMAL",FK7,IF($GW37="","THERMAL - NOT SPECIFIED",$GW37)))</f>
        <v/>
      </c>
      <c r="FL37" s="54" t="str">
        <f>IF(FL7="","",IF(FL7&lt;&gt;"THERMAL",FL7,IF($GW37="","THERMAL - NOT SPECIFIED",$GW37)))</f>
        <v/>
      </c>
      <c r="FM37" s="54" t="str">
        <f>IF(FM7="","",IF(FM7&lt;&gt;"THERMAL",FM7,IF($GW37="","THERMAL - NOT SPECIFIED",$GW37)))</f>
        <v/>
      </c>
      <c r="FN37" s="54" t="str">
        <f>IF(FN7="","",IF(FN7&lt;&gt;"THERMAL",FN7,IF($GW37="","THERMAL - NOT SPECIFIED",$GW37)))</f>
        <v/>
      </c>
      <c r="FO37" s="54" t="str">
        <f>IF(FO7="","",IF(FO7&lt;&gt;"THERMAL",FO7,IF($GW37="","THERMAL - NOT SPECIFIED",$GW37)))</f>
        <v/>
      </c>
      <c r="FP37" s="54" t="str">
        <f>IF(FP7="","",IF(FP7&lt;&gt;"THERMAL",FP7,IF($GW37="","THERMAL - NOT SPECIFIED",$GW37)))</f>
        <v/>
      </c>
      <c r="FQ37" s="54" t="str">
        <f>IF(FQ7="","",IF(FQ7&lt;&gt;"THERMAL",FQ7,IF($GW37="","THERMAL - NOT SPECIFIED",$GW37)))</f>
        <v/>
      </c>
      <c r="FR37" s="54" t="str">
        <f>IF(FR7="","",IF(FR7&lt;&gt;"THERMAL",FR7,IF($GW37="","THERMAL - NOT SPECIFIED",$GW37)))</f>
        <v/>
      </c>
      <c r="FS37" s="54" t="str">
        <f>IF(FS7="","",IF(FS7&lt;&gt;"THERMAL",FS7,IF($GW37="","THERMAL - NOT SPECIFIED",$GW37)))</f>
        <v/>
      </c>
      <c r="FT37" s="54" t="str">
        <f>IF(FT7="","",IF(FT7&lt;&gt;"THERMAL",FT7,IF($GW37="","THERMAL - NOT SPECIFIED",$GW37)))</f>
        <v/>
      </c>
      <c r="FU37" s="54" t="str">
        <f>IF(FU7="","",IF(FU7&lt;&gt;"THERMAL",FU7,IF($GW37="","THERMAL - NOT SPECIFIED",$GW37)))</f>
        <v/>
      </c>
      <c r="FV37" s="54" t="str">
        <f>IF(FV7="","",IF(FV7&lt;&gt;"THERMAL",FV7,IF($GW37="","THERMAL - NOT SPECIFIED",$GW37)))</f>
        <v/>
      </c>
      <c r="FW37" s="54" t="str">
        <f>IF(FW7="","",IF(FW7&lt;&gt;"THERMAL",FW7,IF($GW37="","THERMAL - NOT SPECIFIED",$GW37)))</f>
        <v/>
      </c>
      <c r="FX37" s="54" t="str">
        <f>IF(FX7="","",IF(FX7&lt;&gt;"THERMAL",FX7,IF($GW37="","THERMAL - NOT SPECIFIED",$GW37)))</f>
        <v/>
      </c>
      <c r="FY37" s="54" t="str">
        <f>IF(FY7="","",IF(FY7&lt;&gt;"THERMAL",FY7,IF($GW37="","THERMAL - NOT SPECIFIED",$GW37)))</f>
        <v/>
      </c>
      <c r="FZ37" s="54" t="str">
        <f>IF(FZ7="","",IF(FZ7&lt;&gt;"THERMAL",FZ7,IF($GW37="","THERMAL - NOT SPECIFIED",$GW37)))</f>
        <v/>
      </c>
      <c r="GA37" s="54" t="str">
        <f>IF(GA7="","",IF(GA7&lt;&gt;"THERMAL",GA7,IF($GW37="","THERMAL - NOT SPECIFIED",$GW37)))</f>
        <v/>
      </c>
      <c r="GB37" s="54" t="str">
        <f>IF(GB7="","",IF(GB7&lt;&gt;"THERMAL",GB7,IF($GW37="","THERMAL - NOT SPECIFIED",$GW37)))</f>
        <v/>
      </c>
      <c r="GC37" s="54" t="str">
        <f>IF(GC7="","",IF(GC7&lt;&gt;"THERMAL",GC7,IF($GW37="","THERMAL - NOT SPECIFIED",$GW37)))</f>
        <v/>
      </c>
      <c r="GD37" s="54" t="str">
        <f>IF(GD7="","",IF(GD7&lt;&gt;"THERMAL",GD7,IF($GW37="","THERMAL - NOT SPECIFIED",$GW37)))</f>
        <v/>
      </c>
      <c r="GE37" s="54" t="str">
        <f>IF(GE7="","",IF(GE7&lt;&gt;"THERMAL",GE7,IF($GW37="","THERMAL - NOT SPECIFIED",$GW37)))</f>
        <v/>
      </c>
      <c r="GF37" s="54" t="str">
        <f>IF(GF7="","",IF(GF7&lt;&gt;"THERMAL",GF7,IF($GW37="","THERMAL - NOT SPECIFIED",$GW37)))</f>
        <v/>
      </c>
      <c r="GG37" s="54" t="str">
        <f>IF(GG7="","",IF(GG7&lt;&gt;"THERMAL",GG7,IF($GW37="","THERMAL - NOT SPECIFIED",$GW37)))</f>
        <v/>
      </c>
      <c r="GH37" s="54" t="str">
        <f>IF(GH7="","",IF(GH7&lt;&gt;"THERMAL",GH7,IF($GW37="","THERMAL - NOT SPECIFIED",$GW37)))</f>
        <v/>
      </c>
      <c r="GI37" s="54" t="str">
        <f>IF(GI7="","",IF(GI7&lt;&gt;"THERMAL",GI7,IF($GW37="","THERMAL - NOT SPECIFIED",$GW37)))</f>
        <v/>
      </c>
      <c r="GJ37" s="54" t="str">
        <f>IF(GJ7="","",IF(GJ7&lt;&gt;"THERMAL",GJ7,IF($GW37="","THERMAL - NOT SPECIFIED",$GW37)))</f>
        <v/>
      </c>
      <c r="GK37" s="54" t="str">
        <f>IF(GK7="","",IF(GK7&lt;&gt;"THERMAL",GK7,IF($GW37="","THERMAL - NOT SPECIFIED",$GW37)))</f>
        <v/>
      </c>
      <c r="GL37" s="54" t="str">
        <f>IF(GL7="","",IF(GL7&lt;&gt;"THERMAL",GL7,IF($GW37="","THERMAL - NOT SPECIFIED",$GW37)))</f>
        <v/>
      </c>
      <c r="GM37" s="54" t="str">
        <f>IF(GM7="","",IF(GM7&lt;&gt;"THERMAL",GM7,IF($GW37="","THERMAL - NOT SPECIFIED",$GW37)))</f>
        <v/>
      </c>
      <c r="GN37" s="54" t="str">
        <f>IF(GN7="","",IF(GN7&lt;&gt;"THERMAL",GN7,IF($GW37="","THERMAL - NOT SPECIFIED",$GW37)))</f>
        <v/>
      </c>
      <c r="GO37" s="54" t="str">
        <f>IF(GO7="","",IF(GO7&lt;&gt;"THERMAL",GO7,IF($GW37="","THERMAL - NOT SPECIFIED",$GW37)))</f>
        <v/>
      </c>
      <c r="GP37" s="54" t="str">
        <f>IF(GP7="","",IF(GP7&lt;&gt;"THERMAL",GP7,IF($GW37="","THERMAL - NOT SPECIFIED",$GW37)))</f>
        <v/>
      </c>
      <c r="GQ37" s="54" t="str">
        <f>IF(GQ7="","",IF(GQ7&lt;&gt;"THERMAL",GQ7,IF($GW37="","THERMAL - NOT SPECIFIED",$GW37)))</f>
        <v/>
      </c>
      <c r="GR37" s="54" t="str">
        <f>IF(GR7="","",IF(GR7&lt;&gt;"THERMAL",GR7,IF($GW37="","THERMAL - NOT SPECIFIED",$GW37)))</f>
        <v/>
      </c>
      <c r="GS37" s="54" t="str">
        <f>IF(GS7="","",IF(GS7&lt;&gt;"THERMAL",GS7,IF($GW37="","THERMAL - NOT SPECIFIED",$GW37)))</f>
        <v/>
      </c>
      <c r="GW37" s="55" t="str">
        <f>IF($GY37="","",IFERROR(INDEX('MC MAP'!$L$5:$L$28,MATCH($GY37,'MC MAP'!$K$5:$K$28,0)),$GY37))</f>
        <v/>
      </c>
      <c r="GY37" s="60"/>
      <c r="HA37" s="15"/>
      <c r="HE37" s="14">
        <v>7926</v>
      </c>
    </row>
    <row r="38" spans="1:213" ht="16.5">
      <c r="A38" s="2">
        <f>$A8</f>
        <v>3</v>
      </c>
      <c r="B38" s="54">
        <f>IF(B8="","",IF(B8&lt;&gt;"THERMAL",B8,IF($GW38="","THERMAL - NOT SPECIFIED",$GW38)))</f>
        <v>6137</v>
      </c>
      <c r="C38" s="54">
        <f>IF(C8="","",IF(C8&lt;&gt;"THERMAL",C8,IF($GW38="","THERMAL - NOT SPECIFIED",$GW38)))</f>
        <v>6137</v>
      </c>
      <c r="D38" s="54">
        <f>IF(D8="","",IF(D8&lt;&gt;"THERMAL",D8,IF($GW38="","THERMAL - NOT SPECIFIED",$GW38)))</f>
        <v>6137</v>
      </c>
      <c r="E38" s="54">
        <f>IF(E8="","",IF(E8&lt;&gt;"THERMAL",E8,IF($GW38="","THERMAL - NOT SPECIFIED",$GW38)))</f>
        <v>6137</v>
      </c>
      <c r="F38" s="54">
        <f>IF(F8="","",IF(F8&lt;&gt;"THERMAL",F8,IF($GW38="","THERMAL - NOT SPECIFIED",$GW38)))</f>
        <v>6137</v>
      </c>
      <c r="G38" s="54">
        <f>IF(G8="","",IF(G8&lt;&gt;"THERMAL",G8,IF($GW38="","THERMAL - NOT SPECIFIED",$GW38)))</f>
        <v>6137</v>
      </c>
      <c r="H38" s="54">
        <f>IF(H8="","",IF(H8&lt;&gt;"THERMAL",H8,IF($GW38="","THERMAL - NOT SPECIFIED",$GW38)))</f>
        <v>6137</v>
      </c>
      <c r="I38" s="54">
        <f>IF(I8="","",IF(I8&lt;&gt;"THERMAL",I8,IF($GW38="","THERMAL - NOT SPECIFIED",$GW38)))</f>
        <v>6137</v>
      </c>
      <c r="J38" s="54">
        <f>IF(J8="","",IF(J8&lt;&gt;"THERMAL",J8,IF($GW38="","THERMAL - NOT SPECIFIED",$GW38)))</f>
        <v>6137</v>
      </c>
      <c r="K38" s="54">
        <f>IF(K8="","",IF(K8&lt;&gt;"THERMAL",K8,IF($GW38="","THERMAL - NOT SPECIFIED",$GW38)))</f>
        <v>6137</v>
      </c>
      <c r="L38" s="54">
        <f>IF(L8="","",IF(L8&lt;&gt;"THERMAL",L8,IF($GW38="","THERMAL - NOT SPECIFIED",$GW38)))</f>
        <v>6137</v>
      </c>
      <c r="M38" s="54">
        <f>IF(M8="","",IF(M8&lt;&gt;"THERMAL",M8,IF($GW38="","THERMAL - NOT SPECIFIED",$GW38)))</f>
        <v>6137</v>
      </c>
      <c r="N38" s="54">
        <f>IF(N8="","",IF(N8&lt;&gt;"THERMAL",N8,IF($GW38="","THERMAL - NOT SPECIFIED",$GW38)))</f>
        <v>6137</v>
      </c>
      <c r="O38" s="54" t="str">
        <f>IF(O8="","",IF(O8&lt;&gt;"THERMAL",O8,IF($GW38="","THERMAL - NOT SPECIFIED",$GW38)))</f>
        <v>VACCANT</v>
      </c>
      <c r="P38" s="54">
        <f>IF(P8="","",IF(P8&lt;&gt;"THERMAL",P8,IF($GW38="","THERMAL - NOT SPECIFIED",$GW38)))</f>
        <v>4110</v>
      </c>
      <c r="Q38" s="54">
        <f>IF(Q8="","",IF(Q8&lt;&gt;"THERMAL",Q8,IF($GW38="","THERMAL - NOT SPECIFIED",$GW38)))</f>
        <v>4110</v>
      </c>
      <c r="R38" s="54">
        <f>IF(R8="","",IF(R8&lt;&gt;"THERMAL",R8,IF($GW38="","THERMAL - NOT SPECIFIED",$GW38)))</f>
        <v>4110</v>
      </c>
      <c r="S38" s="54">
        <f>IF(S8="","",IF(S8&lt;&gt;"THERMAL",S8,IF($GW38="","THERMAL - NOT SPECIFIED",$GW38)))</f>
        <v>4110</v>
      </c>
      <c r="T38" s="54">
        <f>IF(T8="","",IF(T8&lt;&gt;"THERMAL",T8,IF($GW38="","THERMAL - NOT SPECIFIED",$GW38)))</f>
        <v>4110</v>
      </c>
      <c r="U38" s="54">
        <f>IF(U8="","",IF(U8&lt;&gt;"THERMAL",U8,IF($GW38="","THERMAL - NOT SPECIFIED",$GW38)))</f>
        <v>4110</v>
      </c>
      <c r="V38" s="54">
        <f>IF(V8="","",IF(V8&lt;&gt;"THERMAL",V8,IF($GW38="","THERMAL - NOT SPECIFIED",$GW38)))</f>
        <v>4110</v>
      </c>
      <c r="W38" s="54">
        <f>IF(W8="","",IF(W8&lt;&gt;"THERMAL",W8,IF($GW38="","THERMAL - NOT SPECIFIED",$GW38)))</f>
        <v>4110</v>
      </c>
      <c r="X38" s="54">
        <f>IF(X8="","",IF(X8&lt;&gt;"THERMAL",X8,IF($GW38="","THERMAL - NOT SPECIFIED",$GW38)))</f>
        <v>4110</v>
      </c>
      <c r="Y38" s="54">
        <f>IF(Y8="","",IF(Y8&lt;&gt;"THERMAL",Y8,IF($GW38="","THERMAL - NOT SPECIFIED",$GW38)))</f>
        <v>4110</v>
      </c>
      <c r="Z38" s="54">
        <f>IF(Z8="","",IF(Z8&lt;&gt;"THERMAL",Z8,IF($GW38="","THERMAL - NOT SPECIFIED",$GW38)))</f>
        <v>4110</v>
      </c>
      <c r="AA38" s="54">
        <f>IF(AA8="","",IF(AA8&lt;&gt;"THERMAL",AA8,IF($GW38="","THERMAL - NOT SPECIFIED",$GW38)))</f>
        <v>4110</v>
      </c>
      <c r="AB38" s="54">
        <f>IF(AB8="","",IF(AB8&lt;&gt;"THERMAL",AB8,IF($GW38="","THERMAL - NOT SPECIFIED",$GW38)))</f>
        <v>4110</v>
      </c>
      <c r="AC38" s="54">
        <f>IF(AC8="","",IF(AC8&lt;&gt;"THERMAL",AC8,IF($GW38="","THERMAL - NOT SPECIFIED",$GW38)))</f>
        <v>4110</v>
      </c>
      <c r="AD38" s="54">
        <f>IF(AD8="","",IF(AD8&lt;&gt;"THERMAL",AD8,IF($GW38="","THERMAL - NOT SPECIFIED",$GW38)))</f>
        <v>4110</v>
      </c>
      <c r="AE38" s="54">
        <f>IF(AE8="","",IF(AE8&lt;&gt;"THERMAL",AE8,IF($GW38="","THERMAL - NOT SPECIFIED",$GW38)))</f>
        <v>4110</v>
      </c>
      <c r="AF38" s="54">
        <f>IF(AF8="","",IF(AF8&lt;&gt;"THERMAL",AF8,IF($GW38="","THERMAL - NOT SPECIFIED",$GW38)))</f>
        <v>4110</v>
      </c>
      <c r="AG38" s="54">
        <f>IF(AG8="","",IF(AG8&lt;&gt;"THERMAL",AG8,IF($GW38="","THERMAL - NOT SPECIFIED",$GW38)))</f>
        <v>4110</v>
      </c>
      <c r="AH38" s="54">
        <f>IF(AH8="","",IF(AH8&lt;&gt;"THERMAL",AH8,IF($GW38="","THERMAL - NOT SPECIFIED",$GW38)))</f>
        <v>4110</v>
      </c>
      <c r="AI38" s="54">
        <f>IF(AI8="","",IF(AI8&lt;&gt;"THERMAL",AI8,IF($GW38="","THERMAL - NOT SPECIFIED",$GW38)))</f>
        <v>4110</v>
      </c>
      <c r="AJ38" s="54">
        <f>IF(AJ8="","",IF(AJ8&lt;&gt;"THERMAL",AJ8,IF($GW38="","THERMAL - NOT SPECIFIED",$GW38)))</f>
        <v>4110</v>
      </c>
      <c r="AK38" s="54">
        <f>IF(AK8="","",IF(AK8&lt;&gt;"THERMAL",AK8,IF($GW38="","THERMAL - NOT SPECIFIED",$GW38)))</f>
        <v>4110</v>
      </c>
      <c r="AL38" s="54">
        <f>IF(AL8="","",IF(AL8&lt;&gt;"THERMAL",AL8,IF($GW38="","THERMAL - NOT SPECIFIED",$GW38)))</f>
        <v>4110</v>
      </c>
      <c r="AM38" s="54">
        <f>IF(AM8="","",IF(AM8&lt;&gt;"THERMAL",AM8,IF($GW38="","THERMAL - NOT SPECIFIED",$GW38)))</f>
        <v>4110</v>
      </c>
      <c r="AN38" s="54">
        <f>IF(AN8="","",IF(AN8&lt;&gt;"THERMAL",AN8,IF($GW38="","THERMAL - NOT SPECIFIED",$GW38)))</f>
        <v>4110</v>
      </c>
      <c r="AO38" s="54">
        <f>IF(AO8="","",IF(AO8&lt;&gt;"THERMAL",AO8,IF($GW38="","THERMAL - NOT SPECIFIED",$GW38)))</f>
        <v>4110</v>
      </c>
      <c r="AP38" s="54">
        <f>IF(AP8="","",IF(AP8&lt;&gt;"THERMAL",AP8,IF($GW38="","THERMAL - NOT SPECIFIED",$GW38)))</f>
        <v>4110</v>
      </c>
      <c r="AQ38" s="54">
        <f>IF(AQ8="","",IF(AQ8&lt;&gt;"THERMAL",AQ8,IF($GW38="","THERMAL - NOT SPECIFIED",$GW38)))</f>
        <v>4110</v>
      </c>
      <c r="AR38" s="54">
        <f>IF(AR8="","",IF(AR8&lt;&gt;"THERMAL",AR8,IF($GW38="","THERMAL - NOT SPECIFIED",$GW38)))</f>
        <v>4110</v>
      </c>
      <c r="AS38" s="54">
        <f>IF(AS8="","",IF(AS8&lt;&gt;"THERMAL",AS8,IF($GW38="","THERMAL - NOT SPECIFIED",$GW38)))</f>
        <v>4110</v>
      </c>
      <c r="AT38" s="54">
        <f>IF(AT8="","",IF(AT8&lt;&gt;"THERMAL",AT8,IF($GW38="","THERMAL - NOT SPECIFIED",$GW38)))</f>
        <v>4110</v>
      </c>
      <c r="AU38" s="54">
        <f>IF(AU8="","",IF(AU8&lt;&gt;"THERMAL",AU8,IF($GW38="","THERMAL - NOT SPECIFIED",$GW38)))</f>
        <v>4110</v>
      </c>
      <c r="AV38" s="54">
        <f>IF(AV8="","",IF(AV8&lt;&gt;"THERMAL",AV8,IF($GW38="","THERMAL - NOT SPECIFIED",$GW38)))</f>
        <v>4110</v>
      </c>
      <c r="AW38" s="54" t="str">
        <f>IF(AW8="","",IF(AW8&lt;&gt;"THERMAL",AW8,IF($GW38="","THERMAL - NOT SPECIFIED",$GW38)))</f>
        <v>VACCANT</v>
      </c>
      <c r="AX38" s="56" t="str">
        <f>IF(AX8="","",IF(AX8&lt;&gt;"THERMAL",AX8,IF($GW38="","THERMAL - NOT SPECIFIED",$GW38)))</f>
        <v/>
      </c>
      <c r="AY38" s="54" t="str">
        <f>IF(AY8="","",IF(AY8&lt;&gt;"THERMAL",AY8,IF($GW38="","THERMAL - NOT SPECIFIED",$GW38)))</f>
        <v/>
      </c>
      <c r="AZ38" s="54" t="str">
        <f>IF(AZ8="","",IF(AZ8&lt;&gt;"THERMAL",AZ8,IF($GW38="","THERMAL - NOT SPECIFIED",$GW38)))</f>
        <v/>
      </c>
      <c r="BA38" s="54" t="str">
        <f>IF(BA8="","",IF(BA8&lt;&gt;"THERMAL",BA8,IF($GW38="","THERMAL - NOT SPECIFIED",$GW38)))</f>
        <v/>
      </c>
      <c r="BB38" s="54" t="str">
        <f>IF(BB8="","",IF(BB8&lt;&gt;"THERMAL",BB8,IF($GW38="","THERMAL - NOT SPECIFIED",$GW38)))</f>
        <v/>
      </c>
      <c r="BC38" s="54" t="str">
        <f>IF(BC8="","",IF(BC8&lt;&gt;"THERMAL",BC8,IF($GW38="","THERMAL - NOT SPECIFIED",$GW38)))</f>
        <v/>
      </c>
      <c r="BD38" s="54" t="str">
        <f>IF(BD8="","",IF(BD8&lt;&gt;"THERMAL",BD8,IF($GW38="","THERMAL - NOT SPECIFIED",$GW38)))</f>
        <v/>
      </c>
      <c r="BE38" s="54" t="str">
        <f>IF(BE8="","",IF(BE8&lt;&gt;"THERMAL",BE8,IF($GW38="","THERMAL - NOT SPECIFIED",$GW38)))</f>
        <v/>
      </c>
      <c r="BF38" s="54" t="str">
        <f>IF(BF8="","",IF(BF8&lt;&gt;"THERMAL",BF8,IF($GW38="","THERMAL - NOT SPECIFIED",$GW38)))</f>
        <v/>
      </c>
      <c r="BG38" s="54" t="str">
        <f>IF(BG8="","",IF(BG8&lt;&gt;"THERMAL",BG8,IF($GW38="","THERMAL - NOT SPECIFIED",$GW38)))</f>
        <v/>
      </c>
      <c r="BH38" s="54" t="str">
        <f>IF(BH8="","",IF(BH8&lt;&gt;"THERMAL",BH8,IF($GW38="","THERMAL - NOT SPECIFIED",$GW38)))</f>
        <v/>
      </c>
      <c r="BI38" s="54" t="str">
        <f>IF(BI8="","",IF(BI8&lt;&gt;"THERMAL",BI8,IF($GW38="","THERMAL - NOT SPECIFIED",$GW38)))</f>
        <v/>
      </c>
      <c r="BJ38" s="54" t="str">
        <f>IF(BJ8="","",IF(BJ8&lt;&gt;"THERMAL",BJ8,IF($GW38="","THERMAL - NOT SPECIFIED",$GW38)))</f>
        <v/>
      </c>
      <c r="BK38" s="54" t="str">
        <f>IF(BK8="","",IF(BK8&lt;&gt;"THERMAL",BK8,IF($GW38="","THERMAL - NOT SPECIFIED",$GW38)))</f>
        <v/>
      </c>
      <c r="BL38" s="54" t="str">
        <f>IF(BL8="","",IF(BL8&lt;&gt;"THERMAL",BL8,IF($GW38="","THERMAL - NOT SPECIFIED",$GW38)))</f>
        <v/>
      </c>
      <c r="BM38" s="54" t="str">
        <f>IF(BM8="","",IF(BM8&lt;&gt;"THERMAL",BM8,IF($GW38="","THERMAL - NOT SPECIFIED",$GW38)))</f>
        <v/>
      </c>
      <c r="BN38" s="54" t="str">
        <f>IF(BN8="","",IF(BN8&lt;&gt;"THERMAL",BN8,IF($GW38="","THERMAL - NOT SPECIFIED",$GW38)))</f>
        <v/>
      </c>
      <c r="BO38" s="54" t="str">
        <f>IF(BO8="","",IF(BO8&lt;&gt;"THERMAL",BO8,IF($GW38="","THERMAL - NOT SPECIFIED",$GW38)))</f>
        <v/>
      </c>
      <c r="BP38" s="54" t="str">
        <f>IF(BP8="","",IF(BP8&lt;&gt;"THERMAL",BP8,IF($GW38="","THERMAL - NOT SPECIFIED",$GW38)))</f>
        <v/>
      </c>
      <c r="BQ38" s="54" t="str">
        <f>IF(BQ8="","",IF(BQ8&lt;&gt;"THERMAL",BQ8,IF($GW38="","THERMAL - NOT SPECIFIED",$GW38)))</f>
        <v/>
      </c>
      <c r="BR38" s="54" t="str">
        <f>IF(BR8="","",IF(BR8&lt;&gt;"THERMAL",BR8,IF($GW38="","THERMAL - NOT SPECIFIED",$GW38)))</f>
        <v/>
      </c>
      <c r="BS38" s="54" t="str">
        <f>IF(BS8="","",IF(BS8&lt;&gt;"THERMAL",BS8,IF($GW38="","THERMAL - NOT SPECIFIED",$GW38)))</f>
        <v/>
      </c>
      <c r="BT38" s="54" t="str">
        <f>IF(BT8="","",IF(BT8&lt;&gt;"THERMAL",BT8,IF($GW38="","THERMAL - NOT SPECIFIED",$GW38)))</f>
        <v/>
      </c>
      <c r="BU38" s="54" t="str">
        <f>IF(BU8="","",IF(BU8&lt;&gt;"THERMAL",BU8,IF($GW38="","THERMAL - NOT SPECIFIED",$GW38)))</f>
        <v/>
      </c>
      <c r="BV38" s="54" t="str">
        <f>IF(BV8="","",IF(BV8&lt;&gt;"THERMAL",BV8,IF($GW38="","THERMAL - NOT SPECIFIED",$GW38)))</f>
        <v/>
      </c>
      <c r="BW38" s="54" t="str">
        <f>IF(BW8="","",IF(BW8&lt;&gt;"THERMAL",BW8,IF($GW38="","THERMAL - NOT SPECIFIED",$GW38)))</f>
        <v/>
      </c>
      <c r="BX38" s="54" t="str">
        <f>IF(BX8="","",IF(BX8&lt;&gt;"THERMAL",BX8,IF($GW38="","THERMAL - NOT SPECIFIED",$GW38)))</f>
        <v/>
      </c>
      <c r="BY38" s="54" t="str">
        <f>IF(BY8="","",IF(BY8&lt;&gt;"THERMAL",BY8,IF($GW38="","THERMAL - NOT SPECIFIED",$GW38)))</f>
        <v/>
      </c>
      <c r="BZ38" s="54" t="str">
        <f>IF(BZ8="","",IF(BZ8&lt;&gt;"THERMAL",BZ8,IF($GW38="","THERMAL - NOT SPECIFIED",$GW38)))</f>
        <v/>
      </c>
      <c r="CA38" s="54" t="str">
        <f>IF(CA8="","",IF(CA8&lt;&gt;"THERMAL",CA8,IF($GW38="","THERMAL - NOT SPECIFIED",$GW38)))</f>
        <v/>
      </c>
      <c r="CB38" s="54" t="str">
        <f>IF(CB8="","",IF(CB8&lt;&gt;"THERMAL",CB8,IF($GW38="","THERMAL - NOT SPECIFIED",$GW38)))</f>
        <v/>
      </c>
      <c r="CC38" s="54" t="str">
        <f>IF(CC8="","",IF(CC8&lt;&gt;"THERMAL",CC8,IF($GW38="","THERMAL - NOT SPECIFIED",$GW38)))</f>
        <v/>
      </c>
      <c r="CD38" s="54" t="str">
        <f>IF(CD8="","",IF(CD8&lt;&gt;"THERMAL",CD8,IF($GW38="","THERMAL - NOT SPECIFIED",$GW38)))</f>
        <v/>
      </c>
      <c r="CE38" s="54" t="str">
        <f>IF(CE8="","",IF(CE8&lt;&gt;"THERMAL",CE8,IF($GW38="","THERMAL - NOT SPECIFIED",$GW38)))</f>
        <v/>
      </c>
      <c r="CF38" s="54" t="str">
        <f>IF(CF8="","",IF(CF8&lt;&gt;"THERMAL",CF8,IF($GW38="","THERMAL - NOT SPECIFIED",$GW38)))</f>
        <v/>
      </c>
      <c r="CG38" s="54" t="str">
        <f>IF(CG8="","",IF(CG8&lt;&gt;"THERMAL",CG8,IF($GW38="","THERMAL - NOT SPECIFIED",$GW38)))</f>
        <v/>
      </c>
      <c r="CH38" s="54" t="str">
        <f>IF(CH8="","",IF(CH8&lt;&gt;"THERMAL",CH8,IF($GW38="","THERMAL - NOT SPECIFIED",$GW38)))</f>
        <v/>
      </c>
      <c r="CI38" s="54" t="str">
        <f>IF(CI8="","",IF(CI8&lt;&gt;"THERMAL",CI8,IF($GW38="","THERMAL - NOT SPECIFIED",$GW38)))</f>
        <v/>
      </c>
      <c r="CJ38" s="54" t="str">
        <f>IF(CJ8="","",IF(CJ8&lt;&gt;"THERMAL",CJ8,IF($GW38="","THERMAL - NOT SPECIFIED",$GW38)))</f>
        <v/>
      </c>
      <c r="CK38" s="54" t="str">
        <f>IF(CK8="","",IF(CK8&lt;&gt;"THERMAL",CK8,IF($GW38="","THERMAL - NOT SPECIFIED",$GW38)))</f>
        <v/>
      </c>
      <c r="CL38" s="54" t="str">
        <f>IF(CL8="","",IF(CL8&lt;&gt;"THERMAL",CL8,IF($GW38="","THERMAL - NOT SPECIFIED",$GW38)))</f>
        <v/>
      </c>
      <c r="CM38" s="54" t="str">
        <f>IF(CM8="","",IF(CM8&lt;&gt;"THERMAL",CM8,IF($GW38="","THERMAL - NOT SPECIFIED",$GW38)))</f>
        <v/>
      </c>
      <c r="CN38" s="54" t="str">
        <f>IF(CN8="","",IF(CN8&lt;&gt;"THERMAL",CN8,IF($GW38="","THERMAL - NOT SPECIFIED",$GW38)))</f>
        <v/>
      </c>
      <c r="CO38" s="54" t="str">
        <f>IF(CO8="","",IF(CO8&lt;&gt;"THERMAL",CO8,IF($GW38="","THERMAL - NOT SPECIFIED",$GW38)))</f>
        <v/>
      </c>
      <c r="CP38" s="54" t="str">
        <f>IF(CP8="","",IF(CP8&lt;&gt;"THERMAL",CP8,IF($GW38="","THERMAL - NOT SPECIFIED",$GW38)))</f>
        <v/>
      </c>
      <c r="CQ38" s="54" t="str">
        <f>IF(CQ8="","",IF(CQ8&lt;&gt;"THERMAL",CQ8,IF($GW38="","THERMAL - NOT SPECIFIED",$GW38)))</f>
        <v/>
      </c>
      <c r="CR38" s="54" t="str">
        <f>IF(CR8="","",IF(CR8&lt;&gt;"THERMAL",CR8,IF($GW38="","THERMAL - NOT SPECIFIED",$GW38)))</f>
        <v/>
      </c>
      <c r="CS38" s="54" t="str">
        <f>IF(CS8="","",IF(CS8&lt;&gt;"THERMAL",CS8,IF($GW38="","THERMAL - NOT SPECIFIED",$GW38)))</f>
        <v/>
      </c>
      <c r="CT38" s="54" t="str">
        <f>IF(CT8="","",IF(CT8&lt;&gt;"THERMAL",CT8,IF($GW38="","THERMAL - NOT SPECIFIED",$GW38)))</f>
        <v/>
      </c>
      <c r="CU38" s="54" t="str">
        <f>IF(CU8="","",IF(CU8&lt;&gt;"THERMAL",CU8,IF($GW38="","THERMAL - NOT SPECIFIED",$GW38)))</f>
        <v/>
      </c>
      <c r="CV38" s="54" t="str">
        <f>IF(CV8="","",IF(CV8&lt;&gt;"THERMAL",CV8,IF($GW38="","THERMAL - NOT SPECIFIED",$GW38)))</f>
        <v/>
      </c>
      <c r="CW38" s="54" t="str">
        <f>IF(CW8="","",IF(CW8&lt;&gt;"THERMAL",CW8,IF($GW38="","THERMAL - NOT SPECIFIED",$GW38)))</f>
        <v/>
      </c>
      <c r="CX38" s="54" t="str">
        <f>IF(CX8="","",IF(CX8&lt;&gt;"THERMAL",CX8,IF($GW38="","THERMAL - NOT SPECIFIED",$GW38)))</f>
        <v/>
      </c>
      <c r="CY38" s="54" t="str">
        <f>IF(CY8="","",IF(CY8&lt;&gt;"THERMAL",CY8,IF($GW38="","THERMAL - NOT SPECIFIED",$GW38)))</f>
        <v/>
      </c>
      <c r="CZ38" s="54" t="str">
        <f>IF(CZ8="","",IF(CZ8&lt;&gt;"THERMAL",CZ8,IF($GW38="","THERMAL - NOT SPECIFIED",$GW38)))</f>
        <v/>
      </c>
      <c r="DA38" s="54" t="str">
        <f>IF(DA8="","",IF(DA8&lt;&gt;"THERMAL",DA8,IF($GW38="","THERMAL - NOT SPECIFIED",$GW38)))</f>
        <v/>
      </c>
      <c r="DB38" s="54" t="str">
        <f>IF(DB8="","",IF(DB8&lt;&gt;"THERMAL",DB8,IF($GW38="","THERMAL - NOT SPECIFIED",$GW38)))</f>
        <v/>
      </c>
      <c r="DC38" s="54" t="str">
        <f>IF(DC8="","",IF(DC8&lt;&gt;"THERMAL",DC8,IF($GW38="","THERMAL - NOT SPECIFIED",$GW38)))</f>
        <v/>
      </c>
      <c r="DD38" s="54" t="str">
        <f>IF(DD8="","",IF(DD8&lt;&gt;"THERMAL",DD8,IF($GW38="","THERMAL - NOT SPECIFIED",$GW38)))</f>
        <v/>
      </c>
      <c r="DE38" s="54" t="str">
        <f>IF(DE8="","",IF(DE8&lt;&gt;"THERMAL",DE8,IF($GW38="","THERMAL - NOT SPECIFIED",$GW38)))</f>
        <v/>
      </c>
      <c r="DF38" s="54" t="str">
        <f>IF(DF8="","",IF(DF8&lt;&gt;"THERMAL",DF8,IF($GW38="","THERMAL - NOT SPECIFIED",$GW38)))</f>
        <v/>
      </c>
      <c r="DG38" s="54" t="str">
        <f>IF(DG8="","",IF(DG8&lt;&gt;"THERMAL",DG8,IF($GW38="","THERMAL - NOT SPECIFIED",$GW38)))</f>
        <v/>
      </c>
      <c r="DH38" s="54" t="str">
        <f>IF(DH8="","",IF(DH8&lt;&gt;"THERMAL",DH8,IF($GW38="","THERMAL - NOT SPECIFIED",$GW38)))</f>
        <v/>
      </c>
      <c r="DI38" s="54" t="str">
        <f>IF(DI8="","",IF(DI8&lt;&gt;"THERMAL",DI8,IF($GW38="","THERMAL - NOT SPECIFIED",$GW38)))</f>
        <v/>
      </c>
      <c r="DJ38" s="54" t="str">
        <f>IF(DJ8="","",IF(DJ8&lt;&gt;"THERMAL",DJ8,IF($GW38="","THERMAL - NOT SPECIFIED",$GW38)))</f>
        <v/>
      </c>
      <c r="DK38" s="54" t="str">
        <f>IF(DK8="","",IF(DK8&lt;&gt;"THERMAL",DK8,IF($GW38="","THERMAL - NOT SPECIFIED",$GW38)))</f>
        <v/>
      </c>
      <c r="DL38" s="54" t="str">
        <f>IF(DL8="","",IF(DL8&lt;&gt;"THERMAL",DL8,IF($GW38="","THERMAL - NOT SPECIFIED",$GW38)))</f>
        <v/>
      </c>
      <c r="DM38" s="54" t="str">
        <f>IF(DM8="","",IF(DM8&lt;&gt;"THERMAL",DM8,IF($GW38="","THERMAL - NOT SPECIFIED",$GW38)))</f>
        <v/>
      </c>
      <c r="DN38" s="54" t="str">
        <f>IF(DN8="","",IF(DN8&lt;&gt;"THERMAL",DN8,IF($GW38="","THERMAL - NOT SPECIFIED",$GW38)))</f>
        <v/>
      </c>
      <c r="DO38" s="54" t="str">
        <f>IF(DO8="","",IF(DO8&lt;&gt;"THERMAL",DO8,IF($GW38="","THERMAL - NOT SPECIFIED",$GW38)))</f>
        <v/>
      </c>
      <c r="DP38" s="54" t="str">
        <f>IF(DP8="","",IF(DP8&lt;&gt;"THERMAL",DP8,IF($GW38="","THERMAL - NOT SPECIFIED",$GW38)))</f>
        <v/>
      </c>
      <c r="DQ38" s="54" t="str">
        <f>IF(DQ8="","",IF(DQ8&lt;&gt;"THERMAL",DQ8,IF($GW38="","THERMAL - NOT SPECIFIED",$GW38)))</f>
        <v/>
      </c>
      <c r="DR38" s="54" t="str">
        <f>IF(DR8="","",IF(DR8&lt;&gt;"THERMAL",DR8,IF($GW38="","THERMAL - NOT SPECIFIED",$GW38)))</f>
        <v/>
      </c>
      <c r="DS38" s="54" t="str">
        <f>IF(DS8="","",IF(DS8&lt;&gt;"THERMAL",DS8,IF($GW38="","THERMAL - NOT SPECIFIED",$GW38)))</f>
        <v/>
      </c>
      <c r="DT38" s="54" t="str">
        <f>IF(DT8="","",IF(DT8&lt;&gt;"THERMAL",DT8,IF($GW38="","THERMAL - NOT SPECIFIED",$GW38)))</f>
        <v/>
      </c>
      <c r="DU38" s="54" t="str">
        <f>IF(DU8="","",IF(DU8&lt;&gt;"THERMAL",DU8,IF($GW38="","THERMAL - NOT SPECIFIED",$GW38)))</f>
        <v/>
      </c>
      <c r="DV38" s="54" t="str">
        <f>IF(DV8="","",IF(DV8&lt;&gt;"THERMAL",DV8,IF($GW38="","THERMAL - NOT SPECIFIED",$GW38)))</f>
        <v/>
      </c>
      <c r="DW38" s="54" t="str">
        <f>IF(DW8="","",IF(DW8&lt;&gt;"THERMAL",DW8,IF($GW38="","THERMAL - NOT SPECIFIED",$GW38)))</f>
        <v/>
      </c>
      <c r="DX38" s="54" t="str">
        <f>IF(DX8="","",IF(DX8&lt;&gt;"THERMAL",DX8,IF($GW38="","THERMAL - NOT SPECIFIED",$GW38)))</f>
        <v/>
      </c>
      <c r="DY38" s="54" t="str">
        <f>IF(DY8="","",IF(DY8&lt;&gt;"THERMAL",DY8,IF($GW38="","THERMAL - NOT SPECIFIED",$GW38)))</f>
        <v/>
      </c>
      <c r="DZ38" s="54" t="str">
        <f>IF(DZ8="","",IF(DZ8&lt;&gt;"THERMAL",DZ8,IF($GW38="","THERMAL - NOT SPECIFIED",$GW38)))</f>
        <v/>
      </c>
      <c r="EA38" s="54" t="str">
        <f>IF(EA8="","",IF(EA8&lt;&gt;"THERMAL",EA8,IF($GW38="","THERMAL - NOT SPECIFIED",$GW38)))</f>
        <v/>
      </c>
      <c r="EB38" s="54" t="str">
        <f>IF(EB8="","",IF(EB8&lt;&gt;"THERMAL",EB8,IF($GW38="","THERMAL - NOT SPECIFIED",$GW38)))</f>
        <v/>
      </c>
      <c r="EC38" s="54" t="str">
        <f>IF(EC8="","",IF(EC8&lt;&gt;"THERMAL",EC8,IF($GW38="","THERMAL - NOT SPECIFIED",$GW38)))</f>
        <v/>
      </c>
      <c r="ED38" s="54" t="str">
        <f>IF(ED8="","",IF(ED8&lt;&gt;"THERMAL",ED8,IF($GW38="","THERMAL - NOT SPECIFIED",$GW38)))</f>
        <v/>
      </c>
      <c r="EE38" s="54" t="str">
        <f>IF(EE8="","",IF(EE8&lt;&gt;"THERMAL",EE8,IF($GW38="","THERMAL - NOT SPECIFIED",$GW38)))</f>
        <v/>
      </c>
      <c r="EF38" s="54" t="str">
        <f>IF(EF8="","",IF(EF8&lt;&gt;"THERMAL",EF8,IF($GW38="","THERMAL - NOT SPECIFIED",$GW38)))</f>
        <v/>
      </c>
      <c r="EG38" s="54" t="str">
        <f>IF(EG8="","",IF(EG8&lt;&gt;"THERMAL",EG8,IF($GW38="","THERMAL - NOT SPECIFIED",$GW38)))</f>
        <v/>
      </c>
      <c r="EH38" s="54" t="str">
        <f>IF(EH8="","",IF(EH8&lt;&gt;"THERMAL",EH8,IF($GW38="","THERMAL - NOT SPECIFIED",$GW38)))</f>
        <v/>
      </c>
      <c r="EI38" s="54" t="str">
        <f>IF(EI8="","",IF(EI8&lt;&gt;"THERMAL",EI8,IF($GW38="","THERMAL - NOT SPECIFIED",$GW38)))</f>
        <v/>
      </c>
      <c r="EJ38" s="54" t="str">
        <f>IF(EJ8="","",IF(EJ8&lt;&gt;"THERMAL",EJ8,IF($GW38="","THERMAL - NOT SPECIFIED",$GW38)))</f>
        <v/>
      </c>
      <c r="EK38" s="54" t="str">
        <f>IF(EK8="","",IF(EK8&lt;&gt;"THERMAL",EK8,IF($GW38="","THERMAL - NOT SPECIFIED",$GW38)))</f>
        <v/>
      </c>
      <c r="EL38" s="54" t="str">
        <f>IF(EL8="","",IF(EL8&lt;&gt;"THERMAL",EL8,IF($GW38="","THERMAL - NOT SPECIFIED",$GW38)))</f>
        <v/>
      </c>
      <c r="EM38" s="54" t="str">
        <f>IF(EM8="","",IF(EM8&lt;&gt;"THERMAL",EM8,IF($GW38="","THERMAL - NOT SPECIFIED",$GW38)))</f>
        <v/>
      </c>
      <c r="EN38" s="54" t="str">
        <f>IF(EN8="","",IF(EN8&lt;&gt;"THERMAL",EN8,IF($GW38="","THERMAL - NOT SPECIFIED",$GW38)))</f>
        <v/>
      </c>
      <c r="EO38" s="54" t="str">
        <f>IF(EO8="","",IF(EO8&lt;&gt;"THERMAL",EO8,IF($GW38="","THERMAL - NOT SPECIFIED",$GW38)))</f>
        <v/>
      </c>
      <c r="EP38" s="54" t="str">
        <f>IF(EP8="","",IF(EP8&lt;&gt;"THERMAL",EP8,IF($GW38="","THERMAL - NOT SPECIFIED",$GW38)))</f>
        <v/>
      </c>
      <c r="EQ38" s="54" t="str">
        <f>IF(EQ8="","",IF(EQ8&lt;&gt;"THERMAL",EQ8,IF($GW38="","THERMAL - NOT SPECIFIED",$GW38)))</f>
        <v/>
      </c>
      <c r="ER38" s="54" t="str">
        <f>IF(ER8="","",IF(ER8&lt;&gt;"THERMAL",ER8,IF($GW38="","THERMAL - NOT SPECIFIED",$GW38)))</f>
        <v/>
      </c>
      <c r="ES38" s="54" t="str">
        <f>IF(ES8="","",IF(ES8&lt;&gt;"THERMAL",ES8,IF($GW38="","THERMAL - NOT SPECIFIED",$GW38)))</f>
        <v/>
      </c>
      <c r="ET38" s="54" t="str">
        <f>IF(ET8="","",IF(ET8&lt;&gt;"THERMAL",ET8,IF($GW38="","THERMAL - NOT SPECIFIED",$GW38)))</f>
        <v/>
      </c>
      <c r="EU38" s="54" t="str">
        <f>IF(EU8="","",IF(EU8&lt;&gt;"THERMAL",EU8,IF($GW38="","THERMAL - NOT SPECIFIED",$GW38)))</f>
        <v/>
      </c>
      <c r="EV38" s="54" t="str">
        <f>IF(EV8="","",IF(EV8&lt;&gt;"THERMAL",EV8,IF($GW38="","THERMAL - NOT SPECIFIED",$GW38)))</f>
        <v/>
      </c>
      <c r="EW38" s="54" t="str">
        <f>IF(EW8="","",IF(EW8&lt;&gt;"THERMAL",EW8,IF($GW38="","THERMAL - NOT SPECIFIED",$GW38)))</f>
        <v/>
      </c>
      <c r="EX38" s="54" t="str">
        <f>IF(EX8="","",IF(EX8&lt;&gt;"THERMAL",EX8,IF($GW38="","THERMAL - NOT SPECIFIED",$GW38)))</f>
        <v/>
      </c>
      <c r="EY38" s="54" t="str">
        <f>IF(EY8="","",IF(EY8&lt;&gt;"THERMAL",EY8,IF($GW38="","THERMAL - NOT SPECIFIED",$GW38)))</f>
        <v/>
      </c>
      <c r="EZ38" s="54" t="str">
        <f>IF(EZ8="","",IF(EZ8&lt;&gt;"THERMAL",EZ8,IF($GW38="","THERMAL - NOT SPECIFIED",$GW38)))</f>
        <v/>
      </c>
      <c r="FA38" s="54" t="str">
        <f>IF(FA8="","",IF(FA8&lt;&gt;"THERMAL",FA8,IF($GW38="","THERMAL - NOT SPECIFIED",$GW38)))</f>
        <v/>
      </c>
      <c r="FB38" s="54" t="str">
        <f>IF(FB8="","",IF(FB8&lt;&gt;"THERMAL",FB8,IF($GW38="","THERMAL - NOT SPECIFIED",$GW38)))</f>
        <v/>
      </c>
      <c r="FC38" s="54" t="str">
        <f>IF(FC8="","",IF(FC8&lt;&gt;"THERMAL",FC8,IF($GW38="","THERMAL - NOT SPECIFIED",$GW38)))</f>
        <v/>
      </c>
      <c r="FD38" s="54" t="str">
        <f>IF(FD8="","",IF(FD8&lt;&gt;"THERMAL",FD8,IF($GW38="","THERMAL - NOT SPECIFIED",$GW38)))</f>
        <v/>
      </c>
      <c r="FE38" s="54" t="str">
        <f>IF(FE8="","",IF(FE8&lt;&gt;"THERMAL",FE8,IF($GW38="","THERMAL - NOT SPECIFIED",$GW38)))</f>
        <v/>
      </c>
      <c r="FF38" s="54" t="str">
        <f>IF(FF8="","",IF(FF8&lt;&gt;"THERMAL",FF8,IF($GW38="","THERMAL - NOT SPECIFIED",$GW38)))</f>
        <v/>
      </c>
      <c r="FG38" s="54" t="str">
        <f>IF(FG8="","",IF(FG8&lt;&gt;"THERMAL",FG8,IF($GW38="","THERMAL - NOT SPECIFIED",$GW38)))</f>
        <v/>
      </c>
      <c r="FH38" s="54" t="str">
        <f>IF(FH8="","",IF(FH8&lt;&gt;"THERMAL",FH8,IF($GW38="","THERMAL - NOT SPECIFIED",$GW38)))</f>
        <v/>
      </c>
      <c r="FI38" s="54" t="str">
        <f>IF(FI8="","",IF(FI8&lt;&gt;"THERMAL",FI8,IF($GW38="","THERMAL - NOT SPECIFIED",$GW38)))</f>
        <v/>
      </c>
      <c r="FJ38" s="54" t="str">
        <f>IF(FJ8="","",IF(FJ8&lt;&gt;"THERMAL",FJ8,IF($GW38="","THERMAL - NOT SPECIFIED",$GW38)))</f>
        <v/>
      </c>
      <c r="FK38" s="54" t="str">
        <f>IF(FK8="","",IF(FK8&lt;&gt;"THERMAL",FK8,IF($GW38="","THERMAL - NOT SPECIFIED",$GW38)))</f>
        <v/>
      </c>
      <c r="FL38" s="54" t="str">
        <f>IF(FL8="","",IF(FL8&lt;&gt;"THERMAL",FL8,IF($GW38="","THERMAL - NOT SPECIFIED",$GW38)))</f>
        <v/>
      </c>
      <c r="FM38" s="54" t="str">
        <f>IF(FM8="","",IF(FM8&lt;&gt;"THERMAL",FM8,IF($GW38="","THERMAL - NOT SPECIFIED",$GW38)))</f>
        <v/>
      </c>
      <c r="FN38" s="54" t="str">
        <f>IF(FN8="","",IF(FN8&lt;&gt;"THERMAL",FN8,IF($GW38="","THERMAL - NOT SPECIFIED",$GW38)))</f>
        <v/>
      </c>
      <c r="FO38" s="54" t="str">
        <f>IF(FO8="","",IF(FO8&lt;&gt;"THERMAL",FO8,IF($GW38="","THERMAL - NOT SPECIFIED",$GW38)))</f>
        <v/>
      </c>
      <c r="FP38" s="54" t="str">
        <f>IF(FP8="","",IF(FP8&lt;&gt;"THERMAL",FP8,IF($GW38="","THERMAL - NOT SPECIFIED",$GW38)))</f>
        <v/>
      </c>
      <c r="FQ38" s="54" t="str">
        <f>IF(FQ8="","",IF(FQ8&lt;&gt;"THERMAL",FQ8,IF($GW38="","THERMAL - NOT SPECIFIED",$GW38)))</f>
        <v/>
      </c>
      <c r="FR38" s="54" t="str">
        <f>IF(FR8="","",IF(FR8&lt;&gt;"THERMAL",FR8,IF($GW38="","THERMAL - NOT SPECIFIED",$GW38)))</f>
        <v/>
      </c>
      <c r="FS38" s="54" t="str">
        <f>IF(FS8="","",IF(FS8&lt;&gt;"THERMAL",FS8,IF($GW38="","THERMAL - NOT SPECIFIED",$GW38)))</f>
        <v/>
      </c>
      <c r="FT38" s="54" t="str">
        <f>IF(FT8="","",IF(FT8&lt;&gt;"THERMAL",FT8,IF($GW38="","THERMAL - NOT SPECIFIED",$GW38)))</f>
        <v/>
      </c>
      <c r="FU38" s="54" t="str">
        <f>IF(FU8="","",IF(FU8&lt;&gt;"THERMAL",FU8,IF($GW38="","THERMAL - NOT SPECIFIED",$GW38)))</f>
        <v/>
      </c>
      <c r="FV38" s="54" t="str">
        <f>IF(FV8="","",IF(FV8&lt;&gt;"THERMAL",FV8,IF($GW38="","THERMAL - NOT SPECIFIED",$GW38)))</f>
        <v/>
      </c>
      <c r="FW38" s="54" t="str">
        <f>IF(FW8="","",IF(FW8&lt;&gt;"THERMAL",FW8,IF($GW38="","THERMAL - NOT SPECIFIED",$GW38)))</f>
        <v/>
      </c>
      <c r="FX38" s="54" t="str">
        <f>IF(FX8="","",IF(FX8&lt;&gt;"THERMAL",FX8,IF($GW38="","THERMAL - NOT SPECIFIED",$GW38)))</f>
        <v/>
      </c>
      <c r="FY38" s="54" t="str">
        <f>IF(FY8="","",IF(FY8&lt;&gt;"THERMAL",FY8,IF($GW38="","THERMAL - NOT SPECIFIED",$GW38)))</f>
        <v/>
      </c>
      <c r="FZ38" s="54" t="str">
        <f>IF(FZ8="","",IF(FZ8&lt;&gt;"THERMAL",FZ8,IF($GW38="","THERMAL - NOT SPECIFIED",$GW38)))</f>
        <v/>
      </c>
      <c r="GA38" s="54" t="str">
        <f>IF(GA8="","",IF(GA8&lt;&gt;"THERMAL",GA8,IF($GW38="","THERMAL - NOT SPECIFIED",$GW38)))</f>
        <v/>
      </c>
      <c r="GB38" s="54" t="str">
        <f>IF(GB8="","",IF(GB8&lt;&gt;"THERMAL",GB8,IF($GW38="","THERMAL - NOT SPECIFIED",$GW38)))</f>
        <v/>
      </c>
      <c r="GC38" s="54" t="str">
        <f>IF(GC8="","",IF(GC8&lt;&gt;"THERMAL",GC8,IF($GW38="","THERMAL - NOT SPECIFIED",$GW38)))</f>
        <v/>
      </c>
      <c r="GD38" s="54" t="str">
        <f>IF(GD8="","",IF(GD8&lt;&gt;"THERMAL",GD8,IF($GW38="","THERMAL - NOT SPECIFIED",$GW38)))</f>
        <v/>
      </c>
      <c r="GE38" s="54" t="str">
        <f>IF(GE8="","",IF(GE8&lt;&gt;"THERMAL",GE8,IF($GW38="","THERMAL - NOT SPECIFIED",$GW38)))</f>
        <v/>
      </c>
      <c r="GF38" s="54" t="str">
        <f>IF(GF8="","",IF(GF8&lt;&gt;"THERMAL",GF8,IF($GW38="","THERMAL - NOT SPECIFIED",$GW38)))</f>
        <v/>
      </c>
      <c r="GG38" s="54" t="str">
        <f>IF(GG8="","",IF(GG8&lt;&gt;"THERMAL",GG8,IF($GW38="","THERMAL - NOT SPECIFIED",$GW38)))</f>
        <v/>
      </c>
      <c r="GH38" s="54" t="str">
        <f>IF(GH8="","",IF(GH8&lt;&gt;"THERMAL",GH8,IF($GW38="","THERMAL - NOT SPECIFIED",$GW38)))</f>
        <v/>
      </c>
      <c r="GI38" s="54" t="str">
        <f>IF(GI8="","",IF(GI8&lt;&gt;"THERMAL",GI8,IF($GW38="","THERMAL - NOT SPECIFIED",$GW38)))</f>
        <v/>
      </c>
      <c r="GJ38" s="54" t="str">
        <f>IF(GJ8="","",IF(GJ8&lt;&gt;"THERMAL",GJ8,IF($GW38="","THERMAL - NOT SPECIFIED",$GW38)))</f>
        <v/>
      </c>
      <c r="GK38" s="54" t="str">
        <f>IF(GK8="","",IF(GK8&lt;&gt;"THERMAL",GK8,IF($GW38="","THERMAL - NOT SPECIFIED",$GW38)))</f>
        <v/>
      </c>
      <c r="GL38" s="54" t="str">
        <f>IF(GL8="","",IF(GL8&lt;&gt;"THERMAL",GL8,IF($GW38="","THERMAL - NOT SPECIFIED",$GW38)))</f>
        <v/>
      </c>
      <c r="GM38" s="54" t="str">
        <f>IF(GM8="","",IF(GM8&lt;&gt;"THERMAL",GM8,IF($GW38="","THERMAL - NOT SPECIFIED",$GW38)))</f>
        <v/>
      </c>
      <c r="GN38" s="54" t="str">
        <f>IF(GN8="","",IF(GN8&lt;&gt;"THERMAL",GN8,IF($GW38="","THERMAL - NOT SPECIFIED",$GW38)))</f>
        <v/>
      </c>
      <c r="GO38" s="54" t="str">
        <f>IF(GO8="","",IF(GO8&lt;&gt;"THERMAL",GO8,IF($GW38="","THERMAL - NOT SPECIFIED",$GW38)))</f>
        <v/>
      </c>
      <c r="GP38" s="54" t="str">
        <f>IF(GP8="","",IF(GP8&lt;&gt;"THERMAL",GP8,IF($GW38="","THERMAL - NOT SPECIFIED",$GW38)))</f>
        <v/>
      </c>
      <c r="GQ38" s="54" t="str">
        <f>IF(GQ8="","",IF(GQ8&lt;&gt;"THERMAL",GQ8,IF($GW38="","THERMAL - NOT SPECIFIED",$GW38)))</f>
        <v/>
      </c>
      <c r="GR38" s="54" t="str">
        <f>IF(GR8="","",IF(GR8&lt;&gt;"THERMAL",GR8,IF($GW38="","THERMAL - NOT SPECIFIED",$GW38)))</f>
        <v/>
      </c>
      <c r="GS38" s="54" t="str">
        <f>IF(GS8="","",IF(GS8&lt;&gt;"THERMAL",GS8,IF($GW38="","THERMAL - NOT SPECIFIED",$GW38)))</f>
        <v/>
      </c>
      <c r="GW38" s="55" t="str">
        <f>IF($GY38="","",IFERROR(INDEX('MC MAP'!$L$5:$L$28,MATCH($GY38,'MC MAP'!$K$5:$K$28,0)),$GY38))</f>
        <v>TH-02</v>
      </c>
      <c r="GY38" s="60" t="s">
        <v>342</v>
      </c>
      <c r="HA38" s="15"/>
      <c r="HE38" s="14">
        <v>5503</v>
      </c>
    </row>
    <row r="39" spans="1:213">
      <c r="A39" s="2">
        <f>$A9</f>
        <v>4</v>
      </c>
      <c r="B39" s="54" t="str">
        <f>IF(B9="","",IF(B9&lt;&gt;"THERMAL",B9,IF($GW39="","THERMAL - NOT SPECIFIED",$GW39)))</f>
        <v>RS 26/27</v>
      </c>
      <c r="C39" s="54" t="str">
        <f>IF(C9="","",IF(C9&lt;&gt;"THERMAL",C9,IF($GW39="","THERMAL - NOT SPECIFIED",$GW39)))</f>
        <v>RS 26/27</v>
      </c>
      <c r="D39" s="54" t="str">
        <f>IF(D9="","",IF(D9&lt;&gt;"THERMAL",D9,IF($GW39="","THERMAL - NOT SPECIFIED",$GW39)))</f>
        <v>RS 26/27</v>
      </c>
      <c r="E39" s="54" t="str">
        <f>IF(E9="","",IF(E9&lt;&gt;"THERMAL",E9,IF($GW39="","THERMAL - NOT SPECIFIED",$GW39)))</f>
        <v>RS 26/27</v>
      </c>
      <c r="F39" s="54" t="str">
        <f>IF(F9="","",IF(F9&lt;&gt;"THERMAL",F9,IF($GW39="","THERMAL - NOT SPECIFIED",$GW39)))</f>
        <v>RS 26/27</v>
      </c>
      <c r="G39" s="54" t="str">
        <f>IF(G9="","",IF(G9&lt;&gt;"THERMAL",G9,IF($GW39="","THERMAL - NOT SPECIFIED",$GW39)))</f>
        <v>RS 26/27</v>
      </c>
      <c r="H39" s="54" t="str">
        <f>IF(H9="","",IF(H9&lt;&gt;"THERMAL",H9,IF($GW39="","THERMAL - NOT SPECIFIED",$GW39)))</f>
        <v>RS 26/27</v>
      </c>
      <c r="I39" s="54" t="str">
        <f>IF(I9="","",IF(I9&lt;&gt;"THERMAL",I9,IF($GW39="","THERMAL - NOT SPECIFIED",$GW39)))</f>
        <v>RS 26/27</v>
      </c>
      <c r="J39" s="54" t="str">
        <f>IF(J9="","",IF(J9&lt;&gt;"THERMAL",J9,IF($GW39="","THERMAL - NOT SPECIFIED",$GW39)))</f>
        <v>RS 26/27</v>
      </c>
      <c r="K39" s="54" t="str">
        <f>IF(K9="","",IF(K9&lt;&gt;"THERMAL",K9,IF($GW39="","THERMAL - NOT SPECIFIED",$GW39)))</f>
        <v>RS 26/27</v>
      </c>
      <c r="L39" s="54" t="str">
        <f>IF(L9="","",IF(L9&lt;&gt;"THERMAL",L9,IF($GW39="","THERMAL - NOT SPECIFIED",$GW39)))</f>
        <v>RS 26/27</v>
      </c>
      <c r="M39" s="54" t="str">
        <f>IF(M9="","",IF(M9&lt;&gt;"THERMAL",M9,IF($GW39="","THERMAL - NOT SPECIFIED",$GW39)))</f>
        <v>RS 26/27</v>
      </c>
      <c r="N39" s="54" t="str">
        <f>IF(N9="","",IF(N9&lt;&gt;"THERMAL",N9,IF($GW39="","THERMAL - NOT SPECIFIED",$GW39)))</f>
        <v>RS 26/27</v>
      </c>
      <c r="O39" s="54" t="str">
        <f>IF(O9="","",IF(O9&lt;&gt;"THERMAL",O9,IF($GW39="","THERMAL - NOT SPECIFIED",$GW39)))</f>
        <v>RS 26/27</v>
      </c>
      <c r="P39" s="54" t="str">
        <f>IF(P9="","",IF(P9&lt;&gt;"THERMAL",P9,IF($GW39="","THERMAL - NOT SPECIFIED",$GW39)))</f>
        <v>RS 26/27</v>
      </c>
      <c r="Q39" s="54" t="str">
        <f>IF(Q9="","",IF(Q9&lt;&gt;"THERMAL",Q9,IF($GW39="","THERMAL - NOT SPECIFIED",$GW39)))</f>
        <v>RS 26/27</v>
      </c>
      <c r="R39" s="54" t="str">
        <f>IF(R9="","",IF(R9&lt;&gt;"THERMAL",R9,IF($GW39="","THERMAL - NOT SPECIFIED",$GW39)))</f>
        <v>RS 26/27</v>
      </c>
      <c r="S39" s="54" t="str">
        <f>IF(S9="","",IF(S9&lt;&gt;"THERMAL",S9,IF($GW39="","THERMAL - NOT SPECIFIED",$GW39)))</f>
        <v>RS 26/27</v>
      </c>
      <c r="T39" s="54" t="str">
        <f>IF(T9="","",IF(T9&lt;&gt;"THERMAL",T9,IF($GW39="","THERMAL - NOT SPECIFIED",$GW39)))</f>
        <v>RS 26/27</v>
      </c>
      <c r="U39" s="54" t="str">
        <f>IF(U9="","",IF(U9&lt;&gt;"THERMAL",U9,IF($GW39="","THERMAL - NOT SPECIFIED",$GW39)))</f>
        <v>RS 26/27</v>
      </c>
      <c r="V39" s="54" t="str">
        <f>IF(V9="","",IF(V9&lt;&gt;"THERMAL",V9,IF($GW39="","THERMAL - NOT SPECIFIED",$GW39)))</f>
        <v>RS 26/27</v>
      </c>
      <c r="W39" s="54" t="str">
        <f>IF(W9="","",IF(W9&lt;&gt;"THERMAL",W9,IF($GW39="","THERMAL - NOT SPECIFIED",$GW39)))</f>
        <v>RS 26/27</v>
      </c>
      <c r="X39" s="54" t="str">
        <f>IF(X9="","",IF(X9&lt;&gt;"THERMAL",X9,IF($GW39="","THERMAL - NOT SPECIFIED",$GW39)))</f>
        <v>RS 26/27</v>
      </c>
      <c r="Y39" s="54" t="str">
        <f>IF(Y9="","",IF(Y9&lt;&gt;"THERMAL",Y9,IF($GW39="","THERMAL - NOT SPECIFIED",$GW39)))</f>
        <v>RS 26/27</v>
      </c>
      <c r="Z39" s="54" t="str">
        <f>IF(Z9="","",IF(Z9&lt;&gt;"THERMAL",Z9,IF($GW39="","THERMAL - NOT SPECIFIED",$GW39)))</f>
        <v>RS 26/27</v>
      </c>
      <c r="AA39" s="54" t="str">
        <f>IF(AA9="","",IF(AA9&lt;&gt;"THERMAL",AA9,IF($GW39="","THERMAL - NOT SPECIFIED",$GW39)))</f>
        <v>RS 26/27</v>
      </c>
      <c r="AB39" s="54" t="str">
        <f>IF(AB9="","",IF(AB9&lt;&gt;"THERMAL",AB9,IF($GW39="","THERMAL - NOT SPECIFIED",$GW39)))</f>
        <v>RS 26/27</v>
      </c>
      <c r="AC39" s="54" t="str">
        <f>IF(AC9="","",IF(AC9&lt;&gt;"THERMAL",AC9,IF($GW39="","THERMAL - NOT SPECIFIED",$GW39)))</f>
        <v>RS 26/27</v>
      </c>
      <c r="AD39" s="54" t="str">
        <f>IF(AD9="","",IF(AD9&lt;&gt;"THERMAL",AD9,IF($GW39="","THERMAL - NOT SPECIFIED",$GW39)))</f>
        <v>RS 26/27</v>
      </c>
      <c r="AE39" s="54" t="str">
        <f>IF(AE9="","",IF(AE9&lt;&gt;"THERMAL",AE9,IF($GW39="","THERMAL - NOT SPECIFIED",$GW39)))</f>
        <v>RS 26/27</v>
      </c>
      <c r="AF39" s="54" t="str">
        <f>IF(AF9="","",IF(AF9&lt;&gt;"THERMAL",AF9,IF($GW39="","THERMAL - NOT SPECIFIED",$GW39)))</f>
        <v>RS 26/27</v>
      </c>
      <c r="AG39" s="54" t="str">
        <f>IF(AG9="","",IF(AG9&lt;&gt;"THERMAL",AG9,IF($GW39="","THERMAL - NOT SPECIFIED",$GW39)))</f>
        <v>RS 26/27</v>
      </c>
      <c r="AH39" s="54" t="str">
        <f>IF(AH9="","",IF(AH9&lt;&gt;"THERMAL",AH9,IF($GW39="","THERMAL - NOT SPECIFIED",$GW39)))</f>
        <v>RS 26/27</v>
      </c>
      <c r="AI39" s="54" t="str">
        <f>IF(AI9="","",IF(AI9&lt;&gt;"THERMAL",AI9,IF($GW39="","THERMAL - NOT SPECIFIED",$GW39)))</f>
        <v>RS 26/27</v>
      </c>
      <c r="AJ39" s="54" t="str">
        <f>IF(AJ9="","",IF(AJ9&lt;&gt;"THERMAL",AJ9,IF($GW39="","THERMAL - NOT SPECIFIED",$GW39)))</f>
        <v>RS 26/27</v>
      </c>
      <c r="AK39" s="54" t="str">
        <f>IF(AK9="","",IF(AK9&lt;&gt;"THERMAL",AK9,IF($GW39="","THERMAL - NOT SPECIFIED",$GW39)))</f>
        <v>RS 26/27</v>
      </c>
      <c r="AL39" s="54" t="str">
        <f>IF(AL9="","",IF(AL9&lt;&gt;"THERMAL",AL9,IF($GW39="","THERMAL - NOT SPECIFIED",$GW39)))</f>
        <v>RS 26/27</v>
      </c>
      <c r="AM39" s="54" t="str">
        <f>IF(AM9="","",IF(AM9&lt;&gt;"THERMAL",AM9,IF($GW39="","THERMAL - NOT SPECIFIED",$GW39)))</f>
        <v>RS 26/27</v>
      </c>
      <c r="AN39" s="54" t="str">
        <f>IF(AN9="","",IF(AN9&lt;&gt;"THERMAL",AN9,IF($GW39="","THERMAL - NOT SPECIFIED",$GW39)))</f>
        <v>RS 26/27</v>
      </c>
      <c r="AO39" s="54" t="str">
        <f>IF(AO9="","",IF(AO9&lt;&gt;"THERMAL",AO9,IF($GW39="","THERMAL - NOT SPECIFIED",$GW39)))</f>
        <v>RS 26/27</v>
      </c>
      <c r="AP39" s="54" t="str">
        <f>IF(AP9="","",IF(AP9&lt;&gt;"THERMAL",AP9,IF($GW39="","THERMAL - NOT SPECIFIED",$GW39)))</f>
        <v>RS 26/27</v>
      </c>
      <c r="AQ39" s="54" t="str">
        <f>IF(AQ9="","",IF(AQ9&lt;&gt;"THERMAL",AQ9,IF($GW39="","THERMAL - NOT SPECIFIED",$GW39)))</f>
        <v>RS 26/27</v>
      </c>
      <c r="AR39" s="54" t="str">
        <f>IF(AR9="","",IF(AR9&lt;&gt;"THERMAL",AR9,IF($GW39="","THERMAL - NOT SPECIFIED",$GW39)))</f>
        <v>RS 26/27</v>
      </c>
      <c r="AS39" s="54" t="str">
        <f>IF(AS9="","",IF(AS9&lt;&gt;"THERMAL",AS9,IF($GW39="","THERMAL - NOT SPECIFIED",$GW39)))</f>
        <v>RS 26/27</v>
      </c>
      <c r="AT39" s="54" t="str">
        <f>IF(AT9="","",IF(AT9&lt;&gt;"THERMAL",AT9,IF($GW39="","THERMAL - NOT SPECIFIED",$GW39)))</f>
        <v>RS 26/27</v>
      </c>
      <c r="AU39" s="54" t="str">
        <f>IF(AU9="","",IF(AU9&lt;&gt;"THERMAL",AU9,IF($GW39="","THERMAL - NOT SPECIFIED",$GW39)))</f>
        <v>RS 26/27</v>
      </c>
      <c r="AV39" s="54" t="str">
        <f>IF(AV9="","",IF(AV9&lt;&gt;"THERMAL",AV9,IF($GW39="","THERMAL - NOT SPECIFIED",$GW39)))</f>
        <v>RS 26/27</v>
      </c>
      <c r="AW39" s="54" t="str">
        <f>IF(AW9="","",IF(AW9&lt;&gt;"THERMAL",AW9,IF($GW39="","THERMAL - NOT SPECIFIED",$GW39)))</f>
        <v>RS 26/27</v>
      </c>
      <c r="AX39" s="54" t="str">
        <f>IF(AX9="","",IF(AX9&lt;&gt;"THERMAL",AX9,IF($GW39="","THERMAL - NOT SPECIFIED",$GW39)))</f>
        <v>RS 26/27</v>
      </c>
      <c r="AY39" s="54" t="str">
        <f>IF(AY9="","",IF(AY9&lt;&gt;"THERMAL",AY9,IF($GW39="","THERMAL - NOT SPECIFIED",$GW39)))</f>
        <v>RS 26/27</v>
      </c>
      <c r="AZ39" s="54" t="str">
        <f>IF(AZ9="","",IF(AZ9&lt;&gt;"THERMAL",AZ9,IF($GW39="","THERMAL - NOT SPECIFIED",$GW39)))</f>
        <v>RS 26/27</v>
      </c>
      <c r="BA39" s="54" t="str">
        <f>IF(BA9="","",IF(BA9&lt;&gt;"THERMAL",BA9,IF($GW39="","THERMAL - NOT SPECIFIED",$GW39)))</f>
        <v>RS 26/27</v>
      </c>
      <c r="BB39" s="54" t="str">
        <f>IF(BB9="","",IF(BB9&lt;&gt;"THERMAL",BB9,IF($GW39="","THERMAL - NOT SPECIFIED",$GW39)))</f>
        <v>RS 26/27</v>
      </c>
      <c r="BC39" s="54" t="str">
        <f>IF(BC9="","",IF(BC9&lt;&gt;"THERMAL",BC9,IF($GW39="","THERMAL - NOT SPECIFIED",$GW39)))</f>
        <v>RS 26/27</v>
      </c>
      <c r="BD39" s="54" t="str">
        <f>IF(BD9="","",IF(BD9&lt;&gt;"THERMAL",BD9,IF($GW39="","THERMAL - NOT SPECIFIED",$GW39)))</f>
        <v>RS 26/27</v>
      </c>
      <c r="BE39" s="54" t="str">
        <f>IF(BE9="","",IF(BE9&lt;&gt;"THERMAL",BE9,IF($GW39="","THERMAL - NOT SPECIFIED",$GW39)))</f>
        <v>RS 26/27</v>
      </c>
      <c r="BF39" s="54" t="str">
        <f>IF(BF9="","",IF(BF9&lt;&gt;"THERMAL",BF9,IF($GW39="","THERMAL - NOT SPECIFIED",$GW39)))</f>
        <v>RS 26/27</v>
      </c>
      <c r="BG39" s="54" t="str">
        <f>IF(BG9="","",IF(BG9&lt;&gt;"THERMAL",BG9,IF($GW39="","THERMAL - NOT SPECIFIED",$GW39)))</f>
        <v>RS 26/27</v>
      </c>
      <c r="BH39" s="54" t="str">
        <f>IF(BH9="","",IF(BH9&lt;&gt;"THERMAL",BH9,IF($GW39="","THERMAL - NOT SPECIFIED",$GW39)))</f>
        <v>RS 26/27</v>
      </c>
      <c r="BI39" s="54" t="str">
        <f>IF(BI9="","",IF(BI9&lt;&gt;"THERMAL",BI9,IF($GW39="","THERMAL - NOT SPECIFIED",$GW39)))</f>
        <v>RS 26/27</v>
      </c>
      <c r="BJ39" s="54" t="str">
        <f>IF(BJ9="","",IF(BJ9&lt;&gt;"THERMAL",BJ9,IF($GW39="","THERMAL - NOT SPECIFIED",$GW39)))</f>
        <v>RS 26/27</v>
      </c>
      <c r="BK39" s="54" t="str">
        <f>IF(BK9="","",IF(BK9&lt;&gt;"THERMAL",BK9,IF($GW39="","THERMAL - NOT SPECIFIED",$GW39)))</f>
        <v>VACCANT</v>
      </c>
      <c r="BL39" s="54" t="str">
        <f>IF(BL9="","",IF(BL9&lt;&gt;"THERMAL",BL9,IF($GW39="","THERMAL - NOT SPECIFIED",$GW39)))</f>
        <v/>
      </c>
      <c r="BM39" s="54" t="str">
        <f>IF(BM9="","",IF(BM9&lt;&gt;"THERMAL",BM9,IF($GW39="","THERMAL - NOT SPECIFIED",$GW39)))</f>
        <v/>
      </c>
      <c r="BN39" s="54" t="str">
        <f>IF(BN9="","",IF(BN9&lt;&gt;"THERMAL",BN9,IF($GW39="","THERMAL - NOT SPECIFIED",$GW39)))</f>
        <v/>
      </c>
      <c r="BO39" s="54" t="str">
        <f>IF(BO9="","",IF(BO9&lt;&gt;"THERMAL",BO9,IF($GW39="","THERMAL - NOT SPECIFIED",$GW39)))</f>
        <v/>
      </c>
      <c r="BP39" s="54" t="str">
        <f>IF(BP9="","",IF(BP9&lt;&gt;"THERMAL",BP9,IF($GW39="","THERMAL - NOT SPECIFIED",$GW39)))</f>
        <v/>
      </c>
      <c r="BQ39" s="54" t="str">
        <f>IF(BQ9="","",IF(BQ9&lt;&gt;"THERMAL",BQ9,IF($GW39="","THERMAL - NOT SPECIFIED",$GW39)))</f>
        <v/>
      </c>
      <c r="BR39" s="54" t="str">
        <f>IF(BR9="","",IF(BR9&lt;&gt;"THERMAL",BR9,IF($GW39="","THERMAL - NOT SPECIFIED",$GW39)))</f>
        <v/>
      </c>
      <c r="BS39" s="54" t="str">
        <f>IF(BS9="","",IF(BS9&lt;&gt;"THERMAL",BS9,IF($GW39="","THERMAL - NOT SPECIFIED",$GW39)))</f>
        <v/>
      </c>
      <c r="BT39" s="54" t="str">
        <f>IF(BT9="","",IF(BT9&lt;&gt;"THERMAL",BT9,IF($GW39="","THERMAL - NOT SPECIFIED",$GW39)))</f>
        <v/>
      </c>
      <c r="BU39" s="54" t="str">
        <f>IF(BU9="","",IF(BU9&lt;&gt;"THERMAL",BU9,IF($GW39="","THERMAL - NOT SPECIFIED",$GW39)))</f>
        <v/>
      </c>
      <c r="BV39" s="54" t="str">
        <f>IF(BV9="","",IF(BV9&lt;&gt;"THERMAL",BV9,IF($GW39="","THERMAL - NOT SPECIFIED",$GW39)))</f>
        <v/>
      </c>
      <c r="BW39" s="54" t="str">
        <f>IF(BW9="","",IF(BW9&lt;&gt;"THERMAL",BW9,IF($GW39="","THERMAL - NOT SPECIFIED",$GW39)))</f>
        <v/>
      </c>
      <c r="BX39" s="54" t="str">
        <f>IF(BX9="","",IF(BX9&lt;&gt;"THERMAL",BX9,IF($GW39="","THERMAL - NOT SPECIFIED",$GW39)))</f>
        <v/>
      </c>
      <c r="BY39" s="54" t="str">
        <f>IF(BY9="","",IF(BY9&lt;&gt;"THERMAL",BY9,IF($GW39="","THERMAL - NOT SPECIFIED",$GW39)))</f>
        <v/>
      </c>
      <c r="BZ39" s="54" t="str">
        <f>IF(BZ9="","",IF(BZ9&lt;&gt;"THERMAL",BZ9,IF($GW39="","THERMAL - NOT SPECIFIED",$GW39)))</f>
        <v/>
      </c>
      <c r="CA39" s="54" t="str">
        <f>IF(CA9="","",IF(CA9&lt;&gt;"THERMAL",CA9,IF($GW39="","THERMAL - NOT SPECIFIED",$GW39)))</f>
        <v/>
      </c>
      <c r="CB39" s="54" t="str">
        <f>IF(CB9="","",IF(CB9&lt;&gt;"THERMAL",CB9,IF($GW39="","THERMAL - NOT SPECIFIED",$GW39)))</f>
        <v/>
      </c>
      <c r="CC39" s="54" t="str">
        <f>IF(CC9="","",IF(CC9&lt;&gt;"THERMAL",CC9,IF($GW39="","THERMAL - NOT SPECIFIED",$GW39)))</f>
        <v/>
      </c>
      <c r="CD39" s="54" t="str">
        <f>IF(CD9="","",IF(CD9&lt;&gt;"THERMAL",CD9,IF($GW39="","THERMAL - NOT SPECIFIED",$GW39)))</f>
        <v/>
      </c>
      <c r="CE39" s="54" t="str">
        <f>IF(CE9="","",IF(CE9&lt;&gt;"THERMAL",CE9,IF($GW39="","THERMAL - NOT SPECIFIED",$GW39)))</f>
        <v/>
      </c>
      <c r="CF39" s="54" t="str">
        <f>IF(CF9="","",IF(CF9&lt;&gt;"THERMAL",CF9,IF($GW39="","THERMAL - NOT SPECIFIED",$GW39)))</f>
        <v/>
      </c>
      <c r="CG39" s="54" t="str">
        <f>IF(CG9="","",IF(CG9&lt;&gt;"THERMAL",CG9,IF($GW39="","THERMAL - NOT SPECIFIED",$GW39)))</f>
        <v/>
      </c>
      <c r="CH39" s="54" t="str">
        <f>IF(CH9="","",IF(CH9&lt;&gt;"THERMAL",CH9,IF($GW39="","THERMAL - NOT SPECIFIED",$GW39)))</f>
        <v/>
      </c>
      <c r="CI39" s="54" t="str">
        <f>IF(CI9="","",IF(CI9&lt;&gt;"THERMAL",CI9,IF($GW39="","THERMAL - NOT SPECIFIED",$GW39)))</f>
        <v/>
      </c>
      <c r="CJ39" s="54" t="str">
        <f>IF(CJ9="","",IF(CJ9&lt;&gt;"THERMAL",CJ9,IF($GW39="","THERMAL - NOT SPECIFIED",$GW39)))</f>
        <v/>
      </c>
      <c r="CK39" s="54" t="str">
        <f>IF(CK9="","",IF(CK9&lt;&gt;"THERMAL",CK9,IF($GW39="","THERMAL - NOT SPECIFIED",$GW39)))</f>
        <v/>
      </c>
      <c r="CL39" s="54" t="str">
        <f>IF(CL9="","",IF(CL9&lt;&gt;"THERMAL",CL9,IF($GW39="","THERMAL - NOT SPECIFIED",$GW39)))</f>
        <v/>
      </c>
      <c r="CM39" s="54" t="str">
        <f>IF(CM9="","",IF(CM9&lt;&gt;"THERMAL",CM9,IF($GW39="","THERMAL - NOT SPECIFIED",$GW39)))</f>
        <v/>
      </c>
      <c r="CN39" s="54" t="str">
        <f>IF(CN9="","",IF(CN9&lt;&gt;"THERMAL",CN9,IF($GW39="","THERMAL - NOT SPECIFIED",$GW39)))</f>
        <v/>
      </c>
      <c r="CO39" s="54" t="str">
        <f>IF(CO9="","",IF(CO9&lt;&gt;"THERMAL",CO9,IF($GW39="","THERMAL - NOT SPECIFIED",$GW39)))</f>
        <v/>
      </c>
      <c r="CP39" s="54" t="str">
        <f>IF(CP9="","",IF(CP9&lt;&gt;"THERMAL",CP9,IF($GW39="","THERMAL - NOT SPECIFIED",$GW39)))</f>
        <v/>
      </c>
      <c r="CQ39" s="54" t="str">
        <f>IF(CQ9="","",IF(CQ9&lt;&gt;"THERMAL",CQ9,IF($GW39="","THERMAL - NOT SPECIFIED",$GW39)))</f>
        <v/>
      </c>
      <c r="CR39" s="54" t="str">
        <f>IF(CR9="","",IF(CR9&lt;&gt;"THERMAL",CR9,IF($GW39="","THERMAL - NOT SPECIFIED",$GW39)))</f>
        <v/>
      </c>
      <c r="CS39" s="54" t="str">
        <f>IF(CS9="","",IF(CS9&lt;&gt;"THERMAL",CS9,IF($GW39="","THERMAL - NOT SPECIFIED",$GW39)))</f>
        <v/>
      </c>
      <c r="CT39" s="54" t="str">
        <f>IF(CT9="","",IF(CT9&lt;&gt;"THERMAL",CT9,IF($GW39="","THERMAL - NOT SPECIFIED",$GW39)))</f>
        <v/>
      </c>
      <c r="CU39" s="54" t="str">
        <f>IF(CU9="","",IF(CU9&lt;&gt;"THERMAL",CU9,IF($GW39="","THERMAL - NOT SPECIFIED",$GW39)))</f>
        <v/>
      </c>
      <c r="CV39" s="54" t="str">
        <f>IF(CV9="","",IF(CV9&lt;&gt;"THERMAL",CV9,IF($GW39="","THERMAL - NOT SPECIFIED",$GW39)))</f>
        <v/>
      </c>
      <c r="CW39" s="54" t="str">
        <f>IF(CW9="","",IF(CW9&lt;&gt;"THERMAL",CW9,IF($GW39="","THERMAL - NOT SPECIFIED",$GW39)))</f>
        <v/>
      </c>
      <c r="CX39" s="54" t="str">
        <f>IF(CX9="","",IF(CX9&lt;&gt;"THERMAL",CX9,IF($GW39="","THERMAL - NOT SPECIFIED",$GW39)))</f>
        <v/>
      </c>
      <c r="CY39" s="54" t="str">
        <f>IF(CY9="","",IF(CY9&lt;&gt;"THERMAL",CY9,IF($GW39="","THERMAL - NOT SPECIFIED",$GW39)))</f>
        <v/>
      </c>
      <c r="CZ39" s="54" t="str">
        <f>IF(CZ9="","",IF(CZ9&lt;&gt;"THERMAL",CZ9,IF($GW39="","THERMAL - NOT SPECIFIED",$GW39)))</f>
        <v/>
      </c>
      <c r="DA39" s="54" t="str">
        <f>IF(DA9="","",IF(DA9&lt;&gt;"THERMAL",DA9,IF($GW39="","THERMAL - NOT SPECIFIED",$GW39)))</f>
        <v/>
      </c>
      <c r="DB39" s="54" t="str">
        <f>IF(DB9="","",IF(DB9&lt;&gt;"THERMAL",DB9,IF($GW39="","THERMAL - NOT SPECIFIED",$GW39)))</f>
        <v/>
      </c>
      <c r="DC39" s="54" t="str">
        <f>IF(DC9="","",IF(DC9&lt;&gt;"THERMAL",DC9,IF($GW39="","THERMAL - NOT SPECIFIED",$GW39)))</f>
        <v/>
      </c>
      <c r="DD39" s="54" t="str">
        <f>IF(DD9="","",IF(DD9&lt;&gt;"THERMAL",DD9,IF($GW39="","THERMAL - NOT SPECIFIED",$GW39)))</f>
        <v/>
      </c>
      <c r="DE39" s="54" t="str">
        <f>IF(DE9="","",IF(DE9&lt;&gt;"THERMAL",DE9,IF($GW39="","THERMAL - NOT SPECIFIED",$GW39)))</f>
        <v/>
      </c>
      <c r="DF39" s="54" t="str">
        <f>IF(DF9="","",IF(DF9&lt;&gt;"THERMAL",DF9,IF($GW39="","THERMAL - NOT SPECIFIED",$GW39)))</f>
        <v/>
      </c>
      <c r="DG39" s="54" t="str">
        <f>IF(DG9="","",IF(DG9&lt;&gt;"THERMAL",DG9,IF($GW39="","THERMAL - NOT SPECIFIED",$GW39)))</f>
        <v/>
      </c>
      <c r="DH39" s="54" t="str">
        <f>IF(DH9="","",IF(DH9&lt;&gt;"THERMAL",DH9,IF($GW39="","THERMAL - NOT SPECIFIED",$GW39)))</f>
        <v/>
      </c>
      <c r="DI39" s="54" t="str">
        <f>IF(DI9="","",IF(DI9&lt;&gt;"THERMAL",DI9,IF($GW39="","THERMAL - NOT SPECIFIED",$GW39)))</f>
        <v/>
      </c>
      <c r="DJ39" s="54" t="str">
        <f>IF(DJ9="","",IF(DJ9&lt;&gt;"THERMAL",DJ9,IF($GW39="","THERMAL - NOT SPECIFIED",$GW39)))</f>
        <v/>
      </c>
      <c r="DK39" s="54" t="str">
        <f>IF(DK9="","",IF(DK9&lt;&gt;"THERMAL",DK9,IF($GW39="","THERMAL - NOT SPECIFIED",$GW39)))</f>
        <v/>
      </c>
      <c r="DL39" s="54" t="str">
        <f>IF(DL9="","",IF(DL9&lt;&gt;"THERMAL",DL9,IF($GW39="","THERMAL - NOT SPECIFIED",$GW39)))</f>
        <v/>
      </c>
      <c r="DM39" s="54" t="str">
        <f>IF(DM9="","",IF(DM9&lt;&gt;"THERMAL",DM9,IF($GW39="","THERMAL - NOT SPECIFIED",$GW39)))</f>
        <v/>
      </c>
      <c r="DN39" s="54" t="str">
        <f>IF(DN9="","",IF(DN9&lt;&gt;"THERMAL",DN9,IF($GW39="","THERMAL - NOT SPECIFIED",$GW39)))</f>
        <v/>
      </c>
      <c r="DO39" s="54" t="str">
        <f>IF(DO9="","",IF(DO9&lt;&gt;"THERMAL",DO9,IF($GW39="","THERMAL - NOT SPECIFIED",$GW39)))</f>
        <v/>
      </c>
      <c r="DP39" s="54" t="str">
        <f>IF(DP9="","",IF(DP9&lt;&gt;"THERMAL",DP9,IF($GW39="","THERMAL - NOT SPECIFIED",$GW39)))</f>
        <v/>
      </c>
      <c r="DQ39" s="54" t="str">
        <f>IF(DQ9="","",IF(DQ9&lt;&gt;"THERMAL",DQ9,IF($GW39="","THERMAL - NOT SPECIFIED",$GW39)))</f>
        <v/>
      </c>
      <c r="DR39" s="54" t="str">
        <f>IF(DR9="","",IF(DR9&lt;&gt;"THERMAL",DR9,IF($GW39="","THERMAL - NOT SPECIFIED",$GW39)))</f>
        <v/>
      </c>
      <c r="DS39" s="54" t="str">
        <f>IF(DS9="","",IF(DS9&lt;&gt;"THERMAL",DS9,IF($GW39="","THERMAL - NOT SPECIFIED",$GW39)))</f>
        <v/>
      </c>
      <c r="DT39" s="54" t="str">
        <f>IF(DT9="","",IF(DT9&lt;&gt;"THERMAL",DT9,IF($GW39="","THERMAL - NOT SPECIFIED",$GW39)))</f>
        <v/>
      </c>
      <c r="DU39" s="54" t="str">
        <f>IF(DU9="","",IF(DU9&lt;&gt;"THERMAL",DU9,IF($GW39="","THERMAL - NOT SPECIFIED",$GW39)))</f>
        <v/>
      </c>
      <c r="DV39" s="54" t="str">
        <f>IF(DV9="","",IF(DV9&lt;&gt;"THERMAL",DV9,IF($GW39="","THERMAL - NOT SPECIFIED",$GW39)))</f>
        <v/>
      </c>
      <c r="DW39" s="54" t="str">
        <f>IF(DW9="","",IF(DW9&lt;&gt;"THERMAL",DW9,IF($GW39="","THERMAL - NOT SPECIFIED",$GW39)))</f>
        <v/>
      </c>
      <c r="DX39" s="54" t="str">
        <f>IF(DX9="","",IF(DX9&lt;&gt;"THERMAL",DX9,IF($GW39="","THERMAL - NOT SPECIFIED",$GW39)))</f>
        <v/>
      </c>
      <c r="DY39" s="54" t="str">
        <f>IF(DY9="","",IF(DY9&lt;&gt;"THERMAL",DY9,IF($GW39="","THERMAL - NOT SPECIFIED",$GW39)))</f>
        <v/>
      </c>
      <c r="DZ39" s="54" t="str">
        <f>IF(DZ9="","",IF(DZ9&lt;&gt;"THERMAL",DZ9,IF($GW39="","THERMAL - NOT SPECIFIED",$GW39)))</f>
        <v/>
      </c>
      <c r="EA39" s="54" t="str">
        <f>IF(EA9="","",IF(EA9&lt;&gt;"THERMAL",EA9,IF($GW39="","THERMAL - NOT SPECIFIED",$GW39)))</f>
        <v/>
      </c>
      <c r="EB39" s="54" t="str">
        <f>IF(EB9="","",IF(EB9&lt;&gt;"THERMAL",EB9,IF($GW39="","THERMAL - NOT SPECIFIED",$GW39)))</f>
        <v/>
      </c>
      <c r="EC39" s="54" t="str">
        <f>IF(EC9="","",IF(EC9&lt;&gt;"THERMAL",EC9,IF($GW39="","THERMAL - NOT SPECIFIED",$GW39)))</f>
        <v/>
      </c>
      <c r="ED39" s="54" t="str">
        <f>IF(ED9="","",IF(ED9&lt;&gt;"THERMAL",ED9,IF($GW39="","THERMAL - NOT SPECIFIED",$GW39)))</f>
        <v/>
      </c>
      <c r="EE39" s="54" t="str">
        <f>IF(EE9="","",IF(EE9&lt;&gt;"THERMAL",EE9,IF($GW39="","THERMAL - NOT SPECIFIED",$GW39)))</f>
        <v/>
      </c>
      <c r="EF39" s="54" t="str">
        <f>IF(EF9="","",IF(EF9&lt;&gt;"THERMAL",EF9,IF($GW39="","THERMAL - NOT SPECIFIED",$GW39)))</f>
        <v/>
      </c>
      <c r="EG39" s="54" t="str">
        <f>IF(EG9="","",IF(EG9&lt;&gt;"THERMAL",EG9,IF($GW39="","THERMAL - NOT SPECIFIED",$GW39)))</f>
        <v/>
      </c>
      <c r="EH39" s="54" t="str">
        <f>IF(EH9="","",IF(EH9&lt;&gt;"THERMAL",EH9,IF($GW39="","THERMAL - NOT SPECIFIED",$GW39)))</f>
        <v/>
      </c>
      <c r="EI39" s="54" t="str">
        <f>IF(EI9="","",IF(EI9&lt;&gt;"THERMAL",EI9,IF($GW39="","THERMAL - NOT SPECIFIED",$GW39)))</f>
        <v/>
      </c>
      <c r="EJ39" s="54" t="str">
        <f>IF(EJ9="","",IF(EJ9&lt;&gt;"THERMAL",EJ9,IF($GW39="","THERMAL - NOT SPECIFIED",$GW39)))</f>
        <v/>
      </c>
      <c r="EK39" s="54" t="str">
        <f>IF(EK9="","",IF(EK9&lt;&gt;"THERMAL",EK9,IF($GW39="","THERMAL - NOT SPECIFIED",$GW39)))</f>
        <v/>
      </c>
      <c r="EL39" s="54" t="str">
        <f>IF(EL9="","",IF(EL9&lt;&gt;"THERMAL",EL9,IF($GW39="","THERMAL - NOT SPECIFIED",$GW39)))</f>
        <v/>
      </c>
      <c r="EM39" s="54" t="str">
        <f>IF(EM9="","",IF(EM9&lt;&gt;"THERMAL",EM9,IF($GW39="","THERMAL - NOT SPECIFIED",$GW39)))</f>
        <v/>
      </c>
      <c r="EN39" s="54" t="str">
        <f>IF(EN9="","",IF(EN9&lt;&gt;"THERMAL",EN9,IF($GW39="","THERMAL - NOT SPECIFIED",$GW39)))</f>
        <v/>
      </c>
      <c r="EO39" s="54" t="str">
        <f>IF(EO9="","",IF(EO9&lt;&gt;"THERMAL",EO9,IF($GW39="","THERMAL - NOT SPECIFIED",$GW39)))</f>
        <v/>
      </c>
      <c r="EP39" s="54" t="str">
        <f>IF(EP9="","",IF(EP9&lt;&gt;"THERMAL",EP9,IF($GW39="","THERMAL - NOT SPECIFIED",$GW39)))</f>
        <v/>
      </c>
      <c r="EQ39" s="54" t="str">
        <f>IF(EQ9="","",IF(EQ9&lt;&gt;"THERMAL",EQ9,IF($GW39="","THERMAL - NOT SPECIFIED",$GW39)))</f>
        <v/>
      </c>
      <c r="ER39" s="54" t="str">
        <f>IF(ER9="","",IF(ER9&lt;&gt;"THERMAL",ER9,IF($GW39="","THERMAL - NOT SPECIFIED",$GW39)))</f>
        <v/>
      </c>
      <c r="ES39" s="54" t="str">
        <f>IF(ES9="","",IF(ES9&lt;&gt;"THERMAL",ES9,IF($GW39="","THERMAL - NOT SPECIFIED",$GW39)))</f>
        <v/>
      </c>
      <c r="ET39" s="54" t="str">
        <f>IF(ET9="","",IF(ET9&lt;&gt;"THERMAL",ET9,IF($GW39="","THERMAL - NOT SPECIFIED",$GW39)))</f>
        <v/>
      </c>
      <c r="EU39" s="54" t="str">
        <f>IF(EU9="","",IF(EU9&lt;&gt;"THERMAL",EU9,IF($GW39="","THERMAL - NOT SPECIFIED",$GW39)))</f>
        <v/>
      </c>
      <c r="EV39" s="54" t="str">
        <f>IF(EV9="","",IF(EV9&lt;&gt;"THERMAL",EV9,IF($GW39="","THERMAL - NOT SPECIFIED",$GW39)))</f>
        <v/>
      </c>
      <c r="EW39" s="54" t="str">
        <f>IF(EW9="","",IF(EW9&lt;&gt;"THERMAL",EW9,IF($GW39="","THERMAL - NOT SPECIFIED",$GW39)))</f>
        <v/>
      </c>
      <c r="EX39" s="54" t="str">
        <f>IF(EX9="","",IF(EX9&lt;&gt;"THERMAL",EX9,IF($GW39="","THERMAL - NOT SPECIFIED",$GW39)))</f>
        <v/>
      </c>
      <c r="EY39" s="54" t="str">
        <f>IF(EY9="","",IF(EY9&lt;&gt;"THERMAL",EY9,IF($GW39="","THERMAL - NOT SPECIFIED",$GW39)))</f>
        <v/>
      </c>
      <c r="EZ39" s="54" t="str">
        <f>IF(EZ9="","",IF(EZ9&lt;&gt;"THERMAL",EZ9,IF($GW39="","THERMAL - NOT SPECIFIED",$GW39)))</f>
        <v/>
      </c>
      <c r="FA39" s="54" t="str">
        <f>IF(FA9="","",IF(FA9&lt;&gt;"THERMAL",FA9,IF($GW39="","THERMAL - NOT SPECIFIED",$GW39)))</f>
        <v/>
      </c>
      <c r="FB39" s="54" t="str">
        <f>IF(FB9="","",IF(FB9&lt;&gt;"THERMAL",FB9,IF($GW39="","THERMAL - NOT SPECIFIED",$GW39)))</f>
        <v/>
      </c>
      <c r="FC39" s="54" t="str">
        <f>IF(FC9="","",IF(FC9&lt;&gt;"THERMAL",FC9,IF($GW39="","THERMAL - NOT SPECIFIED",$GW39)))</f>
        <v/>
      </c>
      <c r="FD39" s="54" t="str">
        <f>IF(FD9="","",IF(FD9&lt;&gt;"THERMAL",FD9,IF($GW39="","THERMAL - NOT SPECIFIED",$GW39)))</f>
        <v/>
      </c>
      <c r="FE39" s="54" t="str">
        <f>IF(FE9="","",IF(FE9&lt;&gt;"THERMAL",FE9,IF($GW39="","THERMAL - NOT SPECIFIED",$GW39)))</f>
        <v/>
      </c>
      <c r="FF39" s="54" t="str">
        <f>IF(FF9="","",IF(FF9&lt;&gt;"THERMAL",FF9,IF($GW39="","THERMAL - NOT SPECIFIED",$GW39)))</f>
        <v/>
      </c>
      <c r="FG39" s="54" t="str">
        <f>IF(FG9="","",IF(FG9&lt;&gt;"THERMAL",FG9,IF($GW39="","THERMAL - NOT SPECIFIED",$GW39)))</f>
        <v/>
      </c>
      <c r="FH39" s="54" t="str">
        <f>IF(FH9="","",IF(FH9&lt;&gt;"THERMAL",FH9,IF($GW39="","THERMAL - NOT SPECIFIED",$GW39)))</f>
        <v/>
      </c>
      <c r="FI39" s="54" t="str">
        <f>IF(FI9="","",IF(FI9&lt;&gt;"THERMAL",FI9,IF($GW39="","THERMAL - NOT SPECIFIED",$GW39)))</f>
        <v/>
      </c>
      <c r="FJ39" s="54" t="str">
        <f>IF(FJ9="","",IF(FJ9&lt;&gt;"THERMAL",FJ9,IF($GW39="","THERMAL - NOT SPECIFIED",$GW39)))</f>
        <v/>
      </c>
      <c r="FK39" s="54" t="str">
        <f>IF(FK9="","",IF(FK9&lt;&gt;"THERMAL",FK9,IF($GW39="","THERMAL - NOT SPECIFIED",$GW39)))</f>
        <v/>
      </c>
      <c r="FL39" s="54" t="str">
        <f>IF(FL9="","",IF(FL9&lt;&gt;"THERMAL",FL9,IF($GW39="","THERMAL - NOT SPECIFIED",$GW39)))</f>
        <v/>
      </c>
      <c r="FM39" s="54" t="str">
        <f>IF(FM9="","",IF(FM9&lt;&gt;"THERMAL",FM9,IF($GW39="","THERMAL - NOT SPECIFIED",$GW39)))</f>
        <v/>
      </c>
      <c r="FN39" s="54" t="str">
        <f>IF(FN9="","",IF(FN9&lt;&gt;"THERMAL",FN9,IF($GW39="","THERMAL - NOT SPECIFIED",$GW39)))</f>
        <v/>
      </c>
      <c r="FO39" s="54" t="str">
        <f>IF(FO9="","",IF(FO9&lt;&gt;"THERMAL",FO9,IF($GW39="","THERMAL - NOT SPECIFIED",$GW39)))</f>
        <v/>
      </c>
      <c r="FP39" s="54" t="str">
        <f>IF(FP9="","",IF(FP9&lt;&gt;"THERMAL",FP9,IF($GW39="","THERMAL - NOT SPECIFIED",$GW39)))</f>
        <v/>
      </c>
      <c r="FQ39" s="54" t="str">
        <f>IF(FQ9="","",IF(FQ9&lt;&gt;"THERMAL",FQ9,IF($GW39="","THERMAL - NOT SPECIFIED",$GW39)))</f>
        <v/>
      </c>
      <c r="FR39" s="54" t="str">
        <f>IF(FR9="","",IF(FR9&lt;&gt;"THERMAL",FR9,IF($GW39="","THERMAL - NOT SPECIFIED",$GW39)))</f>
        <v/>
      </c>
      <c r="FS39" s="54" t="str">
        <f>IF(FS9="","",IF(FS9&lt;&gt;"THERMAL",FS9,IF($GW39="","THERMAL - NOT SPECIFIED",$GW39)))</f>
        <v/>
      </c>
      <c r="FT39" s="54" t="str">
        <f>IF(FT9="","",IF(FT9&lt;&gt;"THERMAL",FT9,IF($GW39="","THERMAL - NOT SPECIFIED",$GW39)))</f>
        <v/>
      </c>
      <c r="FU39" s="54" t="str">
        <f>IF(FU9="","",IF(FU9&lt;&gt;"THERMAL",FU9,IF($GW39="","THERMAL - NOT SPECIFIED",$GW39)))</f>
        <v/>
      </c>
      <c r="FV39" s="54" t="str">
        <f>IF(FV9="","",IF(FV9&lt;&gt;"THERMAL",FV9,IF($GW39="","THERMAL - NOT SPECIFIED",$GW39)))</f>
        <v/>
      </c>
      <c r="FW39" s="54" t="str">
        <f>IF(FW9="","",IF(FW9&lt;&gt;"THERMAL",FW9,IF($GW39="","THERMAL - NOT SPECIFIED",$GW39)))</f>
        <v/>
      </c>
      <c r="FX39" s="54" t="str">
        <f>IF(FX9="","",IF(FX9&lt;&gt;"THERMAL",FX9,IF($GW39="","THERMAL - NOT SPECIFIED",$GW39)))</f>
        <v/>
      </c>
      <c r="FY39" s="54" t="str">
        <f>IF(FY9="","",IF(FY9&lt;&gt;"THERMAL",FY9,IF($GW39="","THERMAL - NOT SPECIFIED",$GW39)))</f>
        <v/>
      </c>
      <c r="FZ39" s="54" t="str">
        <f>IF(FZ9="","",IF(FZ9&lt;&gt;"THERMAL",FZ9,IF($GW39="","THERMAL - NOT SPECIFIED",$GW39)))</f>
        <v/>
      </c>
      <c r="GA39" s="54" t="str">
        <f>IF(GA9="","",IF(GA9&lt;&gt;"THERMAL",GA9,IF($GW39="","THERMAL - NOT SPECIFIED",$GW39)))</f>
        <v/>
      </c>
      <c r="GB39" s="54" t="str">
        <f>IF(GB9="","",IF(GB9&lt;&gt;"THERMAL",GB9,IF($GW39="","THERMAL - NOT SPECIFIED",$GW39)))</f>
        <v/>
      </c>
      <c r="GC39" s="54" t="str">
        <f>IF(GC9="","",IF(GC9&lt;&gt;"THERMAL",GC9,IF($GW39="","THERMAL - NOT SPECIFIED",$GW39)))</f>
        <v/>
      </c>
      <c r="GD39" s="54" t="str">
        <f>IF(GD9="","",IF(GD9&lt;&gt;"THERMAL",GD9,IF($GW39="","THERMAL - NOT SPECIFIED",$GW39)))</f>
        <v/>
      </c>
      <c r="GE39" s="54" t="str">
        <f>IF(GE9="","",IF(GE9&lt;&gt;"THERMAL",GE9,IF($GW39="","THERMAL - NOT SPECIFIED",$GW39)))</f>
        <v/>
      </c>
      <c r="GF39" s="54" t="str">
        <f>IF(GF9="","",IF(GF9&lt;&gt;"THERMAL",GF9,IF($GW39="","THERMAL - NOT SPECIFIED",$GW39)))</f>
        <v/>
      </c>
      <c r="GG39" s="54" t="str">
        <f>IF(GG9="","",IF(GG9&lt;&gt;"THERMAL",GG9,IF($GW39="","THERMAL - NOT SPECIFIED",$GW39)))</f>
        <v/>
      </c>
      <c r="GH39" s="54" t="str">
        <f>IF(GH9="","",IF(GH9&lt;&gt;"THERMAL",GH9,IF($GW39="","THERMAL - NOT SPECIFIED",$GW39)))</f>
        <v/>
      </c>
      <c r="GI39" s="54" t="str">
        <f>IF(GI9="","",IF(GI9&lt;&gt;"THERMAL",GI9,IF($GW39="","THERMAL - NOT SPECIFIED",$GW39)))</f>
        <v/>
      </c>
      <c r="GJ39" s="54" t="str">
        <f>IF(GJ9="","",IF(GJ9&lt;&gt;"THERMAL",GJ9,IF($GW39="","THERMAL - NOT SPECIFIED",$GW39)))</f>
        <v/>
      </c>
      <c r="GK39" s="54" t="str">
        <f>IF(GK9="","",IF(GK9&lt;&gt;"THERMAL",GK9,IF($GW39="","THERMAL - NOT SPECIFIED",$GW39)))</f>
        <v/>
      </c>
      <c r="GL39" s="54" t="str">
        <f>IF(GL9="","",IF(GL9&lt;&gt;"THERMAL",GL9,IF($GW39="","THERMAL - NOT SPECIFIED",$GW39)))</f>
        <v/>
      </c>
      <c r="GM39" s="54" t="str">
        <f>IF(GM9="","",IF(GM9&lt;&gt;"THERMAL",GM9,IF($GW39="","THERMAL - NOT SPECIFIED",$GW39)))</f>
        <v/>
      </c>
      <c r="GN39" s="54" t="str">
        <f>IF(GN9="","",IF(GN9&lt;&gt;"THERMAL",GN9,IF($GW39="","THERMAL - NOT SPECIFIED",$GW39)))</f>
        <v/>
      </c>
      <c r="GO39" s="54" t="str">
        <f>IF(GO9="","",IF(GO9&lt;&gt;"THERMAL",GO9,IF($GW39="","THERMAL - NOT SPECIFIED",$GW39)))</f>
        <v/>
      </c>
      <c r="GP39" s="54" t="str">
        <f>IF(GP9="","",IF(GP9&lt;&gt;"THERMAL",GP9,IF($GW39="","THERMAL - NOT SPECIFIED",$GW39)))</f>
        <v/>
      </c>
      <c r="GQ39" s="54" t="str">
        <f>IF(GQ9="","",IF(GQ9&lt;&gt;"THERMAL",GQ9,IF($GW39="","THERMAL - NOT SPECIFIED",$GW39)))</f>
        <v/>
      </c>
      <c r="GR39" s="54" t="str">
        <f>IF(GR9="","",IF(GR9&lt;&gt;"THERMAL",GR9,IF($GW39="","THERMAL - NOT SPECIFIED",$GW39)))</f>
        <v/>
      </c>
      <c r="GS39" s="54" t="str">
        <f>IF(GS9="","",IF(GS9&lt;&gt;"THERMAL",GS9,IF($GW39="","THERMAL - NOT SPECIFIED",$GW39)))</f>
        <v/>
      </c>
      <c r="GW39" s="55" t="str">
        <f>IF($GY39="","",IFERROR(INDEX('MC MAP'!$L$5:$L$28,MATCH($GY39,'MC MAP'!$K$5:$K$28,0)),$GY39))</f>
        <v/>
      </c>
      <c r="GY39" s="60"/>
      <c r="HA39" s="15"/>
      <c r="HE39" s="14">
        <v>5520</v>
      </c>
    </row>
    <row r="40" spans="1:213">
      <c r="A40" s="2">
        <f>$A10</f>
        <v>5</v>
      </c>
      <c r="B40" s="54">
        <f>IF(B10="","",IF(B10&lt;&gt;"THERMAL",B10,IF($GW40="","THERMAL - NOT SPECIFIED",$GW40)))</f>
        <v>6820</v>
      </c>
      <c r="C40" s="54">
        <f>IF(C10="","",IF(C10&lt;&gt;"THERMAL",C10,IF($GW40="","THERMAL - NOT SPECIFIED",$GW40)))</f>
        <v>6820</v>
      </c>
      <c r="D40" s="54">
        <f>IF(D10="","",IF(D10&lt;&gt;"THERMAL",D10,IF($GW40="","THERMAL - NOT SPECIFIED",$GW40)))</f>
        <v>6820</v>
      </c>
      <c r="E40" s="54">
        <f>IF(E10="","",IF(E10&lt;&gt;"THERMAL",E10,IF($GW40="","THERMAL - NOT SPECIFIED",$GW40)))</f>
        <v>6820</v>
      </c>
      <c r="F40" s="54">
        <f>IF(F10="","",IF(F10&lt;&gt;"THERMAL",F10,IF($GW40="","THERMAL - NOT SPECIFIED",$GW40)))</f>
        <v>6820</v>
      </c>
      <c r="G40" s="54">
        <f>IF(G10="","",IF(G10&lt;&gt;"THERMAL",G10,IF($GW40="","THERMAL - NOT SPECIFIED",$GW40)))</f>
        <v>6820</v>
      </c>
      <c r="H40" s="54">
        <f>IF(H10="","",IF(H10&lt;&gt;"THERMAL",H10,IF($GW40="","THERMAL - NOT SPECIFIED",$GW40)))</f>
        <v>6820</v>
      </c>
      <c r="I40" s="54">
        <f>IF(I10="","",IF(I10&lt;&gt;"THERMAL",I10,IF($GW40="","THERMAL - NOT SPECIFIED",$GW40)))</f>
        <v>6820</v>
      </c>
      <c r="J40" s="54">
        <f>IF(J10="","",IF(J10&lt;&gt;"THERMAL",J10,IF($GW40="","THERMAL - NOT SPECIFIED",$GW40)))</f>
        <v>6820</v>
      </c>
      <c r="K40" s="54">
        <f>IF(K10="","",IF(K10&lt;&gt;"THERMAL",K10,IF($GW40="","THERMAL - NOT SPECIFIED",$GW40)))</f>
        <v>6820</v>
      </c>
      <c r="L40" s="54">
        <f>IF(L10="","",IF(L10&lt;&gt;"THERMAL",L10,IF($GW40="","THERMAL - NOT SPECIFIED",$GW40)))</f>
        <v>6820</v>
      </c>
      <c r="M40" s="54" t="str">
        <f>IF(M10="","",IF(M10&lt;&gt;"THERMAL",M10,IF($GW40="","THERMAL - NOT SPECIFIED",$GW40)))</f>
        <v>RS 26/27</v>
      </c>
      <c r="N40" s="54" t="str">
        <f>IF(N10="","",IF(N10&lt;&gt;"THERMAL",N10,IF($GW40="","THERMAL - NOT SPECIFIED",$GW40)))</f>
        <v>RS 26/27</v>
      </c>
      <c r="O40" s="54" t="str">
        <f>IF(O10="","",IF(O10&lt;&gt;"THERMAL",O10,IF($GW40="","THERMAL - NOT SPECIFIED",$GW40)))</f>
        <v>RS 26/27</v>
      </c>
      <c r="P40" s="54" t="str">
        <f>IF(P10="","",IF(P10&lt;&gt;"THERMAL",P10,IF($GW40="","THERMAL - NOT SPECIFIED",$GW40)))</f>
        <v>RS 26/27</v>
      </c>
      <c r="Q40" s="54" t="str">
        <f>IF(Q10="","",IF(Q10&lt;&gt;"THERMAL",Q10,IF($GW40="","THERMAL - NOT SPECIFIED",$GW40)))</f>
        <v>RS 26/27</v>
      </c>
      <c r="R40" s="54" t="str">
        <f>IF(R10="","",IF(R10&lt;&gt;"THERMAL",R10,IF($GW40="","THERMAL - NOT SPECIFIED",$GW40)))</f>
        <v>RS 26/27</v>
      </c>
      <c r="S40" s="54" t="str">
        <f>IF(S10="","",IF(S10&lt;&gt;"THERMAL",S10,IF($GW40="","THERMAL - NOT SPECIFIED",$GW40)))</f>
        <v>RS 26/27</v>
      </c>
      <c r="T40" s="54" t="str">
        <f>IF(T10="","",IF(T10&lt;&gt;"THERMAL",T10,IF($GW40="","THERMAL - NOT SPECIFIED",$GW40)))</f>
        <v>RS 26/27</v>
      </c>
      <c r="U40" s="54" t="str">
        <f>IF(U10="","",IF(U10&lt;&gt;"THERMAL",U10,IF($GW40="","THERMAL - NOT SPECIFIED",$GW40)))</f>
        <v>RS 26/27</v>
      </c>
      <c r="V40" s="54" t="str">
        <f>IF(V10="","",IF(V10&lt;&gt;"THERMAL",V10,IF($GW40="","THERMAL - NOT SPECIFIED",$GW40)))</f>
        <v>RS 26/27</v>
      </c>
      <c r="W40" s="54" t="str">
        <f>IF(W10="","",IF(W10&lt;&gt;"THERMAL",W10,IF($GW40="","THERMAL - NOT SPECIFIED",$GW40)))</f>
        <v>RS 26/27</v>
      </c>
      <c r="X40" s="54" t="str">
        <f>IF(X10="","",IF(X10&lt;&gt;"THERMAL",X10,IF($GW40="","THERMAL - NOT SPECIFIED",$GW40)))</f>
        <v>RS 26/27</v>
      </c>
      <c r="Y40" s="54" t="str">
        <f>IF(Y10="","",IF(Y10&lt;&gt;"THERMAL",Y10,IF($GW40="","THERMAL - NOT SPECIFIED",$GW40)))</f>
        <v>RS 26/27</v>
      </c>
      <c r="Z40" s="54" t="str">
        <f>IF(Z10="","",IF(Z10&lt;&gt;"THERMAL",Z10,IF($GW40="","THERMAL - NOT SPECIFIED",$GW40)))</f>
        <v>RS 26/27</v>
      </c>
      <c r="AA40" s="54" t="str">
        <f>IF(AA10="","",IF(AA10&lt;&gt;"THERMAL",AA10,IF($GW40="","THERMAL - NOT SPECIFIED",$GW40)))</f>
        <v>RS 26/27</v>
      </c>
      <c r="AB40" s="54" t="str">
        <f>IF(AB10="","",IF(AB10&lt;&gt;"THERMAL",AB10,IF($GW40="","THERMAL - NOT SPECIFIED",$GW40)))</f>
        <v>RS 26/27</v>
      </c>
      <c r="AC40" s="54" t="str">
        <f>IF(AC10="","",IF(AC10&lt;&gt;"THERMAL",AC10,IF($GW40="","THERMAL - NOT SPECIFIED",$GW40)))</f>
        <v>RS 26/27</v>
      </c>
      <c r="AD40" s="54" t="str">
        <f>IF(AD10="","",IF(AD10&lt;&gt;"THERMAL",AD10,IF($GW40="","THERMAL - NOT SPECIFIED",$GW40)))</f>
        <v>RS 26/27</v>
      </c>
      <c r="AE40" s="54" t="str">
        <f>IF(AE10="","",IF(AE10&lt;&gt;"THERMAL",AE10,IF($GW40="","THERMAL - NOT SPECIFIED",$GW40)))</f>
        <v>RS 26/27</v>
      </c>
      <c r="AF40" s="54" t="str">
        <f>IF(AF10="","",IF(AF10&lt;&gt;"THERMAL",AF10,IF($GW40="","THERMAL - NOT SPECIFIED",$GW40)))</f>
        <v>RS 26/27</v>
      </c>
      <c r="AG40" s="54" t="str">
        <f>IF(AG10="","",IF(AG10&lt;&gt;"THERMAL",AG10,IF($GW40="","THERMAL - NOT SPECIFIED",$GW40)))</f>
        <v>RS 26/27</v>
      </c>
      <c r="AH40" s="54" t="str">
        <f>IF(AH10="","",IF(AH10&lt;&gt;"THERMAL",AH10,IF($GW40="","THERMAL - NOT SPECIFIED",$GW40)))</f>
        <v>RS 26/27</v>
      </c>
      <c r="AI40" s="54" t="str">
        <f>IF(AI10="","",IF(AI10&lt;&gt;"THERMAL",AI10,IF($GW40="","THERMAL - NOT SPECIFIED",$GW40)))</f>
        <v>RS 26/27</v>
      </c>
      <c r="AJ40" s="54" t="str">
        <f>IF(AJ10="","",IF(AJ10&lt;&gt;"THERMAL",AJ10,IF($GW40="","THERMAL - NOT SPECIFIED",$GW40)))</f>
        <v>RS 26/27</v>
      </c>
      <c r="AK40" s="54" t="str">
        <f>IF(AK10="","",IF(AK10&lt;&gt;"THERMAL",AK10,IF($GW40="","THERMAL - NOT SPECIFIED",$GW40)))</f>
        <v>RS 26/27</v>
      </c>
      <c r="AL40" s="54" t="str">
        <f>IF(AL10="","",IF(AL10&lt;&gt;"THERMAL",AL10,IF($GW40="","THERMAL - NOT SPECIFIED",$GW40)))</f>
        <v>RS 26/27</v>
      </c>
      <c r="AM40" s="54" t="str">
        <f>IF(AM10="","",IF(AM10&lt;&gt;"THERMAL",AM10,IF($GW40="","THERMAL - NOT SPECIFIED",$GW40)))</f>
        <v>RS 26/27</v>
      </c>
      <c r="AN40" s="54" t="str">
        <f>IF(AN10="","",IF(AN10&lt;&gt;"THERMAL",AN10,IF($GW40="","THERMAL - NOT SPECIFIED",$GW40)))</f>
        <v>RS 26/27</v>
      </c>
      <c r="AO40" s="54" t="str">
        <f>IF(AO10="","",IF(AO10&lt;&gt;"THERMAL",AO10,IF($GW40="","THERMAL - NOT SPECIFIED",$GW40)))</f>
        <v>RS 26/27</v>
      </c>
      <c r="AP40" s="54" t="str">
        <f>IF(AP10="","",IF(AP10&lt;&gt;"THERMAL",AP10,IF($GW40="","THERMAL - NOT SPECIFIED",$GW40)))</f>
        <v>RS 26/27</v>
      </c>
      <c r="AQ40" s="54" t="str">
        <f>IF(AQ10="","",IF(AQ10&lt;&gt;"THERMAL",AQ10,IF($GW40="","THERMAL - NOT SPECIFIED",$GW40)))</f>
        <v>RS 26/27</v>
      </c>
      <c r="AR40" s="54" t="str">
        <f>IF(AR10="","",IF(AR10&lt;&gt;"THERMAL",AR10,IF($GW40="","THERMAL - NOT SPECIFIED",$GW40)))</f>
        <v>RS 26/27</v>
      </c>
      <c r="AS40" s="54" t="str">
        <f>IF(AS10="","",IF(AS10&lt;&gt;"THERMAL",AS10,IF($GW40="","THERMAL - NOT SPECIFIED",$GW40)))</f>
        <v>RS 26/27</v>
      </c>
      <c r="AT40" s="54" t="str">
        <f>IF(AT10="","",IF(AT10&lt;&gt;"THERMAL",AT10,IF($GW40="","THERMAL - NOT SPECIFIED",$GW40)))</f>
        <v>RS 26/27</v>
      </c>
      <c r="AU40" s="54" t="str">
        <f>IF(AU10="","",IF(AU10&lt;&gt;"THERMAL",AU10,IF($GW40="","THERMAL - NOT SPECIFIED",$GW40)))</f>
        <v>RS 26/27</v>
      </c>
      <c r="AV40" s="54" t="str">
        <f>IF(AV10="","",IF(AV10&lt;&gt;"THERMAL",AV10,IF($GW40="","THERMAL - NOT SPECIFIED",$GW40)))</f>
        <v>RS 26/27</v>
      </c>
      <c r="AW40" s="54" t="str">
        <f>IF(AW10="","",IF(AW10&lt;&gt;"THERMAL",AW10,IF($GW40="","THERMAL - NOT SPECIFIED",$GW40)))</f>
        <v>RS 26/27</v>
      </c>
      <c r="AX40" s="54" t="str">
        <f>IF(AX10="","",IF(AX10&lt;&gt;"THERMAL",AX10,IF($GW40="","THERMAL - NOT SPECIFIED",$GW40)))</f>
        <v>RS 26/27</v>
      </c>
      <c r="AY40" s="54" t="str">
        <f>IF(AY10="","",IF(AY10&lt;&gt;"THERMAL",AY10,IF($GW40="","THERMAL - NOT SPECIFIED",$GW40)))</f>
        <v>RS 26/27</v>
      </c>
      <c r="AZ40" s="54" t="str">
        <f>IF(AZ10="","",IF(AZ10&lt;&gt;"THERMAL",AZ10,IF($GW40="","THERMAL - NOT SPECIFIED",$GW40)))</f>
        <v>RS 26/27</v>
      </c>
      <c r="BA40" s="54" t="str">
        <f>IF(BA10="","",IF(BA10&lt;&gt;"THERMAL",BA10,IF($GW40="","THERMAL - NOT SPECIFIED",$GW40)))</f>
        <v>RS 26/27</v>
      </c>
      <c r="BB40" s="54" t="str">
        <f>IF(BB10="","",IF(BB10&lt;&gt;"THERMAL",BB10,IF($GW40="","THERMAL - NOT SPECIFIED",$GW40)))</f>
        <v>RS 26/27</v>
      </c>
      <c r="BC40" s="54" t="str">
        <f>IF(BC10="","",IF(BC10&lt;&gt;"THERMAL",BC10,IF($GW40="","THERMAL - NOT SPECIFIED",$GW40)))</f>
        <v>RS 26/27</v>
      </c>
      <c r="BD40" s="54" t="str">
        <f>IF(BD10="","",IF(BD10&lt;&gt;"THERMAL",BD10,IF($GW40="","THERMAL - NOT SPECIFIED",$GW40)))</f>
        <v>RS 26/27</v>
      </c>
      <c r="BE40" s="54" t="str">
        <f>IF(BE10="","",IF(BE10&lt;&gt;"THERMAL",BE10,IF($GW40="","THERMAL - NOT SPECIFIED",$GW40)))</f>
        <v>RS 26/27</v>
      </c>
      <c r="BF40" s="54" t="str">
        <f>IF(BF10="","",IF(BF10&lt;&gt;"THERMAL",BF10,IF($GW40="","THERMAL - NOT SPECIFIED",$GW40)))</f>
        <v>RS 26/27</v>
      </c>
      <c r="BG40" s="54" t="str">
        <f>IF(BG10="","",IF(BG10&lt;&gt;"THERMAL",BG10,IF($GW40="","THERMAL - NOT SPECIFIED",$GW40)))</f>
        <v>RS 26/27</v>
      </c>
      <c r="BH40" s="54" t="str">
        <f>IF(BH10="","",IF(BH10&lt;&gt;"THERMAL",BH10,IF($GW40="","THERMAL - NOT SPECIFIED",$GW40)))</f>
        <v>RS 26/27</v>
      </c>
      <c r="BI40" s="54" t="str">
        <f>IF(BI10="","",IF(BI10&lt;&gt;"THERMAL",BI10,IF($GW40="","THERMAL - NOT SPECIFIED",$GW40)))</f>
        <v>RS 26/27</v>
      </c>
      <c r="BJ40" s="54" t="str">
        <f>IF(BJ10="","",IF(BJ10&lt;&gt;"THERMAL",BJ10,IF($GW40="","THERMAL - NOT SPECIFIED",$GW40)))</f>
        <v>RS 26/27</v>
      </c>
      <c r="BK40" s="54" t="str">
        <f>IF(BK10="","",IF(BK10&lt;&gt;"THERMAL",BK10,IF($GW40="","THERMAL - NOT SPECIFIED",$GW40)))</f>
        <v>VACCANT</v>
      </c>
      <c r="BL40" s="54" t="str">
        <f>IF(BL10="","",IF(BL10&lt;&gt;"THERMAL",BL10,IF($GW40="","THERMAL - NOT SPECIFIED",$GW40)))</f>
        <v/>
      </c>
      <c r="BM40" s="54" t="str">
        <f>IF(BM10="","",IF(BM10&lt;&gt;"THERMAL",BM10,IF($GW40="","THERMAL - NOT SPECIFIED",$GW40)))</f>
        <v/>
      </c>
      <c r="BN40" s="54" t="str">
        <f>IF(BN10="","",IF(BN10&lt;&gt;"THERMAL",BN10,IF($GW40="","THERMAL - NOT SPECIFIED",$GW40)))</f>
        <v/>
      </c>
      <c r="BO40" s="54" t="str">
        <f>IF(BO10="","",IF(BO10&lt;&gt;"THERMAL",BO10,IF($GW40="","THERMAL - NOT SPECIFIED",$GW40)))</f>
        <v/>
      </c>
      <c r="BP40" s="54" t="str">
        <f>IF(BP10="","",IF(BP10&lt;&gt;"THERMAL",BP10,IF($GW40="","THERMAL - NOT SPECIFIED",$GW40)))</f>
        <v/>
      </c>
      <c r="BQ40" s="54" t="str">
        <f>IF(BQ10="","",IF(BQ10&lt;&gt;"THERMAL",BQ10,IF($GW40="","THERMAL - NOT SPECIFIED",$GW40)))</f>
        <v/>
      </c>
      <c r="BR40" s="54" t="str">
        <f>IF(BR10="","",IF(BR10&lt;&gt;"THERMAL",BR10,IF($GW40="","THERMAL - NOT SPECIFIED",$GW40)))</f>
        <v/>
      </c>
      <c r="BS40" s="54" t="str">
        <f>IF(BS10="","",IF(BS10&lt;&gt;"THERMAL",BS10,IF($GW40="","THERMAL - NOT SPECIFIED",$GW40)))</f>
        <v/>
      </c>
      <c r="BT40" s="54" t="str">
        <f>IF(BT10="","",IF(BT10&lt;&gt;"THERMAL",BT10,IF($GW40="","THERMAL - NOT SPECIFIED",$GW40)))</f>
        <v/>
      </c>
      <c r="BU40" s="54" t="str">
        <f>IF(BU10="","",IF(BU10&lt;&gt;"THERMAL",BU10,IF($GW40="","THERMAL - NOT SPECIFIED",$GW40)))</f>
        <v/>
      </c>
      <c r="BV40" s="54" t="str">
        <f>IF(BV10="","",IF(BV10&lt;&gt;"THERMAL",BV10,IF($GW40="","THERMAL - NOT SPECIFIED",$GW40)))</f>
        <v/>
      </c>
      <c r="BW40" s="54" t="str">
        <f>IF(BW10="","",IF(BW10&lt;&gt;"THERMAL",BW10,IF($GW40="","THERMAL - NOT SPECIFIED",$GW40)))</f>
        <v/>
      </c>
      <c r="BX40" s="54" t="str">
        <f>IF(BX10="","",IF(BX10&lt;&gt;"THERMAL",BX10,IF($GW40="","THERMAL - NOT SPECIFIED",$GW40)))</f>
        <v/>
      </c>
      <c r="BY40" s="54" t="str">
        <f>IF(BY10="","",IF(BY10&lt;&gt;"THERMAL",BY10,IF($GW40="","THERMAL - NOT SPECIFIED",$GW40)))</f>
        <v/>
      </c>
      <c r="BZ40" s="54" t="str">
        <f>IF(BZ10="","",IF(BZ10&lt;&gt;"THERMAL",BZ10,IF($GW40="","THERMAL - NOT SPECIFIED",$GW40)))</f>
        <v/>
      </c>
      <c r="CA40" s="54" t="str">
        <f>IF(CA10="","",IF(CA10&lt;&gt;"THERMAL",CA10,IF($GW40="","THERMAL - NOT SPECIFIED",$GW40)))</f>
        <v/>
      </c>
      <c r="CB40" s="54" t="str">
        <f>IF(CB10="","",IF(CB10&lt;&gt;"THERMAL",CB10,IF($GW40="","THERMAL - NOT SPECIFIED",$GW40)))</f>
        <v/>
      </c>
      <c r="CC40" s="54" t="str">
        <f>IF(CC10="","",IF(CC10&lt;&gt;"THERMAL",CC10,IF($GW40="","THERMAL - NOT SPECIFIED",$GW40)))</f>
        <v/>
      </c>
      <c r="CD40" s="54" t="str">
        <f>IF(CD10="","",IF(CD10&lt;&gt;"THERMAL",CD10,IF($GW40="","THERMAL - NOT SPECIFIED",$GW40)))</f>
        <v/>
      </c>
      <c r="CE40" s="54" t="str">
        <f>IF(CE10="","",IF(CE10&lt;&gt;"THERMAL",CE10,IF($GW40="","THERMAL - NOT SPECIFIED",$GW40)))</f>
        <v/>
      </c>
      <c r="CF40" s="54" t="str">
        <f>IF(CF10="","",IF(CF10&lt;&gt;"THERMAL",CF10,IF($GW40="","THERMAL - NOT SPECIFIED",$GW40)))</f>
        <v/>
      </c>
      <c r="CG40" s="54" t="str">
        <f>IF(CG10="","",IF(CG10&lt;&gt;"THERMAL",CG10,IF($GW40="","THERMAL - NOT SPECIFIED",$GW40)))</f>
        <v/>
      </c>
      <c r="CH40" s="54" t="str">
        <f>IF(CH10="","",IF(CH10&lt;&gt;"THERMAL",CH10,IF($GW40="","THERMAL - NOT SPECIFIED",$GW40)))</f>
        <v/>
      </c>
      <c r="CI40" s="54" t="str">
        <f>IF(CI10="","",IF(CI10&lt;&gt;"THERMAL",CI10,IF($GW40="","THERMAL - NOT SPECIFIED",$GW40)))</f>
        <v/>
      </c>
      <c r="CJ40" s="54" t="str">
        <f>IF(CJ10="","",IF(CJ10&lt;&gt;"THERMAL",CJ10,IF($GW40="","THERMAL - NOT SPECIFIED",$GW40)))</f>
        <v/>
      </c>
      <c r="CK40" s="54" t="str">
        <f>IF(CK10="","",IF(CK10&lt;&gt;"THERMAL",CK10,IF($GW40="","THERMAL - NOT SPECIFIED",$GW40)))</f>
        <v/>
      </c>
      <c r="CL40" s="54" t="str">
        <f>IF(CL10="","",IF(CL10&lt;&gt;"THERMAL",CL10,IF($GW40="","THERMAL - NOT SPECIFIED",$GW40)))</f>
        <v/>
      </c>
      <c r="CM40" s="54" t="str">
        <f>IF(CM10="","",IF(CM10&lt;&gt;"THERMAL",CM10,IF($GW40="","THERMAL - NOT SPECIFIED",$GW40)))</f>
        <v/>
      </c>
      <c r="CN40" s="54" t="str">
        <f>IF(CN10="","",IF(CN10&lt;&gt;"THERMAL",CN10,IF($GW40="","THERMAL - NOT SPECIFIED",$GW40)))</f>
        <v/>
      </c>
      <c r="CO40" s="54" t="str">
        <f>IF(CO10="","",IF(CO10&lt;&gt;"THERMAL",CO10,IF($GW40="","THERMAL - NOT SPECIFIED",$GW40)))</f>
        <v/>
      </c>
      <c r="CP40" s="54" t="str">
        <f>IF(CP10="","",IF(CP10&lt;&gt;"THERMAL",CP10,IF($GW40="","THERMAL - NOT SPECIFIED",$GW40)))</f>
        <v/>
      </c>
      <c r="CQ40" s="54" t="str">
        <f>IF(CQ10="","",IF(CQ10&lt;&gt;"THERMAL",CQ10,IF($GW40="","THERMAL - NOT SPECIFIED",$GW40)))</f>
        <v/>
      </c>
      <c r="CR40" s="54" t="str">
        <f>IF(CR10="","",IF(CR10&lt;&gt;"THERMAL",CR10,IF($GW40="","THERMAL - NOT SPECIFIED",$GW40)))</f>
        <v/>
      </c>
      <c r="CS40" s="54" t="str">
        <f>IF(CS10="","",IF(CS10&lt;&gt;"THERMAL",CS10,IF($GW40="","THERMAL - NOT SPECIFIED",$GW40)))</f>
        <v/>
      </c>
      <c r="CT40" s="54" t="str">
        <f>IF(CT10="","",IF(CT10&lt;&gt;"THERMAL",CT10,IF($GW40="","THERMAL - NOT SPECIFIED",$GW40)))</f>
        <v/>
      </c>
      <c r="CU40" s="54" t="str">
        <f>IF(CU10="","",IF(CU10&lt;&gt;"THERMAL",CU10,IF($GW40="","THERMAL - NOT SPECIFIED",$GW40)))</f>
        <v/>
      </c>
      <c r="CV40" s="54" t="str">
        <f>IF(CV10="","",IF(CV10&lt;&gt;"THERMAL",CV10,IF($GW40="","THERMAL - NOT SPECIFIED",$GW40)))</f>
        <v/>
      </c>
      <c r="CW40" s="54" t="str">
        <f>IF(CW10="","",IF(CW10&lt;&gt;"THERMAL",CW10,IF($GW40="","THERMAL - NOT SPECIFIED",$GW40)))</f>
        <v/>
      </c>
      <c r="CX40" s="54" t="str">
        <f>IF(CX10="","",IF(CX10&lt;&gt;"THERMAL",CX10,IF($GW40="","THERMAL - NOT SPECIFIED",$GW40)))</f>
        <v/>
      </c>
      <c r="CY40" s="54" t="str">
        <f>IF(CY10="","",IF(CY10&lt;&gt;"THERMAL",CY10,IF($GW40="","THERMAL - NOT SPECIFIED",$GW40)))</f>
        <v/>
      </c>
      <c r="CZ40" s="54" t="str">
        <f>IF(CZ10="","",IF(CZ10&lt;&gt;"THERMAL",CZ10,IF($GW40="","THERMAL - NOT SPECIFIED",$GW40)))</f>
        <v/>
      </c>
      <c r="DA40" s="54" t="str">
        <f>IF(DA10="","",IF(DA10&lt;&gt;"THERMAL",DA10,IF($GW40="","THERMAL - NOT SPECIFIED",$GW40)))</f>
        <v/>
      </c>
      <c r="DB40" s="54" t="str">
        <f>IF(DB10="","",IF(DB10&lt;&gt;"THERMAL",DB10,IF($GW40="","THERMAL - NOT SPECIFIED",$GW40)))</f>
        <v/>
      </c>
      <c r="DC40" s="54" t="str">
        <f>IF(DC10="","",IF(DC10&lt;&gt;"THERMAL",DC10,IF($GW40="","THERMAL - NOT SPECIFIED",$GW40)))</f>
        <v/>
      </c>
      <c r="DD40" s="54" t="str">
        <f>IF(DD10="","",IF(DD10&lt;&gt;"THERMAL",DD10,IF($GW40="","THERMAL - NOT SPECIFIED",$GW40)))</f>
        <v/>
      </c>
      <c r="DE40" s="54" t="str">
        <f>IF(DE10="","",IF(DE10&lt;&gt;"THERMAL",DE10,IF($GW40="","THERMAL - NOT SPECIFIED",$GW40)))</f>
        <v/>
      </c>
      <c r="DF40" s="54" t="str">
        <f>IF(DF10="","",IF(DF10&lt;&gt;"THERMAL",DF10,IF($GW40="","THERMAL - NOT SPECIFIED",$GW40)))</f>
        <v/>
      </c>
      <c r="DG40" s="54" t="str">
        <f>IF(DG10="","",IF(DG10&lt;&gt;"THERMAL",DG10,IF($GW40="","THERMAL - NOT SPECIFIED",$GW40)))</f>
        <v/>
      </c>
      <c r="DH40" s="54" t="str">
        <f>IF(DH10="","",IF(DH10&lt;&gt;"THERMAL",DH10,IF($GW40="","THERMAL - NOT SPECIFIED",$GW40)))</f>
        <v/>
      </c>
      <c r="DI40" s="54" t="str">
        <f>IF(DI10="","",IF(DI10&lt;&gt;"THERMAL",DI10,IF($GW40="","THERMAL - NOT SPECIFIED",$GW40)))</f>
        <v/>
      </c>
      <c r="DJ40" s="54" t="str">
        <f>IF(DJ10="","",IF(DJ10&lt;&gt;"THERMAL",DJ10,IF($GW40="","THERMAL - NOT SPECIFIED",$GW40)))</f>
        <v/>
      </c>
      <c r="DK40" s="54" t="str">
        <f>IF(DK10="","",IF(DK10&lt;&gt;"THERMAL",DK10,IF($GW40="","THERMAL - NOT SPECIFIED",$GW40)))</f>
        <v/>
      </c>
      <c r="DL40" s="54" t="str">
        <f>IF(DL10="","",IF(DL10&lt;&gt;"THERMAL",DL10,IF($GW40="","THERMAL - NOT SPECIFIED",$GW40)))</f>
        <v/>
      </c>
      <c r="DM40" s="54" t="str">
        <f>IF(DM10="","",IF(DM10&lt;&gt;"THERMAL",DM10,IF($GW40="","THERMAL - NOT SPECIFIED",$GW40)))</f>
        <v/>
      </c>
      <c r="DN40" s="54" t="str">
        <f>IF(DN10="","",IF(DN10&lt;&gt;"THERMAL",DN10,IF($GW40="","THERMAL - NOT SPECIFIED",$GW40)))</f>
        <v/>
      </c>
      <c r="DO40" s="54" t="str">
        <f>IF(DO10="","",IF(DO10&lt;&gt;"THERMAL",DO10,IF($GW40="","THERMAL - NOT SPECIFIED",$GW40)))</f>
        <v/>
      </c>
      <c r="DP40" s="54" t="str">
        <f>IF(DP10="","",IF(DP10&lt;&gt;"THERMAL",DP10,IF($GW40="","THERMAL - NOT SPECIFIED",$GW40)))</f>
        <v/>
      </c>
      <c r="DQ40" s="54" t="str">
        <f>IF(DQ10="","",IF(DQ10&lt;&gt;"THERMAL",DQ10,IF($GW40="","THERMAL - NOT SPECIFIED",$GW40)))</f>
        <v/>
      </c>
      <c r="DR40" s="54" t="str">
        <f>IF(DR10="","",IF(DR10&lt;&gt;"THERMAL",DR10,IF($GW40="","THERMAL - NOT SPECIFIED",$GW40)))</f>
        <v/>
      </c>
      <c r="DS40" s="54" t="str">
        <f>IF(DS10="","",IF(DS10&lt;&gt;"THERMAL",DS10,IF($GW40="","THERMAL - NOT SPECIFIED",$GW40)))</f>
        <v/>
      </c>
      <c r="DT40" s="54" t="str">
        <f>IF(DT10="","",IF(DT10&lt;&gt;"THERMAL",DT10,IF($GW40="","THERMAL - NOT SPECIFIED",$GW40)))</f>
        <v/>
      </c>
      <c r="DU40" s="54" t="str">
        <f>IF(DU10="","",IF(DU10&lt;&gt;"THERMAL",DU10,IF($GW40="","THERMAL - NOT SPECIFIED",$GW40)))</f>
        <v/>
      </c>
      <c r="DV40" s="54" t="str">
        <f>IF(DV10="","",IF(DV10&lt;&gt;"THERMAL",DV10,IF($GW40="","THERMAL - NOT SPECIFIED",$GW40)))</f>
        <v/>
      </c>
      <c r="DW40" s="54" t="str">
        <f>IF(DW10="","",IF(DW10&lt;&gt;"THERMAL",DW10,IF($GW40="","THERMAL - NOT SPECIFIED",$GW40)))</f>
        <v/>
      </c>
      <c r="DX40" s="54" t="str">
        <f>IF(DX10="","",IF(DX10&lt;&gt;"THERMAL",DX10,IF($GW40="","THERMAL - NOT SPECIFIED",$GW40)))</f>
        <v/>
      </c>
      <c r="DY40" s="54" t="str">
        <f>IF(DY10="","",IF(DY10&lt;&gt;"THERMAL",DY10,IF($GW40="","THERMAL - NOT SPECIFIED",$GW40)))</f>
        <v/>
      </c>
      <c r="DZ40" s="54" t="str">
        <f>IF(DZ10="","",IF(DZ10&lt;&gt;"THERMAL",DZ10,IF($GW40="","THERMAL - NOT SPECIFIED",$GW40)))</f>
        <v/>
      </c>
      <c r="EA40" s="54" t="str">
        <f>IF(EA10="","",IF(EA10&lt;&gt;"THERMAL",EA10,IF($GW40="","THERMAL - NOT SPECIFIED",$GW40)))</f>
        <v/>
      </c>
      <c r="EB40" s="54" t="str">
        <f>IF(EB10="","",IF(EB10&lt;&gt;"THERMAL",EB10,IF($GW40="","THERMAL - NOT SPECIFIED",$GW40)))</f>
        <v/>
      </c>
      <c r="EC40" s="54" t="str">
        <f>IF(EC10="","",IF(EC10&lt;&gt;"THERMAL",EC10,IF($GW40="","THERMAL - NOT SPECIFIED",$GW40)))</f>
        <v/>
      </c>
      <c r="ED40" s="54" t="str">
        <f>IF(ED10="","",IF(ED10&lt;&gt;"THERMAL",ED10,IF($GW40="","THERMAL - NOT SPECIFIED",$GW40)))</f>
        <v/>
      </c>
      <c r="EE40" s="54" t="str">
        <f>IF(EE10="","",IF(EE10&lt;&gt;"THERMAL",EE10,IF($GW40="","THERMAL - NOT SPECIFIED",$GW40)))</f>
        <v/>
      </c>
      <c r="EF40" s="54" t="str">
        <f>IF(EF10="","",IF(EF10&lt;&gt;"THERMAL",EF10,IF($GW40="","THERMAL - NOT SPECIFIED",$GW40)))</f>
        <v/>
      </c>
      <c r="EG40" s="54" t="str">
        <f>IF(EG10="","",IF(EG10&lt;&gt;"THERMAL",EG10,IF($GW40="","THERMAL - NOT SPECIFIED",$GW40)))</f>
        <v/>
      </c>
      <c r="EH40" s="54" t="str">
        <f>IF(EH10="","",IF(EH10&lt;&gt;"THERMAL",EH10,IF($GW40="","THERMAL - NOT SPECIFIED",$GW40)))</f>
        <v/>
      </c>
      <c r="EI40" s="54" t="str">
        <f>IF(EI10="","",IF(EI10&lt;&gt;"THERMAL",EI10,IF($GW40="","THERMAL - NOT SPECIFIED",$GW40)))</f>
        <v/>
      </c>
      <c r="EJ40" s="54" t="str">
        <f>IF(EJ10="","",IF(EJ10&lt;&gt;"THERMAL",EJ10,IF($GW40="","THERMAL - NOT SPECIFIED",$GW40)))</f>
        <v/>
      </c>
      <c r="EK40" s="54" t="str">
        <f>IF(EK10="","",IF(EK10&lt;&gt;"THERMAL",EK10,IF($GW40="","THERMAL - NOT SPECIFIED",$GW40)))</f>
        <v/>
      </c>
      <c r="EL40" s="54" t="str">
        <f>IF(EL10="","",IF(EL10&lt;&gt;"THERMAL",EL10,IF($GW40="","THERMAL - NOT SPECIFIED",$GW40)))</f>
        <v/>
      </c>
      <c r="EM40" s="54" t="str">
        <f>IF(EM10="","",IF(EM10&lt;&gt;"THERMAL",EM10,IF($GW40="","THERMAL - NOT SPECIFIED",$GW40)))</f>
        <v/>
      </c>
      <c r="EN40" s="54" t="str">
        <f>IF(EN10="","",IF(EN10&lt;&gt;"THERMAL",EN10,IF($GW40="","THERMAL - NOT SPECIFIED",$GW40)))</f>
        <v/>
      </c>
      <c r="EO40" s="54" t="str">
        <f>IF(EO10="","",IF(EO10&lt;&gt;"THERMAL",EO10,IF($GW40="","THERMAL - NOT SPECIFIED",$GW40)))</f>
        <v/>
      </c>
      <c r="EP40" s="54" t="str">
        <f>IF(EP10="","",IF(EP10&lt;&gt;"THERMAL",EP10,IF($GW40="","THERMAL - NOT SPECIFIED",$GW40)))</f>
        <v/>
      </c>
      <c r="EQ40" s="54" t="str">
        <f>IF(EQ10="","",IF(EQ10&lt;&gt;"THERMAL",EQ10,IF($GW40="","THERMAL - NOT SPECIFIED",$GW40)))</f>
        <v/>
      </c>
      <c r="ER40" s="54" t="str">
        <f>IF(ER10="","",IF(ER10&lt;&gt;"THERMAL",ER10,IF($GW40="","THERMAL - NOT SPECIFIED",$GW40)))</f>
        <v/>
      </c>
      <c r="ES40" s="54" t="str">
        <f>IF(ES10="","",IF(ES10&lt;&gt;"THERMAL",ES10,IF($GW40="","THERMAL - NOT SPECIFIED",$GW40)))</f>
        <v/>
      </c>
      <c r="ET40" s="54" t="str">
        <f>IF(ET10="","",IF(ET10&lt;&gt;"THERMAL",ET10,IF($GW40="","THERMAL - NOT SPECIFIED",$GW40)))</f>
        <v/>
      </c>
      <c r="EU40" s="54" t="str">
        <f>IF(EU10="","",IF(EU10&lt;&gt;"THERMAL",EU10,IF($GW40="","THERMAL - NOT SPECIFIED",$GW40)))</f>
        <v/>
      </c>
      <c r="EV40" s="54" t="str">
        <f>IF(EV10="","",IF(EV10&lt;&gt;"THERMAL",EV10,IF($GW40="","THERMAL - NOT SPECIFIED",$GW40)))</f>
        <v/>
      </c>
      <c r="EW40" s="54" t="str">
        <f>IF(EW10="","",IF(EW10&lt;&gt;"THERMAL",EW10,IF($GW40="","THERMAL - NOT SPECIFIED",$GW40)))</f>
        <v/>
      </c>
      <c r="EX40" s="54" t="str">
        <f>IF(EX10="","",IF(EX10&lt;&gt;"THERMAL",EX10,IF($GW40="","THERMAL - NOT SPECIFIED",$GW40)))</f>
        <v/>
      </c>
      <c r="EY40" s="54" t="str">
        <f>IF(EY10="","",IF(EY10&lt;&gt;"THERMAL",EY10,IF($GW40="","THERMAL - NOT SPECIFIED",$GW40)))</f>
        <v/>
      </c>
      <c r="EZ40" s="54" t="str">
        <f>IF(EZ10="","",IF(EZ10&lt;&gt;"THERMAL",EZ10,IF($GW40="","THERMAL - NOT SPECIFIED",$GW40)))</f>
        <v/>
      </c>
      <c r="FA40" s="54" t="str">
        <f>IF(FA10="","",IF(FA10&lt;&gt;"THERMAL",FA10,IF($GW40="","THERMAL - NOT SPECIFIED",$GW40)))</f>
        <v/>
      </c>
      <c r="FB40" s="54" t="str">
        <f>IF(FB10="","",IF(FB10&lt;&gt;"THERMAL",FB10,IF($GW40="","THERMAL - NOT SPECIFIED",$GW40)))</f>
        <v/>
      </c>
      <c r="FC40" s="54" t="str">
        <f>IF(FC10="","",IF(FC10&lt;&gt;"THERMAL",FC10,IF($GW40="","THERMAL - NOT SPECIFIED",$GW40)))</f>
        <v/>
      </c>
      <c r="FD40" s="54" t="str">
        <f>IF(FD10="","",IF(FD10&lt;&gt;"THERMAL",FD10,IF($GW40="","THERMAL - NOT SPECIFIED",$GW40)))</f>
        <v/>
      </c>
      <c r="FE40" s="54" t="str">
        <f>IF(FE10="","",IF(FE10&lt;&gt;"THERMAL",FE10,IF($GW40="","THERMAL - NOT SPECIFIED",$GW40)))</f>
        <v/>
      </c>
      <c r="FF40" s="54" t="str">
        <f>IF(FF10="","",IF(FF10&lt;&gt;"THERMAL",FF10,IF($GW40="","THERMAL - NOT SPECIFIED",$GW40)))</f>
        <v/>
      </c>
      <c r="FG40" s="54" t="str">
        <f>IF(FG10="","",IF(FG10&lt;&gt;"THERMAL",FG10,IF($GW40="","THERMAL - NOT SPECIFIED",$GW40)))</f>
        <v/>
      </c>
      <c r="FH40" s="54" t="str">
        <f>IF(FH10="","",IF(FH10&lt;&gt;"THERMAL",FH10,IF($GW40="","THERMAL - NOT SPECIFIED",$GW40)))</f>
        <v/>
      </c>
      <c r="FI40" s="54" t="str">
        <f>IF(FI10="","",IF(FI10&lt;&gt;"THERMAL",FI10,IF($GW40="","THERMAL - NOT SPECIFIED",$GW40)))</f>
        <v/>
      </c>
      <c r="FJ40" s="54" t="str">
        <f>IF(FJ10="","",IF(FJ10&lt;&gt;"THERMAL",FJ10,IF($GW40="","THERMAL - NOT SPECIFIED",$GW40)))</f>
        <v/>
      </c>
      <c r="FK40" s="54" t="str">
        <f>IF(FK10="","",IF(FK10&lt;&gt;"THERMAL",FK10,IF($GW40="","THERMAL - NOT SPECIFIED",$GW40)))</f>
        <v/>
      </c>
      <c r="FL40" s="54" t="str">
        <f>IF(FL10="","",IF(FL10&lt;&gt;"THERMAL",FL10,IF($GW40="","THERMAL - NOT SPECIFIED",$GW40)))</f>
        <v/>
      </c>
      <c r="FM40" s="54" t="str">
        <f>IF(FM10="","",IF(FM10&lt;&gt;"THERMAL",FM10,IF($GW40="","THERMAL - NOT SPECIFIED",$GW40)))</f>
        <v/>
      </c>
      <c r="FN40" s="54" t="str">
        <f>IF(FN10="","",IF(FN10&lt;&gt;"THERMAL",FN10,IF($GW40="","THERMAL - NOT SPECIFIED",$GW40)))</f>
        <v/>
      </c>
      <c r="FO40" s="54" t="str">
        <f>IF(FO10="","",IF(FO10&lt;&gt;"THERMAL",FO10,IF($GW40="","THERMAL - NOT SPECIFIED",$GW40)))</f>
        <v/>
      </c>
      <c r="FP40" s="54" t="str">
        <f>IF(FP10="","",IF(FP10&lt;&gt;"THERMAL",FP10,IF($GW40="","THERMAL - NOT SPECIFIED",$GW40)))</f>
        <v/>
      </c>
      <c r="FQ40" s="54" t="str">
        <f>IF(FQ10="","",IF(FQ10&lt;&gt;"THERMAL",FQ10,IF($GW40="","THERMAL - NOT SPECIFIED",$GW40)))</f>
        <v/>
      </c>
      <c r="FR40" s="54" t="str">
        <f>IF(FR10="","",IF(FR10&lt;&gt;"THERMAL",FR10,IF($GW40="","THERMAL - NOT SPECIFIED",$GW40)))</f>
        <v/>
      </c>
      <c r="FS40" s="54" t="str">
        <f>IF(FS10="","",IF(FS10&lt;&gt;"THERMAL",FS10,IF($GW40="","THERMAL - NOT SPECIFIED",$GW40)))</f>
        <v/>
      </c>
      <c r="FT40" s="54" t="str">
        <f>IF(FT10="","",IF(FT10&lt;&gt;"THERMAL",FT10,IF($GW40="","THERMAL - NOT SPECIFIED",$GW40)))</f>
        <v/>
      </c>
      <c r="FU40" s="54" t="str">
        <f>IF(FU10="","",IF(FU10&lt;&gt;"THERMAL",FU10,IF($GW40="","THERMAL - NOT SPECIFIED",$GW40)))</f>
        <v/>
      </c>
      <c r="FV40" s="54" t="str">
        <f>IF(FV10="","",IF(FV10&lt;&gt;"THERMAL",FV10,IF($GW40="","THERMAL - NOT SPECIFIED",$GW40)))</f>
        <v/>
      </c>
      <c r="FW40" s="54" t="str">
        <f>IF(FW10="","",IF(FW10&lt;&gt;"THERMAL",FW10,IF($GW40="","THERMAL - NOT SPECIFIED",$GW40)))</f>
        <v/>
      </c>
      <c r="FX40" s="54" t="str">
        <f>IF(FX10="","",IF(FX10&lt;&gt;"THERMAL",FX10,IF($GW40="","THERMAL - NOT SPECIFIED",$GW40)))</f>
        <v/>
      </c>
      <c r="FY40" s="54" t="str">
        <f>IF(FY10="","",IF(FY10&lt;&gt;"THERMAL",FY10,IF($GW40="","THERMAL - NOT SPECIFIED",$GW40)))</f>
        <v/>
      </c>
      <c r="FZ40" s="54" t="str">
        <f>IF(FZ10="","",IF(FZ10&lt;&gt;"THERMAL",FZ10,IF($GW40="","THERMAL - NOT SPECIFIED",$GW40)))</f>
        <v/>
      </c>
      <c r="GA40" s="54" t="str">
        <f>IF(GA10="","",IF(GA10&lt;&gt;"THERMAL",GA10,IF($GW40="","THERMAL - NOT SPECIFIED",$GW40)))</f>
        <v/>
      </c>
      <c r="GB40" s="54" t="str">
        <f>IF(GB10="","",IF(GB10&lt;&gt;"THERMAL",GB10,IF($GW40="","THERMAL - NOT SPECIFIED",$GW40)))</f>
        <v/>
      </c>
      <c r="GC40" s="54" t="str">
        <f>IF(GC10="","",IF(GC10&lt;&gt;"THERMAL",GC10,IF($GW40="","THERMAL - NOT SPECIFIED",$GW40)))</f>
        <v/>
      </c>
      <c r="GD40" s="54" t="str">
        <f>IF(GD10="","",IF(GD10&lt;&gt;"THERMAL",GD10,IF($GW40="","THERMAL - NOT SPECIFIED",$GW40)))</f>
        <v/>
      </c>
      <c r="GE40" s="54" t="str">
        <f>IF(GE10="","",IF(GE10&lt;&gt;"THERMAL",GE10,IF($GW40="","THERMAL - NOT SPECIFIED",$GW40)))</f>
        <v/>
      </c>
      <c r="GF40" s="54" t="str">
        <f>IF(GF10="","",IF(GF10&lt;&gt;"THERMAL",GF10,IF($GW40="","THERMAL - NOT SPECIFIED",$GW40)))</f>
        <v/>
      </c>
      <c r="GG40" s="54" t="str">
        <f>IF(GG10="","",IF(GG10&lt;&gt;"THERMAL",GG10,IF($GW40="","THERMAL - NOT SPECIFIED",$GW40)))</f>
        <v/>
      </c>
      <c r="GH40" s="54" t="str">
        <f>IF(GH10="","",IF(GH10&lt;&gt;"THERMAL",GH10,IF($GW40="","THERMAL - NOT SPECIFIED",$GW40)))</f>
        <v/>
      </c>
      <c r="GI40" s="54" t="str">
        <f>IF(GI10="","",IF(GI10&lt;&gt;"THERMAL",GI10,IF($GW40="","THERMAL - NOT SPECIFIED",$GW40)))</f>
        <v/>
      </c>
      <c r="GJ40" s="54" t="str">
        <f>IF(GJ10="","",IF(GJ10&lt;&gt;"THERMAL",GJ10,IF($GW40="","THERMAL - NOT SPECIFIED",$GW40)))</f>
        <v/>
      </c>
      <c r="GK40" s="54" t="str">
        <f>IF(GK10="","",IF(GK10&lt;&gt;"THERMAL",GK10,IF($GW40="","THERMAL - NOT SPECIFIED",$GW40)))</f>
        <v/>
      </c>
      <c r="GL40" s="54" t="str">
        <f>IF(GL10="","",IF(GL10&lt;&gt;"THERMAL",GL10,IF($GW40="","THERMAL - NOT SPECIFIED",$GW40)))</f>
        <v/>
      </c>
      <c r="GM40" s="54" t="str">
        <f>IF(GM10="","",IF(GM10&lt;&gt;"THERMAL",GM10,IF($GW40="","THERMAL - NOT SPECIFIED",$GW40)))</f>
        <v/>
      </c>
      <c r="GN40" s="54" t="str">
        <f>IF(GN10="","",IF(GN10&lt;&gt;"THERMAL",GN10,IF($GW40="","THERMAL - NOT SPECIFIED",$GW40)))</f>
        <v/>
      </c>
      <c r="GO40" s="54" t="str">
        <f>IF(GO10="","",IF(GO10&lt;&gt;"THERMAL",GO10,IF($GW40="","THERMAL - NOT SPECIFIED",$GW40)))</f>
        <v/>
      </c>
      <c r="GP40" s="54" t="str">
        <f>IF(GP10="","",IF(GP10&lt;&gt;"THERMAL",GP10,IF($GW40="","THERMAL - NOT SPECIFIED",$GW40)))</f>
        <v/>
      </c>
      <c r="GQ40" s="54" t="str">
        <f>IF(GQ10="","",IF(GQ10&lt;&gt;"THERMAL",GQ10,IF($GW40="","THERMAL - NOT SPECIFIED",$GW40)))</f>
        <v/>
      </c>
      <c r="GR40" s="54" t="str">
        <f>IF(GR10="","",IF(GR10&lt;&gt;"THERMAL",GR10,IF($GW40="","THERMAL - NOT SPECIFIED",$GW40)))</f>
        <v/>
      </c>
      <c r="GS40" s="54" t="str">
        <f>IF(GS10="","",IF(GS10&lt;&gt;"THERMAL",GS10,IF($GW40="","THERMAL - NOT SPECIFIED",$GW40)))</f>
        <v/>
      </c>
      <c r="GW40" s="55" t="str">
        <f>IF($GY40="","",IFERROR(INDEX('MC MAP'!$L$5:$L$28,MATCH($GY40,'MC MAP'!$K$5:$K$28,0)),$GY40))</f>
        <v/>
      </c>
      <c r="GY40" s="60"/>
      <c r="HA40" s="15"/>
      <c r="HE40" s="14" t="s">
        <v>26</v>
      </c>
    </row>
    <row r="41" spans="1:213">
      <c r="A41" s="2">
        <f>$A11</f>
        <v>6</v>
      </c>
      <c r="B41" s="54">
        <f>IF(B11="","",IF(B11&lt;&gt;"THERMAL",B11,IF($GW41="","THERMAL - NOT SPECIFIED",$GW41)))</f>
        <v>6820</v>
      </c>
      <c r="C41" s="54">
        <f>IF(C11="","",IF(C11&lt;&gt;"THERMAL",C11,IF($GW41="","THERMAL - NOT SPECIFIED",$GW41)))</f>
        <v>6820</v>
      </c>
      <c r="D41" s="54">
        <f>IF(D11="","",IF(D11&lt;&gt;"THERMAL",D11,IF($GW41="","THERMAL - NOT SPECIFIED",$GW41)))</f>
        <v>6820</v>
      </c>
      <c r="E41" s="54">
        <f>IF(E11="","",IF(E11&lt;&gt;"THERMAL",E11,IF($GW41="","THERMAL - NOT SPECIFIED",$GW41)))</f>
        <v>6820</v>
      </c>
      <c r="F41" s="54">
        <f>IF(F11="","",IF(F11&lt;&gt;"THERMAL",F11,IF($GW41="","THERMAL - NOT SPECIFIED",$GW41)))</f>
        <v>6820</v>
      </c>
      <c r="G41" s="54">
        <f>IF(G11="","",IF(G11&lt;&gt;"THERMAL",G11,IF($GW41="","THERMAL - NOT SPECIFIED",$GW41)))</f>
        <v>6820</v>
      </c>
      <c r="H41" s="54">
        <f>IF(H11="","",IF(H11&lt;&gt;"THERMAL",H11,IF($GW41="","THERMAL - NOT SPECIFIED",$GW41)))</f>
        <v>6820</v>
      </c>
      <c r="I41" s="54">
        <f>IF(I11="","",IF(I11&lt;&gt;"THERMAL",I11,IF($GW41="","THERMAL - NOT SPECIFIED",$GW41)))</f>
        <v>6820</v>
      </c>
      <c r="J41" s="54">
        <f>IF(J11="","",IF(J11&lt;&gt;"THERMAL",J11,IF($GW41="","THERMAL - NOT SPECIFIED",$GW41)))</f>
        <v>6820</v>
      </c>
      <c r="K41" s="54">
        <f>IF(K11="","",IF(K11&lt;&gt;"THERMAL",K11,IF($GW41="","THERMAL - NOT SPECIFIED",$GW41)))</f>
        <v>6820</v>
      </c>
      <c r="L41" s="54">
        <f>IF(L11="","",IF(L11&lt;&gt;"THERMAL",L11,IF($GW41="","THERMAL - NOT SPECIFIED",$GW41)))</f>
        <v>6820</v>
      </c>
      <c r="M41" s="54">
        <f>IF(M11="","",IF(M11&lt;&gt;"THERMAL",M11,IF($GW41="","THERMAL - NOT SPECIFIED",$GW41)))</f>
        <v>6820</v>
      </c>
      <c r="N41" s="54">
        <f>IF(N11="","",IF(N11&lt;&gt;"THERMAL",N11,IF($GW41="","THERMAL - NOT SPECIFIED",$GW41)))</f>
        <v>6820</v>
      </c>
      <c r="O41" s="54">
        <f>IF(O11="","",IF(O11&lt;&gt;"THERMAL",O11,IF($GW41="","THERMAL - NOT SPECIFIED",$GW41)))</f>
        <v>6820</v>
      </c>
      <c r="P41" s="54">
        <f>IF(P11="","",IF(P11&lt;&gt;"THERMAL",P11,IF($GW41="","THERMAL - NOT SPECIFIED",$GW41)))</f>
        <v>6820</v>
      </c>
      <c r="Q41" s="54">
        <f>IF(Q11="","",IF(Q11&lt;&gt;"THERMAL",Q11,IF($GW41="","THERMAL - NOT SPECIFIED",$GW41)))</f>
        <v>6820</v>
      </c>
      <c r="R41" s="54">
        <f>IF(R11="","",IF(R11&lt;&gt;"THERMAL",R11,IF($GW41="","THERMAL - NOT SPECIFIED",$GW41)))</f>
        <v>6820</v>
      </c>
      <c r="S41" s="54">
        <f>IF(S11="","",IF(S11&lt;&gt;"THERMAL",S11,IF($GW41="","THERMAL - NOT SPECIFIED",$GW41)))</f>
        <v>6820</v>
      </c>
      <c r="T41" s="54">
        <f>IF(T11="","",IF(T11&lt;&gt;"THERMAL",T11,IF($GW41="","THERMAL - NOT SPECIFIED",$GW41)))</f>
        <v>6820</v>
      </c>
      <c r="U41" s="54">
        <f>IF(U11="","",IF(U11&lt;&gt;"THERMAL",U11,IF($GW41="","THERMAL - NOT SPECIFIED",$GW41)))</f>
        <v>6820</v>
      </c>
      <c r="V41" s="54">
        <f>IF(V11="","",IF(V11&lt;&gt;"THERMAL",V11,IF($GW41="","THERMAL - NOT SPECIFIED",$GW41)))</f>
        <v>6820</v>
      </c>
      <c r="W41" s="54">
        <f>IF(W11="","",IF(W11&lt;&gt;"THERMAL",W11,IF($GW41="","THERMAL - NOT SPECIFIED",$GW41)))</f>
        <v>6820</v>
      </c>
      <c r="X41" s="54">
        <f>IF(X11="","",IF(X11&lt;&gt;"THERMAL",X11,IF($GW41="","THERMAL - NOT SPECIFIED",$GW41)))</f>
        <v>6820</v>
      </c>
      <c r="Y41" s="54">
        <f>IF(Y11="","",IF(Y11&lt;&gt;"THERMAL",Y11,IF($GW41="","THERMAL - NOT SPECIFIED",$GW41)))</f>
        <v>6820</v>
      </c>
      <c r="Z41" s="54">
        <f>IF(Z11="","",IF(Z11&lt;&gt;"THERMAL",Z11,IF($GW41="","THERMAL - NOT SPECIFIED",$GW41)))</f>
        <v>6820</v>
      </c>
      <c r="AA41" s="54">
        <f>IF(AA11="","",IF(AA11&lt;&gt;"THERMAL",AA11,IF($GW41="","THERMAL - NOT SPECIFIED",$GW41)))</f>
        <v>6820</v>
      </c>
      <c r="AB41" s="54">
        <f>IF(AB11="","",IF(AB11&lt;&gt;"THERMAL",AB11,IF($GW41="","THERMAL - NOT SPECIFIED",$GW41)))</f>
        <v>6820</v>
      </c>
      <c r="AC41" s="54">
        <f>IF(AC11="","",IF(AC11&lt;&gt;"THERMAL",AC11,IF($GW41="","THERMAL - NOT SPECIFIED",$GW41)))</f>
        <v>6820</v>
      </c>
      <c r="AD41" s="54">
        <f>IF(AD11="","",IF(AD11&lt;&gt;"THERMAL",AD11,IF($GW41="","THERMAL - NOT SPECIFIED",$GW41)))</f>
        <v>6820</v>
      </c>
      <c r="AE41" s="54">
        <f>IF(AE11="","",IF(AE11&lt;&gt;"THERMAL",AE11,IF($GW41="","THERMAL - NOT SPECIFIED",$GW41)))</f>
        <v>6820</v>
      </c>
      <c r="AF41" s="54">
        <f>IF(AF11="","",IF(AF11&lt;&gt;"THERMAL",AF11,IF($GW41="","THERMAL - NOT SPECIFIED",$GW41)))</f>
        <v>6820</v>
      </c>
      <c r="AG41" s="54">
        <f>IF(AG11="","",IF(AG11&lt;&gt;"THERMAL",AG11,IF($GW41="","THERMAL - NOT SPECIFIED",$GW41)))</f>
        <v>6820</v>
      </c>
      <c r="AH41" s="54">
        <f>IF(AH11="","",IF(AH11&lt;&gt;"THERMAL",AH11,IF($GW41="","THERMAL - NOT SPECIFIED",$GW41)))</f>
        <v>6820</v>
      </c>
      <c r="AI41" s="54">
        <f>IF(AI11="","",IF(AI11&lt;&gt;"THERMAL",AI11,IF($GW41="","THERMAL - NOT SPECIFIED",$GW41)))</f>
        <v>6820</v>
      </c>
      <c r="AJ41" s="54">
        <f>IF(AJ11="","",IF(AJ11&lt;&gt;"THERMAL",AJ11,IF($GW41="","THERMAL - NOT SPECIFIED",$GW41)))</f>
        <v>6820</v>
      </c>
      <c r="AK41" s="54">
        <f>IF(AK11="","",IF(AK11&lt;&gt;"THERMAL",AK11,IF($GW41="","THERMAL - NOT SPECIFIED",$GW41)))</f>
        <v>6820</v>
      </c>
      <c r="AL41" s="54">
        <f>IF(AL11="","",IF(AL11&lt;&gt;"THERMAL",AL11,IF($GW41="","THERMAL - NOT SPECIFIED",$GW41)))</f>
        <v>6820</v>
      </c>
      <c r="AM41" s="54">
        <f>IF(AM11="","",IF(AM11&lt;&gt;"THERMAL",AM11,IF($GW41="","THERMAL - NOT SPECIFIED",$GW41)))</f>
        <v>6820</v>
      </c>
      <c r="AN41" s="54">
        <f>IF(AN11="","",IF(AN11&lt;&gt;"THERMAL",AN11,IF($GW41="","THERMAL - NOT SPECIFIED",$GW41)))</f>
        <v>6820</v>
      </c>
      <c r="AO41" s="54">
        <f>IF(AO11="","",IF(AO11&lt;&gt;"THERMAL",AO11,IF($GW41="","THERMAL - NOT SPECIFIED",$GW41)))</f>
        <v>6820</v>
      </c>
      <c r="AP41" s="54">
        <f>IF(AP11="","",IF(AP11&lt;&gt;"THERMAL",AP11,IF($GW41="","THERMAL - NOT SPECIFIED",$GW41)))</f>
        <v>6820</v>
      </c>
      <c r="AQ41" s="54">
        <f>IF(AQ11="","",IF(AQ11&lt;&gt;"THERMAL",AQ11,IF($GW41="","THERMAL - NOT SPECIFIED",$GW41)))</f>
        <v>6820</v>
      </c>
      <c r="AR41" s="54">
        <f>IF(AR11="","",IF(AR11&lt;&gt;"THERMAL",AR11,IF($GW41="","THERMAL - NOT SPECIFIED",$GW41)))</f>
        <v>6820</v>
      </c>
      <c r="AS41" s="54">
        <f>IF(AS11="","",IF(AS11&lt;&gt;"THERMAL",AS11,IF($GW41="","THERMAL - NOT SPECIFIED",$GW41)))</f>
        <v>6820</v>
      </c>
      <c r="AT41" s="54">
        <f>IF(AT11="","",IF(AT11&lt;&gt;"THERMAL",AT11,IF($GW41="","THERMAL - NOT SPECIFIED",$GW41)))</f>
        <v>6820</v>
      </c>
      <c r="AU41" s="54">
        <f>IF(AU11="","",IF(AU11&lt;&gt;"THERMAL",AU11,IF($GW41="","THERMAL - NOT SPECIFIED",$GW41)))</f>
        <v>6820</v>
      </c>
      <c r="AV41" s="54">
        <f>IF(AV11="","",IF(AV11&lt;&gt;"THERMAL",AV11,IF($GW41="","THERMAL - NOT SPECIFIED",$GW41)))</f>
        <v>6820</v>
      </c>
      <c r="AW41" s="54">
        <f>IF(AW11="","",IF(AW11&lt;&gt;"THERMAL",AW11,IF($GW41="","THERMAL - NOT SPECIFIED",$GW41)))</f>
        <v>6820</v>
      </c>
      <c r="AX41" s="54">
        <f>IF(AX11="","",IF(AX11&lt;&gt;"THERMAL",AX11,IF($GW41="","THERMAL - NOT SPECIFIED",$GW41)))</f>
        <v>6820</v>
      </c>
      <c r="AY41" s="54">
        <f>IF(AY11="","",IF(AY11&lt;&gt;"THERMAL",AY11,IF($GW41="","THERMAL - NOT SPECIFIED",$GW41)))</f>
        <v>6820</v>
      </c>
      <c r="AZ41" s="54" t="str">
        <f>IF(AZ11="","",IF(AZ11&lt;&gt;"THERMAL",AZ11,IF($GW41="","THERMAL - NOT SPECIFIED",$GW41)))</f>
        <v>VACCANT</v>
      </c>
      <c r="BA41" s="54" t="str">
        <f>IF(BA11="","",IF(BA11&lt;&gt;"THERMAL",BA11,IF($GW41="","THERMAL - NOT SPECIFIED",$GW41)))</f>
        <v/>
      </c>
      <c r="BB41" s="54" t="str">
        <f>IF(BB11="","",IF(BB11&lt;&gt;"THERMAL",BB11,IF($GW41="","THERMAL - NOT SPECIFIED",$GW41)))</f>
        <v/>
      </c>
      <c r="BC41" s="54" t="str">
        <f>IF(BC11="","",IF(BC11&lt;&gt;"THERMAL",BC11,IF($GW41="","THERMAL - NOT SPECIFIED",$GW41)))</f>
        <v/>
      </c>
      <c r="BD41" s="54" t="str">
        <f>IF(BD11="","",IF(BD11&lt;&gt;"THERMAL",BD11,IF($GW41="","THERMAL - NOT SPECIFIED",$GW41)))</f>
        <v/>
      </c>
      <c r="BE41" s="54" t="str">
        <f>IF(BE11="","",IF(BE11&lt;&gt;"THERMAL",BE11,IF($GW41="","THERMAL - NOT SPECIFIED",$GW41)))</f>
        <v/>
      </c>
      <c r="BF41" s="54" t="str">
        <f>IF(BF11="","",IF(BF11&lt;&gt;"THERMAL",BF11,IF($GW41="","THERMAL - NOT SPECIFIED",$GW41)))</f>
        <v/>
      </c>
      <c r="BG41" s="54" t="str">
        <f>IF(BG11="","",IF(BG11&lt;&gt;"THERMAL",BG11,IF($GW41="","THERMAL - NOT SPECIFIED",$GW41)))</f>
        <v/>
      </c>
      <c r="BH41" s="54" t="str">
        <f>IF(BH11="","",IF(BH11&lt;&gt;"THERMAL",BH11,IF($GW41="","THERMAL - NOT SPECIFIED",$GW41)))</f>
        <v/>
      </c>
      <c r="BI41" s="54" t="str">
        <f>IF(BI11="","",IF(BI11&lt;&gt;"THERMAL",BI11,IF($GW41="","THERMAL - NOT SPECIFIED",$GW41)))</f>
        <v/>
      </c>
      <c r="BJ41" s="54" t="str">
        <f>IF(BJ11="","",IF(BJ11&lt;&gt;"THERMAL",BJ11,IF($GW41="","THERMAL - NOT SPECIFIED",$GW41)))</f>
        <v/>
      </c>
      <c r="BK41" s="54" t="str">
        <f>IF(BK11="","",IF(BK11&lt;&gt;"THERMAL",BK11,IF($GW41="","THERMAL - NOT SPECIFIED",$GW41)))</f>
        <v/>
      </c>
      <c r="BL41" s="54" t="str">
        <f>IF(BL11="","",IF(BL11&lt;&gt;"THERMAL",BL11,IF($GW41="","THERMAL - NOT SPECIFIED",$GW41)))</f>
        <v/>
      </c>
      <c r="BM41" s="54" t="str">
        <f>IF(BM11="","",IF(BM11&lt;&gt;"THERMAL",BM11,IF($GW41="","THERMAL - NOT SPECIFIED",$GW41)))</f>
        <v/>
      </c>
      <c r="BN41" s="54" t="str">
        <f>IF(BN11="","",IF(BN11&lt;&gt;"THERMAL",BN11,IF($GW41="","THERMAL - NOT SPECIFIED",$GW41)))</f>
        <v/>
      </c>
      <c r="BO41" s="54" t="str">
        <f>IF(BO11="","",IF(BO11&lt;&gt;"THERMAL",BO11,IF($GW41="","THERMAL - NOT SPECIFIED",$GW41)))</f>
        <v/>
      </c>
      <c r="BP41" s="54" t="str">
        <f>IF(BP11="","",IF(BP11&lt;&gt;"THERMAL",BP11,IF($GW41="","THERMAL - NOT SPECIFIED",$GW41)))</f>
        <v/>
      </c>
      <c r="BQ41" s="54" t="str">
        <f>IF(BQ11="","",IF(BQ11&lt;&gt;"THERMAL",BQ11,IF($GW41="","THERMAL - NOT SPECIFIED",$GW41)))</f>
        <v/>
      </c>
      <c r="BR41" s="54" t="str">
        <f>IF(BR11="","",IF(BR11&lt;&gt;"THERMAL",BR11,IF($GW41="","THERMAL - NOT SPECIFIED",$GW41)))</f>
        <v/>
      </c>
      <c r="BS41" s="54" t="str">
        <f>IF(BS11="","",IF(BS11&lt;&gt;"THERMAL",BS11,IF($GW41="","THERMAL - NOT SPECIFIED",$GW41)))</f>
        <v/>
      </c>
      <c r="BT41" s="54" t="str">
        <f>IF(BT11="","",IF(BT11&lt;&gt;"THERMAL",BT11,IF($GW41="","THERMAL - NOT SPECIFIED",$GW41)))</f>
        <v/>
      </c>
      <c r="BU41" s="54" t="str">
        <f>IF(BU11="","",IF(BU11&lt;&gt;"THERMAL",BU11,IF($GW41="","THERMAL - NOT SPECIFIED",$GW41)))</f>
        <v/>
      </c>
      <c r="BV41" s="54" t="str">
        <f>IF(BV11="","",IF(BV11&lt;&gt;"THERMAL",BV11,IF($GW41="","THERMAL - NOT SPECIFIED",$GW41)))</f>
        <v/>
      </c>
      <c r="BW41" s="54" t="str">
        <f>IF(BW11="","",IF(BW11&lt;&gt;"THERMAL",BW11,IF($GW41="","THERMAL - NOT SPECIFIED",$GW41)))</f>
        <v/>
      </c>
      <c r="BX41" s="54" t="str">
        <f>IF(BX11="","",IF(BX11&lt;&gt;"THERMAL",BX11,IF($GW41="","THERMAL - NOT SPECIFIED",$GW41)))</f>
        <v/>
      </c>
      <c r="BY41" s="54" t="str">
        <f>IF(BY11="","",IF(BY11&lt;&gt;"THERMAL",BY11,IF($GW41="","THERMAL - NOT SPECIFIED",$GW41)))</f>
        <v/>
      </c>
      <c r="BZ41" s="54" t="str">
        <f>IF(BZ11="","",IF(BZ11&lt;&gt;"THERMAL",BZ11,IF($GW41="","THERMAL - NOT SPECIFIED",$GW41)))</f>
        <v/>
      </c>
      <c r="CA41" s="54" t="str">
        <f>IF(CA11="","",IF(CA11&lt;&gt;"THERMAL",CA11,IF($GW41="","THERMAL - NOT SPECIFIED",$GW41)))</f>
        <v/>
      </c>
      <c r="CB41" s="54" t="str">
        <f>IF(CB11="","",IF(CB11&lt;&gt;"THERMAL",CB11,IF($GW41="","THERMAL - NOT SPECIFIED",$GW41)))</f>
        <v/>
      </c>
      <c r="CC41" s="54" t="str">
        <f>IF(CC11="","",IF(CC11&lt;&gt;"THERMAL",CC11,IF($GW41="","THERMAL - NOT SPECIFIED",$GW41)))</f>
        <v/>
      </c>
      <c r="CD41" s="54" t="str">
        <f>IF(CD11="","",IF(CD11&lt;&gt;"THERMAL",CD11,IF($GW41="","THERMAL - NOT SPECIFIED",$GW41)))</f>
        <v/>
      </c>
      <c r="CE41" s="54" t="str">
        <f>IF(CE11="","",IF(CE11&lt;&gt;"THERMAL",CE11,IF($GW41="","THERMAL - NOT SPECIFIED",$GW41)))</f>
        <v/>
      </c>
      <c r="CF41" s="54" t="str">
        <f>IF(CF11="","",IF(CF11&lt;&gt;"THERMAL",CF11,IF($GW41="","THERMAL - NOT SPECIFIED",$GW41)))</f>
        <v/>
      </c>
      <c r="CG41" s="54" t="str">
        <f>IF(CG11="","",IF(CG11&lt;&gt;"THERMAL",CG11,IF($GW41="","THERMAL - NOT SPECIFIED",$GW41)))</f>
        <v/>
      </c>
      <c r="CH41" s="54" t="str">
        <f>IF(CH11="","",IF(CH11&lt;&gt;"THERMAL",CH11,IF($GW41="","THERMAL - NOT SPECIFIED",$GW41)))</f>
        <v/>
      </c>
      <c r="CI41" s="54" t="str">
        <f>IF(CI11="","",IF(CI11&lt;&gt;"THERMAL",CI11,IF($GW41="","THERMAL - NOT SPECIFIED",$GW41)))</f>
        <v/>
      </c>
      <c r="CJ41" s="54" t="str">
        <f>IF(CJ11="","",IF(CJ11&lt;&gt;"THERMAL",CJ11,IF($GW41="","THERMAL - NOT SPECIFIED",$GW41)))</f>
        <v/>
      </c>
      <c r="CK41" s="54" t="str">
        <f>IF(CK11="","",IF(CK11&lt;&gt;"THERMAL",CK11,IF($GW41="","THERMAL - NOT SPECIFIED",$GW41)))</f>
        <v/>
      </c>
      <c r="CL41" s="54" t="str">
        <f>IF(CL11="","",IF(CL11&lt;&gt;"THERMAL",CL11,IF($GW41="","THERMAL - NOT SPECIFIED",$GW41)))</f>
        <v/>
      </c>
      <c r="CM41" s="54" t="str">
        <f>IF(CM11="","",IF(CM11&lt;&gt;"THERMAL",CM11,IF($GW41="","THERMAL - NOT SPECIFIED",$GW41)))</f>
        <v/>
      </c>
      <c r="CN41" s="54" t="str">
        <f>IF(CN11="","",IF(CN11&lt;&gt;"THERMAL",CN11,IF($GW41="","THERMAL - NOT SPECIFIED",$GW41)))</f>
        <v/>
      </c>
      <c r="CO41" s="54" t="str">
        <f>IF(CO11="","",IF(CO11&lt;&gt;"THERMAL",CO11,IF($GW41="","THERMAL - NOT SPECIFIED",$GW41)))</f>
        <v/>
      </c>
      <c r="CP41" s="54" t="str">
        <f>IF(CP11="","",IF(CP11&lt;&gt;"THERMAL",CP11,IF($GW41="","THERMAL - NOT SPECIFIED",$GW41)))</f>
        <v/>
      </c>
      <c r="CQ41" s="54" t="str">
        <f>IF(CQ11="","",IF(CQ11&lt;&gt;"THERMAL",CQ11,IF($GW41="","THERMAL - NOT SPECIFIED",$GW41)))</f>
        <v/>
      </c>
      <c r="CR41" s="54" t="str">
        <f>IF(CR11="","",IF(CR11&lt;&gt;"THERMAL",CR11,IF($GW41="","THERMAL - NOT SPECIFIED",$GW41)))</f>
        <v/>
      </c>
      <c r="CS41" s="54" t="str">
        <f>IF(CS11="","",IF(CS11&lt;&gt;"THERMAL",CS11,IF($GW41="","THERMAL - NOT SPECIFIED",$GW41)))</f>
        <v/>
      </c>
      <c r="CT41" s="54" t="str">
        <f>IF(CT11="","",IF(CT11&lt;&gt;"THERMAL",CT11,IF($GW41="","THERMAL - NOT SPECIFIED",$GW41)))</f>
        <v/>
      </c>
      <c r="CU41" s="54" t="str">
        <f>IF(CU11="","",IF(CU11&lt;&gt;"THERMAL",CU11,IF($GW41="","THERMAL - NOT SPECIFIED",$GW41)))</f>
        <v/>
      </c>
      <c r="CV41" s="54" t="str">
        <f>IF(CV11="","",IF(CV11&lt;&gt;"THERMAL",CV11,IF($GW41="","THERMAL - NOT SPECIFIED",$GW41)))</f>
        <v/>
      </c>
      <c r="CW41" s="54" t="str">
        <f>IF(CW11="","",IF(CW11&lt;&gt;"THERMAL",CW11,IF($GW41="","THERMAL - NOT SPECIFIED",$GW41)))</f>
        <v/>
      </c>
      <c r="CX41" s="54" t="str">
        <f>IF(CX11="","",IF(CX11&lt;&gt;"THERMAL",CX11,IF($GW41="","THERMAL - NOT SPECIFIED",$GW41)))</f>
        <v/>
      </c>
      <c r="CY41" s="54" t="str">
        <f>IF(CY11="","",IF(CY11&lt;&gt;"THERMAL",CY11,IF($GW41="","THERMAL - NOT SPECIFIED",$GW41)))</f>
        <v/>
      </c>
      <c r="CZ41" s="54" t="str">
        <f>IF(CZ11="","",IF(CZ11&lt;&gt;"THERMAL",CZ11,IF($GW41="","THERMAL - NOT SPECIFIED",$GW41)))</f>
        <v/>
      </c>
      <c r="DA41" s="54" t="str">
        <f>IF(DA11="","",IF(DA11&lt;&gt;"THERMAL",DA11,IF($GW41="","THERMAL - NOT SPECIFIED",$GW41)))</f>
        <v/>
      </c>
      <c r="DB41" s="54" t="str">
        <f>IF(DB11="","",IF(DB11&lt;&gt;"THERMAL",DB11,IF($GW41="","THERMAL - NOT SPECIFIED",$GW41)))</f>
        <v/>
      </c>
      <c r="DC41" s="54" t="str">
        <f>IF(DC11="","",IF(DC11&lt;&gt;"THERMAL",DC11,IF($GW41="","THERMAL - NOT SPECIFIED",$GW41)))</f>
        <v/>
      </c>
      <c r="DD41" s="54" t="str">
        <f>IF(DD11="","",IF(DD11&lt;&gt;"THERMAL",DD11,IF($GW41="","THERMAL - NOT SPECIFIED",$GW41)))</f>
        <v/>
      </c>
      <c r="DE41" s="54" t="str">
        <f>IF(DE11="","",IF(DE11&lt;&gt;"THERMAL",DE11,IF($GW41="","THERMAL - NOT SPECIFIED",$GW41)))</f>
        <v/>
      </c>
      <c r="DF41" s="54" t="str">
        <f>IF(DF11="","",IF(DF11&lt;&gt;"THERMAL",DF11,IF($GW41="","THERMAL - NOT SPECIFIED",$GW41)))</f>
        <v/>
      </c>
      <c r="DG41" s="54" t="str">
        <f>IF(DG11="","",IF(DG11&lt;&gt;"THERMAL",DG11,IF($GW41="","THERMAL - NOT SPECIFIED",$GW41)))</f>
        <v/>
      </c>
      <c r="DH41" s="54" t="str">
        <f>IF(DH11="","",IF(DH11&lt;&gt;"THERMAL",DH11,IF($GW41="","THERMAL - NOT SPECIFIED",$GW41)))</f>
        <v/>
      </c>
      <c r="DI41" s="54" t="str">
        <f>IF(DI11="","",IF(DI11&lt;&gt;"THERMAL",DI11,IF($GW41="","THERMAL - NOT SPECIFIED",$GW41)))</f>
        <v/>
      </c>
      <c r="DJ41" s="54" t="str">
        <f>IF(DJ11="","",IF(DJ11&lt;&gt;"THERMAL",DJ11,IF($GW41="","THERMAL - NOT SPECIFIED",$GW41)))</f>
        <v/>
      </c>
      <c r="DK41" s="54" t="str">
        <f>IF(DK11="","",IF(DK11&lt;&gt;"THERMAL",DK11,IF($GW41="","THERMAL - NOT SPECIFIED",$GW41)))</f>
        <v/>
      </c>
      <c r="DL41" s="54" t="str">
        <f>IF(DL11="","",IF(DL11&lt;&gt;"THERMAL",DL11,IF($GW41="","THERMAL - NOT SPECIFIED",$GW41)))</f>
        <v/>
      </c>
      <c r="DM41" s="54" t="str">
        <f>IF(DM11="","",IF(DM11&lt;&gt;"THERMAL",DM11,IF($GW41="","THERMAL - NOT SPECIFIED",$GW41)))</f>
        <v/>
      </c>
      <c r="DN41" s="54" t="str">
        <f>IF(DN11="","",IF(DN11&lt;&gt;"THERMAL",DN11,IF($GW41="","THERMAL - NOT SPECIFIED",$GW41)))</f>
        <v/>
      </c>
      <c r="DO41" s="54" t="str">
        <f>IF(DO11="","",IF(DO11&lt;&gt;"THERMAL",DO11,IF($GW41="","THERMAL - NOT SPECIFIED",$GW41)))</f>
        <v/>
      </c>
      <c r="DP41" s="54" t="str">
        <f>IF(DP11="","",IF(DP11&lt;&gt;"THERMAL",DP11,IF($GW41="","THERMAL - NOT SPECIFIED",$GW41)))</f>
        <v/>
      </c>
      <c r="DQ41" s="54" t="str">
        <f>IF(DQ11="","",IF(DQ11&lt;&gt;"THERMAL",DQ11,IF($GW41="","THERMAL - NOT SPECIFIED",$GW41)))</f>
        <v/>
      </c>
      <c r="DR41" s="54" t="str">
        <f>IF(DR11="","",IF(DR11&lt;&gt;"THERMAL",DR11,IF($GW41="","THERMAL - NOT SPECIFIED",$GW41)))</f>
        <v/>
      </c>
      <c r="DS41" s="54" t="str">
        <f>IF(DS11="","",IF(DS11&lt;&gt;"THERMAL",DS11,IF($GW41="","THERMAL - NOT SPECIFIED",$GW41)))</f>
        <v/>
      </c>
      <c r="DT41" s="54" t="str">
        <f>IF(DT11="","",IF(DT11&lt;&gt;"THERMAL",DT11,IF($GW41="","THERMAL - NOT SPECIFIED",$GW41)))</f>
        <v/>
      </c>
      <c r="DU41" s="54" t="str">
        <f>IF(DU11="","",IF(DU11&lt;&gt;"THERMAL",DU11,IF($GW41="","THERMAL - NOT SPECIFIED",$GW41)))</f>
        <v/>
      </c>
      <c r="DV41" s="54" t="str">
        <f>IF(DV11="","",IF(DV11&lt;&gt;"THERMAL",DV11,IF($GW41="","THERMAL - NOT SPECIFIED",$GW41)))</f>
        <v/>
      </c>
      <c r="DW41" s="54" t="str">
        <f>IF(DW11="","",IF(DW11&lt;&gt;"THERMAL",DW11,IF($GW41="","THERMAL - NOT SPECIFIED",$GW41)))</f>
        <v/>
      </c>
      <c r="DX41" s="54" t="str">
        <f>IF(DX11="","",IF(DX11&lt;&gt;"THERMAL",DX11,IF($GW41="","THERMAL - NOT SPECIFIED",$GW41)))</f>
        <v/>
      </c>
      <c r="DY41" s="54" t="str">
        <f>IF(DY11="","",IF(DY11&lt;&gt;"THERMAL",DY11,IF($GW41="","THERMAL - NOT SPECIFIED",$GW41)))</f>
        <v/>
      </c>
      <c r="DZ41" s="54" t="str">
        <f>IF(DZ11="","",IF(DZ11&lt;&gt;"THERMAL",DZ11,IF($GW41="","THERMAL - NOT SPECIFIED",$GW41)))</f>
        <v/>
      </c>
      <c r="EA41" s="54" t="str">
        <f>IF(EA11="","",IF(EA11&lt;&gt;"THERMAL",EA11,IF($GW41="","THERMAL - NOT SPECIFIED",$GW41)))</f>
        <v/>
      </c>
      <c r="EB41" s="54" t="str">
        <f>IF(EB11="","",IF(EB11&lt;&gt;"THERMAL",EB11,IF($GW41="","THERMAL - NOT SPECIFIED",$GW41)))</f>
        <v/>
      </c>
      <c r="EC41" s="54" t="str">
        <f>IF(EC11="","",IF(EC11&lt;&gt;"THERMAL",EC11,IF($GW41="","THERMAL - NOT SPECIFIED",$GW41)))</f>
        <v/>
      </c>
      <c r="ED41" s="54" t="str">
        <f>IF(ED11="","",IF(ED11&lt;&gt;"THERMAL",ED11,IF($GW41="","THERMAL - NOT SPECIFIED",$GW41)))</f>
        <v/>
      </c>
      <c r="EE41" s="54" t="str">
        <f>IF(EE11="","",IF(EE11&lt;&gt;"THERMAL",EE11,IF($GW41="","THERMAL - NOT SPECIFIED",$GW41)))</f>
        <v/>
      </c>
      <c r="EF41" s="54" t="str">
        <f>IF(EF11="","",IF(EF11&lt;&gt;"THERMAL",EF11,IF($GW41="","THERMAL - NOT SPECIFIED",$GW41)))</f>
        <v/>
      </c>
      <c r="EG41" s="54" t="str">
        <f>IF(EG11="","",IF(EG11&lt;&gt;"THERMAL",EG11,IF($GW41="","THERMAL - NOT SPECIFIED",$GW41)))</f>
        <v/>
      </c>
      <c r="EH41" s="54" t="str">
        <f>IF(EH11="","",IF(EH11&lt;&gt;"THERMAL",EH11,IF($GW41="","THERMAL - NOT SPECIFIED",$GW41)))</f>
        <v/>
      </c>
      <c r="EI41" s="54" t="str">
        <f>IF(EI11="","",IF(EI11&lt;&gt;"THERMAL",EI11,IF($GW41="","THERMAL - NOT SPECIFIED",$GW41)))</f>
        <v/>
      </c>
      <c r="EJ41" s="54" t="str">
        <f>IF(EJ11="","",IF(EJ11&lt;&gt;"THERMAL",EJ11,IF($GW41="","THERMAL - NOT SPECIFIED",$GW41)))</f>
        <v/>
      </c>
      <c r="EK41" s="54" t="str">
        <f>IF(EK11="","",IF(EK11&lt;&gt;"THERMAL",EK11,IF($GW41="","THERMAL - NOT SPECIFIED",$GW41)))</f>
        <v/>
      </c>
      <c r="EL41" s="54" t="str">
        <f>IF(EL11="","",IF(EL11&lt;&gt;"THERMAL",EL11,IF($GW41="","THERMAL - NOT SPECIFIED",$GW41)))</f>
        <v/>
      </c>
      <c r="EM41" s="54" t="str">
        <f>IF(EM11="","",IF(EM11&lt;&gt;"THERMAL",EM11,IF($GW41="","THERMAL - NOT SPECIFIED",$GW41)))</f>
        <v/>
      </c>
      <c r="EN41" s="54" t="str">
        <f>IF(EN11="","",IF(EN11&lt;&gt;"THERMAL",EN11,IF($GW41="","THERMAL - NOT SPECIFIED",$GW41)))</f>
        <v/>
      </c>
      <c r="EO41" s="54" t="str">
        <f>IF(EO11="","",IF(EO11&lt;&gt;"THERMAL",EO11,IF($GW41="","THERMAL - NOT SPECIFIED",$GW41)))</f>
        <v/>
      </c>
      <c r="EP41" s="54" t="str">
        <f>IF(EP11="","",IF(EP11&lt;&gt;"THERMAL",EP11,IF($GW41="","THERMAL - NOT SPECIFIED",$GW41)))</f>
        <v/>
      </c>
      <c r="EQ41" s="54" t="str">
        <f>IF(EQ11="","",IF(EQ11&lt;&gt;"THERMAL",EQ11,IF($GW41="","THERMAL - NOT SPECIFIED",$GW41)))</f>
        <v/>
      </c>
      <c r="ER41" s="54" t="str">
        <f>IF(ER11="","",IF(ER11&lt;&gt;"THERMAL",ER11,IF($GW41="","THERMAL - NOT SPECIFIED",$GW41)))</f>
        <v/>
      </c>
      <c r="ES41" s="54" t="str">
        <f>IF(ES11="","",IF(ES11&lt;&gt;"THERMAL",ES11,IF($GW41="","THERMAL - NOT SPECIFIED",$GW41)))</f>
        <v/>
      </c>
      <c r="ET41" s="54" t="str">
        <f>IF(ET11="","",IF(ET11&lt;&gt;"THERMAL",ET11,IF($GW41="","THERMAL - NOT SPECIFIED",$GW41)))</f>
        <v/>
      </c>
      <c r="EU41" s="54" t="str">
        <f>IF(EU11="","",IF(EU11&lt;&gt;"THERMAL",EU11,IF($GW41="","THERMAL - NOT SPECIFIED",$GW41)))</f>
        <v/>
      </c>
      <c r="EV41" s="54" t="str">
        <f>IF(EV11="","",IF(EV11&lt;&gt;"THERMAL",EV11,IF($GW41="","THERMAL - NOT SPECIFIED",$GW41)))</f>
        <v/>
      </c>
      <c r="EW41" s="54" t="str">
        <f>IF(EW11="","",IF(EW11&lt;&gt;"THERMAL",EW11,IF($GW41="","THERMAL - NOT SPECIFIED",$GW41)))</f>
        <v/>
      </c>
      <c r="EX41" s="54" t="str">
        <f>IF(EX11="","",IF(EX11&lt;&gt;"THERMAL",EX11,IF($GW41="","THERMAL - NOT SPECIFIED",$GW41)))</f>
        <v/>
      </c>
      <c r="EY41" s="54" t="str">
        <f>IF(EY11="","",IF(EY11&lt;&gt;"THERMAL",EY11,IF($GW41="","THERMAL - NOT SPECIFIED",$GW41)))</f>
        <v/>
      </c>
      <c r="EZ41" s="54" t="str">
        <f>IF(EZ11="","",IF(EZ11&lt;&gt;"THERMAL",EZ11,IF($GW41="","THERMAL - NOT SPECIFIED",$GW41)))</f>
        <v/>
      </c>
      <c r="FA41" s="54" t="str">
        <f>IF(FA11="","",IF(FA11&lt;&gt;"THERMAL",FA11,IF($GW41="","THERMAL - NOT SPECIFIED",$GW41)))</f>
        <v/>
      </c>
      <c r="FB41" s="54" t="str">
        <f>IF(FB11="","",IF(FB11&lt;&gt;"THERMAL",FB11,IF($GW41="","THERMAL - NOT SPECIFIED",$GW41)))</f>
        <v/>
      </c>
      <c r="FC41" s="54" t="str">
        <f>IF(FC11="","",IF(FC11&lt;&gt;"THERMAL",FC11,IF($GW41="","THERMAL - NOT SPECIFIED",$GW41)))</f>
        <v/>
      </c>
      <c r="FD41" s="54" t="str">
        <f>IF(FD11="","",IF(FD11&lt;&gt;"THERMAL",FD11,IF($GW41="","THERMAL - NOT SPECIFIED",$GW41)))</f>
        <v/>
      </c>
      <c r="FE41" s="54" t="str">
        <f>IF(FE11="","",IF(FE11&lt;&gt;"THERMAL",FE11,IF($GW41="","THERMAL - NOT SPECIFIED",$GW41)))</f>
        <v/>
      </c>
      <c r="FF41" s="54" t="str">
        <f>IF(FF11="","",IF(FF11&lt;&gt;"THERMAL",FF11,IF($GW41="","THERMAL - NOT SPECIFIED",$GW41)))</f>
        <v/>
      </c>
      <c r="FG41" s="54" t="str">
        <f>IF(FG11="","",IF(FG11&lt;&gt;"THERMAL",FG11,IF($GW41="","THERMAL - NOT SPECIFIED",$GW41)))</f>
        <v/>
      </c>
      <c r="FH41" s="54" t="str">
        <f>IF(FH11="","",IF(FH11&lt;&gt;"THERMAL",FH11,IF($GW41="","THERMAL - NOT SPECIFIED",$GW41)))</f>
        <v/>
      </c>
      <c r="FI41" s="54" t="str">
        <f>IF(FI11="","",IF(FI11&lt;&gt;"THERMAL",FI11,IF($GW41="","THERMAL - NOT SPECIFIED",$GW41)))</f>
        <v/>
      </c>
      <c r="FJ41" s="54" t="str">
        <f>IF(FJ11="","",IF(FJ11&lt;&gt;"THERMAL",FJ11,IF($GW41="","THERMAL - NOT SPECIFIED",$GW41)))</f>
        <v/>
      </c>
      <c r="FK41" s="54" t="str">
        <f>IF(FK11="","",IF(FK11&lt;&gt;"THERMAL",FK11,IF($GW41="","THERMAL - NOT SPECIFIED",$GW41)))</f>
        <v/>
      </c>
      <c r="FL41" s="54" t="str">
        <f>IF(FL11="","",IF(FL11&lt;&gt;"THERMAL",FL11,IF($GW41="","THERMAL - NOT SPECIFIED",$GW41)))</f>
        <v/>
      </c>
      <c r="FM41" s="54" t="str">
        <f>IF(FM11="","",IF(FM11&lt;&gt;"THERMAL",FM11,IF($GW41="","THERMAL - NOT SPECIFIED",$GW41)))</f>
        <v/>
      </c>
      <c r="FN41" s="54" t="str">
        <f>IF(FN11="","",IF(FN11&lt;&gt;"THERMAL",FN11,IF($GW41="","THERMAL - NOT SPECIFIED",$GW41)))</f>
        <v/>
      </c>
      <c r="FO41" s="54" t="str">
        <f>IF(FO11="","",IF(FO11&lt;&gt;"THERMAL",FO11,IF($GW41="","THERMAL - NOT SPECIFIED",$GW41)))</f>
        <v/>
      </c>
      <c r="FP41" s="54" t="str">
        <f>IF(FP11="","",IF(FP11&lt;&gt;"THERMAL",FP11,IF($GW41="","THERMAL - NOT SPECIFIED",$GW41)))</f>
        <v/>
      </c>
      <c r="FQ41" s="54" t="str">
        <f>IF(FQ11="","",IF(FQ11&lt;&gt;"THERMAL",FQ11,IF($GW41="","THERMAL - NOT SPECIFIED",$GW41)))</f>
        <v/>
      </c>
      <c r="FR41" s="54" t="str">
        <f>IF(FR11="","",IF(FR11&lt;&gt;"THERMAL",FR11,IF($GW41="","THERMAL - NOT SPECIFIED",$GW41)))</f>
        <v/>
      </c>
      <c r="FS41" s="54" t="str">
        <f>IF(FS11="","",IF(FS11&lt;&gt;"THERMAL",FS11,IF($GW41="","THERMAL - NOT SPECIFIED",$GW41)))</f>
        <v/>
      </c>
      <c r="FT41" s="54" t="str">
        <f>IF(FT11="","",IF(FT11&lt;&gt;"THERMAL",FT11,IF($GW41="","THERMAL - NOT SPECIFIED",$GW41)))</f>
        <v/>
      </c>
      <c r="FU41" s="54" t="str">
        <f>IF(FU11="","",IF(FU11&lt;&gt;"THERMAL",FU11,IF($GW41="","THERMAL - NOT SPECIFIED",$GW41)))</f>
        <v/>
      </c>
      <c r="FV41" s="54" t="str">
        <f>IF(FV11="","",IF(FV11&lt;&gt;"THERMAL",FV11,IF($GW41="","THERMAL - NOT SPECIFIED",$GW41)))</f>
        <v/>
      </c>
      <c r="FW41" s="54" t="str">
        <f>IF(FW11="","",IF(FW11&lt;&gt;"THERMAL",FW11,IF($GW41="","THERMAL - NOT SPECIFIED",$GW41)))</f>
        <v/>
      </c>
      <c r="FX41" s="54" t="str">
        <f>IF(FX11="","",IF(FX11&lt;&gt;"THERMAL",FX11,IF($GW41="","THERMAL - NOT SPECIFIED",$GW41)))</f>
        <v/>
      </c>
      <c r="FY41" s="54" t="str">
        <f>IF(FY11="","",IF(FY11&lt;&gt;"THERMAL",FY11,IF($GW41="","THERMAL - NOT SPECIFIED",$GW41)))</f>
        <v/>
      </c>
      <c r="FZ41" s="54" t="str">
        <f>IF(FZ11="","",IF(FZ11&lt;&gt;"THERMAL",FZ11,IF($GW41="","THERMAL - NOT SPECIFIED",$GW41)))</f>
        <v/>
      </c>
      <c r="GA41" s="54" t="str">
        <f>IF(GA11="","",IF(GA11&lt;&gt;"THERMAL",GA11,IF($GW41="","THERMAL - NOT SPECIFIED",$GW41)))</f>
        <v/>
      </c>
      <c r="GB41" s="54" t="str">
        <f>IF(GB11="","",IF(GB11&lt;&gt;"THERMAL",GB11,IF($GW41="","THERMAL - NOT SPECIFIED",$GW41)))</f>
        <v/>
      </c>
      <c r="GC41" s="54" t="str">
        <f>IF(GC11="","",IF(GC11&lt;&gt;"THERMAL",GC11,IF($GW41="","THERMAL - NOT SPECIFIED",$GW41)))</f>
        <v/>
      </c>
      <c r="GD41" s="54" t="str">
        <f>IF(GD11="","",IF(GD11&lt;&gt;"THERMAL",GD11,IF($GW41="","THERMAL - NOT SPECIFIED",$GW41)))</f>
        <v/>
      </c>
      <c r="GE41" s="54" t="str">
        <f>IF(GE11="","",IF(GE11&lt;&gt;"THERMAL",GE11,IF($GW41="","THERMAL - NOT SPECIFIED",$GW41)))</f>
        <v/>
      </c>
      <c r="GF41" s="54" t="str">
        <f>IF(GF11="","",IF(GF11&lt;&gt;"THERMAL",GF11,IF($GW41="","THERMAL - NOT SPECIFIED",$GW41)))</f>
        <v/>
      </c>
      <c r="GG41" s="54" t="str">
        <f>IF(GG11="","",IF(GG11&lt;&gt;"THERMAL",GG11,IF($GW41="","THERMAL - NOT SPECIFIED",$GW41)))</f>
        <v/>
      </c>
      <c r="GH41" s="54" t="str">
        <f>IF(GH11="","",IF(GH11&lt;&gt;"THERMAL",GH11,IF($GW41="","THERMAL - NOT SPECIFIED",$GW41)))</f>
        <v/>
      </c>
      <c r="GI41" s="54" t="str">
        <f>IF(GI11="","",IF(GI11&lt;&gt;"THERMAL",GI11,IF($GW41="","THERMAL - NOT SPECIFIED",$GW41)))</f>
        <v/>
      </c>
      <c r="GJ41" s="54" t="str">
        <f>IF(GJ11="","",IF(GJ11&lt;&gt;"THERMAL",GJ11,IF($GW41="","THERMAL - NOT SPECIFIED",$GW41)))</f>
        <v/>
      </c>
      <c r="GK41" s="54" t="str">
        <f>IF(GK11="","",IF(GK11&lt;&gt;"THERMAL",GK11,IF($GW41="","THERMAL - NOT SPECIFIED",$GW41)))</f>
        <v/>
      </c>
      <c r="GL41" s="54" t="str">
        <f>IF(GL11="","",IF(GL11&lt;&gt;"THERMAL",GL11,IF($GW41="","THERMAL - NOT SPECIFIED",$GW41)))</f>
        <v/>
      </c>
      <c r="GM41" s="54" t="str">
        <f>IF(GM11="","",IF(GM11&lt;&gt;"THERMAL",GM11,IF($GW41="","THERMAL - NOT SPECIFIED",$GW41)))</f>
        <v/>
      </c>
      <c r="GN41" s="54" t="str">
        <f>IF(GN11="","",IF(GN11&lt;&gt;"THERMAL",GN11,IF($GW41="","THERMAL - NOT SPECIFIED",$GW41)))</f>
        <v/>
      </c>
      <c r="GO41" s="54" t="str">
        <f>IF(GO11="","",IF(GO11&lt;&gt;"THERMAL",GO11,IF($GW41="","THERMAL - NOT SPECIFIED",$GW41)))</f>
        <v/>
      </c>
      <c r="GP41" s="54" t="str">
        <f>IF(GP11="","",IF(GP11&lt;&gt;"THERMAL",GP11,IF($GW41="","THERMAL - NOT SPECIFIED",$GW41)))</f>
        <v/>
      </c>
      <c r="GQ41" s="54" t="str">
        <f>IF(GQ11="","",IF(GQ11&lt;&gt;"THERMAL",GQ11,IF($GW41="","THERMAL - NOT SPECIFIED",$GW41)))</f>
        <v/>
      </c>
      <c r="GR41" s="54" t="str">
        <f>IF(GR11="","",IF(GR11&lt;&gt;"THERMAL",GR11,IF($GW41="","THERMAL - NOT SPECIFIED",$GW41)))</f>
        <v/>
      </c>
      <c r="GS41" s="54" t="str">
        <f>IF(GS11="","",IF(GS11&lt;&gt;"THERMAL",GS11,IF($GW41="","THERMAL - NOT SPECIFIED",$GW41)))</f>
        <v/>
      </c>
      <c r="GW41" s="55" t="str">
        <f>IF($GY41="","",IFERROR(INDEX('MC MAP'!$L$5:$L$28,MATCH($GY41,'MC MAP'!$K$5:$K$28,0)),$GY41))</f>
        <v/>
      </c>
      <c r="GY41" s="60"/>
      <c r="HA41" s="15"/>
      <c r="HE41" s="14" t="s">
        <v>24</v>
      </c>
    </row>
    <row r="42" spans="1:213">
      <c r="A42" s="2">
        <f>$A12</f>
        <v>7</v>
      </c>
      <c r="B42" s="54">
        <f>IF(B12="","",IF(B12&lt;&gt;"THERMAL",B12,IF($GW42="","THERMAL - NOT SPECIFIED",$GW42)))</f>
        <v>6137</v>
      </c>
      <c r="C42" s="54">
        <f>IF(C12="","",IF(C12&lt;&gt;"THERMAL",C12,IF($GW42="","THERMAL - NOT SPECIFIED",$GW42)))</f>
        <v>6137</v>
      </c>
      <c r="D42" s="54">
        <f>IF(D12="","",IF(D12&lt;&gt;"THERMAL",D12,IF($GW42="","THERMAL - NOT SPECIFIED",$GW42)))</f>
        <v>6137</v>
      </c>
      <c r="E42" s="54">
        <f>IF(E12="","",IF(E12&lt;&gt;"THERMAL",E12,IF($GW42="","THERMAL - NOT SPECIFIED",$GW42)))</f>
        <v>6137</v>
      </c>
      <c r="F42" s="54">
        <f>IF(F12="","",IF(F12&lt;&gt;"THERMAL",F12,IF($GW42="","THERMAL - NOT SPECIFIED",$GW42)))</f>
        <v>6137</v>
      </c>
      <c r="G42" s="54">
        <f>IF(G12="","",IF(G12&lt;&gt;"THERMAL",G12,IF($GW42="","THERMAL - NOT SPECIFIED",$GW42)))</f>
        <v>6137</v>
      </c>
      <c r="H42" s="54">
        <f>IF(H12="","",IF(H12&lt;&gt;"THERMAL",H12,IF($GW42="","THERMAL - NOT SPECIFIED",$GW42)))</f>
        <v>6137</v>
      </c>
      <c r="I42" s="54">
        <f>IF(I12="","",IF(I12&lt;&gt;"THERMAL",I12,IF($GW42="","THERMAL - NOT SPECIFIED",$GW42)))</f>
        <v>6137</v>
      </c>
      <c r="J42" s="54">
        <f>IF(J12="","",IF(J12&lt;&gt;"THERMAL",J12,IF($GW42="","THERMAL - NOT SPECIFIED",$GW42)))</f>
        <v>6137</v>
      </c>
      <c r="K42" s="54">
        <f>IF(K12="","",IF(K12&lt;&gt;"THERMAL",K12,IF($GW42="","THERMAL - NOT SPECIFIED",$GW42)))</f>
        <v>6137</v>
      </c>
      <c r="L42" s="54">
        <f>IF(L12="","",IF(L12&lt;&gt;"THERMAL",L12,IF($GW42="","THERMAL - NOT SPECIFIED",$GW42)))</f>
        <v>6137</v>
      </c>
      <c r="M42" s="54">
        <f>IF(M12="","",IF(M12&lt;&gt;"THERMAL",M12,IF($GW42="","THERMAL - NOT SPECIFIED",$GW42)))</f>
        <v>6137</v>
      </c>
      <c r="N42" s="54">
        <f>IF(N12="","",IF(N12&lt;&gt;"THERMAL",N12,IF($GW42="","THERMAL - NOT SPECIFIED",$GW42)))</f>
        <v>6137</v>
      </c>
      <c r="O42" s="54" t="str">
        <f>IF(O12="","",IF(O12&lt;&gt;"THERMAL",O12,IF($GW42="","THERMAL - NOT SPECIFIED",$GW42)))</f>
        <v>VACCANT</v>
      </c>
      <c r="P42" s="54" t="str">
        <f>IF(P12="","",IF(P12&lt;&gt;"THERMAL",P12,IF($GW42="","THERMAL - NOT SPECIFIED",$GW42)))</f>
        <v>RS17</v>
      </c>
      <c r="Q42" s="54" t="str">
        <f>IF(Q12="","",IF(Q12&lt;&gt;"THERMAL",Q12,IF($GW42="","THERMAL - NOT SPECIFIED",$GW42)))</f>
        <v>RS17</v>
      </c>
      <c r="R42" s="54" t="str">
        <f>IF(R12="","",IF(R12&lt;&gt;"THERMAL",R12,IF($GW42="","THERMAL - NOT SPECIFIED",$GW42)))</f>
        <v>RS17</v>
      </c>
      <c r="S42" s="54" t="str">
        <f>IF(S12="","",IF(S12&lt;&gt;"THERMAL",S12,IF($GW42="","THERMAL - NOT SPECIFIED",$GW42)))</f>
        <v>RS17</v>
      </c>
      <c r="T42" s="54" t="str">
        <f>IF(T12="","",IF(T12&lt;&gt;"THERMAL",T12,IF($GW42="","THERMAL - NOT SPECIFIED",$GW42)))</f>
        <v>RS17</v>
      </c>
      <c r="U42" s="54" t="str">
        <f>IF(U12="","",IF(U12&lt;&gt;"THERMAL",U12,IF($GW42="","THERMAL - NOT SPECIFIED",$GW42)))</f>
        <v>RS17</v>
      </c>
      <c r="V42" s="54" t="str">
        <f>IF(V12="","",IF(V12&lt;&gt;"THERMAL",V12,IF($GW42="","THERMAL - NOT SPECIFIED",$GW42)))</f>
        <v>RS17</v>
      </c>
      <c r="W42" s="54" t="str">
        <f>IF(W12="","",IF(W12&lt;&gt;"THERMAL",W12,IF($GW42="","THERMAL - NOT SPECIFIED",$GW42)))</f>
        <v>RS17</v>
      </c>
      <c r="X42" s="54" t="str">
        <f>IF(X12="","",IF(X12&lt;&gt;"THERMAL",X12,IF($GW42="","THERMAL - NOT SPECIFIED",$GW42)))</f>
        <v>RS17</v>
      </c>
      <c r="Y42" s="54" t="str">
        <f>IF(Y12="","",IF(Y12&lt;&gt;"THERMAL",Y12,IF($GW42="","THERMAL - NOT SPECIFIED",$GW42)))</f>
        <v>RS17</v>
      </c>
      <c r="Z42" s="54" t="str">
        <f>IF(Z12="","",IF(Z12&lt;&gt;"THERMAL",Z12,IF($GW42="","THERMAL - NOT SPECIFIED",$GW42)))</f>
        <v>RS17</v>
      </c>
      <c r="AA42" s="54" t="str">
        <f>IF(AA12="","",IF(AA12&lt;&gt;"THERMAL",AA12,IF($GW42="","THERMAL - NOT SPECIFIED",$GW42)))</f>
        <v>RS17</v>
      </c>
      <c r="AB42" s="54" t="str">
        <f>IF(AB12="","",IF(AB12&lt;&gt;"THERMAL",AB12,IF($GW42="","THERMAL - NOT SPECIFIED",$GW42)))</f>
        <v>RS17</v>
      </c>
      <c r="AC42" s="54" t="str">
        <f>IF(AC12="","",IF(AC12&lt;&gt;"THERMAL",AC12,IF($GW42="","THERMAL - NOT SPECIFIED",$GW42)))</f>
        <v>RS17</v>
      </c>
      <c r="AD42" s="54" t="str">
        <f>IF(AD12="","",IF(AD12&lt;&gt;"THERMAL",AD12,IF($GW42="","THERMAL - NOT SPECIFIED",$GW42)))</f>
        <v>RS17</v>
      </c>
      <c r="AE42" s="54" t="str">
        <f>IF(AE12="","",IF(AE12&lt;&gt;"THERMAL",AE12,IF($GW42="","THERMAL - NOT SPECIFIED",$GW42)))</f>
        <v>RS17</v>
      </c>
      <c r="AF42" s="54" t="str">
        <f>IF(AF12="","",IF(AF12&lt;&gt;"THERMAL",AF12,IF($GW42="","THERMAL - NOT SPECIFIED",$GW42)))</f>
        <v>RS17</v>
      </c>
      <c r="AG42" s="54" t="str">
        <f>IF(AG12="","",IF(AG12&lt;&gt;"THERMAL",AG12,IF($GW42="","THERMAL - NOT SPECIFIED",$GW42)))</f>
        <v>RS17</v>
      </c>
      <c r="AH42" s="54" t="str">
        <f>IF(AH12="","",IF(AH12&lt;&gt;"THERMAL",AH12,IF($GW42="","THERMAL - NOT SPECIFIED",$GW42)))</f>
        <v>RS17</v>
      </c>
      <c r="AI42" s="54" t="str">
        <f>IF(AI12="","",IF(AI12&lt;&gt;"THERMAL",AI12,IF($GW42="","THERMAL - NOT SPECIFIED",$GW42)))</f>
        <v>RS17</v>
      </c>
      <c r="AJ42" s="54" t="str">
        <f>IF(AJ12="","",IF(AJ12&lt;&gt;"THERMAL",AJ12,IF($GW42="","THERMAL - NOT SPECIFIED",$GW42)))</f>
        <v>RS17</v>
      </c>
      <c r="AK42" s="54" t="str">
        <f>IF(AK12="","",IF(AK12&lt;&gt;"THERMAL",AK12,IF($GW42="","THERMAL - NOT SPECIFIED",$GW42)))</f>
        <v>RS17</v>
      </c>
      <c r="AL42" s="54" t="str">
        <f>IF(AL12="","",IF(AL12&lt;&gt;"THERMAL",AL12,IF($GW42="","THERMAL - NOT SPECIFIED",$GW42)))</f>
        <v>RS17</v>
      </c>
      <c r="AM42" s="54" t="str">
        <f>IF(AM12="","",IF(AM12&lt;&gt;"THERMAL",AM12,IF($GW42="","THERMAL - NOT SPECIFIED",$GW42)))</f>
        <v>RS17</v>
      </c>
      <c r="AN42" s="54" t="str">
        <f>IF(AN12="","",IF(AN12&lt;&gt;"THERMAL",AN12,IF($GW42="","THERMAL - NOT SPECIFIED",$GW42)))</f>
        <v>VACCANT</v>
      </c>
      <c r="AO42" s="54">
        <f>IF(AO12="","",IF(AO12&lt;&gt;"THERMAL",AO12,IF($GW42="","THERMAL - NOT SPECIFIED",$GW42)))</f>
        <v>4117</v>
      </c>
      <c r="AP42" s="54">
        <f>IF(AP12="","",IF(AP12&lt;&gt;"THERMAL",AP12,IF($GW42="","THERMAL - NOT SPECIFIED",$GW42)))</f>
        <v>4117</v>
      </c>
      <c r="AQ42" s="54">
        <f>IF(AQ12="","",IF(AQ12&lt;&gt;"THERMAL",AQ12,IF($GW42="","THERMAL - NOT SPECIFIED",$GW42)))</f>
        <v>4117</v>
      </c>
      <c r="AR42" s="54">
        <f>IF(AR12="","",IF(AR12&lt;&gt;"THERMAL",AR12,IF($GW42="","THERMAL - NOT SPECIFIED",$GW42)))</f>
        <v>4117</v>
      </c>
      <c r="AS42" s="54">
        <f>IF(AS12="","",IF(AS12&lt;&gt;"THERMAL",AS12,IF($GW42="","THERMAL - NOT SPECIFIED",$GW42)))</f>
        <v>4117</v>
      </c>
      <c r="AT42" s="54">
        <f>IF(AT12="","",IF(AT12&lt;&gt;"THERMAL",AT12,IF($GW42="","THERMAL - NOT SPECIFIED",$GW42)))</f>
        <v>4117</v>
      </c>
      <c r="AU42" s="54">
        <f>IF(AU12="","",IF(AU12&lt;&gt;"THERMAL",AU12,IF($GW42="","THERMAL - NOT SPECIFIED",$GW42)))</f>
        <v>4117</v>
      </c>
      <c r="AV42" s="54">
        <f>IF(AV12="","",IF(AV12&lt;&gt;"THERMAL",AV12,IF($GW42="","THERMAL - NOT SPECIFIED",$GW42)))</f>
        <v>4117</v>
      </c>
      <c r="AW42" s="54">
        <f>IF(AW12="","",IF(AW12&lt;&gt;"THERMAL",AW12,IF($GW42="","THERMAL - NOT SPECIFIED",$GW42)))</f>
        <v>4117</v>
      </c>
      <c r="AX42" s="54">
        <f>IF(AX12="","",IF(AX12&lt;&gt;"THERMAL",AX12,IF($GW42="","THERMAL - NOT SPECIFIED",$GW42)))</f>
        <v>4117</v>
      </c>
      <c r="AY42" s="54">
        <f>IF(AY12="","",IF(AY12&lt;&gt;"THERMAL",AY12,IF($GW42="","THERMAL - NOT SPECIFIED",$GW42)))</f>
        <v>4117</v>
      </c>
      <c r="AZ42" s="54">
        <f>IF(AZ12="","",IF(AZ12&lt;&gt;"THERMAL",AZ12,IF($GW42="","THERMAL - NOT SPECIFIED",$GW42)))</f>
        <v>4117</v>
      </c>
      <c r="BA42" s="54">
        <f>IF(BA12="","",IF(BA12&lt;&gt;"THERMAL",BA12,IF($GW42="","THERMAL - NOT SPECIFIED",$GW42)))</f>
        <v>4117</v>
      </c>
      <c r="BB42" s="54">
        <f>IF(BB12="","",IF(BB12&lt;&gt;"THERMAL",BB12,IF($GW42="","THERMAL - NOT SPECIFIED",$GW42)))</f>
        <v>4117</v>
      </c>
      <c r="BC42" s="54">
        <f>IF(BC12="","",IF(BC12&lt;&gt;"THERMAL",BC12,IF($GW42="","THERMAL - NOT SPECIFIED",$GW42)))</f>
        <v>4117</v>
      </c>
      <c r="BD42" s="54">
        <f>IF(BD12="","",IF(BD12&lt;&gt;"THERMAL",BD12,IF($GW42="","THERMAL - NOT SPECIFIED",$GW42)))</f>
        <v>4117</v>
      </c>
      <c r="BE42" s="54">
        <f>IF(BE12="","",IF(BE12&lt;&gt;"THERMAL",BE12,IF($GW42="","THERMAL - NOT SPECIFIED",$GW42)))</f>
        <v>4117</v>
      </c>
      <c r="BF42" s="54">
        <f>IF(BF12="","",IF(BF12&lt;&gt;"THERMAL",BF12,IF($GW42="","THERMAL - NOT SPECIFIED",$GW42)))</f>
        <v>4117</v>
      </c>
      <c r="BG42" s="54">
        <f>IF(BG12="","",IF(BG12&lt;&gt;"THERMAL",BG12,IF($GW42="","THERMAL - NOT SPECIFIED",$GW42)))</f>
        <v>4117</v>
      </c>
      <c r="BH42" s="54">
        <f>IF(BH12="","",IF(BH12&lt;&gt;"THERMAL",BH12,IF($GW42="","THERMAL - NOT SPECIFIED",$GW42)))</f>
        <v>4117</v>
      </c>
      <c r="BI42" s="54">
        <f>IF(BI12="","",IF(BI12&lt;&gt;"THERMAL",BI12,IF($GW42="","THERMAL - NOT SPECIFIED",$GW42)))</f>
        <v>4117</v>
      </c>
      <c r="BJ42" s="54">
        <f>IF(BJ12="","",IF(BJ12&lt;&gt;"THERMAL",BJ12,IF($GW42="","THERMAL - NOT SPECIFIED",$GW42)))</f>
        <v>4117</v>
      </c>
      <c r="BK42" s="54">
        <f>IF(BK12="","",IF(BK12&lt;&gt;"THERMAL",BK12,IF($GW42="","THERMAL - NOT SPECIFIED",$GW42)))</f>
        <v>4117</v>
      </c>
      <c r="BL42" s="54">
        <f>IF(BL12="","",IF(BL12&lt;&gt;"THERMAL",BL12,IF($GW42="","THERMAL - NOT SPECIFIED",$GW42)))</f>
        <v>4117</v>
      </c>
      <c r="BM42" s="54">
        <f>IF(BM12="","",IF(BM12&lt;&gt;"THERMAL",BM12,IF($GW42="","THERMAL - NOT SPECIFIED",$GW42)))</f>
        <v>4117</v>
      </c>
      <c r="BN42" s="54">
        <f>IF(BN12="","",IF(BN12&lt;&gt;"THERMAL",BN12,IF($GW42="","THERMAL - NOT SPECIFIED",$GW42)))</f>
        <v>4117</v>
      </c>
      <c r="BO42" s="54">
        <f>IF(BO12="","",IF(BO12&lt;&gt;"THERMAL",BO12,IF($GW42="","THERMAL - NOT SPECIFIED",$GW42)))</f>
        <v>4117</v>
      </c>
      <c r="BP42" s="54">
        <f>IF(BP12="","",IF(BP12&lt;&gt;"THERMAL",BP12,IF($GW42="","THERMAL - NOT SPECIFIED",$GW42)))</f>
        <v>4117</v>
      </c>
      <c r="BQ42" s="54">
        <f>IF(BQ12="","",IF(BQ12&lt;&gt;"THERMAL",BQ12,IF($GW42="","THERMAL - NOT SPECIFIED",$GW42)))</f>
        <v>4117</v>
      </c>
      <c r="BR42" s="54">
        <f>IF(BR12="","",IF(BR12&lt;&gt;"THERMAL",BR12,IF($GW42="","THERMAL - NOT SPECIFIED",$GW42)))</f>
        <v>4117</v>
      </c>
      <c r="BS42" s="54">
        <f>IF(BS12="","",IF(BS12&lt;&gt;"THERMAL",BS12,IF($GW42="","THERMAL - NOT SPECIFIED",$GW42)))</f>
        <v>4117</v>
      </c>
      <c r="BT42" s="54">
        <f>IF(BT12="","",IF(BT12&lt;&gt;"THERMAL",BT12,IF($GW42="","THERMAL - NOT SPECIFIED",$GW42)))</f>
        <v>4117</v>
      </c>
      <c r="BU42" s="54">
        <f>IF(BU12="","",IF(BU12&lt;&gt;"THERMAL",BU12,IF($GW42="","THERMAL - NOT SPECIFIED",$GW42)))</f>
        <v>4117</v>
      </c>
      <c r="BV42" s="54">
        <f>IF(BV12="","",IF(BV12&lt;&gt;"THERMAL",BV12,IF($GW42="","THERMAL - NOT SPECIFIED",$GW42)))</f>
        <v>4117</v>
      </c>
      <c r="BW42" s="54">
        <f>IF(BW12="","",IF(BW12&lt;&gt;"THERMAL",BW12,IF($GW42="","THERMAL - NOT SPECIFIED",$GW42)))</f>
        <v>4117</v>
      </c>
      <c r="BX42" s="54">
        <f>IF(BX12="","",IF(BX12&lt;&gt;"THERMAL",BX12,IF($GW42="","THERMAL - NOT SPECIFIED",$GW42)))</f>
        <v>4117</v>
      </c>
      <c r="BY42" s="54">
        <f>IF(BY12="","",IF(BY12&lt;&gt;"THERMAL",BY12,IF($GW42="","THERMAL - NOT SPECIFIED",$GW42)))</f>
        <v>4117</v>
      </c>
      <c r="BZ42" s="54" t="str">
        <f>IF(BZ12="","",IF(BZ12&lt;&gt;"THERMAL",BZ12,IF($GW42="","THERMAL - NOT SPECIFIED",$GW42)))</f>
        <v>VACCANT</v>
      </c>
      <c r="CA42" s="54" t="str">
        <f>IF(CA12="","",IF(CA12&lt;&gt;"THERMAL",CA12,IF($GW42="","THERMAL - NOT SPECIFIED",$GW42)))</f>
        <v/>
      </c>
      <c r="CB42" s="54" t="str">
        <f>IF(CB12="","",IF(CB12&lt;&gt;"THERMAL",CB12,IF($GW42="","THERMAL - NOT SPECIFIED",$GW42)))</f>
        <v/>
      </c>
      <c r="CC42" s="54" t="str">
        <f>IF(CC12="","",IF(CC12&lt;&gt;"THERMAL",CC12,IF($GW42="","THERMAL - NOT SPECIFIED",$GW42)))</f>
        <v/>
      </c>
      <c r="CD42" s="54" t="str">
        <f>IF(CD12="","",IF(CD12&lt;&gt;"THERMAL",CD12,IF($GW42="","THERMAL - NOT SPECIFIED",$GW42)))</f>
        <v/>
      </c>
      <c r="CE42" s="54" t="str">
        <f>IF(CE12="","",IF(CE12&lt;&gt;"THERMAL",CE12,IF($GW42="","THERMAL - NOT SPECIFIED",$GW42)))</f>
        <v/>
      </c>
      <c r="CF42" s="54" t="str">
        <f>IF(CF12="","",IF(CF12&lt;&gt;"THERMAL",CF12,IF($GW42="","THERMAL - NOT SPECIFIED",$GW42)))</f>
        <v/>
      </c>
      <c r="CG42" s="54" t="str">
        <f>IF(CG12="","",IF(CG12&lt;&gt;"THERMAL",CG12,IF($GW42="","THERMAL - NOT SPECIFIED",$GW42)))</f>
        <v/>
      </c>
      <c r="CH42" s="54" t="str">
        <f>IF(CH12="","",IF(CH12&lt;&gt;"THERMAL",CH12,IF($GW42="","THERMAL - NOT SPECIFIED",$GW42)))</f>
        <v/>
      </c>
      <c r="CI42" s="54" t="str">
        <f>IF(CI12="","",IF(CI12&lt;&gt;"THERMAL",CI12,IF($GW42="","THERMAL - NOT SPECIFIED",$GW42)))</f>
        <v/>
      </c>
      <c r="CJ42" s="54" t="str">
        <f>IF(CJ12="","",IF(CJ12&lt;&gt;"THERMAL",CJ12,IF($GW42="","THERMAL - NOT SPECIFIED",$GW42)))</f>
        <v/>
      </c>
      <c r="CK42" s="54" t="str">
        <f>IF(CK12="","",IF(CK12&lt;&gt;"THERMAL",CK12,IF($GW42="","THERMAL - NOT SPECIFIED",$GW42)))</f>
        <v/>
      </c>
      <c r="CL42" s="54" t="str">
        <f>IF(CL12="","",IF(CL12&lt;&gt;"THERMAL",CL12,IF($GW42="","THERMAL - NOT SPECIFIED",$GW42)))</f>
        <v/>
      </c>
      <c r="CM42" s="54" t="str">
        <f>IF(CM12="","",IF(CM12&lt;&gt;"THERMAL",CM12,IF($GW42="","THERMAL - NOT SPECIFIED",$GW42)))</f>
        <v/>
      </c>
      <c r="CN42" s="54" t="str">
        <f>IF(CN12="","",IF(CN12&lt;&gt;"THERMAL",CN12,IF($GW42="","THERMAL - NOT SPECIFIED",$GW42)))</f>
        <v/>
      </c>
      <c r="CO42" s="54" t="str">
        <f>IF(CO12="","",IF(CO12&lt;&gt;"THERMAL",CO12,IF($GW42="","THERMAL - NOT SPECIFIED",$GW42)))</f>
        <v/>
      </c>
      <c r="CP42" s="54" t="str">
        <f>IF(CP12="","",IF(CP12&lt;&gt;"THERMAL",CP12,IF($GW42="","THERMAL - NOT SPECIFIED",$GW42)))</f>
        <v/>
      </c>
      <c r="CQ42" s="54" t="str">
        <f>IF(CQ12="","",IF(CQ12&lt;&gt;"THERMAL",CQ12,IF($GW42="","THERMAL - NOT SPECIFIED",$GW42)))</f>
        <v/>
      </c>
      <c r="CR42" s="54" t="str">
        <f>IF(CR12="","",IF(CR12&lt;&gt;"THERMAL",CR12,IF($GW42="","THERMAL - NOT SPECIFIED",$GW42)))</f>
        <v/>
      </c>
      <c r="CS42" s="54" t="str">
        <f>IF(CS12="","",IF(CS12&lt;&gt;"THERMAL",CS12,IF($GW42="","THERMAL - NOT SPECIFIED",$GW42)))</f>
        <v/>
      </c>
      <c r="CT42" s="54" t="str">
        <f>IF(CT12="","",IF(CT12&lt;&gt;"THERMAL",CT12,IF($GW42="","THERMAL - NOT SPECIFIED",$GW42)))</f>
        <v/>
      </c>
      <c r="CU42" s="54" t="str">
        <f>IF(CU12="","",IF(CU12&lt;&gt;"THERMAL",CU12,IF($GW42="","THERMAL - NOT SPECIFIED",$GW42)))</f>
        <v/>
      </c>
      <c r="CV42" s="54" t="str">
        <f>IF(CV12="","",IF(CV12&lt;&gt;"THERMAL",CV12,IF($GW42="","THERMAL - NOT SPECIFIED",$GW42)))</f>
        <v/>
      </c>
      <c r="CW42" s="54" t="str">
        <f>IF(CW12="","",IF(CW12&lt;&gt;"THERMAL",CW12,IF($GW42="","THERMAL - NOT SPECIFIED",$GW42)))</f>
        <v/>
      </c>
      <c r="CX42" s="54" t="str">
        <f>IF(CX12="","",IF(CX12&lt;&gt;"THERMAL",CX12,IF($GW42="","THERMAL - NOT SPECIFIED",$GW42)))</f>
        <v/>
      </c>
      <c r="CY42" s="54" t="str">
        <f>IF(CY12="","",IF(CY12&lt;&gt;"THERMAL",CY12,IF($GW42="","THERMAL - NOT SPECIFIED",$GW42)))</f>
        <v/>
      </c>
      <c r="CZ42" s="54" t="str">
        <f>IF(CZ12="","",IF(CZ12&lt;&gt;"THERMAL",CZ12,IF($GW42="","THERMAL - NOT SPECIFIED",$GW42)))</f>
        <v/>
      </c>
      <c r="DA42" s="54" t="str">
        <f>IF(DA12="","",IF(DA12&lt;&gt;"THERMAL",DA12,IF($GW42="","THERMAL - NOT SPECIFIED",$GW42)))</f>
        <v/>
      </c>
      <c r="DB42" s="54" t="str">
        <f>IF(DB12="","",IF(DB12&lt;&gt;"THERMAL",DB12,IF($GW42="","THERMAL - NOT SPECIFIED",$GW42)))</f>
        <v/>
      </c>
      <c r="DC42" s="54" t="str">
        <f>IF(DC12="","",IF(DC12&lt;&gt;"THERMAL",DC12,IF($GW42="","THERMAL - NOT SPECIFIED",$GW42)))</f>
        <v/>
      </c>
      <c r="DD42" s="54" t="str">
        <f>IF(DD12="","",IF(DD12&lt;&gt;"THERMAL",DD12,IF($GW42="","THERMAL - NOT SPECIFIED",$GW42)))</f>
        <v/>
      </c>
      <c r="DE42" s="54" t="str">
        <f>IF(DE12="","",IF(DE12&lt;&gt;"THERMAL",DE12,IF($GW42="","THERMAL - NOT SPECIFIED",$GW42)))</f>
        <v/>
      </c>
      <c r="DF42" s="54" t="str">
        <f>IF(DF12="","",IF(DF12&lt;&gt;"THERMAL",DF12,IF($GW42="","THERMAL - NOT SPECIFIED",$GW42)))</f>
        <v/>
      </c>
      <c r="DG42" s="54" t="str">
        <f>IF(DG12="","",IF(DG12&lt;&gt;"THERMAL",DG12,IF($GW42="","THERMAL - NOT SPECIFIED",$GW42)))</f>
        <v/>
      </c>
      <c r="DH42" s="54" t="str">
        <f>IF(DH12="","",IF(DH12&lt;&gt;"THERMAL",DH12,IF($GW42="","THERMAL - NOT SPECIFIED",$GW42)))</f>
        <v/>
      </c>
      <c r="DI42" s="54" t="str">
        <f>IF(DI12="","",IF(DI12&lt;&gt;"THERMAL",DI12,IF($GW42="","THERMAL - NOT SPECIFIED",$GW42)))</f>
        <v/>
      </c>
      <c r="DJ42" s="54" t="str">
        <f>IF(DJ12="","",IF(DJ12&lt;&gt;"THERMAL",DJ12,IF($GW42="","THERMAL - NOT SPECIFIED",$GW42)))</f>
        <v/>
      </c>
      <c r="DK42" s="54" t="str">
        <f>IF(DK12="","",IF(DK12&lt;&gt;"THERMAL",DK12,IF($GW42="","THERMAL - NOT SPECIFIED",$GW42)))</f>
        <v/>
      </c>
      <c r="DL42" s="54" t="str">
        <f>IF(DL12="","",IF(DL12&lt;&gt;"THERMAL",DL12,IF($GW42="","THERMAL - NOT SPECIFIED",$GW42)))</f>
        <v/>
      </c>
      <c r="DM42" s="54" t="str">
        <f>IF(DM12="","",IF(DM12&lt;&gt;"THERMAL",DM12,IF($GW42="","THERMAL - NOT SPECIFIED",$GW42)))</f>
        <v/>
      </c>
      <c r="DN42" s="54" t="str">
        <f>IF(DN12="","",IF(DN12&lt;&gt;"THERMAL",DN12,IF($GW42="","THERMAL - NOT SPECIFIED",$GW42)))</f>
        <v/>
      </c>
      <c r="DO42" s="54" t="str">
        <f>IF(DO12="","",IF(DO12&lt;&gt;"THERMAL",DO12,IF($GW42="","THERMAL - NOT SPECIFIED",$GW42)))</f>
        <v/>
      </c>
      <c r="DP42" s="54" t="str">
        <f>IF(DP12="","",IF(DP12&lt;&gt;"THERMAL",DP12,IF($GW42="","THERMAL - NOT SPECIFIED",$GW42)))</f>
        <v/>
      </c>
      <c r="DQ42" s="54" t="str">
        <f>IF(DQ12="","",IF(DQ12&lt;&gt;"THERMAL",DQ12,IF($GW42="","THERMAL - NOT SPECIFIED",$GW42)))</f>
        <v/>
      </c>
      <c r="DR42" s="54" t="str">
        <f>IF(DR12="","",IF(DR12&lt;&gt;"THERMAL",DR12,IF($GW42="","THERMAL - NOT SPECIFIED",$GW42)))</f>
        <v/>
      </c>
      <c r="DS42" s="54" t="str">
        <f>IF(DS12="","",IF(DS12&lt;&gt;"THERMAL",DS12,IF($GW42="","THERMAL - NOT SPECIFIED",$GW42)))</f>
        <v/>
      </c>
      <c r="DT42" s="54" t="str">
        <f>IF(DT12="","",IF(DT12&lt;&gt;"THERMAL",DT12,IF($GW42="","THERMAL - NOT SPECIFIED",$GW42)))</f>
        <v/>
      </c>
      <c r="DU42" s="54" t="str">
        <f>IF(DU12="","",IF(DU12&lt;&gt;"THERMAL",DU12,IF($GW42="","THERMAL - NOT SPECIFIED",$GW42)))</f>
        <v/>
      </c>
      <c r="DV42" s="54" t="str">
        <f>IF(DV12="","",IF(DV12&lt;&gt;"THERMAL",DV12,IF($GW42="","THERMAL - NOT SPECIFIED",$GW42)))</f>
        <v/>
      </c>
      <c r="DW42" s="54" t="str">
        <f>IF(DW12="","",IF(DW12&lt;&gt;"THERMAL",DW12,IF($GW42="","THERMAL - NOT SPECIFIED",$GW42)))</f>
        <v/>
      </c>
      <c r="DX42" s="54" t="str">
        <f>IF(DX12="","",IF(DX12&lt;&gt;"THERMAL",DX12,IF($GW42="","THERMAL - NOT SPECIFIED",$GW42)))</f>
        <v/>
      </c>
      <c r="DY42" s="54" t="str">
        <f>IF(DY12="","",IF(DY12&lt;&gt;"THERMAL",DY12,IF($GW42="","THERMAL - NOT SPECIFIED",$GW42)))</f>
        <v/>
      </c>
      <c r="DZ42" s="54" t="str">
        <f>IF(DZ12="","",IF(DZ12&lt;&gt;"THERMAL",DZ12,IF($GW42="","THERMAL - NOT SPECIFIED",$GW42)))</f>
        <v/>
      </c>
      <c r="EA42" s="54" t="str">
        <f>IF(EA12="","",IF(EA12&lt;&gt;"THERMAL",EA12,IF($GW42="","THERMAL - NOT SPECIFIED",$GW42)))</f>
        <v/>
      </c>
      <c r="EB42" s="54" t="str">
        <f>IF(EB12="","",IF(EB12&lt;&gt;"THERMAL",EB12,IF($GW42="","THERMAL - NOT SPECIFIED",$GW42)))</f>
        <v/>
      </c>
      <c r="EC42" s="54" t="str">
        <f>IF(EC12="","",IF(EC12&lt;&gt;"THERMAL",EC12,IF($GW42="","THERMAL - NOT SPECIFIED",$GW42)))</f>
        <v/>
      </c>
      <c r="ED42" s="54" t="str">
        <f>IF(ED12="","",IF(ED12&lt;&gt;"THERMAL",ED12,IF($GW42="","THERMAL - NOT SPECIFIED",$GW42)))</f>
        <v/>
      </c>
      <c r="EE42" s="54" t="str">
        <f>IF(EE12="","",IF(EE12&lt;&gt;"THERMAL",EE12,IF($GW42="","THERMAL - NOT SPECIFIED",$GW42)))</f>
        <v/>
      </c>
      <c r="EF42" s="54" t="str">
        <f>IF(EF12="","",IF(EF12&lt;&gt;"THERMAL",EF12,IF($GW42="","THERMAL - NOT SPECIFIED",$GW42)))</f>
        <v/>
      </c>
      <c r="EG42" s="54" t="str">
        <f>IF(EG12="","",IF(EG12&lt;&gt;"THERMAL",EG12,IF($GW42="","THERMAL - NOT SPECIFIED",$GW42)))</f>
        <v/>
      </c>
      <c r="EH42" s="54" t="str">
        <f>IF(EH12="","",IF(EH12&lt;&gt;"THERMAL",EH12,IF($GW42="","THERMAL - NOT SPECIFIED",$GW42)))</f>
        <v/>
      </c>
      <c r="EI42" s="54" t="str">
        <f>IF(EI12="","",IF(EI12&lt;&gt;"THERMAL",EI12,IF($GW42="","THERMAL - NOT SPECIFIED",$GW42)))</f>
        <v/>
      </c>
      <c r="EJ42" s="54" t="str">
        <f>IF(EJ12="","",IF(EJ12&lt;&gt;"THERMAL",EJ12,IF($GW42="","THERMAL - NOT SPECIFIED",$GW42)))</f>
        <v/>
      </c>
      <c r="EK42" s="54" t="str">
        <f>IF(EK12="","",IF(EK12&lt;&gt;"THERMAL",EK12,IF($GW42="","THERMAL - NOT SPECIFIED",$GW42)))</f>
        <v/>
      </c>
      <c r="EL42" s="54" t="str">
        <f>IF(EL12="","",IF(EL12&lt;&gt;"THERMAL",EL12,IF($GW42="","THERMAL - NOT SPECIFIED",$GW42)))</f>
        <v/>
      </c>
      <c r="EM42" s="54" t="str">
        <f>IF(EM12="","",IF(EM12&lt;&gt;"THERMAL",EM12,IF($GW42="","THERMAL - NOT SPECIFIED",$GW42)))</f>
        <v/>
      </c>
      <c r="EN42" s="54" t="str">
        <f>IF(EN12="","",IF(EN12&lt;&gt;"THERMAL",EN12,IF($GW42="","THERMAL - NOT SPECIFIED",$GW42)))</f>
        <v/>
      </c>
      <c r="EO42" s="54" t="str">
        <f>IF(EO12="","",IF(EO12&lt;&gt;"THERMAL",EO12,IF($GW42="","THERMAL - NOT SPECIFIED",$GW42)))</f>
        <v/>
      </c>
      <c r="EP42" s="54" t="str">
        <f>IF(EP12="","",IF(EP12&lt;&gt;"THERMAL",EP12,IF($GW42="","THERMAL - NOT SPECIFIED",$GW42)))</f>
        <v/>
      </c>
      <c r="EQ42" s="54" t="str">
        <f>IF(EQ12="","",IF(EQ12&lt;&gt;"THERMAL",EQ12,IF($GW42="","THERMAL - NOT SPECIFIED",$GW42)))</f>
        <v/>
      </c>
      <c r="ER42" s="54" t="str">
        <f>IF(ER12="","",IF(ER12&lt;&gt;"THERMAL",ER12,IF($GW42="","THERMAL - NOT SPECIFIED",$GW42)))</f>
        <v/>
      </c>
      <c r="ES42" s="54" t="str">
        <f>IF(ES12="","",IF(ES12&lt;&gt;"THERMAL",ES12,IF($GW42="","THERMAL - NOT SPECIFIED",$GW42)))</f>
        <v/>
      </c>
      <c r="ET42" s="54" t="str">
        <f>IF(ET12="","",IF(ET12&lt;&gt;"THERMAL",ET12,IF($GW42="","THERMAL - NOT SPECIFIED",$GW42)))</f>
        <v/>
      </c>
      <c r="EU42" s="54" t="str">
        <f>IF(EU12="","",IF(EU12&lt;&gt;"THERMAL",EU12,IF($GW42="","THERMAL - NOT SPECIFIED",$GW42)))</f>
        <v/>
      </c>
      <c r="EV42" s="54" t="str">
        <f>IF(EV12="","",IF(EV12&lt;&gt;"THERMAL",EV12,IF($GW42="","THERMAL - NOT SPECIFIED",$GW42)))</f>
        <v/>
      </c>
      <c r="EW42" s="54" t="str">
        <f>IF(EW12="","",IF(EW12&lt;&gt;"THERMAL",EW12,IF($GW42="","THERMAL - NOT SPECIFIED",$GW42)))</f>
        <v/>
      </c>
      <c r="EX42" s="54" t="str">
        <f>IF(EX12="","",IF(EX12&lt;&gt;"THERMAL",EX12,IF($GW42="","THERMAL - NOT SPECIFIED",$GW42)))</f>
        <v/>
      </c>
      <c r="EY42" s="54" t="str">
        <f>IF(EY12="","",IF(EY12&lt;&gt;"THERMAL",EY12,IF($GW42="","THERMAL - NOT SPECIFIED",$GW42)))</f>
        <v/>
      </c>
      <c r="EZ42" s="54" t="str">
        <f>IF(EZ12="","",IF(EZ12&lt;&gt;"THERMAL",EZ12,IF($GW42="","THERMAL - NOT SPECIFIED",$GW42)))</f>
        <v/>
      </c>
      <c r="FA42" s="54" t="str">
        <f>IF(FA12="","",IF(FA12&lt;&gt;"THERMAL",FA12,IF($GW42="","THERMAL - NOT SPECIFIED",$GW42)))</f>
        <v/>
      </c>
      <c r="FB42" s="54" t="str">
        <f>IF(FB12="","",IF(FB12&lt;&gt;"THERMAL",FB12,IF($GW42="","THERMAL - NOT SPECIFIED",$GW42)))</f>
        <v/>
      </c>
      <c r="FC42" s="54" t="str">
        <f>IF(FC12="","",IF(FC12&lt;&gt;"THERMAL",FC12,IF($GW42="","THERMAL - NOT SPECIFIED",$GW42)))</f>
        <v/>
      </c>
      <c r="FD42" s="54" t="str">
        <f>IF(FD12="","",IF(FD12&lt;&gt;"THERMAL",FD12,IF($GW42="","THERMAL - NOT SPECIFIED",$GW42)))</f>
        <v/>
      </c>
      <c r="FE42" s="54" t="str">
        <f>IF(FE12="","",IF(FE12&lt;&gt;"THERMAL",FE12,IF($GW42="","THERMAL - NOT SPECIFIED",$GW42)))</f>
        <v/>
      </c>
      <c r="FF42" s="54" t="str">
        <f>IF(FF12="","",IF(FF12&lt;&gt;"THERMAL",FF12,IF($GW42="","THERMAL - NOT SPECIFIED",$GW42)))</f>
        <v/>
      </c>
      <c r="FG42" s="54" t="str">
        <f>IF(FG12="","",IF(FG12&lt;&gt;"THERMAL",FG12,IF($GW42="","THERMAL - NOT SPECIFIED",$GW42)))</f>
        <v/>
      </c>
      <c r="FH42" s="54" t="str">
        <f>IF(FH12="","",IF(FH12&lt;&gt;"THERMAL",FH12,IF($GW42="","THERMAL - NOT SPECIFIED",$GW42)))</f>
        <v/>
      </c>
      <c r="FI42" s="54" t="str">
        <f>IF(FI12="","",IF(FI12&lt;&gt;"THERMAL",FI12,IF($GW42="","THERMAL - NOT SPECIFIED",$GW42)))</f>
        <v/>
      </c>
      <c r="FJ42" s="54" t="str">
        <f>IF(FJ12="","",IF(FJ12&lt;&gt;"THERMAL",FJ12,IF($GW42="","THERMAL - NOT SPECIFIED",$GW42)))</f>
        <v/>
      </c>
      <c r="FK42" s="54" t="str">
        <f>IF(FK12="","",IF(FK12&lt;&gt;"THERMAL",FK12,IF($GW42="","THERMAL - NOT SPECIFIED",$GW42)))</f>
        <v/>
      </c>
      <c r="FL42" s="54" t="str">
        <f>IF(FL12="","",IF(FL12&lt;&gt;"THERMAL",FL12,IF($GW42="","THERMAL - NOT SPECIFIED",$GW42)))</f>
        <v/>
      </c>
      <c r="FM42" s="54" t="str">
        <f>IF(FM12="","",IF(FM12&lt;&gt;"THERMAL",FM12,IF($GW42="","THERMAL - NOT SPECIFIED",$GW42)))</f>
        <v/>
      </c>
      <c r="FN42" s="54" t="str">
        <f>IF(FN12="","",IF(FN12&lt;&gt;"THERMAL",FN12,IF($GW42="","THERMAL - NOT SPECIFIED",$GW42)))</f>
        <v/>
      </c>
      <c r="FO42" s="54" t="str">
        <f>IF(FO12="","",IF(FO12&lt;&gt;"THERMAL",FO12,IF($GW42="","THERMAL - NOT SPECIFIED",$GW42)))</f>
        <v/>
      </c>
      <c r="FP42" s="54" t="str">
        <f>IF(FP12="","",IF(FP12&lt;&gt;"THERMAL",FP12,IF($GW42="","THERMAL - NOT SPECIFIED",$GW42)))</f>
        <v/>
      </c>
      <c r="FQ42" s="54" t="str">
        <f>IF(FQ12="","",IF(FQ12&lt;&gt;"THERMAL",FQ12,IF($GW42="","THERMAL - NOT SPECIFIED",$GW42)))</f>
        <v/>
      </c>
      <c r="FR42" s="54" t="str">
        <f>IF(FR12="","",IF(FR12&lt;&gt;"THERMAL",FR12,IF($GW42="","THERMAL - NOT SPECIFIED",$GW42)))</f>
        <v/>
      </c>
      <c r="FS42" s="54" t="str">
        <f>IF(FS12="","",IF(FS12&lt;&gt;"THERMAL",FS12,IF($GW42="","THERMAL - NOT SPECIFIED",$GW42)))</f>
        <v/>
      </c>
      <c r="FT42" s="54" t="str">
        <f>IF(FT12="","",IF(FT12&lt;&gt;"THERMAL",FT12,IF($GW42="","THERMAL - NOT SPECIFIED",$GW42)))</f>
        <v/>
      </c>
      <c r="FU42" s="54" t="str">
        <f>IF(FU12="","",IF(FU12&lt;&gt;"THERMAL",FU12,IF($GW42="","THERMAL - NOT SPECIFIED",$GW42)))</f>
        <v/>
      </c>
      <c r="FV42" s="54" t="str">
        <f>IF(FV12="","",IF(FV12&lt;&gt;"THERMAL",FV12,IF($GW42="","THERMAL - NOT SPECIFIED",$GW42)))</f>
        <v/>
      </c>
      <c r="FW42" s="54" t="str">
        <f>IF(FW12="","",IF(FW12&lt;&gt;"THERMAL",FW12,IF($GW42="","THERMAL - NOT SPECIFIED",$GW42)))</f>
        <v/>
      </c>
      <c r="FX42" s="54" t="str">
        <f>IF(FX12="","",IF(FX12&lt;&gt;"THERMAL",FX12,IF($GW42="","THERMAL - NOT SPECIFIED",$GW42)))</f>
        <v/>
      </c>
      <c r="FY42" s="54" t="str">
        <f>IF(FY12="","",IF(FY12&lt;&gt;"THERMAL",FY12,IF($GW42="","THERMAL - NOT SPECIFIED",$GW42)))</f>
        <v/>
      </c>
      <c r="FZ42" s="54" t="str">
        <f>IF(FZ12="","",IF(FZ12&lt;&gt;"THERMAL",FZ12,IF($GW42="","THERMAL - NOT SPECIFIED",$GW42)))</f>
        <v/>
      </c>
      <c r="GA42" s="54" t="str">
        <f>IF(GA12="","",IF(GA12&lt;&gt;"THERMAL",GA12,IF($GW42="","THERMAL - NOT SPECIFIED",$GW42)))</f>
        <v/>
      </c>
      <c r="GB42" s="54" t="str">
        <f>IF(GB12="","",IF(GB12&lt;&gt;"THERMAL",GB12,IF($GW42="","THERMAL - NOT SPECIFIED",$GW42)))</f>
        <v/>
      </c>
      <c r="GC42" s="54" t="str">
        <f>IF(GC12="","",IF(GC12&lt;&gt;"THERMAL",GC12,IF($GW42="","THERMAL - NOT SPECIFIED",$GW42)))</f>
        <v/>
      </c>
      <c r="GD42" s="54" t="str">
        <f>IF(GD12="","",IF(GD12&lt;&gt;"THERMAL",GD12,IF($GW42="","THERMAL - NOT SPECIFIED",$GW42)))</f>
        <v/>
      </c>
      <c r="GE42" s="54" t="str">
        <f>IF(GE12="","",IF(GE12&lt;&gt;"THERMAL",GE12,IF($GW42="","THERMAL - NOT SPECIFIED",$GW42)))</f>
        <v/>
      </c>
      <c r="GF42" s="54" t="str">
        <f>IF(GF12="","",IF(GF12&lt;&gt;"THERMAL",GF12,IF($GW42="","THERMAL - NOT SPECIFIED",$GW42)))</f>
        <v/>
      </c>
      <c r="GG42" s="54" t="str">
        <f>IF(GG12="","",IF(GG12&lt;&gt;"THERMAL",GG12,IF($GW42="","THERMAL - NOT SPECIFIED",$GW42)))</f>
        <v/>
      </c>
      <c r="GH42" s="54" t="str">
        <f>IF(GH12="","",IF(GH12&lt;&gt;"THERMAL",GH12,IF($GW42="","THERMAL - NOT SPECIFIED",$GW42)))</f>
        <v/>
      </c>
      <c r="GI42" s="54" t="str">
        <f>IF(GI12="","",IF(GI12&lt;&gt;"THERMAL",GI12,IF($GW42="","THERMAL - NOT SPECIFIED",$GW42)))</f>
        <v/>
      </c>
      <c r="GJ42" s="54" t="str">
        <f>IF(GJ12="","",IF(GJ12&lt;&gt;"THERMAL",GJ12,IF($GW42="","THERMAL - NOT SPECIFIED",$GW42)))</f>
        <v/>
      </c>
      <c r="GK42" s="54" t="str">
        <f>IF(GK12="","",IF(GK12&lt;&gt;"THERMAL",GK12,IF($GW42="","THERMAL - NOT SPECIFIED",$GW42)))</f>
        <v/>
      </c>
      <c r="GL42" s="54" t="str">
        <f>IF(GL12="","",IF(GL12&lt;&gt;"THERMAL",GL12,IF($GW42="","THERMAL - NOT SPECIFIED",$GW42)))</f>
        <v/>
      </c>
      <c r="GM42" s="54" t="str">
        <f>IF(GM12="","",IF(GM12&lt;&gt;"THERMAL",GM12,IF($GW42="","THERMAL - NOT SPECIFIED",$GW42)))</f>
        <v/>
      </c>
      <c r="GN42" s="54" t="str">
        <f>IF(GN12="","",IF(GN12&lt;&gt;"THERMAL",GN12,IF($GW42="","THERMAL - NOT SPECIFIED",$GW42)))</f>
        <v/>
      </c>
      <c r="GO42" s="54" t="str">
        <f>IF(GO12="","",IF(GO12&lt;&gt;"THERMAL",GO12,IF($GW42="","THERMAL - NOT SPECIFIED",$GW42)))</f>
        <v/>
      </c>
      <c r="GP42" s="54" t="str">
        <f>IF(GP12="","",IF(GP12&lt;&gt;"THERMAL",GP12,IF($GW42="","THERMAL - NOT SPECIFIED",$GW42)))</f>
        <v/>
      </c>
      <c r="GQ42" s="54" t="str">
        <f>IF(GQ12="","",IF(GQ12&lt;&gt;"THERMAL",GQ12,IF($GW42="","THERMAL - NOT SPECIFIED",$GW42)))</f>
        <v/>
      </c>
      <c r="GR42" s="54" t="str">
        <f>IF(GR12="","",IF(GR12&lt;&gt;"THERMAL",GR12,IF($GW42="","THERMAL - NOT SPECIFIED",$GW42)))</f>
        <v/>
      </c>
      <c r="GS42" s="54" t="str">
        <f>IF(GS12="","",IF(GS12&lt;&gt;"THERMAL",GS12,IF($GW42="","THERMAL - NOT SPECIFIED",$GW42)))</f>
        <v/>
      </c>
      <c r="GW42" s="55" t="str">
        <f>IF($GY42="","",IFERROR(INDEX('MC MAP'!$L$5:$L$28,MATCH($GY42,'MC MAP'!$K$5:$K$28,0)),$GY42))</f>
        <v/>
      </c>
      <c r="GY42" s="60"/>
      <c r="HA42" s="15"/>
      <c r="HE42" s="14" t="s">
        <v>27</v>
      </c>
    </row>
    <row r="43" spans="1:213">
      <c r="A43" s="2">
        <f>$A13</f>
        <v>8</v>
      </c>
      <c r="B43" s="54">
        <f>IF(B13="","",IF(B13&lt;&gt;"THERMAL",B13,IF($GW43="","THERMAL - NOT SPECIFIED",$GW43)))</f>
        <v>6109</v>
      </c>
      <c r="C43" s="54">
        <f>IF(C13="","",IF(C13&lt;&gt;"THERMAL",C13,IF($GW43="","THERMAL - NOT SPECIFIED",$GW43)))</f>
        <v>6109</v>
      </c>
      <c r="D43" s="54">
        <f>IF(D13="","",IF(D13&lt;&gt;"THERMAL",D13,IF($GW43="","THERMAL - NOT SPECIFIED",$GW43)))</f>
        <v>6109</v>
      </c>
      <c r="E43" s="54">
        <f>IF(E13="","",IF(E13&lt;&gt;"THERMAL",E13,IF($GW43="","THERMAL - NOT SPECIFIED",$GW43)))</f>
        <v>6109</v>
      </c>
      <c r="F43" s="54">
        <f>IF(F13="","",IF(F13&lt;&gt;"THERMAL",F13,IF($GW43="","THERMAL - NOT SPECIFIED",$GW43)))</f>
        <v>6109</v>
      </c>
      <c r="G43" s="54">
        <f>IF(G13="","",IF(G13&lt;&gt;"THERMAL",G13,IF($GW43="","THERMAL - NOT SPECIFIED",$GW43)))</f>
        <v>6109</v>
      </c>
      <c r="H43" s="54">
        <f>IF(H13="","",IF(H13&lt;&gt;"THERMAL",H13,IF($GW43="","THERMAL - NOT SPECIFIED",$GW43)))</f>
        <v>6109</v>
      </c>
      <c r="I43" s="54">
        <f>IF(I13="","",IF(I13&lt;&gt;"THERMAL",I13,IF($GW43="","THERMAL - NOT SPECIFIED",$GW43)))</f>
        <v>6109</v>
      </c>
      <c r="J43" s="54">
        <f>IF(J13="","",IF(J13&lt;&gt;"THERMAL",J13,IF($GW43="","THERMAL - NOT SPECIFIED",$GW43)))</f>
        <v>6109</v>
      </c>
      <c r="K43" s="54">
        <f>IF(K13="","",IF(K13&lt;&gt;"THERMAL",K13,IF($GW43="","THERMAL - NOT SPECIFIED",$GW43)))</f>
        <v>6109</v>
      </c>
      <c r="L43" s="54">
        <f>IF(L13="","",IF(L13&lt;&gt;"THERMAL",L13,IF($GW43="","THERMAL - NOT SPECIFIED",$GW43)))</f>
        <v>6109</v>
      </c>
      <c r="M43" s="54">
        <f>IF(M13="","",IF(M13&lt;&gt;"THERMAL",M13,IF($GW43="","THERMAL - NOT SPECIFIED",$GW43)))</f>
        <v>6109</v>
      </c>
      <c r="N43" s="54">
        <f>IF(N13="","",IF(N13&lt;&gt;"THERMAL",N13,IF($GW43="","THERMAL - NOT SPECIFIED",$GW43)))</f>
        <v>6109</v>
      </c>
      <c r="O43" s="54">
        <f>IF(O13="","",IF(O13&lt;&gt;"THERMAL",O13,IF($GW43="","THERMAL - NOT SPECIFIED",$GW43)))</f>
        <v>6109</v>
      </c>
      <c r="P43" s="54">
        <f>IF(P13="","",IF(P13&lt;&gt;"THERMAL",P13,IF($GW43="","THERMAL - NOT SPECIFIED",$GW43)))</f>
        <v>6109</v>
      </c>
      <c r="Q43" s="54">
        <f>IF(Q13="","",IF(Q13&lt;&gt;"THERMAL",Q13,IF($GW43="","THERMAL - NOT SPECIFIED",$GW43)))</f>
        <v>6109</v>
      </c>
      <c r="R43" s="54">
        <f>IF(R13="","",IF(R13&lt;&gt;"THERMAL",R13,IF($GW43="","THERMAL - NOT SPECIFIED",$GW43)))</f>
        <v>6109</v>
      </c>
      <c r="S43" s="54">
        <f>IF(S13="","",IF(S13&lt;&gt;"THERMAL",S13,IF($GW43="","THERMAL - NOT SPECIFIED",$GW43)))</f>
        <v>6109</v>
      </c>
      <c r="T43" s="54">
        <f>IF(T13="","",IF(T13&lt;&gt;"THERMAL",T13,IF($GW43="","THERMAL - NOT SPECIFIED",$GW43)))</f>
        <v>6109</v>
      </c>
      <c r="U43" s="54">
        <f>IF(U13="","",IF(U13&lt;&gt;"THERMAL",U13,IF($GW43="","THERMAL - NOT SPECIFIED",$GW43)))</f>
        <v>6109</v>
      </c>
      <c r="V43" s="54">
        <f>IF(V13="","",IF(V13&lt;&gt;"THERMAL",V13,IF($GW43="","THERMAL - NOT SPECIFIED",$GW43)))</f>
        <v>6109</v>
      </c>
      <c r="W43" s="54">
        <f>IF(W13="","",IF(W13&lt;&gt;"THERMAL",W13,IF($GW43="","THERMAL - NOT SPECIFIED",$GW43)))</f>
        <v>6109</v>
      </c>
      <c r="X43" s="54">
        <f>IF(X13="","",IF(X13&lt;&gt;"THERMAL",X13,IF($GW43="","THERMAL - NOT SPECIFIED",$GW43)))</f>
        <v>6109</v>
      </c>
      <c r="Y43" s="54">
        <f>IF(Y13="","",IF(Y13&lt;&gt;"THERMAL",Y13,IF($GW43="","THERMAL - NOT SPECIFIED",$GW43)))</f>
        <v>6109</v>
      </c>
      <c r="Z43" s="54">
        <f>IF(Z13="","",IF(Z13&lt;&gt;"THERMAL",Z13,IF($GW43="","THERMAL - NOT SPECIFIED",$GW43)))</f>
        <v>6109</v>
      </c>
      <c r="AA43" s="54">
        <f>IF(AA13="","",IF(AA13&lt;&gt;"THERMAL",AA13,IF($GW43="","THERMAL - NOT SPECIFIED",$GW43)))</f>
        <v>6109</v>
      </c>
      <c r="AB43" s="54">
        <f>IF(AB13="","",IF(AB13&lt;&gt;"THERMAL",AB13,IF($GW43="","THERMAL - NOT SPECIFIED",$GW43)))</f>
        <v>6109</v>
      </c>
      <c r="AC43" s="54">
        <f>IF(AC13="","",IF(AC13&lt;&gt;"THERMAL",AC13,IF($GW43="","THERMAL - NOT SPECIFIED",$GW43)))</f>
        <v>6109</v>
      </c>
      <c r="AD43" s="54">
        <f>IF(AD13="","",IF(AD13&lt;&gt;"THERMAL",AD13,IF($GW43="","THERMAL - NOT SPECIFIED",$GW43)))</f>
        <v>6109</v>
      </c>
      <c r="AE43" s="54">
        <f>IF(AE13="","",IF(AE13&lt;&gt;"THERMAL",AE13,IF($GW43="","THERMAL - NOT SPECIFIED",$GW43)))</f>
        <v>6109</v>
      </c>
      <c r="AF43" s="54">
        <f>IF(AF13="","",IF(AF13&lt;&gt;"THERMAL",AF13,IF($GW43="","THERMAL - NOT SPECIFIED",$GW43)))</f>
        <v>6109</v>
      </c>
      <c r="AG43" s="54">
        <f>IF(AG13="","",IF(AG13&lt;&gt;"THERMAL",AG13,IF($GW43="","THERMAL - NOT SPECIFIED",$GW43)))</f>
        <v>6109</v>
      </c>
      <c r="AH43" s="54">
        <f>IF(AH13="","",IF(AH13&lt;&gt;"THERMAL",AH13,IF($GW43="","THERMAL - NOT SPECIFIED",$GW43)))</f>
        <v>6109</v>
      </c>
      <c r="AI43" s="54">
        <f>IF(AI13="","",IF(AI13&lt;&gt;"THERMAL",AI13,IF($GW43="","THERMAL - NOT SPECIFIED",$GW43)))</f>
        <v>6109</v>
      </c>
      <c r="AJ43" s="54">
        <f>IF(AJ13="","",IF(AJ13&lt;&gt;"THERMAL",AJ13,IF($GW43="","THERMAL - NOT SPECIFIED",$GW43)))</f>
        <v>6109</v>
      </c>
      <c r="AK43" s="54">
        <f>IF(AK13="","",IF(AK13&lt;&gt;"THERMAL",AK13,IF($GW43="","THERMAL - NOT SPECIFIED",$GW43)))</f>
        <v>6109</v>
      </c>
      <c r="AL43" s="54">
        <f>IF(AL13="","",IF(AL13&lt;&gt;"THERMAL",AL13,IF($GW43="","THERMAL - NOT SPECIFIED",$GW43)))</f>
        <v>6109</v>
      </c>
      <c r="AM43" s="54">
        <f>IF(AM13="","",IF(AM13&lt;&gt;"THERMAL",AM13,IF($GW43="","THERMAL - NOT SPECIFIED",$GW43)))</f>
        <v>6109</v>
      </c>
      <c r="AN43" s="54">
        <f>IF(AN13="","",IF(AN13&lt;&gt;"THERMAL",AN13,IF($GW43="","THERMAL - NOT SPECIFIED",$GW43)))</f>
        <v>6109</v>
      </c>
      <c r="AO43" s="54">
        <f>IF(AO13="","",IF(AO13&lt;&gt;"THERMAL",AO13,IF($GW43="","THERMAL - NOT SPECIFIED",$GW43)))</f>
        <v>6109</v>
      </c>
      <c r="AP43" s="54">
        <f>IF(AP13="","",IF(AP13&lt;&gt;"THERMAL",AP13,IF($GW43="","THERMAL - NOT SPECIFIED",$GW43)))</f>
        <v>6109</v>
      </c>
      <c r="AQ43" s="54">
        <f>IF(AQ13="","",IF(AQ13&lt;&gt;"THERMAL",AQ13,IF($GW43="","THERMAL - NOT SPECIFIED",$GW43)))</f>
        <v>6109</v>
      </c>
      <c r="AR43" s="54">
        <f>IF(AR13="","",IF(AR13&lt;&gt;"THERMAL",AR13,IF($GW43="","THERMAL - NOT SPECIFIED",$GW43)))</f>
        <v>6109</v>
      </c>
      <c r="AS43" s="54">
        <f>IF(AS13="","",IF(AS13&lt;&gt;"THERMAL",AS13,IF($GW43="","THERMAL - NOT SPECIFIED",$GW43)))</f>
        <v>6109</v>
      </c>
      <c r="AT43" s="54">
        <f>IF(AT13="","",IF(AT13&lt;&gt;"THERMAL",AT13,IF($GW43="","THERMAL - NOT SPECIFIED",$GW43)))</f>
        <v>6109</v>
      </c>
      <c r="AU43" s="54">
        <f>IF(AU13="","",IF(AU13&lt;&gt;"THERMAL",AU13,IF($GW43="","THERMAL - NOT SPECIFIED",$GW43)))</f>
        <v>6109</v>
      </c>
      <c r="AV43" s="54">
        <f>IF(AV13="","",IF(AV13&lt;&gt;"THERMAL",AV13,IF($GW43="","THERMAL - NOT SPECIFIED",$GW43)))</f>
        <v>6109</v>
      </c>
      <c r="AW43" s="54">
        <f>IF(AW13="","",IF(AW13&lt;&gt;"THERMAL",AW13,IF($GW43="","THERMAL - NOT SPECIFIED",$GW43)))</f>
        <v>6109</v>
      </c>
      <c r="AX43" s="54">
        <f>IF(AX13="","",IF(AX13&lt;&gt;"THERMAL",AX13,IF($GW43="","THERMAL - NOT SPECIFIED",$GW43)))</f>
        <v>6109</v>
      </c>
      <c r="AY43" s="54">
        <f>IF(AY13="","",IF(AY13&lt;&gt;"THERMAL",AY13,IF($GW43="","THERMAL - NOT SPECIFIED",$GW43)))</f>
        <v>6109</v>
      </c>
      <c r="AZ43" s="54">
        <f>IF(AZ13="","",IF(AZ13&lt;&gt;"THERMAL",AZ13,IF($GW43="","THERMAL - NOT SPECIFIED",$GW43)))</f>
        <v>6109</v>
      </c>
      <c r="BA43" s="54">
        <f>IF(BA13="","",IF(BA13&lt;&gt;"THERMAL",BA13,IF($GW43="","THERMAL - NOT SPECIFIED",$GW43)))</f>
        <v>6109</v>
      </c>
      <c r="BB43" s="54">
        <f>IF(BB13="","",IF(BB13&lt;&gt;"THERMAL",BB13,IF($GW43="","THERMAL - NOT SPECIFIED",$GW43)))</f>
        <v>6109</v>
      </c>
      <c r="BC43" s="54">
        <f>IF(BC13="","",IF(BC13&lt;&gt;"THERMAL",BC13,IF($GW43="","THERMAL - NOT SPECIFIED",$GW43)))</f>
        <v>6109</v>
      </c>
      <c r="BD43" s="54">
        <f>IF(BD13="","",IF(BD13&lt;&gt;"THERMAL",BD13,IF($GW43="","THERMAL - NOT SPECIFIED",$GW43)))</f>
        <v>6109</v>
      </c>
      <c r="BE43" s="54">
        <f>IF(BE13="","",IF(BE13&lt;&gt;"THERMAL",BE13,IF($GW43="","THERMAL - NOT SPECIFIED",$GW43)))</f>
        <v>6109</v>
      </c>
      <c r="BF43" s="54">
        <f>IF(BF13="","",IF(BF13&lt;&gt;"THERMAL",BF13,IF($GW43="","THERMAL - NOT SPECIFIED",$GW43)))</f>
        <v>6109</v>
      </c>
      <c r="BG43" s="54">
        <f>IF(BG13="","",IF(BG13&lt;&gt;"THERMAL",BG13,IF($GW43="","THERMAL - NOT SPECIFIED",$GW43)))</f>
        <v>6109</v>
      </c>
      <c r="BH43" s="54">
        <f>IF(BH13="","",IF(BH13&lt;&gt;"THERMAL",BH13,IF($GW43="","THERMAL - NOT SPECIFIED",$GW43)))</f>
        <v>6109</v>
      </c>
      <c r="BI43" s="54">
        <f>IF(BI13="","",IF(BI13&lt;&gt;"THERMAL",BI13,IF($GW43="","THERMAL - NOT SPECIFIED",$GW43)))</f>
        <v>6109</v>
      </c>
      <c r="BJ43" s="54">
        <f>IF(BJ13="","",IF(BJ13&lt;&gt;"THERMAL",BJ13,IF($GW43="","THERMAL - NOT SPECIFIED",$GW43)))</f>
        <v>6109</v>
      </c>
      <c r="BK43" s="54">
        <f>IF(BK13="","",IF(BK13&lt;&gt;"THERMAL",BK13,IF($GW43="","THERMAL - NOT SPECIFIED",$GW43)))</f>
        <v>6109</v>
      </c>
      <c r="BL43" s="54">
        <f>IF(BL13="","",IF(BL13&lt;&gt;"THERMAL",BL13,IF($GW43="","THERMAL - NOT SPECIFIED",$GW43)))</f>
        <v>6109</v>
      </c>
      <c r="BM43" s="54">
        <f>IF(BM13="","",IF(BM13&lt;&gt;"THERMAL",BM13,IF($GW43="","THERMAL - NOT SPECIFIED",$GW43)))</f>
        <v>6109</v>
      </c>
      <c r="BN43" s="54">
        <f>IF(BN13="","",IF(BN13&lt;&gt;"THERMAL",BN13,IF($GW43="","THERMAL - NOT SPECIFIED",$GW43)))</f>
        <v>6109</v>
      </c>
      <c r="BO43" s="54">
        <f>IF(BO13="","",IF(BO13&lt;&gt;"THERMAL",BO13,IF($GW43="","THERMAL - NOT SPECIFIED",$GW43)))</f>
        <v>6109</v>
      </c>
      <c r="BP43" s="54">
        <f>IF(BP13="","",IF(BP13&lt;&gt;"THERMAL",BP13,IF($GW43="","THERMAL - NOT SPECIFIED",$GW43)))</f>
        <v>6109</v>
      </c>
      <c r="BQ43" s="54">
        <f>IF(BQ13="","",IF(BQ13&lt;&gt;"THERMAL",BQ13,IF($GW43="","THERMAL - NOT SPECIFIED",$GW43)))</f>
        <v>6109</v>
      </c>
      <c r="BR43" s="54">
        <f>IF(BR13="","",IF(BR13&lt;&gt;"THERMAL",BR13,IF($GW43="","THERMAL - NOT SPECIFIED",$GW43)))</f>
        <v>6109</v>
      </c>
      <c r="BS43" s="54">
        <f>IF(BS13="","",IF(BS13&lt;&gt;"THERMAL",BS13,IF($GW43="","THERMAL - NOT SPECIFIED",$GW43)))</f>
        <v>6109</v>
      </c>
      <c r="BT43" s="54" t="str">
        <f>IF(BT13="","",IF(BT13&lt;&gt;"THERMAL",BT13,IF($GW43="","THERMAL - NOT SPECIFIED",$GW43)))</f>
        <v>VACCANT</v>
      </c>
      <c r="BU43" s="54" t="str">
        <f>IF(BU13="","",IF(BU13&lt;&gt;"THERMAL",BU13,IF($GW43="","THERMAL - NOT SPECIFIED",$GW43)))</f>
        <v/>
      </c>
      <c r="BV43" s="54" t="str">
        <f>IF(BV13="","",IF(BV13&lt;&gt;"THERMAL",BV13,IF($GW43="","THERMAL - NOT SPECIFIED",$GW43)))</f>
        <v/>
      </c>
      <c r="BW43" s="54" t="str">
        <f>IF(BW13="","",IF(BW13&lt;&gt;"THERMAL",BW13,IF($GW43="","THERMAL - NOT SPECIFIED",$GW43)))</f>
        <v/>
      </c>
      <c r="BX43" s="54" t="str">
        <f>IF(BX13="","",IF(BX13&lt;&gt;"THERMAL",BX13,IF($GW43="","THERMAL - NOT SPECIFIED",$GW43)))</f>
        <v/>
      </c>
      <c r="BY43" s="54" t="str">
        <f>IF(BY13="","",IF(BY13&lt;&gt;"THERMAL",BY13,IF($GW43="","THERMAL - NOT SPECIFIED",$GW43)))</f>
        <v/>
      </c>
      <c r="BZ43" s="54" t="str">
        <f>IF(BZ13="","",IF(BZ13&lt;&gt;"THERMAL",BZ13,IF($GW43="","THERMAL - NOT SPECIFIED",$GW43)))</f>
        <v/>
      </c>
      <c r="CA43" s="54" t="str">
        <f>IF(CA13="","",IF(CA13&lt;&gt;"THERMAL",CA13,IF($GW43="","THERMAL - NOT SPECIFIED",$GW43)))</f>
        <v/>
      </c>
      <c r="CB43" s="54" t="str">
        <f>IF(CB13="","",IF(CB13&lt;&gt;"THERMAL",CB13,IF($GW43="","THERMAL - NOT SPECIFIED",$GW43)))</f>
        <v/>
      </c>
      <c r="CC43" s="54" t="str">
        <f>IF(CC13="","",IF(CC13&lt;&gt;"THERMAL",CC13,IF($GW43="","THERMAL - NOT SPECIFIED",$GW43)))</f>
        <v/>
      </c>
      <c r="CD43" s="54" t="str">
        <f>IF(CD13="","",IF(CD13&lt;&gt;"THERMAL",CD13,IF($GW43="","THERMAL - NOT SPECIFIED",$GW43)))</f>
        <v/>
      </c>
      <c r="CE43" s="54" t="str">
        <f>IF(CE13="","",IF(CE13&lt;&gt;"THERMAL",CE13,IF($GW43="","THERMAL - NOT SPECIFIED",$GW43)))</f>
        <v/>
      </c>
      <c r="CF43" s="54" t="str">
        <f>IF(CF13="","",IF(CF13&lt;&gt;"THERMAL",CF13,IF($GW43="","THERMAL - NOT SPECIFIED",$GW43)))</f>
        <v/>
      </c>
      <c r="CG43" s="54" t="str">
        <f>IF(CG13="","",IF(CG13&lt;&gt;"THERMAL",CG13,IF($GW43="","THERMAL - NOT SPECIFIED",$GW43)))</f>
        <v/>
      </c>
      <c r="CH43" s="54" t="str">
        <f>IF(CH13="","",IF(CH13&lt;&gt;"THERMAL",CH13,IF($GW43="","THERMAL - NOT SPECIFIED",$GW43)))</f>
        <v/>
      </c>
      <c r="CI43" s="54" t="str">
        <f>IF(CI13="","",IF(CI13&lt;&gt;"THERMAL",CI13,IF($GW43="","THERMAL - NOT SPECIFIED",$GW43)))</f>
        <v/>
      </c>
      <c r="CJ43" s="54" t="str">
        <f>IF(CJ13="","",IF(CJ13&lt;&gt;"THERMAL",CJ13,IF($GW43="","THERMAL - NOT SPECIFIED",$GW43)))</f>
        <v/>
      </c>
      <c r="CK43" s="54" t="str">
        <f>IF(CK13="","",IF(CK13&lt;&gt;"THERMAL",CK13,IF($GW43="","THERMAL - NOT SPECIFIED",$GW43)))</f>
        <v/>
      </c>
      <c r="CL43" s="54" t="str">
        <f>IF(CL13="","",IF(CL13&lt;&gt;"THERMAL",CL13,IF($GW43="","THERMAL - NOT SPECIFIED",$GW43)))</f>
        <v/>
      </c>
      <c r="CM43" s="54" t="str">
        <f>IF(CM13="","",IF(CM13&lt;&gt;"THERMAL",CM13,IF($GW43="","THERMAL - NOT SPECIFIED",$GW43)))</f>
        <v/>
      </c>
      <c r="CN43" s="54" t="str">
        <f>IF(CN13="","",IF(CN13&lt;&gt;"THERMAL",CN13,IF($GW43="","THERMAL - NOT SPECIFIED",$GW43)))</f>
        <v/>
      </c>
      <c r="CO43" s="54" t="str">
        <f>IF(CO13="","",IF(CO13&lt;&gt;"THERMAL",CO13,IF($GW43="","THERMAL - NOT SPECIFIED",$GW43)))</f>
        <v/>
      </c>
      <c r="CP43" s="54" t="str">
        <f>IF(CP13="","",IF(CP13&lt;&gt;"THERMAL",CP13,IF($GW43="","THERMAL - NOT SPECIFIED",$GW43)))</f>
        <v/>
      </c>
      <c r="CQ43" s="54" t="str">
        <f>IF(CQ13="","",IF(CQ13&lt;&gt;"THERMAL",CQ13,IF($GW43="","THERMAL - NOT SPECIFIED",$GW43)))</f>
        <v/>
      </c>
      <c r="CR43" s="54" t="str">
        <f>IF(CR13="","",IF(CR13&lt;&gt;"THERMAL",CR13,IF($GW43="","THERMAL - NOT SPECIFIED",$GW43)))</f>
        <v/>
      </c>
      <c r="CS43" s="54" t="str">
        <f>IF(CS13="","",IF(CS13&lt;&gt;"THERMAL",CS13,IF($GW43="","THERMAL - NOT SPECIFIED",$GW43)))</f>
        <v/>
      </c>
      <c r="CT43" s="54" t="str">
        <f>IF(CT13="","",IF(CT13&lt;&gt;"THERMAL",CT13,IF($GW43="","THERMAL - NOT SPECIFIED",$GW43)))</f>
        <v/>
      </c>
      <c r="CU43" s="54" t="str">
        <f>IF(CU13="","",IF(CU13&lt;&gt;"THERMAL",CU13,IF($GW43="","THERMAL - NOT SPECIFIED",$GW43)))</f>
        <v/>
      </c>
      <c r="CV43" s="54" t="str">
        <f>IF(CV13="","",IF(CV13&lt;&gt;"THERMAL",CV13,IF($GW43="","THERMAL - NOT SPECIFIED",$GW43)))</f>
        <v/>
      </c>
      <c r="CW43" s="54" t="str">
        <f>IF(CW13="","",IF(CW13&lt;&gt;"THERMAL",CW13,IF($GW43="","THERMAL - NOT SPECIFIED",$GW43)))</f>
        <v/>
      </c>
      <c r="CX43" s="54" t="str">
        <f>IF(CX13="","",IF(CX13&lt;&gt;"THERMAL",CX13,IF($GW43="","THERMAL - NOT SPECIFIED",$GW43)))</f>
        <v/>
      </c>
      <c r="CY43" s="54" t="str">
        <f>IF(CY13="","",IF(CY13&lt;&gt;"THERMAL",CY13,IF($GW43="","THERMAL - NOT SPECIFIED",$GW43)))</f>
        <v/>
      </c>
      <c r="CZ43" s="54" t="str">
        <f>IF(CZ13="","",IF(CZ13&lt;&gt;"THERMAL",CZ13,IF($GW43="","THERMAL - NOT SPECIFIED",$GW43)))</f>
        <v/>
      </c>
      <c r="DA43" s="54" t="str">
        <f>IF(DA13="","",IF(DA13&lt;&gt;"THERMAL",DA13,IF($GW43="","THERMAL - NOT SPECIFIED",$GW43)))</f>
        <v/>
      </c>
      <c r="DB43" s="54" t="str">
        <f>IF(DB13="","",IF(DB13&lt;&gt;"THERMAL",DB13,IF($GW43="","THERMAL - NOT SPECIFIED",$GW43)))</f>
        <v/>
      </c>
      <c r="DC43" s="54" t="str">
        <f>IF(DC13="","",IF(DC13&lt;&gt;"THERMAL",DC13,IF($GW43="","THERMAL - NOT SPECIFIED",$GW43)))</f>
        <v/>
      </c>
      <c r="DD43" s="54" t="str">
        <f>IF(DD13="","",IF(DD13&lt;&gt;"THERMAL",DD13,IF($GW43="","THERMAL - NOT SPECIFIED",$GW43)))</f>
        <v/>
      </c>
      <c r="DE43" s="54" t="str">
        <f>IF(DE13="","",IF(DE13&lt;&gt;"THERMAL",DE13,IF($GW43="","THERMAL - NOT SPECIFIED",$GW43)))</f>
        <v/>
      </c>
      <c r="DF43" s="54" t="str">
        <f>IF(DF13="","",IF(DF13&lt;&gt;"THERMAL",DF13,IF($GW43="","THERMAL - NOT SPECIFIED",$GW43)))</f>
        <v/>
      </c>
      <c r="DG43" s="54" t="str">
        <f>IF(DG13="","",IF(DG13&lt;&gt;"THERMAL",DG13,IF($GW43="","THERMAL - NOT SPECIFIED",$GW43)))</f>
        <v/>
      </c>
      <c r="DH43" s="54" t="str">
        <f>IF(DH13="","",IF(DH13&lt;&gt;"THERMAL",DH13,IF($GW43="","THERMAL - NOT SPECIFIED",$GW43)))</f>
        <v/>
      </c>
      <c r="DI43" s="54" t="str">
        <f>IF(DI13="","",IF(DI13&lt;&gt;"THERMAL",DI13,IF($GW43="","THERMAL - NOT SPECIFIED",$GW43)))</f>
        <v/>
      </c>
      <c r="DJ43" s="54" t="str">
        <f>IF(DJ13="","",IF(DJ13&lt;&gt;"THERMAL",DJ13,IF($GW43="","THERMAL - NOT SPECIFIED",$GW43)))</f>
        <v/>
      </c>
      <c r="DK43" s="54" t="str">
        <f>IF(DK13="","",IF(DK13&lt;&gt;"THERMAL",DK13,IF($GW43="","THERMAL - NOT SPECIFIED",$GW43)))</f>
        <v/>
      </c>
      <c r="DL43" s="54" t="str">
        <f>IF(DL13="","",IF(DL13&lt;&gt;"THERMAL",DL13,IF($GW43="","THERMAL - NOT SPECIFIED",$GW43)))</f>
        <v/>
      </c>
      <c r="DM43" s="54" t="str">
        <f>IF(DM13="","",IF(DM13&lt;&gt;"THERMAL",DM13,IF($GW43="","THERMAL - NOT SPECIFIED",$GW43)))</f>
        <v/>
      </c>
      <c r="DN43" s="54" t="str">
        <f>IF(DN13="","",IF(DN13&lt;&gt;"THERMAL",DN13,IF($GW43="","THERMAL - NOT SPECIFIED",$GW43)))</f>
        <v/>
      </c>
      <c r="DO43" s="54" t="str">
        <f>IF(DO13="","",IF(DO13&lt;&gt;"THERMAL",DO13,IF($GW43="","THERMAL - NOT SPECIFIED",$GW43)))</f>
        <v/>
      </c>
      <c r="DP43" s="54" t="str">
        <f>IF(DP13="","",IF(DP13&lt;&gt;"THERMAL",DP13,IF($GW43="","THERMAL - NOT SPECIFIED",$GW43)))</f>
        <v/>
      </c>
      <c r="DQ43" s="54" t="str">
        <f>IF(DQ13="","",IF(DQ13&lt;&gt;"THERMAL",DQ13,IF($GW43="","THERMAL - NOT SPECIFIED",$GW43)))</f>
        <v/>
      </c>
      <c r="DR43" s="54" t="str">
        <f>IF(DR13="","",IF(DR13&lt;&gt;"THERMAL",DR13,IF($GW43="","THERMAL - NOT SPECIFIED",$GW43)))</f>
        <v/>
      </c>
      <c r="DS43" s="54" t="str">
        <f>IF(DS13="","",IF(DS13&lt;&gt;"THERMAL",DS13,IF($GW43="","THERMAL - NOT SPECIFIED",$GW43)))</f>
        <v/>
      </c>
      <c r="DT43" s="54" t="str">
        <f>IF(DT13="","",IF(DT13&lt;&gt;"THERMAL",DT13,IF($GW43="","THERMAL - NOT SPECIFIED",$GW43)))</f>
        <v/>
      </c>
      <c r="DU43" s="54" t="str">
        <f>IF(DU13="","",IF(DU13&lt;&gt;"THERMAL",DU13,IF($GW43="","THERMAL - NOT SPECIFIED",$GW43)))</f>
        <v/>
      </c>
      <c r="DV43" s="54" t="str">
        <f>IF(DV13="","",IF(DV13&lt;&gt;"THERMAL",DV13,IF($GW43="","THERMAL - NOT SPECIFIED",$GW43)))</f>
        <v/>
      </c>
      <c r="DW43" s="54" t="str">
        <f>IF(DW13="","",IF(DW13&lt;&gt;"THERMAL",DW13,IF($GW43="","THERMAL - NOT SPECIFIED",$GW43)))</f>
        <v/>
      </c>
      <c r="DX43" s="54" t="str">
        <f>IF(DX13="","",IF(DX13&lt;&gt;"THERMAL",DX13,IF($GW43="","THERMAL - NOT SPECIFIED",$GW43)))</f>
        <v/>
      </c>
      <c r="DY43" s="54" t="str">
        <f>IF(DY13="","",IF(DY13&lt;&gt;"THERMAL",DY13,IF($GW43="","THERMAL - NOT SPECIFIED",$GW43)))</f>
        <v/>
      </c>
      <c r="DZ43" s="54" t="str">
        <f>IF(DZ13="","",IF(DZ13&lt;&gt;"THERMAL",DZ13,IF($GW43="","THERMAL - NOT SPECIFIED",$GW43)))</f>
        <v/>
      </c>
      <c r="EA43" s="54" t="str">
        <f>IF(EA13="","",IF(EA13&lt;&gt;"THERMAL",EA13,IF($GW43="","THERMAL - NOT SPECIFIED",$GW43)))</f>
        <v/>
      </c>
      <c r="EB43" s="54" t="str">
        <f>IF(EB13="","",IF(EB13&lt;&gt;"THERMAL",EB13,IF($GW43="","THERMAL - NOT SPECIFIED",$GW43)))</f>
        <v/>
      </c>
      <c r="EC43" s="54" t="str">
        <f>IF(EC13="","",IF(EC13&lt;&gt;"THERMAL",EC13,IF($GW43="","THERMAL - NOT SPECIFIED",$GW43)))</f>
        <v/>
      </c>
      <c r="ED43" s="54" t="str">
        <f>IF(ED13="","",IF(ED13&lt;&gt;"THERMAL",ED13,IF($GW43="","THERMAL - NOT SPECIFIED",$GW43)))</f>
        <v/>
      </c>
      <c r="EE43" s="54" t="str">
        <f>IF(EE13="","",IF(EE13&lt;&gt;"THERMAL",EE13,IF($GW43="","THERMAL - NOT SPECIFIED",$GW43)))</f>
        <v/>
      </c>
      <c r="EF43" s="54" t="str">
        <f>IF(EF13="","",IF(EF13&lt;&gt;"THERMAL",EF13,IF($GW43="","THERMAL - NOT SPECIFIED",$GW43)))</f>
        <v/>
      </c>
      <c r="EG43" s="54" t="str">
        <f>IF(EG13="","",IF(EG13&lt;&gt;"THERMAL",EG13,IF($GW43="","THERMAL - NOT SPECIFIED",$GW43)))</f>
        <v/>
      </c>
      <c r="EH43" s="54" t="str">
        <f>IF(EH13="","",IF(EH13&lt;&gt;"THERMAL",EH13,IF($GW43="","THERMAL - NOT SPECIFIED",$GW43)))</f>
        <v/>
      </c>
      <c r="EI43" s="54" t="str">
        <f>IF(EI13="","",IF(EI13&lt;&gt;"THERMAL",EI13,IF($GW43="","THERMAL - NOT SPECIFIED",$GW43)))</f>
        <v/>
      </c>
      <c r="EJ43" s="54" t="str">
        <f>IF(EJ13="","",IF(EJ13&lt;&gt;"THERMAL",EJ13,IF($GW43="","THERMAL - NOT SPECIFIED",$GW43)))</f>
        <v/>
      </c>
      <c r="EK43" s="54" t="str">
        <f>IF(EK13="","",IF(EK13&lt;&gt;"THERMAL",EK13,IF($GW43="","THERMAL - NOT SPECIFIED",$GW43)))</f>
        <v/>
      </c>
      <c r="EL43" s="54" t="str">
        <f>IF(EL13="","",IF(EL13&lt;&gt;"THERMAL",EL13,IF($GW43="","THERMAL - NOT SPECIFIED",$GW43)))</f>
        <v/>
      </c>
      <c r="EM43" s="54" t="str">
        <f>IF(EM13="","",IF(EM13&lt;&gt;"THERMAL",EM13,IF($GW43="","THERMAL - NOT SPECIFIED",$GW43)))</f>
        <v/>
      </c>
      <c r="EN43" s="54" t="str">
        <f>IF(EN13="","",IF(EN13&lt;&gt;"THERMAL",EN13,IF($GW43="","THERMAL - NOT SPECIFIED",$GW43)))</f>
        <v/>
      </c>
      <c r="EO43" s="54" t="str">
        <f>IF(EO13="","",IF(EO13&lt;&gt;"THERMAL",EO13,IF($GW43="","THERMAL - NOT SPECIFIED",$GW43)))</f>
        <v/>
      </c>
      <c r="EP43" s="54" t="str">
        <f>IF(EP13="","",IF(EP13&lt;&gt;"THERMAL",EP13,IF($GW43="","THERMAL - NOT SPECIFIED",$GW43)))</f>
        <v/>
      </c>
      <c r="EQ43" s="54" t="str">
        <f>IF(EQ13="","",IF(EQ13&lt;&gt;"THERMAL",EQ13,IF($GW43="","THERMAL - NOT SPECIFIED",$GW43)))</f>
        <v/>
      </c>
      <c r="ER43" s="54" t="str">
        <f>IF(ER13="","",IF(ER13&lt;&gt;"THERMAL",ER13,IF($GW43="","THERMAL - NOT SPECIFIED",$GW43)))</f>
        <v/>
      </c>
      <c r="ES43" s="54" t="str">
        <f>IF(ES13="","",IF(ES13&lt;&gt;"THERMAL",ES13,IF($GW43="","THERMAL - NOT SPECIFIED",$GW43)))</f>
        <v/>
      </c>
      <c r="ET43" s="54" t="str">
        <f>IF(ET13="","",IF(ET13&lt;&gt;"THERMAL",ET13,IF($GW43="","THERMAL - NOT SPECIFIED",$GW43)))</f>
        <v/>
      </c>
      <c r="EU43" s="54" t="str">
        <f>IF(EU13="","",IF(EU13&lt;&gt;"THERMAL",EU13,IF($GW43="","THERMAL - NOT SPECIFIED",$GW43)))</f>
        <v/>
      </c>
      <c r="EV43" s="54" t="str">
        <f>IF(EV13="","",IF(EV13&lt;&gt;"THERMAL",EV13,IF($GW43="","THERMAL - NOT SPECIFIED",$GW43)))</f>
        <v/>
      </c>
      <c r="EW43" s="54" t="str">
        <f>IF(EW13="","",IF(EW13&lt;&gt;"THERMAL",EW13,IF($GW43="","THERMAL - NOT SPECIFIED",$GW43)))</f>
        <v/>
      </c>
      <c r="EX43" s="54" t="str">
        <f>IF(EX13="","",IF(EX13&lt;&gt;"THERMAL",EX13,IF($GW43="","THERMAL - NOT SPECIFIED",$GW43)))</f>
        <v/>
      </c>
      <c r="EY43" s="54" t="str">
        <f>IF(EY13="","",IF(EY13&lt;&gt;"THERMAL",EY13,IF($GW43="","THERMAL - NOT SPECIFIED",$GW43)))</f>
        <v/>
      </c>
      <c r="EZ43" s="54" t="str">
        <f>IF(EZ13="","",IF(EZ13&lt;&gt;"THERMAL",EZ13,IF($GW43="","THERMAL - NOT SPECIFIED",$GW43)))</f>
        <v/>
      </c>
      <c r="FA43" s="54" t="str">
        <f>IF(FA13="","",IF(FA13&lt;&gt;"THERMAL",FA13,IF($GW43="","THERMAL - NOT SPECIFIED",$GW43)))</f>
        <v/>
      </c>
      <c r="FB43" s="54" t="str">
        <f>IF(FB13="","",IF(FB13&lt;&gt;"THERMAL",FB13,IF($GW43="","THERMAL - NOT SPECIFIED",$GW43)))</f>
        <v/>
      </c>
      <c r="FC43" s="54" t="str">
        <f>IF(FC13="","",IF(FC13&lt;&gt;"THERMAL",FC13,IF($GW43="","THERMAL - NOT SPECIFIED",$GW43)))</f>
        <v/>
      </c>
      <c r="FD43" s="54" t="str">
        <f>IF(FD13="","",IF(FD13&lt;&gt;"THERMAL",FD13,IF($GW43="","THERMAL - NOT SPECIFIED",$GW43)))</f>
        <v/>
      </c>
      <c r="FE43" s="54" t="str">
        <f>IF(FE13="","",IF(FE13&lt;&gt;"THERMAL",FE13,IF($GW43="","THERMAL - NOT SPECIFIED",$GW43)))</f>
        <v/>
      </c>
      <c r="FF43" s="54" t="str">
        <f>IF(FF13="","",IF(FF13&lt;&gt;"THERMAL",FF13,IF($GW43="","THERMAL - NOT SPECIFIED",$GW43)))</f>
        <v/>
      </c>
      <c r="FG43" s="54" t="str">
        <f>IF(FG13="","",IF(FG13&lt;&gt;"THERMAL",FG13,IF($GW43="","THERMAL - NOT SPECIFIED",$GW43)))</f>
        <v/>
      </c>
      <c r="FH43" s="54" t="str">
        <f>IF(FH13="","",IF(FH13&lt;&gt;"THERMAL",FH13,IF($GW43="","THERMAL - NOT SPECIFIED",$GW43)))</f>
        <v/>
      </c>
      <c r="FI43" s="54" t="str">
        <f>IF(FI13="","",IF(FI13&lt;&gt;"THERMAL",FI13,IF($GW43="","THERMAL - NOT SPECIFIED",$GW43)))</f>
        <v/>
      </c>
      <c r="FJ43" s="54" t="str">
        <f>IF(FJ13="","",IF(FJ13&lt;&gt;"THERMAL",FJ13,IF($GW43="","THERMAL - NOT SPECIFIED",$GW43)))</f>
        <v/>
      </c>
      <c r="FK43" s="54" t="str">
        <f>IF(FK13="","",IF(FK13&lt;&gt;"THERMAL",FK13,IF($GW43="","THERMAL - NOT SPECIFIED",$GW43)))</f>
        <v/>
      </c>
      <c r="FL43" s="54" t="str">
        <f>IF(FL13="","",IF(FL13&lt;&gt;"THERMAL",FL13,IF($GW43="","THERMAL - NOT SPECIFIED",$GW43)))</f>
        <v/>
      </c>
      <c r="FM43" s="54" t="str">
        <f>IF(FM13="","",IF(FM13&lt;&gt;"THERMAL",FM13,IF($GW43="","THERMAL - NOT SPECIFIED",$GW43)))</f>
        <v/>
      </c>
      <c r="FN43" s="54" t="str">
        <f>IF(FN13="","",IF(FN13&lt;&gt;"THERMAL",FN13,IF($GW43="","THERMAL - NOT SPECIFIED",$GW43)))</f>
        <v/>
      </c>
      <c r="FO43" s="54" t="str">
        <f>IF(FO13="","",IF(FO13&lt;&gt;"THERMAL",FO13,IF($GW43="","THERMAL - NOT SPECIFIED",$GW43)))</f>
        <v/>
      </c>
      <c r="FP43" s="54" t="str">
        <f>IF(FP13="","",IF(FP13&lt;&gt;"THERMAL",FP13,IF($GW43="","THERMAL - NOT SPECIFIED",$GW43)))</f>
        <v/>
      </c>
      <c r="FQ43" s="54" t="str">
        <f>IF(FQ13="","",IF(FQ13&lt;&gt;"THERMAL",FQ13,IF($GW43="","THERMAL - NOT SPECIFIED",$GW43)))</f>
        <v/>
      </c>
      <c r="FR43" s="54" t="str">
        <f>IF(FR13="","",IF(FR13&lt;&gt;"THERMAL",FR13,IF($GW43="","THERMAL - NOT SPECIFIED",$GW43)))</f>
        <v/>
      </c>
      <c r="FS43" s="54" t="str">
        <f>IF(FS13="","",IF(FS13&lt;&gt;"THERMAL",FS13,IF($GW43="","THERMAL - NOT SPECIFIED",$GW43)))</f>
        <v/>
      </c>
      <c r="FT43" s="54" t="str">
        <f>IF(FT13="","",IF(FT13&lt;&gt;"THERMAL",FT13,IF($GW43="","THERMAL - NOT SPECIFIED",$GW43)))</f>
        <v/>
      </c>
      <c r="FU43" s="54" t="str">
        <f>IF(FU13="","",IF(FU13&lt;&gt;"THERMAL",FU13,IF($GW43="","THERMAL - NOT SPECIFIED",$GW43)))</f>
        <v/>
      </c>
      <c r="FV43" s="54" t="str">
        <f>IF(FV13="","",IF(FV13&lt;&gt;"THERMAL",FV13,IF($GW43="","THERMAL - NOT SPECIFIED",$GW43)))</f>
        <v/>
      </c>
      <c r="FW43" s="54" t="str">
        <f>IF(FW13="","",IF(FW13&lt;&gt;"THERMAL",FW13,IF($GW43="","THERMAL - NOT SPECIFIED",$GW43)))</f>
        <v/>
      </c>
      <c r="FX43" s="54" t="str">
        <f>IF(FX13="","",IF(FX13&lt;&gt;"THERMAL",FX13,IF($GW43="","THERMAL - NOT SPECIFIED",$GW43)))</f>
        <v/>
      </c>
      <c r="FY43" s="54" t="str">
        <f>IF(FY13="","",IF(FY13&lt;&gt;"THERMAL",FY13,IF($GW43="","THERMAL - NOT SPECIFIED",$GW43)))</f>
        <v/>
      </c>
      <c r="FZ43" s="54" t="str">
        <f>IF(FZ13="","",IF(FZ13&lt;&gt;"THERMAL",FZ13,IF($GW43="","THERMAL - NOT SPECIFIED",$GW43)))</f>
        <v/>
      </c>
      <c r="GA43" s="54" t="str">
        <f>IF(GA13="","",IF(GA13&lt;&gt;"THERMAL",GA13,IF($GW43="","THERMAL - NOT SPECIFIED",$GW43)))</f>
        <v/>
      </c>
      <c r="GB43" s="54" t="str">
        <f>IF(GB13="","",IF(GB13&lt;&gt;"THERMAL",GB13,IF($GW43="","THERMAL - NOT SPECIFIED",$GW43)))</f>
        <v/>
      </c>
      <c r="GC43" s="54" t="str">
        <f>IF(GC13="","",IF(GC13&lt;&gt;"THERMAL",GC13,IF($GW43="","THERMAL - NOT SPECIFIED",$GW43)))</f>
        <v/>
      </c>
      <c r="GD43" s="54" t="str">
        <f>IF(GD13="","",IF(GD13&lt;&gt;"THERMAL",GD13,IF($GW43="","THERMAL - NOT SPECIFIED",$GW43)))</f>
        <v/>
      </c>
      <c r="GE43" s="54" t="str">
        <f>IF(GE13="","",IF(GE13&lt;&gt;"THERMAL",GE13,IF($GW43="","THERMAL - NOT SPECIFIED",$GW43)))</f>
        <v/>
      </c>
      <c r="GF43" s="54" t="str">
        <f>IF(GF13="","",IF(GF13&lt;&gt;"THERMAL",GF13,IF($GW43="","THERMAL - NOT SPECIFIED",$GW43)))</f>
        <v/>
      </c>
      <c r="GG43" s="54" t="str">
        <f>IF(GG13="","",IF(GG13&lt;&gt;"THERMAL",GG13,IF($GW43="","THERMAL - NOT SPECIFIED",$GW43)))</f>
        <v/>
      </c>
      <c r="GH43" s="54" t="str">
        <f>IF(GH13="","",IF(GH13&lt;&gt;"THERMAL",GH13,IF($GW43="","THERMAL - NOT SPECIFIED",$GW43)))</f>
        <v/>
      </c>
      <c r="GI43" s="54" t="str">
        <f>IF(GI13="","",IF(GI13&lt;&gt;"THERMAL",GI13,IF($GW43="","THERMAL - NOT SPECIFIED",$GW43)))</f>
        <v/>
      </c>
      <c r="GJ43" s="54" t="str">
        <f>IF(GJ13="","",IF(GJ13&lt;&gt;"THERMAL",GJ13,IF($GW43="","THERMAL - NOT SPECIFIED",$GW43)))</f>
        <v/>
      </c>
      <c r="GK43" s="54" t="str">
        <f>IF(GK13="","",IF(GK13&lt;&gt;"THERMAL",GK13,IF($GW43="","THERMAL - NOT SPECIFIED",$GW43)))</f>
        <v/>
      </c>
      <c r="GL43" s="54" t="str">
        <f>IF(GL13="","",IF(GL13&lt;&gt;"THERMAL",GL13,IF($GW43="","THERMAL - NOT SPECIFIED",$GW43)))</f>
        <v/>
      </c>
      <c r="GM43" s="54" t="str">
        <f>IF(GM13="","",IF(GM13&lt;&gt;"THERMAL",GM13,IF($GW43="","THERMAL - NOT SPECIFIED",$GW43)))</f>
        <v/>
      </c>
      <c r="GN43" s="54" t="str">
        <f>IF(GN13="","",IF(GN13&lt;&gt;"THERMAL",GN13,IF($GW43="","THERMAL - NOT SPECIFIED",$GW43)))</f>
        <v/>
      </c>
      <c r="GO43" s="54" t="str">
        <f>IF(GO13="","",IF(GO13&lt;&gt;"THERMAL",GO13,IF($GW43="","THERMAL - NOT SPECIFIED",$GW43)))</f>
        <v/>
      </c>
      <c r="GP43" s="54" t="str">
        <f>IF(GP13="","",IF(GP13&lt;&gt;"THERMAL",GP13,IF($GW43="","THERMAL - NOT SPECIFIED",$GW43)))</f>
        <v/>
      </c>
      <c r="GQ43" s="54" t="str">
        <f>IF(GQ13="","",IF(GQ13&lt;&gt;"THERMAL",GQ13,IF($GW43="","THERMAL - NOT SPECIFIED",$GW43)))</f>
        <v/>
      </c>
      <c r="GR43" s="54" t="str">
        <f>IF(GR13="","",IF(GR13&lt;&gt;"THERMAL",GR13,IF($GW43="","THERMAL - NOT SPECIFIED",$GW43)))</f>
        <v/>
      </c>
      <c r="GS43" s="54" t="str">
        <f>IF(GS13="","",IF(GS13&lt;&gt;"THERMAL",GS13,IF($GW43="","THERMAL - NOT SPECIFIED",$GW43)))</f>
        <v/>
      </c>
      <c r="GW43" s="55" t="str">
        <f>IF($GY43="","",IFERROR(INDEX('MC MAP'!$L$5:$L$28,MATCH($GY43,'MC MAP'!$K$5:$K$28,0)),$GY43))</f>
        <v/>
      </c>
      <c r="GY43" s="60"/>
      <c r="HA43" s="15"/>
      <c r="HE43" s="14" t="s">
        <v>28</v>
      </c>
    </row>
    <row r="44" spans="1:213">
      <c r="A44" s="2">
        <f>$A14</f>
        <v>9</v>
      </c>
      <c r="B44" s="54">
        <f>IF(B14="","",IF(B14&lt;&gt;"THERMAL",B14,IF($GW44="","THERMAL - NOT SPECIFIED",$GW44)))</f>
        <v>6109</v>
      </c>
      <c r="C44" s="54">
        <f>IF(C14="","",IF(C14&lt;&gt;"THERMAL",C14,IF($GW44="","THERMAL - NOT SPECIFIED",$GW44)))</f>
        <v>6109</v>
      </c>
      <c r="D44" s="54">
        <f>IF(D14="","",IF(D14&lt;&gt;"THERMAL",D14,IF($GW44="","THERMAL - NOT SPECIFIED",$GW44)))</f>
        <v>6109</v>
      </c>
      <c r="E44" s="54">
        <f>IF(E14="","",IF(E14&lt;&gt;"THERMAL",E14,IF($GW44="","THERMAL - NOT SPECIFIED",$GW44)))</f>
        <v>6109</v>
      </c>
      <c r="F44" s="54">
        <f>IF(F14="","",IF(F14&lt;&gt;"THERMAL",F14,IF($GW44="","THERMAL - NOT SPECIFIED",$GW44)))</f>
        <v>6109</v>
      </c>
      <c r="G44" s="54">
        <f>IF(G14="","",IF(G14&lt;&gt;"THERMAL",G14,IF($GW44="","THERMAL - NOT SPECIFIED",$GW44)))</f>
        <v>6109</v>
      </c>
      <c r="H44" s="54">
        <f>IF(H14="","",IF(H14&lt;&gt;"THERMAL",H14,IF($GW44="","THERMAL - NOT SPECIFIED",$GW44)))</f>
        <v>6109</v>
      </c>
      <c r="I44" s="54">
        <f>IF(I14="","",IF(I14&lt;&gt;"THERMAL",I14,IF($GW44="","THERMAL - NOT SPECIFIED",$GW44)))</f>
        <v>6109</v>
      </c>
      <c r="J44" s="54">
        <f>IF(J14="","",IF(J14&lt;&gt;"THERMAL",J14,IF($GW44="","THERMAL - NOT SPECIFIED",$GW44)))</f>
        <v>6109</v>
      </c>
      <c r="K44" s="54">
        <f>IF(K14="","",IF(K14&lt;&gt;"THERMAL",K14,IF($GW44="","THERMAL - NOT SPECIFIED",$GW44)))</f>
        <v>6109</v>
      </c>
      <c r="L44" s="54">
        <f>IF(L14="","",IF(L14&lt;&gt;"THERMAL",L14,IF($GW44="","THERMAL - NOT SPECIFIED",$GW44)))</f>
        <v>6109</v>
      </c>
      <c r="M44" s="54">
        <f>IF(M14="","",IF(M14&lt;&gt;"THERMAL",M14,IF($GW44="","THERMAL - NOT SPECIFIED",$GW44)))</f>
        <v>6109</v>
      </c>
      <c r="N44" s="54">
        <f>IF(N14="","",IF(N14&lt;&gt;"THERMAL",N14,IF($GW44="","THERMAL - NOT SPECIFIED",$GW44)))</f>
        <v>6109</v>
      </c>
      <c r="O44" s="54">
        <f>IF(O14="","",IF(O14&lt;&gt;"THERMAL",O14,IF($GW44="","THERMAL - NOT SPECIFIED",$GW44)))</f>
        <v>6109</v>
      </c>
      <c r="P44" s="54">
        <f>IF(P14="","",IF(P14&lt;&gt;"THERMAL",P14,IF($GW44="","THERMAL - NOT SPECIFIED",$GW44)))</f>
        <v>6109</v>
      </c>
      <c r="Q44" s="54">
        <f>IF(Q14="","",IF(Q14&lt;&gt;"THERMAL",Q14,IF($GW44="","THERMAL - NOT SPECIFIED",$GW44)))</f>
        <v>6109</v>
      </c>
      <c r="R44" s="54">
        <f>IF(R14="","",IF(R14&lt;&gt;"THERMAL",R14,IF($GW44="","THERMAL - NOT SPECIFIED",$GW44)))</f>
        <v>6109</v>
      </c>
      <c r="S44" s="54">
        <f>IF(S14="","",IF(S14&lt;&gt;"THERMAL",S14,IF($GW44="","THERMAL - NOT SPECIFIED",$GW44)))</f>
        <v>6109</v>
      </c>
      <c r="T44" s="54">
        <f>IF(T14="","",IF(T14&lt;&gt;"THERMAL",T14,IF($GW44="","THERMAL - NOT SPECIFIED",$GW44)))</f>
        <v>6109</v>
      </c>
      <c r="U44" s="54">
        <f>IF(U14="","",IF(U14&lt;&gt;"THERMAL",U14,IF($GW44="","THERMAL - NOT SPECIFIED",$GW44)))</f>
        <v>6109</v>
      </c>
      <c r="V44" s="54">
        <f>IF(V14="","",IF(V14&lt;&gt;"THERMAL",V14,IF($GW44="","THERMAL - NOT SPECIFIED",$GW44)))</f>
        <v>6109</v>
      </c>
      <c r="W44" s="54">
        <f>IF(W14="","",IF(W14&lt;&gt;"THERMAL",W14,IF($GW44="","THERMAL - NOT SPECIFIED",$GW44)))</f>
        <v>6109</v>
      </c>
      <c r="X44" s="54">
        <f>IF(X14="","",IF(X14&lt;&gt;"THERMAL",X14,IF($GW44="","THERMAL - NOT SPECIFIED",$GW44)))</f>
        <v>6109</v>
      </c>
      <c r="Y44" s="54">
        <f>IF(Y14="","",IF(Y14&lt;&gt;"THERMAL",Y14,IF($GW44="","THERMAL - NOT SPECIFIED",$GW44)))</f>
        <v>6109</v>
      </c>
      <c r="Z44" s="54">
        <f>IF(Z14="","",IF(Z14&lt;&gt;"THERMAL",Z14,IF($GW44="","THERMAL - NOT SPECIFIED",$GW44)))</f>
        <v>6109</v>
      </c>
      <c r="AA44" s="54">
        <f>IF(AA14="","",IF(AA14&lt;&gt;"THERMAL",AA14,IF($GW44="","THERMAL - NOT SPECIFIED",$GW44)))</f>
        <v>6109</v>
      </c>
      <c r="AB44" s="54">
        <f>IF(AB14="","",IF(AB14&lt;&gt;"THERMAL",AB14,IF($GW44="","THERMAL - NOT SPECIFIED",$GW44)))</f>
        <v>6109</v>
      </c>
      <c r="AC44" s="54">
        <f>IF(AC14="","",IF(AC14&lt;&gt;"THERMAL",AC14,IF($GW44="","THERMAL - NOT SPECIFIED",$GW44)))</f>
        <v>6109</v>
      </c>
      <c r="AD44" s="54">
        <f>IF(AD14="","",IF(AD14&lt;&gt;"THERMAL",AD14,IF($GW44="","THERMAL - NOT SPECIFIED",$GW44)))</f>
        <v>6109</v>
      </c>
      <c r="AE44" s="54">
        <f>IF(AE14="","",IF(AE14&lt;&gt;"THERMAL",AE14,IF($GW44="","THERMAL - NOT SPECIFIED",$GW44)))</f>
        <v>6109</v>
      </c>
      <c r="AF44" s="54">
        <f>IF(AF14="","",IF(AF14&lt;&gt;"THERMAL",AF14,IF($GW44="","THERMAL - NOT SPECIFIED",$GW44)))</f>
        <v>6109</v>
      </c>
      <c r="AG44" s="54">
        <f>IF(AG14="","",IF(AG14&lt;&gt;"THERMAL",AG14,IF($GW44="","THERMAL - NOT SPECIFIED",$GW44)))</f>
        <v>6109</v>
      </c>
      <c r="AH44" s="54">
        <f>IF(AH14="","",IF(AH14&lt;&gt;"THERMAL",AH14,IF($GW44="","THERMAL - NOT SPECIFIED",$GW44)))</f>
        <v>6109</v>
      </c>
      <c r="AI44" s="54">
        <f>IF(AI14="","",IF(AI14&lt;&gt;"THERMAL",AI14,IF($GW44="","THERMAL - NOT SPECIFIED",$GW44)))</f>
        <v>6109</v>
      </c>
      <c r="AJ44" s="54">
        <f>IF(AJ14="","",IF(AJ14&lt;&gt;"THERMAL",AJ14,IF($GW44="","THERMAL - NOT SPECIFIED",$GW44)))</f>
        <v>6109</v>
      </c>
      <c r="AK44" s="54">
        <f>IF(AK14="","",IF(AK14&lt;&gt;"THERMAL",AK14,IF($GW44="","THERMAL - NOT SPECIFIED",$GW44)))</f>
        <v>6109</v>
      </c>
      <c r="AL44" s="54">
        <f>IF(AL14="","",IF(AL14&lt;&gt;"THERMAL",AL14,IF($GW44="","THERMAL - NOT SPECIFIED",$GW44)))</f>
        <v>6109</v>
      </c>
      <c r="AM44" s="54">
        <f>IF(AM14="","",IF(AM14&lt;&gt;"THERMAL",AM14,IF($GW44="","THERMAL - NOT SPECIFIED",$GW44)))</f>
        <v>6109</v>
      </c>
      <c r="AN44" s="54">
        <f>IF(AN14="","",IF(AN14&lt;&gt;"THERMAL",AN14,IF($GW44="","THERMAL - NOT SPECIFIED",$GW44)))</f>
        <v>6109</v>
      </c>
      <c r="AO44" s="54">
        <f>IF(AO14="","",IF(AO14&lt;&gt;"THERMAL",AO14,IF($GW44="","THERMAL - NOT SPECIFIED",$GW44)))</f>
        <v>6109</v>
      </c>
      <c r="AP44" s="54">
        <f>IF(AP14="","",IF(AP14&lt;&gt;"THERMAL",AP14,IF($GW44="","THERMAL - NOT SPECIFIED",$GW44)))</f>
        <v>6109</v>
      </c>
      <c r="AQ44" s="54">
        <f>IF(AQ14="","",IF(AQ14&lt;&gt;"THERMAL",AQ14,IF($GW44="","THERMAL - NOT SPECIFIED",$GW44)))</f>
        <v>6109</v>
      </c>
      <c r="AR44" s="54">
        <f>IF(AR14="","",IF(AR14&lt;&gt;"THERMAL",AR14,IF($GW44="","THERMAL - NOT SPECIFIED",$GW44)))</f>
        <v>6109</v>
      </c>
      <c r="AS44" s="54">
        <f>IF(AS14="","",IF(AS14&lt;&gt;"THERMAL",AS14,IF($GW44="","THERMAL - NOT SPECIFIED",$GW44)))</f>
        <v>6109</v>
      </c>
      <c r="AT44" s="54">
        <f>IF(AT14="","",IF(AT14&lt;&gt;"THERMAL",AT14,IF($GW44="","THERMAL - NOT SPECIFIED",$GW44)))</f>
        <v>6109</v>
      </c>
      <c r="AU44" s="54">
        <f>IF(AU14="","",IF(AU14&lt;&gt;"THERMAL",AU14,IF($GW44="","THERMAL - NOT SPECIFIED",$GW44)))</f>
        <v>6109</v>
      </c>
      <c r="AV44" s="54">
        <f>IF(AV14="","",IF(AV14&lt;&gt;"THERMAL",AV14,IF($GW44="","THERMAL - NOT SPECIFIED",$GW44)))</f>
        <v>6109</v>
      </c>
      <c r="AW44" s="54">
        <f>IF(AW14="","",IF(AW14&lt;&gt;"THERMAL",AW14,IF($GW44="","THERMAL - NOT SPECIFIED",$GW44)))</f>
        <v>6109</v>
      </c>
      <c r="AX44" s="54">
        <f>IF(AX14="","",IF(AX14&lt;&gt;"THERMAL",AX14,IF($GW44="","THERMAL - NOT SPECIFIED",$GW44)))</f>
        <v>6109</v>
      </c>
      <c r="AY44" s="54">
        <f>IF(AY14="","",IF(AY14&lt;&gt;"THERMAL",AY14,IF($GW44="","THERMAL - NOT SPECIFIED",$GW44)))</f>
        <v>6109</v>
      </c>
      <c r="AZ44" s="54">
        <f>IF(AZ14="","",IF(AZ14&lt;&gt;"THERMAL",AZ14,IF($GW44="","THERMAL - NOT SPECIFIED",$GW44)))</f>
        <v>6109</v>
      </c>
      <c r="BA44" s="54">
        <f>IF(BA14="","",IF(BA14&lt;&gt;"THERMAL",BA14,IF($GW44="","THERMAL - NOT SPECIFIED",$GW44)))</f>
        <v>6109</v>
      </c>
      <c r="BB44" s="54">
        <f>IF(BB14="","",IF(BB14&lt;&gt;"THERMAL",BB14,IF($GW44="","THERMAL - NOT SPECIFIED",$GW44)))</f>
        <v>6109</v>
      </c>
      <c r="BC44" s="54">
        <f>IF(BC14="","",IF(BC14&lt;&gt;"THERMAL",BC14,IF($GW44="","THERMAL - NOT SPECIFIED",$GW44)))</f>
        <v>6109</v>
      </c>
      <c r="BD44" s="54">
        <f>IF(BD14="","",IF(BD14&lt;&gt;"THERMAL",BD14,IF($GW44="","THERMAL - NOT SPECIFIED",$GW44)))</f>
        <v>6109</v>
      </c>
      <c r="BE44" s="54">
        <f>IF(BE14="","",IF(BE14&lt;&gt;"THERMAL",BE14,IF($GW44="","THERMAL - NOT SPECIFIED",$GW44)))</f>
        <v>6109</v>
      </c>
      <c r="BF44" s="54">
        <f>IF(BF14="","",IF(BF14&lt;&gt;"THERMAL",BF14,IF($GW44="","THERMAL - NOT SPECIFIED",$GW44)))</f>
        <v>6109</v>
      </c>
      <c r="BG44" s="54">
        <f>IF(BG14="","",IF(BG14&lt;&gt;"THERMAL",BG14,IF($GW44="","THERMAL - NOT SPECIFIED",$GW44)))</f>
        <v>6109</v>
      </c>
      <c r="BH44" s="54">
        <f>IF(BH14="","",IF(BH14&lt;&gt;"THERMAL",BH14,IF($GW44="","THERMAL - NOT SPECIFIED",$GW44)))</f>
        <v>6109</v>
      </c>
      <c r="BI44" s="54">
        <f>IF(BI14="","",IF(BI14&lt;&gt;"THERMAL",BI14,IF($GW44="","THERMAL - NOT SPECIFIED",$GW44)))</f>
        <v>6109</v>
      </c>
      <c r="BJ44" s="54">
        <f>IF(BJ14="","",IF(BJ14&lt;&gt;"THERMAL",BJ14,IF($GW44="","THERMAL - NOT SPECIFIED",$GW44)))</f>
        <v>6109</v>
      </c>
      <c r="BK44" s="54">
        <f>IF(BK14="","",IF(BK14&lt;&gt;"THERMAL",BK14,IF($GW44="","THERMAL - NOT SPECIFIED",$GW44)))</f>
        <v>6109</v>
      </c>
      <c r="BL44" s="54">
        <f>IF(BL14="","",IF(BL14&lt;&gt;"THERMAL",BL14,IF($GW44="","THERMAL - NOT SPECIFIED",$GW44)))</f>
        <v>6109</v>
      </c>
      <c r="BM44" s="54">
        <f>IF(BM14="","",IF(BM14&lt;&gt;"THERMAL",BM14,IF($GW44="","THERMAL - NOT SPECIFIED",$GW44)))</f>
        <v>6109</v>
      </c>
      <c r="BN44" s="54">
        <f>IF(BN14="","",IF(BN14&lt;&gt;"THERMAL",BN14,IF($GW44="","THERMAL - NOT SPECIFIED",$GW44)))</f>
        <v>6109</v>
      </c>
      <c r="BO44" s="54">
        <f>IF(BO14="","",IF(BO14&lt;&gt;"THERMAL",BO14,IF($GW44="","THERMAL - NOT SPECIFIED",$GW44)))</f>
        <v>6109</v>
      </c>
      <c r="BP44" s="54">
        <f>IF(BP14="","",IF(BP14&lt;&gt;"THERMAL",BP14,IF($GW44="","THERMAL - NOT SPECIFIED",$GW44)))</f>
        <v>6109</v>
      </c>
      <c r="BQ44" s="54">
        <f>IF(BQ14="","",IF(BQ14&lt;&gt;"THERMAL",BQ14,IF($GW44="","THERMAL - NOT SPECIFIED",$GW44)))</f>
        <v>6109</v>
      </c>
      <c r="BR44" s="54">
        <f>IF(BR14="","",IF(BR14&lt;&gt;"THERMAL",BR14,IF($GW44="","THERMAL - NOT SPECIFIED",$GW44)))</f>
        <v>6109</v>
      </c>
      <c r="BS44" s="54">
        <f>IF(BS14="","",IF(BS14&lt;&gt;"THERMAL",BS14,IF($GW44="","THERMAL - NOT SPECIFIED",$GW44)))</f>
        <v>6109</v>
      </c>
      <c r="BT44" s="54" t="str">
        <f>IF(BT14="","",IF(BT14&lt;&gt;"THERMAL",BT14,IF($GW44="","THERMAL - NOT SPECIFIED",$GW44)))</f>
        <v>VACCANT</v>
      </c>
      <c r="BU44" s="54" t="str">
        <f>IF(BU14="","",IF(BU14&lt;&gt;"THERMAL",BU14,IF($GW44="","THERMAL - NOT SPECIFIED",$GW44)))</f>
        <v/>
      </c>
      <c r="BV44" s="54" t="str">
        <f>IF(BV14="","",IF(BV14&lt;&gt;"THERMAL",BV14,IF($GW44="","THERMAL - NOT SPECIFIED",$GW44)))</f>
        <v/>
      </c>
      <c r="BW44" s="54" t="str">
        <f>IF(BW14="","",IF(BW14&lt;&gt;"THERMAL",BW14,IF($GW44="","THERMAL - NOT SPECIFIED",$GW44)))</f>
        <v/>
      </c>
      <c r="BX44" s="54" t="str">
        <f>IF(BX14="","",IF(BX14&lt;&gt;"THERMAL",BX14,IF($GW44="","THERMAL - NOT SPECIFIED",$GW44)))</f>
        <v/>
      </c>
      <c r="BY44" s="54" t="str">
        <f>IF(BY14="","",IF(BY14&lt;&gt;"THERMAL",BY14,IF($GW44="","THERMAL - NOT SPECIFIED",$GW44)))</f>
        <v/>
      </c>
      <c r="BZ44" s="54" t="str">
        <f>IF(BZ14="","",IF(BZ14&lt;&gt;"THERMAL",BZ14,IF($GW44="","THERMAL - NOT SPECIFIED",$GW44)))</f>
        <v/>
      </c>
      <c r="CA44" s="54" t="str">
        <f>IF(CA14="","",IF(CA14&lt;&gt;"THERMAL",CA14,IF($GW44="","THERMAL - NOT SPECIFIED",$GW44)))</f>
        <v/>
      </c>
      <c r="CB44" s="54" t="str">
        <f>IF(CB14="","",IF(CB14&lt;&gt;"THERMAL",CB14,IF($GW44="","THERMAL - NOT SPECIFIED",$GW44)))</f>
        <v/>
      </c>
      <c r="CC44" s="54" t="str">
        <f>IF(CC14="","",IF(CC14&lt;&gt;"THERMAL",CC14,IF($GW44="","THERMAL - NOT SPECIFIED",$GW44)))</f>
        <v/>
      </c>
      <c r="CD44" s="54" t="str">
        <f>IF(CD14="","",IF(CD14&lt;&gt;"THERMAL",CD14,IF($GW44="","THERMAL - NOT SPECIFIED",$GW44)))</f>
        <v/>
      </c>
      <c r="CE44" s="54" t="str">
        <f>IF(CE14="","",IF(CE14&lt;&gt;"THERMAL",CE14,IF($GW44="","THERMAL - NOT SPECIFIED",$GW44)))</f>
        <v/>
      </c>
      <c r="CF44" s="54" t="str">
        <f>IF(CF14="","",IF(CF14&lt;&gt;"THERMAL",CF14,IF($GW44="","THERMAL - NOT SPECIFIED",$GW44)))</f>
        <v/>
      </c>
      <c r="CG44" s="54" t="str">
        <f>IF(CG14="","",IF(CG14&lt;&gt;"THERMAL",CG14,IF($GW44="","THERMAL - NOT SPECIFIED",$GW44)))</f>
        <v/>
      </c>
      <c r="CH44" s="54" t="str">
        <f>IF(CH14="","",IF(CH14&lt;&gt;"THERMAL",CH14,IF($GW44="","THERMAL - NOT SPECIFIED",$GW44)))</f>
        <v/>
      </c>
      <c r="CI44" s="54" t="str">
        <f>IF(CI14="","",IF(CI14&lt;&gt;"THERMAL",CI14,IF($GW44="","THERMAL - NOT SPECIFIED",$GW44)))</f>
        <v/>
      </c>
      <c r="CJ44" s="54" t="str">
        <f>IF(CJ14="","",IF(CJ14&lt;&gt;"THERMAL",CJ14,IF($GW44="","THERMAL - NOT SPECIFIED",$GW44)))</f>
        <v/>
      </c>
      <c r="CK44" s="54" t="str">
        <f>IF(CK14="","",IF(CK14&lt;&gt;"THERMAL",CK14,IF($GW44="","THERMAL - NOT SPECIFIED",$GW44)))</f>
        <v/>
      </c>
      <c r="CL44" s="54" t="str">
        <f>IF(CL14="","",IF(CL14&lt;&gt;"THERMAL",CL14,IF($GW44="","THERMAL - NOT SPECIFIED",$GW44)))</f>
        <v/>
      </c>
      <c r="CM44" s="54" t="str">
        <f>IF(CM14="","",IF(CM14&lt;&gt;"THERMAL",CM14,IF($GW44="","THERMAL - NOT SPECIFIED",$GW44)))</f>
        <v/>
      </c>
      <c r="CN44" s="54" t="str">
        <f>IF(CN14="","",IF(CN14&lt;&gt;"THERMAL",CN14,IF($GW44="","THERMAL - NOT SPECIFIED",$GW44)))</f>
        <v/>
      </c>
      <c r="CO44" s="54" t="str">
        <f>IF(CO14="","",IF(CO14&lt;&gt;"THERMAL",CO14,IF($GW44="","THERMAL - NOT SPECIFIED",$GW44)))</f>
        <v/>
      </c>
      <c r="CP44" s="54" t="str">
        <f>IF(CP14="","",IF(CP14&lt;&gt;"THERMAL",CP14,IF($GW44="","THERMAL - NOT SPECIFIED",$GW44)))</f>
        <v/>
      </c>
      <c r="CQ44" s="54" t="str">
        <f>IF(CQ14="","",IF(CQ14&lt;&gt;"THERMAL",CQ14,IF($GW44="","THERMAL - NOT SPECIFIED",$GW44)))</f>
        <v/>
      </c>
      <c r="CR44" s="54" t="str">
        <f>IF(CR14="","",IF(CR14&lt;&gt;"THERMAL",CR14,IF($GW44="","THERMAL - NOT SPECIFIED",$GW44)))</f>
        <v/>
      </c>
      <c r="CS44" s="54" t="str">
        <f>IF(CS14="","",IF(CS14&lt;&gt;"THERMAL",CS14,IF($GW44="","THERMAL - NOT SPECIFIED",$GW44)))</f>
        <v/>
      </c>
      <c r="CT44" s="54" t="str">
        <f>IF(CT14="","",IF(CT14&lt;&gt;"THERMAL",CT14,IF($GW44="","THERMAL - NOT SPECIFIED",$GW44)))</f>
        <v/>
      </c>
      <c r="CU44" s="54" t="str">
        <f>IF(CU14="","",IF(CU14&lt;&gt;"THERMAL",CU14,IF($GW44="","THERMAL - NOT SPECIFIED",$GW44)))</f>
        <v/>
      </c>
      <c r="CV44" s="54" t="str">
        <f>IF(CV14="","",IF(CV14&lt;&gt;"THERMAL",CV14,IF($GW44="","THERMAL - NOT SPECIFIED",$GW44)))</f>
        <v/>
      </c>
      <c r="CW44" s="54" t="str">
        <f>IF(CW14="","",IF(CW14&lt;&gt;"THERMAL",CW14,IF($GW44="","THERMAL - NOT SPECIFIED",$GW44)))</f>
        <v/>
      </c>
      <c r="CX44" s="54" t="str">
        <f>IF(CX14="","",IF(CX14&lt;&gt;"THERMAL",CX14,IF($GW44="","THERMAL - NOT SPECIFIED",$GW44)))</f>
        <v/>
      </c>
      <c r="CY44" s="54" t="str">
        <f>IF(CY14="","",IF(CY14&lt;&gt;"THERMAL",CY14,IF($GW44="","THERMAL - NOT SPECIFIED",$GW44)))</f>
        <v/>
      </c>
      <c r="CZ44" s="54" t="str">
        <f>IF(CZ14="","",IF(CZ14&lt;&gt;"THERMAL",CZ14,IF($GW44="","THERMAL - NOT SPECIFIED",$GW44)))</f>
        <v/>
      </c>
      <c r="DA44" s="54" t="str">
        <f>IF(DA14="","",IF(DA14&lt;&gt;"THERMAL",DA14,IF($GW44="","THERMAL - NOT SPECIFIED",$GW44)))</f>
        <v/>
      </c>
      <c r="DB44" s="54" t="str">
        <f>IF(DB14="","",IF(DB14&lt;&gt;"THERMAL",DB14,IF($GW44="","THERMAL - NOT SPECIFIED",$GW44)))</f>
        <v/>
      </c>
      <c r="DC44" s="54" t="str">
        <f>IF(DC14="","",IF(DC14&lt;&gt;"THERMAL",DC14,IF($GW44="","THERMAL - NOT SPECIFIED",$GW44)))</f>
        <v/>
      </c>
      <c r="DD44" s="54" t="str">
        <f>IF(DD14="","",IF(DD14&lt;&gt;"THERMAL",DD14,IF($GW44="","THERMAL - NOT SPECIFIED",$GW44)))</f>
        <v/>
      </c>
      <c r="DE44" s="54" t="str">
        <f>IF(DE14="","",IF(DE14&lt;&gt;"THERMAL",DE14,IF($GW44="","THERMAL - NOT SPECIFIED",$GW44)))</f>
        <v/>
      </c>
      <c r="DF44" s="54" t="str">
        <f>IF(DF14="","",IF(DF14&lt;&gt;"THERMAL",DF14,IF($GW44="","THERMAL - NOT SPECIFIED",$GW44)))</f>
        <v/>
      </c>
      <c r="DG44" s="54" t="str">
        <f>IF(DG14="","",IF(DG14&lt;&gt;"THERMAL",DG14,IF($GW44="","THERMAL - NOT SPECIFIED",$GW44)))</f>
        <v/>
      </c>
      <c r="DH44" s="54" t="str">
        <f>IF(DH14="","",IF(DH14&lt;&gt;"THERMAL",DH14,IF($GW44="","THERMAL - NOT SPECIFIED",$GW44)))</f>
        <v/>
      </c>
      <c r="DI44" s="54" t="str">
        <f>IF(DI14="","",IF(DI14&lt;&gt;"THERMAL",DI14,IF($GW44="","THERMAL - NOT SPECIFIED",$GW44)))</f>
        <v/>
      </c>
      <c r="DJ44" s="54" t="str">
        <f>IF(DJ14="","",IF(DJ14&lt;&gt;"THERMAL",DJ14,IF($GW44="","THERMAL - NOT SPECIFIED",$GW44)))</f>
        <v/>
      </c>
      <c r="DK44" s="54" t="str">
        <f>IF(DK14="","",IF(DK14&lt;&gt;"THERMAL",DK14,IF($GW44="","THERMAL - NOT SPECIFIED",$GW44)))</f>
        <v/>
      </c>
      <c r="DL44" s="54" t="str">
        <f>IF(DL14="","",IF(DL14&lt;&gt;"THERMAL",DL14,IF($GW44="","THERMAL - NOT SPECIFIED",$GW44)))</f>
        <v/>
      </c>
      <c r="DM44" s="54" t="str">
        <f>IF(DM14="","",IF(DM14&lt;&gt;"THERMAL",DM14,IF($GW44="","THERMAL - NOT SPECIFIED",$GW44)))</f>
        <v/>
      </c>
      <c r="DN44" s="54" t="str">
        <f>IF(DN14="","",IF(DN14&lt;&gt;"THERMAL",DN14,IF($GW44="","THERMAL - NOT SPECIFIED",$GW44)))</f>
        <v/>
      </c>
      <c r="DO44" s="54" t="str">
        <f>IF(DO14="","",IF(DO14&lt;&gt;"THERMAL",DO14,IF($GW44="","THERMAL - NOT SPECIFIED",$GW44)))</f>
        <v/>
      </c>
      <c r="DP44" s="54" t="str">
        <f>IF(DP14="","",IF(DP14&lt;&gt;"THERMAL",DP14,IF($GW44="","THERMAL - NOT SPECIFIED",$GW44)))</f>
        <v/>
      </c>
      <c r="DQ44" s="54" t="str">
        <f>IF(DQ14="","",IF(DQ14&lt;&gt;"THERMAL",DQ14,IF($GW44="","THERMAL - NOT SPECIFIED",$GW44)))</f>
        <v/>
      </c>
      <c r="DR44" s="54" t="str">
        <f>IF(DR14="","",IF(DR14&lt;&gt;"THERMAL",DR14,IF($GW44="","THERMAL - NOT SPECIFIED",$GW44)))</f>
        <v/>
      </c>
      <c r="DS44" s="54" t="str">
        <f>IF(DS14="","",IF(DS14&lt;&gt;"THERMAL",DS14,IF($GW44="","THERMAL - NOT SPECIFIED",$GW44)))</f>
        <v/>
      </c>
      <c r="DT44" s="54" t="str">
        <f>IF(DT14="","",IF(DT14&lt;&gt;"THERMAL",DT14,IF($GW44="","THERMAL - NOT SPECIFIED",$GW44)))</f>
        <v/>
      </c>
      <c r="DU44" s="54" t="str">
        <f>IF(DU14="","",IF(DU14&lt;&gt;"THERMAL",DU14,IF($GW44="","THERMAL - NOT SPECIFIED",$GW44)))</f>
        <v/>
      </c>
      <c r="DV44" s="54" t="str">
        <f>IF(DV14="","",IF(DV14&lt;&gt;"THERMAL",DV14,IF($GW44="","THERMAL - NOT SPECIFIED",$GW44)))</f>
        <v/>
      </c>
      <c r="DW44" s="54" t="str">
        <f>IF(DW14="","",IF(DW14&lt;&gt;"THERMAL",DW14,IF($GW44="","THERMAL - NOT SPECIFIED",$GW44)))</f>
        <v/>
      </c>
      <c r="DX44" s="54" t="str">
        <f>IF(DX14="","",IF(DX14&lt;&gt;"THERMAL",DX14,IF($GW44="","THERMAL - NOT SPECIFIED",$GW44)))</f>
        <v/>
      </c>
      <c r="DY44" s="54" t="str">
        <f>IF(DY14="","",IF(DY14&lt;&gt;"THERMAL",DY14,IF($GW44="","THERMAL - NOT SPECIFIED",$GW44)))</f>
        <v/>
      </c>
      <c r="DZ44" s="54" t="str">
        <f>IF(DZ14="","",IF(DZ14&lt;&gt;"THERMAL",DZ14,IF($GW44="","THERMAL - NOT SPECIFIED",$GW44)))</f>
        <v/>
      </c>
      <c r="EA44" s="54" t="str">
        <f>IF(EA14="","",IF(EA14&lt;&gt;"THERMAL",EA14,IF($GW44="","THERMAL - NOT SPECIFIED",$GW44)))</f>
        <v/>
      </c>
      <c r="EB44" s="54" t="str">
        <f>IF(EB14="","",IF(EB14&lt;&gt;"THERMAL",EB14,IF($GW44="","THERMAL - NOT SPECIFIED",$GW44)))</f>
        <v/>
      </c>
      <c r="EC44" s="54" t="str">
        <f>IF(EC14="","",IF(EC14&lt;&gt;"THERMAL",EC14,IF($GW44="","THERMAL - NOT SPECIFIED",$GW44)))</f>
        <v/>
      </c>
      <c r="ED44" s="54" t="str">
        <f>IF(ED14="","",IF(ED14&lt;&gt;"THERMAL",ED14,IF($GW44="","THERMAL - NOT SPECIFIED",$GW44)))</f>
        <v/>
      </c>
      <c r="EE44" s="54" t="str">
        <f>IF(EE14="","",IF(EE14&lt;&gt;"THERMAL",EE14,IF($GW44="","THERMAL - NOT SPECIFIED",$GW44)))</f>
        <v/>
      </c>
      <c r="EF44" s="54" t="str">
        <f>IF(EF14="","",IF(EF14&lt;&gt;"THERMAL",EF14,IF($GW44="","THERMAL - NOT SPECIFIED",$GW44)))</f>
        <v/>
      </c>
      <c r="EG44" s="54" t="str">
        <f>IF(EG14="","",IF(EG14&lt;&gt;"THERMAL",EG14,IF($GW44="","THERMAL - NOT SPECIFIED",$GW44)))</f>
        <v/>
      </c>
      <c r="EH44" s="54" t="str">
        <f>IF(EH14="","",IF(EH14&lt;&gt;"THERMAL",EH14,IF($GW44="","THERMAL - NOT SPECIFIED",$GW44)))</f>
        <v/>
      </c>
      <c r="EI44" s="54" t="str">
        <f>IF(EI14="","",IF(EI14&lt;&gt;"THERMAL",EI14,IF($GW44="","THERMAL - NOT SPECIFIED",$GW44)))</f>
        <v/>
      </c>
      <c r="EJ44" s="54" t="str">
        <f>IF(EJ14="","",IF(EJ14&lt;&gt;"THERMAL",EJ14,IF($GW44="","THERMAL - NOT SPECIFIED",$GW44)))</f>
        <v/>
      </c>
      <c r="EK44" s="54" t="str">
        <f>IF(EK14="","",IF(EK14&lt;&gt;"THERMAL",EK14,IF($GW44="","THERMAL - NOT SPECIFIED",$GW44)))</f>
        <v/>
      </c>
      <c r="EL44" s="54" t="str">
        <f>IF(EL14="","",IF(EL14&lt;&gt;"THERMAL",EL14,IF($GW44="","THERMAL - NOT SPECIFIED",$GW44)))</f>
        <v/>
      </c>
      <c r="EM44" s="54" t="str">
        <f>IF(EM14="","",IF(EM14&lt;&gt;"THERMAL",EM14,IF($GW44="","THERMAL - NOT SPECIFIED",$GW44)))</f>
        <v/>
      </c>
      <c r="EN44" s="54" t="str">
        <f>IF(EN14="","",IF(EN14&lt;&gt;"THERMAL",EN14,IF($GW44="","THERMAL - NOT SPECIFIED",$GW44)))</f>
        <v/>
      </c>
      <c r="EO44" s="54" t="str">
        <f>IF(EO14="","",IF(EO14&lt;&gt;"THERMAL",EO14,IF($GW44="","THERMAL - NOT SPECIFIED",$GW44)))</f>
        <v/>
      </c>
      <c r="EP44" s="54" t="str">
        <f>IF(EP14="","",IF(EP14&lt;&gt;"THERMAL",EP14,IF($GW44="","THERMAL - NOT SPECIFIED",$GW44)))</f>
        <v/>
      </c>
      <c r="EQ44" s="54" t="str">
        <f>IF(EQ14="","",IF(EQ14&lt;&gt;"THERMAL",EQ14,IF($GW44="","THERMAL - NOT SPECIFIED",$GW44)))</f>
        <v/>
      </c>
      <c r="ER44" s="54" t="str">
        <f>IF(ER14="","",IF(ER14&lt;&gt;"THERMAL",ER14,IF($GW44="","THERMAL - NOT SPECIFIED",$GW44)))</f>
        <v/>
      </c>
      <c r="ES44" s="54" t="str">
        <f>IF(ES14="","",IF(ES14&lt;&gt;"THERMAL",ES14,IF($GW44="","THERMAL - NOT SPECIFIED",$GW44)))</f>
        <v/>
      </c>
      <c r="ET44" s="54" t="str">
        <f>IF(ET14="","",IF(ET14&lt;&gt;"THERMAL",ET14,IF($GW44="","THERMAL - NOT SPECIFIED",$GW44)))</f>
        <v/>
      </c>
      <c r="EU44" s="54" t="str">
        <f>IF(EU14="","",IF(EU14&lt;&gt;"THERMAL",EU14,IF($GW44="","THERMAL - NOT SPECIFIED",$GW44)))</f>
        <v/>
      </c>
      <c r="EV44" s="54" t="str">
        <f>IF(EV14="","",IF(EV14&lt;&gt;"THERMAL",EV14,IF($GW44="","THERMAL - NOT SPECIFIED",$GW44)))</f>
        <v/>
      </c>
      <c r="EW44" s="54" t="str">
        <f>IF(EW14="","",IF(EW14&lt;&gt;"THERMAL",EW14,IF($GW44="","THERMAL - NOT SPECIFIED",$GW44)))</f>
        <v/>
      </c>
      <c r="EX44" s="54" t="str">
        <f>IF(EX14="","",IF(EX14&lt;&gt;"THERMAL",EX14,IF($GW44="","THERMAL - NOT SPECIFIED",$GW44)))</f>
        <v/>
      </c>
      <c r="EY44" s="54" t="str">
        <f>IF(EY14="","",IF(EY14&lt;&gt;"THERMAL",EY14,IF($GW44="","THERMAL - NOT SPECIFIED",$GW44)))</f>
        <v/>
      </c>
      <c r="EZ44" s="54" t="str">
        <f>IF(EZ14="","",IF(EZ14&lt;&gt;"THERMAL",EZ14,IF($GW44="","THERMAL - NOT SPECIFIED",$GW44)))</f>
        <v/>
      </c>
      <c r="FA44" s="54" t="str">
        <f>IF(FA14="","",IF(FA14&lt;&gt;"THERMAL",FA14,IF($GW44="","THERMAL - NOT SPECIFIED",$GW44)))</f>
        <v/>
      </c>
      <c r="FB44" s="54" t="str">
        <f>IF(FB14="","",IF(FB14&lt;&gt;"THERMAL",FB14,IF($GW44="","THERMAL - NOT SPECIFIED",$GW44)))</f>
        <v/>
      </c>
      <c r="FC44" s="54" t="str">
        <f>IF(FC14="","",IF(FC14&lt;&gt;"THERMAL",FC14,IF($GW44="","THERMAL - NOT SPECIFIED",$GW44)))</f>
        <v/>
      </c>
      <c r="FD44" s="54" t="str">
        <f>IF(FD14="","",IF(FD14&lt;&gt;"THERMAL",FD14,IF($GW44="","THERMAL - NOT SPECIFIED",$GW44)))</f>
        <v/>
      </c>
      <c r="FE44" s="54" t="str">
        <f>IF(FE14="","",IF(FE14&lt;&gt;"THERMAL",FE14,IF($GW44="","THERMAL - NOT SPECIFIED",$GW44)))</f>
        <v/>
      </c>
      <c r="FF44" s="54" t="str">
        <f>IF(FF14="","",IF(FF14&lt;&gt;"THERMAL",FF14,IF($GW44="","THERMAL - NOT SPECIFIED",$GW44)))</f>
        <v/>
      </c>
      <c r="FG44" s="54" t="str">
        <f>IF(FG14="","",IF(FG14&lt;&gt;"THERMAL",FG14,IF($GW44="","THERMAL - NOT SPECIFIED",$GW44)))</f>
        <v/>
      </c>
      <c r="FH44" s="54" t="str">
        <f>IF(FH14="","",IF(FH14&lt;&gt;"THERMAL",FH14,IF($GW44="","THERMAL - NOT SPECIFIED",$GW44)))</f>
        <v/>
      </c>
      <c r="FI44" s="54" t="str">
        <f>IF(FI14="","",IF(FI14&lt;&gt;"THERMAL",FI14,IF($GW44="","THERMAL - NOT SPECIFIED",$GW44)))</f>
        <v/>
      </c>
      <c r="FJ44" s="54" t="str">
        <f>IF(FJ14="","",IF(FJ14&lt;&gt;"THERMAL",FJ14,IF($GW44="","THERMAL - NOT SPECIFIED",$GW44)))</f>
        <v/>
      </c>
      <c r="FK44" s="54" t="str">
        <f>IF(FK14="","",IF(FK14&lt;&gt;"THERMAL",FK14,IF($GW44="","THERMAL - NOT SPECIFIED",$GW44)))</f>
        <v/>
      </c>
      <c r="FL44" s="54" t="str">
        <f>IF(FL14="","",IF(FL14&lt;&gt;"THERMAL",FL14,IF($GW44="","THERMAL - NOT SPECIFIED",$GW44)))</f>
        <v/>
      </c>
      <c r="FM44" s="54" t="str">
        <f>IF(FM14="","",IF(FM14&lt;&gt;"THERMAL",FM14,IF($GW44="","THERMAL - NOT SPECIFIED",$GW44)))</f>
        <v/>
      </c>
      <c r="FN44" s="54" t="str">
        <f>IF(FN14="","",IF(FN14&lt;&gt;"THERMAL",FN14,IF($GW44="","THERMAL - NOT SPECIFIED",$GW44)))</f>
        <v/>
      </c>
      <c r="FO44" s="54" t="str">
        <f>IF(FO14="","",IF(FO14&lt;&gt;"THERMAL",FO14,IF($GW44="","THERMAL - NOT SPECIFIED",$GW44)))</f>
        <v/>
      </c>
      <c r="FP44" s="54" t="str">
        <f>IF(FP14="","",IF(FP14&lt;&gt;"THERMAL",FP14,IF($GW44="","THERMAL - NOT SPECIFIED",$GW44)))</f>
        <v/>
      </c>
      <c r="FQ44" s="54" t="str">
        <f>IF(FQ14="","",IF(FQ14&lt;&gt;"THERMAL",FQ14,IF($GW44="","THERMAL - NOT SPECIFIED",$GW44)))</f>
        <v/>
      </c>
      <c r="FR44" s="54" t="str">
        <f>IF(FR14="","",IF(FR14&lt;&gt;"THERMAL",FR14,IF($GW44="","THERMAL - NOT SPECIFIED",$GW44)))</f>
        <v/>
      </c>
      <c r="FS44" s="54" t="str">
        <f>IF(FS14="","",IF(FS14&lt;&gt;"THERMAL",FS14,IF($GW44="","THERMAL - NOT SPECIFIED",$GW44)))</f>
        <v/>
      </c>
      <c r="FT44" s="54" t="str">
        <f>IF(FT14="","",IF(FT14&lt;&gt;"THERMAL",FT14,IF($GW44="","THERMAL - NOT SPECIFIED",$GW44)))</f>
        <v/>
      </c>
      <c r="FU44" s="54" t="str">
        <f>IF(FU14="","",IF(FU14&lt;&gt;"THERMAL",FU14,IF($GW44="","THERMAL - NOT SPECIFIED",$GW44)))</f>
        <v/>
      </c>
      <c r="FV44" s="54" t="str">
        <f>IF(FV14="","",IF(FV14&lt;&gt;"THERMAL",FV14,IF($GW44="","THERMAL - NOT SPECIFIED",$GW44)))</f>
        <v/>
      </c>
      <c r="FW44" s="54" t="str">
        <f>IF(FW14="","",IF(FW14&lt;&gt;"THERMAL",FW14,IF($GW44="","THERMAL - NOT SPECIFIED",$GW44)))</f>
        <v/>
      </c>
      <c r="FX44" s="54" t="str">
        <f>IF(FX14="","",IF(FX14&lt;&gt;"THERMAL",FX14,IF($GW44="","THERMAL - NOT SPECIFIED",$GW44)))</f>
        <v/>
      </c>
      <c r="FY44" s="54" t="str">
        <f>IF(FY14="","",IF(FY14&lt;&gt;"THERMAL",FY14,IF($GW44="","THERMAL - NOT SPECIFIED",$GW44)))</f>
        <v/>
      </c>
      <c r="FZ44" s="54" t="str">
        <f>IF(FZ14="","",IF(FZ14&lt;&gt;"THERMAL",FZ14,IF($GW44="","THERMAL - NOT SPECIFIED",$GW44)))</f>
        <v/>
      </c>
      <c r="GA44" s="54" t="str">
        <f>IF(GA14="","",IF(GA14&lt;&gt;"THERMAL",GA14,IF($GW44="","THERMAL - NOT SPECIFIED",$GW44)))</f>
        <v/>
      </c>
      <c r="GB44" s="54" t="str">
        <f>IF(GB14="","",IF(GB14&lt;&gt;"THERMAL",GB14,IF($GW44="","THERMAL - NOT SPECIFIED",$GW44)))</f>
        <v/>
      </c>
      <c r="GC44" s="54" t="str">
        <f>IF(GC14="","",IF(GC14&lt;&gt;"THERMAL",GC14,IF($GW44="","THERMAL - NOT SPECIFIED",$GW44)))</f>
        <v/>
      </c>
      <c r="GD44" s="54" t="str">
        <f>IF(GD14="","",IF(GD14&lt;&gt;"THERMAL",GD14,IF($GW44="","THERMAL - NOT SPECIFIED",$GW44)))</f>
        <v/>
      </c>
      <c r="GE44" s="54" t="str">
        <f>IF(GE14="","",IF(GE14&lt;&gt;"THERMAL",GE14,IF($GW44="","THERMAL - NOT SPECIFIED",$GW44)))</f>
        <v/>
      </c>
      <c r="GF44" s="54" t="str">
        <f>IF(GF14="","",IF(GF14&lt;&gt;"THERMAL",GF14,IF($GW44="","THERMAL - NOT SPECIFIED",$GW44)))</f>
        <v/>
      </c>
      <c r="GG44" s="54" t="str">
        <f>IF(GG14="","",IF(GG14&lt;&gt;"THERMAL",GG14,IF($GW44="","THERMAL - NOT SPECIFIED",$GW44)))</f>
        <v/>
      </c>
      <c r="GH44" s="54" t="str">
        <f>IF(GH14="","",IF(GH14&lt;&gt;"THERMAL",GH14,IF($GW44="","THERMAL - NOT SPECIFIED",$GW44)))</f>
        <v/>
      </c>
      <c r="GI44" s="54" t="str">
        <f>IF(GI14="","",IF(GI14&lt;&gt;"THERMAL",GI14,IF($GW44="","THERMAL - NOT SPECIFIED",$GW44)))</f>
        <v/>
      </c>
      <c r="GJ44" s="54" t="str">
        <f>IF(GJ14="","",IF(GJ14&lt;&gt;"THERMAL",GJ14,IF($GW44="","THERMAL - NOT SPECIFIED",$GW44)))</f>
        <v/>
      </c>
      <c r="GK44" s="54" t="str">
        <f>IF(GK14="","",IF(GK14&lt;&gt;"THERMAL",GK14,IF($GW44="","THERMAL - NOT SPECIFIED",$GW44)))</f>
        <v/>
      </c>
      <c r="GL44" s="54" t="str">
        <f>IF(GL14="","",IF(GL14&lt;&gt;"THERMAL",GL14,IF($GW44="","THERMAL - NOT SPECIFIED",$GW44)))</f>
        <v/>
      </c>
      <c r="GM44" s="54" t="str">
        <f>IF(GM14="","",IF(GM14&lt;&gt;"THERMAL",GM14,IF($GW44="","THERMAL - NOT SPECIFIED",$GW44)))</f>
        <v/>
      </c>
      <c r="GN44" s="54" t="str">
        <f>IF(GN14="","",IF(GN14&lt;&gt;"THERMAL",GN14,IF($GW44="","THERMAL - NOT SPECIFIED",$GW44)))</f>
        <v/>
      </c>
      <c r="GO44" s="54" t="str">
        <f>IF(GO14="","",IF(GO14&lt;&gt;"THERMAL",GO14,IF($GW44="","THERMAL - NOT SPECIFIED",$GW44)))</f>
        <v/>
      </c>
      <c r="GP44" s="54" t="str">
        <f>IF(GP14="","",IF(GP14&lt;&gt;"THERMAL",GP14,IF($GW44="","THERMAL - NOT SPECIFIED",$GW44)))</f>
        <v/>
      </c>
      <c r="GQ44" s="54" t="str">
        <f>IF(GQ14="","",IF(GQ14&lt;&gt;"THERMAL",GQ14,IF($GW44="","THERMAL - NOT SPECIFIED",$GW44)))</f>
        <v/>
      </c>
      <c r="GR44" s="54" t="str">
        <f>IF(GR14="","",IF(GR14&lt;&gt;"THERMAL",GR14,IF($GW44="","THERMAL - NOT SPECIFIED",$GW44)))</f>
        <v/>
      </c>
      <c r="GS44" s="54" t="str">
        <f>IF(GS14="","",IF(GS14&lt;&gt;"THERMAL",GS14,IF($GW44="","THERMAL - NOT SPECIFIED",$GW44)))</f>
        <v/>
      </c>
      <c r="GW44" s="55" t="str">
        <f>IF($GY44="","",IFERROR(INDEX('MC MAP'!$L$5:$L$28,MATCH($GY44,'MC MAP'!$K$5:$K$28,0)),$GY44))</f>
        <v/>
      </c>
      <c r="GY44" s="60"/>
      <c r="HA44" s="15"/>
      <c r="HE44" s="14">
        <v>5544</v>
      </c>
    </row>
    <row r="45" spans="1:213">
      <c r="A45" s="2">
        <f>$A15</f>
        <v>10</v>
      </c>
      <c r="B45" s="54">
        <f>IF(B15="","",IF(B15&lt;&gt;"THERMAL",B15,IF($GW45="","THERMAL - NOT SPECIFIED",$GW45)))</f>
        <v>6109</v>
      </c>
      <c r="C45" s="54">
        <f>IF(C15="","",IF(C15&lt;&gt;"THERMAL",C15,IF($GW45="","THERMAL - NOT SPECIFIED",$GW45)))</f>
        <v>6109</v>
      </c>
      <c r="D45" s="54">
        <f>IF(D15="","",IF(D15&lt;&gt;"THERMAL",D15,IF($GW45="","THERMAL - NOT SPECIFIED",$GW45)))</f>
        <v>6109</v>
      </c>
      <c r="E45" s="54">
        <f>IF(E15="","",IF(E15&lt;&gt;"THERMAL",E15,IF($GW45="","THERMAL - NOT SPECIFIED",$GW45)))</f>
        <v>6109</v>
      </c>
      <c r="F45" s="54">
        <f>IF(F15="","",IF(F15&lt;&gt;"THERMAL",F15,IF($GW45="","THERMAL - NOT SPECIFIED",$GW45)))</f>
        <v>6109</v>
      </c>
      <c r="G45" s="54">
        <f>IF(G15="","",IF(G15&lt;&gt;"THERMAL",G15,IF($GW45="","THERMAL - NOT SPECIFIED",$GW45)))</f>
        <v>6109</v>
      </c>
      <c r="H45" s="54">
        <f>IF(H15="","",IF(H15&lt;&gt;"THERMAL",H15,IF($GW45="","THERMAL - NOT SPECIFIED",$GW45)))</f>
        <v>6109</v>
      </c>
      <c r="I45" s="54">
        <f>IF(I15="","",IF(I15&lt;&gt;"THERMAL",I15,IF($GW45="","THERMAL - NOT SPECIFIED",$GW45)))</f>
        <v>6109</v>
      </c>
      <c r="J45" s="54">
        <f>IF(J15="","",IF(J15&lt;&gt;"THERMAL",J15,IF($GW45="","THERMAL - NOT SPECIFIED",$GW45)))</f>
        <v>6109</v>
      </c>
      <c r="K45" s="54">
        <f>IF(K15="","",IF(K15&lt;&gt;"THERMAL",K15,IF($GW45="","THERMAL - NOT SPECIFIED",$GW45)))</f>
        <v>6109</v>
      </c>
      <c r="L45" s="54">
        <f>IF(L15="","",IF(L15&lt;&gt;"THERMAL",L15,IF($GW45="","THERMAL - NOT SPECIFIED",$GW45)))</f>
        <v>6109</v>
      </c>
      <c r="M45" s="54">
        <f>IF(M15="","",IF(M15&lt;&gt;"THERMAL",M15,IF($GW45="","THERMAL - NOT SPECIFIED",$GW45)))</f>
        <v>6109</v>
      </c>
      <c r="N45" s="54">
        <f>IF(N15="","",IF(N15&lt;&gt;"THERMAL",N15,IF($GW45="","THERMAL - NOT SPECIFIED",$GW45)))</f>
        <v>6109</v>
      </c>
      <c r="O45" s="54">
        <f>IF(O15="","",IF(O15&lt;&gt;"THERMAL",O15,IF($GW45="","THERMAL - NOT SPECIFIED",$GW45)))</f>
        <v>6109</v>
      </c>
      <c r="P45" s="54">
        <f>IF(P15="","",IF(P15&lt;&gt;"THERMAL",P15,IF($GW45="","THERMAL - NOT SPECIFIED",$GW45)))</f>
        <v>6109</v>
      </c>
      <c r="Q45" s="54">
        <f>IF(Q15="","",IF(Q15&lt;&gt;"THERMAL",Q15,IF($GW45="","THERMAL - NOT SPECIFIED",$GW45)))</f>
        <v>6109</v>
      </c>
      <c r="R45" s="54">
        <f>IF(R15="","",IF(R15&lt;&gt;"THERMAL",R15,IF($GW45="","THERMAL - NOT SPECIFIED",$GW45)))</f>
        <v>6109</v>
      </c>
      <c r="S45" s="54">
        <f>IF(S15="","",IF(S15&lt;&gt;"THERMAL",S15,IF($GW45="","THERMAL - NOT SPECIFIED",$GW45)))</f>
        <v>6109</v>
      </c>
      <c r="T45" s="54">
        <f>IF(T15="","",IF(T15&lt;&gt;"THERMAL",T15,IF($GW45="","THERMAL - NOT SPECIFIED",$GW45)))</f>
        <v>6109</v>
      </c>
      <c r="U45" s="54">
        <f>IF(U15="","",IF(U15&lt;&gt;"THERMAL",U15,IF($GW45="","THERMAL - NOT SPECIFIED",$GW45)))</f>
        <v>6109</v>
      </c>
      <c r="V45" s="54">
        <f>IF(V15="","",IF(V15&lt;&gt;"THERMAL",V15,IF($GW45="","THERMAL - NOT SPECIFIED",$GW45)))</f>
        <v>6109</v>
      </c>
      <c r="W45" s="54">
        <f>IF(W15="","",IF(W15&lt;&gt;"THERMAL",W15,IF($GW45="","THERMAL - NOT SPECIFIED",$GW45)))</f>
        <v>6109</v>
      </c>
      <c r="X45" s="54">
        <f>IF(X15="","",IF(X15&lt;&gt;"THERMAL",X15,IF($GW45="","THERMAL - NOT SPECIFIED",$GW45)))</f>
        <v>6109</v>
      </c>
      <c r="Y45" s="54">
        <f>IF(Y15="","",IF(Y15&lt;&gt;"THERMAL",Y15,IF($GW45="","THERMAL - NOT SPECIFIED",$GW45)))</f>
        <v>6109</v>
      </c>
      <c r="Z45" s="54">
        <f>IF(Z15="","",IF(Z15&lt;&gt;"THERMAL",Z15,IF($GW45="","THERMAL - NOT SPECIFIED",$GW45)))</f>
        <v>6109</v>
      </c>
      <c r="AA45" s="54">
        <f>IF(AA15="","",IF(AA15&lt;&gt;"THERMAL",AA15,IF($GW45="","THERMAL - NOT SPECIFIED",$GW45)))</f>
        <v>6109</v>
      </c>
      <c r="AB45" s="54">
        <f>IF(AB15="","",IF(AB15&lt;&gt;"THERMAL",AB15,IF($GW45="","THERMAL - NOT SPECIFIED",$GW45)))</f>
        <v>6109</v>
      </c>
      <c r="AC45" s="54">
        <f>IF(AC15="","",IF(AC15&lt;&gt;"THERMAL",AC15,IF($GW45="","THERMAL - NOT SPECIFIED",$GW45)))</f>
        <v>6109</v>
      </c>
      <c r="AD45" s="54">
        <f>IF(AD15="","",IF(AD15&lt;&gt;"THERMAL",AD15,IF($GW45="","THERMAL - NOT SPECIFIED",$GW45)))</f>
        <v>6109</v>
      </c>
      <c r="AE45" s="54">
        <f>IF(AE15="","",IF(AE15&lt;&gt;"THERMAL",AE15,IF($GW45="","THERMAL - NOT SPECIFIED",$GW45)))</f>
        <v>6109</v>
      </c>
      <c r="AF45" s="54">
        <f>IF(AF15="","",IF(AF15&lt;&gt;"THERMAL",AF15,IF($GW45="","THERMAL - NOT SPECIFIED",$GW45)))</f>
        <v>6109</v>
      </c>
      <c r="AG45" s="54">
        <f>IF(AG15="","",IF(AG15&lt;&gt;"THERMAL",AG15,IF($GW45="","THERMAL - NOT SPECIFIED",$GW45)))</f>
        <v>6109</v>
      </c>
      <c r="AH45" s="54">
        <f>IF(AH15="","",IF(AH15&lt;&gt;"THERMAL",AH15,IF($GW45="","THERMAL - NOT SPECIFIED",$GW45)))</f>
        <v>6109</v>
      </c>
      <c r="AI45" s="54">
        <f>IF(AI15="","",IF(AI15&lt;&gt;"THERMAL",AI15,IF($GW45="","THERMAL - NOT SPECIFIED",$GW45)))</f>
        <v>6109</v>
      </c>
      <c r="AJ45" s="54">
        <f>IF(AJ15="","",IF(AJ15&lt;&gt;"THERMAL",AJ15,IF($GW45="","THERMAL - NOT SPECIFIED",$GW45)))</f>
        <v>6109</v>
      </c>
      <c r="AK45" s="54">
        <f>IF(AK15="","",IF(AK15&lt;&gt;"THERMAL",AK15,IF($GW45="","THERMAL - NOT SPECIFIED",$GW45)))</f>
        <v>6109</v>
      </c>
      <c r="AL45" s="54">
        <f>IF(AL15="","",IF(AL15&lt;&gt;"THERMAL",AL15,IF($GW45="","THERMAL - NOT SPECIFIED",$GW45)))</f>
        <v>6109</v>
      </c>
      <c r="AM45" s="54">
        <f>IF(AM15="","",IF(AM15&lt;&gt;"THERMAL",AM15,IF($GW45="","THERMAL - NOT SPECIFIED",$GW45)))</f>
        <v>6109</v>
      </c>
      <c r="AN45" s="54">
        <f>IF(AN15="","",IF(AN15&lt;&gt;"THERMAL",AN15,IF($GW45="","THERMAL - NOT SPECIFIED",$GW45)))</f>
        <v>6109</v>
      </c>
      <c r="AO45" s="54">
        <f>IF(AO15="","",IF(AO15&lt;&gt;"THERMAL",AO15,IF($GW45="","THERMAL - NOT SPECIFIED",$GW45)))</f>
        <v>6109</v>
      </c>
      <c r="AP45" s="54">
        <f>IF(AP15="","",IF(AP15&lt;&gt;"THERMAL",AP15,IF($GW45="","THERMAL - NOT SPECIFIED",$GW45)))</f>
        <v>6109</v>
      </c>
      <c r="AQ45" s="54">
        <f>IF(AQ15="","",IF(AQ15&lt;&gt;"THERMAL",AQ15,IF($GW45="","THERMAL - NOT SPECIFIED",$GW45)))</f>
        <v>6109</v>
      </c>
      <c r="AR45" s="54">
        <f>IF(AR15="","",IF(AR15&lt;&gt;"THERMAL",AR15,IF($GW45="","THERMAL - NOT SPECIFIED",$GW45)))</f>
        <v>6109</v>
      </c>
      <c r="AS45" s="54">
        <f>IF(AS15="","",IF(AS15&lt;&gt;"THERMAL",AS15,IF($GW45="","THERMAL - NOT SPECIFIED",$GW45)))</f>
        <v>6109</v>
      </c>
      <c r="AT45" s="54">
        <f>IF(AT15="","",IF(AT15&lt;&gt;"THERMAL",AT15,IF($GW45="","THERMAL - NOT SPECIFIED",$GW45)))</f>
        <v>6109</v>
      </c>
      <c r="AU45" s="54">
        <f>IF(AU15="","",IF(AU15&lt;&gt;"THERMAL",AU15,IF($GW45="","THERMAL - NOT SPECIFIED",$GW45)))</f>
        <v>6109</v>
      </c>
      <c r="AV45" s="54">
        <f>IF(AV15="","",IF(AV15&lt;&gt;"THERMAL",AV15,IF($GW45="","THERMAL - NOT SPECIFIED",$GW45)))</f>
        <v>6109</v>
      </c>
      <c r="AW45" s="54">
        <f>IF(AW15="","",IF(AW15&lt;&gt;"THERMAL",AW15,IF($GW45="","THERMAL - NOT SPECIFIED",$GW45)))</f>
        <v>6109</v>
      </c>
      <c r="AX45" s="54">
        <f>IF(AX15="","",IF(AX15&lt;&gt;"THERMAL",AX15,IF($GW45="","THERMAL - NOT SPECIFIED",$GW45)))</f>
        <v>6109</v>
      </c>
      <c r="AY45" s="54">
        <f>IF(AY15="","",IF(AY15&lt;&gt;"THERMAL",AY15,IF($GW45="","THERMAL - NOT SPECIFIED",$GW45)))</f>
        <v>6109</v>
      </c>
      <c r="AZ45" s="54">
        <f>IF(AZ15="","",IF(AZ15&lt;&gt;"THERMAL",AZ15,IF($GW45="","THERMAL - NOT SPECIFIED",$GW45)))</f>
        <v>6109</v>
      </c>
      <c r="BA45" s="54">
        <f>IF(BA15="","",IF(BA15&lt;&gt;"THERMAL",BA15,IF($GW45="","THERMAL - NOT SPECIFIED",$GW45)))</f>
        <v>6109</v>
      </c>
      <c r="BB45" s="54">
        <f>IF(BB15="","",IF(BB15&lt;&gt;"THERMAL",BB15,IF($GW45="","THERMAL - NOT SPECIFIED",$GW45)))</f>
        <v>6109</v>
      </c>
      <c r="BC45" s="54">
        <f>IF(BC15="","",IF(BC15&lt;&gt;"THERMAL",BC15,IF($GW45="","THERMAL - NOT SPECIFIED",$GW45)))</f>
        <v>6109</v>
      </c>
      <c r="BD45" s="54">
        <f>IF(BD15="","",IF(BD15&lt;&gt;"THERMAL",BD15,IF($GW45="","THERMAL - NOT SPECIFIED",$GW45)))</f>
        <v>6109</v>
      </c>
      <c r="BE45" s="54">
        <f>IF(BE15="","",IF(BE15&lt;&gt;"THERMAL",BE15,IF($GW45="","THERMAL - NOT SPECIFIED",$GW45)))</f>
        <v>6109</v>
      </c>
      <c r="BF45" s="54">
        <f>IF(BF15="","",IF(BF15&lt;&gt;"THERMAL",BF15,IF($GW45="","THERMAL - NOT SPECIFIED",$GW45)))</f>
        <v>6109</v>
      </c>
      <c r="BG45" s="54">
        <f>IF(BG15="","",IF(BG15&lt;&gt;"THERMAL",BG15,IF($GW45="","THERMAL - NOT SPECIFIED",$GW45)))</f>
        <v>6109</v>
      </c>
      <c r="BH45" s="54">
        <f>IF(BH15="","",IF(BH15&lt;&gt;"THERMAL",BH15,IF($GW45="","THERMAL - NOT SPECIFIED",$GW45)))</f>
        <v>6109</v>
      </c>
      <c r="BI45" s="54">
        <f>IF(BI15="","",IF(BI15&lt;&gt;"THERMAL",BI15,IF($GW45="","THERMAL - NOT SPECIFIED",$GW45)))</f>
        <v>6109</v>
      </c>
      <c r="BJ45" s="54">
        <f>IF(BJ15="","",IF(BJ15&lt;&gt;"THERMAL",BJ15,IF($GW45="","THERMAL - NOT SPECIFIED",$GW45)))</f>
        <v>6109</v>
      </c>
      <c r="BK45" s="54">
        <f>IF(BK15="","",IF(BK15&lt;&gt;"THERMAL",BK15,IF($GW45="","THERMAL - NOT SPECIFIED",$GW45)))</f>
        <v>6109</v>
      </c>
      <c r="BL45" s="54">
        <f>IF(BL15="","",IF(BL15&lt;&gt;"THERMAL",BL15,IF($GW45="","THERMAL - NOT SPECIFIED",$GW45)))</f>
        <v>6109</v>
      </c>
      <c r="BM45" s="54">
        <f>IF(BM15="","",IF(BM15&lt;&gt;"THERMAL",BM15,IF($GW45="","THERMAL - NOT SPECIFIED",$GW45)))</f>
        <v>6109</v>
      </c>
      <c r="BN45" s="54">
        <f>IF(BN15="","",IF(BN15&lt;&gt;"THERMAL",BN15,IF($GW45="","THERMAL - NOT SPECIFIED",$GW45)))</f>
        <v>6109</v>
      </c>
      <c r="BO45" s="54">
        <f>IF(BO15="","",IF(BO15&lt;&gt;"THERMAL",BO15,IF($GW45="","THERMAL - NOT SPECIFIED",$GW45)))</f>
        <v>6109</v>
      </c>
      <c r="BP45" s="54">
        <f>IF(BP15="","",IF(BP15&lt;&gt;"THERMAL",BP15,IF($GW45="","THERMAL - NOT SPECIFIED",$GW45)))</f>
        <v>6109</v>
      </c>
      <c r="BQ45" s="54">
        <f>IF(BQ15="","",IF(BQ15&lt;&gt;"THERMAL",BQ15,IF($GW45="","THERMAL - NOT SPECIFIED",$GW45)))</f>
        <v>6109</v>
      </c>
      <c r="BR45" s="54">
        <f>IF(BR15="","",IF(BR15&lt;&gt;"THERMAL",BR15,IF($GW45="","THERMAL - NOT SPECIFIED",$GW45)))</f>
        <v>6109</v>
      </c>
      <c r="BS45" s="54">
        <f>IF(BS15="","",IF(BS15&lt;&gt;"THERMAL",BS15,IF($GW45="","THERMAL - NOT SPECIFIED",$GW45)))</f>
        <v>6109</v>
      </c>
      <c r="BT45" s="54" t="str">
        <f>IF(BT15="","",IF(BT15&lt;&gt;"THERMAL",BT15,IF($GW45="","THERMAL - NOT SPECIFIED",$GW45)))</f>
        <v>VACCANT</v>
      </c>
      <c r="BU45" s="54" t="str">
        <f>IF(BU15="","",IF(BU15&lt;&gt;"THERMAL",BU15,IF($GW45="","THERMAL - NOT SPECIFIED",$GW45)))</f>
        <v/>
      </c>
      <c r="BV45" s="54" t="str">
        <f>IF(BV15="","",IF(BV15&lt;&gt;"THERMAL",BV15,IF($GW45="","THERMAL - NOT SPECIFIED",$GW45)))</f>
        <v/>
      </c>
      <c r="BW45" s="54" t="str">
        <f>IF(BW15="","",IF(BW15&lt;&gt;"THERMAL",BW15,IF($GW45="","THERMAL - NOT SPECIFIED",$GW45)))</f>
        <v/>
      </c>
      <c r="BX45" s="54" t="str">
        <f>IF(BX15="","",IF(BX15&lt;&gt;"THERMAL",BX15,IF($GW45="","THERMAL - NOT SPECIFIED",$GW45)))</f>
        <v/>
      </c>
      <c r="BY45" s="54" t="str">
        <f>IF(BY15="","",IF(BY15&lt;&gt;"THERMAL",BY15,IF($GW45="","THERMAL - NOT SPECIFIED",$GW45)))</f>
        <v/>
      </c>
      <c r="BZ45" s="54" t="str">
        <f>IF(BZ15="","",IF(BZ15&lt;&gt;"THERMAL",BZ15,IF($GW45="","THERMAL - NOT SPECIFIED",$GW45)))</f>
        <v/>
      </c>
      <c r="CA45" s="54" t="str">
        <f>IF(CA15="","",IF(CA15&lt;&gt;"THERMAL",CA15,IF($GW45="","THERMAL - NOT SPECIFIED",$GW45)))</f>
        <v/>
      </c>
      <c r="CB45" s="54" t="str">
        <f>IF(CB15="","",IF(CB15&lt;&gt;"THERMAL",CB15,IF($GW45="","THERMAL - NOT SPECIFIED",$GW45)))</f>
        <v/>
      </c>
      <c r="CC45" s="54" t="str">
        <f>IF(CC15="","",IF(CC15&lt;&gt;"THERMAL",CC15,IF($GW45="","THERMAL - NOT SPECIFIED",$GW45)))</f>
        <v/>
      </c>
      <c r="CD45" s="54" t="str">
        <f>IF(CD15="","",IF(CD15&lt;&gt;"THERMAL",CD15,IF($GW45="","THERMAL - NOT SPECIFIED",$GW45)))</f>
        <v/>
      </c>
      <c r="CE45" s="54" t="str">
        <f>IF(CE15="","",IF(CE15&lt;&gt;"THERMAL",CE15,IF($GW45="","THERMAL - NOT SPECIFIED",$GW45)))</f>
        <v/>
      </c>
      <c r="CF45" s="54" t="str">
        <f>IF(CF15="","",IF(CF15&lt;&gt;"THERMAL",CF15,IF($GW45="","THERMAL - NOT SPECIFIED",$GW45)))</f>
        <v/>
      </c>
      <c r="CG45" s="54" t="str">
        <f>IF(CG15="","",IF(CG15&lt;&gt;"THERMAL",CG15,IF($GW45="","THERMAL - NOT SPECIFIED",$GW45)))</f>
        <v/>
      </c>
      <c r="CH45" s="54" t="str">
        <f>IF(CH15="","",IF(CH15&lt;&gt;"THERMAL",CH15,IF($GW45="","THERMAL - NOT SPECIFIED",$GW45)))</f>
        <v/>
      </c>
      <c r="CI45" s="54" t="str">
        <f>IF(CI15="","",IF(CI15&lt;&gt;"THERMAL",CI15,IF($GW45="","THERMAL - NOT SPECIFIED",$GW45)))</f>
        <v/>
      </c>
      <c r="CJ45" s="54" t="str">
        <f>IF(CJ15="","",IF(CJ15&lt;&gt;"THERMAL",CJ15,IF($GW45="","THERMAL - NOT SPECIFIED",$GW45)))</f>
        <v/>
      </c>
      <c r="CK45" s="54" t="str">
        <f>IF(CK15="","",IF(CK15&lt;&gt;"THERMAL",CK15,IF($GW45="","THERMAL - NOT SPECIFIED",$GW45)))</f>
        <v/>
      </c>
      <c r="CL45" s="54" t="str">
        <f>IF(CL15="","",IF(CL15&lt;&gt;"THERMAL",CL15,IF($GW45="","THERMAL - NOT SPECIFIED",$GW45)))</f>
        <v/>
      </c>
      <c r="CM45" s="54" t="str">
        <f>IF(CM15="","",IF(CM15&lt;&gt;"THERMAL",CM15,IF($GW45="","THERMAL - NOT SPECIFIED",$GW45)))</f>
        <v/>
      </c>
      <c r="CN45" s="54" t="str">
        <f>IF(CN15="","",IF(CN15&lt;&gt;"THERMAL",CN15,IF($GW45="","THERMAL - NOT SPECIFIED",$GW45)))</f>
        <v/>
      </c>
      <c r="CO45" s="54" t="str">
        <f>IF(CO15="","",IF(CO15&lt;&gt;"THERMAL",CO15,IF($GW45="","THERMAL - NOT SPECIFIED",$GW45)))</f>
        <v/>
      </c>
      <c r="CP45" s="54" t="str">
        <f>IF(CP15="","",IF(CP15&lt;&gt;"THERMAL",CP15,IF($GW45="","THERMAL - NOT SPECIFIED",$GW45)))</f>
        <v/>
      </c>
      <c r="CQ45" s="54" t="str">
        <f>IF(CQ15="","",IF(CQ15&lt;&gt;"THERMAL",CQ15,IF($GW45="","THERMAL - NOT SPECIFIED",$GW45)))</f>
        <v/>
      </c>
      <c r="CR45" s="54" t="str">
        <f>IF(CR15="","",IF(CR15&lt;&gt;"THERMAL",CR15,IF($GW45="","THERMAL - NOT SPECIFIED",$GW45)))</f>
        <v/>
      </c>
      <c r="CS45" s="54" t="str">
        <f>IF(CS15="","",IF(CS15&lt;&gt;"THERMAL",CS15,IF($GW45="","THERMAL - NOT SPECIFIED",$GW45)))</f>
        <v/>
      </c>
      <c r="CT45" s="54" t="str">
        <f>IF(CT15="","",IF(CT15&lt;&gt;"THERMAL",CT15,IF($GW45="","THERMAL - NOT SPECIFIED",$GW45)))</f>
        <v/>
      </c>
      <c r="CU45" s="54" t="str">
        <f>IF(CU15="","",IF(CU15&lt;&gt;"THERMAL",CU15,IF($GW45="","THERMAL - NOT SPECIFIED",$GW45)))</f>
        <v/>
      </c>
      <c r="CV45" s="54" t="str">
        <f>IF(CV15="","",IF(CV15&lt;&gt;"THERMAL",CV15,IF($GW45="","THERMAL - NOT SPECIFIED",$GW45)))</f>
        <v/>
      </c>
      <c r="CW45" s="54" t="str">
        <f>IF(CW15="","",IF(CW15&lt;&gt;"THERMAL",CW15,IF($GW45="","THERMAL - NOT SPECIFIED",$GW45)))</f>
        <v/>
      </c>
      <c r="CX45" s="54" t="str">
        <f>IF(CX15="","",IF(CX15&lt;&gt;"THERMAL",CX15,IF($GW45="","THERMAL - NOT SPECIFIED",$GW45)))</f>
        <v/>
      </c>
      <c r="CY45" s="54" t="str">
        <f>IF(CY15="","",IF(CY15&lt;&gt;"THERMAL",CY15,IF($GW45="","THERMAL - NOT SPECIFIED",$GW45)))</f>
        <v/>
      </c>
      <c r="CZ45" s="54" t="str">
        <f>IF(CZ15="","",IF(CZ15&lt;&gt;"THERMAL",CZ15,IF($GW45="","THERMAL - NOT SPECIFIED",$GW45)))</f>
        <v/>
      </c>
      <c r="DA45" s="54" t="str">
        <f>IF(DA15="","",IF(DA15&lt;&gt;"THERMAL",DA15,IF($GW45="","THERMAL - NOT SPECIFIED",$GW45)))</f>
        <v/>
      </c>
      <c r="DB45" s="54" t="str">
        <f>IF(DB15="","",IF(DB15&lt;&gt;"THERMAL",DB15,IF($GW45="","THERMAL - NOT SPECIFIED",$GW45)))</f>
        <v/>
      </c>
      <c r="DC45" s="54" t="str">
        <f>IF(DC15="","",IF(DC15&lt;&gt;"THERMAL",DC15,IF($GW45="","THERMAL - NOT SPECIFIED",$GW45)))</f>
        <v/>
      </c>
      <c r="DD45" s="54" t="str">
        <f>IF(DD15="","",IF(DD15&lt;&gt;"THERMAL",DD15,IF($GW45="","THERMAL - NOT SPECIFIED",$GW45)))</f>
        <v/>
      </c>
      <c r="DE45" s="54" t="str">
        <f>IF(DE15="","",IF(DE15&lt;&gt;"THERMAL",DE15,IF($GW45="","THERMAL - NOT SPECIFIED",$GW45)))</f>
        <v/>
      </c>
      <c r="DF45" s="54" t="str">
        <f>IF(DF15="","",IF(DF15&lt;&gt;"THERMAL",DF15,IF($GW45="","THERMAL - NOT SPECIFIED",$GW45)))</f>
        <v/>
      </c>
      <c r="DG45" s="54" t="str">
        <f>IF(DG15="","",IF(DG15&lt;&gt;"THERMAL",DG15,IF($GW45="","THERMAL - NOT SPECIFIED",$GW45)))</f>
        <v/>
      </c>
      <c r="DH45" s="54" t="str">
        <f>IF(DH15="","",IF(DH15&lt;&gt;"THERMAL",DH15,IF($GW45="","THERMAL - NOT SPECIFIED",$GW45)))</f>
        <v/>
      </c>
      <c r="DI45" s="54" t="str">
        <f>IF(DI15="","",IF(DI15&lt;&gt;"THERMAL",DI15,IF($GW45="","THERMAL - NOT SPECIFIED",$GW45)))</f>
        <v/>
      </c>
      <c r="DJ45" s="54" t="str">
        <f>IF(DJ15="","",IF(DJ15&lt;&gt;"THERMAL",DJ15,IF($GW45="","THERMAL - NOT SPECIFIED",$GW45)))</f>
        <v/>
      </c>
      <c r="DK45" s="54" t="str">
        <f>IF(DK15="","",IF(DK15&lt;&gt;"THERMAL",DK15,IF($GW45="","THERMAL - NOT SPECIFIED",$GW45)))</f>
        <v/>
      </c>
      <c r="DL45" s="54" t="str">
        <f>IF(DL15="","",IF(DL15&lt;&gt;"THERMAL",DL15,IF($GW45="","THERMAL - NOT SPECIFIED",$GW45)))</f>
        <v/>
      </c>
      <c r="DM45" s="54" t="str">
        <f>IF(DM15="","",IF(DM15&lt;&gt;"THERMAL",DM15,IF($GW45="","THERMAL - NOT SPECIFIED",$GW45)))</f>
        <v/>
      </c>
      <c r="DN45" s="54" t="str">
        <f>IF(DN15="","",IF(DN15&lt;&gt;"THERMAL",DN15,IF($GW45="","THERMAL - NOT SPECIFIED",$GW45)))</f>
        <v/>
      </c>
      <c r="DO45" s="54" t="str">
        <f>IF(DO15="","",IF(DO15&lt;&gt;"THERMAL",DO15,IF($GW45="","THERMAL - NOT SPECIFIED",$GW45)))</f>
        <v/>
      </c>
      <c r="DP45" s="54" t="str">
        <f>IF(DP15="","",IF(DP15&lt;&gt;"THERMAL",DP15,IF($GW45="","THERMAL - NOT SPECIFIED",$GW45)))</f>
        <v/>
      </c>
      <c r="DQ45" s="54" t="str">
        <f>IF(DQ15="","",IF(DQ15&lt;&gt;"THERMAL",DQ15,IF($GW45="","THERMAL - NOT SPECIFIED",$GW45)))</f>
        <v/>
      </c>
      <c r="DR45" s="54" t="str">
        <f>IF(DR15="","",IF(DR15&lt;&gt;"THERMAL",DR15,IF($GW45="","THERMAL - NOT SPECIFIED",$GW45)))</f>
        <v/>
      </c>
      <c r="DS45" s="54" t="str">
        <f>IF(DS15="","",IF(DS15&lt;&gt;"THERMAL",DS15,IF($GW45="","THERMAL - NOT SPECIFIED",$GW45)))</f>
        <v/>
      </c>
      <c r="DT45" s="54" t="str">
        <f>IF(DT15="","",IF(DT15&lt;&gt;"THERMAL",DT15,IF($GW45="","THERMAL - NOT SPECIFIED",$GW45)))</f>
        <v/>
      </c>
      <c r="DU45" s="54" t="str">
        <f>IF(DU15="","",IF(DU15&lt;&gt;"THERMAL",DU15,IF($GW45="","THERMAL - NOT SPECIFIED",$GW45)))</f>
        <v/>
      </c>
      <c r="DV45" s="54" t="str">
        <f>IF(DV15="","",IF(DV15&lt;&gt;"THERMAL",DV15,IF($GW45="","THERMAL - NOT SPECIFIED",$GW45)))</f>
        <v/>
      </c>
      <c r="DW45" s="54" t="str">
        <f>IF(DW15="","",IF(DW15&lt;&gt;"THERMAL",DW15,IF($GW45="","THERMAL - NOT SPECIFIED",$GW45)))</f>
        <v/>
      </c>
      <c r="DX45" s="54" t="str">
        <f>IF(DX15="","",IF(DX15&lt;&gt;"THERMAL",DX15,IF($GW45="","THERMAL - NOT SPECIFIED",$GW45)))</f>
        <v/>
      </c>
      <c r="DY45" s="54" t="str">
        <f>IF(DY15="","",IF(DY15&lt;&gt;"THERMAL",DY15,IF($GW45="","THERMAL - NOT SPECIFIED",$GW45)))</f>
        <v/>
      </c>
      <c r="DZ45" s="54" t="str">
        <f>IF(DZ15="","",IF(DZ15&lt;&gt;"THERMAL",DZ15,IF($GW45="","THERMAL - NOT SPECIFIED",$GW45)))</f>
        <v/>
      </c>
      <c r="EA45" s="54" t="str">
        <f>IF(EA15="","",IF(EA15&lt;&gt;"THERMAL",EA15,IF($GW45="","THERMAL - NOT SPECIFIED",$GW45)))</f>
        <v/>
      </c>
      <c r="EB45" s="54" t="str">
        <f>IF(EB15="","",IF(EB15&lt;&gt;"THERMAL",EB15,IF($GW45="","THERMAL - NOT SPECIFIED",$GW45)))</f>
        <v/>
      </c>
      <c r="EC45" s="54" t="str">
        <f>IF(EC15="","",IF(EC15&lt;&gt;"THERMAL",EC15,IF($GW45="","THERMAL - NOT SPECIFIED",$GW45)))</f>
        <v/>
      </c>
      <c r="ED45" s="54" t="str">
        <f>IF(ED15="","",IF(ED15&lt;&gt;"THERMAL",ED15,IF($GW45="","THERMAL - NOT SPECIFIED",$GW45)))</f>
        <v/>
      </c>
      <c r="EE45" s="54" t="str">
        <f>IF(EE15="","",IF(EE15&lt;&gt;"THERMAL",EE15,IF($GW45="","THERMAL - NOT SPECIFIED",$GW45)))</f>
        <v/>
      </c>
      <c r="EF45" s="54" t="str">
        <f>IF(EF15="","",IF(EF15&lt;&gt;"THERMAL",EF15,IF($GW45="","THERMAL - NOT SPECIFIED",$GW45)))</f>
        <v/>
      </c>
      <c r="EG45" s="54" t="str">
        <f>IF(EG15="","",IF(EG15&lt;&gt;"THERMAL",EG15,IF($GW45="","THERMAL - NOT SPECIFIED",$GW45)))</f>
        <v/>
      </c>
      <c r="EH45" s="54" t="str">
        <f>IF(EH15="","",IF(EH15&lt;&gt;"THERMAL",EH15,IF($GW45="","THERMAL - NOT SPECIFIED",$GW45)))</f>
        <v/>
      </c>
      <c r="EI45" s="54" t="str">
        <f>IF(EI15="","",IF(EI15&lt;&gt;"THERMAL",EI15,IF($GW45="","THERMAL - NOT SPECIFIED",$GW45)))</f>
        <v/>
      </c>
      <c r="EJ45" s="54" t="str">
        <f>IF(EJ15="","",IF(EJ15&lt;&gt;"THERMAL",EJ15,IF($GW45="","THERMAL - NOT SPECIFIED",$GW45)))</f>
        <v/>
      </c>
      <c r="EK45" s="54" t="str">
        <f>IF(EK15="","",IF(EK15&lt;&gt;"THERMAL",EK15,IF($GW45="","THERMAL - NOT SPECIFIED",$GW45)))</f>
        <v/>
      </c>
      <c r="EL45" s="54" t="str">
        <f>IF(EL15="","",IF(EL15&lt;&gt;"THERMAL",EL15,IF($GW45="","THERMAL - NOT SPECIFIED",$GW45)))</f>
        <v/>
      </c>
      <c r="EM45" s="54" t="str">
        <f>IF(EM15="","",IF(EM15&lt;&gt;"THERMAL",EM15,IF($GW45="","THERMAL - NOT SPECIFIED",$GW45)))</f>
        <v/>
      </c>
      <c r="EN45" s="54" t="str">
        <f>IF(EN15="","",IF(EN15&lt;&gt;"THERMAL",EN15,IF($GW45="","THERMAL - NOT SPECIFIED",$GW45)))</f>
        <v/>
      </c>
      <c r="EO45" s="54" t="str">
        <f>IF(EO15="","",IF(EO15&lt;&gt;"THERMAL",EO15,IF($GW45="","THERMAL - NOT SPECIFIED",$GW45)))</f>
        <v/>
      </c>
      <c r="EP45" s="54" t="str">
        <f>IF(EP15="","",IF(EP15&lt;&gt;"THERMAL",EP15,IF($GW45="","THERMAL - NOT SPECIFIED",$GW45)))</f>
        <v/>
      </c>
      <c r="EQ45" s="54" t="str">
        <f>IF(EQ15="","",IF(EQ15&lt;&gt;"THERMAL",EQ15,IF($GW45="","THERMAL - NOT SPECIFIED",$GW45)))</f>
        <v/>
      </c>
      <c r="ER45" s="54" t="str">
        <f>IF(ER15="","",IF(ER15&lt;&gt;"THERMAL",ER15,IF($GW45="","THERMAL - NOT SPECIFIED",$GW45)))</f>
        <v/>
      </c>
      <c r="ES45" s="54" t="str">
        <f>IF(ES15="","",IF(ES15&lt;&gt;"THERMAL",ES15,IF($GW45="","THERMAL - NOT SPECIFIED",$GW45)))</f>
        <v/>
      </c>
      <c r="ET45" s="54" t="str">
        <f>IF(ET15="","",IF(ET15&lt;&gt;"THERMAL",ET15,IF($GW45="","THERMAL - NOT SPECIFIED",$GW45)))</f>
        <v/>
      </c>
      <c r="EU45" s="54" t="str">
        <f>IF(EU15="","",IF(EU15&lt;&gt;"THERMAL",EU15,IF($GW45="","THERMAL - NOT SPECIFIED",$GW45)))</f>
        <v/>
      </c>
      <c r="EV45" s="54" t="str">
        <f>IF(EV15="","",IF(EV15&lt;&gt;"THERMAL",EV15,IF($GW45="","THERMAL - NOT SPECIFIED",$GW45)))</f>
        <v/>
      </c>
      <c r="EW45" s="54" t="str">
        <f>IF(EW15="","",IF(EW15&lt;&gt;"THERMAL",EW15,IF($GW45="","THERMAL - NOT SPECIFIED",$GW45)))</f>
        <v/>
      </c>
      <c r="EX45" s="54" t="str">
        <f>IF(EX15="","",IF(EX15&lt;&gt;"THERMAL",EX15,IF($GW45="","THERMAL - NOT SPECIFIED",$GW45)))</f>
        <v/>
      </c>
      <c r="EY45" s="54" t="str">
        <f>IF(EY15="","",IF(EY15&lt;&gt;"THERMAL",EY15,IF($GW45="","THERMAL - NOT SPECIFIED",$GW45)))</f>
        <v/>
      </c>
      <c r="EZ45" s="54" t="str">
        <f>IF(EZ15="","",IF(EZ15&lt;&gt;"THERMAL",EZ15,IF($GW45="","THERMAL - NOT SPECIFIED",$GW45)))</f>
        <v/>
      </c>
      <c r="FA45" s="54" t="str">
        <f>IF(FA15="","",IF(FA15&lt;&gt;"THERMAL",FA15,IF($GW45="","THERMAL - NOT SPECIFIED",$GW45)))</f>
        <v/>
      </c>
      <c r="FB45" s="54" t="str">
        <f>IF(FB15="","",IF(FB15&lt;&gt;"THERMAL",FB15,IF($GW45="","THERMAL - NOT SPECIFIED",$GW45)))</f>
        <v/>
      </c>
      <c r="FC45" s="54" t="str">
        <f>IF(FC15="","",IF(FC15&lt;&gt;"THERMAL",FC15,IF($GW45="","THERMAL - NOT SPECIFIED",$GW45)))</f>
        <v/>
      </c>
      <c r="FD45" s="54" t="str">
        <f>IF(FD15="","",IF(FD15&lt;&gt;"THERMAL",FD15,IF($GW45="","THERMAL - NOT SPECIFIED",$GW45)))</f>
        <v/>
      </c>
      <c r="FE45" s="54" t="str">
        <f>IF(FE15="","",IF(FE15&lt;&gt;"THERMAL",FE15,IF($GW45="","THERMAL - NOT SPECIFIED",$GW45)))</f>
        <v/>
      </c>
      <c r="FF45" s="54" t="str">
        <f>IF(FF15="","",IF(FF15&lt;&gt;"THERMAL",FF15,IF($GW45="","THERMAL - NOT SPECIFIED",$GW45)))</f>
        <v/>
      </c>
      <c r="FG45" s="54" t="str">
        <f>IF(FG15="","",IF(FG15&lt;&gt;"THERMAL",FG15,IF($GW45="","THERMAL - NOT SPECIFIED",$GW45)))</f>
        <v/>
      </c>
      <c r="FH45" s="54" t="str">
        <f>IF(FH15="","",IF(FH15&lt;&gt;"THERMAL",FH15,IF($GW45="","THERMAL - NOT SPECIFIED",$GW45)))</f>
        <v/>
      </c>
      <c r="FI45" s="54" t="str">
        <f>IF(FI15="","",IF(FI15&lt;&gt;"THERMAL",FI15,IF($GW45="","THERMAL - NOT SPECIFIED",$GW45)))</f>
        <v/>
      </c>
      <c r="FJ45" s="54" t="str">
        <f>IF(FJ15="","",IF(FJ15&lt;&gt;"THERMAL",FJ15,IF($GW45="","THERMAL - NOT SPECIFIED",$GW45)))</f>
        <v/>
      </c>
      <c r="FK45" s="54" t="str">
        <f>IF(FK15="","",IF(FK15&lt;&gt;"THERMAL",FK15,IF($GW45="","THERMAL - NOT SPECIFIED",$GW45)))</f>
        <v/>
      </c>
      <c r="FL45" s="54" t="str">
        <f>IF(FL15="","",IF(FL15&lt;&gt;"THERMAL",FL15,IF($GW45="","THERMAL - NOT SPECIFIED",$GW45)))</f>
        <v/>
      </c>
      <c r="FM45" s="54" t="str">
        <f>IF(FM15="","",IF(FM15&lt;&gt;"THERMAL",FM15,IF($GW45="","THERMAL - NOT SPECIFIED",$GW45)))</f>
        <v/>
      </c>
      <c r="FN45" s="54" t="str">
        <f>IF(FN15="","",IF(FN15&lt;&gt;"THERMAL",FN15,IF($GW45="","THERMAL - NOT SPECIFIED",$GW45)))</f>
        <v/>
      </c>
      <c r="FO45" s="54" t="str">
        <f>IF(FO15="","",IF(FO15&lt;&gt;"THERMAL",FO15,IF($GW45="","THERMAL - NOT SPECIFIED",$GW45)))</f>
        <v/>
      </c>
      <c r="FP45" s="54" t="str">
        <f>IF(FP15="","",IF(FP15&lt;&gt;"THERMAL",FP15,IF($GW45="","THERMAL - NOT SPECIFIED",$GW45)))</f>
        <v/>
      </c>
      <c r="FQ45" s="54" t="str">
        <f>IF(FQ15="","",IF(FQ15&lt;&gt;"THERMAL",FQ15,IF($GW45="","THERMAL - NOT SPECIFIED",$GW45)))</f>
        <v/>
      </c>
      <c r="FR45" s="54" t="str">
        <f>IF(FR15="","",IF(FR15&lt;&gt;"THERMAL",FR15,IF($GW45="","THERMAL - NOT SPECIFIED",$GW45)))</f>
        <v/>
      </c>
      <c r="FS45" s="54" t="str">
        <f>IF(FS15="","",IF(FS15&lt;&gt;"THERMAL",FS15,IF($GW45="","THERMAL - NOT SPECIFIED",$GW45)))</f>
        <v/>
      </c>
      <c r="FT45" s="54" t="str">
        <f>IF(FT15="","",IF(FT15&lt;&gt;"THERMAL",FT15,IF($GW45="","THERMAL - NOT SPECIFIED",$GW45)))</f>
        <v/>
      </c>
      <c r="FU45" s="54" t="str">
        <f>IF(FU15="","",IF(FU15&lt;&gt;"THERMAL",FU15,IF($GW45="","THERMAL - NOT SPECIFIED",$GW45)))</f>
        <v/>
      </c>
      <c r="FV45" s="54" t="str">
        <f>IF(FV15="","",IF(FV15&lt;&gt;"THERMAL",FV15,IF($GW45="","THERMAL - NOT SPECIFIED",$GW45)))</f>
        <v/>
      </c>
      <c r="FW45" s="54" t="str">
        <f>IF(FW15="","",IF(FW15&lt;&gt;"THERMAL",FW15,IF($GW45="","THERMAL - NOT SPECIFIED",$GW45)))</f>
        <v/>
      </c>
      <c r="FX45" s="54" t="str">
        <f>IF(FX15="","",IF(FX15&lt;&gt;"THERMAL",FX15,IF($GW45="","THERMAL - NOT SPECIFIED",$GW45)))</f>
        <v/>
      </c>
      <c r="FY45" s="54" t="str">
        <f>IF(FY15="","",IF(FY15&lt;&gt;"THERMAL",FY15,IF($GW45="","THERMAL - NOT SPECIFIED",$GW45)))</f>
        <v/>
      </c>
      <c r="FZ45" s="54" t="str">
        <f>IF(FZ15="","",IF(FZ15&lt;&gt;"THERMAL",FZ15,IF($GW45="","THERMAL - NOT SPECIFIED",$GW45)))</f>
        <v/>
      </c>
      <c r="GA45" s="54" t="str">
        <f>IF(GA15="","",IF(GA15&lt;&gt;"THERMAL",GA15,IF($GW45="","THERMAL - NOT SPECIFIED",$GW45)))</f>
        <v/>
      </c>
      <c r="GB45" s="54" t="str">
        <f>IF(GB15="","",IF(GB15&lt;&gt;"THERMAL",GB15,IF($GW45="","THERMAL - NOT SPECIFIED",$GW45)))</f>
        <v/>
      </c>
      <c r="GC45" s="54" t="str">
        <f>IF(GC15="","",IF(GC15&lt;&gt;"THERMAL",GC15,IF($GW45="","THERMAL - NOT SPECIFIED",$GW45)))</f>
        <v/>
      </c>
      <c r="GD45" s="54" t="str">
        <f>IF(GD15="","",IF(GD15&lt;&gt;"THERMAL",GD15,IF($GW45="","THERMAL - NOT SPECIFIED",$GW45)))</f>
        <v/>
      </c>
      <c r="GE45" s="54" t="str">
        <f>IF(GE15="","",IF(GE15&lt;&gt;"THERMAL",GE15,IF($GW45="","THERMAL - NOT SPECIFIED",$GW45)))</f>
        <v/>
      </c>
      <c r="GF45" s="54" t="str">
        <f>IF(GF15="","",IF(GF15&lt;&gt;"THERMAL",GF15,IF($GW45="","THERMAL - NOT SPECIFIED",$GW45)))</f>
        <v/>
      </c>
      <c r="GG45" s="54" t="str">
        <f>IF(GG15="","",IF(GG15&lt;&gt;"THERMAL",GG15,IF($GW45="","THERMAL - NOT SPECIFIED",$GW45)))</f>
        <v/>
      </c>
      <c r="GH45" s="54" t="str">
        <f>IF(GH15="","",IF(GH15&lt;&gt;"THERMAL",GH15,IF($GW45="","THERMAL - NOT SPECIFIED",$GW45)))</f>
        <v/>
      </c>
      <c r="GI45" s="54" t="str">
        <f>IF(GI15="","",IF(GI15&lt;&gt;"THERMAL",GI15,IF($GW45="","THERMAL - NOT SPECIFIED",$GW45)))</f>
        <v/>
      </c>
      <c r="GJ45" s="54" t="str">
        <f>IF(GJ15="","",IF(GJ15&lt;&gt;"THERMAL",GJ15,IF($GW45="","THERMAL - NOT SPECIFIED",$GW45)))</f>
        <v/>
      </c>
      <c r="GK45" s="54" t="str">
        <f>IF(GK15="","",IF(GK15&lt;&gt;"THERMAL",GK15,IF($GW45="","THERMAL - NOT SPECIFIED",$GW45)))</f>
        <v/>
      </c>
      <c r="GL45" s="54" t="str">
        <f>IF(GL15="","",IF(GL15&lt;&gt;"THERMAL",GL15,IF($GW45="","THERMAL - NOT SPECIFIED",$GW45)))</f>
        <v/>
      </c>
      <c r="GM45" s="54" t="str">
        <f>IF(GM15="","",IF(GM15&lt;&gt;"THERMAL",GM15,IF($GW45="","THERMAL - NOT SPECIFIED",$GW45)))</f>
        <v/>
      </c>
      <c r="GN45" s="54" t="str">
        <f>IF(GN15="","",IF(GN15&lt;&gt;"THERMAL",GN15,IF($GW45="","THERMAL - NOT SPECIFIED",$GW45)))</f>
        <v/>
      </c>
      <c r="GO45" s="54" t="str">
        <f>IF(GO15="","",IF(GO15&lt;&gt;"THERMAL",GO15,IF($GW45="","THERMAL - NOT SPECIFIED",$GW45)))</f>
        <v/>
      </c>
      <c r="GP45" s="54" t="str">
        <f>IF(GP15="","",IF(GP15&lt;&gt;"THERMAL",GP15,IF($GW45="","THERMAL - NOT SPECIFIED",$GW45)))</f>
        <v/>
      </c>
      <c r="GQ45" s="54" t="str">
        <f>IF(GQ15="","",IF(GQ15&lt;&gt;"THERMAL",GQ15,IF($GW45="","THERMAL - NOT SPECIFIED",$GW45)))</f>
        <v/>
      </c>
      <c r="GR45" s="54" t="str">
        <f>IF(GR15="","",IF(GR15&lt;&gt;"THERMAL",GR15,IF($GW45="","THERMAL - NOT SPECIFIED",$GW45)))</f>
        <v/>
      </c>
      <c r="GS45" s="54" t="str">
        <f>IF(GS15="","",IF(GS15&lt;&gt;"THERMAL",GS15,IF($GW45="","THERMAL - NOT SPECIFIED",$GW45)))</f>
        <v/>
      </c>
      <c r="GW45" s="55" t="str">
        <f>IF($GY45="","",IFERROR(INDEX('MC MAP'!$L$5:$L$28,MATCH($GY45,'MC MAP'!$K$5:$K$28,0)),$GY45))</f>
        <v/>
      </c>
      <c r="GY45" s="60"/>
      <c r="HA45" s="15"/>
      <c r="HE45" s="14">
        <v>5543</v>
      </c>
    </row>
    <row r="46" spans="1:213">
      <c r="A46" s="2">
        <f>$A16</f>
        <v>11</v>
      </c>
      <c r="B46" s="54">
        <f>IF(B16="","",IF(B16&lt;&gt;"THERMAL",B16,IF($GW46="","THERMAL - NOT SPECIFIED",$GW46)))</f>
        <v>6108</v>
      </c>
      <c r="C46" s="54">
        <f>IF(C16="","",IF(C16&lt;&gt;"THERMAL",C16,IF($GW46="","THERMAL - NOT SPECIFIED",$GW46)))</f>
        <v>6108</v>
      </c>
      <c r="D46" s="54">
        <f>IF(D16="","",IF(D16&lt;&gt;"THERMAL",D16,IF($GW46="","THERMAL - NOT SPECIFIED",$GW46)))</f>
        <v>6108</v>
      </c>
      <c r="E46" s="54">
        <f>IF(E16="","",IF(E16&lt;&gt;"THERMAL",E16,IF($GW46="","THERMAL - NOT SPECIFIED",$GW46)))</f>
        <v>6108</v>
      </c>
      <c r="F46" s="54">
        <f>IF(F16="","",IF(F16&lt;&gt;"THERMAL",F16,IF($GW46="","THERMAL - NOT SPECIFIED",$GW46)))</f>
        <v>6108</v>
      </c>
      <c r="G46" s="54">
        <f>IF(G16="","",IF(G16&lt;&gt;"THERMAL",G16,IF($GW46="","THERMAL - NOT SPECIFIED",$GW46)))</f>
        <v>6108</v>
      </c>
      <c r="H46" s="54">
        <f>IF(H16="","",IF(H16&lt;&gt;"THERMAL",H16,IF($GW46="","THERMAL - NOT SPECIFIED",$GW46)))</f>
        <v>6108</v>
      </c>
      <c r="I46" s="54">
        <f>IF(I16="","",IF(I16&lt;&gt;"THERMAL",I16,IF($GW46="","THERMAL - NOT SPECIFIED",$GW46)))</f>
        <v>6108</v>
      </c>
      <c r="J46" s="54">
        <f>IF(J16="","",IF(J16&lt;&gt;"THERMAL",J16,IF($GW46="","THERMAL - NOT SPECIFIED",$GW46)))</f>
        <v>6108</v>
      </c>
      <c r="K46" s="54">
        <f>IF(K16="","",IF(K16&lt;&gt;"THERMAL",K16,IF($GW46="","THERMAL - NOT SPECIFIED",$GW46)))</f>
        <v>6108</v>
      </c>
      <c r="L46" s="54">
        <f>IF(L16="","",IF(L16&lt;&gt;"THERMAL",L16,IF($GW46="","THERMAL - NOT SPECIFIED",$GW46)))</f>
        <v>6108</v>
      </c>
      <c r="M46" s="54">
        <f>IF(M16="","",IF(M16&lt;&gt;"THERMAL",M16,IF($GW46="","THERMAL - NOT SPECIFIED",$GW46)))</f>
        <v>6108</v>
      </c>
      <c r="N46" s="54">
        <f>IF(N16="","",IF(N16&lt;&gt;"THERMAL",N16,IF($GW46="","THERMAL - NOT SPECIFIED",$GW46)))</f>
        <v>6108</v>
      </c>
      <c r="O46" s="54">
        <f>IF(O16="","",IF(O16&lt;&gt;"THERMAL",O16,IF($GW46="","THERMAL - NOT SPECIFIED",$GW46)))</f>
        <v>6108</v>
      </c>
      <c r="P46" s="54">
        <f>IF(P16="","",IF(P16&lt;&gt;"THERMAL",P16,IF($GW46="","THERMAL - NOT SPECIFIED",$GW46)))</f>
        <v>6108</v>
      </c>
      <c r="Q46" s="54">
        <f>IF(Q16="","",IF(Q16&lt;&gt;"THERMAL",Q16,IF($GW46="","THERMAL - NOT SPECIFIED",$GW46)))</f>
        <v>6108</v>
      </c>
      <c r="R46" s="54">
        <f>IF(R16="","",IF(R16&lt;&gt;"THERMAL",R16,IF($GW46="","THERMAL - NOT SPECIFIED",$GW46)))</f>
        <v>6108</v>
      </c>
      <c r="S46" s="54">
        <f>IF(S16="","",IF(S16&lt;&gt;"THERMAL",S16,IF($GW46="","THERMAL - NOT SPECIFIED",$GW46)))</f>
        <v>6108</v>
      </c>
      <c r="T46" s="54">
        <f>IF(T16="","",IF(T16&lt;&gt;"THERMAL",T16,IF($GW46="","THERMAL - NOT SPECIFIED",$GW46)))</f>
        <v>6108</v>
      </c>
      <c r="U46" s="54">
        <f>IF(U16="","",IF(U16&lt;&gt;"THERMAL",U16,IF($GW46="","THERMAL - NOT SPECIFIED",$GW46)))</f>
        <v>6108</v>
      </c>
      <c r="V46" s="54">
        <f>IF(V16="","",IF(V16&lt;&gt;"THERMAL",V16,IF($GW46="","THERMAL - NOT SPECIFIED",$GW46)))</f>
        <v>6108</v>
      </c>
      <c r="W46" s="54">
        <f>IF(W16="","",IF(W16&lt;&gt;"THERMAL",W16,IF($GW46="","THERMAL - NOT SPECIFIED",$GW46)))</f>
        <v>6108</v>
      </c>
      <c r="X46" s="54">
        <f>IF(X16="","",IF(X16&lt;&gt;"THERMAL",X16,IF($GW46="","THERMAL - NOT SPECIFIED",$GW46)))</f>
        <v>6108</v>
      </c>
      <c r="Y46" s="54">
        <f>IF(Y16="","",IF(Y16&lt;&gt;"THERMAL",Y16,IF($GW46="","THERMAL - NOT SPECIFIED",$GW46)))</f>
        <v>6108</v>
      </c>
      <c r="Z46" s="54">
        <f>IF(Z16="","",IF(Z16&lt;&gt;"THERMAL",Z16,IF($GW46="","THERMAL - NOT SPECIFIED",$GW46)))</f>
        <v>6108</v>
      </c>
      <c r="AA46" s="54">
        <f>IF(AA16="","",IF(AA16&lt;&gt;"THERMAL",AA16,IF($GW46="","THERMAL - NOT SPECIFIED",$GW46)))</f>
        <v>6108</v>
      </c>
      <c r="AB46" s="54">
        <f>IF(AB16="","",IF(AB16&lt;&gt;"THERMAL",AB16,IF($GW46="","THERMAL - NOT SPECIFIED",$GW46)))</f>
        <v>6108</v>
      </c>
      <c r="AC46" s="54">
        <f>IF(AC16="","",IF(AC16&lt;&gt;"THERMAL",AC16,IF($GW46="","THERMAL - NOT SPECIFIED",$GW46)))</f>
        <v>6108</v>
      </c>
      <c r="AD46" s="54">
        <f>IF(AD16="","",IF(AD16&lt;&gt;"THERMAL",AD16,IF($GW46="","THERMAL - NOT SPECIFIED",$GW46)))</f>
        <v>6108</v>
      </c>
      <c r="AE46" s="54">
        <f>IF(AE16="","",IF(AE16&lt;&gt;"THERMAL",AE16,IF($GW46="","THERMAL - NOT SPECIFIED",$GW46)))</f>
        <v>6108</v>
      </c>
      <c r="AF46" s="54">
        <f>IF(AF16="","",IF(AF16&lt;&gt;"THERMAL",AF16,IF($GW46="","THERMAL - NOT SPECIFIED",$GW46)))</f>
        <v>6108</v>
      </c>
      <c r="AG46" s="54">
        <f>IF(AG16="","",IF(AG16&lt;&gt;"THERMAL",AG16,IF($GW46="","THERMAL - NOT SPECIFIED",$GW46)))</f>
        <v>6108</v>
      </c>
      <c r="AH46" s="54">
        <f>IF(AH16="","",IF(AH16&lt;&gt;"THERMAL",AH16,IF($GW46="","THERMAL - NOT SPECIFIED",$GW46)))</f>
        <v>6108</v>
      </c>
      <c r="AI46" s="54">
        <f>IF(AI16="","",IF(AI16&lt;&gt;"THERMAL",AI16,IF($GW46="","THERMAL - NOT SPECIFIED",$GW46)))</f>
        <v>6108</v>
      </c>
      <c r="AJ46" s="54">
        <f>IF(AJ16="","",IF(AJ16&lt;&gt;"THERMAL",AJ16,IF($GW46="","THERMAL - NOT SPECIFIED",$GW46)))</f>
        <v>6108</v>
      </c>
      <c r="AK46" s="54">
        <f>IF(AK16="","",IF(AK16&lt;&gt;"THERMAL",AK16,IF($GW46="","THERMAL - NOT SPECIFIED",$GW46)))</f>
        <v>6108</v>
      </c>
      <c r="AL46" s="54">
        <f>IF(AL16="","",IF(AL16&lt;&gt;"THERMAL",AL16,IF($GW46="","THERMAL - NOT SPECIFIED",$GW46)))</f>
        <v>6108</v>
      </c>
      <c r="AM46" s="54">
        <f>IF(AM16="","",IF(AM16&lt;&gt;"THERMAL",AM16,IF($GW46="","THERMAL - NOT SPECIFIED",$GW46)))</f>
        <v>6108</v>
      </c>
      <c r="AN46" s="54">
        <f>IF(AN16="","",IF(AN16&lt;&gt;"THERMAL",AN16,IF($GW46="","THERMAL - NOT SPECIFIED",$GW46)))</f>
        <v>6108</v>
      </c>
      <c r="AO46" s="54">
        <f>IF(AO16="","",IF(AO16&lt;&gt;"THERMAL",AO16,IF($GW46="","THERMAL - NOT SPECIFIED",$GW46)))</f>
        <v>6108</v>
      </c>
      <c r="AP46" s="54">
        <f>IF(AP16="","",IF(AP16&lt;&gt;"THERMAL",AP16,IF($GW46="","THERMAL - NOT SPECIFIED",$GW46)))</f>
        <v>6108</v>
      </c>
      <c r="AQ46" s="54">
        <f>IF(AQ16="","",IF(AQ16&lt;&gt;"THERMAL",AQ16,IF($GW46="","THERMAL - NOT SPECIFIED",$GW46)))</f>
        <v>6108</v>
      </c>
      <c r="AR46" s="54">
        <f>IF(AR16="","",IF(AR16&lt;&gt;"THERMAL",AR16,IF($GW46="","THERMAL - NOT SPECIFIED",$GW46)))</f>
        <v>6108</v>
      </c>
      <c r="AS46" s="54">
        <f>IF(AS16="","",IF(AS16&lt;&gt;"THERMAL",AS16,IF($GW46="","THERMAL - NOT SPECIFIED",$GW46)))</f>
        <v>6108</v>
      </c>
      <c r="AT46" s="54">
        <f>IF(AT16="","",IF(AT16&lt;&gt;"THERMAL",AT16,IF($GW46="","THERMAL - NOT SPECIFIED",$GW46)))</f>
        <v>6108</v>
      </c>
      <c r="AU46" s="54">
        <f>IF(AU16="","",IF(AU16&lt;&gt;"THERMAL",AU16,IF($GW46="","THERMAL - NOT SPECIFIED",$GW46)))</f>
        <v>4117</v>
      </c>
      <c r="AV46" s="54">
        <f>IF(AV16="","",IF(AV16&lt;&gt;"THERMAL",AV16,IF($GW46="","THERMAL - NOT SPECIFIED",$GW46)))</f>
        <v>4117</v>
      </c>
      <c r="AW46" s="54">
        <f>IF(AW16="","",IF(AW16&lt;&gt;"THERMAL",AW16,IF($GW46="","THERMAL - NOT SPECIFIED",$GW46)))</f>
        <v>4117</v>
      </c>
      <c r="AX46" s="54">
        <f>IF(AX16="","",IF(AX16&lt;&gt;"THERMAL",AX16,IF($GW46="","THERMAL - NOT SPECIFIED",$GW46)))</f>
        <v>4117</v>
      </c>
      <c r="AY46" s="54">
        <f>IF(AY16="","",IF(AY16&lt;&gt;"THERMAL",AY16,IF($GW46="","THERMAL - NOT SPECIFIED",$GW46)))</f>
        <v>4117</v>
      </c>
      <c r="AZ46" s="54">
        <f>IF(AZ16="","",IF(AZ16&lt;&gt;"THERMAL",AZ16,IF($GW46="","THERMAL - NOT SPECIFIED",$GW46)))</f>
        <v>4117</v>
      </c>
      <c r="BA46" s="54">
        <f>IF(BA16="","",IF(BA16&lt;&gt;"THERMAL",BA16,IF($GW46="","THERMAL - NOT SPECIFIED",$GW46)))</f>
        <v>4117</v>
      </c>
      <c r="BB46" s="54">
        <f>IF(BB16="","",IF(BB16&lt;&gt;"THERMAL",BB16,IF($GW46="","THERMAL - NOT SPECIFIED",$GW46)))</f>
        <v>4117</v>
      </c>
      <c r="BC46" s="54">
        <f>IF(BC16="","",IF(BC16&lt;&gt;"THERMAL",BC16,IF($GW46="","THERMAL - NOT SPECIFIED",$GW46)))</f>
        <v>4117</v>
      </c>
      <c r="BD46" s="54">
        <f>IF(BD16="","",IF(BD16&lt;&gt;"THERMAL",BD16,IF($GW46="","THERMAL - NOT SPECIFIED",$GW46)))</f>
        <v>4117</v>
      </c>
      <c r="BE46" s="54">
        <f>IF(BE16="","",IF(BE16&lt;&gt;"THERMAL",BE16,IF($GW46="","THERMAL - NOT SPECIFIED",$GW46)))</f>
        <v>4117</v>
      </c>
      <c r="BF46" s="54">
        <f>IF(BF16="","",IF(BF16&lt;&gt;"THERMAL",BF16,IF($GW46="","THERMAL - NOT SPECIFIED",$GW46)))</f>
        <v>4117</v>
      </c>
      <c r="BG46" s="54">
        <f>IF(BG16="","",IF(BG16&lt;&gt;"THERMAL",BG16,IF($GW46="","THERMAL - NOT SPECIFIED",$GW46)))</f>
        <v>4117</v>
      </c>
      <c r="BH46" s="54">
        <f>IF(BH16="","",IF(BH16&lt;&gt;"THERMAL",BH16,IF($GW46="","THERMAL - NOT SPECIFIED",$GW46)))</f>
        <v>4117</v>
      </c>
      <c r="BI46" s="54">
        <f>IF(BI16="","",IF(BI16&lt;&gt;"THERMAL",BI16,IF($GW46="","THERMAL - NOT SPECIFIED",$GW46)))</f>
        <v>4117</v>
      </c>
      <c r="BJ46" s="54">
        <f>IF(BJ16="","",IF(BJ16&lt;&gt;"THERMAL",BJ16,IF($GW46="","THERMAL - NOT SPECIFIED",$GW46)))</f>
        <v>4117</v>
      </c>
      <c r="BK46" s="54">
        <f>IF(BK16="","",IF(BK16&lt;&gt;"THERMAL",BK16,IF($GW46="","THERMAL - NOT SPECIFIED",$GW46)))</f>
        <v>4117</v>
      </c>
      <c r="BL46" s="54">
        <f>IF(BL16="","",IF(BL16&lt;&gt;"THERMAL",BL16,IF($GW46="","THERMAL - NOT SPECIFIED",$GW46)))</f>
        <v>4117</v>
      </c>
      <c r="BM46" s="54">
        <f>IF(BM16="","",IF(BM16&lt;&gt;"THERMAL",BM16,IF($GW46="","THERMAL - NOT SPECIFIED",$GW46)))</f>
        <v>4117</v>
      </c>
      <c r="BN46" s="54">
        <f>IF(BN16="","",IF(BN16&lt;&gt;"THERMAL",BN16,IF($GW46="","THERMAL - NOT SPECIFIED",$GW46)))</f>
        <v>4117</v>
      </c>
      <c r="BO46" s="54">
        <f>IF(BO16="","",IF(BO16&lt;&gt;"THERMAL",BO16,IF($GW46="","THERMAL - NOT SPECIFIED",$GW46)))</f>
        <v>4117</v>
      </c>
      <c r="BP46" s="54">
        <f>IF(BP16="","",IF(BP16&lt;&gt;"THERMAL",BP16,IF($GW46="","THERMAL - NOT SPECIFIED",$GW46)))</f>
        <v>4117</v>
      </c>
      <c r="BQ46" s="54">
        <f>IF(BQ16="","",IF(BQ16&lt;&gt;"THERMAL",BQ16,IF($GW46="","THERMAL - NOT SPECIFIED",$GW46)))</f>
        <v>4117</v>
      </c>
      <c r="BR46" s="54">
        <f>IF(BR16="","",IF(BR16&lt;&gt;"THERMAL",BR16,IF($GW46="","THERMAL - NOT SPECIFIED",$GW46)))</f>
        <v>4117</v>
      </c>
      <c r="BS46" s="54">
        <f>IF(BS16="","",IF(BS16&lt;&gt;"THERMAL",BS16,IF($GW46="","THERMAL - NOT SPECIFIED",$GW46)))</f>
        <v>4117</v>
      </c>
      <c r="BT46" s="54">
        <f>IF(BT16="","",IF(BT16&lt;&gt;"THERMAL",BT16,IF($GW46="","THERMAL - NOT SPECIFIED",$GW46)))</f>
        <v>4117</v>
      </c>
      <c r="BU46" s="54">
        <f>IF(BU16="","",IF(BU16&lt;&gt;"THERMAL",BU16,IF($GW46="","THERMAL - NOT SPECIFIED",$GW46)))</f>
        <v>4117</v>
      </c>
      <c r="BV46" s="54">
        <f>IF(BV16="","",IF(BV16&lt;&gt;"THERMAL",BV16,IF($GW46="","THERMAL - NOT SPECIFIED",$GW46)))</f>
        <v>4117</v>
      </c>
      <c r="BW46" s="54">
        <f>IF(BW16="","",IF(BW16&lt;&gt;"THERMAL",BW16,IF($GW46="","THERMAL - NOT SPECIFIED",$GW46)))</f>
        <v>4117</v>
      </c>
      <c r="BX46" s="54">
        <f>IF(BX16="","",IF(BX16&lt;&gt;"THERMAL",BX16,IF($GW46="","THERMAL - NOT SPECIFIED",$GW46)))</f>
        <v>4117</v>
      </c>
      <c r="BY46" s="54">
        <f>IF(BY16="","",IF(BY16&lt;&gt;"THERMAL",BY16,IF($GW46="","THERMAL - NOT SPECIFIED",$GW46)))</f>
        <v>4117</v>
      </c>
      <c r="BZ46" s="54" t="str">
        <f>IF(BZ16="","",IF(BZ16&lt;&gt;"THERMAL",BZ16,IF($GW46="","THERMAL - NOT SPECIFIED",$GW46)))</f>
        <v>VACCANT</v>
      </c>
      <c r="CA46" s="54" t="str">
        <f>IF(CA16="","",IF(CA16&lt;&gt;"THERMAL",CA16,IF($GW46="","THERMAL - NOT SPECIFIED",$GW46)))</f>
        <v/>
      </c>
      <c r="CB46" s="54" t="str">
        <f>IF(CB16="","",IF(CB16&lt;&gt;"THERMAL",CB16,IF($GW46="","THERMAL - NOT SPECIFIED",$GW46)))</f>
        <v/>
      </c>
      <c r="CC46" s="54" t="str">
        <f>IF(CC16="","",IF(CC16&lt;&gt;"THERMAL",CC16,IF($GW46="","THERMAL - NOT SPECIFIED",$GW46)))</f>
        <v/>
      </c>
      <c r="CD46" s="54" t="str">
        <f>IF(CD16="","",IF(CD16&lt;&gt;"THERMAL",CD16,IF($GW46="","THERMAL - NOT SPECIFIED",$GW46)))</f>
        <v/>
      </c>
      <c r="CE46" s="54" t="str">
        <f>IF(CE16="","",IF(CE16&lt;&gt;"THERMAL",CE16,IF($GW46="","THERMAL - NOT SPECIFIED",$GW46)))</f>
        <v/>
      </c>
      <c r="CF46" s="54" t="str">
        <f>IF(CF16="","",IF(CF16&lt;&gt;"THERMAL",CF16,IF($GW46="","THERMAL - NOT SPECIFIED",$GW46)))</f>
        <v/>
      </c>
      <c r="CG46" s="54" t="str">
        <f>IF(CG16="","",IF(CG16&lt;&gt;"THERMAL",CG16,IF($GW46="","THERMAL - NOT SPECIFIED",$GW46)))</f>
        <v/>
      </c>
      <c r="CH46" s="54" t="str">
        <f>IF(CH16="","",IF(CH16&lt;&gt;"THERMAL",CH16,IF($GW46="","THERMAL - NOT SPECIFIED",$GW46)))</f>
        <v/>
      </c>
      <c r="CI46" s="54" t="str">
        <f>IF(CI16="","",IF(CI16&lt;&gt;"THERMAL",CI16,IF($GW46="","THERMAL - NOT SPECIFIED",$GW46)))</f>
        <v/>
      </c>
      <c r="CJ46" s="54" t="str">
        <f>IF(CJ16="","",IF(CJ16&lt;&gt;"THERMAL",CJ16,IF($GW46="","THERMAL - NOT SPECIFIED",$GW46)))</f>
        <v/>
      </c>
      <c r="CK46" s="54" t="str">
        <f>IF(CK16="","",IF(CK16&lt;&gt;"THERMAL",CK16,IF($GW46="","THERMAL - NOT SPECIFIED",$GW46)))</f>
        <v/>
      </c>
      <c r="CL46" s="54" t="str">
        <f>IF(CL16="","",IF(CL16&lt;&gt;"THERMAL",CL16,IF($GW46="","THERMAL - NOT SPECIFIED",$GW46)))</f>
        <v/>
      </c>
      <c r="CM46" s="54" t="str">
        <f>IF(CM16="","",IF(CM16&lt;&gt;"THERMAL",CM16,IF($GW46="","THERMAL - NOT SPECIFIED",$GW46)))</f>
        <v/>
      </c>
      <c r="CN46" s="54" t="str">
        <f>IF(CN16="","",IF(CN16&lt;&gt;"THERMAL",CN16,IF($GW46="","THERMAL - NOT SPECIFIED",$GW46)))</f>
        <v/>
      </c>
      <c r="CO46" s="54" t="str">
        <f>IF(CO16="","",IF(CO16&lt;&gt;"THERMAL",CO16,IF($GW46="","THERMAL - NOT SPECIFIED",$GW46)))</f>
        <v/>
      </c>
      <c r="CP46" s="54" t="str">
        <f>IF(CP16="","",IF(CP16&lt;&gt;"THERMAL",CP16,IF($GW46="","THERMAL - NOT SPECIFIED",$GW46)))</f>
        <v/>
      </c>
      <c r="CQ46" s="54" t="str">
        <f>IF(CQ16="","",IF(CQ16&lt;&gt;"THERMAL",CQ16,IF($GW46="","THERMAL - NOT SPECIFIED",$GW46)))</f>
        <v/>
      </c>
      <c r="CR46" s="54" t="str">
        <f>IF(CR16="","",IF(CR16&lt;&gt;"THERMAL",CR16,IF($GW46="","THERMAL - NOT SPECIFIED",$GW46)))</f>
        <v/>
      </c>
      <c r="CS46" s="54" t="str">
        <f>IF(CS16="","",IF(CS16&lt;&gt;"THERMAL",CS16,IF($GW46="","THERMAL - NOT SPECIFIED",$GW46)))</f>
        <v/>
      </c>
      <c r="CT46" s="54" t="str">
        <f>IF(CT16="","",IF(CT16&lt;&gt;"THERMAL",CT16,IF($GW46="","THERMAL - NOT SPECIFIED",$GW46)))</f>
        <v/>
      </c>
      <c r="CU46" s="54" t="str">
        <f>IF(CU16="","",IF(CU16&lt;&gt;"THERMAL",CU16,IF($GW46="","THERMAL - NOT SPECIFIED",$GW46)))</f>
        <v/>
      </c>
      <c r="CV46" s="54" t="str">
        <f>IF(CV16="","",IF(CV16&lt;&gt;"THERMAL",CV16,IF($GW46="","THERMAL - NOT SPECIFIED",$GW46)))</f>
        <v/>
      </c>
      <c r="CW46" s="54" t="str">
        <f>IF(CW16="","",IF(CW16&lt;&gt;"THERMAL",CW16,IF($GW46="","THERMAL - NOT SPECIFIED",$GW46)))</f>
        <v/>
      </c>
      <c r="CX46" s="54" t="str">
        <f>IF(CX16="","",IF(CX16&lt;&gt;"THERMAL",CX16,IF($GW46="","THERMAL - NOT SPECIFIED",$GW46)))</f>
        <v/>
      </c>
      <c r="CY46" s="54" t="str">
        <f>IF(CY16="","",IF(CY16&lt;&gt;"THERMAL",CY16,IF($GW46="","THERMAL - NOT SPECIFIED",$GW46)))</f>
        <v/>
      </c>
      <c r="CZ46" s="54" t="str">
        <f>IF(CZ16="","",IF(CZ16&lt;&gt;"THERMAL",CZ16,IF($GW46="","THERMAL - NOT SPECIFIED",$GW46)))</f>
        <v/>
      </c>
      <c r="DA46" s="54" t="str">
        <f>IF(DA16="","",IF(DA16&lt;&gt;"THERMAL",DA16,IF($GW46="","THERMAL - NOT SPECIFIED",$GW46)))</f>
        <v/>
      </c>
      <c r="DB46" s="54" t="str">
        <f>IF(DB16="","",IF(DB16&lt;&gt;"THERMAL",DB16,IF($GW46="","THERMAL - NOT SPECIFIED",$GW46)))</f>
        <v/>
      </c>
      <c r="DC46" s="54" t="str">
        <f>IF(DC16="","",IF(DC16&lt;&gt;"THERMAL",DC16,IF($GW46="","THERMAL - NOT SPECIFIED",$GW46)))</f>
        <v/>
      </c>
      <c r="DD46" s="54" t="str">
        <f>IF(DD16="","",IF(DD16&lt;&gt;"THERMAL",DD16,IF($GW46="","THERMAL - NOT SPECIFIED",$GW46)))</f>
        <v/>
      </c>
      <c r="DE46" s="54" t="str">
        <f>IF(DE16="","",IF(DE16&lt;&gt;"THERMAL",DE16,IF($GW46="","THERMAL - NOT SPECIFIED",$GW46)))</f>
        <v/>
      </c>
      <c r="DF46" s="54" t="str">
        <f>IF(DF16="","",IF(DF16&lt;&gt;"THERMAL",DF16,IF($GW46="","THERMAL - NOT SPECIFIED",$GW46)))</f>
        <v/>
      </c>
      <c r="DG46" s="54" t="str">
        <f>IF(DG16="","",IF(DG16&lt;&gt;"THERMAL",DG16,IF($GW46="","THERMAL - NOT SPECIFIED",$GW46)))</f>
        <v/>
      </c>
      <c r="DH46" s="54" t="str">
        <f>IF(DH16="","",IF(DH16&lt;&gt;"THERMAL",DH16,IF($GW46="","THERMAL - NOT SPECIFIED",$GW46)))</f>
        <v/>
      </c>
      <c r="DI46" s="54" t="str">
        <f>IF(DI16="","",IF(DI16&lt;&gt;"THERMAL",DI16,IF($GW46="","THERMAL - NOT SPECIFIED",$GW46)))</f>
        <v/>
      </c>
      <c r="DJ46" s="54" t="str">
        <f>IF(DJ16="","",IF(DJ16&lt;&gt;"THERMAL",DJ16,IF($GW46="","THERMAL - NOT SPECIFIED",$GW46)))</f>
        <v/>
      </c>
      <c r="DK46" s="54" t="str">
        <f>IF(DK16="","",IF(DK16&lt;&gt;"THERMAL",DK16,IF($GW46="","THERMAL - NOT SPECIFIED",$GW46)))</f>
        <v/>
      </c>
      <c r="DL46" s="54" t="str">
        <f>IF(DL16="","",IF(DL16&lt;&gt;"THERMAL",DL16,IF($GW46="","THERMAL - NOT SPECIFIED",$GW46)))</f>
        <v/>
      </c>
      <c r="DM46" s="54" t="str">
        <f>IF(DM16="","",IF(DM16&lt;&gt;"THERMAL",DM16,IF($GW46="","THERMAL - NOT SPECIFIED",$GW46)))</f>
        <v/>
      </c>
      <c r="DN46" s="54" t="str">
        <f>IF(DN16="","",IF(DN16&lt;&gt;"THERMAL",DN16,IF($GW46="","THERMAL - NOT SPECIFIED",$GW46)))</f>
        <v/>
      </c>
      <c r="DO46" s="54" t="str">
        <f>IF(DO16="","",IF(DO16&lt;&gt;"THERMAL",DO16,IF($GW46="","THERMAL - NOT SPECIFIED",$GW46)))</f>
        <v/>
      </c>
      <c r="DP46" s="54" t="str">
        <f>IF(DP16="","",IF(DP16&lt;&gt;"THERMAL",DP16,IF($GW46="","THERMAL - NOT SPECIFIED",$GW46)))</f>
        <v/>
      </c>
      <c r="DQ46" s="54" t="str">
        <f>IF(DQ16="","",IF(DQ16&lt;&gt;"THERMAL",DQ16,IF($GW46="","THERMAL - NOT SPECIFIED",$GW46)))</f>
        <v/>
      </c>
      <c r="DR46" s="54" t="str">
        <f>IF(DR16="","",IF(DR16&lt;&gt;"THERMAL",DR16,IF($GW46="","THERMAL - NOT SPECIFIED",$GW46)))</f>
        <v/>
      </c>
      <c r="DS46" s="54" t="str">
        <f>IF(DS16="","",IF(DS16&lt;&gt;"THERMAL",DS16,IF($GW46="","THERMAL - NOT SPECIFIED",$GW46)))</f>
        <v/>
      </c>
      <c r="DT46" s="54" t="str">
        <f>IF(DT16="","",IF(DT16&lt;&gt;"THERMAL",DT16,IF($GW46="","THERMAL - NOT SPECIFIED",$GW46)))</f>
        <v/>
      </c>
      <c r="DU46" s="54" t="str">
        <f>IF(DU16="","",IF(DU16&lt;&gt;"THERMAL",DU16,IF($GW46="","THERMAL - NOT SPECIFIED",$GW46)))</f>
        <v/>
      </c>
      <c r="DV46" s="54" t="str">
        <f>IF(DV16="","",IF(DV16&lt;&gt;"THERMAL",DV16,IF($GW46="","THERMAL - NOT SPECIFIED",$GW46)))</f>
        <v/>
      </c>
      <c r="DW46" s="54" t="str">
        <f>IF(DW16="","",IF(DW16&lt;&gt;"THERMAL",DW16,IF($GW46="","THERMAL - NOT SPECIFIED",$GW46)))</f>
        <v/>
      </c>
      <c r="DX46" s="54" t="str">
        <f>IF(DX16="","",IF(DX16&lt;&gt;"THERMAL",DX16,IF($GW46="","THERMAL - NOT SPECIFIED",$GW46)))</f>
        <v/>
      </c>
      <c r="DY46" s="54" t="str">
        <f>IF(DY16="","",IF(DY16&lt;&gt;"THERMAL",DY16,IF($GW46="","THERMAL - NOT SPECIFIED",$GW46)))</f>
        <v/>
      </c>
      <c r="DZ46" s="54" t="str">
        <f>IF(DZ16="","",IF(DZ16&lt;&gt;"THERMAL",DZ16,IF($GW46="","THERMAL - NOT SPECIFIED",$GW46)))</f>
        <v/>
      </c>
      <c r="EA46" s="54" t="str">
        <f>IF(EA16="","",IF(EA16&lt;&gt;"THERMAL",EA16,IF($GW46="","THERMAL - NOT SPECIFIED",$GW46)))</f>
        <v/>
      </c>
      <c r="EB46" s="54" t="str">
        <f>IF(EB16="","",IF(EB16&lt;&gt;"THERMAL",EB16,IF($GW46="","THERMAL - NOT SPECIFIED",$GW46)))</f>
        <v/>
      </c>
      <c r="EC46" s="54" t="str">
        <f>IF(EC16="","",IF(EC16&lt;&gt;"THERMAL",EC16,IF($GW46="","THERMAL - NOT SPECIFIED",$GW46)))</f>
        <v/>
      </c>
      <c r="ED46" s="54" t="str">
        <f>IF(ED16="","",IF(ED16&lt;&gt;"THERMAL",ED16,IF($GW46="","THERMAL - NOT SPECIFIED",$GW46)))</f>
        <v/>
      </c>
      <c r="EE46" s="54" t="str">
        <f>IF(EE16="","",IF(EE16&lt;&gt;"THERMAL",EE16,IF($GW46="","THERMAL - NOT SPECIFIED",$GW46)))</f>
        <v/>
      </c>
      <c r="EF46" s="54" t="str">
        <f>IF(EF16="","",IF(EF16&lt;&gt;"THERMAL",EF16,IF($GW46="","THERMAL - NOT SPECIFIED",$GW46)))</f>
        <v/>
      </c>
      <c r="EG46" s="54" t="str">
        <f>IF(EG16="","",IF(EG16&lt;&gt;"THERMAL",EG16,IF($GW46="","THERMAL - NOT SPECIFIED",$GW46)))</f>
        <v/>
      </c>
      <c r="EH46" s="54" t="str">
        <f>IF(EH16="","",IF(EH16&lt;&gt;"THERMAL",EH16,IF($GW46="","THERMAL - NOT SPECIFIED",$GW46)))</f>
        <v/>
      </c>
      <c r="EI46" s="54" t="str">
        <f>IF(EI16="","",IF(EI16&lt;&gt;"THERMAL",EI16,IF($GW46="","THERMAL - NOT SPECIFIED",$GW46)))</f>
        <v/>
      </c>
      <c r="EJ46" s="54" t="str">
        <f>IF(EJ16="","",IF(EJ16&lt;&gt;"THERMAL",EJ16,IF($GW46="","THERMAL - NOT SPECIFIED",$GW46)))</f>
        <v/>
      </c>
      <c r="EK46" s="54" t="str">
        <f>IF(EK16="","",IF(EK16&lt;&gt;"THERMAL",EK16,IF($GW46="","THERMAL - NOT SPECIFIED",$GW46)))</f>
        <v/>
      </c>
      <c r="EL46" s="54" t="str">
        <f>IF(EL16="","",IF(EL16&lt;&gt;"THERMAL",EL16,IF($GW46="","THERMAL - NOT SPECIFIED",$GW46)))</f>
        <v/>
      </c>
      <c r="EM46" s="54" t="str">
        <f>IF(EM16="","",IF(EM16&lt;&gt;"THERMAL",EM16,IF($GW46="","THERMAL - NOT SPECIFIED",$GW46)))</f>
        <v/>
      </c>
      <c r="EN46" s="54" t="str">
        <f>IF(EN16="","",IF(EN16&lt;&gt;"THERMAL",EN16,IF($GW46="","THERMAL - NOT SPECIFIED",$GW46)))</f>
        <v/>
      </c>
      <c r="EO46" s="54" t="str">
        <f>IF(EO16="","",IF(EO16&lt;&gt;"THERMAL",EO16,IF($GW46="","THERMAL - NOT SPECIFIED",$GW46)))</f>
        <v/>
      </c>
      <c r="EP46" s="54" t="str">
        <f>IF(EP16="","",IF(EP16&lt;&gt;"THERMAL",EP16,IF($GW46="","THERMAL - NOT SPECIFIED",$GW46)))</f>
        <v/>
      </c>
      <c r="EQ46" s="54" t="str">
        <f>IF(EQ16="","",IF(EQ16&lt;&gt;"THERMAL",EQ16,IF($GW46="","THERMAL - NOT SPECIFIED",$GW46)))</f>
        <v/>
      </c>
      <c r="ER46" s="54" t="str">
        <f>IF(ER16="","",IF(ER16&lt;&gt;"THERMAL",ER16,IF($GW46="","THERMAL - NOT SPECIFIED",$GW46)))</f>
        <v/>
      </c>
      <c r="ES46" s="54" t="str">
        <f>IF(ES16="","",IF(ES16&lt;&gt;"THERMAL",ES16,IF($GW46="","THERMAL - NOT SPECIFIED",$GW46)))</f>
        <v/>
      </c>
      <c r="ET46" s="54" t="str">
        <f>IF(ET16="","",IF(ET16&lt;&gt;"THERMAL",ET16,IF($GW46="","THERMAL - NOT SPECIFIED",$GW46)))</f>
        <v/>
      </c>
      <c r="EU46" s="54" t="str">
        <f>IF(EU16="","",IF(EU16&lt;&gt;"THERMAL",EU16,IF($GW46="","THERMAL - NOT SPECIFIED",$GW46)))</f>
        <v/>
      </c>
      <c r="EV46" s="54" t="str">
        <f>IF(EV16="","",IF(EV16&lt;&gt;"THERMAL",EV16,IF($GW46="","THERMAL - NOT SPECIFIED",$GW46)))</f>
        <v/>
      </c>
      <c r="EW46" s="54" t="str">
        <f>IF(EW16="","",IF(EW16&lt;&gt;"THERMAL",EW16,IF($GW46="","THERMAL - NOT SPECIFIED",$GW46)))</f>
        <v/>
      </c>
      <c r="EX46" s="54" t="str">
        <f>IF(EX16="","",IF(EX16&lt;&gt;"THERMAL",EX16,IF($GW46="","THERMAL - NOT SPECIFIED",$GW46)))</f>
        <v/>
      </c>
      <c r="EY46" s="54" t="str">
        <f>IF(EY16="","",IF(EY16&lt;&gt;"THERMAL",EY16,IF($GW46="","THERMAL - NOT SPECIFIED",$GW46)))</f>
        <v/>
      </c>
      <c r="EZ46" s="54" t="str">
        <f>IF(EZ16="","",IF(EZ16&lt;&gt;"THERMAL",EZ16,IF($GW46="","THERMAL - NOT SPECIFIED",$GW46)))</f>
        <v/>
      </c>
      <c r="FA46" s="54" t="str">
        <f>IF(FA16="","",IF(FA16&lt;&gt;"THERMAL",FA16,IF($GW46="","THERMAL - NOT SPECIFIED",$GW46)))</f>
        <v/>
      </c>
      <c r="FB46" s="54" t="str">
        <f>IF(FB16="","",IF(FB16&lt;&gt;"THERMAL",FB16,IF($GW46="","THERMAL - NOT SPECIFIED",$GW46)))</f>
        <v/>
      </c>
      <c r="FC46" s="54" t="str">
        <f>IF(FC16="","",IF(FC16&lt;&gt;"THERMAL",FC16,IF($GW46="","THERMAL - NOT SPECIFIED",$GW46)))</f>
        <v/>
      </c>
      <c r="FD46" s="54" t="str">
        <f>IF(FD16="","",IF(FD16&lt;&gt;"THERMAL",FD16,IF($GW46="","THERMAL - NOT SPECIFIED",$GW46)))</f>
        <v/>
      </c>
      <c r="FE46" s="54" t="str">
        <f>IF(FE16="","",IF(FE16&lt;&gt;"THERMAL",FE16,IF($GW46="","THERMAL - NOT SPECIFIED",$GW46)))</f>
        <v/>
      </c>
      <c r="FF46" s="54" t="str">
        <f>IF(FF16="","",IF(FF16&lt;&gt;"THERMAL",FF16,IF($GW46="","THERMAL - NOT SPECIFIED",$GW46)))</f>
        <v/>
      </c>
      <c r="FG46" s="54" t="str">
        <f>IF(FG16="","",IF(FG16&lt;&gt;"THERMAL",FG16,IF($GW46="","THERMAL - NOT SPECIFIED",$GW46)))</f>
        <v/>
      </c>
      <c r="FH46" s="54" t="str">
        <f>IF(FH16="","",IF(FH16&lt;&gt;"THERMAL",FH16,IF($GW46="","THERMAL - NOT SPECIFIED",$GW46)))</f>
        <v/>
      </c>
      <c r="FI46" s="54" t="str">
        <f>IF(FI16="","",IF(FI16&lt;&gt;"THERMAL",FI16,IF($GW46="","THERMAL - NOT SPECIFIED",$GW46)))</f>
        <v/>
      </c>
      <c r="FJ46" s="54" t="str">
        <f>IF(FJ16="","",IF(FJ16&lt;&gt;"THERMAL",FJ16,IF($GW46="","THERMAL - NOT SPECIFIED",$GW46)))</f>
        <v/>
      </c>
      <c r="FK46" s="54" t="str">
        <f>IF(FK16="","",IF(FK16&lt;&gt;"THERMAL",FK16,IF($GW46="","THERMAL - NOT SPECIFIED",$GW46)))</f>
        <v/>
      </c>
      <c r="FL46" s="54" t="str">
        <f>IF(FL16="","",IF(FL16&lt;&gt;"THERMAL",FL16,IF($GW46="","THERMAL - NOT SPECIFIED",$GW46)))</f>
        <v/>
      </c>
      <c r="FM46" s="54" t="str">
        <f>IF(FM16="","",IF(FM16&lt;&gt;"THERMAL",FM16,IF($GW46="","THERMAL - NOT SPECIFIED",$GW46)))</f>
        <v/>
      </c>
      <c r="FN46" s="54" t="str">
        <f>IF(FN16="","",IF(FN16&lt;&gt;"THERMAL",FN16,IF($GW46="","THERMAL - NOT SPECIFIED",$GW46)))</f>
        <v/>
      </c>
      <c r="FO46" s="54" t="str">
        <f>IF(FO16="","",IF(FO16&lt;&gt;"THERMAL",FO16,IF($GW46="","THERMAL - NOT SPECIFIED",$GW46)))</f>
        <v/>
      </c>
      <c r="FP46" s="54" t="str">
        <f>IF(FP16="","",IF(FP16&lt;&gt;"THERMAL",FP16,IF($GW46="","THERMAL - NOT SPECIFIED",$GW46)))</f>
        <v/>
      </c>
      <c r="FQ46" s="54" t="str">
        <f>IF(FQ16="","",IF(FQ16&lt;&gt;"THERMAL",FQ16,IF($GW46="","THERMAL - NOT SPECIFIED",$GW46)))</f>
        <v/>
      </c>
      <c r="FR46" s="54" t="str">
        <f>IF(FR16="","",IF(FR16&lt;&gt;"THERMAL",FR16,IF($GW46="","THERMAL - NOT SPECIFIED",$GW46)))</f>
        <v/>
      </c>
      <c r="FS46" s="54" t="str">
        <f>IF(FS16="","",IF(FS16&lt;&gt;"THERMAL",FS16,IF($GW46="","THERMAL - NOT SPECIFIED",$GW46)))</f>
        <v/>
      </c>
      <c r="FT46" s="54" t="str">
        <f>IF(FT16="","",IF(FT16&lt;&gt;"THERMAL",FT16,IF($GW46="","THERMAL - NOT SPECIFIED",$GW46)))</f>
        <v/>
      </c>
      <c r="FU46" s="54" t="str">
        <f>IF(FU16="","",IF(FU16&lt;&gt;"THERMAL",FU16,IF($GW46="","THERMAL - NOT SPECIFIED",$GW46)))</f>
        <v/>
      </c>
      <c r="FV46" s="54" t="str">
        <f>IF(FV16="","",IF(FV16&lt;&gt;"THERMAL",FV16,IF($GW46="","THERMAL - NOT SPECIFIED",$GW46)))</f>
        <v/>
      </c>
      <c r="FW46" s="54" t="str">
        <f>IF(FW16="","",IF(FW16&lt;&gt;"THERMAL",FW16,IF($GW46="","THERMAL - NOT SPECIFIED",$GW46)))</f>
        <v/>
      </c>
      <c r="FX46" s="54" t="str">
        <f>IF(FX16="","",IF(FX16&lt;&gt;"THERMAL",FX16,IF($GW46="","THERMAL - NOT SPECIFIED",$GW46)))</f>
        <v/>
      </c>
      <c r="FY46" s="54" t="str">
        <f>IF(FY16="","",IF(FY16&lt;&gt;"THERMAL",FY16,IF($GW46="","THERMAL - NOT SPECIFIED",$GW46)))</f>
        <v/>
      </c>
      <c r="FZ46" s="54" t="str">
        <f>IF(FZ16="","",IF(FZ16&lt;&gt;"THERMAL",FZ16,IF($GW46="","THERMAL - NOT SPECIFIED",$GW46)))</f>
        <v/>
      </c>
      <c r="GA46" s="54" t="str">
        <f>IF(GA16="","",IF(GA16&lt;&gt;"THERMAL",GA16,IF($GW46="","THERMAL - NOT SPECIFIED",$GW46)))</f>
        <v/>
      </c>
      <c r="GB46" s="54" t="str">
        <f>IF(GB16="","",IF(GB16&lt;&gt;"THERMAL",GB16,IF($GW46="","THERMAL - NOT SPECIFIED",$GW46)))</f>
        <v/>
      </c>
      <c r="GC46" s="54" t="str">
        <f>IF(GC16="","",IF(GC16&lt;&gt;"THERMAL",GC16,IF($GW46="","THERMAL - NOT SPECIFIED",$GW46)))</f>
        <v/>
      </c>
      <c r="GD46" s="54" t="str">
        <f>IF(GD16="","",IF(GD16&lt;&gt;"THERMAL",GD16,IF($GW46="","THERMAL - NOT SPECIFIED",$GW46)))</f>
        <v/>
      </c>
      <c r="GE46" s="54" t="str">
        <f>IF(GE16="","",IF(GE16&lt;&gt;"THERMAL",GE16,IF($GW46="","THERMAL - NOT SPECIFIED",$GW46)))</f>
        <v/>
      </c>
      <c r="GF46" s="54" t="str">
        <f>IF(GF16="","",IF(GF16&lt;&gt;"THERMAL",GF16,IF($GW46="","THERMAL - NOT SPECIFIED",$GW46)))</f>
        <v/>
      </c>
      <c r="GG46" s="54" t="str">
        <f>IF(GG16="","",IF(GG16&lt;&gt;"THERMAL",GG16,IF($GW46="","THERMAL - NOT SPECIFIED",$GW46)))</f>
        <v/>
      </c>
      <c r="GH46" s="54" t="str">
        <f>IF(GH16="","",IF(GH16&lt;&gt;"THERMAL",GH16,IF($GW46="","THERMAL - NOT SPECIFIED",$GW46)))</f>
        <v/>
      </c>
      <c r="GI46" s="54" t="str">
        <f>IF(GI16="","",IF(GI16&lt;&gt;"THERMAL",GI16,IF($GW46="","THERMAL - NOT SPECIFIED",$GW46)))</f>
        <v/>
      </c>
      <c r="GJ46" s="54" t="str">
        <f>IF(GJ16="","",IF(GJ16&lt;&gt;"THERMAL",GJ16,IF($GW46="","THERMAL - NOT SPECIFIED",$GW46)))</f>
        <v/>
      </c>
      <c r="GK46" s="54" t="str">
        <f>IF(GK16="","",IF(GK16&lt;&gt;"THERMAL",GK16,IF($GW46="","THERMAL - NOT SPECIFIED",$GW46)))</f>
        <v/>
      </c>
      <c r="GL46" s="54" t="str">
        <f>IF(GL16="","",IF(GL16&lt;&gt;"THERMAL",GL16,IF($GW46="","THERMAL - NOT SPECIFIED",$GW46)))</f>
        <v/>
      </c>
      <c r="GM46" s="54" t="str">
        <f>IF(GM16="","",IF(GM16&lt;&gt;"THERMAL",GM16,IF($GW46="","THERMAL - NOT SPECIFIED",$GW46)))</f>
        <v/>
      </c>
      <c r="GN46" s="54" t="str">
        <f>IF(GN16="","",IF(GN16&lt;&gt;"THERMAL",GN16,IF($GW46="","THERMAL - NOT SPECIFIED",$GW46)))</f>
        <v/>
      </c>
      <c r="GO46" s="54" t="str">
        <f>IF(GO16="","",IF(GO16&lt;&gt;"THERMAL",GO16,IF($GW46="","THERMAL - NOT SPECIFIED",$GW46)))</f>
        <v/>
      </c>
      <c r="GP46" s="54" t="str">
        <f>IF(GP16="","",IF(GP16&lt;&gt;"THERMAL",GP16,IF($GW46="","THERMAL - NOT SPECIFIED",$GW46)))</f>
        <v/>
      </c>
      <c r="GQ46" s="54" t="str">
        <f>IF(GQ16="","",IF(GQ16&lt;&gt;"THERMAL",GQ16,IF($GW46="","THERMAL - NOT SPECIFIED",$GW46)))</f>
        <v/>
      </c>
      <c r="GR46" s="54" t="str">
        <f>IF(GR16="","",IF(GR16&lt;&gt;"THERMAL",GR16,IF($GW46="","THERMAL - NOT SPECIFIED",$GW46)))</f>
        <v/>
      </c>
      <c r="GS46" s="54" t="str">
        <f>IF(GS16="","",IF(GS16&lt;&gt;"THERMAL",GS16,IF($GW46="","THERMAL - NOT SPECIFIED",$GW46)))</f>
        <v/>
      </c>
      <c r="GW46" s="55" t="str">
        <f>IF($GY46="","",IFERROR(INDEX('MC MAP'!$L$5:$L$28,MATCH($GY46,'MC MAP'!$K$5:$K$28,0)),$GY46))</f>
        <v/>
      </c>
      <c r="GY46" s="60"/>
      <c r="HA46" s="15"/>
      <c r="HE46" s="14" t="s">
        <v>25</v>
      </c>
    </row>
    <row r="47" spans="1:213">
      <c r="A47" s="2">
        <f>$A17</f>
        <v>12</v>
      </c>
      <c r="B47" s="54">
        <f>IF(B17="","",IF(B17&lt;&gt;"THERMAL",B17,IF($GW47="","THERMAL - NOT SPECIFIED",$GW47)))</f>
        <v>6108</v>
      </c>
      <c r="C47" s="54">
        <f>IF(C17="","",IF(C17&lt;&gt;"THERMAL",C17,IF($GW47="","THERMAL - NOT SPECIFIED",$GW47)))</f>
        <v>6108</v>
      </c>
      <c r="D47" s="54">
        <f>IF(D17="","",IF(D17&lt;&gt;"THERMAL",D17,IF($GW47="","THERMAL - NOT SPECIFIED",$GW47)))</f>
        <v>6108</v>
      </c>
      <c r="E47" s="54">
        <f>IF(E17="","",IF(E17&lt;&gt;"THERMAL",E17,IF($GW47="","THERMAL - NOT SPECIFIED",$GW47)))</f>
        <v>6108</v>
      </c>
      <c r="F47" s="54">
        <f>IF(F17="","",IF(F17&lt;&gt;"THERMAL",F17,IF($GW47="","THERMAL - NOT SPECIFIED",$GW47)))</f>
        <v>6108</v>
      </c>
      <c r="G47" s="54">
        <f>IF(G17="","",IF(G17&lt;&gt;"THERMAL",G17,IF($GW47="","THERMAL - NOT SPECIFIED",$GW47)))</f>
        <v>6108</v>
      </c>
      <c r="H47" s="54">
        <f>IF(H17="","",IF(H17&lt;&gt;"THERMAL",H17,IF($GW47="","THERMAL - NOT SPECIFIED",$GW47)))</f>
        <v>6108</v>
      </c>
      <c r="I47" s="54">
        <f>IF(I17="","",IF(I17&lt;&gt;"THERMAL",I17,IF($GW47="","THERMAL - NOT SPECIFIED",$GW47)))</f>
        <v>6108</v>
      </c>
      <c r="J47" s="54">
        <f>IF(J17="","",IF(J17&lt;&gt;"THERMAL",J17,IF($GW47="","THERMAL - NOT SPECIFIED",$GW47)))</f>
        <v>6108</v>
      </c>
      <c r="K47" s="54">
        <f>IF(K17="","",IF(K17&lt;&gt;"THERMAL",K17,IF($GW47="","THERMAL - NOT SPECIFIED",$GW47)))</f>
        <v>6108</v>
      </c>
      <c r="L47" s="54">
        <f>IF(L17="","",IF(L17&lt;&gt;"THERMAL",L17,IF($GW47="","THERMAL - NOT SPECIFIED",$GW47)))</f>
        <v>6108</v>
      </c>
      <c r="M47" s="54">
        <f>IF(M17="","",IF(M17&lt;&gt;"THERMAL",M17,IF($GW47="","THERMAL - NOT SPECIFIED",$GW47)))</f>
        <v>6108</v>
      </c>
      <c r="N47" s="54">
        <f>IF(N17="","",IF(N17&lt;&gt;"THERMAL",N17,IF($GW47="","THERMAL - NOT SPECIFIED",$GW47)))</f>
        <v>6108</v>
      </c>
      <c r="O47" s="54">
        <f>IF(O17="","",IF(O17&lt;&gt;"THERMAL",O17,IF($GW47="","THERMAL - NOT SPECIFIED",$GW47)))</f>
        <v>6108</v>
      </c>
      <c r="P47" s="54">
        <f>IF(P17="","",IF(P17&lt;&gt;"THERMAL",P17,IF($GW47="","THERMAL - NOT SPECIFIED",$GW47)))</f>
        <v>6108</v>
      </c>
      <c r="Q47" s="54">
        <f>IF(Q17="","",IF(Q17&lt;&gt;"THERMAL",Q17,IF($GW47="","THERMAL - NOT SPECIFIED",$GW47)))</f>
        <v>6108</v>
      </c>
      <c r="R47" s="54">
        <f>IF(R17="","",IF(R17&lt;&gt;"THERMAL",R17,IF($GW47="","THERMAL - NOT SPECIFIED",$GW47)))</f>
        <v>6108</v>
      </c>
      <c r="S47" s="54">
        <f>IF(S17="","",IF(S17&lt;&gt;"THERMAL",S17,IF($GW47="","THERMAL - NOT SPECIFIED",$GW47)))</f>
        <v>6108</v>
      </c>
      <c r="T47" s="54">
        <f>IF(T17="","",IF(T17&lt;&gt;"THERMAL",T17,IF($GW47="","THERMAL - NOT SPECIFIED",$GW47)))</f>
        <v>6108</v>
      </c>
      <c r="U47" s="54">
        <f>IF(U17="","",IF(U17&lt;&gt;"THERMAL",U17,IF($GW47="","THERMAL - NOT SPECIFIED",$GW47)))</f>
        <v>6108</v>
      </c>
      <c r="V47" s="54">
        <f>IF(V17="","",IF(V17&lt;&gt;"THERMAL",V17,IF($GW47="","THERMAL - NOT SPECIFIED",$GW47)))</f>
        <v>6108</v>
      </c>
      <c r="W47" s="54">
        <f>IF(W17="","",IF(W17&lt;&gt;"THERMAL",W17,IF($GW47="","THERMAL - NOT SPECIFIED",$GW47)))</f>
        <v>6108</v>
      </c>
      <c r="X47" s="54">
        <f>IF(X17="","",IF(X17&lt;&gt;"THERMAL",X17,IF($GW47="","THERMAL - NOT SPECIFIED",$GW47)))</f>
        <v>6108</v>
      </c>
      <c r="Y47" s="54">
        <f>IF(Y17="","",IF(Y17&lt;&gt;"THERMAL",Y17,IF($GW47="","THERMAL - NOT SPECIFIED",$GW47)))</f>
        <v>6108</v>
      </c>
      <c r="Z47" s="54">
        <f>IF(Z17="","",IF(Z17&lt;&gt;"THERMAL",Z17,IF($GW47="","THERMAL - NOT SPECIFIED",$GW47)))</f>
        <v>6108</v>
      </c>
      <c r="AA47" s="54">
        <f>IF(AA17="","",IF(AA17&lt;&gt;"THERMAL",AA17,IF($GW47="","THERMAL - NOT SPECIFIED",$GW47)))</f>
        <v>6108</v>
      </c>
      <c r="AB47" s="54">
        <f>IF(AB17="","",IF(AB17&lt;&gt;"THERMAL",AB17,IF($GW47="","THERMAL - NOT SPECIFIED",$GW47)))</f>
        <v>6108</v>
      </c>
      <c r="AC47" s="54">
        <f>IF(AC17="","",IF(AC17&lt;&gt;"THERMAL",AC17,IF($GW47="","THERMAL - NOT SPECIFIED",$GW47)))</f>
        <v>6108</v>
      </c>
      <c r="AD47" s="54">
        <f>IF(AD17="","",IF(AD17&lt;&gt;"THERMAL",AD17,IF($GW47="","THERMAL - NOT SPECIFIED",$GW47)))</f>
        <v>6108</v>
      </c>
      <c r="AE47" s="54">
        <f>IF(AE17="","",IF(AE17&lt;&gt;"THERMAL",AE17,IF($GW47="","THERMAL - NOT SPECIFIED",$GW47)))</f>
        <v>6108</v>
      </c>
      <c r="AF47" s="54">
        <f>IF(AF17="","",IF(AF17&lt;&gt;"THERMAL",AF17,IF($GW47="","THERMAL - NOT SPECIFIED",$GW47)))</f>
        <v>6108</v>
      </c>
      <c r="AG47" s="54">
        <f>IF(AG17="","",IF(AG17&lt;&gt;"THERMAL",AG17,IF($GW47="","THERMAL - NOT SPECIFIED",$GW47)))</f>
        <v>6108</v>
      </c>
      <c r="AH47" s="54">
        <f>IF(AH17="","",IF(AH17&lt;&gt;"THERMAL",AH17,IF($GW47="","THERMAL - NOT SPECIFIED",$GW47)))</f>
        <v>6108</v>
      </c>
      <c r="AI47" s="54">
        <f>IF(AI17="","",IF(AI17&lt;&gt;"THERMAL",AI17,IF($GW47="","THERMAL - NOT SPECIFIED",$GW47)))</f>
        <v>6108</v>
      </c>
      <c r="AJ47" s="54">
        <f>IF(AJ17="","",IF(AJ17&lt;&gt;"THERMAL",AJ17,IF($GW47="","THERMAL - NOT SPECIFIED",$GW47)))</f>
        <v>6108</v>
      </c>
      <c r="AK47" s="54">
        <f>IF(AK17="","",IF(AK17&lt;&gt;"THERMAL",AK17,IF($GW47="","THERMAL - NOT SPECIFIED",$GW47)))</f>
        <v>6108</v>
      </c>
      <c r="AL47" s="54">
        <f>IF(AL17="","",IF(AL17&lt;&gt;"THERMAL",AL17,IF($GW47="","THERMAL - NOT SPECIFIED",$GW47)))</f>
        <v>6108</v>
      </c>
      <c r="AM47" s="54">
        <f>IF(AM17="","",IF(AM17&lt;&gt;"THERMAL",AM17,IF($GW47="","THERMAL - NOT SPECIFIED",$GW47)))</f>
        <v>6108</v>
      </c>
      <c r="AN47" s="54">
        <f>IF(AN17="","",IF(AN17&lt;&gt;"THERMAL",AN17,IF($GW47="","THERMAL - NOT SPECIFIED",$GW47)))</f>
        <v>6108</v>
      </c>
      <c r="AO47" s="54">
        <f>IF(AO17="","",IF(AO17&lt;&gt;"THERMAL",AO17,IF($GW47="","THERMAL - NOT SPECIFIED",$GW47)))</f>
        <v>6108</v>
      </c>
      <c r="AP47" s="54">
        <f>IF(AP17="","",IF(AP17&lt;&gt;"THERMAL",AP17,IF($GW47="","THERMAL - NOT SPECIFIED",$GW47)))</f>
        <v>6108</v>
      </c>
      <c r="AQ47" s="54">
        <f>IF(AQ17="","",IF(AQ17&lt;&gt;"THERMAL",AQ17,IF($GW47="","THERMAL - NOT SPECIFIED",$GW47)))</f>
        <v>6108</v>
      </c>
      <c r="AR47" s="54">
        <f>IF(AR17="","",IF(AR17&lt;&gt;"THERMAL",AR17,IF($GW47="","THERMAL - NOT SPECIFIED",$GW47)))</f>
        <v>6108</v>
      </c>
      <c r="AS47" s="54">
        <f>IF(AS17="","",IF(AS17&lt;&gt;"THERMAL",AS17,IF($GW47="","THERMAL - NOT SPECIFIED",$GW47)))</f>
        <v>6108</v>
      </c>
      <c r="AT47" s="54">
        <f>IF(AT17="","",IF(AT17&lt;&gt;"THERMAL",AT17,IF($GW47="","THERMAL - NOT SPECIFIED",$GW47)))</f>
        <v>6108</v>
      </c>
      <c r="AU47" s="54">
        <f>IF(AU17="","",IF(AU17&lt;&gt;"THERMAL",AU17,IF($GW47="","THERMAL - NOT SPECIFIED",$GW47)))</f>
        <v>4117</v>
      </c>
      <c r="AV47" s="54">
        <f>IF(AV17="","",IF(AV17&lt;&gt;"THERMAL",AV17,IF($GW47="","THERMAL - NOT SPECIFIED",$GW47)))</f>
        <v>4117</v>
      </c>
      <c r="AW47" s="54">
        <f>IF(AW17="","",IF(AW17&lt;&gt;"THERMAL",AW17,IF($GW47="","THERMAL - NOT SPECIFIED",$GW47)))</f>
        <v>4117</v>
      </c>
      <c r="AX47" s="54">
        <f>IF(AX17="","",IF(AX17&lt;&gt;"THERMAL",AX17,IF($GW47="","THERMAL - NOT SPECIFIED",$GW47)))</f>
        <v>4117</v>
      </c>
      <c r="AY47" s="54">
        <f>IF(AY17="","",IF(AY17&lt;&gt;"THERMAL",AY17,IF($GW47="","THERMAL - NOT SPECIFIED",$GW47)))</f>
        <v>4117</v>
      </c>
      <c r="AZ47" s="54">
        <f>IF(AZ17="","",IF(AZ17&lt;&gt;"THERMAL",AZ17,IF($GW47="","THERMAL - NOT SPECIFIED",$GW47)))</f>
        <v>4117</v>
      </c>
      <c r="BA47" s="54">
        <f>IF(BA17="","",IF(BA17&lt;&gt;"THERMAL",BA17,IF($GW47="","THERMAL - NOT SPECIFIED",$GW47)))</f>
        <v>4117</v>
      </c>
      <c r="BB47" s="54">
        <f>IF(BB17="","",IF(BB17&lt;&gt;"THERMAL",BB17,IF($GW47="","THERMAL - NOT SPECIFIED",$GW47)))</f>
        <v>4117</v>
      </c>
      <c r="BC47" s="54">
        <f>IF(BC17="","",IF(BC17&lt;&gt;"THERMAL",BC17,IF($GW47="","THERMAL - NOT SPECIFIED",$GW47)))</f>
        <v>4117</v>
      </c>
      <c r="BD47" s="54">
        <f>IF(BD17="","",IF(BD17&lt;&gt;"THERMAL",BD17,IF($GW47="","THERMAL - NOT SPECIFIED",$GW47)))</f>
        <v>4117</v>
      </c>
      <c r="BE47" s="54">
        <f>IF(BE17="","",IF(BE17&lt;&gt;"THERMAL",BE17,IF($GW47="","THERMAL - NOT SPECIFIED",$GW47)))</f>
        <v>4117</v>
      </c>
      <c r="BF47" s="54">
        <f>IF(BF17="","",IF(BF17&lt;&gt;"THERMAL",BF17,IF($GW47="","THERMAL - NOT SPECIFIED",$GW47)))</f>
        <v>4117</v>
      </c>
      <c r="BG47" s="54">
        <f>IF(BG17="","",IF(BG17&lt;&gt;"THERMAL",BG17,IF($GW47="","THERMAL - NOT SPECIFIED",$GW47)))</f>
        <v>4117</v>
      </c>
      <c r="BH47" s="54">
        <f>IF(BH17="","",IF(BH17&lt;&gt;"THERMAL",BH17,IF($GW47="","THERMAL - NOT SPECIFIED",$GW47)))</f>
        <v>4117</v>
      </c>
      <c r="BI47" s="54">
        <f>IF(BI17="","",IF(BI17&lt;&gt;"THERMAL",BI17,IF($GW47="","THERMAL - NOT SPECIFIED",$GW47)))</f>
        <v>4117</v>
      </c>
      <c r="BJ47" s="54">
        <f>IF(BJ17="","",IF(BJ17&lt;&gt;"THERMAL",BJ17,IF($GW47="","THERMAL - NOT SPECIFIED",$GW47)))</f>
        <v>4117</v>
      </c>
      <c r="BK47" s="54">
        <f>IF(BK17="","",IF(BK17&lt;&gt;"THERMAL",BK17,IF($GW47="","THERMAL - NOT SPECIFIED",$GW47)))</f>
        <v>4117</v>
      </c>
      <c r="BL47" s="54">
        <f>IF(BL17="","",IF(BL17&lt;&gt;"THERMAL",BL17,IF($GW47="","THERMAL - NOT SPECIFIED",$GW47)))</f>
        <v>4117</v>
      </c>
      <c r="BM47" s="54">
        <f>IF(BM17="","",IF(BM17&lt;&gt;"THERMAL",BM17,IF($GW47="","THERMAL - NOT SPECIFIED",$GW47)))</f>
        <v>4117</v>
      </c>
      <c r="BN47" s="54">
        <f>IF(BN17="","",IF(BN17&lt;&gt;"THERMAL",BN17,IF($GW47="","THERMAL - NOT SPECIFIED",$GW47)))</f>
        <v>4117</v>
      </c>
      <c r="BO47" s="54">
        <f>IF(BO17="","",IF(BO17&lt;&gt;"THERMAL",BO17,IF($GW47="","THERMAL - NOT SPECIFIED",$GW47)))</f>
        <v>4117</v>
      </c>
      <c r="BP47" s="54">
        <f>IF(BP17="","",IF(BP17&lt;&gt;"THERMAL",BP17,IF($GW47="","THERMAL - NOT SPECIFIED",$GW47)))</f>
        <v>4117</v>
      </c>
      <c r="BQ47" s="54">
        <f>IF(BQ17="","",IF(BQ17&lt;&gt;"THERMAL",BQ17,IF($GW47="","THERMAL - NOT SPECIFIED",$GW47)))</f>
        <v>4117</v>
      </c>
      <c r="BR47" s="54">
        <f>IF(BR17="","",IF(BR17&lt;&gt;"THERMAL",BR17,IF($GW47="","THERMAL - NOT SPECIFIED",$GW47)))</f>
        <v>4117</v>
      </c>
      <c r="BS47" s="54">
        <f>IF(BS17="","",IF(BS17&lt;&gt;"THERMAL",BS17,IF($GW47="","THERMAL - NOT SPECIFIED",$GW47)))</f>
        <v>4117</v>
      </c>
      <c r="BT47" s="54">
        <f>IF(BT17="","",IF(BT17&lt;&gt;"THERMAL",BT17,IF($GW47="","THERMAL - NOT SPECIFIED",$GW47)))</f>
        <v>4117</v>
      </c>
      <c r="BU47" s="54">
        <f>IF(BU17="","",IF(BU17&lt;&gt;"THERMAL",BU17,IF($GW47="","THERMAL - NOT SPECIFIED",$GW47)))</f>
        <v>4117</v>
      </c>
      <c r="BV47" s="54">
        <f>IF(BV17="","",IF(BV17&lt;&gt;"THERMAL",BV17,IF($GW47="","THERMAL - NOT SPECIFIED",$GW47)))</f>
        <v>4117</v>
      </c>
      <c r="BW47" s="54">
        <f>IF(BW17="","",IF(BW17&lt;&gt;"THERMAL",BW17,IF($GW47="","THERMAL - NOT SPECIFIED",$GW47)))</f>
        <v>4117</v>
      </c>
      <c r="BX47" s="54">
        <f>IF(BX17="","",IF(BX17&lt;&gt;"THERMAL",BX17,IF($GW47="","THERMAL - NOT SPECIFIED",$GW47)))</f>
        <v>4117</v>
      </c>
      <c r="BY47" s="54">
        <f>IF(BY17="","",IF(BY17&lt;&gt;"THERMAL",BY17,IF($GW47="","THERMAL - NOT SPECIFIED",$GW47)))</f>
        <v>4117</v>
      </c>
      <c r="BZ47" s="54" t="str">
        <f>IF(BZ17="","",IF(BZ17&lt;&gt;"THERMAL",BZ17,IF($GW47="","THERMAL - NOT SPECIFIED",$GW47)))</f>
        <v>VACCANT</v>
      </c>
      <c r="CA47" s="54" t="str">
        <f>IF(CA17="","",IF(CA17&lt;&gt;"THERMAL",CA17,IF($GW47="","THERMAL - NOT SPECIFIED",$GW47)))</f>
        <v/>
      </c>
      <c r="CB47" s="54" t="str">
        <f>IF(CB17="","",IF(CB17&lt;&gt;"THERMAL",CB17,IF($GW47="","THERMAL - NOT SPECIFIED",$GW47)))</f>
        <v/>
      </c>
      <c r="CC47" s="54" t="str">
        <f>IF(CC17="","",IF(CC17&lt;&gt;"THERMAL",CC17,IF($GW47="","THERMAL - NOT SPECIFIED",$GW47)))</f>
        <v/>
      </c>
      <c r="CD47" s="54" t="str">
        <f>IF(CD17="","",IF(CD17&lt;&gt;"THERMAL",CD17,IF($GW47="","THERMAL - NOT SPECIFIED",$GW47)))</f>
        <v/>
      </c>
      <c r="CE47" s="54" t="str">
        <f>IF(CE17="","",IF(CE17&lt;&gt;"THERMAL",CE17,IF($GW47="","THERMAL - NOT SPECIFIED",$GW47)))</f>
        <v/>
      </c>
      <c r="CF47" s="54" t="str">
        <f>IF(CF17="","",IF(CF17&lt;&gt;"THERMAL",CF17,IF($GW47="","THERMAL - NOT SPECIFIED",$GW47)))</f>
        <v/>
      </c>
      <c r="CG47" s="54" t="str">
        <f>IF(CG17="","",IF(CG17&lt;&gt;"THERMAL",CG17,IF($GW47="","THERMAL - NOT SPECIFIED",$GW47)))</f>
        <v/>
      </c>
      <c r="CH47" s="54" t="str">
        <f>IF(CH17="","",IF(CH17&lt;&gt;"THERMAL",CH17,IF($GW47="","THERMAL - NOT SPECIFIED",$GW47)))</f>
        <v/>
      </c>
      <c r="CI47" s="54" t="str">
        <f>IF(CI17="","",IF(CI17&lt;&gt;"THERMAL",CI17,IF($GW47="","THERMAL - NOT SPECIFIED",$GW47)))</f>
        <v/>
      </c>
      <c r="CJ47" s="54" t="str">
        <f>IF(CJ17="","",IF(CJ17&lt;&gt;"THERMAL",CJ17,IF($GW47="","THERMAL - NOT SPECIFIED",$GW47)))</f>
        <v/>
      </c>
      <c r="CK47" s="54" t="str">
        <f>IF(CK17="","",IF(CK17&lt;&gt;"THERMAL",CK17,IF($GW47="","THERMAL - NOT SPECIFIED",$GW47)))</f>
        <v/>
      </c>
      <c r="CL47" s="54" t="str">
        <f>IF(CL17="","",IF(CL17&lt;&gt;"THERMAL",CL17,IF($GW47="","THERMAL - NOT SPECIFIED",$GW47)))</f>
        <v/>
      </c>
      <c r="CM47" s="54" t="str">
        <f>IF(CM17="","",IF(CM17&lt;&gt;"THERMAL",CM17,IF($GW47="","THERMAL - NOT SPECIFIED",$GW47)))</f>
        <v/>
      </c>
      <c r="CN47" s="54" t="str">
        <f>IF(CN17="","",IF(CN17&lt;&gt;"THERMAL",CN17,IF($GW47="","THERMAL - NOT SPECIFIED",$GW47)))</f>
        <v/>
      </c>
      <c r="CO47" s="54" t="str">
        <f>IF(CO17="","",IF(CO17&lt;&gt;"THERMAL",CO17,IF($GW47="","THERMAL - NOT SPECIFIED",$GW47)))</f>
        <v/>
      </c>
      <c r="CP47" s="54" t="str">
        <f>IF(CP17="","",IF(CP17&lt;&gt;"THERMAL",CP17,IF($GW47="","THERMAL - NOT SPECIFIED",$GW47)))</f>
        <v/>
      </c>
      <c r="CQ47" s="54" t="str">
        <f>IF(CQ17="","",IF(CQ17&lt;&gt;"THERMAL",CQ17,IF($GW47="","THERMAL - NOT SPECIFIED",$GW47)))</f>
        <v/>
      </c>
      <c r="CR47" s="54" t="str">
        <f>IF(CR17="","",IF(CR17&lt;&gt;"THERMAL",CR17,IF($GW47="","THERMAL - NOT SPECIFIED",$GW47)))</f>
        <v/>
      </c>
      <c r="CS47" s="54" t="str">
        <f>IF(CS17="","",IF(CS17&lt;&gt;"THERMAL",CS17,IF($GW47="","THERMAL - NOT SPECIFIED",$GW47)))</f>
        <v/>
      </c>
      <c r="CT47" s="54" t="str">
        <f>IF(CT17="","",IF(CT17&lt;&gt;"THERMAL",CT17,IF($GW47="","THERMAL - NOT SPECIFIED",$GW47)))</f>
        <v/>
      </c>
      <c r="CU47" s="54" t="str">
        <f>IF(CU17="","",IF(CU17&lt;&gt;"THERMAL",CU17,IF($GW47="","THERMAL - NOT SPECIFIED",$GW47)))</f>
        <v/>
      </c>
      <c r="CV47" s="54" t="str">
        <f>IF(CV17="","",IF(CV17&lt;&gt;"THERMAL",CV17,IF($GW47="","THERMAL - NOT SPECIFIED",$GW47)))</f>
        <v/>
      </c>
      <c r="CW47" s="54" t="str">
        <f>IF(CW17="","",IF(CW17&lt;&gt;"THERMAL",CW17,IF($GW47="","THERMAL - NOT SPECIFIED",$GW47)))</f>
        <v/>
      </c>
      <c r="CX47" s="54" t="str">
        <f>IF(CX17="","",IF(CX17&lt;&gt;"THERMAL",CX17,IF($GW47="","THERMAL - NOT SPECIFIED",$GW47)))</f>
        <v/>
      </c>
      <c r="CY47" s="54" t="str">
        <f>IF(CY17="","",IF(CY17&lt;&gt;"THERMAL",CY17,IF($GW47="","THERMAL - NOT SPECIFIED",$GW47)))</f>
        <v/>
      </c>
      <c r="CZ47" s="54" t="str">
        <f>IF(CZ17="","",IF(CZ17&lt;&gt;"THERMAL",CZ17,IF($GW47="","THERMAL - NOT SPECIFIED",$GW47)))</f>
        <v/>
      </c>
      <c r="DA47" s="54" t="str">
        <f>IF(DA17="","",IF(DA17&lt;&gt;"THERMAL",DA17,IF($GW47="","THERMAL - NOT SPECIFIED",$GW47)))</f>
        <v/>
      </c>
      <c r="DB47" s="54" t="str">
        <f>IF(DB17="","",IF(DB17&lt;&gt;"THERMAL",DB17,IF($GW47="","THERMAL - NOT SPECIFIED",$GW47)))</f>
        <v/>
      </c>
      <c r="DC47" s="54" t="str">
        <f>IF(DC17="","",IF(DC17&lt;&gt;"THERMAL",DC17,IF($GW47="","THERMAL - NOT SPECIFIED",$GW47)))</f>
        <v/>
      </c>
      <c r="DD47" s="54" t="str">
        <f>IF(DD17="","",IF(DD17&lt;&gt;"THERMAL",DD17,IF($GW47="","THERMAL - NOT SPECIFIED",$GW47)))</f>
        <v/>
      </c>
      <c r="DE47" s="54" t="str">
        <f>IF(DE17="","",IF(DE17&lt;&gt;"THERMAL",DE17,IF($GW47="","THERMAL - NOT SPECIFIED",$GW47)))</f>
        <v/>
      </c>
      <c r="DF47" s="54" t="str">
        <f>IF(DF17="","",IF(DF17&lt;&gt;"THERMAL",DF17,IF($GW47="","THERMAL - NOT SPECIFIED",$GW47)))</f>
        <v/>
      </c>
      <c r="DG47" s="54" t="str">
        <f>IF(DG17="","",IF(DG17&lt;&gt;"THERMAL",DG17,IF($GW47="","THERMAL - NOT SPECIFIED",$GW47)))</f>
        <v/>
      </c>
      <c r="DH47" s="54" t="str">
        <f>IF(DH17="","",IF(DH17&lt;&gt;"THERMAL",DH17,IF($GW47="","THERMAL - NOT SPECIFIED",$GW47)))</f>
        <v/>
      </c>
      <c r="DI47" s="54" t="str">
        <f>IF(DI17="","",IF(DI17&lt;&gt;"THERMAL",DI17,IF($GW47="","THERMAL - NOT SPECIFIED",$GW47)))</f>
        <v/>
      </c>
      <c r="DJ47" s="54" t="str">
        <f>IF(DJ17="","",IF(DJ17&lt;&gt;"THERMAL",DJ17,IF($GW47="","THERMAL - NOT SPECIFIED",$GW47)))</f>
        <v/>
      </c>
      <c r="DK47" s="54" t="str">
        <f>IF(DK17="","",IF(DK17&lt;&gt;"THERMAL",DK17,IF($GW47="","THERMAL - NOT SPECIFIED",$GW47)))</f>
        <v/>
      </c>
      <c r="DL47" s="54" t="str">
        <f>IF(DL17="","",IF(DL17&lt;&gt;"THERMAL",DL17,IF($GW47="","THERMAL - NOT SPECIFIED",$GW47)))</f>
        <v/>
      </c>
      <c r="DM47" s="54" t="str">
        <f>IF(DM17="","",IF(DM17&lt;&gt;"THERMAL",DM17,IF($GW47="","THERMAL - NOT SPECIFIED",$GW47)))</f>
        <v/>
      </c>
      <c r="DN47" s="54" t="str">
        <f>IF(DN17="","",IF(DN17&lt;&gt;"THERMAL",DN17,IF($GW47="","THERMAL - NOT SPECIFIED",$GW47)))</f>
        <v/>
      </c>
      <c r="DO47" s="54" t="str">
        <f>IF(DO17="","",IF(DO17&lt;&gt;"THERMAL",DO17,IF($GW47="","THERMAL - NOT SPECIFIED",$GW47)))</f>
        <v/>
      </c>
      <c r="DP47" s="54" t="str">
        <f>IF(DP17="","",IF(DP17&lt;&gt;"THERMAL",DP17,IF($GW47="","THERMAL - NOT SPECIFIED",$GW47)))</f>
        <v/>
      </c>
      <c r="DQ47" s="54" t="str">
        <f>IF(DQ17="","",IF(DQ17&lt;&gt;"THERMAL",DQ17,IF($GW47="","THERMAL - NOT SPECIFIED",$GW47)))</f>
        <v/>
      </c>
      <c r="DR47" s="54" t="str">
        <f>IF(DR17="","",IF(DR17&lt;&gt;"THERMAL",DR17,IF($GW47="","THERMAL - NOT SPECIFIED",$GW47)))</f>
        <v/>
      </c>
      <c r="DS47" s="54" t="str">
        <f>IF(DS17="","",IF(DS17&lt;&gt;"THERMAL",DS17,IF($GW47="","THERMAL - NOT SPECIFIED",$GW47)))</f>
        <v/>
      </c>
      <c r="DT47" s="54" t="str">
        <f>IF(DT17="","",IF(DT17&lt;&gt;"THERMAL",DT17,IF($GW47="","THERMAL - NOT SPECIFIED",$GW47)))</f>
        <v/>
      </c>
      <c r="DU47" s="54" t="str">
        <f>IF(DU17="","",IF(DU17&lt;&gt;"THERMAL",DU17,IF($GW47="","THERMAL - NOT SPECIFIED",$GW47)))</f>
        <v/>
      </c>
      <c r="DV47" s="54" t="str">
        <f>IF(DV17="","",IF(DV17&lt;&gt;"THERMAL",DV17,IF($GW47="","THERMAL - NOT SPECIFIED",$GW47)))</f>
        <v/>
      </c>
      <c r="DW47" s="54" t="str">
        <f>IF(DW17="","",IF(DW17&lt;&gt;"THERMAL",DW17,IF($GW47="","THERMAL - NOT SPECIFIED",$GW47)))</f>
        <v/>
      </c>
      <c r="DX47" s="54" t="str">
        <f>IF(DX17="","",IF(DX17&lt;&gt;"THERMAL",DX17,IF($GW47="","THERMAL - NOT SPECIFIED",$GW47)))</f>
        <v/>
      </c>
      <c r="DY47" s="54" t="str">
        <f>IF(DY17="","",IF(DY17&lt;&gt;"THERMAL",DY17,IF($GW47="","THERMAL - NOT SPECIFIED",$GW47)))</f>
        <v/>
      </c>
      <c r="DZ47" s="54" t="str">
        <f>IF(DZ17="","",IF(DZ17&lt;&gt;"THERMAL",DZ17,IF($GW47="","THERMAL - NOT SPECIFIED",$GW47)))</f>
        <v/>
      </c>
      <c r="EA47" s="54" t="str">
        <f>IF(EA17="","",IF(EA17&lt;&gt;"THERMAL",EA17,IF($GW47="","THERMAL - NOT SPECIFIED",$GW47)))</f>
        <v/>
      </c>
      <c r="EB47" s="54" t="str">
        <f>IF(EB17="","",IF(EB17&lt;&gt;"THERMAL",EB17,IF($GW47="","THERMAL - NOT SPECIFIED",$GW47)))</f>
        <v/>
      </c>
      <c r="EC47" s="54" t="str">
        <f>IF(EC17="","",IF(EC17&lt;&gt;"THERMAL",EC17,IF($GW47="","THERMAL - NOT SPECIFIED",$GW47)))</f>
        <v/>
      </c>
      <c r="ED47" s="54" t="str">
        <f>IF(ED17="","",IF(ED17&lt;&gt;"THERMAL",ED17,IF($GW47="","THERMAL - NOT SPECIFIED",$GW47)))</f>
        <v/>
      </c>
      <c r="EE47" s="54" t="str">
        <f>IF(EE17="","",IF(EE17&lt;&gt;"THERMAL",EE17,IF($GW47="","THERMAL - NOT SPECIFIED",$GW47)))</f>
        <v/>
      </c>
      <c r="EF47" s="54" t="str">
        <f>IF(EF17="","",IF(EF17&lt;&gt;"THERMAL",EF17,IF($GW47="","THERMAL - NOT SPECIFIED",$GW47)))</f>
        <v/>
      </c>
      <c r="EG47" s="54" t="str">
        <f>IF(EG17="","",IF(EG17&lt;&gt;"THERMAL",EG17,IF($GW47="","THERMAL - NOT SPECIFIED",$GW47)))</f>
        <v/>
      </c>
      <c r="EH47" s="54" t="str">
        <f>IF(EH17="","",IF(EH17&lt;&gt;"THERMAL",EH17,IF($GW47="","THERMAL - NOT SPECIFIED",$GW47)))</f>
        <v/>
      </c>
      <c r="EI47" s="54" t="str">
        <f>IF(EI17="","",IF(EI17&lt;&gt;"THERMAL",EI17,IF($GW47="","THERMAL - NOT SPECIFIED",$GW47)))</f>
        <v/>
      </c>
      <c r="EJ47" s="54" t="str">
        <f>IF(EJ17="","",IF(EJ17&lt;&gt;"THERMAL",EJ17,IF($GW47="","THERMAL - NOT SPECIFIED",$GW47)))</f>
        <v/>
      </c>
      <c r="EK47" s="54" t="str">
        <f>IF(EK17="","",IF(EK17&lt;&gt;"THERMAL",EK17,IF($GW47="","THERMAL - NOT SPECIFIED",$GW47)))</f>
        <v/>
      </c>
      <c r="EL47" s="54" t="str">
        <f>IF(EL17="","",IF(EL17&lt;&gt;"THERMAL",EL17,IF($GW47="","THERMAL - NOT SPECIFIED",$GW47)))</f>
        <v/>
      </c>
      <c r="EM47" s="54" t="str">
        <f>IF(EM17="","",IF(EM17&lt;&gt;"THERMAL",EM17,IF($GW47="","THERMAL - NOT SPECIFIED",$GW47)))</f>
        <v/>
      </c>
      <c r="EN47" s="54" t="str">
        <f>IF(EN17="","",IF(EN17&lt;&gt;"THERMAL",EN17,IF($GW47="","THERMAL - NOT SPECIFIED",$GW47)))</f>
        <v/>
      </c>
      <c r="EO47" s="54" t="str">
        <f>IF(EO17="","",IF(EO17&lt;&gt;"THERMAL",EO17,IF($GW47="","THERMAL - NOT SPECIFIED",$GW47)))</f>
        <v/>
      </c>
      <c r="EP47" s="54" t="str">
        <f>IF(EP17="","",IF(EP17&lt;&gt;"THERMAL",EP17,IF($GW47="","THERMAL - NOT SPECIFIED",$GW47)))</f>
        <v/>
      </c>
      <c r="EQ47" s="54" t="str">
        <f>IF(EQ17="","",IF(EQ17&lt;&gt;"THERMAL",EQ17,IF($GW47="","THERMAL - NOT SPECIFIED",$GW47)))</f>
        <v/>
      </c>
      <c r="ER47" s="54" t="str">
        <f>IF(ER17="","",IF(ER17&lt;&gt;"THERMAL",ER17,IF($GW47="","THERMAL - NOT SPECIFIED",$GW47)))</f>
        <v/>
      </c>
      <c r="ES47" s="54" t="str">
        <f>IF(ES17="","",IF(ES17&lt;&gt;"THERMAL",ES17,IF($GW47="","THERMAL - NOT SPECIFIED",$GW47)))</f>
        <v/>
      </c>
      <c r="ET47" s="54" t="str">
        <f>IF(ET17="","",IF(ET17&lt;&gt;"THERMAL",ET17,IF($GW47="","THERMAL - NOT SPECIFIED",$GW47)))</f>
        <v/>
      </c>
      <c r="EU47" s="54" t="str">
        <f>IF(EU17="","",IF(EU17&lt;&gt;"THERMAL",EU17,IF($GW47="","THERMAL - NOT SPECIFIED",$GW47)))</f>
        <v/>
      </c>
      <c r="EV47" s="54" t="str">
        <f>IF(EV17="","",IF(EV17&lt;&gt;"THERMAL",EV17,IF($GW47="","THERMAL - NOT SPECIFIED",$GW47)))</f>
        <v/>
      </c>
      <c r="EW47" s="54" t="str">
        <f>IF(EW17="","",IF(EW17&lt;&gt;"THERMAL",EW17,IF($GW47="","THERMAL - NOT SPECIFIED",$GW47)))</f>
        <v/>
      </c>
      <c r="EX47" s="54" t="str">
        <f>IF(EX17="","",IF(EX17&lt;&gt;"THERMAL",EX17,IF($GW47="","THERMAL - NOT SPECIFIED",$GW47)))</f>
        <v/>
      </c>
      <c r="EY47" s="54" t="str">
        <f>IF(EY17="","",IF(EY17&lt;&gt;"THERMAL",EY17,IF($GW47="","THERMAL - NOT SPECIFIED",$GW47)))</f>
        <v/>
      </c>
      <c r="EZ47" s="54" t="str">
        <f>IF(EZ17="","",IF(EZ17&lt;&gt;"THERMAL",EZ17,IF($GW47="","THERMAL - NOT SPECIFIED",$GW47)))</f>
        <v/>
      </c>
      <c r="FA47" s="54" t="str">
        <f>IF(FA17="","",IF(FA17&lt;&gt;"THERMAL",FA17,IF($GW47="","THERMAL - NOT SPECIFIED",$GW47)))</f>
        <v/>
      </c>
      <c r="FB47" s="54" t="str">
        <f>IF(FB17="","",IF(FB17&lt;&gt;"THERMAL",FB17,IF($GW47="","THERMAL - NOT SPECIFIED",$GW47)))</f>
        <v/>
      </c>
      <c r="FC47" s="54" t="str">
        <f>IF(FC17="","",IF(FC17&lt;&gt;"THERMAL",FC17,IF($GW47="","THERMAL - NOT SPECIFIED",$GW47)))</f>
        <v/>
      </c>
      <c r="FD47" s="54" t="str">
        <f>IF(FD17="","",IF(FD17&lt;&gt;"THERMAL",FD17,IF($GW47="","THERMAL - NOT SPECIFIED",$GW47)))</f>
        <v/>
      </c>
      <c r="FE47" s="54" t="str">
        <f>IF(FE17="","",IF(FE17&lt;&gt;"THERMAL",FE17,IF($GW47="","THERMAL - NOT SPECIFIED",$GW47)))</f>
        <v/>
      </c>
      <c r="FF47" s="54" t="str">
        <f>IF(FF17="","",IF(FF17&lt;&gt;"THERMAL",FF17,IF($GW47="","THERMAL - NOT SPECIFIED",$GW47)))</f>
        <v/>
      </c>
      <c r="FG47" s="54" t="str">
        <f>IF(FG17="","",IF(FG17&lt;&gt;"THERMAL",FG17,IF($GW47="","THERMAL - NOT SPECIFIED",$GW47)))</f>
        <v/>
      </c>
      <c r="FH47" s="54" t="str">
        <f>IF(FH17="","",IF(FH17&lt;&gt;"THERMAL",FH17,IF($GW47="","THERMAL - NOT SPECIFIED",$GW47)))</f>
        <v/>
      </c>
      <c r="FI47" s="54" t="str">
        <f>IF(FI17="","",IF(FI17&lt;&gt;"THERMAL",FI17,IF($GW47="","THERMAL - NOT SPECIFIED",$GW47)))</f>
        <v/>
      </c>
      <c r="FJ47" s="54" t="str">
        <f>IF(FJ17="","",IF(FJ17&lt;&gt;"THERMAL",FJ17,IF($GW47="","THERMAL - NOT SPECIFIED",$GW47)))</f>
        <v/>
      </c>
      <c r="FK47" s="54" t="str">
        <f>IF(FK17="","",IF(FK17&lt;&gt;"THERMAL",FK17,IF($GW47="","THERMAL - NOT SPECIFIED",$GW47)))</f>
        <v/>
      </c>
      <c r="FL47" s="54" t="str">
        <f>IF(FL17="","",IF(FL17&lt;&gt;"THERMAL",FL17,IF($GW47="","THERMAL - NOT SPECIFIED",$GW47)))</f>
        <v/>
      </c>
      <c r="FM47" s="54" t="str">
        <f>IF(FM17="","",IF(FM17&lt;&gt;"THERMAL",FM17,IF($GW47="","THERMAL - NOT SPECIFIED",$GW47)))</f>
        <v/>
      </c>
      <c r="FN47" s="54" t="str">
        <f>IF(FN17="","",IF(FN17&lt;&gt;"THERMAL",FN17,IF($GW47="","THERMAL - NOT SPECIFIED",$GW47)))</f>
        <v/>
      </c>
      <c r="FO47" s="54" t="str">
        <f>IF(FO17="","",IF(FO17&lt;&gt;"THERMAL",FO17,IF($GW47="","THERMAL - NOT SPECIFIED",$GW47)))</f>
        <v/>
      </c>
      <c r="FP47" s="54" t="str">
        <f>IF(FP17="","",IF(FP17&lt;&gt;"THERMAL",FP17,IF($GW47="","THERMAL - NOT SPECIFIED",$GW47)))</f>
        <v/>
      </c>
      <c r="FQ47" s="54" t="str">
        <f>IF(FQ17="","",IF(FQ17&lt;&gt;"THERMAL",FQ17,IF($GW47="","THERMAL - NOT SPECIFIED",$GW47)))</f>
        <v/>
      </c>
      <c r="FR47" s="54" t="str">
        <f>IF(FR17="","",IF(FR17&lt;&gt;"THERMAL",FR17,IF($GW47="","THERMAL - NOT SPECIFIED",$GW47)))</f>
        <v/>
      </c>
      <c r="FS47" s="54" t="str">
        <f>IF(FS17="","",IF(FS17&lt;&gt;"THERMAL",FS17,IF($GW47="","THERMAL - NOT SPECIFIED",$GW47)))</f>
        <v/>
      </c>
      <c r="FT47" s="54" t="str">
        <f>IF(FT17="","",IF(FT17&lt;&gt;"THERMAL",FT17,IF($GW47="","THERMAL - NOT SPECIFIED",$GW47)))</f>
        <v/>
      </c>
      <c r="FU47" s="54" t="str">
        <f>IF(FU17="","",IF(FU17&lt;&gt;"THERMAL",FU17,IF($GW47="","THERMAL - NOT SPECIFIED",$GW47)))</f>
        <v/>
      </c>
      <c r="FV47" s="54" t="str">
        <f>IF(FV17="","",IF(FV17&lt;&gt;"THERMAL",FV17,IF($GW47="","THERMAL - NOT SPECIFIED",$GW47)))</f>
        <v/>
      </c>
      <c r="FW47" s="54" t="str">
        <f>IF(FW17="","",IF(FW17&lt;&gt;"THERMAL",FW17,IF($GW47="","THERMAL - NOT SPECIFIED",$GW47)))</f>
        <v/>
      </c>
      <c r="FX47" s="54" t="str">
        <f>IF(FX17="","",IF(FX17&lt;&gt;"THERMAL",FX17,IF($GW47="","THERMAL - NOT SPECIFIED",$GW47)))</f>
        <v/>
      </c>
      <c r="FY47" s="54" t="str">
        <f>IF(FY17="","",IF(FY17&lt;&gt;"THERMAL",FY17,IF($GW47="","THERMAL - NOT SPECIFIED",$GW47)))</f>
        <v/>
      </c>
      <c r="FZ47" s="54" t="str">
        <f>IF(FZ17="","",IF(FZ17&lt;&gt;"THERMAL",FZ17,IF($GW47="","THERMAL - NOT SPECIFIED",$GW47)))</f>
        <v/>
      </c>
      <c r="GA47" s="54" t="str">
        <f>IF(GA17="","",IF(GA17&lt;&gt;"THERMAL",GA17,IF($GW47="","THERMAL - NOT SPECIFIED",$GW47)))</f>
        <v/>
      </c>
      <c r="GB47" s="54" t="str">
        <f>IF(GB17="","",IF(GB17&lt;&gt;"THERMAL",GB17,IF($GW47="","THERMAL - NOT SPECIFIED",$GW47)))</f>
        <v/>
      </c>
      <c r="GC47" s="54" t="str">
        <f>IF(GC17="","",IF(GC17&lt;&gt;"THERMAL",GC17,IF($GW47="","THERMAL - NOT SPECIFIED",$GW47)))</f>
        <v/>
      </c>
      <c r="GD47" s="54" t="str">
        <f>IF(GD17="","",IF(GD17&lt;&gt;"THERMAL",GD17,IF($GW47="","THERMAL - NOT SPECIFIED",$GW47)))</f>
        <v/>
      </c>
      <c r="GE47" s="54" t="str">
        <f>IF(GE17="","",IF(GE17&lt;&gt;"THERMAL",GE17,IF($GW47="","THERMAL - NOT SPECIFIED",$GW47)))</f>
        <v/>
      </c>
      <c r="GF47" s="54" t="str">
        <f>IF(GF17="","",IF(GF17&lt;&gt;"THERMAL",GF17,IF($GW47="","THERMAL - NOT SPECIFIED",$GW47)))</f>
        <v/>
      </c>
      <c r="GG47" s="54" t="str">
        <f>IF(GG17="","",IF(GG17&lt;&gt;"THERMAL",GG17,IF($GW47="","THERMAL - NOT SPECIFIED",$GW47)))</f>
        <v/>
      </c>
      <c r="GH47" s="54" t="str">
        <f>IF(GH17="","",IF(GH17&lt;&gt;"THERMAL",GH17,IF($GW47="","THERMAL - NOT SPECIFIED",$GW47)))</f>
        <v/>
      </c>
      <c r="GI47" s="54" t="str">
        <f>IF(GI17="","",IF(GI17&lt;&gt;"THERMAL",GI17,IF($GW47="","THERMAL - NOT SPECIFIED",$GW47)))</f>
        <v/>
      </c>
      <c r="GJ47" s="54" t="str">
        <f>IF(GJ17="","",IF(GJ17&lt;&gt;"THERMAL",GJ17,IF($GW47="","THERMAL - NOT SPECIFIED",$GW47)))</f>
        <v/>
      </c>
      <c r="GK47" s="54" t="str">
        <f>IF(GK17="","",IF(GK17&lt;&gt;"THERMAL",GK17,IF($GW47="","THERMAL - NOT SPECIFIED",$GW47)))</f>
        <v/>
      </c>
      <c r="GL47" s="54" t="str">
        <f>IF(GL17="","",IF(GL17&lt;&gt;"THERMAL",GL17,IF($GW47="","THERMAL - NOT SPECIFIED",$GW47)))</f>
        <v/>
      </c>
      <c r="GM47" s="54" t="str">
        <f>IF(GM17="","",IF(GM17&lt;&gt;"THERMAL",GM17,IF($GW47="","THERMAL - NOT SPECIFIED",$GW47)))</f>
        <v/>
      </c>
      <c r="GN47" s="54" t="str">
        <f>IF(GN17="","",IF(GN17&lt;&gt;"THERMAL",GN17,IF($GW47="","THERMAL - NOT SPECIFIED",$GW47)))</f>
        <v/>
      </c>
      <c r="GO47" s="54" t="str">
        <f>IF(GO17="","",IF(GO17&lt;&gt;"THERMAL",GO17,IF($GW47="","THERMAL - NOT SPECIFIED",$GW47)))</f>
        <v/>
      </c>
      <c r="GP47" s="54" t="str">
        <f>IF(GP17="","",IF(GP17&lt;&gt;"THERMAL",GP17,IF($GW47="","THERMAL - NOT SPECIFIED",$GW47)))</f>
        <v/>
      </c>
      <c r="GQ47" s="54" t="str">
        <f>IF(GQ17="","",IF(GQ17&lt;&gt;"THERMAL",GQ17,IF($GW47="","THERMAL - NOT SPECIFIED",$GW47)))</f>
        <v/>
      </c>
      <c r="GR47" s="54" t="str">
        <f>IF(GR17="","",IF(GR17&lt;&gt;"THERMAL",GR17,IF($GW47="","THERMAL - NOT SPECIFIED",$GW47)))</f>
        <v/>
      </c>
      <c r="GS47" s="54" t="str">
        <f>IF(GS17="","",IF(GS17&lt;&gt;"THERMAL",GS17,IF($GW47="","THERMAL - NOT SPECIFIED",$GW47)))</f>
        <v/>
      </c>
      <c r="GW47" s="55" t="str">
        <f>IF($GY47="","",IFERROR(INDEX('MC MAP'!$L$5:$L$28,MATCH($GY47,'MC MAP'!$K$5:$K$28,0)),$GY47))</f>
        <v/>
      </c>
      <c r="GY47" s="60"/>
      <c r="HA47" s="15"/>
      <c r="HE47" s="14" t="s">
        <v>16</v>
      </c>
    </row>
    <row r="48" spans="1:213">
      <c r="A48" s="2">
        <f>$A18</f>
        <v>13</v>
      </c>
      <c r="B48" s="54" t="str">
        <f>IF(B18="","",IF(B18&lt;&gt;"THERMAL",B18,IF($GW48="","THERMAL - NOT SPECIFIED",$GW48)))</f>
        <v>RS17</v>
      </c>
      <c r="C48" s="54" t="str">
        <f>IF(C18="","",IF(C18&lt;&gt;"THERMAL",C18,IF($GW48="","THERMAL - NOT SPECIFIED",$GW48)))</f>
        <v>RS17</v>
      </c>
      <c r="D48" s="54" t="str">
        <f>IF(D18="","",IF(D18&lt;&gt;"THERMAL",D18,IF($GW48="","THERMAL - NOT SPECIFIED",$GW48)))</f>
        <v>RS17</v>
      </c>
      <c r="E48" s="54" t="str">
        <f>IF(E18="","",IF(E18&lt;&gt;"THERMAL",E18,IF($GW48="","THERMAL - NOT SPECIFIED",$GW48)))</f>
        <v>RS17</v>
      </c>
      <c r="F48" s="54" t="str">
        <f>IF(F18="","",IF(F18&lt;&gt;"THERMAL",F18,IF($GW48="","THERMAL - NOT SPECIFIED",$GW48)))</f>
        <v>RS17</v>
      </c>
      <c r="G48" s="54" t="str">
        <f>IF(G18="","",IF(G18&lt;&gt;"THERMAL",G18,IF($GW48="","THERMAL - NOT SPECIFIED",$GW48)))</f>
        <v>RS17</v>
      </c>
      <c r="H48" s="54" t="str">
        <f>IF(H18="","",IF(H18&lt;&gt;"THERMAL",H18,IF($GW48="","THERMAL - NOT SPECIFIED",$GW48)))</f>
        <v>RS17</v>
      </c>
      <c r="I48" s="54" t="str">
        <f>IF(I18="","",IF(I18&lt;&gt;"THERMAL",I18,IF($GW48="","THERMAL - NOT SPECIFIED",$GW48)))</f>
        <v>RS17</v>
      </c>
      <c r="J48" s="54" t="str">
        <f>IF(J18="","",IF(J18&lt;&gt;"THERMAL",J18,IF($GW48="","THERMAL - NOT SPECIFIED",$GW48)))</f>
        <v>RS17</v>
      </c>
      <c r="K48" s="54" t="str">
        <f>IF(K18="","",IF(K18&lt;&gt;"THERMAL",K18,IF($GW48="","THERMAL - NOT SPECIFIED",$GW48)))</f>
        <v>RS17</v>
      </c>
      <c r="L48" s="54" t="str">
        <f>IF(L18="","",IF(L18&lt;&gt;"THERMAL",L18,IF($GW48="","THERMAL - NOT SPECIFIED",$GW48)))</f>
        <v>RS17</v>
      </c>
      <c r="M48" s="54" t="str">
        <f>IF(M18="","",IF(M18&lt;&gt;"THERMAL",M18,IF($GW48="","THERMAL - NOT SPECIFIED",$GW48)))</f>
        <v>RS17</v>
      </c>
      <c r="N48" s="54" t="str">
        <f>IF(N18="","",IF(N18&lt;&gt;"THERMAL",N18,IF($GW48="","THERMAL - NOT SPECIFIED",$GW48)))</f>
        <v>RS17</v>
      </c>
      <c r="O48" s="54" t="str">
        <f>IF(O18="","",IF(O18&lt;&gt;"THERMAL",O18,IF($GW48="","THERMAL - NOT SPECIFIED",$GW48)))</f>
        <v>RS17</v>
      </c>
      <c r="P48" s="54" t="str">
        <f>IF(P18="","",IF(P18&lt;&gt;"THERMAL",P18,IF($GW48="","THERMAL - NOT SPECIFIED",$GW48)))</f>
        <v>RS17</v>
      </c>
      <c r="Q48" s="54" t="str">
        <f>IF(Q18="","",IF(Q18&lt;&gt;"THERMAL",Q18,IF($GW48="","THERMAL - NOT SPECIFIED",$GW48)))</f>
        <v>RS17</v>
      </c>
      <c r="R48" s="54" t="str">
        <f>IF(R18="","",IF(R18&lt;&gt;"THERMAL",R18,IF($GW48="","THERMAL - NOT SPECIFIED",$GW48)))</f>
        <v>RS17</v>
      </c>
      <c r="S48" s="54" t="str">
        <f>IF(S18="","",IF(S18&lt;&gt;"THERMAL",S18,IF($GW48="","THERMAL - NOT SPECIFIED",$GW48)))</f>
        <v>RS17</v>
      </c>
      <c r="T48" s="54" t="str">
        <f>IF(T18="","",IF(T18&lt;&gt;"THERMAL",T18,IF($GW48="","THERMAL - NOT SPECIFIED",$GW48)))</f>
        <v>RS17</v>
      </c>
      <c r="U48" s="54" t="str">
        <f>IF(U18="","",IF(U18&lt;&gt;"THERMAL",U18,IF($GW48="","THERMAL - NOT SPECIFIED",$GW48)))</f>
        <v>RS17</v>
      </c>
      <c r="V48" s="54" t="str">
        <f>IF(V18="","",IF(V18&lt;&gt;"THERMAL",V18,IF($GW48="","THERMAL - NOT SPECIFIED",$GW48)))</f>
        <v>RS17</v>
      </c>
      <c r="W48" s="54" t="str">
        <f>IF(W18="","",IF(W18&lt;&gt;"THERMAL",W18,IF($GW48="","THERMAL - NOT SPECIFIED",$GW48)))</f>
        <v>RS17</v>
      </c>
      <c r="X48" s="54" t="str">
        <f>IF(X18="","",IF(X18&lt;&gt;"THERMAL",X18,IF($GW48="","THERMAL - NOT SPECIFIED",$GW48)))</f>
        <v>RS17</v>
      </c>
      <c r="Y48" s="54" t="str">
        <f>IF(Y18="","",IF(Y18&lt;&gt;"THERMAL",Y18,IF($GW48="","THERMAL - NOT SPECIFIED",$GW48)))</f>
        <v>RS17</v>
      </c>
      <c r="Z48" s="54" t="str">
        <f>IF(Z18="","",IF(Z18&lt;&gt;"THERMAL",Z18,IF($GW48="","THERMAL - NOT SPECIFIED",$GW48)))</f>
        <v>RS17</v>
      </c>
      <c r="AA48" s="54" t="str">
        <f>IF(AA18="","",IF(AA18&lt;&gt;"THERMAL",AA18,IF($GW48="","THERMAL - NOT SPECIFIED",$GW48)))</f>
        <v>RS17</v>
      </c>
      <c r="AB48" s="54" t="str">
        <f>IF(AB18="","",IF(AB18&lt;&gt;"THERMAL",AB18,IF($GW48="","THERMAL - NOT SPECIFIED",$GW48)))</f>
        <v>RS17</v>
      </c>
      <c r="AC48" s="54" t="str">
        <f>IF(AC18="","",IF(AC18&lt;&gt;"THERMAL",AC18,IF($GW48="","THERMAL - NOT SPECIFIED",$GW48)))</f>
        <v>RS17</v>
      </c>
      <c r="AD48" s="54" t="str">
        <f>IF(AD18="","",IF(AD18&lt;&gt;"THERMAL",AD18,IF($GW48="","THERMAL - NOT SPECIFIED",$GW48)))</f>
        <v>RS17</v>
      </c>
      <c r="AE48" s="54" t="str">
        <f>IF(AE18="","",IF(AE18&lt;&gt;"THERMAL",AE18,IF($GW48="","THERMAL - NOT SPECIFIED",$GW48)))</f>
        <v>RS17</v>
      </c>
      <c r="AF48" s="54" t="str">
        <f>IF(AF18="","",IF(AF18&lt;&gt;"THERMAL",AF18,IF($GW48="","THERMAL - NOT SPECIFIED",$GW48)))</f>
        <v>RS17</v>
      </c>
      <c r="AG48" s="54" t="str">
        <f>IF(AG18="","",IF(AG18&lt;&gt;"THERMAL",AG18,IF($GW48="","THERMAL - NOT SPECIFIED",$GW48)))</f>
        <v>RS17</v>
      </c>
      <c r="AH48" s="54" t="str">
        <f>IF(AH18="","",IF(AH18&lt;&gt;"THERMAL",AH18,IF($GW48="","THERMAL - NOT SPECIFIED",$GW48)))</f>
        <v>RS17</v>
      </c>
      <c r="AI48" s="54" t="str">
        <f>IF(AI18="","",IF(AI18&lt;&gt;"THERMAL",AI18,IF($GW48="","THERMAL - NOT SPECIFIED",$GW48)))</f>
        <v>RS17</v>
      </c>
      <c r="AJ48" s="54" t="str">
        <f>IF(AJ18="","",IF(AJ18&lt;&gt;"THERMAL",AJ18,IF($GW48="","THERMAL - NOT SPECIFIED",$GW48)))</f>
        <v>RS17</v>
      </c>
      <c r="AK48" s="54" t="str">
        <f>IF(AK18="","",IF(AK18&lt;&gt;"THERMAL",AK18,IF($GW48="","THERMAL - NOT SPECIFIED",$GW48)))</f>
        <v>RS17</v>
      </c>
      <c r="AL48" s="54" t="str">
        <f>IF(AL18="","",IF(AL18&lt;&gt;"THERMAL",AL18,IF($GW48="","THERMAL - NOT SPECIFIED",$GW48)))</f>
        <v>RS17</v>
      </c>
      <c r="AM48" s="54" t="str">
        <f>IF(AM18="","",IF(AM18&lt;&gt;"THERMAL",AM18,IF($GW48="","THERMAL - NOT SPECIFIED",$GW48)))</f>
        <v>RS17</v>
      </c>
      <c r="AN48" s="54" t="str">
        <f>IF(AN18="","",IF(AN18&lt;&gt;"THERMAL",AN18,IF($GW48="","THERMAL - NOT SPECIFIED",$GW48)))</f>
        <v>RS17</v>
      </c>
      <c r="AO48" s="54" t="str">
        <f>IF(AO18="","",IF(AO18&lt;&gt;"THERMAL",AO18,IF($GW48="","THERMAL - NOT SPECIFIED",$GW48)))</f>
        <v>RS17</v>
      </c>
      <c r="AP48" s="54" t="str">
        <f>IF(AP18="","",IF(AP18&lt;&gt;"THERMAL",AP18,IF($GW48="","THERMAL - NOT SPECIFIED",$GW48)))</f>
        <v>RS17</v>
      </c>
      <c r="AQ48" s="54" t="str">
        <f>IF(AQ18="","",IF(AQ18&lt;&gt;"THERMAL",AQ18,IF($GW48="","THERMAL - NOT SPECIFIED",$GW48)))</f>
        <v>RS17</v>
      </c>
      <c r="AR48" s="54" t="str">
        <f>IF(AR18="","",IF(AR18&lt;&gt;"THERMAL",AR18,IF($GW48="","THERMAL - NOT SPECIFIED",$GW48)))</f>
        <v>RS17</v>
      </c>
      <c r="AS48" s="54" t="str">
        <f>IF(AS18="","",IF(AS18&lt;&gt;"THERMAL",AS18,IF($GW48="","THERMAL - NOT SPECIFIED",$GW48)))</f>
        <v>RS17</v>
      </c>
      <c r="AT48" s="54" t="str">
        <f>IF(AT18="","",IF(AT18&lt;&gt;"THERMAL",AT18,IF($GW48="","THERMAL - NOT SPECIFIED",$GW48)))</f>
        <v>RS17</v>
      </c>
      <c r="AU48" s="54" t="str">
        <f>IF(AU18="","",IF(AU18&lt;&gt;"THERMAL",AU18,IF($GW48="","THERMAL - NOT SPECIFIED",$GW48)))</f>
        <v>RS17</v>
      </c>
      <c r="AV48" s="54" t="str">
        <f>IF(AV18="","",IF(AV18&lt;&gt;"THERMAL",AV18,IF($GW48="","THERMAL - NOT SPECIFIED",$GW48)))</f>
        <v>RS17</v>
      </c>
      <c r="AW48" s="54" t="str">
        <f>IF(AW18="","",IF(AW18&lt;&gt;"THERMAL",AW18,IF($GW48="","THERMAL - NOT SPECIFIED",$GW48)))</f>
        <v>RS17</v>
      </c>
      <c r="AX48" s="54" t="str">
        <f>IF(AX18="","",IF(AX18&lt;&gt;"THERMAL",AX18,IF($GW48="","THERMAL - NOT SPECIFIED",$GW48)))</f>
        <v>RS17</v>
      </c>
      <c r="AY48" s="54" t="str">
        <f>IF(AY18="","",IF(AY18&lt;&gt;"THERMAL",AY18,IF($GW48="","THERMAL - NOT SPECIFIED",$GW48)))</f>
        <v>RS17</v>
      </c>
      <c r="AZ48" s="54" t="str">
        <f>IF(AZ18="","",IF(AZ18&lt;&gt;"THERMAL",AZ18,IF($GW48="","THERMAL - NOT SPECIFIED",$GW48)))</f>
        <v>VACCANT</v>
      </c>
      <c r="BA48" s="54">
        <f>IF(BA18="","",IF(BA18&lt;&gt;"THERMAL",BA18,IF($GW48="","THERMAL - NOT SPECIFIED",$GW48)))</f>
        <v>4117</v>
      </c>
      <c r="BB48" s="54">
        <f>IF(BB18="","",IF(BB18&lt;&gt;"THERMAL",BB18,IF($GW48="","THERMAL - NOT SPECIFIED",$GW48)))</f>
        <v>4117</v>
      </c>
      <c r="BC48" s="54">
        <f>IF(BC18="","",IF(BC18&lt;&gt;"THERMAL",BC18,IF($GW48="","THERMAL - NOT SPECIFIED",$GW48)))</f>
        <v>4117</v>
      </c>
      <c r="BD48" s="54">
        <f>IF(BD18="","",IF(BD18&lt;&gt;"THERMAL",BD18,IF($GW48="","THERMAL - NOT SPECIFIED",$GW48)))</f>
        <v>4117</v>
      </c>
      <c r="BE48" s="54">
        <f>IF(BE18="","",IF(BE18&lt;&gt;"THERMAL",BE18,IF($GW48="","THERMAL - NOT SPECIFIED",$GW48)))</f>
        <v>4117</v>
      </c>
      <c r="BF48" s="54">
        <f>IF(BF18="","",IF(BF18&lt;&gt;"THERMAL",BF18,IF($GW48="","THERMAL - NOT SPECIFIED",$GW48)))</f>
        <v>4117</v>
      </c>
      <c r="BG48" s="54">
        <f>IF(BG18="","",IF(BG18&lt;&gt;"THERMAL",BG18,IF($GW48="","THERMAL - NOT SPECIFIED",$GW48)))</f>
        <v>4117</v>
      </c>
      <c r="BH48" s="54">
        <f>IF(BH18="","",IF(BH18&lt;&gt;"THERMAL",BH18,IF($GW48="","THERMAL - NOT SPECIFIED",$GW48)))</f>
        <v>4117</v>
      </c>
      <c r="BI48" s="54">
        <f>IF(BI18="","",IF(BI18&lt;&gt;"THERMAL",BI18,IF($GW48="","THERMAL - NOT SPECIFIED",$GW48)))</f>
        <v>4117</v>
      </c>
      <c r="BJ48" s="54">
        <f>IF(BJ18="","",IF(BJ18&lt;&gt;"THERMAL",BJ18,IF($GW48="","THERMAL - NOT SPECIFIED",$GW48)))</f>
        <v>4117</v>
      </c>
      <c r="BK48" s="54">
        <f>IF(BK18="","",IF(BK18&lt;&gt;"THERMAL",BK18,IF($GW48="","THERMAL - NOT SPECIFIED",$GW48)))</f>
        <v>4117</v>
      </c>
      <c r="BL48" s="54">
        <f>IF(BL18="","",IF(BL18&lt;&gt;"THERMAL",BL18,IF($GW48="","THERMAL - NOT SPECIFIED",$GW48)))</f>
        <v>4117</v>
      </c>
      <c r="BM48" s="54">
        <f>IF(BM18="","",IF(BM18&lt;&gt;"THERMAL",BM18,IF($GW48="","THERMAL - NOT SPECIFIED",$GW48)))</f>
        <v>4117</v>
      </c>
      <c r="BN48" s="54">
        <f>IF(BN18="","",IF(BN18&lt;&gt;"THERMAL",BN18,IF($GW48="","THERMAL - NOT SPECIFIED",$GW48)))</f>
        <v>4117</v>
      </c>
      <c r="BO48" s="54">
        <f>IF(BO18="","",IF(BO18&lt;&gt;"THERMAL",BO18,IF($GW48="","THERMAL - NOT SPECIFIED",$GW48)))</f>
        <v>4117</v>
      </c>
      <c r="BP48" s="54">
        <f>IF(BP18="","",IF(BP18&lt;&gt;"THERMAL",BP18,IF($GW48="","THERMAL - NOT SPECIFIED",$GW48)))</f>
        <v>4117</v>
      </c>
      <c r="BQ48" s="54">
        <f>IF(BQ18="","",IF(BQ18&lt;&gt;"THERMAL",BQ18,IF($GW48="","THERMAL - NOT SPECIFIED",$GW48)))</f>
        <v>4117</v>
      </c>
      <c r="BR48" s="54">
        <f>IF(BR18="","",IF(BR18&lt;&gt;"THERMAL",BR18,IF($GW48="","THERMAL - NOT SPECIFIED",$GW48)))</f>
        <v>4117</v>
      </c>
      <c r="BS48" s="54">
        <f>IF(BS18="","",IF(BS18&lt;&gt;"THERMAL",BS18,IF($GW48="","THERMAL - NOT SPECIFIED",$GW48)))</f>
        <v>4117</v>
      </c>
      <c r="BT48" s="54">
        <f>IF(BT18="","",IF(BT18&lt;&gt;"THERMAL",BT18,IF($GW48="","THERMAL - NOT SPECIFIED",$GW48)))</f>
        <v>4117</v>
      </c>
      <c r="BU48" s="54">
        <f>IF(BU18="","",IF(BU18&lt;&gt;"THERMAL",BU18,IF($GW48="","THERMAL - NOT SPECIFIED",$GW48)))</f>
        <v>4117</v>
      </c>
      <c r="BV48" s="54">
        <f>IF(BV18="","",IF(BV18&lt;&gt;"THERMAL",BV18,IF($GW48="","THERMAL - NOT SPECIFIED",$GW48)))</f>
        <v>4117</v>
      </c>
      <c r="BW48" s="54">
        <f>IF(BW18="","",IF(BW18&lt;&gt;"THERMAL",BW18,IF($GW48="","THERMAL - NOT SPECIFIED",$GW48)))</f>
        <v>4117</v>
      </c>
      <c r="BX48" s="54">
        <f>IF(BX18="","",IF(BX18&lt;&gt;"THERMAL",BX18,IF($GW48="","THERMAL - NOT SPECIFIED",$GW48)))</f>
        <v>4117</v>
      </c>
      <c r="BY48" s="54">
        <f>IF(BY18="","",IF(BY18&lt;&gt;"THERMAL",BY18,IF($GW48="","THERMAL - NOT SPECIFIED",$GW48)))</f>
        <v>4117</v>
      </c>
      <c r="BZ48" s="54" t="str">
        <f>IF(BZ18="","",IF(BZ18&lt;&gt;"THERMAL",BZ18,IF($GW48="","THERMAL - NOT SPECIFIED",$GW48)))</f>
        <v>VACCANT</v>
      </c>
      <c r="CA48" s="54" t="str">
        <f>IF(CA18="","",IF(CA18&lt;&gt;"THERMAL",CA18,IF($GW48="","THERMAL - NOT SPECIFIED",$GW48)))</f>
        <v/>
      </c>
      <c r="CB48" s="54" t="str">
        <f>IF(CB18="","",IF(CB18&lt;&gt;"THERMAL",CB18,IF($GW48="","THERMAL - NOT SPECIFIED",$GW48)))</f>
        <v/>
      </c>
      <c r="CC48" s="54" t="str">
        <f>IF(CC18="","",IF(CC18&lt;&gt;"THERMAL",CC18,IF($GW48="","THERMAL - NOT SPECIFIED",$GW48)))</f>
        <v/>
      </c>
      <c r="CD48" s="54" t="str">
        <f>IF(CD18="","",IF(CD18&lt;&gt;"THERMAL",CD18,IF($GW48="","THERMAL - NOT SPECIFIED",$GW48)))</f>
        <v/>
      </c>
      <c r="CE48" s="54" t="str">
        <f>IF(CE18="","",IF(CE18&lt;&gt;"THERMAL",CE18,IF($GW48="","THERMAL - NOT SPECIFIED",$GW48)))</f>
        <v/>
      </c>
      <c r="CF48" s="54" t="str">
        <f>IF(CF18="","",IF(CF18&lt;&gt;"THERMAL",CF18,IF($GW48="","THERMAL - NOT SPECIFIED",$GW48)))</f>
        <v/>
      </c>
      <c r="CG48" s="54" t="str">
        <f>IF(CG18="","",IF(CG18&lt;&gt;"THERMAL",CG18,IF($GW48="","THERMAL - NOT SPECIFIED",$GW48)))</f>
        <v/>
      </c>
      <c r="CH48" s="54" t="str">
        <f>IF(CH18="","",IF(CH18&lt;&gt;"THERMAL",CH18,IF($GW48="","THERMAL - NOT SPECIFIED",$GW48)))</f>
        <v/>
      </c>
      <c r="CI48" s="54" t="str">
        <f>IF(CI18="","",IF(CI18&lt;&gt;"THERMAL",CI18,IF($GW48="","THERMAL - NOT SPECIFIED",$GW48)))</f>
        <v/>
      </c>
      <c r="CJ48" s="54" t="str">
        <f>IF(CJ18="","",IF(CJ18&lt;&gt;"THERMAL",CJ18,IF($GW48="","THERMAL - NOT SPECIFIED",$GW48)))</f>
        <v/>
      </c>
      <c r="CK48" s="54" t="str">
        <f>IF(CK18="","",IF(CK18&lt;&gt;"THERMAL",CK18,IF($GW48="","THERMAL - NOT SPECIFIED",$GW48)))</f>
        <v/>
      </c>
      <c r="CL48" s="54" t="str">
        <f>IF(CL18="","",IF(CL18&lt;&gt;"THERMAL",CL18,IF($GW48="","THERMAL - NOT SPECIFIED",$GW48)))</f>
        <v/>
      </c>
      <c r="CM48" s="54" t="str">
        <f>IF(CM18="","",IF(CM18&lt;&gt;"THERMAL",CM18,IF($GW48="","THERMAL - NOT SPECIFIED",$GW48)))</f>
        <v/>
      </c>
      <c r="CN48" s="54" t="str">
        <f>IF(CN18="","",IF(CN18&lt;&gt;"THERMAL",CN18,IF($GW48="","THERMAL - NOT SPECIFIED",$GW48)))</f>
        <v/>
      </c>
      <c r="CO48" s="54" t="str">
        <f>IF(CO18="","",IF(CO18&lt;&gt;"THERMAL",CO18,IF($GW48="","THERMAL - NOT SPECIFIED",$GW48)))</f>
        <v/>
      </c>
      <c r="CP48" s="54" t="str">
        <f>IF(CP18="","",IF(CP18&lt;&gt;"THERMAL",CP18,IF($GW48="","THERMAL - NOT SPECIFIED",$GW48)))</f>
        <v/>
      </c>
      <c r="CQ48" s="54" t="str">
        <f>IF(CQ18="","",IF(CQ18&lt;&gt;"THERMAL",CQ18,IF($GW48="","THERMAL - NOT SPECIFIED",$GW48)))</f>
        <v/>
      </c>
      <c r="CR48" s="54" t="str">
        <f>IF(CR18="","",IF(CR18&lt;&gt;"THERMAL",CR18,IF($GW48="","THERMAL - NOT SPECIFIED",$GW48)))</f>
        <v/>
      </c>
      <c r="CS48" s="54" t="str">
        <f>IF(CS18="","",IF(CS18&lt;&gt;"THERMAL",CS18,IF($GW48="","THERMAL - NOT SPECIFIED",$GW48)))</f>
        <v/>
      </c>
      <c r="CT48" s="54" t="str">
        <f>IF(CT18="","",IF(CT18&lt;&gt;"THERMAL",CT18,IF($GW48="","THERMAL - NOT SPECIFIED",$GW48)))</f>
        <v/>
      </c>
      <c r="CU48" s="54" t="str">
        <f>IF(CU18="","",IF(CU18&lt;&gt;"THERMAL",CU18,IF($GW48="","THERMAL - NOT SPECIFIED",$GW48)))</f>
        <v/>
      </c>
      <c r="CV48" s="54" t="str">
        <f>IF(CV18="","",IF(CV18&lt;&gt;"THERMAL",CV18,IF($GW48="","THERMAL - NOT SPECIFIED",$GW48)))</f>
        <v/>
      </c>
      <c r="CW48" s="54" t="str">
        <f>IF(CW18="","",IF(CW18&lt;&gt;"THERMAL",CW18,IF($GW48="","THERMAL - NOT SPECIFIED",$GW48)))</f>
        <v/>
      </c>
      <c r="CX48" s="54" t="str">
        <f>IF(CX18="","",IF(CX18&lt;&gt;"THERMAL",CX18,IF($GW48="","THERMAL - NOT SPECIFIED",$GW48)))</f>
        <v/>
      </c>
      <c r="CY48" s="54" t="str">
        <f>IF(CY18="","",IF(CY18&lt;&gt;"THERMAL",CY18,IF($GW48="","THERMAL - NOT SPECIFIED",$GW48)))</f>
        <v/>
      </c>
      <c r="CZ48" s="54" t="str">
        <f>IF(CZ18="","",IF(CZ18&lt;&gt;"THERMAL",CZ18,IF($GW48="","THERMAL - NOT SPECIFIED",$GW48)))</f>
        <v/>
      </c>
      <c r="DA48" s="54" t="str">
        <f>IF(DA18="","",IF(DA18&lt;&gt;"THERMAL",DA18,IF($GW48="","THERMAL - NOT SPECIFIED",$GW48)))</f>
        <v/>
      </c>
      <c r="DB48" s="54" t="str">
        <f>IF(DB18="","",IF(DB18&lt;&gt;"THERMAL",DB18,IF($GW48="","THERMAL - NOT SPECIFIED",$GW48)))</f>
        <v/>
      </c>
      <c r="DC48" s="54" t="str">
        <f>IF(DC18="","",IF(DC18&lt;&gt;"THERMAL",DC18,IF($GW48="","THERMAL - NOT SPECIFIED",$GW48)))</f>
        <v/>
      </c>
      <c r="DD48" s="54" t="str">
        <f>IF(DD18="","",IF(DD18&lt;&gt;"THERMAL",DD18,IF($GW48="","THERMAL - NOT SPECIFIED",$GW48)))</f>
        <v/>
      </c>
      <c r="DE48" s="54" t="str">
        <f>IF(DE18="","",IF(DE18&lt;&gt;"THERMAL",DE18,IF($GW48="","THERMAL - NOT SPECIFIED",$GW48)))</f>
        <v/>
      </c>
      <c r="DF48" s="54" t="str">
        <f>IF(DF18="","",IF(DF18&lt;&gt;"THERMAL",DF18,IF($GW48="","THERMAL - NOT SPECIFIED",$GW48)))</f>
        <v/>
      </c>
      <c r="DG48" s="54" t="str">
        <f>IF(DG18="","",IF(DG18&lt;&gt;"THERMAL",DG18,IF($GW48="","THERMAL - NOT SPECIFIED",$GW48)))</f>
        <v/>
      </c>
      <c r="DH48" s="54" t="str">
        <f>IF(DH18="","",IF(DH18&lt;&gt;"THERMAL",DH18,IF($GW48="","THERMAL - NOT SPECIFIED",$GW48)))</f>
        <v/>
      </c>
      <c r="DI48" s="54" t="str">
        <f>IF(DI18="","",IF(DI18&lt;&gt;"THERMAL",DI18,IF($GW48="","THERMAL - NOT SPECIFIED",$GW48)))</f>
        <v/>
      </c>
      <c r="DJ48" s="54" t="str">
        <f>IF(DJ18="","",IF(DJ18&lt;&gt;"THERMAL",DJ18,IF($GW48="","THERMAL - NOT SPECIFIED",$GW48)))</f>
        <v/>
      </c>
      <c r="DK48" s="54" t="str">
        <f>IF(DK18="","",IF(DK18&lt;&gt;"THERMAL",DK18,IF($GW48="","THERMAL - NOT SPECIFIED",$GW48)))</f>
        <v/>
      </c>
      <c r="DL48" s="54" t="str">
        <f>IF(DL18="","",IF(DL18&lt;&gt;"THERMAL",DL18,IF($GW48="","THERMAL - NOT SPECIFIED",$GW48)))</f>
        <v/>
      </c>
      <c r="DM48" s="54" t="str">
        <f>IF(DM18="","",IF(DM18&lt;&gt;"THERMAL",DM18,IF($GW48="","THERMAL - NOT SPECIFIED",$GW48)))</f>
        <v/>
      </c>
      <c r="DN48" s="54" t="str">
        <f>IF(DN18="","",IF(DN18&lt;&gt;"THERMAL",DN18,IF($GW48="","THERMAL - NOT SPECIFIED",$GW48)))</f>
        <v/>
      </c>
      <c r="DO48" s="54" t="str">
        <f>IF(DO18="","",IF(DO18&lt;&gt;"THERMAL",DO18,IF($GW48="","THERMAL - NOT SPECIFIED",$GW48)))</f>
        <v/>
      </c>
      <c r="DP48" s="54" t="str">
        <f>IF(DP18="","",IF(DP18&lt;&gt;"THERMAL",DP18,IF($GW48="","THERMAL - NOT SPECIFIED",$GW48)))</f>
        <v/>
      </c>
      <c r="DQ48" s="54" t="str">
        <f>IF(DQ18="","",IF(DQ18&lt;&gt;"THERMAL",DQ18,IF($GW48="","THERMAL - NOT SPECIFIED",$GW48)))</f>
        <v/>
      </c>
      <c r="DR48" s="54" t="str">
        <f>IF(DR18="","",IF(DR18&lt;&gt;"THERMAL",DR18,IF($GW48="","THERMAL - NOT SPECIFIED",$GW48)))</f>
        <v/>
      </c>
      <c r="DS48" s="54" t="str">
        <f>IF(DS18="","",IF(DS18&lt;&gt;"THERMAL",DS18,IF($GW48="","THERMAL - NOT SPECIFIED",$GW48)))</f>
        <v/>
      </c>
      <c r="DT48" s="54" t="str">
        <f>IF(DT18="","",IF(DT18&lt;&gt;"THERMAL",DT18,IF($GW48="","THERMAL - NOT SPECIFIED",$GW48)))</f>
        <v/>
      </c>
      <c r="DU48" s="54" t="str">
        <f>IF(DU18="","",IF(DU18&lt;&gt;"THERMAL",DU18,IF($GW48="","THERMAL - NOT SPECIFIED",$GW48)))</f>
        <v/>
      </c>
      <c r="DV48" s="54" t="str">
        <f>IF(DV18="","",IF(DV18&lt;&gt;"THERMAL",DV18,IF($GW48="","THERMAL - NOT SPECIFIED",$GW48)))</f>
        <v/>
      </c>
      <c r="DW48" s="54" t="str">
        <f>IF(DW18="","",IF(DW18&lt;&gt;"THERMAL",DW18,IF($GW48="","THERMAL - NOT SPECIFIED",$GW48)))</f>
        <v/>
      </c>
      <c r="DX48" s="54" t="str">
        <f>IF(DX18="","",IF(DX18&lt;&gt;"THERMAL",DX18,IF($GW48="","THERMAL - NOT SPECIFIED",$GW48)))</f>
        <v/>
      </c>
      <c r="DY48" s="54" t="str">
        <f>IF(DY18="","",IF(DY18&lt;&gt;"THERMAL",DY18,IF($GW48="","THERMAL - NOT SPECIFIED",$GW48)))</f>
        <v/>
      </c>
      <c r="DZ48" s="54" t="str">
        <f>IF(DZ18="","",IF(DZ18&lt;&gt;"THERMAL",DZ18,IF($GW48="","THERMAL - NOT SPECIFIED",$GW48)))</f>
        <v/>
      </c>
      <c r="EA48" s="54" t="str">
        <f>IF(EA18="","",IF(EA18&lt;&gt;"THERMAL",EA18,IF($GW48="","THERMAL - NOT SPECIFIED",$GW48)))</f>
        <v/>
      </c>
      <c r="EB48" s="54" t="str">
        <f>IF(EB18="","",IF(EB18&lt;&gt;"THERMAL",EB18,IF($GW48="","THERMAL - NOT SPECIFIED",$GW48)))</f>
        <v/>
      </c>
      <c r="EC48" s="54" t="str">
        <f>IF(EC18="","",IF(EC18&lt;&gt;"THERMAL",EC18,IF($GW48="","THERMAL - NOT SPECIFIED",$GW48)))</f>
        <v/>
      </c>
      <c r="ED48" s="54" t="str">
        <f>IF(ED18="","",IF(ED18&lt;&gt;"THERMAL",ED18,IF($GW48="","THERMAL - NOT SPECIFIED",$GW48)))</f>
        <v/>
      </c>
      <c r="EE48" s="54" t="str">
        <f>IF(EE18="","",IF(EE18&lt;&gt;"THERMAL",EE18,IF($GW48="","THERMAL - NOT SPECIFIED",$GW48)))</f>
        <v/>
      </c>
      <c r="EF48" s="54" t="str">
        <f>IF(EF18="","",IF(EF18&lt;&gt;"THERMAL",EF18,IF($GW48="","THERMAL - NOT SPECIFIED",$GW48)))</f>
        <v/>
      </c>
      <c r="EG48" s="54" t="str">
        <f>IF(EG18="","",IF(EG18&lt;&gt;"THERMAL",EG18,IF($GW48="","THERMAL - NOT SPECIFIED",$GW48)))</f>
        <v/>
      </c>
      <c r="EH48" s="54" t="str">
        <f>IF(EH18="","",IF(EH18&lt;&gt;"THERMAL",EH18,IF($GW48="","THERMAL - NOT SPECIFIED",$GW48)))</f>
        <v/>
      </c>
      <c r="EI48" s="54" t="str">
        <f>IF(EI18="","",IF(EI18&lt;&gt;"THERMAL",EI18,IF($GW48="","THERMAL - NOT SPECIFIED",$GW48)))</f>
        <v/>
      </c>
      <c r="EJ48" s="54" t="str">
        <f>IF(EJ18="","",IF(EJ18&lt;&gt;"THERMAL",EJ18,IF($GW48="","THERMAL - NOT SPECIFIED",$GW48)))</f>
        <v/>
      </c>
      <c r="EK48" s="54" t="str">
        <f>IF(EK18="","",IF(EK18&lt;&gt;"THERMAL",EK18,IF($GW48="","THERMAL - NOT SPECIFIED",$GW48)))</f>
        <v/>
      </c>
      <c r="EL48" s="54" t="str">
        <f>IF(EL18="","",IF(EL18&lt;&gt;"THERMAL",EL18,IF($GW48="","THERMAL - NOT SPECIFIED",$GW48)))</f>
        <v/>
      </c>
      <c r="EM48" s="54" t="str">
        <f>IF(EM18="","",IF(EM18&lt;&gt;"THERMAL",EM18,IF($GW48="","THERMAL - NOT SPECIFIED",$GW48)))</f>
        <v/>
      </c>
      <c r="EN48" s="54" t="str">
        <f>IF(EN18="","",IF(EN18&lt;&gt;"THERMAL",EN18,IF($GW48="","THERMAL - NOT SPECIFIED",$GW48)))</f>
        <v/>
      </c>
      <c r="EO48" s="54" t="str">
        <f>IF(EO18="","",IF(EO18&lt;&gt;"THERMAL",EO18,IF($GW48="","THERMAL - NOT SPECIFIED",$GW48)))</f>
        <v/>
      </c>
      <c r="EP48" s="54" t="str">
        <f>IF(EP18="","",IF(EP18&lt;&gt;"THERMAL",EP18,IF($GW48="","THERMAL - NOT SPECIFIED",$GW48)))</f>
        <v/>
      </c>
      <c r="EQ48" s="54" t="str">
        <f>IF(EQ18="","",IF(EQ18&lt;&gt;"THERMAL",EQ18,IF($GW48="","THERMAL - NOT SPECIFIED",$GW48)))</f>
        <v/>
      </c>
      <c r="ER48" s="54" t="str">
        <f>IF(ER18="","",IF(ER18&lt;&gt;"THERMAL",ER18,IF($GW48="","THERMAL - NOT SPECIFIED",$GW48)))</f>
        <v/>
      </c>
      <c r="ES48" s="54" t="str">
        <f>IF(ES18="","",IF(ES18&lt;&gt;"THERMAL",ES18,IF($GW48="","THERMAL - NOT SPECIFIED",$GW48)))</f>
        <v/>
      </c>
      <c r="ET48" s="54" t="str">
        <f>IF(ET18="","",IF(ET18&lt;&gt;"THERMAL",ET18,IF($GW48="","THERMAL - NOT SPECIFIED",$GW48)))</f>
        <v/>
      </c>
      <c r="EU48" s="54" t="str">
        <f>IF(EU18="","",IF(EU18&lt;&gt;"THERMAL",EU18,IF($GW48="","THERMAL - NOT SPECIFIED",$GW48)))</f>
        <v/>
      </c>
      <c r="EV48" s="54" t="str">
        <f>IF(EV18="","",IF(EV18&lt;&gt;"THERMAL",EV18,IF($GW48="","THERMAL - NOT SPECIFIED",$GW48)))</f>
        <v/>
      </c>
      <c r="EW48" s="54" t="str">
        <f>IF(EW18="","",IF(EW18&lt;&gt;"THERMAL",EW18,IF($GW48="","THERMAL - NOT SPECIFIED",$GW48)))</f>
        <v/>
      </c>
      <c r="EX48" s="54" t="str">
        <f>IF(EX18="","",IF(EX18&lt;&gt;"THERMAL",EX18,IF($GW48="","THERMAL - NOT SPECIFIED",$GW48)))</f>
        <v/>
      </c>
      <c r="EY48" s="54" t="str">
        <f>IF(EY18="","",IF(EY18&lt;&gt;"THERMAL",EY18,IF($GW48="","THERMAL - NOT SPECIFIED",$GW48)))</f>
        <v/>
      </c>
      <c r="EZ48" s="54" t="str">
        <f>IF(EZ18="","",IF(EZ18&lt;&gt;"THERMAL",EZ18,IF($GW48="","THERMAL - NOT SPECIFIED",$GW48)))</f>
        <v/>
      </c>
      <c r="FA48" s="54" t="str">
        <f>IF(FA18="","",IF(FA18&lt;&gt;"THERMAL",FA18,IF($GW48="","THERMAL - NOT SPECIFIED",$GW48)))</f>
        <v/>
      </c>
      <c r="FB48" s="54" t="str">
        <f>IF(FB18="","",IF(FB18&lt;&gt;"THERMAL",FB18,IF($GW48="","THERMAL - NOT SPECIFIED",$GW48)))</f>
        <v/>
      </c>
      <c r="FC48" s="54" t="str">
        <f>IF(FC18="","",IF(FC18&lt;&gt;"THERMAL",FC18,IF($GW48="","THERMAL - NOT SPECIFIED",$GW48)))</f>
        <v/>
      </c>
      <c r="FD48" s="54" t="str">
        <f>IF(FD18="","",IF(FD18&lt;&gt;"THERMAL",FD18,IF($GW48="","THERMAL - NOT SPECIFIED",$GW48)))</f>
        <v/>
      </c>
      <c r="FE48" s="54" t="str">
        <f>IF(FE18="","",IF(FE18&lt;&gt;"THERMAL",FE18,IF($GW48="","THERMAL - NOT SPECIFIED",$GW48)))</f>
        <v/>
      </c>
      <c r="FF48" s="54" t="str">
        <f>IF(FF18="","",IF(FF18&lt;&gt;"THERMAL",FF18,IF($GW48="","THERMAL - NOT SPECIFIED",$GW48)))</f>
        <v/>
      </c>
      <c r="FG48" s="54" t="str">
        <f>IF(FG18="","",IF(FG18&lt;&gt;"THERMAL",FG18,IF($GW48="","THERMAL - NOT SPECIFIED",$GW48)))</f>
        <v/>
      </c>
      <c r="FH48" s="54" t="str">
        <f>IF(FH18="","",IF(FH18&lt;&gt;"THERMAL",FH18,IF($GW48="","THERMAL - NOT SPECIFIED",$GW48)))</f>
        <v/>
      </c>
      <c r="FI48" s="54" t="str">
        <f>IF(FI18="","",IF(FI18&lt;&gt;"THERMAL",FI18,IF($GW48="","THERMAL - NOT SPECIFIED",$GW48)))</f>
        <v/>
      </c>
      <c r="FJ48" s="54" t="str">
        <f>IF(FJ18="","",IF(FJ18&lt;&gt;"THERMAL",FJ18,IF($GW48="","THERMAL - NOT SPECIFIED",$GW48)))</f>
        <v/>
      </c>
      <c r="FK48" s="54" t="str">
        <f>IF(FK18="","",IF(FK18&lt;&gt;"THERMAL",FK18,IF($GW48="","THERMAL - NOT SPECIFIED",$GW48)))</f>
        <v/>
      </c>
      <c r="FL48" s="54" t="str">
        <f>IF(FL18="","",IF(FL18&lt;&gt;"THERMAL",FL18,IF($GW48="","THERMAL - NOT SPECIFIED",$GW48)))</f>
        <v/>
      </c>
      <c r="FM48" s="54" t="str">
        <f>IF(FM18="","",IF(FM18&lt;&gt;"THERMAL",FM18,IF($GW48="","THERMAL - NOT SPECIFIED",$GW48)))</f>
        <v/>
      </c>
      <c r="FN48" s="54" t="str">
        <f>IF(FN18="","",IF(FN18&lt;&gt;"THERMAL",FN18,IF($GW48="","THERMAL - NOT SPECIFIED",$GW48)))</f>
        <v/>
      </c>
      <c r="FO48" s="54" t="str">
        <f>IF(FO18="","",IF(FO18&lt;&gt;"THERMAL",FO18,IF($GW48="","THERMAL - NOT SPECIFIED",$GW48)))</f>
        <v/>
      </c>
      <c r="FP48" s="54" t="str">
        <f>IF(FP18="","",IF(FP18&lt;&gt;"THERMAL",FP18,IF($GW48="","THERMAL - NOT SPECIFIED",$GW48)))</f>
        <v/>
      </c>
      <c r="FQ48" s="54" t="str">
        <f>IF(FQ18="","",IF(FQ18&lt;&gt;"THERMAL",FQ18,IF($GW48="","THERMAL - NOT SPECIFIED",$GW48)))</f>
        <v/>
      </c>
      <c r="FR48" s="54" t="str">
        <f>IF(FR18="","",IF(FR18&lt;&gt;"THERMAL",FR18,IF($GW48="","THERMAL - NOT SPECIFIED",$GW48)))</f>
        <v/>
      </c>
      <c r="FS48" s="54" t="str">
        <f>IF(FS18="","",IF(FS18&lt;&gt;"THERMAL",FS18,IF($GW48="","THERMAL - NOT SPECIFIED",$GW48)))</f>
        <v/>
      </c>
      <c r="FT48" s="54" t="str">
        <f>IF(FT18="","",IF(FT18&lt;&gt;"THERMAL",FT18,IF($GW48="","THERMAL - NOT SPECIFIED",$GW48)))</f>
        <v/>
      </c>
      <c r="FU48" s="54" t="str">
        <f>IF(FU18="","",IF(FU18&lt;&gt;"THERMAL",FU18,IF($GW48="","THERMAL - NOT SPECIFIED",$GW48)))</f>
        <v/>
      </c>
      <c r="FV48" s="54" t="str">
        <f>IF(FV18="","",IF(FV18&lt;&gt;"THERMAL",FV18,IF($GW48="","THERMAL - NOT SPECIFIED",$GW48)))</f>
        <v/>
      </c>
      <c r="FW48" s="54" t="str">
        <f>IF(FW18="","",IF(FW18&lt;&gt;"THERMAL",FW18,IF($GW48="","THERMAL - NOT SPECIFIED",$GW48)))</f>
        <v/>
      </c>
      <c r="FX48" s="54" t="str">
        <f>IF(FX18="","",IF(FX18&lt;&gt;"THERMAL",FX18,IF($GW48="","THERMAL - NOT SPECIFIED",$GW48)))</f>
        <v/>
      </c>
      <c r="FY48" s="54" t="str">
        <f>IF(FY18="","",IF(FY18&lt;&gt;"THERMAL",FY18,IF($GW48="","THERMAL - NOT SPECIFIED",$GW48)))</f>
        <v/>
      </c>
      <c r="FZ48" s="54" t="str">
        <f>IF(FZ18="","",IF(FZ18&lt;&gt;"THERMAL",FZ18,IF($GW48="","THERMAL - NOT SPECIFIED",$GW48)))</f>
        <v/>
      </c>
      <c r="GA48" s="54" t="str">
        <f>IF(GA18="","",IF(GA18&lt;&gt;"THERMAL",GA18,IF($GW48="","THERMAL - NOT SPECIFIED",$GW48)))</f>
        <v/>
      </c>
      <c r="GB48" s="54" t="str">
        <f>IF(GB18="","",IF(GB18&lt;&gt;"THERMAL",GB18,IF($GW48="","THERMAL - NOT SPECIFIED",$GW48)))</f>
        <v/>
      </c>
      <c r="GC48" s="54" t="str">
        <f>IF(GC18="","",IF(GC18&lt;&gt;"THERMAL",GC18,IF($GW48="","THERMAL - NOT SPECIFIED",$GW48)))</f>
        <v/>
      </c>
      <c r="GD48" s="54" t="str">
        <f>IF(GD18="","",IF(GD18&lt;&gt;"THERMAL",GD18,IF($GW48="","THERMAL - NOT SPECIFIED",$GW48)))</f>
        <v/>
      </c>
      <c r="GE48" s="54" t="str">
        <f>IF(GE18="","",IF(GE18&lt;&gt;"THERMAL",GE18,IF($GW48="","THERMAL - NOT SPECIFIED",$GW48)))</f>
        <v/>
      </c>
      <c r="GF48" s="54" t="str">
        <f>IF(GF18="","",IF(GF18&lt;&gt;"THERMAL",GF18,IF($GW48="","THERMAL - NOT SPECIFIED",$GW48)))</f>
        <v/>
      </c>
      <c r="GG48" s="54" t="str">
        <f>IF(GG18="","",IF(GG18&lt;&gt;"THERMAL",GG18,IF($GW48="","THERMAL - NOT SPECIFIED",$GW48)))</f>
        <v/>
      </c>
      <c r="GH48" s="54" t="str">
        <f>IF(GH18="","",IF(GH18&lt;&gt;"THERMAL",GH18,IF($GW48="","THERMAL - NOT SPECIFIED",$GW48)))</f>
        <v/>
      </c>
      <c r="GI48" s="54" t="str">
        <f>IF(GI18="","",IF(GI18&lt;&gt;"THERMAL",GI18,IF($GW48="","THERMAL - NOT SPECIFIED",$GW48)))</f>
        <v/>
      </c>
      <c r="GJ48" s="54" t="str">
        <f>IF(GJ18="","",IF(GJ18&lt;&gt;"THERMAL",GJ18,IF($GW48="","THERMAL - NOT SPECIFIED",$GW48)))</f>
        <v/>
      </c>
      <c r="GK48" s="54" t="str">
        <f>IF(GK18="","",IF(GK18&lt;&gt;"THERMAL",GK18,IF($GW48="","THERMAL - NOT SPECIFIED",$GW48)))</f>
        <v/>
      </c>
      <c r="GL48" s="54" t="str">
        <f>IF(GL18="","",IF(GL18&lt;&gt;"THERMAL",GL18,IF($GW48="","THERMAL - NOT SPECIFIED",$GW48)))</f>
        <v/>
      </c>
      <c r="GM48" s="54" t="str">
        <f>IF(GM18="","",IF(GM18&lt;&gt;"THERMAL",GM18,IF($GW48="","THERMAL - NOT SPECIFIED",$GW48)))</f>
        <v/>
      </c>
      <c r="GN48" s="54" t="str">
        <f>IF(GN18="","",IF(GN18&lt;&gt;"THERMAL",GN18,IF($GW48="","THERMAL - NOT SPECIFIED",$GW48)))</f>
        <v/>
      </c>
      <c r="GO48" s="54" t="str">
        <f>IF(GO18="","",IF(GO18&lt;&gt;"THERMAL",GO18,IF($GW48="","THERMAL - NOT SPECIFIED",$GW48)))</f>
        <v/>
      </c>
      <c r="GP48" s="54" t="str">
        <f>IF(GP18="","",IF(GP18&lt;&gt;"THERMAL",GP18,IF($GW48="","THERMAL - NOT SPECIFIED",$GW48)))</f>
        <v/>
      </c>
      <c r="GQ48" s="54" t="str">
        <f>IF(GQ18="","",IF(GQ18&lt;&gt;"THERMAL",GQ18,IF($GW48="","THERMAL - NOT SPECIFIED",$GW48)))</f>
        <v/>
      </c>
      <c r="GR48" s="54" t="str">
        <f>IF(GR18="","",IF(GR18&lt;&gt;"THERMAL",GR18,IF($GW48="","THERMAL - NOT SPECIFIED",$GW48)))</f>
        <v/>
      </c>
      <c r="GS48" s="54" t="str">
        <f>IF(GS18="","",IF(GS18&lt;&gt;"THERMAL",GS18,IF($GW48="","THERMAL - NOT SPECIFIED",$GW48)))</f>
        <v/>
      </c>
      <c r="GW48" s="55" t="str">
        <f>IF($GY48="","",IFERROR(INDEX('MC MAP'!$L$5:$L$28,MATCH($GY48,'MC MAP'!$K$5:$K$28,0)),$GY48))</f>
        <v/>
      </c>
      <c r="GY48" s="60"/>
    </row>
    <row r="49" spans="1:207">
      <c r="A49" s="2">
        <f>$A19</f>
        <v>14</v>
      </c>
      <c r="B49" s="54">
        <f>IF(B19="","",IF(B19&lt;&gt;"THERMAL",B19,IF($GW49="","THERMAL - NOT SPECIFIED",$GW49)))</f>
        <v>6137</v>
      </c>
      <c r="C49" s="54">
        <f>IF(C19="","",IF(C19&lt;&gt;"THERMAL",C19,IF($GW49="","THERMAL - NOT SPECIFIED",$GW49)))</f>
        <v>6137</v>
      </c>
      <c r="D49" s="54">
        <f>IF(D19="","",IF(D19&lt;&gt;"THERMAL",D19,IF($GW49="","THERMAL - NOT SPECIFIED",$GW49)))</f>
        <v>6137</v>
      </c>
      <c r="E49" s="54">
        <f>IF(E19="","",IF(E19&lt;&gt;"THERMAL",E19,IF($GW49="","THERMAL - NOT SPECIFIED",$GW49)))</f>
        <v>6137</v>
      </c>
      <c r="F49" s="54">
        <f>IF(F19="","",IF(F19&lt;&gt;"THERMAL",F19,IF($GW49="","THERMAL - NOT SPECIFIED",$GW49)))</f>
        <v>6137</v>
      </c>
      <c r="G49" s="54">
        <f>IF(G19="","",IF(G19&lt;&gt;"THERMAL",G19,IF($GW49="","THERMAL - NOT SPECIFIED",$GW49)))</f>
        <v>6137</v>
      </c>
      <c r="H49" s="54">
        <f>IF(H19="","",IF(H19&lt;&gt;"THERMAL",H19,IF($GW49="","THERMAL - NOT SPECIFIED",$GW49)))</f>
        <v>6137</v>
      </c>
      <c r="I49" s="54">
        <f>IF(I19="","",IF(I19&lt;&gt;"THERMAL",I19,IF($GW49="","THERMAL - NOT SPECIFIED",$GW49)))</f>
        <v>6137</v>
      </c>
      <c r="J49" s="54">
        <f>IF(J19="","",IF(J19&lt;&gt;"THERMAL",J19,IF($GW49="","THERMAL - NOT SPECIFIED",$GW49)))</f>
        <v>6137</v>
      </c>
      <c r="K49" s="54">
        <f>IF(K19="","",IF(K19&lt;&gt;"THERMAL",K19,IF($GW49="","THERMAL - NOT SPECIFIED",$GW49)))</f>
        <v>6137</v>
      </c>
      <c r="L49" s="54">
        <f>IF(L19="","",IF(L19&lt;&gt;"THERMAL",L19,IF($GW49="","THERMAL - NOT SPECIFIED",$GW49)))</f>
        <v>6137</v>
      </c>
      <c r="M49" s="54">
        <f>IF(M19="","",IF(M19&lt;&gt;"THERMAL",M19,IF($GW49="","THERMAL - NOT SPECIFIED",$GW49)))</f>
        <v>6137</v>
      </c>
      <c r="N49" s="54">
        <f>IF(N19="","",IF(N19&lt;&gt;"THERMAL",N19,IF($GW49="","THERMAL - NOT SPECIFIED",$GW49)))</f>
        <v>6137</v>
      </c>
      <c r="O49" s="54" t="str">
        <f>IF(O19="","",IF(O19&lt;&gt;"THERMAL",O19,IF($GW49="","THERMAL - NOT SPECIFIED",$GW49)))</f>
        <v>VACCANT</v>
      </c>
      <c r="P49" s="54" t="str">
        <f>IF(P19="","",IF(P19&lt;&gt;"THERMAL",P19,IF($GW49="","THERMAL - NOT SPECIFIED",$GW49)))</f>
        <v>4406/10</v>
      </c>
      <c r="Q49" s="54" t="str">
        <f>IF(Q19="","",IF(Q19&lt;&gt;"THERMAL",Q19,IF($GW49="","THERMAL - NOT SPECIFIED",$GW49)))</f>
        <v>4406/10</v>
      </c>
      <c r="R49" s="54" t="str">
        <f>IF(R19="","",IF(R19&lt;&gt;"THERMAL",R19,IF($GW49="","THERMAL - NOT SPECIFIED",$GW49)))</f>
        <v>4406/10</v>
      </c>
      <c r="S49" s="54" t="str">
        <f>IF(S19="","",IF(S19&lt;&gt;"THERMAL",S19,IF($GW49="","THERMAL - NOT SPECIFIED",$GW49)))</f>
        <v>4406/10</v>
      </c>
      <c r="T49" s="54" t="str">
        <f>IF(T19="","",IF(T19&lt;&gt;"THERMAL",T19,IF($GW49="","THERMAL - NOT SPECIFIED",$GW49)))</f>
        <v>4406/10</v>
      </c>
      <c r="U49" s="54" t="str">
        <f>IF(U19="","",IF(U19&lt;&gt;"THERMAL",U19,IF($GW49="","THERMAL - NOT SPECIFIED",$GW49)))</f>
        <v>4406/10</v>
      </c>
      <c r="V49" s="54" t="str">
        <f>IF(V19="","",IF(V19&lt;&gt;"THERMAL",V19,IF($GW49="","THERMAL - NOT SPECIFIED",$GW49)))</f>
        <v>4406/10</v>
      </c>
      <c r="W49" s="54" t="str">
        <f>IF(W19="","",IF(W19&lt;&gt;"THERMAL",W19,IF($GW49="","THERMAL - NOT SPECIFIED",$GW49)))</f>
        <v>4406/10</v>
      </c>
      <c r="X49" s="54" t="str">
        <f>IF(X19="","",IF(X19&lt;&gt;"THERMAL",X19,IF($GW49="","THERMAL - NOT SPECIFIED",$GW49)))</f>
        <v>4406/10</v>
      </c>
      <c r="Y49" s="54" t="str">
        <f>IF(Y19="","",IF(Y19&lt;&gt;"THERMAL",Y19,IF($GW49="","THERMAL - NOT SPECIFIED",$GW49)))</f>
        <v>4406/10</v>
      </c>
      <c r="Z49" s="54" t="str">
        <f>IF(Z19="","",IF(Z19&lt;&gt;"THERMAL",Z19,IF($GW49="","THERMAL - NOT SPECIFIED",$GW49)))</f>
        <v>4406/10</v>
      </c>
      <c r="AA49" s="54" t="str">
        <f>IF(AA19="","",IF(AA19&lt;&gt;"THERMAL",AA19,IF($GW49="","THERMAL - NOT SPECIFIED",$GW49)))</f>
        <v>4406/10</v>
      </c>
      <c r="AB49" s="54" t="str">
        <f>IF(AB19="","",IF(AB19&lt;&gt;"THERMAL",AB19,IF($GW49="","THERMAL - NOT SPECIFIED",$GW49)))</f>
        <v>4406/10</v>
      </c>
      <c r="AC49" s="54" t="str">
        <f>IF(AC19="","",IF(AC19&lt;&gt;"THERMAL",AC19,IF($GW49="","THERMAL - NOT SPECIFIED",$GW49)))</f>
        <v>4406/10</v>
      </c>
      <c r="AD49" s="54" t="str">
        <f>IF(AD19="","",IF(AD19&lt;&gt;"THERMAL",AD19,IF($GW49="","THERMAL - NOT SPECIFIED",$GW49)))</f>
        <v>4406/10</v>
      </c>
      <c r="AE49" s="54" t="str">
        <f>IF(AE19="","",IF(AE19&lt;&gt;"THERMAL",AE19,IF($GW49="","THERMAL - NOT SPECIFIED",$GW49)))</f>
        <v>4406/10</v>
      </c>
      <c r="AF49" s="54" t="str">
        <f>IF(AF19="","",IF(AF19&lt;&gt;"THERMAL",AF19,IF($GW49="","THERMAL - NOT SPECIFIED",$GW49)))</f>
        <v>4406/10</v>
      </c>
      <c r="AG49" s="54" t="str">
        <f>IF(AG19="","",IF(AG19&lt;&gt;"THERMAL",AG19,IF($GW49="","THERMAL - NOT SPECIFIED",$GW49)))</f>
        <v>4406/10</v>
      </c>
      <c r="AH49" s="54" t="str">
        <f>IF(AH19="","",IF(AH19&lt;&gt;"THERMAL",AH19,IF($GW49="","THERMAL - NOT SPECIFIED",$GW49)))</f>
        <v>4406/10</v>
      </c>
      <c r="AI49" s="54" t="str">
        <f>IF(AI19="","",IF(AI19&lt;&gt;"THERMAL",AI19,IF($GW49="","THERMAL - NOT SPECIFIED",$GW49)))</f>
        <v>4406/10</v>
      </c>
      <c r="AJ49" s="54" t="str">
        <f>IF(AJ19="","",IF(AJ19&lt;&gt;"THERMAL",AJ19,IF($GW49="","THERMAL - NOT SPECIFIED",$GW49)))</f>
        <v>4406/10</v>
      </c>
      <c r="AK49" s="54" t="str">
        <f>IF(AK19="","",IF(AK19&lt;&gt;"THERMAL",AK19,IF($GW49="","THERMAL - NOT SPECIFIED",$GW49)))</f>
        <v>4406/10</v>
      </c>
      <c r="AL49" s="54" t="str">
        <f>IF(AL19="","",IF(AL19&lt;&gt;"THERMAL",AL19,IF($GW49="","THERMAL - NOT SPECIFIED",$GW49)))</f>
        <v>4406/10</v>
      </c>
      <c r="AM49" s="54" t="str">
        <f>IF(AM19="","",IF(AM19&lt;&gt;"THERMAL",AM19,IF($GW49="","THERMAL - NOT SPECIFIED",$GW49)))</f>
        <v>4406/10</v>
      </c>
      <c r="AN49" s="54" t="str">
        <f>IF(AN19="","",IF(AN19&lt;&gt;"THERMAL",AN19,IF($GW49="","THERMAL - NOT SPECIFIED",$GW49)))</f>
        <v>4406/10</v>
      </c>
      <c r="AO49" s="54" t="str">
        <f>IF(AO19="","",IF(AO19&lt;&gt;"THERMAL",AO19,IF($GW49="","THERMAL - NOT SPECIFIED",$GW49)))</f>
        <v>4406/10</v>
      </c>
      <c r="AP49" s="54" t="str">
        <f>IF(AP19="","",IF(AP19&lt;&gt;"THERMAL",AP19,IF($GW49="","THERMAL - NOT SPECIFIED",$GW49)))</f>
        <v>4406/10</v>
      </c>
      <c r="AQ49" s="54" t="str">
        <f>IF(AQ19="","",IF(AQ19&lt;&gt;"THERMAL",AQ19,IF($GW49="","THERMAL - NOT SPECIFIED",$GW49)))</f>
        <v>4406/10</v>
      </c>
      <c r="AR49" s="54" t="str">
        <f>IF(AR19="","",IF(AR19&lt;&gt;"THERMAL",AR19,IF($GW49="","THERMAL - NOT SPECIFIED",$GW49)))</f>
        <v>4406/10</v>
      </c>
      <c r="AS49" s="54" t="str">
        <f>IF(AS19="","",IF(AS19&lt;&gt;"THERMAL",AS19,IF($GW49="","THERMAL - NOT SPECIFIED",$GW49)))</f>
        <v>4406/10</v>
      </c>
      <c r="AT49" s="54" t="str">
        <f>IF(AT19="","",IF(AT19&lt;&gt;"THERMAL",AT19,IF($GW49="","THERMAL - NOT SPECIFIED",$GW49)))</f>
        <v>4406/10</v>
      </c>
      <c r="AU49" s="54" t="str">
        <f>IF(AU19="","",IF(AU19&lt;&gt;"THERMAL",AU19,IF($GW49="","THERMAL - NOT SPECIFIED",$GW49)))</f>
        <v>4406/10</v>
      </c>
      <c r="AV49" s="54" t="str">
        <f>IF(AV19="","",IF(AV19&lt;&gt;"THERMAL",AV19,IF($GW49="","THERMAL - NOT SPECIFIED",$GW49)))</f>
        <v>4406/10</v>
      </c>
      <c r="AW49" s="54" t="str">
        <f>IF(AW19="","",IF(AW19&lt;&gt;"THERMAL",AW19,IF($GW49="","THERMAL - NOT SPECIFIED",$GW49)))</f>
        <v>4406/10</v>
      </c>
      <c r="AX49" s="54" t="str">
        <f>IF(AX19="","",IF(AX19&lt;&gt;"THERMAL",AX19,IF($GW49="","THERMAL - NOT SPECIFIED",$GW49)))</f>
        <v>4406/10</v>
      </c>
      <c r="AY49" s="54" t="str">
        <f>IF(AY19="","",IF(AY19&lt;&gt;"THERMAL",AY19,IF($GW49="","THERMAL - NOT SPECIFIED",$GW49)))</f>
        <v>4406/10</v>
      </c>
      <c r="AZ49" s="54" t="str">
        <f>IF(AZ19="","",IF(AZ19&lt;&gt;"THERMAL",AZ19,IF($GW49="","THERMAL - NOT SPECIFIED",$GW49)))</f>
        <v>4406/10</v>
      </c>
      <c r="BA49" s="54" t="str">
        <f>IF(BA19="","",IF(BA19&lt;&gt;"THERMAL",BA19,IF($GW49="","THERMAL - NOT SPECIFIED",$GW49)))</f>
        <v>4406/10</v>
      </c>
      <c r="BB49" s="54" t="str">
        <f>IF(BB19="","",IF(BB19&lt;&gt;"THERMAL",BB19,IF($GW49="","THERMAL - NOT SPECIFIED",$GW49)))</f>
        <v>4406/10</v>
      </c>
      <c r="BC49" s="54" t="str">
        <f>IF(BC19="","",IF(BC19&lt;&gt;"THERMAL",BC19,IF($GW49="","THERMAL - NOT SPECIFIED",$GW49)))</f>
        <v>4406/10</v>
      </c>
      <c r="BD49" s="54" t="str">
        <f>IF(BD19="","",IF(BD19&lt;&gt;"THERMAL",BD19,IF($GW49="","THERMAL - NOT SPECIFIED",$GW49)))</f>
        <v>4406/10</v>
      </c>
      <c r="BE49" s="54" t="str">
        <f>IF(BE19="","",IF(BE19&lt;&gt;"THERMAL",BE19,IF($GW49="","THERMAL - NOT SPECIFIED",$GW49)))</f>
        <v>4406/10</v>
      </c>
      <c r="BF49" s="54" t="str">
        <f>IF(BF19="","",IF(BF19&lt;&gt;"THERMAL",BF19,IF($GW49="","THERMAL - NOT SPECIFIED",$GW49)))</f>
        <v>4406/10</v>
      </c>
      <c r="BG49" s="54" t="str">
        <f>IF(BG19="","",IF(BG19&lt;&gt;"THERMAL",BG19,IF($GW49="","THERMAL - NOT SPECIFIED",$GW49)))</f>
        <v>4406/10</v>
      </c>
      <c r="BH49" s="54" t="str">
        <f>IF(BH19="","",IF(BH19&lt;&gt;"THERMAL",BH19,IF($GW49="","THERMAL - NOT SPECIFIED",$GW49)))</f>
        <v>4406/10</v>
      </c>
      <c r="BI49" s="54" t="str">
        <f>IF(BI19="","",IF(BI19&lt;&gt;"THERMAL",BI19,IF($GW49="","THERMAL - NOT SPECIFIED",$GW49)))</f>
        <v>4406/10</v>
      </c>
      <c r="BJ49" s="54" t="str">
        <f>IF(BJ19="","",IF(BJ19&lt;&gt;"THERMAL",BJ19,IF($GW49="","THERMAL - NOT SPECIFIED",$GW49)))</f>
        <v>4406/10</v>
      </c>
      <c r="BK49" s="54" t="str">
        <f>IF(BK19="","",IF(BK19&lt;&gt;"THERMAL",BK19,IF($GW49="","THERMAL - NOT SPECIFIED",$GW49)))</f>
        <v>4406/10</v>
      </c>
      <c r="BL49" s="54" t="str">
        <f>IF(BL19="","",IF(BL19&lt;&gt;"THERMAL",BL19,IF($GW49="","THERMAL - NOT SPECIFIED",$GW49)))</f>
        <v>4406/10</v>
      </c>
      <c r="BM49" s="54" t="str">
        <f>IF(BM19="","",IF(BM19&lt;&gt;"THERMAL",BM19,IF($GW49="","THERMAL - NOT SPECIFIED",$GW49)))</f>
        <v>4406/10</v>
      </c>
      <c r="BN49" s="54" t="str">
        <f>IF(BN19="","",IF(BN19&lt;&gt;"THERMAL",BN19,IF($GW49="","THERMAL - NOT SPECIFIED",$GW49)))</f>
        <v>4406/10</v>
      </c>
      <c r="BO49" s="54" t="str">
        <f>IF(BO19="","",IF(BO19&lt;&gt;"THERMAL",BO19,IF($GW49="","THERMAL - NOT SPECIFIED",$GW49)))</f>
        <v>4406/10</v>
      </c>
      <c r="BP49" s="54" t="str">
        <f>IF(BP19="","",IF(BP19&lt;&gt;"THERMAL",BP19,IF($GW49="","THERMAL - NOT SPECIFIED",$GW49)))</f>
        <v>4406/10</v>
      </c>
      <c r="BQ49" s="54" t="str">
        <f>IF(BQ19="","",IF(BQ19&lt;&gt;"THERMAL",BQ19,IF($GW49="","THERMAL - NOT SPECIFIED",$GW49)))</f>
        <v>4406/10</v>
      </c>
      <c r="BR49" s="54" t="str">
        <f>IF(BR19="","",IF(BR19&lt;&gt;"THERMAL",BR19,IF($GW49="","THERMAL - NOT SPECIFIED",$GW49)))</f>
        <v>4406/10</v>
      </c>
      <c r="BS49" s="54" t="str">
        <f>IF(BS19="","",IF(BS19&lt;&gt;"THERMAL",BS19,IF($GW49="","THERMAL - NOT SPECIFIED",$GW49)))</f>
        <v>4406/10</v>
      </c>
      <c r="BT49" s="54" t="str">
        <f>IF(BT19="","",IF(BT19&lt;&gt;"THERMAL",BT19,IF($GW49="","THERMAL - NOT SPECIFIED",$GW49)))</f>
        <v>4406/10</v>
      </c>
      <c r="BU49" s="54" t="str">
        <f>IF(BU19="","",IF(BU19&lt;&gt;"THERMAL",BU19,IF($GW49="","THERMAL - NOT SPECIFIED",$GW49)))</f>
        <v>4406/10</v>
      </c>
      <c r="BV49" s="54" t="str">
        <f>IF(BV19="","",IF(BV19&lt;&gt;"THERMAL",BV19,IF($GW49="","THERMAL - NOT SPECIFIED",$GW49)))</f>
        <v>4406/10</v>
      </c>
      <c r="BW49" s="54" t="str">
        <f>IF(BW19="","",IF(BW19&lt;&gt;"THERMAL",BW19,IF($GW49="","THERMAL - NOT SPECIFIED",$GW49)))</f>
        <v>4406/10</v>
      </c>
      <c r="BX49" s="54" t="str">
        <f>IF(BX19="","",IF(BX19&lt;&gt;"THERMAL",BX19,IF($GW49="","THERMAL - NOT SPECIFIED",$GW49)))</f>
        <v>4406/10</v>
      </c>
      <c r="BY49" s="54" t="str">
        <f>IF(BY19="","",IF(BY19&lt;&gt;"THERMAL",BY19,IF($GW49="","THERMAL - NOT SPECIFIED",$GW49)))</f>
        <v>4406/10</v>
      </c>
      <c r="BZ49" s="54" t="str">
        <f>IF(BZ19="","",IF(BZ19&lt;&gt;"THERMAL",BZ19,IF($GW49="","THERMAL - NOT SPECIFIED",$GW49)))</f>
        <v>4406/10</v>
      </c>
      <c r="CA49" s="54" t="str">
        <f>IF(CA19="","",IF(CA19&lt;&gt;"THERMAL",CA19,IF($GW49="","THERMAL - NOT SPECIFIED",$GW49)))</f>
        <v>4406/10</v>
      </c>
      <c r="CB49" s="54" t="str">
        <f>IF(CB19="","",IF(CB19&lt;&gt;"THERMAL",CB19,IF($GW49="","THERMAL - NOT SPECIFIED",$GW49)))</f>
        <v>4406/10</v>
      </c>
      <c r="CC49" s="54" t="str">
        <f>IF(CC19="","",IF(CC19&lt;&gt;"THERMAL",CC19,IF($GW49="","THERMAL - NOT SPECIFIED",$GW49)))</f>
        <v>4406/10</v>
      </c>
      <c r="CD49" s="54" t="str">
        <f>IF(CD19="","",IF(CD19&lt;&gt;"THERMAL",CD19,IF($GW49="","THERMAL - NOT SPECIFIED",$GW49)))</f>
        <v>VACCANT</v>
      </c>
      <c r="CE49" s="54" t="str">
        <f>IF(CE19="","",IF(CE19&lt;&gt;"THERMAL",CE19,IF($GW49="","THERMAL - NOT SPECIFIED",$GW49)))</f>
        <v/>
      </c>
      <c r="CF49" s="54" t="str">
        <f>IF(CF19="","",IF(CF19&lt;&gt;"THERMAL",CF19,IF($GW49="","THERMAL - NOT SPECIFIED",$GW49)))</f>
        <v/>
      </c>
      <c r="CG49" s="54" t="str">
        <f>IF(CG19="","",IF(CG19&lt;&gt;"THERMAL",CG19,IF($GW49="","THERMAL - NOT SPECIFIED",$GW49)))</f>
        <v/>
      </c>
      <c r="CH49" s="54" t="str">
        <f>IF(CH19="","",IF(CH19&lt;&gt;"THERMAL",CH19,IF($GW49="","THERMAL - NOT SPECIFIED",$GW49)))</f>
        <v/>
      </c>
      <c r="CI49" s="54" t="str">
        <f>IF(CI19="","",IF(CI19&lt;&gt;"THERMAL",CI19,IF($GW49="","THERMAL - NOT SPECIFIED",$GW49)))</f>
        <v/>
      </c>
      <c r="CJ49" s="54" t="str">
        <f>IF(CJ19="","",IF(CJ19&lt;&gt;"THERMAL",CJ19,IF($GW49="","THERMAL - NOT SPECIFIED",$GW49)))</f>
        <v/>
      </c>
      <c r="CK49" s="54" t="str">
        <f>IF(CK19="","",IF(CK19&lt;&gt;"THERMAL",CK19,IF($GW49="","THERMAL - NOT SPECIFIED",$GW49)))</f>
        <v/>
      </c>
      <c r="CL49" s="54" t="str">
        <f>IF(CL19="","",IF(CL19&lt;&gt;"THERMAL",CL19,IF($GW49="","THERMAL - NOT SPECIFIED",$GW49)))</f>
        <v/>
      </c>
      <c r="CM49" s="54" t="str">
        <f>IF(CM19="","",IF(CM19&lt;&gt;"THERMAL",CM19,IF($GW49="","THERMAL - NOT SPECIFIED",$GW49)))</f>
        <v/>
      </c>
      <c r="CN49" s="54" t="str">
        <f>IF(CN19="","",IF(CN19&lt;&gt;"THERMAL",CN19,IF($GW49="","THERMAL - NOT SPECIFIED",$GW49)))</f>
        <v/>
      </c>
      <c r="CO49" s="54" t="str">
        <f>IF(CO19="","",IF(CO19&lt;&gt;"THERMAL",CO19,IF($GW49="","THERMAL - NOT SPECIFIED",$GW49)))</f>
        <v/>
      </c>
      <c r="CP49" s="54" t="str">
        <f>IF(CP19="","",IF(CP19&lt;&gt;"THERMAL",CP19,IF($GW49="","THERMAL - NOT SPECIFIED",$GW49)))</f>
        <v/>
      </c>
      <c r="CQ49" s="54" t="str">
        <f>IF(CQ19="","",IF(CQ19&lt;&gt;"THERMAL",CQ19,IF($GW49="","THERMAL - NOT SPECIFIED",$GW49)))</f>
        <v/>
      </c>
      <c r="CR49" s="54" t="str">
        <f>IF(CR19="","",IF(CR19&lt;&gt;"THERMAL",CR19,IF($GW49="","THERMAL - NOT SPECIFIED",$GW49)))</f>
        <v/>
      </c>
      <c r="CS49" s="54" t="str">
        <f>IF(CS19="","",IF(CS19&lt;&gt;"THERMAL",CS19,IF($GW49="","THERMAL - NOT SPECIFIED",$GW49)))</f>
        <v/>
      </c>
      <c r="CT49" s="54" t="str">
        <f>IF(CT19="","",IF(CT19&lt;&gt;"THERMAL",CT19,IF($GW49="","THERMAL - NOT SPECIFIED",$GW49)))</f>
        <v/>
      </c>
      <c r="CU49" s="54" t="str">
        <f>IF(CU19="","",IF(CU19&lt;&gt;"THERMAL",CU19,IF($GW49="","THERMAL - NOT SPECIFIED",$GW49)))</f>
        <v/>
      </c>
      <c r="CV49" s="54" t="str">
        <f>IF(CV19="","",IF(CV19&lt;&gt;"THERMAL",CV19,IF($GW49="","THERMAL - NOT SPECIFIED",$GW49)))</f>
        <v/>
      </c>
      <c r="CW49" s="54" t="str">
        <f>IF(CW19="","",IF(CW19&lt;&gt;"THERMAL",CW19,IF($GW49="","THERMAL - NOT SPECIFIED",$GW49)))</f>
        <v/>
      </c>
      <c r="CX49" s="54" t="str">
        <f>IF(CX19="","",IF(CX19&lt;&gt;"THERMAL",CX19,IF($GW49="","THERMAL - NOT SPECIFIED",$GW49)))</f>
        <v/>
      </c>
      <c r="CY49" s="54" t="str">
        <f>IF(CY19="","",IF(CY19&lt;&gt;"THERMAL",CY19,IF($GW49="","THERMAL - NOT SPECIFIED",$GW49)))</f>
        <v/>
      </c>
      <c r="CZ49" s="54" t="str">
        <f>IF(CZ19="","",IF(CZ19&lt;&gt;"THERMAL",CZ19,IF($GW49="","THERMAL - NOT SPECIFIED",$GW49)))</f>
        <v/>
      </c>
      <c r="DA49" s="54" t="str">
        <f>IF(DA19="","",IF(DA19&lt;&gt;"THERMAL",DA19,IF($GW49="","THERMAL - NOT SPECIFIED",$GW49)))</f>
        <v/>
      </c>
      <c r="DB49" s="54" t="str">
        <f>IF(DB19="","",IF(DB19&lt;&gt;"THERMAL",DB19,IF($GW49="","THERMAL - NOT SPECIFIED",$GW49)))</f>
        <v/>
      </c>
      <c r="DC49" s="54" t="str">
        <f>IF(DC19="","",IF(DC19&lt;&gt;"THERMAL",DC19,IF($GW49="","THERMAL - NOT SPECIFIED",$GW49)))</f>
        <v/>
      </c>
      <c r="DD49" s="54" t="str">
        <f>IF(DD19="","",IF(DD19&lt;&gt;"THERMAL",DD19,IF($GW49="","THERMAL - NOT SPECIFIED",$GW49)))</f>
        <v/>
      </c>
      <c r="DE49" s="54" t="str">
        <f>IF(DE19="","",IF(DE19&lt;&gt;"THERMAL",DE19,IF($GW49="","THERMAL - NOT SPECIFIED",$GW49)))</f>
        <v/>
      </c>
      <c r="DF49" s="54" t="str">
        <f>IF(DF19="","",IF(DF19&lt;&gt;"THERMAL",DF19,IF($GW49="","THERMAL - NOT SPECIFIED",$GW49)))</f>
        <v/>
      </c>
      <c r="DG49" s="54" t="str">
        <f>IF(DG19="","",IF(DG19&lt;&gt;"THERMAL",DG19,IF($GW49="","THERMAL - NOT SPECIFIED",$GW49)))</f>
        <v/>
      </c>
      <c r="DH49" s="54" t="str">
        <f>IF(DH19="","",IF(DH19&lt;&gt;"THERMAL",DH19,IF($GW49="","THERMAL - NOT SPECIFIED",$GW49)))</f>
        <v/>
      </c>
      <c r="DI49" s="54" t="str">
        <f>IF(DI19="","",IF(DI19&lt;&gt;"THERMAL",DI19,IF($GW49="","THERMAL - NOT SPECIFIED",$GW49)))</f>
        <v/>
      </c>
      <c r="DJ49" s="54" t="str">
        <f>IF(DJ19="","",IF(DJ19&lt;&gt;"THERMAL",DJ19,IF($GW49="","THERMAL - NOT SPECIFIED",$GW49)))</f>
        <v/>
      </c>
      <c r="DK49" s="54" t="str">
        <f>IF(DK19="","",IF(DK19&lt;&gt;"THERMAL",DK19,IF($GW49="","THERMAL - NOT SPECIFIED",$GW49)))</f>
        <v/>
      </c>
      <c r="DL49" s="54" t="str">
        <f>IF(DL19="","",IF(DL19&lt;&gt;"THERMAL",DL19,IF($GW49="","THERMAL - NOT SPECIFIED",$GW49)))</f>
        <v/>
      </c>
      <c r="DM49" s="54" t="str">
        <f>IF(DM19="","",IF(DM19&lt;&gt;"THERMAL",DM19,IF($GW49="","THERMAL - NOT SPECIFIED",$GW49)))</f>
        <v/>
      </c>
      <c r="DN49" s="54" t="str">
        <f>IF(DN19="","",IF(DN19&lt;&gt;"THERMAL",DN19,IF($GW49="","THERMAL - NOT SPECIFIED",$GW49)))</f>
        <v/>
      </c>
      <c r="DO49" s="54" t="str">
        <f>IF(DO19="","",IF(DO19&lt;&gt;"THERMAL",DO19,IF($GW49="","THERMAL - NOT SPECIFIED",$GW49)))</f>
        <v/>
      </c>
      <c r="DP49" s="54" t="str">
        <f>IF(DP19="","",IF(DP19&lt;&gt;"THERMAL",DP19,IF($GW49="","THERMAL - NOT SPECIFIED",$GW49)))</f>
        <v/>
      </c>
      <c r="DQ49" s="54" t="str">
        <f>IF(DQ19="","",IF(DQ19&lt;&gt;"THERMAL",DQ19,IF($GW49="","THERMAL - NOT SPECIFIED",$GW49)))</f>
        <v/>
      </c>
      <c r="DR49" s="54" t="str">
        <f>IF(DR19="","",IF(DR19&lt;&gt;"THERMAL",DR19,IF($GW49="","THERMAL - NOT SPECIFIED",$GW49)))</f>
        <v/>
      </c>
      <c r="DS49" s="54" t="str">
        <f>IF(DS19="","",IF(DS19&lt;&gt;"THERMAL",DS19,IF($GW49="","THERMAL - NOT SPECIFIED",$GW49)))</f>
        <v/>
      </c>
      <c r="DT49" s="54" t="str">
        <f>IF(DT19="","",IF(DT19&lt;&gt;"THERMAL",DT19,IF($GW49="","THERMAL - NOT SPECIFIED",$GW49)))</f>
        <v/>
      </c>
      <c r="DU49" s="54" t="str">
        <f>IF(DU19="","",IF(DU19&lt;&gt;"THERMAL",DU19,IF($GW49="","THERMAL - NOT SPECIFIED",$GW49)))</f>
        <v/>
      </c>
      <c r="DV49" s="54" t="str">
        <f>IF(DV19="","",IF(DV19&lt;&gt;"THERMAL",DV19,IF($GW49="","THERMAL - NOT SPECIFIED",$GW49)))</f>
        <v/>
      </c>
      <c r="DW49" s="54" t="str">
        <f>IF(DW19="","",IF(DW19&lt;&gt;"THERMAL",DW19,IF($GW49="","THERMAL - NOT SPECIFIED",$GW49)))</f>
        <v/>
      </c>
      <c r="DX49" s="54" t="str">
        <f>IF(DX19="","",IF(DX19&lt;&gt;"THERMAL",DX19,IF($GW49="","THERMAL - NOT SPECIFIED",$GW49)))</f>
        <v/>
      </c>
      <c r="DY49" s="54" t="str">
        <f>IF(DY19="","",IF(DY19&lt;&gt;"THERMAL",DY19,IF($GW49="","THERMAL - NOT SPECIFIED",$GW49)))</f>
        <v/>
      </c>
      <c r="DZ49" s="54" t="str">
        <f>IF(DZ19="","",IF(DZ19&lt;&gt;"THERMAL",DZ19,IF($GW49="","THERMAL - NOT SPECIFIED",$GW49)))</f>
        <v/>
      </c>
      <c r="EA49" s="54" t="str">
        <f>IF(EA19="","",IF(EA19&lt;&gt;"THERMAL",EA19,IF($GW49="","THERMAL - NOT SPECIFIED",$GW49)))</f>
        <v/>
      </c>
      <c r="EB49" s="54" t="str">
        <f>IF(EB19="","",IF(EB19&lt;&gt;"THERMAL",EB19,IF($GW49="","THERMAL - NOT SPECIFIED",$GW49)))</f>
        <v/>
      </c>
      <c r="EC49" s="54" t="str">
        <f>IF(EC19="","",IF(EC19&lt;&gt;"THERMAL",EC19,IF($GW49="","THERMAL - NOT SPECIFIED",$GW49)))</f>
        <v/>
      </c>
      <c r="ED49" s="54" t="str">
        <f>IF(ED19="","",IF(ED19&lt;&gt;"THERMAL",ED19,IF($GW49="","THERMAL - NOT SPECIFIED",$GW49)))</f>
        <v/>
      </c>
      <c r="EE49" s="54" t="str">
        <f>IF(EE19="","",IF(EE19&lt;&gt;"THERMAL",EE19,IF($GW49="","THERMAL - NOT SPECIFIED",$GW49)))</f>
        <v/>
      </c>
      <c r="EF49" s="54" t="str">
        <f>IF(EF19="","",IF(EF19&lt;&gt;"THERMAL",EF19,IF($GW49="","THERMAL - NOT SPECIFIED",$GW49)))</f>
        <v/>
      </c>
      <c r="EG49" s="54" t="str">
        <f>IF(EG19="","",IF(EG19&lt;&gt;"THERMAL",EG19,IF($GW49="","THERMAL - NOT SPECIFIED",$GW49)))</f>
        <v/>
      </c>
      <c r="EH49" s="54" t="str">
        <f>IF(EH19="","",IF(EH19&lt;&gt;"THERMAL",EH19,IF($GW49="","THERMAL - NOT SPECIFIED",$GW49)))</f>
        <v/>
      </c>
      <c r="EI49" s="54" t="str">
        <f>IF(EI19="","",IF(EI19&lt;&gt;"THERMAL",EI19,IF($GW49="","THERMAL - NOT SPECIFIED",$GW49)))</f>
        <v/>
      </c>
      <c r="EJ49" s="54" t="str">
        <f>IF(EJ19="","",IF(EJ19&lt;&gt;"THERMAL",EJ19,IF($GW49="","THERMAL - NOT SPECIFIED",$GW49)))</f>
        <v/>
      </c>
      <c r="EK49" s="54" t="str">
        <f>IF(EK19="","",IF(EK19&lt;&gt;"THERMAL",EK19,IF($GW49="","THERMAL - NOT SPECIFIED",$GW49)))</f>
        <v/>
      </c>
      <c r="EL49" s="54" t="str">
        <f>IF(EL19="","",IF(EL19&lt;&gt;"THERMAL",EL19,IF($GW49="","THERMAL - NOT SPECIFIED",$GW49)))</f>
        <v/>
      </c>
      <c r="EM49" s="54" t="str">
        <f>IF(EM19="","",IF(EM19&lt;&gt;"THERMAL",EM19,IF($GW49="","THERMAL - NOT SPECIFIED",$GW49)))</f>
        <v/>
      </c>
      <c r="EN49" s="54" t="str">
        <f>IF(EN19="","",IF(EN19&lt;&gt;"THERMAL",EN19,IF($GW49="","THERMAL - NOT SPECIFIED",$GW49)))</f>
        <v/>
      </c>
      <c r="EO49" s="54" t="str">
        <f>IF(EO19="","",IF(EO19&lt;&gt;"THERMAL",EO19,IF($GW49="","THERMAL - NOT SPECIFIED",$GW49)))</f>
        <v/>
      </c>
      <c r="EP49" s="54" t="str">
        <f>IF(EP19="","",IF(EP19&lt;&gt;"THERMAL",EP19,IF($GW49="","THERMAL - NOT SPECIFIED",$GW49)))</f>
        <v/>
      </c>
      <c r="EQ49" s="54" t="str">
        <f>IF(EQ19="","",IF(EQ19&lt;&gt;"THERMAL",EQ19,IF($GW49="","THERMAL - NOT SPECIFIED",$GW49)))</f>
        <v/>
      </c>
      <c r="ER49" s="54" t="str">
        <f>IF(ER19="","",IF(ER19&lt;&gt;"THERMAL",ER19,IF($GW49="","THERMAL - NOT SPECIFIED",$GW49)))</f>
        <v/>
      </c>
      <c r="ES49" s="54" t="str">
        <f>IF(ES19="","",IF(ES19&lt;&gt;"THERMAL",ES19,IF($GW49="","THERMAL - NOT SPECIFIED",$GW49)))</f>
        <v/>
      </c>
      <c r="ET49" s="54" t="str">
        <f>IF(ET19="","",IF(ET19&lt;&gt;"THERMAL",ET19,IF($GW49="","THERMAL - NOT SPECIFIED",$GW49)))</f>
        <v/>
      </c>
      <c r="EU49" s="54" t="str">
        <f>IF(EU19="","",IF(EU19&lt;&gt;"THERMAL",EU19,IF($GW49="","THERMAL - NOT SPECIFIED",$GW49)))</f>
        <v/>
      </c>
      <c r="EV49" s="54" t="str">
        <f>IF(EV19="","",IF(EV19&lt;&gt;"THERMAL",EV19,IF($GW49="","THERMAL - NOT SPECIFIED",$GW49)))</f>
        <v/>
      </c>
      <c r="EW49" s="54" t="str">
        <f>IF(EW19="","",IF(EW19&lt;&gt;"THERMAL",EW19,IF($GW49="","THERMAL - NOT SPECIFIED",$GW49)))</f>
        <v/>
      </c>
      <c r="EX49" s="54" t="str">
        <f>IF(EX19="","",IF(EX19&lt;&gt;"THERMAL",EX19,IF($GW49="","THERMAL - NOT SPECIFIED",$GW49)))</f>
        <v/>
      </c>
      <c r="EY49" s="54" t="str">
        <f>IF(EY19="","",IF(EY19&lt;&gt;"THERMAL",EY19,IF($GW49="","THERMAL - NOT SPECIFIED",$GW49)))</f>
        <v/>
      </c>
      <c r="EZ49" s="54" t="str">
        <f>IF(EZ19="","",IF(EZ19&lt;&gt;"THERMAL",EZ19,IF($GW49="","THERMAL - NOT SPECIFIED",$GW49)))</f>
        <v/>
      </c>
      <c r="FA49" s="54" t="str">
        <f>IF(FA19="","",IF(FA19&lt;&gt;"THERMAL",FA19,IF($GW49="","THERMAL - NOT SPECIFIED",$GW49)))</f>
        <v/>
      </c>
      <c r="FB49" s="54" t="str">
        <f>IF(FB19="","",IF(FB19&lt;&gt;"THERMAL",FB19,IF($GW49="","THERMAL - NOT SPECIFIED",$GW49)))</f>
        <v/>
      </c>
      <c r="FC49" s="54" t="str">
        <f>IF(FC19="","",IF(FC19&lt;&gt;"THERMAL",FC19,IF($GW49="","THERMAL - NOT SPECIFIED",$GW49)))</f>
        <v/>
      </c>
      <c r="FD49" s="54" t="str">
        <f>IF(FD19="","",IF(FD19&lt;&gt;"THERMAL",FD19,IF($GW49="","THERMAL - NOT SPECIFIED",$GW49)))</f>
        <v/>
      </c>
      <c r="FE49" s="54" t="str">
        <f>IF(FE19="","",IF(FE19&lt;&gt;"THERMAL",FE19,IF($GW49="","THERMAL - NOT SPECIFIED",$GW49)))</f>
        <v/>
      </c>
      <c r="FF49" s="54" t="str">
        <f>IF(FF19="","",IF(FF19&lt;&gt;"THERMAL",FF19,IF($GW49="","THERMAL - NOT SPECIFIED",$GW49)))</f>
        <v/>
      </c>
      <c r="FG49" s="54" t="str">
        <f>IF(FG19="","",IF(FG19&lt;&gt;"THERMAL",FG19,IF($GW49="","THERMAL - NOT SPECIFIED",$GW49)))</f>
        <v/>
      </c>
      <c r="FH49" s="54" t="str">
        <f>IF(FH19="","",IF(FH19&lt;&gt;"THERMAL",FH19,IF($GW49="","THERMAL - NOT SPECIFIED",$GW49)))</f>
        <v/>
      </c>
      <c r="FI49" s="54" t="str">
        <f>IF(FI19="","",IF(FI19&lt;&gt;"THERMAL",FI19,IF($GW49="","THERMAL - NOT SPECIFIED",$GW49)))</f>
        <v/>
      </c>
      <c r="FJ49" s="54" t="str">
        <f>IF(FJ19="","",IF(FJ19&lt;&gt;"THERMAL",FJ19,IF($GW49="","THERMAL - NOT SPECIFIED",$GW49)))</f>
        <v/>
      </c>
      <c r="FK49" s="54" t="str">
        <f>IF(FK19="","",IF(FK19&lt;&gt;"THERMAL",FK19,IF($GW49="","THERMAL - NOT SPECIFIED",$GW49)))</f>
        <v/>
      </c>
      <c r="FL49" s="54" t="str">
        <f>IF(FL19="","",IF(FL19&lt;&gt;"THERMAL",FL19,IF($GW49="","THERMAL - NOT SPECIFIED",$GW49)))</f>
        <v/>
      </c>
      <c r="FM49" s="54" t="str">
        <f>IF(FM19="","",IF(FM19&lt;&gt;"THERMAL",FM19,IF($GW49="","THERMAL - NOT SPECIFIED",$GW49)))</f>
        <v/>
      </c>
      <c r="FN49" s="54" t="str">
        <f>IF(FN19="","",IF(FN19&lt;&gt;"THERMAL",FN19,IF($GW49="","THERMAL - NOT SPECIFIED",$GW49)))</f>
        <v/>
      </c>
      <c r="FO49" s="54" t="str">
        <f>IF(FO19="","",IF(FO19&lt;&gt;"THERMAL",FO19,IF($GW49="","THERMAL - NOT SPECIFIED",$GW49)))</f>
        <v/>
      </c>
      <c r="FP49" s="54" t="str">
        <f>IF(FP19="","",IF(FP19&lt;&gt;"THERMAL",FP19,IF($GW49="","THERMAL - NOT SPECIFIED",$GW49)))</f>
        <v/>
      </c>
      <c r="FQ49" s="54" t="str">
        <f>IF(FQ19="","",IF(FQ19&lt;&gt;"THERMAL",FQ19,IF($GW49="","THERMAL - NOT SPECIFIED",$GW49)))</f>
        <v/>
      </c>
      <c r="FR49" s="54" t="str">
        <f>IF(FR19="","",IF(FR19&lt;&gt;"THERMAL",FR19,IF($GW49="","THERMAL - NOT SPECIFIED",$GW49)))</f>
        <v/>
      </c>
      <c r="FS49" s="54" t="str">
        <f>IF(FS19="","",IF(FS19&lt;&gt;"THERMAL",FS19,IF($GW49="","THERMAL - NOT SPECIFIED",$GW49)))</f>
        <v/>
      </c>
      <c r="FT49" s="54" t="str">
        <f>IF(FT19="","",IF(FT19&lt;&gt;"THERMAL",FT19,IF($GW49="","THERMAL - NOT SPECIFIED",$GW49)))</f>
        <v/>
      </c>
      <c r="FU49" s="54" t="str">
        <f>IF(FU19="","",IF(FU19&lt;&gt;"THERMAL",FU19,IF($GW49="","THERMAL - NOT SPECIFIED",$GW49)))</f>
        <v/>
      </c>
      <c r="FV49" s="54" t="str">
        <f>IF(FV19="","",IF(FV19&lt;&gt;"THERMAL",FV19,IF($GW49="","THERMAL - NOT SPECIFIED",$GW49)))</f>
        <v/>
      </c>
      <c r="FW49" s="54" t="str">
        <f>IF(FW19="","",IF(FW19&lt;&gt;"THERMAL",FW19,IF($GW49="","THERMAL - NOT SPECIFIED",$GW49)))</f>
        <v/>
      </c>
      <c r="FX49" s="54" t="str">
        <f>IF(FX19="","",IF(FX19&lt;&gt;"THERMAL",FX19,IF($GW49="","THERMAL - NOT SPECIFIED",$GW49)))</f>
        <v/>
      </c>
      <c r="FY49" s="54" t="str">
        <f>IF(FY19="","",IF(FY19&lt;&gt;"THERMAL",FY19,IF($GW49="","THERMAL - NOT SPECIFIED",$GW49)))</f>
        <v/>
      </c>
      <c r="FZ49" s="54" t="str">
        <f>IF(FZ19="","",IF(FZ19&lt;&gt;"THERMAL",FZ19,IF($GW49="","THERMAL - NOT SPECIFIED",$GW49)))</f>
        <v/>
      </c>
      <c r="GA49" s="54" t="str">
        <f>IF(GA19="","",IF(GA19&lt;&gt;"THERMAL",GA19,IF($GW49="","THERMAL - NOT SPECIFIED",$GW49)))</f>
        <v/>
      </c>
      <c r="GB49" s="54" t="str">
        <f>IF(GB19="","",IF(GB19&lt;&gt;"THERMAL",GB19,IF($GW49="","THERMAL - NOT SPECIFIED",$GW49)))</f>
        <v/>
      </c>
      <c r="GC49" s="54" t="str">
        <f>IF(GC19="","",IF(GC19&lt;&gt;"THERMAL",GC19,IF($GW49="","THERMAL - NOT SPECIFIED",$GW49)))</f>
        <v/>
      </c>
      <c r="GD49" s="54" t="str">
        <f>IF(GD19="","",IF(GD19&lt;&gt;"THERMAL",GD19,IF($GW49="","THERMAL - NOT SPECIFIED",$GW49)))</f>
        <v/>
      </c>
      <c r="GE49" s="54" t="str">
        <f>IF(GE19="","",IF(GE19&lt;&gt;"THERMAL",GE19,IF($GW49="","THERMAL - NOT SPECIFIED",$GW49)))</f>
        <v/>
      </c>
      <c r="GF49" s="54" t="str">
        <f>IF(GF19="","",IF(GF19&lt;&gt;"THERMAL",GF19,IF($GW49="","THERMAL - NOT SPECIFIED",$GW49)))</f>
        <v/>
      </c>
      <c r="GG49" s="54" t="str">
        <f>IF(GG19="","",IF(GG19&lt;&gt;"THERMAL",GG19,IF($GW49="","THERMAL - NOT SPECIFIED",$GW49)))</f>
        <v/>
      </c>
      <c r="GH49" s="54" t="str">
        <f>IF(GH19="","",IF(GH19&lt;&gt;"THERMAL",GH19,IF($GW49="","THERMAL - NOT SPECIFIED",$GW49)))</f>
        <v/>
      </c>
      <c r="GI49" s="54" t="str">
        <f>IF(GI19="","",IF(GI19&lt;&gt;"THERMAL",GI19,IF($GW49="","THERMAL - NOT SPECIFIED",$GW49)))</f>
        <v/>
      </c>
      <c r="GJ49" s="54" t="str">
        <f>IF(GJ19="","",IF(GJ19&lt;&gt;"THERMAL",GJ19,IF($GW49="","THERMAL - NOT SPECIFIED",$GW49)))</f>
        <v/>
      </c>
      <c r="GK49" s="54" t="str">
        <f>IF(GK19="","",IF(GK19&lt;&gt;"THERMAL",GK19,IF($GW49="","THERMAL - NOT SPECIFIED",$GW49)))</f>
        <v/>
      </c>
      <c r="GL49" s="54" t="str">
        <f>IF(GL19="","",IF(GL19&lt;&gt;"THERMAL",GL19,IF($GW49="","THERMAL - NOT SPECIFIED",$GW49)))</f>
        <v/>
      </c>
      <c r="GM49" s="54" t="str">
        <f>IF(GM19="","",IF(GM19&lt;&gt;"THERMAL",GM19,IF($GW49="","THERMAL - NOT SPECIFIED",$GW49)))</f>
        <v/>
      </c>
      <c r="GN49" s="54" t="str">
        <f>IF(GN19="","",IF(GN19&lt;&gt;"THERMAL",GN19,IF($GW49="","THERMAL - NOT SPECIFIED",$GW49)))</f>
        <v/>
      </c>
      <c r="GO49" s="54" t="str">
        <f>IF(GO19="","",IF(GO19&lt;&gt;"THERMAL",GO19,IF($GW49="","THERMAL - NOT SPECIFIED",$GW49)))</f>
        <v/>
      </c>
      <c r="GP49" s="54" t="str">
        <f>IF(GP19="","",IF(GP19&lt;&gt;"THERMAL",GP19,IF($GW49="","THERMAL - NOT SPECIFIED",$GW49)))</f>
        <v/>
      </c>
      <c r="GQ49" s="54" t="str">
        <f>IF(GQ19="","",IF(GQ19&lt;&gt;"THERMAL",GQ19,IF($GW49="","THERMAL - NOT SPECIFIED",$GW49)))</f>
        <v/>
      </c>
      <c r="GR49" s="54" t="str">
        <f>IF(GR19="","",IF(GR19&lt;&gt;"THERMAL",GR19,IF($GW49="","THERMAL - NOT SPECIFIED",$GW49)))</f>
        <v/>
      </c>
      <c r="GS49" s="54" t="str">
        <f>IF(GS19="","",IF(GS19&lt;&gt;"THERMAL",GS19,IF($GW49="","THERMAL - NOT SPECIFIED",$GW49)))</f>
        <v/>
      </c>
      <c r="GW49" s="55" t="str">
        <f>IF($GY49="","",IFERROR(INDEX('MC MAP'!$L$5:$L$28,MATCH($GY49,'MC MAP'!$K$5:$K$28,0)),$GY49))</f>
        <v/>
      </c>
      <c r="GY49" s="60"/>
    </row>
    <row r="50" spans="1:207">
      <c r="A50" s="2">
        <f>$A20</f>
        <v>15</v>
      </c>
      <c r="B50" s="54">
        <f>IF(B20="","",IF(B20&lt;&gt;"THERMAL",B20,IF($GW50="","THERMAL - NOT SPECIFIED",$GW50)))</f>
        <v>6135</v>
      </c>
      <c r="C50" s="54">
        <f>IF(C20="","",IF(C20&lt;&gt;"THERMAL",C20,IF($GW50="","THERMAL - NOT SPECIFIED",$GW50)))</f>
        <v>6135</v>
      </c>
      <c r="D50" s="54">
        <f>IF(D20="","",IF(D20&lt;&gt;"THERMAL",D20,IF($GW50="","THERMAL - NOT SPECIFIED",$GW50)))</f>
        <v>6135</v>
      </c>
      <c r="E50" s="54">
        <f>IF(E20="","",IF(E20&lt;&gt;"THERMAL",E20,IF($GW50="","THERMAL - NOT SPECIFIED",$GW50)))</f>
        <v>6135</v>
      </c>
      <c r="F50" s="54">
        <f>IF(F20="","",IF(F20&lt;&gt;"THERMAL",F20,IF($GW50="","THERMAL - NOT SPECIFIED",$GW50)))</f>
        <v>6135</v>
      </c>
      <c r="G50" s="54">
        <f>IF(G20="","",IF(G20&lt;&gt;"THERMAL",G20,IF($GW50="","THERMAL - NOT SPECIFIED",$GW50)))</f>
        <v>6135</v>
      </c>
      <c r="H50" s="54">
        <f>IF(H20="","",IF(H20&lt;&gt;"THERMAL",H20,IF($GW50="","THERMAL - NOT SPECIFIED",$GW50)))</f>
        <v>6135</v>
      </c>
      <c r="I50" s="54">
        <f>IF(I20="","",IF(I20&lt;&gt;"THERMAL",I20,IF($GW50="","THERMAL - NOT SPECIFIED",$GW50)))</f>
        <v>6135</v>
      </c>
      <c r="J50" s="54">
        <f>IF(J20="","",IF(J20&lt;&gt;"THERMAL",J20,IF($GW50="","THERMAL - NOT SPECIFIED",$GW50)))</f>
        <v>6135</v>
      </c>
      <c r="K50" s="54">
        <f>IF(K20="","",IF(K20&lt;&gt;"THERMAL",K20,IF($GW50="","THERMAL - NOT SPECIFIED",$GW50)))</f>
        <v>6135</v>
      </c>
      <c r="L50" s="54">
        <f>IF(L20="","",IF(L20&lt;&gt;"THERMAL",L20,IF($GW50="","THERMAL - NOT SPECIFIED",$GW50)))</f>
        <v>6135</v>
      </c>
      <c r="M50" s="54">
        <f>IF(M20="","",IF(M20&lt;&gt;"THERMAL",M20,IF($GW50="","THERMAL - NOT SPECIFIED",$GW50)))</f>
        <v>6135</v>
      </c>
      <c r="N50" s="54">
        <f>IF(N20="","",IF(N20&lt;&gt;"THERMAL",N20,IF($GW50="","THERMAL - NOT SPECIFIED",$GW50)))</f>
        <v>6135</v>
      </c>
      <c r="O50" s="54" t="str">
        <f>IF(O20="","",IF(O20&lt;&gt;"THERMAL",O20,IF($GW50="","THERMAL - NOT SPECIFIED",$GW50)))</f>
        <v>VACCANT</v>
      </c>
      <c r="P50" s="54" t="str">
        <f>IF(P20="","",IF(P20&lt;&gt;"THERMAL",P20,IF($GW50="","THERMAL - NOT SPECIFIED",$GW50)))</f>
        <v>4406/10</v>
      </c>
      <c r="Q50" s="54" t="str">
        <f>IF(Q20="","",IF(Q20&lt;&gt;"THERMAL",Q20,IF($GW50="","THERMAL - NOT SPECIFIED",$GW50)))</f>
        <v>4406/10</v>
      </c>
      <c r="R50" s="54" t="str">
        <f>IF(R20="","",IF(R20&lt;&gt;"THERMAL",R20,IF($GW50="","THERMAL - NOT SPECIFIED",$GW50)))</f>
        <v>4406/10</v>
      </c>
      <c r="S50" s="54" t="str">
        <f>IF(S20="","",IF(S20&lt;&gt;"THERMAL",S20,IF($GW50="","THERMAL - NOT SPECIFIED",$GW50)))</f>
        <v>4406/10</v>
      </c>
      <c r="T50" s="54" t="str">
        <f>IF(T20="","",IF(T20&lt;&gt;"THERMAL",T20,IF($GW50="","THERMAL - NOT SPECIFIED",$GW50)))</f>
        <v>4406/10</v>
      </c>
      <c r="U50" s="54" t="str">
        <f>IF(U20="","",IF(U20&lt;&gt;"THERMAL",U20,IF($GW50="","THERMAL - NOT SPECIFIED",$GW50)))</f>
        <v>4406/10</v>
      </c>
      <c r="V50" s="54" t="str">
        <f>IF(V20="","",IF(V20&lt;&gt;"THERMAL",V20,IF($GW50="","THERMAL - NOT SPECIFIED",$GW50)))</f>
        <v>4406/10</v>
      </c>
      <c r="W50" s="54" t="str">
        <f>IF(W20="","",IF(W20&lt;&gt;"THERMAL",W20,IF($GW50="","THERMAL - NOT SPECIFIED",$GW50)))</f>
        <v>4406/10</v>
      </c>
      <c r="X50" s="54" t="str">
        <f>IF(X20="","",IF(X20&lt;&gt;"THERMAL",X20,IF($GW50="","THERMAL - NOT SPECIFIED",$GW50)))</f>
        <v>4406/10</v>
      </c>
      <c r="Y50" s="54" t="str">
        <f>IF(Y20="","",IF(Y20&lt;&gt;"THERMAL",Y20,IF($GW50="","THERMAL - NOT SPECIFIED",$GW50)))</f>
        <v>4406/10</v>
      </c>
      <c r="Z50" s="54" t="str">
        <f>IF(Z20="","",IF(Z20&lt;&gt;"THERMAL",Z20,IF($GW50="","THERMAL - NOT SPECIFIED",$GW50)))</f>
        <v>4406/10</v>
      </c>
      <c r="AA50" s="54" t="str">
        <f>IF(AA20="","",IF(AA20&lt;&gt;"THERMAL",AA20,IF($GW50="","THERMAL - NOT SPECIFIED",$GW50)))</f>
        <v>4406/10</v>
      </c>
      <c r="AB50" s="54" t="str">
        <f>IF(AB20="","",IF(AB20&lt;&gt;"THERMAL",AB20,IF($GW50="","THERMAL - NOT SPECIFIED",$GW50)))</f>
        <v>4406/10</v>
      </c>
      <c r="AC50" s="54" t="str">
        <f>IF(AC20="","",IF(AC20&lt;&gt;"THERMAL",AC20,IF($GW50="","THERMAL - NOT SPECIFIED",$GW50)))</f>
        <v>4406/10</v>
      </c>
      <c r="AD50" s="54" t="str">
        <f>IF(AD20="","",IF(AD20&lt;&gt;"THERMAL",AD20,IF($GW50="","THERMAL - NOT SPECIFIED",$GW50)))</f>
        <v>4406/10</v>
      </c>
      <c r="AE50" s="54" t="str">
        <f>IF(AE20="","",IF(AE20&lt;&gt;"THERMAL",AE20,IF($GW50="","THERMAL - NOT SPECIFIED",$GW50)))</f>
        <v>4406/10</v>
      </c>
      <c r="AF50" s="54" t="str">
        <f>IF(AF20="","",IF(AF20&lt;&gt;"THERMAL",AF20,IF($GW50="","THERMAL - NOT SPECIFIED",$GW50)))</f>
        <v>4406/10</v>
      </c>
      <c r="AG50" s="54" t="str">
        <f>IF(AG20="","",IF(AG20&lt;&gt;"THERMAL",AG20,IF($GW50="","THERMAL - NOT SPECIFIED",$GW50)))</f>
        <v>4406/10</v>
      </c>
      <c r="AH50" s="54" t="str">
        <f>IF(AH20="","",IF(AH20&lt;&gt;"THERMAL",AH20,IF($GW50="","THERMAL - NOT SPECIFIED",$GW50)))</f>
        <v>4406/10</v>
      </c>
      <c r="AI50" s="54" t="str">
        <f>IF(AI20="","",IF(AI20&lt;&gt;"THERMAL",AI20,IF($GW50="","THERMAL - NOT SPECIFIED",$GW50)))</f>
        <v>4406/10</v>
      </c>
      <c r="AJ50" s="54" t="str">
        <f>IF(AJ20="","",IF(AJ20&lt;&gt;"THERMAL",AJ20,IF($GW50="","THERMAL - NOT SPECIFIED",$GW50)))</f>
        <v>4406/10</v>
      </c>
      <c r="AK50" s="54" t="str">
        <f>IF(AK20="","",IF(AK20&lt;&gt;"THERMAL",AK20,IF($GW50="","THERMAL - NOT SPECIFIED",$GW50)))</f>
        <v>4406/10</v>
      </c>
      <c r="AL50" s="54" t="str">
        <f>IF(AL20="","",IF(AL20&lt;&gt;"THERMAL",AL20,IF($GW50="","THERMAL - NOT SPECIFIED",$GW50)))</f>
        <v>4406/10</v>
      </c>
      <c r="AM50" s="54" t="str">
        <f>IF(AM20="","",IF(AM20&lt;&gt;"THERMAL",AM20,IF($GW50="","THERMAL - NOT SPECIFIED",$GW50)))</f>
        <v>4406/10</v>
      </c>
      <c r="AN50" s="54" t="str">
        <f>IF(AN20="","",IF(AN20&lt;&gt;"THERMAL",AN20,IF($GW50="","THERMAL - NOT SPECIFIED",$GW50)))</f>
        <v>4406/10</v>
      </c>
      <c r="AO50" s="54" t="str">
        <f>IF(AO20="","",IF(AO20&lt;&gt;"THERMAL",AO20,IF($GW50="","THERMAL - NOT SPECIFIED",$GW50)))</f>
        <v>4406/10</v>
      </c>
      <c r="AP50" s="54" t="str">
        <f>IF(AP20="","",IF(AP20&lt;&gt;"THERMAL",AP20,IF($GW50="","THERMAL - NOT SPECIFIED",$GW50)))</f>
        <v>4406/10</v>
      </c>
      <c r="AQ50" s="54" t="str">
        <f>IF(AQ20="","",IF(AQ20&lt;&gt;"THERMAL",AQ20,IF($GW50="","THERMAL - NOT SPECIFIED",$GW50)))</f>
        <v>4406/10</v>
      </c>
      <c r="AR50" s="54" t="str">
        <f>IF(AR20="","",IF(AR20&lt;&gt;"THERMAL",AR20,IF($GW50="","THERMAL - NOT SPECIFIED",$GW50)))</f>
        <v>4406/10</v>
      </c>
      <c r="AS50" s="54" t="str">
        <f>IF(AS20="","",IF(AS20&lt;&gt;"THERMAL",AS20,IF($GW50="","THERMAL - NOT SPECIFIED",$GW50)))</f>
        <v>4406/10</v>
      </c>
      <c r="AT50" s="54" t="str">
        <f>IF(AT20="","",IF(AT20&lt;&gt;"THERMAL",AT20,IF($GW50="","THERMAL - NOT SPECIFIED",$GW50)))</f>
        <v>4406/10</v>
      </c>
      <c r="AU50" s="54" t="str">
        <f>IF(AU20="","",IF(AU20&lt;&gt;"THERMAL",AU20,IF($GW50="","THERMAL - NOT SPECIFIED",$GW50)))</f>
        <v>4406/10</v>
      </c>
      <c r="AV50" s="54" t="str">
        <f>IF(AV20="","",IF(AV20&lt;&gt;"THERMAL",AV20,IF($GW50="","THERMAL - NOT SPECIFIED",$GW50)))</f>
        <v>4406/10</v>
      </c>
      <c r="AW50" s="54" t="str">
        <f>IF(AW20="","",IF(AW20&lt;&gt;"THERMAL",AW20,IF($GW50="","THERMAL - NOT SPECIFIED",$GW50)))</f>
        <v>4406/10</v>
      </c>
      <c r="AX50" s="54" t="str">
        <f>IF(AX20="","",IF(AX20&lt;&gt;"THERMAL",AX20,IF($GW50="","THERMAL - NOT SPECIFIED",$GW50)))</f>
        <v>4406/10</v>
      </c>
      <c r="AY50" s="54" t="str">
        <f>IF(AY20="","",IF(AY20&lt;&gt;"THERMAL",AY20,IF($GW50="","THERMAL - NOT SPECIFIED",$GW50)))</f>
        <v>4406/10</v>
      </c>
      <c r="AZ50" s="54" t="str">
        <f>IF(AZ20="","",IF(AZ20&lt;&gt;"THERMAL",AZ20,IF($GW50="","THERMAL - NOT SPECIFIED",$GW50)))</f>
        <v>4406/10</v>
      </c>
      <c r="BA50" s="54" t="str">
        <f>IF(BA20="","",IF(BA20&lt;&gt;"THERMAL",BA20,IF($GW50="","THERMAL - NOT SPECIFIED",$GW50)))</f>
        <v>4406/10</v>
      </c>
      <c r="BB50" s="54" t="str">
        <f>IF(BB20="","",IF(BB20&lt;&gt;"THERMAL",BB20,IF($GW50="","THERMAL - NOT SPECIFIED",$GW50)))</f>
        <v>4406/10</v>
      </c>
      <c r="BC50" s="54" t="str">
        <f>IF(BC20="","",IF(BC20&lt;&gt;"THERMAL",BC20,IF($GW50="","THERMAL - NOT SPECIFIED",$GW50)))</f>
        <v>4406/10</v>
      </c>
      <c r="BD50" s="54" t="str">
        <f>IF(BD20="","",IF(BD20&lt;&gt;"THERMAL",BD20,IF($GW50="","THERMAL - NOT SPECIFIED",$GW50)))</f>
        <v>4406/10</v>
      </c>
      <c r="BE50" s="54" t="str">
        <f>IF(BE20="","",IF(BE20&lt;&gt;"THERMAL",BE20,IF($GW50="","THERMAL - NOT SPECIFIED",$GW50)))</f>
        <v>4406/10</v>
      </c>
      <c r="BF50" s="54" t="str">
        <f>IF(BF20="","",IF(BF20&lt;&gt;"THERMAL",BF20,IF($GW50="","THERMAL - NOT SPECIFIED",$GW50)))</f>
        <v>4406/10</v>
      </c>
      <c r="BG50" s="54" t="str">
        <f>IF(BG20="","",IF(BG20&lt;&gt;"THERMAL",BG20,IF($GW50="","THERMAL - NOT SPECIFIED",$GW50)))</f>
        <v>4406/10</v>
      </c>
      <c r="BH50" s="54" t="str">
        <f>IF(BH20="","",IF(BH20&lt;&gt;"THERMAL",BH20,IF($GW50="","THERMAL - NOT SPECIFIED",$GW50)))</f>
        <v>4406/10</v>
      </c>
      <c r="BI50" s="54" t="str">
        <f>IF(BI20="","",IF(BI20&lt;&gt;"THERMAL",BI20,IF($GW50="","THERMAL - NOT SPECIFIED",$GW50)))</f>
        <v>4406/10</v>
      </c>
      <c r="BJ50" s="54" t="str">
        <f>IF(BJ20="","",IF(BJ20&lt;&gt;"THERMAL",BJ20,IF($GW50="","THERMAL - NOT SPECIFIED",$GW50)))</f>
        <v>4406/10</v>
      </c>
      <c r="BK50" s="54" t="str">
        <f>IF(BK20="","",IF(BK20&lt;&gt;"THERMAL",BK20,IF($GW50="","THERMAL - NOT SPECIFIED",$GW50)))</f>
        <v>4406/10</v>
      </c>
      <c r="BL50" s="54" t="str">
        <f>IF(BL20="","",IF(BL20&lt;&gt;"THERMAL",BL20,IF($GW50="","THERMAL - NOT SPECIFIED",$GW50)))</f>
        <v>4406/10</v>
      </c>
      <c r="BM50" s="54" t="str">
        <f>IF(BM20="","",IF(BM20&lt;&gt;"THERMAL",BM20,IF($GW50="","THERMAL - NOT SPECIFIED",$GW50)))</f>
        <v>4406/10</v>
      </c>
      <c r="BN50" s="54" t="str">
        <f>IF(BN20="","",IF(BN20&lt;&gt;"THERMAL",BN20,IF($GW50="","THERMAL - NOT SPECIFIED",$GW50)))</f>
        <v>4406/10</v>
      </c>
      <c r="BO50" s="54" t="str">
        <f>IF(BO20="","",IF(BO20&lt;&gt;"THERMAL",BO20,IF($GW50="","THERMAL - NOT SPECIFIED",$GW50)))</f>
        <v>4406/10</v>
      </c>
      <c r="BP50" s="54" t="str">
        <f>IF(BP20="","",IF(BP20&lt;&gt;"THERMAL",BP20,IF($GW50="","THERMAL - NOT SPECIFIED",$GW50)))</f>
        <v>4406/10</v>
      </c>
      <c r="BQ50" s="54" t="str">
        <f>IF(BQ20="","",IF(BQ20&lt;&gt;"THERMAL",BQ20,IF($GW50="","THERMAL - NOT SPECIFIED",$GW50)))</f>
        <v>4406/10</v>
      </c>
      <c r="BR50" s="54" t="str">
        <f>IF(BR20="","",IF(BR20&lt;&gt;"THERMAL",BR20,IF($GW50="","THERMAL - NOT SPECIFIED",$GW50)))</f>
        <v>4406/10</v>
      </c>
      <c r="BS50" s="54" t="str">
        <f>IF(BS20="","",IF(BS20&lt;&gt;"THERMAL",BS20,IF($GW50="","THERMAL - NOT SPECIFIED",$GW50)))</f>
        <v>4406/10</v>
      </c>
      <c r="BT50" s="54" t="str">
        <f>IF(BT20="","",IF(BT20&lt;&gt;"THERMAL",BT20,IF($GW50="","THERMAL - NOT SPECIFIED",$GW50)))</f>
        <v>4406/10</v>
      </c>
      <c r="BU50" s="54" t="str">
        <f>IF(BU20="","",IF(BU20&lt;&gt;"THERMAL",BU20,IF($GW50="","THERMAL - NOT SPECIFIED",$GW50)))</f>
        <v>4406/10</v>
      </c>
      <c r="BV50" s="54" t="str">
        <f>IF(BV20="","",IF(BV20&lt;&gt;"THERMAL",BV20,IF($GW50="","THERMAL - NOT SPECIFIED",$GW50)))</f>
        <v>4406/10</v>
      </c>
      <c r="BW50" s="54" t="str">
        <f>IF(BW20="","",IF(BW20&lt;&gt;"THERMAL",BW20,IF($GW50="","THERMAL - NOT SPECIFIED",$GW50)))</f>
        <v>4406/10</v>
      </c>
      <c r="BX50" s="54" t="str">
        <f>IF(BX20="","",IF(BX20&lt;&gt;"THERMAL",BX20,IF($GW50="","THERMAL - NOT SPECIFIED",$GW50)))</f>
        <v>4406/10</v>
      </c>
      <c r="BY50" s="54" t="str">
        <f>IF(BY20="","",IF(BY20&lt;&gt;"THERMAL",BY20,IF($GW50="","THERMAL - NOT SPECIFIED",$GW50)))</f>
        <v>4406/10</v>
      </c>
      <c r="BZ50" s="54" t="str">
        <f>IF(BZ20="","",IF(BZ20&lt;&gt;"THERMAL",BZ20,IF($GW50="","THERMAL - NOT SPECIFIED",$GW50)))</f>
        <v>4406/10</v>
      </c>
      <c r="CA50" s="54" t="str">
        <f>IF(CA20="","",IF(CA20&lt;&gt;"THERMAL",CA20,IF($GW50="","THERMAL - NOT SPECIFIED",$GW50)))</f>
        <v>4406/10</v>
      </c>
      <c r="CB50" s="54" t="str">
        <f>IF(CB20="","",IF(CB20&lt;&gt;"THERMAL",CB20,IF($GW50="","THERMAL - NOT SPECIFIED",$GW50)))</f>
        <v>4406/10</v>
      </c>
      <c r="CC50" s="54" t="str">
        <f>IF(CC20="","",IF(CC20&lt;&gt;"THERMAL",CC20,IF($GW50="","THERMAL - NOT SPECIFIED",$GW50)))</f>
        <v>4406/10</v>
      </c>
      <c r="CD50" s="54" t="str">
        <f>IF(CD20="","",IF(CD20&lt;&gt;"THERMAL",CD20,IF($GW50="","THERMAL - NOT SPECIFIED",$GW50)))</f>
        <v>VACCANT</v>
      </c>
      <c r="CE50" s="54" t="str">
        <f>IF(CE20="","",IF(CE20&lt;&gt;"THERMAL",CE20,IF($GW50="","THERMAL - NOT SPECIFIED",$GW50)))</f>
        <v/>
      </c>
      <c r="CF50" s="54" t="str">
        <f>IF(CF20="","",IF(CF20&lt;&gt;"THERMAL",CF20,IF($GW50="","THERMAL - NOT SPECIFIED",$GW50)))</f>
        <v/>
      </c>
      <c r="CG50" s="54" t="str">
        <f>IF(CG20="","",IF(CG20&lt;&gt;"THERMAL",CG20,IF($GW50="","THERMAL - NOT SPECIFIED",$GW50)))</f>
        <v/>
      </c>
      <c r="CH50" s="54" t="str">
        <f>IF(CH20="","",IF(CH20&lt;&gt;"THERMAL",CH20,IF($GW50="","THERMAL - NOT SPECIFIED",$GW50)))</f>
        <v/>
      </c>
      <c r="CI50" s="54" t="str">
        <f>IF(CI20="","",IF(CI20&lt;&gt;"THERMAL",CI20,IF($GW50="","THERMAL - NOT SPECIFIED",$GW50)))</f>
        <v/>
      </c>
      <c r="CJ50" s="54" t="str">
        <f>IF(CJ20="","",IF(CJ20&lt;&gt;"THERMAL",CJ20,IF($GW50="","THERMAL - NOT SPECIFIED",$GW50)))</f>
        <v/>
      </c>
      <c r="CK50" s="54" t="str">
        <f>IF(CK20="","",IF(CK20&lt;&gt;"THERMAL",CK20,IF($GW50="","THERMAL - NOT SPECIFIED",$GW50)))</f>
        <v/>
      </c>
      <c r="CL50" s="54" t="str">
        <f>IF(CL20="","",IF(CL20&lt;&gt;"THERMAL",CL20,IF($GW50="","THERMAL - NOT SPECIFIED",$GW50)))</f>
        <v/>
      </c>
      <c r="CM50" s="54" t="str">
        <f>IF(CM20="","",IF(CM20&lt;&gt;"THERMAL",CM20,IF($GW50="","THERMAL - NOT SPECIFIED",$GW50)))</f>
        <v/>
      </c>
      <c r="CN50" s="54" t="str">
        <f>IF(CN20="","",IF(CN20&lt;&gt;"THERMAL",CN20,IF($GW50="","THERMAL - NOT SPECIFIED",$GW50)))</f>
        <v/>
      </c>
      <c r="CO50" s="54" t="str">
        <f>IF(CO20="","",IF(CO20&lt;&gt;"THERMAL",CO20,IF($GW50="","THERMAL - NOT SPECIFIED",$GW50)))</f>
        <v/>
      </c>
      <c r="CP50" s="54" t="str">
        <f>IF(CP20="","",IF(CP20&lt;&gt;"THERMAL",CP20,IF($GW50="","THERMAL - NOT SPECIFIED",$GW50)))</f>
        <v/>
      </c>
      <c r="CQ50" s="54" t="str">
        <f>IF(CQ20="","",IF(CQ20&lt;&gt;"THERMAL",CQ20,IF($GW50="","THERMAL - NOT SPECIFIED",$GW50)))</f>
        <v/>
      </c>
      <c r="CR50" s="54" t="str">
        <f>IF(CR20="","",IF(CR20&lt;&gt;"THERMAL",CR20,IF($GW50="","THERMAL - NOT SPECIFIED",$GW50)))</f>
        <v/>
      </c>
      <c r="CS50" s="54" t="str">
        <f>IF(CS20="","",IF(CS20&lt;&gt;"THERMAL",CS20,IF($GW50="","THERMAL - NOT SPECIFIED",$GW50)))</f>
        <v/>
      </c>
      <c r="CT50" s="54" t="str">
        <f>IF(CT20="","",IF(CT20&lt;&gt;"THERMAL",CT20,IF($GW50="","THERMAL - NOT SPECIFIED",$GW50)))</f>
        <v/>
      </c>
      <c r="CU50" s="54" t="str">
        <f>IF(CU20="","",IF(CU20&lt;&gt;"THERMAL",CU20,IF($GW50="","THERMAL - NOT SPECIFIED",$GW50)))</f>
        <v/>
      </c>
      <c r="CV50" s="54" t="str">
        <f>IF(CV20="","",IF(CV20&lt;&gt;"THERMAL",CV20,IF($GW50="","THERMAL - NOT SPECIFIED",$GW50)))</f>
        <v/>
      </c>
      <c r="CW50" s="54" t="str">
        <f>IF(CW20="","",IF(CW20&lt;&gt;"THERMAL",CW20,IF($GW50="","THERMAL - NOT SPECIFIED",$GW50)))</f>
        <v/>
      </c>
      <c r="CX50" s="54" t="str">
        <f>IF(CX20="","",IF(CX20&lt;&gt;"THERMAL",CX20,IF($GW50="","THERMAL - NOT SPECIFIED",$GW50)))</f>
        <v/>
      </c>
      <c r="CY50" s="54" t="str">
        <f>IF(CY20="","",IF(CY20&lt;&gt;"THERMAL",CY20,IF($GW50="","THERMAL - NOT SPECIFIED",$GW50)))</f>
        <v/>
      </c>
      <c r="CZ50" s="54" t="str">
        <f>IF(CZ20="","",IF(CZ20&lt;&gt;"THERMAL",CZ20,IF($GW50="","THERMAL - NOT SPECIFIED",$GW50)))</f>
        <v/>
      </c>
      <c r="DA50" s="54" t="str">
        <f>IF(DA20="","",IF(DA20&lt;&gt;"THERMAL",DA20,IF($GW50="","THERMAL - NOT SPECIFIED",$GW50)))</f>
        <v/>
      </c>
      <c r="DB50" s="54" t="str">
        <f>IF(DB20="","",IF(DB20&lt;&gt;"THERMAL",DB20,IF($GW50="","THERMAL - NOT SPECIFIED",$GW50)))</f>
        <v/>
      </c>
      <c r="DC50" s="54" t="str">
        <f>IF(DC20="","",IF(DC20&lt;&gt;"THERMAL",DC20,IF($GW50="","THERMAL - NOT SPECIFIED",$GW50)))</f>
        <v/>
      </c>
      <c r="DD50" s="54" t="str">
        <f>IF(DD20="","",IF(DD20&lt;&gt;"THERMAL",DD20,IF($GW50="","THERMAL - NOT SPECIFIED",$GW50)))</f>
        <v/>
      </c>
      <c r="DE50" s="54" t="str">
        <f>IF(DE20="","",IF(DE20&lt;&gt;"THERMAL",DE20,IF($GW50="","THERMAL - NOT SPECIFIED",$GW50)))</f>
        <v/>
      </c>
      <c r="DF50" s="54" t="str">
        <f>IF(DF20="","",IF(DF20&lt;&gt;"THERMAL",DF20,IF($GW50="","THERMAL - NOT SPECIFIED",$GW50)))</f>
        <v/>
      </c>
      <c r="DG50" s="54" t="str">
        <f>IF(DG20="","",IF(DG20&lt;&gt;"THERMAL",DG20,IF($GW50="","THERMAL - NOT SPECIFIED",$GW50)))</f>
        <v/>
      </c>
      <c r="DH50" s="54" t="str">
        <f>IF(DH20="","",IF(DH20&lt;&gt;"THERMAL",DH20,IF($GW50="","THERMAL - NOT SPECIFIED",$GW50)))</f>
        <v/>
      </c>
      <c r="DI50" s="54" t="str">
        <f>IF(DI20="","",IF(DI20&lt;&gt;"THERMAL",DI20,IF($GW50="","THERMAL - NOT SPECIFIED",$GW50)))</f>
        <v/>
      </c>
      <c r="DJ50" s="54" t="str">
        <f>IF(DJ20="","",IF(DJ20&lt;&gt;"THERMAL",DJ20,IF($GW50="","THERMAL - NOT SPECIFIED",$GW50)))</f>
        <v/>
      </c>
      <c r="DK50" s="54" t="str">
        <f>IF(DK20="","",IF(DK20&lt;&gt;"THERMAL",DK20,IF($GW50="","THERMAL - NOT SPECIFIED",$GW50)))</f>
        <v/>
      </c>
      <c r="DL50" s="54" t="str">
        <f>IF(DL20="","",IF(DL20&lt;&gt;"THERMAL",DL20,IF($GW50="","THERMAL - NOT SPECIFIED",$GW50)))</f>
        <v/>
      </c>
      <c r="DM50" s="54" t="str">
        <f>IF(DM20="","",IF(DM20&lt;&gt;"THERMAL",DM20,IF($GW50="","THERMAL - NOT SPECIFIED",$GW50)))</f>
        <v/>
      </c>
      <c r="DN50" s="54" t="str">
        <f>IF(DN20="","",IF(DN20&lt;&gt;"THERMAL",DN20,IF($GW50="","THERMAL - NOT SPECIFIED",$GW50)))</f>
        <v/>
      </c>
      <c r="DO50" s="54" t="str">
        <f>IF(DO20="","",IF(DO20&lt;&gt;"THERMAL",DO20,IF($GW50="","THERMAL - NOT SPECIFIED",$GW50)))</f>
        <v/>
      </c>
      <c r="DP50" s="54" t="str">
        <f>IF(DP20="","",IF(DP20&lt;&gt;"THERMAL",DP20,IF($GW50="","THERMAL - NOT SPECIFIED",$GW50)))</f>
        <v/>
      </c>
      <c r="DQ50" s="54" t="str">
        <f>IF(DQ20="","",IF(DQ20&lt;&gt;"THERMAL",DQ20,IF($GW50="","THERMAL - NOT SPECIFIED",$GW50)))</f>
        <v/>
      </c>
      <c r="DR50" s="54" t="str">
        <f>IF(DR20="","",IF(DR20&lt;&gt;"THERMAL",DR20,IF($GW50="","THERMAL - NOT SPECIFIED",$GW50)))</f>
        <v/>
      </c>
      <c r="DS50" s="54" t="str">
        <f>IF(DS20="","",IF(DS20&lt;&gt;"THERMAL",DS20,IF($GW50="","THERMAL - NOT SPECIFIED",$GW50)))</f>
        <v/>
      </c>
      <c r="DT50" s="54" t="str">
        <f>IF(DT20="","",IF(DT20&lt;&gt;"THERMAL",DT20,IF($GW50="","THERMAL - NOT SPECIFIED",$GW50)))</f>
        <v/>
      </c>
      <c r="DU50" s="54" t="str">
        <f>IF(DU20="","",IF(DU20&lt;&gt;"THERMAL",DU20,IF($GW50="","THERMAL - NOT SPECIFIED",$GW50)))</f>
        <v/>
      </c>
      <c r="DV50" s="54" t="str">
        <f>IF(DV20="","",IF(DV20&lt;&gt;"THERMAL",DV20,IF($GW50="","THERMAL - NOT SPECIFIED",$GW50)))</f>
        <v/>
      </c>
      <c r="DW50" s="54" t="str">
        <f>IF(DW20="","",IF(DW20&lt;&gt;"THERMAL",DW20,IF($GW50="","THERMAL - NOT SPECIFIED",$GW50)))</f>
        <v/>
      </c>
      <c r="DX50" s="54" t="str">
        <f>IF(DX20="","",IF(DX20&lt;&gt;"THERMAL",DX20,IF($GW50="","THERMAL - NOT SPECIFIED",$GW50)))</f>
        <v/>
      </c>
      <c r="DY50" s="54" t="str">
        <f>IF(DY20="","",IF(DY20&lt;&gt;"THERMAL",DY20,IF($GW50="","THERMAL - NOT SPECIFIED",$GW50)))</f>
        <v/>
      </c>
      <c r="DZ50" s="54" t="str">
        <f>IF(DZ20="","",IF(DZ20&lt;&gt;"THERMAL",DZ20,IF($GW50="","THERMAL - NOT SPECIFIED",$GW50)))</f>
        <v/>
      </c>
      <c r="EA50" s="54" t="str">
        <f>IF(EA20="","",IF(EA20&lt;&gt;"THERMAL",EA20,IF($GW50="","THERMAL - NOT SPECIFIED",$GW50)))</f>
        <v/>
      </c>
      <c r="EB50" s="54" t="str">
        <f>IF(EB20="","",IF(EB20&lt;&gt;"THERMAL",EB20,IF($GW50="","THERMAL - NOT SPECIFIED",$GW50)))</f>
        <v/>
      </c>
      <c r="EC50" s="54" t="str">
        <f>IF(EC20="","",IF(EC20&lt;&gt;"THERMAL",EC20,IF($GW50="","THERMAL - NOT SPECIFIED",$GW50)))</f>
        <v/>
      </c>
      <c r="ED50" s="54" t="str">
        <f>IF(ED20="","",IF(ED20&lt;&gt;"THERMAL",ED20,IF($GW50="","THERMAL - NOT SPECIFIED",$GW50)))</f>
        <v/>
      </c>
      <c r="EE50" s="54" t="str">
        <f>IF(EE20="","",IF(EE20&lt;&gt;"THERMAL",EE20,IF($GW50="","THERMAL - NOT SPECIFIED",$GW50)))</f>
        <v/>
      </c>
      <c r="EF50" s="54" t="str">
        <f>IF(EF20="","",IF(EF20&lt;&gt;"THERMAL",EF20,IF($GW50="","THERMAL - NOT SPECIFIED",$GW50)))</f>
        <v/>
      </c>
      <c r="EG50" s="54" t="str">
        <f>IF(EG20="","",IF(EG20&lt;&gt;"THERMAL",EG20,IF($GW50="","THERMAL - NOT SPECIFIED",$GW50)))</f>
        <v/>
      </c>
      <c r="EH50" s="54" t="str">
        <f>IF(EH20="","",IF(EH20&lt;&gt;"THERMAL",EH20,IF($GW50="","THERMAL - NOT SPECIFIED",$GW50)))</f>
        <v/>
      </c>
      <c r="EI50" s="54" t="str">
        <f>IF(EI20="","",IF(EI20&lt;&gt;"THERMAL",EI20,IF($GW50="","THERMAL - NOT SPECIFIED",$GW50)))</f>
        <v/>
      </c>
      <c r="EJ50" s="54" t="str">
        <f>IF(EJ20="","",IF(EJ20&lt;&gt;"THERMAL",EJ20,IF($GW50="","THERMAL - NOT SPECIFIED",$GW50)))</f>
        <v/>
      </c>
      <c r="EK50" s="54" t="str">
        <f>IF(EK20="","",IF(EK20&lt;&gt;"THERMAL",EK20,IF($GW50="","THERMAL - NOT SPECIFIED",$GW50)))</f>
        <v/>
      </c>
      <c r="EL50" s="54" t="str">
        <f>IF(EL20="","",IF(EL20&lt;&gt;"THERMAL",EL20,IF($GW50="","THERMAL - NOT SPECIFIED",$GW50)))</f>
        <v/>
      </c>
      <c r="EM50" s="54" t="str">
        <f>IF(EM20="","",IF(EM20&lt;&gt;"THERMAL",EM20,IF($GW50="","THERMAL - NOT SPECIFIED",$GW50)))</f>
        <v/>
      </c>
      <c r="EN50" s="54" t="str">
        <f>IF(EN20="","",IF(EN20&lt;&gt;"THERMAL",EN20,IF($GW50="","THERMAL - NOT SPECIFIED",$GW50)))</f>
        <v/>
      </c>
      <c r="EO50" s="54" t="str">
        <f>IF(EO20="","",IF(EO20&lt;&gt;"THERMAL",EO20,IF($GW50="","THERMAL - NOT SPECIFIED",$GW50)))</f>
        <v/>
      </c>
      <c r="EP50" s="54" t="str">
        <f>IF(EP20="","",IF(EP20&lt;&gt;"THERMAL",EP20,IF($GW50="","THERMAL - NOT SPECIFIED",$GW50)))</f>
        <v/>
      </c>
      <c r="EQ50" s="54" t="str">
        <f>IF(EQ20="","",IF(EQ20&lt;&gt;"THERMAL",EQ20,IF($GW50="","THERMAL - NOT SPECIFIED",$GW50)))</f>
        <v/>
      </c>
      <c r="ER50" s="54" t="str">
        <f>IF(ER20="","",IF(ER20&lt;&gt;"THERMAL",ER20,IF($GW50="","THERMAL - NOT SPECIFIED",$GW50)))</f>
        <v/>
      </c>
      <c r="ES50" s="54" t="str">
        <f>IF(ES20="","",IF(ES20&lt;&gt;"THERMAL",ES20,IF($GW50="","THERMAL - NOT SPECIFIED",$GW50)))</f>
        <v/>
      </c>
      <c r="ET50" s="54" t="str">
        <f>IF(ET20="","",IF(ET20&lt;&gt;"THERMAL",ET20,IF($GW50="","THERMAL - NOT SPECIFIED",$GW50)))</f>
        <v/>
      </c>
      <c r="EU50" s="54" t="str">
        <f>IF(EU20="","",IF(EU20&lt;&gt;"THERMAL",EU20,IF($GW50="","THERMAL - NOT SPECIFIED",$GW50)))</f>
        <v/>
      </c>
      <c r="EV50" s="54" t="str">
        <f>IF(EV20="","",IF(EV20&lt;&gt;"THERMAL",EV20,IF($GW50="","THERMAL - NOT SPECIFIED",$GW50)))</f>
        <v/>
      </c>
      <c r="EW50" s="54" t="str">
        <f>IF(EW20="","",IF(EW20&lt;&gt;"THERMAL",EW20,IF($GW50="","THERMAL - NOT SPECIFIED",$GW50)))</f>
        <v/>
      </c>
      <c r="EX50" s="54" t="str">
        <f>IF(EX20="","",IF(EX20&lt;&gt;"THERMAL",EX20,IF($GW50="","THERMAL - NOT SPECIFIED",$GW50)))</f>
        <v/>
      </c>
      <c r="EY50" s="54" t="str">
        <f>IF(EY20="","",IF(EY20&lt;&gt;"THERMAL",EY20,IF($GW50="","THERMAL - NOT SPECIFIED",$GW50)))</f>
        <v/>
      </c>
      <c r="EZ50" s="54" t="str">
        <f>IF(EZ20="","",IF(EZ20&lt;&gt;"THERMAL",EZ20,IF($GW50="","THERMAL - NOT SPECIFIED",$GW50)))</f>
        <v/>
      </c>
      <c r="FA50" s="54" t="str">
        <f>IF(FA20="","",IF(FA20&lt;&gt;"THERMAL",FA20,IF($GW50="","THERMAL - NOT SPECIFIED",$GW50)))</f>
        <v/>
      </c>
      <c r="FB50" s="54" t="str">
        <f>IF(FB20="","",IF(FB20&lt;&gt;"THERMAL",FB20,IF($GW50="","THERMAL - NOT SPECIFIED",$GW50)))</f>
        <v/>
      </c>
      <c r="FC50" s="54" t="str">
        <f>IF(FC20="","",IF(FC20&lt;&gt;"THERMAL",FC20,IF($GW50="","THERMAL - NOT SPECIFIED",$GW50)))</f>
        <v/>
      </c>
      <c r="FD50" s="54" t="str">
        <f>IF(FD20="","",IF(FD20&lt;&gt;"THERMAL",FD20,IF($GW50="","THERMAL - NOT SPECIFIED",$GW50)))</f>
        <v/>
      </c>
      <c r="FE50" s="54" t="str">
        <f>IF(FE20="","",IF(FE20&lt;&gt;"THERMAL",FE20,IF($GW50="","THERMAL - NOT SPECIFIED",$GW50)))</f>
        <v/>
      </c>
      <c r="FF50" s="54" t="str">
        <f>IF(FF20="","",IF(FF20&lt;&gt;"THERMAL",FF20,IF($GW50="","THERMAL - NOT SPECIFIED",$GW50)))</f>
        <v/>
      </c>
      <c r="FG50" s="54" t="str">
        <f>IF(FG20="","",IF(FG20&lt;&gt;"THERMAL",FG20,IF($GW50="","THERMAL - NOT SPECIFIED",$GW50)))</f>
        <v/>
      </c>
      <c r="FH50" s="54" t="str">
        <f>IF(FH20="","",IF(FH20&lt;&gt;"THERMAL",FH20,IF($GW50="","THERMAL - NOT SPECIFIED",$GW50)))</f>
        <v/>
      </c>
      <c r="FI50" s="54" t="str">
        <f>IF(FI20="","",IF(FI20&lt;&gt;"THERMAL",FI20,IF($GW50="","THERMAL - NOT SPECIFIED",$GW50)))</f>
        <v/>
      </c>
      <c r="FJ50" s="54" t="str">
        <f>IF(FJ20="","",IF(FJ20&lt;&gt;"THERMAL",FJ20,IF($GW50="","THERMAL - NOT SPECIFIED",$GW50)))</f>
        <v/>
      </c>
      <c r="FK50" s="54" t="str">
        <f>IF(FK20="","",IF(FK20&lt;&gt;"THERMAL",FK20,IF($GW50="","THERMAL - NOT SPECIFIED",$GW50)))</f>
        <v/>
      </c>
      <c r="FL50" s="54" t="str">
        <f>IF(FL20="","",IF(FL20&lt;&gt;"THERMAL",FL20,IF($GW50="","THERMAL - NOT SPECIFIED",$GW50)))</f>
        <v/>
      </c>
      <c r="FM50" s="54" t="str">
        <f>IF(FM20="","",IF(FM20&lt;&gt;"THERMAL",FM20,IF($GW50="","THERMAL - NOT SPECIFIED",$GW50)))</f>
        <v/>
      </c>
      <c r="FN50" s="54" t="str">
        <f>IF(FN20="","",IF(FN20&lt;&gt;"THERMAL",FN20,IF($GW50="","THERMAL - NOT SPECIFIED",$GW50)))</f>
        <v/>
      </c>
      <c r="FO50" s="54" t="str">
        <f>IF(FO20="","",IF(FO20&lt;&gt;"THERMAL",FO20,IF($GW50="","THERMAL - NOT SPECIFIED",$GW50)))</f>
        <v/>
      </c>
      <c r="FP50" s="54" t="str">
        <f>IF(FP20="","",IF(FP20&lt;&gt;"THERMAL",FP20,IF($GW50="","THERMAL - NOT SPECIFIED",$GW50)))</f>
        <v/>
      </c>
      <c r="FQ50" s="54" t="str">
        <f>IF(FQ20="","",IF(FQ20&lt;&gt;"THERMAL",FQ20,IF($GW50="","THERMAL - NOT SPECIFIED",$GW50)))</f>
        <v/>
      </c>
      <c r="FR50" s="54" t="str">
        <f>IF(FR20="","",IF(FR20&lt;&gt;"THERMAL",FR20,IF($GW50="","THERMAL - NOT SPECIFIED",$GW50)))</f>
        <v/>
      </c>
      <c r="FS50" s="54" t="str">
        <f>IF(FS20="","",IF(FS20&lt;&gt;"THERMAL",FS20,IF($GW50="","THERMAL - NOT SPECIFIED",$GW50)))</f>
        <v/>
      </c>
      <c r="FT50" s="54" t="str">
        <f>IF(FT20="","",IF(FT20&lt;&gt;"THERMAL",FT20,IF($GW50="","THERMAL - NOT SPECIFIED",$GW50)))</f>
        <v/>
      </c>
      <c r="FU50" s="54" t="str">
        <f>IF(FU20="","",IF(FU20&lt;&gt;"THERMAL",FU20,IF($GW50="","THERMAL - NOT SPECIFIED",$GW50)))</f>
        <v/>
      </c>
      <c r="FV50" s="54" t="str">
        <f>IF(FV20="","",IF(FV20&lt;&gt;"THERMAL",FV20,IF($GW50="","THERMAL - NOT SPECIFIED",$GW50)))</f>
        <v/>
      </c>
      <c r="FW50" s="54" t="str">
        <f>IF(FW20="","",IF(FW20&lt;&gt;"THERMAL",FW20,IF($GW50="","THERMAL - NOT SPECIFIED",$GW50)))</f>
        <v/>
      </c>
      <c r="FX50" s="54" t="str">
        <f>IF(FX20="","",IF(FX20&lt;&gt;"THERMAL",FX20,IF($GW50="","THERMAL - NOT SPECIFIED",$GW50)))</f>
        <v/>
      </c>
      <c r="FY50" s="54" t="str">
        <f>IF(FY20="","",IF(FY20&lt;&gt;"THERMAL",FY20,IF($GW50="","THERMAL - NOT SPECIFIED",$GW50)))</f>
        <v/>
      </c>
      <c r="FZ50" s="54" t="str">
        <f>IF(FZ20="","",IF(FZ20&lt;&gt;"THERMAL",FZ20,IF($GW50="","THERMAL - NOT SPECIFIED",$GW50)))</f>
        <v/>
      </c>
      <c r="GA50" s="54" t="str">
        <f>IF(GA20="","",IF(GA20&lt;&gt;"THERMAL",GA20,IF($GW50="","THERMAL - NOT SPECIFIED",$GW50)))</f>
        <v/>
      </c>
      <c r="GB50" s="54" t="str">
        <f>IF(GB20="","",IF(GB20&lt;&gt;"THERMAL",GB20,IF($GW50="","THERMAL - NOT SPECIFIED",$GW50)))</f>
        <v/>
      </c>
      <c r="GC50" s="54" t="str">
        <f>IF(GC20="","",IF(GC20&lt;&gt;"THERMAL",GC20,IF($GW50="","THERMAL - NOT SPECIFIED",$GW50)))</f>
        <v/>
      </c>
      <c r="GD50" s="54" t="str">
        <f>IF(GD20="","",IF(GD20&lt;&gt;"THERMAL",GD20,IF($GW50="","THERMAL - NOT SPECIFIED",$GW50)))</f>
        <v/>
      </c>
      <c r="GE50" s="54" t="str">
        <f>IF(GE20="","",IF(GE20&lt;&gt;"THERMAL",GE20,IF($GW50="","THERMAL - NOT SPECIFIED",$GW50)))</f>
        <v/>
      </c>
      <c r="GF50" s="54" t="str">
        <f>IF(GF20="","",IF(GF20&lt;&gt;"THERMAL",GF20,IF($GW50="","THERMAL - NOT SPECIFIED",$GW50)))</f>
        <v/>
      </c>
      <c r="GG50" s="54" t="str">
        <f>IF(GG20="","",IF(GG20&lt;&gt;"THERMAL",GG20,IF($GW50="","THERMAL - NOT SPECIFIED",$GW50)))</f>
        <v/>
      </c>
      <c r="GH50" s="54" t="str">
        <f>IF(GH20="","",IF(GH20&lt;&gt;"THERMAL",GH20,IF($GW50="","THERMAL - NOT SPECIFIED",$GW50)))</f>
        <v/>
      </c>
      <c r="GI50" s="54" t="str">
        <f>IF(GI20="","",IF(GI20&lt;&gt;"THERMAL",GI20,IF($GW50="","THERMAL - NOT SPECIFIED",$GW50)))</f>
        <v/>
      </c>
      <c r="GJ50" s="54" t="str">
        <f>IF(GJ20="","",IF(GJ20&lt;&gt;"THERMAL",GJ20,IF($GW50="","THERMAL - NOT SPECIFIED",$GW50)))</f>
        <v/>
      </c>
      <c r="GK50" s="54" t="str">
        <f>IF(GK20="","",IF(GK20&lt;&gt;"THERMAL",GK20,IF($GW50="","THERMAL - NOT SPECIFIED",$GW50)))</f>
        <v/>
      </c>
      <c r="GL50" s="54" t="str">
        <f>IF(GL20="","",IF(GL20&lt;&gt;"THERMAL",GL20,IF($GW50="","THERMAL - NOT SPECIFIED",$GW50)))</f>
        <v/>
      </c>
      <c r="GM50" s="54" t="str">
        <f>IF(GM20="","",IF(GM20&lt;&gt;"THERMAL",GM20,IF($GW50="","THERMAL - NOT SPECIFIED",$GW50)))</f>
        <v/>
      </c>
      <c r="GN50" s="54" t="str">
        <f>IF(GN20="","",IF(GN20&lt;&gt;"THERMAL",GN20,IF($GW50="","THERMAL - NOT SPECIFIED",$GW50)))</f>
        <v/>
      </c>
      <c r="GO50" s="54" t="str">
        <f>IF(GO20="","",IF(GO20&lt;&gt;"THERMAL",GO20,IF($GW50="","THERMAL - NOT SPECIFIED",$GW50)))</f>
        <v/>
      </c>
      <c r="GP50" s="54" t="str">
        <f>IF(GP20="","",IF(GP20&lt;&gt;"THERMAL",GP20,IF($GW50="","THERMAL - NOT SPECIFIED",$GW50)))</f>
        <v/>
      </c>
      <c r="GQ50" s="54" t="str">
        <f>IF(GQ20="","",IF(GQ20&lt;&gt;"THERMAL",GQ20,IF($GW50="","THERMAL - NOT SPECIFIED",$GW50)))</f>
        <v/>
      </c>
      <c r="GR50" s="54" t="str">
        <f>IF(GR20="","",IF(GR20&lt;&gt;"THERMAL",GR20,IF($GW50="","THERMAL - NOT SPECIFIED",$GW50)))</f>
        <v/>
      </c>
      <c r="GS50" s="54" t="str">
        <f>IF(GS20="","",IF(GS20&lt;&gt;"THERMAL",GS20,IF($GW50="","THERMAL - NOT SPECIFIED",$GW50)))</f>
        <v/>
      </c>
      <c r="GW50" s="55" t="str">
        <f>IF($GY50="","",IFERROR(INDEX('MC MAP'!$L$5:$L$28,MATCH($GY50,'MC MAP'!$K$5:$K$28,0)),$GY50))</f>
        <v/>
      </c>
      <c r="GY50" s="60"/>
    </row>
    <row r="51" spans="1:207">
      <c r="A51" s="2">
        <f>$A21</f>
        <v>16</v>
      </c>
      <c r="B51" s="54" t="str">
        <f>IF(B21="","",IF(B21&lt;&gt;"THERMAL",B21,IF($GW51="","THERMAL - NOT SPECIFIED",$GW51)))</f>
        <v>4406/10</v>
      </c>
      <c r="C51" s="54" t="str">
        <f>IF(C21="","",IF(C21&lt;&gt;"THERMAL",C21,IF($GW51="","THERMAL - NOT SPECIFIED",$GW51)))</f>
        <v>4406/10</v>
      </c>
      <c r="D51" s="54" t="str">
        <f>IF(D21="","",IF(D21&lt;&gt;"THERMAL",D21,IF($GW51="","THERMAL - NOT SPECIFIED",$GW51)))</f>
        <v>4406/10</v>
      </c>
      <c r="E51" s="54" t="str">
        <f>IF(E21="","",IF(E21&lt;&gt;"THERMAL",E21,IF($GW51="","THERMAL - NOT SPECIFIED",$GW51)))</f>
        <v>4406/10</v>
      </c>
      <c r="F51" s="54" t="str">
        <f>IF(F21="","",IF(F21&lt;&gt;"THERMAL",F21,IF($GW51="","THERMAL - NOT SPECIFIED",$GW51)))</f>
        <v>4406/10</v>
      </c>
      <c r="G51" s="54" t="str">
        <f>IF(G21="","",IF(G21&lt;&gt;"THERMAL",G21,IF($GW51="","THERMAL - NOT SPECIFIED",$GW51)))</f>
        <v>4406/10</v>
      </c>
      <c r="H51" s="54" t="str">
        <f>IF(H21="","",IF(H21&lt;&gt;"THERMAL",H21,IF($GW51="","THERMAL - NOT SPECIFIED",$GW51)))</f>
        <v>4406/10</v>
      </c>
      <c r="I51" s="54" t="str">
        <f>IF(I21="","",IF(I21&lt;&gt;"THERMAL",I21,IF($GW51="","THERMAL - NOT SPECIFIED",$GW51)))</f>
        <v>4406/10</v>
      </c>
      <c r="J51" s="54" t="str">
        <f>IF(J21="","",IF(J21&lt;&gt;"THERMAL",J21,IF($GW51="","THERMAL - NOT SPECIFIED",$GW51)))</f>
        <v>4406/10</v>
      </c>
      <c r="K51" s="54" t="str">
        <f>IF(K21="","",IF(K21&lt;&gt;"THERMAL",K21,IF($GW51="","THERMAL - NOT SPECIFIED",$GW51)))</f>
        <v>4406/10</v>
      </c>
      <c r="L51" s="54" t="str">
        <f>IF(L21="","",IF(L21&lt;&gt;"THERMAL",L21,IF($GW51="","THERMAL - NOT SPECIFIED",$GW51)))</f>
        <v>4406/10</v>
      </c>
      <c r="M51" s="54" t="str">
        <f>IF(M21="","",IF(M21&lt;&gt;"THERMAL",M21,IF($GW51="","THERMAL - NOT SPECIFIED",$GW51)))</f>
        <v>4406/10</v>
      </c>
      <c r="N51" s="54" t="str">
        <f>IF(N21="","",IF(N21&lt;&gt;"THERMAL",N21,IF($GW51="","THERMAL - NOT SPECIFIED",$GW51)))</f>
        <v>4406/10</v>
      </c>
      <c r="O51" s="54" t="str">
        <f>IF(O21="","",IF(O21&lt;&gt;"THERMAL",O21,IF($GW51="","THERMAL - NOT SPECIFIED",$GW51)))</f>
        <v>4406/10</v>
      </c>
      <c r="P51" s="54" t="str">
        <f>IF(P21="","",IF(P21&lt;&gt;"THERMAL",P21,IF($GW51="","THERMAL - NOT SPECIFIED",$GW51)))</f>
        <v>4406/10</v>
      </c>
      <c r="Q51" s="54" t="str">
        <f>IF(Q21="","",IF(Q21&lt;&gt;"THERMAL",Q21,IF($GW51="","THERMAL - NOT SPECIFIED",$GW51)))</f>
        <v>4406/10</v>
      </c>
      <c r="R51" s="54" t="str">
        <f>IF(R21="","",IF(R21&lt;&gt;"THERMAL",R21,IF($GW51="","THERMAL - NOT SPECIFIED",$GW51)))</f>
        <v>4406/10</v>
      </c>
      <c r="S51" s="54" t="str">
        <f>IF(S21="","",IF(S21&lt;&gt;"THERMAL",S21,IF($GW51="","THERMAL - NOT SPECIFIED",$GW51)))</f>
        <v>4406/10</v>
      </c>
      <c r="T51" s="54" t="str">
        <f>IF(T21="","",IF(T21&lt;&gt;"THERMAL",T21,IF($GW51="","THERMAL - NOT SPECIFIED",$GW51)))</f>
        <v>4406/10</v>
      </c>
      <c r="U51" s="54" t="str">
        <f>IF(U21="","",IF(U21&lt;&gt;"THERMAL",U21,IF($GW51="","THERMAL - NOT SPECIFIED",$GW51)))</f>
        <v>4406/10</v>
      </c>
      <c r="V51" s="54" t="str">
        <f>IF(V21="","",IF(V21&lt;&gt;"THERMAL",V21,IF($GW51="","THERMAL - NOT SPECIFIED",$GW51)))</f>
        <v>4406/10</v>
      </c>
      <c r="W51" s="54" t="str">
        <f>IF(W21="","",IF(W21&lt;&gt;"THERMAL",W21,IF($GW51="","THERMAL - NOT SPECIFIED",$GW51)))</f>
        <v>4406/10</v>
      </c>
      <c r="X51" s="54" t="str">
        <f>IF(X21="","",IF(X21&lt;&gt;"THERMAL",X21,IF($GW51="","THERMAL - NOT SPECIFIED",$GW51)))</f>
        <v>4406/10</v>
      </c>
      <c r="Y51" s="54" t="str">
        <f>IF(Y21="","",IF(Y21&lt;&gt;"THERMAL",Y21,IF($GW51="","THERMAL - NOT SPECIFIED",$GW51)))</f>
        <v>4406/10</v>
      </c>
      <c r="Z51" s="54" t="str">
        <f>IF(Z21="","",IF(Z21&lt;&gt;"THERMAL",Z21,IF($GW51="","THERMAL - NOT SPECIFIED",$GW51)))</f>
        <v>4406/10</v>
      </c>
      <c r="AA51" s="54" t="str">
        <f>IF(AA21="","",IF(AA21&lt;&gt;"THERMAL",AA21,IF($GW51="","THERMAL - NOT SPECIFIED",$GW51)))</f>
        <v>4406/10</v>
      </c>
      <c r="AB51" s="54" t="str">
        <f>IF(AB21="","",IF(AB21&lt;&gt;"THERMAL",AB21,IF($GW51="","THERMAL - NOT SPECIFIED",$GW51)))</f>
        <v>4406/10</v>
      </c>
      <c r="AC51" s="54" t="str">
        <f>IF(AC21="","",IF(AC21&lt;&gt;"THERMAL",AC21,IF($GW51="","THERMAL - NOT SPECIFIED",$GW51)))</f>
        <v>4406/10</v>
      </c>
      <c r="AD51" s="54" t="str">
        <f>IF(AD21="","",IF(AD21&lt;&gt;"THERMAL",AD21,IF($GW51="","THERMAL - NOT SPECIFIED",$GW51)))</f>
        <v>4406/10</v>
      </c>
      <c r="AE51" s="54" t="str">
        <f>IF(AE21="","",IF(AE21&lt;&gt;"THERMAL",AE21,IF($GW51="","THERMAL - NOT SPECIFIED",$GW51)))</f>
        <v>4406/10</v>
      </c>
      <c r="AF51" s="54" t="str">
        <f>IF(AF21="","",IF(AF21&lt;&gt;"THERMAL",AF21,IF($GW51="","THERMAL - NOT SPECIFIED",$GW51)))</f>
        <v>4406/10</v>
      </c>
      <c r="AG51" s="54" t="str">
        <f>IF(AG21="","",IF(AG21&lt;&gt;"THERMAL",AG21,IF($GW51="","THERMAL - NOT SPECIFIED",$GW51)))</f>
        <v>4406/10</v>
      </c>
      <c r="AH51" s="54" t="str">
        <f>IF(AH21="","",IF(AH21&lt;&gt;"THERMAL",AH21,IF($GW51="","THERMAL - NOT SPECIFIED",$GW51)))</f>
        <v>4406/10</v>
      </c>
      <c r="AI51" s="54" t="str">
        <f>IF(AI21="","",IF(AI21&lt;&gt;"THERMAL",AI21,IF($GW51="","THERMAL - NOT SPECIFIED",$GW51)))</f>
        <v>4406/10</v>
      </c>
      <c r="AJ51" s="54" t="str">
        <f>IF(AJ21="","",IF(AJ21&lt;&gt;"THERMAL",AJ21,IF($GW51="","THERMAL - NOT SPECIFIED",$GW51)))</f>
        <v>4406/10</v>
      </c>
      <c r="AK51" s="54" t="str">
        <f>IF(AK21="","",IF(AK21&lt;&gt;"THERMAL",AK21,IF($GW51="","THERMAL - NOT SPECIFIED",$GW51)))</f>
        <v>4406/10</v>
      </c>
      <c r="AL51" s="54" t="str">
        <f>IF(AL21="","",IF(AL21&lt;&gt;"THERMAL",AL21,IF($GW51="","THERMAL - NOT SPECIFIED",$GW51)))</f>
        <v>4406/10</v>
      </c>
      <c r="AM51" s="54" t="str">
        <f>IF(AM21="","",IF(AM21&lt;&gt;"THERMAL",AM21,IF($GW51="","THERMAL - NOT SPECIFIED",$GW51)))</f>
        <v>4406/10</v>
      </c>
      <c r="AN51" s="54" t="str">
        <f>IF(AN21="","",IF(AN21&lt;&gt;"THERMAL",AN21,IF($GW51="","THERMAL - NOT SPECIFIED",$GW51)))</f>
        <v>4406/10</v>
      </c>
      <c r="AO51" s="54" t="str">
        <f>IF(AO21="","",IF(AO21&lt;&gt;"THERMAL",AO21,IF($GW51="","THERMAL - NOT SPECIFIED",$GW51)))</f>
        <v>4406/10</v>
      </c>
      <c r="AP51" s="54" t="str">
        <f>IF(AP21="","",IF(AP21&lt;&gt;"THERMAL",AP21,IF($GW51="","THERMAL - NOT SPECIFIED",$GW51)))</f>
        <v>4406/10</v>
      </c>
      <c r="AQ51" s="54" t="str">
        <f>IF(AQ21="","",IF(AQ21&lt;&gt;"THERMAL",AQ21,IF($GW51="","THERMAL - NOT SPECIFIED",$GW51)))</f>
        <v>4406/10</v>
      </c>
      <c r="AR51" s="54" t="str">
        <f>IF(AR21="","",IF(AR21&lt;&gt;"THERMAL",AR21,IF($GW51="","THERMAL - NOT SPECIFIED",$GW51)))</f>
        <v>4406/10</v>
      </c>
      <c r="AS51" s="54" t="str">
        <f>IF(AS21="","",IF(AS21&lt;&gt;"THERMAL",AS21,IF($GW51="","THERMAL - NOT SPECIFIED",$GW51)))</f>
        <v>4406/10</v>
      </c>
      <c r="AT51" s="54" t="str">
        <f>IF(AT21="","",IF(AT21&lt;&gt;"THERMAL",AT21,IF($GW51="","THERMAL - NOT SPECIFIED",$GW51)))</f>
        <v>4406/10</v>
      </c>
      <c r="AU51" s="54" t="str">
        <f>IF(AU21="","",IF(AU21&lt;&gt;"THERMAL",AU21,IF($GW51="","THERMAL - NOT SPECIFIED",$GW51)))</f>
        <v>4406/10</v>
      </c>
      <c r="AV51" s="54" t="str">
        <f>IF(AV21="","",IF(AV21&lt;&gt;"THERMAL",AV21,IF($GW51="","THERMAL - NOT SPECIFIED",$GW51)))</f>
        <v>4406/10</v>
      </c>
      <c r="AW51" s="54" t="str">
        <f>IF(AW21="","",IF(AW21&lt;&gt;"THERMAL",AW21,IF($GW51="","THERMAL - NOT SPECIFIED",$GW51)))</f>
        <v>4406/10</v>
      </c>
      <c r="AX51" s="54" t="str">
        <f>IF(AX21="","",IF(AX21&lt;&gt;"THERMAL",AX21,IF($GW51="","THERMAL - NOT SPECIFIED",$GW51)))</f>
        <v>4406/10</v>
      </c>
      <c r="AY51" s="54" t="str">
        <f>IF(AY21="","",IF(AY21&lt;&gt;"THERMAL",AY21,IF($GW51="","THERMAL - NOT SPECIFIED",$GW51)))</f>
        <v>4406/10</v>
      </c>
      <c r="AZ51" s="54" t="str">
        <f>IF(AZ21="","",IF(AZ21&lt;&gt;"THERMAL",AZ21,IF($GW51="","THERMAL - NOT SPECIFIED",$GW51)))</f>
        <v>4406/10</v>
      </c>
      <c r="BA51" s="54" t="str">
        <f>IF(BA21="","",IF(BA21&lt;&gt;"THERMAL",BA21,IF($GW51="","THERMAL - NOT SPECIFIED",$GW51)))</f>
        <v>4406/10</v>
      </c>
      <c r="BB51" s="54" t="str">
        <f>IF(BB21="","",IF(BB21&lt;&gt;"THERMAL",BB21,IF($GW51="","THERMAL - NOT SPECIFIED",$GW51)))</f>
        <v>4406/10</v>
      </c>
      <c r="BC51" s="54" t="str">
        <f>IF(BC21="","",IF(BC21&lt;&gt;"THERMAL",BC21,IF($GW51="","THERMAL - NOT SPECIFIED",$GW51)))</f>
        <v>4406/10</v>
      </c>
      <c r="BD51" s="54" t="str">
        <f>IF(BD21="","",IF(BD21&lt;&gt;"THERMAL",BD21,IF($GW51="","THERMAL - NOT SPECIFIED",$GW51)))</f>
        <v>4406/10</v>
      </c>
      <c r="BE51" s="54" t="str">
        <f>IF(BE21="","",IF(BE21&lt;&gt;"THERMAL",BE21,IF($GW51="","THERMAL - NOT SPECIFIED",$GW51)))</f>
        <v>4406/10</v>
      </c>
      <c r="BF51" s="54" t="str">
        <f>IF(BF21="","",IF(BF21&lt;&gt;"THERMAL",BF21,IF($GW51="","THERMAL - NOT SPECIFIED",$GW51)))</f>
        <v>4406/10</v>
      </c>
      <c r="BG51" s="54" t="str">
        <f>IF(BG21="","",IF(BG21&lt;&gt;"THERMAL",BG21,IF($GW51="","THERMAL - NOT SPECIFIED",$GW51)))</f>
        <v>4406/10</v>
      </c>
      <c r="BH51" s="54" t="str">
        <f>IF(BH21="","",IF(BH21&lt;&gt;"THERMAL",BH21,IF($GW51="","THERMAL - NOT SPECIFIED",$GW51)))</f>
        <v>4406/10</v>
      </c>
      <c r="BI51" s="54" t="str">
        <f>IF(BI21="","",IF(BI21&lt;&gt;"THERMAL",BI21,IF($GW51="","THERMAL - NOT SPECIFIED",$GW51)))</f>
        <v>4406/10</v>
      </c>
      <c r="BJ51" s="54" t="str">
        <f>IF(BJ21="","",IF(BJ21&lt;&gt;"THERMAL",BJ21,IF($GW51="","THERMAL - NOT SPECIFIED",$GW51)))</f>
        <v>4406/10</v>
      </c>
      <c r="BK51" s="54" t="str">
        <f>IF(BK21="","",IF(BK21&lt;&gt;"THERMAL",BK21,IF($GW51="","THERMAL - NOT SPECIFIED",$GW51)))</f>
        <v>4406/10</v>
      </c>
      <c r="BL51" s="54" t="str">
        <f>IF(BL21="","",IF(BL21&lt;&gt;"THERMAL",BL21,IF($GW51="","THERMAL - NOT SPECIFIED",$GW51)))</f>
        <v>4406/10</v>
      </c>
      <c r="BM51" s="54" t="str">
        <f>IF(BM21="","",IF(BM21&lt;&gt;"THERMAL",BM21,IF($GW51="","THERMAL - NOT SPECIFIED",$GW51)))</f>
        <v>4406/10</v>
      </c>
      <c r="BN51" s="54" t="str">
        <f>IF(BN21="","",IF(BN21&lt;&gt;"THERMAL",BN21,IF($GW51="","THERMAL - NOT SPECIFIED",$GW51)))</f>
        <v>4406/10</v>
      </c>
      <c r="BO51" s="54" t="str">
        <f>IF(BO21="","",IF(BO21&lt;&gt;"THERMAL",BO21,IF($GW51="","THERMAL - NOT SPECIFIED",$GW51)))</f>
        <v>4406/10</v>
      </c>
      <c r="BP51" s="54" t="str">
        <f>IF(BP21="","",IF(BP21&lt;&gt;"THERMAL",BP21,IF($GW51="","THERMAL - NOT SPECIFIED",$GW51)))</f>
        <v>4406/10</v>
      </c>
      <c r="BQ51" s="54" t="str">
        <f>IF(BQ21="","",IF(BQ21&lt;&gt;"THERMAL",BQ21,IF($GW51="","THERMAL - NOT SPECIFIED",$GW51)))</f>
        <v>4406/10</v>
      </c>
      <c r="BR51" s="54" t="str">
        <f>IF(BR21="","",IF(BR21&lt;&gt;"THERMAL",BR21,IF($GW51="","THERMAL - NOT SPECIFIED",$GW51)))</f>
        <v>4406/10</v>
      </c>
      <c r="BS51" s="54" t="str">
        <f>IF(BS21="","",IF(BS21&lt;&gt;"THERMAL",BS21,IF($GW51="","THERMAL - NOT SPECIFIED",$GW51)))</f>
        <v>4406/10</v>
      </c>
      <c r="BT51" s="54" t="str">
        <f>IF(BT21="","",IF(BT21&lt;&gt;"THERMAL",BT21,IF($GW51="","THERMAL - NOT SPECIFIED",$GW51)))</f>
        <v>4406/10</v>
      </c>
      <c r="BU51" s="54" t="str">
        <f>IF(BU21="","",IF(BU21&lt;&gt;"THERMAL",BU21,IF($GW51="","THERMAL - NOT SPECIFIED",$GW51)))</f>
        <v>4406/10</v>
      </c>
      <c r="BV51" s="54" t="str">
        <f>IF(BV21="","",IF(BV21&lt;&gt;"THERMAL",BV21,IF($GW51="","THERMAL - NOT SPECIFIED",$GW51)))</f>
        <v>4406/10</v>
      </c>
      <c r="BW51" s="54" t="str">
        <f>IF(BW21="","",IF(BW21&lt;&gt;"THERMAL",BW21,IF($GW51="","THERMAL - NOT SPECIFIED",$GW51)))</f>
        <v>4406/10</v>
      </c>
      <c r="BX51" s="54" t="str">
        <f>IF(BX21="","",IF(BX21&lt;&gt;"THERMAL",BX21,IF($GW51="","THERMAL - NOT SPECIFIED",$GW51)))</f>
        <v>4406/10</v>
      </c>
      <c r="BY51" s="54" t="str">
        <f>IF(BY21="","",IF(BY21&lt;&gt;"THERMAL",BY21,IF($GW51="","THERMAL - NOT SPECIFIED",$GW51)))</f>
        <v>4406/10</v>
      </c>
      <c r="BZ51" s="54" t="str">
        <f>IF(BZ21="","",IF(BZ21&lt;&gt;"THERMAL",BZ21,IF($GW51="","THERMAL - NOT SPECIFIED",$GW51)))</f>
        <v>4406/10</v>
      </c>
      <c r="CA51" s="54" t="str">
        <f>IF(CA21="","",IF(CA21&lt;&gt;"THERMAL",CA21,IF($GW51="","THERMAL - NOT SPECIFIED",$GW51)))</f>
        <v>4406/10</v>
      </c>
      <c r="CB51" s="54" t="str">
        <f>IF(CB21="","",IF(CB21&lt;&gt;"THERMAL",CB21,IF($GW51="","THERMAL - NOT SPECIFIED",$GW51)))</f>
        <v>4406/10</v>
      </c>
      <c r="CC51" s="54" t="str">
        <f>IF(CC21="","",IF(CC21&lt;&gt;"THERMAL",CC21,IF($GW51="","THERMAL - NOT SPECIFIED",$GW51)))</f>
        <v>4406/10</v>
      </c>
      <c r="CD51" s="54" t="str">
        <f>IF(CD21="","",IF(CD21&lt;&gt;"THERMAL",CD21,IF($GW51="","THERMAL - NOT SPECIFIED",$GW51)))</f>
        <v>VACCANT</v>
      </c>
      <c r="CE51" s="54" t="str">
        <f>IF(CE21="","",IF(CE21&lt;&gt;"THERMAL",CE21,IF($GW51="","THERMAL - NOT SPECIFIED",$GW51)))</f>
        <v/>
      </c>
      <c r="CF51" s="54" t="str">
        <f>IF(CF21="","",IF(CF21&lt;&gt;"THERMAL",CF21,IF($GW51="","THERMAL - NOT SPECIFIED",$GW51)))</f>
        <v/>
      </c>
      <c r="CG51" s="54" t="str">
        <f>IF(CG21="","",IF(CG21&lt;&gt;"THERMAL",CG21,IF($GW51="","THERMAL - NOT SPECIFIED",$GW51)))</f>
        <v/>
      </c>
      <c r="CH51" s="54" t="str">
        <f>IF(CH21="","",IF(CH21&lt;&gt;"THERMAL",CH21,IF($GW51="","THERMAL - NOT SPECIFIED",$GW51)))</f>
        <v/>
      </c>
      <c r="CI51" s="54" t="str">
        <f>IF(CI21="","",IF(CI21&lt;&gt;"THERMAL",CI21,IF($GW51="","THERMAL - NOT SPECIFIED",$GW51)))</f>
        <v/>
      </c>
      <c r="CJ51" s="54" t="str">
        <f>IF(CJ21="","",IF(CJ21&lt;&gt;"THERMAL",CJ21,IF($GW51="","THERMAL - NOT SPECIFIED",$GW51)))</f>
        <v/>
      </c>
      <c r="CK51" s="54" t="str">
        <f>IF(CK21="","",IF(CK21&lt;&gt;"THERMAL",CK21,IF($GW51="","THERMAL - NOT SPECIFIED",$GW51)))</f>
        <v/>
      </c>
      <c r="CL51" s="54" t="str">
        <f>IF(CL21="","",IF(CL21&lt;&gt;"THERMAL",CL21,IF($GW51="","THERMAL - NOT SPECIFIED",$GW51)))</f>
        <v/>
      </c>
      <c r="CM51" s="54" t="str">
        <f>IF(CM21="","",IF(CM21&lt;&gt;"THERMAL",CM21,IF($GW51="","THERMAL - NOT SPECIFIED",$GW51)))</f>
        <v/>
      </c>
      <c r="CN51" s="54" t="str">
        <f>IF(CN21="","",IF(CN21&lt;&gt;"THERMAL",CN21,IF($GW51="","THERMAL - NOT SPECIFIED",$GW51)))</f>
        <v/>
      </c>
      <c r="CO51" s="54" t="str">
        <f>IF(CO21="","",IF(CO21&lt;&gt;"THERMAL",CO21,IF($GW51="","THERMAL - NOT SPECIFIED",$GW51)))</f>
        <v/>
      </c>
      <c r="CP51" s="54" t="str">
        <f>IF(CP21="","",IF(CP21&lt;&gt;"THERMAL",CP21,IF($GW51="","THERMAL - NOT SPECIFIED",$GW51)))</f>
        <v/>
      </c>
      <c r="CQ51" s="54" t="str">
        <f>IF(CQ21="","",IF(CQ21&lt;&gt;"THERMAL",CQ21,IF($GW51="","THERMAL - NOT SPECIFIED",$GW51)))</f>
        <v/>
      </c>
      <c r="CR51" s="54" t="str">
        <f>IF(CR21="","",IF(CR21&lt;&gt;"THERMAL",CR21,IF($GW51="","THERMAL - NOT SPECIFIED",$GW51)))</f>
        <v/>
      </c>
      <c r="CS51" s="54" t="str">
        <f>IF(CS21="","",IF(CS21&lt;&gt;"THERMAL",CS21,IF($GW51="","THERMAL - NOT SPECIFIED",$GW51)))</f>
        <v/>
      </c>
      <c r="CT51" s="54" t="str">
        <f>IF(CT21="","",IF(CT21&lt;&gt;"THERMAL",CT21,IF($GW51="","THERMAL - NOT SPECIFIED",$GW51)))</f>
        <v/>
      </c>
      <c r="CU51" s="54" t="str">
        <f>IF(CU21="","",IF(CU21&lt;&gt;"THERMAL",CU21,IF($GW51="","THERMAL - NOT SPECIFIED",$GW51)))</f>
        <v/>
      </c>
      <c r="CV51" s="54" t="str">
        <f>IF(CV21="","",IF(CV21&lt;&gt;"THERMAL",CV21,IF($GW51="","THERMAL - NOT SPECIFIED",$GW51)))</f>
        <v/>
      </c>
      <c r="CW51" s="54" t="str">
        <f>IF(CW21="","",IF(CW21&lt;&gt;"THERMAL",CW21,IF($GW51="","THERMAL - NOT SPECIFIED",$GW51)))</f>
        <v/>
      </c>
      <c r="CX51" s="54" t="str">
        <f>IF(CX21="","",IF(CX21&lt;&gt;"THERMAL",CX21,IF($GW51="","THERMAL - NOT SPECIFIED",$GW51)))</f>
        <v/>
      </c>
      <c r="CY51" s="54" t="str">
        <f>IF(CY21="","",IF(CY21&lt;&gt;"THERMAL",CY21,IF($GW51="","THERMAL - NOT SPECIFIED",$GW51)))</f>
        <v/>
      </c>
      <c r="CZ51" s="54" t="str">
        <f>IF(CZ21="","",IF(CZ21&lt;&gt;"THERMAL",CZ21,IF($GW51="","THERMAL - NOT SPECIFIED",$GW51)))</f>
        <v/>
      </c>
      <c r="DA51" s="54" t="str">
        <f>IF(DA21="","",IF(DA21&lt;&gt;"THERMAL",DA21,IF($GW51="","THERMAL - NOT SPECIFIED",$GW51)))</f>
        <v/>
      </c>
      <c r="DB51" s="54" t="str">
        <f>IF(DB21="","",IF(DB21&lt;&gt;"THERMAL",DB21,IF($GW51="","THERMAL - NOT SPECIFIED",$GW51)))</f>
        <v/>
      </c>
      <c r="DC51" s="54" t="str">
        <f>IF(DC21="","",IF(DC21&lt;&gt;"THERMAL",DC21,IF($GW51="","THERMAL - NOT SPECIFIED",$GW51)))</f>
        <v/>
      </c>
      <c r="DD51" s="54" t="str">
        <f>IF(DD21="","",IF(DD21&lt;&gt;"THERMAL",DD21,IF($GW51="","THERMAL - NOT SPECIFIED",$GW51)))</f>
        <v/>
      </c>
      <c r="DE51" s="54" t="str">
        <f>IF(DE21="","",IF(DE21&lt;&gt;"THERMAL",DE21,IF($GW51="","THERMAL - NOT SPECIFIED",$GW51)))</f>
        <v/>
      </c>
      <c r="DF51" s="54" t="str">
        <f>IF(DF21="","",IF(DF21&lt;&gt;"THERMAL",DF21,IF($GW51="","THERMAL - NOT SPECIFIED",$GW51)))</f>
        <v/>
      </c>
      <c r="DG51" s="54" t="str">
        <f>IF(DG21="","",IF(DG21&lt;&gt;"THERMAL",DG21,IF($GW51="","THERMAL - NOT SPECIFIED",$GW51)))</f>
        <v/>
      </c>
      <c r="DH51" s="54" t="str">
        <f>IF(DH21="","",IF(DH21&lt;&gt;"THERMAL",DH21,IF($GW51="","THERMAL - NOT SPECIFIED",$GW51)))</f>
        <v/>
      </c>
      <c r="DI51" s="54" t="str">
        <f>IF(DI21="","",IF(DI21&lt;&gt;"THERMAL",DI21,IF($GW51="","THERMAL - NOT SPECIFIED",$GW51)))</f>
        <v/>
      </c>
      <c r="DJ51" s="54" t="str">
        <f>IF(DJ21="","",IF(DJ21&lt;&gt;"THERMAL",DJ21,IF($GW51="","THERMAL - NOT SPECIFIED",$GW51)))</f>
        <v/>
      </c>
      <c r="DK51" s="54" t="str">
        <f>IF(DK21="","",IF(DK21&lt;&gt;"THERMAL",DK21,IF($GW51="","THERMAL - NOT SPECIFIED",$GW51)))</f>
        <v/>
      </c>
      <c r="DL51" s="54" t="str">
        <f>IF(DL21="","",IF(DL21&lt;&gt;"THERMAL",DL21,IF($GW51="","THERMAL - NOT SPECIFIED",$GW51)))</f>
        <v/>
      </c>
      <c r="DM51" s="54" t="str">
        <f>IF(DM21="","",IF(DM21&lt;&gt;"THERMAL",DM21,IF($GW51="","THERMAL - NOT SPECIFIED",$GW51)))</f>
        <v/>
      </c>
      <c r="DN51" s="54" t="str">
        <f>IF(DN21="","",IF(DN21&lt;&gt;"THERMAL",DN21,IF($GW51="","THERMAL - NOT SPECIFIED",$GW51)))</f>
        <v/>
      </c>
      <c r="DO51" s="54" t="str">
        <f>IF(DO21="","",IF(DO21&lt;&gt;"THERMAL",DO21,IF($GW51="","THERMAL - NOT SPECIFIED",$GW51)))</f>
        <v/>
      </c>
      <c r="DP51" s="54" t="str">
        <f>IF(DP21="","",IF(DP21&lt;&gt;"THERMAL",DP21,IF($GW51="","THERMAL - NOT SPECIFIED",$GW51)))</f>
        <v/>
      </c>
      <c r="DQ51" s="54" t="str">
        <f>IF(DQ21="","",IF(DQ21&lt;&gt;"THERMAL",DQ21,IF($GW51="","THERMAL - NOT SPECIFIED",$GW51)))</f>
        <v/>
      </c>
      <c r="DR51" s="54" t="str">
        <f>IF(DR21="","",IF(DR21&lt;&gt;"THERMAL",DR21,IF($GW51="","THERMAL - NOT SPECIFIED",$GW51)))</f>
        <v/>
      </c>
      <c r="DS51" s="54" t="str">
        <f>IF(DS21="","",IF(DS21&lt;&gt;"THERMAL",DS21,IF($GW51="","THERMAL - NOT SPECIFIED",$GW51)))</f>
        <v/>
      </c>
      <c r="DT51" s="54" t="str">
        <f>IF(DT21="","",IF(DT21&lt;&gt;"THERMAL",DT21,IF($GW51="","THERMAL - NOT SPECIFIED",$GW51)))</f>
        <v/>
      </c>
      <c r="DU51" s="54" t="str">
        <f>IF(DU21="","",IF(DU21&lt;&gt;"THERMAL",DU21,IF($GW51="","THERMAL - NOT SPECIFIED",$GW51)))</f>
        <v/>
      </c>
      <c r="DV51" s="54" t="str">
        <f>IF(DV21="","",IF(DV21&lt;&gt;"THERMAL",DV21,IF($GW51="","THERMAL - NOT SPECIFIED",$GW51)))</f>
        <v/>
      </c>
      <c r="DW51" s="54" t="str">
        <f>IF(DW21="","",IF(DW21&lt;&gt;"THERMAL",DW21,IF($GW51="","THERMAL - NOT SPECIFIED",$GW51)))</f>
        <v/>
      </c>
      <c r="DX51" s="54" t="str">
        <f>IF(DX21="","",IF(DX21&lt;&gt;"THERMAL",DX21,IF($GW51="","THERMAL - NOT SPECIFIED",$GW51)))</f>
        <v/>
      </c>
      <c r="DY51" s="54" t="str">
        <f>IF(DY21="","",IF(DY21&lt;&gt;"THERMAL",DY21,IF($GW51="","THERMAL - NOT SPECIFIED",$GW51)))</f>
        <v/>
      </c>
      <c r="DZ51" s="54" t="str">
        <f>IF(DZ21="","",IF(DZ21&lt;&gt;"THERMAL",DZ21,IF($GW51="","THERMAL - NOT SPECIFIED",$GW51)))</f>
        <v/>
      </c>
      <c r="EA51" s="54" t="str">
        <f>IF(EA21="","",IF(EA21&lt;&gt;"THERMAL",EA21,IF($GW51="","THERMAL - NOT SPECIFIED",$GW51)))</f>
        <v/>
      </c>
      <c r="EB51" s="54" t="str">
        <f>IF(EB21="","",IF(EB21&lt;&gt;"THERMAL",EB21,IF($GW51="","THERMAL - NOT SPECIFIED",$GW51)))</f>
        <v/>
      </c>
      <c r="EC51" s="54" t="str">
        <f>IF(EC21="","",IF(EC21&lt;&gt;"THERMAL",EC21,IF($GW51="","THERMAL - NOT SPECIFIED",$GW51)))</f>
        <v/>
      </c>
      <c r="ED51" s="54" t="str">
        <f>IF(ED21="","",IF(ED21&lt;&gt;"THERMAL",ED21,IF($GW51="","THERMAL - NOT SPECIFIED",$GW51)))</f>
        <v/>
      </c>
      <c r="EE51" s="54" t="str">
        <f>IF(EE21="","",IF(EE21&lt;&gt;"THERMAL",EE21,IF($GW51="","THERMAL - NOT SPECIFIED",$GW51)))</f>
        <v/>
      </c>
      <c r="EF51" s="54" t="str">
        <f>IF(EF21="","",IF(EF21&lt;&gt;"THERMAL",EF21,IF($GW51="","THERMAL - NOT SPECIFIED",$GW51)))</f>
        <v/>
      </c>
      <c r="EG51" s="54" t="str">
        <f>IF(EG21="","",IF(EG21&lt;&gt;"THERMAL",EG21,IF($GW51="","THERMAL - NOT SPECIFIED",$GW51)))</f>
        <v/>
      </c>
      <c r="EH51" s="54" t="str">
        <f>IF(EH21="","",IF(EH21&lt;&gt;"THERMAL",EH21,IF($GW51="","THERMAL - NOT SPECIFIED",$GW51)))</f>
        <v/>
      </c>
      <c r="EI51" s="54" t="str">
        <f>IF(EI21="","",IF(EI21&lt;&gt;"THERMAL",EI21,IF($GW51="","THERMAL - NOT SPECIFIED",$GW51)))</f>
        <v/>
      </c>
      <c r="EJ51" s="54" t="str">
        <f>IF(EJ21="","",IF(EJ21&lt;&gt;"THERMAL",EJ21,IF($GW51="","THERMAL - NOT SPECIFIED",$GW51)))</f>
        <v/>
      </c>
      <c r="EK51" s="54" t="str">
        <f>IF(EK21="","",IF(EK21&lt;&gt;"THERMAL",EK21,IF($GW51="","THERMAL - NOT SPECIFIED",$GW51)))</f>
        <v/>
      </c>
      <c r="EL51" s="54" t="str">
        <f>IF(EL21="","",IF(EL21&lt;&gt;"THERMAL",EL21,IF($GW51="","THERMAL - NOT SPECIFIED",$GW51)))</f>
        <v/>
      </c>
      <c r="EM51" s="54" t="str">
        <f>IF(EM21="","",IF(EM21&lt;&gt;"THERMAL",EM21,IF($GW51="","THERMAL - NOT SPECIFIED",$GW51)))</f>
        <v/>
      </c>
      <c r="EN51" s="54" t="str">
        <f>IF(EN21="","",IF(EN21&lt;&gt;"THERMAL",EN21,IF($GW51="","THERMAL - NOT SPECIFIED",$GW51)))</f>
        <v/>
      </c>
      <c r="EO51" s="54" t="str">
        <f>IF(EO21="","",IF(EO21&lt;&gt;"THERMAL",EO21,IF($GW51="","THERMAL - NOT SPECIFIED",$GW51)))</f>
        <v/>
      </c>
      <c r="EP51" s="54" t="str">
        <f>IF(EP21="","",IF(EP21&lt;&gt;"THERMAL",EP21,IF($GW51="","THERMAL - NOT SPECIFIED",$GW51)))</f>
        <v/>
      </c>
      <c r="EQ51" s="54" t="str">
        <f>IF(EQ21="","",IF(EQ21&lt;&gt;"THERMAL",EQ21,IF($GW51="","THERMAL - NOT SPECIFIED",$GW51)))</f>
        <v/>
      </c>
      <c r="ER51" s="54" t="str">
        <f>IF(ER21="","",IF(ER21&lt;&gt;"THERMAL",ER21,IF($GW51="","THERMAL - NOT SPECIFIED",$GW51)))</f>
        <v/>
      </c>
      <c r="ES51" s="54" t="str">
        <f>IF(ES21="","",IF(ES21&lt;&gt;"THERMAL",ES21,IF($GW51="","THERMAL - NOT SPECIFIED",$GW51)))</f>
        <v/>
      </c>
      <c r="ET51" s="54" t="str">
        <f>IF(ET21="","",IF(ET21&lt;&gt;"THERMAL",ET21,IF($GW51="","THERMAL - NOT SPECIFIED",$GW51)))</f>
        <v/>
      </c>
      <c r="EU51" s="54" t="str">
        <f>IF(EU21="","",IF(EU21&lt;&gt;"THERMAL",EU21,IF($GW51="","THERMAL - NOT SPECIFIED",$GW51)))</f>
        <v/>
      </c>
      <c r="EV51" s="54" t="str">
        <f>IF(EV21="","",IF(EV21&lt;&gt;"THERMAL",EV21,IF($GW51="","THERMAL - NOT SPECIFIED",$GW51)))</f>
        <v/>
      </c>
      <c r="EW51" s="54" t="str">
        <f>IF(EW21="","",IF(EW21&lt;&gt;"THERMAL",EW21,IF($GW51="","THERMAL - NOT SPECIFIED",$GW51)))</f>
        <v/>
      </c>
      <c r="EX51" s="54" t="str">
        <f>IF(EX21="","",IF(EX21&lt;&gt;"THERMAL",EX21,IF($GW51="","THERMAL - NOT SPECIFIED",$GW51)))</f>
        <v/>
      </c>
      <c r="EY51" s="54" t="str">
        <f>IF(EY21="","",IF(EY21&lt;&gt;"THERMAL",EY21,IF($GW51="","THERMAL - NOT SPECIFIED",$GW51)))</f>
        <v/>
      </c>
      <c r="EZ51" s="54" t="str">
        <f>IF(EZ21="","",IF(EZ21&lt;&gt;"THERMAL",EZ21,IF($GW51="","THERMAL - NOT SPECIFIED",$GW51)))</f>
        <v/>
      </c>
      <c r="FA51" s="54" t="str">
        <f>IF(FA21="","",IF(FA21&lt;&gt;"THERMAL",FA21,IF($GW51="","THERMAL - NOT SPECIFIED",$GW51)))</f>
        <v/>
      </c>
      <c r="FB51" s="54" t="str">
        <f>IF(FB21="","",IF(FB21&lt;&gt;"THERMAL",FB21,IF($GW51="","THERMAL - NOT SPECIFIED",$GW51)))</f>
        <v/>
      </c>
      <c r="FC51" s="54" t="str">
        <f>IF(FC21="","",IF(FC21&lt;&gt;"THERMAL",FC21,IF($GW51="","THERMAL - NOT SPECIFIED",$GW51)))</f>
        <v/>
      </c>
      <c r="FD51" s="54" t="str">
        <f>IF(FD21="","",IF(FD21&lt;&gt;"THERMAL",FD21,IF($GW51="","THERMAL - NOT SPECIFIED",$GW51)))</f>
        <v/>
      </c>
      <c r="FE51" s="54" t="str">
        <f>IF(FE21="","",IF(FE21&lt;&gt;"THERMAL",FE21,IF($GW51="","THERMAL - NOT SPECIFIED",$GW51)))</f>
        <v/>
      </c>
      <c r="FF51" s="54" t="str">
        <f>IF(FF21="","",IF(FF21&lt;&gt;"THERMAL",FF21,IF($GW51="","THERMAL - NOT SPECIFIED",$GW51)))</f>
        <v/>
      </c>
      <c r="FG51" s="54" t="str">
        <f>IF(FG21="","",IF(FG21&lt;&gt;"THERMAL",FG21,IF($GW51="","THERMAL - NOT SPECIFIED",$GW51)))</f>
        <v/>
      </c>
      <c r="FH51" s="54" t="str">
        <f>IF(FH21="","",IF(FH21&lt;&gt;"THERMAL",FH21,IF($GW51="","THERMAL - NOT SPECIFIED",$GW51)))</f>
        <v/>
      </c>
      <c r="FI51" s="54" t="str">
        <f>IF(FI21="","",IF(FI21&lt;&gt;"THERMAL",FI21,IF($GW51="","THERMAL - NOT SPECIFIED",$GW51)))</f>
        <v/>
      </c>
      <c r="FJ51" s="54" t="str">
        <f>IF(FJ21="","",IF(FJ21&lt;&gt;"THERMAL",FJ21,IF($GW51="","THERMAL - NOT SPECIFIED",$GW51)))</f>
        <v/>
      </c>
      <c r="FK51" s="54" t="str">
        <f>IF(FK21="","",IF(FK21&lt;&gt;"THERMAL",FK21,IF($GW51="","THERMAL - NOT SPECIFIED",$GW51)))</f>
        <v/>
      </c>
      <c r="FL51" s="54" t="str">
        <f>IF(FL21="","",IF(FL21&lt;&gt;"THERMAL",FL21,IF($GW51="","THERMAL - NOT SPECIFIED",$GW51)))</f>
        <v/>
      </c>
      <c r="FM51" s="54" t="str">
        <f>IF(FM21="","",IF(FM21&lt;&gt;"THERMAL",FM21,IF($GW51="","THERMAL - NOT SPECIFIED",$GW51)))</f>
        <v/>
      </c>
      <c r="FN51" s="54" t="str">
        <f>IF(FN21="","",IF(FN21&lt;&gt;"THERMAL",FN21,IF($GW51="","THERMAL - NOT SPECIFIED",$GW51)))</f>
        <v/>
      </c>
      <c r="FO51" s="54" t="str">
        <f>IF(FO21="","",IF(FO21&lt;&gt;"THERMAL",FO21,IF($GW51="","THERMAL - NOT SPECIFIED",$GW51)))</f>
        <v/>
      </c>
      <c r="FP51" s="54" t="str">
        <f>IF(FP21="","",IF(FP21&lt;&gt;"THERMAL",FP21,IF($GW51="","THERMAL - NOT SPECIFIED",$GW51)))</f>
        <v/>
      </c>
      <c r="FQ51" s="54" t="str">
        <f>IF(FQ21="","",IF(FQ21&lt;&gt;"THERMAL",FQ21,IF($GW51="","THERMAL - NOT SPECIFIED",$GW51)))</f>
        <v/>
      </c>
      <c r="FR51" s="54" t="str">
        <f>IF(FR21="","",IF(FR21&lt;&gt;"THERMAL",FR21,IF($GW51="","THERMAL - NOT SPECIFIED",$GW51)))</f>
        <v/>
      </c>
      <c r="FS51" s="54" t="str">
        <f>IF(FS21="","",IF(FS21&lt;&gt;"THERMAL",FS21,IF($GW51="","THERMAL - NOT SPECIFIED",$GW51)))</f>
        <v/>
      </c>
      <c r="FT51" s="54" t="str">
        <f>IF(FT21="","",IF(FT21&lt;&gt;"THERMAL",FT21,IF($GW51="","THERMAL - NOT SPECIFIED",$GW51)))</f>
        <v/>
      </c>
      <c r="FU51" s="54" t="str">
        <f>IF(FU21="","",IF(FU21&lt;&gt;"THERMAL",FU21,IF($GW51="","THERMAL - NOT SPECIFIED",$GW51)))</f>
        <v/>
      </c>
      <c r="FV51" s="54" t="str">
        <f>IF(FV21="","",IF(FV21&lt;&gt;"THERMAL",FV21,IF($GW51="","THERMAL - NOT SPECIFIED",$GW51)))</f>
        <v/>
      </c>
      <c r="FW51" s="54" t="str">
        <f>IF(FW21="","",IF(FW21&lt;&gt;"THERMAL",FW21,IF($GW51="","THERMAL - NOT SPECIFIED",$GW51)))</f>
        <v/>
      </c>
      <c r="FX51" s="54" t="str">
        <f>IF(FX21="","",IF(FX21&lt;&gt;"THERMAL",FX21,IF($GW51="","THERMAL - NOT SPECIFIED",$GW51)))</f>
        <v/>
      </c>
      <c r="FY51" s="54" t="str">
        <f>IF(FY21="","",IF(FY21&lt;&gt;"THERMAL",FY21,IF($GW51="","THERMAL - NOT SPECIFIED",$GW51)))</f>
        <v/>
      </c>
      <c r="FZ51" s="54" t="str">
        <f>IF(FZ21="","",IF(FZ21&lt;&gt;"THERMAL",FZ21,IF($GW51="","THERMAL - NOT SPECIFIED",$GW51)))</f>
        <v/>
      </c>
      <c r="GA51" s="54" t="str">
        <f>IF(GA21="","",IF(GA21&lt;&gt;"THERMAL",GA21,IF($GW51="","THERMAL - NOT SPECIFIED",$GW51)))</f>
        <v/>
      </c>
      <c r="GB51" s="54" t="str">
        <f>IF(GB21="","",IF(GB21&lt;&gt;"THERMAL",GB21,IF($GW51="","THERMAL - NOT SPECIFIED",$GW51)))</f>
        <v/>
      </c>
      <c r="GC51" s="54" t="str">
        <f>IF(GC21="","",IF(GC21&lt;&gt;"THERMAL",GC21,IF($GW51="","THERMAL - NOT SPECIFIED",$GW51)))</f>
        <v/>
      </c>
      <c r="GD51" s="54" t="str">
        <f>IF(GD21="","",IF(GD21&lt;&gt;"THERMAL",GD21,IF($GW51="","THERMAL - NOT SPECIFIED",$GW51)))</f>
        <v/>
      </c>
      <c r="GE51" s="54" t="str">
        <f>IF(GE21="","",IF(GE21&lt;&gt;"THERMAL",GE21,IF($GW51="","THERMAL - NOT SPECIFIED",$GW51)))</f>
        <v/>
      </c>
      <c r="GF51" s="54" t="str">
        <f>IF(GF21="","",IF(GF21&lt;&gt;"THERMAL",GF21,IF($GW51="","THERMAL - NOT SPECIFIED",$GW51)))</f>
        <v/>
      </c>
      <c r="GG51" s="54" t="str">
        <f>IF(GG21="","",IF(GG21&lt;&gt;"THERMAL",GG21,IF($GW51="","THERMAL - NOT SPECIFIED",$GW51)))</f>
        <v/>
      </c>
      <c r="GH51" s="54" t="str">
        <f>IF(GH21="","",IF(GH21&lt;&gt;"THERMAL",GH21,IF($GW51="","THERMAL - NOT SPECIFIED",$GW51)))</f>
        <v/>
      </c>
      <c r="GI51" s="54" t="str">
        <f>IF(GI21="","",IF(GI21&lt;&gt;"THERMAL",GI21,IF($GW51="","THERMAL - NOT SPECIFIED",$GW51)))</f>
        <v/>
      </c>
      <c r="GJ51" s="54" t="str">
        <f>IF(GJ21="","",IF(GJ21&lt;&gt;"THERMAL",GJ21,IF($GW51="","THERMAL - NOT SPECIFIED",$GW51)))</f>
        <v/>
      </c>
      <c r="GK51" s="54" t="str">
        <f>IF(GK21="","",IF(GK21&lt;&gt;"THERMAL",GK21,IF($GW51="","THERMAL - NOT SPECIFIED",$GW51)))</f>
        <v/>
      </c>
      <c r="GL51" s="54" t="str">
        <f>IF(GL21="","",IF(GL21&lt;&gt;"THERMAL",GL21,IF($GW51="","THERMAL - NOT SPECIFIED",$GW51)))</f>
        <v/>
      </c>
      <c r="GM51" s="54" t="str">
        <f>IF(GM21="","",IF(GM21&lt;&gt;"THERMAL",GM21,IF($GW51="","THERMAL - NOT SPECIFIED",$GW51)))</f>
        <v/>
      </c>
      <c r="GN51" s="54" t="str">
        <f>IF(GN21="","",IF(GN21&lt;&gt;"THERMAL",GN21,IF($GW51="","THERMAL - NOT SPECIFIED",$GW51)))</f>
        <v/>
      </c>
      <c r="GO51" s="54" t="str">
        <f>IF(GO21="","",IF(GO21&lt;&gt;"THERMAL",GO21,IF($GW51="","THERMAL - NOT SPECIFIED",$GW51)))</f>
        <v/>
      </c>
      <c r="GP51" s="54" t="str">
        <f>IF(GP21="","",IF(GP21&lt;&gt;"THERMAL",GP21,IF($GW51="","THERMAL - NOT SPECIFIED",$GW51)))</f>
        <v/>
      </c>
      <c r="GQ51" s="54" t="str">
        <f>IF(GQ21="","",IF(GQ21&lt;&gt;"THERMAL",GQ21,IF($GW51="","THERMAL - NOT SPECIFIED",$GW51)))</f>
        <v/>
      </c>
      <c r="GR51" s="54" t="str">
        <f>IF(GR21="","",IF(GR21&lt;&gt;"THERMAL",GR21,IF($GW51="","THERMAL - NOT SPECIFIED",$GW51)))</f>
        <v/>
      </c>
      <c r="GS51" s="54" t="str">
        <f>IF(GS21="","",IF(GS21&lt;&gt;"THERMAL",GS21,IF($GW51="","THERMAL - NOT SPECIFIED",$GW51)))</f>
        <v/>
      </c>
      <c r="GW51" s="55" t="str">
        <f>IF($GY51="","",IFERROR(INDEX('MC MAP'!$L$5:$L$28,MATCH($GY51,'MC MAP'!$K$5:$K$28,0)),$GY51))</f>
        <v/>
      </c>
      <c r="GY51" s="60"/>
    </row>
    <row r="52" spans="1:207">
      <c r="A52" s="2">
        <f>$A22</f>
        <v>17</v>
      </c>
      <c r="B52" s="54">
        <f>IF(B22="","",IF(B22&lt;&gt;"THERMAL",B22,IF($GW52="","THERMAL - NOT SPECIFIED",$GW52)))</f>
        <v>4117</v>
      </c>
      <c r="C52" s="54">
        <f>IF(C22="","",IF(C22&lt;&gt;"THERMAL",C22,IF($GW52="","THERMAL - NOT SPECIFIED",$GW52)))</f>
        <v>4117</v>
      </c>
      <c r="D52" s="54">
        <f>IF(D22="","",IF(D22&lt;&gt;"THERMAL",D22,IF($GW52="","THERMAL - NOT SPECIFIED",$GW52)))</f>
        <v>4117</v>
      </c>
      <c r="E52" s="54">
        <f>IF(E22="","",IF(E22&lt;&gt;"THERMAL",E22,IF($GW52="","THERMAL - NOT SPECIFIED",$GW52)))</f>
        <v>4117</v>
      </c>
      <c r="F52" s="54">
        <f>IF(F22="","",IF(F22&lt;&gt;"THERMAL",F22,IF($GW52="","THERMAL - NOT SPECIFIED",$GW52)))</f>
        <v>4117</v>
      </c>
      <c r="G52" s="54">
        <f>IF(G22="","",IF(G22&lt;&gt;"THERMAL",G22,IF($GW52="","THERMAL - NOT SPECIFIED",$GW52)))</f>
        <v>4117</v>
      </c>
      <c r="H52" s="54">
        <f>IF(H22="","",IF(H22&lt;&gt;"THERMAL",H22,IF($GW52="","THERMAL - NOT SPECIFIED",$GW52)))</f>
        <v>4117</v>
      </c>
      <c r="I52" s="54">
        <f>IF(I22="","",IF(I22&lt;&gt;"THERMAL",I22,IF($GW52="","THERMAL - NOT SPECIFIED",$GW52)))</f>
        <v>4117</v>
      </c>
      <c r="J52" s="54">
        <f>IF(J22="","",IF(J22&lt;&gt;"THERMAL",J22,IF($GW52="","THERMAL - NOT SPECIFIED",$GW52)))</f>
        <v>4117</v>
      </c>
      <c r="K52" s="54">
        <f>IF(K22="","",IF(K22&lt;&gt;"THERMAL",K22,IF($GW52="","THERMAL - NOT SPECIFIED",$GW52)))</f>
        <v>4117</v>
      </c>
      <c r="L52" s="54">
        <f>IF(L22="","",IF(L22&lt;&gt;"THERMAL",L22,IF($GW52="","THERMAL - NOT SPECIFIED",$GW52)))</f>
        <v>4117</v>
      </c>
      <c r="M52" s="54">
        <f>IF(M22="","",IF(M22&lt;&gt;"THERMAL",M22,IF($GW52="","THERMAL - NOT SPECIFIED",$GW52)))</f>
        <v>4117</v>
      </c>
      <c r="N52" s="54">
        <f>IF(N22="","",IF(N22&lt;&gt;"THERMAL",N22,IF($GW52="","THERMAL - NOT SPECIFIED",$GW52)))</f>
        <v>4117</v>
      </c>
      <c r="O52" s="54">
        <f>IF(O22="","",IF(O22&lt;&gt;"THERMAL",O22,IF($GW52="","THERMAL - NOT SPECIFIED",$GW52)))</f>
        <v>4117</v>
      </c>
      <c r="P52" s="54">
        <f>IF(P22="","",IF(P22&lt;&gt;"THERMAL",P22,IF($GW52="","THERMAL - NOT SPECIFIED",$GW52)))</f>
        <v>4117</v>
      </c>
      <c r="Q52" s="54">
        <f>IF(Q22="","",IF(Q22&lt;&gt;"THERMAL",Q22,IF($GW52="","THERMAL - NOT SPECIFIED",$GW52)))</f>
        <v>4117</v>
      </c>
      <c r="R52" s="54">
        <f>IF(R22="","",IF(R22&lt;&gt;"THERMAL",R22,IF($GW52="","THERMAL - NOT SPECIFIED",$GW52)))</f>
        <v>4117</v>
      </c>
      <c r="S52" s="54">
        <f>IF(S22="","",IF(S22&lt;&gt;"THERMAL",S22,IF($GW52="","THERMAL - NOT SPECIFIED",$GW52)))</f>
        <v>4117</v>
      </c>
      <c r="T52" s="54">
        <f>IF(T22="","",IF(T22&lt;&gt;"THERMAL",T22,IF($GW52="","THERMAL - NOT SPECIFIED",$GW52)))</f>
        <v>4117</v>
      </c>
      <c r="U52" s="54">
        <f>IF(U22="","",IF(U22&lt;&gt;"THERMAL",U22,IF($GW52="","THERMAL - NOT SPECIFIED",$GW52)))</f>
        <v>4117</v>
      </c>
      <c r="V52" s="54">
        <f>IF(V22="","",IF(V22&lt;&gt;"THERMAL",V22,IF($GW52="","THERMAL - NOT SPECIFIED",$GW52)))</f>
        <v>4117</v>
      </c>
      <c r="W52" s="54">
        <f>IF(W22="","",IF(W22&lt;&gt;"THERMAL",W22,IF($GW52="","THERMAL - NOT SPECIFIED",$GW52)))</f>
        <v>4117</v>
      </c>
      <c r="X52" s="54">
        <f>IF(X22="","",IF(X22&lt;&gt;"THERMAL",X22,IF($GW52="","THERMAL - NOT SPECIFIED",$GW52)))</f>
        <v>4117</v>
      </c>
      <c r="Y52" s="54">
        <f>IF(Y22="","",IF(Y22&lt;&gt;"THERMAL",Y22,IF($GW52="","THERMAL - NOT SPECIFIED",$GW52)))</f>
        <v>4117</v>
      </c>
      <c r="Z52" s="54">
        <f>IF(Z22="","",IF(Z22&lt;&gt;"THERMAL",Z22,IF($GW52="","THERMAL - NOT SPECIFIED",$GW52)))</f>
        <v>4117</v>
      </c>
      <c r="AA52" s="54">
        <f>IF(AA22="","",IF(AA22&lt;&gt;"THERMAL",AA22,IF($GW52="","THERMAL - NOT SPECIFIED",$GW52)))</f>
        <v>4117</v>
      </c>
      <c r="AB52" s="54">
        <f>IF(AB22="","",IF(AB22&lt;&gt;"THERMAL",AB22,IF($GW52="","THERMAL - NOT SPECIFIED",$GW52)))</f>
        <v>4117</v>
      </c>
      <c r="AC52" s="54">
        <f>IF(AC22="","",IF(AC22&lt;&gt;"THERMAL",AC22,IF($GW52="","THERMAL - NOT SPECIFIED",$GW52)))</f>
        <v>4117</v>
      </c>
      <c r="AD52" s="54">
        <f>IF(AD22="","",IF(AD22&lt;&gt;"THERMAL",AD22,IF($GW52="","THERMAL - NOT SPECIFIED",$GW52)))</f>
        <v>4117</v>
      </c>
      <c r="AE52" s="54">
        <f>IF(AE22="","",IF(AE22&lt;&gt;"THERMAL",AE22,IF($GW52="","THERMAL - NOT SPECIFIED",$GW52)))</f>
        <v>4117</v>
      </c>
      <c r="AF52" s="54">
        <f>IF(AF22="","",IF(AF22&lt;&gt;"THERMAL",AF22,IF($GW52="","THERMAL - NOT SPECIFIED",$GW52)))</f>
        <v>4117</v>
      </c>
      <c r="AG52" s="54">
        <f>IF(AG22="","",IF(AG22&lt;&gt;"THERMAL",AG22,IF($GW52="","THERMAL - NOT SPECIFIED",$GW52)))</f>
        <v>4117</v>
      </c>
      <c r="AH52" s="54">
        <f>IF(AH22="","",IF(AH22&lt;&gt;"THERMAL",AH22,IF($GW52="","THERMAL - NOT SPECIFIED",$GW52)))</f>
        <v>4117</v>
      </c>
      <c r="AI52" s="54">
        <f>IF(AI22="","",IF(AI22&lt;&gt;"THERMAL",AI22,IF($GW52="","THERMAL - NOT SPECIFIED",$GW52)))</f>
        <v>4117</v>
      </c>
      <c r="AJ52" s="54">
        <f>IF(AJ22="","",IF(AJ22&lt;&gt;"THERMAL",AJ22,IF($GW52="","THERMAL - NOT SPECIFIED",$GW52)))</f>
        <v>4117</v>
      </c>
      <c r="AK52" s="54">
        <f>IF(AK22="","",IF(AK22&lt;&gt;"THERMAL",AK22,IF($GW52="","THERMAL - NOT SPECIFIED",$GW52)))</f>
        <v>4117</v>
      </c>
      <c r="AL52" s="54">
        <f>IF(AL22="","",IF(AL22&lt;&gt;"THERMAL",AL22,IF($GW52="","THERMAL - NOT SPECIFIED",$GW52)))</f>
        <v>4117</v>
      </c>
      <c r="AM52" s="54">
        <f>IF(AM22="","",IF(AM22&lt;&gt;"THERMAL",AM22,IF($GW52="","THERMAL - NOT SPECIFIED",$GW52)))</f>
        <v>4117</v>
      </c>
      <c r="AN52" s="54">
        <f>IF(AN22="","",IF(AN22&lt;&gt;"THERMAL",AN22,IF($GW52="","THERMAL - NOT SPECIFIED",$GW52)))</f>
        <v>4117</v>
      </c>
      <c r="AO52" s="54">
        <f>IF(AO22="","",IF(AO22&lt;&gt;"THERMAL",AO22,IF($GW52="","THERMAL - NOT SPECIFIED",$GW52)))</f>
        <v>4117</v>
      </c>
      <c r="AP52" s="54">
        <f>IF(AP22="","",IF(AP22&lt;&gt;"THERMAL",AP22,IF($GW52="","THERMAL - NOT SPECIFIED",$GW52)))</f>
        <v>4117</v>
      </c>
      <c r="AQ52" s="54">
        <f>IF(AQ22="","",IF(AQ22&lt;&gt;"THERMAL",AQ22,IF($GW52="","THERMAL - NOT SPECIFIED",$GW52)))</f>
        <v>4117</v>
      </c>
      <c r="AR52" s="54">
        <f>IF(AR22="","",IF(AR22&lt;&gt;"THERMAL",AR22,IF($GW52="","THERMAL - NOT SPECIFIED",$GW52)))</f>
        <v>4117</v>
      </c>
      <c r="AS52" s="54">
        <f>IF(AS22="","",IF(AS22&lt;&gt;"THERMAL",AS22,IF($GW52="","THERMAL - NOT SPECIFIED",$GW52)))</f>
        <v>4117</v>
      </c>
      <c r="AT52" s="54">
        <f>IF(AT22="","",IF(AT22&lt;&gt;"THERMAL",AT22,IF($GW52="","THERMAL - NOT SPECIFIED",$GW52)))</f>
        <v>4117</v>
      </c>
      <c r="AU52" s="54">
        <f>IF(AU22="","",IF(AU22&lt;&gt;"THERMAL",AU22,IF($GW52="","THERMAL - NOT SPECIFIED",$GW52)))</f>
        <v>4117</v>
      </c>
      <c r="AV52" s="54">
        <f>IF(AV22="","",IF(AV22&lt;&gt;"THERMAL",AV22,IF($GW52="","THERMAL - NOT SPECIFIED",$GW52)))</f>
        <v>4117</v>
      </c>
      <c r="AW52" s="54">
        <f>IF(AW22="","",IF(AW22&lt;&gt;"THERMAL",AW22,IF($GW52="","THERMAL - NOT SPECIFIED",$GW52)))</f>
        <v>4117</v>
      </c>
      <c r="AX52" s="54">
        <f>IF(AX22="","",IF(AX22&lt;&gt;"THERMAL",AX22,IF($GW52="","THERMAL - NOT SPECIFIED",$GW52)))</f>
        <v>4117</v>
      </c>
      <c r="AY52" s="54">
        <f>IF(AY22="","",IF(AY22&lt;&gt;"THERMAL",AY22,IF($GW52="","THERMAL - NOT SPECIFIED",$GW52)))</f>
        <v>4117</v>
      </c>
      <c r="AZ52" s="54">
        <f>IF(AZ22="","",IF(AZ22&lt;&gt;"THERMAL",AZ22,IF($GW52="","THERMAL - NOT SPECIFIED",$GW52)))</f>
        <v>4117</v>
      </c>
      <c r="BA52" s="54">
        <f>IF(BA22="","",IF(BA22&lt;&gt;"THERMAL",BA22,IF($GW52="","THERMAL - NOT SPECIFIED",$GW52)))</f>
        <v>4117</v>
      </c>
      <c r="BB52" s="54">
        <f>IF(BB22="","",IF(BB22&lt;&gt;"THERMAL",BB22,IF($GW52="","THERMAL - NOT SPECIFIED",$GW52)))</f>
        <v>4117</v>
      </c>
      <c r="BC52" s="54">
        <f>IF(BC22="","",IF(BC22&lt;&gt;"THERMAL",BC22,IF($GW52="","THERMAL - NOT SPECIFIED",$GW52)))</f>
        <v>4117</v>
      </c>
      <c r="BD52" s="54">
        <f>IF(BD22="","",IF(BD22&lt;&gt;"THERMAL",BD22,IF($GW52="","THERMAL - NOT SPECIFIED",$GW52)))</f>
        <v>4117</v>
      </c>
      <c r="BE52" s="54">
        <f>IF(BE22="","",IF(BE22&lt;&gt;"THERMAL",BE22,IF($GW52="","THERMAL - NOT SPECIFIED",$GW52)))</f>
        <v>4117</v>
      </c>
      <c r="BF52" s="54">
        <f>IF(BF22="","",IF(BF22&lt;&gt;"THERMAL",BF22,IF($GW52="","THERMAL - NOT SPECIFIED",$GW52)))</f>
        <v>4117</v>
      </c>
      <c r="BG52" s="54">
        <f>IF(BG22="","",IF(BG22&lt;&gt;"THERMAL",BG22,IF($GW52="","THERMAL - NOT SPECIFIED",$GW52)))</f>
        <v>4117</v>
      </c>
      <c r="BH52" s="54">
        <f>IF(BH22="","",IF(BH22&lt;&gt;"THERMAL",BH22,IF($GW52="","THERMAL - NOT SPECIFIED",$GW52)))</f>
        <v>4117</v>
      </c>
      <c r="BI52" s="54">
        <f>IF(BI22="","",IF(BI22&lt;&gt;"THERMAL",BI22,IF($GW52="","THERMAL - NOT SPECIFIED",$GW52)))</f>
        <v>4117</v>
      </c>
      <c r="BJ52" s="54">
        <f>IF(BJ22="","",IF(BJ22&lt;&gt;"THERMAL",BJ22,IF($GW52="","THERMAL - NOT SPECIFIED",$GW52)))</f>
        <v>4117</v>
      </c>
      <c r="BK52" s="54">
        <f>IF(BK22="","",IF(BK22&lt;&gt;"THERMAL",BK22,IF($GW52="","THERMAL - NOT SPECIFIED",$GW52)))</f>
        <v>4117</v>
      </c>
      <c r="BL52" s="54">
        <f>IF(BL22="","",IF(BL22&lt;&gt;"THERMAL",BL22,IF($GW52="","THERMAL - NOT SPECIFIED",$GW52)))</f>
        <v>4117</v>
      </c>
      <c r="BM52" s="54">
        <f>IF(BM22="","",IF(BM22&lt;&gt;"THERMAL",BM22,IF($GW52="","THERMAL - NOT SPECIFIED",$GW52)))</f>
        <v>4117</v>
      </c>
      <c r="BN52" s="54">
        <f>IF(BN22="","",IF(BN22&lt;&gt;"THERMAL",BN22,IF($GW52="","THERMAL - NOT SPECIFIED",$GW52)))</f>
        <v>4117</v>
      </c>
      <c r="BO52" s="54">
        <f>IF(BO22="","",IF(BO22&lt;&gt;"THERMAL",BO22,IF($GW52="","THERMAL - NOT SPECIFIED",$GW52)))</f>
        <v>4117</v>
      </c>
      <c r="BP52" s="54">
        <f>IF(BP22="","",IF(BP22&lt;&gt;"THERMAL",BP22,IF($GW52="","THERMAL - NOT SPECIFIED",$GW52)))</f>
        <v>4117</v>
      </c>
      <c r="BQ52" s="54">
        <f>IF(BQ22="","",IF(BQ22&lt;&gt;"THERMAL",BQ22,IF($GW52="","THERMAL - NOT SPECIFIED",$GW52)))</f>
        <v>4117</v>
      </c>
      <c r="BR52" s="54">
        <f>IF(BR22="","",IF(BR22&lt;&gt;"THERMAL",BR22,IF($GW52="","THERMAL - NOT SPECIFIED",$GW52)))</f>
        <v>4117</v>
      </c>
      <c r="BS52" s="54">
        <f>IF(BS22="","",IF(BS22&lt;&gt;"THERMAL",BS22,IF($GW52="","THERMAL - NOT SPECIFIED",$GW52)))</f>
        <v>4117</v>
      </c>
      <c r="BT52" s="54">
        <f>IF(BT22="","",IF(BT22&lt;&gt;"THERMAL",BT22,IF($GW52="","THERMAL - NOT SPECIFIED",$GW52)))</f>
        <v>4117</v>
      </c>
      <c r="BU52" s="54">
        <f>IF(BU22="","",IF(BU22&lt;&gt;"THERMAL",BU22,IF($GW52="","THERMAL - NOT SPECIFIED",$GW52)))</f>
        <v>4117</v>
      </c>
      <c r="BV52" s="54">
        <f>IF(BV22="","",IF(BV22&lt;&gt;"THERMAL",BV22,IF($GW52="","THERMAL - NOT SPECIFIED",$GW52)))</f>
        <v>4117</v>
      </c>
      <c r="BW52" s="54">
        <f>IF(BW22="","",IF(BW22&lt;&gt;"THERMAL",BW22,IF($GW52="","THERMAL - NOT SPECIFIED",$GW52)))</f>
        <v>4117</v>
      </c>
      <c r="BX52" s="54">
        <f>IF(BX22="","",IF(BX22&lt;&gt;"THERMAL",BX22,IF($GW52="","THERMAL - NOT SPECIFIED",$GW52)))</f>
        <v>4117</v>
      </c>
      <c r="BY52" s="54">
        <f>IF(BY22="","",IF(BY22&lt;&gt;"THERMAL",BY22,IF($GW52="","THERMAL - NOT SPECIFIED",$GW52)))</f>
        <v>4117</v>
      </c>
      <c r="BZ52" s="54" t="str">
        <f>IF(BZ22="","",IF(BZ22&lt;&gt;"THERMAL",BZ22,IF($GW52="","THERMAL - NOT SPECIFIED",$GW52)))</f>
        <v>VACCANT</v>
      </c>
      <c r="CA52" s="54" t="str">
        <f>IF(CA22="","",IF(CA22&lt;&gt;"THERMAL",CA22,IF($GW52="","THERMAL - NOT SPECIFIED",$GW52)))</f>
        <v/>
      </c>
      <c r="CB52" s="54" t="str">
        <f>IF(CB22="","",IF(CB22&lt;&gt;"THERMAL",CB22,IF($GW52="","THERMAL - NOT SPECIFIED",$GW52)))</f>
        <v/>
      </c>
      <c r="CC52" s="54" t="str">
        <f>IF(CC22="","",IF(CC22&lt;&gt;"THERMAL",CC22,IF($GW52="","THERMAL - NOT SPECIFIED",$GW52)))</f>
        <v/>
      </c>
      <c r="CD52" s="54" t="str">
        <f>IF(CD22="","",IF(CD22&lt;&gt;"THERMAL",CD22,IF($GW52="","THERMAL - NOT SPECIFIED",$GW52)))</f>
        <v/>
      </c>
      <c r="CE52" s="54" t="str">
        <f>IF(CE22="","",IF(CE22&lt;&gt;"THERMAL",CE22,IF($GW52="","THERMAL - NOT SPECIFIED",$GW52)))</f>
        <v/>
      </c>
      <c r="CF52" s="54" t="str">
        <f>IF(CF22="","",IF(CF22&lt;&gt;"THERMAL",CF22,IF($GW52="","THERMAL - NOT SPECIFIED",$GW52)))</f>
        <v/>
      </c>
      <c r="CG52" s="54" t="str">
        <f>IF(CG22="","",IF(CG22&lt;&gt;"THERMAL",CG22,IF($GW52="","THERMAL - NOT SPECIFIED",$GW52)))</f>
        <v/>
      </c>
      <c r="CH52" s="54" t="str">
        <f>IF(CH22="","",IF(CH22&lt;&gt;"THERMAL",CH22,IF($GW52="","THERMAL - NOT SPECIFIED",$GW52)))</f>
        <v/>
      </c>
      <c r="CI52" s="54" t="str">
        <f>IF(CI22="","",IF(CI22&lt;&gt;"THERMAL",CI22,IF($GW52="","THERMAL - NOT SPECIFIED",$GW52)))</f>
        <v/>
      </c>
      <c r="CJ52" s="54" t="str">
        <f>IF(CJ22="","",IF(CJ22&lt;&gt;"THERMAL",CJ22,IF($GW52="","THERMAL - NOT SPECIFIED",$GW52)))</f>
        <v/>
      </c>
      <c r="CK52" s="54" t="str">
        <f>IF(CK22="","",IF(CK22&lt;&gt;"THERMAL",CK22,IF($GW52="","THERMAL - NOT SPECIFIED",$GW52)))</f>
        <v/>
      </c>
      <c r="CL52" s="54" t="str">
        <f>IF(CL22="","",IF(CL22&lt;&gt;"THERMAL",CL22,IF($GW52="","THERMAL - NOT SPECIFIED",$GW52)))</f>
        <v/>
      </c>
      <c r="CM52" s="54" t="str">
        <f>IF(CM22="","",IF(CM22&lt;&gt;"THERMAL",CM22,IF($GW52="","THERMAL - NOT SPECIFIED",$GW52)))</f>
        <v/>
      </c>
      <c r="CN52" s="54" t="str">
        <f>IF(CN22="","",IF(CN22&lt;&gt;"THERMAL",CN22,IF($GW52="","THERMAL - NOT SPECIFIED",$GW52)))</f>
        <v/>
      </c>
      <c r="CO52" s="54" t="str">
        <f>IF(CO22="","",IF(CO22&lt;&gt;"THERMAL",CO22,IF($GW52="","THERMAL - NOT SPECIFIED",$GW52)))</f>
        <v/>
      </c>
      <c r="CP52" s="54" t="str">
        <f>IF(CP22="","",IF(CP22&lt;&gt;"THERMAL",CP22,IF($GW52="","THERMAL - NOT SPECIFIED",$GW52)))</f>
        <v/>
      </c>
      <c r="CQ52" s="54" t="str">
        <f>IF(CQ22="","",IF(CQ22&lt;&gt;"THERMAL",CQ22,IF($GW52="","THERMAL - NOT SPECIFIED",$GW52)))</f>
        <v/>
      </c>
      <c r="CR52" s="54" t="str">
        <f>IF(CR22="","",IF(CR22&lt;&gt;"THERMAL",CR22,IF($GW52="","THERMAL - NOT SPECIFIED",$GW52)))</f>
        <v/>
      </c>
      <c r="CS52" s="54" t="str">
        <f>IF(CS22="","",IF(CS22&lt;&gt;"THERMAL",CS22,IF($GW52="","THERMAL - NOT SPECIFIED",$GW52)))</f>
        <v/>
      </c>
      <c r="CT52" s="54" t="str">
        <f>IF(CT22="","",IF(CT22&lt;&gt;"THERMAL",CT22,IF($GW52="","THERMAL - NOT SPECIFIED",$GW52)))</f>
        <v/>
      </c>
      <c r="CU52" s="54" t="str">
        <f>IF(CU22="","",IF(CU22&lt;&gt;"THERMAL",CU22,IF($GW52="","THERMAL - NOT SPECIFIED",$GW52)))</f>
        <v/>
      </c>
      <c r="CV52" s="54" t="str">
        <f>IF(CV22="","",IF(CV22&lt;&gt;"THERMAL",CV22,IF($GW52="","THERMAL - NOT SPECIFIED",$GW52)))</f>
        <v/>
      </c>
      <c r="CW52" s="54" t="str">
        <f>IF(CW22="","",IF(CW22&lt;&gt;"THERMAL",CW22,IF($GW52="","THERMAL - NOT SPECIFIED",$GW52)))</f>
        <v/>
      </c>
      <c r="CX52" s="54" t="str">
        <f>IF(CX22="","",IF(CX22&lt;&gt;"THERMAL",CX22,IF($GW52="","THERMAL - NOT SPECIFIED",$GW52)))</f>
        <v/>
      </c>
      <c r="CY52" s="54" t="str">
        <f>IF(CY22="","",IF(CY22&lt;&gt;"THERMAL",CY22,IF($GW52="","THERMAL - NOT SPECIFIED",$GW52)))</f>
        <v/>
      </c>
      <c r="CZ52" s="54" t="str">
        <f>IF(CZ22="","",IF(CZ22&lt;&gt;"THERMAL",CZ22,IF($GW52="","THERMAL - NOT SPECIFIED",$GW52)))</f>
        <v/>
      </c>
      <c r="DA52" s="54" t="str">
        <f>IF(DA22="","",IF(DA22&lt;&gt;"THERMAL",DA22,IF($GW52="","THERMAL - NOT SPECIFIED",$GW52)))</f>
        <v/>
      </c>
      <c r="DB52" s="54" t="str">
        <f>IF(DB22="","",IF(DB22&lt;&gt;"THERMAL",DB22,IF($GW52="","THERMAL - NOT SPECIFIED",$GW52)))</f>
        <v/>
      </c>
      <c r="DC52" s="54" t="str">
        <f>IF(DC22="","",IF(DC22&lt;&gt;"THERMAL",DC22,IF($GW52="","THERMAL - NOT SPECIFIED",$GW52)))</f>
        <v/>
      </c>
      <c r="DD52" s="54" t="str">
        <f>IF(DD22="","",IF(DD22&lt;&gt;"THERMAL",DD22,IF($GW52="","THERMAL - NOT SPECIFIED",$GW52)))</f>
        <v/>
      </c>
      <c r="DE52" s="54" t="str">
        <f>IF(DE22="","",IF(DE22&lt;&gt;"THERMAL",DE22,IF($GW52="","THERMAL - NOT SPECIFIED",$GW52)))</f>
        <v/>
      </c>
      <c r="DF52" s="54" t="str">
        <f>IF(DF22="","",IF(DF22&lt;&gt;"THERMAL",DF22,IF($GW52="","THERMAL - NOT SPECIFIED",$GW52)))</f>
        <v/>
      </c>
      <c r="DG52" s="54" t="str">
        <f>IF(DG22="","",IF(DG22&lt;&gt;"THERMAL",DG22,IF($GW52="","THERMAL - NOT SPECIFIED",$GW52)))</f>
        <v/>
      </c>
      <c r="DH52" s="54" t="str">
        <f>IF(DH22="","",IF(DH22&lt;&gt;"THERMAL",DH22,IF($GW52="","THERMAL - NOT SPECIFIED",$GW52)))</f>
        <v/>
      </c>
      <c r="DI52" s="54" t="str">
        <f>IF(DI22="","",IF(DI22&lt;&gt;"THERMAL",DI22,IF($GW52="","THERMAL - NOT SPECIFIED",$GW52)))</f>
        <v/>
      </c>
      <c r="DJ52" s="54" t="str">
        <f>IF(DJ22="","",IF(DJ22&lt;&gt;"THERMAL",DJ22,IF($GW52="","THERMAL - NOT SPECIFIED",$GW52)))</f>
        <v/>
      </c>
      <c r="DK52" s="54" t="str">
        <f>IF(DK22="","",IF(DK22&lt;&gt;"THERMAL",DK22,IF($GW52="","THERMAL - NOT SPECIFIED",$GW52)))</f>
        <v/>
      </c>
      <c r="DL52" s="54" t="str">
        <f>IF(DL22="","",IF(DL22&lt;&gt;"THERMAL",DL22,IF($GW52="","THERMAL - NOT SPECIFIED",$GW52)))</f>
        <v/>
      </c>
      <c r="DM52" s="54" t="str">
        <f>IF(DM22="","",IF(DM22&lt;&gt;"THERMAL",DM22,IF($GW52="","THERMAL - NOT SPECIFIED",$GW52)))</f>
        <v/>
      </c>
      <c r="DN52" s="54" t="str">
        <f>IF(DN22="","",IF(DN22&lt;&gt;"THERMAL",DN22,IF($GW52="","THERMAL - NOT SPECIFIED",$GW52)))</f>
        <v/>
      </c>
      <c r="DO52" s="54" t="str">
        <f>IF(DO22="","",IF(DO22&lt;&gt;"THERMAL",DO22,IF($GW52="","THERMAL - NOT SPECIFIED",$GW52)))</f>
        <v/>
      </c>
      <c r="DP52" s="54" t="str">
        <f>IF(DP22="","",IF(DP22&lt;&gt;"THERMAL",DP22,IF($GW52="","THERMAL - NOT SPECIFIED",$GW52)))</f>
        <v/>
      </c>
      <c r="DQ52" s="54" t="str">
        <f>IF(DQ22="","",IF(DQ22&lt;&gt;"THERMAL",DQ22,IF($GW52="","THERMAL - NOT SPECIFIED",$GW52)))</f>
        <v/>
      </c>
      <c r="DR52" s="54" t="str">
        <f>IF(DR22="","",IF(DR22&lt;&gt;"THERMAL",DR22,IF($GW52="","THERMAL - NOT SPECIFIED",$GW52)))</f>
        <v/>
      </c>
      <c r="DS52" s="54" t="str">
        <f>IF(DS22="","",IF(DS22&lt;&gt;"THERMAL",DS22,IF($GW52="","THERMAL - NOT SPECIFIED",$GW52)))</f>
        <v/>
      </c>
      <c r="DT52" s="54" t="str">
        <f>IF(DT22="","",IF(DT22&lt;&gt;"THERMAL",DT22,IF($GW52="","THERMAL - NOT SPECIFIED",$GW52)))</f>
        <v/>
      </c>
      <c r="DU52" s="54" t="str">
        <f>IF(DU22="","",IF(DU22&lt;&gt;"THERMAL",DU22,IF($GW52="","THERMAL - NOT SPECIFIED",$GW52)))</f>
        <v/>
      </c>
      <c r="DV52" s="54" t="str">
        <f>IF(DV22="","",IF(DV22&lt;&gt;"THERMAL",DV22,IF($GW52="","THERMAL - NOT SPECIFIED",$GW52)))</f>
        <v/>
      </c>
      <c r="DW52" s="54" t="str">
        <f>IF(DW22="","",IF(DW22&lt;&gt;"THERMAL",DW22,IF($GW52="","THERMAL - NOT SPECIFIED",$GW52)))</f>
        <v/>
      </c>
      <c r="DX52" s="54" t="str">
        <f>IF(DX22="","",IF(DX22&lt;&gt;"THERMAL",DX22,IF($GW52="","THERMAL - NOT SPECIFIED",$GW52)))</f>
        <v/>
      </c>
      <c r="DY52" s="54" t="str">
        <f>IF(DY22="","",IF(DY22&lt;&gt;"THERMAL",DY22,IF($GW52="","THERMAL - NOT SPECIFIED",$GW52)))</f>
        <v/>
      </c>
      <c r="DZ52" s="54" t="str">
        <f>IF(DZ22="","",IF(DZ22&lt;&gt;"THERMAL",DZ22,IF($GW52="","THERMAL - NOT SPECIFIED",$GW52)))</f>
        <v/>
      </c>
      <c r="EA52" s="54" t="str">
        <f>IF(EA22="","",IF(EA22&lt;&gt;"THERMAL",EA22,IF($GW52="","THERMAL - NOT SPECIFIED",$GW52)))</f>
        <v/>
      </c>
      <c r="EB52" s="54" t="str">
        <f>IF(EB22="","",IF(EB22&lt;&gt;"THERMAL",EB22,IF($GW52="","THERMAL - NOT SPECIFIED",$GW52)))</f>
        <v/>
      </c>
      <c r="EC52" s="54" t="str">
        <f>IF(EC22="","",IF(EC22&lt;&gt;"THERMAL",EC22,IF($GW52="","THERMAL - NOT SPECIFIED",$GW52)))</f>
        <v/>
      </c>
      <c r="ED52" s="54" t="str">
        <f>IF(ED22="","",IF(ED22&lt;&gt;"THERMAL",ED22,IF($GW52="","THERMAL - NOT SPECIFIED",$GW52)))</f>
        <v/>
      </c>
      <c r="EE52" s="54" t="str">
        <f>IF(EE22="","",IF(EE22&lt;&gt;"THERMAL",EE22,IF($GW52="","THERMAL - NOT SPECIFIED",$GW52)))</f>
        <v/>
      </c>
      <c r="EF52" s="54" t="str">
        <f>IF(EF22="","",IF(EF22&lt;&gt;"THERMAL",EF22,IF($GW52="","THERMAL - NOT SPECIFIED",$GW52)))</f>
        <v/>
      </c>
      <c r="EG52" s="54" t="str">
        <f>IF(EG22="","",IF(EG22&lt;&gt;"THERMAL",EG22,IF($GW52="","THERMAL - NOT SPECIFIED",$GW52)))</f>
        <v/>
      </c>
      <c r="EH52" s="54" t="str">
        <f>IF(EH22="","",IF(EH22&lt;&gt;"THERMAL",EH22,IF($GW52="","THERMAL - NOT SPECIFIED",$GW52)))</f>
        <v/>
      </c>
      <c r="EI52" s="54" t="str">
        <f>IF(EI22="","",IF(EI22&lt;&gt;"THERMAL",EI22,IF($GW52="","THERMAL - NOT SPECIFIED",$GW52)))</f>
        <v/>
      </c>
      <c r="EJ52" s="54" t="str">
        <f>IF(EJ22="","",IF(EJ22&lt;&gt;"THERMAL",EJ22,IF($GW52="","THERMAL - NOT SPECIFIED",$GW52)))</f>
        <v/>
      </c>
      <c r="EK52" s="54" t="str">
        <f>IF(EK22="","",IF(EK22&lt;&gt;"THERMAL",EK22,IF($GW52="","THERMAL - NOT SPECIFIED",$GW52)))</f>
        <v/>
      </c>
      <c r="EL52" s="54" t="str">
        <f>IF(EL22="","",IF(EL22&lt;&gt;"THERMAL",EL22,IF($GW52="","THERMAL - NOT SPECIFIED",$GW52)))</f>
        <v/>
      </c>
      <c r="EM52" s="54" t="str">
        <f>IF(EM22="","",IF(EM22&lt;&gt;"THERMAL",EM22,IF($GW52="","THERMAL - NOT SPECIFIED",$GW52)))</f>
        <v/>
      </c>
      <c r="EN52" s="54" t="str">
        <f>IF(EN22="","",IF(EN22&lt;&gt;"THERMAL",EN22,IF($GW52="","THERMAL - NOT SPECIFIED",$GW52)))</f>
        <v/>
      </c>
      <c r="EO52" s="54" t="str">
        <f>IF(EO22="","",IF(EO22&lt;&gt;"THERMAL",EO22,IF($GW52="","THERMAL - NOT SPECIFIED",$GW52)))</f>
        <v/>
      </c>
      <c r="EP52" s="54" t="str">
        <f>IF(EP22="","",IF(EP22&lt;&gt;"THERMAL",EP22,IF($GW52="","THERMAL - NOT SPECIFIED",$GW52)))</f>
        <v/>
      </c>
      <c r="EQ52" s="54" t="str">
        <f>IF(EQ22="","",IF(EQ22&lt;&gt;"THERMAL",EQ22,IF($GW52="","THERMAL - NOT SPECIFIED",$GW52)))</f>
        <v/>
      </c>
      <c r="ER52" s="54" t="str">
        <f>IF(ER22="","",IF(ER22&lt;&gt;"THERMAL",ER22,IF($GW52="","THERMAL - NOT SPECIFIED",$GW52)))</f>
        <v/>
      </c>
      <c r="ES52" s="54" t="str">
        <f>IF(ES22="","",IF(ES22&lt;&gt;"THERMAL",ES22,IF($GW52="","THERMAL - NOT SPECIFIED",$GW52)))</f>
        <v/>
      </c>
      <c r="ET52" s="54" t="str">
        <f>IF(ET22="","",IF(ET22&lt;&gt;"THERMAL",ET22,IF($GW52="","THERMAL - NOT SPECIFIED",$GW52)))</f>
        <v/>
      </c>
      <c r="EU52" s="54" t="str">
        <f>IF(EU22="","",IF(EU22&lt;&gt;"THERMAL",EU22,IF($GW52="","THERMAL - NOT SPECIFIED",$GW52)))</f>
        <v/>
      </c>
      <c r="EV52" s="54" t="str">
        <f>IF(EV22="","",IF(EV22&lt;&gt;"THERMAL",EV22,IF($GW52="","THERMAL - NOT SPECIFIED",$GW52)))</f>
        <v/>
      </c>
      <c r="EW52" s="54" t="str">
        <f>IF(EW22="","",IF(EW22&lt;&gt;"THERMAL",EW22,IF($GW52="","THERMAL - NOT SPECIFIED",$GW52)))</f>
        <v/>
      </c>
      <c r="EX52" s="54" t="str">
        <f>IF(EX22="","",IF(EX22&lt;&gt;"THERMAL",EX22,IF($GW52="","THERMAL - NOT SPECIFIED",$GW52)))</f>
        <v/>
      </c>
      <c r="EY52" s="54" t="str">
        <f>IF(EY22="","",IF(EY22&lt;&gt;"THERMAL",EY22,IF($GW52="","THERMAL - NOT SPECIFIED",$GW52)))</f>
        <v/>
      </c>
      <c r="EZ52" s="54" t="str">
        <f>IF(EZ22="","",IF(EZ22&lt;&gt;"THERMAL",EZ22,IF($GW52="","THERMAL - NOT SPECIFIED",$GW52)))</f>
        <v/>
      </c>
      <c r="FA52" s="54" t="str">
        <f>IF(FA22="","",IF(FA22&lt;&gt;"THERMAL",FA22,IF($GW52="","THERMAL - NOT SPECIFIED",$GW52)))</f>
        <v/>
      </c>
      <c r="FB52" s="54" t="str">
        <f>IF(FB22="","",IF(FB22&lt;&gt;"THERMAL",FB22,IF($GW52="","THERMAL - NOT SPECIFIED",$GW52)))</f>
        <v/>
      </c>
      <c r="FC52" s="54" t="str">
        <f>IF(FC22="","",IF(FC22&lt;&gt;"THERMAL",FC22,IF($GW52="","THERMAL - NOT SPECIFIED",$GW52)))</f>
        <v/>
      </c>
      <c r="FD52" s="54" t="str">
        <f>IF(FD22="","",IF(FD22&lt;&gt;"THERMAL",FD22,IF($GW52="","THERMAL - NOT SPECIFIED",$GW52)))</f>
        <v/>
      </c>
      <c r="FE52" s="54" t="str">
        <f>IF(FE22="","",IF(FE22&lt;&gt;"THERMAL",FE22,IF($GW52="","THERMAL - NOT SPECIFIED",$GW52)))</f>
        <v/>
      </c>
      <c r="FF52" s="54" t="str">
        <f>IF(FF22="","",IF(FF22&lt;&gt;"THERMAL",FF22,IF($GW52="","THERMAL - NOT SPECIFIED",$GW52)))</f>
        <v/>
      </c>
      <c r="FG52" s="54" t="str">
        <f>IF(FG22="","",IF(FG22&lt;&gt;"THERMAL",FG22,IF($GW52="","THERMAL - NOT SPECIFIED",$GW52)))</f>
        <v/>
      </c>
      <c r="FH52" s="54" t="str">
        <f>IF(FH22="","",IF(FH22&lt;&gt;"THERMAL",FH22,IF($GW52="","THERMAL - NOT SPECIFIED",$GW52)))</f>
        <v/>
      </c>
      <c r="FI52" s="54" t="str">
        <f>IF(FI22="","",IF(FI22&lt;&gt;"THERMAL",FI22,IF($GW52="","THERMAL - NOT SPECIFIED",$GW52)))</f>
        <v/>
      </c>
      <c r="FJ52" s="54" t="str">
        <f>IF(FJ22="","",IF(FJ22&lt;&gt;"THERMAL",FJ22,IF($GW52="","THERMAL - NOT SPECIFIED",$GW52)))</f>
        <v/>
      </c>
      <c r="FK52" s="54" t="str">
        <f>IF(FK22="","",IF(FK22&lt;&gt;"THERMAL",FK22,IF($GW52="","THERMAL - NOT SPECIFIED",$GW52)))</f>
        <v/>
      </c>
      <c r="FL52" s="54" t="str">
        <f>IF(FL22="","",IF(FL22&lt;&gt;"THERMAL",FL22,IF($GW52="","THERMAL - NOT SPECIFIED",$GW52)))</f>
        <v/>
      </c>
      <c r="FM52" s="54" t="str">
        <f>IF(FM22="","",IF(FM22&lt;&gt;"THERMAL",FM22,IF($GW52="","THERMAL - NOT SPECIFIED",$GW52)))</f>
        <v/>
      </c>
      <c r="FN52" s="54" t="str">
        <f>IF(FN22="","",IF(FN22&lt;&gt;"THERMAL",FN22,IF($GW52="","THERMAL - NOT SPECIFIED",$GW52)))</f>
        <v/>
      </c>
      <c r="FO52" s="54" t="str">
        <f>IF(FO22="","",IF(FO22&lt;&gt;"THERMAL",FO22,IF($GW52="","THERMAL - NOT SPECIFIED",$GW52)))</f>
        <v/>
      </c>
      <c r="FP52" s="54" t="str">
        <f>IF(FP22="","",IF(FP22&lt;&gt;"THERMAL",FP22,IF($GW52="","THERMAL - NOT SPECIFIED",$GW52)))</f>
        <v/>
      </c>
      <c r="FQ52" s="54" t="str">
        <f>IF(FQ22="","",IF(FQ22&lt;&gt;"THERMAL",FQ22,IF($GW52="","THERMAL - NOT SPECIFIED",$GW52)))</f>
        <v/>
      </c>
      <c r="FR52" s="54" t="str">
        <f>IF(FR22="","",IF(FR22&lt;&gt;"THERMAL",FR22,IF($GW52="","THERMAL - NOT SPECIFIED",$GW52)))</f>
        <v/>
      </c>
      <c r="FS52" s="54" t="str">
        <f>IF(FS22="","",IF(FS22&lt;&gt;"THERMAL",FS22,IF($GW52="","THERMAL - NOT SPECIFIED",$GW52)))</f>
        <v/>
      </c>
      <c r="FT52" s="54" t="str">
        <f>IF(FT22="","",IF(FT22&lt;&gt;"THERMAL",FT22,IF($GW52="","THERMAL - NOT SPECIFIED",$GW52)))</f>
        <v/>
      </c>
      <c r="FU52" s="54" t="str">
        <f>IF(FU22="","",IF(FU22&lt;&gt;"THERMAL",FU22,IF($GW52="","THERMAL - NOT SPECIFIED",$GW52)))</f>
        <v/>
      </c>
      <c r="FV52" s="54" t="str">
        <f>IF(FV22="","",IF(FV22&lt;&gt;"THERMAL",FV22,IF($GW52="","THERMAL - NOT SPECIFIED",$GW52)))</f>
        <v/>
      </c>
      <c r="FW52" s="54" t="str">
        <f>IF(FW22="","",IF(FW22&lt;&gt;"THERMAL",FW22,IF($GW52="","THERMAL - NOT SPECIFIED",$GW52)))</f>
        <v/>
      </c>
      <c r="FX52" s="54" t="str">
        <f>IF(FX22="","",IF(FX22&lt;&gt;"THERMAL",FX22,IF($GW52="","THERMAL - NOT SPECIFIED",$GW52)))</f>
        <v/>
      </c>
      <c r="FY52" s="54" t="str">
        <f>IF(FY22="","",IF(FY22&lt;&gt;"THERMAL",FY22,IF($GW52="","THERMAL - NOT SPECIFIED",$GW52)))</f>
        <v/>
      </c>
      <c r="FZ52" s="54" t="str">
        <f>IF(FZ22="","",IF(FZ22&lt;&gt;"THERMAL",FZ22,IF($GW52="","THERMAL - NOT SPECIFIED",$GW52)))</f>
        <v/>
      </c>
      <c r="GA52" s="54" t="str">
        <f>IF(GA22="","",IF(GA22&lt;&gt;"THERMAL",GA22,IF($GW52="","THERMAL - NOT SPECIFIED",$GW52)))</f>
        <v/>
      </c>
      <c r="GB52" s="54" t="str">
        <f>IF(GB22="","",IF(GB22&lt;&gt;"THERMAL",GB22,IF($GW52="","THERMAL - NOT SPECIFIED",$GW52)))</f>
        <v/>
      </c>
      <c r="GC52" s="54" t="str">
        <f>IF(GC22="","",IF(GC22&lt;&gt;"THERMAL",GC22,IF($GW52="","THERMAL - NOT SPECIFIED",$GW52)))</f>
        <v/>
      </c>
      <c r="GD52" s="54" t="str">
        <f>IF(GD22="","",IF(GD22&lt;&gt;"THERMAL",GD22,IF($GW52="","THERMAL - NOT SPECIFIED",$GW52)))</f>
        <v/>
      </c>
      <c r="GE52" s="54" t="str">
        <f>IF(GE22="","",IF(GE22&lt;&gt;"THERMAL",GE22,IF($GW52="","THERMAL - NOT SPECIFIED",$GW52)))</f>
        <v/>
      </c>
      <c r="GF52" s="54" t="str">
        <f>IF(GF22="","",IF(GF22&lt;&gt;"THERMAL",GF22,IF($GW52="","THERMAL - NOT SPECIFIED",$GW52)))</f>
        <v/>
      </c>
      <c r="GG52" s="54" t="str">
        <f>IF(GG22="","",IF(GG22&lt;&gt;"THERMAL",GG22,IF($GW52="","THERMAL - NOT SPECIFIED",$GW52)))</f>
        <v/>
      </c>
      <c r="GH52" s="54" t="str">
        <f>IF(GH22="","",IF(GH22&lt;&gt;"THERMAL",GH22,IF($GW52="","THERMAL - NOT SPECIFIED",$GW52)))</f>
        <v/>
      </c>
      <c r="GI52" s="54" t="str">
        <f>IF(GI22="","",IF(GI22&lt;&gt;"THERMAL",GI22,IF($GW52="","THERMAL - NOT SPECIFIED",$GW52)))</f>
        <v/>
      </c>
      <c r="GJ52" s="54" t="str">
        <f>IF(GJ22="","",IF(GJ22&lt;&gt;"THERMAL",GJ22,IF($GW52="","THERMAL - NOT SPECIFIED",$GW52)))</f>
        <v/>
      </c>
      <c r="GK52" s="54" t="str">
        <f>IF(GK22="","",IF(GK22&lt;&gt;"THERMAL",GK22,IF($GW52="","THERMAL - NOT SPECIFIED",$GW52)))</f>
        <v/>
      </c>
      <c r="GL52" s="54" t="str">
        <f>IF(GL22="","",IF(GL22&lt;&gt;"THERMAL",GL22,IF($GW52="","THERMAL - NOT SPECIFIED",$GW52)))</f>
        <v/>
      </c>
      <c r="GM52" s="54" t="str">
        <f>IF(GM22="","",IF(GM22&lt;&gt;"THERMAL",GM22,IF($GW52="","THERMAL - NOT SPECIFIED",$GW52)))</f>
        <v/>
      </c>
      <c r="GN52" s="54" t="str">
        <f>IF(GN22="","",IF(GN22&lt;&gt;"THERMAL",GN22,IF($GW52="","THERMAL - NOT SPECIFIED",$GW52)))</f>
        <v/>
      </c>
      <c r="GO52" s="54" t="str">
        <f>IF(GO22="","",IF(GO22&lt;&gt;"THERMAL",GO22,IF($GW52="","THERMAL - NOT SPECIFIED",$GW52)))</f>
        <v/>
      </c>
      <c r="GP52" s="54" t="str">
        <f>IF(GP22="","",IF(GP22&lt;&gt;"THERMAL",GP22,IF($GW52="","THERMAL - NOT SPECIFIED",$GW52)))</f>
        <v/>
      </c>
      <c r="GQ52" s="54" t="str">
        <f>IF(GQ22="","",IF(GQ22&lt;&gt;"THERMAL",GQ22,IF($GW52="","THERMAL - NOT SPECIFIED",$GW52)))</f>
        <v/>
      </c>
      <c r="GR52" s="54" t="str">
        <f>IF(GR22="","",IF(GR22&lt;&gt;"THERMAL",GR22,IF($GW52="","THERMAL - NOT SPECIFIED",$GW52)))</f>
        <v/>
      </c>
      <c r="GS52" s="54" t="str">
        <f>IF(GS22="","",IF(GS22&lt;&gt;"THERMAL",GS22,IF($GW52="","THERMAL - NOT SPECIFIED",$GW52)))</f>
        <v/>
      </c>
      <c r="GW52" s="55" t="str">
        <f>IF($GY52="","",IFERROR(INDEX('MC MAP'!$L$5:$L$28,MATCH($GY52,'MC MAP'!$K$5:$K$28,0)),$GY52))</f>
        <v/>
      </c>
      <c r="GY52" s="60"/>
    </row>
    <row r="53" spans="1:207">
      <c r="A53" s="2">
        <f>$A23</f>
        <v>18</v>
      </c>
      <c r="B53" s="54">
        <f>IF(B23="","",IF(B23&lt;&gt;"THERMAL",B23,IF($GW53="","THERMAL - NOT SPECIFIED",$GW53)))</f>
        <v>4117</v>
      </c>
      <c r="C53" s="54">
        <f>IF(C23="","",IF(C23&lt;&gt;"THERMAL",C23,IF($GW53="","THERMAL - NOT SPECIFIED",$GW53)))</f>
        <v>4117</v>
      </c>
      <c r="D53" s="54">
        <f>IF(D23="","",IF(D23&lt;&gt;"THERMAL",D23,IF($GW53="","THERMAL - NOT SPECIFIED",$GW53)))</f>
        <v>4117</v>
      </c>
      <c r="E53" s="54">
        <f>IF(E23="","",IF(E23&lt;&gt;"THERMAL",E23,IF($GW53="","THERMAL - NOT SPECIFIED",$GW53)))</f>
        <v>4117</v>
      </c>
      <c r="F53" s="54">
        <f>IF(F23="","",IF(F23&lt;&gt;"THERMAL",F23,IF($GW53="","THERMAL - NOT SPECIFIED",$GW53)))</f>
        <v>4117</v>
      </c>
      <c r="G53" s="54">
        <f>IF(G23="","",IF(G23&lt;&gt;"THERMAL",G23,IF($GW53="","THERMAL - NOT SPECIFIED",$GW53)))</f>
        <v>4117</v>
      </c>
      <c r="H53" s="54">
        <f>IF(H23="","",IF(H23&lt;&gt;"THERMAL",H23,IF($GW53="","THERMAL - NOT SPECIFIED",$GW53)))</f>
        <v>4117</v>
      </c>
      <c r="I53" s="54">
        <f>IF(I23="","",IF(I23&lt;&gt;"THERMAL",I23,IF($GW53="","THERMAL - NOT SPECIFIED",$GW53)))</f>
        <v>4117</v>
      </c>
      <c r="J53" s="54">
        <f>IF(J23="","",IF(J23&lt;&gt;"THERMAL",J23,IF($GW53="","THERMAL - NOT SPECIFIED",$GW53)))</f>
        <v>4117</v>
      </c>
      <c r="K53" s="54">
        <f>IF(K23="","",IF(K23&lt;&gt;"THERMAL",K23,IF($GW53="","THERMAL - NOT SPECIFIED",$GW53)))</f>
        <v>4117</v>
      </c>
      <c r="L53" s="54">
        <f>IF(L23="","",IF(L23&lt;&gt;"THERMAL",L23,IF($GW53="","THERMAL - NOT SPECIFIED",$GW53)))</f>
        <v>4117</v>
      </c>
      <c r="M53" s="54">
        <f>IF(M23="","",IF(M23&lt;&gt;"THERMAL",M23,IF($GW53="","THERMAL - NOT SPECIFIED",$GW53)))</f>
        <v>4117</v>
      </c>
      <c r="N53" s="54">
        <f>IF(N23="","",IF(N23&lt;&gt;"THERMAL",N23,IF($GW53="","THERMAL - NOT SPECIFIED",$GW53)))</f>
        <v>4117</v>
      </c>
      <c r="O53" s="54">
        <f>IF(O23="","",IF(O23&lt;&gt;"THERMAL",O23,IF($GW53="","THERMAL - NOT SPECIFIED",$GW53)))</f>
        <v>4117</v>
      </c>
      <c r="P53" s="54">
        <f>IF(P23="","",IF(P23&lt;&gt;"THERMAL",P23,IF($GW53="","THERMAL - NOT SPECIFIED",$GW53)))</f>
        <v>4117</v>
      </c>
      <c r="Q53" s="54">
        <f>IF(Q23="","",IF(Q23&lt;&gt;"THERMAL",Q23,IF($GW53="","THERMAL - NOT SPECIFIED",$GW53)))</f>
        <v>4117</v>
      </c>
      <c r="R53" s="54">
        <f>IF(R23="","",IF(R23&lt;&gt;"THERMAL",R23,IF($GW53="","THERMAL - NOT SPECIFIED",$GW53)))</f>
        <v>4117</v>
      </c>
      <c r="S53" s="54">
        <f>IF(S23="","",IF(S23&lt;&gt;"THERMAL",S23,IF($GW53="","THERMAL - NOT SPECIFIED",$GW53)))</f>
        <v>4117</v>
      </c>
      <c r="T53" s="54">
        <f>IF(T23="","",IF(T23&lt;&gt;"THERMAL",T23,IF($GW53="","THERMAL - NOT SPECIFIED",$GW53)))</f>
        <v>4117</v>
      </c>
      <c r="U53" s="54">
        <f>IF(U23="","",IF(U23&lt;&gt;"THERMAL",U23,IF($GW53="","THERMAL - NOT SPECIFIED",$GW53)))</f>
        <v>4117</v>
      </c>
      <c r="V53" s="54">
        <f>IF(V23="","",IF(V23&lt;&gt;"THERMAL",V23,IF($GW53="","THERMAL - NOT SPECIFIED",$GW53)))</f>
        <v>4117</v>
      </c>
      <c r="W53" s="54">
        <f>IF(W23="","",IF(W23&lt;&gt;"THERMAL",W23,IF($GW53="","THERMAL - NOT SPECIFIED",$GW53)))</f>
        <v>4117</v>
      </c>
      <c r="X53" s="54">
        <f>IF(X23="","",IF(X23&lt;&gt;"THERMAL",X23,IF($GW53="","THERMAL - NOT SPECIFIED",$GW53)))</f>
        <v>4117</v>
      </c>
      <c r="Y53" s="54">
        <f>IF(Y23="","",IF(Y23&lt;&gt;"THERMAL",Y23,IF($GW53="","THERMAL - NOT SPECIFIED",$GW53)))</f>
        <v>4117</v>
      </c>
      <c r="Z53" s="54">
        <f>IF(Z23="","",IF(Z23&lt;&gt;"THERMAL",Z23,IF($GW53="","THERMAL - NOT SPECIFIED",$GW53)))</f>
        <v>4117</v>
      </c>
      <c r="AA53" s="54">
        <f>IF(AA23="","",IF(AA23&lt;&gt;"THERMAL",AA23,IF($GW53="","THERMAL - NOT SPECIFIED",$GW53)))</f>
        <v>4117</v>
      </c>
      <c r="AB53" s="54">
        <f>IF(AB23="","",IF(AB23&lt;&gt;"THERMAL",AB23,IF($GW53="","THERMAL - NOT SPECIFIED",$GW53)))</f>
        <v>4117</v>
      </c>
      <c r="AC53" s="54">
        <f>IF(AC23="","",IF(AC23&lt;&gt;"THERMAL",AC23,IF($GW53="","THERMAL - NOT SPECIFIED",$GW53)))</f>
        <v>4117</v>
      </c>
      <c r="AD53" s="54">
        <f>IF(AD23="","",IF(AD23&lt;&gt;"THERMAL",AD23,IF($GW53="","THERMAL - NOT SPECIFIED",$GW53)))</f>
        <v>4117</v>
      </c>
      <c r="AE53" s="54">
        <f>IF(AE23="","",IF(AE23&lt;&gt;"THERMAL",AE23,IF($GW53="","THERMAL - NOT SPECIFIED",$GW53)))</f>
        <v>4117</v>
      </c>
      <c r="AF53" s="54">
        <f>IF(AF23="","",IF(AF23&lt;&gt;"THERMAL",AF23,IF($GW53="","THERMAL - NOT SPECIFIED",$GW53)))</f>
        <v>4117</v>
      </c>
      <c r="AG53" s="54">
        <f>IF(AG23="","",IF(AG23&lt;&gt;"THERMAL",AG23,IF($GW53="","THERMAL - NOT SPECIFIED",$GW53)))</f>
        <v>4117</v>
      </c>
      <c r="AH53" s="54">
        <f>IF(AH23="","",IF(AH23&lt;&gt;"THERMAL",AH23,IF($GW53="","THERMAL - NOT SPECIFIED",$GW53)))</f>
        <v>4117</v>
      </c>
      <c r="AI53" s="54">
        <f>IF(AI23="","",IF(AI23&lt;&gt;"THERMAL",AI23,IF($GW53="","THERMAL - NOT SPECIFIED",$GW53)))</f>
        <v>4117</v>
      </c>
      <c r="AJ53" s="54">
        <f>IF(AJ23="","",IF(AJ23&lt;&gt;"THERMAL",AJ23,IF($GW53="","THERMAL - NOT SPECIFIED",$GW53)))</f>
        <v>4117</v>
      </c>
      <c r="AK53" s="54">
        <f>IF(AK23="","",IF(AK23&lt;&gt;"THERMAL",AK23,IF($GW53="","THERMAL - NOT SPECIFIED",$GW53)))</f>
        <v>4117</v>
      </c>
      <c r="AL53" s="54">
        <f>IF(AL23="","",IF(AL23&lt;&gt;"THERMAL",AL23,IF($GW53="","THERMAL - NOT SPECIFIED",$GW53)))</f>
        <v>4117</v>
      </c>
      <c r="AM53" s="54">
        <f>IF(AM23="","",IF(AM23&lt;&gt;"THERMAL",AM23,IF($GW53="","THERMAL - NOT SPECIFIED",$GW53)))</f>
        <v>4117</v>
      </c>
      <c r="AN53" s="54">
        <f>IF(AN23="","",IF(AN23&lt;&gt;"THERMAL",AN23,IF($GW53="","THERMAL - NOT SPECIFIED",$GW53)))</f>
        <v>4117</v>
      </c>
      <c r="AO53" s="54">
        <f>IF(AO23="","",IF(AO23&lt;&gt;"THERMAL",AO23,IF($GW53="","THERMAL - NOT SPECIFIED",$GW53)))</f>
        <v>4117</v>
      </c>
      <c r="AP53" s="54">
        <f>IF(AP23="","",IF(AP23&lt;&gt;"THERMAL",AP23,IF($GW53="","THERMAL - NOT SPECIFIED",$GW53)))</f>
        <v>4117</v>
      </c>
      <c r="AQ53" s="54">
        <f>IF(AQ23="","",IF(AQ23&lt;&gt;"THERMAL",AQ23,IF($GW53="","THERMAL - NOT SPECIFIED",$GW53)))</f>
        <v>4117</v>
      </c>
      <c r="AR53" s="54">
        <f>IF(AR23="","",IF(AR23&lt;&gt;"THERMAL",AR23,IF($GW53="","THERMAL - NOT SPECIFIED",$GW53)))</f>
        <v>4117</v>
      </c>
      <c r="AS53" s="54">
        <f>IF(AS23="","",IF(AS23&lt;&gt;"THERMAL",AS23,IF($GW53="","THERMAL - NOT SPECIFIED",$GW53)))</f>
        <v>4117</v>
      </c>
      <c r="AT53" s="54">
        <f>IF(AT23="","",IF(AT23&lt;&gt;"THERMAL",AT23,IF($GW53="","THERMAL - NOT SPECIFIED",$GW53)))</f>
        <v>4117</v>
      </c>
      <c r="AU53" s="54">
        <f>IF(AU23="","",IF(AU23&lt;&gt;"THERMAL",AU23,IF($GW53="","THERMAL - NOT SPECIFIED",$GW53)))</f>
        <v>4117</v>
      </c>
      <c r="AV53" s="54">
        <f>IF(AV23="","",IF(AV23&lt;&gt;"THERMAL",AV23,IF($GW53="","THERMAL - NOT SPECIFIED",$GW53)))</f>
        <v>4117</v>
      </c>
      <c r="AW53" s="54">
        <f>IF(AW23="","",IF(AW23&lt;&gt;"THERMAL",AW23,IF($GW53="","THERMAL - NOT SPECIFIED",$GW53)))</f>
        <v>4117</v>
      </c>
      <c r="AX53" s="54">
        <f>IF(AX23="","",IF(AX23&lt;&gt;"THERMAL",AX23,IF($GW53="","THERMAL - NOT SPECIFIED",$GW53)))</f>
        <v>4117</v>
      </c>
      <c r="AY53" s="54">
        <f>IF(AY23="","",IF(AY23&lt;&gt;"THERMAL",AY23,IF($GW53="","THERMAL - NOT SPECIFIED",$GW53)))</f>
        <v>4117</v>
      </c>
      <c r="AZ53" s="54">
        <f>IF(AZ23="","",IF(AZ23&lt;&gt;"THERMAL",AZ23,IF($GW53="","THERMAL - NOT SPECIFIED",$GW53)))</f>
        <v>4117</v>
      </c>
      <c r="BA53" s="54">
        <f>IF(BA23="","",IF(BA23&lt;&gt;"THERMAL",BA23,IF($GW53="","THERMAL - NOT SPECIFIED",$GW53)))</f>
        <v>4117</v>
      </c>
      <c r="BB53" s="54">
        <f>IF(BB23="","",IF(BB23&lt;&gt;"THERMAL",BB23,IF($GW53="","THERMAL - NOT SPECIFIED",$GW53)))</f>
        <v>4117</v>
      </c>
      <c r="BC53" s="54">
        <f>IF(BC23="","",IF(BC23&lt;&gt;"THERMAL",BC23,IF($GW53="","THERMAL - NOT SPECIFIED",$GW53)))</f>
        <v>4117</v>
      </c>
      <c r="BD53" s="54">
        <f>IF(BD23="","",IF(BD23&lt;&gt;"THERMAL",BD23,IF($GW53="","THERMAL - NOT SPECIFIED",$GW53)))</f>
        <v>4117</v>
      </c>
      <c r="BE53" s="54">
        <f>IF(BE23="","",IF(BE23&lt;&gt;"THERMAL",BE23,IF($GW53="","THERMAL - NOT SPECIFIED",$GW53)))</f>
        <v>4117</v>
      </c>
      <c r="BF53" s="54">
        <f>IF(BF23="","",IF(BF23&lt;&gt;"THERMAL",BF23,IF($GW53="","THERMAL - NOT SPECIFIED",$GW53)))</f>
        <v>4117</v>
      </c>
      <c r="BG53" s="54">
        <f>IF(BG23="","",IF(BG23&lt;&gt;"THERMAL",BG23,IF($GW53="","THERMAL - NOT SPECIFIED",$GW53)))</f>
        <v>4117</v>
      </c>
      <c r="BH53" s="54">
        <f>IF(BH23="","",IF(BH23&lt;&gt;"THERMAL",BH23,IF($GW53="","THERMAL - NOT SPECIFIED",$GW53)))</f>
        <v>4117</v>
      </c>
      <c r="BI53" s="54">
        <f>IF(BI23="","",IF(BI23&lt;&gt;"THERMAL",BI23,IF($GW53="","THERMAL - NOT SPECIFIED",$GW53)))</f>
        <v>4117</v>
      </c>
      <c r="BJ53" s="54">
        <f>IF(BJ23="","",IF(BJ23&lt;&gt;"THERMAL",BJ23,IF($GW53="","THERMAL - NOT SPECIFIED",$GW53)))</f>
        <v>4117</v>
      </c>
      <c r="BK53" s="54">
        <f>IF(BK23="","",IF(BK23&lt;&gt;"THERMAL",BK23,IF($GW53="","THERMAL - NOT SPECIFIED",$GW53)))</f>
        <v>4117</v>
      </c>
      <c r="BL53" s="54">
        <f>IF(BL23="","",IF(BL23&lt;&gt;"THERMAL",BL23,IF($GW53="","THERMAL - NOT SPECIFIED",$GW53)))</f>
        <v>4117</v>
      </c>
      <c r="BM53" s="54">
        <f>IF(BM23="","",IF(BM23&lt;&gt;"THERMAL",BM23,IF($GW53="","THERMAL - NOT SPECIFIED",$GW53)))</f>
        <v>4117</v>
      </c>
      <c r="BN53" s="54">
        <f>IF(BN23="","",IF(BN23&lt;&gt;"THERMAL",BN23,IF($GW53="","THERMAL - NOT SPECIFIED",$GW53)))</f>
        <v>4117</v>
      </c>
      <c r="BO53" s="54">
        <f>IF(BO23="","",IF(BO23&lt;&gt;"THERMAL",BO23,IF($GW53="","THERMAL - NOT SPECIFIED",$GW53)))</f>
        <v>4117</v>
      </c>
      <c r="BP53" s="54">
        <f>IF(BP23="","",IF(BP23&lt;&gt;"THERMAL",BP23,IF($GW53="","THERMAL - NOT SPECIFIED",$GW53)))</f>
        <v>4117</v>
      </c>
      <c r="BQ53" s="54">
        <f>IF(BQ23="","",IF(BQ23&lt;&gt;"THERMAL",BQ23,IF($GW53="","THERMAL - NOT SPECIFIED",$GW53)))</f>
        <v>4117</v>
      </c>
      <c r="BR53" s="54">
        <f>IF(BR23="","",IF(BR23&lt;&gt;"THERMAL",BR23,IF($GW53="","THERMAL - NOT SPECIFIED",$GW53)))</f>
        <v>4117</v>
      </c>
      <c r="BS53" s="54">
        <f>IF(BS23="","",IF(BS23&lt;&gt;"THERMAL",BS23,IF($GW53="","THERMAL - NOT SPECIFIED",$GW53)))</f>
        <v>4117</v>
      </c>
      <c r="BT53" s="54">
        <f>IF(BT23="","",IF(BT23&lt;&gt;"THERMAL",BT23,IF($GW53="","THERMAL - NOT SPECIFIED",$GW53)))</f>
        <v>4117</v>
      </c>
      <c r="BU53" s="54">
        <f>IF(BU23="","",IF(BU23&lt;&gt;"THERMAL",BU23,IF($GW53="","THERMAL - NOT SPECIFIED",$GW53)))</f>
        <v>4117</v>
      </c>
      <c r="BV53" s="54">
        <f>IF(BV23="","",IF(BV23&lt;&gt;"THERMAL",BV23,IF($GW53="","THERMAL - NOT SPECIFIED",$GW53)))</f>
        <v>4117</v>
      </c>
      <c r="BW53" s="54">
        <f>IF(BW23="","",IF(BW23&lt;&gt;"THERMAL",BW23,IF($GW53="","THERMAL - NOT SPECIFIED",$GW53)))</f>
        <v>4117</v>
      </c>
      <c r="BX53" s="54">
        <f>IF(BX23="","",IF(BX23&lt;&gt;"THERMAL",BX23,IF($GW53="","THERMAL - NOT SPECIFIED",$GW53)))</f>
        <v>4117</v>
      </c>
      <c r="BY53" s="54">
        <f>IF(BY23="","",IF(BY23&lt;&gt;"THERMAL",BY23,IF($GW53="","THERMAL - NOT SPECIFIED",$GW53)))</f>
        <v>4117</v>
      </c>
      <c r="BZ53" s="54" t="str">
        <f>IF(BZ23="","",IF(BZ23&lt;&gt;"THERMAL",BZ23,IF($GW53="","THERMAL - NOT SPECIFIED",$GW53)))</f>
        <v>VACCANT</v>
      </c>
      <c r="CA53" s="54" t="str">
        <f>IF(CA23="","",IF(CA23&lt;&gt;"THERMAL",CA23,IF($GW53="","THERMAL - NOT SPECIFIED",$GW53)))</f>
        <v/>
      </c>
      <c r="CB53" s="54" t="str">
        <f>IF(CB23="","",IF(CB23&lt;&gt;"THERMAL",CB23,IF($GW53="","THERMAL - NOT SPECIFIED",$GW53)))</f>
        <v/>
      </c>
      <c r="CC53" s="54" t="str">
        <f>IF(CC23="","",IF(CC23&lt;&gt;"THERMAL",CC23,IF($GW53="","THERMAL - NOT SPECIFIED",$GW53)))</f>
        <v/>
      </c>
      <c r="CD53" s="54" t="str">
        <f>IF(CD23="","",IF(CD23&lt;&gt;"THERMAL",CD23,IF($GW53="","THERMAL - NOT SPECIFIED",$GW53)))</f>
        <v/>
      </c>
      <c r="CE53" s="54" t="str">
        <f>IF(CE23="","",IF(CE23&lt;&gt;"THERMAL",CE23,IF($GW53="","THERMAL - NOT SPECIFIED",$GW53)))</f>
        <v/>
      </c>
      <c r="CF53" s="54" t="str">
        <f>IF(CF23="","",IF(CF23&lt;&gt;"THERMAL",CF23,IF($GW53="","THERMAL - NOT SPECIFIED",$GW53)))</f>
        <v/>
      </c>
      <c r="CG53" s="54" t="str">
        <f>IF(CG23="","",IF(CG23&lt;&gt;"THERMAL",CG23,IF($GW53="","THERMAL - NOT SPECIFIED",$GW53)))</f>
        <v/>
      </c>
      <c r="CH53" s="54" t="str">
        <f>IF(CH23="","",IF(CH23&lt;&gt;"THERMAL",CH23,IF($GW53="","THERMAL - NOT SPECIFIED",$GW53)))</f>
        <v/>
      </c>
      <c r="CI53" s="54" t="str">
        <f>IF(CI23="","",IF(CI23&lt;&gt;"THERMAL",CI23,IF($GW53="","THERMAL - NOT SPECIFIED",$GW53)))</f>
        <v/>
      </c>
      <c r="CJ53" s="54" t="str">
        <f>IF(CJ23="","",IF(CJ23&lt;&gt;"THERMAL",CJ23,IF($GW53="","THERMAL - NOT SPECIFIED",$GW53)))</f>
        <v/>
      </c>
      <c r="CK53" s="54" t="str">
        <f>IF(CK23="","",IF(CK23&lt;&gt;"THERMAL",CK23,IF($GW53="","THERMAL - NOT SPECIFIED",$GW53)))</f>
        <v/>
      </c>
      <c r="CL53" s="54" t="str">
        <f>IF(CL23="","",IF(CL23&lt;&gt;"THERMAL",CL23,IF($GW53="","THERMAL - NOT SPECIFIED",$GW53)))</f>
        <v/>
      </c>
      <c r="CM53" s="54" t="str">
        <f>IF(CM23="","",IF(CM23&lt;&gt;"THERMAL",CM23,IF($GW53="","THERMAL - NOT SPECIFIED",$GW53)))</f>
        <v/>
      </c>
      <c r="CN53" s="54" t="str">
        <f>IF(CN23="","",IF(CN23&lt;&gt;"THERMAL",CN23,IF($GW53="","THERMAL - NOT SPECIFIED",$GW53)))</f>
        <v/>
      </c>
      <c r="CO53" s="54" t="str">
        <f>IF(CO23="","",IF(CO23&lt;&gt;"THERMAL",CO23,IF($GW53="","THERMAL - NOT SPECIFIED",$GW53)))</f>
        <v/>
      </c>
      <c r="CP53" s="54" t="str">
        <f>IF(CP23="","",IF(CP23&lt;&gt;"THERMAL",CP23,IF($GW53="","THERMAL - NOT SPECIFIED",$GW53)))</f>
        <v/>
      </c>
      <c r="CQ53" s="54" t="str">
        <f>IF(CQ23="","",IF(CQ23&lt;&gt;"THERMAL",CQ23,IF($GW53="","THERMAL - NOT SPECIFIED",$GW53)))</f>
        <v/>
      </c>
      <c r="CR53" s="54" t="str">
        <f>IF(CR23="","",IF(CR23&lt;&gt;"THERMAL",CR23,IF($GW53="","THERMAL - NOT SPECIFIED",$GW53)))</f>
        <v/>
      </c>
      <c r="CS53" s="54" t="str">
        <f>IF(CS23="","",IF(CS23&lt;&gt;"THERMAL",CS23,IF($GW53="","THERMAL - NOT SPECIFIED",$GW53)))</f>
        <v/>
      </c>
      <c r="CT53" s="54" t="str">
        <f>IF(CT23="","",IF(CT23&lt;&gt;"THERMAL",CT23,IF($GW53="","THERMAL - NOT SPECIFIED",$GW53)))</f>
        <v/>
      </c>
      <c r="CU53" s="54" t="str">
        <f>IF(CU23="","",IF(CU23&lt;&gt;"THERMAL",CU23,IF($GW53="","THERMAL - NOT SPECIFIED",$GW53)))</f>
        <v/>
      </c>
      <c r="CV53" s="54" t="str">
        <f>IF(CV23="","",IF(CV23&lt;&gt;"THERMAL",CV23,IF($GW53="","THERMAL - NOT SPECIFIED",$GW53)))</f>
        <v/>
      </c>
      <c r="CW53" s="54" t="str">
        <f>IF(CW23="","",IF(CW23&lt;&gt;"THERMAL",CW23,IF($GW53="","THERMAL - NOT SPECIFIED",$GW53)))</f>
        <v/>
      </c>
      <c r="CX53" s="54" t="str">
        <f>IF(CX23="","",IF(CX23&lt;&gt;"THERMAL",CX23,IF($GW53="","THERMAL - NOT SPECIFIED",$GW53)))</f>
        <v/>
      </c>
      <c r="CY53" s="54" t="str">
        <f>IF(CY23="","",IF(CY23&lt;&gt;"THERMAL",CY23,IF($GW53="","THERMAL - NOT SPECIFIED",$GW53)))</f>
        <v/>
      </c>
      <c r="CZ53" s="54" t="str">
        <f>IF(CZ23="","",IF(CZ23&lt;&gt;"THERMAL",CZ23,IF($GW53="","THERMAL - NOT SPECIFIED",$GW53)))</f>
        <v/>
      </c>
      <c r="DA53" s="54" t="str">
        <f>IF(DA23="","",IF(DA23&lt;&gt;"THERMAL",DA23,IF($GW53="","THERMAL - NOT SPECIFIED",$GW53)))</f>
        <v/>
      </c>
      <c r="DB53" s="54" t="str">
        <f>IF(DB23="","",IF(DB23&lt;&gt;"THERMAL",DB23,IF($GW53="","THERMAL - NOT SPECIFIED",$GW53)))</f>
        <v/>
      </c>
      <c r="DC53" s="54" t="str">
        <f>IF(DC23="","",IF(DC23&lt;&gt;"THERMAL",DC23,IF($GW53="","THERMAL - NOT SPECIFIED",$GW53)))</f>
        <v/>
      </c>
      <c r="DD53" s="54" t="str">
        <f>IF(DD23="","",IF(DD23&lt;&gt;"THERMAL",DD23,IF($GW53="","THERMAL - NOT SPECIFIED",$GW53)))</f>
        <v/>
      </c>
      <c r="DE53" s="54" t="str">
        <f>IF(DE23="","",IF(DE23&lt;&gt;"THERMAL",DE23,IF($GW53="","THERMAL - NOT SPECIFIED",$GW53)))</f>
        <v/>
      </c>
      <c r="DF53" s="54" t="str">
        <f>IF(DF23="","",IF(DF23&lt;&gt;"THERMAL",DF23,IF($GW53="","THERMAL - NOT SPECIFIED",$GW53)))</f>
        <v/>
      </c>
      <c r="DG53" s="54" t="str">
        <f>IF(DG23="","",IF(DG23&lt;&gt;"THERMAL",DG23,IF($GW53="","THERMAL - NOT SPECIFIED",$GW53)))</f>
        <v/>
      </c>
      <c r="DH53" s="54" t="str">
        <f>IF(DH23="","",IF(DH23&lt;&gt;"THERMAL",DH23,IF($GW53="","THERMAL - NOT SPECIFIED",$GW53)))</f>
        <v/>
      </c>
      <c r="DI53" s="54" t="str">
        <f>IF(DI23="","",IF(DI23&lt;&gt;"THERMAL",DI23,IF($GW53="","THERMAL - NOT SPECIFIED",$GW53)))</f>
        <v/>
      </c>
      <c r="DJ53" s="54" t="str">
        <f>IF(DJ23="","",IF(DJ23&lt;&gt;"THERMAL",DJ23,IF($GW53="","THERMAL - NOT SPECIFIED",$GW53)))</f>
        <v/>
      </c>
      <c r="DK53" s="54" t="str">
        <f>IF(DK23="","",IF(DK23&lt;&gt;"THERMAL",DK23,IF($GW53="","THERMAL - NOT SPECIFIED",$GW53)))</f>
        <v/>
      </c>
      <c r="DL53" s="54" t="str">
        <f>IF(DL23="","",IF(DL23&lt;&gt;"THERMAL",DL23,IF($GW53="","THERMAL - NOT SPECIFIED",$GW53)))</f>
        <v/>
      </c>
      <c r="DM53" s="54" t="str">
        <f>IF(DM23="","",IF(DM23&lt;&gt;"THERMAL",DM23,IF($GW53="","THERMAL - NOT SPECIFIED",$GW53)))</f>
        <v/>
      </c>
      <c r="DN53" s="54" t="str">
        <f>IF(DN23="","",IF(DN23&lt;&gt;"THERMAL",DN23,IF($GW53="","THERMAL - NOT SPECIFIED",$GW53)))</f>
        <v/>
      </c>
      <c r="DO53" s="54" t="str">
        <f>IF(DO23="","",IF(DO23&lt;&gt;"THERMAL",DO23,IF($GW53="","THERMAL - NOT SPECIFIED",$GW53)))</f>
        <v/>
      </c>
      <c r="DP53" s="54" t="str">
        <f>IF(DP23="","",IF(DP23&lt;&gt;"THERMAL",DP23,IF($GW53="","THERMAL - NOT SPECIFIED",$GW53)))</f>
        <v/>
      </c>
      <c r="DQ53" s="54" t="str">
        <f>IF(DQ23="","",IF(DQ23&lt;&gt;"THERMAL",DQ23,IF($GW53="","THERMAL - NOT SPECIFIED",$GW53)))</f>
        <v/>
      </c>
      <c r="DR53" s="54" t="str">
        <f>IF(DR23="","",IF(DR23&lt;&gt;"THERMAL",DR23,IF($GW53="","THERMAL - NOT SPECIFIED",$GW53)))</f>
        <v/>
      </c>
      <c r="DS53" s="54" t="str">
        <f>IF(DS23="","",IF(DS23&lt;&gt;"THERMAL",DS23,IF($GW53="","THERMAL - NOT SPECIFIED",$GW53)))</f>
        <v/>
      </c>
      <c r="DT53" s="54" t="str">
        <f>IF(DT23="","",IF(DT23&lt;&gt;"THERMAL",DT23,IF($GW53="","THERMAL - NOT SPECIFIED",$GW53)))</f>
        <v/>
      </c>
      <c r="DU53" s="54" t="str">
        <f>IF(DU23="","",IF(DU23&lt;&gt;"THERMAL",DU23,IF($GW53="","THERMAL - NOT SPECIFIED",$GW53)))</f>
        <v/>
      </c>
      <c r="DV53" s="54" t="str">
        <f>IF(DV23="","",IF(DV23&lt;&gt;"THERMAL",DV23,IF($GW53="","THERMAL - NOT SPECIFIED",$GW53)))</f>
        <v/>
      </c>
      <c r="DW53" s="54" t="str">
        <f>IF(DW23="","",IF(DW23&lt;&gt;"THERMAL",DW23,IF($GW53="","THERMAL - NOT SPECIFIED",$GW53)))</f>
        <v/>
      </c>
      <c r="DX53" s="54" t="str">
        <f>IF(DX23="","",IF(DX23&lt;&gt;"THERMAL",DX23,IF($GW53="","THERMAL - NOT SPECIFIED",$GW53)))</f>
        <v/>
      </c>
      <c r="DY53" s="54" t="str">
        <f>IF(DY23="","",IF(DY23&lt;&gt;"THERMAL",DY23,IF($GW53="","THERMAL - NOT SPECIFIED",$GW53)))</f>
        <v/>
      </c>
      <c r="DZ53" s="54" t="str">
        <f>IF(DZ23="","",IF(DZ23&lt;&gt;"THERMAL",DZ23,IF($GW53="","THERMAL - NOT SPECIFIED",$GW53)))</f>
        <v/>
      </c>
      <c r="EA53" s="54" t="str">
        <f>IF(EA23="","",IF(EA23&lt;&gt;"THERMAL",EA23,IF($GW53="","THERMAL - NOT SPECIFIED",$GW53)))</f>
        <v/>
      </c>
      <c r="EB53" s="54" t="str">
        <f>IF(EB23="","",IF(EB23&lt;&gt;"THERMAL",EB23,IF($GW53="","THERMAL - NOT SPECIFIED",$GW53)))</f>
        <v/>
      </c>
      <c r="EC53" s="54" t="str">
        <f>IF(EC23="","",IF(EC23&lt;&gt;"THERMAL",EC23,IF($GW53="","THERMAL - NOT SPECIFIED",$GW53)))</f>
        <v/>
      </c>
      <c r="ED53" s="54" t="str">
        <f>IF(ED23="","",IF(ED23&lt;&gt;"THERMAL",ED23,IF($GW53="","THERMAL - NOT SPECIFIED",$GW53)))</f>
        <v/>
      </c>
      <c r="EE53" s="54" t="str">
        <f>IF(EE23="","",IF(EE23&lt;&gt;"THERMAL",EE23,IF($GW53="","THERMAL - NOT SPECIFIED",$GW53)))</f>
        <v/>
      </c>
      <c r="EF53" s="54" t="str">
        <f>IF(EF23="","",IF(EF23&lt;&gt;"THERMAL",EF23,IF($GW53="","THERMAL - NOT SPECIFIED",$GW53)))</f>
        <v/>
      </c>
      <c r="EG53" s="54" t="str">
        <f>IF(EG23="","",IF(EG23&lt;&gt;"THERMAL",EG23,IF($GW53="","THERMAL - NOT SPECIFIED",$GW53)))</f>
        <v/>
      </c>
      <c r="EH53" s="54" t="str">
        <f>IF(EH23="","",IF(EH23&lt;&gt;"THERMAL",EH23,IF($GW53="","THERMAL - NOT SPECIFIED",$GW53)))</f>
        <v/>
      </c>
      <c r="EI53" s="54" t="str">
        <f>IF(EI23="","",IF(EI23&lt;&gt;"THERMAL",EI23,IF($GW53="","THERMAL - NOT SPECIFIED",$GW53)))</f>
        <v/>
      </c>
      <c r="EJ53" s="54" t="str">
        <f>IF(EJ23="","",IF(EJ23&lt;&gt;"THERMAL",EJ23,IF($GW53="","THERMAL - NOT SPECIFIED",$GW53)))</f>
        <v/>
      </c>
      <c r="EK53" s="54" t="str">
        <f>IF(EK23="","",IF(EK23&lt;&gt;"THERMAL",EK23,IF($GW53="","THERMAL - NOT SPECIFIED",$GW53)))</f>
        <v/>
      </c>
      <c r="EL53" s="54" t="str">
        <f>IF(EL23="","",IF(EL23&lt;&gt;"THERMAL",EL23,IF($GW53="","THERMAL - NOT SPECIFIED",$GW53)))</f>
        <v/>
      </c>
      <c r="EM53" s="54" t="str">
        <f>IF(EM23="","",IF(EM23&lt;&gt;"THERMAL",EM23,IF($GW53="","THERMAL - NOT SPECIFIED",$GW53)))</f>
        <v/>
      </c>
      <c r="EN53" s="54" t="str">
        <f>IF(EN23="","",IF(EN23&lt;&gt;"THERMAL",EN23,IF($GW53="","THERMAL - NOT SPECIFIED",$GW53)))</f>
        <v/>
      </c>
      <c r="EO53" s="54" t="str">
        <f>IF(EO23="","",IF(EO23&lt;&gt;"THERMAL",EO23,IF($GW53="","THERMAL - NOT SPECIFIED",$GW53)))</f>
        <v/>
      </c>
      <c r="EP53" s="54" t="str">
        <f>IF(EP23="","",IF(EP23&lt;&gt;"THERMAL",EP23,IF($GW53="","THERMAL - NOT SPECIFIED",$GW53)))</f>
        <v/>
      </c>
      <c r="EQ53" s="54" t="str">
        <f>IF(EQ23="","",IF(EQ23&lt;&gt;"THERMAL",EQ23,IF($GW53="","THERMAL - NOT SPECIFIED",$GW53)))</f>
        <v/>
      </c>
      <c r="ER53" s="54" t="str">
        <f>IF(ER23="","",IF(ER23&lt;&gt;"THERMAL",ER23,IF($GW53="","THERMAL - NOT SPECIFIED",$GW53)))</f>
        <v/>
      </c>
      <c r="ES53" s="54" t="str">
        <f>IF(ES23="","",IF(ES23&lt;&gt;"THERMAL",ES23,IF($GW53="","THERMAL - NOT SPECIFIED",$GW53)))</f>
        <v/>
      </c>
      <c r="ET53" s="54" t="str">
        <f>IF(ET23="","",IF(ET23&lt;&gt;"THERMAL",ET23,IF($GW53="","THERMAL - NOT SPECIFIED",$GW53)))</f>
        <v/>
      </c>
      <c r="EU53" s="54" t="str">
        <f>IF(EU23="","",IF(EU23&lt;&gt;"THERMAL",EU23,IF($GW53="","THERMAL - NOT SPECIFIED",$GW53)))</f>
        <v/>
      </c>
      <c r="EV53" s="54" t="str">
        <f>IF(EV23="","",IF(EV23&lt;&gt;"THERMAL",EV23,IF($GW53="","THERMAL - NOT SPECIFIED",$GW53)))</f>
        <v/>
      </c>
      <c r="EW53" s="54" t="str">
        <f>IF(EW23="","",IF(EW23&lt;&gt;"THERMAL",EW23,IF($GW53="","THERMAL - NOT SPECIFIED",$GW53)))</f>
        <v/>
      </c>
      <c r="EX53" s="54" t="str">
        <f>IF(EX23="","",IF(EX23&lt;&gt;"THERMAL",EX23,IF($GW53="","THERMAL - NOT SPECIFIED",$GW53)))</f>
        <v/>
      </c>
      <c r="EY53" s="54" t="str">
        <f>IF(EY23="","",IF(EY23&lt;&gt;"THERMAL",EY23,IF($GW53="","THERMAL - NOT SPECIFIED",$GW53)))</f>
        <v/>
      </c>
      <c r="EZ53" s="54" t="str">
        <f>IF(EZ23="","",IF(EZ23&lt;&gt;"THERMAL",EZ23,IF($GW53="","THERMAL - NOT SPECIFIED",$GW53)))</f>
        <v/>
      </c>
      <c r="FA53" s="54" t="str">
        <f>IF(FA23="","",IF(FA23&lt;&gt;"THERMAL",FA23,IF($GW53="","THERMAL - NOT SPECIFIED",$GW53)))</f>
        <v/>
      </c>
      <c r="FB53" s="54" t="str">
        <f>IF(FB23="","",IF(FB23&lt;&gt;"THERMAL",FB23,IF($GW53="","THERMAL - NOT SPECIFIED",$GW53)))</f>
        <v/>
      </c>
      <c r="FC53" s="54" t="str">
        <f>IF(FC23="","",IF(FC23&lt;&gt;"THERMAL",FC23,IF($GW53="","THERMAL - NOT SPECIFIED",$GW53)))</f>
        <v/>
      </c>
      <c r="FD53" s="54" t="str">
        <f>IF(FD23="","",IF(FD23&lt;&gt;"THERMAL",FD23,IF($GW53="","THERMAL - NOT SPECIFIED",$GW53)))</f>
        <v/>
      </c>
      <c r="FE53" s="54" t="str">
        <f>IF(FE23="","",IF(FE23&lt;&gt;"THERMAL",FE23,IF($GW53="","THERMAL - NOT SPECIFIED",$GW53)))</f>
        <v/>
      </c>
      <c r="FF53" s="54" t="str">
        <f>IF(FF23="","",IF(FF23&lt;&gt;"THERMAL",FF23,IF($GW53="","THERMAL - NOT SPECIFIED",$GW53)))</f>
        <v/>
      </c>
      <c r="FG53" s="54" t="str">
        <f>IF(FG23="","",IF(FG23&lt;&gt;"THERMAL",FG23,IF($GW53="","THERMAL - NOT SPECIFIED",$GW53)))</f>
        <v/>
      </c>
      <c r="FH53" s="54" t="str">
        <f>IF(FH23="","",IF(FH23&lt;&gt;"THERMAL",FH23,IF($GW53="","THERMAL - NOT SPECIFIED",$GW53)))</f>
        <v/>
      </c>
      <c r="FI53" s="54" t="str">
        <f>IF(FI23="","",IF(FI23&lt;&gt;"THERMAL",FI23,IF($GW53="","THERMAL - NOT SPECIFIED",$GW53)))</f>
        <v/>
      </c>
      <c r="FJ53" s="54" t="str">
        <f>IF(FJ23="","",IF(FJ23&lt;&gt;"THERMAL",FJ23,IF($GW53="","THERMAL - NOT SPECIFIED",$GW53)))</f>
        <v/>
      </c>
      <c r="FK53" s="54" t="str">
        <f>IF(FK23="","",IF(FK23&lt;&gt;"THERMAL",FK23,IF($GW53="","THERMAL - NOT SPECIFIED",$GW53)))</f>
        <v/>
      </c>
      <c r="FL53" s="54" t="str">
        <f>IF(FL23="","",IF(FL23&lt;&gt;"THERMAL",FL23,IF($GW53="","THERMAL - NOT SPECIFIED",$GW53)))</f>
        <v/>
      </c>
      <c r="FM53" s="54" t="str">
        <f>IF(FM23="","",IF(FM23&lt;&gt;"THERMAL",FM23,IF($GW53="","THERMAL - NOT SPECIFIED",$GW53)))</f>
        <v/>
      </c>
      <c r="FN53" s="54" t="str">
        <f>IF(FN23="","",IF(FN23&lt;&gt;"THERMAL",FN23,IF($GW53="","THERMAL - NOT SPECIFIED",$GW53)))</f>
        <v/>
      </c>
      <c r="FO53" s="54" t="str">
        <f>IF(FO23="","",IF(FO23&lt;&gt;"THERMAL",FO23,IF($GW53="","THERMAL - NOT SPECIFIED",$GW53)))</f>
        <v/>
      </c>
      <c r="FP53" s="54" t="str">
        <f>IF(FP23="","",IF(FP23&lt;&gt;"THERMAL",FP23,IF($GW53="","THERMAL - NOT SPECIFIED",$GW53)))</f>
        <v/>
      </c>
      <c r="FQ53" s="54" t="str">
        <f>IF(FQ23="","",IF(FQ23&lt;&gt;"THERMAL",FQ23,IF($GW53="","THERMAL - NOT SPECIFIED",$GW53)))</f>
        <v/>
      </c>
      <c r="FR53" s="54" t="str">
        <f>IF(FR23="","",IF(FR23&lt;&gt;"THERMAL",FR23,IF($GW53="","THERMAL - NOT SPECIFIED",$GW53)))</f>
        <v/>
      </c>
      <c r="FS53" s="54" t="str">
        <f>IF(FS23="","",IF(FS23&lt;&gt;"THERMAL",FS23,IF($GW53="","THERMAL - NOT SPECIFIED",$GW53)))</f>
        <v/>
      </c>
      <c r="FT53" s="54" t="str">
        <f>IF(FT23="","",IF(FT23&lt;&gt;"THERMAL",FT23,IF($GW53="","THERMAL - NOT SPECIFIED",$GW53)))</f>
        <v/>
      </c>
      <c r="FU53" s="54" t="str">
        <f>IF(FU23="","",IF(FU23&lt;&gt;"THERMAL",FU23,IF($GW53="","THERMAL - NOT SPECIFIED",$GW53)))</f>
        <v/>
      </c>
      <c r="FV53" s="54" t="str">
        <f>IF(FV23="","",IF(FV23&lt;&gt;"THERMAL",FV23,IF($GW53="","THERMAL - NOT SPECIFIED",$GW53)))</f>
        <v/>
      </c>
      <c r="FW53" s="54" t="str">
        <f>IF(FW23="","",IF(FW23&lt;&gt;"THERMAL",FW23,IF($GW53="","THERMAL - NOT SPECIFIED",$GW53)))</f>
        <v/>
      </c>
      <c r="FX53" s="54" t="str">
        <f>IF(FX23="","",IF(FX23&lt;&gt;"THERMAL",FX23,IF($GW53="","THERMAL - NOT SPECIFIED",$GW53)))</f>
        <v/>
      </c>
      <c r="FY53" s="54" t="str">
        <f>IF(FY23="","",IF(FY23&lt;&gt;"THERMAL",FY23,IF($GW53="","THERMAL - NOT SPECIFIED",$GW53)))</f>
        <v/>
      </c>
      <c r="FZ53" s="54" t="str">
        <f>IF(FZ23="","",IF(FZ23&lt;&gt;"THERMAL",FZ23,IF($GW53="","THERMAL - NOT SPECIFIED",$GW53)))</f>
        <v/>
      </c>
      <c r="GA53" s="54" t="str">
        <f>IF(GA23="","",IF(GA23&lt;&gt;"THERMAL",GA23,IF($GW53="","THERMAL - NOT SPECIFIED",$GW53)))</f>
        <v/>
      </c>
      <c r="GB53" s="54" t="str">
        <f>IF(GB23="","",IF(GB23&lt;&gt;"THERMAL",GB23,IF($GW53="","THERMAL - NOT SPECIFIED",$GW53)))</f>
        <v/>
      </c>
      <c r="GC53" s="54" t="str">
        <f>IF(GC23="","",IF(GC23&lt;&gt;"THERMAL",GC23,IF($GW53="","THERMAL - NOT SPECIFIED",$GW53)))</f>
        <v/>
      </c>
      <c r="GD53" s="54" t="str">
        <f>IF(GD23="","",IF(GD23&lt;&gt;"THERMAL",GD23,IF($GW53="","THERMAL - NOT SPECIFIED",$GW53)))</f>
        <v/>
      </c>
      <c r="GE53" s="54" t="str">
        <f>IF(GE23="","",IF(GE23&lt;&gt;"THERMAL",GE23,IF($GW53="","THERMAL - NOT SPECIFIED",$GW53)))</f>
        <v/>
      </c>
      <c r="GF53" s="54" t="str">
        <f>IF(GF23="","",IF(GF23&lt;&gt;"THERMAL",GF23,IF($GW53="","THERMAL - NOT SPECIFIED",$GW53)))</f>
        <v/>
      </c>
      <c r="GG53" s="54" t="str">
        <f>IF(GG23="","",IF(GG23&lt;&gt;"THERMAL",GG23,IF($GW53="","THERMAL - NOT SPECIFIED",$GW53)))</f>
        <v/>
      </c>
      <c r="GH53" s="54" t="str">
        <f>IF(GH23="","",IF(GH23&lt;&gt;"THERMAL",GH23,IF($GW53="","THERMAL - NOT SPECIFIED",$GW53)))</f>
        <v/>
      </c>
      <c r="GI53" s="54" t="str">
        <f>IF(GI23="","",IF(GI23&lt;&gt;"THERMAL",GI23,IF($GW53="","THERMAL - NOT SPECIFIED",$GW53)))</f>
        <v/>
      </c>
      <c r="GJ53" s="54" t="str">
        <f>IF(GJ23="","",IF(GJ23&lt;&gt;"THERMAL",GJ23,IF($GW53="","THERMAL - NOT SPECIFIED",$GW53)))</f>
        <v/>
      </c>
      <c r="GK53" s="54" t="str">
        <f>IF(GK23="","",IF(GK23&lt;&gt;"THERMAL",GK23,IF($GW53="","THERMAL - NOT SPECIFIED",$GW53)))</f>
        <v/>
      </c>
      <c r="GL53" s="54" t="str">
        <f>IF(GL23="","",IF(GL23&lt;&gt;"THERMAL",GL23,IF($GW53="","THERMAL - NOT SPECIFIED",$GW53)))</f>
        <v/>
      </c>
      <c r="GM53" s="54" t="str">
        <f>IF(GM23="","",IF(GM23&lt;&gt;"THERMAL",GM23,IF($GW53="","THERMAL - NOT SPECIFIED",$GW53)))</f>
        <v/>
      </c>
      <c r="GN53" s="54" t="str">
        <f>IF(GN23="","",IF(GN23&lt;&gt;"THERMAL",GN23,IF($GW53="","THERMAL - NOT SPECIFIED",$GW53)))</f>
        <v/>
      </c>
      <c r="GO53" s="54" t="str">
        <f>IF(GO23="","",IF(GO23&lt;&gt;"THERMAL",GO23,IF($GW53="","THERMAL - NOT SPECIFIED",$GW53)))</f>
        <v/>
      </c>
      <c r="GP53" s="54" t="str">
        <f>IF(GP23="","",IF(GP23&lt;&gt;"THERMAL",GP23,IF($GW53="","THERMAL - NOT SPECIFIED",$GW53)))</f>
        <v/>
      </c>
      <c r="GQ53" s="54" t="str">
        <f>IF(GQ23="","",IF(GQ23&lt;&gt;"THERMAL",GQ23,IF($GW53="","THERMAL - NOT SPECIFIED",$GW53)))</f>
        <v/>
      </c>
      <c r="GR53" s="54" t="str">
        <f>IF(GR23="","",IF(GR23&lt;&gt;"THERMAL",GR23,IF($GW53="","THERMAL - NOT SPECIFIED",$GW53)))</f>
        <v/>
      </c>
      <c r="GS53" s="54" t="str">
        <f>IF(GS23="","",IF(GS23&lt;&gt;"THERMAL",GS23,IF($GW53="","THERMAL - NOT SPECIFIED",$GW53)))</f>
        <v/>
      </c>
      <c r="GW53" s="55" t="str">
        <f>IF($GY53="","",IFERROR(INDEX('MC MAP'!$L$5:$L$28,MATCH($GY53,'MC MAP'!$K$5:$K$28,0)),$GY53))</f>
        <v/>
      </c>
      <c r="GY53" s="60"/>
    </row>
    <row r="54" spans="1:207">
      <c r="A54" s="2">
        <f>$A24</f>
        <v>19</v>
      </c>
      <c r="B54" s="54">
        <f>IF(B24="","",IF(B24&lt;&gt;"THERMAL",B24,IF($GW54="","THERMAL - NOT SPECIFIED",$GW54)))</f>
        <v>4115</v>
      </c>
      <c r="C54" s="54">
        <f>IF(C24="","",IF(C24&lt;&gt;"THERMAL",C24,IF($GW54="","THERMAL - NOT SPECIFIED",$GW54)))</f>
        <v>4115</v>
      </c>
      <c r="D54" s="54">
        <f>IF(D24="","",IF(D24&lt;&gt;"THERMAL",D24,IF($GW54="","THERMAL - NOT SPECIFIED",$GW54)))</f>
        <v>4115</v>
      </c>
      <c r="E54" s="54">
        <f>IF(E24="","",IF(E24&lt;&gt;"THERMAL",E24,IF($GW54="","THERMAL - NOT SPECIFIED",$GW54)))</f>
        <v>4115</v>
      </c>
      <c r="F54" s="54">
        <f>IF(F24="","",IF(F24&lt;&gt;"THERMAL",F24,IF($GW54="","THERMAL - NOT SPECIFIED",$GW54)))</f>
        <v>4115</v>
      </c>
      <c r="G54" s="54">
        <f>IF(G24="","",IF(G24&lt;&gt;"THERMAL",G24,IF($GW54="","THERMAL - NOT SPECIFIED",$GW54)))</f>
        <v>4115</v>
      </c>
      <c r="H54" s="54">
        <f>IF(H24="","",IF(H24&lt;&gt;"THERMAL",H24,IF($GW54="","THERMAL - NOT SPECIFIED",$GW54)))</f>
        <v>4115</v>
      </c>
      <c r="I54" s="54">
        <f>IF(I24="","",IF(I24&lt;&gt;"THERMAL",I24,IF($GW54="","THERMAL - NOT SPECIFIED",$GW54)))</f>
        <v>4115</v>
      </c>
      <c r="J54" s="54">
        <f>IF(J24="","",IF(J24&lt;&gt;"THERMAL",J24,IF($GW54="","THERMAL - NOT SPECIFIED",$GW54)))</f>
        <v>4115</v>
      </c>
      <c r="K54" s="54">
        <f>IF(K24="","",IF(K24&lt;&gt;"THERMAL",K24,IF($GW54="","THERMAL - NOT SPECIFIED",$GW54)))</f>
        <v>4115</v>
      </c>
      <c r="L54" s="54">
        <f>IF(L24="","",IF(L24&lt;&gt;"THERMAL",L24,IF($GW54="","THERMAL - NOT SPECIFIED",$GW54)))</f>
        <v>4115</v>
      </c>
      <c r="M54" s="54">
        <f>IF(M24="","",IF(M24&lt;&gt;"THERMAL",M24,IF($GW54="","THERMAL - NOT SPECIFIED",$GW54)))</f>
        <v>4115</v>
      </c>
      <c r="N54" s="54">
        <f>IF(N24="","",IF(N24&lt;&gt;"THERMAL",N24,IF($GW54="","THERMAL - NOT SPECIFIED",$GW54)))</f>
        <v>4115</v>
      </c>
      <c r="O54" s="54">
        <f>IF(O24="","",IF(O24&lt;&gt;"THERMAL",O24,IF($GW54="","THERMAL - NOT SPECIFIED",$GW54)))</f>
        <v>4115</v>
      </c>
      <c r="P54" s="54">
        <f>IF(P24="","",IF(P24&lt;&gt;"THERMAL",P24,IF($GW54="","THERMAL - NOT SPECIFIED",$GW54)))</f>
        <v>4115</v>
      </c>
      <c r="Q54" s="54">
        <f>IF(Q24="","",IF(Q24&lt;&gt;"THERMAL",Q24,IF($GW54="","THERMAL - NOT SPECIFIED",$GW54)))</f>
        <v>4115</v>
      </c>
      <c r="R54" s="54">
        <f>IF(R24="","",IF(R24&lt;&gt;"THERMAL",R24,IF($GW54="","THERMAL - NOT SPECIFIED",$GW54)))</f>
        <v>4115</v>
      </c>
      <c r="S54" s="54">
        <f>IF(S24="","",IF(S24&lt;&gt;"THERMAL",S24,IF($GW54="","THERMAL - NOT SPECIFIED",$GW54)))</f>
        <v>4115</v>
      </c>
      <c r="T54" s="54">
        <f>IF(T24="","",IF(T24&lt;&gt;"THERMAL",T24,IF($GW54="","THERMAL - NOT SPECIFIED",$GW54)))</f>
        <v>4115</v>
      </c>
      <c r="U54" s="54">
        <f>IF(U24="","",IF(U24&lt;&gt;"THERMAL",U24,IF($GW54="","THERMAL - NOT SPECIFIED",$GW54)))</f>
        <v>4115</v>
      </c>
      <c r="V54" s="54">
        <f>IF(V24="","",IF(V24&lt;&gt;"THERMAL",V24,IF($GW54="","THERMAL - NOT SPECIFIED",$GW54)))</f>
        <v>4115</v>
      </c>
      <c r="W54" s="54">
        <f>IF(W24="","",IF(W24&lt;&gt;"THERMAL",W24,IF($GW54="","THERMAL - NOT SPECIFIED",$GW54)))</f>
        <v>4115</v>
      </c>
      <c r="X54" s="54">
        <f>IF(X24="","",IF(X24&lt;&gt;"THERMAL",X24,IF($GW54="","THERMAL - NOT SPECIFIED",$GW54)))</f>
        <v>4115</v>
      </c>
      <c r="Y54" s="54">
        <f>IF(Y24="","",IF(Y24&lt;&gt;"THERMAL",Y24,IF($GW54="","THERMAL - NOT SPECIFIED",$GW54)))</f>
        <v>4115</v>
      </c>
      <c r="Z54" s="54">
        <f>IF(Z24="","",IF(Z24&lt;&gt;"THERMAL",Z24,IF($GW54="","THERMAL - NOT SPECIFIED",$GW54)))</f>
        <v>4115</v>
      </c>
      <c r="AA54" s="54">
        <f>IF(AA24="","",IF(AA24&lt;&gt;"THERMAL",AA24,IF($GW54="","THERMAL - NOT SPECIFIED",$GW54)))</f>
        <v>4115</v>
      </c>
      <c r="AB54" s="54">
        <f>IF(AB24="","",IF(AB24&lt;&gt;"THERMAL",AB24,IF($GW54="","THERMAL - NOT SPECIFIED",$GW54)))</f>
        <v>4115</v>
      </c>
      <c r="AC54" s="54">
        <f>IF(AC24="","",IF(AC24&lt;&gt;"THERMAL",AC24,IF($GW54="","THERMAL - NOT SPECIFIED",$GW54)))</f>
        <v>4115</v>
      </c>
      <c r="AD54" s="54">
        <f>IF(AD24="","",IF(AD24&lt;&gt;"THERMAL",AD24,IF($GW54="","THERMAL - NOT SPECIFIED",$GW54)))</f>
        <v>4115</v>
      </c>
      <c r="AE54" s="54">
        <f>IF(AE24="","",IF(AE24&lt;&gt;"THERMAL",AE24,IF($GW54="","THERMAL - NOT SPECIFIED",$GW54)))</f>
        <v>4115</v>
      </c>
      <c r="AF54" s="54">
        <f>IF(AF24="","",IF(AF24&lt;&gt;"THERMAL",AF24,IF($GW54="","THERMAL - NOT SPECIFIED",$GW54)))</f>
        <v>4115</v>
      </c>
      <c r="AG54" s="54">
        <f>IF(AG24="","",IF(AG24&lt;&gt;"THERMAL",AG24,IF($GW54="","THERMAL - NOT SPECIFIED",$GW54)))</f>
        <v>4115</v>
      </c>
      <c r="AH54" s="54">
        <f>IF(AH24="","",IF(AH24&lt;&gt;"THERMAL",AH24,IF($GW54="","THERMAL - NOT SPECIFIED",$GW54)))</f>
        <v>4115</v>
      </c>
      <c r="AI54" s="54">
        <f>IF(AI24="","",IF(AI24&lt;&gt;"THERMAL",AI24,IF($GW54="","THERMAL - NOT SPECIFIED",$GW54)))</f>
        <v>4115</v>
      </c>
      <c r="AJ54" s="54">
        <f>IF(AJ24="","",IF(AJ24&lt;&gt;"THERMAL",AJ24,IF($GW54="","THERMAL - NOT SPECIFIED",$GW54)))</f>
        <v>4115</v>
      </c>
      <c r="AK54" s="54">
        <f>IF(AK24="","",IF(AK24&lt;&gt;"THERMAL",AK24,IF($GW54="","THERMAL - NOT SPECIFIED",$GW54)))</f>
        <v>4115</v>
      </c>
      <c r="AL54" s="54">
        <f>IF(AL24="","",IF(AL24&lt;&gt;"THERMAL",AL24,IF($GW54="","THERMAL - NOT SPECIFIED",$GW54)))</f>
        <v>4115</v>
      </c>
      <c r="AM54" s="54">
        <f>IF(AM24="","",IF(AM24&lt;&gt;"THERMAL",AM24,IF($GW54="","THERMAL - NOT SPECIFIED",$GW54)))</f>
        <v>4115</v>
      </c>
      <c r="AN54" s="54">
        <f>IF(AN24="","",IF(AN24&lt;&gt;"THERMAL",AN24,IF($GW54="","THERMAL - NOT SPECIFIED",$GW54)))</f>
        <v>4115</v>
      </c>
      <c r="AO54" s="54">
        <f>IF(AO24="","",IF(AO24&lt;&gt;"THERMAL",AO24,IF($GW54="","THERMAL - NOT SPECIFIED",$GW54)))</f>
        <v>4115</v>
      </c>
      <c r="AP54" s="54">
        <f>IF(AP24="","",IF(AP24&lt;&gt;"THERMAL",AP24,IF($GW54="","THERMAL - NOT SPECIFIED",$GW54)))</f>
        <v>4115</v>
      </c>
      <c r="AQ54" s="54">
        <f>IF(AQ24="","",IF(AQ24&lt;&gt;"THERMAL",AQ24,IF($GW54="","THERMAL - NOT SPECIFIED",$GW54)))</f>
        <v>4115</v>
      </c>
      <c r="AR54" s="54">
        <f>IF(AR24="","",IF(AR24&lt;&gt;"THERMAL",AR24,IF($GW54="","THERMAL - NOT SPECIFIED",$GW54)))</f>
        <v>4115</v>
      </c>
      <c r="AS54" s="54">
        <f>IF(AS24="","",IF(AS24&lt;&gt;"THERMAL",AS24,IF($GW54="","THERMAL - NOT SPECIFIED",$GW54)))</f>
        <v>4115</v>
      </c>
      <c r="AT54" s="54">
        <f>IF(AT24="","",IF(AT24&lt;&gt;"THERMAL",AT24,IF($GW54="","THERMAL - NOT SPECIFIED",$GW54)))</f>
        <v>4115</v>
      </c>
      <c r="AU54" s="54">
        <f>IF(AU24="","",IF(AU24&lt;&gt;"THERMAL",AU24,IF($GW54="","THERMAL - NOT SPECIFIED",$GW54)))</f>
        <v>4115</v>
      </c>
      <c r="AV54" s="54">
        <f>IF(AV24="","",IF(AV24&lt;&gt;"THERMAL",AV24,IF($GW54="","THERMAL - NOT SPECIFIED",$GW54)))</f>
        <v>4115</v>
      </c>
      <c r="AW54" s="54">
        <f>IF(AW24="","",IF(AW24&lt;&gt;"THERMAL",AW24,IF($GW54="","THERMAL - NOT SPECIFIED",$GW54)))</f>
        <v>4115</v>
      </c>
      <c r="AX54" s="54">
        <f>IF(AX24="","",IF(AX24&lt;&gt;"THERMAL",AX24,IF($GW54="","THERMAL - NOT SPECIFIED",$GW54)))</f>
        <v>4115</v>
      </c>
      <c r="AY54" s="54">
        <f>IF(AY24="","",IF(AY24&lt;&gt;"THERMAL",AY24,IF($GW54="","THERMAL - NOT SPECIFIED",$GW54)))</f>
        <v>4115</v>
      </c>
      <c r="AZ54" s="54">
        <f>IF(AZ24="","",IF(AZ24&lt;&gt;"THERMAL",AZ24,IF($GW54="","THERMAL - NOT SPECIFIED",$GW54)))</f>
        <v>4115</v>
      </c>
      <c r="BA54" s="54">
        <f>IF(BA24="","",IF(BA24&lt;&gt;"THERMAL",BA24,IF($GW54="","THERMAL - NOT SPECIFIED",$GW54)))</f>
        <v>4115</v>
      </c>
      <c r="BB54" s="54">
        <f>IF(BB24="","",IF(BB24&lt;&gt;"THERMAL",BB24,IF($GW54="","THERMAL - NOT SPECIFIED",$GW54)))</f>
        <v>4115</v>
      </c>
      <c r="BC54" s="54">
        <f>IF(BC24="","",IF(BC24&lt;&gt;"THERMAL",BC24,IF($GW54="","THERMAL - NOT SPECIFIED",$GW54)))</f>
        <v>4115</v>
      </c>
      <c r="BD54" s="54">
        <f>IF(BD24="","",IF(BD24&lt;&gt;"THERMAL",BD24,IF($GW54="","THERMAL - NOT SPECIFIED",$GW54)))</f>
        <v>4115</v>
      </c>
      <c r="BE54" s="54">
        <f>IF(BE24="","",IF(BE24&lt;&gt;"THERMAL",BE24,IF($GW54="","THERMAL - NOT SPECIFIED",$GW54)))</f>
        <v>4115</v>
      </c>
      <c r="BF54" s="54">
        <f>IF(BF24="","",IF(BF24&lt;&gt;"THERMAL",BF24,IF($GW54="","THERMAL - NOT SPECIFIED",$GW54)))</f>
        <v>4115</v>
      </c>
      <c r="BG54" s="54">
        <f>IF(BG24="","",IF(BG24&lt;&gt;"THERMAL",BG24,IF($GW54="","THERMAL - NOT SPECIFIED",$GW54)))</f>
        <v>4115</v>
      </c>
      <c r="BH54" s="54">
        <f>IF(BH24="","",IF(BH24&lt;&gt;"THERMAL",BH24,IF($GW54="","THERMAL - NOT SPECIFIED",$GW54)))</f>
        <v>4115</v>
      </c>
      <c r="BI54" s="54">
        <f>IF(BI24="","",IF(BI24&lt;&gt;"THERMAL",BI24,IF($GW54="","THERMAL - NOT SPECIFIED",$GW54)))</f>
        <v>4115</v>
      </c>
      <c r="BJ54" s="54">
        <f>IF(BJ24="","",IF(BJ24&lt;&gt;"THERMAL",BJ24,IF($GW54="","THERMAL - NOT SPECIFIED",$GW54)))</f>
        <v>4115</v>
      </c>
      <c r="BK54" s="54">
        <f>IF(BK24="","",IF(BK24&lt;&gt;"THERMAL",BK24,IF($GW54="","THERMAL - NOT SPECIFIED",$GW54)))</f>
        <v>4115</v>
      </c>
      <c r="BL54" s="54">
        <f>IF(BL24="","",IF(BL24&lt;&gt;"THERMAL",BL24,IF($GW54="","THERMAL - NOT SPECIFIED",$GW54)))</f>
        <v>4115</v>
      </c>
      <c r="BM54" s="54">
        <f>IF(BM24="","",IF(BM24&lt;&gt;"THERMAL",BM24,IF($GW54="","THERMAL - NOT SPECIFIED",$GW54)))</f>
        <v>4115</v>
      </c>
      <c r="BN54" s="54" t="str">
        <f>IF(BN24="","",IF(BN24&lt;&gt;"THERMAL",BN24,IF($GW54="","THERMAL - NOT SPECIFIED",$GW54)))</f>
        <v>VACCANT</v>
      </c>
      <c r="BO54" s="54">
        <f>IF(BO24="","",IF(BO24&lt;&gt;"THERMAL",BO24,IF($GW54="","THERMAL - NOT SPECIFIED",$GW54)))</f>
        <v>4117</v>
      </c>
      <c r="BP54" s="54">
        <f>IF(BP24="","",IF(BP24&lt;&gt;"THERMAL",BP24,IF($GW54="","THERMAL - NOT SPECIFIED",$GW54)))</f>
        <v>4117</v>
      </c>
      <c r="BQ54" s="54">
        <f>IF(BQ24="","",IF(BQ24&lt;&gt;"THERMAL",BQ24,IF($GW54="","THERMAL - NOT SPECIFIED",$GW54)))</f>
        <v>4117</v>
      </c>
      <c r="BR54" s="54">
        <f>IF(BR24="","",IF(BR24&lt;&gt;"THERMAL",BR24,IF($GW54="","THERMAL - NOT SPECIFIED",$GW54)))</f>
        <v>4117</v>
      </c>
      <c r="BS54" s="54">
        <f>IF(BS24="","",IF(BS24&lt;&gt;"THERMAL",BS24,IF($GW54="","THERMAL - NOT SPECIFIED",$GW54)))</f>
        <v>4117</v>
      </c>
      <c r="BT54" s="54">
        <f>IF(BT24="","",IF(BT24&lt;&gt;"THERMAL",BT24,IF($GW54="","THERMAL - NOT SPECIFIED",$GW54)))</f>
        <v>4117</v>
      </c>
      <c r="BU54" s="54">
        <f>IF(BU24="","",IF(BU24&lt;&gt;"THERMAL",BU24,IF($GW54="","THERMAL - NOT SPECIFIED",$GW54)))</f>
        <v>4117</v>
      </c>
      <c r="BV54" s="54">
        <f>IF(BV24="","",IF(BV24&lt;&gt;"THERMAL",BV24,IF($GW54="","THERMAL - NOT SPECIFIED",$GW54)))</f>
        <v>4117</v>
      </c>
      <c r="BW54" s="54">
        <f>IF(BW24="","",IF(BW24&lt;&gt;"THERMAL",BW24,IF($GW54="","THERMAL - NOT SPECIFIED",$GW54)))</f>
        <v>4117</v>
      </c>
      <c r="BX54" s="54">
        <f>IF(BX24="","",IF(BX24&lt;&gt;"THERMAL",BX24,IF($GW54="","THERMAL - NOT SPECIFIED",$GW54)))</f>
        <v>4117</v>
      </c>
      <c r="BY54" s="54">
        <f>IF(BY24="","",IF(BY24&lt;&gt;"THERMAL",BY24,IF($GW54="","THERMAL - NOT SPECIFIED",$GW54)))</f>
        <v>4117</v>
      </c>
      <c r="BZ54" s="54" t="str">
        <f>IF(BZ24="","",IF(BZ24&lt;&gt;"THERMAL",BZ24,IF($GW54="","THERMAL - NOT SPECIFIED",$GW54)))</f>
        <v>VACCANT</v>
      </c>
      <c r="CA54" s="54" t="str">
        <f>IF(CA24="","",IF(CA24&lt;&gt;"THERMAL",CA24,IF($GW54="","THERMAL - NOT SPECIFIED",$GW54)))</f>
        <v/>
      </c>
      <c r="CB54" s="54" t="str">
        <f>IF(CB24="","",IF(CB24&lt;&gt;"THERMAL",CB24,IF($GW54="","THERMAL - NOT SPECIFIED",$GW54)))</f>
        <v/>
      </c>
      <c r="CC54" s="54" t="str">
        <f>IF(CC24="","",IF(CC24&lt;&gt;"THERMAL",CC24,IF($GW54="","THERMAL - NOT SPECIFIED",$GW54)))</f>
        <v/>
      </c>
      <c r="CD54" s="54" t="str">
        <f>IF(CD24="","",IF(CD24&lt;&gt;"THERMAL",CD24,IF($GW54="","THERMAL - NOT SPECIFIED",$GW54)))</f>
        <v/>
      </c>
      <c r="CE54" s="54" t="str">
        <f>IF(CE24="","",IF(CE24&lt;&gt;"THERMAL",CE24,IF($GW54="","THERMAL - NOT SPECIFIED",$GW54)))</f>
        <v/>
      </c>
      <c r="CF54" s="54" t="str">
        <f>IF(CF24="","",IF(CF24&lt;&gt;"THERMAL",CF24,IF($GW54="","THERMAL - NOT SPECIFIED",$GW54)))</f>
        <v/>
      </c>
      <c r="CG54" s="54" t="str">
        <f>IF(CG24="","",IF(CG24&lt;&gt;"THERMAL",CG24,IF($GW54="","THERMAL - NOT SPECIFIED",$GW54)))</f>
        <v/>
      </c>
      <c r="CH54" s="54" t="str">
        <f>IF(CH24="","",IF(CH24&lt;&gt;"THERMAL",CH24,IF($GW54="","THERMAL - NOT SPECIFIED",$GW54)))</f>
        <v/>
      </c>
      <c r="CI54" s="54" t="str">
        <f>IF(CI24="","",IF(CI24&lt;&gt;"THERMAL",CI24,IF($GW54="","THERMAL - NOT SPECIFIED",$GW54)))</f>
        <v/>
      </c>
      <c r="CJ54" s="54" t="str">
        <f>IF(CJ24="","",IF(CJ24&lt;&gt;"THERMAL",CJ24,IF($GW54="","THERMAL - NOT SPECIFIED",$GW54)))</f>
        <v/>
      </c>
      <c r="CK54" s="54" t="str">
        <f>IF(CK24="","",IF(CK24&lt;&gt;"THERMAL",CK24,IF($GW54="","THERMAL - NOT SPECIFIED",$GW54)))</f>
        <v/>
      </c>
      <c r="CL54" s="54" t="str">
        <f>IF(CL24="","",IF(CL24&lt;&gt;"THERMAL",CL24,IF($GW54="","THERMAL - NOT SPECIFIED",$GW54)))</f>
        <v/>
      </c>
      <c r="CM54" s="54" t="str">
        <f>IF(CM24="","",IF(CM24&lt;&gt;"THERMAL",CM24,IF($GW54="","THERMAL - NOT SPECIFIED",$GW54)))</f>
        <v/>
      </c>
      <c r="CN54" s="54" t="str">
        <f>IF(CN24="","",IF(CN24&lt;&gt;"THERMAL",CN24,IF($GW54="","THERMAL - NOT SPECIFIED",$GW54)))</f>
        <v/>
      </c>
      <c r="CO54" s="54" t="str">
        <f>IF(CO24="","",IF(CO24&lt;&gt;"THERMAL",CO24,IF($GW54="","THERMAL - NOT SPECIFIED",$GW54)))</f>
        <v/>
      </c>
      <c r="CP54" s="54" t="str">
        <f>IF(CP24="","",IF(CP24&lt;&gt;"THERMAL",CP24,IF($GW54="","THERMAL - NOT SPECIFIED",$GW54)))</f>
        <v/>
      </c>
      <c r="CQ54" s="54" t="str">
        <f>IF(CQ24="","",IF(CQ24&lt;&gt;"THERMAL",CQ24,IF($GW54="","THERMAL - NOT SPECIFIED",$GW54)))</f>
        <v/>
      </c>
      <c r="CR54" s="54" t="str">
        <f>IF(CR24="","",IF(CR24&lt;&gt;"THERMAL",CR24,IF($GW54="","THERMAL - NOT SPECIFIED",$GW54)))</f>
        <v/>
      </c>
      <c r="CS54" s="54" t="str">
        <f>IF(CS24="","",IF(CS24&lt;&gt;"THERMAL",CS24,IF($GW54="","THERMAL - NOT SPECIFIED",$GW54)))</f>
        <v/>
      </c>
      <c r="CT54" s="54" t="str">
        <f>IF(CT24="","",IF(CT24&lt;&gt;"THERMAL",CT24,IF($GW54="","THERMAL - NOT SPECIFIED",$GW54)))</f>
        <v/>
      </c>
      <c r="CU54" s="54" t="str">
        <f>IF(CU24="","",IF(CU24&lt;&gt;"THERMAL",CU24,IF($GW54="","THERMAL - NOT SPECIFIED",$GW54)))</f>
        <v/>
      </c>
      <c r="CV54" s="54" t="str">
        <f>IF(CV24="","",IF(CV24&lt;&gt;"THERMAL",CV24,IF($GW54="","THERMAL - NOT SPECIFIED",$GW54)))</f>
        <v/>
      </c>
      <c r="CW54" s="54" t="str">
        <f>IF(CW24="","",IF(CW24&lt;&gt;"THERMAL",CW24,IF($GW54="","THERMAL - NOT SPECIFIED",$GW54)))</f>
        <v/>
      </c>
      <c r="CX54" s="54" t="str">
        <f>IF(CX24="","",IF(CX24&lt;&gt;"THERMAL",CX24,IF($GW54="","THERMAL - NOT SPECIFIED",$GW54)))</f>
        <v/>
      </c>
      <c r="CY54" s="54" t="str">
        <f>IF(CY24="","",IF(CY24&lt;&gt;"THERMAL",CY24,IF($GW54="","THERMAL - NOT SPECIFIED",$GW54)))</f>
        <v/>
      </c>
      <c r="CZ54" s="54" t="str">
        <f>IF(CZ24="","",IF(CZ24&lt;&gt;"THERMAL",CZ24,IF($GW54="","THERMAL - NOT SPECIFIED",$GW54)))</f>
        <v/>
      </c>
      <c r="DA54" s="54" t="str">
        <f>IF(DA24="","",IF(DA24&lt;&gt;"THERMAL",DA24,IF($GW54="","THERMAL - NOT SPECIFIED",$GW54)))</f>
        <v/>
      </c>
      <c r="DB54" s="54" t="str">
        <f>IF(DB24="","",IF(DB24&lt;&gt;"THERMAL",DB24,IF($GW54="","THERMAL - NOT SPECIFIED",$GW54)))</f>
        <v/>
      </c>
      <c r="DC54" s="54" t="str">
        <f>IF(DC24="","",IF(DC24&lt;&gt;"THERMAL",DC24,IF($GW54="","THERMAL - NOT SPECIFIED",$GW54)))</f>
        <v/>
      </c>
      <c r="DD54" s="54" t="str">
        <f>IF(DD24="","",IF(DD24&lt;&gt;"THERMAL",DD24,IF($GW54="","THERMAL - NOT SPECIFIED",$GW54)))</f>
        <v/>
      </c>
      <c r="DE54" s="54" t="str">
        <f>IF(DE24="","",IF(DE24&lt;&gt;"THERMAL",DE24,IF($GW54="","THERMAL - NOT SPECIFIED",$GW54)))</f>
        <v/>
      </c>
      <c r="DF54" s="54" t="str">
        <f>IF(DF24="","",IF(DF24&lt;&gt;"THERMAL",DF24,IF($GW54="","THERMAL - NOT SPECIFIED",$GW54)))</f>
        <v/>
      </c>
      <c r="DG54" s="54" t="str">
        <f>IF(DG24="","",IF(DG24&lt;&gt;"THERMAL",DG24,IF($GW54="","THERMAL - NOT SPECIFIED",$GW54)))</f>
        <v/>
      </c>
      <c r="DH54" s="54" t="str">
        <f>IF(DH24="","",IF(DH24&lt;&gt;"THERMAL",DH24,IF($GW54="","THERMAL - NOT SPECIFIED",$GW54)))</f>
        <v/>
      </c>
      <c r="DI54" s="54" t="str">
        <f>IF(DI24="","",IF(DI24&lt;&gt;"THERMAL",DI24,IF($GW54="","THERMAL - NOT SPECIFIED",$GW54)))</f>
        <v/>
      </c>
      <c r="DJ54" s="54" t="str">
        <f>IF(DJ24="","",IF(DJ24&lt;&gt;"THERMAL",DJ24,IF($GW54="","THERMAL - NOT SPECIFIED",$GW54)))</f>
        <v/>
      </c>
      <c r="DK54" s="54" t="str">
        <f>IF(DK24="","",IF(DK24&lt;&gt;"THERMAL",DK24,IF($GW54="","THERMAL - NOT SPECIFIED",$GW54)))</f>
        <v/>
      </c>
      <c r="DL54" s="54" t="str">
        <f>IF(DL24="","",IF(DL24&lt;&gt;"THERMAL",DL24,IF($GW54="","THERMAL - NOT SPECIFIED",$GW54)))</f>
        <v/>
      </c>
      <c r="DM54" s="54" t="str">
        <f>IF(DM24="","",IF(DM24&lt;&gt;"THERMAL",DM24,IF($GW54="","THERMAL - NOT SPECIFIED",$GW54)))</f>
        <v/>
      </c>
      <c r="DN54" s="54" t="str">
        <f>IF(DN24="","",IF(DN24&lt;&gt;"THERMAL",DN24,IF($GW54="","THERMAL - NOT SPECIFIED",$GW54)))</f>
        <v/>
      </c>
      <c r="DO54" s="54" t="str">
        <f>IF(DO24="","",IF(DO24&lt;&gt;"THERMAL",DO24,IF($GW54="","THERMAL - NOT SPECIFIED",$GW54)))</f>
        <v/>
      </c>
      <c r="DP54" s="54" t="str">
        <f>IF(DP24="","",IF(DP24&lt;&gt;"THERMAL",DP24,IF($GW54="","THERMAL - NOT SPECIFIED",$GW54)))</f>
        <v/>
      </c>
      <c r="DQ54" s="54" t="str">
        <f>IF(DQ24="","",IF(DQ24&lt;&gt;"THERMAL",DQ24,IF($GW54="","THERMAL - NOT SPECIFIED",$GW54)))</f>
        <v/>
      </c>
      <c r="DR54" s="54" t="str">
        <f>IF(DR24="","",IF(DR24&lt;&gt;"THERMAL",DR24,IF($GW54="","THERMAL - NOT SPECIFIED",$GW54)))</f>
        <v/>
      </c>
      <c r="DS54" s="54" t="str">
        <f>IF(DS24="","",IF(DS24&lt;&gt;"THERMAL",DS24,IF($GW54="","THERMAL - NOT SPECIFIED",$GW54)))</f>
        <v/>
      </c>
      <c r="DT54" s="54" t="str">
        <f>IF(DT24="","",IF(DT24&lt;&gt;"THERMAL",DT24,IF($GW54="","THERMAL - NOT SPECIFIED",$GW54)))</f>
        <v/>
      </c>
      <c r="DU54" s="54" t="str">
        <f>IF(DU24="","",IF(DU24&lt;&gt;"THERMAL",DU24,IF($GW54="","THERMAL - NOT SPECIFIED",$GW54)))</f>
        <v/>
      </c>
      <c r="DV54" s="54" t="str">
        <f>IF(DV24="","",IF(DV24&lt;&gt;"THERMAL",DV24,IF($GW54="","THERMAL - NOT SPECIFIED",$GW54)))</f>
        <v/>
      </c>
      <c r="DW54" s="54" t="str">
        <f>IF(DW24="","",IF(DW24&lt;&gt;"THERMAL",DW24,IF($GW54="","THERMAL - NOT SPECIFIED",$GW54)))</f>
        <v/>
      </c>
      <c r="DX54" s="54" t="str">
        <f>IF(DX24="","",IF(DX24&lt;&gt;"THERMAL",DX24,IF($GW54="","THERMAL - NOT SPECIFIED",$GW54)))</f>
        <v/>
      </c>
      <c r="DY54" s="54" t="str">
        <f>IF(DY24="","",IF(DY24&lt;&gt;"THERMAL",DY24,IF($GW54="","THERMAL - NOT SPECIFIED",$GW54)))</f>
        <v/>
      </c>
      <c r="DZ54" s="54" t="str">
        <f>IF(DZ24="","",IF(DZ24&lt;&gt;"THERMAL",DZ24,IF($GW54="","THERMAL - NOT SPECIFIED",$GW54)))</f>
        <v/>
      </c>
      <c r="EA54" s="54" t="str">
        <f>IF(EA24="","",IF(EA24&lt;&gt;"THERMAL",EA24,IF($GW54="","THERMAL - NOT SPECIFIED",$GW54)))</f>
        <v/>
      </c>
      <c r="EB54" s="54" t="str">
        <f>IF(EB24="","",IF(EB24&lt;&gt;"THERMAL",EB24,IF($GW54="","THERMAL - NOT SPECIFIED",$GW54)))</f>
        <v/>
      </c>
      <c r="EC54" s="54" t="str">
        <f>IF(EC24="","",IF(EC24&lt;&gt;"THERMAL",EC24,IF($GW54="","THERMAL - NOT SPECIFIED",$GW54)))</f>
        <v/>
      </c>
      <c r="ED54" s="54" t="str">
        <f>IF(ED24="","",IF(ED24&lt;&gt;"THERMAL",ED24,IF($GW54="","THERMAL - NOT SPECIFIED",$GW54)))</f>
        <v/>
      </c>
      <c r="EE54" s="54" t="str">
        <f>IF(EE24="","",IF(EE24&lt;&gt;"THERMAL",EE24,IF($GW54="","THERMAL - NOT SPECIFIED",$GW54)))</f>
        <v/>
      </c>
      <c r="EF54" s="54" t="str">
        <f>IF(EF24="","",IF(EF24&lt;&gt;"THERMAL",EF24,IF($GW54="","THERMAL - NOT SPECIFIED",$GW54)))</f>
        <v/>
      </c>
      <c r="EG54" s="54" t="str">
        <f>IF(EG24="","",IF(EG24&lt;&gt;"THERMAL",EG24,IF($GW54="","THERMAL - NOT SPECIFIED",$GW54)))</f>
        <v/>
      </c>
      <c r="EH54" s="54" t="str">
        <f>IF(EH24="","",IF(EH24&lt;&gt;"THERMAL",EH24,IF($GW54="","THERMAL - NOT SPECIFIED",$GW54)))</f>
        <v/>
      </c>
      <c r="EI54" s="54" t="str">
        <f>IF(EI24="","",IF(EI24&lt;&gt;"THERMAL",EI24,IF($GW54="","THERMAL - NOT SPECIFIED",$GW54)))</f>
        <v/>
      </c>
      <c r="EJ54" s="54" t="str">
        <f>IF(EJ24="","",IF(EJ24&lt;&gt;"THERMAL",EJ24,IF($GW54="","THERMAL - NOT SPECIFIED",$GW54)))</f>
        <v/>
      </c>
      <c r="EK54" s="54" t="str">
        <f>IF(EK24="","",IF(EK24&lt;&gt;"THERMAL",EK24,IF($GW54="","THERMAL - NOT SPECIFIED",$GW54)))</f>
        <v/>
      </c>
      <c r="EL54" s="54" t="str">
        <f>IF(EL24="","",IF(EL24&lt;&gt;"THERMAL",EL24,IF($GW54="","THERMAL - NOT SPECIFIED",$GW54)))</f>
        <v/>
      </c>
      <c r="EM54" s="54" t="str">
        <f>IF(EM24="","",IF(EM24&lt;&gt;"THERMAL",EM24,IF($GW54="","THERMAL - NOT SPECIFIED",$GW54)))</f>
        <v/>
      </c>
      <c r="EN54" s="54" t="str">
        <f>IF(EN24="","",IF(EN24&lt;&gt;"THERMAL",EN24,IF($GW54="","THERMAL - NOT SPECIFIED",$GW54)))</f>
        <v/>
      </c>
      <c r="EO54" s="54" t="str">
        <f>IF(EO24="","",IF(EO24&lt;&gt;"THERMAL",EO24,IF($GW54="","THERMAL - NOT SPECIFIED",$GW54)))</f>
        <v/>
      </c>
      <c r="EP54" s="54" t="str">
        <f>IF(EP24="","",IF(EP24&lt;&gt;"THERMAL",EP24,IF($GW54="","THERMAL - NOT SPECIFIED",$GW54)))</f>
        <v/>
      </c>
      <c r="EQ54" s="54" t="str">
        <f>IF(EQ24="","",IF(EQ24&lt;&gt;"THERMAL",EQ24,IF($GW54="","THERMAL - NOT SPECIFIED",$GW54)))</f>
        <v/>
      </c>
      <c r="ER54" s="54" t="str">
        <f>IF(ER24="","",IF(ER24&lt;&gt;"THERMAL",ER24,IF($GW54="","THERMAL - NOT SPECIFIED",$GW54)))</f>
        <v/>
      </c>
      <c r="ES54" s="54" t="str">
        <f>IF(ES24="","",IF(ES24&lt;&gt;"THERMAL",ES24,IF($GW54="","THERMAL - NOT SPECIFIED",$GW54)))</f>
        <v/>
      </c>
      <c r="ET54" s="54" t="str">
        <f>IF(ET24="","",IF(ET24&lt;&gt;"THERMAL",ET24,IF($GW54="","THERMAL - NOT SPECIFIED",$GW54)))</f>
        <v/>
      </c>
      <c r="EU54" s="54" t="str">
        <f>IF(EU24="","",IF(EU24&lt;&gt;"THERMAL",EU24,IF($GW54="","THERMAL - NOT SPECIFIED",$GW54)))</f>
        <v/>
      </c>
      <c r="EV54" s="54" t="str">
        <f>IF(EV24="","",IF(EV24&lt;&gt;"THERMAL",EV24,IF($GW54="","THERMAL - NOT SPECIFIED",$GW54)))</f>
        <v/>
      </c>
      <c r="EW54" s="54" t="str">
        <f>IF(EW24="","",IF(EW24&lt;&gt;"THERMAL",EW24,IF($GW54="","THERMAL - NOT SPECIFIED",$GW54)))</f>
        <v/>
      </c>
      <c r="EX54" s="54" t="str">
        <f>IF(EX24="","",IF(EX24&lt;&gt;"THERMAL",EX24,IF($GW54="","THERMAL - NOT SPECIFIED",$GW54)))</f>
        <v/>
      </c>
      <c r="EY54" s="54" t="str">
        <f>IF(EY24="","",IF(EY24&lt;&gt;"THERMAL",EY24,IF($GW54="","THERMAL - NOT SPECIFIED",$GW54)))</f>
        <v/>
      </c>
      <c r="EZ54" s="54" t="str">
        <f>IF(EZ24="","",IF(EZ24&lt;&gt;"THERMAL",EZ24,IF($GW54="","THERMAL - NOT SPECIFIED",$GW54)))</f>
        <v/>
      </c>
      <c r="FA54" s="54" t="str">
        <f>IF(FA24="","",IF(FA24&lt;&gt;"THERMAL",FA24,IF($GW54="","THERMAL - NOT SPECIFIED",$GW54)))</f>
        <v/>
      </c>
      <c r="FB54" s="54" t="str">
        <f>IF(FB24="","",IF(FB24&lt;&gt;"THERMAL",FB24,IF($GW54="","THERMAL - NOT SPECIFIED",$GW54)))</f>
        <v/>
      </c>
      <c r="FC54" s="54" t="str">
        <f>IF(FC24="","",IF(FC24&lt;&gt;"THERMAL",FC24,IF($GW54="","THERMAL - NOT SPECIFIED",$GW54)))</f>
        <v/>
      </c>
      <c r="FD54" s="54" t="str">
        <f>IF(FD24="","",IF(FD24&lt;&gt;"THERMAL",FD24,IF($GW54="","THERMAL - NOT SPECIFIED",$GW54)))</f>
        <v/>
      </c>
      <c r="FE54" s="54" t="str">
        <f>IF(FE24="","",IF(FE24&lt;&gt;"THERMAL",FE24,IF($GW54="","THERMAL - NOT SPECIFIED",$GW54)))</f>
        <v/>
      </c>
      <c r="FF54" s="54" t="str">
        <f>IF(FF24="","",IF(FF24&lt;&gt;"THERMAL",FF24,IF($GW54="","THERMAL - NOT SPECIFIED",$GW54)))</f>
        <v/>
      </c>
      <c r="FG54" s="54" t="str">
        <f>IF(FG24="","",IF(FG24&lt;&gt;"THERMAL",FG24,IF($GW54="","THERMAL - NOT SPECIFIED",$GW54)))</f>
        <v/>
      </c>
      <c r="FH54" s="54" t="str">
        <f>IF(FH24="","",IF(FH24&lt;&gt;"THERMAL",FH24,IF($GW54="","THERMAL - NOT SPECIFIED",$GW54)))</f>
        <v/>
      </c>
      <c r="FI54" s="54" t="str">
        <f>IF(FI24="","",IF(FI24&lt;&gt;"THERMAL",FI24,IF($GW54="","THERMAL - NOT SPECIFIED",$GW54)))</f>
        <v/>
      </c>
      <c r="FJ54" s="54" t="str">
        <f>IF(FJ24="","",IF(FJ24&lt;&gt;"THERMAL",FJ24,IF($GW54="","THERMAL - NOT SPECIFIED",$GW54)))</f>
        <v/>
      </c>
      <c r="FK54" s="54" t="str">
        <f>IF(FK24="","",IF(FK24&lt;&gt;"THERMAL",FK24,IF($GW54="","THERMAL - NOT SPECIFIED",$GW54)))</f>
        <v/>
      </c>
      <c r="FL54" s="54" t="str">
        <f>IF(FL24="","",IF(FL24&lt;&gt;"THERMAL",FL24,IF($GW54="","THERMAL - NOT SPECIFIED",$GW54)))</f>
        <v/>
      </c>
      <c r="FM54" s="54" t="str">
        <f>IF(FM24="","",IF(FM24&lt;&gt;"THERMAL",FM24,IF($GW54="","THERMAL - NOT SPECIFIED",$GW54)))</f>
        <v/>
      </c>
      <c r="FN54" s="54" t="str">
        <f>IF(FN24="","",IF(FN24&lt;&gt;"THERMAL",FN24,IF($GW54="","THERMAL - NOT SPECIFIED",$GW54)))</f>
        <v/>
      </c>
      <c r="FO54" s="54" t="str">
        <f>IF(FO24="","",IF(FO24&lt;&gt;"THERMAL",FO24,IF($GW54="","THERMAL - NOT SPECIFIED",$GW54)))</f>
        <v/>
      </c>
      <c r="FP54" s="54" t="str">
        <f>IF(FP24="","",IF(FP24&lt;&gt;"THERMAL",FP24,IF($GW54="","THERMAL - NOT SPECIFIED",$GW54)))</f>
        <v/>
      </c>
      <c r="FQ54" s="54" t="str">
        <f>IF(FQ24="","",IF(FQ24&lt;&gt;"THERMAL",FQ24,IF($GW54="","THERMAL - NOT SPECIFIED",$GW54)))</f>
        <v/>
      </c>
      <c r="FR54" s="54" t="str">
        <f>IF(FR24="","",IF(FR24&lt;&gt;"THERMAL",FR24,IF($GW54="","THERMAL - NOT SPECIFIED",$GW54)))</f>
        <v/>
      </c>
      <c r="FS54" s="54" t="str">
        <f>IF(FS24="","",IF(FS24&lt;&gt;"THERMAL",FS24,IF($GW54="","THERMAL - NOT SPECIFIED",$GW54)))</f>
        <v/>
      </c>
      <c r="FT54" s="54" t="str">
        <f>IF(FT24="","",IF(FT24&lt;&gt;"THERMAL",FT24,IF($GW54="","THERMAL - NOT SPECIFIED",$GW54)))</f>
        <v/>
      </c>
      <c r="FU54" s="54" t="str">
        <f>IF(FU24="","",IF(FU24&lt;&gt;"THERMAL",FU24,IF($GW54="","THERMAL - NOT SPECIFIED",$GW54)))</f>
        <v/>
      </c>
      <c r="FV54" s="54" t="str">
        <f>IF(FV24="","",IF(FV24&lt;&gt;"THERMAL",FV24,IF($GW54="","THERMAL - NOT SPECIFIED",$GW54)))</f>
        <v/>
      </c>
      <c r="FW54" s="54" t="str">
        <f>IF(FW24="","",IF(FW24&lt;&gt;"THERMAL",FW24,IF($GW54="","THERMAL - NOT SPECIFIED",$GW54)))</f>
        <v/>
      </c>
      <c r="FX54" s="54" t="str">
        <f>IF(FX24="","",IF(FX24&lt;&gt;"THERMAL",FX24,IF($GW54="","THERMAL - NOT SPECIFIED",$GW54)))</f>
        <v/>
      </c>
      <c r="FY54" s="54" t="str">
        <f>IF(FY24="","",IF(FY24&lt;&gt;"THERMAL",FY24,IF($GW54="","THERMAL - NOT SPECIFIED",$GW54)))</f>
        <v/>
      </c>
      <c r="FZ54" s="54" t="str">
        <f>IF(FZ24="","",IF(FZ24&lt;&gt;"THERMAL",FZ24,IF($GW54="","THERMAL - NOT SPECIFIED",$GW54)))</f>
        <v/>
      </c>
      <c r="GA54" s="54" t="str">
        <f>IF(GA24="","",IF(GA24&lt;&gt;"THERMAL",GA24,IF($GW54="","THERMAL - NOT SPECIFIED",$GW54)))</f>
        <v/>
      </c>
      <c r="GB54" s="54" t="str">
        <f>IF(GB24="","",IF(GB24&lt;&gt;"THERMAL",GB24,IF($GW54="","THERMAL - NOT SPECIFIED",$GW54)))</f>
        <v/>
      </c>
      <c r="GC54" s="54" t="str">
        <f>IF(GC24="","",IF(GC24&lt;&gt;"THERMAL",GC24,IF($GW54="","THERMAL - NOT SPECIFIED",$GW54)))</f>
        <v/>
      </c>
      <c r="GD54" s="54" t="str">
        <f>IF(GD24="","",IF(GD24&lt;&gt;"THERMAL",GD24,IF($GW54="","THERMAL - NOT SPECIFIED",$GW54)))</f>
        <v/>
      </c>
      <c r="GE54" s="54" t="str">
        <f>IF(GE24="","",IF(GE24&lt;&gt;"THERMAL",GE24,IF($GW54="","THERMAL - NOT SPECIFIED",$GW54)))</f>
        <v/>
      </c>
      <c r="GF54" s="54" t="str">
        <f>IF(GF24="","",IF(GF24&lt;&gt;"THERMAL",GF24,IF($GW54="","THERMAL - NOT SPECIFIED",$GW54)))</f>
        <v/>
      </c>
      <c r="GG54" s="54" t="str">
        <f>IF(GG24="","",IF(GG24&lt;&gt;"THERMAL",GG24,IF($GW54="","THERMAL - NOT SPECIFIED",$GW54)))</f>
        <v/>
      </c>
      <c r="GH54" s="54" t="str">
        <f>IF(GH24="","",IF(GH24&lt;&gt;"THERMAL",GH24,IF($GW54="","THERMAL - NOT SPECIFIED",$GW54)))</f>
        <v/>
      </c>
      <c r="GI54" s="54" t="str">
        <f>IF(GI24="","",IF(GI24&lt;&gt;"THERMAL",GI24,IF($GW54="","THERMAL - NOT SPECIFIED",$GW54)))</f>
        <v/>
      </c>
      <c r="GJ54" s="54" t="str">
        <f>IF(GJ24="","",IF(GJ24&lt;&gt;"THERMAL",GJ24,IF($GW54="","THERMAL - NOT SPECIFIED",$GW54)))</f>
        <v/>
      </c>
      <c r="GK54" s="54" t="str">
        <f>IF(GK24="","",IF(GK24&lt;&gt;"THERMAL",GK24,IF($GW54="","THERMAL - NOT SPECIFIED",$GW54)))</f>
        <v/>
      </c>
      <c r="GL54" s="54" t="str">
        <f>IF(GL24="","",IF(GL24&lt;&gt;"THERMAL",GL24,IF($GW54="","THERMAL - NOT SPECIFIED",$GW54)))</f>
        <v/>
      </c>
      <c r="GM54" s="54" t="str">
        <f>IF(GM24="","",IF(GM24&lt;&gt;"THERMAL",GM24,IF($GW54="","THERMAL - NOT SPECIFIED",$GW54)))</f>
        <v/>
      </c>
      <c r="GN54" s="54" t="str">
        <f>IF(GN24="","",IF(GN24&lt;&gt;"THERMAL",GN24,IF($GW54="","THERMAL - NOT SPECIFIED",$GW54)))</f>
        <v/>
      </c>
      <c r="GO54" s="54" t="str">
        <f>IF(GO24="","",IF(GO24&lt;&gt;"THERMAL",GO24,IF($GW54="","THERMAL - NOT SPECIFIED",$GW54)))</f>
        <v/>
      </c>
      <c r="GP54" s="54" t="str">
        <f>IF(GP24="","",IF(GP24&lt;&gt;"THERMAL",GP24,IF($GW54="","THERMAL - NOT SPECIFIED",$GW54)))</f>
        <v/>
      </c>
      <c r="GQ54" s="54" t="str">
        <f>IF(GQ24="","",IF(GQ24&lt;&gt;"THERMAL",GQ24,IF($GW54="","THERMAL - NOT SPECIFIED",$GW54)))</f>
        <v/>
      </c>
      <c r="GR54" s="54" t="str">
        <f>IF(GR24="","",IF(GR24&lt;&gt;"THERMAL",GR24,IF($GW54="","THERMAL - NOT SPECIFIED",$GW54)))</f>
        <v/>
      </c>
      <c r="GS54" s="54" t="str">
        <f>IF(GS24="","",IF(GS24&lt;&gt;"THERMAL",GS24,IF($GW54="","THERMAL - NOT SPECIFIED",$GW54)))</f>
        <v/>
      </c>
      <c r="GW54" s="55" t="str">
        <f>IF($GY54="","",IFERROR(INDEX('MC MAP'!$L$5:$L$28,MATCH($GY54,'MC MAP'!$K$5:$K$28,0)),$GY54))</f>
        <v/>
      </c>
      <c r="GY54" s="60"/>
    </row>
    <row r="55" spans="1:207">
      <c r="A55" s="2">
        <f>$A25</f>
        <v>20</v>
      </c>
      <c r="B55" s="54">
        <f>IF(B25="","",IF(B25&lt;&gt;"THERMAL",B25,IF($GW55="","THERMAL - NOT SPECIFIED",$GW55)))</f>
        <v>6137</v>
      </c>
      <c r="C55" s="54">
        <f>IF(C25="","",IF(C25&lt;&gt;"THERMAL",C25,IF($GW55="","THERMAL - NOT SPECIFIED",$GW55)))</f>
        <v>6137</v>
      </c>
      <c r="D55" s="54">
        <f>IF(D25="","",IF(D25&lt;&gt;"THERMAL",D25,IF($GW55="","THERMAL - NOT SPECIFIED",$GW55)))</f>
        <v>6137</v>
      </c>
      <c r="E55" s="54">
        <f>IF(E25="","",IF(E25&lt;&gt;"THERMAL",E25,IF($GW55="","THERMAL - NOT SPECIFIED",$GW55)))</f>
        <v>6137</v>
      </c>
      <c r="F55" s="54">
        <f>IF(F25="","",IF(F25&lt;&gt;"THERMAL",F25,IF($GW55="","THERMAL - NOT SPECIFIED",$GW55)))</f>
        <v>6137</v>
      </c>
      <c r="G55" s="54">
        <f>IF(G25="","",IF(G25&lt;&gt;"THERMAL",G25,IF($GW55="","THERMAL - NOT SPECIFIED",$GW55)))</f>
        <v>6137</v>
      </c>
      <c r="H55" s="54">
        <f>IF(H25="","",IF(H25&lt;&gt;"THERMAL",H25,IF($GW55="","THERMAL - NOT SPECIFIED",$GW55)))</f>
        <v>6137</v>
      </c>
      <c r="I55" s="54">
        <f>IF(I25="","",IF(I25&lt;&gt;"THERMAL",I25,IF($GW55="","THERMAL - NOT SPECIFIED",$GW55)))</f>
        <v>6137</v>
      </c>
      <c r="J55" s="54">
        <f>IF(J25="","",IF(J25&lt;&gt;"THERMAL",J25,IF($GW55="","THERMAL - NOT SPECIFIED",$GW55)))</f>
        <v>6137</v>
      </c>
      <c r="K55" s="54">
        <f>IF(K25="","",IF(K25&lt;&gt;"THERMAL",K25,IF($GW55="","THERMAL - NOT SPECIFIED",$GW55)))</f>
        <v>6137</v>
      </c>
      <c r="L55" s="54">
        <f>IF(L25="","",IF(L25&lt;&gt;"THERMAL",L25,IF($GW55="","THERMAL - NOT SPECIFIED",$GW55)))</f>
        <v>6137</v>
      </c>
      <c r="M55" s="54">
        <f>IF(M25="","",IF(M25&lt;&gt;"THERMAL",M25,IF($GW55="","THERMAL - NOT SPECIFIED",$GW55)))</f>
        <v>6137</v>
      </c>
      <c r="N55" s="54">
        <f>IF(N25="","",IF(N25&lt;&gt;"THERMAL",N25,IF($GW55="","THERMAL - NOT SPECIFIED",$GW55)))</f>
        <v>6137</v>
      </c>
      <c r="O55" s="54">
        <f>IF(O25="","",IF(O25&lt;&gt;"THERMAL",O25,IF($GW55="","THERMAL - NOT SPECIFIED",$GW55)))</f>
        <v>6108</v>
      </c>
      <c r="P55" s="54">
        <f>IF(P25="","",IF(P25&lt;&gt;"THERMAL",P25,IF($GW55="","THERMAL - NOT SPECIFIED",$GW55)))</f>
        <v>6108</v>
      </c>
      <c r="Q55" s="54">
        <f>IF(Q25="","",IF(Q25&lt;&gt;"THERMAL",Q25,IF($GW55="","THERMAL - NOT SPECIFIED",$GW55)))</f>
        <v>6108</v>
      </c>
      <c r="R55" s="54">
        <f>IF(R25="","",IF(R25&lt;&gt;"THERMAL",R25,IF($GW55="","THERMAL - NOT SPECIFIED",$GW55)))</f>
        <v>6108</v>
      </c>
      <c r="S55" s="54">
        <f>IF(S25="","",IF(S25&lt;&gt;"THERMAL",S25,IF($GW55="","THERMAL - NOT SPECIFIED",$GW55)))</f>
        <v>6108</v>
      </c>
      <c r="T55" s="54">
        <f>IF(T25="","",IF(T25&lt;&gt;"THERMAL",T25,IF($GW55="","THERMAL - NOT SPECIFIED",$GW55)))</f>
        <v>6108</v>
      </c>
      <c r="U55" s="54">
        <f>IF(U25="","",IF(U25&lt;&gt;"THERMAL",U25,IF($GW55="","THERMAL - NOT SPECIFIED",$GW55)))</f>
        <v>6108</v>
      </c>
      <c r="V55" s="54">
        <f>IF(V25="","",IF(V25&lt;&gt;"THERMAL",V25,IF($GW55="","THERMAL - NOT SPECIFIED",$GW55)))</f>
        <v>6108</v>
      </c>
      <c r="W55" s="54">
        <f>IF(W25="","",IF(W25&lt;&gt;"THERMAL",W25,IF($GW55="","THERMAL - NOT SPECIFIED",$GW55)))</f>
        <v>6108</v>
      </c>
      <c r="X55" s="54">
        <f>IF(X25="","",IF(X25&lt;&gt;"THERMAL",X25,IF($GW55="","THERMAL - NOT SPECIFIED",$GW55)))</f>
        <v>6108</v>
      </c>
      <c r="Y55" s="54">
        <f>IF(Y25="","",IF(Y25&lt;&gt;"THERMAL",Y25,IF($GW55="","THERMAL - NOT SPECIFIED",$GW55)))</f>
        <v>6108</v>
      </c>
      <c r="Z55" s="54">
        <f>IF(Z25="","",IF(Z25&lt;&gt;"THERMAL",Z25,IF($GW55="","THERMAL - NOT SPECIFIED",$GW55)))</f>
        <v>6108</v>
      </c>
      <c r="AA55" s="54">
        <f>IF(AA25="","",IF(AA25&lt;&gt;"THERMAL",AA25,IF($GW55="","THERMAL - NOT SPECIFIED",$GW55)))</f>
        <v>6108</v>
      </c>
      <c r="AB55" s="54">
        <f>IF(AB25="","",IF(AB25&lt;&gt;"THERMAL",AB25,IF($GW55="","THERMAL - NOT SPECIFIED",$GW55)))</f>
        <v>6108</v>
      </c>
      <c r="AC55" s="54">
        <f>IF(AC25="","",IF(AC25&lt;&gt;"THERMAL",AC25,IF($GW55="","THERMAL - NOT SPECIFIED",$GW55)))</f>
        <v>6108</v>
      </c>
      <c r="AD55" s="54">
        <f>IF(AD25="","",IF(AD25&lt;&gt;"THERMAL",AD25,IF($GW55="","THERMAL - NOT SPECIFIED",$GW55)))</f>
        <v>6108</v>
      </c>
      <c r="AE55" s="54">
        <f>IF(AE25="","",IF(AE25&lt;&gt;"THERMAL",AE25,IF($GW55="","THERMAL - NOT SPECIFIED",$GW55)))</f>
        <v>6108</v>
      </c>
      <c r="AF55" s="54">
        <f>IF(AF25="","",IF(AF25&lt;&gt;"THERMAL",AF25,IF($GW55="","THERMAL - NOT SPECIFIED",$GW55)))</f>
        <v>6108</v>
      </c>
      <c r="AG55" s="54">
        <f>IF(AG25="","",IF(AG25&lt;&gt;"THERMAL",AG25,IF($GW55="","THERMAL - NOT SPECIFIED",$GW55)))</f>
        <v>6108</v>
      </c>
      <c r="AH55" s="54">
        <f>IF(AH25="","",IF(AH25&lt;&gt;"THERMAL",AH25,IF($GW55="","THERMAL - NOT SPECIFIED",$GW55)))</f>
        <v>6108</v>
      </c>
      <c r="AI55" s="54">
        <f>IF(AI25="","",IF(AI25&lt;&gt;"THERMAL",AI25,IF($GW55="","THERMAL - NOT SPECIFIED",$GW55)))</f>
        <v>6108</v>
      </c>
      <c r="AJ55" s="54">
        <f>IF(AJ25="","",IF(AJ25&lt;&gt;"THERMAL",AJ25,IF($GW55="","THERMAL - NOT SPECIFIED",$GW55)))</f>
        <v>6108</v>
      </c>
      <c r="AK55" s="54">
        <f>IF(AK25="","",IF(AK25&lt;&gt;"THERMAL",AK25,IF($GW55="","THERMAL - NOT SPECIFIED",$GW55)))</f>
        <v>6108</v>
      </c>
      <c r="AL55" s="54">
        <f>IF(AL25="","",IF(AL25&lt;&gt;"THERMAL",AL25,IF($GW55="","THERMAL - NOT SPECIFIED",$GW55)))</f>
        <v>6108</v>
      </c>
      <c r="AM55" s="54">
        <f>IF(AM25="","",IF(AM25&lt;&gt;"THERMAL",AM25,IF($GW55="","THERMAL - NOT SPECIFIED",$GW55)))</f>
        <v>6108</v>
      </c>
      <c r="AN55" s="54">
        <f>IF(AN25="","",IF(AN25&lt;&gt;"THERMAL",AN25,IF($GW55="","THERMAL - NOT SPECIFIED",$GW55)))</f>
        <v>6108</v>
      </c>
      <c r="AO55" s="54">
        <f>IF(AO25="","",IF(AO25&lt;&gt;"THERMAL",AO25,IF($GW55="","THERMAL - NOT SPECIFIED",$GW55)))</f>
        <v>6108</v>
      </c>
      <c r="AP55" s="54">
        <f>IF(AP25="","",IF(AP25&lt;&gt;"THERMAL",AP25,IF($GW55="","THERMAL - NOT SPECIFIED",$GW55)))</f>
        <v>6108</v>
      </c>
      <c r="AQ55" s="54">
        <f>IF(AQ25="","",IF(AQ25&lt;&gt;"THERMAL",AQ25,IF($GW55="","THERMAL - NOT SPECIFIED",$GW55)))</f>
        <v>6108</v>
      </c>
      <c r="AR55" s="54">
        <f>IF(AR25="","",IF(AR25&lt;&gt;"THERMAL",AR25,IF($GW55="","THERMAL - NOT SPECIFIED",$GW55)))</f>
        <v>6108</v>
      </c>
      <c r="AS55" s="54">
        <f>IF(AS25="","",IF(AS25&lt;&gt;"THERMAL",AS25,IF($GW55="","THERMAL - NOT SPECIFIED",$GW55)))</f>
        <v>6108</v>
      </c>
      <c r="AT55" s="54">
        <f>IF(AT25="","",IF(AT25&lt;&gt;"THERMAL",AT25,IF($GW55="","THERMAL - NOT SPECIFIED",$GW55)))</f>
        <v>6108</v>
      </c>
      <c r="AU55" s="54">
        <f>IF(AU25="","",IF(AU25&lt;&gt;"THERMAL",AU25,IF($GW55="","THERMAL - NOT SPECIFIED",$GW55)))</f>
        <v>6109</v>
      </c>
      <c r="AV55" s="54">
        <f>IF(AV25="","",IF(AV25&lt;&gt;"THERMAL",AV25,IF($GW55="","THERMAL - NOT SPECIFIED",$GW55)))</f>
        <v>6109</v>
      </c>
      <c r="AW55" s="54">
        <f>IF(AW25="","",IF(AW25&lt;&gt;"THERMAL",AW25,IF($GW55="","THERMAL - NOT SPECIFIED",$GW55)))</f>
        <v>6109</v>
      </c>
      <c r="AX55" s="54">
        <f>IF(AX25="","",IF(AX25&lt;&gt;"THERMAL",AX25,IF($GW55="","THERMAL - NOT SPECIFIED",$GW55)))</f>
        <v>6109</v>
      </c>
      <c r="AY55" s="54">
        <f>IF(AY25="","",IF(AY25&lt;&gt;"THERMAL",AY25,IF($GW55="","THERMAL - NOT SPECIFIED",$GW55)))</f>
        <v>6109</v>
      </c>
      <c r="AZ55" s="54">
        <f>IF(AZ25="","",IF(AZ25&lt;&gt;"THERMAL",AZ25,IF($GW55="","THERMAL - NOT SPECIFIED",$GW55)))</f>
        <v>6109</v>
      </c>
      <c r="BA55" s="54">
        <f>IF(BA25="","",IF(BA25&lt;&gt;"THERMAL",BA25,IF($GW55="","THERMAL - NOT SPECIFIED",$GW55)))</f>
        <v>6109</v>
      </c>
      <c r="BB55" s="54">
        <f>IF(BB25="","",IF(BB25&lt;&gt;"THERMAL",BB25,IF($GW55="","THERMAL - NOT SPECIFIED",$GW55)))</f>
        <v>6109</v>
      </c>
      <c r="BC55" s="54">
        <f>IF(BC25="","",IF(BC25&lt;&gt;"THERMAL",BC25,IF($GW55="","THERMAL - NOT SPECIFIED",$GW55)))</f>
        <v>6109</v>
      </c>
      <c r="BD55" s="54">
        <f>IF(BD25="","",IF(BD25&lt;&gt;"THERMAL",BD25,IF($GW55="","THERMAL - NOT SPECIFIED",$GW55)))</f>
        <v>6109</v>
      </c>
      <c r="BE55" s="54">
        <f>IF(BE25="","",IF(BE25&lt;&gt;"THERMAL",BE25,IF($GW55="","THERMAL - NOT SPECIFIED",$GW55)))</f>
        <v>6109</v>
      </c>
      <c r="BF55" s="54">
        <f>IF(BF25="","",IF(BF25&lt;&gt;"THERMAL",BF25,IF($GW55="","THERMAL - NOT SPECIFIED",$GW55)))</f>
        <v>6109</v>
      </c>
      <c r="BG55" s="54">
        <f>IF(BG25="","",IF(BG25&lt;&gt;"THERMAL",BG25,IF($GW55="","THERMAL - NOT SPECIFIED",$GW55)))</f>
        <v>6109</v>
      </c>
      <c r="BH55" s="54">
        <f>IF(BH25="","",IF(BH25&lt;&gt;"THERMAL",BH25,IF($GW55="","THERMAL - NOT SPECIFIED",$GW55)))</f>
        <v>6109</v>
      </c>
      <c r="BI55" s="54">
        <f>IF(BI25="","",IF(BI25&lt;&gt;"THERMAL",BI25,IF($GW55="","THERMAL - NOT SPECIFIED",$GW55)))</f>
        <v>6109</v>
      </c>
      <c r="BJ55" s="54">
        <f>IF(BJ25="","",IF(BJ25&lt;&gt;"THERMAL",BJ25,IF($GW55="","THERMAL - NOT SPECIFIED",$GW55)))</f>
        <v>6109</v>
      </c>
      <c r="BK55" s="54">
        <f>IF(BK25="","",IF(BK25&lt;&gt;"THERMAL",BK25,IF($GW55="","THERMAL - NOT SPECIFIED",$GW55)))</f>
        <v>6109</v>
      </c>
      <c r="BL55" s="54">
        <f>IF(BL25="","",IF(BL25&lt;&gt;"THERMAL",BL25,IF($GW55="","THERMAL - NOT SPECIFIED",$GW55)))</f>
        <v>6109</v>
      </c>
      <c r="BM55" s="54">
        <f>IF(BM25="","",IF(BM25&lt;&gt;"THERMAL",BM25,IF($GW55="","THERMAL - NOT SPECIFIED",$GW55)))</f>
        <v>6109</v>
      </c>
      <c r="BN55" s="54">
        <f>IF(BN25="","",IF(BN25&lt;&gt;"THERMAL",BN25,IF($GW55="","THERMAL - NOT SPECIFIED",$GW55)))</f>
        <v>6109</v>
      </c>
      <c r="BO55" s="54">
        <f>IF(BO25="","",IF(BO25&lt;&gt;"THERMAL",BO25,IF($GW55="","THERMAL - NOT SPECIFIED",$GW55)))</f>
        <v>6109</v>
      </c>
      <c r="BP55" s="54">
        <f>IF(BP25="","",IF(BP25&lt;&gt;"THERMAL",BP25,IF($GW55="","THERMAL - NOT SPECIFIED",$GW55)))</f>
        <v>6109</v>
      </c>
      <c r="BQ55" s="54">
        <f>IF(BQ25="","",IF(BQ25&lt;&gt;"THERMAL",BQ25,IF($GW55="","THERMAL - NOT SPECIFIED",$GW55)))</f>
        <v>6109</v>
      </c>
      <c r="BR55" s="54">
        <f>IF(BR25="","",IF(BR25&lt;&gt;"THERMAL",BR25,IF($GW55="","THERMAL - NOT SPECIFIED",$GW55)))</f>
        <v>6109</v>
      </c>
      <c r="BS55" s="54">
        <f>IF(BS25="","",IF(BS25&lt;&gt;"THERMAL",BS25,IF($GW55="","THERMAL - NOT SPECIFIED",$GW55)))</f>
        <v>6109</v>
      </c>
      <c r="BT55" s="54" t="str">
        <f>IF(BT25="","",IF(BT25&lt;&gt;"THERMAL",BT25,IF($GW55="","THERMAL - NOT SPECIFIED",$GW55)))</f>
        <v>VACCANT</v>
      </c>
      <c r="BU55" s="54" t="str">
        <f>IF(BU25="","",IF(BU25&lt;&gt;"THERMAL",BU25,IF($GW55="","THERMAL - NOT SPECIFIED",$GW55)))</f>
        <v/>
      </c>
      <c r="BV55" s="54" t="str">
        <f>IF(BV25="","",IF(BV25&lt;&gt;"THERMAL",BV25,IF($GW55="","THERMAL - NOT SPECIFIED",$GW55)))</f>
        <v/>
      </c>
      <c r="BW55" s="54" t="str">
        <f>IF(BW25="","",IF(BW25&lt;&gt;"THERMAL",BW25,IF($GW55="","THERMAL - NOT SPECIFIED",$GW55)))</f>
        <v/>
      </c>
      <c r="BX55" s="54" t="str">
        <f>IF(BX25="","",IF(BX25&lt;&gt;"THERMAL",BX25,IF($GW55="","THERMAL - NOT SPECIFIED",$GW55)))</f>
        <v/>
      </c>
      <c r="BY55" s="54" t="str">
        <f>IF(BY25="","",IF(BY25&lt;&gt;"THERMAL",BY25,IF($GW55="","THERMAL - NOT SPECIFIED",$GW55)))</f>
        <v/>
      </c>
      <c r="BZ55" s="54" t="str">
        <f>IF(BZ25="","",IF(BZ25&lt;&gt;"THERMAL",BZ25,IF($GW55="","THERMAL - NOT SPECIFIED",$GW55)))</f>
        <v/>
      </c>
      <c r="CA55" s="54" t="str">
        <f>IF(CA25="","",IF(CA25&lt;&gt;"THERMAL",CA25,IF($GW55="","THERMAL - NOT SPECIFIED",$GW55)))</f>
        <v/>
      </c>
      <c r="CB55" s="54" t="str">
        <f>IF(CB25="","",IF(CB25&lt;&gt;"THERMAL",CB25,IF($GW55="","THERMAL - NOT SPECIFIED",$GW55)))</f>
        <v/>
      </c>
      <c r="CC55" s="54" t="str">
        <f>IF(CC25="","",IF(CC25&lt;&gt;"THERMAL",CC25,IF($GW55="","THERMAL - NOT SPECIFIED",$GW55)))</f>
        <v/>
      </c>
      <c r="CD55" s="54" t="str">
        <f>IF(CD25="","",IF(CD25&lt;&gt;"THERMAL",CD25,IF($GW55="","THERMAL - NOT SPECIFIED",$GW55)))</f>
        <v/>
      </c>
      <c r="CE55" s="54" t="str">
        <f>IF(CE25="","",IF(CE25&lt;&gt;"THERMAL",CE25,IF($GW55="","THERMAL - NOT SPECIFIED",$GW55)))</f>
        <v/>
      </c>
      <c r="CF55" s="54" t="str">
        <f>IF(CF25="","",IF(CF25&lt;&gt;"THERMAL",CF25,IF($GW55="","THERMAL - NOT SPECIFIED",$GW55)))</f>
        <v/>
      </c>
      <c r="CG55" s="54" t="str">
        <f>IF(CG25="","",IF(CG25&lt;&gt;"THERMAL",CG25,IF($GW55="","THERMAL - NOT SPECIFIED",$GW55)))</f>
        <v/>
      </c>
      <c r="CH55" s="54" t="str">
        <f>IF(CH25="","",IF(CH25&lt;&gt;"THERMAL",CH25,IF($GW55="","THERMAL - NOT SPECIFIED",$GW55)))</f>
        <v/>
      </c>
      <c r="CI55" s="54" t="str">
        <f>IF(CI25="","",IF(CI25&lt;&gt;"THERMAL",CI25,IF($GW55="","THERMAL - NOT SPECIFIED",$GW55)))</f>
        <v/>
      </c>
      <c r="CJ55" s="54" t="str">
        <f>IF(CJ25="","",IF(CJ25&lt;&gt;"THERMAL",CJ25,IF($GW55="","THERMAL - NOT SPECIFIED",$GW55)))</f>
        <v/>
      </c>
      <c r="CK55" s="54" t="str">
        <f>IF(CK25="","",IF(CK25&lt;&gt;"THERMAL",CK25,IF($GW55="","THERMAL - NOT SPECIFIED",$GW55)))</f>
        <v/>
      </c>
      <c r="CL55" s="54" t="str">
        <f>IF(CL25="","",IF(CL25&lt;&gt;"THERMAL",CL25,IF($GW55="","THERMAL - NOT SPECIFIED",$GW55)))</f>
        <v/>
      </c>
      <c r="CM55" s="54" t="str">
        <f>IF(CM25="","",IF(CM25&lt;&gt;"THERMAL",CM25,IF($GW55="","THERMAL - NOT SPECIFIED",$GW55)))</f>
        <v/>
      </c>
      <c r="CN55" s="54" t="str">
        <f>IF(CN25="","",IF(CN25&lt;&gt;"THERMAL",CN25,IF($GW55="","THERMAL - NOT SPECIFIED",$GW55)))</f>
        <v/>
      </c>
      <c r="CO55" s="54" t="str">
        <f>IF(CO25="","",IF(CO25&lt;&gt;"THERMAL",CO25,IF($GW55="","THERMAL - NOT SPECIFIED",$GW55)))</f>
        <v/>
      </c>
      <c r="CP55" s="54" t="str">
        <f>IF(CP25="","",IF(CP25&lt;&gt;"THERMAL",CP25,IF($GW55="","THERMAL - NOT SPECIFIED",$GW55)))</f>
        <v/>
      </c>
      <c r="CQ55" s="54" t="str">
        <f>IF(CQ25="","",IF(CQ25&lt;&gt;"THERMAL",CQ25,IF($GW55="","THERMAL - NOT SPECIFIED",$GW55)))</f>
        <v/>
      </c>
      <c r="CR55" s="54" t="str">
        <f>IF(CR25="","",IF(CR25&lt;&gt;"THERMAL",CR25,IF($GW55="","THERMAL - NOT SPECIFIED",$GW55)))</f>
        <v/>
      </c>
      <c r="CS55" s="54" t="str">
        <f>IF(CS25="","",IF(CS25&lt;&gt;"THERMAL",CS25,IF($GW55="","THERMAL - NOT SPECIFIED",$GW55)))</f>
        <v/>
      </c>
      <c r="CT55" s="54" t="str">
        <f>IF(CT25="","",IF(CT25&lt;&gt;"THERMAL",CT25,IF($GW55="","THERMAL - NOT SPECIFIED",$GW55)))</f>
        <v/>
      </c>
      <c r="CU55" s="54" t="str">
        <f>IF(CU25="","",IF(CU25&lt;&gt;"THERMAL",CU25,IF($GW55="","THERMAL - NOT SPECIFIED",$GW55)))</f>
        <v/>
      </c>
      <c r="CV55" s="54" t="str">
        <f>IF(CV25="","",IF(CV25&lt;&gt;"THERMAL",CV25,IF($GW55="","THERMAL - NOT SPECIFIED",$GW55)))</f>
        <v/>
      </c>
      <c r="CW55" s="54" t="str">
        <f>IF(CW25="","",IF(CW25&lt;&gt;"THERMAL",CW25,IF($GW55="","THERMAL - NOT SPECIFIED",$GW55)))</f>
        <v/>
      </c>
      <c r="CX55" s="54" t="str">
        <f>IF(CX25="","",IF(CX25&lt;&gt;"THERMAL",CX25,IF($GW55="","THERMAL - NOT SPECIFIED",$GW55)))</f>
        <v/>
      </c>
      <c r="CY55" s="54" t="str">
        <f>IF(CY25="","",IF(CY25&lt;&gt;"THERMAL",CY25,IF($GW55="","THERMAL - NOT SPECIFIED",$GW55)))</f>
        <v/>
      </c>
      <c r="CZ55" s="54" t="str">
        <f>IF(CZ25="","",IF(CZ25&lt;&gt;"THERMAL",CZ25,IF($GW55="","THERMAL - NOT SPECIFIED",$GW55)))</f>
        <v/>
      </c>
      <c r="DA55" s="54" t="str">
        <f>IF(DA25="","",IF(DA25&lt;&gt;"THERMAL",DA25,IF($GW55="","THERMAL - NOT SPECIFIED",$GW55)))</f>
        <v/>
      </c>
      <c r="DB55" s="54" t="str">
        <f>IF(DB25="","",IF(DB25&lt;&gt;"THERMAL",DB25,IF($GW55="","THERMAL - NOT SPECIFIED",$GW55)))</f>
        <v/>
      </c>
      <c r="DC55" s="54" t="str">
        <f>IF(DC25="","",IF(DC25&lt;&gt;"THERMAL",DC25,IF($GW55="","THERMAL - NOT SPECIFIED",$GW55)))</f>
        <v/>
      </c>
      <c r="DD55" s="54" t="str">
        <f>IF(DD25="","",IF(DD25&lt;&gt;"THERMAL",DD25,IF($GW55="","THERMAL - NOT SPECIFIED",$GW55)))</f>
        <v/>
      </c>
      <c r="DE55" s="54" t="str">
        <f>IF(DE25="","",IF(DE25&lt;&gt;"THERMAL",DE25,IF($GW55="","THERMAL - NOT SPECIFIED",$GW55)))</f>
        <v/>
      </c>
      <c r="DF55" s="54" t="str">
        <f>IF(DF25="","",IF(DF25&lt;&gt;"THERMAL",DF25,IF($GW55="","THERMAL - NOT SPECIFIED",$GW55)))</f>
        <v/>
      </c>
      <c r="DG55" s="54" t="str">
        <f>IF(DG25="","",IF(DG25&lt;&gt;"THERMAL",DG25,IF($GW55="","THERMAL - NOT SPECIFIED",$GW55)))</f>
        <v/>
      </c>
      <c r="DH55" s="54" t="str">
        <f>IF(DH25="","",IF(DH25&lt;&gt;"THERMAL",DH25,IF($GW55="","THERMAL - NOT SPECIFIED",$GW55)))</f>
        <v/>
      </c>
      <c r="DI55" s="54" t="str">
        <f>IF(DI25="","",IF(DI25&lt;&gt;"THERMAL",DI25,IF($GW55="","THERMAL - NOT SPECIFIED",$GW55)))</f>
        <v/>
      </c>
      <c r="DJ55" s="54" t="str">
        <f>IF(DJ25="","",IF(DJ25&lt;&gt;"THERMAL",DJ25,IF($GW55="","THERMAL - NOT SPECIFIED",$GW55)))</f>
        <v/>
      </c>
      <c r="DK55" s="54" t="str">
        <f>IF(DK25="","",IF(DK25&lt;&gt;"THERMAL",DK25,IF($GW55="","THERMAL - NOT SPECIFIED",$GW55)))</f>
        <v/>
      </c>
      <c r="DL55" s="54" t="str">
        <f>IF(DL25="","",IF(DL25&lt;&gt;"THERMAL",DL25,IF($GW55="","THERMAL - NOT SPECIFIED",$GW55)))</f>
        <v/>
      </c>
      <c r="DM55" s="54" t="str">
        <f>IF(DM25="","",IF(DM25&lt;&gt;"THERMAL",DM25,IF($GW55="","THERMAL - NOT SPECIFIED",$GW55)))</f>
        <v/>
      </c>
      <c r="DN55" s="54" t="str">
        <f>IF(DN25="","",IF(DN25&lt;&gt;"THERMAL",DN25,IF($GW55="","THERMAL - NOT SPECIFIED",$GW55)))</f>
        <v/>
      </c>
      <c r="DO55" s="54" t="str">
        <f>IF(DO25="","",IF(DO25&lt;&gt;"THERMAL",DO25,IF($GW55="","THERMAL - NOT SPECIFIED",$GW55)))</f>
        <v/>
      </c>
      <c r="DP55" s="54" t="str">
        <f>IF(DP25="","",IF(DP25&lt;&gt;"THERMAL",DP25,IF($GW55="","THERMAL - NOT SPECIFIED",$GW55)))</f>
        <v/>
      </c>
      <c r="DQ55" s="54" t="str">
        <f>IF(DQ25="","",IF(DQ25&lt;&gt;"THERMAL",DQ25,IF($GW55="","THERMAL - NOT SPECIFIED",$GW55)))</f>
        <v/>
      </c>
      <c r="DR55" s="54" t="str">
        <f>IF(DR25="","",IF(DR25&lt;&gt;"THERMAL",DR25,IF($GW55="","THERMAL - NOT SPECIFIED",$GW55)))</f>
        <v/>
      </c>
      <c r="DS55" s="54" t="str">
        <f>IF(DS25="","",IF(DS25&lt;&gt;"THERMAL",DS25,IF($GW55="","THERMAL - NOT SPECIFIED",$GW55)))</f>
        <v/>
      </c>
      <c r="DT55" s="54" t="str">
        <f>IF(DT25="","",IF(DT25&lt;&gt;"THERMAL",DT25,IF($GW55="","THERMAL - NOT SPECIFIED",$GW55)))</f>
        <v/>
      </c>
      <c r="DU55" s="54" t="str">
        <f>IF(DU25="","",IF(DU25&lt;&gt;"THERMAL",DU25,IF($GW55="","THERMAL - NOT SPECIFIED",$GW55)))</f>
        <v/>
      </c>
      <c r="DV55" s="54" t="str">
        <f>IF(DV25="","",IF(DV25&lt;&gt;"THERMAL",DV25,IF($GW55="","THERMAL - NOT SPECIFIED",$GW55)))</f>
        <v/>
      </c>
      <c r="DW55" s="54" t="str">
        <f>IF(DW25="","",IF(DW25&lt;&gt;"THERMAL",DW25,IF($GW55="","THERMAL - NOT SPECIFIED",$GW55)))</f>
        <v/>
      </c>
      <c r="DX55" s="54" t="str">
        <f>IF(DX25="","",IF(DX25&lt;&gt;"THERMAL",DX25,IF($GW55="","THERMAL - NOT SPECIFIED",$GW55)))</f>
        <v/>
      </c>
      <c r="DY55" s="54" t="str">
        <f>IF(DY25="","",IF(DY25&lt;&gt;"THERMAL",DY25,IF($GW55="","THERMAL - NOT SPECIFIED",$GW55)))</f>
        <v/>
      </c>
      <c r="DZ55" s="54" t="str">
        <f>IF(DZ25="","",IF(DZ25&lt;&gt;"THERMAL",DZ25,IF($GW55="","THERMAL - NOT SPECIFIED",$GW55)))</f>
        <v/>
      </c>
      <c r="EA55" s="54" t="str">
        <f>IF(EA25="","",IF(EA25&lt;&gt;"THERMAL",EA25,IF($GW55="","THERMAL - NOT SPECIFIED",$GW55)))</f>
        <v/>
      </c>
      <c r="EB55" s="54" t="str">
        <f>IF(EB25="","",IF(EB25&lt;&gt;"THERMAL",EB25,IF($GW55="","THERMAL - NOT SPECIFIED",$GW55)))</f>
        <v/>
      </c>
      <c r="EC55" s="54" t="str">
        <f>IF(EC25="","",IF(EC25&lt;&gt;"THERMAL",EC25,IF($GW55="","THERMAL - NOT SPECIFIED",$GW55)))</f>
        <v/>
      </c>
      <c r="ED55" s="54" t="str">
        <f>IF(ED25="","",IF(ED25&lt;&gt;"THERMAL",ED25,IF($GW55="","THERMAL - NOT SPECIFIED",$GW55)))</f>
        <v/>
      </c>
      <c r="EE55" s="54" t="str">
        <f>IF(EE25="","",IF(EE25&lt;&gt;"THERMAL",EE25,IF($GW55="","THERMAL - NOT SPECIFIED",$GW55)))</f>
        <v/>
      </c>
      <c r="EF55" s="54" t="str">
        <f>IF(EF25="","",IF(EF25&lt;&gt;"THERMAL",EF25,IF($GW55="","THERMAL - NOT SPECIFIED",$GW55)))</f>
        <v/>
      </c>
      <c r="EG55" s="54" t="str">
        <f>IF(EG25="","",IF(EG25&lt;&gt;"THERMAL",EG25,IF($GW55="","THERMAL - NOT SPECIFIED",$GW55)))</f>
        <v/>
      </c>
      <c r="EH55" s="54" t="str">
        <f>IF(EH25="","",IF(EH25&lt;&gt;"THERMAL",EH25,IF($GW55="","THERMAL - NOT SPECIFIED",$GW55)))</f>
        <v/>
      </c>
      <c r="EI55" s="54" t="str">
        <f>IF(EI25="","",IF(EI25&lt;&gt;"THERMAL",EI25,IF($GW55="","THERMAL - NOT SPECIFIED",$GW55)))</f>
        <v/>
      </c>
      <c r="EJ55" s="54" t="str">
        <f>IF(EJ25="","",IF(EJ25&lt;&gt;"THERMAL",EJ25,IF($GW55="","THERMAL - NOT SPECIFIED",$GW55)))</f>
        <v/>
      </c>
      <c r="EK55" s="54" t="str">
        <f>IF(EK25="","",IF(EK25&lt;&gt;"THERMAL",EK25,IF($GW55="","THERMAL - NOT SPECIFIED",$GW55)))</f>
        <v/>
      </c>
      <c r="EL55" s="54" t="str">
        <f>IF(EL25="","",IF(EL25&lt;&gt;"THERMAL",EL25,IF($GW55="","THERMAL - NOT SPECIFIED",$GW55)))</f>
        <v/>
      </c>
      <c r="EM55" s="54" t="str">
        <f>IF(EM25="","",IF(EM25&lt;&gt;"THERMAL",EM25,IF($GW55="","THERMAL - NOT SPECIFIED",$GW55)))</f>
        <v/>
      </c>
      <c r="EN55" s="54" t="str">
        <f>IF(EN25="","",IF(EN25&lt;&gt;"THERMAL",EN25,IF($GW55="","THERMAL - NOT SPECIFIED",$GW55)))</f>
        <v/>
      </c>
      <c r="EO55" s="54" t="str">
        <f>IF(EO25="","",IF(EO25&lt;&gt;"THERMAL",EO25,IF($GW55="","THERMAL - NOT SPECIFIED",$GW55)))</f>
        <v/>
      </c>
      <c r="EP55" s="54" t="str">
        <f>IF(EP25="","",IF(EP25&lt;&gt;"THERMAL",EP25,IF($GW55="","THERMAL - NOT SPECIFIED",$GW55)))</f>
        <v/>
      </c>
      <c r="EQ55" s="54" t="str">
        <f>IF(EQ25="","",IF(EQ25&lt;&gt;"THERMAL",EQ25,IF($GW55="","THERMAL - NOT SPECIFIED",$GW55)))</f>
        <v/>
      </c>
      <c r="ER55" s="54" t="str">
        <f>IF(ER25="","",IF(ER25&lt;&gt;"THERMAL",ER25,IF($GW55="","THERMAL - NOT SPECIFIED",$GW55)))</f>
        <v/>
      </c>
      <c r="ES55" s="54" t="str">
        <f>IF(ES25="","",IF(ES25&lt;&gt;"THERMAL",ES25,IF($GW55="","THERMAL - NOT SPECIFIED",$GW55)))</f>
        <v/>
      </c>
      <c r="ET55" s="54" t="str">
        <f>IF(ET25="","",IF(ET25&lt;&gt;"THERMAL",ET25,IF($GW55="","THERMAL - NOT SPECIFIED",$GW55)))</f>
        <v/>
      </c>
      <c r="EU55" s="54" t="str">
        <f>IF(EU25="","",IF(EU25&lt;&gt;"THERMAL",EU25,IF($GW55="","THERMAL - NOT SPECIFIED",$GW55)))</f>
        <v/>
      </c>
      <c r="EV55" s="54" t="str">
        <f>IF(EV25="","",IF(EV25&lt;&gt;"THERMAL",EV25,IF($GW55="","THERMAL - NOT SPECIFIED",$GW55)))</f>
        <v/>
      </c>
      <c r="EW55" s="54" t="str">
        <f>IF(EW25="","",IF(EW25&lt;&gt;"THERMAL",EW25,IF($GW55="","THERMAL - NOT SPECIFIED",$GW55)))</f>
        <v/>
      </c>
      <c r="EX55" s="54" t="str">
        <f>IF(EX25="","",IF(EX25&lt;&gt;"THERMAL",EX25,IF($GW55="","THERMAL - NOT SPECIFIED",$GW55)))</f>
        <v/>
      </c>
      <c r="EY55" s="54" t="str">
        <f>IF(EY25="","",IF(EY25&lt;&gt;"THERMAL",EY25,IF($GW55="","THERMAL - NOT SPECIFIED",$GW55)))</f>
        <v/>
      </c>
      <c r="EZ55" s="54" t="str">
        <f>IF(EZ25="","",IF(EZ25&lt;&gt;"THERMAL",EZ25,IF($GW55="","THERMAL - NOT SPECIFIED",$GW55)))</f>
        <v/>
      </c>
      <c r="FA55" s="54" t="str">
        <f>IF(FA25="","",IF(FA25&lt;&gt;"THERMAL",FA25,IF($GW55="","THERMAL - NOT SPECIFIED",$GW55)))</f>
        <v/>
      </c>
      <c r="FB55" s="54" t="str">
        <f>IF(FB25="","",IF(FB25&lt;&gt;"THERMAL",FB25,IF($GW55="","THERMAL - NOT SPECIFIED",$GW55)))</f>
        <v/>
      </c>
      <c r="FC55" s="54" t="str">
        <f>IF(FC25="","",IF(FC25&lt;&gt;"THERMAL",FC25,IF($GW55="","THERMAL - NOT SPECIFIED",$GW55)))</f>
        <v/>
      </c>
      <c r="FD55" s="54" t="str">
        <f>IF(FD25="","",IF(FD25&lt;&gt;"THERMAL",FD25,IF($GW55="","THERMAL - NOT SPECIFIED",$GW55)))</f>
        <v/>
      </c>
      <c r="FE55" s="54" t="str">
        <f>IF(FE25="","",IF(FE25&lt;&gt;"THERMAL",FE25,IF($GW55="","THERMAL - NOT SPECIFIED",$GW55)))</f>
        <v/>
      </c>
      <c r="FF55" s="54" t="str">
        <f>IF(FF25="","",IF(FF25&lt;&gt;"THERMAL",FF25,IF($GW55="","THERMAL - NOT SPECIFIED",$GW55)))</f>
        <v/>
      </c>
      <c r="FG55" s="54" t="str">
        <f>IF(FG25="","",IF(FG25&lt;&gt;"THERMAL",FG25,IF($GW55="","THERMAL - NOT SPECIFIED",$GW55)))</f>
        <v/>
      </c>
      <c r="FH55" s="54" t="str">
        <f>IF(FH25="","",IF(FH25&lt;&gt;"THERMAL",FH25,IF($GW55="","THERMAL - NOT SPECIFIED",$GW55)))</f>
        <v/>
      </c>
      <c r="FI55" s="54" t="str">
        <f>IF(FI25="","",IF(FI25&lt;&gt;"THERMAL",FI25,IF($GW55="","THERMAL - NOT SPECIFIED",$GW55)))</f>
        <v/>
      </c>
      <c r="FJ55" s="54" t="str">
        <f>IF(FJ25="","",IF(FJ25&lt;&gt;"THERMAL",FJ25,IF($GW55="","THERMAL - NOT SPECIFIED",$GW55)))</f>
        <v/>
      </c>
      <c r="FK55" s="54" t="str">
        <f>IF(FK25="","",IF(FK25&lt;&gt;"THERMAL",FK25,IF($GW55="","THERMAL - NOT SPECIFIED",$GW55)))</f>
        <v/>
      </c>
      <c r="FL55" s="54" t="str">
        <f>IF(FL25="","",IF(FL25&lt;&gt;"THERMAL",FL25,IF($GW55="","THERMAL - NOT SPECIFIED",$GW55)))</f>
        <v/>
      </c>
      <c r="FM55" s="54" t="str">
        <f>IF(FM25="","",IF(FM25&lt;&gt;"THERMAL",FM25,IF($GW55="","THERMAL - NOT SPECIFIED",$GW55)))</f>
        <v/>
      </c>
      <c r="FN55" s="54" t="str">
        <f>IF(FN25="","",IF(FN25&lt;&gt;"THERMAL",FN25,IF($GW55="","THERMAL - NOT SPECIFIED",$GW55)))</f>
        <v/>
      </c>
      <c r="FO55" s="54" t="str">
        <f>IF(FO25="","",IF(FO25&lt;&gt;"THERMAL",FO25,IF($GW55="","THERMAL - NOT SPECIFIED",$GW55)))</f>
        <v/>
      </c>
      <c r="FP55" s="54" t="str">
        <f>IF(FP25="","",IF(FP25&lt;&gt;"THERMAL",FP25,IF($GW55="","THERMAL - NOT SPECIFIED",$GW55)))</f>
        <v/>
      </c>
      <c r="FQ55" s="54" t="str">
        <f>IF(FQ25="","",IF(FQ25&lt;&gt;"THERMAL",FQ25,IF($GW55="","THERMAL - NOT SPECIFIED",$GW55)))</f>
        <v/>
      </c>
      <c r="FR55" s="54" t="str">
        <f>IF(FR25="","",IF(FR25&lt;&gt;"THERMAL",FR25,IF($GW55="","THERMAL - NOT SPECIFIED",$GW55)))</f>
        <v/>
      </c>
      <c r="FS55" s="54" t="str">
        <f>IF(FS25="","",IF(FS25&lt;&gt;"THERMAL",FS25,IF($GW55="","THERMAL - NOT SPECIFIED",$GW55)))</f>
        <v/>
      </c>
      <c r="FT55" s="54" t="str">
        <f>IF(FT25="","",IF(FT25&lt;&gt;"THERMAL",FT25,IF($GW55="","THERMAL - NOT SPECIFIED",$GW55)))</f>
        <v/>
      </c>
      <c r="FU55" s="54" t="str">
        <f>IF(FU25="","",IF(FU25&lt;&gt;"THERMAL",FU25,IF($GW55="","THERMAL - NOT SPECIFIED",$GW55)))</f>
        <v/>
      </c>
      <c r="FV55" s="54" t="str">
        <f>IF(FV25="","",IF(FV25&lt;&gt;"THERMAL",FV25,IF($GW55="","THERMAL - NOT SPECIFIED",$GW55)))</f>
        <v/>
      </c>
      <c r="FW55" s="54" t="str">
        <f>IF(FW25="","",IF(FW25&lt;&gt;"THERMAL",FW25,IF($GW55="","THERMAL - NOT SPECIFIED",$GW55)))</f>
        <v/>
      </c>
      <c r="FX55" s="54" t="str">
        <f>IF(FX25="","",IF(FX25&lt;&gt;"THERMAL",FX25,IF($GW55="","THERMAL - NOT SPECIFIED",$GW55)))</f>
        <v/>
      </c>
      <c r="FY55" s="54" t="str">
        <f>IF(FY25="","",IF(FY25&lt;&gt;"THERMAL",FY25,IF($GW55="","THERMAL - NOT SPECIFIED",$GW55)))</f>
        <v/>
      </c>
      <c r="FZ55" s="54" t="str">
        <f>IF(FZ25="","",IF(FZ25&lt;&gt;"THERMAL",FZ25,IF($GW55="","THERMAL - NOT SPECIFIED",$GW55)))</f>
        <v/>
      </c>
      <c r="GA55" s="54" t="str">
        <f>IF(GA25="","",IF(GA25&lt;&gt;"THERMAL",GA25,IF($GW55="","THERMAL - NOT SPECIFIED",$GW55)))</f>
        <v/>
      </c>
      <c r="GB55" s="54" t="str">
        <f>IF(GB25="","",IF(GB25&lt;&gt;"THERMAL",GB25,IF($GW55="","THERMAL - NOT SPECIFIED",$GW55)))</f>
        <v/>
      </c>
      <c r="GC55" s="54" t="str">
        <f>IF(GC25="","",IF(GC25&lt;&gt;"THERMAL",GC25,IF($GW55="","THERMAL - NOT SPECIFIED",$GW55)))</f>
        <v/>
      </c>
      <c r="GD55" s="54" t="str">
        <f>IF(GD25="","",IF(GD25&lt;&gt;"THERMAL",GD25,IF($GW55="","THERMAL - NOT SPECIFIED",$GW55)))</f>
        <v/>
      </c>
      <c r="GE55" s="54" t="str">
        <f>IF(GE25="","",IF(GE25&lt;&gt;"THERMAL",GE25,IF($GW55="","THERMAL - NOT SPECIFIED",$GW55)))</f>
        <v/>
      </c>
      <c r="GF55" s="54" t="str">
        <f>IF(GF25="","",IF(GF25&lt;&gt;"THERMAL",GF25,IF($GW55="","THERMAL - NOT SPECIFIED",$GW55)))</f>
        <v/>
      </c>
      <c r="GG55" s="54" t="str">
        <f>IF(GG25="","",IF(GG25&lt;&gt;"THERMAL",GG25,IF($GW55="","THERMAL - NOT SPECIFIED",$GW55)))</f>
        <v/>
      </c>
      <c r="GH55" s="54" t="str">
        <f>IF(GH25="","",IF(GH25&lt;&gt;"THERMAL",GH25,IF($GW55="","THERMAL - NOT SPECIFIED",$GW55)))</f>
        <v/>
      </c>
      <c r="GI55" s="54" t="str">
        <f>IF(GI25="","",IF(GI25&lt;&gt;"THERMAL",GI25,IF($GW55="","THERMAL - NOT SPECIFIED",$GW55)))</f>
        <v/>
      </c>
      <c r="GJ55" s="54" t="str">
        <f>IF(GJ25="","",IF(GJ25&lt;&gt;"THERMAL",GJ25,IF($GW55="","THERMAL - NOT SPECIFIED",$GW55)))</f>
        <v/>
      </c>
      <c r="GK55" s="54" t="str">
        <f>IF(GK25="","",IF(GK25&lt;&gt;"THERMAL",GK25,IF($GW55="","THERMAL - NOT SPECIFIED",$GW55)))</f>
        <v/>
      </c>
      <c r="GL55" s="54" t="str">
        <f>IF(GL25="","",IF(GL25&lt;&gt;"THERMAL",GL25,IF($GW55="","THERMAL - NOT SPECIFIED",$GW55)))</f>
        <v/>
      </c>
      <c r="GM55" s="54" t="str">
        <f>IF(GM25="","",IF(GM25&lt;&gt;"THERMAL",GM25,IF($GW55="","THERMAL - NOT SPECIFIED",$GW55)))</f>
        <v/>
      </c>
      <c r="GN55" s="54" t="str">
        <f>IF(GN25="","",IF(GN25&lt;&gt;"THERMAL",GN25,IF($GW55="","THERMAL - NOT SPECIFIED",$GW55)))</f>
        <v/>
      </c>
      <c r="GO55" s="54" t="str">
        <f>IF(GO25="","",IF(GO25&lt;&gt;"THERMAL",GO25,IF($GW55="","THERMAL - NOT SPECIFIED",$GW55)))</f>
        <v/>
      </c>
      <c r="GP55" s="54" t="str">
        <f>IF(GP25="","",IF(GP25&lt;&gt;"THERMAL",GP25,IF($GW55="","THERMAL - NOT SPECIFIED",$GW55)))</f>
        <v/>
      </c>
      <c r="GQ55" s="54" t="str">
        <f>IF(GQ25="","",IF(GQ25&lt;&gt;"THERMAL",GQ25,IF($GW55="","THERMAL - NOT SPECIFIED",$GW55)))</f>
        <v/>
      </c>
      <c r="GR55" s="54" t="str">
        <f>IF(GR25="","",IF(GR25&lt;&gt;"THERMAL",GR25,IF($GW55="","THERMAL - NOT SPECIFIED",$GW55)))</f>
        <v/>
      </c>
      <c r="GS55" s="54" t="str">
        <f>IF(GS25="","",IF(GS25&lt;&gt;"THERMAL",GS25,IF($GW55="","THERMAL - NOT SPECIFIED",$GW55)))</f>
        <v/>
      </c>
      <c r="GW55" s="55" t="str">
        <f>IF($GY55="","",IFERROR(INDEX('MC MAP'!$L$5:$L$28,MATCH($GY55,'MC MAP'!$K$5:$K$28,0)),$GY55))</f>
        <v/>
      </c>
      <c r="GY55" s="60"/>
    </row>
    <row r="56" spans="1:207">
      <c r="A56" s="2">
        <f>$A26</f>
        <v>21</v>
      </c>
      <c r="B56" s="54">
        <f>IF(B26="","",IF(B26&lt;&gt;"THERMAL",B26,IF($GW56="","THERMAL - NOT SPECIFIED",$GW56)))</f>
        <v>6137</v>
      </c>
      <c r="C56" s="54">
        <f>IF(C26="","",IF(C26&lt;&gt;"THERMAL",C26,IF($GW56="","THERMAL - NOT SPECIFIED",$GW56)))</f>
        <v>6137</v>
      </c>
      <c r="D56" s="54">
        <f>IF(D26="","",IF(D26&lt;&gt;"THERMAL",D26,IF($GW56="","THERMAL - NOT SPECIFIED",$GW56)))</f>
        <v>6137</v>
      </c>
      <c r="E56" s="54">
        <f>IF(E26="","",IF(E26&lt;&gt;"THERMAL",E26,IF($GW56="","THERMAL - NOT SPECIFIED",$GW56)))</f>
        <v>6137</v>
      </c>
      <c r="F56" s="54">
        <f>IF(F26="","",IF(F26&lt;&gt;"THERMAL",F26,IF($GW56="","THERMAL - NOT SPECIFIED",$GW56)))</f>
        <v>6137</v>
      </c>
      <c r="G56" s="54">
        <f>IF(G26="","",IF(G26&lt;&gt;"THERMAL",G26,IF($GW56="","THERMAL - NOT SPECIFIED",$GW56)))</f>
        <v>6137</v>
      </c>
      <c r="H56" s="54">
        <f>IF(H26="","",IF(H26&lt;&gt;"THERMAL",H26,IF($GW56="","THERMAL - NOT SPECIFIED",$GW56)))</f>
        <v>6137</v>
      </c>
      <c r="I56" s="54">
        <f>IF(I26="","",IF(I26&lt;&gt;"THERMAL",I26,IF($GW56="","THERMAL - NOT SPECIFIED",$GW56)))</f>
        <v>6137</v>
      </c>
      <c r="J56" s="54">
        <f>IF(J26="","",IF(J26&lt;&gt;"THERMAL",J26,IF($GW56="","THERMAL - NOT SPECIFIED",$GW56)))</f>
        <v>6137</v>
      </c>
      <c r="K56" s="54">
        <f>IF(K26="","",IF(K26&lt;&gt;"THERMAL",K26,IF($GW56="","THERMAL - NOT SPECIFIED",$GW56)))</f>
        <v>6137</v>
      </c>
      <c r="L56" s="54">
        <f>IF(L26="","",IF(L26&lt;&gt;"THERMAL",L26,IF($GW56="","THERMAL - NOT SPECIFIED",$GW56)))</f>
        <v>6137</v>
      </c>
      <c r="M56" s="54">
        <f>IF(M26="","",IF(M26&lt;&gt;"THERMAL",M26,IF($GW56="","THERMAL - NOT SPECIFIED",$GW56)))</f>
        <v>6137</v>
      </c>
      <c r="N56" s="54">
        <f>IF(N26="","",IF(N26&lt;&gt;"THERMAL",N26,IF($GW56="","THERMAL - NOT SPECIFIED",$GW56)))</f>
        <v>6137</v>
      </c>
      <c r="O56" s="54" t="str">
        <f>IF(O26="","",IF(O26&lt;&gt;"THERMAL",O26,IF($GW56="","THERMAL - NOT SPECIFIED",$GW56)))</f>
        <v>VACCANT</v>
      </c>
      <c r="P56" s="54" t="str">
        <f>IF(P26="","",IF(P26&lt;&gt;"THERMAL",P26,IF($GW56="","THERMAL - NOT SPECIFIED",$GW56)))</f>
        <v>RS17</v>
      </c>
      <c r="Q56" s="54" t="str">
        <f>IF(Q26="","",IF(Q26&lt;&gt;"THERMAL",Q26,IF($GW56="","THERMAL - NOT SPECIFIED",$GW56)))</f>
        <v>RS17</v>
      </c>
      <c r="R56" s="54" t="str">
        <f>IF(R26="","",IF(R26&lt;&gt;"THERMAL",R26,IF($GW56="","THERMAL - NOT SPECIFIED",$GW56)))</f>
        <v>RS17</v>
      </c>
      <c r="S56" s="54" t="str">
        <f>IF(S26="","",IF(S26&lt;&gt;"THERMAL",S26,IF($GW56="","THERMAL - NOT SPECIFIED",$GW56)))</f>
        <v>RS17</v>
      </c>
      <c r="T56" s="54" t="str">
        <f>IF(T26="","",IF(T26&lt;&gt;"THERMAL",T26,IF($GW56="","THERMAL - NOT SPECIFIED",$GW56)))</f>
        <v>RS17</v>
      </c>
      <c r="U56" s="54" t="str">
        <f>IF(U26="","",IF(U26&lt;&gt;"THERMAL",U26,IF($GW56="","THERMAL - NOT SPECIFIED",$GW56)))</f>
        <v>RS17</v>
      </c>
      <c r="V56" s="54" t="str">
        <f>IF(V26="","",IF(V26&lt;&gt;"THERMAL",V26,IF($GW56="","THERMAL - NOT SPECIFIED",$GW56)))</f>
        <v>RS17</v>
      </c>
      <c r="W56" s="54" t="str">
        <f>IF(W26="","",IF(W26&lt;&gt;"THERMAL",W26,IF($GW56="","THERMAL - NOT SPECIFIED",$GW56)))</f>
        <v>RS17</v>
      </c>
      <c r="X56" s="54" t="str">
        <f>IF(X26="","",IF(X26&lt;&gt;"THERMAL",X26,IF($GW56="","THERMAL - NOT SPECIFIED",$GW56)))</f>
        <v>RS17</v>
      </c>
      <c r="Y56" s="54" t="str">
        <f>IF(Y26="","",IF(Y26&lt;&gt;"THERMAL",Y26,IF($GW56="","THERMAL - NOT SPECIFIED",$GW56)))</f>
        <v>RS17</v>
      </c>
      <c r="Z56" s="54" t="str">
        <f>IF(Z26="","",IF(Z26&lt;&gt;"THERMAL",Z26,IF($GW56="","THERMAL - NOT SPECIFIED",$GW56)))</f>
        <v>RS17</v>
      </c>
      <c r="AA56" s="54" t="str">
        <f>IF(AA26="","",IF(AA26&lt;&gt;"THERMAL",AA26,IF($GW56="","THERMAL - NOT SPECIFIED",$GW56)))</f>
        <v>RS17</v>
      </c>
      <c r="AB56" s="54" t="str">
        <f>IF(AB26="","",IF(AB26&lt;&gt;"THERMAL",AB26,IF($GW56="","THERMAL - NOT SPECIFIED",$GW56)))</f>
        <v>RS17</v>
      </c>
      <c r="AC56" s="54" t="str">
        <f>IF(AC26="","",IF(AC26&lt;&gt;"THERMAL",AC26,IF($GW56="","THERMAL - NOT SPECIFIED",$GW56)))</f>
        <v>RS17</v>
      </c>
      <c r="AD56" s="54" t="str">
        <f>IF(AD26="","",IF(AD26&lt;&gt;"THERMAL",AD26,IF($GW56="","THERMAL - NOT SPECIFIED",$GW56)))</f>
        <v>RS17</v>
      </c>
      <c r="AE56" s="54" t="str">
        <f>IF(AE26="","",IF(AE26&lt;&gt;"THERMAL",AE26,IF($GW56="","THERMAL - NOT SPECIFIED",$GW56)))</f>
        <v>RS17</v>
      </c>
      <c r="AF56" s="54" t="str">
        <f>IF(AF26="","",IF(AF26&lt;&gt;"THERMAL",AF26,IF($GW56="","THERMAL - NOT SPECIFIED",$GW56)))</f>
        <v>RS17</v>
      </c>
      <c r="AG56" s="54" t="str">
        <f>IF(AG26="","",IF(AG26&lt;&gt;"THERMAL",AG26,IF($GW56="","THERMAL - NOT SPECIFIED",$GW56)))</f>
        <v>RS17</v>
      </c>
      <c r="AH56" s="54" t="str">
        <f>IF(AH26="","",IF(AH26&lt;&gt;"THERMAL",AH26,IF($GW56="","THERMAL - NOT SPECIFIED",$GW56)))</f>
        <v>RS17</v>
      </c>
      <c r="AI56" s="54" t="str">
        <f>IF(AI26="","",IF(AI26&lt;&gt;"THERMAL",AI26,IF($GW56="","THERMAL - NOT SPECIFIED",$GW56)))</f>
        <v>RS17</v>
      </c>
      <c r="AJ56" s="54" t="str">
        <f>IF(AJ26="","",IF(AJ26&lt;&gt;"THERMAL",AJ26,IF($GW56="","THERMAL - NOT SPECIFIED",$GW56)))</f>
        <v>RS17</v>
      </c>
      <c r="AK56" s="54" t="str">
        <f>IF(AK26="","",IF(AK26&lt;&gt;"THERMAL",AK26,IF($GW56="","THERMAL - NOT SPECIFIED",$GW56)))</f>
        <v>RS17</v>
      </c>
      <c r="AL56" s="54" t="str">
        <f>IF(AL26="","",IF(AL26&lt;&gt;"THERMAL",AL26,IF($GW56="","THERMAL - NOT SPECIFIED",$GW56)))</f>
        <v>RS17</v>
      </c>
      <c r="AM56" s="54" t="str">
        <f>IF(AM26="","",IF(AM26&lt;&gt;"THERMAL",AM26,IF($GW56="","THERMAL - NOT SPECIFIED",$GW56)))</f>
        <v>RS17</v>
      </c>
      <c r="AN56" s="54" t="str">
        <f>IF(AN26="","",IF(AN26&lt;&gt;"THERMAL",AN26,IF($GW56="","THERMAL - NOT SPECIFIED",$GW56)))</f>
        <v>RS17</v>
      </c>
      <c r="AO56" s="54" t="str">
        <f>IF(AO26="","",IF(AO26&lt;&gt;"THERMAL",AO26,IF($GW56="","THERMAL - NOT SPECIFIED",$GW56)))</f>
        <v>RS17</v>
      </c>
      <c r="AP56" s="54" t="str">
        <f>IF(AP26="","",IF(AP26&lt;&gt;"THERMAL",AP26,IF($GW56="","THERMAL - NOT SPECIFIED",$GW56)))</f>
        <v>RS17</v>
      </c>
      <c r="AQ56" s="54" t="str">
        <f>IF(AQ26="","",IF(AQ26&lt;&gt;"THERMAL",AQ26,IF($GW56="","THERMAL - NOT SPECIFIED",$GW56)))</f>
        <v>RS17</v>
      </c>
      <c r="AR56" s="54" t="str">
        <f>IF(AR26="","",IF(AR26&lt;&gt;"THERMAL",AR26,IF($GW56="","THERMAL - NOT SPECIFIED",$GW56)))</f>
        <v>RS17</v>
      </c>
      <c r="AS56" s="54" t="str">
        <f>IF(AS26="","",IF(AS26&lt;&gt;"THERMAL",AS26,IF($GW56="","THERMAL - NOT SPECIFIED",$GW56)))</f>
        <v>RS17</v>
      </c>
      <c r="AT56" s="54" t="str">
        <f>IF(AT26="","",IF(AT26&lt;&gt;"THERMAL",AT26,IF($GW56="","THERMAL - NOT SPECIFIED",$GW56)))</f>
        <v>RS17</v>
      </c>
      <c r="AU56" s="54" t="str">
        <f>IF(AU26="","",IF(AU26&lt;&gt;"THERMAL",AU26,IF($GW56="","THERMAL - NOT SPECIFIED",$GW56)))</f>
        <v>RS17</v>
      </c>
      <c r="AV56" s="54" t="str">
        <f>IF(AV26="","",IF(AV26&lt;&gt;"THERMAL",AV26,IF($GW56="","THERMAL - NOT SPECIFIED",$GW56)))</f>
        <v>RS17</v>
      </c>
      <c r="AW56" s="54" t="str">
        <f>IF(AW26="","",IF(AW26&lt;&gt;"THERMAL",AW26,IF($GW56="","THERMAL - NOT SPECIFIED",$GW56)))</f>
        <v>RS17</v>
      </c>
      <c r="AX56" s="54" t="str">
        <f>IF(AX26="","",IF(AX26&lt;&gt;"THERMAL",AX26,IF($GW56="","THERMAL - NOT SPECIFIED",$GW56)))</f>
        <v>RS17</v>
      </c>
      <c r="AY56" s="54" t="str">
        <f>IF(AY26="","",IF(AY26&lt;&gt;"THERMAL",AY26,IF($GW56="","THERMAL - NOT SPECIFIED",$GW56)))</f>
        <v>RS17</v>
      </c>
      <c r="AZ56" s="54" t="str">
        <f>IF(AZ26="","",IF(AZ26&lt;&gt;"THERMAL",AZ26,IF($GW56="","THERMAL - NOT SPECIFIED",$GW56)))</f>
        <v>VACCANT</v>
      </c>
      <c r="BA56" s="54">
        <f>IF(BA26="","",IF(BA26&lt;&gt;"THERMAL",BA26,IF($GW56="","THERMAL - NOT SPECIFIED",$GW56)))</f>
        <v>4117</v>
      </c>
      <c r="BB56" s="54">
        <f>IF(BB26="","",IF(BB26&lt;&gt;"THERMAL",BB26,IF($GW56="","THERMAL - NOT SPECIFIED",$GW56)))</f>
        <v>4117</v>
      </c>
      <c r="BC56" s="54">
        <f>IF(BC26="","",IF(BC26&lt;&gt;"THERMAL",BC26,IF($GW56="","THERMAL - NOT SPECIFIED",$GW56)))</f>
        <v>4117</v>
      </c>
      <c r="BD56" s="54">
        <f>IF(BD26="","",IF(BD26&lt;&gt;"THERMAL",BD26,IF($GW56="","THERMAL - NOT SPECIFIED",$GW56)))</f>
        <v>4117</v>
      </c>
      <c r="BE56" s="54">
        <f>IF(BE26="","",IF(BE26&lt;&gt;"THERMAL",BE26,IF($GW56="","THERMAL - NOT SPECIFIED",$GW56)))</f>
        <v>4117</v>
      </c>
      <c r="BF56" s="54">
        <f>IF(BF26="","",IF(BF26&lt;&gt;"THERMAL",BF26,IF($GW56="","THERMAL - NOT SPECIFIED",$GW56)))</f>
        <v>4117</v>
      </c>
      <c r="BG56" s="54">
        <f>IF(BG26="","",IF(BG26&lt;&gt;"THERMAL",BG26,IF($GW56="","THERMAL - NOT SPECIFIED",$GW56)))</f>
        <v>4117</v>
      </c>
      <c r="BH56" s="54">
        <f>IF(BH26="","",IF(BH26&lt;&gt;"THERMAL",BH26,IF($GW56="","THERMAL - NOT SPECIFIED",$GW56)))</f>
        <v>4117</v>
      </c>
      <c r="BI56" s="54">
        <f>IF(BI26="","",IF(BI26&lt;&gt;"THERMAL",BI26,IF($GW56="","THERMAL - NOT SPECIFIED",$GW56)))</f>
        <v>4117</v>
      </c>
      <c r="BJ56" s="54">
        <f>IF(BJ26="","",IF(BJ26&lt;&gt;"THERMAL",BJ26,IF($GW56="","THERMAL - NOT SPECIFIED",$GW56)))</f>
        <v>4117</v>
      </c>
      <c r="BK56" s="54">
        <f>IF(BK26="","",IF(BK26&lt;&gt;"THERMAL",BK26,IF($GW56="","THERMAL - NOT SPECIFIED",$GW56)))</f>
        <v>4117</v>
      </c>
      <c r="BL56" s="54">
        <f>IF(BL26="","",IF(BL26&lt;&gt;"THERMAL",BL26,IF($GW56="","THERMAL - NOT SPECIFIED",$GW56)))</f>
        <v>4117</v>
      </c>
      <c r="BM56" s="54">
        <f>IF(BM26="","",IF(BM26&lt;&gt;"THERMAL",BM26,IF($GW56="","THERMAL - NOT SPECIFIED",$GW56)))</f>
        <v>4117</v>
      </c>
      <c r="BN56" s="54">
        <f>IF(BN26="","",IF(BN26&lt;&gt;"THERMAL",BN26,IF($GW56="","THERMAL - NOT SPECIFIED",$GW56)))</f>
        <v>4117</v>
      </c>
      <c r="BO56" s="54">
        <f>IF(BO26="","",IF(BO26&lt;&gt;"THERMAL",BO26,IF($GW56="","THERMAL - NOT SPECIFIED",$GW56)))</f>
        <v>4117</v>
      </c>
      <c r="BP56" s="54">
        <f>IF(BP26="","",IF(BP26&lt;&gt;"THERMAL",BP26,IF($GW56="","THERMAL - NOT SPECIFIED",$GW56)))</f>
        <v>4117</v>
      </c>
      <c r="BQ56" s="54">
        <f>IF(BQ26="","",IF(BQ26&lt;&gt;"THERMAL",BQ26,IF($GW56="","THERMAL - NOT SPECIFIED",$GW56)))</f>
        <v>4117</v>
      </c>
      <c r="BR56" s="54">
        <f>IF(BR26="","",IF(BR26&lt;&gt;"THERMAL",BR26,IF($GW56="","THERMAL - NOT SPECIFIED",$GW56)))</f>
        <v>4117</v>
      </c>
      <c r="BS56" s="54">
        <f>IF(BS26="","",IF(BS26&lt;&gt;"THERMAL",BS26,IF($GW56="","THERMAL - NOT SPECIFIED",$GW56)))</f>
        <v>4117</v>
      </c>
      <c r="BT56" s="54">
        <f>IF(BT26="","",IF(BT26&lt;&gt;"THERMAL",BT26,IF($GW56="","THERMAL - NOT SPECIFIED",$GW56)))</f>
        <v>4117</v>
      </c>
      <c r="BU56" s="54">
        <f>IF(BU26="","",IF(BU26&lt;&gt;"THERMAL",BU26,IF($GW56="","THERMAL - NOT SPECIFIED",$GW56)))</f>
        <v>4117</v>
      </c>
      <c r="BV56" s="54">
        <f>IF(BV26="","",IF(BV26&lt;&gt;"THERMAL",BV26,IF($GW56="","THERMAL - NOT SPECIFIED",$GW56)))</f>
        <v>4117</v>
      </c>
      <c r="BW56" s="54">
        <f>IF(BW26="","",IF(BW26&lt;&gt;"THERMAL",BW26,IF($GW56="","THERMAL - NOT SPECIFIED",$GW56)))</f>
        <v>4117</v>
      </c>
      <c r="BX56" s="54">
        <f>IF(BX26="","",IF(BX26&lt;&gt;"THERMAL",BX26,IF($GW56="","THERMAL - NOT SPECIFIED",$GW56)))</f>
        <v>4117</v>
      </c>
      <c r="BY56" s="54">
        <f>IF(BY26="","",IF(BY26&lt;&gt;"THERMAL",BY26,IF($GW56="","THERMAL - NOT SPECIFIED",$GW56)))</f>
        <v>4117</v>
      </c>
      <c r="BZ56" s="54" t="str">
        <f>IF(BZ26="","",IF(BZ26&lt;&gt;"THERMAL",BZ26,IF($GW56="","THERMAL - NOT SPECIFIED",$GW56)))</f>
        <v>VACCANT</v>
      </c>
      <c r="CA56" s="54" t="str">
        <f>IF(CA26="","",IF(CA26&lt;&gt;"THERMAL",CA26,IF($GW56="","THERMAL - NOT SPECIFIED",$GW56)))</f>
        <v/>
      </c>
      <c r="CB56" s="54" t="str">
        <f>IF(CB26="","",IF(CB26&lt;&gt;"THERMAL",CB26,IF($GW56="","THERMAL - NOT SPECIFIED",$GW56)))</f>
        <v/>
      </c>
      <c r="CC56" s="54" t="str">
        <f>IF(CC26="","",IF(CC26&lt;&gt;"THERMAL",CC26,IF($GW56="","THERMAL - NOT SPECIFIED",$GW56)))</f>
        <v/>
      </c>
      <c r="CD56" s="54" t="str">
        <f>IF(CD26="","",IF(CD26&lt;&gt;"THERMAL",CD26,IF($GW56="","THERMAL - NOT SPECIFIED",$GW56)))</f>
        <v/>
      </c>
      <c r="CE56" s="54" t="str">
        <f>IF(CE26="","",IF(CE26&lt;&gt;"THERMAL",CE26,IF($GW56="","THERMAL - NOT SPECIFIED",$GW56)))</f>
        <v/>
      </c>
      <c r="CF56" s="54" t="str">
        <f>IF(CF26="","",IF(CF26&lt;&gt;"THERMAL",CF26,IF($GW56="","THERMAL - NOT SPECIFIED",$GW56)))</f>
        <v/>
      </c>
      <c r="CG56" s="54" t="str">
        <f>IF(CG26="","",IF(CG26&lt;&gt;"THERMAL",CG26,IF($GW56="","THERMAL - NOT SPECIFIED",$GW56)))</f>
        <v/>
      </c>
      <c r="CH56" s="54" t="str">
        <f>IF(CH26="","",IF(CH26&lt;&gt;"THERMAL",CH26,IF($GW56="","THERMAL - NOT SPECIFIED",$GW56)))</f>
        <v/>
      </c>
      <c r="CI56" s="54" t="str">
        <f>IF(CI26="","",IF(CI26&lt;&gt;"THERMAL",CI26,IF($GW56="","THERMAL - NOT SPECIFIED",$GW56)))</f>
        <v/>
      </c>
      <c r="CJ56" s="54" t="str">
        <f>IF(CJ26="","",IF(CJ26&lt;&gt;"THERMAL",CJ26,IF($GW56="","THERMAL - NOT SPECIFIED",$GW56)))</f>
        <v/>
      </c>
      <c r="CK56" s="54" t="str">
        <f>IF(CK26="","",IF(CK26&lt;&gt;"THERMAL",CK26,IF($GW56="","THERMAL - NOT SPECIFIED",$GW56)))</f>
        <v/>
      </c>
      <c r="CL56" s="54" t="str">
        <f>IF(CL26="","",IF(CL26&lt;&gt;"THERMAL",CL26,IF($GW56="","THERMAL - NOT SPECIFIED",$GW56)))</f>
        <v/>
      </c>
      <c r="CM56" s="54" t="str">
        <f>IF(CM26="","",IF(CM26&lt;&gt;"THERMAL",CM26,IF($GW56="","THERMAL - NOT SPECIFIED",$GW56)))</f>
        <v/>
      </c>
      <c r="CN56" s="54" t="str">
        <f>IF(CN26="","",IF(CN26&lt;&gt;"THERMAL",CN26,IF($GW56="","THERMAL - NOT SPECIFIED",$GW56)))</f>
        <v/>
      </c>
      <c r="CO56" s="54" t="str">
        <f>IF(CO26="","",IF(CO26&lt;&gt;"THERMAL",CO26,IF($GW56="","THERMAL - NOT SPECIFIED",$GW56)))</f>
        <v/>
      </c>
      <c r="CP56" s="54" t="str">
        <f>IF(CP26="","",IF(CP26&lt;&gt;"THERMAL",CP26,IF($GW56="","THERMAL - NOT SPECIFIED",$GW56)))</f>
        <v/>
      </c>
      <c r="CQ56" s="54" t="str">
        <f>IF(CQ26="","",IF(CQ26&lt;&gt;"THERMAL",CQ26,IF($GW56="","THERMAL - NOT SPECIFIED",$GW56)))</f>
        <v/>
      </c>
      <c r="CR56" s="54" t="str">
        <f>IF(CR26="","",IF(CR26&lt;&gt;"THERMAL",CR26,IF($GW56="","THERMAL - NOT SPECIFIED",$GW56)))</f>
        <v/>
      </c>
      <c r="CS56" s="54" t="str">
        <f>IF(CS26="","",IF(CS26&lt;&gt;"THERMAL",CS26,IF($GW56="","THERMAL - NOT SPECIFIED",$GW56)))</f>
        <v/>
      </c>
      <c r="CT56" s="54" t="str">
        <f>IF(CT26="","",IF(CT26&lt;&gt;"THERMAL",CT26,IF($GW56="","THERMAL - NOT SPECIFIED",$GW56)))</f>
        <v/>
      </c>
      <c r="CU56" s="54" t="str">
        <f>IF(CU26="","",IF(CU26&lt;&gt;"THERMAL",CU26,IF($GW56="","THERMAL - NOT SPECIFIED",$GW56)))</f>
        <v/>
      </c>
      <c r="CV56" s="54" t="str">
        <f>IF(CV26="","",IF(CV26&lt;&gt;"THERMAL",CV26,IF($GW56="","THERMAL - NOT SPECIFIED",$GW56)))</f>
        <v/>
      </c>
      <c r="CW56" s="54" t="str">
        <f>IF(CW26="","",IF(CW26&lt;&gt;"THERMAL",CW26,IF($GW56="","THERMAL - NOT SPECIFIED",$GW56)))</f>
        <v/>
      </c>
      <c r="CX56" s="54" t="str">
        <f>IF(CX26="","",IF(CX26&lt;&gt;"THERMAL",CX26,IF($GW56="","THERMAL - NOT SPECIFIED",$GW56)))</f>
        <v/>
      </c>
      <c r="CY56" s="54" t="str">
        <f>IF(CY26="","",IF(CY26&lt;&gt;"THERMAL",CY26,IF($GW56="","THERMAL - NOT SPECIFIED",$GW56)))</f>
        <v/>
      </c>
      <c r="CZ56" s="54" t="str">
        <f>IF(CZ26="","",IF(CZ26&lt;&gt;"THERMAL",CZ26,IF($GW56="","THERMAL - NOT SPECIFIED",$GW56)))</f>
        <v/>
      </c>
      <c r="DA56" s="54" t="str">
        <f>IF(DA26="","",IF(DA26&lt;&gt;"THERMAL",DA26,IF($GW56="","THERMAL - NOT SPECIFIED",$GW56)))</f>
        <v/>
      </c>
      <c r="DB56" s="54" t="str">
        <f>IF(DB26="","",IF(DB26&lt;&gt;"THERMAL",DB26,IF($GW56="","THERMAL - NOT SPECIFIED",$GW56)))</f>
        <v/>
      </c>
      <c r="DC56" s="54" t="str">
        <f>IF(DC26="","",IF(DC26&lt;&gt;"THERMAL",DC26,IF($GW56="","THERMAL - NOT SPECIFIED",$GW56)))</f>
        <v/>
      </c>
      <c r="DD56" s="54" t="str">
        <f>IF(DD26="","",IF(DD26&lt;&gt;"THERMAL",DD26,IF($GW56="","THERMAL - NOT SPECIFIED",$GW56)))</f>
        <v/>
      </c>
      <c r="DE56" s="54" t="str">
        <f>IF(DE26="","",IF(DE26&lt;&gt;"THERMAL",DE26,IF($GW56="","THERMAL - NOT SPECIFIED",$GW56)))</f>
        <v/>
      </c>
      <c r="DF56" s="54" t="str">
        <f>IF(DF26="","",IF(DF26&lt;&gt;"THERMAL",DF26,IF($GW56="","THERMAL - NOT SPECIFIED",$GW56)))</f>
        <v/>
      </c>
      <c r="DG56" s="54" t="str">
        <f>IF(DG26="","",IF(DG26&lt;&gt;"THERMAL",DG26,IF($GW56="","THERMAL - NOT SPECIFIED",$GW56)))</f>
        <v/>
      </c>
      <c r="DH56" s="54" t="str">
        <f>IF(DH26="","",IF(DH26&lt;&gt;"THERMAL",DH26,IF($GW56="","THERMAL - NOT SPECIFIED",$GW56)))</f>
        <v/>
      </c>
      <c r="DI56" s="54" t="str">
        <f>IF(DI26="","",IF(DI26&lt;&gt;"THERMAL",DI26,IF($GW56="","THERMAL - NOT SPECIFIED",$GW56)))</f>
        <v/>
      </c>
      <c r="DJ56" s="54" t="str">
        <f>IF(DJ26="","",IF(DJ26&lt;&gt;"THERMAL",DJ26,IF($GW56="","THERMAL - NOT SPECIFIED",$GW56)))</f>
        <v/>
      </c>
      <c r="DK56" s="54" t="str">
        <f>IF(DK26="","",IF(DK26&lt;&gt;"THERMAL",DK26,IF($GW56="","THERMAL - NOT SPECIFIED",$GW56)))</f>
        <v/>
      </c>
      <c r="DL56" s="54" t="str">
        <f>IF(DL26="","",IF(DL26&lt;&gt;"THERMAL",DL26,IF($GW56="","THERMAL - NOT SPECIFIED",$GW56)))</f>
        <v/>
      </c>
      <c r="DM56" s="54" t="str">
        <f>IF(DM26="","",IF(DM26&lt;&gt;"THERMAL",DM26,IF($GW56="","THERMAL - NOT SPECIFIED",$GW56)))</f>
        <v/>
      </c>
      <c r="DN56" s="54" t="str">
        <f>IF(DN26="","",IF(DN26&lt;&gt;"THERMAL",DN26,IF($GW56="","THERMAL - NOT SPECIFIED",$GW56)))</f>
        <v/>
      </c>
      <c r="DO56" s="54" t="str">
        <f>IF(DO26="","",IF(DO26&lt;&gt;"THERMAL",DO26,IF($GW56="","THERMAL - NOT SPECIFIED",$GW56)))</f>
        <v/>
      </c>
      <c r="DP56" s="54" t="str">
        <f>IF(DP26="","",IF(DP26&lt;&gt;"THERMAL",DP26,IF($GW56="","THERMAL - NOT SPECIFIED",$GW56)))</f>
        <v/>
      </c>
      <c r="DQ56" s="54" t="str">
        <f>IF(DQ26="","",IF(DQ26&lt;&gt;"THERMAL",DQ26,IF($GW56="","THERMAL - NOT SPECIFIED",$GW56)))</f>
        <v/>
      </c>
      <c r="DR56" s="54" t="str">
        <f>IF(DR26="","",IF(DR26&lt;&gt;"THERMAL",DR26,IF($GW56="","THERMAL - NOT SPECIFIED",$GW56)))</f>
        <v/>
      </c>
      <c r="DS56" s="54" t="str">
        <f>IF(DS26="","",IF(DS26&lt;&gt;"THERMAL",DS26,IF($GW56="","THERMAL - NOT SPECIFIED",$GW56)))</f>
        <v/>
      </c>
      <c r="DT56" s="54" t="str">
        <f>IF(DT26="","",IF(DT26&lt;&gt;"THERMAL",DT26,IF($GW56="","THERMAL - NOT SPECIFIED",$GW56)))</f>
        <v/>
      </c>
      <c r="DU56" s="54" t="str">
        <f>IF(DU26="","",IF(DU26&lt;&gt;"THERMAL",DU26,IF($GW56="","THERMAL - NOT SPECIFIED",$GW56)))</f>
        <v/>
      </c>
      <c r="DV56" s="54" t="str">
        <f>IF(DV26="","",IF(DV26&lt;&gt;"THERMAL",DV26,IF($GW56="","THERMAL - NOT SPECIFIED",$GW56)))</f>
        <v/>
      </c>
      <c r="DW56" s="54" t="str">
        <f>IF(DW26="","",IF(DW26&lt;&gt;"THERMAL",DW26,IF($GW56="","THERMAL - NOT SPECIFIED",$GW56)))</f>
        <v/>
      </c>
      <c r="DX56" s="54" t="str">
        <f>IF(DX26="","",IF(DX26&lt;&gt;"THERMAL",DX26,IF($GW56="","THERMAL - NOT SPECIFIED",$GW56)))</f>
        <v/>
      </c>
      <c r="DY56" s="54" t="str">
        <f>IF(DY26="","",IF(DY26&lt;&gt;"THERMAL",DY26,IF($GW56="","THERMAL - NOT SPECIFIED",$GW56)))</f>
        <v/>
      </c>
      <c r="DZ56" s="54" t="str">
        <f>IF(DZ26="","",IF(DZ26&lt;&gt;"THERMAL",DZ26,IF($GW56="","THERMAL - NOT SPECIFIED",$GW56)))</f>
        <v/>
      </c>
      <c r="EA56" s="54" t="str">
        <f>IF(EA26="","",IF(EA26&lt;&gt;"THERMAL",EA26,IF($GW56="","THERMAL - NOT SPECIFIED",$GW56)))</f>
        <v/>
      </c>
      <c r="EB56" s="54" t="str">
        <f>IF(EB26="","",IF(EB26&lt;&gt;"THERMAL",EB26,IF($GW56="","THERMAL - NOT SPECIFIED",$GW56)))</f>
        <v/>
      </c>
      <c r="EC56" s="54" t="str">
        <f>IF(EC26="","",IF(EC26&lt;&gt;"THERMAL",EC26,IF($GW56="","THERMAL - NOT SPECIFIED",$GW56)))</f>
        <v/>
      </c>
      <c r="ED56" s="54" t="str">
        <f>IF(ED26="","",IF(ED26&lt;&gt;"THERMAL",ED26,IF($GW56="","THERMAL - NOT SPECIFIED",$GW56)))</f>
        <v/>
      </c>
      <c r="EE56" s="54" t="str">
        <f>IF(EE26="","",IF(EE26&lt;&gt;"THERMAL",EE26,IF($GW56="","THERMAL - NOT SPECIFIED",$GW56)))</f>
        <v/>
      </c>
      <c r="EF56" s="54" t="str">
        <f>IF(EF26="","",IF(EF26&lt;&gt;"THERMAL",EF26,IF($GW56="","THERMAL - NOT SPECIFIED",$GW56)))</f>
        <v/>
      </c>
      <c r="EG56" s="54" t="str">
        <f>IF(EG26="","",IF(EG26&lt;&gt;"THERMAL",EG26,IF($GW56="","THERMAL - NOT SPECIFIED",$GW56)))</f>
        <v/>
      </c>
      <c r="EH56" s="54" t="str">
        <f>IF(EH26="","",IF(EH26&lt;&gt;"THERMAL",EH26,IF($GW56="","THERMAL - NOT SPECIFIED",$GW56)))</f>
        <v/>
      </c>
      <c r="EI56" s="54" t="str">
        <f>IF(EI26="","",IF(EI26&lt;&gt;"THERMAL",EI26,IF($GW56="","THERMAL - NOT SPECIFIED",$GW56)))</f>
        <v/>
      </c>
      <c r="EJ56" s="54" t="str">
        <f>IF(EJ26="","",IF(EJ26&lt;&gt;"THERMAL",EJ26,IF($GW56="","THERMAL - NOT SPECIFIED",$GW56)))</f>
        <v/>
      </c>
      <c r="EK56" s="54" t="str">
        <f>IF(EK26="","",IF(EK26&lt;&gt;"THERMAL",EK26,IF($GW56="","THERMAL - NOT SPECIFIED",$GW56)))</f>
        <v/>
      </c>
      <c r="EL56" s="54" t="str">
        <f>IF(EL26="","",IF(EL26&lt;&gt;"THERMAL",EL26,IF($GW56="","THERMAL - NOT SPECIFIED",$GW56)))</f>
        <v/>
      </c>
      <c r="EM56" s="54" t="str">
        <f>IF(EM26="","",IF(EM26&lt;&gt;"THERMAL",EM26,IF($GW56="","THERMAL - NOT SPECIFIED",$GW56)))</f>
        <v/>
      </c>
      <c r="EN56" s="54" t="str">
        <f>IF(EN26="","",IF(EN26&lt;&gt;"THERMAL",EN26,IF($GW56="","THERMAL - NOT SPECIFIED",$GW56)))</f>
        <v/>
      </c>
      <c r="EO56" s="54" t="str">
        <f>IF(EO26="","",IF(EO26&lt;&gt;"THERMAL",EO26,IF($GW56="","THERMAL - NOT SPECIFIED",$GW56)))</f>
        <v/>
      </c>
      <c r="EP56" s="54" t="str">
        <f>IF(EP26="","",IF(EP26&lt;&gt;"THERMAL",EP26,IF($GW56="","THERMAL - NOT SPECIFIED",$GW56)))</f>
        <v/>
      </c>
      <c r="EQ56" s="54" t="str">
        <f>IF(EQ26="","",IF(EQ26&lt;&gt;"THERMAL",EQ26,IF($GW56="","THERMAL - NOT SPECIFIED",$GW56)))</f>
        <v/>
      </c>
      <c r="ER56" s="54" t="str">
        <f>IF(ER26="","",IF(ER26&lt;&gt;"THERMAL",ER26,IF($GW56="","THERMAL - NOT SPECIFIED",$GW56)))</f>
        <v/>
      </c>
      <c r="ES56" s="54" t="str">
        <f>IF(ES26="","",IF(ES26&lt;&gt;"THERMAL",ES26,IF($GW56="","THERMAL - NOT SPECIFIED",$GW56)))</f>
        <v/>
      </c>
      <c r="ET56" s="54" t="str">
        <f>IF(ET26="","",IF(ET26&lt;&gt;"THERMAL",ET26,IF($GW56="","THERMAL - NOT SPECIFIED",$GW56)))</f>
        <v/>
      </c>
      <c r="EU56" s="54" t="str">
        <f>IF(EU26="","",IF(EU26&lt;&gt;"THERMAL",EU26,IF($GW56="","THERMAL - NOT SPECIFIED",$GW56)))</f>
        <v/>
      </c>
      <c r="EV56" s="54" t="str">
        <f>IF(EV26="","",IF(EV26&lt;&gt;"THERMAL",EV26,IF($GW56="","THERMAL - NOT SPECIFIED",$GW56)))</f>
        <v/>
      </c>
      <c r="EW56" s="54" t="str">
        <f>IF(EW26="","",IF(EW26&lt;&gt;"THERMAL",EW26,IF($GW56="","THERMAL - NOT SPECIFIED",$GW56)))</f>
        <v/>
      </c>
      <c r="EX56" s="54" t="str">
        <f>IF(EX26="","",IF(EX26&lt;&gt;"THERMAL",EX26,IF($GW56="","THERMAL - NOT SPECIFIED",$GW56)))</f>
        <v/>
      </c>
      <c r="EY56" s="54" t="str">
        <f>IF(EY26="","",IF(EY26&lt;&gt;"THERMAL",EY26,IF($GW56="","THERMAL - NOT SPECIFIED",$GW56)))</f>
        <v/>
      </c>
      <c r="EZ56" s="54" t="str">
        <f>IF(EZ26="","",IF(EZ26&lt;&gt;"THERMAL",EZ26,IF($GW56="","THERMAL - NOT SPECIFIED",$GW56)))</f>
        <v/>
      </c>
      <c r="FA56" s="54" t="str">
        <f>IF(FA26="","",IF(FA26&lt;&gt;"THERMAL",FA26,IF($GW56="","THERMAL - NOT SPECIFIED",$GW56)))</f>
        <v/>
      </c>
      <c r="FB56" s="54" t="str">
        <f>IF(FB26="","",IF(FB26&lt;&gt;"THERMAL",FB26,IF($GW56="","THERMAL - NOT SPECIFIED",$GW56)))</f>
        <v/>
      </c>
      <c r="FC56" s="54" t="str">
        <f>IF(FC26="","",IF(FC26&lt;&gt;"THERMAL",FC26,IF($GW56="","THERMAL - NOT SPECIFIED",$GW56)))</f>
        <v/>
      </c>
      <c r="FD56" s="54" t="str">
        <f>IF(FD26="","",IF(FD26&lt;&gt;"THERMAL",FD26,IF($GW56="","THERMAL - NOT SPECIFIED",$GW56)))</f>
        <v/>
      </c>
      <c r="FE56" s="54" t="str">
        <f>IF(FE26="","",IF(FE26&lt;&gt;"THERMAL",FE26,IF($GW56="","THERMAL - NOT SPECIFIED",$GW56)))</f>
        <v/>
      </c>
      <c r="FF56" s="54" t="str">
        <f>IF(FF26="","",IF(FF26&lt;&gt;"THERMAL",FF26,IF($GW56="","THERMAL - NOT SPECIFIED",$GW56)))</f>
        <v/>
      </c>
      <c r="FG56" s="54" t="str">
        <f>IF(FG26="","",IF(FG26&lt;&gt;"THERMAL",FG26,IF($GW56="","THERMAL - NOT SPECIFIED",$GW56)))</f>
        <v/>
      </c>
      <c r="FH56" s="54" t="str">
        <f>IF(FH26="","",IF(FH26&lt;&gt;"THERMAL",FH26,IF($GW56="","THERMAL - NOT SPECIFIED",$GW56)))</f>
        <v/>
      </c>
      <c r="FI56" s="54" t="str">
        <f>IF(FI26="","",IF(FI26&lt;&gt;"THERMAL",FI26,IF($GW56="","THERMAL - NOT SPECIFIED",$GW56)))</f>
        <v/>
      </c>
      <c r="FJ56" s="54" t="str">
        <f>IF(FJ26="","",IF(FJ26&lt;&gt;"THERMAL",FJ26,IF($GW56="","THERMAL - NOT SPECIFIED",$GW56)))</f>
        <v/>
      </c>
      <c r="FK56" s="54" t="str">
        <f>IF(FK26="","",IF(FK26&lt;&gt;"THERMAL",FK26,IF($GW56="","THERMAL - NOT SPECIFIED",$GW56)))</f>
        <v/>
      </c>
      <c r="FL56" s="54" t="str">
        <f>IF(FL26="","",IF(FL26&lt;&gt;"THERMAL",FL26,IF($GW56="","THERMAL - NOT SPECIFIED",$GW56)))</f>
        <v/>
      </c>
      <c r="FM56" s="54" t="str">
        <f>IF(FM26="","",IF(FM26&lt;&gt;"THERMAL",FM26,IF($GW56="","THERMAL - NOT SPECIFIED",$GW56)))</f>
        <v/>
      </c>
      <c r="FN56" s="54" t="str">
        <f>IF(FN26="","",IF(FN26&lt;&gt;"THERMAL",FN26,IF($GW56="","THERMAL - NOT SPECIFIED",$GW56)))</f>
        <v/>
      </c>
      <c r="FO56" s="54" t="str">
        <f>IF(FO26="","",IF(FO26&lt;&gt;"THERMAL",FO26,IF($GW56="","THERMAL - NOT SPECIFIED",$GW56)))</f>
        <v/>
      </c>
      <c r="FP56" s="54" t="str">
        <f>IF(FP26="","",IF(FP26&lt;&gt;"THERMAL",FP26,IF($GW56="","THERMAL - NOT SPECIFIED",$GW56)))</f>
        <v/>
      </c>
      <c r="FQ56" s="54" t="str">
        <f>IF(FQ26="","",IF(FQ26&lt;&gt;"THERMAL",FQ26,IF($GW56="","THERMAL - NOT SPECIFIED",$GW56)))</f>
        <v/>
      </c>
      <c r="FR56" s="54" t="str">
        <f>IF(FR26="","",IF(FR26&lt;&gt;"THERMAL",FR26,IF($GW56="","THERMAL - NOT SPECIFIED",$GW56)))</f>
        <v/>
      </c>
      <c r="FS56" s="54" t="str">
        <f>IF(FS26="","",IF(FS26&lt;&gt;"THERMAL",FS26,IF($GW56="","THERMAL - NOT SPECIFIED",$GW56)))</f>
        <v/>
      </c>
      <c r="FT56" s="54" t="str">
        <f>IF(FT26="","",IF(FT26&lt;&gt;"THERMAL",FT26,IF($GW56="","THERMAL - NOT SPECIFIED",$GW56)))</f>
        <v/>
      </c>
      <c r="FU56" s="54" t="str">
        <f>IF(FU26="","",IF(FU26&lt;&gt;"THERMAL",FU26,IF($GW56="","THERMAL - NOT SPECIFIED",$GW56)))</f>
        <v/>
      </c>
      <c r="FV56" s="54" t="str">
        <f>IF(FV26="","",IF(FV26&lt;&gt;"THERMAL",FV26,IF($GW56="","THERMAL - NOT SPECIFIED",$GW56)))</f>
        <v/>
      </c>
      <c r="FW56" s="54" t="str">
        <f>IF(FW26="","",IF(FW26&lt;&gt;"THERMAL",FW26,IF($GW56="","THERMAL - NOT SPECIFIED",$GW56)))</f>
        <v/>
      </c>
      <c r="FX56" s="54" t="str">
        <f>IF(FX26="","",IF(FX26&lt;&gt;"THERMAL",FX26,IF($GW56="","THERMAL - NOT SPECIFIED",$GW56)))</f>
        <v/>
      </c>
      <c r="FY56" s="54" t="str">
        <f>IF(FY26="","",IF(FY26&lt;&gt;"THERMAL",FY26,IF($GW56="","THERMAL - NOT SPECIFIED",$GW56)))</f>
        <v/>
      </c>
      <c r="FZ56" s="54" t="str">
        <f>IF(FZ26="","",IF(FZ26&lt;&gt;"THERMAL",FZ26,IF($GW56="","THERMAL - NOT SPECIFIED",$GW56)))</f>
        <v/>
      </c>
      <c r="GA56" s="54" t="str">
        <f>IF(GA26="","",IF(GA26&lt;&gt;"THERMAL",GA26,IF($GW56="","THERMAL - NOT SPECIFIED",$GW56)))</f>
        <v/>
      </c>
      <c r="GB56" s="54" t="str">
        <f>IF(GB26="","",IF(GB26&lt;&gt;"THERMAL",GB26,IF($GW56="","THERMAL - NOT SPECIFIED",$GW56)))</f>
        <v/>
      </c>
      <c r="GC56" s="54" t="str">
        <f>IF(GC26="","",IF(GC26&lt;&gt;"THERMAL",GC26,IF($GW56="","THERMAL - NOT SPECIFIED",$GW56)))</f>
        <v/>
      </c>
      <c r="GD56" s="54" t="str">
        <f>IF(GD26="","",IF(GD26&lt;&gt;"THERMAL",GD26,IF($GW56="","THERMAL - NOT SPECIFIED",$GW56)))</f>
        <v/>
      </c>
      <c r="GE56" s="54" t="str">
        <f>IF(GE26="","",IF(GE26&lt;&gt;"THERMAL",GE26,IF($GW56="","THERMAL - NOT SPECIFIED",$GW56)))</f>
        <v/>
      </c>
      <c r="GF56" s="54" t="str">
        <f>IF(GF26="","",IF(GF26&lt;&gt;"THERMAL",GF26,IF($GW56="","THERMAL - NOT SPECIFIED",$GW56)))</f>
        <v/>
      </c>
      <c r="GG56" s="54" t="str">
        <f>IF(GG26="","",IF(GG26&lt;&gt;"THERMAL",GG26,IF($GW56="","THERMAL - NOT SPECIFIED",$GW56)))</f>
        <v/>
      </c>
      <c r="GH56" s="54" t="str">
        <f>IF(GH26="","",IF(GH26&lt;&gt;"THERMAL",GH26,IF($GW56="","THERMAL - NOT SPECIFIED",$GW56)))</f>
        <v/>
      </c>
      <c r="GI56" s="54" t="str">
        <f>IF(GI26="","",IF(GI26&lt;&gt;"THERMAL",GI26,IF($GW56="","THERMAL - NOT SPECIFIED",$GW56)))</f>
        <v/>
      </c>
      <c r="GJ56" s="54" t="str">
        <f>IF(GJ26="","",IF(GJ26&lt;&gt;"THERMAL",GJ26,IF($GW56="","THERMAL - NOT SPECIFIED",$GW56)))</f>
        <v/>
      </c>
      <c r="GK56" s="54" t="str">
        <f>IF(GK26="","",IF(GK26&lt;&gt;"THERMAL",GK26,IF($GW56="","THERMAL - NOT SPECIFIED",$GW56)))</f>
        <v/>
      </c>
      <c r="GL56" s="54" t="str">
        <f>IF(GL26="","",IF(GL26&lt;&gt;"THERMAL",GL26,IF($GW56="","THERMAL - NOT SPECIFIED",$GW56)))</f>
        <v/>
      </c>
      <c r="GM56" s="54" t="str">
        <f>IF(GM26="","",IF(GM26&lt;&gt;"THERMAL",GM26,IF($GW56="","THERMAL - NOT SPECIFIED",$GW56)))</f>
        <v/>
      </c>
      <c r="GN56" s="54" t="str">
        <f>IF(GN26="","",IF(GN26&lt;&gt;"THERMAL",GN26,IF($GW56="","THERMAL - NOT SPECIFIED",$GW56)))</f>
        <v/>
      </c>
      <c r="GO56" s="54" t="str">
        <f>IF(GO26="","",IF(GO26&lt;&gt;"THERMAL",GO26,IF($GW56="","THERMAL - NOT SPECIFIED",$GW56)))</f>
        <v/>
      </c>
      <c r="GP56" s="54" t="str">
        <f>IF(GP26="","",IF(GP26&lt;&gt;"THERMAL",GP26,IF($GW56="","THERMAL - NOT SPECIFIED",$GW56)))</f>
        <v/>
      </c>
      <c r="GQ56" s="54" t="str">
        <f>IF(GQ26="","",IF(GQ26&lt;&gt;"THERMAL",GQ26,IF($GW56="","THERMAL - NOT SPECIFIED",$GW56)))</f>
        <v/>
      </c>
      <c r="GR56" s="54" t="str">
        <f>IF(GR26="","",IF(GR26&lt;&gt;"THERMAL",GR26,IF($GW56="","THERMAL - NOT SPECIFIED",$GW56)))</f>
        <v/>
      </c>
      <c r="GS56" s="54" t="str">
        <f>IF(GS26="","",IF(GS26&lt;&gt;"THERMAL",GS26,IF($GW56="","THERMAL - NOT SPECIFIED",$GW56)))</f>
        <v/>
      </c>
      <c r="GW56" s="55" t="str">
        <f>IF($GY56="","",IFERROR(INDEX('MC MAP'!$L$5:$L$28,MATCH($GY56,'MC MAP'!$K$5:$K$28,0)),$GY56))</f>
        <v/>
      </c>
      <c r="GY56" s="60"/>
    </row>
    <row r="57" spans="1:207">
      <c r="A57" s="2">
        <f>$A27</f>
        <v>22</v>
      </c>
      <c r="B57" s="54" t="str">
        <f>IF(B27="","",IF(B27&lt;&gt;"THERMAL",B27,IF($GW57="","THERMAL - NOT SPECIFIED",$GW57)))</f>
        <v>TH-02</v>
      </c>
      <c r="C57" s="54" t="str">
        <f>IF(C27="","",IF(C27&lt;&gt;"THERMAL",C27,IF($GW57="","THERMAL - NOT SPECIFIED",$GW57)))</f>
        <v>TH-02</v>
      </c>
      <c r="D57" s="54" t="str">
        <f>IF(D27="","",IF(D27&lt;&gt;"THERMAL",D27,IF($GW57="","THERMAL - NOT SPECIFIED",$GW57)))</f>
        <v>TH-02</v>
      </c>
      <c r="E57" s="54" t="str">
        <f>IF(E27="","",IF(E27&lt;&gt;"THERMAL",E27,IF($GW57="","THERMAL - NOT SPECIFIED",$GW57)))</f>
        <v>TH-02</v>
      </c>
      <c r="F57" s="54" t="str">
        <f>IF(F27="","",IF(F27&lt;&gt;"THERMAL",F27,IF($GW57="","THERMAL - NOT SPECIFIED",$GW57)))</f>
        <v>TH-02</v>
      </c>
      <c r="G57" s="54" t="str">
        <f>IF(G27="","",IF(G27&lt;&gt;"THERMAL",G27,IF($GW57="","THERMAL - NOT SPECIFIED",$GW57)))</f>
        <v>TH-02</v>
      </c>
      <c r="H57" s="54" t="str">
        <f>IF(H27="","",IF(H27&lt;&gt;"THERMAL",H27,IF($GW57="","THERMAL - NOT SPECIFIED",$GW57)))</f>
        <v>TH-02</v>
      </c>
      <c r="I57" s="54" t="str">
        <f>IF(I27="","",IF(I27&lt;&gt;"THERMAL",I27,IF($GW57="","THERMAL - NOT SPECIFIED",$GW57)))</f>
        <v>TH-02</v>
      </c>
      <c r="J57" s="54" t="str">
        <f>IF(J27="","",IF(J27&lt;&gt;"THERMAL",J27,IF($GW57="","THERMAL - NOT SPECIFIED",$GW57)))</f>
        <v>TH-02</v>
      </c>
      <c r="K57" s="54" t="str">
        <f>IF(K27="","",IF(K27&lt;&gt;"THERMAL",K27,IF($GW57="","THERMAL - NOT SPECIFIED",$GW57)))</f>
        <v>TH-02</v>
      </c>
      <c r="L57" s="54" t="str">
        <f>IF(L27="","",IF(L27&lt;&gt;"THERMAL",L27,IF($GW57="","THERMAL - NOT SPECIFIED",$GW57)))</f>
        <v>TH-02</v>
      </c>
      <c r="M57" s="54" t="str">
        <f>IF(M27="","",IF(M27&lt;&gt;"THERMAL",M27,IF($GW57="","THERMAL - NOT SPECIFIED",$GW57)))</f>
        <v>TH-02</v>
      </c>
      <c r="N57" s="54" t="str">
        <f>IF(N27="","",IF(N27&lt;&gt;"THERMAL",N27,IF($GW57="","THERMAL - NOT SPECIFIED",$GW57)))</f>
        <v>TH-02</v>
      </c>
      <c r="O57" s="54" t="str">
        <f>IF(O27="","",IF(O27&lt;&gt;"THERMAL",O27,IF($GW57="","THERMAL - NOT SPECIFIED",$GW57)))</f>
        <v>TH-02</v>
      </c>
      <c r="P57" s="54" t="str">
        <f>IF(P27="","",IF(P27&lt;&gt;"THERMAL",P27,IF($GW57="","THERMAL - NOT SPECIFIED",$GW57)))</f>
        <v>TH-02</v>
      </c>
      <c r="Q57" s="54" t="str">
        <f>IF(Q27="","",IF(Q27&lt;&gt;"THERMAL",Q27,IF($GW57="","THERMAL - NOT SPECIFIED",$GW57)))</f>
        <v>TH-02</v>
      </c>
      <c r="R57" s="54" t="str">
        <f>IF(R27="","",IF(R27&lt;&gt;"THERMAL",R27,IF($GW57="","THERMAL - NOT SPECIFIED",$GW57)))</f>
        <v>TH-02</v>
      </c>
      <c r="S57" s="54" t="str">
        <f>IF(S27="","",IF(S27&lt;&gt;"THERMAL",S27,IF($GW57="","THERMAL - NOT SPECIFIED",$GW57)))</f>
        <v>TH-02</v>
      </c>
      <c r="T57" s="54" t="str">
        <f>IF(T27="","",IF(T27&lt;&gt;"THERMAL",T27,IF($GW57="","THERMAL - NOT SPECIFIED",$GW57)))</f>
        <v>TH-02</v>
      </c>
      <c r="U57" s="54" t="str">
        <f>IF(U27="","",IF(U27&lt;&gt;"THERMAL",U27,IF($GW57="","THERMAL - NOT SPECIFIED",$GW57)))</f>
        <v>TH-02</v>
      </c>
      <c r="V57" s="54" t="str">
        <f>IF(V27="","",IF(V27&lt;&gt;"THERMAL",V27,IF($GW57="","THERMAL - NOT SPECIFIED",$GW57)))</f>
        <v>TH-02</v>
      </c>
      <c r="W57" s="54" t="str">
        <f>IF(W27="","",IF(W27&lt;&gt;"THERMAL",W27,IF($GW57="","THERMAL - NOT SPECIFIED",$GW57)))</f>
        <v>TH-02</v>
      </c>
      <c r="X57" s="54" t="str">
        <f>IF(X27="","",IF(X27&lt;&gt;"THERMAL",X27,IF($GW57="","THERMAL - NOT SPECIFIED",$GW57)))</f>
        <v>TH-02</v>
      </c>
      <c r="Y57" s="54" t="str">
        <f>IF(Y27="","",IF(Y27&lt;&gt;"THERMAL",Y27,IF($GW57="","THERMAL - NOT SPECIFIED",$GW57)))</f>
        <v>TH-02</v>
      </c>
      <c r="Z57" s="54" t="str">
        <f>IF(Z27="","",IF(Z27&lt;&gt;"THERMAL",Z27,IF($GW57="","THERMAL - NOT SPECIFIED",$GW57)))</f>
        <v>TH-02</v>
      </c>
      <c r="AA57" s="54" t="str">
        <f>IF(AA27="","",IF(AA27&lt;&gt;"THERMAL",AA27,IF($GW57="","THERMAL - NOT SPECIFIED",$GW57)))</f>
        <v>TH-02</v>
      </c>
      <c r="AB57" s="54" t="str">
        <f>IF(AB27="","",IF(AB27&lt;&gt;"THERMAL",AB27,IF($GW57="","THERMAL - NOT SPECIFIED",$GW57)))</f>
        <v>TH-02</v>
      </c>
      <c r="AC57" s="54" t="str">
        <f>IF(AC27="","",IF(AC27&lt;&gt;"THERMAL",AC27,IF($GW57="","THERMAL - NOT SPECIFIED",$GW57)))</f>
        <v>TH-02</v>
      </c>
      <c r="AD57" s="54" t="str">
        <f>IF(AD27="","",IF(AD27&lt;&gt;"THERMAL",AD27,IF($GW57="","THERMAL - NOT SPECIFIED",$GW57)))</f>
        <v>TH-02</v>
      </c>
      <c r="AE57" s="54" t="str">
        <f>IF(AE27="","",IF(AE27&lt;&gt;"THERMAL",AE27,IF($GW57="","THERMAL - NOT SPECIFIED",$GW57)))</f>
        <v>TH-02</v>
      </c>
      <c r="AF57" s="54" t="str">
        <f>IF(AF27="","",IF(AF27&lt;&gt;"THERMAL",AF27,IF($GW57="","THERMAL - NOT SPECIFIED",$GW57)))</f>
        <v>TH-02</v>
      </c>
      <c r="AG57" s="54" t="str">
        <f>IF(AG27="","",IF(AG27&lt;&gt;"THERMAL",AG27,IF($GW57="","THERMAL - NOT SPECIFIED",$GW57)))</f>
        <v>TH-02</v>
      </c>
      <c r="AH57" s="54" t="str">
        <f>IF(AH27="","",IF(AH27&lt;&gt;"THERMAL",AH27,IF($GW57="","THERMAL - NOT SPECIFIED",$GW57)))</f>
        <v>TH-02</v>
      </c>
      <c r="AI57" s="54" t="str">
        <f>IF(AI27="","",IF(AI27&lt;&gt;"THERMAL",AI27,IF($GW57="","THERMAL - NOT SPECIFIED",$GW57)))</f>
        <v>TH-02</v>
      </c>
      <c r="AJ57" s="54" t="str">
        <f>IF(AJ27="","",IF(AJ27&lt;&gt;"THERMAL",AJ27,IF($GW57="","THERMAL - NOT SPECIFIED",$GW57)))</f>
        <v>TH-02</v>
      </c>
      <c r="AK57" s="54" t="str">
        <f>IF(AK27="","",IF(AK27&lt;&gt;"THERMAL",AK27,IF($GW57="","THERMAL - NOT SPECIFIED",$GW57)))</f>
        <v>TH-02</v>
      </c>
      <c r="AL57" s="54" t="str">
        <f>IF(AL27="","",IF(AL27&lt;&gt;"THERMAL",AL27,IF($GW57="","THERMAL - NOT SPECIFIED",$GW57)))</f>
        <v>TH-02</v>
      </c>
      <c r="AM57" s="54" t="str">
        <f>IF(AM27="","",IF(AM27&lt;&gt;"THERMAL",AM27,IF($GW57="","THERMAL - NOT SPECIFIED",$GW57)))</f>
        <v>TH-02</v>
      </c>
      <c r="AN57" s="54" t="str">
        <f>IF(AN27="","",IF(AN27&lt;&gt;"THERMAL",AN27,IF($GW57="","THERMAL - NOT SPECIFIED",$GW57)))</f>
        <v>TH-02</v>
      </c>
      <c r="AO57" s="54" t="str">
        <f>IF(AO27="","",IF(AO27&lt;&gt;"THERMAL",AO27,IF($GW57="","THERMAL - NOT SPECIFIED",$GW57)))</f>
        <v>TH-02</v>
      </c>
      <c r="AP57" s="54" t="str">
        <f>IF(AP27="","",IF(AP27&lt;&gt;"THERMAL",AP27,IF($GW57="","THERMAL - NOT SPECIFIED",$GW57)))</f>
        <v>TH-02</v>
      </c>
      <c r="AQ57" s="54" t="str">
        <f>IF(AQ27="","",IF(AQ27&lt;&gt;"THERMAL",AQ27,IF($GW57="","THERMAL - NOT SPECIFIED",$GW57)))</f>
        <v>TH-02</v>
      </c>
      <c r="AR57" s="54" t="str">
        <f>IF(AR27="","",IF(AR27&lt;&gt;"THERMAL",AR27,IF($GW57="","THERMAL - NOT SPECIFIED",$GW57)))</f>
        <v>TH-02</v>
      </c>
      <c r="AS57" s="54" t="str">
        <f>IF(AS27="","",IF(AS27&lt;&gt;"THERMAL",AS27,IF($GW57="","THERMAL - NOT SPECIFIED",$GW57)))</f>
        <v>TH-02</v>
      </c>
      <c r="AT57" s="54" t="str">
        <f>IF(AT27="","",IF(AT27&lt;&gt;"THERMAL",AT27,IF($GW57="","THERMAL - NOT SPECIFIED",$GW57)))</f>
        <v>TH-02</v>
      </c>
      <c r="AU57" s="54" t="str">
        <f>IF(AU27="","",IF(AU27&lt;&gt;"THERMAL",AU27,IF($GW57="","THERMAL - NOT SPECIFIED",$GW57)))</f>
        <v>TH-02</v>
      </c>
      <c r="AV57" s="54" t="str">
        <f>IF(AV27="","",IF(AV27&lt;&gt;"THERMAL",AV27,IF($GW57="","THERMAL - NOT SPECIFIED",$GW57)))</f>
        <v>TH-02</v>
      </c>
      <c r="AW57" s="54" t="str">
        <f>IF(AW27="","",IF(AW27&lt;&gt;"THERMAL",AW27,IF($GW57="","THERMAL - NOT SPECIFIED",$GW57)))</f>
        <v>TH-02</v>
      </c>
      <c r="AX57" s="54" t="str">
        <f>IF(AX27="","",IF(AX27&lt;&gt;"THERMAL",AX27,IF($GW57="","THERMAL - NOT SPECIFIED",$GW57)))</f>
        <v>TH-02</v>
      </c>
      <c r="AY57" s="54" t="str">
        <f>IF(AY27="","",IF(AY27&lt;&gt;"THERMAL",AY27,IF($GW57="","THERMAL - NOT SPECIFIED",$GW57)))</f>
        <v>TH-02</v>
      </c>
      <c r="AZ57" s="54" t="str">
        <f>IF(AZ27="","",IF(AZ27&lt;&gt;"THERMAL",AZ27,IF($GW57="","THERMAL - NOT SPECIFIED",$GW57)))</f>
        <v>TH-02</v>
      </c>
      <c r="BA57" s="54" t="str">
        <f>IF(BA27="","",IF(BA27&lt;&gt;"THERMAL",BA27,IF($GW57="","THERMAL - NOT SPECIFIED",$GW57)))</f>
        <v>TH-02</v>
      </c>
      <c r="BB57" s="54" t="str">
        <f>IF(BB27="","",IF(BB27&lt;&gt;"THERMAL",BB27,IF($GW57="","THERMAL - NOT SPECIFIED",$GW57)))</f>
        <v>TH-02</v>
      </c>
      <c r="BC57" s="54" t="str">
        <f>IF(BC27="","",IF(BC27&lt;&gt;"THERMAL",BC27,IF($GW57="","THERMAL - NOT SPECIFIED",$GW57)))</f>
        <v>TH-02</v>
      </c>
      <c r="BD57" s="54" t="str">
        <f>IF(BD27="","",IF(BD27&lt;&gt;"THERMAL",BD27,IF($GW57="","THERMAL - NOT SPECIFIED",$GW57)))</f>
        <v>TH-02</v>
      </c>
      <c r="BE57" s="54" t="str">
        <f>IF(BE27="","",IF(BE27&lt;&gt;"THERMAL",BE27,IF($GW57="","THERMAL - NOT SPECIFIED",$GW57)))</f>
        <v>TH-02</v>
      </c>
      <c r="BF57" s="54" t="str">
        <f>IF(BF27="","",IF(BF27&lt;&gt;"THERMAL",BF27,IF($GW57="","THERMAL - NOT SPECIFIED",$GW57)))</f>
        <v>TH-02</v>
      </c>
      <c r="BG57" s="54" t="str">
        <f>IF(BG27="","",IF(BG27&lt;&gt;"THERMAL",BG27,IF($GW57="","THERMAL - NOT SPECIFIED",$GW57)))</f>
        <v>TH-02</v>
      </c>
      <c r="BH57" s="54" t="str">
        <f>IF(BH27="","",IF(BH27&lt;&gt;"THERMAL",BH27,IF($GW57="","THERMAL - NOT SPECIFIED",$GW57)))</f>
        <v>TH-02</v>
      </c>
      <c r="BI57" s="54" t="str">
        <f>IF(BI27="","",IF(BI27&lt;&gt;"THERMAL",BI27,IF($GW57="","THERMAL - NOT SPECIFIED",$GW57)))</f>
        <v>TH-02</v>
      </c>
      <c r="BJ57" s="54" t="str">
        <f>IF(BJ27="","",IF(BJ27&lt;&gt;"THERMAL",BJ27,IF($GW57="","THERMAL - NOT SPECIFIED",$GW57)))</f>
        <v>TH-02</v>
      </c>
      <c r="BK57" s="54" t="str">
        <f>IF(BK27="","",IF(BK27&lt;&gt;"THERMAL",BK27,IF($GW57="","THERMAL - NOT SPECIFIED",$GW57)))</f>
        <v>TH-02</v>
      </c>
      <c r="BL57" s="54" t="str">
        <f>IF(BL27="","",IF(BL27&lt;&gt;"THERMAL",BL27,IF($GW57="","THERMAL - NOT SPECIFIED",$GW57)))</f>
        <v>TH-02</v>
      </c>
      <c r="BM57" s="54" t="str">
        <f>IF(BM27="","",IF(BM27&lt;&gt;"THERMAL",BM27,IF($GW57="","THERMAL - NOT SPECIFIED",$GW57)))</f>
        <v>TH-02</v>
      </c>
      <c r="BN57" s="54" t="str">
        <f>IF(BN27="","",IF(BN27&lt;&gt;"THERMAL",BN27,IF($GW57="","THERMAL - NOT SPECIFIED",$GW57)))</f>
        <v>TH-02</v>
      </c>
      <c r="BO57" s="54" t="str">
        <f>IF(BO27="","",IF(BO27&lt;&gt;"THERMAL",BO27,IF($GW57="","THERMAL - NOT SPECIFIED",$GW57)))</f>
        <v>TH-02</v>
      </c>
      <c r="BP57" s="54" t="str">
        <f>IF(BP27="","",IF(BP27&lt;&gt;"THERMAL",BP27,IF($GW57="","THERMAL - NOT SPECIFIED",$GW57)))</f>
        <v>TH-02</v>
      </c>
      <c r="BQ57" s="54" t="str">
        <f>IF(BQ27="","",IF(BQ27&lt;&gt;"THERMAL",BQ27,IF($GW57="","THERMAL - NOT SPECIFIED",$GW57)))</f>
        <v>TH-02</v>
      </c>
      <c r="BR57" s="54" t="str">
        <f>IF(BR27="","",IF(BR27&lt;&gt;"THERMAL",BR27,IF($GW57="","THERMAL - NOT SPECIFIED",$GW57)))</f>
        <v>TH-02</v>
      </c>
      <c r="BS57" s="54" t="str">
        <f>IF(BS27="","",IF(BS27&lt;&gt;"THERMAL",BS27,IF($GW57="","THERMAL - NOT SPECIFIED",$GW57)))</f>
        <v>TH-02</v>
      </c>
      <c r="BT57" s="54" t="str">
        <f>IF(BT27="","",IF(BT27&lt;&gt;"THERMAL",BT27,IF($GW57="","THERMAL - NOT SPECIFIED",$GW57)))</f>
        <v>VACCANT</v>
      </c>
      <c r="BU57" s="54" t="str">
        <f>IF(BU27="","",IF(BU27&lt;&gt;"THERMAL",BU27,IF($GW57="","THERMAL - NOT SPECIFIED",$GW57)))</f>
        <v/>
      </c>
      <c r="BV57" s="54" t="str">
        <f>IF(BV27="","",IF(BV27&lt;&gt;"THERMAL",BV27,IF($GW57="","THERMAL - NOT SPECIFIED",$GW57)))</f>
        <v/>
      </c>
      <c r="BW57" s="54" t="str">
        <f>IF(BW27="","",IF(BW27&lt;&gt;"THERMAL",BW27,IF($GW57="","THERMAL - NOT SPECIFIED",$GW57)))</f>
        <v/>
      </c>
      <c r="BX57" s="54" t="str">
        <f>IF(BX27="","",IF(BX27&lt;&gt;"THERMAL",BX27,IF($GW57="","THERMAL - NOT SPECIFIED",$GW57)))</f>
        <v/>
      </c>
      <c r="BY57" s="54" t="str">
        <f>IF(BY27="","",IF(BY27&lt;&gt;"THERMAL",BY27,IF($GW57="","THERMAL - NOT SPECIFIED",$GW57)))</f>
        <v/>
      </c>
      <c r="BZ57" s="54" t="str">
        <f>IF(BZ27="","",IF(BZ27&lt;&gt;"THERMAL",BZ27,IF($GW57="","THERMAL - NOT SPECIFIED",$GW57)))</f>
        <v/>
      </c>
      <c r="CA57" s="54" t="str">
        <f>IF(CA27="","",IF(CA27&lt;&gt;"THERMAL",CA27,IF($GW57="","THERMAL - NOT SPECIFIED",$GW57)))</f>
        <v/>
      </c>
      <c r="CB57" s="54" t="str">
        <f>IF(CB27="","",IF(CB27&lt;&gt;"THERMAL",CB27,IF($GW57="","THERMAL - NOT SPECIFIED",$GW57)))</f>
        <v/>
      </c>
      <c r="CC57" s="54" t="str">
        <f>IF(CC27="","",IF(CC27&lt;&gt;"THERMAL",CC27,IF($GW57="","THERMAL - NOT SPECIFIED",$GW57)))</f>
        <v/>
      </c>
      <c r="CD57" s="54" t="str">
        <f>IF(CD27="","",IF(CD27&lt;&gt;"THERMAL",CD27,IF($GW57="","THERMAL - NOT SPECIFIED",$GW57)))</f>
        <v/>
      </c>
      <c r="CE57" s="54" t="str">
        <f>IF(CE27="","",IF(CE27&lt;&gt;"THERMAL",CE27,IF($GW57="","THERMAL - NOT SPECIFIED",$GW57)))</f>
        <v/>
      </c>
      <c r="CF57" s="54" t="str">
        <f>IF(CF27="","",IF(CF27&lt;&gt;"THERMAL",CF27,IF($GW57="","THERMAL - NOT SPECIFIED",$GW57)))</f>
        <v/>
      </c>
      <c r="CG57" s="54" t="str">
        <f>IF(CG27="","",IF(CG27&lt;&gt;"THERMAL",CG27,IF($GW57="","THERMAL - NOT SPECIFIED",$GW57)))</f>
        <v/>
      </c>
      <c r="CH57" s="54" t="str">
        <f>IF(CH27="","",IF(CH27&lt;&gt;"THERMAL",CH27,IF($GW57="","THERMAL - NOT SPECIFIED",$GW57)))</f>
        <v/>
      </c>
      <c r="CI57" s="54" t="str">
        <f>IF(CI27="","",IF(CI27&lt;&gt;"THERMAL",CI27,IF($GW57="","THERMAL - NOT SPECIFIED",$GW57)))</f>
        <v/>
      </c>
      <c r="CJ57" s="54" t="str">
        <f>IF(CJ27="","",IF(CJ27&lt;&gt;"THERMAL",CJ27,IF($GW57="","THERMAL - NOT SPECIFIED",$GW57)))</f>
        <v/>
      </c>
      <c r="CK57" s="54" t="str">
        <f>IF(CK27="","",IF(CK27&lt;&gt;"THERMAL",CK27,IF($GW57="","THERMAL - NOT SPECIFIED",$GW57)))</f>
        <v/>
      </c>
      <c r="CL57" s="54" t="str">
        <f>IF(CL27="","",IF(CL27&lt;&gt;"THERMAL",CL27,IF($GW57="","THERMAL - NOT SPECIFIED",$GW57)))</f>
        <v/>
      </c>
      <c r="CM57" s="54" t="str">
        <f>IF(CM27="","",IF(CM27&lt;&gt;"THERMAL",CM27,IF($GW57="","THERMAL - NOT SPECIFIED",$GW57)))</f>
        <v/>
      </c>
      <c r="CN57" s="54" t="str">
        <f>IF(CN27="","",IF(CN27&lt;&gt;"THERMAL",CN27,IF($GW57="","THERMAL - NOT SPECIFIED",$GW57)))</f>
        <v/>
      </c>
      <c r="CO57" s="54" t="str">
        <f>IF(CO27="","",IF(CO27&lt;&gt;"THERMAL",CO27,IF($GW57="","THERMAL - NOT SPECIFIED",$GW57)))</f>
        <v/>
      </c>
      <c r="CP57" s="54" t="str">
        <f>IF(CP27="","",IF(CP27&lt;&gt;"THERMAL",CP27,IF($GW57="","THERMAL - NOT SPECIFIED",$GW57)))</f>
        <v/>
      </c>
      <c r="CQ57" s="54" t="str">
        <f>IF(CQ27="","",IF(CQ27&lt;&gt;"THERMAL",CQ27,IF($GW57="","THERMAL - NOT SPECIFIED",$GW57)))</f>
        <v/>
      </c>
      <c r="CR57" s="54" t="str">
        <f>IF(CR27="","",IF(CR27&lt;&gt;"THERMAL",CR27,IF($GW57="","THERMAL - NOT SPECIFIED",$GW57)))</f>
        <v/>
      </c>
      <c r="CS57" s="54" t="str">
        <f>IF(CS27="","",IF(CS27&lt;&gt;"THERMAL",CS27,IF($GW57="","THERMAL - NOT SPECIFIED",$GW57)))</f>
        <v/>
      </c>
      <c r="CT57" s="54" t="str">
        <f>IF(CT27="","",IF(CT27&lt;&gt;"THERMAL",CT27,IF($GW57="","THERMAL - NOT SPECIFIED",$GW57)))</f>
        <v/>
      </c>
      <c r="CU57" s="54" t="str">
        <f>IF(CU27="","",IF(CU27&lt;&gt;"THERMAL",CU27,IF($GW57="","THERMAL - NOT SPECIFIED",$GW57)))</f>
        <v/>
      </c>
      <c r="CV57" s="54" t="str">
        <f>IF(CV27="","",IF(CV27&lt;&gt;"THERMAL",CV27,IF($GW57="","THERMAL - NOT SPECIFIED",$GW57)))</f>
        <v/>
      </c>
      <c r="CW57" s="54" t="str">
        <f>IF(CW27="","",IF(CW27&lt;&gt;"THERMAL",CW27,IF($GW57="","THERMAL - NOT SPECIFIED",$GW57)))</f>
        <v/>
      </c>
      <c r="CX57" s="54" t="str">
        <f>IF(CX27="","",IF(CX27&lt;&gt;"THERMAL",CX27,IF($GW57="","THERMAL - NOT SPECIFIED",$GW57)))</f>
        <v/>
      </c>
      <c r="CY57" s="54" t="str">
        <f>IF(CY27="","",IF(CY27&lt;&gt;"THERMAL",CY27,IF($GW57="","THERMAL - NOT SPECIFIED",$GW57)))</f>
        <v/>
      </c>
      <c r="CZ57" s="54" t="str">
        <f>IF(CZ27="","",IF(CZ27&lt;&gt;"THERMAL",CZ27,IF($GW57="","THERMAL - NOT SPECIFIED",$GW57)))</f>
        <v/>
      </c>
      <c r="DA57" s="54" t="str">
        <f>IF(DA27="","",IF(DA27&lt;&gt;"THERMAL",DA27,IF($GW57="","THERMAL - NOT SPECIFIED",$GW57)))</f>
        <v/>
      </c>
      <c r="DB57" s="54" t="str">
        <f>IF(DB27="","",IF(DB27&lt;&gt;"THERMAL",DB27,IF($GW57="","THERMAL - NOT SPECIFIED",$GW57)))</f>
        <v/>
      </c>
      <c r="DC57" s="54" t="str">
        <f>IF(DC27="","",IF(DC27&lt;&gt;"THERMAL",DC27,IF($GW57="","THERMAL - NOT SPECIFIED",$GW57)))</f>
        <v/>
      </c>
      <c r="DD57" s="54" t="str">
        <f>IF(DD27="","",IF(DD27&lt;&gt;"THERMAL",DD27,IF($GW57="","THERMAL - NOT SPECIFIED",$GW57)))</f>
        <v/>
      </c>
      <c r="DE57" s="54" t="str">
        <f>IF(DE27="","",IF(DE27&lt;&gt;"THERMAL",DE27,IF($GW57="","THERMAL - NOT SPECIFIED",$GW57)))</f>
        <v/>
      </c>
      <c r="DF57" s="54" t="str">
        <f>IF(DF27="","",IF(DF27&lt;&gt;"THERMAL",DF27,IF($GW57="","THERMAL - NOT SPECIFIED",$GW57)))</f>
        <v/>
      </c>
      <c r="DG57" s="54" t="str">
        <f>IF(DG27="","",IF(DG27&lt;&gt;"THERMAL",DG27,IF($GW57="","THERMAL - NOT SPECIFIED",$GW57)))</f>
        <v/>
      </c>
      <c r="DH57" s="54" t="str">
        <f>IF(DH27="","",IF(DH27&lt;&gt;"THERMAL",DH27,IF($GW57="","THERMAL - NOT SPECIFIED",$GW57)))</f>
        <v/>
      </c>
      <c r="DI57" s="54" t="str">
        <f>IF(DI27="","",IF(DI27&lt;&gt;"THERMAL",DI27,IF($GW57="","THERMAL - NOT SPECIFIED",$GW57)))</f>
        <v/>
      </c>
      <c r="DJ57" s="54" t="str">
        <f>IF(DJ27="","",IF(DJ27&lt;&gt;"THERMAL",DJ27,IF($GW57="","THERMAL - NOT SPECIFIED",$GW57)))</f>
        <v/>
      </c>
      <c r="DK57" s="54" t="str">
        <f>IF(DK27="","",IF(DK27&lt;&gt;"THERMAL",DK27,IF($GW57="","THERMAL - NOT SPECIFIED",$GW57)))</f>
        <v/>
      </c>
      <c r="DL57" s="54" t="str">
        <f>IF(DL27="","",IF(DL27&lt;&gt;"THERMAL",DL27,IF($GW57="","THERMAL - NOT SPECIFIED",$GW57)))</f>
        <v/>
      </c>
      <c r="DM57" s="54" t="str">
        <f>IF(DM27="","",IF(DM27&lt;&gt;"THERMAL",DM27,IF($GW57="","THERMAL - NOT SPECIFIED",$GW57)))</f>
        <v/>
      </c>
      <c r="DN57" s="54" t="str">
        <f>IF(DN27="","",IF(DN27&lt;&gt;"THERMAL",DN27,IF($GW57="","THERMAL - NOT SPECIFIED",$GW57)))</f>
        <v/>
      </c>
      <c r="DO57" s="54" t="str">
        <f>IF(DO27="","",IF(DO27&lt;&gt;"THERMAL",DO27,IF($GW57="","THERMAL - NOT SPECIFIED",$GW57)))</f>
        <v/>
      </c>
      <c r="DP57" s="54" t="str">
        <f>IF(DP27="","",IF(DP27&lt;&gt;"THERMAL",DP27,IF($GW57="","THERMAL - NOT SPECIFIED",$GW57)))</f>
        <v/>
      </c>
      <c r="DQ57" s="54" t="str">
        <f>IF(DQ27="","",IF(DQ27&lt;&gt;"THERMAL",DQ27,IF($GW57="","THERMAL - NOT SPECIFIED",$GW57)))</f>
        <v/>
      </c>
      <c r="DR57" s="54" t="str">
        <f>IF(DR27="","",IF(DR27&lt;&gt;"THERMAL",DR27,IF($GW57="","THERMAL - NOT SPECIFIED",$GW57)))</f>
        <v/>
      </c>
      <c r="DS57" s="54" t="str">
        <f>IF(DS27="","",IF(DS27&lt;&gt;"THERMAL",DS27,IF($GW57="","THERMAL - NOT SPECIFIED",$GW57)))</f>
        <v/>
      </c>
      <c r="DT57" s="54" t="str">
        <f>IF(DT27="","",IF(DT27&lt;&gt;"THERMAL",DT27,IF($GW57="","THERMAL - NOT SPECIFIED",$GW57)))</f>
        <v/>
      </c>
      <c r="DU57" s="54" t="str">
        <f>IF(DU27="","",IF(DU27&lt;&gt;"THERMAL",DU27,IF($GW57="","THERMAL - NOT SPECIFIED",$GW57)))</f>
        <v/>
      </c>
      <c r="DV57" s="54" t="str">
        <f>IF(DV27="","",IF(DV27&lt;&gt;"THERMAL",DV27,IF($GW57="","THERMAL - NOT SPECIFIED",$GW57)))</f>
        <v/>
      </c>
      <c r="DW57" s="54" t="str">
        <f>IF(DW27="","",IF(DW27&lt;&gt;"THERMAL",DW27,IF($GW57="","THERMAL - NOT SPECIFIED",$GW57)))</f>
        <v/>
      </c>
      <c r="DX57" s="54" t="str">
        <f>IF(DX27="","",IF(DX27&lt;&gt;"THERMAL",DX27,IF($GW57="","THERMAL - NOT SPECIFIED",$GW57)))</f>
        <v/>
      </c>
      <c r="DY57" s="54" t="str">
        <f>IF(DY27="","",IF(DY27&lt;&gt;"THERMAL",DY27,IF($GW57="","THERMAL - NOT SPECIFIED",$GW57)))</f>
        <v/>
      </c>
      <c r="DZ57" s="54" t="str">
        <f>IF(DZ27="","",IF(DZ27&lt;&gt;"THERMAL",DZ27,IF($GW57="","THERMAL - NOT SPECIFIED",$GW57)))</f>
        <v/>
      </c>
      <c r="EA57" s="54" t="str">
        <f>IF(EA27="","",IF(EA27&lt;&gt;"THERMAL",EA27,IF($GW57="","THERMAL - NOT SPECIFIED",$GW57)))</f>
        <v/>
      </c>
      <c r="EB57" s="54" t="str">
        <f>IF(EB27="","",IF(EB27&lt;&gt;"THERMAL",EB27,IF($GW57="","THERMAL - NOT SPECIFIED",$GW57)))</f>
        <v/>
      </c>
      <c r="EC57" s="54" t="str">
        <f>IF(EC27="","",IF(EC27&lt;&gt;"THERMAL",EC27,IF($GW57="","THERMAL - NOT SPECIFIED",$GW57)))</f>
        <v/>
      </c>
      <c r="ED57" s="54" t="str">
        <f>IF(ED27="","",IF(ED27&lt;&gt;"THERMAL",ED27,IF($GW57="","THERMAL - NOT SPECIFIED",$GW57)))</f>
        <v/>
      </c>
      <c r="EE57" s="54" t="str">
        <f>IF(EE27="","",IF(EE27&lt;&gt;"THERMAL",EE27,IF($GW57="","THERMAL - NOT SPECIFIED",$GW57)))</f>
        <v/>
      </c>
      <c r="EF57" s="54" t="str">
        <f>IF(EF27="","",IF(EF27&lt;&gt;"THERMAL",EF27,IF($GW57="","THERMAL - NOT SPECIFIED",$GW57)))</f>
        <v/>
      </c>
      <c r="EG57" s="54" t="str">
        <f>IF(EG27="","",IF(EG27&lt;&gt;"THERMAL",EG27,IF($GW57="","THERMAL - NOT SPECIFIED",$GW57)))</f>
        <v/>
      </c>
      <c r="EH57" s="54" t="str">
        <f>IF(EH27="","",IF(EH27&lt;&gt;"THERMAL",EH27,IF($GW57="","THERMAL - NOT SPECIFIED",$GW57)))</f>
        <v/>
      </c>
      <c r="EI57" s="54" t="str">
        <f>IF(EI27="","",IF(EI27&lt;&gt;"THERMAL",EI27,IF($GW57="","THERMAL - NOT SPECIFIED",$GW57)))</f>
        <v/>
      </c>
      <c r="EJ57" s="54" t="str">
        <f>IF(EJ27="","",IF(EJ27&lt;&gt;"THERMAL",EJ27,IF($GW57="","THERMAL - NOT SPECIFIED",$GW57)))</f>
        <v/>
      </c>
      <c r="EK57" s="54" t="str">
        <f>IF(EK27="","",IF(EK27&lt;&gt;"THERMAL",EK27,IF($GW57="","THERMAL - NOT SPECIFIED",$GW57)))</f>
        <v/>
      </c>
      <c r="EL57" s="54" t="str">
        <f>IF(EL27="","",IF(EL27&lt;&gt;"THERMAL",EL27,IF($GW57="","THERMAL - NOT SPECIFIED",$GW57)))</f>
        <v/>
      </c>
      <c r="EM57" s="54" t="str">
        <f>IF(EM27="","",IF(EM27&lt;&gt;"THERMAL",EM27,IF($GW57="","THERMAL - NOT SPECIFIED",$GW57)))</f>
        <v/>
      </c>
      <c r="EN57" s="54" t="str">
        <f>IF(EN27="","",IF(EN27&lt;&gt;"THERMAL",EN27,IF($GW57="","THERMAL - NOT SPECIFIED",$GW57)))</f>
        <v/>
      </c>
      <c r="EO57" s="54" t="str">
        <f>IF(EO27="","",IF(EO27&lt;&gt;"THERMAL",EO27,IF($GW57="","THERMAL - NOT SPECIFIED",$GW57)))</f>
        <v/>
      </c>
      <c r="EP57" s="54" t="str">
        <f>IF(EP27="","",IF(EP27&lt;&gt;"THERMAL",EP27,IF($GW57="","THERMAL - NOT SPECIFIED",$GW57)))</f>
        <v/>
      </c>
      <c r="EQ57" s="54" t="str">
        <f>IF(EQ27="","",IF(EQ27&lt;&gt;"THERMAL",EQ27,IF($GW57="","THERMAL - NOT SPECIFIED",$GW57)))</f>
        <v/>
      </c>
      <c r="ER57" s="54" t="str">
        <f>IF(ER27="","",IF(ER27&lt;&gt;"THERMAL",ER27,IF($GW57="","THERMAL - NOT SPECIFIED",$GW57)))</f>
        <v/>
      </c>
      <c r="ES57" s="54" t="str">
        <f>IF(ES27="","",IF(ES27&lt;&gt;"THERMAL",ES27,IF($GW57="","THERMAL - NOT SPECIFIED",$GW57)))</f>
        <v/>
      </c>
      <c r="ET57" s="54" t="str">
        <f>IF(ET27="","",IF(ET27&lt;&gt;"THERMAL",ET27,IF($GW57="","THERMAL - NOT SPECIFIED",$GW57)))</f>
        <v/>
      </c>
      <c r="EU57" s="54" t="str">
        <f>IF(EU27="","",IF(EU27&lt;&gt;"THERMAL",EU27,IF($GW57="","THERMAL - NOT SPECIFIED",$GW57)))</f>
        <v/>
      </c>
      <c r="EV57" s="54" t="str">
        <f>IF(EV27="","",IF(EV27&lt;&gt;"THERMAL",EV27,IF($GW57="","THERMAL - NOT SPECIFIED",$GW57)))</f>
        <v/>
      </c>
      <c r="EW57" s="54" t="str">
        <f>IF(EW27="","",IF(EW27&lt;&gt;"THERMAL",EW27,IF($GW57="","THERMAL - NOT SPECIFIED",$GW57)))</f>
        <v/>
      </c>
      <c r="EX57" s="54" t="str">
        <f>IF(EX27="","",IF(EX27&lt;&gt;"THERMAL",EX27,IF($GW57="","THERMAL - NOT SPECIFIED",$GW57)))</f>
        <v/>
      </c>
      <c r="EY57" s="54" t="str">
        <f>IF(EY27="","",IF(EY27&lt;&gt;"THERMAL",EY27,IF($GW57="","THERMAL - NOT SPECIFIED",$GW57)))</f>
        <v/>
      </c>
      <c r="EZ57" s="54" t="str">
        <f>IF(EZ27="","",IF(EZ27&lt;&gt;"THERMAL",EZ27,IF($GW57="","THERMAL - NOT SPECIFIED",$GW57)))</f>
        <v/>
      </c>
      <c r="FA57" s="54" t="str">
        <f>IF(FA27="","",IF(FA27&lt;&gt;"THERMAL",FA27,IF($GW57="","THERMAL - NOT SPECIFIED",$GW57)))</f>
        <v/>
      </c>
      <c r="FB57" s="54" t="str">
        <f>IF(FB27="","",IF(FB27&lt;&gt;"THERMAL",FB27,IF($GW57="","THERMAL - NOT SPECIFIED",$GW57)))</f>
        <v/>
      </c>
      <c r="FC57" s="54" t="str">
        <f>IF(FC27="","",IF(FC27&lt;&gt;"THERMAL",FC27,IF($GW57="","THERMAL - NOT SPECIFIED",$GW57)))</f>
        <v/>
      </c>
      <c r="FD57" s="54" t="str">
        <f>IF(FD27="","",IF(FD27&lt;&gt;"THERMAL",FD27,IF($GW57="","THERMAL - NOT SPECIFIED",$GW57)))</f>
        <v/>
      </c>
      <c r="FE57" s="54" t="str">
        <f>IF(FE27="","",IF(FE27&lt;&gt;"THERMAL",FE27,IF($GW57="","THERMAL - NOT SPECIFIED",$GW57)))</f>
        <v/>
      </c>
      <c r="FF57" s="54" t="str">
        <f>IF(FF27="","",IF(FF27&lt;&gt;"THERMAL",FF27,IF($GW57="","THERMAL - NOT SPECIFIED",$GW57)))</f>
        <v/>
      </c>
      <c r="FG57" s="54" t="str">
        <f>IF(FG27="","",IF(FG27&lt;&gt;"THERMAL",FG27,IF($GW57="","THERMAL - NOT SPECIFIED",$GW57)))</f>
        <v/>
      </c>
      <c r="FH57" s="54" t="str">
        <f>IF(FH27="","",IF(FH27&lt;&gt;"THERMAL",FH27,IF($GW57="","THERMAL - NOT SPECIFIED",$GW57)))</f>
        <v/>
      </c>
      <c r="FI57" s="54" t="str">
        <f>IF(FI27="","",IF(FI27&lt;&gt;"THERMAL",FI27,IF($GW57="","THERMAL - NOT SPECIFIED",$GW57)))</f>
        <v/>
      </c>
      <c r="FJ57" s="54" t="str">
        <f>IF(FJ27="","",IF(FJ27&lt;&gt;"THERMAL",FJ27,IF($GW57="","THERMAL - NOT SPECIFIED",$GW57)))</f>
        <v/>
      </c>
      <c r="FK57" s="54" t="str">
        <f>IF(FK27="","",IF(FK27&lt;&gt;"THERMAL",FK27,IF($GW57="","THERMAL - NOT SPECIFIED",$GW57)))</f>
        <v/>
      </c>
      <c r="FL57" s="54" t="str">
        <f>IF(FL27="","",IF(FL27&lt;&gt;"THERMAL",FL27,IF($GW57="","THERMAL - NOT SPECIFIED",$GW57)))</f>
        <v/>
      </c>
      <c r="FM57" s="54" t="str">
        <f>IF(FM27="","",IF(FM27&lt;&gt;"THERMAL",FM27,IF($GW57="","THERMAL - NOT SPECIFIED",$GW57)))</f>
        <v/>
      </c>
      <c r="FN57" s="54" t="str">
        <f>IF(FN27="","",IF(FN27&lt;&gt;"THERMAL",FN27,IF($GW57="","THERMAL - NOT SPECIFIED",$GW57)))</f>
        <v/>
      </c>
      <c r="FO57" s="54" t="str">
        <f>IF(FO27="","",IF(FO27&lt;&gt;"THERMAL",FO27,IF($GW57="","THERMAL - NOT SPECIFIED",$GW57)))</f>
        <v/>
      </c>
      <c r="FP57" s="54" t="str">
        <f>IF(FP27="","",IF(FP27&lt;&gt;"THERMAL",FP27,IF($GW57="","THERMAL - NOT SPECIFIED",$GW57)))</f>
        <v/>
      </c>
      <c r="FQ57" s="54" t="str">
        <f>IF(FQ27="","",IF(FQ27&lt;&gt;"THERMAL",FQ27,IF($GW57="","THERMAL - NOT SPECIFIED",$GW57)))</f>
        <v/>
      </c>
      <c r="FR57" s="54" t="str">
        <f>IF(FR27="","",IF(FR27&lt;&gt;"THERMAL",FR27,IF($GW57="","THERMAL - NOT SPECIFIED",$GW57)))</f>
        <v/>
      </c>
      <c r="FS57" s="54" t="str">
        <f>IF(FS27="","",IF(FS27&lt;&gt;"THERMAL",FS27,IF($GW57="","THERMAL - NOT SPECIFIED",$GW57)))</f>
        <v/>
      </c>
      <c r="FT57" s="54" t="str">
        <f>IF(FT27="","",IF(FT27&lt;&gt;"THERMAL",FT27,IF($GW57="","THERMAL - NOT SPECIFIED",$GW57)))</f>
        <v/>
      </c>
      <c r="FU57" s="54" t="str">
        <f>IF(FU27="","",IF(FU27&lt;&gt;"THERMAL",FU27,IF($GW57="","THERMAL - NOT SPECIFIED",$GW57)))</f>
        <v/>
      </c>
      <c r="FV57" s="54" t="str">
        <f>IF(FV27="","",IF(FV27&lt;&gt;"THERMAL",FV27,IF($GW57="","THERMAL - NOT SPECIFIED",$GW57)))</f>
        <v/>
      </c>
      <c r="FW57" s="54" t="str">
        <f>IF(FW27="","",IF(FW27&lt;&gt;"THERMAL",FW27,IF($GW57="","THERMAL - NOT SPECIFIED",$GW57)))</f>
        <v/>
      </c>
      <c r="FX57" s="54" t="str">
        <f>IF(FX27="","",IF(FX27&lt;&gt;"THERMAL",FX27,IF($GW57="","THERMAL - NOT SPECIFIED",$GW57)))</f>
        <v/>
      </c>
      <c r="FY57" s="54" t="str">
        <f>IF(FY27="","",IF(FY27&lt;&gt;"THERMAL",FY27,IF($GW57="","THERMAL - NOT SPECIFIED",$GW57)))</f>
        <v/>
      </c>
      <c r="FZ57" s="54" t="str">
        <f>IF(FZ27="","",IF(FZ27&lt;&gt;"THERMAL",FZ27,IF($GW57="","THERMAL - NOT SPECIFIED",$GW57)))</f>
        <v/>
      </c>
      <c r="GA57" s="54" t="str">
        <f>IF(GA27="","",IF(GA27&lt;&gt;"THERMAL",GA27,IF($GW57="","THERMAL - NOT SPECIFIED",$GW57)))</f>
        <v/>
      </c>
      <c r="GB57" s="54" t="str">
        <f>IF(GB27="","",IF(GB27&lt;&gt;"THERMAL",GB27,IF($GW57="","THERMAL - NOT SPECIFIED",$GW57)))</f>
        <v/>
      </c>
      <c r="GC57" s="54" t="str">
        <f>IF(GC27="","",IF(GC27&lt;&gt;"THERMAL",GC27,IF($GW57="","THERMAL - NOT SPECIFIED",$GW57)))</f>
        <v/>
      </c>
      <c r="GD57" s="54" t="str">
        <f>IF(GD27="","",IF(GD27&lt;&gt;"THERMAL",GD27,IF($GW57="","THERMAL - NOT SPECIFIED",$GW57)))</f>
        <v/>
      </c>
      <c r="GE57" s="54" t="str">
        <f>IF(GE27="","",IF(GE27&lt;&gt;"THERMAL",GE27,IF($GW57="","THERMAL - NOT SPECIFIED",$GW57)))</f>
        <v/>
      </c>
      <c r="GF57" s="54" t="str">
        <f>IF(GF27="","",IF(GF27&lt;&gt;"THERMAL",GF27,IF($GW57="","THERMAL - NOT SPECIFIED",$GW57)))</f>
        <v/>
      </c>
      <c r="GG57" s="54" t="str">
        <f>IF(GG27="","",IF(GG27&lt;&gt;"THERMAL",GG27,IF($GW57="","THERMAL - NOT SPECIFIED",$GW57)))</f>
        <v/>
      </c>
      <c r="GH57" s="54" t="str">
        <f>IF(GH27="","",IF(GH27&lt;&gt;"THERMAL",GH27,IF($GW57="","THERMAL - NOT SPECIFIED",$GW57)))</f>
        <v/>
      </c>
      <c r="GI57" s="54" t="str">
        <f>IF(GI27="","",IF(GI27&lt;&gt;"THERMAL",GI27,IF($GW57="","THERMAL - NOT SPECIFIED",$GW57)))</f>
        <v/>
      </c>
      <c r="GJ57" s="54" t="str">
        <f>IF(GJ27="","",IF(GJ27&lt;&gt;"THERMAL",GJ27,IF($GW57="","THERMAL - NOT SPECIFIED",$GW57)))</f>
        <v/>
      </c>
      <c r="GK57" s="54" t="str">
        <f>IF(GK27="","",IF(GK27&lt;&gt;"THERMAL",GK27,IF($GW57="","THERMAL - NOT SPECIFIED",$GW57)))</f>
        <v/>
      </c>
      <c r="GL57" s="54" t="str">
        <f>IF(GL27="","",IF(GL27&lt;&gt;"THERMAL",GL27,IF($GW57="","THERMAL - NOT SPECIFIED",$GW57)))</f>
        <v/>
      </c>
      <c r="GM57" s="54" t="str">
        <f>IF(GM27="","",IF(GM27&lt;&gt;"THERMAL",GM27,IF($GW57="","THERMAL - NOT SPECIFIED",$GW57)))</f>
        <v/>
      </c>
      <c r="GN57" s="54" t="str">
        <f>IF(GN27="","",IF(GN27&lt;&gt;"THERMAL",GN27,IF($GW57="","THERMAL - NOT SPECIFIED",$GW57)))</f>
        <v/>
      </c>
      <c r="GO57" s="54" t="str">
        <f>IF(GO27="","",IF(GO27&lt;&gt;"THERMAL",GO27,IF($GW57="","THERMAL - NOT SPECIFIED",$GW57)))</f>
        <v/>
      </c>
      <c r="GP57" s="54" t="str">
        <f>IF(GP27="","",IF(GP27&lt;&gt;"THERMAL",GP27,IF($GW57="","THERMAL - NOT SPECIFIED",$GW57)))</f>
        <v/>
      </c>
      <c r="GQ57" s="54" t="str">
        <f>IF(GQ27="","",IF(GQ27&lt;&gt;"THERMAL",GQ27,IF($GW57="","THERMAL - NOT SPECIFIED",$GW57)))</f>
        <v/>
      </c>
      <c r="GR57" s="54" t="str">
        <f>IF(GR27="","",IF(GR27&lt;&gt;"THERMAL",GR27,IF($GW57="","THERMAL - NOT SPECIFIED",$GW57)))</f>
        <v/>
      </c>
      <c r="GS57" s="54" t="str">
        <f>IF(GS27="","",IF(GS27&lt;&gt;"THERMAL",GS27,IF($GW57="","THERMAL - NOT SPECIFIED",$GW57)))</f>
        <v/>
      </c>
      <c r="GW57" s="55" t="str">
        <f>IF($GY57="","",IFERROR(INDEX('MC MAP'!$L$5:$L$28,MATCH($GY57,'MC MAP'!$K$5:$K$28,0)),$GY57))</f>
        <v>TH-02</v>
      </c>
      <c r="GY57" s="60" t="s">
        <v>25</v>
      </c>
    </row>
    <row r="58" spans="1:207">
      <c r="A58" s="2">
        <f>$A28</f>
        <v>23</v>
      </c>
      <c r="B58" s="54">
        <f>IF(B28="","",IF(B28&lt;&gt;"THERMAL",B28,IF($GW58="","THERMAL - NOT SPECIFIED",$GW58)))</f>
        <v>6135</v>
      </c>
      <c r="C58" s="54">
        <f>IF(C28="","",IF(C28&lt;&gt;"THERMAL",C28,IF($GW58="","THERMAL - NOT SPECIFIED",$GW58)))</f>
        <v>6135</v>
      </c>
      <c r="D58" s="54">
        <f>IF(D28="","",IF(D28&lt;&gt;"THERMAL",D28,IF($GW58="","THERMAL - NOT SPECIFIED",$GW58)))</f>
        <v>6135</v>
      </c>
      <c r="E58" s="54">
        <f>IF(E28="","",IF(E28&lt;&gt;"THERMAL",E28,IF($GW58="","THERMAL - NOT SPECIFIED",$GW58)))</f>
        <v>6135</v>
      </c>
      <c r="F58" s="54">
        <f>IF(F28="","",IF(F28&lt;&gt;"THERMAL",F28,IF($GW58="","THERMAL - NOT SPECIFIED",$GW58)))</f>
        <v>6135</v>
      </c>
      <c r="G58" s="54">
        <f>IF(G28="","",IF(G28&lt;&gt;"THERMAL",G28,IF($GW58="","THERMAL - NOT SPECIFIED",$GW58)))</f>
        <v>6135</v>
      </c>
      <c r="H58" s="54">
        <f>IF(H28="","",IF(H28&lt;&gt;"THERMAL",H28,IF($GW58="","THERMAL - NOT SPECIFIED",$GW58)))</f>
        <v>6135</v>
      </c>
      <c r="I58" s="54">
        <f>IF(I28="","",IF(I28&lt;&gt;"THERMAL",I28,IF($GW58="","THERMAL - NOT SPECIFIED",$GW58)))</f>
        <v>6135</v>
      </c>
      <c r="J58" s="54">
        <f>IF(J28="","",IF(J28&lt;&gt;"THERMAL",J28,IF($GW58="","THERMAL - NOT SPECIFIED",$GW58)))</f>
        <v>6135</v>
      </c>
      <c r="K58" s="54">
        <f>IF(K28="","",IF(K28&lt;&gt;"THERMAL",K28,IF($GW58="","THERMAL - NOT SPECIFIED",$GW58)))</f>
        <v>6135</v>
      </c>
      <c r="L58" s="54">
        <f>IF(L28="","",IF(L28&lt;&gt;"THERMAL",L28,IF($GW58="","THERMAL - NOT SPECIFIED",$GW58)))</f>
        <v>6135</v>
      </c>
      <c r="M58" s="54">
        <f>IF(M28="","",IF(M28&lt;&gt;"THERMAL",M28,IF($GW58="","THERMAL - NOT SPECIFIED",$GW58)))</f>
        <v>6135</v>
      </c>
      <c r="N58" s="54">
        <f>IF(N28="","",IF(N28&lt;&gt;"THERMAL",N28,IF($GW58="","THERMAL - NOT SPECIFIED",$GW58)))</f>
        <v>6135</v>
      </c>
      <c r="O58" s="54">
        <f>IF(O28="","",IF(O28&lt;&gt;"THERMAL",O28,IF($GW58="","THERMAL - NOT SPECIFIED",$GW58)))</f>
        <v>6135</v>
      </c>
      <c r="P58" s="54">
        <f>IF(P28="","",IF(P28&lt;&gt;"THERMAL",P28,IF($GW58="","THERMAL - NOT SPECIFIED",$GW58)))</f>
        <v>6135</v>
      </c>
      <c r="Q58" s="54">
        <f>IF(Q28="","",IF(Q28&lt;&gt;"THERMAL",Q28,IF($GW58="","THERMAL - NOT SPECIFIED",$GW58)))</f>
        <v>6135</v>
      </c>
      <c r="R58" s="54">
        <f>IF(R28="","",IF(R28&lt;&gt;"THERMAL",R28,IF($GW58="","THERMAL - NOT SPECIFIED",$GW58)))</f>
        <v>6135</v>
      </c>
      <c r="S58" s="54">
        <f>IF(S28="","",IF(S28&lt;&gt;"THERMAL",S28,IF($GW58="","THERMAL - NOT SPECIFIED",$GW58)))</f>
        <v>6135</v>
      </c>
      <c r="T58" s="54">
        <f>IF(T28="","",IF(T28&lt;&gt;"THERMAL",T28,IF($GW58="","THERMAL - NOT SPECIFIED",$GW58)))</f>
        <v>6135</v>
      </c>
      <c r="U58" s="54">
        <f>IF(U28="","",IF(U28&lt;&gt;"THERMAL",U28,IF($GW58="","THERMAL - NOT SPECIFIED",$GW58)))</f>
        <v>6135</v>
      </c>
      <c r="V58" s="54">
        <f>IF(V28="","",IF(V28&lt;&gt;"THERMAL",V28,IF($GW58="","THERMAL - NOT SPECIFIED",$GW58)))</f>
        <v>6135</v>
      </c>
      <c r="W58" s="54">
        <f>IF(W28="","",IF(W28&lt;&gt;"THERMAL",W28,IF($GW58="","THERMAL - NOT SPECIFIED",$GW58)))</f>
        <v>6135</v>
      </c>
      <c r="X58" s="54">
        <f>IF(X28="","",IF(X28&lt;&gt;"THERMAL",X28,IF($GW58="","THERMAL - NOT SPECIFIED",$GW58)))</f>
        <v>6135</v>
      </c>
      <c r="Y58" s="54">
        <f>IF(Y28="","",IF(Y28&lt;&gt;"THERMAL",Y28,IF($GW58="","THERMAL - NOT SPECIFIED",$GW58)))</f>
        <v>6135</v>
      </c>
      <c r="Z58" s="54">
        <f>IF(Z28="","",IF(Z28&lt;&gt;"THERMAL",Z28,IF($GW58="","THERMAL - NOT SPECIFIED",$GW58)))</f>
        <v>6135</v>
      </c>
      <c r="AA58" s="54">
        <f>IF(AA28="","",IF(AA28&lt;&gt;"THERMAL",AA28,IF($GW58="","THERMAL - NOT SPECIFIED",$GW58)))</f>
        <v>6135</v>
      </c>
      <c r="AB58" s="54">
        <f>IF(AB28="","",IF(AB28&lt;&gt;"THERMAL",AB28,IF($GW58="","THERMAL - NOT SPECIFIED",$GW58)))</f>
        <v>6135</v>
      </c>
      <c r="AC58" s="54">
        <f>IF(AC28="","",IF(AC28&lt;&gt;"THERMAL",AC28,IF($GW58="","THERMAL - NOT SPECIFIED",$GW58)))</f>
        <v>6135</v>
      </c>
      <c r="AD58" s="54">
        <f>IF(AD28="","",IF(AD28&lt;&gt;"THERMAL",AD28,IF($GW58="","THERMAL - NOT SPECIFIED",$GW58)))</f>
        <v>6135</v>
      </c>
      <c r="AE58" s="54">
        <f>IF(AE28="","",IF(AE28&lt;&gt;"THERMAL",AE28,IF($GW58="","THERMAL - NOT SPECIFIED",$GW58)))</f>
        <v>6135</v>
      </c>
      <c r="AF58" s="54">
        <f>IF(AF28="","",IF(AF28&lt;&gt;"THERMAL",AF28,IF($GW58="","THERMAL - NOT SPECIFIED",$GW58)))</f>
        <v>6135</v>
      </c>
      <c r="AG58" s="54">
        <f>IF(AG28="","",IF(AG28&lt;&gt;"THERMAL",AG28,IF($GW58="","THERMAL - NOT SPECIFIED",$GW58)))</f>
        <v>6135</v>
      </c>
      <c r="AH58" s="54">
        <f>IF(AH28="","",IF(AH28&lt;&gt;"THERMAL",AH28,IF($GW58="","THERMAL - NOT SPECIFIED",$GW58)))</f>
        <v>6135</v>
      </c>
      <c r="AI58" s="54">
        <f>IF(AI28="","",IF(AI28&lt;&gt;"THERMAL",AI28,IF($GW58="","THERMAL - NOT SPECIFIED",$GW58)))</f>
        <v>6135</v>
      </c>
      <c r="AJ58" s="54">
        <f>IF(AJ28="","",IF(AJ28&lt;&gt;"THERMAL",AJ28,IF($GW58="","THERMAL - NOT SPECIFIED",$GW58)))</f>
        <v>6135</v>
      </c>
      <c r="AK58" s="54">
        <f>IF(AK28="","",IF(AK28&lt;&gt;"THERMAL",AK28,IF($GW58="","THERMAL - NOT SPECIFIED",$GW58)))</f>
        <v>6135</v>
      </c>
      <c r="AL58" s="54" t="str">
        <f>IF(AL28="","",IF(AL28&lt;&gt;"THERMAL",AL28,IF($GW58="","THERMAL - NOT SPECIFIED",$GW58)))</f>
        <v>VACCANT</v>
      </c>
      <c r="AM58" s="54" t="str">
        <f>IF(AM28="","",IF(AM28&lt;&gt;"THERMAL",AM28,IF($GW58="","THERMAL - NOT SPECIFIED",$GW58)))</f>
        <v>4406/10</v>
      </c>
      <c r="AN58" s="54" t="str">
        <f>IF(AN28="","",IF(AN28&lt;&gt;"THERMAL",AN28,IF($GW58="","THERMAL - NOT SPECIFIED",$GW58)))</f>
        <v>4406/10</v>
      </c>
      <c r="AO58" s="54" t="str">
        <f>IF(AO28="","",IF(AO28&lt;&gt;"THERMAL",AO28,IF($GW58="","THERMAL - NOT SPECIFIED",$GW58)))</f>
        <v>4406/10</v>
      </c>
      <c r="AP58" s="54" t="str">
        <f>IF(AP28="","",IF(AP28&lt;&gt;"THERMAL",AP28,IF($GW58="","THERMAL - NOT SPECIFIED",$GW58)))</f>
        <v>4406/10</v>
      </c>
      <c r="AQ58" s="54" t="str">
        <f>IF(AQ28="","",IF(AQ28&lt;&gt;"THERMAL",AQ28,IF($GW58="","THERMAL - NOT SPECIFIED",$GW58)))</f>
        <v>4406/10</v>
      </c>
      <c r="AR58" s="54" t="str">
        <f>IF(AR28="","",IF(AR28&lt;&gt;"THERMAL",AR28,IF($GW58="","THERMAL - NOT SPECIFIED",$GW58)))</f>
        <v>4406/10</v>
      </c>
      <c r="AS58" s="54" t="str">
        <f>IF(AS28="","",IF(AS28&lt;&gt;"THERMAL",AS28,IF($GW58="","THERMAL - NOT SPECIFIED",$GW58)))</f>
        <v>4406/10</v>
      </c>
      <c r="AT58" s="54" t="str">
        <f>IF(AT28="","",IF(AT28&lt;&gt;"THERMAL",AT28,IF($GW58="","THERMAL - NOT SPECIFIED",$GW58)))</f>
        <v>4406/10</v>
      </c>
      <c r="AU58" s="54" t="str">
        <f>IF(AU28="","",IF(AU28&lt;&gt;"THERMAL",AU28,IF($GW58="","THERMAL - NOT SPECIFIED",$GW58)))</f>
        <v>4406/10</v>
      </c>
      <c r="AV58" s="54" t="str">
        <f>IF(AV28="","",IF(AV28&lt;&gt;"THERMAL",AV28,IF($GW58="","THERMAL - NOT SPECIFIED",$GW58)))</f>
        <v>4406/10</v>
      </c>
      <c r="AW58" s="54" t="str">
        <f>IF(AW28="","",IF(AW28&lt;&gt;"THERMAL",AW28,IF($GW58="","THERMAL - NOT SPECIFIED",$GW58)))</f>
        <v>4406/10</v>
      </c>
      <c r="AX58" s="54" t="str">
        <f>IF(AX28="","",IF(AX28&lt;&gt;"THERMAL",AX28,IF($GW58="","THERMAL - NOT SPECIFIED",$GW58)))</f>
        <v>4406/10</v>
      </c>
      <c r="AY58" s="54" t="str">
        <f>IF(AY28="","",IF(AY28&lt;&gt;"THERMAL",AY28,IF($GW58="","THERMAL - NOT SPECIFIED",$GW58)))</f>
        <v>4406/10</v>
      </c>
      <c r="AZ58" s="54" t="str">
        <f>IF(AZ28="","",IF(AZ28&lt;&gt;"THERMAL",AZ28,IF($GW58="","THERMAL - NOT SPECIFIED",$GW58)))</f>
        <v>4406/10</v>
      </c>
      <c r="BA58" s="54" t="str">
        <f>IF(BA28="","",IF(BA28&lt;&gt;"THERMAL",BA28,IF($GW58="","THERMAL - NOT SPECIFIED",$GW58)))</f>
        <v>4406/10</v>
      </c>
      <c r="BB58" s="54" t="str">
        <f>IF(BB28="","",IF(BB28&lt;&gt;"THERMAL",BB28,IF($GW58="","THERMAL - NOT SPECIFIED",$GW58)))</f>
        <v>4406/10</v>
      </c>
      <c r="BC58" s="54" t="str">
        <f>IF(BC28="","",IF(BC28&lt;&gt;"THERMAL",BC28,IF($GW58="","THERMAL - NOT SPECIFIED",$GW58)))</f>
        <v>VACCANT</v>
      </c>
      <c r="BD58" s="54">
        <f>IF(BD28="","",IF(BD28&lt;&gt;"THERMAL",BD28,IF($GW58="","THERMAL - NOT SPECIFIED",$GW58)))</f>
        <v>6137</v>
      </c>
      <c r="BE58" s="54">
        <f>IF(BE28="","",IF(BE28&lt;&gt;"THERMAL",BE28,IF($GW58="","THERMAL - NOT SPECIFIED",$GW58)))</f>
        <v>6137</v>
      </c>
      <c r="BF58" s="54">
        <f>IF(BF28="","",IF(BF28&lt;&gt;"THERMAL",BF28,IF($GW58="","THERMAL - NOT SPECIFIED",$GW58)))</f>
        <v>6137</v>
      </c>
      <c r="BG58" s="54">
        <f>IF(BG28="","",IF(BG28&lt;&gt;"THERMAL",BG28,IF($GW58="","THERMAL - NOT SPECIFIED",$GW58)))</f>
        <v>6137</v>
      </c>
      <c r="BH58" s="54">
        <f>IF(BH28="","",IF(BH28&lt;&gt;"THERMAL",BH28,IF($GW58="","THERMAL - NOT SPECIFIED",$GW58)))</f>
        <v>6137</v>
      </c>
      <c r="BI58" s="54">
        <f>IF(BI28="","",IF(BI28&lt;&gt;"THERMAL",BI28,IF($GW58="","THERMAL - NOT SPECIFIED",$GW58)))</f>
        <v>6137</v>
      </c>
      <c r="BJ58" s="54">
        <f>IF(BJ28="","",IF(BJ28&lt;&gt;"THERMAL",BJ28,IF($GW58="","THERMAL - NOT SPECIFIED",$GW58)))</f>
        <v>6137</v>
      </c>
      <c r="BK58" s="54" t="str">
        <f>IF(BK28="","",IF(BK28&lt;&gt;"THERMAL",BK28,IF($GW58="","THERMAL - NOT SPECIFIED",$GW58)))</f>
        <v>VACCANT</v>
      </c>
      <c r="BL58" s="54" t="str">
        <f>IF(BL28="","",IF(BL28&lt;&gt;"THERMAL",BL28,IF($GW58="","THERMAL - NOT SPECIFIED",$GW58)))</f>
        <v/>
      </c>
      <c r="BM58" s="54" t="str">
        <f>IF(BM28="","",IF(BM28&lt;&gt;"THERMAL",BM28,IF($GW58="","THERMAL - NOT SPECIFIED",$GW58)))</f>
        <v/>
      </c>
      <c r="BN58" s="54" t="str">
        <f>IF(BN28="","",IF(BN28&lt;&gt;"THERMAL",BN28,IF($GW58="","THERMAL - NOT SPECIFIED",$GW58)))</f>
        <v/>
      </c>
      <c r="BO58" s="54" t="str">
        <f>IF(BO28="","",IF(BO28&lt;&gt;"THERMAL",BO28,IF($GW58="","THERMAL - NOT SPECIFIED",$GW58)))</f>
        <v/>
      </c>
      <c r="BP58" s="54" t="str">
        <f>IF(BP28="","",IF(BP28&lt;&gt;"THERMAL",BP28,IF($GW58="","THERMAL - NOT SPECIFIED",$GW58)))</f>
        <v/>
      </c>
      <c r="BQ58" s="54" t="str">
        <f>IF(BQ28="","",IF(BQ28&lt;&gt;"THERMAL",BQ28,IF($GW58="","THERMAL - NOT SPECIFIED",$GW58)))</f>
        <v/>
      </c>
      <c r="BR58" s="54" t="str">
        <f>IF(BR28="","",IF(BR28&lt;&gt;"THERMAL",BR28,IF($GW58="","THERMAL - NOT SPECIFIED",$GW58)))</f>
        <v/>
      </c>
      <c r="BS58" s="54" t="str">
        <f>IF(BS28="","",IF(BS28&lt;&gt;"THERMAL",BS28,IF($GW58="","THERMAL - NOT SPECIFIED",$GW58)))</f>
        <v/>
      </c>
      <c r="BT58" s="54" t="str">
        <f>IF(BT28="","",IF(BT28&lt;&gt;"THERMAL",BT28,IF($GW58="","THERMAL - NOT SPECIFIED",$GW58)))</f>
        <v/>
      </c>
      <c r="BU58" s="54" t="str">
        <f>IF(BU28="","",IF(BU28&lt;&gt;"THERMAL",BU28,IF($GW58="","THERMAL - NOT SPECIFIED",$GW58)))</f>
        <v/>
      </c>
      <c r="BV58" s="54" t="str">
        <f>IF(BV28="","",IF(BV28&lt;&gt;"THERMAL",BV28,IF($GW58="","THERMAL - NOT SPECIFIED",$GW58)))</f>
        <v/>
      </c>
      <c r="BW58" s="54" t="str">
        <f>IF(BW28="","",IF(BW28&lt;&gt;"THERMAL",BW28,IF($GW58="","THERMAL - NOT SPECIFIED",$GW58)))</f>
        <v/>
      </c>
      <c r="BX58" s="54" t="str">
        <f>IF(BX28="","",IF(BX28&lt;&gt;"THERMAL",BX28,IF($GW58="","THERMAL - NOT SPECIFIED",$GW58)))</f>
        <v/>
      </c>
      <c r="BY58" s="54" t="str">
        <f>IF(BY28="","",IF(BY28&lt;&gt;"THERMAL",BY28,IF($GW58="","THERMAL - NOT SPECIFIED",$GW58)))</f>
        <v/>
      </c>
      <c r="BZ58" s="54" t="str">
        <f>IF(BZ28="","",IF(BZ28&lt;&gt;"THERMAL",BZ28,IF($GW58="","THERMAL - NOT SPECIFIED",$GW58)))</f>
        <v/>
      </c>
      <c r="CA58" s="54" t="str">
        <f>IF(CA28="","",IF(CA28&lt;&gt;"THERMAL",CA28,IF($GW58="","THERMAL - NOT SPECIFIED",$GW58)))</f>
        <v/>
      </c>
      <c r="CB58" s="54" t="str">
        <f>IF(CB28="","",IF(CB28&lt;&gt;"THERMAL",CB28,IF($GW58="","THERMAL - NOT SPECIFIED",$GW58)))</f>
        <v/>
      </c>
      <c r="CC58" s="54" t="str">
        <f>IF(CC28="","",IF(CC28&lt;&gt;"THERMAL",CC28,IF($GW58="","THERMAL - NOT SPECIFIED",$GW58)))</f>
        <v/>
      </c>
      <c r="CD58" s="54" t="str">
        <f>IF(CD28="","",IF(CD28&lt;&gt;"THERMAL",CD28,IF($GW58="","THERMAL - NOT SPECIFIED",$GW58)))</f>
        <v/>
      </c>
      <c r="CE58" s="54" t="str">
        <f>IF(CE28="","",IF(CE28&lt;&gt;"THERMAL",CE28,IF($GW58="","THERMAL - NOT SPECIFIED",$GW58)))</f>
        <v/>
      </c>
      <c r="CF58" s="54" t="str">
        <f>IF(CF28="","",IF(CF28&lt;&gt;"THERMAL",CF28,IF($GW58="","THERMAL - NOT SPECIFIED",$GW58)))</f>
        <v/>
      </c>
      <c r="CG58" s="54" t="str">
        <f>IF(CG28="","",IF(CG28&lt;&gt;"THERMAL",CG28,IF($GW58="","THERMAL - NOT SPECIFIED",$GW58)))</f>
        <v/>
      </c>
      <c r="CH58" s="54" t="str">
        <f>IF(CH28="","",IF(CH28&lt;&gt;"THERMAL",CH28,IF($GW58="","THERMAL - NOT SPECIFIED",$GW58)))</f>
        <v/>
      </c>
      <c r="CI58" s="54" t="str">
        <f>IF(CI28="","",IF(CI28&lt;&gt;"THERMAL",CI28,IF($GW58="","THERMAL - NOT SPECIFIED",$GW58)))</f>
        <v/>
      </c>
      <c r="CJ58" s="54" t="str">
        <f>IF(CJ28="","",IF(CJ28&lt;&gt;"THERMAL",CJ28,IF($GW58="","THERMAL - NOT SPECIFIED",$GW58)))</f>
        <v/>
      </c>
      <c r="CK58" s="54" t="str">
        <f>IF(CK28="","",IF(CK28&lt;&gt;"THERMAL",CK28,IF($GW58="","THERMAL - NOT SPECIFIED",$GW58)))</f>
        <v/>
      </c>
      <c r="CL58" s="54" t="str">
        <f>IF(CL28="","",IF(CL28&lt;&gt;"THERMAL",CL28,IF($GW58="","THERMAL - NOT SPECIFIED",$GW58)))</f>
        <v/>
      </c>
      <c r="CM58" s="54" t="str">
        <f>IF(CM28="","",IF(CM28&lt;&gt;"THERMAL",CM28,IF($GW58="","THERMAL - NOT SPECIFIED",$GW58)))</f>
        <v/>
      </c>
      <c r="CN58" s="54" t="str">
        <f>IF(CN28="","",IF(CN28&lt;&gt;"THERMAL",CN28,IF($GW58="","THERMAL - NOT SPECIFIED",$GW58)))</f>
        <v/>
      </c>
      <c r="CO58" s="54" t="str">
        <f>IF(CO28="","",IF(CO28&lt;&gt;"THERMAL",CO28,IF($GW58="","THERMAL - NOT SPECIFIED",$GW58)))</f>
        <v/>
      </c>
      <c r="CP58" s="54" t="str">
        <f>IF(CP28="","",IF(CP28&lt;&gt;"THERMAL",CP28,IF($GW58="","THERMAL - NOT SPECIFIED",$GW58)))</f>
        <v/>
      </c>
      <c r="CQ58" s="54" t="str">
        <f>IF(CQ28="","",IF(CQ28&lt;&gt;"THERMAL",CQ28,IF($GW58="","THERMAL - NOT SPECIFIED",$GW58)))</f>
        <v/>
      </c>
      <c r="CR58" s="54" t="str">
        <f>IF(CR28="","",IF(CR28&lt;&gt;"THERMAL",CR28,IF($GW58="","THERMAL - NOT SPECIFIED",$GW58)))</f>
        <v/>
      </c>
      <c r="CS58" s="54" t="str">
        <f>IF(CS28="","",IF(CS28&lt;&gt;"THERMAL",CS28,IF($GW58="","THERMAL - NOT SPECIFIED",$GW58)))</f>
        <v/>
      </c>
      <c r="CT58" s="54" t="str">
        <f>IF(CT28="","",IF(CT28&lt;&gt;"THERMAL",CT28,IF($GW58="","THERMAL - NOT SPECIFIED",$GW58)))</f>
        <v/>
      </c>
      <c r="CU58" s="54" t="str">
        <f>IF(CU28="","",IF(CU28&lt;&gt;"THERMAL",CU28,IF($GW58="","THERMAL - NOT SPECIFIED",$GW58)))</f>
        <v/>
      </c>
      <c r="CV58" s="54" t="str">
        <f>IF(CV28="","",IF(CV28&lt;&gt;"THERMAL",CV28,IF($GW58="","THERMAL - NOT SPECIFIED",$GW58)))</f>
        <v/>
      </c>
      <c r="CW58" s="54" t="str">
        <f>IF(CW28="","",IF(CW28&lt;&gt;"THERMAL",CW28,IF($GW58="","THERMAL - NOT SPECIFIED",$GW58)))</f>
        <v/>
      </c>
      <c r="CX58" s="54" t="str">
        <f>IF(CX28="","",IF(CX28&lt;&gt;"THERMAL",CX28,IF($GW58="","THERMAL - NOT SPECIFIED",$GW58)))</f>
        <v/>
      </c>
      <c r="CY58" s="54" t="str">
        <f>IF(CY28="","",IF(CY28&lt;&gt;"THERMAL",CY28,IF($GW58="","THERMAL - NOT SPECIFIED",$GW58)))</f>
        <v/>
      </c>
      <c r="CZ58" s="54" t="str">
        <f>IF(CZ28="","",IF(CZ28&lt;&gt;"THERMAL",CZ28,IF($GW58="","THERMAL - NOT SPECIFIED",$GW58)))</f>
        <v/>
      </c>
      <c r="DA58" s="54" t="str">
        <f>IF(DA28="","",IF(DA28&lt;&gt;"THERMAL",DA28,IF($GW58="","THERMAL - NOT SPECIFIED",$GW58)))</f>
        <v/>
      </c>
      <c r="DB58" s="54" t="str">
        <f>IF(DB28="","",IF(DB28&lt;&gt;"THERMAL",DB28,IF($GW58="","THERMAL - NOT SPECIFIED",$GW58)))</f>
        <v/>
      </c>
      <c r="DC58" s="54" t="str">
        <f>IF(DC28="","",IF(DC28&lt;&gt;"THERMAL",DC28,IF($GW58="","THERMAL - NOT SPECIFIED",$GW58)))</f>
        <v/>
      </c>
      <c r="DD58" s="54" t="str">
        <f>IF(DD28="","",IF(DD28&lt;&gt;"THERMAL",DD28,IF($GW58="","THERMAL - NOT SPECIFIED",$GW58)))</f>
        <v/>
      </c>
      <c r="DE58" s="54" t="str">
        <f>IF(DE28="","",IF(DE28&lt;&gt;"THERMAL",DE28,IF($GW58="","THERMAL - NOT SPECIFIED",$GW58)))</f>
        <v/>
      </c>
      <c r="DF58" s="54" t="str">
        <f>IF(DF28="","",IF(DF28&lt;&gt;"THERMAL",DF28,IF($GW58="","THERMAL - NOT SPECIFIED",$GW58)))</f>
        <v/>
      </c>
      <c r="DG58" s="54" t="str">
        <f>IF(DG28="","",IF(DG28&lt;&gt;"THERMAL",DG28,IF($GW58="","THERMAL - NOT SPECIFIED",$GW58)))</f>
        <v/>
      </c>
      <c r="DH58" s="54" t="str">
        <f>IF(DH28="","",IF(DH28&lt;&gt;"THERMAL",DH28,IF($GW58="","THERMAL - NOT SPECIFIED",$GW58)))</f>
        <v/>
      </c>
      <c r="DI58" s="54" t="str">
        <f>IF(DI28="","",IF(DI28&lt;&gt;"THERMAL",DI28,IF($GW58="","THERMAL - NOT SPECIFIED",$GW58)))</f>
        <v/>
      </c>
      <c r="DJ58" s="54" t="str">
        <f>IF(DJ28="","",IF(DJ28&lt;&gt;"THERMAL",DJ28,IF($GW58="","THERMAL - NOT SPECIFIED",$GW58)))</f>
        <v/>
      </c>
      <c r="DK58" s="54" t="str">
        <f>IF(DK28="","",IF(DK28&lt;&gt;"THERMAL",DK28,IF($GW58="","THERMAL - NOT SPECIFIED",$GW58)))</f>
        <v/>
      </c>
      <c r="DL58" s="54" t="str">
        <f>IF(DL28="","",IF(DL28&lt;&gt;"THERMAL",DL28,IF($GW58="","THERMAL - NOT SPECIFIED",$GW58)))</f>
        <v/>
      </c>
      <c r="DM58" s="54" t="str">
        <f>IF(DM28="","",IF(DM28&lt;&gt;"THERMAL",DM28,IF($GW58="","THERMAL - NOT SPECIFIED",$GW58)))</f>
        <v/>
      </c>
      <c r="DN58" s="54" t="str">
        <f>IF(DN28="","",IF(DN28&lt;&gt;"THERMAL",DN28,IF($GW58="","THERMAL - NOT SPECIFIED",$GW58)))</f>
        <v/>
      </c>
      <c r="DO58" s="54" t="str">
        <f>IF(DO28="","",IF(DO28&lt;&gt;"THERMAL",DO28,IF($GW58="","THERMAL - NOT SPECIFIED",$GW58)))</f>
        <v/>
      </c>
      <c r="DP58" s="54" t="str">
        <f>IF(DP28="","",IF(DP28&lt;&gt;"THERMAL",DP28,IF($GW58="","THERMAL - NOT SPECIFIED",$GW58)))</f>
        <v/>
      </c>
      <c r="DQ58" s="54" t="str">
        <f>IF(DQ28="","",IF(DQ28&lt;&gt;"THERMAL",DQ28,IF($GW58="","THERMAL - NOT SPECIFIED",$GW58)))</f>
        <v/>
      </c>
      <c r="DR58" s="54" t="str">
        <f>IF(DR28="","",IF(DR28&lt;&gt;"THERMAL",DR28,IF($GW58="","THERMAL - NOT SPECIFIED",$GW58)))</f>
        <v/>
      </c>
      <c r="DS58" s="54" t="str">
        <f>IF(DS28="","",IF(DS28&lt;&gt;"THERMAL",DS28,IF($GW58="","THERMAL - NOT SPECIFIED",$GW58)))</f>
        <v/>
      </c>
      <c r="DT58" s="54" t="str">
        <f>IF(DT28="","",IF(DT28&lt;&gt;"THERMAL",DT28,IF($GW58="","THERMAL - NOT SPECIFIED",$GW58)))</f>
        <v/>
      </c>
      <c r="DU58" s="54" t="str">
        <f>IF(DU28="","",IF(DU28&lt;&gt;"THERMAL",DU28,IF($GW58="","THERMAL - NOT SPECIFIED",$GW58)))</f>
        <v/>
      </c>
      <c r="DV58" s="54" t="str">
        <f>IF(DV28="","",IF(DV28&lt;&gt;"THERMAL",DV28,IF($GW58="","THERMAL - NOT SPECIFIED",$GW58)))</f>
        <v/>
      </c>
      <c r="DW58" s="54" t="str">
        <f>IF(DW28="","",IF(DW28&lt;&gt;"THERMAL",DW28,IF($GW58="","THERMAL - NOT SPECIFIED",$GW58)))</f>
        <v/>
      </c>
      <c r="DX58" s="54" t="str">
        <f>IF(DX28="","",IF(DX28&lt;&gt;"THERMAL",DX28,IF($GW58="","THERMAL - NOT SPECIFIED",$GW58)))</f>
        <v/>
      </c>
      <c r="DY58" s="54" t="str">
        <f>IF(DY28="","",IF(DY28&lt;&gt;"THERMAL",DY28,IF($GW58="","THERMAL - NOT SPECIFIED",$GW58)))</f>
        <v/>
      </c>
      <c r="DZ58" s="54" t="str">
        <f>IF(DZ28="","",IF(DZ28&lt;&gt;"THERMAL",DZ28,IF($GW58="","THERMAL - NOT SPECIFIED",$GW58)))</f>
        <v/>
      </c>
      <c r="EA58" s="54" t="str">
        <f>IF(EA28="","",IF(EA28&lt;&gt;"THERMAL",EA28,IF($GW58="","THERMAL - NOT SPECIFIED",$GW58)))</f>
        <v/>
      </c>
      <c r="EB58" s="54" t="str">
        <f>IF(EB28="","",IF(EB28&lt;&gt;"THERMAL",EB28,IF($GW58="","THERMAL - NOT SPECIFIED",$GW58)))</f>
        <v/>
      </c>
      <c r="EC58" s="54" t="str">
        <f>IF(EC28="","",IF(EC28&lt;&gt;"THERMAL",EC28,IF($GW58="","THERMAL - NOT SPECIFIED",$GW58)))</f>
        <v/>
      </c>
      <c r="ED58" s="54" t="str">
        <f>IF(ED28="","",IF(ED28&lt;&gt;"THERMAL",ED28,IF($GW58="","THERMAL - NOT SPECIFIED",$GW58)))</f>
        <v/>
      </c>
      <c r="EE58" s="54" t="str">
        <f>IF(EE28="","",IF(EE28&lt;&gt;"THERMAL",EE28,IF($GW58="","THERMAL - NOT SPECIFIED",$GW58)))</f>
        <v/>
      </c>
      <c r="EF58" s="54" t="str">
        <f>IF(EF28="","",IF(EF28&lt;&gt;"THERMAL",EF28,IF($GW58="","THERMAL - NOT SPECIFIED",$GW58)))</f>
        <v/>
      </c>
      <c r="EG58" s="54" t="str">
        <f>IF(EG28="","",IF(EG28&lt;&gt;"THERMAL",EG28,IF($GW58="","THERMAL - NOT SPECIFIED",$GW58)))</f>
        <v/>
      </c>
      <c r="EH58" s="54" t="str">
        <f>IF(EH28="","",IF(EH28&lt;&gt;"THERMAL",EH28,IF($GW58="","THERMAL - NOT SPECIFIED",$GW58)))</f>
        <v/>
      </c>
      <c r="EI58" s="54" t="str">
        <f>IF(EI28="","",IF(EI28&lt;&gt;"THERMAL",EI28,IF($GW58="","THERMAL - NOT SPECIFIED",$GW58)))</f>
        <v/>
      </c>
      <c r="EJ58" s="54" t="str">
        <f>IF(EJ28="","",IF(EJ28&lt;&gt;"THERMAL",EJ28,IF($GW58="","THERMAL - NOT SPECIFIED",$GW58)))</f>
        <v/>
      </c>
      <c r="EK58" s="54" t="str">
        <f>IF(EK28="","",IF(EK28&lt;&gt;"THERMAL",EK28,IF($GW58="","THERMAL - NOT SPECIFIED",$GW58)))</f>
        <v/>
      </c>
      <c r="EL58" s="54" t="str">
        <f>IF(EL28="","",IF(EL28&lt;&gt;"THERMAL",EL28,IF($GW58="","THERMAL - NOT SPECIFIED",$GW58)))</f>
        <v/>
      </c>
      <c r="EM58" s="54" t="str">
        <f>IF(EM28="","",IF(EM28&lt;&gt;"THERMAL",EM28,IF($GW58="","THERMAL - NOT SPECIFIED",$GW58)))</f>
        <v/>
      </c>
      <c r="EN58" s="54" t="str">
        <f>IF(EN28="","",IF(EN28&lt;&gt;"THERMAL",EN28,IF($GW58="","THERMAL - NOT SPECIFIED",$GW58)))</f>
        <v/>
      </c>
      <c r="EO58" s="54" t="str">
        <f>IF(EO28="","",IF(EO28&lt;&gt;"THERMAL",EO28,IF($GW58="","THERMAL - NOT SPECIFIED",$GW58)))</f>
        <v/>
      </c>
      <c r="EP58" s="54" t="str">
        <f>IF(EP28="","",IF(EP28&lt;&gt;"THERMAL",EP28,IF($GW58="","THERMAL - NOT SPECIFIED",$GW58)))</f>
        <v/>
      </c>
      <c r="EQ58" s="54" t="str">
        <f>IF(EQ28="","",IF(EQ28&lt;&gt;"THERMAL",EQ28,IF($GW58="","THERMAL - NOT SPECIFIED",$GW58)))</f>
        <v/>
      </c>
      <c r="ER58" s="54" t="str">
        <f>IF(ER28="","",IF(ER28&lt;&gt;"THERMAL",ER28,IF($GW58="","THERMAL - NOT SPECIFIED",$GW58)))</f>
        <v/>
      </c>
      <c r="ES58" s="54" t="str">
        <f>IF(ES28="","",IF(ES28&lt;&gt;"THERMAL",ES28,IF($GW58="","THERMAL - NOT SPECIFIED",$GW58)))</f>
        <v/>
      </c>
      <c r="ET58" s="54" t="str">
        <f>IF(ET28="","",IF(ET28&lt;&gt;"THERMAL",ET28,IF($GW58="","THERMAL - NOT SPECIFIED",$GW58)))</f>
        <v/>
      </c>
      <c r="EU58" s="54" t="str">
        <f>IF(EU28="","",IF(EU28&lt;&gt;"THERMAL",EU28,IF($GW58="","THERMAL - NOT SPECIFIED",$GW58)))</f>
        <v/>
      </c>
      <c r="EV58" s="54" t="str">
        <f>IF(EV28="","",IF(EV28&lt;&gt;"THERMAL",EV28,IF($GW58="","THERMAL - NOT SPECIFIED",$GW58)))</f>
        <v/>
      </c>
      <c r="EW58" s="54" t="str">
        <f>IF(EW28="","",IF(EW28&lt;&gt;"THERMAL",EW28,IF($GW58="","THERMAL - NOT SPECIFIED",$GW58)))</f>
        <v/>
      </c>
      <c r="EX58" s="54" t="str">
        <f>IF(EX28="","",IF(EX28&lt;&gt;"THERMAL",EX28,IF($GW58="","THERMAL - NOT SPECIFIED",$GW58)))</f>
        <v/>
      </c>
      <c r="EY58" s="54" t="str">
        <f>IF(EY28="","",IF(EY28&lt;&gt;"THERMAL",EY28,IF($GW58="","THERMAL - NOT SPECIFIED",$GW58)))</f>
        <v/>
      </c>
      <c r="EZ58" s="54" t="str">
        <f>IF(EZ28="","",IF(EZ28&lt;&gt;"THERMAL",EZ28,IF($GW58="","THERMAL - NOT SPECIFIED",$GW58)))</f>
        <v/>
      </c>
      <c r="FA58" s="54" t="str">
        <f>IF(FA28="","",IF(FA28&lt;&gt;"THERMAL",FA28,IF($GW58="","THERMAL - NOT SPECIFIED",$GW58)))</f>
        <v/>
      </c>
      <c r="FB58" s="54" t="str">
        <f>IF(FB28="","",IF(FB28&lt;&gt;"THERMAL",FB28,IF($GW58="","THERMAL - NOT SPECIFIED",$GW58)))</f>
        <v/>
      </c>
      <c r="FC58" s="54" t="str">
        <f>IF(FC28="","",IF(FC28&lt;&gt;"THERMAL",FC28,IF($GW58="","THERMAL - NOT SPECIFIED",$GW58)))</f>
        <v/>
      </c>
      <c r="FD58" s="54" t="str">
        <f>IF(FD28="","",IF(FD28&lt;&gt;"THERMAL",FD28,IF($GW58="","THERMAL - NOT SPECIFIED",$GW58)))</f>
        <v/>
      </c>
      <c r="FE58" s="54" t="str">
        <f>IF(FE28="","",IF(FE28&lt;&gt;"THERMAL",FE28,IF($GW58="","THERMAL - NOT SPECIFIED",$GW58)))</f>
        <v/>
      </c>
      <c r="FF58" s="54" t="str">
        <f>IF(FF28="","",IF(FF28&lt;&gt;"THERMAL",FF28,IF($GW58="","THERMAL - NOT SPECIFIED",$GW58)))</f>
        <v/>
      </c>
      <c r="FG58" s="54" t="str">
        <f>IF(FG28="","",IF(FG28&lt;&gt;"THERMAL",FG28,IF($GW58="","THERMAL - NOT SPECIFIED",$GW58)))</f>
        <v/>
      </c>
      <c r="FH58" s="54" t="str">
        <f>IF(FH28="","",IF(FH28&lt;&gt;"THERMAL",FH28,IF($GW58="","THERMAL - NOT SPECIFIED",$GW58)))</f>
        <v/>
      </c>
      <c r="FI58" s="54" t="str">
        <f>IF(FI28="","",IF(FI28&lt;&gt;"THERMAL",FI28,IF($GW58="","THERMAL - NOT SPECIFIED",$GW58)))</f>
        <v/>
      </c>
      <c r="FJ58" s="54" t="str">
        <f>IF(FJ28="","",IF(FJ28&lt;&gt;"THERMAL",FJ28,IF($GW58="","THERMAL - NOT SPECIFIED",$GW58)))</f>
        <v/>
      </c>
      <c r="FK58" s="54" t="str">
        <f>IF(FK28="","",IF(FK28&lt;&gt;"THERMAL",FK28,IF($GW58="","THERMAL - NOT SPECIFIED",$GW58)))</f>
        <v/>
      </c>
      <c r="FL58" s="54" t="str">
        <f>IF(FL28="","",IF(FL28&lt;&gt;"THERMAL",FL28,IF($GW58="","THERMAL - NOT SPECIFIED",$GW58)))</f>
        <v/>
      </c>
      <c r="FM58" s="54" t="str">
        <f>IF(FM28="","",IF(FM28&lt;&gt;"THERMAL",FM28,IF($GW58="","THERMAL - NOT SPECIFIED",$GW58)))</f>
        <v/>
      </c>
      <c r="FN58" s="54" t="str">
        <f>IF(FN28="","",IF(FN28&lt;&gt;"THERMAL",FN28,IF($GW58="","THERMAL - NOT SPECIFIED",$GW58)))</f>
        <v/>
      </c>
      <c r="FO58" s="54" t="str">
        <f>IF(FO28="","",IF(FO28&lt;&gt;"THERMAL",FO28,IF($GW58="","THERMAL - NOT SPECIFIED",$GW58)))</f>
        <v/>
      </c>
      <c r="FP58" s="54" t="str">
        <f>IF(FP28="","",IF(FP28&lt;&gt;"THERMAL",FP28,IF($GW58="","THERMAL - NOT SPECIFIED",$GW58)))</f>
        <v/>
      </c>
      <c r="FQ58" s="54" t="str">
        <f>IF(FQ28="","",IF(FQ28&lt;&gt;"THERMAL",FQ28,IF($GW58="","THERMAL - NOT SPECIFIED",$GW58)))</f>
        <v/>
      </c>
      <c r="FR58" s="54" t="str">
        <f>IF(FR28="","",IF(FR28&lt;&gt;"THERMAL",FR28,IF($GW58="","THERMAL - NOT SPECIFIED",$GW58)))</f>
        <v/>
      </c>
      <c r="FS58" s="54" t="str">
        <f>IF(FS28="","",IF(FS28&lt;&gt;"THERMAL",FS28,IF($GW58="","THERMAL - NOT SPECIFIED",$GW58)))</f>
        <v/>
      </c>
      <c r="FT58" s="54" t="str">
        <f>IF(FT28="","",IF(FT28&lt;&gt;"THERMAL",FT28,IF($GW58="","THERMAL - NOT SPECIFIED",$GW58)))</f>
        <v/>
      </c>
      <c r="FU58" s="54" t="str">
        <f>IF(FU28="","",IF(FU28&lt;&gt;"THERMAL",FU28,IF($GW58="","THERMAL - NOT SPECIFIED",$GW58)))</f>
        <v/>
      </c>
      <c r="FV58" s="54" t="str">
        <f>IF(FV28="","",IF(FV28&lt;&gt;"THERMAL",FV28,IF($GW58="","THERMAL - NOT SPECIFIED",$GW58)))</f>
        <v/>
      </c>
      <c r="FW58" s="54" t="str">
        <f>IF(FW28="","",IF(FW28&lt;&gt;"THERMAL",FW28,IF($GW58="","THERMAL - NOT SPECIFIED",$GW58)))</f>
        <v/>
      </c>
      <c r="FX58" s="54" t="str">
        <f>IF(FX28="","",IF(FX28&lt;&gt;"THERMAL",FX28,IF($GW58="","THERMAL - NOT SPECIFIED",$GW58)))</f>
        <v/>
      </c>
      <c r="FY58" s="54" t="str">
        <f>IF(FY28="","",IF(FY28&lt;&gt;"THERMAL",FY28,IF($GW58="","THERMAL - NOT SPECIFIED",$GW58)))</f>
        <v/>
      </c>
      <c r="FZ58" s="54" t="str">
        <f>IF(FZ28="","",IF(FZ28&lt;&gt;"THERMAL",FZ28,IF($GW58="","THERMAL - NOT SPECIFIED",$GW58)))</f>
        <v/>
      </c>
      <c r="GA58" s="54" t="str">
        <f>IF(GA28="","",IF(GA28&lt;&gt;"THERMAL",GA28,IF($GW58="","THERMAL - NOT SPECIFIED",$GW58)))</f>
        <v/>
      </c>
      <c r="GB58" s="54" t="str">
        <f>IF(GB28="","",IF(GB28&lt;&gt;"THERMAL",GB28,IF($GW58="","THERMAL - NOT SPECIFIED",$GW58)))</f>
        <v/>
      </c>
      <c r="GC58" s="54" t="str">
        <f>IF(GC28="","",IF(GC28&lt;&gt;"THERMAL",GC28,IF($GW58="","THERMAL - NOT SPECIFIED",$GW58)))</f>
        <v/>
      </c>
      <c r="GD58" s="54" t="str">
        <f>IF(GD28="","",IF(GD28&lt;&gt;"THERMAL",GD28,IF($GW58="","THERMAL - NOT SPECIFIED",$GW58)))</f>
        <v/>
      </c>
      <c r="GE58" s="54" t="str">
        <f>IF(GE28="","",IF(GE28&lt;&gt;"THERMAL",GE28,IF($GW58="","THERMAL - NOT SPECIFIED",$GW58)))</f>
        <v/>
      </c>
      <c r="GF58" s="54" t="str">
        <f>IF(GF28="","",IF(GF28&lt;&gt;"THERMAL",GF28,IF($GW58="","THERMAL - NOT SPECIFIED",$GW58)))</f>
        <v/>
      </c>
      <c r="GG58" s="54" t="str">
        <f>IF(GG28="","",IF(GG28&lt;&gt;"THERMAL",GG28,IF($GW58="","THERMAL - NOT SPECIFIED",$GW58)))</f>
        <v/>
      </c>
      <c r="GH58" s="54" t="str">
        <f>IF(GH28="","",IF(GH28&lt;&gt;"THERMAL",GH28,IF($GW58="","THERMAL - NOT SPECIFIED",$GW58)))</f>
        <v/>
      </c>
      <c r="GI58" s="54" t="str">
        <f>IF(GI28="","",IF(GI28&lt;&gt;"THERMAL",GI28,IF($GW58="","THERMAL - NOT SPECIFIED",$GW58)))</f>
        <v/>
      </c>
      <c r="GJ58" s="54" t="str">
        <f>IF(GJ28="","",IF(GJ28&lt;&gt;"THERMAL",GJ28,IF($GW58="","THERMAL - NOT SPECIFIED",$GW58)))</f>
        <v/>
      </c>
      <c r="GK58" s="54" t="str">
        <f>IF(GK28="","",IF(GK28&lt;&gt;"THERMAL",GK28,IF($GW58="","THERMAL - NOT SPECIFIED",$GW58)))</f>
        <v/>
      </c>
      <c r="GL58" s="54" t="str">
        <f>IF(GL28="","",IF(GL28&lt;&gt;"THERMAL",GL28,IF($GW58="","THERMAL - NOT SPECIFIED",$GW58)))</f>
        <v/>
      </c>
      <c r="GM58" s="54" t="str">
        <f>IF(GM28="","",IF(GM28&lt;&gt;"THERMAL",GM28,IF($GW58="","THERMAL - NOT SPECIFIED",$GW58)))</f>
        <v/>
      </c>
      <c r="GN58" s="54" t="str">
        <f>IF(GN28="","",IF(GN28&lt;&gt;"THERMAL",GN28,IF($GW58="","THERMAL - NOT SPECIFIED",$GW58)))</f>
        <v/>
      </c>
      <c r="GO58" s="54" t="str">
        <f>IF(GO28="","",IF(GO28&lt;&gt;"THERMAL",GO28,IF($GW58="","THERMAL - NOT SPECIFIED",$GW58)))</f>
        <v/>
      </c>
      <c r="GP58" s="54" t="str">
        <f>IF(GP28="","",IF(GP28&lt;&gt;"THERMAL",GP28,IF($GW58="","THERMAL - NOT SPECIFIED",$GW58)))</f>
        <v/>
      </c>
      <c r="GQ58" s="54" t="str">
        <f>IF(GQ28="","",IF(GQ28&lt;&gt;"THERMAL",GQ28,IF($GW58="","THERMAL - NOT SPECIFIED",$GW58)))</f>
        <v/>
      </c>
      <c r="GR58" s="54" t="str">
        <f>IF(GR28="","",IF(GR28&lt;&gt;"THERMAL",GR28,IF($GW58="","THERMAL - NOT SPECIFIED",$GW58)))</f>
        <v/>
      </c>
      <c r="GS58" s="54" t="str">
        <f>IF(GS28="","",IF(GS28&lt;&gt;"THERMAL",GS28,IF($GW58="","THERMAL - NOT SPECIFIED",$GW58)))</f>
        <v/>
      </c>
      <c r="GW58" s="55" t="str">
        <f>IF($GY58="","",IFERROR(INDEX('MC MAP'!$L$5:$L$28,MATCH($GY58,'MC MAP'!$K$5:$K$28,0)),$GY58))</f>
        <v/>
      </c>
      <c r="GY58" s="60"/>
    </row>
    <row r="59" spans="1:207">
      <c r="A59" s="2">
        <f>$A29</f>
        <v>24</v>
      </c>
      <c r="B59" s="54">
        <f>IF(B29="","",IF(B29&lt;&gt;"THERMAL",B29,IF($GW59="","THERMAL - NOT SPECIFIED",$GW59)))</f>
        <v>5520</v>
      </c>
      <c r="C59" s="54">
        <f>IF(C29="","",IF(C29&lt;&gt;"THERMAL",C29,IF($GW59="","THERMAL - NOT SPECIFIED",$GW59)))</f>
        <v>5520</v>
      </c>
      <c r="D59" s="54">
        <f>IF(D29="","",IF(D29&lt;&gt;"THERMAL",D29,IF($GW59="","THERMAL - NOT SPECIFIED",$GW59)))</f>
        <v>5520</v>
      </c>
      <c r="E59" s="54">
        <f>IF(E29="","",IF(E29&lt;&gt;"THERMAL",E29,IF($GW59="","THERMAL - NOT SPECIFIED",$GW59)))</f>
        <v>5520</v>
      </c>
      <c r="F59" s="54">
        <f>IF(F29="","",IF(F29&lt;&gt;"THERMAL",F29,IF($GW59="","THERMAL - NOT SPECIFIED",$GW59)))</f>
        <v>5520</v>
      </c>
      <c r="G59" s="54">
        <f>IF(G29="","",IF(G29&lt;&gt;"THERMAL",G29,IF($GW59="","THERMAL - NOT SPECIFIED",$GW59)))</f>
        <v>5520</v>
      </c>
      <c r="H59" s="54">
        <f>IF(H29="","",IF(H29&lt;&gt;"THERMAL",H29,IF($GW59="","THERMAL - NOT SPECIFIED",$GW59)))</f>
        <v>5520</v>
      </c>
      <c r="I59" s="54">
        <f>IF(I29="","",IF(I29&lt;&gt;"THERMAL",I29,IF($GW59="","THERMAL - NOT SPECIFIED",$GW59)))</f>
        <v>5520</v>
      </c>
      <c r="J59" s="54">
        <f>IF(J29="","",IF(J29&lt;&gt;"THERMAL",J29,IF($GW59="","THERMAL - NOT SPECIFIED",$GW59)))</f>
        <v>5520</v>
      </c>
      <c r="K59" s="54">
        <f>IF(K29="","",IF(K29&lt;&gt;"THERMAL",K29,IF($GW59="","THERMAL - NOT SPECIFIED",$GW59)))</f>
        <v>5520</v>
      </c>
      <c r="L59" s="54">
        <f>IF(L29="","",IF(L29&lt;&gt;"THERMAL",L29,IF($GW59="","THERMAL - NOT SPECIFIED",$GW59)))</f>
        <v>5520</v>
      </c>
      <c r="M59" s="54">
        <f>IF(M29="","",IF(M29&lt;&gt;"THERMAL",M29,IF($GW59="","THERMAL - NOT SPECIFIED",$GW59)))</f>
        <v>5520</v>
      </c>
      <c r="N59" s="54">
        <f>IF(N29="","",IF(N29&lt;&gt;"THERMAL",N29,IF($GW59="","THERMAL - NOT SPECIFIED",$GW59)))</f>
        <v>5520</v>
      </c>
      <c r="O59" s="54">
        <f>IF(O29="","",IF(O29&lt;&gt;"THERMAL",O29,IF($GW59="","THERMAL - NOT SPECIFIED",$GW59)))</f>
        <v>5520</v>
      </c>
      <c r="P59" s="54">
        <f>IF(P29="","",IF(P29&lt;&gt;"THERMAL",P29,IF($GW59="","THERMAL - NOT SPECIFIED",$GW59)))</f>
        <v>5520</v>
      </c>
      <c r="Q59" s="54">
        <f>IF(Q29="","",IF(Q29&lt;&gt;"THERMAL",Q29,IF($GW59="","THERMAL - NOT SPECIFIED",$GW59)))</f>
        <v>5520</v>
      </c>
      <c r="R59" s="54">
        <f>IF(R29="","",IF(R29&lt;&gt;"THERMAL",R29,IF($GW59="","THERMAL - NOT SPECIFIED",$GW59)))</f>
        <v>5520</v>
      </c>
      <c r="S59" s="54">
        <f>IF(S29="","",IF(S29&lt;&gt;"THERMAL",S29,IF($GW59="","THERMAL - NOT SPECIFIED",$GW59)))</f>
        <v>5520</v>
      </c>
      <c r="T59" s="54">
        <f>IF(T29="","",IF(T29&lt;&gt;"THERMAL",T29,IF($GW59="","THERMAL - NOT SPECIFIED",$GW59)))</f>
        <v>5520</v>
      </c>
      <c r="U59" s="54">
        <f>IF(U29="","",IF(U29&lt;&gt;"THERMAL",U29,IF($GW59="","THERMAL - NOT SPECIFIED",$GW59)))</f>
        <v>5520</v>
      </c>
      <c r="V59" s="54">
        <f>IF(V29="","",IF(V29&lt;&gt;"THERMAL",V29,IF($GW59="","THERMAL - NOT SPECIFIED",$GW59)))</f>
        <v>5520</v>
      </c>
      <c r="W59" s="54">
        <f>IF(W29="","",IF(W29&lt;&gt;"THERMAL",W29,IF($GW59="","THERMAL - NOT SPECIFIED",$GW59)))</f>
        <v>5520</v>
      </c>
      <c r="X59" s="54">
        <f>IF(X29="","",IF(X29&lt;&gt;"THERMAL",X29,IF($GW59="","THERMAL - NOT SPECIFIED",$GW59)))</f>
        <v>5520</v>
      </c>
      <c r="Y59" s="54">
        <f>IF(Y29="","",IF(Y29&lt;&gt;"THERMAL",Y29,IF($GW59="","THERMAL - NOT SPECIFIED",$GW59)))</f>
        <v>5520</v>
      </c>
      <c r="Z59" s="54">
        <f>IF(Z29="","",IF(Z29&lt;&gt;"THERMAL",Z29,IF($GW59="","THERMAL - NOT SPECIFIED",$GW59)))</f>
        <v>5520</v>
      </c>
      <c r="AA59" s="54">
        <f>IF(AA29="","",IF(AA29&lt;&gt;"THERMAL",AA29,IF($GW59="","THERMAL - NOT SPECIFIED",$GW59)))</f>
        <v>5520</v>
      </c>
      <c r="AB59" s="54">
        <f>IF(AB29="","",IF(AB29&lt;&gt;"THERMAL",AB29,IF($GW59="","THERMAL - NOT SPECIFIED",$GW59)))</f>
        <v>5520</v>
      </c>
      <c r="AC59" s="54">
        <f>IF(AC29="","",IF(AC29&lt;&gt;"THERMAL",AC29,IF($GW59="","THERMAL - NOT SPECIFIED",$GW59)))</f>
        <v>5520</v>
      </c>
      <c r="AD59" s="54">
        <f>IF(AD29="","",IF(AD29&lt;&gt;"THERMAL",AD29,IF($GW59="","THERMAL - NOT SPECIFIED",$GW59)))</f>
        <v>5520</v>
      </c>
      <c r="AE59" s="54">
        <f>IF(AE29="","",IF(AE29&lt;&gt;"THERMAL",AE29,IF($GW59="","THERMAL - NOT SPECIFIED",$GW59)))</f>
        <v>5520</v>
      </c>
      <c r="AF59" s="54">
        <f>IF(AF29="","",IF(AF29&lt;&gt;"THERMAL",AF29,IF($GW59="","THERMAL - NOT SPECIFIED",$GW59)))</f>
        <v>5520</v>
      </c>
      <c r="AG59" s="54">
        <f>IF(AG29="","",IF(AG29&lt;&gt;"THERMAL",AG29,IF($GW59="","THERMAL - NOT SPECIFIED",$GW59)))</f>
        <v>5520</v>
      </c>
      <c r="AH59" s="54">
        <f>IF(AH29="","",IF(AH29&lt;&gt;"THERMAL",AH29,IF($GW59="","THERMAL - NOT SPECIFIED",$GW59)))</f>
        <v>5520</v>
      </c>
      <c r="AI59" s="54">
        <f>IF(AI29="","",IF(AI29&lt;&gt;"THERMAL",AI29,IF($GW59="","THERMAL - NOT SPECIFIED",$GW59)))</f>
        <v>5520</v>
      </c>
      <c r="AJ59" s="54">
        <f>IF(AJ29="","",IF(AJ29&lt;&gt;"THERMAL",AJ29,IF($GW59="","THERMAL - NOT SPECIFIED",$GW59)))</f>
        <v>5520</v>
      </c>
      <c r="AK59" s="54">
        <f>IF(AK29="","",IF(AK29&lt;&gt;"THERMAL",AK29,IF($GW59="","THERMAL - NOT SPECIFIED",$GW59)))</f>
        <v>5520</v>
      </c>
      <c r="AL59" s="54">
        <f>IF(AL29="","",IF(AL29&lt;&gt;"THERMAL",AL29,IF($GW59="","THERMAL - NOT SPECIFIED",$GW59)))</f>
        <v>5520</v>
      </c>
      <c r="AM59" s="54">
        <f>IF(AM29="","",IF(AM29&lt;&gt;"THERMAL",AM29,IF($GW59="","THERMAL - NOT SPECIFIED",$GW59)))</f>
        <v>5520</v>
      </c>
      <c r="AN59" s="54">
        <f>IF(AN29="","",IF(AN29&lt;&gt;"THERMAL",AN29,IF($GW59="","THERMAL - NOT SPECIFIED",$GW59)))</f>
        <v>5520</v>
      </c>
      <c r="AO59" s="54">
        <f>IF(AO29="","",IF(AO29&lt;&gt;"THERMAL",AO29,IF($GW59="","THERMAL - NOT SPECIFIED",$GW59)))</f>
        <v>5520</v>
      </c>
      <c r="AP59" s="54">
        <f>IF(AP29="","",IF(AP29&lt;&gt;"THERMAL",AP29,IF($GW59="","THERMAL - NOT SPECIFIED",$GW59)))</f>
        <v>5520</v>
      </c>
      <c r="AQ59" s="54">
        <f>IF(AQ29="","",IF(AQ29&lt;&gt;"THERMAL",AQ29,IF($GW59="","THERMAL - NOT SPECIFIED",$GW59)))</f>
        <v>5520</v>
      </c>
      <c r="AR59" s="54">
        <f>IF(AR29="","",IF(AR29&lt;&gt;"THERMAL",AR29,IF($GW59="","THERMAL - NOT SPECIFIED",$GW59)))</f>
        <v>5520</v>
      </c>
      <c r="AS59" s="54">
        <f>IF(AS29="","",IF(AS29&lt;&gt;"THERMAL",AS29,IF($GW59="","THERMAL - NOT SPECIFIED",$GW59)))</f>
        <v>5520</v>
      </c>
      <c r="AT59" s="54">
        <f>IF(AT29="","",IF(AT29&lt;&gt;"THERMAL",AT29,IF($GW59="","THERMAL - NOT SPECIFIED",$GW59)))</f>
        <v>5520</v>
      </c>
      <c r="AU59" s="54">
        <f>IF(AU29="","",IF(AU29&lt;&gt;"THERMAL",AU29,IF($GW59="","THERMAL - NOT SPECIFIED",$GW59)))</f>
        <v>5520</v>
      </c>
      <c r="AV59" s="54">
        <f>IF(AV29="","",IF(AV29&lt;&gt;"THERMAL",AV29,IF($GW59="","THERMAL - NOT SPECIFIED",$GW59)))</f>
        <v>5520</v>
      </c>
      <c r="AW59" s="54">
        <f>IF(AW29="","",IF(AW29&lt;&gt;"THERMAL",AW29,IF($GW59="","THERMAL - NOT SPECIFIED",$GW59)))</f>
        <v>5520</v>
      </c>
      <c r="AX59" s="54">
        <f>IF(AX29="","",IF(AX29&lt;&gt;"THERMAL",AX29,IF($GW59="","THERMAL - NOT SPECIFIED",$GW59)))</f>
        <v>5520</v>
      </c>
      <c r="AY59" s="54">
        <f>IF(AY29="","",IF(AY29&lt;&gt;"THERMAL",AY29,IF($GW59="","THERMAL - NOT SPECIFIED",$GW59)))</f>
        <v>5520</v>
      </c>
      <c r="AZ59" s="54">
        <f>IF(AZ29="","",IF(AZ29&lt;&gt;"THERMAL",AZ29,IF($GW59="","THERMAL - NOT SPECIFIED",$GW59)))</f>
        <v>5520</v>
      </c>
      <c r="BA59" s="54">
        <f>IF(BA29="","",IF(BA29&lt;&gt;"THERMAL",BA29,IF($GW59="","THERMAL - NOT SPECIFIED",$GW59)))</f>
        <v>5520</v>
      </c>
      <c r="BB59" s="54">
        <f>IF(BB29="","",IF(BB29&lt;&gt;"THERMAL",BB29,IF($GW59="","THERMAL - NOT SPECIFIED",$GW59)))</f>
        <v>5520</v>
      </c>
      <c r="BC59" s="54">
        <f>IF(BC29="","",IF(BC29&lt;&gt;"THERMAL",BC29,IF($GW59="","THERMAL - NOT SPECIFIED",$GW59)))</f>
        <v>5520</v>
      </c>
      <c r="BD59" s="54">
        <f>IF(BD29="","",IF(BD29&lt;&gt;"THERMAL",BD29,IF($GW59="","THERMAL - NOT SPECIFIED",$GW59)))</f>
        <v>5520</v>
      </c>
      <c r="BE59" s="54">
        <f>IF(BE29="","",IF(BE29&lt;&gt;"THERMAL",BE29,IF($GW59="","THERMAL - NOT SPECIFIED",$GW59)))</f>
        <v>5520</v>
      </c>
      <c r="BF59" s="54">
        <f>IF(BF29="","",IF(BF29&lt;&gt;"THERMAL",BF29,IF($GW59="","THERMAL - NOT SPECIFIED",$GW59)))</f>
        <v>5520</v>
      </c>
      <c r="BG59" s="54">
        <f>IF(BG29="","",IF(BG29&lt;&gt;"THERMAL",BG29,IF($GW59="","THERMAL - NOT SPECIFIED",$GW59)))</f>
        <v>5520</v>
      </c>
      <c r="BH59" s="54">
        <f>IF(BH29="","",IF(BH29&lt;&gt;"THERMAL",BH29,IF($GW59="","THERMAL - NOT SPECIFIED",$GW59)))</f>
        <v>5520</v>
      </c>
      <c r="BI59" s="54">
        <f>IF(BI29="","",IF(BI29&lt;&gt;"THERMAL",BI29,IF($GW59="","THERMAL - NOT SPECIFIED",$GW59)))</f>
        <v>5520</v>
      </c>
      <c r="BJ59" s="54">
        <f>IF(BJ29="","",IF(BJ29&lt;&gt;"THERMAL",BJ29,IF($GW59="","THERMAL - NOT SPECIFIED",$GW59)))</f>
        <v>5520</v>
      </c>
      <c r="BK59" s="54">
        <f>IF(BK29="","",IF(BK29&lt;&gt;"THERMAL",BK29,IF($GW59="","THERMAL - NOT SPECIFIED",$GW59)))</f>
        <v>5520</v>
      </c>
      <c r="BL59" s="54">
        <f>IF(BL29="","",IF(BL29&lt;&gt;"THERMAL",BL29,IF($GW59="","THERMAL - NOT SPECIFIED",$GW59)))</f>
        <v>5520</v>
      </c>
      <c r="BM59" s="54">
        <f>IF(BM29="","",IF(BM29&lt;&gt;"THERMAL",BM29,IF($GW59="","THERMAL - NOT SPECIFIED",$GW59)))</f>
        <v>5520</v>
      </c>
      <c r="BN59" s="54">
        <f>IF(BN29="","",IF(BN29&lt;&gt;"THERMAL",BN29,IF($GW59="","THERMAL - NOT SPECIFIED",$GW59)))</f>
        <v>5520</v>
      </c>
      <c r="BO59" s="54">
        <f>IF(BO29="","",IF(BO29&lt;&gt;"THERMAL",BO29,IF($GW59="","THERMAL - NOT SPECIFIED",$GW59)))</f>
        <v>5520</v>
      </c>
      <c r="BP59" s="54">
        <f>IF(BP29="","",IF(BP29&lt;&gt;"THERMAL",BP29,IF($GW59="","THERMAL - NOT SPECIFIED",$GW59)))</f>
        <v>5520</v>
      </c>
      <c r="BQ59" s="54">
        <f>IF(BQ29="","",IF(BQ29&lt;&gt;"THERMAL",BQ29,IF($GW59="","THERMAL - NOT SPECIFIED",$GW59)))</f>
        <v>5520</v>
      </c>
      <c r="BR59" s="54">
        <f>IF(BR29="","",IF(BR29&lt;&gt;"THERMAL",BR29,IF($GW59="","THERMAL - NOT SPECIFIED",$GW59)))</f>
        <v>5520</v>
      </c>
      <c r="BS59" s="54">
        <f>IF(BS29="","",IF(BS29&lt;&gt;"THERMAL",BS29,IF($GW59="","THERMAL - NOT SPECIFIED",$GW59)))</f>
        <v>5520</v>
      </c>
      <c r="BT59" s="54" t="str">
        <f>IF(BT29="","",IF(BT29&lt;&gt;"THERMAL",BT29,IF($GW59="","THERMAL - NOT SPECIFIED",$GW59)))</f>
        <v>VACCANT</v>
      </c>
      <c r="BU59" s="54" t="str">
        <f>IF(BU29="","",IF(BU29&lt;&gt;"THERMAL",BU29,IF($GW59="","THERMAL - NOT SPECIFIED",$GW59)))</f>
        <v/>
      </c>
      <c r="BV59" s="54" t="str">
        <f>IF(BV29="","",IF(BV29&lt;&gt;"THERMAL",BV29,IF($GW59="","THERMAL - NOT SPECIFIED",$GW59)))</f>
        <v/>
      </c>
      <c r="BW59" s="54" t="str">
        <f>IF(BW29="","",IF(BW29&lt;&gt;"THERMAL",BW29,IF($GW59="","THERMAL - NOT SPECIFIED",$GW59)))</f>
        <v/>
      </c>
      <c r="BX59" s="54" t="str">
        <f>IF(BX29="","",IF(BX29&lt;&gt;"THERMAL",BX29,IF($GW59="","THERMAL - NOT SPECIFIED",$GW59)))</f>
        <v/>
      </c>
      <c r="BY59" s="54" t="str">
        <f>IF(BY29="","",IF(BY29&lt;&gt;"THERMAL",BY29,IF($GW59="","THERMAL - NOT SPECIFIED",$GW59)))</f>
        <v/>
      </c>
      <c r="BZ59" s="54" t="str">
        <f>IF(BZ29="","",IF(BZ29&lt;&gt;"THERMAL",BZ29,IF($GW59="","THERMAL - NOT SPECIFIED",$GW59)))</f>
        <v/>
      </c>
      <c r="CA59" s="54" t="str">
        <f>IF(CA29="","",IF(CA29&lt;&gt;"THERMAL",CA29,IF($GW59="","THERMAL - NOT SPECIFIED",$GW59)))</f>
        <v/>
      </c>
      <c r="CB59" s="54" t="str">
        <f>IF(CB29="","",IF(CB29&lt;&gt;"THERMAL",CB29,IF($GW59="","THERMAL - NOT SPECIFIED",$GW59)))</f>
        <v/>
      </c>
      <c r="CC59" s="54" t="str">
        <f>IF(CC29="","",IF(CC29&lt;&gt;"THERMAL",CC29,IF($GW59="","THERMAL - NOT SPECIFIED",$GW59)))</f>
        <v/>
      </c>
      <c r="CD59" s="54" t="str">
        <f>IF(CD29="","",IF(CD29&lt;&gt;"THERMAL",CD29,IF($GW59="","THERMAL - NOT SPECIFIED",$GW59)))</f>
        <v/>
      </c>
      <c r="CE59" s="54" t="str">
        <f>IF(CE29="","",IF(CE29&lt;&gt;"THERMAL",CE29,IF($GW59="","THERMAL - NOT SPECIFIED",$GW59)))</f>
        <v/>
      </c>
      <c r="CF59" s="54" t="str">
        <f>IF(CF29="","",IF(CF29&lt;&gt;"THERMAL",CF29,IF($GW59="","THERMAL - NOT SPECIFIED",$GW59)))</f>
        <v/>
      </c>
      <c r="CG59" s="54" t="str">
        <f>IF(CG29="","",IF(CG29&lt;&gt;"THERMAL",CG29,IF($GW59="","THERMAL - NOT SPECIFIED",$GW59)))</f>
        <v/>
      </c>
      <c r="CH59" s="54" t="str">
        <f>IF(CH29="","",IF(CH29&lt;&gt;"THERMAL",CH29,IF($GW59="","THERMAL - NOT SPECIFIED",$GW59)))</f>
        <v/>
      </c>
      <c r="CI59" s="54" t="str">
        <f>IF(CI29="","",IF(CI29&lt;&gt;"THERMAL",CI29,IF($GW59="","THERMAL - NOT SPECIFIED",$GW59)))</f>
        <v/>
      </c>
      <c r="CJ59" s="54" t="str">
        <f>IF(CJ29="","",IF(CJ29&lt;&gt;"THERMAL",CJ29,IF($GW59="","THERMAL - NOT SPECIFIED",$GW59)))</f>
        <v/>
      </c>
      <c r="CK59" s="54" t="str">
        <f>IF(CK29="","",IF(CK29&lt;&gt;"THERMAL",CK29,IF($GW59="","THERMAL - NOT SPECIFIED",$GW59)))</f>
        <v/>
      </c>
      <c r="CL59" s="54" t="str">
        <f>IF(CL29="","",IF(CL29&lt;&gt;"THERMAL",CL29,IF($GW59="","THERMAL - NOT SPECIFIED",$GW59)))</f>
        <v/>
      </c>
      <c r="CM59" s="54" t="str">
        <f>IF(CM29="","",IF(CM29&lt;&gt;"THERMAL",CM29,IF($GW59="","THERMAL - NOT SPECIFIED",$GW59)))</f>
        <v/>
      </c>
      <c r="CN59" s="54" t="str">
        <f>IF(CN29="","",IF(CN29&lt;&gt;"THERMAL",CN29,IF($GW59="","THERMAL - NOT SPECIFIED",$GW59)))</f>
        <v/>
      </c>
      <c r="CO59" s="54" t="str">
        <f>IF(CO29="","",IF(CO29&lt;&gt;"THERMAL",CO29,IF($GW59="","THERMAL - NOT SPECIFIED",$GW59)))</f>
        <v/>
      </c>
      <c r="CP59" s="54" t="str">
        <f>IF(CP29="","",IF(CP29&lt;&gt;"THERMAL",CP29,IF($GW59="","THERMAL - NOT SPECIFIED",$GW59)))</f>
        <v/>
      </c>
      <c r="CQ59" s="54" t="str">
        <f>IF(CQ29="","",IF(CQ29&lt;&gt;"THERMAL",CQ29,IF($GW59="","THERMAL - NOT SPECIFIED",$GW59)))</f>
        <v/>
      </c>
      <c r="CR59" s="54" t="str">
        <f>IF(CR29="","",IF(CR29&lt;&gt;"THERMAL",CR29,IF($GW59="","THERMAL - NOT SPECIFIED",$GW59)))</f>
        <v/>
      </c>
      <c r="CS59" s="54" t="str">
        <f>IF(CS29="","",IF(CS29&lt;&gt;"THERMAL",CS29,IF($GW59="","THERMAL - NOT SPECIFIED",$GW59)))</f>
        <v/>
      </c>
      <c r="CT59" s="54" t="str">
        <f>IF(CT29="","",IF(CT29&lt;&gt;"THERMAL",CT29,IF($GW59="","THERMAL - NOT SPECIFIED",$GW59)))</f>
        <v/>
      </c>
      <c r="CU59" s="54" t="str">
        <f>IF(CU29="","",IF(CU29&lt;&gt;"THERMAL",CU29,IF($GW59="","THERMAL - NOT SPECIFIED",$GW59)))</f>
        <v/>
      </c>
      <c r="CV59" s="54" t="str">
        <f>IF(CV29="","",IF(CV29&lt;&gt;"THERMAL",CV29,IF($GW59="","THERMAL - NOT SPECIFIED",$GW59)))</f>
        <v/>
      </c>
      <c r="CW59" s="54" t="str">
        <f>IF(CW29="","",IF(CW29&lt;&gt;"THERMAL",CW29,IF($GW59="","THERMAL - NOT SPECIFIED",$GW59)))</f>
        <v/>
      </c>
      <c r="CX59" s="54" t="str">
        <f>IF(CX29="","",IF(CX29&lt;&gt;"THERMAL",CX29,IF($GW59="","THERMAL - NOT SPECIFIED",$GW59)))</f>
        <v/>
      </c>
      <c r="CY59" s="54" t="str">
        <f>IF(CY29="","",IF(CY29&lt;&gt;"THERMAL",CY29,IF($GW59="","THERMAL - NOT SPECIFIED",$GW59)))</f>
        <v/>
      </c>
      <c r="CZ59" s="54" t="str">
        <f>IF(CZ29="","",IF(CZ29&lt;&gt;"THERMAL",CZ29,IF($GW59="","THERMAL - NOT SPECIFIED",$GW59)))</f>
        <v/>
      </c>
      <c r="DA59" s="54" t="str">
        <f>IF(DA29="","",IF(DA29&lt;&gt;"THERMAL",DA29,IF($GW59="","THERMAL - NOT SPECIFIED",$GW59)))</f>
        <v/>
      </c>
      <c r="DB59" s="54" t="str">
        <f>IF(DB29="","",IF(DB29&lt;&gt;"THERMAL",DB29,IF($GW59="","THERMAL - NOT SPECIFIED",$GW59)))</f>
        <v/>
      </c>
      <c r="DC59" s="54" t="str">
        <f>IF(DC29="","",IF(DC29&lt;&gt;"THERMAL",DC29,IF($GW59="","THERMAL - NOT SPECIFIED",$GW59)))</f>
        <v/>
      </c>
      <c r="DD59" s="54" t="str">
        <f>IF(DD29="","",IF(DD29&lt;&gt;"THERMAL",DD29,IF($GW59="","THERMAL - NOT SPECIFIED",$GW59)))</f>
        <v/>
      </c>
      <c r="DE59" s="54" t="str">
        <f>IF(DE29="","",IF(DE29&lt;&gt;"THERMAL",DE29,IF($GW59="","THERMAL - NOT SPECIFIED",$GW59)))</f>
        <v/>
      </c>
      <c r="DF59" s="54" t="str">
        <f>IF(DF29="","",IF(DF29&lt;&gt;"THERMAL",DF29,IF($GW59="","THERMAL - NOT SPECIFIED",$GW59)))</f>
        <v/>
      </c>
      <c r="DG59" s="54" t="str">
        <f>IF(DG29="","",IF(DG29&lt;&gt;"THERMAL",DG29,IF($GW59="","THERMAL - NOT SPECIFIED",$GW59)))</f>
        <v/>
      </c>
      <c r="DH59" s="54" t="str">
        <f>IF(DH29="","",IF(DH29&lt;&gt;"THERMAL",DH29,IF($GW59="","THERMAL - NOT SPECIFIED",$GW59)))</f>
        <v/>
      </c>
      <c r="DI59" s="54" t="str">
        <f>IF(DI29="","",IF(DI29&lt;&gt;"THERMAL",DI29,IF($GW59="","THERMAL - NOT SPECIFIED",$GW59)))</f>
        <v/>
      </c>
      <c r="DJ59" s="54" t="str">
        <f>IF(DJ29="","",IF(DJ29&lt;&gt;"THERMAL",DJ29,IF($GW59="","THERMAL - NOT SPECIFIED",$GW59)))</f>
        <v/>
      </c>
      <c r="DK59" s="54" t="str">
        <f>IF(DK29="","",IF(DK29&lt;&gt;"THERMAL",DK29,IF($GW59="","THERMAL - NOT SPECIFIED",$GW59)))</f>
        <v/>
      </c>
      <c r="DL59" s="54" t="str">
        <f>IF(DL29="","",IF(DL29&lt;&gt;"THERMAL",DL29,IF($GW59="","THERMAL - NOT SPECIFIED",$GW59)))</f>
        <v/>
      </c>
      <c r="DM59" s="54" t="str">
        <f>IF(DM29="","",IF(DM29&lt;&gt;"THERMAL",DM29,IF($GW59="","THERMAL - NOT SPECIFIED",$GW59)))</f>
        <v/>
      </c>
      <c r="DN59" s="54" t="str">
        <f>IF(DN29="","",IF(DN29&lt;&gt;"THERMAL",DN29,IF($GW59="","THERMAL - NOT SPECIFIED",$GW59)))</f>
        <v/>
      </c>
      <c r="DO59" s="54" t="str">
        <f>IF(DO29="","",IF(DO29&lt;&gt;"THERMAL",DO29,IF($GW59="","THERMAL - NOT SPECIFIED",$GW59)))</f>
        <v/>
      </c>
      <c r="DP59" s="54" t="str">
        <f>IF(DP29="","",IF(DP29&lt;&gt;"THERMAL",DP29,IF($GW59="","THERMAL - NOT SPECIFIED",$GW59)))</f>
        <v/>
      </c>
      <c r="DQ59" s="54" t="str">
        <f>IF(DQ29="","",IF(DQ29&lt;&gt;"THERMAL",DQ29,IF($GW59="","THERMAL - NOT SPECIFIED",$GW59)))</f>
        <v/>
      </c>
      <c r="DR59" s="54" t="str">
        <f>IF(DR29="","",IF(DR29&lt;&gt;"THERMAL",DR29,IF($GW59="","THERMAL - NOT SPECIFIED",$GW59)))</f>
        <v/>
      </c>
      <c r="DS59" s="54" t="str">
        <f>IF(DS29="","",IF(DS29&lt;&gt;"THERMAL",DS29,IF($GW59="","THERMAL - NOT SPECIFIED",$GW59)))</f>
        <v/>
      </c>
      <c r="DT59" s="54" t="str">
        <f>IF(DT29="","",IF(DT29&lt;&gt;"THERMAL",DT29,IF($GW59="","THERMAL - NOT SPECIFIED",$GW59)))</f>
        <v/>
      </c>
      <c r="DU59" s="54" t="str">
        <f>IF(DU29="","",IF(DU29&lt;&gt;"THERMAL",DU29,IF($GW59="","THERMAL - NOT SPECIFIED",$GW59)))</f>
        <v/>
      </c>
      <c r="DV59" s="54" t="str">
        <f>IF(DV29="","",IF(DV29&lt;&gt;"THERMAL",DV29,IF($GW59="","THERMAL - NOT SPECIFIED",$GW59)))</f>
        <v/>
      </c>
      <c r="DW59" s="54" t="str">
        <f>IF(DW29="","",IF(DW29&lt;&gt;"THERMAL",DW29,IF($GW59="","THERMAL - NOT SPECIFIED",$GW59)))</f>
        <v/>
      </c>
      <c r="DX59" s="54" t="str">
        <f>IF(DX29="","",IF(DX29&lt;&gt;"THERMAL",DX29,IF($GW59="","THERMAL - NOT SPECIFIED",$GW59)))</f>
        <v/>
      </c>
      <c r="DY59" s="54" t="str">
        <f>IF(DY29="","",IF(DY29&lt;&gt;"THERMAL",DY29,IF($GW59="","THERMAL - NOT SPECIFIED",$GW59)))</f>
        <v/>
      </c>
      <c r="DZ59" s="54" t="str">
        <f>IF(DZ29="","",IF(DZ29&lt;&gt;"THERMAL",DZ29,IF($GW59="","THERMAL - NOT SPECIFIED",$GW59)))</f>
        <v/>
      </c>
      <c r="EA59" s="54" t="str">
        <f>IF(EA29="","",IF(EA29&lt;&gt;"THERMAL",EA29,IF($GW59="","THERMAL - NOT SPECIFIED",$GW59)))</f>
        <v/>
      </c>
      <c r="EB59" s="54" t="str">
        <f>IF(EB29="","",IF(EB29&lt;&gt;"THERMAL",EB29,IF($GW59="","THERMAL - NOT SPECIFIED",$GW59)))</f>
        <v/>
      </c>
      <c r="EC59" s="54" t="str">
        <f>IF(EC29="","",IF(EC29&lt;&gt;"THERMAL",EC29,IF($GW59="","THERMAL - NOT SPECIFIED",$GW59)))</f>
        <v/>
      </c>
      <c r="ED59" s="54" t="str">
        <f>IF(ED29="","",IF(ED29&lt;&gt;"THERMAL",ED29,IF($GW59="","THERMAL - NOT SPECIFIED",$GW59)))</f>
        <v/>
      </c>
      <c r="EE59" s="54" t="str">
        <f>IF(EE29="","",IF(EE29&lt;&gt;"THERMAL",EE29,IF($GW59="","THERMAL - NOT SPECIFIED",$GW59)))</f>
        <v/>
      </c>
      <c r="EF59" s="54" t="str">
        <f>IF(EF29="","",IF(EF29&lt;&gt;"THERMAL",EF29,IF($GW59="","THERMAL - NOT SPECIFIED",$GW59)))</f>
        <v/>
      </c>
      <c r="EG59" s="54" t="str">
        <f>IF(EG29="","",IF(EG29&lt;&gt;"THERMAL",EG29,IF($GW59="","THERMAL - NOT SPECIFIED",$GW59)))</f>
        <v/>
      </c>
      <c r="EH59" s="54" t="str">
        <f>IF(EH29="","",IF(EH29&lt;&gt;"THERMAL",EH29,IF($GW59="","THERMAL - NOT SPECIFIED",$GW59)))</f>
        <v/>
      </c>
      <c r="EI59" s="54" t="str">
        <f>IF(EI29="","",IF(EI29&lt;&gt;"THERMAL",EI29,IF($GW59="","THERMAL - NOT SPECIFIED",$GW59)))</f>
        <v/>
      </c>
      <c r="EJ59" s="54" t="str">
        <f>IF(EJ29="","",IF(EJ29&lt;&gt;"THERMAL",EJ29,IF($GW59="","THERMAL - NOT SPECIFIED",$GW59)))</f>
        <v/>
      </c>
      <c r="EK59" s="54" t="str">
        <f>IF(EK29="","",IF(EK29&lt;&gt;"THERMAL",EK29,IF($GW59="","THERMAL - NOT SPECIFIED",$GW59)))</f>
        <v/>
      </c>
      <c r="EL59" s="54" t="str">
        <f>IF(EL29="","",IF(EL29&lt;&gt;"THERMAL",EL29,IF($GW59="","THERMAL - NOT SPECIFIED",$GW59)))</f>
        <v/>
      </c>
      <c r="EM59" s="54" t="str">
        <f>IF(EM29="","",IF(EM29&lt;&gt;"THERMAL",EM29,IF($GW59="","THERMAL - NOT SPECIFIED",$GW59)))</f>
        <v/>
      </c>
      <c r="EN59" s="54" t="str">
        <f>IF(EN29="","",IF(EN29&lt;&gt;"THERMAL",EN29,IF($GW59="","THERMAL - NOT SPECIFIED",$GW59)))</f>
        <v/>
      </c>
      <c r="EO59" s="54" t="str">
        <f>IF(EO29="","",IF(EO29&lt;&gt;"THERMAL",EO29,IF($GW59="","THERMAL - NOT SPECIFIED",$GW59)))</f>
        <v/>
      </c>
      <c r="EP59" s="54" t="str">
        <f>IF(EP29="","",IF(EP29&lt;&gt;"THERMAL",EP29,IF($GW59="","THERMAL - NOT SPECIFIED",$GW59)))</f>
        <v/>
      </c>
      <c r="EQ59" s="54" t="str">
        <f>IF(EQ29="","",IF(EQ29&lt;&gt;"THERMAL",EQ29,IF($GW59="","THERMAL - NOT SPECIFIED",$GW59)))</f>
        <v/>
      </c>
      <c r="ER59" s="54" t="str">
        <f>IF(ER29="","",IF(ER29&lt;&gt;"THERMAL",ER29,IF($GW59="","THERMAL - NOT SPECIFIED",$GW59)))</f>
        <v/>
      </c>
      <c r="ES59" s="54" t="str">
        <f>IF(ES29="","",IF(ES29&lt;&gt;"THERMAL",ES29,IF($GW59="","THERMAL - NOT SPECIFIED",$GW59)))</f>
        <v/>
      </c>
      <c r="ET59" s="54" t="str">
        <f>IF(ET29="","",IF(ET29&lt;&gt;"THERMAL",ET29,IF($GW59="","THERMAL - NOT SPECIFIED",$GW59)))</f>
        <v/>
      </c>
      <c r="EU59" s="54" t="str">
        <f>IF(EU29="","",IF(EU29&lt;&gt;"THERMAL",EU29,IF($GW59="","THERMAL - NOT SPECIFIED",$GW59)))</f>
        <v/>
      </c>
      <c r="EV59" s="54" t="str">
        <f>IF(EV29="","",IF(EV29&lt;&gt;"THERMAL",EV29,IF($GW59="","THERMAL - NOT SPECIFIED",$GW59)))</f>
        <v/>
      </c>
      <c r="EW59" s="54" t="str">
        <f>IF(EW29="","",IF(EW29&lt;&gt;"THERMAL",EW29,IF($GW59="","THERMAL - NOT SPECIFIED",$GW59)))</f>
        <v/>
      </c>
      <c r="EX59" s="54" t="str">
        <f>IF(EX29="","",IF(EX29&lt;&gt;"THERMAL",EX29,IF($GW59="","THERMAL - NOT SPECIFIED",$GW59)))</f>
        <v/>
      </c>
      <c r="EY59" s="54" t="str">
        <f>IF(EY29="","",IF(EY29&lt;&gt;"THERMAL",EY29,IF($GW59="","THERMAL - NOT SPECIFIED",$GW59)))</f>
        <v/>
      </c>
      <c r="EZ59" s="54" t="str">
        <f>IF(EZ29="","",IF(EZ29&lt;&gt;"THERMAL",EZ29,IF($GW59="","THERMAL - NOT SPECIFIED",$GW59)))</f>
        <v/>
      </c>
      <c r="FA59" s="54" t="str">
        <f>IF(FA29="","",IF(FA29&lt;&gt;"THERMAL",FA29,IF($GW59="","THERMAL - NOT SPECIFIED",$GW59)))</f>
        <v/>
      </c>
      <c r="FB59" s="54" t="str">
        <f>IF(FB29="","",IF(FB29&lt;&gt;"THERMAL",FB29,IF($GW59="","THERMAL - NOT SPECIFIED",$GW59)))</f>
        <v/>
      </c>
      <c r="FC59" s="54" t="str">
        <f>IF(FC29="","",IF(FC29&lt;&gt;"THERMAL",FC29,IF($GW59="","THERMAL - NOT SPECIFIED",$GW59)))</f>
        <v/>
      </c>
      <c r="FD59" s="54" t="str">
        <f>IF(FD29="","",IF(FD29&lt;&gt;"THERMAL",FD29,IF($GW59="","THERMAL - NOT SPECIFIED",$GW59)))</f>
        <v/>
      </c>
      <c r="FE59" s="54" t="str">
        <f>IF(FE29="","",IF(FE29&lt;&gt;"THERMAL",FE29,IF($GW59="","THERMAL - NOT SPECIFIED",$GW59)))</f>
        <v/>
      </c>
      <c r="FF59" s="54" t="str">
        <f>IF(FF29="","",IF(FF29&lt;&gt;"THERMAL",FF29,IF($GW59="","THERMAL - NOT SPECIFIED",$GW59)))</f>
        <v/>
      </c>
      <c r="FG59" s="54" t="str">
        <f>IF(FG29="","",IF(FG29&lt;&gt;"THERMAL",FG29,IF($GW59="","THERMAL - NOT SPECIFIED",$GW59)))</f>
        <v/>
      </c>
      <c r="FH59" s="54" t="str">
        <f>IF(FH29="","",IF(FH29&lt;&gt;"THERMAL",FH29,IF($GW59="","THERMAL - NOT SPECIFIED",$GW59)))</f>
        <v/>
      </c>
      <c r="FI59" s="54" t="str">
        <f>IF(FI29="","",IF(FI29&lt;&gt;"THERMAL",FI29,IF($GW59="","THERMAL - NOT SPECIFIED",$GW59)))</f>
        <v/>
      </c>
      <c r="FJ59" s="54" t="str">
        <f>IF(FJ29="","",IF(FJ29&lt;&gt;"THERMAL",FJ29,IF($GW59="","THERMAL - NOT SPECIFIED",$GW59)))</f>
        <v/>
      </c>
      <c r="FK59" s="54" t="str">
        <f>IF(FK29="","",IF(FK29&lt;&gt;"THERMAL",FK29,IF($GW59="","THERMAL - NOT SPECIFIED",$GW59)))</f>
        <v/>
      </c>
      <c r="FL59" s="54" t="str">
        <f>IF(FL29="","",IF(FL29&lt;&gt;"THERMAL",FL29,IF($GW59="","THERMAL - NOT SPECIFIED",$GW59)))</f>
        <v/>
      </c>
      <c r="FM59" s="54" t="str">
        <f>IF(FM29="","",IF(FM29&lt;&gt;"THERMAL",FM29,IF($GW59="","THERMAL - NOT SPECIFIED",$GW59)))</f>
        <v/>
      </c>
      <c r="FN59" s="54" t="str">
        <f>IF(FN29="","",IF(FN29&lt;&gt;"THERMAL",FN29,IF($GW59="","THERMAL - NOT SPECIFIED",$GW59)))</f>
        <v/>
      </c>
      <c r="FO59" s="54" t="str">
        <f>IF(FO29="","",IF(FO29&lt;&gt;"THERMAL",FO29,IF($GW59="","THERMAL - NOT SPECIFIED",$GW59)))</f>
        <v/>
      </c>
      <c r="FP59" s="54" t="str">
        <f>IF(FP29="","",IF(FP29&lt;&gt;"THERMAL",FP29,IF($GW59="","THERMAL - NOT SPECIFIED",$GW59)))</f>
        <v/>
      </c>
      <c r="FQ59" s="54" t="str">
        <f>IF(FQ29="","",IF(FQ29&lt;&gt;"THERMAL",FQ29,IF($GW59="","THERMAL - NOT SPECIFIED",$GW59)))</f>
        <v/>
      </c>
      <c r="FR59" s="54" t="str">
        <f>IF(FR29="","",IF(FR29&lt;&gt;"THERMAL",FR29,IF($GW59="","THERMAL - NOT SPECIFIED",$GW59)))</f>
        <v/>
      </c>
      <c r="FS59" s="54" t="str">
        <f>IF(FS29="","",IF(FS29&lt;&gt;"THERMAL",FS29,IF($GW59="","THERMAL - NOT SPECIFIED",$GW59)))</f>
        <v/>
      </c>
      <c r="FT59" s="54" t="str">
        <f>IF(FT29="","",IF(FT29&lt;&gt;"THERMAL",FT29,IF($GW59="","THERMAL - NOT SPECIFIED",$GW59)))</f>
        <v/>
      </c>
      <c r="FU59" s="54" t="str">
        <f>IF(FU29="","",IF(FU29&lt;&gt;"THERMAL",FU29,IF($GW59="","THERMAL - NOT SPECIFIED",$GW59)))</f>
        <v/>
      </c>
      <c r="FV59" s="54" t="str">
        <f>IF(FV29="","",IF(FV29&lt;&gt;"THERMAL",FV29,IF($GW59="","THERMAL - NOT SPECIFIED",$GW59)))</f>
        <v/>
      </c>
      <c r="FW59" s="54" t="str">
        <f>IF(FW29="","",IF(FW29&lt;&gt;"THERMAL",FW29,IF($GW59="","THERMAL - NOT SPECIFIED",$GW59)))</f>
        <v/>
      </c>
      <c r="FX59" s="54" t="str">
        <f>IF(FX29="","",IF(FX29&lt;&gt;"THERMAL",FX29,IF($GW59="","THERMAL - NOT SPECIFIED",$GW59)))</f>
        <v/>
      </c>
      <c r="FY59" s="54" t="str">
        <f>IF(FY29="","",IF(FY29&lt;&gt;"THERMAL",FY29,IF($GW59="","THERMAL - NOT SPECIFIED",$GW59)))</f>
        <v/>
      </c>
      <c r="FZ59" s="54" t="str">
        <f>IF(FZ29="","",IF(FZ29&lt;&gt;"THERMAL",FZ29,IF($GW59="","THERMAL - NOT SPECIFIED",$GW59)))</f>
        <v/>
      </c>
      <c r="GA59" s="54" t="str">
        <f>IF(GA29="","",IF(GA29&lt;&gt;"THERMAL",GA29,IF($GW59="","THERMAL - NOT SPECIFIED",$GW59)))</f>
        <v/>
      </c>
      <c r="GB59" s="54" t="str">
        <f>IF(GB29="","",IF(GB29&lt;&gt;"THERMAL",GB29,IF($GW59="","THERMAL - NOT SPECIFIED",$GW59)))</f>
        <v/>
      </c>
      <c r="GC59" s="54" t="str">
        <f>IF(GC29="","",IF(GC29&lt;&gt;"THERMAL",GC29,IF($GW59="","THERMAL - NOT SPECIFIED",$GW59)))</f>
        <v/>
      </c>
      <c r="GD59" s="54" t="str">
        <f>IF(GD29="","",IF(GD29&lt;&gt;"THERMAL",GD29,IF($GW59="","THERMAL - NOT SPECIFIED",$GW59)))</f>
        <v/>
      </c>
      <c r="GE59" s="54" t="str">
        <f>IF(GE29="","",IF(GE29&lt;&gt;"THERMAL",GE29,IF($GW59="","THERMAL - NOT SPECIFIED",$GW59)))</f>
        <v/>
      </c>
      <c r="GF59" s="54" t="str">
        <f>IF(GF29="","",IF(GF29&lt;&gt;"THERMAL",GF29,IF($GW59="","THERMAL - NOT SPECIFIED",$GW59)))</f>
        <v/>
      </c>
      <c r="GG59" s="54" t="str">
        <f>IF(GG29="","",IF(GG29&lt;&gt;"THERMAL",GG29,IF($GW59="","THERMAL - NOT SPECIFIED",$GW59)))</f>
        <v/>
      </c>
      <c r="GH59" s="54" t="str">
        <f>IF(GH29="","",IF(GH29&lt;&gt;"THERMAL",GH29,IF($GW59="","THERMAL - NOT SPECIFIED",$GW59)))</f>
        <v/>
      </c>
      <c r="GI59" s="54" t="str">
        <f>IF(GI29="","",IF(GI29&lt;&gt;"THERMAL",GI29,IF($GW59="","THERMAL - NOT SPECIFIED",$GW59)))</f>
        <v/>
      </c>
      <c r="GJ59" s="54" t="str">
        <f>IF(GJ29="","",IF(GJ29&lt;&gt;"THERMAL",GJ29,IF($GW59="","THERMAL - NOT SPECIFIED",$GW59)))</f>
        <v/>
      </c>
      <c r="GK59" s="54" t="str">
        <f>IF(GK29="","",IF(GK29&lt;&gt;"THERMAL",GK29,IF($GW59="","THERMAL - NOT SPECIFIED",$GW59)))</f>
        <v/>
      </c>
      <c r="GL59" s="54" t="str">
        <f>IF(GL29="","",IF(GL29&lt;&gt;"THERMAL",GL29,IF($GW59="","THERMAL - NOT SPECIFIED",$GW59)))</f>
        <v/>
      </c>
      <c r="GM59" s="54" t="str">
        <f>IF(GM29="","",IF(GM29&lt;&gt;"THERMAL",GM29,IF($GW59="","THERMAL - NOT SPECIFIED",$GW59)))</f>
        <v/>
      </c>
      <c r="GN59" s="54" t="str">
        <f>IF(GN29="","",IF(GN29&lt;&gt;"THERMAL",GN29,IF($GW59="","THERMAL - NOT SPECIFIED",$GW59)))</f>
        <v/>
      </c>
      <c r="GO59" s="54" t="str">
        <f>IF(GO29="","",IF(GO29&lt;&gt;"THERMAL",GO29,IF($GW59="","THERMAL - NOT SPECIFIED",$GW59)))</f>
        <v/>
      </c>
      <c r="GP59" s="54" t="str">
        <f>IF(GP29="","",IF(GP29&lt;&gt;"THERMAL",GP29,IF($GW59="","THERMAL - NOT SPECIFIED",$GW59)))</f>
        <v/>
      </c>
      <c r="GQ59" s="54" t="str">
        <f>IF(GQ29="","",IF(GQ29&lt;&gt;"THERMAL",GQ29,IF($GW59="","THERMAL - NOT SPECIFIED",$GW59)))</f>
        <v/>
      </c>
      <c r="GR59" s="54" t="str">
        <f>IF(GR29="","",IF(GR29&lt;&gt;"THERMAL",GR29,IF($GW59="","THERMAL - NOT SPECIFIED",$GW59)))</f>
        <v/>
      </c>
      <c r="GS59" s="54" t="str">
        <f>IF(GS29="","",IF(GS29&lt;&gt;"THERMAL",GS29,IF($GW59="","THERMAL - NOT SPECIFIED",$GW59)))</f>
        <v/>
      </c>
      <c r="GW59" s="55">
        <f>IF($GY59="","",IFERROR(INDEX('MC MAP'!$L$5:$L$28,MATCH($GY59,'MC MAP'!$K$5:$K$28,0)),$GY59))</f>
        <v>5520</v>
      </c>
      <c r="GY59" s="60">
        <v>5520</v>
      </c>
    </row>
    <row r="60" spans="1:207">
      <c r="A60" s="2">
        <f>$A30</f>
        <v>25</v>
      </c>
      <c r="B60" s="54">
        <f>IF(B30="","",IF(B30&lt;&gt;"THERMAL",B30,IF($GW60="","THERMAL - NOT SPECIFIED",$GW60)))</f>
        <v>5520</v>
      </c>
      <c r="C60" s="54">
        <f>IF(C30="","",IF(C30&lt;&gt;"THERMAL",C30,IF($GW60="","THERMAL - NOT SPECIFIED",$GW60)))</f>
        <v>5520</v>
      </c>
      <c r="D60" s="54">
        <f>IF(D30="","",IF(D30&lt;&gt;"THERMAL",D30,IF($GW60="","THERMAL - NOT SPECIFIED",$GW60)))</f>
        <v>5520</v>
      </c>
      <c r="E60" s="54">
        <f>IF(E30="","",IF(E30&lt;&gt;"THERMAL",E30,IF($GW60="","THERMAL - NOT SPECIFIED",$GW60)))</f>
        <v>5520</v>
      </c>
      <c r="F60" s="54">
        <f>IF(F30="","",IF(F30&lt;&gt;"THERMAL",F30,IF($GW60="","THERMAL - NOT SPECIFIED",$GW60)))</f>
        <v>5520</v>
      </c>
      <c r="G60" s="54">
        <f>IF(G30="","",IF(G30&lt;&gt;"THERMAL",G30,IF($GW60="","THERMAL - NOT SPECIFIED",$GW60)))</f>
        <v>5520</v>
      </c>
      <c r="H60" s="54">
        <f>IF(H30="","",IF(H30&lt;&gt;"THERMAL",H30,IF($GW60="","THERMAL - NOT SPECIFIED",$GW60)))</f>
        <v>5520</v>
      </c>
      <c r="I60" s="54">
        <f>IF(I30="","",IF(I30&lt;&gt;"THERMAL",I30,IF($GW60="","THERMAL - NOT SPECIFIED",$GW60)))</f>
        <v>5520</v>
      </c>
      <c r="J60" s="54">
        <f>IF(J30="","",IF(J30&lt;&gt;"THERMAL",J30,IF($GW60="","THERMAL - NOT SPECIFIED",$GW60)))</f>
        <v>5520</v>
      </c>
      <c r="K60" s="54">
        <f>IF(K30="","",IF(K30&lt;&gt;"THERMAL",K30,IF($GW60="","THERMAL - NOT SPECIFIED",$GW60)))</f>
        <v>5520</v>
      </c>
      <c r="L60" s="54">
        <f>IF(L30="","",IF(L30&lt;&gt;"THERMAL",L30,IF($GW60="","THERMAL - NOT SPECIFIED",$GW60)))</f>
        <v>5520</v>
      </c>
      <c r="M60" s="54">
        <f>IF(M30="","",IF(M30&lt;&gt;"THERMAL",M30,IF($GW60="","THERMAL - NOT SPECIFIED",$GW60)))</f>
        <v>5520</v>
      </c>
      <c r="N60" s="54">
        <f>IF(N30="","",IF(N30&lt;&gt;"THERMAL",N30,IF($GW60="","THERMAL - NOT SPECIFIED",$GW60)))</f>
        <v>5520</v>
      </c>
      <c r="O60" s="54">
        <f>IF(O30="","",IF(O30&lt;&gt;"THERMAL",O30,IF($GW60="","THERMAL - NOT SPECIFIED",$GW60)))</f>
        <v>5520</v>
      </c>
      <c r="P60" s="54">
        <f>IF(P30="","",IF(P30&lt;&gt;"THERMAL",P30,IF($GW60="","THERMAL - NOT SPECIFIED",$GW60)))</f>
        <v>5520</v>
      </c>
      <c r="Q60" s="54">
        <f>IF(Q30="","",IF(Q30&lt;&gt;"THERMAL",Q30,IF($GW60="","THERMAL - NOT SPECIFIED",$GW60)))</f>
        <v>5520</v>
      </c>
      <c r="R60" s="54">
        <f>IF(R30="","",IF(R30&lt;&gt;"THERMAL",R30,IF($GW60="","THERMAL - NOT SPECIFIED",$GW60)))</f>
        <v>5520</v>
      </c>
      <c r="S60" s="54">
        <f>IF(S30="","",IF(S30&lt;&gt;"THERMAL",S30,IF($GW60="","THERMAL - NOT SPECIFIED",$GW60)))</f>
        <v>5520</v>
      </c>
      <c r="T60" s="54">
        <f>IF(T30="","",IF(T30&lt;&gt;"THERMAL",T30,IF($GW60="","THERMAL - NOT SPECIFIED",$GW60)))</f>
        <v>5520</v>
      </c>
      <c r="U60" s="54">
        <f>IF(U30="","",IF(U30&lt;&gt;"THERMAL",U30,IF($GW60="","THERMAL - NOT SPECIFIED",$GW60)))</f>
        <v>5520</v>
      </c>
      <c r="V60" s="54">
        <f>IF(V30="","",IF(V30&lt;&gt;"THERMAL",V30,IF($GW60="","THERMAL - NOT SPECIFIED",$GW60)))</f>
        <v>5520</v>
      </c>
      <c r="W60" s="54">
        <f>IF(W30="","",IF(W30&lt;&gt;"THERMAL",W30,IF($GW60="","THERMAL - NOT SPECIFIED",$GW60)))</f>
        <v>5520</v>
      </c>
      <c r="X60" s="54">
        <f>IF(X30="","",IF(X30&lt;&gt;"THERMAL",X30,IF($GW60="","THERMAL - NOT SPECIFIED",$GW60)))</f>
        <v>5520</v>
      </c>
      <c r="Y60" s="54">
        <f>IF(Y30="","",IF(Y30&lt;&gt;"THERMAL",Y30,IF($GW60="","THERMAL - NOT SPECIFIED",$GW60)))</f>
        <v>5520</v>
      </c>
      <c r="Z60" s="54">
        <f>IF(Z30="","",IF(Z30&lt;&gt;"THERMAL",Z30,IF($GW60="","THERMAL - NOT SPECIFIED",$GW60)))</f>
        <v>5520</v>
      </c>
      <c r="AA60" s="54">
        <f>IF(AA30="","",IF(AA30&lt;&gt;"THERMAL",AA30,IF($GW60="","THERMAL - NOT SPECIFIED",$GW60)))</f>
        <v>5520</v>
      </c>
      <c r="AB60" s="54">
        <f>IF(AB30="","",IF(AB30&lt;&gt;"THERMAL",AB30,IF($GW60="","THERMAL - NOT SPECIFIED",$GW60)))</f>
        <v>5520</v>
      </c>
      <c r="AC60" s="54">
        <f>IF(AC30="","",IF(AC30&lt;&gt;"THERMAL",AC30,IF($GW60="","THERMAL - NOT SPECIFIED",$GW60)))</f>
        <v>5520</v>
      </c>
      <c r="AD60" s="54">
        <f>IF(AD30="","",IF(AD30&lt;&gt;"THERMAL",AD30,IF($GW60="","THERMAL - NOT SPECIFIED",$GW60)))</f>
        <v>5520</v>
      </c>
      <c r="AE60" s="54">
        <f>IF(AE30="","",IF(AE30&lt;&gt;"THERMAL",AE30,IF($GW60="","THERMAL - NOT SPECIFIED",$GW60)))</f>
        <v>5520</v>
      </c>
      <c r="AF60" s="54">
        <f>IF(AF30="","",IF(AF30&lt;&gt;"THERMAL",AF30,IF($GW60="","THERMAL - NOT SPECIFIED",$GW60)))</f>
        <v>5520</v>
      </c>
      <c r="AG60" s="54">
        <f>IF(AG30="","",IF(AG30&lt;&gt;"THERMAL",AG30,IF($GW60="","THERMAL - NOT SPECIFIED",$GW60)))</f>
        <v>5520</v>
      </c>
      <c r="AH60" s="54">
        <f>IF(AH30="","",IF(AH30&lt;&gt;"THERMAL",AH30,IF($GW60="","THERMAL - NOT SPECIFIED",$GW60)))</f>
        <v>5520</v>
      </c>
      <c r="AI60" s="54">
        <f>IF(AI30="","",IF(AI30&lt;&gt;"THERMAL",AI30,IF($GW60="","THERMAL - NOT SPECIFIED",$GW60)))</f>
        <v>5520</v>
      </c>
      <c r="AJ60" s="54">
        <f>IF(AJ30="","",IF(AJ30&lt;&gt;"THERMAL",AJ30,IF($GW60="","THERMAL - NOT SPECIFIED",$GW60)))</f>
        <v>5520</v>
      </c>
      <c r="AK60" s="54">
        <f>IF(AK30="","",IF(AK30&lt;&gt;"THERMAL",AK30,IF($GW60="","THERMAL - NOT SPECIFIED",$GW60)))</f>
        <v>5520</v>
      </c>
      <c r="AL60" s="54">
        <f>IF(AL30="","",IF(AL30&lt;&gt;"THERMAL",AL30,IF($GW60="","THERMAL - NOT SPECIFIED",$GW60)))</f>
        <v>5520</v>
      </c>
      <c r="AM60" s="54">
        <f>IF(AM30="","",IF(AM30&lt;&gt;"THERMAL",AM30,IF($GW60="","THERMAL - NOT SPECIFIED",$GW60)))</f>
        <v>5520</v>
      </c>
      <c r="AN60" s="54">
        <f>IF(AN30="","",IF(AN30&lt;&gt;"THERMAL",AN30,IF($GW60="","THERMAL - NOT SPECIFIED",$GW60)))</f>
        <v>5520</v>
      </c>
      <c r="AO60" s="54">
        <f>IF(AO30="","",IF(AO30&lt;&gt;"THERMAL",AO30,IF($GW60="","THERMAL - NOT SPECIFIED",$GW60)))</f>
        <v>5520</v>
      </c>
      <c r="AP60" s="54">
        <f>IF(AP30="","",IF(AP30&lt;&gt;"THERMAL",AP30,IF($GW60="","THERMAL - NOT SPECIFIED",$GW60)))</f>
        <v>5520</v>
      </c>
      <c r="AQ60" s="54">
        <f>IF(AQ30="","",IF(AQ30&lt;&gt;"THERMAL",AQ30,IF($GW60="","THERMAL - NOT SPECIFIED",$GW60)))</f>
        <v>5520</v>
      </c>
      <c r="AR60" s="54">
        <f>IF(AR30="","",IF(AR30&lt;&gt;"THERMAL",AR30,IF($GW60="","THERMAL - NOT SPECIFIED",$GW60)))</f>
        <v>5520</v>
      </c>
      <c r="AS60" s="54">
        <f>IF(AS30="","",IF(AS30&lt;&gt;"THERMAL",AS30,IF($GW60="","THERMAL - NOT SPECIFIED",$GW60)))</f>
        <v>5520</v>
      </c>
      <c r="AT60" s="54">
        <f>IF(AT30="","",IF(AT30&lt;&gt;"THERMAL",AT30,IF($GW60="","THERMAL - NOT SPECIFIED",$GW60)))</f>
        <v>5520</v>
      </c>
      <c r="AU60" s="54">
        <f>IF(AU30="","",IF(AU30&lt;&gt;"THERMAL",AU30,IF($GW60="","THERMAL - NOT SPECIFIED",$GW60)))</f>
        <v>5520</v>
      </c>
      <c r="AV60" s="54">
        <f>IF(AV30="","",IF(AV30&lt;&gt;"THERMAL",AV30,IF($GW60="","THERMAL - NOT SPECIFIED",$GW60)))</f>
        <v>5520</v>
      </c>
      <c r="AW60" s="54">
        <f>IF(AW30="","",IF(AW30&lt;&gt;"THERMAL",AW30,IF($GW60="","THERMAL - NOT SPECIFIED",$GW60)))</f>
        <v>5520</v>
      </c>
      <c r="AX60" s="54">
        <f>IF(AX30="","",IF(AX30&lt;&gt;"THERMAL",AX30,IF($GW60="","THERMAL - NOT SPECIFIED",$GW60)))</f>
        <v>5520</v>
      </c>
      <c r="AY60" s="54">
        <f>IF(AY30="","",IF(AY30&lt;&gt;"THERMAL",AY30,IF($GW60="","THERMAL - NOT SPECIFIED",$GW60)))</f>
        <v>5520</v>
      </c>
      <c r="AZ60" s="54">
        <f>IF(AZ30="","",IF(AZ30&lt;&gt;"THERMAL",AZ30,IF($GW60="","THERMAL - NOT SPECIFIED",$GW60)))</f>
        <v>5520</v>
      </c>
      <c r="BA60" s="54">
        <f>IF(BA30="","",IF(BA30&lt;&gt;"THERMAL",BA30,IF($GW60="","THERMAL - NOT SPECIFIED",$GW60)))</f>
        <v>5520</v>
      </c>
      <c r="BB60" s="54">
        <f>IF(BB30="","",IF(BB30&lt;&gt;"THERMAL",BB30,IF($GW60="","THERMAL - NOT SPECIFIED",$GW60)))</f>
        <v>5520</v>
      </c>
      <c r="BC60" s="54">
        <f>IF(BC30="","",IF(BC30&lt;&gt;"THERMAL",BC30,IF($GW60="","THERMAL - NOT SPECIFIED",$GW60)))</f>
        <v>5520</v>
      </c>
      <c r="BD60" s="54">
        <f>IF(BD30="","",IF(BD30&lt;&gt;"THERMAL",BD30,IF($GW60="","THERMAL - NOT SPECIFIED",$GW60)))</f>
        <v>5520</v>
      </c>
      <c r="BE60" s="54">
        <f>IF(BE30="","",IF(BE30&lt;&gt;"THERMAL",BE30,IF($GW60="","THERMAL - NOT SPECIFIED",$GW60)))</f>
        <v>5520</v>
      </c>
      <c r="BF60" s="54">
        <f>IF(BF30="","",IF(BF30&lt;&gt;"THERMAL",BF30,IF($GW60="","THERMAL - NOT SPECIFIED",$GW60)))</f>
        <v>5520</v>
      </c>
      <c r="BG60" s="54">
        <f>IF(BG30="","",IF(BG30&lt;&gt;"THERMAL",BG30,IF($GW60="","THERMAL - NOT SPECIFIED",$GW60)))</f>
        <v>5520</v>
      </c>
      <c r="BH60" s="54">
        <f>IF(BH30="","",IF(BH30&lt;&gt;"THERMAL",BH30,IF($GW60="","THERMAL - NOT SPECIFIED",$GW60)))</f>
        <v>5520</v>
      </c>
      <c r="BI60" s="54">
        <f>IF(BI30="","",IF(BI30&lt;&gt;"THERMAL",BI30,IF($GW60="","THERMAL - NOT SPECIFIED",$GW60)))</f>
        <v>5520</v>
      </c>
      <c r="BJ60" s="54">
        <f>IF(BJ30="","",IF(BJ30&lt;&gt;"THERMAL",BJ30,IF($GW60="","THERMAL - NOT SPECIFIED",$GW60)))</f>
        <v>5520</v>
      </c>
      <c r="BK60" s="54">
        <f>IF(BK30="","",IF(BK30&lt;&gt;"THERMAL",BK30,IF($GW60="","THERMAL - NOT SPECIFIED",$GW60)))</f>
        <v>5520</v>
      </c>
      <c r="BL60" s="54">
        <f>IF(BL30="","",IF(BL30&lt;&gt;"THERMAL",BL30,IF($GW60="","THERMAL - NOT SPECIFIED",$GW60)))</f>
        <v>5520</v>
      </c>
      <c r="BM60" s="54">
        <f>IF(BM30="","",IF(BM30&lt;&gt;"THERMAL",BM30,IF($GW60="","THERMAL - NOT SPECIFIED",$GW60)))</f>
        <v>5520</v>
      </c>
      <c r="BN60" s="54">
        <f>IF(BN30="","",IF(BN30&lt;&gt;"THERMAL",BN30,IF($GW60="","THERMAL - NOT SPECIFIED",$GW60)))</f>
        <v>5520</v>
      </c>
      <c r="BO60" s="54">
        <f>IF(BO30="","",IF(BO30&lt;&gt;"THERMAL",BO30,IF($GW60="","THERMAL - NOT SPECIFIED",$GW60)))</f>
        <v>5520</v>
      </c>
      <c r="BP60" s="54">
        <f>IF(BP30="","",IF(BP30&lt;&gt;"THERMAL",BP30,IF($GW60="","THERMAL - NOT SPECIFIED",$GW60)))</f>
        <v>5520</v>
      </c>
      <c r="BQ60" s="54">
        <f>IF(BQ30="","",IF(BQ30&lt;&gt;"THERMAL",BQ30,IF($GW60="","THERMAL - NOT SPECIFIED",$GW60)))</f>
        <v>5520</v>
      </c>
      <c r="BR60" s="54">
        <f>IF(BR30="","",IF(BR30&lt;&gt;"THERMAL",BR30,IF($GW60="","THERMAL - NOT SPECIFIED",$GW60)))</f>
        <v>5520</v>
      </c>
      <c r="BS60" s="54">
        <f>IF(BS30="","",IF(BS30&lt;&gt;"THERMAL",BS30,IF($GW60="","THERMAL - NOT SPECIFIED",$GW60)))</f>
        <v>5520</v>
      </c>
      <c r="BT60" s="54" t="str">
        <f>IF(BT30="","",IF(BT30&lt;&gt;"THERMAL",BT30,IF($GW60="","THERMAL - NOT SPECIFIED",$GW60)))</f>
        <v>VACCANT</v>
      </c>
      <c r="BU60" s="54" t="str">
        <f>IF(BU30="","",IF(BU30&lt;&gt;"THERMAL",BU30,IF($GW60="","THERMAL - NOT SPECIFIED",$GW60)))</f>
        <v/>
      </c>
      <c r="BV60" s="54" t="str">
        <f>IF(BV30="","",IF(BV30&lt;&gt;"THERMAL",BV30,IF($GW60="","THERMAL - NOT SPECIFIED",$GW60)))</f>
        <v/>
      </c>
      <c r="BW60" s="54" t="str">
        <f>IF(BW30="","",IF(BW30&lt;&gt;"THERMAL",BW30,IF($GW60="","THERMAL - NOT SPECIFIED",$GW60)))</f>
        <v/>
      </c>
      <c r="BX60" s="54" t="str">
        <f>IF(BX30="","",IF(BX30&lt;&gt;"THERMAL",BX30,IF($GW60="","THERMAL - NOT SPECIFIED",$GW60)))</f>
        <v/>
      </c>
      <c r="BY60" s="54" t="str">
        <f>IF(BY30="","",IF(BY30&lt;&gt;"THERMAL",BY30,IF($GW60="","THERMAL - NOT SPECIFIED",$GW60)))</f>
        <v/>
      </c>
      <c r="BZ60" s="54" t="str">
        <f>IF(BZ30="","",IF(BZ30&lt;&gt;"THERMAL",BZ30,IF($GW60="","THERMAL - NOT SPECIFIED",$GW60)))</f>
        <v/>
      </c>
      <c r="CA60" s="54" t="str">
        <f>IF(CA30="","",IF(CA30&lt;&gt;"THERMAL",CA30,IF($GW60="","THERMAL - NOT SPECIFIED",$GW60)))</f>
        <v/>
      </c>
      <c r="CB60" s="54" t="str">
        <f>IF(CB30="","",IF(CB30&lt;&gt;"THERMAL",CB30,IF($GW60="","THERMAL - NOT SPECIFIED",$GW60)))</f>
        <v/>
      </c>
      <c r="CC60" s="54" t="str">
        <f>IF(CC30="","",IF(CC30&lt;&gt;"THERMAL",CC30,IF($GW60="","THERMAL - NOT SPECIFIED",$GW60)))</f>
        <v/>
      </c>
      <c r="CD60" s="54" t="str">
        <f>IF(CD30="","",IF(CD30&lt;&gt;"THERMAL",CD30,IF($GW60="","THERMAL - NOT SPECIFIED",$GW60)))</f>
        <v/>
      </c>
      <c r="CE60" s="54" t="str">
        <f>IF(CE30="","",IF(CE30&lt;&gt;"THERMAL",CE30,IF($GW60="","THERMAL - NOT SPECIFIED",$GW60)))</f>
        <v/>
      </c>
      <c r="CF60" s="54" t="str">
        <f>IF(CF30="","",IF(CF30&lt;&gt;"THERMAL",CF30,IF($GW60="","THERMAL - NOT SPECIFIED",$GW60)))</f>
        <v/>
      </c>
      <c r="CG60" s="54" t="str">
        <f>IF(CG30="","",IF(CG30&lt;&gt;"THERMAL",CG30,IF($GW60="","THERMAL - NOT SPECIFIED",$GW60)))</f>
        <v/>
      </c>
      <c r="CH60" s="54" t="str">
        <f>IF(CH30="","",IF(CH30&lt;&gt;"THERMAL",CH30,IF($GW60="","THERMAL - NOT SPECIFIED",$GW60)))</f>
        <v/>
      </c>
      <c r="CI60" s="54" t="str">
        <f>IF(CI30="","",IF(CI30&lt;&gt;"THERMAL",CI30,IF($GW60="","THERMAL - NOT SPECIFIED",$GW60)))</f>
        <v/>
      </c>
      <c r="CJ60" s="54" t="str">
        <f>IF(CJ30="","",IF(CJ30&lt;&gt;"THERMAL",CJ30,IF($GW60="","THERMAL - NOT SPECIFIED",$GW60)))</f>
        <v/>
      </c>
      <c r="CK60" s="54" t="str">
        <f>IF(CK30="","",IF(CK30&lt;&gt;"THERMAL",CK30,IF($GW60="","THERMAL - NOT SPECIFIED",$GW60)))</f>
        <v/>
      </c>
      <c r="CL60" s="54" t="str">
        <f>IF(CL30="","",IF(CL30&lt;&gt;"THERMAL",CL30,IF($GW60="","THERMAL - NOT SPECIFIED",$GW60)))</f>
        <v/>
      </c>
      <c r="CM60" s="54" t="str">
        <f>IF(CM30="","",IF(CM30&lt;&gt;"THERMAL",CM30,IF($GW60="","THERMAL - NOT SPECIFIED",$GW60)))</f>
        <v/>
      </c>
      <c r="CN60" s="54" t="str">
        <f>IF(CN30="","",IF(CN30&lt;&gt;"THERMAL",CN30,IF($GW60="","THERMAL - NOT SPECIFIED",$GW60)))</f>
        <v/>
      </c>
      <c r="CO60" s="54" t="str">
        <f>IF(CO30="","",IF(CO30&lt;&gt;"THERMAL",CO30,IF($GW60="","THERMAL - NOT SPECIFIED",$GW60)))</f>
        <v/>
      </c>
      <c r="CP60" s="54" t="str">
        <f>IF(CP30="","",IF(CP30&lt;&gt;"THERMAL",CP30,IF($GW60="","THERMAL - NOT SPECIFIED",$GW60)))</f>
        <v/>
      </c>
      <c r="CQ60" s="54" t="str">
        <f>IF(CQ30="","",IF(CQ30&lt;&gt;"THERMAL",CQ30,IF($GW60="","THERMAL - NOT SPECIFIED",$GW60)))</f>
        <v/>
      </c>
      <c r="CR60" s="54" t="str">
        <f>IF(CR30="","",IF(CR30&lt;&gt;"THERMAL",CR30,IF($GW60="","THERMAL - NOT SPECIFIED",$GW60)))</f>
        <v/>
      </c>
      <c r="CS60" s="54" t="str">
        <f>IF(CS30="","",IF(CS30&lt;&gt;"THERMAL",CS30,IF($GW60="","THERMAL - NOT SPECIFIED",$GW60)))</f>
        <v/>
      </c>
      <c r="CT60" s="54" t="str">
        <f>IF(CT30="","",IF(CT30&lt;&gt;"THERMAL",CT30,IF($GW60="","THERMAL - NOT SPECIFIED",$GW60)))</f>
        <v/>
      </c>
      <c r="CU60" s="54" t="str">
        <f>IF(CU30="","",IF(CU30&lt;&gt;"THERMAL",CU30,IF($GW60="","THERMAL - NOT SPECIFIED",$GW60)))</f>
        <v/>
      </c>
      <c r="CV60" s="54" t="str">
        <f>IF(CV30="","",IF(CV30&lt;&gt;"THERMAL",CV30,IF($GW60="","THERMAL - NOT SPECIFIED",$GW60)))</f>
        <v/>
      </c>
      <c r="CW60" s="54" t="str">
        <f>IF(CW30="","",IF(CW30&lt;&gt;"THERMAL",CW30,IF($GW60="","THERMAL - NOT SPECIFIED",$GW60)))</f>
        <v/>
      </c>
      <c r="CX60" s="54" t="str">
        <f>IF(CX30="","",IF(CX30&lt;&gt;"THERMAL",CX30,IF($GW60="","THERMAL - NOT SPECIFIED",$GW60)))</f>
        <v/>
      </c>
      <c r="CY60" s="54" t="str">
        <f>IF(CY30="","",IF(CY30&lt;&gt;"THERMAL",CY30,IF($GW60="","THERMAL - NOT SPECIFIED",$GW60)))</f>
        <v/>
      </c>
      <c r="CZ60" s="54" t="str">
        <f>IF(CZ30="","",IF(CZ30&lt;&gt;"THERMAL",CZ30,IF($GW60="","THERMAL - NOT SPECIFIED",$GW60)))</f>
        <v/>
      </c>
      <c r="DA60" s="54" t="str">
        <f>IF(DA30="","",IF(DA30&lt;&gt;"THERMAL",DA30,IF($GW60="","THERMAL - NOT SPECIFIED",$GW60)))</f>
        <v/>
      </c>
      <c r="DB60" s="54" t="str">
        <f>IF(DB30="","",IF(DB30&lt;&gt;"THERMAL",DB30,IF($GW60="","THERMAL - NOT SPECIFIED",$GW60)))</f>
        <v/>
      </c>
      <c r="DC60" s="54" t="str">
        <f>IF(DC30="","",IF(DC30&lt;&gt;"THERMAL",DC30,IF($GW60="","THERMAL - NOT SPECIFIED",$GW60)))</f>
        <v/>
      </c>
      <c r="DD60" s="54" t="str">
        <f>IF(DD30="","",IF(DD30&lt;&gt;"THERMAL",DD30,IF($GW60="","THERMAL - NOT SPECIFIED",$GW60)))</f>
        <v/>
      </c>
      <c r="DE60" s="54" t="str">
        <f>IF(DE30="","",IF(DE30&lt;&gt;"THERMAL",DE30,IF($GW60="","THERMAL - NOT SPECIFIED",$GW60)))</f>
        <v/>
      </c>
      <c r="DF60" s="54" t="str">
        <f>IF(DF30="","",IF(DF30&lt;&gt;"THERMAL",DF30,IF($GW60="","THERMAL - NOT SPECIFIED",$GW60)))</f>
        <v/>
      </c>
      <c r="DG60" s="54" t="str">
        <f>IF(DG30="","",IF(DG30&lt;&gt;"THERMAL",DG30,IF($GW60="","THERMAL - NOT SPECIFIED",$GW60)))</f>
        <v/>
      </c>
      <c r="DH60" s="54" t="str">
        <f>IF(DH30="","",IF(DH30&lt;&gt;"THERMAL",DH30,IF($GW60="","THERMAL - NOT SPECIFIED",$GW60)))</f>
        <v/>
      </c>
      <c r="DI60" s="54" t="str">
        <f>IF(DI30="","",IF(DI30&lt;&gt;"THERMAL",DI30,IF($GW60="","THERMAL - NOT SPECIFIED",$GW60)))</f>
        <v/>
      </c>
      <c r="DJ60" s="54" t="str">
        <f>IF(DJ30="","",IF(DJ30&lt;&gt;"THERMAL",DJ30,IF($GW60="","THERMAL - NOT SPECIFIED",$GW60)))</f>
        <v/>
      </c>
      <c r="DK60" s="54" t="str">
        <f>IF(DK30="","",IF(DK30&lt;&gt;"THERMAL",DK30,IF($GW60="","THERMAL - NOT SPECIFIED",$GW60)))</f>
        <v/>
      </c>
      <c r="DL60" s="54" t="str">
        <f>IF(DL30="","",IF(DL30&lt;&gt;"THERMAL",DL30,IF($GW60="","THERMAL - NOT SPECIFIED",$GW60)))</f>
        <v/>
      </c>
      <c r="DM60" s="54" t="str">
        <f>IF(DM30="","",IF(DM30&lt;&gt;"THERMAL",DM30,IF($GW60="","THERMAL - NOT SPECIFIED",$GW60)))</f>
        <v/>
      </c>
      <c r="DN60" s="54" t="str">
        <f>IF(DN30="","",IF(DN30&lt;&gt;"THERMAL",DN30,IF($GW60="","THERMAL - NOT SPECIFIED",$GW60)))</f>
        <v/>
      </c>
      <c r="DO60" s="54" t="str">
        <f>IF(DO30="","",IF(DO30&lt;&gt;"THERMAL",DO30,IF($GW60="","THERMAL - NOT SPECIFIED",$GW60)))</f>
        <v/>
      </c>
      <c r="DP60" s="54" t="str">
        <f>IF(DP30="","",IF(DP30&lt;&gt;"THERMAL",DP30,IF($GW60="","THERMAL - NOT SPECIFIED",$GW60)))</f>
        <v/>
      </c>
      <c r="DQ60" s="54" t="str">
        <f>IF(DQ30="","",IF(DQ30&lt;&gt;"THERMAL",DQ30,IF($GW60="","THERMAL - NOT SPECIFIED",$GW60)))</f>
        <v/>
      </c>
      <c r="DR60" s="54" t="str">
        <f>IF(DR30="","",IF(DR30&lt;&gt;"THERMAL",DR30,IF($GW60="","THERMAL - NOT SPECIFIED",$GW60)))</f>
        <v/>
      </c>
      <c r="DS60" s="54" t="str">
        <f>IF(DS30="","",IF(DS30&lt;&gt;"THERMAL",DS30,IF($GW60="","THERMAL - NOT SPECIFIED",$GW60)))</f>
        <v/>
      </c>
      <c r="DT60" s="54" t="str">
        <f>IF(DT30="","",IF(DT30&lt;&gt;"THERMAL",DT30,IF($GW60="","THERMAL - NOT SPECIFIED",$GW60)))</f>
        <v/>
      </c>
      <c r="DU60" s="54" t="str">
        <f>IF(DU30="","",IF(DU30&lt;&gt;"THERMAL",DU30,IF($GW60="","THERMAL - NOT SPECIFIED",$GW60)))</f>
        <v/>
      </c>
      <c r="DV60" s="54" t="str">
        <f>IF(DV30="","",IF(DV30&lt;&gt;"THERMAL",DV30,IF($GW60="","THERMAL - NOT SPECIFIED",$GW60)))</f>
        <v/>
      </c>
      <c r="DW60" s="54" t="str">
        <f>IF(DW30="","",IF(DW30&lt;&gt;"THERMAL",DW30,IF($GW60="","THERMAL - NOT SPECIFIED",$GW60)))</f>
        <v/>
      </c>
      <c r="DX60" s="54" t="str">
        <f>IF(DX30="","",IF(DX30&lt;&gt;"THERMAL",DX30,IF($GW60="","THERMAL - NOT SPECIFIED",$GW60)))</f>
        <v/>
      </c>
      <c r="DY60" s="54" t="str">
        <f>IF(DY30="","",IF(DY30&lt;&gt;"THERMAL",DY30,IF($GW60="","THERMAL - NOT SPECIFIED",$GW60)))</f>
        <v/>
      </c>
      <c r="DZ60" s="54" t="str">
        <f>IF(DZ30="","",IF(DZ30&lt;&gt;"THERMAL",DZ30,IF($GW60="","THERMAL - NOT SPECIFIED",$GW60)))</f>
        <v/>
      </c>
      <c r="EA60" s="54" t="str">
        <f>IF(EA30="","",IF(EA30&lt;&gt;"THERMAL",EA30,IF($GW60="","THERMAL - NOT SPECIFIED",$GW60)))</f>
        <v/>
      </c>
      <c r="EB60" s="54" t="str">
        <f>IF(EB30="","",IF(EB30&lt;&gt;"THERMAL",EB30,IF($GW60="","THERMAL - NOT SPECIFIED",$GW60)))</f>
        <v/>
      </c>
      <c r="EC60" s="54" t="str">
        <f>IF(EC30="","",IF(EC30&lt;&gt;"THERMAL",EC30,IF($GW60="","THERMAL - NOT SPECIFIED",$GW60)))</f>
        <v/>
      </c>
      <c r="ED60" s="54" t="str">
        <f>IF(ED30="","",IF(ED30&lt;&gt;"THERMAL",ED30,IF($GW60="","THERMAL - NOT SPECIFIED",$GW60)))</f>
        <v/>
      </c>
      <c r="EE60" s="54" t="str">
        <f>IF(EE30="","",IF(EE30&lt;&gt;"THERMAL",EE30,IF($GW60="","THERMAL - NOT SPECIFIED",$GW60)))</f>
        <v/>
      </c>
      <c r="EF60" s="54" t="str">
        <f>IF(EF30="","",IF(EF30&lt;&gt;"THERMAL",EF30,IF($GW60="","THERMAL - NOT SPECIFIED",$GW60)))</f>
        <v/>
      </c>
      <c r="EG60" s="54" t="str">
        <f>IF(EG30="","",IF(EG30&lt;&gt;"THERMAL",EG30,IF($GW60="","THERMAL - NOT SPECIFIED",$GW60)))</f>
        <v/>
      </c>
      <c r="EH60" s="54" t="str">
        <f>IF(EH30="","",IF(EH30&lt;&gt;"THERMAL",EH30,IF($GW60="","THERMAL - NOT SPECIFIED",$GW60)))</f>
        <v/>
      </c>
      <c r="EI60" s="54" t="str">
        <f>IF(EI30="","",IF(EI30&lt;&gt;"THERMAL",EI30,IF($GW60="","THERMAL - NOT SPECIFIED",$GW60)))</f>
        <v/>
      </c>
      <c r="EJ60" s="54" t="str">
        <f>IF(EJ30="","",IF(EJ30&lt;&gt;"THERMAL",EJ30,IF($GW60="","THERMAL - NOT SPECIFIED",$GW60)))</f>
        <v/>
      </c>
      <c r="EK60" s="54" t="str">
        <f>IF(EK30="","",IF(EK30&lt;&gt;"THERMAL",EK30,IF($GW60="","THERMAL - NOT SPECIFIED",$GW60)))</f>
        <v/>
      </c>
      <c r="EL60" s="54" t="str">
        <f>IF(EL30="","",IF(EL30&lt;&gt;"THERMAL",EL30,IF($GW60="","THERMAL - NOT SPECIFIED",$GW60)))</f>
        <v/>
      </c>
      <c r="EM60" s="54" t="str">
        <f>IF(EM30="","",IF(EM30&lt;&gt;"THERMAL",EM30,IF($GW60="","THERMAL - NOT SPECIFIED",$GW60)))</f>
        <v/>
      </c>
      <c r="EN60" s="54" t="str">
        <f>IF(EN30="","",IF(EN30&lt;&gt;"THERMAL",EN30,IF($GW60="","THERMAL - NOT SPECIFIED",$GW60)))</f>
        <v/>
      </c>
      <c r="EO60" s="54" t="str">
        <f>IF(EO30="","",IF(EO30&lt;&gt;"THERMAL",EO30,IF($GW60="","THERMAL - NOT SPECIFIED",$GW60)))</f>
        <v/>
      </c>
      <c r="EP60" s="54" t="str">
        <f>IF(EP30="","",IF(EP30&lt;&gt;"THERMAL",EP30,IF($GW60="","THERMAL - NOT SPECIFIED",$GW60)))</f>
        <v/>
      </c>
      <c r="EQ60" s="54" t="str">
        <f>IF(EQ30="","",IF(EQ30&lt;&gt;"THERMAL",EQ30,IF($GW60="","THERMAL - NOT SPECIFIED",$GW60)))</f>
        <v/>
      </c>
      <c r="ER60" s="54" t="str">
        <f>IF(ER30="","",IF(ER30&lt;&gt;"THERMAL",ER30,IF($GW60="","THERMAL - NOT SPECIFIED",$GW60)))</f>
        <v/>
      </c>
      <c r="ES60" s="54" t="str">
        <f>IF(ES30="","",IF(ES30&lt;&gt;"THERMAL",ES30,IF($GW60="","THERMAL - NOT SPECIFIED",$GW60)))</f>
        <v/>
      </c>
      <c r="ET60" s="54" t="str">
        <f>IF(ET30="","",IF(ET30&lt;&gt;"THERMAL",ET30,IF($GW60="","THERMAL - NOT SPECIFIED",$GW60)))</f>
        <v/>
      </c>
      <c r="EU60" s="54" t="str">
        <f>IF(EU30="","",IF(EU30&lt;&gt;"THERMAL",EU30,IF($GW60="","THERMAL - NOT SPECIFIED",$GW60)))</f>
        <v/>
      </c>
      <c r="EV60" s="54" t="str">
        <f>IF(EV30="","",IF(EV30&lt;&gt;"THERMAL",EV30,IF($GW60="","THERMAL - NOT SPECIFIED",$GW60)))</f>
        <v/>
      </c>
      <c r="EW60" s="54" t="str">
        <f>IF(EW30="","",IF(EW30&lt;&gt;"THERMAL",EW30,IF($GW60="","THERMAL - NOT SPECIFIED",$GW60)))</f>
        <v/>
      </c>
      <c r="EX60" s="54" t="str">
        <f>IF(EX30="","",IF(EX30&lt;&gt;"THERMAL",EX30,IF($GW60="","THERMAL - NOT SPECIFIED",$GW60)))</f>
        <v/>
      </c>
      <c r="EY60" s="54" t="str">
        <f>IF(EY30="","",IF(EY30&lt;&gt;"THERMAL",EY30,IF($GW60="","THERMAL - NOT SPECIFIED",$GW60)))</f>
        <v/>
      </c>
      <c r="EZ60" s="54" t="str">
        <f>IF(EZ30="","",IF(EZ30&lt;&gt;"THERMAL",EZ30,IF($GW60="","THERMAL - NOT SPECIFIED",$GW60)))</f>
        <v/>
      </c>
      <c r="FA60" s="54" t="str">
        <f>IF(FA30="","",IF(FA30&lt;&gt;"THERMAL",FA30,IF($GW60="","THERMAL - NOT SPECIFIED",$GW60)))</f>
        <v/>
      </c>
      <c r="FB60" s="54" t="str">
        <f>IF(FB30="","",IF(FB30&lt;&gt;"THERMAL",FB30,IF($GW60="","THERMAL - NOT SPECIFIED",$GW60)))</f>
        <v/>
      </c>
      <c r="FC60" s="54" t="str">
        <f>IF(FC30="","",IF(FC30&lt;&gt;"THERMAL",FC30,IF($GW60="","THERMAL - NOT SPECIFIED",$GW60)))</f>
        <v/>
      </c>
      <c r="FD60" s="54" t="str">
        <f>IF(FD30="","",IF(FD30&lt;&gt;"THERMAL",FD30,IF($GW60="","THERMAL - NOT SPECIFIED",$GW60)))</f>
        <v/>
      </c>
      <c r="FE60" s="54" t="str">
        <f>IF(FE30="","",IF(FE30&lt;&gt;"THERMAL",FE30,IF($GW60="","THERMAL - NOT SPECIFIED",$GW60)))</f>
        <v/>
      </c>
      <c r="FF60" s="54" t="str">
        <f>IF(FF30="","",IF(FF30&lt;&gt;"THERMAL",FF30,IF($GW60="","THERMAL - NOT SPECIFIED",$GW60)))</f>
        <v/>
      </c>
      <c r="FG60" s="54" t="str">
        <f>IF(FG30="","",IF(FG30&lt;&gt;"THERMAL",FG30,IF($GW60="","THERMAL - NOT SPECIFIED",$GW60)))</f>
        <v/>
      </c>
      <c r="FH60" s="54" t="str">
        <f>IF(FH30="","",IF(FH30&lt;&gt;"THERMAL",FH30,IF($GW60="","THERMAL - NOT SPECIFIED",$GW60)))</f>
        <v/>
      </c>
      <c r="FI60" s="54" t="str">
        <f>IF(FI30="","",IF(FI30&lt;&gt;"THERMAL",FI30,IF($GW60="","THERMAL - NOT SPECIFIED",$GW60)))</f>
        <v/>
      </c>
      <c r="FJ60" s="54" t="str">
        <f>IF(FJ30="","",IF(FJ30&lt;&gt;"THERMAL",FJ30,IF($GW60="","THERMAL - NOT SPECIFIED",$GW60)))</f>
        <v/>
      </c>
      <c r="FK60" s="54" t="str">
        <f>IF(FK30="","",IF(FK30&lt;&gt;"THERMAL",FK30,IF($GW60="","THERMAL - NOT SPECIFIED",$GW60)))</f>
        <v/>
      </c>
      <c r="FL60" s="54" t="str">
        <f>IF(FL30="","",IF(FL30&lt;&gt;"THERMAL",FL30,IF($GW60="","THERMAL - NOT SPECIFIED",$GW60)))</f>
        <v/>
      </c>
      <c r="FM60" s="54" t="str">
        <f>IF(FM30="","",IF(FM30&lt;&gt;"THERMAL",FM30,IF($GW60="","THERMAL - NOT SPECIFIED",$GW60)))</f>
        <v/>
      </c>
      <c r="FN60" s="54" t="str">
        <f>IF(FN30="","",IF(FN30&lt;&gt;"THERMAL",FN30,IF($GW60="","THERMAL - NOT SPECIFIED",$GW60)))</f>
        <v/>
      </c>
      <c r="FO60" s="54" t="str">
        <f>IF(FO30="","",IF(FO30&lt;&gt;"THERMAL",FO30,IF($GW60="","THERMAL - NOT SPECIFIED",$GW60)))</f>
        <v/>
      </c>
      <c r="FP60" s="54" t="str">
        <f>IF(FP30="","",IF(FP30&lt;&gt;"THERMAL",FP30,IF($GW60="","THERMAL - NOT SPECIFIED",$GW60)))</f>
        <v/>
      </c>
      <c r="FQ60" s="54" t="str">
        <f>IF(FQ30="","",IF(FQ30&lt;&gt;"THERMAL",FQ30,IF($GW60="","THERMAL - NOT SPECIFIED",$GW60)))</f>
        <v/>
      </c>
      <c r="FR60" s="54" t="str">
        <f>IF(FR30="","",IF(FR30&lt;&gt;"THERMAL",FR30,IF($GW60="","THERMAL - NOT SPECIFIED",$GW60)))</f>
        <v/>
      </c>
      <c r="FS60" s="54" t="str">
        <f>IF(FS30="","",IF(FS30&lt;&gt;"THERMAL",FS30,IF($GW60="","THERMAL - NOT SPECIFIED",$GW60)))</f>
        <v/>
      </c>
      <c r="FT60" s="54" t="str">
        <f>IF(FT30="","",IF(FT30&lt;&gt;"THERMAL",FT30,IF($GW60="","THERMAL - NOT SPECIFIED",$GW60)))</f>
        <v/>
      </c>
      <c r="FU60" s="54" t="str">
        <f>IF(FU30="","",IF(FU30&lt;&gt;"THERMAL",FU30,IF($GW60="","THERMAL - NOT SPECIFIED",$GW60)))</f>
        <v/>
      </c>
      <c r="FV60" s="54" t="str">
        <f>IF(FV30="","",IF(FV30&lt;&gt;"THERMAL",FV30,IF($GW60="","THERMAL - NOT SPECIFIED",$GW60)))</f>
        <v/>
      </c>
      <c r="FW60" s="54" t="str">
        <f>IF(FW30="","",IF(FW30&lt;&gt;"THERMAL",FW30,IF($GW60="","THERMAL - NOT SPECIFIED",$GW60)))</f>
        <v/>
      </c>
      <c r="FX60" s="54" t="str">
        <f>IF(FX30="","",IF(FX30&lt;&gt;"THERMAL",FX30,IF($GW60="","THERMAL - NOT SPECIFIED",$GW60)))</f>
        <v/>
      </c>
      <c r="FY60" s="54" t="str">
        <f>IF(FY30="","",IF(FY30&lt;&gt;"THERMAL",FY30,IF($GW60="","THERMAL - NOT SPECIFIED",$GW60)))</f>
        <v/>
      </c>
      <c r="FZ60" s="54" t="str">
        <f>IF(FZ30="","",IF(FZ30&lt;&gt;"THERMAL",FZ30,IF($GW60="","THERMAL - NOT SPECIFIED",$GW60)))</f>
        <v/>
      </c>
      <c r="GA60" s="54" t="str">
        <f>IF(GA30="","",IF(GA30&lt;&gt;"THERMAL",GA30,IF($GW60="","THERMAL - NOT SPECIFIED",$GW60)))</f>
        <v/>
      </c>
      <c r="GB60" s="54" t="str">
        <f>IF(GB30="","",IF(GB30&lt;&gt;"THERMAL",GB30,IF($GW60="","THERMAL - NOT SPECIFIED",$GW60)))</f>
        <v/>
      </c>
      <c r="GC60" s="54" t="str">
        <f>IF(GC30="","",IF(GC30&lt;&gt;"THERMAL",GC30,IF($GW60="","THERMAL - NOT SPECIFIED",$GW60)))</f>
        <v/>
      </c>
      <c r="GD60" s="54" t="str">
        <f>IF(GD30="","",IF(GD30&lt;&gt;"THERMAL",GD30,IF($GW60="","THERMAL - NOT SPECIFIED",$GW60)))</f>
        <v/>
      </c>
      <c r="GE60" s="54" t="str">
        <f>IF(GE30="","",IF(GE30&lt;&gt;"THERMAL",GE30,IF($GW60="","THERMAL - NOT SPECIFIED",$GW60)))</f>
        <v/>
      </c>
      <c r="GF60" s="54" t="str">
        <f>IF(GF30="","",IF(GF30&lt;&gt;"THERMAL",GF30,IF($GW60="","THERMAL - NOT SPECIFIED",$GW60)))</f>
        <v/>
      </c>
      <c r="GG60" s="54" t="str">
        <f>IF(GG30="","",IF(GG30&lt;&gt;"THERMAL",GG30,IF($GW60="","THERMAL - NOT SPECIFIED",$GW60)))</f>
        <v/>
      </c>
      <c r="GH60" s="54" t="str">
        <f>IF(GH30="","",IF(GH30&lt;&gt;"THERMAL",GH30,IF($GW60="","THERMAL - NOT SPECIFIED",$GW60)))</f>
        <v/>
      </c>
      <c r="GI60" s="54" t="str">
        <f>IF(GI30="","",IF(GI30&lt;&gt;"THERMAL",GI30,IF($GW60="","THERMAL - NOT SPECIFIED",$GW60)))</f>
        <v/>
      </c>
      <c r="GJ60" s="54" t="str">
        <f>IF(GJ30="","",IF(GJ30&lt;&gt;"THERMAL",GJ30,IF($GW60="","THERMAL - NOT SPECIFIED",$GW60)))</f>
        <v/>
      </c>
      <c r="GK60" s="54" t="str">
        <f>IF(GK30="","",IF(GK30&lt;&gt;"THERMAL",GK30,IF($GW60="","THERMAL - NOT SPECIFIED",$GW60)))</f>
        <v/>
      </c>
      <c r="GL60" s="54" t="str">
        <f>IF(GL30="","",IF(GL30&lt;&gt;"THERMAL",GL30,IF($GW60="","THERMAL - NOT SPECIFIED",$GW60)))</f>
        <v/>
      </c>
      <c r="GM60" s="54" t="str">
        <f>IF(GM30="","",IF(GM30&lt;&gt;"THERMAL",GM30,IF($GW60="","THERMAL - NOT SPECIFIED",$GW60)))</f>
        <v/>
      </c>
      <c r="GN60" s="54" t="str">
        <f>IF(GN30="","",IF(GN30&lt;&gt;"THERMAL",GN30,IF($GW60="","THERMAL - NOT SPECIFIED",$GW60)))</f>
        <v/>
      </c>
      <c r="GO60" s="54" t="str">
        <f>IF(GO30="","",IF(GO30&lt;&gt;"THERMAL",GO30,IF($GW60="","THERMAL - NOT SPECIFIED",$GW60)))</f>
        <v/>
      </c>
      <c r="GP60" s="54" t="str">
        <f>IF(GP30="","",IF(GP30&lt;&gt;"THERMAL",GP30,IF($GW60="","THERMAL - NOT SPECIFIED",$GW60)))</f>
        <v/>
      </c>
      <c r="GQ60" s="54" t="str">
        <f>IF(GQ30="","",IF(GQ30&lt;&gt;"THERMAL",GQ30,IF($GW60="","THERMAL - NOT SPECIFIED",$GW60)))</f>
        <v/>
      </c>
      <c r="GR60" s="54" t="str">
        <f>IF(GR30="","",IF(GR30&lt;&gt;"THERMAL",GR30,IF($GW60="","THERMAL - NOT SPECIFIED",$GW60)))</f>
        <v/>
      </c>
      <c r="GS60" s="54" t="str">
        <f>IF(GS30="","",IF(GS30&lt;&gt;"THERMAL",GS30,IF($GW60="","THERMAL - NOT SPECIFIED",$GW60)))</f>
        <v/>
      </c>
      <c r="GW60" s="55">
        <f>IF($GY60="","",IFERROR(INDEX('MC MAP'!$L$5:$L$28,MATCH($GY60,'MC MAP'!$K$5:$K$28,0)),$GY60))</f>
        <v>5520</v>
      </c>
      <c r="GY60" s="60">
        <v>5520</v>
      </c>
    </row>
    <row r="61" spans="1:207">
      <c r="A61" s="2">
        <f>$A31</f>
        <v>26</v>
      </c>
      <c r="B61" s="54">
        <f>IF(B31="","",IF(B31&lt;&gt;"THERMAL",B31,IF($GW61="","THERMAL - NOT SPECIFIED",$GW61)))</f>
        <v>6135</v>
      </c>
      <c r="C61" s="54">
        <f>IF(C31="","",IF(C31&lt;&gt;"THERMAL",C31,IF($GW61="","THERMAL - NOT SPECIFIED",$GW61)))</f>
        <v>6135</v>
      </c>
      <c r="D61" s="54">
        <f>IF(D31="","",IF(D31&lt;&gt;"THERMAL",D31,IF($GW61="","THERMAL - NOT SPECIFIED",$GW61)))</f>
        <v>6135</v>
      </c>
      <c r="E61" s="54">
        <f>IF(E31="","",IF(E31&lt;&gt;"THERMAL",E31,IF($GW61="","THERMAL - NOT SPECIFIED",$GW61)))</f>
        <v>6135</v>
      </c>
      <c r="F61" s="54">
        <f>IF(F31="","",IF(F31&lt;&gt;"THERMAL",F31,IF($GW61="","THERMAL - NOT SPECIFIED",$GW61)))</f>
        <v>6135</v>
      </c>
      <c r="G61" s="54">
        <f>IF(G31="","",IF(G31&lt;&gt;"THERMAL",G31,IF($GW61="","THERMAL - NOT SPECIFIED",$GW61)))</f>
        <v>6135</v>
      </c>
      <c r="H61" s="54">
        <f>IF(H31="","",IF(H31&lt;&gt;"THERMAL",H31,IF($GW61="","THERMAL - NOT SPECIFIED",$GW61)))</f>
        <v>6135</v>
      </c>
      <c r="I61" s="54">
        <f>IF(I31="","",IF(I31&lt;&gt;"THERMAL",I31,IF($GW61="","THERMAL - NOT SPECIFIED",$GW61)))</f>
        <v>6135</v>
      </c>
      <c r="J61" s="54">
        <f>IF(J31="","",IF(J31&lt;&gt;"THERMAL",J31,IF($GW61="","THERMAL - NOT SPECIFIED",$GW61)))</f>
        <v>6135</v>
      </c>
      <c r="K61" s="54">
        <f>IF(K31="","",IF(K31&lt;&gt;"THERMAL",K31,IF($GW61="","THERMAL - NOT SPECIFIED",$GW61)))</f>
        <v>6135</v>
      </c>
      <c r="L61" s="54">
        <f>IF(L31="","",IF(L31&lt;&gt;"THERMAL",L31,IF($GW61="","THERMAL - NOT SPECIFIED",$GW61)))</f>
        <v>6135</v>
      </c>
      <c r="M61" s="54">
        <f>IF(M31="","",IF(M31&lt;&gt;"THERMAL",M31,IF($GW61="","THERMAL - NOT SPECIFIED",$GW61)))</f>
        <v>6135</v>
      </c>
      <c r="N61" s="54">
        <f>IF(N31="","",IF(N31&lt;&gt;"THERMAL",N31,IF($GW61="","THERMAL - NOT SPECIFIED",$GW61)))</f>
        <v>6135</v>
      </c>
      <c r="O61" s="54">
        <f>IF(O31="","",IF(O31&lt;&gt;"THERMAL",O31,IF($GW61="","THERMAL - NOT SPECIFIED",$GW61)))</f>
        <v>6135</v>
      </c>
      <c r="P61" s="54">
        <f>IF(P31="","",IF(P31&lt;&gt;"THERMAL",P31,IF($GW61="","THERMAL - NOT SPECIFIED",$GW61)))</f>
        <v>6135</v>
      </c>
      <c r="Q61" s="54">
        <f>IF(Q31="","",IF(Q31&lt;&gt;"THERMAL",Q31,IF($GW61="","THERMAL - NOT SPECIFIED",$GW61)))</f>
        <v>6135</v>
      </c>
      <c r="R61" s="54">
        <f>IF(R31="","",IF(R31&lt;&gt;"THERMAL",R31,IF($GW61="","THERMAL - NOT SPECIFIED",$GW61)))</f>
        <v>6135</v>
      </c>
      <c r="S61" s="54">
        <f>IF(S31="","",IF(S31&lt;&gt;"THERMAL",S31,IF($GW61="","THERMAL - NOT SPECIFIED",$GW61)))</f>
        <v>6135</v>
      </c>
      <c r="T61" s="54">
        <f>IF(T31="","",IF(T31&lt;&gt;"THERMAL",T31,IF($GW61="","THERMAL - NOT SPECIFIED",$GW61)))</f>
        <v>6135</v>
      </c>
      <c r="U61" s="54">
        <f>IF(U31="","",IF(U31&lt;&gt;"THERMAL",U31,IF($GW61="","THERMAL - NOT SPECIFIED",$GW61)))</f>
        <v>6135</v>
      </c>
      <c r="V61" s="54">
        <f>IF(V31="","",IF(V31&lt;&gt;"THERMAL",V31,IF($GW61="","THERMAL - NOT SPECIFIED",$GW61)))</f>
        <v>6135</v>
      </c>
      <c r="W61" s="54">
        <f>IF(W31="","",IF(W31&lt;&gt;"THERMAL",W31,IF($GW61="","THERMAL - NOT SPECIFIED",$GW61)))</f>
        <v>6135</v>
      </c>
      <c r="X61" s="54">
        <f>IF(X31="","",IF(X31&lt;&gt;"THERMAL",X31,IF($GW61="","THERMAL - NOT SPECIFIED",$GW61)))</f>
        <v>6135</v>
      </c>
      <c r="Y61" s="54">
        <f>IF(Y31="","",IF(Y31&lt;&gt;"THERMAL",Y31,IF($GW61="","THERMAL - NOT SPECIFIED",$GW61)))</f>
        <v>6135</v>
      </c>
      <c r="Z61" s="54">
        <f>IF(Z31="","",IF(Z31&lt;&gt;"THERMAL",Z31,IF($GW61="","THERMAL - NOT SPECIFIED",$GW61)))</f>
        <v>6135</v>
      </c>
      <c r="AA61" s="54">
        <f>IF(AA31="","",IF(AA31&lt;&gt;"THERMAL",AA31,IF($GW61="","THERMAL - NOT SPECIFIED",$GW61)))</f>
        <v>6135</v>
      </c>
      <c r="AB61" s="54">
        <f>IF(AB31="","",IF(AB31&lt;&gt;"THERMAL",AB31,IF($GW61="","THERMAL - NOT SPECIFIED",$GW61)))</f>
        <v>6135</v>
      </c>
      <c r="AC61" s="54">
        <f>IF(AC31="","",IF(AC31&lt;&gt;"THERMAL",AC31,IF($GW61="","THERMAL - NOT SPECIFIED",$GW61)))</f>
        <v>6135</v>
      </c>
      <c r="AD61" s="54">
        <f>IF(AD31="","",IF(AD31&lt;&gt;"THERMAL",AD31,IF($GW61="","THERMAL - NOT SPECIFIED",$GW61)))</f>
        <v>6135</v>
      </c>
      <c r="AE61" s="54">
        <f>IF(AE31="","",IF(AE31&lt;&gt;"THERMAL",AE31,IF($GW61="","THERMAL - NOT SPECIFIED",$GW61)))</f>
        <v>6135</v>
      </c>
      <c r="AF61" s="54">
        <f>IF(AF31="","",IF(AF31&lt;&gt;"THERMAL",AF31,IF($GW61="","THERMAL - NOT SPECIFIED",$GW61)))</f>
        <v>6135</v>
      </c>
      <c r="AG61" s="54">
        <f>IF(AG31="","",IF(AG31&lt;&gt;"THERMAL",AG31,IF($GW61="","THERMAL - NOT SPECIFIED",$GW61)))</f>
        <v>6135</v>
      </c>
      <c r="AH61" s="54">
        <f>IF(AH31="","",IF(AH31&lt;&gt;"THERMAL",AH31,IF($GW61="","THERMAL - NOT SPECIFIED",$GW61)))</f>
        <v>6135</v>
      </c>
      <c r="AI61" s="54">
        <f>IF(AI31="","",IF(AI31&lt;&gt;"THERMAL",AI31,IF($GW61="","THERMAL - NOT SPECIFIED",$GW61)))</f>
        <v>6135</v>
      </c>
      <c r="AJ61" s="54">
        <f>IF(AJ31="","",IF(AJ31&lt;&gt;"THERMAL",AJ31,IF($GW61="","THERMAL - NOT SPECIFIED",$GW61)))</f>
        <v>6135</v>
      </c>
      <c r="AK61" s="54">
        <f>IF(AK31="","",IF(AK31&lt;&gt;"THERMAL",AK31,IF($GW61="","THERMAL - NOT SPECIFIED",$GW61)))</f>
        <v>6135</v>
      </c>
      <c r="AL61" s="54" t="str">
        <f>IF(AL31="","",IF(AL31&lt;&gt;"THERMAL",AL31,IF($GW61="","THERMAL - NOT SPECIFIED",$GW61)))</f>
        <v>VACCANT</v>
      </c>
      <c r="AM61" s="54" t="str">
        <f>IF(AM31="","",IF(AM31&lt;&gt;"THERMAL",AM31,IF($GW61="","THERMAL - NOT SPECIFIED",$GW61)))</f>
        <v>TH-02</v>
      </c>
      <c r="AN61" s="54" t="str">
        <f>IF(AN31="","",IF(AN31&lt;&gt;"THERMAL",AN31,IF($GW61="","THERMAL - NOT SPECIFIED",$GW61)))</f>
        <v>TH-02</v>
      </c>
      <c r="AO61" s="54" t="str">
        <f>IF(AO31="","",IF(AO31&lt;&gt;"THERMAL",AO31,IF($GW61="","THERMAL - NOT SPECIFIED",$GW61)))</f>
        <v>TH-02</v>
      </c>
      <c r="AP61" s="54" t="str">
        <f>IF(AP31="","",IF(AP31&lt;&gt;"THERMAL",AP31,IF($GW61="","THERMAL - NOT SPECIFIED",$GW61)))</f>
        <v>TH-02</v>
      </c>
      <c r="AQ61" s="54" t="str">
        <f>IF(AQ31="","",IF(AQ31&lt;&gt;"THERMAL",AQ31,IF($GW61="","THERMAL - NOT SPECIFIED",$GW61)))</f>
        <v>TH-02</v>
      </c>
      <c r="AR61" s="54" t="str">
        <f>IF(AR31="","",IF(AR31&lt;&gt;"THERMAL",AR31,IF($GW61="","THERMAL - NOT SPECIFIED",$GW61)))</f>
        <v>TH-02</v>
      </c>
      <c r="AS61" s="54" t="str">
        <f>IF(AS31="","",IF(AS31&lt;&gt;"THERMAL",AS31,IF($GW61="","THERMAL - NOT SPECIFIED",$GW61)))</f>
        <v>TH-02</v>
      </c>
      <c r="AT61" s="54" t="str">
        <f>IF(AT31="","",IF(AT31&lt;&gt;"THERMAL",AT31,IF($GW61="","THERMAL - NOT SPECIFIED",$GW61)))</f>
        <v>TH-02</v>
      </c>
      <c r="AU61" s="54" t="str">
        <f>IF(AU31="","",IF(AU31&lt;&gt;"THERMAL",AU31,IF($GW61="","THERMAL - NOT SPECIFIED",$GW61)))</f>
        <v>TH-02</v>
      </c>
      <c r="AV61" s="54" t="str">
        <f>IF(AV31="","",IF(AV31&lt;&gt;"THERMAL",AV31,IF($GW61="","THERMAL - NOT SPECIFIED",$GW61)))</f>
        <v>TH-02</v>
      </c>
      <c r="AW61" s="54" t="str">
        <f>IF(AW31="","",IF(AW31&lt;&gt;"THERMAL",AW31,IF($GW61="","THERMAL - NOT SPECIFIED",$GW61)))</f>
        <v>TH-02</v>
      </c>
      <c r="AX61" s="54" t="str">
        <f>IF(AX31="","",IF(AX31&lt;&gt;"THERMAL",AX31,IF($GW61="","THERMAL - NOT SPECIFIED",$GW61)))</f>
        <v>TH-02</v>
      </c>
      <c r="AY61" s="54" t="str">
        <f>IF(AY31="","",IF(AY31&lt;&gt;"THERMAL",AY31,IF($GW61="","THERMAL - NOT SPECIFIED",$GW61)))</f>
        <v>TH-02</v>
      </c>
      <c r="AZ61" s="54" t="str">
        <f>IF(AZ31="","",IF(AZ31&lt;&gt;"THERMAL",AZ31,IF($GW61="","THERMAL - NOT SPECIFIED",$GW61)))</f>
        <v>TH-02</v>
      </c>
      <c r="BA61" s="54" t="str">
        <f>IF(BA31="","",IF(BA31&lt;&gt;"THERMAL",BA31,IF($GW61="","THERMAL - NOT SPECIFIED",$GW61)))</f>
        <v>TH-02</v>
      </c>
      <c r="BB61" s="54" t="str">
        <f>IF(BB31="","",IF(BB31&lt;&gt;"THERMAL",BB31,IF($GW61="","THERMAL - NOT SPECIFIED",$GW61)))</f>
        <v>TH-02</v>
      </c>
      <c r="BC61" s="54" t="str">
        <f>IF(BC31="","",IF(BC31&lt;&gt;"THERMAL",BC31,IF($GW61="","THERMAL - NOT SPECIFIED",$GW61)))</f>
        <v>TH-02</v>
      </c>
      <c r="BD61" s="54" t="str">
        <f>IF(BD31="","",IF(BD31&lt;&gt;"THERMAL",BD31,IF($GW61="","THERMAL - NOT SPECIFIED",$GW61)))</f>
        <v>TH-02</v>
      </c>
      <c r="BE61" s="54" t="str">
        <f>IF(BE31="","",IF(BE31&lt;&gt;"THERMAL",BE31,IF($GW61="","THERMAL - NOT SPECIFIED",$GW61)))</f>
        <v>TH-02</v>
      </c>
      <c r="BF61" s="54" t="str">
        <f>IF(BF31="","",IF(BF31&lt;&gt;"THERMAL",BF31,IF($GW61="","THERMAL - NOT SPECIFIED",$GW61)))</f>
        <v>TH-02</v>
      </c>
      <c r="BG61" s="54" t="str">
        <f>IF(BG31="","",IF(BG31&lt;&gt;"THERMAL",BG31,IF($GW61="","THERMAL - NOT SPECIFIED",$GW61)))</f>
        <v>TH-02</v>
      </c>
      <c r="BH61" s="54" t="str">
        <f>IF(BH31="","",IF(BH31&lt;&gt;"THERMAL",BH31,IF($GW61="","THERMAL - NOT SPECIFIED",$GW61)))</f>
        <v>TH-02</v>
      </c>
      <c r="BI61" s="54" t="str">
        <f>IF(BI31="","",IF(BI31&lt;&gt;"THERMAL",BI31,IF($GW61="","THERMAL - NOT SPECIFIED",$GW61)))</f>
        <v>TH-02</v>
      </c>
      <c r="BJ61" s="54" t="str">
        <f>IF(BJ31="","",IF(BJ31&lt;&gt;"THERMAL",BJ31,IF($GW61="","THERMAL - NOT SPECIFIED",$GW61)))</f>
        <v>TH-02</v>
      </c>
      <c r="BK61" s="54" t="str">
        <f>IF(BK31="","",IF(BK31&lt;&gt;"THERMAL",BK31,IF($GW61="","THERMAL - NOT SPECIFIED",$GW61)))</f>
        <v>TH-02</v>
      </c>
      <c r="BL61" s="54" t="str">
        <f>IF(BL31="","",IF(BL31&lt;&gt;"THERMAL",BL31,IF($GW61="","THERMAL - NOT SPECIFIED",$GW61)))</f>
        <v>TH-02</v>
      </c>
      <c r="BM61" s="54" t="str">
        <f>IF(BM31="","",IF(BM31&lt;&gt;"THERMAL",BM31,IF($GW61="","THERMAL - NOT SPECIFIED",$GW61)))</f>
        <v>TH-02</v>
      </c>
      <c r="BN61" s="54" t="str">
        <f>IF(BN31="","",IF(BN31&lt;&gt;"THERMAL",BN31,IF($GW61="","THERMAL - NOT SPECIFIED",$GW61)))</f>
        <v>TH-02</v>
      </c>
      <c r="BO61" s="54" t="str">
        <f>IF(BO31="","",IF(BO31&lt;&gt;"THERMAL",BO31,IF($GW61="","THERMAL - NOT SPECIFIED",$GW61)))</f>
        <v>TH-02</v>
      </c>
      <c r="BP61" s="54" t="str">
        <f>IF(BP31="","",IF(BP31&lt;&gt;"THERMAL",BP31,IF($GW61="","THERMAL - NOT SPECIFIED",$GW61)))</f>
        <v>TH-02</v>
      </c>
      <c r="BQ61" s="54" t="str">
        <f>IF(BQ31="","",IF(BQ31&lt;&gt;"THERMAL",BQ31,IF($GW61="","THERMAL - NOT SPECIFIED",$GW61)))</f>
        <v>TH-02</v>
      </c>
      <c r="BR61" s="54" t="str">
        <f>IF(BR31="","",IF(BR31&lt;&gt;"THERMAL",BR31,IF($GW61="","THERMAL - NOT SPECIFIED",$GW61)))</f>
        <v>TH-02</v>
      </c>
      <c r="BS61" s="54" t="str">
        <f>IF(BS31="","",IF(BS31&lt;&gt;"THERMAL",BS31,IF($GW61="","THERMAL - NOT SPECIFIED",$GW61)))</f>
        <v>TH-02</v>
      </c>
      <c r="BT61" s="54" t="str">
        <f>IF(BT31="","",IF(BT31&lt;&gt;"THERMAL",BT31,IF($GW61="","THERMAL - NOT SPECIFIED",$GW61)))</f>
        <v>VACCANT</v>
      </c>
      <c r="BU61" s="54" t="str">
        <f>IF(BU31="","",IF(BU31&lt;&gt;"THERMAL",BU31,IF($GW61="","THERMAL - NOT SPECIFIED",$GW61)))</f>
        <v/>
      </c>
      <c r="BV61" s="54" t="str">
        <f>IF(BV31="","",IF(BV31&lt;&gt;"THERMAL",BV31,IF($GW61="","THERMAL - NOT SPECIFIED",$GW61)))</f>
        <v/>
      </c>
      <c r="BW61" s="54" t="str">
        <f>IF(BW31="","",IF(BW31&lt;&gt;"THERMAL",BW31,IF($GW61="","THERMAL - NOT SPECIFIED",$GW61)))</f>
        <v/>
      </c>
      <c r="BX61" s="54" t="str">
        <f>IF(BX31="","",IF(BX31&lt;&gt;"THERMAL",BX31,IF($GW61="","THERMAL - NOT SPECIFIED",$GW61)))</f>
        <v/>
      </c>
      <c r="BY61" s="54" t="str">
        <f>IF(BY31="","",IF(BY31&lt;&gt;"THERMAL",BY31,IF($GW61="","THERMAL - NOT SPECIFIED",$GW61)))</f>
        <v/>
      </c>
      <c r="BZ61" s="54" t="str">
        <f>IF(BZ31="","",IF(BZ31&lt;&gt;"THERMAL",BZ31,IF($GW61="","THERMAL - NOT SPECIFIED",$GW61)))</f>
        <v/>
      </c>
      <c r="CA61" s="54" t="str">
        <f>IF(CA31="","",IF(CA31&lt;&gt;"THERMAL",CA31,IF($GW61="","THERMAL - NOT SPECIFIED",$GW61)))</f>
        <v/>
      </c>
      <c r="CB61" s="54" t="str">
        <f>IF(CB31="","",IF(CB31&lt;&gt;"THERMAL",CB31,IF($GW61="","THERMAL - NOT SPECIFIED",$GW61)))</f>
        <v/>
      </c>
      <c r="CC61" s="54" t="str">
        <f>IF(CC31="","",IF(CC31&lt;&gt;"THERMAL",CC31,IF($GW61="","THERMAL - NOT SPECIFIED",$GW61)))</f>
        <v/>
      </c>
      <c r="CD61" s="54" t="str">
        <f>IF(CD31="","",IF(CD31&lt;&gt;"THERMAL",CD31,IF($GW61="","THERMAL - NOT SPECIFIED",$GW61)))</f>
        <v/>
      </c>
      <c r="CE61" s="54" t="str">
        <f>IF(CE31="","",IF(CE31&lt;&gt;"THERMAL",CE31,IF($GW61="","THERMAL - NOT SPECIFIED",$GW61)))</f>
        <v/>
      </c>
      <c r="CF61" s="54" t="str">
        <f>IF(CF31="","",IF(CF31&lt;&gt;"THERMAL",CF31,IF($GW61="","THERMAL - NOT SPECIFIED",$GW61)))</f>
        <v/>
      </c>
      <c r="CG61" s="54" t="str">
        <f>IF(CG31="","",IF(CG31&lt;&gt;"THERMAL",CG31,IF($GW61="","THERMAL - NOT SPECIFIED",$GW61)))</f>
        <v/>
      </c>
      <c r="CH61" s="54" t="str">
        <f>IF(CH31="","",IF(CH31&lt;&gt;"THERMAL",CH31,IF($GW61="","THERMAL - NOT SPECIFIED",$GW61)))</f>
        <v/>
      </c>
      <c r="CI61" s="54" t="str">
        <f>IF(CI31="","",IF(CI31&lt;&gt;"THERMAL",CI31,IF($GW61="","THERMAL - NOT SPECIFIED",$GW61)))</f>
        <v/>
      </c>
      <c r="CJ61" s="54" t="str">
        <f>IF(CJ31="","",IF(CJ31&lt;&gt;"THERMAL",CJ31,IF($GW61="","THERMAL - NOT SPECIFIED",$GW61)))</f>
        <v/>
      </c>
      <c r="CK61" s="54" t="str">
        <f>IF(CK31="","",IF(CK31&lt;&gt;"THERMAL",CK31,IF($GW61="","THERMAL - NOT SPECIFIED",$GW61)))</f>
        <v/>
      </c>
      <c r="CL61" s="54" t="str">
        <f>IF(CL31="","",IF(CL31&lt;&gt;"THERMAL",CL31,IF($GW61="","THERMAL - NOT SPECIFIED",$GW61)))</f>
        <v/>
      </c>
      <c r="CM61" s="54" t="str">
        <f>IF(CM31="","",IF(CM31&lt;&gt;"THERMAL",CM31,IF($GW61="","THERMAL - NOT SPECIFIED",$GW61)))</f>
        <v/>
      </c>
      <c r="CN61" s="54" t="str">
        <f>IF(CN31="","",IF(CN31&lt;&gt;"THERMAL",CN31,IF($GW61="","THERMAL - NOT SPECIFIED",$GW61)))</f>
        <v/>
      </c>
      <c r="CO61" s="54" t="str">
        <f>IF(CO31="","",IF(CO31&lt;&gt;"THERMAL",CO31,IF($GW61="","THERMAL - NOT SPECIFIED",$GW61)))</f>
        <v/>
      </c>
      <c r="CP61" s="54" t="str">
        <f>IF(CP31="","",IF(CP31&lt;&gt;"THERMAL",CP31,IF($GW61="","THERMAL - NOT SPECIFIED",$GW61)))</f>
        <v/>
      </c>
      <c r="CQ61" s="54" t="str">
        <f>IF(CQ31="","",IF(CQ31&lt;&gt;"THERMAL",CQ31,IF($GW61="","THERMAL - NOT SPECIFIED",$GW61)))</f>
        <v/>
      </c>
      <c r="CR61" s="54" t="str">
        <f>IF(CR31="","",IF(CR31&lt;&gt;"THERMAL",CR31,IF($GW61="","THERMAL - NOT SPECIFIED",$GW61)))</f>
        <v/>
      </c>
      <c r="CS61" s="54" t="str">
        <f>IF(CS31="","",IF(CS31&lt;&gt;"THERMAL",CS31,IF($GW61="","THERMAL - NOT SPECIFIED",$GW61)))</f>
        <v/>
      </c>
      <c r="CT61" s="54" t="str">
        <f>IF(CT31="","",IF(CT31&lt;&gt;"THERMAL",CT31,IF($GW61="","THERMAL - NOT SPECIFIED",$GW61)))</f>
        <v/>
      </c>
      <c r="CU61" s="54" t="str">
        <f>IF(CU31="","",IF(CU31&lt;&gt;"THERMAL",CU31,IF($GW61="","THERMAL - NOT SPECIFIED",$GW61)))</f>
        <v/>
      </c>
      <c r="CV61" s="54" t="str">
        <f>IF(CV31="","",IF(CV31&lt;&gt;"THERMAL",CV31,IF($GW61="","THERMAL - NOT SPECIFIED",$GW61)))</f>
        <v/>
      </c>
      <c r="CW61" s="54" t="str">
        <f>IF(CW31="","",IF(CW31&lt;&gt;"THERMAL",CW31,IF($GW61="","THERMAL - NOT SPECIFIED",$GW61)))</f>
        <v/>
      </c>
      <c r="CX61" s="54" t="str">
        <f>IF(CX31="","",IF(CX31&lt;&gt;"THERMAL",CX31,IF($GW61="","THERMAL - NOT SPECIFIED",$GW61)))</f>
        <v/>
      </c>
      <c r="CY61" s="54" t="str">
        <f>IF(CY31="","",IF(CY31&lt;&gt;"THERMAL",CY31,IF($GW61="","THERMAL - NOT SPECIFIED",$GW61)))</f>
        <v/>
      </c>
      <c r="CZ61" s="54" t="str">
        <f>IF(CZ31="","",IF(CZ31&lt;&gt;"THERMAL",CZ31,IF($GW61="","THERMAL - NOT SPECIFIED",$GW61)))</f>
        <v/>
      </c>
      <c r="DA61" s="54" t="str">
        <f>IF(DA31="","",IF(DA31&lt;&gt;"THERMAL",DA31,IF($GW61="","THERMAL - NOT SPECIFIED",$GW61)))</f>
        <v/>
      </c>
      <c r="DB61" s="54" t="str">
        <f>IF(DB31="","",IF(DB31&lt;&gt;"THERMAL",DB31,IF($GW61="","THERMAL - NOT SPECIFIED",$GW61)))</f>
        <v/>
      </c>
      <c r="DC61" s="54" t="str">
        <f>IF(DC31="","",IF(DC31&lt;&gt;"THERMAL",DC31,IF($GW61="","THERMAL - NOT SPECIFIED",$GW61)))</f>
        <v/>
      </c>
      <c r="DD61" s="54" t="str">
        <f>IF(DD31="","",IF(DD31&lt;&gt;"THERMAL",DD31,IF($GW61="","THERMAL - NOT SPECIFIED",$GW61)))</f>
        <v/>
      </c>
      <c r="DE61" s="54" t="str">
        <f>IF(DE31="","",IF(DE31&lt;&gt;"THERMAL",DE31,IF($GW61="","THERMAL - NOT SPECIFIED",$GW61)))</f>
        <v/>
      </c>
      <c r="DF61" s="54" t="str">
        <f>IF(DF31="","",IF(DF31&lt;&gt;"THERMAL",DF31,IF($GW61="","THERMAL - NOT SPECIFIED",$GW61)))</f>
        <v/>
      </c>
      <c r="DG61" s="54" t="str">
        <f>IF(DG31="","",IF(DG31&lt;&gt;"THERMAL",DG31,IF($GW61="","THERMAL - NOT SPECIFIED",$GW61)))</f>
        <v/>
      </c>
      <c r="DH61" s="54" t="str">
        <f>IF(DH31="","",IF(DH31&lt;&gt;"THERMAL",DH31,IF($GW61="","THERMAL - NOT SPECIFIED",$GW61)))</f>
        <v/>
      </c>
      <c r="DI61" s="54" t="str">
        <f>IF(DI31="","",IF(DI31&lt;&gt;"THERMAL",DI31,IF($GW61="","THERMAL - NOT SPECIFIED",$GW61)))</f>
        <v/>
      </c>
      <c r="DJ61" s="54" t="str">
        <f>IF(DJ31="","",IF(DJ31&lt;&gt;"THERMAL",DJ31,IF($GW61="","THERMAL - NOT SPECIFIED",$GW61)))</f>
        <v/>
      </c>
      <c r="DK61" s="54" t="str">
        <f>IF(DK31="","",IF(DK31&lt;&gt;"THERMAL",DK31,IF($GW61="","THERMAL - NOT SPECIFIED",$GW61)))</f>
        <v/>
      </c>
      <c r="DL61" s="54" t="str">
        <f>IF(DL31="","",IF(DL31&lt;&gt;"THERMAL",DL31,IF($GW61="","THERMAL - NOT SPECIFIED",$GW61)))</f>
        <v/>
      </c>
      <c r="DM61" s="54" t="str">
        <f>IF(DM31="","",IF(DM31&lt;&gt;"THERMAL",DM31,IF($GW61="","THERMAL - NOT SPECIFIED",$GW61)))</f>
        <v/>
      </c>
      <c r="DN61" s="54" t="str">
        <f>IF(DN31="","",IF(DN31&lt;&gt;"THERMAL",DN31,IF($GW61="","THERMAL - NOT SPECIFIED",$GW61)))</f>
        <v/>
      </c>
      <c r="DO61" s="54" t="str">
        <f>IF(DO31="","",IF(DO31&lt;&gt;"THERMAL",DO31,IF($GW61="","THERMAL - NOT SPECIFIED",$GW61)))</f>
        <v/>
      </c>
      <c r="DP61" s="54" t="str">
        <f>IF(DP31="","",IF(DP31&lt;&gt;"THERMAL",DP31,IF($GW61="","THERMAL - NOT SPECIFIED",$GW61)))</f>
        <v/>
      </c>
      <c r="DQ61" s="54" t="str">
        <f>IF(DQ31="","",IF(DQ31&lt;&gt;"THERMAL",DQ31,IF($GW61="","THERMAL - NOT SPECIFIED",$GW61)))</f>
        <v/>
      </c>
      <c r="DR61" s="54" t="str">
        <f>IF(DR31="","",IF(DR31&lt;&gt;"THERMAL",DR31,IF($GW61="","THERMAL - NOT SPECIFIED",$GW61)))</f>
        <v/>
      </c>
      <c r="DS61" s="54" t="str">
        <f>IF(DS31="","",IF(DS31&lt;&gt;"THERMAL",DS31,IF($GW61="","THERMAL - NOT SPECIFIED",$GW61)))</f>
        <v/>
      </c>
      <c r="DT61" s="54" t="str">
        <f>IF(DT31="","",IF(DT31&lt;&gt;"THERMAL",DT31,IF($GW61="","THERMAL - NOT SPECIFIED",$GW61)))</f>
        <v/>
      </c>
      <c r="DU61" s="54" t="str">
        <f>IF(DU31="","",IF(DU31&lt;&gt;"THERMAL",DU31,IF($GW61="","THERMAL - NOT SPECIFIED",$GW61)))</f>
        <v/>
      </c>
      <c r="DV61" s="54" t="str">
        <f>IF(DV31="","",IF(DV31&lt;&gt;"THERMAL",DV31,IF($GW61="","THERMAL - NOT SPECIFIED",$GW61)))</f>
        <v/>
      </c>
      <c r="DW61" s="54" t="str">
        <f>IF(DW31="","",IF(DW31&lt;&gt;"THERMAL",DW31,IF($GW61="","THERMAL - NOT SPECIFIED",$GW61)))</f>
        <v/>
      </c>
      <c r="DX61" s="54" t="str">
        <f>IF(DX31="","",IF(DX31&lt;&gt;"THERMAL",DX31,IF($GW61="","THERMAL - NOT SPECIFIED",$GW61)))</f>
        <v/>
      </c>
      <c r="DY61" s="54" t="str">
        <f>IF(DY31="","",IF(DY31&lt;&gt;"THERMAL",DY31,IF($GW61="","THERMAL - NOT SPECIFIED",$GW61)))</f>
        <v/>
      </c>
      <c r="DZ61" s="54" t="str">
        <f>IF(DZ31="","",IF(DZ31&lt;&gt;"THERMAL",DZ31,IF($GW61="","THERMAL - NOT SPECIFIED",$GW61)))</f>
        <v/>
      </c>
      <c r="EA61" s="54" t="str">
        <f>IF(EA31="","",IF(EA31&lt;&gt;"THERMAL",EA31,IF($GW61="","THERMAL - NOT SPECIFIED",$GW61)))</f>
        <v/>
      </c>
      <c r="EB61" s="54" t="str">
        <f>IF(EB31="","",IF(EB31&lt;&gt;"THERMAL",EB31,IF($GW61="","THERMAL - NOT SPECIFIED",$GW61)))</f>
        <v/>
      </c>
      <c r="EC61" s="54" t="str">
        <f>IF(EC31="","",IF(EC31&lt;&gt;"THERMAL",EC31,IF($GW61="","THERMAL - NOT SPECIFIED",$GW61)))</f>
        <v/>
      </c>
      <c r="ED61" s="54" t="str">
        <f>IF(ED31="","",IF(ED31&lt;&gt;"THERMAL",ED31,IF($GW61="","THERMAL - NOT SPECIFIED",$GW61)))</f>
        <v/>
      </c>
      <c r="EE61" s="54" t="str">
        <f>IF(EE31="","",IF(EE31&lt;&gt;"THERMAL",EE31,IF($GW61="","THERMAL - NOT SPECIFIED",$GW61)))</f>
        <v/>
      </c>
      <c r="EF61" s="54" t="str">
        <f>IF(EF31="","",IF(EF31&lt;&gt;"THERMAL",EF31,IF($GW61="","THERMAL - NOT SPECIFIED",$GW61)))</f>
        <v/>
      </c>
      <c r="EG61" s="54" t="str">
        <f>IF(EG31="","",IF(EG31&lt;&gt;"THERMAL",EG31,IF($GW61="","THERMAL - NOT SPECIFIED",$GW61)))</f>
        <v/>
      </c>
      <c r="EH61" s="54" t="str">
        <f>IF(EH31="","",IF(EH31&lt;&gt;"THERMAL",EH31,IF($GW61="","THERMAL - NOT SPECIFIED",$GW61)))</f>
        <v/>
      </c>
      <c r="EI61" s="54" t="str">
        <f>IF(EI31="","",IF(EI31&lt;&gt;"THERMAL",EI31,IF($GW61="","THERMAL - NOT SPECIFIED",$GW61)))</f>
        <v/>
      </c>
      <c r="EJ61" s="54" t="str">
        <f>IF(EJ31="","",IF(EJ31&lt;&gt;"THERMAL",EJ31,IF($GW61="","THERMAL - NOT SPECIFIED",$GW61)))</f>
        <v/>
      </c>
      <c r="EK61" s="54" t="str">
        <f>IF(EK31="","",IF(EK31&lt;&gt;"THERMAL",EK31,IF($GW61="","THERMAL - NOT SPECIFIED",$GW61)))</f>
        <v/>
      </c>
      <c r="EL61" s="54" t="str">
        <f>IF(EL31="","",IF(EL31&lt;&gt;"THERMAL",EL31,IF($GW61="","THERMAL - NOT SPECIFIED",$GW61)))</f>
        <v/>
      </c>
      <c r="EM61" s="54" t="str">
        <f>IF(EM31="","",IF(EM31&lt;&gt;"THERMAL",EM31,IF($GW61="","THERMAL - NOT SPECIFIED",$GW61)))</f>
        <v/>
      </c>
      <c r="EN61" s="54" t="str">
        <f>IF(EN31="","",IF(EN31&lt;&gt;"THERMAL",EN31,IF($GW61="","THERMAL - NOT SPECIFIED",$GW61)))</f>
        <v/>
      </c>
      <c r="EO61" s="54" t="str">
        <f>IF(EO31="","",IF(EO31&lt;&gt;"THERMAL",EO31,IF($GW61="","THERMAL - NOT SPECIFIED",$GW61)))</f>
        <v/>
      </c>
      <c r="EP61" s="54" t="str">
        <f>IF(EP31="","",IF(EP31&lt;&gt;"THERMAL",EP31,IF($GW61="","THERMAL - NOT SPECIFIED",$GW61)))</f>
        <v/>
      </c>
      <c r="EQ61" s="54" t="str">
        <f>IF(EQ31="","",IF(EQ31&lt;&gt;"THERMAL",EQ31,IF($GW61="","THERMAL - NOT SPECIFIED",$GW61)))</f>
        <v/>
      </c>
      <c r="ER61" s="54" t="str">
        <f>IF(ER31="","",IF(ER31&lt;&gt;"THERMAL",ER31,IF($GW61="","THERMAL - NOT SPECIFIED",$GW61)))</f>
        <v/>
      </c>
      <c r="ES61" s="54" t="str">
        <f>IF(ES31="","",IF(ES31&lt;&gt;"THERMAL",ES31,IF($GW61="","THERMAL - NOT SPECIFIED",$GW61)))</f>
        <v/>
      </c>
      <c r="ET61" s="54" t="str">
        <f>IF(ET31="","",IF(ET31&lt;&gt;"THERMAL",ET31,IF($GW61="","THERMAL - NOT SPECIFIED",$GW61)))</f>
        <v/>
      </c>
      <c r="EU61" s="54" t="str">
        <f>IF(EU31="","",IF(EU31&lt;&gt;"THERMAL",EU31,IF($GW61="","THERMAL - NOT SPECIFIED",$GW61)))</f>
        <v/>
      </c>
      <c r="EV61" s="54" t="str">
        <f>IF(EV31="","",IF(EV31&lt;&gt;"THERMAL",EV31,IF($GW61="","THERMAL - NOT SPECIFIED",$GW61)))</f>
        <v/>
      </c>
      <c r="EW61" s="54" t="str">
        <f>IF(EW31="","",IF(EW31&lt;&gt;"THERMAL",EW31,IF($GW61="","THERMAL - NOT SPECIFIED",$GW61)))</f>
        <v/>
      </c>
      <c r="EX61" s="54" t="str">
        <f>IF(EX31="","",IF(EX31&lt;&gt;"THERMAL",EX31,IF($GW61="","THERMAL - NOT SPECIFIED",$GW61)))</f>
        <v/>
      </c>
      <c r="EY61" s="54" t="str">
        <f>IF(EY31="","",IF(EY31&lt;&gt;"THERMAL",EY31,IF($GW61="","THERMAL - NOT SPECIFIED",$GW61)))</f>
        <v/>
      </c>
      <c r="EZ61" s="54" t="str">
        <f>IF(EZ31="","",IF(EZ31&lt;&gt;"THERMAL",EZ31,IF($GW61="","THERMAL - NOT SPECIFIED",$GW61)))</f>
        <v/>
      </c>
      <c r="FA61" s="54" t="str">
        <f>IF(FA31="","",IF(FA31&lt;&gt;"THERMAL",FA31,IF($GW61="","THERMAL - NOT SPECIFIED",$GW61)))</f>
        <v/>
      </c>
      <c r="FB61" s="54" t="str">
        <f>IF(FB31="","",IF(FB31&lt;&gt;"THERMAL",FB31,IF($GW61="","THERMAL - NOT SPECIFIED",$GW61)))</f>
        <v/>
      </c>
      <c r="FC61" s="54" t="str">
        <f>IF(FC31="","",IF(FC31&lt;&gt;"THERMAL",FC31,IF($GW61="","THERMAL - NOT SPECIFIED",$GW61)))</f>
        <v/>
      </c>
      <c r="FD61" s="54" t="str">
        <f>IF(FD31="","",IF(FD31&lt;&gt;"THERMAL",FD31,IF($GW61="","THERMAL - NOT SPECIFIED",$GW61)))</f>
        <v/>
      </c>
      <c r="FE61" s="54" t="str">
        <f>IF(FE31="","",IF(FE31&lt;&gt;"THERMAL",FE31,IF($GW61="","THERMAL - NOT SPECIFIED",$GW61)))</f>
        <v/>
      </c>
      <c r="FF61" s="54" t="str">
        <f>IF(FF31="","",IF(FF31&lt;&gt;"THERMAL",FF31,IF($GW61="","THERMAL - NOT SPECIFIED",$GW61)))</f>
        <v/>
      </c>
      <c r="FG61" s="54" t="str">
        <f>IF(FG31="","",IF(FG31&lt;&gt;"THERMAL",FG31,IF($GW61="","THERMAL - NOT SPECIFIED",$GW61)))</f>
        <v/>
      </c>
      <c r="FH61" s="54" t="str">
        <f>IF(FH31="","",IF(FH31&lt;&gt;"THERMAL",FH31,IF($GW61="","THERMAL - NOT SPECIFIED",$GW61)))</f>
        <v/>
      </c>
      <c r="FI61" s="54" t="str">
        <f>IF(FI31="","",IF(FI31&lt;&gt;"THERMAL",FI31,IF($GW61="","THERMAL - NOT SPECIFIED",$GW61)))</f>
        <v/>
      </c>
      <c r="FJ61" s="54" t="str">
        <f>IF(FJ31="","",IF(FJ31&lt;&gt;"THERMAL",FJ31,IF($GW61="","THERMAL - NOT SPECIFIED",$GW61)))</f>
        <v/>
      </c>
      <c r="FK61" s="54" t="str">
        <f>IF(FK31="","",IF(FK31&lt;&gt;"THERMAL",FK31,IF($GW61="","THERMAL - NOT SPECIFIED",$GW61)))</f>
        <v/>
      </c>
      <c r="FL61" s="54" t="str">
        <f>IF(FL31="","",IF(FL31&lt;&gt;"THERMAL",FL31,IF($GW61="","THERMAL - NOT SPECIFIED",$GW61)))</f>
        <v/>
      </c>
      <c r="FM61" s="54" t="str">
        <f>IF(FM31="","",IF(FM31&lt;&gt;"THERMAL",FM31,IF($GW61="","THERMAL - NOT SPECIFIED",$GW61)))</f>
        <v/>
      </c>
      <c r="FN61" s="54" t="str">
        <f>IF(FN31="","",IF(FN31&lt;&gt;"THERMAL",FN31,IF($GW61="","THERMAL - NOT SPECIFIED",$GW61)))</f>
        <v/>
      </c>
      <c r="FO61" s="54" t="str">
        <f>IF(FO31="","",IF(FO31&lt;&gt;"THERMAL",FO31,IF($GW61="","THERMAL - NOT SPECIFIED",$GW61)))</f>
        <v/>
      </c>
      <c r="FP61" s="54" t="str">
        <f>IF(FP31="","",IF(FP31&lt;&gt;"THERMAL",FP31,IF($GW61="","THERMAL - NOT SPECIFIED",$GW61)))</f>
        <v/>
      </c>
      <c r="FQ61" s="54" t="str">
        <f>IF(FQ31="","",IF(FQ31&lt;&gt;"THERMAL",FQ31,IF($GW61="","THERMAL - NOT SPECIFIED",$GW61)))</f>
        <v/>
      </c>
      <c r="FR61" s="54" t="str">
        <f>IF(FR31="","",IF(FR31&lt;&gt;"THERMAL",FR31,IF($GW61="","THERMAL - NOT SPECIFIED",$GW61)))</f>
        <v/>
      </c>
      <c r="FS61" s="54" t="str">
        <f>IF(FS31="","",IF(FS31&lt;&gt;"THERMAL",FS31,IF($GW61="","THERMAL - NOT SPECIFIED",$GW61)))</f>
        <v/>
      </c>
      <c r="FT61" s="54" t="str">
        <f>IF(FT31="","",IF(FT31&lt;&gt;"THERMAL",FT31,IF($GW61="","THERMAL - NOT SPECIFIED",$GW61)))</f>
        <v/>
      </c>
      <c r="FU61" s="54" t="str">
        <f>IF(FU31="","",IF(FU31&lt;&gt;"THERMAL",FU31,IF($GW61="","THERMAL - NOT SPECIFIED",$GW61)))</f>
        <v/>
      </c>
      <c r="FV61" s="54" t="str">
        <f>IF(FV31="","",IF(FV31&lt;&gt;"THERMAL",FV31,IF($GW61="","THERMAL - NOT SPECIFIED",$GW61)))</f>
        <v/>
      </c>
      <c r="FW61" s="54" t="str">
        <f>IF(FW31="","",IF(FW31&lt;&gt;"THERMAL",FW31,IF($GW61="","THERMAL - NOT SPECIFIED",$GW61)))</f>
        <v/>
      </c>
      <c r="FX61" s="54" t="str">
        <f>IF(FX31="","",IF(FX31&lt;&gt;"THERMAL",FX31,IF($GW61="","THERMAL - NOT SPECIFIED",$GW61)))</f>
        <v/>
      </c>
      <c r="FY61" s="54" t="str">
        <f>IF(FY31="","",IF(FY31&lt;&gt;"THERMAL",FY31,IF($GW61="","THERMAL - NOT SPECIFIED",$GW61)))</f>
        <v/>
      </c>
      <c r="FZ61" s="54" t="str">
        <f>IF(FZ31="","",IF(FZ31&lt;&gt;"THERMAL",FZ31,IF($GW61="","THERMAL - NOT SPECIFIED",$GW61)))</f>
        <v/>
      </c>
      <c r="GA61" s="54" t="str">
        <f>IF(GA31="","",IF(GA31&lt;&gt;"THERMAL",GA31,IF($GW61="","THERMAL - NOT SPECIFIED",$GW61)))</f>
        <v/>
      </c>
      <c r="GB61" s="54" t="str">
        <f>IF(GB31="","",IF(GB31&lt;&gt;"THERMAL",GB31,IF($GW61="","THERMAL - NOT SPECIFIED",$GW61)))</f>
        <v/>
      </c>
      <c r="GC61" s="54" t="str">
        <f>IF(GC31="","",IF(GC31&lt;&gt;"THERMAL",GC31,IF($GW61="","THERMAL - NOT SPECIFIED",$GW61)))</f>
        <v/>
      </c>
      <c r="GD61" s="54" t="str">
        <f>IF(GD31="","",IF(GD31&lt;&gt;"THERMAL",GD31,IF($GW61="","THERMAL - NOT SPECIFIED",$GW61)))</f>
        <v/>
      </c>
      <c r="GE61" s="54" t="str">
        <f>IF(GE31="","",IF(GE31&lt;&gt;"THERMAL",GE31,IF($GW61="","THERMAL - NOT SPECIFIED",$GW61)))</f>
        <v/>
      </c>
      <c r="GF61" s="54" t="str">
        <f>IF(GF31="","",IF(GF31&lt;&gt;"THERMAL",GF31,IF($GW61="","THERMAL - NOT SPECIFIED",$GW61)))</f>
        <v/>
      </c>
      <c r="GG61" s="54" t="str">
        <f>IF(GG31="","",IF(GG31&lt;&gt;"THERMAL",GG31,IF($GW61="","THERMAL - NOT SPECIFIED",$GW61)))</f>
        <v/>
      </c>
      <c r="GH61" s="54" t="str">
        <f>IF(GH31="","",IF(GH31&lt;&gt;"THERMAL",GH31,IF($GW61="","THERMAL - NOT SPECIFIED",$GW61)))</f>
        <v/>
      </c>
      <c r="GI61" s="54" t="str">
        <f>IF(GI31="","",IF(GI31&lt;&gt;"THERMAL",GI31,IF($GW61="","THERMAL - NOT SPECIFIED",$GW61)))</f>
        <v/>
      </c>
      <c r="GJ61" s="54" t="str">
        <f>IF(GJ31="","",IF(GJ31&lt;&gt;"THERMAL",GJ31,IF($GW61="","THERMAL - NOT SPECIFIED",$GW61)))</f>
        <v/>
      </c>
      <c r="GK61" s="54" t="str">
        <f>IF(GK31="","",IF(GK31&lt;&gt;"THERMAL",GK31,IF($GW61="","THERMAL - NOT SPECIFIED",$GW61)))</f>
        <v/>
      </c>
      <c r="GL61" s="54" t="str">
        <f>IF(GL31="","",IF(GL31&lt;&gt;"THERMAL",GL31,IF($GW61="","THERMAL - NOT SPECIFIED",$GW61)))</f>
        <v/>
      </c>
      <c r="GM61" s="54" t="str">
        <f>IF(GM31="","",IF(GM31&lt;&gt;"THERMAL",GM31,IF($GW61="","THERMAL - NOT SPECIFIED",$GW61)))</f>
        <v/>
      </c>
      <c r="GN61" s="54" t="str">
        <f>IF(GN31="","",IF(GN31&lt;&gt;"THERMAL",GN31,IF($GW61="","THERMAL - NOT SPECIFIED",$GW61)))</f>
        <v/>
      </c>
      <c r="GO61" s="54" t="str">
        <f>IF(GO31="","",IF(GO31&lt;&gt;"THERMAL",GO31,IF($GW61="","THERMAL - NOT SPECIFIED",$GW61)))</f>
        <v/>
      </c>
      <c r="GP61" s="54" t="str">
        <f>IF(GP31="","",IF(GP31&lt;&gt;"THERMAL",GP31,IF($GW61="","THERMAL - NOT SPECIFIED",$GW61)))</f>
        <v/>
      </c>
      <c r="GQ61" s="54" t="str">
        <f>IF(GQ31="","",IF(GQ31&lt;&gt;"THERMAL",GQ31,IF($GW61="","THERMAL - NOT SPECIFIED",$GW61)))</f>
        <v/>
      </c>
      <c r="GR61" s="54" t="str">
        <f>IF(GR31="","",IF(GR31&lt;&gt;"THERMAL",GR31,IF($GW61="","THERMAL - NOT SPECIFIED",$GW61)))</f>
        <v/>
      </c>
      <c r="GS61" s="54" t="str">
        <f>IF(GS31="","",IF(GS31&lt;&gt;"THERMAL",GS31,IF($GW61="","THERMAL - NOT SPECIFIED",$GW61)))</f>
        <v/>
      </c>
      <c r="GW61" s="55" t="str">
        <f>IF($GY61="","",IFERROR(INDEX('MC MAP'!$L$5:$L$28,MATCH($GY61,'MC MAP'!$K$5:$K$28,0)),$GY61))</f>
        <v>TH-02</v>
      </c>
      <c r="GY61" s="60" t="s">
        <v>19</v>
      </c>
    </row>
    <row r="62" spans="1:207">
      <c r="GY62" s="15"/>
    </row>
    <row r="63" spans="1:207">
      <c r="GY63" s="15"/>
    </row>
    <row r="64" spans="1:207">
      <c r="A64" s="9" t="s">
        <v>290</v>
      </c>
      <c r="B64" s="10"/>
      <c r="GY64" s="15"/>
    </row>
    <row r="65" spans="1:207">
      <c r="A65" s="12" t="s">
        <v>219</v>
      </c>
      <c r="B65" s="53">
        <f>B$5</f>
        <v>46235</v>
      </c>
      <c r="C65" s="53">
        <f>C$5</f>
        <v>46236</v>
      </c>
      <c r="D65" s="53">
        <f>D$5</f>
        <v>46237</v>
      </c>
      <c r="E65" s="53">
        <f>E$5</f>
        <v>46238</v>
      </c>
      <c r="F65" s="53">
        <f>F$5</f>
        <v>46239</v>
      </c>
      <c r="G65" s="53">
        <f>G$5</f>
        <v>46240</v>
      </c>
      <c r="H65" s="53">
        <f>H$5</f>
        <v>46241</v>
      </c>
      <c r="I65" s="53">
        <f>I$5</f>
        <v>46242</v>
      </c>
      <c r="J65" s="53">
        <f>J$5</f>
        <v>46243</v>
      </c>
      <c r="K65" s="53">
        <f>K$5</f>
        <v>46244</v>
      </c>
      <c r="L65" s="53">
        <f>L$5</f>
        <v>46245</v>
      </c>
      <c r="M65" s="53">
        <f>M$5</f>
        <v>46246</v>
      </c>
      <c r="N65" s="53">
        <f>N$5</f>
        <v>46247</v>
      </c>
      <c r="O65" s="53">
        <f>O$5</f>
        <v>46248</v>
      </c>
      <c r="P65" s="53">
        <f>P$5</f>
        <v>46249</v>
      </c>
      <c r="Q65" s="53">
        <f>Q$5</f>
        <v>46250</v>
      </c>
      <c r="R65" s="53">
        <f>R$5</f>
        <v>46251</v>
      </c>
      <c r="S65" s="53">
        <f>S$5</f>
        <v>46252</v>
      </c>
      <c r="T65" s="53">
        <f>T$5</f>
        <v>46253</v>
      </c>
      <c r="U65" s="53">
        <f>U$5</f>
        <v>46254</v>
      </c>
      <c r="V65" s="53">
        <f>V$5</f>
        <v>46255</v>
      </c>
      <c r="W65" s="53">
        <f>W$5</f>
        <v>46256</v>
      </c>
      <c r="X65" s="53">
        <f>X$5</f>
        <v>46257</v>
      </c>
      <c r="Y65" s="53">
        <f>Y$5</f>
        <v>46258</v>
      </c>
      <c r="Z65" s="53">
        <f>Z$5</f>
        <v>46259</v>
      </c>
      <c r="AA65" s="53">
        <f>AA$5</f>
        <v>46260</v>
      </c>
      <c r="AB65" s="53">
        <f>AB$5</f>
        <v>46261</v>
      </c>
      <c r="AC65" s="53">
        <f>AC$5</f>
        <v>46262</v>
      </c>
      <c r="AD65" s="53">
        <f>AD$5</f>
        <v>46263</v>
      </c>
      <c r="AE65" s="53">
        <f>AE$5</f>
        <v>46264</v>
      </c>
      <c r="AF65" s="53">
        <f>AF$5</f>
        <v>46265</v>
      </c>
      <c r="AG65" s="53">
        <f>AG$5</f>
        <v>46266</v>
      </c>
      <c r="AH65" s="53">
        <f>AH$5</f>
        <v>46267</v>
      </c>
      <c r="AI65" s="53">
        <f>AI$5</f>
        <v>46268</v>
      </c>
      <c r="AJ65" s="53">
        <f>AJ$5</f>
        <v>46269</v>
      </c>
      <c r="AK65" s="53">
        <f>AK$5</f>
        <v>46270</v>
      </c>
      <c r="AL65" s="53">
        <f>AL$5</f>
        <v>46271</v>
      </c>
      <c r="AM65" s="53">
        <f>AM$5</f>
        <v>46272</v>
      </c>
      <c r="AN65" s="53">
        <f>AN$5</f>
        <v>46273</v>
      </c>
      <c r="AO65" s="53">
        <f>AO$5</f>
        <v>46274</v>
      </c>
      <c r="AP65" s="53">
        <f>AP$5</f>
        <v>46275</v>
      </c>
      <c r="AQ65" s="53">
        <f>AQ$5</f>
        <v>46276</v>
      </c>
      <c r="AR65" s="53">
        <f>AR$5</f>
        <v>46277</v>
      </c>
      <c r="AS65" s="53">
        <f>AS$5</f>
        <v>46278</v>
      </c>
      <c r="AT65" s="53">
        <f>AT$5</f>
        <v>46279</v>
      </c>
      <c r="AU65" s="53">
        <f>AU$5</f>
        <v>46280</v>
      </c>
      <c r="AV65" s="53">
        <f>AV$5</f>
        <v>46281</v>
      </c>
      <c r="AW65" s="53">
        <f>AW$5</f>
        <v>46282</v>
      </c>
      <c r="AX65" s="53">
        <f>AX$5</f>
        <v>46283</v>
      </c>
      <c r="AY65" s="53">
        <f>AY$5</f>
        <v>46284</v>
      </c>
      <c r="AZ65" s="53">
        <f>AZ$5</f>
        <v>46285</v>
      </c>
      <c r="BA65" s="53">
        <f>BA$5</f>
        <v>46286</v>
      </c>
      <c r="BB65" s="53">
        <f>BB$5</f>
        <v>46287</v>
      </c>
      <c r="BC65" s="53">
        <f>BC$5</f>
        <v>46288</v>
      </c>
      <c r="BD65" s="53">
        <f>BD$5</f>
        <v>46289</v>
      </c>
      <c r="BE65" s="53">
        <f>BE$5</f>
        <v>46290</v>
      </c>
      <c r="BF65" s="53">
        <f>BF$5</f>
        <v>46291</v>
      </c>
      <c r="BG65" s="53">
        <f>BG$5</f>
        <v>46292</v>
      </c>
      <c r="BH65" s="53">
        <f>BH$5</f>
        <v>46293</v>
      </c>
      <c r="BI65" s="53">
        <f>BI$5</f>
        <v>46294</v>
      </c>
      <c r="BJ65" s="53">
        <f>BJ$5</f>
        <v>46295</v>
      </c>
      <c r="BK65" s="53">
        <f>BK$5</f>
        <v>46296</v>
      </c>
      <c r="BL65" s="53">
        <f>BL$5</f>
        <v>46297</v>
      </c>
      <c r="BM65" s="53">
        <f>BM$5</f>
        <v>46298</v>
      </c>
      <c r="BN65" s="53">
        <f>BN$5</f>
        <v>46299</v>
      </c>
      <c r="BO65" s="53">
        <f>BO$5</f>
        <v>46300</v>
      </c>
      <c r="BP65" s="53">
        <f>BP$5</f>
        <v>46301</v>
      </c>
      <c r="BQ65" s="53">
        <f>BQ$5</f>
        <v>46302</v>
      </c>
      <c r="BR65" s="53">
        <f>BR$5</f>
        <v>46303</v>
      </c>
      <c r="BS65" s="53">
        <f>BS$5</f>
        <v>46304</v>
      </c>
      <c r="BT65" s="53">
        <f>BT$5</f>
        <v>46305</v>
      </c>
      <c r="BU65" s="53">
        <f>BU$5</f>
        <v>46306</v>
      </c>
      <c r="BV65" s="53">
        <f>BV$5</f>
        <v>46307</v>
      </c>
      <c r="BW65" s="53">
        <f>BW$5</f>
        <v>46308</v>
      </c>
      <c r="BX65" s="53">
        <f>BX$5</f>
        <v>46309</v>
      </c>
      <c r="BY65" s="53">
        <f>BY$5</f>
        <v>46310</v>
      </c>
      <c r="BZ65" s="53">
        <f>BZ$5</f>
        <v>46311</v>
      </c>
      <c r="CA65" s="53">
        <f>CA$5</f>
        <v>46312</v>
      </c>
      <c r="CB65" s="53">
        <f>CB$5</f>
        <v>46313</v>
      </c>
      <c r="CC65" s="53">
        <f>CC$5</f>
        <v>46314</v>
      </c>
      <c r="CD65" s="53">
        <f>CD$5</f>
        <v>46315</v>
      </c>
      <c r="CE65" s="53">
        <f>CE$5</f>
        <v>46316</v>
      </c>
      <c r="CF65" s="53">
        <f>CF$5</f>
        <v>46317</v>
      </c>
      <c r="CG65" s="53">
        <f>CG$5</f>
        <v>46318</v>
      </c>
      <c r="CH65" s="53">
        <f>CH$5</f>
        <v>46319</v>
      </c>
      <c r="CI65" s="53">
        <f>CI$5</f>
        <v>46320</v>
      </c>
      <c r="CJ65" s="53">
        <f>CJ$5</f>
        <v>46321</v>
      </c>
      <c r="CK65" s="53">
        <f>CK$5</f>
        <v>46322</v>
      </c>
      <c r="CL65" s="53">
        <f>CL$5</f>
        <v>46323</v>
      </c>
      <c r="CM65" s="53">
        <f>CM$5</f>
        <v>46324</v>
      </c>
      <c r="CN65" s="53">
        <f>CN$5</f>
        <v>46325</v>
      </c>
      <c r="CO65" s="53">
        <f>CO$5</f>
        <v>46326</v>
      </c>
      <c r="CP65" s="53">
        <f>CP$5</f>
        <v>46327</v>
      </c>
      <c r="CQ65" s="53">
        <f>CQ$5</f>
        <v>46328</v>
      </c>
      <c r="CR65" s="53">
        <f>CR$5</f>
        <v>46329</v>
      </c>
      <c r="CS65" s="53">
        <f>CS$5</f>
        <v>46330</v>
      </c>
      <c r="CT65" s="53">
        <f>CT$5</f>
        <v>46331</v>
      </c>
      <c r="CU65" s="53">
        <f>CU$5</f>
        <v>46332</v>
      </c>
      <c r="CV65" s="53">
        <f>CV$5</f>
        <v>46333</v>
      </c>
      <c r="CW65" s="53">
        <f>CW$5</f>
        <v>46334</v>
      </c>
      <c r="CX65" s="53">
        <f>CX$5</f>
        <v>46335</v>
      </c>
      <c r="CY65" s="53">
        <f>CY$5</f>
        <v>46336</v>
      </c>
      <c r="CZ65" s="53">
        <f>CZ$5</f>
        <v>46337</v>
      </c>
      <c r="DA65" s="53">
        <f>DA$5</f>
        <v>46338</v>
      </c>
      <c r="DB65" s="53">
        <f>DB$5</f>
        <v>46339</v>
      </c>
      <c r="DC65" s="53">
        <f>DC$5</f>
        <v>0</v>
      </c>
      <c r="DD65" s="53">
        <f>DD$5</f>
        <v>0</v>
      </c>
      <c r="DE65" s="53">
        <f>DE$5</f>
        <v>0</v>
      </c>
      <c r="DF65" s="53">
        <f>DF$5</f>
        <v>0</v>
      </c>
      <c r="DG65" s="53">
        <f>DG$5</f>
        <v>0</v>
      </c>
      <c r="DH65" s="53">
        <f>DH$5</f>
        <v>0</v>
      </c>
      <c r="DI65" s="53">
        <f>DI$5</f>
        <v>0</v>
      </c>
      <c r="DJ65" s="53">
        <f>DJ$5</f>
        <v>0</v>
      </c>
      <c r="DK65" s="53">
        <f>DK$5</f>
        <v>0</v>
      </c>
      <c r="DL65" s="53">
        <f>DL$5</f>
        <v>0</v>
      </c>
      <c r="DM65" s="53">
        <f>DM$5</f>
        <v>0</v>
      </c>
      <c r="DN65" s="53">
        <f>DN$5</f>
        <v>0</v>
      </c>
      <c r="DO65" s="53">
        <f>DO$5</f>
        <v>0</v>
      </c>
      <c r="DP65" s="53">
        <f>DP$5</f>
        <v>0</v>
      </c>
      <c r="DQ65" s="53">
        <f>DQ$5</f>
        <v>0</v>
      </c>
      <c r="DR65" s="53">
        <f>DR$5</f>
        <v>0</v>
      </c>
      <c r="DS65" s="53">
        <f>DS$5</f>
        <v>0</v>
      </c>
      <c r="DT65" s="53">
        <f>DT$5</f>
        <v>0</v>
      </c>
      <c r="DU65" s="53">
        <f>DU$5</f>
        <v>0</v>
      </c>
      <c r="DV65" s="53">
        <f>DV$5</f>
        <v>0</v>
      </c>
      <c r="DW65" s="53">
        <f>DW$5</f>
        <v>0</v>
      </c>
      <c r="DX65" s="53">
        <f>DX$5</f>
        <v>0</v>
      </c>
      <c r="DY65" s="53">
        <f>DY$5</f>
        <v>0</v>
      </c>
      <c r="DZ65" s="53">
        <f>DZ$5</f>
        <v>0</v>
      </c>
      <c r="EA65" s="53">
        <f>EA$5</f>
        <v>0</v>
      </c>
      <c r="EB65" s="53">
        <f>EB$5</f>
        <v>0</v>
      </c>
      <c r="EC65" s="53">
        <f>EC$5</f>
        <v>0</v>
      </c>
      <c r="ED65" s="53">
        <f>ED$5</f>
        <v>0</v>
      </c>
      <c r="EE65" s="53">
        <f>EE$5</f>
        <v>0</v>
      </c>
      <c r="EF65" s="53">
        <f>EF$5</f>
        <v>0</v>
      </c>
      <c r="EG65" s="53">
        <f>EG$5</f>
        <v>0</v>
      </c>
      <c r="EH65" s="53">
        <f>EH$5</f>
        <v>0</v>
      </c>
      <c r="EI65" s="53">
        <f>EI$5</f>
        <v>0</v>
      </c>
      <c r="EJ65" s="53">
        <f>EJ$5</f>
        <v>0</v>
      </c>
      <c r="EK65" s="53">
        <f>EK$5</f>
        <v>0</v>
      </c>
      <c r="EL65" s="53">
        <f>EL$5</f>
        <v>0</v>
      </c>
      <c r="EM65" s="53">
        <f>EM$5</f>
        <v>0</v>
      </c>
      <c r="EN65" s="53">
        <f>EN$5</f>
        <v>0</v>
      </c>
      <c r="EO65" s="53">
        <f>EO$5</f>
        <v>0</v>
      </c>
      <c r="EP65" s="53">
        <f>EP$5</f>
        <v>0</v>
      </c>
      <c r="EQ65" s="53">
        <f>EQ$5</f>
        <v>0</v>
      </c>
      <c r="ER65" s="53">
        <f>ER$5</f>
        <v>0</v>
      </c>
      <c r="ES65" s="53">
        <f>ES$5</f>
        <v>0</v>
      </c>
      <c r="ET65" s="53">
        <f>ET$5</f>
        <v>0</v>
      </c>
      <c r="EU65" s="53">
        <f>EU$5</f>
        <v>0</v>
      </c>
      <c r="EV65" s="53">
        <f>EV$5</f>
        <v>0</v>
      </c>
      <c r="EW65" s="53">
        <f>EW$5</f>
        <v>0</v>
      </c>
      <c r="EX65" s="53">
        <f>EX$5</f>
        <v>0</v>
      </c>
      <c r="EY65" s="53">
        <f>EY$5</f>
        <v>0</v>
      </c>
      <c r="EZ65" s="53">
        <f>EZ$5</f>
        <v>0</v>
      </c>
      <c r="FA65" s="53">
        <f>FA$5</f>
        <v>0</v>
      </c>
      <c r="FB65" s="53">
        <f>FB$5</f>
        <v>0</v>
      </c>
      <c r="FC65" s="53">
        <f>FC$5</f>
        <v>0</v>
      </c>
      <c r="FD65" s="53">
        <f>FD$5</f>
        <v>0</v>
      </c>
      <c r="FE65" s="53">
        <f>FE$5</f>
        <v>0</v>
      </c>
      <c r="FF65" s="53">
        <f>FF$5</f>
        <v>0</v>
      </c>
      <c r="FG65" s="53">
        <f>FG$5</f>
        <v>0</v>
      </c>
      <c r="FH65" s="53">
        <f>FH$5</f>
        <v>0</v>
      </c>
      <c r="FI65" s="53">
        <f>FI$5</f>
        <v>0</v>
      </c>
      <c r="FJ65" s="53">
        <f>FJ$5</f>
        <v>0</v>
      </c>
      <c r="FK65" s="53">
        <f>FK$5</f>
        <v>0</v>
      </c>
      <c r="FL65" s="53">
        <f>FL$5</f>
        <v>0</v>
      </c>
      <c r="FM65" s="53">
        <f>FM$5</f>
        <v>0</v>
      </c>
      <c r="FN65" s="53">
        <f>FN$5</f>
        <v>0</v>
      </c>
      <c r="FO65" s="53">
        <f>FO$5</f>
        <v>0</v>
      </c>
      <c r="FP65" s="53">
        <f>FP$5</f>
        <v>0</v>
      </c>
      <c r="FQ65" s="53">
        <f>FQ$5</f>
        <v>0</v>
      </c>
      <c r="FR65" s="53">
        <f>FR$5</f>
        <v>0</v>
      </c>
      <c r="FS65" s="53">
        <f>FS$5</f>
        <v>0</v>
      </c>
      <c r="FT65" s="53">
        <f>FT$5</f>
        <v>0</v>
      </c>
      <c r="FU65" s="53">
        <f>FU$5</f>
        <v>0</v>
      </c>
      <c r="FV65" s="53">
        <f>FV$5</f>
        <v>0</v>
      </c>
      <c r="FW65" s="53">
        <f>FW$5</f>
        <v>0</v>
      </c>
      <c r="FX65" s="53">
        <f>FX$5</f>
        <v>0</v>
      </c>
      <c r="FY65" s="53">
        <f>FY$5</f>
        <v>0</v>
      </c>
      <c r="FZ65" s="53">
        <f>FZ$5</f>
        <v>0</v>
      </c>
      <c r="GA65" s="53">
        <f>GA$5</f>
        <v>0</v>
      </c>
      <c r="GB65" s="53">
        <f>GB$5</f>
        <v>0</v>
      </c>
      <c r="GC65" s="53">
        <f>GC$5</f>
        <v>0</v>
      </c>
      <c r="GD65" s="53">
        <f>GD$5</f>
        <v>0</v>
      </c>
      <c r="GE65" s="53">
        <f>GE$5</f>
        <v>0</v>
      </c>
      <c r="GF65" s="53">
        <f>GF$5</f>
        <v>0</v>
      </c>
      <c r="GG65" s="53">
        <f>GG$5</f>
        <v>0</v>
      </c>
      <c r="GH65" s="53">
        <f>GH$5</f>
        <v>0</v>
      </c>
      <c r="GI65" s="53">
        <f>GI$5</f>
        <v>0</v>
      </c>
      <c r="GJ65" s="53">
        <f>GJ$5</f>
        <v>0</v>
      </c>
      <c r="GK65" s="53">
        <f>GK$5</f>
        <v>0</v>
      </c>
      <c r="GL65" s="53">
        <f>GL$5</f>
        <v>0</v>
      </c>
      <c r="GM65" s="53">
        <f>GM$5</f>
        <v>0</v>
      </c>
      <c r="GN65" s="53">
        <f>GN$5</f>
        <v>0</v>
      </c>
      <c r="GO65" s="53">
        <f>GO$5</f>
        <v>0</v>
      </c>
      <c r="GP65" s="53">
        <f>GP$5</f>
        <v>0</v>
      </c>
      <c r="GQ65" s="53">
        <f>GQ$5</f>
        <v>0</v>
      </c>
      <c r="GR65" s="53">
        <f>GR$5</f>
        <v>0</v>
      </c>
      <c r="GS65" s="53">
        <f>GS$5</f>
        <v>0</v>
      </c>
      <c r="GY65" s="11" t="s">
        <v>291</v>
      </c>
    </row>
    <row r="66" spans="1:207">
      <c r="A66" s="2">
        <f>$A36</f>
        <v>1</v>
      </c>
      <c r="B66" s="2">
        <f>0</f>
        <v>0</v>
      </c>
      <c r="C66" s="2">
        <f>IF(OR(C36="",B36=""),0,--(C36&lt;&gt;B36))</f>
        <v>0</v>
      </c>
      <c r="D66" s="2">
        <f>IF(OR(D36="",C36=""),0,--(D36&lt;&gt;C36))</f>
        <v>0</v>
      </c>
      <c r="E66" s="2">
        <f>IF(OR(E36="",D36=""),0,--(E36&lt;&gt;D36))</f>
        <v>0</v>
      </c>
      <c r="F66" s="2">
        <f>IF(OR(F36="",E36=""),0,--(F36&lt;&gt;E36))</f>
        <v>0</v>
      </c>
      <c r="G66" s="2">
        <f>IF(OR(G36="",F36=""),0,--(G36&lt;&gt;F36))</f>
        <v>0</v>
      </c>
      <c r="H66" s="2">
        <f>IF(OR(H36="",G36=""),0,--(H36&lt;&gt;G36))</f>
        <v>0</v>
      </c>
      <c r="I66" s="2">
        <f>IF(OR(I36="",H36=""),0,--(I36&lt;&gt;H36))</f>
        <v>0</v>
      </c>
      <c r="J66" s="2">
        <f>IF(OR(J36="",I36=""),0,--(J36&lt;&gt;I36))</f>
        <v>0</v>
      </c>
      <c r="K66" s="2">
        <f>IF(OR(K36="",J36=""),0,--(K36&lt;&gt;J36))</f>
        <v>0</v>
      </c>
      <c r="L66" s="2">
        <f>IF(OR(L36="",K36=""),0,--(L36&lt;&gt;K36))</f>
        <v>0</v>
      </c>
      <c r="M66" s="2">
        <f>IF(OR(M36="",L36=""),0,--(M36&lt;&gt;L36))</f>
        <v>0</v>
      </c>
      <c r="N66" s="2">
        <f>IF(OR(N36="",M36=""),0,--(N36&lt;&gt;M36))</f>
        <v>0</v>
      </c>
      <c r="O66" s="2">
        <f>IF(OR(O36="",N36=""),0,--(O36&lt;&gt;N36))</f>
        <v>0</v>
      </c>
      <c r="P66" s="2">
        <f>IF(OR(P36="",O36=""),0,--(P36&lt;&gt;O36))</f>
        <v>0</v>
      </c>
      <c r="Q66" s="2">
        <f>IF(OR(Q36="",P36=""),0,--(Q36&lt;&gt;P36))</f>
        <v>0</v>
      </c>
      <c r="R66" s="2">
        <f>IF(OR(R36="",Q36=""),0,--(R36&lt;&gt;Q36))</f>
        <v>0</v>
      </c>
      <c r="S66" s="2">
        <f>IF(OR(S36="",R36=""),0,--(S36&lt;&gt;R36))</f>
        <v>0</v>
      </c>
      <c r="T66" s="2">
        <f>IF(OR(T36="",S36=""),0,--(T36&lt;&gt;S36))</f>
        <v>0</v>
      </c>
      <c r="U66" s="2">
        <f>IF(OR(U36="",T36=""),0,--(U36&lt;&gt;T36))</f>
        <v>0</v>
      </c>
      <c r="V66" s="2">
        <f>IF(OR(V36="",U36=""),0,--(V36&lt;&gt;U36))</f>
        <v>0</v>
      </c>
      <c r="W66" s="2">
        <f>IF(OR(W36="",V36=""),0,--(W36&lt;&gt;V36))</f>
        <v>0</v>
      </c>
      <c r="X66" s="2">
        <f>IF(OR(X36="",W36=""),0,--(X36&lt;&gt;W36))</f>
        <v>0</v>
      </c>
      <c r="Y66" s="2">
        <f>IF(OR(Y36="",X36=""),0,--(Y36&lt;&gt;X36))</f>
        <v>0</v>
      </c>
      <c r="Z66" s="2">
        <f>IF(OR(Z36="",Y36=""),0,--(Z36&lt;&gt;Y36))</f>
        <v>0</v>
      </c>
      <c r="AA66" s="2">
        <f>IF(OR(AA36="",Z36=""),0,--(AA36&lt;&gt;Z36))</f>
        <v>0</v>
      </c>
      <c r="AB66" s="2">
        <f>IF(OR(AB36="",AA36=""),0,--(AB36&lt;&gt;AA36))</f>
        <v>0</v>
      </c>
      <c r="AC66" s="2">
        <f>IF(OR(AC36="",AB36=""),0,--(AC36&lt;&gt;AB36))</f>
        <v>0</v>
      </c>
      <c r="AD66" s="2">
        <f>IF(OR(AD36="",AC36=""),0,--(AD36&lt;&gt;AC36))</f>
        <v>0</v>
      </c>
      <c r="AE66" s="2">
        <f>IF(OR(AE36="",AD36=""),0,--(AE36&lt;&gt;AD36))</f>
        <v>0</v>
      </c>
      <c r="AF66" s="2">
        <f>IF(OR(AF36="",AE36=""),0,--(AF36&lt;&gt;AE36))</f>
        <v>0</v>
      </c>
      <c r="AG66" s="2">
        <f>IF(OR(AG36="",AF36=""),0,--(AG36&lt;&gt;AF36))</f>
        <v>0</v>
      </c>
      <c r="AH66" s="2">
        <f>IF(OR(AH36="",AG36=""),0,--(AH36&lt;&gt;AG36))</f>
        <v>0</v>
      </c>
      <c r="AI66" s="2">
        <f>IF(OR(AI36="",AH36=""),0,--(AI36&lt;&gt;AH36))</f>
        <v>0</v>
      </c>
      <c r="AJ66" s="2">
        <f>IF(OR(AJ36="",AI36=""),0,--(AJ36&lt;&gt;AI36))</f>
        <v>0</v>
      </c>
      <c r="AK66" s="2">
        <f>IF(OR(AK36="",AJ36=""),0,--(AK36&lt;&gt;AJ36))</f>
        <v>0</v>
      </c>
      <c r="AL66" s="2">
        <f>IF(OR(AL36="",AK36=""),0,--(AL36&lt;&gt;AK36))</f>
        <v>0</v>
      </c>
      <c r="AM66" s="2">
        <f>IF(OR(AM36="",AL36=""),0,--(AM36&lt;&gt;AL36))</f>
        <v>0</v>
      </c>
      <c r="AN66" s="2">
        <f>IF(OR(AN36="",AM36=""),0,--(AN36&lt;&gt;AM36))</f>
        <v>0</v>
      </c>
      <c r="AO66" s="2">
        <f>IF(OR(AO36="",AN36=""),0,--(AO36&lt;&gt;AN36))</f>
        <v>0</v>
      </c>
      <c r="AP66" s="2">
        <f>IF(OR(AP36="",AO36=""),0,--(AP36&lt;&gt;AO36))</f>
        <v>0</v>
      </c>
      <c r="AQ66" s="2">
        <f>IF(OR(AQ36="",AP36=""),0,--(AQ36&lt;&gt;AP36))</f>
        <v>0</v>
      </c>
      <c r="AR66" s="2">
        <f>IF(OR(AR36="",AQ36=""),0,--(AR36&lt;&gt;AQ36))</f>
        <v>0</v>
      </c>
      <c r="AS66" s="2">
        <f>IF(OR(AS36="",AR36=""),0,--(AS36&lt;&gt;AR36))</f>
        <v>0</v>
      </c>
      <c r="AT66" s="2">
        <f>IF(OR(AT36="",AS36=""),0,--(AT36&lt;&gt;AS36))</f>
        <v>0</v>
      </c>
      <c r="AU66" s="2">
        <f>IF(OR(AU36="",AT36=""),0,--(AU36&lt;&gt;AT36))</f>
        <v>0</v>
      </c>
      <c r="AV66" s="2">
        <f>IF(OR(AV36="",AU36=""),0,--(AV36&lt;&gt;AU36))</f>
        <v>0</v>
      </c>
      <c r="AW66" s="2">
        <f>IF(OR(AW36="",AV36=""),0,--(AW36&lt;&gt;AV36))</f>
        <v>0</v>
      </c>
      <c r="AX66" s="2">
        <f>IF(OR(AX36="",AW36=""),0,--(AX36&lt;&gt;AW36))</f>
        <v>0</v>
      </c>
      <c r="AY66" s="2">
        <f>IF(OR(AY36="",AX36=""),0,--(AY36&lt;&gt;AX36))</f>
        <v>0</v>
      </c>
      <c r="AZ66" s="2">
        <f>IF(OR(AZ36="",AY36=""),0,--(AZ36&lt;&gt;AY36))</f>
        <v>0</v>
      </c>
      <c r="BA66" s="2">
        <f>IF(OR(BA36="",AZ36=""),0,--(BA36&lt;&gt;AZ36))</f>
        <v>0</v>
      </c>
      <c r="BB66" s="2">
        <f>IF(OR(BB36="",BA36=""),0,--(BB36&lt;&gt;BA36))</f>
        <v>0</v>
      </c>
      <c r="BC66" s="2">
        <f>IF(OR(BC36="",BB36=""),0,--(BC36&lt;&gt;BB36))</f>
        <v>0</v>
      </c>
      <c r="BD66" s="2">
        <f>IF(OR(BD36="",BC36=""),0,--(BD36&lt;&gt;BC36))</f>
        <v>0</v>
      </c>
      <c r="BE66" s="2">
        <f>IF(OR(BE36="",BD36=""),0,--(BE36&lt;&gt;BD36))</f>
        <v>0</v>
      </c>
      <c r="BF66" s="2">
        <f>IF(OR(BF36="",BE36=""),0,--(BF36&lt;&gt;BE36))</f>
        <v>0</v>
      </c>
      <c r="BG66" s="2">
        <f>IF(OR(BG36="",BF36=""),0,--(BG36&lt;&gt;BF36))</f>
        <v>0</v>
      </c>
      <c r="BH66" s="2">
        <f>IF(OR(BH36="",BG36=""),0,--(BH36&lt;&gt;BG36))</f>
        <v>0</v>
      </c>
      <c r="BI66" s="2">
        <f>IF(OR(BI36="",BH36=""),0,--(BI36&lt;&gt;BH36))</f>
        <v>0</v>
      </c>
      <c r="BJ66" s="2">
        <f>IF(OR(BJ36="",BI36=""),0,--(BJ36&lt;&gt;BI36))</f>
        <v>0</v>
      </c>
      <c r="BK66" s="2">
        <f>IF(OR(BK36="",BJ36=""),0,--(BK36&lt;&gt;BJ36))</f>
        <v>0</v>
      </c>
      <c r="BL66" s="2">
        <f>IF(OR(BL36="",BK36=""),0,--(BL36&lt;&gt;BK36))</f>
        <v>0</v>
      </c>
      <c r="BM66" s="2">
        <f>IF(OR(BM36="",BL36=""),0,--(BM36&lt;&gt;BL36))</f>
        <v>0</v>
      </c>
      <c r="BN66" s="2">
        <f>IF(OR(BN36="",BM36=""),0,--(BN36&lt;&gt;BM36))</f>
        <v>0</v>
      </c>
      <c r="BO66" s="2">
        <f>IF(OR(BO36="",BN36=""),0,--(BO36&lt;&gt;BN36))</f>
        <v>0</v>
      </c>
      <c r="BP66" s="2">
        <f>IF(OR(BP36="",BO36=""),0,--(BP36&lt;&gt;BO36))</f>
        <v>0</v>
      </c>
      <c r="BQ66" s="2">
        <f>IF(OR(BQ36="",BP36=""),0,--(BQ36&lt;&gt;BP36))</f>
        <v>0</v>
      </c>
      <c r="BR66" s="2">
        <f>IF(OR(BR36="",BQ36=""),0,--(BR36&lt;&gt;BQ36))</f>
        <v>0</v>
      </c>
      <c r="BS66" s="2">
        <f>IF(OR(BS36="",BR36=""),0,--(BS36&lt;&gt;BR36))</f>
        <v>0</v>
      </c>
      <c r="BT66" s="2">
        <f>IF(OR(BT36="",BS36=""),0,--(BT36&lt;&gt;BS36))</f>
        <v>0</v>
      </c>
      <c r="BU66" s="2">
        <f>IF(OR(BU36="",BT36=""),0,--(BU36&lt;&gt;BT36))</f>
        <v>0</v>
      </c>
      <c r="BV66" s="2">
        <f>IF(OR(BV36="",BU36=""),0,--(BV36&lt;&gt;BU36))</f>
        <v>0</v>
      </c>
      <c r="BW66" s="2">
        <f>IF(OR(BW36="",BV36=""),0,--(BW36&lt;&gt;BV36))</f>
        <v>0</v>
      </c>
      <c r="BX66" s="2">
        <f>IF(OR(BX36="",BW36=""),0,--(BX36&lt;&gt;BW36))</f>
        <v>0</v>
      </c>
      <c r="BY66" s="2">
        <f>IF(OR(BY36="",BX36=""),0,--(BY36&lt;&gt;BX36))</f>
        <v>0</v>
      </c>
      <c r="BZ66" s="2">
        <f>IF(OR(BZ36="",BY36=""),0,--(BZ36&lt;&gt;BY36))</f>
        <v>0</v>
      </c>
      <c r="CA66" s="2">
        <f>IF(OR(CA36="",BZ36=""),0,--(CA36&lt;&gt;BZ36))</f>
        <v>0</v>
      </c>
      <c r="CB66" s="2">
        <f>IF(OR(CB36="",CA36=""),0,--(CB36&lt;&gt;CA36))</f>
        <v>0</v>
      </c>
      <c r="CC66" s="2">
        <f>IF(OR(CC36="",CB36=""),0,--(CC36&lt;&gt;CB36))</f>
        <v>0</v>
      </c>
      <c r="CD66" s="2">
        <f>IF(OR(CD36="",CC36=""),0,--(CD36&lt;&gt;CC36))</f>
        <v>0</v>
      </c>
      <c r="CE66" s="2">
        <f>IF(OR(CE36="",CD36=""),0,--(CE36&lt;&gt;CD36))</f>
        <v>0</v>
      </c>
      <c r="CF66" s="2">
        <f>IF(OR(CF36="",CE36=""),0,--(CF36&lt;&gt;CE36))</f>
        <v>1</v>
      </c>
      <c r="CG66" s="2">
        <f>IF(OR(CG36="",CF36=""),0,--(CG36&lt;&gt;CF36))</f>
        <v>0</v>
      </c>
      <c r="CH66" s="2">
        <f>IF(OR(CH36="",CG36=""),0,--(CH36&lt;&gt;CG36))</f>
        <v>0</v>
      </c>
      <c r="CI66" s="2">
        <f>IF(OR(CI36="",CH36=""),0,--(CI36&lt;&gt;CH36))</f>
        <v>0</v>
      </c>
      <c r="CJ66" s="2">
        <f>IF(OR(CJ36="",CI36=""),0,--(CJ36&lt;&gt;CI36))</f>
        <v>0</v>
      </c>
      <c r="CK66" s="2">
        <f>IF(OR(CK36="",CJ36=""),0,--(CK36&lt;&gt;CJ36))</f>
        <v>0</v>
      </c>
      <c r="CL66" s="2">
        <f>IF(OR(CL36="",CK36=""),0,--(CL36&lt;&gt;CK36))</f>
        <v>0</v>
      </c>
      <c r="CM66" s="2">
        <f>IF(OR(CM36="",CL36=""),0,--(CM36&lt;&gt;CL36))</f>
        <v>0</v>
      </c>
      <c r="CN66" s="2">
        <f>IF(OR(CN36="",CM36=""),0,--(CN36&lt;&gt;CM36))</f>
        <v>0</v>
      </c>
      <c r="CO66" s="2">
        <f>IF(OR(CO36="",CN36=""),0,--(CO36&lt;&gt;CN36))</f>
        <v>0</v>
      </c>
      <c r="CP66" s="2">
        <f>IF(OR(CP36="",CO36=""),0,--(CP36&lt;&gt;CO36))</f>
        <v>0</v>
      </c>
      <c r="CQ66" s="2">
        <f>IF(OR(CQ36="",CP36=""),0,--(CQ36&lt;&gt;CP36))</f>
        <v>0</v>
      </c>
      <c r="CR66" s="2">
        <f>IF(OR(CR36="",CQ36=""),0,--(CR36&lt;&gt;CQ36))</f>
        <v>0</v>
      </c>
      <c r="CS66" s="2">
        <f>IF(OR(CS36="",CR36=""),0,--(CS36&lt;&gt;CR36))</f>
        <v>0</v>
      </c>
      <c r="CT66" s="2">
        <f>IF(OR(CT36="",CS36=""),0,--(CT36&lt;&gt;CS36))</f>
        <v>0</v>
      </c>
      <c r="CU66" s="2">
        <f>IF(OR(CU36="",CT36=""),0,--(CU36&lt;&gt;CT36))</f>
        <v>0</v>
      </c>
      <c r="CV66" s="2">
        <f>IF(OR(CV36="",CU36=""),0,--(CV36&lt;&gt;CU36))</f>
        <v>0</v>
      </c>
      <c r="CW66" s="2">
        <f>IF(OR(CW36="",CV36=""),0,--(CW36&lt;&gt;CV36))</f>
        <v>0</v>
      </c>
      <c r="CX66" s="2">
        <f>IF(OR(CX36="",CW36=""),0,--(CX36&lt;&gt;CW36))</f>
        <v>0</v>
      </c>
      <c r="CY66" s="2">
        <f>IF(OR(CY36="",CX36=""),0,--(CY36&lt;&gt;CX36))</f>
        <v>0</v>
      </c>
      <c r="CZ66" s="2">
        <f>IF(OR(CZ36="",CY36=""),0,--(CZ36&lt;&gt;CY36))</f>
        <v>0</v>
      </c>
      <c r="DA66" s="2">
        <f>IF(OR(DA36="",CZ36=""),0,--(DA36&lt;&gt;CZ36))</f>
        <v>0</v>
      </c>
      <c r="DB66" s="2">
        <f>IF(OR(DB36="",DA36=""),0,--(DB36&lt;&gt;DA36))</f>
        <v>0</v>
      </c>
      <c r="DC66" s="2">
        <f>IF(OR(DC36="",DB36=""),0,--(DC36&lt;&gt;DB36))</f>
        <v>0</v>
      </c>
      <c r="DD66" s="2">
        <f>IF(OR(DD36="",DC36=""),0,--(DD36&lt;&gt;DC36))</f>
        <v>0</v>
      </c>
      <c r="DE66" s="2">
        <f>IF(OR(DE36="",DD36=""),0,--(DE36&lt;&gt;DD36))</f>
        <v>0</v>
      </c>
      <c r="DF66" s="2">
        <f>IF(OR(DF36="",DE36=""),0,--(DF36&lt;&gt;DE36))</f>
        <v>0</v>
      </c>
      <c r="DG66" s="2">
        <f>IF(OR(DG36="",DF36=""),0,--(DG36&lt;&gt;DF36))</f>
        <v>0</v>
      </c>
      <c r="DH66" s="2">
        <f>IF(OR(DH36="",DG36=""),0,--(DH36&lt;&gt;DG36))</f>
        <v>0</v>
      </c>
      <c r="DI66" s="2">
        <f>IF(OR(DI36="",DH36=""),0,--(DI36&lt;&gt;DH36))</f>
        <v>0</v>
      </c>
      <c r="DJ66" s="2">
        <f>IF(OR(DJ36="",DI36=""),0,--(DJ36&lt;&gt;DI36))</f>
        <v>0</v>
      </c>
      <c r="DK66" s="2">
        <f>IF(OR(DK36="",DJ36=""),0,--(DK36&lt;&gt;DJ36))</f>
        <v>0</v>
      </c>
      <c r="DL66" s="2">
        <f>IF(OR(DL36="",DK36=""),0,--(DL36&lt;&gt;DK36))</f>
        <v>0</v>
      </c>
      <c r="DM66" s="2">
        <f>IF(OR(DM36="",DL36=""),0,--(DM36&lt;&gt;DL36))</f>
        <v>0</v>
      </c>
      <c r="DN66" s="2">
        <f>IF(OR(DN36="",DM36=""),0,--(DN36&lt;&gt;DM36))</f>
        <v>0</v>
      </c>
      <c r="DO66" s="2">
        <f>IF(OR(DO36="",DN36=""),0,--(DO36&lt;&gt;DN36))</f>
        <v>0</v>
      </c>
      <c r="DP66" s="2">
        <f>IF(OR(DP36="",DO36=""),0,--(DP36&lt;&gt;DO36))</f>
        <v>0</v>
      </c>
      <c r="DQ66" s="2">
        <f>IF(OR(DQ36="",DP36=""),0,--(DQ36&lt;&gt;DP36))</f>
        <v>0</v>
      </c>
      <c r="DR66" s="2">
        <f>IF(OR(DR36="",DQ36=""),0,--(DR36&lt;&gt;DQ36))</f>
        <v>0</v>
      </c>
      <c r="DS66" s="2">
        <f>IF(OR(DS36="",DR36=""),0,--(DS36&lt;&gt;DR36))</f>
        <v>0</v>
      </c>
      <c r="DT66" s="2">
        <f>IF(OR(DT36="",DS36=""),0,--(DT36&lt;&gt;DS36))</f>
        <v>0</v>
      </c>
      <c r="DU66" s="2">
        <f>IF(OR(DU36="",DT36=""),0,--(DU36&lt;&gt;DT36))</f>
        <v>0</v>
      </c>
      <c r="DV66" s="2">
        <f>IF(OR(DV36="",DU36=""),0,--(DV36&lt;&gt;DU36))</f>
        <v>0</v>
      </c>
      <c r="DW66" s="2">
        <f>IF(OR(DW36="",DV36=""),0,--(DW36&lt;&gt;DV36))</f>
        <v>0</v>
      </c>
      <c r="DX66" s="2">
        <f>IF(OR(DX36="",DW36=""),0,--(DX36&lt;&gt;DW36))</f>
        <v>0</v>
      </c>
      <c r="DY66" s="2">
        <f>IF(OR(DY36="",DX36=""),0,--(DY36&lt;&gt;DX36))</f>
        <v>0</v>
      </c>
      <c r="DZ66" s="2">
        <f>IF(OR(DZ36="",DY36=""),0,--(DZ36&lt;&gt;DY36))</f>
        <v>0</v>
      </c>
      <c r="EA66" s="2">
        <f>IF(OR(EA36="",DZ36=""),0,--(EA36&lt;&gt;DZ36))</f>
        <v>0</v>
      </c>
      <c r="EB66" s="2">
        <f>IF(OR(EB36="",EA36=""),0,--(EB36&lt;&gt;EA36))</f>
        <v>0</v>
      </c>
      <c r="EC66" s="2">
        <f>IF(OR(EC36="",EB36=""),0,--(EC36&lt;&gt;EB36))</f>
        <v>0</v>
      </c>
      <c r="ED66" s="2">
        <f>IF(OR(ED36="",EC36=""),0,--(ED36&lt;&gt;EC36))</f>
        <v>0</v>
      </c>
      <c r="EE66" s="2">
        <f>IF(OR(EE36="",ED36=""),0,--(EE36&lt;&gt;ED36))</f>
        <v>0</v>
      </c>
      <c r="EF66" s="2">
        <f>IF(OR(EF36="",EE36=""),0,--(EF36&lt;&gt;EE36))</f>
        <v>0</v>
      </c>
      <c r="EG66" s="2">
        <f>IF(OR(EG36="",EF36=""),0,--(EG36&lt;&gt;EF36))</f>
        <v>0</v>
      </c>
      <c r="EH66" s="2">
        <f>IF(OR(EH36="",EG36=""),0,--(EH36&lt;&gt;EG36))</f>
        <v>0</v>
      </c>
      <c r="EI66" s="2">
        <f>IF(OR(EI36="",EH36=""),0,--(EI36&lt;&gt;EH36))</f>
        <v>0</v>
      </c>
      <c r="EJ66" s="2">
        <f>IF(OR(EJ36="",EI36=""),0,--(EJ36&lt;&gt;EI36))</f>
        <v>0</v>
      </c>
      <c r="EK66" s="2">
        <f>IF(OR(EK36="",EJ36=""),0,--(EK36&lt;&gt;EJ36))</f>
        <v>0</v>
      </c>
      <c r="EL66" s="2">
        <f>IF(OR(EL36="",EK36=""),0,--(EL36&lt;&gt;EK36))</f>
        <v>0</v>
      </c>
      <c r="EM66" s="2">
        <f>IF(OR(EM36="",EL36=""),0,--(EM36&lt;&gt;EL36))</f>
        <v>0</v>
      </c>
      <c r="EN66" s="2">
        <f>IF(OR(EN36="",EM36=""),0,--(EN36&lt;&gt;EM36))</f>
        <v>0</v>
      </c>
      <c r="EO66" s="2">
        <f>IF(OR(EO36="",EN36=""),0,--(EO36&lt;&gt;EN36))</f>
        <v>0</v>
      </c>
      <c r="EP66" s="2">
        <f>IF(OR(EP36="",EO36=""),0,--(EP36&lt;&gt;EO36))</f>
        <v>0</v>
      </c>
      <c r="EQ66" s="2">
        <f>IF(OR(EQ36="",EP36=""),0,--(EQ36&lt;&gt;EP36))</f>
        <v>0</v>
      </c>
      <c r="ER66" s="2">
        <f>IF(OR(ER36="",EQ36=""),0,--(ER36&lt;&gt;EQ36))</f>
        <v>0</v>
      </c>
      <c r="ES66" s="2">
        <f>IF(OR(ES36="",ER36=""),0,--(ES36&lt;&gt;ER36))</f>
        <v>0</v>
      </c>
      <c r="ET66" s="2">
        <f>IF(OR(ET36="",ES36=""),0,--(ET36&lt;&gt;ES36))</f>
        <v>0</v>
      </c>
      <c r="EU66" s="2">
        <f>IF(OR(EU36="",ET36=""),0,--(EU36&lt;&gt;ET36))</f>
        <v>0</v>
      </c>
      <c r="EV66" s="2">
        <f>IF(OR(EV36="",EU36=""),0,--(EV36&lt;&gt;EU36))</f>
        <v>0</v>
      </c>
      <c r="EW66" s="2">
        <f>IF(OR(EW36="",EV36=""),0,--(EW36&lt;&gt;EV36))</f>
        <v>0</v>
      </c>
      <c r="EX66" s="2">
        <f>IF(OR(EX36="",EW36=""),0,--(EX36&lt;&gt;EW36))</f>
        <v>0</v>
      </c>
      <c r="EY66" s="2">
        <f>IF(OR(EY36="",EX36=""),0,--(EY36&lt;&gt;EX36))</f>
        <v>0</v>
      </c>
      <c r="EZ66" s="2">
        <f>IF(OR(EZ36="",EY36=""),0,--(EZ36&lt;&gt;EY36))</f>
        <v>0</v>
      </c>
      <c r="FA66" s="2">
        <f>IF(OR(FA36="",EZ36=""),0,--(FA36&lt;&gt;EZ36))</f>
        <v>0</v>
      </c>
      <c r="FB66" s="2">
        <f>IF(OR(FB36="",FA36=""),0,--(FB36&lt;&gt;FA36))</f>
        <v>0</v>
      </c>
      <c r="FC66" s="2">
        <f>IF(OR(FC36="",FB36=""),0,--(FC36&lt;&gt;FB36))</f>
        <v>0</v>
      </c>
      <c r="FD66" s="2">
        <f>IF(OR(FD36="",FC36=""),0,--(FD36&lt;&gt;FC36))</f>
        <v>0</v>
      </c>
      <c r="FE66" s="2">
        <f>IF(OR(FE36="",FD36=""),0,--(FE36&lt;&gt;FD36))</f>
        <v>0</v>
      </c>
      <c r="FF66" s="2">
        <f>IF(OR(FF36="",FE36=""),0,--(FF36&lt;&gt;FE36))</f>
        <v>0</v>
      </c>
      <c r="FG66" s="2">
        <f>IF(OR(FG36="",FF36=""),0,--(FG36&lt;&gt;FF36))</f>
        <v>0</v>
      </c>
      <c r="FH66" s="2">
        <f>IF(OR(FH36="",FG36=""),0,--(FH36&lt;&gt;FG36))</f>
        <v>0</v>
      </c>
      <c r="FI66" s="2">
        <f>IF(OR(FI36="",FH36=""),0,--(FI36&lt;&gt;FH36))</f>
        <v>0</v>
      </c>
      <c r="FJ66" s="2">
        <f>IF(OR(FJ36="",FI36=""),0,--(FJ36&lt;&gt;FI36))</f>
        <v>0</v>
      </c>
      <c r="FK66" s="2">
        <f>IF(OR(FK36="",FJ36=""),0,--(FK36&lt;&gt;FJ36))</f>
        <v>0</v>
      </c>
      <c r="FL66" s="2">
        <f>IF(OR(FL36="",FK36=""),0,--(FL36&lt;&gt;FK36))</f>
        <v>0</v>
      </c>
      <c r="FM66" s="2">
        <f>IF(OR(FM36="",FL36=""),0,--(FM36&lt;&gt;FL36))</f>
        <v>0</v>
      </c>
      <c r="FN66" s="2">
        <f>IF(OR(FN36="",FM36=""),0,--(FN36&lt;&gt;FM36))</f>
        <v>0</v>
      </c>
      <c r="FO66" s="2">
        <f>IF(OR(FO36="",FN36=""),0,--(FO36&lt;&gt;FN36))</f>
        <v>0</v>
      </c>
      <c r="FP66" s="2">
        <f>IF(OR(FP36="",FO36=""),0,--(FP36&lt;&gt;FO36))</f>
        <v>0</v>
      </c>
      <c r="FQ66" s="2">
        <f>IF(OR(FQ36="",FP36=""),0,--(FQ36&lt;&gt;FP36))</f>
        <v>0</v>
      </c>
      <c r="FR66" s="2">
        <f>IF(OR(FR36="",FQ36=""),0,--(FR36&lt;&gt;FQ36))</f>
        <v>0</v>
      </c>
      <c r="FS66" s="2">
        <f>IF(OR(FS36="",FR36=""),0,--(FS36&lt;&gt;FR36))</f>
        <v>0</v>
      </c>
      <c r="FT66" s="2">
        <f>IF(OR(FT36="",FS36=""),0,--(FT36&lt;&gt;FS36))</f>
        <v>0</v>
      </c>
      <c r="FU66" s="2">
        <f>IF(OR(FU36="",FT36=""),0,--(FU36&lt;&gt;FT36))</f>
        <v>0</v>
      </c>
      <c r="FV66" s="2">
        <f>IF(OR(FV36="",FU36=""),0,--(FV36&lt;&gt;FU36))</f>
        <v>0</v>
      </c>
      <c r="FW66" s="2">
        <f>IF(OR(FW36="",FV36=""),0,--(FW36&lt;&gt;FV36))</f>
        <v>0</v>
      </c>
      <c r="FX66" s="2">
        <f>IF(OR(FX36="",FW36=""),0,--(FX36&lt;&gt;FW36))</f>
        <v>0</v>
      </c>
      <c r="FY66" s="2">
        <f>IF(OR(FY36="",FX36=""),0,--(FY36&lt;&gt;FX36))</f>
        <v>0</v>
      </c>
      <c r="FZ66" s="2">
        <f>IF(OR(FZ36="",FY36=""),0,--(FZ36&lt;&gt;FY36))</f>
        <v>0</v>
      </c>
      <c r="GA66" s="2">
        <f>IF(OR(GA36="",FZ36=""),0,--(GA36&lt;&gt;FZ36))</f>
        <v>0</v>
      </c>
      <c r="GB66" s="2">
        <f>IF(OR(GB36="",GA36=""),0,--(GB36&lt;&gt;GA36))</f>
        <v>0</v>
      </c>
      <c r="GC66" s="2">
        <f>IF(OR(GC36="",GB36=""),0,--(GC36&lt;&gt;GB36))</f>
        <v>0</v>
      </c>
      <c r="GD66" s="2">
        <f>IF(OR(GD36="",GC36=""),0,--(GD36&lt;&gt;GC36))</f>
        <v>0</v>
      </c>
      <c r="GE66" s="2">
        <f>IF(OR(GE36="",GD36=""),0,--(GE36&lt;&gt;GD36))</f>
        <v>0</v>
      </c>
      <c r="GF66" s="2">
        <f>IF(OR(GF36="",GE36=""),0,--(GF36&lt;&gt;GE36))</f>
        <v>0</v>
      </c>
      <c r="GG66" s="2">
        <f>IF(OR(GG36="",GF36=""),0,--(GG36&lt;&gt;GF36))</f>
        <v>0</v>
      </c>
      <c r="GH66" s="2">
        <f>IF(OR(GH36="",GG36=""),0,--(GH36&lt;&gt;GG36))</f>
        <v>0</v>
      </c>
      <c r="GI66" s="2">
        <f>IF(OR(GI36="",GH36=""),0,--(GI36&lt;&gt;GH36))</f>
        <v>0</v>
      </c>
      <c r="GJ66" s="2">
        <f>IF(OR(GJ36="",GI36=""),0,--(GJ36&lt;&gt;GI36))</f>
        <v>0</v>
      </c>
      <c r="GK66" s="2">
        <f>IF(OR(GK36="",GJ36=""),0,--(GK36&lt;&gt;GJ36))</f>
        <v>0</v>
      </c>
      <c r="GL66" s="2">
        <f>IF(OR(GL36="",GK36=""),0,--(GL36&lt;&gt;GK36))</f>
        <v>0</v>
      </c>
      <c r="GM66" s="2">
        <f>IF(OR(GM36="",GL36=""),0,--(GM36&lt;&gt;GL36))</f>
        <v>0</v>
      </c>
      <c r="GN66" s="2">
        <f>IF(OR(GN36="",GM36=""),0,--(GN36&lt;&gt;GM36))</f>
        <v>0</v>
      </c>
      <c r="GO66" s="2">
        <f>IF(OR(GO36="",GN36=""),0,--(GO36&lt;&gt;GN36))</f>
        <v>0</v>
      </c>
      <c r="GP66" s="2">
        <f>IF(OR(GP36="",GO36=""),0,--(GP36&lt;&gt;GO36))</f>
        <v>0</v>
      </c>
      <c r="GQ66" s="2">
        <f>IF(OR(GQ36="",GP36=""),0,--(GQ36&lt;&gt;GP36))</f>
        <v>0</v>
      </c>
      <c r="GR66" s="2">
        <f>IF(OR(GR36="",GQ36=""),0,--(GR36&lt;&gt;GQ36))</f>
        <v>0</v>
      </c>
      <c r="GS66" s="2">
        <f>IF(OR(GS36="",GR36=""),0,--(GS36&lt;&gt;GR36))</f>
        <v>0</v>
      </c>
      <c r="GY66" s="15">
        <f>SUM($B66:$DB66)</f>
        <v>1</v>
      </c>
    </row>
    <row r="67" spans="1:207">
      <c r="A67" s="2">
        <f>$A37</f>
        <v>2</v>
      </c>
      <c r="B67" s="2">
        <f>0</f>
        <v>0</v>
      </c>
      <c r="C67" s="2">
        <f>IF(OR(C37="",B37=""),0,--(C37&lt;&gt;B37))</f>
        <v>0</v>
      </c>
      <c r="D67" s="2">
        <f>IF(OR(D37="",C37=""),0,--(D37&lt;&gt;C37))</f>
        <v>0</v>
      </c>
      <c r="E67" s="2">
        <f>IF(OR(E37="",D37=""),0,--(E37&lt;&gt;D37))</f>
        <v>0</v>
      </c>
      <c r="F67" s="2">
        <f>IF(OR(F37="",E37=""),0,--(F37&lt;&gt;E37))</f>
        <v>0</v>
      </c>
      <c r="G67" s="2">
        <f>IF(OR(G37="",F37=""),0,--(G37&lt;&gt;F37))</f>
        <v>0</v>
      </c>
      <c r="H67" s="2">
        <f>IF(OR(H37="",G37=""),0,--(H37&lt;&gt;G37))</f>
        <v>0</v>
      </c>
      <c r="I67" s="2">
        <f>IF(OR(I37="",H37=""),0,--(I37&lt;&gt;H37))</f>
        <v>0</v>
      </c>
      <c r="J67" s="2">
        <f>IF(OR(J37="",I37=""),0,--(J37&lt;&gt;I37))</f>
        <v>0</v>
      </c>
      <c r="K67" s="2">
        <f>IF(OR(K37="",J37=""),0,--(K37&lt;&gt;J37))</f>
        <v>0</v>
      </c>
      <c r="L67" s="2">
        <f>IF(OR(L37="",K37=""),0,--(L37&lt;&gt;K37))</f>
        <v>0</v>
      </c>
      <c r="M67" s="2">
        <f>IF(OR(M37="",L37=""),0,--(M37&lt;&gt;L37))</f>
        <v>0</v>
      </c>
      <c r="N67" s="2">
        <f>IF(OR(N37="",M37=""),0,--(N37&lt;&gt;M37))</f>
        <v>0</v>
      </c>
      <c r="O67" s="2">
        <f>IF(OR(O37="",N37=""),0,--(O37&lt;&gt;N37))</f>
        <v>0</v>
      </c>
      <c r="P67" s="2">
        <f>IF(OR(P37="",O37=""),0,--(P37&lt;&gt;O37))</f>
        <v>0</v>
      </c>
      <c r="Q67" s="2">
        <f>IF(OR(Q37="",P37=""),0,--(Q37&lt;&gt;P37))</f>
        <v>0</v>
      </c>
      <c r="R67" s="2">
        <f>IF(OR(R37="",Q37=""),0,--(R37&lt;&gt;Q37))</f>
        <v>0</v>
      </c>
      <c r="S67" s="2">
        <f>IF(OR(S37="",R37=""),0,--(S37&lt;&gt;R37))</f>
        <v>0</v>
      </c>
      <c r="T67" s="2">
        <f>IF(OR(T37="",S37=""),0,--(T37&lt;&gt;S37))</f>
        <v>0</v>
      </c>
      <c r="U67" s="2">
        <f>IF(OR(U37="",T37=""),0,--(U37&lt;&gt;T37))</f>
        <v>0</v>
      </c>
      <c r="V67" s="2">
        <f>IF(OR(V37="",U37=""),0,--(V37&lt;&gt;U37))</f>
        <v>0</v>
      </c>
      <c r="W67" s="2">
        <f>IF(OR(W37="",V37=""),0,--(W37&lt;&gt;V37))</f>
        <v>0</v>
      </c>
      <c r="X67" s="2">
        <f>IF(OR(X37="",W37=""),0,--(X37&lt;&gt;W37))</f>
        <v>0</v>
      </c>
      <c r="Y67" s="2">
        <f>IF(OR(Y37="",X37=""),0,--(Y37&lt;&gt;X37))</f>
        <v>0</v>
      </c>
      <c r="Z67" s="2">
        <f>IF(OR(Z37="",Y37=""),0,--(Z37&lt;&gt;Y37))</f>
        <v>0</v>
      </c>
      <c r="AA67" s="2">
        <f>IF(OR(AA37="",Z37=""),0,--(AA37&lt;&gt;Z37))</f>
        <v>0</v>
      </c>
      <c r="AB67" s="2">
        <f>IF(OR(AB37="",AA37=""),0,--(AB37&lt;&gt;AA37))</f>
        <v>0</v>
      </c>
      <c r="AC67" s="2">
        <f>IF(OR(AC37="",AB37=""),0,--(AC37&lt;&gt;AB37))</f>
        <v>0</v>
      </c>
      <c r="AD67" s="2">
        <f>IF(OR(AD37="",AC37=""),0,--(AD37&lt;&gt;AC37))</f>
        <v>0</v>
      </c>
      <c r="AE67" s="2">
        <f>IF(OR(AE37="",AD37=""),0,--(AE37&lt;&gt;AD37))</f>
        <v>0</v>
      </c>
      <c r="AF67" s="2">
        <f>IF(OR(AF37="",AE37=""),0,--(AF37&lt;&gt;AE37))</f>
        <v>0</v>
      </c>
      <c r="AG67" s="2">
        <f>IF(OR(AG37="",AF37=""),0,--(AG37&lt;&gt;AF37))</f>
        <v>0</v>
      </c>
      <c r="AH67" s="2">
        <f>IF(OR(AH37="",AG37=""),0,--(AH37&lt;&gt;AG37))</f>
        <v>0</v>
      </c>
      <c r="AI67" s="2">
        <f>IF(OR(AI37="",AH37=""),0,--(AI37&lt;&gt;AH37))</f>
        <v>0</v>
      </c>
      <c r="AJ67" s="2">
        <f>IF(OR(AJ37="",AI37=""),0,--(AJ37&lt;&gt;AI37))</f>
        <v>0</v>
      </c>
      <c r="AK67" s="2">
        <f>IF(OR(AK37="",AJ37=""),0,--(AK37&lt;&gt;AJ37))</f>
        <v>0</v>
      </c>
      <c r="AL67" s="2">
        <f>IF(OR(AL37="",AK37=""),0,--(AL37&lt;&gt;AK37))</f>
        <v>0</v>
      </c>
      <c r="AM67" s="2">
        <f>IF(OR(AM37="",AL37=""),0,--(AM37&lt;&gt;AL37))</f>
        <v>0</v>
      </c>
      <c r="AN67" s="2">
        <f>IF(OR(AN37="",AM37=""),0,--(AN37&lt;&gt;AM37))</f>
        <v>0</v>
      </c>
      <c r="AO67" s="2">
        <f>IF(OR(AO37="",AN37=""),0,--(AO37&lt;&gt;AN37))</f>
        <v>0</v>
      </c>
      <c r="AP67" s="2">
        <f>IF(OR(AP37="",AO37=""),0,--(AP37&lt;&gt;AO37))</f>
        <v>0</v>
      </c>
      <c r="AQ67" s="2">
        <f>IF(OR(AQ37="",AP37=""),0,--(AQ37&lt;&gt;AP37))</f>
        <v>0</v>
      </c>
      <c r="AR67" s="2">
        <f>IF(OR(AR37="",AQ37=""),0,--(AR37&lt;&gt;AQ37))</f>
        <v>0</v>
      </c>
      <c r="AS67" s="2">
        <f>IF(OR(AS37="",AR37=""),0,--(AS37&lt;&gt;AR37))</f>
        <v>0</v>
      </c>
      <c r="AT67" s="2">
        <f>IF(OR(AT37="",AS37=""),0,--(AT37&lt;&gt;AS37))</f>
        <v>0</v>
      </c>
      <c r="AU67" s="2">
        <f>IF(OR(AU37="",AT37=""),0,--(AU37&lt;&gt;AT37))</f>
        <v>0</v>
      </c>
      <c r="AV67" s="2">
        <f>IF(OR(AV37="",AU37=""),0,--(AV37&lt;&gt;AU37))</f>
        <v>0</v>
      </c>
      <c r="AW67" s="2">
        <f>IF(OR(AW37="",AV37=""),0,--(AW37&lt;&gt;AV37))</f>
        <v>0</v>
      </c>
      <c r="AX67" s="2">
        <f>IF(OR(AX37="",AW37=""),0,--(AX37&lt;&gt;AW37))</f>
        <v>0</v>
      </c>
      <c r="AY67" s="2">
        <f>IF(OR(AY37="",AX37=""),0,--(AY37&lt;&gt;AX37))</f>
        <v>0</v>
      </c>
      <c r="AZ67" s="2">
        <f>IF(OR(AZ37="",AY37=""),0,--(AZ37&lt;&gt;AY37))</f>
        <v>0</v>
      </c>
      <c r="BA67" s="2">
        <f>IF(OR(BA37="",AZ37=""),0,--(BA37&lt;&gt;AZ37))</f>
        <v>0</v>
      </c>
      <c r="BB67" s="2">
        <f>IF(OR(BB37="",BA37=""),0,--(BB37&lt;&gt;BA37))</f>
        <v>0</v>
      </c>
      <c r="BC67" s="2">
        <f>IF(OR(BC37="",BB37=""),0,--(BC37&lt;&gt;BB37))</f>
        <v>0</v>
      </c>
      <c r="BD67" s="2">
        <f>IF(OR(BD37="",BC37=""),0,--(BD37&lt;&gt;BC37))</f>
        <v>0</v>
      </c>
      <c r="BE67" s="2">
        <f>IF(OR(BE37="",BD37=""),0,--(BE37&lt;&gt;BD37))</f>
        <v>0</v>
      </c>
      <c r="BF67" s="2">
        <f>IF(OR(BF37="",BE37=""),0,--(BF37&lt;&gt;BE37))</f>
        <v>0</v>
      </c>
      <c r="BG67" s="2">
        <f>IF(OR(BG37="",BF37=""),0,--(BG37&lt;&gt;BF37))</f>
        <v>0</v>
      </c>
      <c r="BH67" s="2">
        <f>IF(OR(BH37="",BG37=""),0,--(BH37&lt;&gt;BG37))</f>
        <v>0</v>
      </c>
      <c r="BI67" s="2">
        <f>IF(OR(BI37="",BH37=""),0,--(BI37&lt;&gt;BH37))</f>
        <v>0</v>
      </c>
      <c r="BJ67" s="2">
        <f>IF(OR(BJ37="",BI37=""),0,--(BJ37&lt;&gt;BI37))</f>
        <v>0</v>
      </c>
      <c r="BK67" s="2">
        <f>IF(OR(BK37="",BJ37=""),0,--(BK37&lt;&gt;BJ37))</f>
        <v>0</v>
      </c>
      <c r="BL67" s="2">
        <f>IF(OR(BL37="",BK37=""),0,--(BL37&lt;&gt;BK37))</f>
        <v>0</v>
      </c>
      <c r="BM67" s="2">
        <f>IF(OR(BM37="",BL37=""),0,--(BM37&lt;&gt;BL37))</f>
        <v>0</v>
      </c>
      <c r="BN67" s="2">
        <f>IF(OR(BN37="",BM37=""),0,--(BN37&lt;&gt;BM37))</f>
        <v>0</v>
      </c>
      <c r="BO67" s="2">
        <f>IF(OR(BO37="",BN37=""),0,--(BO37&lt;&gt;BN37))</f>
        <v>0</v>
      </c>
      <c r="BP67" s="2">
        <f>IF(OR(BP37="",BO37=""),0,--(BP37&lt;&gt;BO37))</f>
        <v>0</v>
      </c>
      <c r="BQ67" s="2">
        <f>IF(OR(BQ37="",BP37=""),0,--(BQ37&lt;&gt;BP37))</f>
        <v>0</v>
      </c>
      <c r="BR67" s="2">
        <f>IF(OR(BR37="",BQ37=""),0,--(BR37&lt;&gt;BQ37))</f>
        <v>0</v>
      </c>
      <c r="BS67" s="2">
        <f>IF(OR(BS37="",BR37=""),0,--(BS37&lt;&gt;BR37))</f>
        <v>0</v>
      </c>
      <c r="BT67" s="2">
        <f>IF(OR(BT37="",BS37=""),0,--(BT37&lt;&gt;BS37))</f>
        <v>0</v>
      </c>
      <c r="BU67" s="2">
        <f>IF(OR(BU37="",BT37=""),0,--(BU37&lt;&gt;BT37))</f>
        <v>0</v>
      </c>
      <c r="BV67" s="2">
        <f>IF(OR(BV37="",BU37=""),0,--(BV37&lt;&gt;BU37))</f>
        <v>0</v>
      </c>
      <c r="BW67" s="2">
        <f>IF(OR(BW37="",BV37=""),0,--(BW37&lt;&gt;BV37))</f>
        <v>0</v>
      </c>
      <c r="BX67" s="2">
        <f>IF(OR(BX37="",BW37=""),0,--(BX37&lt;&gt;BW37))</f>
        <v>0</v>
      </c>
      <c r="BY67" s="2">
        <f>IF(OR(BY37="",BX37=""),0,--(BY37&lt;&gt;BX37))</f>
        <v>0</v>
      </c>
      <c r="BZ67" s="2">
        <f>IF(OR(BZ37="",BY37=""),0,--(BZ37&lt;&gt;BY37))</f>
        <v>0</v>
      </c>
      <c r="CA67" s="2">
        <f>IF(OR(CA37="",BZ37=""),0,--(CA37&lt;&gt;BZ37))</f>
        <v>0</v>
      </c>
      <c r="CB67" s="2">
        <f>IF(OR(CB37="",CA37=""),0,--(CB37&lt;&gt;CA37))</f>
        <v>0</v>
      </c>
      <c r="CC67" s="2">
        <f>IF(OR(CC37="",CB37=""),0,--(CC37&lt;&gt;CB37))</f>
        <v>0</v>
      </c>
      <c r="CD67" s="2">
        <f>IF(OR(CD37="",CC37=""),0,--(CD37&lt;&gt;CC37))</f>
        <v>0</v>
      </c>
      <c r="CE67" s="2">
        <f>IF(OR(CE37="",CD37=""),0,--(CE37&lt;&gt;CD37))</f>
        <v>0</v>
      </c>
      <c r="CF67" s="2">
        <f>IF(OR(CF37="",CE37=""),0,--(CF37&lt;&gt;CE37))</f>
        <v>0</v>
      </c>
      <c r="CG67" s="2">
        <f>IF(OR(CG37="",CF37=""),0,--(CG37&lt;&gt;CF37))</f>
        <v>1</v>
      </c>
      <c r="CH67" s="2">
        <f>IF(OR(CH37="",CG37=""),0,--(CH37&lt;&gt;CG37))</f>
        <v>0</v>
      </c>
      <c r="CI67" s="2">
        <f>IF(OR(CI37="",CH37=""),0,--(CI37&lt;&gt;CH37))</f>
        <v>0</v>
      </c>
      <c r="CJ67" s="2">
        <f>IF(OR(CJ37="",CI37=""),0,--(CJ37&lt;&gt;CI37))</f>
        <v>0</v>
      </c>
      <c r="CK67" s="2">
        <f>IF(OR(CK37="",CJ37=""),0,--(CK37&lt;&gt;CJ37))</f>
        <v>0</v>
      </c>
      <c r="CL67" s="2">
        <f>IF(OR(CL37="",CK37=""),0,--(CL37&lt;&gt;CK37))</f>
        <v>0</v>
      </c>
      <c r="CM67" s="2">
        <f>IF(OR(CM37="",CL37=""),0,--(CM37&lt;&gt;CL37))</f>
        <v>0</v>
      </c>
      <c r="CN67" s="2">
        <f>IF(OR(CN37="",CM37=""),0,--(CN37&lt;&gt;CM37))</f>
        <v>0</v>
      </c>
      <c r="CO67" s="2">
        <f>IF(OR(CO37="",CN37=""),0,--(CO37&lt;&gt;CN37))</f>
        <v>0</v>
      </c>
      <c r="CP67" s="2">
        <f>IF(OR(CP37="",CO37=""),0,--(CP37&lt;&gt;CO37))</f>
        <v>0</v>
      </c>
      <c r="CQ67" s="2">
        <f>IF(OR(CQ37="",CP37=""),0,--(CQ37&lt;&gt;CP37))</f>
        <v>0</v>
      </c>
      <c r="CR67" s="2">
        <f>IF(OR(CR37="",CQ37=""),0,--(CR37&lt;&gt;CQ37))</f>
        <v>0</v>
      </c>
      <c r="CS67" s="2">
        <f>IF(OR(CS37="",CR37=""),0,--(CS37&lt;&gt;CR37))</f>
        <v>0</v>
      </c>
      <c r="CT67" s="2">
        <f>IF(OR(CT37="",CS37=""),0,--(CT37&lt;&gt;CS37))</f>
        <v>0</v>
      </c>
      <c r="CU67" s="2">
        <f>IF(OR(CU37="",CT37=""),0,--(CU37&lt;&gt;CT37))</f>
        <v>0</v>
      </c>
      <c r="CV67" s="2">
        <f>IF(OR(CV37="",CU37=""),0,--(CV37&lt;&gt;CU37))</f>
        <v>0</v>
      </c>
      <c r="CW67" s="2">
        <f>IF(OR(CW37="",CV37=""),0,--(CW37&lt;&gt;CV37))</f>
        <v>0</v>
      </c>
      <c r="CX67" s="2">
        <f>IF(OR(CX37="",CW37=""),0,--(CX37&lt;&gt;CW37))</f>
        <v>0</v>
      </c>
      <c r="CY67" s="2">
        <f>IF(OR(CY37="",CX37=""),0,--(CY37&lt;&gt;CX37))</f>
        <v>0</v>
      </c>
      <c r="CZ67" s="2">
        <f>IF(OR(CZ37="",CY37=""),0,--(CZ37&lt;&gt;CY37))</f>
        <v>0</v>
      </c>
      <c r="DA67" s="2">
        <f>IF(OR(DA37="",CZ37=""),0,--(DA37&lt;&gt;CZ37))</f>
        <v>0</v>
      </c>
      <c r="DB67" s="2">
        <f>IF(OR(DB37="",DA37=""),0,--(DB37&lt;&gt;DA37))</f>
        <v>0</v>
      </c>
      <c r="DC67" s="2">
        <f>IF(OR(DC37="",DB37=""),0,--(DC37&lt;&gt;DB37))</f>
        <v>0</v>
      </c>
      <c r="DD67" s="2">
        <f>IF(OR(DD37="",DC37=""),0,--(DD37&lt;&gt;DC37))</f>
        <v>0</v>
      </c>
      <c r="DE67" s="2">
        <f>IF(OR(DE37="",DD37=""),0,--(DE37&lt;&gt;DD37))</f>
        <v>0</v>
      </c>
      <c r="DF67" s="2">
        <f>IF(OR(DF37="",DE37=""),0,--(DF37&lt;&gt;DE37))</f>
        <v>0</v>
      </c>
      <c r="DG67" s="2">
        <f>IF(OR(DG37="",DF37=""),0,--(DG37&lt;&gt;DF37))</f>
        <v>0</v>
      </c>
      <c r="DH67" s="2">
        <f>IF(OR(DH37="",DG37=""),0,--(DH37&lt;&gt;DG37))</f>
        <v>0</v>
      </c>
      <c r="DI67" s="2">
        <f>IF(OR(DI37="",DH37=""),0,--(DI37&lt;&gt;DH37))</f>
        <v>0</v>
      </c>
      <c r="DJ67" s="2">
        <f>IF(OR(DJ37="",DI37=""),0,--(DJ37&lt;&gt;DI37))</f>
        <v>0</v>
      </c>
      <c r="DK67" s="2">
        <f>IF(OR(DK37="",DJ37=""),0,--(DK37&lt;&gt;DJ37))</f>
        <v>0</v>
      </c>
      <c r="DL67" s="2">
        <f>IF(OR(DL37="",DK37=""),0,--(DL37&lt;&gt;DK37))</f>
        <v>0</v>
      </c>
      <c r="DM67" s="2">
        <f>IF(OR(DM37="",DL37=""),0,--(DM37&lt;&gt;DL37))</f>
        <v>0</v>
      </c>
      <c r="DN67" s="2">
        <f>IF(OR(DN37="",DM37=""),0,--(DN37&lt;&gt;DM37))</f>
        <v>0</v>
      </c>
      <c r="DO67" s="2">
        <f>IF(OR(DO37="",DN37=""),0,--(DO37&lt;&gt;DN37))</f>
        <v>0</v>
      </c>
      <c r="DP67" s="2">
        <f>IF(OR(DP37="",DO37=""),0,--(DP37&lt;&gt;DO37))</f>
        <v>0</v>
      </c>
      <c r="DQ67" s="2">
        <f>IF(OR(DQ37="",DP37=""),0,--(DQ37&lt;&gt;DP37))</f>
        <v>0</v>
      </c>
      <c r="DR67" s="2">
        <f>IF(OR(DR37="",DQ37=""),0,--(DR37&lt;&gt;DQ37))</f>
        <v>0</v>
      </c>
      <c r="DS67" s="2">
        <f>IF(OR(DS37="",DR37=""),0,--(DS37&lt;&gt;DR37))</f>
        <v>0</v>
      </c>
      <c r="DT67" s="2">
        <f>IF(OR(DT37="",DS37=""),0,--(DT37&lt;&gt;DS37))</f>
        <v>0</v>
      </c>
      <c r="DU67" s="2">
        <f>IF(OR(DU37="",DT37=""),0,--(DU37&lt;&gt;DT37))</f>
        <v>0</v>
      </c>
      <c r="DV67" s="2">
        <f>IF(OR(DV37="",DU37=""),0,--(DV37&lt;&gt;DU37))</f>
        <v>0</v>
      </c>
      <c r="DW67" s="2">
        <f>IF(OR(DW37="",DV37=""),0,--(DW37&lt;&gt;DV37))</f>
        <v>0</v>
      </c>
      <c r="DX67" s="2">
        <f>IF(OR(DX37="",DW37=""),0,--(DX37&lt;&gt;DW37))</f>
        <v>0</v>
      </c>
      <c r="DY67" s="2">
        <f>IF(OR(DY37="",DX37=""),0,--(DY37&lt;&gt;DX37))</f>
        <v>0</v>
      </c>
      <c r="DZ67" s="2">
        <f>IF(OR(DZ37="",DY37=""),0,--(DZ37&lt;&gt;DY37))</f>
        <v>0</v>
      </c>
      <c r="EA67" s="2">
        <f>IF(OR(EA37="",DZ37=""),0,--(EA37&lt;&gt;DZ37))</f>
        <v>0</v>
      </c>
      <c r="EB67" s="2">
        <f>IF(OR(EB37="",EA37=""),0,--(EB37&lt;&gt;EA37))</f>
        <v>0</v>
      </c>
      <c r="EC67" s="2">
        <f>IF(OR(EC37="",EB37=""),0,--(EC37&lt;&gt;EB37))</f>
        <v>0</v>
      </c>
      <c r="ED67" s="2">
        <f>IF(OR(ED37="",EC37=""),0,--(ED37&lt;&gt;EC37))</f>
        <v>0</v>
      </c>
      <c r="EE67" s="2">
        <f>IF(OR(EE37="",ED37=""),0,--(EE37&lt;&gt;ED37))</f>
        <v>0</v>
      </c>
      <c r="EF67" s="2">
        <f>IF(OR(EF37="",EE37=""),0,--(EF37&lt;&gt;EE37))</f>
        <v>0</v>
      </c>
      <c r="EG67" s="2">
        <f>IF(OR(EG37="",EF37=""),0,--(EG37&lt;&gt;EF37))</f>
        <v>0</v>
      </c>
      <c r="EH67" s="2">
        <f>IF(OR(EH37="",EG37=""),0,--(EH37&lt;&gt;EG37))</f>
        <v>0</v>
      </c>
      <c r="EI67" s="2">
        <f>IF(OR(EI37="",EH37=""),0,--(EI37&lt;&gt;EH37))</f>
        <v>0</v>
      </c>
      <c r="EJ67" s="2">
        <f>IF(OR(EJ37="",EI37=""),0,--(EJ37&lt;&gt;EI37))</f>
        <v>0</v>
      </c>
      <c r="EK67" s="2">
        <f>IF(OR(EK37="",EJ37=""),0,--(EK37&lt;&gt;EJ37))</f>
        <v>0</v>
      </c>
      <c r="EL67" s="2">
        <f>IF(OR(EL37="",EK37=""),0,--(EL37&lt;&gt;EK37))</f>
        <v>0</v>
      </c>
      <c r="EM67" s="2">
        <f>IF(OR(EM37="",EL37=""),0,--(EM37&lt;&gt;EL37))</f>
        <v>0</v>
      </c>
      <c r="EN67" s="2">
        <f>IF(OR(EN37="",EM37=""),0,--(EN37&lt;&gt;EM37))</f>
        <v>0</v>
      </c>
      <c r="EO67" s="2">
        <f>IF(OR(EO37="",EN37=""),0,--(EO37&lt;&gt;EN37))</f>
        <v>0</v>
      </c>
      <c r="EP67" s="2">
        <f>IF(OR(EP37="",EO37=""),0,--(EP37&lt;&gt;EO37))</f>
        <v>0</v>
      </c>
      <c r="EQ67" s="2">
        <f>IF(OR(EQ37="",EP37=""),0,--(EQ37&lt;&gt;EP37))</f>
        <v>0</v>
      </c>
      <c r="ER67" s="2">
        <f>IF(OR(ER37="",EQ37=""),0,--(ER37&lt;&gt;EQ37))</f>
        <v>0</v>
      </c>
      <c r="ES67" s="2">
        <f>IF(OR(ES37="",ER37=""),0,--(ES37&lt;&gt;ER37))</f>
        <v>0</v>
      </c>
      <c r="ET67" s="2">
        <f>IF(OR(ET37="",ES37=""),0,--(ET37&lt;&gt;ES37))</f>
        <v>0</v>
      </c>
      <c r="EU67" s="2">
        <f>IF(OR(EU37="",ET37=""),0,--(EU37&lt;&gt;ET37))</f>
        <v>0</v>
      </c>
      <c r="EV67" s="2">
        <f>IF(OR(EV37="",EU37=""),0,--(EV37&lt;&gt;EU37))</f>
        <v>0</v>
      </c>
      <c r="EW67" s="2">
        <f>IF(OR(EW37="",EV37=""),0,--(EW37&lt;&gt;EV37))</f>
        <v>0</v>
      </c>
      <c r="EX67" s="2">
        <f>IF(OR(EX37="",EW37=""),0,--(EX37&lt;&gt;EW37))</f>
        <v>0</v>
      </c>
      <c r="EY67" s="2">
        <f>IF(OR(EY37="",EX37=""),0,--(EY37&lt;&gt;EX37))</f>
        <v>0</v>
      </c>
      <c r="EZ67" s="2">
        <f>IF(OR(EZ37="",EY37=""),0,--(EZ37&lt;&gt;EY37))</f>
        <v>0</v>
      </c>
      <c r="FA67" s="2">
        <f>IF(OR(FA37="",EZ37=""),0,--(FA37&lt;&gt;EZ37))</f>
        <v>0</v>
      </c>
      <c r="FB67" s="2">
        <f>IF(OR(FB37="",FA37=""),0,--(FB37&lt;&gt;FA37))</f>
        <v>0</v>
      </c>
      <c r="FC67" s="2">
        <f>IF(OR(FC37="",FB37=""),0,--(FC37&lt;&gt;FB37))</f>
        <v>0</v>
      </c>
      <c r="FD67" s="2">
        <f>IF(OR(FD37="",FC37=""),0,--(FD37&lt;&gt;FC37))</f>
        <v>0</v>
      </c>
      <c r="FE67" s="2">
        <f>IF(OR(FE37="",FD37=""),0,--(FE37&lt;&gt;FD37))</f>
        <v>0</v>
      </c>
      <c r="FF67" s="2">
        <f>IF(OR(FF37="",FE37=""),0,--(FF37&lt;&gt;FE37))</f>
        <v>0</v>
      </c>
      <c r="FG67" s="2">
        <f>IF(OR(FG37="",FF37=""),0,--(FG37&lt;&gt;FF37))</f>
        <v>0</v>
      </c>
      <c r="FH67" s="2">
        <f>IF(OR(FH37="",FG37=""),0,--(FH37&lt;&gt;FG37))</f>
        <v>0</v>
      </c>
      <c r="FI67" s="2">
        <f>IF(OR(FI37="",FH37=""),0,--(FI37&lt;&gt;FH37))</f>
        <v>0</v>
      </c>
      <c r="FJ67" s="2">
        <f>IF(OR(FJ37="",FI37=""),0,--(FJ37&lt;&gt;FI37))</f>
        <v>0</v>
      </c>
      <c r="FK67" s="2">
        <f>IF(OR(FK37="",FJ37=""),0,--(FK37&lt;&gt;FJ37))</f>
        <v>0</v>
      </c>
      <c r="FL67" s="2">
        <f>IF(OR(FL37="",FK37=""),0,--(FL37&lt;&gt;FK37))</f>
        <v>0</v>
      </c>
      <c r="FM67" s="2">
        <f>IF(OR(FM37="",FL37=""),0,--(FM37&lt;&gt;FL37))</f>
        <v>0</v>
      </c>
      <c r="FN67" s="2">
        <f>IF(OR(FN37="",FM37=""),0,--(FN37&lt;&gt;FM37))</f>
        <v>0</v>
      </c>
      <c r="FO67" s="2">
        <f>IF(OR(FO37="",FN37=""),0,--(FO37&lt;&gt;FN37))</f>
        <v>0</v>
      </c>
      <c r="FP67" s="2">
        <f>IF(OR(FP37="",FO37=""),0,--(FP37&lt;&gt;FO37))</f>
        <v>0</v>
      </c>
      <c r="FQ67" s="2">
        <f>IF(OR(FQ37="",FP37=""),0,--(FQ37&lt;&gt;FP37))</f>
        <v>0</v>
      </c>
      <c r="FR67" s="2">
        <f>IF(OR(FR37="",FQ37=""),0,--(FR37&lt;&gt;FQ37))</f>
        <v>0</v>
      </c>
      <c r="FS67" s="2">
        <f>IF(OR(FS37="",FR37=""),0,--(FS37&lt;&gt;FR37))</f>
        <v>0</v>
      </c>
      <c r="FT67" s="2">
        <f>IF(OR(FT37="",FS37=""),0,--(FT37&lt;&gt;FS37))</f>
        <v>0</v>
      </c>
      <c r="FU67" s="2">
        <f>IF(OR(FU37="",FT37=""),0,--(FU37&lt;&gt;FT37))</f>
        <v>0</v>
      </c>
      <c r="FV67" s="2">
        <f>IF(OR(FV37="",FU37=""),0,--(FV37&lt;&gt;FU37))</f>
        <v>0</v>
      </c>
      <c r="FW67" s="2">
        <f>IF(OR(FW37="",FV37=""),0,--(FW37&lt;&gt;FV37))</f>
        <v>0</v>
      </c>
      <c r="FX67" s="2">
        <f>IF(OR(FX37="",FW37=""),0,--(FX37&lt;&gt;FW37))</f>
        <v>0</v>
      </c>
      <c r="FY67" s="2">
        <f>IF(OR(FY37="",FX37=""),0,--(FY37&lt;&gt;FX37))</f>
        <v>0</v>
      </c>
      <c r="FZ67" s="2">
        <f>IF(OR(FZ37="",FY37=""),0,--(FZ37&lt;&gt;FY37))</f>
        <v>0</v>
      </c>
      <c r="GA67" s="2">
        <f>IF(OR(GA37="",FZ37=""),0,--(GA37&lt;&gt;FZ37))</f>
        <v>0</v>
      </c>
      <c r="GB67" s="2">
        <f>IF(OR(GB37="",GA37=""),0,--(GB37&lt;&gt;GA37))</f>
        <v>0</v>
      </c>
      <c r="GC67" s="2">
        <f>IF(OR(GC37="",GB37=""),0,--(GC37&lt;&gt;GB37))</f>
        <v>0</v>
      </c>
      <c r="GD67" s="2">
        <f>IF(OR(GD37="",GC37=""),0,--(GD37&lt;&gt;GC37))</f>
        <v>0</v>
      </c>
      <c r="GE67" s="2">
        <f>IF(OR(GE37="",GD37=""),0,--(GE37&lt;&gt;GD37))</f>
        <v>0</v>
      </c>
      <c r="GF67" s="2">
        <f>IF(OR(GF37="",GE37=""),0,--(GF37&lt;&gt;GE37))</f>
        <v>0</v>
      </c>
      <c r="GG67" s="2">
        <f>IF(OR(GG37="",GF37=""),0,--(GG37&lt;&gt;GF37))</f>
        <v>0</v>
      </c>
      <c r="GH67" s="2">
        <f>IF(OR(GH37="",GG37=""),0,--(GH37&lt;&gt;GG37))</f>
        <v>0</v>
      </c>
      <c r="GI67" s="2">
        <f>IF(OR(GI37="",GH37=""),0,--(GI37&lt;&gt;GH37))</f>
        <v>0</v>
      </c>
      <c r="GJ67" s="2">
        <f>IF(OR(GJ37="",GI37=""),0,--(GJ37&lt;&gt;GI37))</f>
        <v>0</v>
      </c>
      <c r="GK67" s="2">
        <f>IF(OR(GK37="",GJ37=""),0,--(GK37&lt;&gt;GJ37))</f>
        <v>0</v>
      </c>
      <c r="GL67" s="2">
        <f>IF(OR(GL37="",GK37=""),0,--(GL37&lt;&gt;GK37))</f>
        <v>0</v>
      </c>
      <c r="GM67" s="2">
        <f>IF(OR(GM37="",GL37=""),0,--(GM37&lt;&gt;GL37))</f>
        <v>0</v>
      </c>
      <c r="GN67" s="2">
        <f>IF(OR(GN37="",GM37=""),0,--(GN37&lt;&gt;GM37))</f>
        <v>0</v>
      </c>
      <c r="GO67" s="2">
        <f>IF(OR(GO37="",GN37=""),0,--(GO37&lt;&gt;GN37))</f>
        <v>0</v>
      </c>
      <c r="GP67" s="2">
        <f>IF(OR(GP37="",GO37=""),0,--(GP37&lt;&gt;GO37))</f>
        <v>0</v>
      </c>
      <c r="GQ67" s="2">
        <f>IF(OR(GQ37="",GP37=""),0,--(GQ37&lt;&gt;GP37))</f>
        <v>0</v>
      </c>
      <c r="GR67" s="2">
        <f>IF(OR(GR37="",GQ37=""),0,--(GR37&lt;&gt;GQ37))</f>
        <v>0</v>
      </c>
      <c r="GS67" s="2">
        <f>IF(OR(GS37="",GR37=""),0,--(GS37&lt;&gt;GR37))</f>
        <v>0</v>
      </c>
      <c r="GY67" s="15">
        <f>SUM($B67:$DB67)</f>
        <v>1</v>
      </c>
    </row>
    <row r="68" spans="1:207">
      <c r="A68" s="2">
        <f>$A38</f>
        <v>3</v>
      </c>
      <c r="B68" s="2">
        <f>0</f>
        <v>0</v>
      </c>
      <c r="C68" s="2">
        <f>IF(OR(C38="",B38=""),0,--(C38&lt;&gt;B38))</f>
        <v>0</v>
      </c>
      <c r="D68" s="2">
        <f>IF(OR(D38="",C38=""),0,--(D38&lt;&gt;C38))</f>
        <v>0</v>
      </c>
      <c r="E68" s="2">
        <f>IF(OR(E38="",D38=""),0,--(E38&lt;&gt;D38))</f>
        <v>0</v>
      </c>
      <c r="F68" s="2">
        <f>IF(OR(F38="",E38=""),0,--(F38&lt;&gt;E38))</f>
        <v>0</v>
      </c>
      <c r="G68" s="2">
        <f>IF(OR(G38="",F38=""),0,--(G38&lt;&gt;F38))</f>
        <v>0</v>
      </c>
      <c r="H68" s="2">
        <f>IF(OR(H38="",G38=""),0,--(H38&lt;&gt;G38))</f>
        <v>0</v>
      </c>
      <c r="I68" s="2">
        <f>IF(OR(I38="",H38=""),0,--(I38&lt;&gt;H38))</f>
        <v>0</v>
      </c>
      <c r="J68" s="2">
        <f>IF(OR(J38="",I38=""),0,--(J38&lt;&gt;I38))</f>
        <v>0</v>
      </c>
      <c r="K68" s="2">
        <f>IF(OR(K38="",J38=""),0,--(K38&lt;&gt;J38))</f>
        <v>0</v>
      </c>
      <c r="L68" s="2">
        <f>IF(OR(L38="",K38=""),0,--(L38&lt;&gt;K38))</f>
        <v>0</v>
      </c>
      <c r="M68" s="2">
        <f>IF(OR(M38="",L38=""),0,--(M38&lt;&gt;L38))</f>
        <v>0</v>
      </c>
      <c r="N68" s="2">
        <f>IF(OR(N38="",M38=""),0,--(N38&lt;&gt;M38))</f>
        <v>0</v>
      </c>
      <c r="O68" s="2">
        <f>IF(OR(O38="",N38=""),0,--(O38&lt;&gt;N38))</f>
        <v>1</v>
      </c>
      <c r="P68" s="2">
        <f>IF(OR(P38="",O38=""),0,--(P38&lt;&gt;O38))</f>
        <v>1</v>
      </c>
      <c r="Q68" s="2">
        <f>IF(OR(Q38="",P38=""),0,--(Q38&lt;&gt;P38))</f>
        <v>0</v>
      </c>
      <c r="R68" s="2">
        <f>IF(OR(R38="",Q38=""),0,--(R38&lt;&gt;Q38))</f>
        <v>0</v>
      </c>
      <c r="S68" s="2">
        <f>IF(OR(S38="",R38=""),0,--(S38&lt;&gt;R38))</f>
        <v>0</v>
      </c>
      <c r="T68" s="2">
        <f>IF(OR(T38="",S38=""),0,--(T38&lt;&gt;S38))</f>
        <v>0</v>
      </c>
      <c r="U68" s="2">
        <f>IF(OR(U38="",T38=""),0,--(U38&lt;&gt;T38))</f>
        <v>0</v>
      </c>
      <c r="V68" s="2">
        <f>IF(OR(V38="",U38=""),0,--(V38&lt;&gt;U38))</f>
        <v>0</v>
      </c>
      <c r="W68" s="2">
        <f>IF(OR(W38="",V38=""),0,--(W38&lt;&gt;V38))</f>
        <v>0</v>
      </c>
      <c r="X68" s="2">
        <f>IF(OR(X38="",W38=""),0,--(X38&lt;&gt;W38))</f>
        <v>0</v>
      </c>
      <c r="Y68" s="2">
        <f>IF(OR(Y38="",X38=""),0,--(Y38&lt;&gt;X38))</f>
        <v>0</v>
      </c>
      <c r="Z68" s="2">
        <f>IF(OR(Z38="",Y38=""),0,--(Z38&lt;&gt;Y38))</f>
        <v>0</v>
      </c>
      <c r="AA68" s="2">
        <f>IF(OR(AA38="",Z38=""),0,--(AA38&lt;&gt;Z38))</f>
        <v>0</v>
      </c>
      <c r="AB68" s="2">
        <f>IF(OR(AB38="",AA38=""),0,--(AB38&lt;&gt;AA38))</f>
        <v>0</v>
      </c>
      <c r="AC68" s="2">
        <f>IF(OR(AC38="",AB38=""),0,--(AC38&lt;&gt;AB38))</f>
        <v>0</v>
      </c>
      <c r="AD68" s="2">
        <f>IF(OR(AD38="",AC38=""),0,--(AD38&lt;&gt;AC38))</f>
        <v>0</v>
      </c>
      <c r="AE68" s="2">
        <f>IF(OR(AE38="",AD38=""),0,--(AE38&lt;&gt;AD38))</f>
        <v>0</v>
      </c>
      <c r="AF68" s="2">
        <f>IF(OR(AF38="",AE38=""),0,--(AF38&lt;&gt;AE38))</f>
        <v>0</v>
      </c>
      <c r="AG68" s="2">
        <f>IF(OR(AG38="",AF38=""),0,--(AG38&lt;&gt;AF38))</f>
        <v>0</v>
      </c>
      <c r="AH68" s="2">
        <f>IF(OR(AH38="",AG38=""),0,--(AH38&lt;&gt;AG38))</f>
        <v>0</v>
      </c>
      <c r="AI68" s="2">
        <f>IF(OR(AI38="",AH38=""),0,--(AI38&lt;&gt;AH38))</f>
        <v>0</v>
      </c>
      <c r="AJ68" s="2">
        <f>IF(OR(AJ38="",AI38=""),0,--(AJ38&lt;&gt;AI38))</f>
        <v>0</v>
      </c>
      <c r="AK68" s="2">
        <f>IF(OR(AK38="",AJ38=""),0,--(AK38&lt;&gt;AJ38))</f>
        <v>0</v>
      </c>
      <c r="AL68" s="2">
        <f>IF(OR(AL38="",AK38=""),0,--(AL38&lt;&gt;AK38))</f>
        <v>0</v>
      </c>
      <c r="AM68" s="2">
        <f>IF(OR(AM38="",AL38=""),0,--(AM38&lt;&gt;AL38))</f>
        <v>0</v>
      </c>
      <c r="AN68" s="2">
        <f>IF(OR(AN38="",AM38=""),0,--(AN38&lt;&gt;AM38))</f>
        <v>0</v>
      </c>
      <c r="AO68" s="2">
        <f>IF(OR(AO38="",AN38=""),0,--(AO38&lt;&gt;AN38))</f>
        <v>0</v>
      </c>
      <c r="AP68" s="2">
        <f>IF(OR(AP38="",AO38=""),0,--(AP38&lt;&gt;AO38))</f>
        <v>0</v>
      </c>
      <c r="AQ68" s="2">
        <f>IF(OR(AQ38="",AP38=""),0,--(AQ38&lt;&gt;AP38))</f>
        <v>0</v>
      </c>
      <c r="AR68" s="2">
        <f>IF(OR(AR38="",AQ38=""),0,--(AR38&lt;&gt;AQ38))</f>
        <v>0</v>
      </c>
      <c r="AS68" s="2">
        <f>IF(OR(AS38="",AR38=""),0,--(AS38&lt;&gt;AR38))</f>
        <v>0</v>
      </c>
      <c r="AT68" s="2">
        <f>IF(OR(AT38="",AS38=""),0,--(AT38&lt;&gt;AS38))</f>
        <v>0</v>
      </c>
      <c r="AU68" s="2">
        <f>IF(OR(AU38="",AT38=""),0,--(AU38&lt;&gt;AT38))</f>
        <v>0</v>
      </c>
      <c r="AV68" s="2">
        <f>IF(OR(AV38="",AU38=""),0,--(AV38&lt;&gt;AU38))</f>
        <v>0</v>
      </c>
      <c r="AW68" s="2">
        <f>IF(OR(AW38="",AV38=""),0,--(AW38&lt;&gt;AV38))</f>
        <v>1</v>
      </c>
      <c r="AX68" s="2">
        <f>IF(OR(AX38="",AW38=""),0,--(AX38&lt;&gt;AW38))</f>
        <v>0</v>
      </c>
      <c r="AY68" s="2">
        <f>IF(OR(AY38="",AX38=""),0,--(AY38&lt;&gt;AX38))</f>
        <v>0</v>
      </c>
      <c r="AZ68" s="2">
        <f>IF(OR(AZ38="",AY38=""),0,--(AZ38&lt;&gt;AY38))</f>
        <v>0</v>
      </c>
      <c r="BA68" s="2">
        <f>IF(OR(BA38="",AZ38=""),0,--(BA38&lt;&gt;AZ38))</f>
        <v>0</v>
      </c>
      <c r="BB68" s="2">
        <f>IF(OR(BB38="",BA38=""),0,--(BB38&lt;&gt;BA38))</f>
        <v>0</v>
      </c>
      <c r="BC68" s="2">
        <f>IF(OR(BC38="",BB38=""),0,--(BC38&lt;&gt;BB38))</f>
        <v>0</v>
      </c>
      <c r="BD68" s="2">
        <f>IF(OR(BD38="",BC38=""),0,--(BD38&lt;&gt;BC38))</f>
        <v>0</v>
      </c>
      <c r="BE68" s="2">
        <f>IF(OR(BE38="",BD38=""),0,--(BE38&lt;&gt;BD38))</f>
        <v>0</v>
      </c>
      <c r="BF68" s="2">
        <f>IF(OR(BF38="",BE38=""),0,--(BF38&lt;&gt;BE38))</f>
        <v>0</v>
      </c>
      <c r="BG68" s="2">
        <f>IF(OR(BG38="",BF38=""),0,--(BG38&lt;&gt;BF38))</f>
        <v>0</v>
      </c>
      <c r="BH68" s="2">
        <f>IF(OR(BH38="",BG38=""),0,--(BH38&lt;&gt;BG38))</f>
        <v>0</v>
      </c>
      <c r="BI68" s="2">
        <f>IF(OR(BI38="",BH38=""),0,--(BI38&lt;&gt;BH38))</f>
        <v>0</v>
      </c>
      <c r="BJ68" s="2">
        <f>IF(OR(BJ38="",BI38=""),0,--(BJ38&lt;&gt;BI38))</f>
        <v>0</v>
      </c>
      <c r="BK68" s="2">
        <f>IF(OR(BK38="",BJ38=""),0,--(BK38&lt;&gt;BJ38))</f>
        <v>0</v>
      </c>
      <c r="BL68" s="2">
        <f>IF(OR(BL38="",BK38=""),0,--(BL38&lt;&gt;BK38))</f>
        <v>0</v>
      </c>
      <c r="BM68" s="2">
        <f>IF(OR(BM38="",BL38=""),0,--(BM38&lt;&gt;BL38))</f>
        <v>0</v>
      </c>
      <c r="BN68" s="2">
        <f>IF(OR(BN38="",BM38=""),0,--(BN38&lt;&gt;BM38))</f>
        <v>0</v>
      </c>
      <c r="BO68" s="2">
        <f>IF(OR(BO38="",BN38=""),0,--(BO38&lt;&gt;BN38))</f>
        <v>0</v>
      </c>
      <c r="BP68" s="2">
        <f>IF(OR(BP38="",BO38=""),0,--(BP38&lt;&gt;BO38))</f>
        <v>0</v>
      </c>
      <c r="BQ68" s="2">
        <f>IF(OR(BQ38="",BP38=""),0,--(BQ38&lt;&gt;BP38))</f>
        <v>0</v>
      </c>
      <c r="BR68" s="2">
        <f>IF(OR(BR38="",BQ38=""),0,--(BR38&lt;&gt;BQ38))</f>
        <v>0</v>
      </c>
      <c r="BS68" s="2">
        <f>IF(OR(BS38="",BR38=""),0,--(BS38&lt;&gt;BR38))</f>
        <v>0</v>
      </c>
      <c r="BT68" s="2">
        <f>IF(OR(BT38="",BS38=""),0,--(BT38&lt;&gt;BS38))</f>
        <v>0</v>
      </c>
      <c r="BU68" s="2">
        <f>IF(OR(BU38="",BT38=""),0,--(BU38&lt;&gt;BT38))</f>
        <v>0</v>
      </c>
      <c r="BV68" s="2">
        <f>IF(OR(BV38="",BU38=""),0,--(BV38&lt;&gt;BU38))</f>
        <v>0</v>
      </c>
      <c r="BW68" s="2">
        <f>IF(OR(BW38="",BV38=""),0,--(BW38&lt;&gt;BV38))</f>
        <v>0</v>
      </c>
      <c r="BX68" s="2">
        <f>IF(OR(BX38="",BW38=""),0,--(BX38&lt;&gt;BW38))</f>
        <v>0</v>
      </c>
      <c r="BY68" s="2">
        <f>IF(OR(BY38="",BX38=""),0,--(BY38&lt;&gt;BX38))</f>
        <v>0</v>
      </c>
      <c r="BZ68" s="2">
        <f>IF(OR(BZ38="",BY38=""),0,--(BZ38&lt;&gt;BY38))</f>
        <v>0</v>
      </c>
      <c r="CA68" s="2">
        <f>IF(OR(CA38="",BZ38=""),0,--(CA38&lt;&gt;BZ38))</f>
        <v>0</v>
      </c>
      <c r="CB68" s="2">
        <f>IF(OR(CB38="",CA38=""),0,--(CB38&lt;&gt;CA38))</f>
        <v>0</v>
      </c>
      <c r="CC68" s="2">
        <f>IF(OR(CC38="",CB38=""),0,--(CC38&lt;&gt;CB38))</f>
        <v>0</v>
      </c>
      <c r="CD68" s="2">
        <f>IF(OR(CD38="",CC38=""),0,--(CD38&lt;&gt;CC38))</f>
        <v>0</v>
      </c>
      <c r="CE68" s="2">
        <f>IF(OR(CE38="",CD38=""),0,--(CE38&lt;&gt;CD38))</f>
        <v>0</v>
      </c>
      <c r="CF68" s="2">
        <f>IF(OR(CF38="",CE38=""),0,--(CF38&lt;&gt;CE38))</f>
        <v>0</v>
      </c>
      <c r="CG68" s="2">
        <f>IF(OR(CG38="",CF38=""),0,--(CG38&lt;&gt;CF38))</f>
        <v>0</v>
      </c>
      <c r="CH68" s="2">
        <f>IF(OR(CH38="",CG38=""),0,--(CH38&lt;&gt;CG38))</f>
        <v>0</v>
      </c>
      <c r="CI68" s="2">
        <f>IF(OR(CI38="",CH38=""),0,--(CI38&lt;&gt;CH38))</f>
        <v>0</v>
      </c>
      <c r="CJ68" s="2">
        <f>IF(OR(CJ38="",CI38=""),0,--(CJ38&lt;&gt;CI38))</f>
        <v>0</v>
      </c>
      <c r="CK68" s="2">
        <f>IF(OR(CK38="",CJ38=""),0,--(CK38&lt;&gt;CJ38))</f>
        <v>0</v>
      </c>
      <c r="CL68" s="2">
        <f>IF(OR(CL38="",CK38=""),0,--(CL38&lt;&gt;CK38))</f>
        <v>0</v>
      </c>
      <c r="CM68" s="2">
        <f>IF(OR(CM38="",CL38=""),0,--(CM38&lt;&gt;CL38))</f>
        <v>0</v>
      </c>
      <c r="CN68" s="2">
        <f>IF(OR(CN38="",CM38=""),0,--(CN38&lt;&gt;CM38))</f>
        <v>0</v>
      </c>
      <c r="CO68" s="2">
        <f>IF(OR(CO38="",CN38=""),0,--(CO38&lt;&gt;CN38))</f>
        <v>0</v>
      </c>
      <c r="CP68" s="2">
        <f>IF(OR(CP38="",CO38=""),0,--(CP38&lt;&gt;CO38))</f>
        <v>0</v>
      </c>
      <c r="CQ68" s="2">
        <f>IF(OR(CQ38="",CP38=""),0,--(CQ38&lt;&gt;CP38))</f>
        <v>0</v>
      </c>
      <c r="CR68" s="2">
        <f>IF(OR(CR38="",CQ38=""),0,--(CR38&lt;&gt;CQ38))</f>
        <v>0</v>
      </c>
      <c r="CS68" s="2">
        <f>IF(OR(CS38="",CR38=""),0,--(CS38&lt;&gt;CR38))</f>
        <v>0</v>
      </c>
      <c r="CT68" s="2">
        <f>IF(OR(CT38="",CS38=""),0,--(CT38&lt;&gt;CS38))</f>
        <v>0</v>
      </c>
      <c r="CU68" s="2">
        <f>IF(OR(CU38="",CT38=""),0,--(CU38&lt;&gt;CT38))</f>
        <v>0</v>
      </c>
      <c r="CV68" s="2">
        <f>IF(OR(CV38="",CU38=""),0,--(CV38&lt;&gt;CU38))</f>
        <v>0</v>
      </c>
      <c r="CW68" s="2">
        <f>IF(OR(CW38="",CV38=""),0,--(CW38&lt;&gt;CV38))</f>
        <v>0</v>
      </c>
      <c r="CX68" s="2">
        <f>IF(OR(CX38="",CW38=""),0,--(CX38&lt;&gt;CW38))</f>
        <v>0</v>
      </c>
      <c r="CY68" s="2">
        <f>IF(OR(CY38="",CX38=""),0,--(CY38&lt;&gt;CX38))</f>
        <v>0</v>
      </c>
      <c r="CZ68" s="2">
        <f>IF(OR(CZ38="",CY38=""),0,--(CZ38&lt;&gt;CY38))</f>
        <v>0</v>
      </c>
      <c r="DA68" s="2">
        <f>IF(OR(DA38="",CZ38=""),0,--(DA38&lt;&gt;CZ38))</f>
        <v>0</v>
      </c>
      <c r="DB68" s="2">
        <f>IF(OR(DB38="",DA38=""),0,--(DB38&lt;&gt;DA38))</f>
        <v>0</v>
      </c>
      <c r="DC68" s="2">
        <f>IF(OR(DC38="",DB38=""),0,--(DC38&lt;&gt;DB38))</f>
        <v>0</v>
      </c>
      <c r="DD68" s="2">
        <f>IF(OR(DD38="",DC38=""),0,--(DD38&lt;&gt;DC38))</f>
        <v>0</v>
      </c>
      <c r="DE68" s="2">
        <f>IF(OR(DE38="",DD38=""),0,--(DE38&lt;&gt;DD38))</f>
        <v>0</v>
      </c>
      <c r="DF68" s="2">
        <f>IF(OR(DF38="",DE38=""),0,--(DF38&lt;&gt;DE38))</f>
        <v>0</v>
      </c>
      <c r="DG68" s="2">
        <f>IF(OR(DG38="",DF38=""),0,--(DG38&lt;&gt;DF38))</f>
        <v>0</v>
      </c>
      <c r="DH68" s="2">
        <f>IF(OR(DH38="",DG38=""),0,--(DH38&lt;&gt;DG38))</f>
        <v>0</v>
      </c>
      <c r="DI68" s="2">
        <f>IF(OR(DI38="",DH38=""),0,--(DI38&lt;&gt;DH38))</f>
        <v>0</v>
      </c>
      <c r="DJ68" s="2">
        <f>IF(OR(DJ38="",DI38=""),0,--(DJ38&lt;&gt;DI38))</f>
        <v>0</v>
      </c>
      <c r="DK68" s="2">
        <f>IF(OR(DK38="",DJ38=""),0,--(DK38&lt;&gt;DJ38))</f>
        <v>0</v>
      </c>
      <c r="DL68" s="2">
        <f>IF(OR(DL38="",DK38=""),0,--(DL38&lt;&gt;DK38))</f>
        <v>0</v>
      </c>
      <c r="DM68" s="2">
        <f>IF(OR(DM38="",DL38=""),0,--(DM38&lt;&gt;DL38))</f>
        <v>0</v>
      </c>
      <c r="DN68" s="2">
        <f>IF(OR(DN38="",DM38=""),0,--(DN38&lt;&gt;DM38))</f>
        <v>0</v>
      </c>
      <c r="DO68" s="2">
        <f>IF(OR(DO38="",DN38=""),0,--(DO38&lt;&gt;DN38))</f>
        <v>0</v>
      </c>
      <c r="DP68" s="2">
        <f>IF(OR(DP38="",DO38=""),0,--(DP38&lt;&gt;DO38))</f>
        <v>0</v>
      </c>
      <c r="DQ68" s="2">
        <f>IF(OR(DQ38="",DP38=""),0,--(DQ38&lt;&gt;DP38))</f>
        <v>0</v>
      </c>
      <c r="DR68" s="2">
        <f>IF(OR(DR38="",DQ38=""),0,--(DR38&lt;&gt;DQ38))</f>
        <v>0</v>
      </c>
      <c r="DS68" s="2">
        <f>IF(OR(DS38="",DR38=""),0,--(DS38&lt;&gt;DR38))</f>
        <v>0</v>
      </c>
      <c r="DT68" s="2">
        <f>IF(OR(DT38="",DS38=""),0,--(DT38&lt;&gt;DS38))</f>
        <v>0</v>
      </c>
      <c r="DU68" s="2">
        <f>IF(OR(DU38="",DT38=""),0,--(DU38&lt;&gt;DT38))</f>
        <v>0</v>
      </c>
      <c r="DV68" s="2">
        <f>IF(OR(DV38="",DU38=""),0,--(DV38&lt;&gt;DU38))</f>
        <v>0</v>
      </c>
      <c r="DW68" s="2">
        <f>IF(OR(DW38="",DV38=""),0,--(DW38&lt;&gt;DV38))</f>
        <v>0</v>
      </c>
      <c r="DX68" s="2">
        <f>IF(OR(DX38="",DW38=""),0,--(DX38&lt;&gt;DW38))</f>
        <v>0</v>
      </c>
      <c r="DY68" s="2">
        <f>IF(OR(DY38="",DX38=""),0,--(DY38&lt;&gt;DX38))</f>
        <v>0</v>
      </c>
      <c r="DZ68" s="2">
        <f>IF(OR(DZ38="",DY38=""),0,--(DZ38&lt;&gt;DY38))</f>
        <v>0</v>
      </c>
      <c r="EA68" s="2">
        <f>IF(OR(EA38="",DZ38=""),0,--(EA38&lt;&gt;DZ38))</f>
        <v>0</v>
      </c>
      <c r="EB68" s="2">
        <f>IF(OR(EB38="",EA38=""),0,--(EB38&lt;&gt;EA38))</f>
        <v>0</v>
      </c>
      <c r="EC68" s="2">
        <f>IF(OR(EC38="",EB38=""),0,--(EC38&lt;&gt;EB38))</f>
        <v>0</v>
      </c>
      <c r="ED68" s="2">
        <f>IF(OR(ED38="",EC38=""),0,--(ED38&lt;&gt;EC38))</f>
        <v>0</v>
      </c>
      <c r="EE68" s="2">
        <f>IF(OR(EE38="",ED38=""),0,--(EE38&lt;&gt;ED38))</f>
        <v>0</v>
      </c>
      <c r="EF68" s="2">
        <f>IF(OR(EF38="",EE38=""),0,--(EF38&lt;&gt;EE38))</f>
        <v>0</v>
      </c>
      <c r="EG68" s="2">
        <f>IF(OR(EG38="",EF38=""),0,--(EG38&lt;&gt;EF38))</f>
        <v>0</v>
      </c>
      <c r="EH68" s="2">
        <f>IF(OR(EH38="",EG38=""),0,--(EH38&lt;&gt;EG38))</f>
        <v>0</v>
      </c>
      <c r="EI68" s="2">
        <f>IF(OR(EI38="",EH38=""),0,--(EI38&lt;&gt;EH38))</f>
        <v>0</v>
      </c>
      <c r="EJ68" s="2">
        <f>IF(OR(EJ38="",EI38=""),0,--(EJ38&lt;&gt;EI38))</f>
        <v>0</v>
      </c>
      <c r="EK68" s="2">
        <f>IF(OR(EK38="",EJ38=""),0,--(EK38&lt;&gt;EJ38))</f>
        <v>0</v>
      </c>
      <c r="EL68" s="2">
        <f>IF(OR(EL38="",EK38=""),0,--(EL38&lt;&gt;EK38))</f>
        <v>0</v>
      </c>
      <c r="EM68" s="2">
        <f>IF(OR(EM38="",EL38=""),0,--(EM38&lt;&gt;EL38))</f>
        <v>0</v>
      </c>
      <c r="EN68" s="2">
        <f>IF(OR(EN38="",EM38=""),0,--(EN38&lt;&gt;EM38))</f>
        <v>0</v>
      </c>
      <c r="EO68" s="2">
        <f>IF(OR(EO38="",EN38=""),0,--(EO38&lt;&gt;EN38))</f>
        <v>0</v>
      </c>
      <c r="EP68" s="2">
        <f>IF(OR(EP38="",EO38=""),0,--(EP38&lt;&gt;EO38))</f>
        <v>0</v>
      </c>
      <c r="EQ68" s="2">
        <f>IF(OR(EQ38="",EP38=""),0,--(EQ38&lt;&gt;EP38))</f>
        <v>0</v>
      </c>
      <c r="ER68" s="2">
        <f>IF(OR(ER38="",EQ38=""),0,--(ER38&lt;&gt;EQ38))</f>
        <v>0</v>
      </c>
      <c r="ES68" s="2">
        <f>IF(OR(ES38="",ER38=""),0,--(ES38&lt;&gt;ER38))</f>
        <v>0</v>
      </c>
      <c r="ET68" s="2">
        <f>IF(OR(ET38="",ES38=""),0,--(ET38&lt;&gt;ES38))</f>
        <v>0</v>
      </c>
      <c r="EU68" s="2">
        <f>IF(OR(EU38="",ET38=""),0,--(EU38&lt;&gt;ET38))</f>
        <v>0</v>
      </c>
      <c r="EV68" s="2">
        <f>IF(OR(EV38="",EU38=""),0,--(EV38&lt;&gt;EU38))</f>
        <v>0</v>
      </c>
      <c r="EW68" s="2">
        <f>IF(OR(EW38="",EV38=""),0,--(EW38&lt;&gt;EV38))</f>
        <v>0</v>
      </c>
      <c r="EX68" s="2">
        <f>IF(OR(EX38="",EW38=""),0,--(EX38&lt;&gt;EW38))</f>
        <v>0</v>
      </c>
      <c r="EY68" s="2">
        <f>IF(OR(EY38="",EX38=""),0,--(EY38&lt;&gt;EX38))</f>
        <v>0</v>
      </c>
      <c r="EZ68" s="2">
        <f>IF(OR(EZ38="",EY38=""),0,--(EZ38&lt;&gt;EY38))</f>
        <v>0</v>
      </c>
      <c r="FA68" s="2">
        <f>IF(OR(FA38="",EZ38=""),0,--(FA38&lt;&gt;EZ38))</f>
        <v>0</v>
      </c>
      <c r="FB68" s="2">
        <f>IF(OR(FB38="",FA38=""),0,--(FB38&lt;&gt;FA38))</f>
        <v>0</v>
      </c>
      <c r="FC68" s="2">
        <f>IF(OR(FC38="",FB38=""),0,--(FC38&lt;&gt;FB38))</f>
        <v>0</v>
      </c>
      <c r="FD68" s="2">
        <f>IF(OR(FD38="",FC38=""),0,--(FD38&lt;&gt;FC38))</f>
        <v>0</v>
      </c>
      <c r="FE68" s="2">
        <f>IF(OR(FE38="",FD38=""),0,--(FE38&lt;&gt;FD38))</f>
        <v>0</v>
      </c>
      <c r="FF68" s="2">
        <f>IF(OR(FF38="",FE38=""),0,--(FF38&lt;&gt;FE38))</f>
        <v>0</v>
      </c>
      <c r="FG68" s="2">
        <f>IF(OR(FG38="",FF38=""),0,--(FG38&lt;&gt;FF38))</f>
        <v>0</v>
      </c>
      <c r="FH68" s="2">
        <f>IF(OR(FH38="",FG38=""),0,--(FH38&lt;&gt;FG38))</f>
        <v>0</v>
      </c>
      <c r="FI68" s="2">
        <f>IF(OR(FI38="",FH38=""),0,--(FI38&lt;&gt;FH38))</f>
        <v>0</v>
      </c>
      <c r="FJ68" s="2">
        <f>IF(OR(FJ38="",FI38=""),0,--(FJ38&lt;&gt;FI38))</f>
        <v>0</v>
      </c>
      <c r="FK68" s="2">
        <f>IF(OR(FK38="",FJ38=""),0,--(FK38&lt;&gt;FJ38))</f>
        <v>0</v>
      </c>
      <c r="FL68" s="2">
        <f>IF(OR(FL38="",FK38=""),0,--(FL38&lt;&gt;FK38))</f>
        <v>0</v>
      </c>
      <c r="FM68" s="2">
        <f>IF(OR(FM38="",FL38=""),0,--(FM38&lt;&gt;FL38))</f>
        <v>0</v>
      </c>
      <c r="FN68" s="2">
        <f>IF(OR(FN38="",FM38=""),0,--(FN38&lt;&gt;FM38))</f>
        <v>0</v>
      </c>
      <c r="FO68" s="2">
        <f>IF(OR(FO38="",FN38=""),0,--(FO38&lt;&gt;FN38))</f>
        <v>0</v>
      </c>
      <c r="FP68" s="2">
        <f>IF(OR(FP38="",FO38=""),0,--(FP38&lt;&gt;FO38))</f>
        <v>0</v>
      </c>
      <c r="FQ68" s="2">
        <f>IF(OR(FQ38="",FP38=""),0,--(FQ38&lt;&gt;FP38))</f>
        <v>0</v>
      </c>
      <c r="FR68" s="2">
        <f>IF(OR(FR38="",FQ38=""),0,--(FR38&lt;&gt;FQ38))</f>
        <v>0</v>
      </c>
      <c r="FS68" s="2">
        <f>IF(OR(FS38="",FR38=""),0,--(FS38&lt;&gt;FR38))</f>
        <v>0</v>
      </c>
      <c r="FT68" s="2">
        <f>IF(OR(FT38="",FS38=""),0,--(FT38&lt;&gt;FS38))</f>
        <v>0</v>
      </c>
      <c r="FU68" s="2">
        <f>IF(OR(FU38="",FT38=""),0,--(FU38&lt;&gt;FT38))</f>
        <v>0</v>
      </c>
      <c r="FV68" s="2">
        <f>IF(OR(FV38="",FU38=""),0,--(FV38&lt;&gt;FU38))</f>
        <v>0</v>
      </c>
      <c r="FW68" s="2">
        <f>IF(OR(FW38="",FV38=""),0,--(FW38&lt;&gt;FV38))</f>
        <v>0</v>
      </c>
      <c r="FX68" s="2">
        <f>IF(OR(FX38="",FW38=""),0,--(FX38&lt;&gt;FW38))</f>
        <v>0</v>
      </c>
      <c r="FY68" s="2">
        <f>IF(OR(FY38="",FX38=""),0,--(FY38&lt;&gt;FX38))</f>
        <v>0</v>
      </c>
      <c r="FZ68" s="2">
        <f>IF(OR(FZ38="",FY38=""),0,--(FZ38&lt;&gt;FY38))</f>
        <v>0</v>
      </c>
      <c r="GA68" s="2">
        <f>IF(OR(GA38="",FZ38=""),0,--(GA38&lt;&gt;FZ38))</f>
        <v>0</v>
      </c>
      <c r="GB68" s="2">
        <f>IF(OR(GB38="",GA38=""),0,--(GB38&lt;&gt;GA38))</f>
        <v>0</v>
      </c>
      <c r="GC68" s="2">
        <f>IF(OR(GC38="",GB38=""),0,--(GC38&lt;&gt;GB38))</f>
        <v>0</v>
      </c>
      <c r="GD68" s="2">
        <f>IF(OR(GD38="",GC38=""),0,--(GD38&lt;&gt;GC38))</f>
        <v>0</v>
      </c>
      <c r="GE68" s="2">
        <f>IF(OR(GE38="",GD38=""),0,--(GE38&lt;&gt;GD38))</f>
        <v>0</v>
      </c>
      <c r="GF68" s="2">
        <f>IF(OR(GF38="",GE38=""),0,--(GF38&lt;&gt;GE38))</f>
        <v>0</v>
      </c>
      <c r="GG68" s="2">
        <f>IF(OR(GG38="",GF38=""),0,--(GG38&lt;&gt;GF38))</f>
        <v>0</v>
      </c>
      <c r="GH68" s="2">
        <f>IF(OR(GH38="",GG38=""),0,--(GH38&lt;&gt;GG38))</f>
        <v>0</v>
      </c>
      <c r="GI68" s="2">
        <f>IF(OR(GI38="",GH38=""),0,--(GI38&lt;&gt;GH38))</f>
        <v>0</v>
      </c>
      <c r="GJ68" s="2">
        <f>IF(OR(GJ38="",GI38=""),0,--(GJ38&lt;&gt;GI38))</f>
        <v>0</v>
      </c>
      <c r="GK68" s="2">
        <f>IF(OR(GK38="",GJ38=""),0,--(GK38&lt;&gt;GJ38))</f>
        <v>0</v>
      </c>
      <c r="GL68" s="2">
        <f>IF(OR(GL38="",GK38=""),0,--(GL38&lt;&gt;GK38))</f>
        <v>0</v>
      </c>
      <c r="GM68" s="2">
        <f>IF(OR(GM38="",GL38=""),0,--(GM38&lt;&gt;GL38))</f>
        <v>0</v>
      </c>
      <c r="GN68" s="2">
        <f>IF(OR(GN38="",GM38=""),0,--(GN38&lt;&gt;GM38))</f>
        <v>0</v>
      </c>
      <c r="GO68" s="2">
        <f>IF(OR(GO38="",GN38=""),0,--(GO38&lt;&gt;GN38))</f>
        <v>0</v>
      </c>
      <c r="GP68" s="2">
        <f>IF(OR(GP38="",GO38=""),0,--(GP38&lt;&gt;GO38))</f>
        <v>0</v>
      </c>
      <c r="GQ68" s="2">
        <f>IF(OR(GQ38="",GP38=""),0,--(GQ38&lt;&gt;GP38))</f>
        <v>0</v>
      </c>
      <c r="GR68" s="2">
        <f>IF(OR(GR38="",GQ38=""),0,--(GR38&lt;&gt;GQ38))</f>
        <v>0</v>
      </c>
      <c r="GS68" s="2">
        <f>IF(OR(GS38="",GR38=""),0,--(GS38&lt;&gt;GR38))</f>
        <v>0</v>
      </c>
      <c r="GY68" s="15">
        <f>SUM($B68:$DB68)</f>
        <v>3</v>
      </c>
    </row>
    <row r="69" spans="1:207">
      <c r="A69" s="2">
        <f>$A39</f>
        <v>4</v>
      </c>
      <c r="B69" s="2">
        <f>0</f>
        <v>0</v>
      </c>
      <c r="C69" s="2">
        <f>IF(OR(C39="",B39=""),0,--(C39&lt;&gt;B39))</f>
        <v>0</v>
      </c>
      <c r="D69" s="2">
        <f>IF(OR(D39="",C39=""),0,--(D39&lt;&gt;C39))</f>
        <v>0</v>
      </c>
      <c r="E69" s="2">
        <f>IF(OR(E39="",D39=""),0,--(E39&lt;&gt;D39))</f>
        <v>0</v>
      </c>
      <c r="F69" s="2">
        <f>IF(OR(F39="",E39=""),0,--(F39&lt;&gt;E39))</f>
        <v>0</v>
      </c>
      <c r="G69" s="2">
        <f>IF(OR(G39="",F39=""),0,--(G39&lt;&gt;F39))</f>
        <v>0</v>
      </c>
      <c r="H69" s="2">
        <f>IF(OR(H39="",G39=""),0,--(H39&lt;&gt;G39))</f>
        <v>0</v>
      </c>
      <c r="I69" s="2">
        <f>IF(OR(I39="",H39=""),0,--(I39&lt;&gt;H39))</f>
        <v>0</v>
      </c>
      <c r="J69" s="2">
        <f>IF(OR(J39="",I39=""),0,--(J39&lt;&gt;I39))</f>
        <v>0</v>
      </c>
      <c r="K69" s="2">
        <f>IF(OR(K39="",J39=""),0,--(K39&lt;&gt;J39))</f>
        <v>0</v>
      </c>
      <c r="L69" s="2">
        <f>IF(OR(L39="",K39=""),0,--(L39&lt;&gt;K39))</f>
        <v>0</v>
      </c>
      <c r="M69" s="2">
        <f>IF(OR(M39="",L39=""),0,--(M39&lt;&gt;L39))</f>
        <v>0</v>
      </c>
      <c r="N69" s="2">
        <f>IF(OR(N39="",M39=""),0,--(N39&lt;&gt;M39))</f>
        <v>0</v>
      </c>
      <c r="O69" s="2">
        <f>IF(OR(O39="",N39=""),0,--(O39&lt;&gt;N39))</f>
        <v>0</v>
      </c>
      <c r="P69" s="2">
        <f>IF(OR(P39="",O39=""),0,--(P39&lt;&gt;O39))</f>
        <v>0</v>
      </c>
      <c r="Q69" s="2">
        <f>IF(OR(Q39="",P39=""),0,--(Q39&lt;&gt;P39))</f>
        <v>0</v>
      </c>
      <c r="R69" s="2">
        <f>IF(OR(R39="",Q39=""),0,--(R39&lt;&gt;Q39))</f>
        <v>0</v>
      </c>
      <c r="S69" s="2">
        <f>IF(OR(S39="",R39=""),0,--(S39&lt;&gt;R39))</f>
        <v>0</v>
      </c>
      <c r="T69" s="2">
        <f>IF(OR(T39="",S39=""),0,--(T39&lt;&gt;S39))</f>
        <v>0</v>
      </c>
      <c r="U69" s="2">
        <f>IF(OR(U39="",T39=""),0,--(U39&lt;&gt;T39))</f>
        <v>0</v>
      </c>
      <c r="V69" s="2">
        <f>IF(OR(V39="",U39=""),0,--(V39&lt;&gt;U39))</f>
        <v>0</v>
      </c>
      <c r="W69" s="2">
        <f>IF(OR(W39="",V39=""),0,--(W39&lt;&gt;V39))</f>
        <v>0</v>
      </c>
      <c r="X69" s="2">
        <f>IF(OR(X39="",W39=""),0,--(X39&lt;&gt;W39))</f>
        <v>0</v>
      </c>
      <c r="Y69" s="2">
        <f>IF(OR(Y39="",X39=""),0,--(Y39&lt;&gt;X39))</f>
        <v>0</v>
      </c>
      <c r="Z69" s="2">
        <f>IF(OR(Z39="",Y39=""),0,--(Z39&lt;&gt;Y39))</f>
        <v>0</v>
      </c>
      <c r="AA69" s="2">
        <f>IF(OR(AA39="",Z39=""),0,--(AA39&lt;&gt;Z39))</f>
        <v>0</v>
      </c>
      <c r="AB69" s="2">
        <f>IF(OR(AB39="",AA39=""),0,--(AB39&lt;&gt;AA39))</f>
        <v>0</v>
      </c>
      <c r="AC69" s="2">
        <f>IF(OR(AC39="",AB39=""),0,--(AC39&lt;&gt;AB39))</f>
        <v>0</v>
      </c>
      <c r="AD69" s="2">
        <f>IF(OR(AD39="",AC39=""),0,--(AD39&lt;&gt;AC39))</f>
        <v>0</v>
      </c>
      <c r="AE69" s="2">
        <f>IF(OR(AE39="",AD39=""),0,--(AE39&lt;&gt;AD39))</f>
        <v>0</v>
      </c>
      <c r="AF69" s="2">
        <f>IF(OR(AF39="",AE39=""),0,--(AF39&lt;&gt;AE39))</f>
        <v>0</v>
      </c>
      <c r="AG69" s="2">
        <f>IF(OR(AG39="",AF39=""),0,--(AG39&lt;&gt;AF39))</f>
        <v>0</v>
      </c>
      <c r="AH69" s="2">
        <f>IF(OR(AH39="",AG39=""),0,--(AH39&lt;&gt;AG39))</f>
        <v>0</v>
      </c>
      <c r="AI69" s="2">
        <f>IF(OR(AI39="",AH39=""),0,--(AI39&lt;&gt;AH39))</f>
        <v>0</v>
      </c>
      <c r="AJ69" s="2">
        <f>IF(OR(AJ39="",AI39=""),0,--(AJ39&lt;&gt;AI39))</f>
        <v>0</v>
      </c>
      <c r="AK69" s="2">
        <f>IF(OR(AK39="",AJ39=""),0,--(AK39&lt;&gt;AJ39))</f>
        <v>0</v>
      </c>
      <c r="AL69" s="2">
        <f>IF(OR(AL39="",AK39=""),0,--(AL39&lt;&gt;AK39))</f>
        <v>0</v>
      </c>
      <c r="AM69" s="2">
        <f>IF(OR(AM39="",AL39=""),0,--(AM39&lt;&gt;AL39))</f>
        <v>0</v>
      </c>
      <c r="AN69" s="2">
        <f>IF(OR(AN39="",AM39=""),0,--(AN39&lt;&gt;AM39))</f>
        <v>0</v>
      </c>
      <c r="AO69" s="2">
        <f>IF(OR(AO39="",AN39=""),0,--(AO39&lt;&gt;AN39))</f>
        <v>0</v>
      </c>
      <c r="AP69" s="2">
        <f>IF(OR(AP39="",AO39=""),0,--(AP39&lt;&gt;AO39))</f>
        <v>0</v>
      </c>
      <c r="AQ69" s="2">
        <f>IF(OR(AQ39="",AP39=""),0,--(AQ39&lt;&gt;AP39))</f>
        <v>0</v>
      </c>
      <c r="AR69" s="2">
        <f>IF(OR(AR39="",AQ39=""),0,--(AR39&lt;&gt;AQ39))</f>
        <v>0</v>
      </c>
      <c r="AS69" s="2">
        <f>IF(OR(AS39="",AR39=""),0,--(AS39&lt;&gt;AR39))</f>
        <v>0</v>
      </c>
      <c r="AT69" s="2">
        <f>IF(OR(AT39="",AS39=""),0,--(AT39&lt;&gt;AS39))</f>
        <v>0</v>
      </c>
      <c r="AU69" s="2">
        <f>IF(OR(AU39="",AT39=""),0,--(AU39&lt;&gt;AT39))</f>
        <v>0</v>
      </c>
      <c r="AV69" s="2">
        <f>IF(OR(AV39="",AU39=""),0,--(AV39&lt;&gt;AU39))</f>
        <v>0</v>
      </c>
      <c r="AW69" s="2">
        <f>IF(OR(AW39="",AV39=""),0,--(AW39&lt;&gt;AV39))</f>
        <v>0</v>
      </c>
      <c r="AX69" s="2">
        <f>IF(OR(AX39="",AW39=""),0,--(AX39&lt;&gt;AW39))</f>
        <v>0</v>
      </c>
      <c r="AY69" s="2">
        <f>IF(OR(AY39="",AX39=""),0,--(AY39&lt;&gt;AX39))</f>
        <v>0</v>
      </c>
      <c r="AZ69" s="2">
        <f>IF(OR(AZ39="",AY39=""),0,--(AZ39&lt;&gt;AY39))</f>
        <v>0</v>
      </c>
      <c r="BA69" s="2">
        <f>IF(OR(BA39="",AZ39=""),0,--(BA39&lt;&gt;AZ39))</f>
        <v>0</v>
      </c>
      <c r="BB69" s="2">
        <f>IF(OR(BB39="",BA39=""),0,--(BB39&lt;&gt;BA39))</f>
        <v>0</v>
      </c>
      <c r="BC69" s="2">
        <f>IF(OR(BC39="",BB39=""),0,--(BC39&lt;&gt;BB39))</f>
        <v>0</v>
      </c>
      <c r="BD69" s="2">
        <f>IF(OR(BD39="",BC39=""),0,--(BD39&lt;&gt;BC39))</f>
        <v>0</v>
      </c>
      <c r="BE69" s="2">
        <f>IF(OR(BE39="",BD39=""),0,--(BE39&lt;&gt;BD39))</f>
        <v>0</v>
      </c>
      <c r="BF69" s="2">
        <f>IF(OR(BF39="",BE39=""),0,--(BF39&lt;&gt;BE39))</f>
        <v>0</v>
      </c>
      <c r="BG69" s="2">
        <f>IF(OR(BG39="",BF39=""),0,--(BG39&lt;&gt;BF39))</f>
        <v>0</v>
      </c>
      <c r="BH69" s="2">
        <f>IF(OR(BH39="",BG39=""),0,--(BH39&lt;&gt;BG39))</f>
        <v>0</v>
      </c>
      <c r="BI69" s="2">
        <f>IF(OR(BI39="",BH39=""),0,--(BI39&lt;&gt;BH39))</f>
        <v>0</v>
      </c>
      <c r="BJ69" s="2">
        <f>IF(OR(BJ39="",BI39=""),0,--(BJ39&lt;&gt;BI39))</f>
        <v>0</v>
      </c>
      <c r="BK69" s="2">
        <f>IF(OR(BK39="",BJ39=""),0,--(BK39&lt;&gt;BJ39))</f>
        <v>1</v>
      </c>
      <c r="BL69" s="2">
        <f>IF(OR(BL39="",BK39=""),0,--(BL39&lt;&gt;BK39))</f>
        <v>0</v>
      </c>
      <c r="BM69" s="2">
        <f>IF(OR(BM39="",BL39=""),0,--(BM39&lt;&gt;BL39))</f>
        <v>0</v>
      </c>
      <c r="BN69" s="2">
        <f>IF(OR(BN39="",BM39=""),0,--(BN39&lt;&gt;BM39))</f>
        <v>0</v>
      </c>
      <c r="BO69" s="2">
        <f>IF(OR(BO39="",BN39=""),0,--(BO39&lt;&gt;BN39))</f>
        <v>0</v>
      </c>
      <c r="BP69" s="2">
        <f>IF(OR(BP39="",BO39=""),0,--(BP39&lt;&gt;BO39))</f>
        <v>0</v>
      </c>
      <c r="BQ69" s="2">
        <f>IF(OR(BQ39="",BP39=""),0,--(BQ39&lt;&gt;BP39))</f>
        <v>0</v>
      </c>
      <c r="BR69" s="2">
        <f>IF(OR(BR39="",BQ39=""),0,--(BR39&lt;&gt;BQ39))</f>
        <v>0</v>
      </c>
      <c r="BS69" s="2">
        <f>IF(OR(BS39="",BR39=""),0,--(BS39&lt;&gt;BR39))</f>
        <v>0</v>
      </c>
      <c r="BT69" s="2">
        <f>IF(OR(BT39="",BS39=""),0,--(BT39&lt;&gt;BS39))</f>
        <v>0</v>
      </c>
      <c r="BU69" s="2">
        <f>IF(OR(BU39="",BT39=""),0,--(BU39&lt;&gt;BT39))</f>
        <v>0</v>
      </c>
      <c r="BV69" s="2">
        <f>IF(OR(BV39="",BU39=""),0,--(BV39&lt;&gt;BU39))</f>
        <v>0</v>
      </c>
      <c r="BW69" s="2">
        <f>IF(OR(BW39="",BV39=""),0,--(BW39&lt;&gt;BV39))</f>
        <v>0</v>
      </c>
      <c r="BX69" s="2">
        <f>IF(OR(BX39="",BW39=""),0,--(BX39&lt;&gt;BW39))</f>
        <v>0</v>
      </c>
      <c r="BY69" s="2">
        <f>IF(OR(BY39="",BX39=""),0,--(BY39&lt;&gt;BX39))</f>
        <v>0</v>
      </c>
      <c r="BZ69" s="2">
        <f>IF(OR(BZ39="",BY39=""),0,--(BZ39&lt;&gt;BY39))</f>
        <v>0</v>
      </c>
      <c r="CA69" s="2">
        <f>IF(OR(CA39="",BZ39=""),0,--(CA39&lt;&gt;BZ39))</f>
        <v>0</v>
      </c>
      <c r="CB69" s="2">
        <f>IF(OR(CB39="",CA39=""),0,--(CB39&lt;&gt;CA39))</f>
        <v>0</v>
      </c>
      <c r="CC69" s="2">
        <f>IF(OR(CC39="",CB39=""),0,--(CC39&lt;&gt;CB39))</f>
        <v>0</v>
      </c>
      <c r="CD69" s="2">
        <f>IF(OR(CD39="",CC39=""),0,--(CD39&lt;&gt;CC39))</f>
        <v>0</v>
      </c>
      <c r="CE69" s="2">
        <f>IF(OR(CE39="",CD39=""),0,--(CE39&lt;&gt;CD39))</f>
        <v>0</v>
      </c>
      <c r="CF69" s="2">
        <f>IF(OR(CF39="",CE39=""),0,--(CF39&lt;&gt;CE39))</f>
        <v>0</v>
      </c>
      <c r="CG69" s="2">
        <f>IF(OR(CG39="",CF39=""),0,--(CG39&lt;&gt;CF39))</f>
        <v>0</v>
      </c>
      <c r="CH69" s="2">
        <f>IF(OR(CH39="",CG39=""),0,--(CH39&lt;&gt;CG39))</f>
        <v>0</v>
      </c>
      <c r="CI69" s="2">
        <f>IF(OR(CI39="",CH39=""),0,--(CI39&lt;&gt;CH39))</f>
        <v>0</v>
      </c>
      <c r="CJ69" s="2">
        <f>IF(OR(CJ39="",CI39=""),0,--(CJ39&lt;&gt;CI39))</f>
        <v>0</v>
      </c>
      <c r="CK69" s="2">
        <f>IF(OR(CK39="",CJ39=""),0,--(CK39&lt;&gt;CJ39))</f>
        <v>0</v>
      </c>
      <c r="CL69" s="2">
        <f>IF(OR(CL39="",CK39=""),0,--(CL39&lt;&gt;CK39))</f>
        <v>0</v>
      </c>
      <c r="CM69" s="2">
        <f>IF(OR(CM39="",CL39=""),0,--(CM39&lt;&gt;CL39))</f>
        <v>0</v>
      </c>
      <c r="CN69" s="2">
        <f>IF(OR(CN39="",CM39=""),0,--(CN39&lt;&gt;CM39))</f>
        <v>0</v>
      </c>
      <c r="CO69" s="2">
        <f>IF(OR(CO39="",CN39=""),0,--(CO39&lt;&gt;CN39))</f>
        <v>0</v>
      </c>
      <c r="CP69" s="2">
        <f>IF(OR(CP39="",CO39=""),0,--(CP39&lt;&gt;CO39))</f>
        <v>0</v>
      </c>
      <c r="CQ69" s="2">
        <f>IF(OR(CQ39="",CP39=""),0,--(CQ39&lt;&gt;CP39))</f>
        <v>0</v>
      </c>
      <c r="CR69" s="2">
        <f>IF(OR(CR39="",CQ39=""),0,--(CR39&lt;&gt;CQ39))</f>
        <v>0</v>
      </c>
      <c r="CS69" s="2">
        <f>IF(OR(CS39="",CR39=""),0,--(CS39&lt;&gt;CR39))</f>
        <v>0</v>
      </c>
      <c r="CT69" s="2">
        <f>IF(OR(CT39="",CS39=""),0,--(CT39&lt;&gt;CS39))</f>
        <v>0</v>
      </c>
      <c r="CU69" s="2">
        <f>IF(OR(CU39="",CT39=""),0,--(CU39&lt;&gt;CT39))</f>
        <v>0</v>
      </c>
      <c r="CV69" s="2">
        <f>IF(OR(CV39="",CU39=""),0,--(CV39&lt;&gt;CU39))</f>
        <v>0</v>
      </c>
      <c r="CW69" s="2">
        <f>IF(OR(CW39="",CV39=""),0,--(CW39&lt;&gt;CV39))</f>
        <v>0</v>
      </c>
      <c r="CX69" s="2">
        <f>IF(OR(CX39="",CW39=""),0,--(CX39&lt;&gt;CW39))</f>
        <v>0</v>
      </c>
      <c r="CY69" s="2">
        <f>IF(OR(CY39="",CX39=""),0,--(CY39&lt;&gt;CX39))</f>
        <v>0</v>
      </c>
      <c r="CZ69" s="2">
        <f>IF(OR(CZ39="",CY39=""),0,--(CZ39&lt;&gt;CY39))</f>
        <v>0</v>
      </c>
      <c r="DA69" s="2">
        <f>IF(OR(DA39="",CZ39=""),0,--(DA39&lt;&gt;CZ39))</f>
        <v>0</v>
      </c>
      <c r="DB69" s="2">
        <f>IF(OR(DB39="",DA39=""),0,--(DB39&lt;&gt;DA39))</f>
        <v>0</v>
      </c>
      <c r="DC69" s="2">
        <f>IF(OR(DC39="",DB39=""),0,--(DC39&lt;&gt;DB39))</f>
        <v>0</v>
      </c>
      <c r="DD69" s="2">
        <f>IF(OR(DD39="",DC39=""),0,--(DD39&lt;&gt;DC39))</f>
        <v>0</v>
      </c>
      <c r="DE69" s="2">
        <f>IF(OR(DE39="",DD39=""),0,--(DE39&lt;&gt;DD39))</f>
        <v>0</v>
      </c>
      <c r="DF69" s="2">
        <f>IF(OR(DF39="",DE39=""),0,--(DF39&lt;&gt;DE39))</f>
        <v>0</v>
      </c>
      <c r="DG69" s="2">
        <f>IF(OR(DG39="",DF39=""),0,--(DG39&lt;&gt;DF39))</f>
        <v>0</v>
      </c>
      <c r="DH69" s="2">
        <f>IF(OR(DH39="",DG39=""),0,--(DH39&lt;&gt;DG39))</f>
        <v>0</v>
      </c>
      <c r="DI69" s="2">
        <f>IF(OR(DI39="",DH39=""),0,--(DI39&lt;&gt;DH39))</f>
        <v>0</v>
      </c>
      <c r="DJ69" s="2">
        <f>IF(OR(DJ39="",DI39=""),0,--(DJ39&lt;&gt;DI39))</f>
        <v>0</v>
      </c>
      <c r="DK69" s="2">
        <f>IF(OR(DK39="",DJ39=""),0,--(DK39&lt;&gt;DJ39))</f>
        <v>0</v>
      </c>
      <c r="DL69" s="2">
        <f>IF(OR(DL39="",DK39=""),0,--(DL39&lt;&gt;DK39))</f>
        <v>0</v>
      </c>
      <c r="DM69" s="2">
        <f>IF(OR(DM39="",DL39=""),0,--(DM39&lt;&gt;DL39))</f>
        <v>0</v>
      </c>
      <c r="DN69" s="2">
        <f>IF(OR(DN39="",DM39=""),0,--(DN39&lt;&gt;DM39))</f>
        <v>0</v>
      </c>
      <c r="DO69" s="2">
        <f>IF(OR(DO39="",DN39=""),0,--(DO39&lt;&gt;DN39))</f>
        <v>0</v>
      </c>
      <c r="DP69" s="2">
        <f>IF(OR(DP39="",DO39=""),0,--(DP39&lt;&gt;DO39))</f>
        <v>0</v>
      </c>
      <c r="DQ69" s="2">
        <f>IF(OR(DQ39="",DP39=""),0,--(DQ39&lt;&gt;DP39))</f>
        <v>0</v>
      </c>
      <c r="DR69" s="2">
        <f>IF(OR(DR39="",DQ39=""),0,--(DR39&lt;&gt;DQ39))</f>
        <v>0</v>
      </c>
      <c r="DS69" s="2">
        <f>IF(OR(DS39="",DR39=""),0,--(DS39&lt;&gt;DR39))</f>
        <v>0</v>
      </c>
      <c r="DT69" s="2">
        <f>IF(OR(DT39="",DS39=""),0,--(DT39&lt;&gt;DS39))</f>
        <v>0</v>
      </c>
      <c r="DU69" s="2">
        <f>IF(OR(DU39="",DT39=""),0,--(DU39&lt;&gt;DT39))</f>
        <v>0</v>
      </c>
      <c r="DV69" s="2">
        <f>IF(OR(DV39="",DU39=""),0,--(DV39&lt;&gt;DU39))</f>
        <v>0</v>
      </c>
      <c r="DW69" s="2">
        <f>IF(OR(DW39="",DV39=""),0,--(DW39&lt;&gt;DV39))</f>
        <v>0</v>
      </c>
      <c r="DX69" s="2">
        <f>IF(OR(DX39="",DW39=""),0,--(DX39&lt;&gt;DW39))</f>
        <v>0</v>
      </c>
      <c r="DY69" s="2">
        <f>IF(OR(DY39="",DX39=""),0,--(DY39&lt;&gt;DX39))</f>
        <v>0</v>
      </c>
      <c r="DZ69" s="2">
        <f>IF(OR(DZ39="",DY39=""),0,--(DZ39&lt;&gt;DY39))</f>
        <v>0</v>
      </c>
      <c r="EA69" s="2">
        <f>IF(OR(EA39="",DZ39=""),0,--(EA39&lt;&gt;DZ39))</f>
        <v>0</v>
      </c>
      <c r="EB69" s="2">
        <f>IF(OR(EB39="",EA39=""),0,--(EB39&lt;&gt;EA39))</f>
        <v>0</v>
      </c>
      <c r="EC69" s="2">
        <f>IF(OR(EC39="",EB39=""),0,--(EC39&lt;&gt;EB39))</f>
        <v>0</v>
      </c>
      <c r="ED69" s="2">
        <f>IF(OR(ED39="",EC39=""),0,--(ED39&lt;&gt;EC39))</f>
        <v>0</v>
      </c>
      <c r="EE69" s="2">
        <f>IF(OR(EE39="",ED39=""),0,--(EE39&lt;&gt;ED39))</f>
        <v>0</v>
      </c>
      <c r="EF69" s="2">
        <f>IF(OR(EF39="",EE39=""),0,--(EF39&lt;&gt;EE39))</f>
        <v>0</v>
      </c>
      <c r="EG69" s="2">
        <f>IF(OR(EG39="",EF39=""),0,--(EG39&lt;&gt;EF39))</f>
        <v>0</v>
      </c>
      <c r="EH69" s="2">
        <f>IF(OR(EH39="",EG39=""),0,--(EH39&lt;&gt;EG39))</f>
        <v>0</v>
      </c>
      <c r="EI69" s="2">
        <f>IF(OR(EI39="",EH39=""),0,--(EI39&lt;&gt;EH39))</f>
        <v>0</v>
      </c>
      <c r="EJ69" s="2">
        <f>IF(OR(EJ39="",EI39=""),0,--(EJ39&lt;&gt;EI39))</f>
        <v>0</v>
      </c>
      <c r="EK69" s="2">
        <f>IF(OR(EK39="",EJ39=""),0,--(EK39&lt;&gt;EJ39))</f>
        <v>0</v>
      </c>
      <c r="EL69" s="2">
        <f>IF(OR(EL39="",EK39=""),0,--(EL39&lt;&gt;EK39))</f>
        <v>0</v>
      </c>
      <c r="EM69" s="2">
        <f>IF(OR(EM39="",EL39=""),0,--(EM39&lt;&gt;EL39))</f>
        <v>0</v>
      </c>
      <c r="EN69" s="2">
        <f>IF(OR(EN39="",EM39=""),0,--(EN39&lt;&gt;EM39))</f>
        <v>0</v>
      </c>
      <c r="EO69" s="2">
        <f>IF(OR(EO39="",EN39=""),0,--(EO39&lt;&gt;EN39))</f>
        <v>0</v>
      </c>
      <c r="EP69" s="2">
        <f>IF(OR(EP39="",EO39=""),0,--(EP39&lt;&gt;EO39))</f>
        <v>0</v>
      </c>
      <c r="EQ69" s="2">
        <f>IF(OR(EQ39="",EP39=""),0,--(EQ39&lt;&gt;EP39))</f>
        <v>0</v>
      </c>
      <c r="ER69" s="2">
        <f>IF(OR(ER39="",EQ39=""),0,--(ER39&lt;&gt;EQ39))</f>
        <v>0</v>
      </c>
      <c r="ES69" s="2">
        <f>IF(OR(ES39="",ER39=""),0,--(ES39&lt;&gt;ER39))</f>
        <v>0</v>
      </c>
      <c r="ET69" s="2">
        <f>IF(OR(ET39="",ES39=""),0,--(ET39&lt;&gt;ES39))</f>
        <v>0</v>
      </c>
      <c r="EU69" s="2">
        <f>IF(OR(EU39="",ET39=""),0,--(EU39&lt;&gt;ET39))</f>
        <v>0</v>
      </c>
      <c r="EV69" s="2">
        <f>IF(OR(EV39="",EU39=""),0,--(EV39&lt;&gt;EU39))</f>
        <v>0</v>
      </c>
      <c r="EW69" s="2">
        <f>IF(OR(EW39="",EV39=""),0,--(EW39&lt;&gt;EV39))</f>
        <v>0</v>
      </c>
      <c r="EX69" s="2">
        <f>IF(OR(EX39="",EW39=""),0,--(EX39&lt;&gt;EW39))</f>
        <v>0</v>
      </c>
      <c r="EY69" s="2">
        <f>IF(OR(EY39="",EX39=""),0,--(EY39&lt;&gt;EX39))</f>
        <v>0</v>
      </c>
      <c r="EZ69" s="2">
        <f>IF(OR(EZ39="",EY39=""),0,--(EZ39&lt;&gt;EY39))</f>
        <v>0</v>
      </c>
      <c r="FA69" s="2">
        <f>IF(OR(FA39="",EZ39=""),0,--(FA39&lt;&gt;EZ39))</f>
        <v>0</v>
      </c>
      <c r="FB69" s="2">
        <f>IF(OR(FB39="",FA39=""),0,--(FB39&lt;&gt;FA39))</f>
        <v>0</v>
      </c>
      <c r="FC69" s="2">
        <f>IF(OR(FC39="",FB39=""),0,--(FC39&lt;&gt;FB39))</f>
        <v>0</v>
      </c>
      <c r="FD69" s="2">
        <f>IF(OR(FD39="",FC39=""),0,--(FD39&lt;&gt;FC39))</f>
        <v>0</v>
      </c>
      <c r="FE69" s="2">
        <f>IF(OR(FE39="",FD39=""),0,--(FE39&lt;&gt;FD39))</f>
        <v>0</v>
      </c>
      <c r="FF69" s="2">
        <f>IF(OR(FF39="",FE39=""),0,--(FF39&lt;&gt;FE39))</f>
        <v>0</v>
      </c>
      <c r="FG69" s="2">
        <f>IF(OR(FG39="",FF39=""),0,--(FG39&lt;&gt;FF39))</f>
        <v>0</v>
      </c>
      <c r="FH69" s="2">
        <f>IF(OR(FH39="",FG39=""),0,--(FH39&lt;&gt;FG39))</f>
        <v>0</v>
      </c>
      <c r="FI69" s="2">
        <f>IF(OR(FI39="",FH39=""),0,--(FI39&lt;&gt;FH39))</f>
        <v>0</v>
      </c>
      <c r="FJ69" s="2">
        <f>IF(OR(FJ39="",FI39=""),0,--(FJ39&lt;&gt;FI39))</f>
        <v>0</v>
      </c>
      <c r="FK69" s="2">
        <f>IF(OR(FK39="",FJ39=""),0,--(FK39&lt;&gt;FJ39))</f>
        <v>0</v>
      </c>
      <c r="FL69" s="2">
        <f>IF(OR(FL39="",FK39=""),0,--(FL39&lt;&gt;FK39))</f>
        <v>0</v>
      </c>
      <c r="FM69" s="2">
        <f>IF(OR(FM39="",FL39=""),0,--(FM39&lt;&gt;FL39))</f>
        <v>0</v>
      </c>
      <c r="FN69" s="2">
        <f>IF(OR(FN39="",FM39=""),0,--(FN39&lt;&gt;FM39))</f>
        <v>0</v>
      </c>
      <c r="FO69" s="2">
        <f>IF(OR(FO39="",FN39=""),0,--(FO39&lt;&gt;FN39))</f>
        <v>0</v>
      </c>
      <c r="FP69" s="2">
        <f>IF(OR(FP39="",FO39=""),0,--(FP39&lt;&gt;FO39))</f>
        <v>0</v>
      </c>
      <c r="FQ69" s="2">
        <f>IF(OR(FQ39="",FP39=""),0,--(FQ39&lt;&gt;FP39))</f>
        <v>0</v>
      </c>
      <c r="FR69" s="2">
        <f>IF(OR(FR39="",FQ39=""),0,--(FR39&lt;&gt;FQ39))</f>
        <v>0</v>
      </c>
      <c r="FS69" s="2">
        <f>IF(OR(FS39="",FR39=""),0,--(FS39&lt;&gt;FR39))</f>
        <v>0</v>
      </c>
      <c r="FT69" s="2">
        <f>IF(OR(FT39="",FS39=""),0,--(FT39&lt;&gt;FS39))</f>
        <v>0</v>
      </c>
      <c r="FU69" s="2">
        <f>IF(OR(FU39="",FT39=""),0,--(FU39&lt;&gt;FT39))</f>
        <v>0</v>
      </c>
      <c r="FV69" s="2">
        <f>IF(OR(FV39="",FU39=""),0,--(FV39&lt;&gt;FU39))</f>
        <v>0</v>
      </c>
      <c r="FW69" s="2">
        <f>IF(OR(FW39="",FV39=""),0,--(FW39&lt;&gt;FV39))</f>
        <v>0</v>
      </c>
      <c r="FX69" s="2">
        <f>IF(OR(FX39="",FW39=""),0,--(FX39&lt;&gt;FW39))</f>
        <v>0</v>
      </c>
      <c r="FY69" s="2">
        <f>IF(OR(FY39="",FX39=""),0,--(FY39&lt;&gt;FX39))</f>
        <v>0</v>
      </c>
      <c r="FZ69" s="2">
        <f>IF(OR(FZ39="",FY39=""),0,--(FZ39&lt;&gt;FY39))</f>
        <v>0</v>
      </c>
      <c r="GA69" s="2">
        <f>IF(OR(GA39="",FZ39=""),0,--(GA39&lt;&gt;FZ39))</f>
        <v>0</v>
      </c>
      <c r="GB69" s="2">
        <f>IF(OR(GB39="",GA39=""),0,--(GB39&lt;&gt;GA39))</f>
        <v>0</v>
      </c>
      <c r="GC69" s="2">
        <f>IF(OR(GC39="",GB39=""),0,--(GC39&lt;&gt;GB39))</f>
        <v>0</v>
      </c>
      <c r="GD69" s="2">
        <f>IF(OR(GD39="",GC39=""),0,--(GD39&lt;&gt;GC39))</f>
        <v>0</v>
      </c>
      <c r="GE69" s="2">
        <f>IF(OR(GE39="",GD39=""),0,--(GE39&lt;&gt;GD39))</f>
        <v>0</v>
      </c>
      <c r="GF69" s="2">
        <f>IF(OR(GF39="",GE39=""),0,--(GF39&lt;&gt;GE39))</f>
        <v>0</v>
      </c>
      <c r="GG69" s="2">
        <f>IF(OR(GG39="",GF39=""),0,--(GG39&lt;&gt;GF39))</f>
        <v>0</v>
      </c>
      <c r="GH69" s="2">
        <f>IF(OR(GH39="",GG39=""),0,--(GH39&lt;&gt;GG39))</f>
        <v>0</v>
      </c>
      <c r="GI69" s="2">
        <f>IF(OR(GI39="",GH39=""),0,--(GI39&lt;&gt;GH39))</f>
        <v>0</v>
      </c>
      <c r="GJ69" s="2">
        <f>IF(OR(GJ39="",GI39=""),0,--(GJ39&lt;&gt;GI39))</f>
        <v>0</v>
      </c>
      <c r="GK69" s="2">
        <f>IF(OR(GK39="",GJ39=""),0,--(GK39&lt;&gt;GJ39))</f>
        <v>0</v>
      </c>
      <c r="GL69" s="2">
        <f>IF(OR(GL39="",GK39=""),0,--(GL39&lt;&gt;GK39))</f>
        <v>0</v>
      </c>
      <c r="GM69" s="2">
        <f>IF(OR(GM39="",GL39=""),0,--(GM39&lt;&gt;GL39))</f>
        <v>0</v>
      </c>
      <c r="GN69" s="2">
        <f>IF(OR(GN39="",GM39=""),0,--(GN39&lt;&gt;GM39))</f>
        <v>0</v>
      </c>
      <c r="GO69" s="2">
        <f>IF(OR(GO39="",GN39=""),0,--(GO39&lt;&gt;GN39))</f>
        <v>0</v>
      </c>
      <c r="GP69" s="2">
        <f>IF(OR(GP39="",GO39=""),0,--(GP39&lt;&gt;GO39))</f>
        <v>0</v>
      </c>
      <c r="GQ69" s="2">
        <f>IF(OR(GQ39="",GP39=""),0,--(GQ39&lt;&gt;GP39))</f>
        <v>0</v>
      </c>
      <c r="GR69" s="2">
        <f>IF(OR(GR39="",GQ39=""),0,--(GR39&lt;&gt;GQ39))</f>
        <v>0</v>
      </c>
      <c r="GS69" s="2">
        <f>IF(OR(GS39="",GR39=""),0,--(GS39&lt;&gt;GR39))</f>
        <v>0</v>
      </c>
      <c r="GY69" s="15">
        <f>SUM($B69:$DB69)</f>
        <v>1</v>
      </c>
    </row>
    <row r="70" spans="1:207">
      <c r="A70" s="2">
        <f>$A40</f>
        <v>5</v>
      </c>
      <c r="B70" s="2">
        <f>0</f>
        <v>0</v>
      </c>
      <c r="C70" s="2">
        <f>IF(OR(C40="",B40=""),0,--(C40&lt;&gt;B40))</f>
        <v>0</v>
      </c>
      <c r="D70" s="2">
        <f>IF(OR(D40="",C40=""),0,--(D40&lt;&gt;C40))</f>
        <v>0</v>
      </c>
      <c r="E70" s="2">
        <f>IF(OR(E40="",D40=""),0,--(E40&lt;&gt;D40))</f>
        <v>0</v>
      </c>
      <c r="F70" s="2">
        <f>IF(OR(F40="",E40=""),0,--(F40&lt;&gt;E40))</f>
        <v>0</v>
      </c>
      <c r="G70" s="2">
        <f>IF(OR(G40="",F40=""),0,--(G40&lt;&gt;F40))</f>
        <v>0</v>
      </c>
      <c r="H70" s="2">
        <f>IF(OR(H40="",G40=""),0,--(H40&lt;&gt;G40))</f>
        <v>0</v>
      </c>
      <c r="I70" s="2">
        <f>IF(OR(I40="",H40=""),0,--(I40&lt;&gt;H40))</f>
        <v>0</v>
      </c>
      <c r="J70" s="2">
        <f>IF(OR(J40="",I40=""),0,--(J40&lt;&gt;I40))</f>
        <v>0</v>
      </c>
      <c r="K70" s="2">
        <f>IF(OR(K40="",J40=""),0,--(K40&lt;&gt;J40))</f>
        <v>0</v>
      </c>
      <c r="L70" s="2">
        <f>IF(OR(L40="",K40=""),0,--(L40&lt;&gt;K40))</f>
        <v>0</v>
      </c>
      <c r="M70" s="2">
        <f>IF(OR(M40="",L40=""),0,--(M40&lt;&gt;L40))</f>
        <v>1</v>
      </c>
      <c r="N70" s="2">
        <f>IF(OR(N40="",M40=""),0,--(N40&lt;&gt;M40))</f>
        <v>0</v>
      </c>
      <c r="O70" s="2">
        <f>IF(OR(O40="",N40=""),0,--(O40&lt;&gt;N40))</f>
        <v>0</v>
      </c>
      <c r="P70" s="2">
        <f>IF(OR(P40="",O40=""),0,--(P40&lt;&gt;O40))</f>
        <v>0</v>
      </c>
      <c r="Q70" s="2">
        <f>IF(OR(Q40="",P40=""),0,--(Q40&lt;&gt;P40))</f>
        <v>0</v>
      </c>
      <c r="R70" s="2">
        <f>IF(OR(R40="",Q40=""),0,--(R40&lt;&gt;Q40))</f>
        <v>0</v>
      </c>
      <c r="S70" s="2">
        <f>IF(OR(S40="",R40=""),0,--(S40&lt;&gt;R40))</f>
        <v>0</v>
      </c>
      <c r="T70" s="2">
        <f>IF(OR(T40="",S40=""),0,--(T40&lt;&gt;S40))</f>
        <v>0</v>
      </c>
      <c r="U70" s="2">
        <f>IF(OR(U40="",T40=""),0,--(U40&lt;&gt;T40))</f>
        <v>0</v>
      </c>
      <c r="V70" s="2">
        <f>IF(OR(V40="",U40=""),0,--(V40&lt;&gt;U40))</f>
        <v>0</v>
      </c>
      <c r="W70" s="2">
        <f>IF(OR(W40="",V40=""),0,--(W40&lt;&gt;V40))</f>
        <v>0</v>
      </c>
      <c r="X70" s="2">
        <f>IF(OR(X40="",W40=""),0,--(X40&lt;&gt;W40))</f>
        <v>0</v>
      </c>
      <c r="Y70" s="2">
        <f>IF(OR(Y40="",X40=""),0,--(Y40&lt;&gt;X40))</f>
        <v>0</v>
      </c>
      <c r="Z70" s="2">
        <f>IF(OR(Z40="",Y40=""),0,--(Z40&lt;&gt;Y40))</f>
        <v>0</v>
      </c>
      <c r="AA70" s="2">
        <f>IF(OR(AA40="",Z40=""),0,--(AA40&lt;&gt;Z40))</f>
        <v>0</v>
      </c>
      <c r="AB70" s="2">
        <f>IF(OR(AB40="",AA40=""),0,--(AB40&lt;&gt;AA40))</f>
        <v>0</v>
      </c>
      <c r="AC70" s="2">
        <f>IF(OR(AC40="",AB40=""),0,--(AC40&lt;&gt;AB40))</f>
        <v>0</v>
      </c>
      <c r="AD70" s="2">
        <f>IF(OR(AD40="",AC40=""),0,--(AD40&lt;&gt;AC40))</f>
        <v>0</v>
      </c>
      <c r="AE70" s="2">
        <f>IF(OR(AE40="",AD40=""),0,--(AE40&lt;&gt;AD40))</f>
        <v>0</v>
      </c>
      <c r="AF70" s="2">
        <f>IF(OR(AF40="",AE40=""),0,--(AF40&lt;&gt;AE40))</f>
        <v>0</v>
      </c>
      <c r="AG70" s="2">
        <f>IF(OR(AG40="",AF40=""),0,--(AG40&lt;&gt;AF40))</f>
        <v>0</v>
      </c>
      <c r="AH70" s="2">
        <f>IF(OR(AH40="",AG40=""),0,--(AH40&lt;&gt;AG40))</f>
        <v>0</v>
      </c>
      <c r="AI70" s="2">
        <f>IF(OR(AI40="",AH40=""),0,--(AI40&lt;&gt;AH40))</f>
        <v>0</v>
      </c>
      <c r="AJ70" s="2">
        <f>IF(OR(AJ40="",AI40=""),0,--(AJ40&lt;&gt;AI40))</f>
        <v>0</v>
      </c>
      <c r="AK70" s="2">
        <f>IF(OR(AK40="",AJ40=""),0,--(AK40&lt;&gt;AJ40))</f>
        <v>0</v>
      </c>
      <c r="AL70" s="2">
        <f>IF(OR(AL40="",AK40=""),0,--(AL40&lt;&gt;AK40))</f>
        <v>0</v>
      </c>
      <c r="AM70" s="2">
        <f>IF(OR(AM40="",AL40=""),0,--(AM40&lt;&gt;AL40))</f>
        <v>0</v>
      </c>
      <c r="AN70" s="2">
        <f>IF(OR(AN40="",AM40=""),0,--(AN40&lt;&gt;AM40))</f>
        <v>0</v>
      </c>
      <c r="AO70" s="2">
        <f>IF(OR(AO40="",AN40=""),0,--(AO40&lt;&gt;AN40))</f>
        <v>0</v>
      </c>
      <c r="AP70" s="2">
        <f>IF(OR(AP40="",AO40=""),0,--(AP40&lt;&gt;AO40))</f>
        <v>0</v>
      </c>
      <c r="AQ70" s="2">
        <f>IF(OR(AQ40="",AP40=""),0,--(AQ40&lt;&gt;AP40))</f>
        <v>0</v>
      </c>
      <c r="AR70" s="2">
        <f>IF(OR(AR40="",AQ40=""),0,--(AR40&lt;&gt;AQ40))</f>
        <v>0</v>
      </c>
      <c r="AS70" s="2">
        <f>IF(OR(AS40="",AR40=""),0,--(AS40&lt;&gt;AR40))</f>
        <v>0</v>
      </c>
      <c r="AT70" s="2">
        <f>IF(OR(AT40="",AS40=""),0,--(AT40&lt;&gt;AS40))</f>
        <v>0</v>
      </c>
      <c r="AU70" s="2">
        <f>IF(OR(AU40="",AT40=""),0,--(AU40&lt;&gt;AT40))</f>
        <v>0</v>
      </c>
      <c r="AV70" s="2">
        <f>IF(OR(AV40="",AU40=""),0,--(AV40&lt;&gt;AU40))</f>
        <v>0</v>
      </c>
      <c r="AW70" s="2">
        <f>IF(OR(AW40="",AV40=""),0,--(AW40&lt;&gt;AV40))</f>
        <v>0</v>
      </c>
      <c r="AX70" s="2">
        <f>IF(OR(AX40="",AW40=""),0,--(AX40&lt;&gt;AW40))</f>
        <v>0</v>
      </c>
      <c r="AY70" s="2">
        <f>IF(OR(AY40="",AX40=""),0,--(AY40&lt;&gt;AX40))</f>
        <v>0</v>
      </c>
      <c r="AZ70" s="2">
        <f>IF(OR(AZ40="",AY40=""),0,--(AZ40&lt;&gt;AY40))</f>
        <v>0</v>
      </c>
      <c r="BA70" s="2">
        <f>IF(OR(BA40="",AZ40=""),0,--(BA40&lt;&gt;AZ40))</f>
        <v>0</v>
      </c>
      <c r="BB70" s="2">
        <f>IF(OR(BB40="",BA40=""),0,--(BB40&lt;&gt;BA40))</f>
        <v>0</v>
      </c>
      <c r="BC70" s="2">
        <f>IF(OR(BC40="",BB40=""),0,--(BC40&lt;&gt;BB40))</f>
        <v>0</v>
      </c>
      <c r="BD70" s="2">
        <f>IF(OR(BD40="",BC40=""),0,--(BD40&lt;&gt;BC40))</f>
        <v>0</v>
      </c>
      <c r="BE70" s="2">
        <f>IF(OR(BE40="",BD40=""),0,--(BE40&lt;&gt;BD40))</f>
        <v>0</v>
      </c>
      <c r="BF70" s="2">
        <f>IF(OR(BF40="",BE40=""),0,--(BF40&lt;&gt;BE40))</f>
        <v>0</v>
      </c>
      <c r="BG70" s="2">
        <f>IF(OR(BG40="",BF40=""),0,--(BG40&lt;&gt;BF40))</f>
        <v>0</v>
      </c>
      <c r="BH70" s="2">
        <f>IF(OR(BH40="",BG40=""),0,--(BH40&lt;&gt;BG40))</f>
        <v>0</v>
      </c>
      <c r="BI70" s="2">
        <f>IF(OR(BI40="",BH40=""),0,--(BI40&lt;&gt;BH40))</f>
        <v>0</v>
      </c>
      <c r="BJ70" s="2">
        <f>IF(OR(BJ40="",BI40=""),0,--(BJ40&lt;&gt;BI40))</f>
        <v>0</v>
      </c>
      <c r="BK70" s="2">
        <f>IF(OR(BK40="",BJ40=""),0,--(BK40&lt;&gt;BJ40))</f>
        <v>1</v>
      </c>
      <c r="BL70" s="2">
        <f>IF(OR(BL40="",BK40=""),0,--(BL40&lt;&gt;BK40))</f>
        <v>0</v>
      </c>
      <c r="BM70" s="2">
        <f>IF(OR(BM40="",BL40=""),0,--(BM40&lt;&gt;BL40))</f>
        <v>0</v>
      </c>
      <c r="BN70" s="2">
        <f>IF(OR(BN40="",BM40=""),0,--(BN40&lt;&gt;BM40))</f>
        <v>0</v>
      </c>
      <c r="BO70" s="2">
        <f>IF(OR(BO40="",BN40=""),0,--(BO40&lt;&gt;BN40))</f>
        <v>0</v>
      </c>
      <c r="BP70" s="2">
        <f>IF(OR(BP40="",BO40=""),0,--(BP40&lt;&gt;BO40))</f>
        <v>0</v>
      </c>
      <c r="BQ70" s="2">
        <f>IF(OR(BQ40="",BP40=""),0,--(BQ40&lt;&gt;BP40))</f>
        <v>0</v>
      </c>
      <c r="BR70" s="2">
        <f>IF(OR(BR40="",BQ40=""),0,--(BR40&lt;&gt;BQ40))</f>
        <v>0</v>
      </c>
      <c r="BS70" s="2">
        <f>IF(OR(BS40="",BR40=""),0,--(BS40&lt;&gt;BR40))</f>
        <v>0</v>
      </c>
      <c r="BT70" s="2">
        <f>IF(OR(BT40="",BS40=""),0,--(BT40&lt;&gt;BS40))</f>
        <v>0</v>
      </c>
      <c r="BU70" s="2">
        <f>IF(OR(BU40="",BT40=""),0,--(BU40&lt;&gt;BT40))</f>
        <v>0</v>
      </c>
      <c r="BV70" s="2">
        <f>IF(OR(BV40="",BU40=""),0,--(BV40&lt;&gt;BU40))</f>
        <v>0</v>
      </c>
      <c r="BW70" s="2">
        <f>IF(OR(BW40="",BV40=""),0,--(BW40&lt;&gt;BV40))</f>
        <v>0</v>
      </c>
      <c r="BX70" s="2">
        <f>IF(OR(BX40="",BW40=""),0,--(BX40&lt;&gt;BW40))</f>
        <v>0</v>
      </c>
      <c r="BY70" s="2">
        <f>IF(OR(BY40="",BX40=""),0,--(BY40&lt;&gt;BX40))</f>
        <v>0</v>
      </c>
      <c r="BZ70" s="2">
        <f>IF(OR(BZ40="",BY40=""),0,--(BZ40&lt;&gt;BY40))</f>
        <v>0</v>
      </c>
      <c r="CA70" s="2">
        <f>IF(OR(CA40="",BZ40=""),0,--(CA40&lt;&gt;BZ40))</f>
        <v>0</v>
      </c>
      <c r="CB70" s="2">
        <f>IF(OR(CB40="",CA40=""),0,--(CB40&lt;&gt;CA40))</f>
        <v>0</v>
      </c>
      <c r="CC70" s="2">
        <f>IF(OR(CC40="",CB40=""),0,--(CC40&lt;&gt;CB40))</f>
        <v>0</v>
      </c>
      <c r="CD70" s="2">
        <f>IF(OR(CD40="",CC40=""),0,--(CD40&lt;&gt;CC40))</f>
        <v>0</v>
      </c>
      <c r="CE70" s="2">
        <f>IF(OR(CE40="",CD40=""),0,--(CE40&lt;&gt;CD40))</f>
        <v>0</v>
      </c>
      <c r="CF70" s="2">
        <f>IF(OR(CF40="",CE40=""),0,--(CF40&lt;&gt;CE40))</f>
        <v>0</v>
      </c>
      <c r="CG70" s="2">
        <f>IF(OR(CG40="",CF40=""),0,--(CG40&lt;&gt;CF40))</f>
        <v>0</v>
      </c>
      <c r="CH70" s="2">
        <f>IF(OR(CH40="",CG40=""),0,--(CH40&lt;&gt;CG40))</f>
        <v>0</v>
      </c>
      <c r="CI70" s="2">
        <f>IF(OR(CI40="",CH40=""),0,--(CI40&lt;&gt;CH40))</f>
        <v>0</v>
      </c>
      <c r="CJ70" s="2">
        <f>IF(OR(CJ40="",CI40=""),0,--(CJ40&lt;&gt;CI40))</f>
        <v>0</v>
      </c>
      <c r="CK70" s="2">
        <f>IF(OR(CK40="",CJ40=""),0,--(CK40&lt;&gt;CJ40))</f>
        <v>0</v>
      </c>
      <c r="CL70" s="2">
        <f>IF(OR(CL40="",CK40=""),0,--(CL40&lt;&gt;CK40))</f>
        <v>0</v>
      </c>
      <c r="CM70" s="2">
        <f>IF(OR(CM40="",CL40=""),0,--(CM40&lt;&gt;CL40))</f>
        <v>0</v>
      </c>
      <c r="CN70" s="2">
        <f>IF(OR(CN40="",CM40=""),0,--(CN40&lt;&gt;CM40))</f>
        <v>0</v>
      </c>
      <c r="CO70" s="2">
        <f>IF(OR(CO40="",CN40=""),0,--(CO40&lt;&gt;CN40))</f>
        <v>0</v>
      </c>
      <c r="CP70" s="2">
        <f>IF(OR(CP40="",CO40=""),0,--(CP40&lt;&gt;CO40))</f>
        <v>0</v>
      </c>
      <c r="CQ70" s="2">
        <f>IF(OR(CQ40="",CP40=""),0,--(CQ40&lt;&gt;CP40))</f>
        <v>0</v>
      </c>
      <c r="CR70" s="2">
        <f>IF(OR(CR40="",CQ40=""),0,--(CR40&lt;&gt;CQ40))</f>
        <v>0</v>
      </c>
      <c r="CS70" s="2">
        <f>IF(OR(CS40="",CR40=""),0,--(CS40&lt;&gt;CR40))</f>
        <v>0</v>
      </c>
      <c r="CT70" s="2">
        <f>IF(OR(CT40="",CS40=""),0,--(CT40&lt;&gt;CS40))</f>
        <v>0</v>
      </c>
      <c r="CU70" s="2">
        <f>IF(OR(CU40="",CT40=""),0,--(CU40&lt;&gt;CT40))</f>
        <v>0</v>
      </c>
      <c r="CV70" s="2">
        <f>IF(OR(CV40="",CU40=""),0,--(CV40&lt;&gt;CU40))</f>
        <v>0</v>
      </c>
      <c r="CW70" s="2">
        <f>IF(OR(CW40="",CV40=""),0,--(CW40&lt;&gt;CV40))</f>
        <v>0</v>
      </c>
      <c r="CX70" s="2">
        <f>IF(OR(CX40="",CW40=""),0,--(CX40&lt;&gt;CW40))</f>
        <v>0</v>
      </c>
      <c r="CY70" s="2">
        <f>IF(OR(CY40="",CX40=""),0,--(CY40&lt;&gt;CX40))</f>
        <v>0</v>
      </c>
      <c r="CZ70" s="2">
        <f>IF(OR(CZ40="",CY40=""),0,--(CZ40&lt;&gt;CY40))</f>
        <v>0</v>
      </c>
      <c r="DA70" s="2">
        <f>IF(OR(DA40="",CZ40=""),0,--(DA40&lt;&gt;CZ40))</f>
        <v>0</v>
      </c>
      <c r="DB70" s="2">
        <f>IF(OR(DB40="",DA40=""),0,--(DB40&lt;&gt;DA40))</f>
        <v>0</v>
      </c>
      <c r="DC70" s="2">
        <f>IF(OR(DC40="",DB40=""),0,--(DC40&lt;&gt;DB40))</f>
        <v>0</v>
      </c>
      <c r="DD70" s="2">
        <f>IF(OR(DD40="",DC40=""),0,--(DD40&lt;&gt;DC40))</f>
        <v>0</v>
      </c>
      <c r="DE70" s="2">
        <f>IF(OR(DE40="",DD40=""),0,--(DE40&lt;&gt;DD40))</f>
        <v>0</v>
      </c>
      <c r="DF70" s="2">
        <f>IF(OR(DF40="",DE40=""),0,--(DF40&lt;&gt;DE40))</f>
        <v>0</v>
      </c>
      <c r="DG70" s="2">
        <f>IF(OR(DG40="",DF40=""),0,--(DG40&lt;&gt;DF40))</f>
        <v>0</v>
      </c>
      <c r="DH70" s="2">
        <f>IF(OR(DH40="",DG40=""),0,--(DH40&lt;&gt;DG40))</f>
        <v>0</v>
      </c>
      <c r="DI70" s="2">
        <f>IF(OR(DI40="",DH40=""),0,--(DI40&lt;&gt;DH40))</f>
        <v>0</v>
      </c>
      <c r="DJ70" s="2">
        <f>IF(OR(DJ40="",DI40=""),0,--(DJ40&lt;&gt;DI40))</f>
        <v>0</v>
      </c>
      <c r="DK70" s="2">
        <f>IF(OR(DK40="",DJ40=""),0,--(DK40&lt;&gt;DJ40))</f>
        <v>0</v>
      </c>
      <c r="DL70" s="2">
        <f>IF(OR(DL40="",DK40=""),0,--(DL40&lt;&gt;DK40))</f>
        <v>0</v>
      </c>
      <c r="DM70" s="2">
        <f>IF(OR(DM40="",DL40=""),0,--(DM40&lt;&gt;DL40))</f>
        <v>0</v>
      </c>
      <c r="DN70" s="2">
        <f>IF(OR(DN40="",DM40=""),0,--(DN40&lt;&gt;DM40))</f>
        <v>0</v>
      </c>
      <c r="DO70" s="2">
        <f>IF(OR(DO40="",DN40=""),0,--(DO40&lt;&gt;DN40))</f>
        <v>0</v>
      </c>
      <c r="DP70" s="2">
        <f>IF(OR(DP40="",DO40=""),0,--(DP40&lt;&gt;DO40))</f>
        <v>0</v>
      </c>
      <c r="DQ70" s="2">
        <f>IF(OR(DQ40="",DP40=""),0,--(DQ40&lt;&gt;DP40))</f>
        <v>0</v>
      </c>
      <c r="DR70" s="2">
        <f>IF(OR(DR40="",DQ40=""),0,--(DR40&lt;&gt;DQ40))</f>
        <v>0</v>
      </c>
      <c r="DS70" s="2">
        <f>IF(OR(DS40="",DR40=""),0,--(DS40&lt;&gt;DR40))</f>
        <v>0</v>
      </c>
      <c r="DT70" s="2">
        <f>IF(OR(DT40="",DS40=""),0,--(DT40&lt;&gt;DS40))</f>
        <v>0</v>
      </c>
      <c r="DU70" s="2">
        <f>IF(OR(DU40="",DT40=""),0,--(DU40&lt;&gt;DT40))</f>
        <v>0</v>
      </c>
      <c r="DV70" s="2">
        <f>IF(OR(DV40="",DU40=""),0,--(DV40&lt;&gt;DU40))</f>
        <v>0</v>
      </c>
      <c r="DW70" s="2">
        <f>IF(OR(DW40="",DV40=""),0,--(DW40&lt;&gt;DV40))</f>
        <v>0</v>
      </c>
      <c r="DX70" s="2">
        <f>IF(OR(DX40="",DW40=""),0,--(DX40&lt;&gt;DW40))</f>
        <v>0</v>
      </c>
      <c r="DY70" s="2">
        <f>IF(OR(DY40="",DX40=""),0,--(DY40&lt;&gt;DX40))</f>
        <v>0</v>
      </c>
      <c r="DZ70" s="2">
        <f>IF(OR(DZ40="",DY40=""),0,--(DZ40&lt;&gt;DY40))</f>
        <v>0</v>
      </c>
      <c r="EA70" s="2">
        <f>IF(OR(EA40="",DZ40=""),0,--(EA40&lt;&gt;DZ40))</f>
        <v>0</v>
      </c>
      <c r="EB70" s="2">
        <f>IF(OR(EB40="",EA40=""),0,--(EB40&lt;&gt;EA40))</f>
        <v>0</v>
      </c>
      <c r="EC70" s="2">
        <f>IF(OR(EC40="",EB40=""),0,--(EC40&lt;&gt;EB40))</f>
        <v>0</v>
      </c>
      <c r="ED70" s="2">
        <f>IF(OR(ED40="",EC40=""),0,--(ED40&lt;&gt;EC40))</f>
        <v>0</v>
      </c>
      <c r="EE70" s="2">
        <f>IF(OR(EE40="",ED40=""),0,--(EE40&lt;&gt;ED40))</f>
        <v>0</v>
      </c>
      <c r="EF70" s="2">
        <f>IF(OR(EF40="",EE40=""),0,--(EF40&lt;&gt;EE40))</f>
        <v>0</v>
      </c>
      <c r="EG70" s="2">
        <f>IF(OR(EG40="",EF40=""),0,--(EG40&lt;&gt;EF40))</f>
        <v>0</v>
      </c>
      <c r="EH70" s="2">
        <f>IF(OR(EH40="",EG40=""),0,--(EH40&lt;&gt;EG40))</f>
        <v>0</v>
      </c>
      <c r="EI70" s="2">
        <f>IF(OR(EI40="",EH40=""),0,--(EI40&lt;&gt;EH40))</f>
        <v>0</v>
      </c>
      <c r="EJ70" s="2">
        <f>IF(OR(EJ40="",EI40=""),0,--(EJ40&lt;&gt;EI40))</f>
        <v>0</v>
      </c>
      <c r="EK70" s="2">
        <f>IF(OR(EK40="",EJ40=""),0,--(EK40&lt;&gt;EJ40))</f>
        <v>0</v>
      </c>
      <c r="EL70" s="2">
        <f>IF(OR(EL40="",EK40=""),0,--(EL40&lt;&gt;EK40))</f>
        <v>0</v>
      </c>
      <c r="EM70" s="2">
        <f>IF(OR(EM40="",EL40=""),0,--(EM40&lt;&gt;EL40))</f>
        <v>0</v>
      </c>
      <c r="EN70" s="2">
        <f>IF(OR(EN40="",EM40=""),0,--(EN40&lt;&gt;EM40))</f>
        <v>0</v>
      </c>
      <c r="EO70" s="2">
        <f>IF(OR(EO40="",EN40=""),0,--(EO40&lt;&gt;EN40))</f>
        <v>0</v>
      </c>
      <c r="EP70" s="2">
        <f>IF(OR(EP40="",EO40=""),0,--(EP40&lt;&gt;EO40))</f>
        <v>0</v>
      </c>
      <c r="EQ70" s="2">
        <f>IF(OR(EQ40="",EP40=""),0,--(EQ40&lt;&gt;EP40))</f>
        <v>0</v>
      </c>
      <c r="ER70" s="2">
        <f>IF(OR(ER40="",EQ40=""),0,--(ER40&lt;&gt;EQ40))</f>
        <v>0</v>
      </c>
      <c r="ES70" s="2">
        <f>IF(OR(ES40="",ER40=""),0,--(ES40&lt;&gt;ER40))</f>
        <v>0</v>
      </c>
      <c r="ET70" s="2">
        <f>IF(OR(ET40="",ES40=""),0,--(ET40&lt;&gt;ES40))</f>
        <v>0</v>
      </c>
      <c r="EU70" s="2">
        <f>IF(OR(EU40="",ET40=""),0,--(EU40&lt;&gt;ET40))</f>
        <v>0</v>
      </c>
      <c r="EV70" s="2">
        <f>IF(OR(EV40="",EU40=""),0,--(EV40&lt;&gt;EU40))</f>
        <v>0</v>
      </c>
      <c r="EW70" s="2">
        <f>IF(OR(EW40="",EV40=""),0,--(EW40&lt;&gt;EV40))</f>
        <v>0</v>
      </c>
      <c r="EX70" s="2">
        <f>IF(OR(EX40="",EW40=""),0,--(EX40&lt;&gt;EW40))</f>
        <v>0</v>
      </c>
      <c r="EY70" s="2">
        <f>IF(OR(EY40="",EX40=""),0,--(EY40&lt;&gt;EX40))</f>
        <v>0</v>
      </c>
      <c r="EZ70" s="2">
        <f>IF(OR(EZ40="",EY40=""),0,--(EZ40&lt;&gt;EY40))</f>
        <v>0</v>
      </c>
      <c r="FA70" s="2">
        <f>IF(OR(FA40="",EZ40=""),0,--(FA40&lt;&gt;EZ40))</f>
        <v>0</v>
      </c>
      <c r="FB70" s="2">
        <f>IF(OR(FB40="",FA40=""),0,--(FB40&lt;&gt;FA40))</f>
        <v>0</v>
      </c>
      <c r="FC70" s="2">
        <f>IF(OR(FC40="",FB40=""),0,--(FC40&lt;&gt;FB40))</f>
        <v>0</v>
      </c>
      <c r="FD70" s="2">
        <f>IF(OR(FD40="",FC40=""),0,--(FD40&lt;&gt;FC40))</f>
        <v>0</v>
      </c>
      <c r="FE70" s="2">
        <f>IF(OR(FE40="",FD40=""),0,--(FE40&lt;&gt;FD40))</f>
        <v>0</v>
      </c>
      <c r="FF70" s="2">
        <f>IF(OR(FF40="",FE40=""),0,--(FF40&lt;&gt;FE40))</f>
        <v>0</v>
      </c>
      <c r="FG70" s="2">
        <f>IF(OR(FG40="",FF40=""),0,--(FG40&lt;&gt;FF40))</f>
        <v>0</v>
      </c>
      <c r="FH70" s="2">
        <f>IF(OR(FH40="",FG40=""),0,--(FH40&lt;&gt;FG40))</f>
        <v>0</v>
      </c>
      <c r="FI70" s="2">
        <f>IF(OR(FI40="",FH40=""),0,--(FI40&lt;&gt;FH40))</f>
        <v>0</v>
      </c>
      <c r="FJ70" s="2">
        <f>IF(OR(FJ40="",FI40=""),0,--(FJ40&lt;&gt;FI40))</f>
        <v>0</v>
      </c>
      <c r="FK70" s="2">
        <f>IF(OR(FK40="",FJ40=""),0,--(FK40&lt;&gt;FJ40))</f>
        <v>0</v>
      </c>
      <c r="FL70" s="2">
        <f>IF(OR(FL40="",FK40=""),0,--(FL40&lt;&gt;FK40))</f>
        <v>0</v>
      </c>
      <c r="FM70" s="2">
        <f>IF(OR(FM40="",FL40=""),0,--(FM40&lt;&gt;FL40))</f>
        <v>0</v>
      </c>
      <c r="FN70" s="2">
        <f>IF(OR(FN40="",FM40=""),0,--(FN40&lt;&gt;FM40))</f>
        <v>0</v>
      </c>
      <c r="FO70" s="2">
        <f>IF(OR(FO40="",FN40=""),0,--(FO40&lt;&gt;FN40))</f>
        <v>0</v>
      </c>
      <c r="FP70" s="2">
        <f>IF(OR(FP40="",FO40=""),0,--(FP40&lt;&gt;FO40))</f>
        <v>0</v>
      </c>
      <c r="FQ70" s="2">
        <f>IF(OR(FQ40="",FP40=""),0,--(FQ40&lt;&gt;FP40))</f>
        <v>0</v>
      </c>
      <c r="FR70" s="2">
        <f>IF(OR(FR40="",FQ40=""),0,--(FR40&lt;&gt;FQ40))</f>
        <v>0</v>
      </c>
      <c r="FS70" s="2">
        <f>IF(OR(FS40="",FR40=""),0,--(FS40&lt;&gt;FR40))</f>
        <v>0</v>
      </c>
      <c r="FT70" s="2">
        <f>IF(OR(FT40="",FS40=""),0,--(FT40&lt;&gt;FS40))</f>
        <v>0</v>
      </c>
      <c r="FU70" s="2">
        <f>IF(OR(FU40="",FT40=""),0,--(FU40&lt;&gt;FT40))</f>
        <v>0</v>
      </c>
      <c r="FV70" s="2">
        <f>IF(OR(FV40="",FU40=""),0,--(FV40&lt;&gt;FU40))</f>
        <v>0</v>
      </c>
      <c r="FW70" s="2">
        <f>IF(OR(FW40="",FV40=""),0,--(FW40&lt;&gt;FV40))</f>
        <v>0</v>
      </c>
      <c r="FX70" s="2">
        <f>IF(OR(FX40="",FW40=""),0,--(FX40&lt;&gt;FW40))</f>
        <v>0</v>
      </c>
      <c r="FY70" s="2">
        <f>IF(OR(FY40="",FX40=""),0,--(FY40&lt;&gt;FX40))</f>
        <v>0</v>
      </c>
      <c r="FZ70" s="2">
        <f>IF(OR(FZ40="",FY40=""),0,--(FZ40&lt;&gt;FY40))</f>
        <v>0</v>
      </c>
      <c r="GA70" s="2">
        <f>IF(OR(GA40="",FZ40=""),0,--(GA40&lt;&gt;FZ40))</f>
        <v>0</v>
      </c>
      <c r="GB70" s="2">
        <f>IF(OR(GB40="",GA40=""),0,--(GB40&lt;&gt;GA40))</f>
        <v>0</v>
      </c>
      <c r="GC70" s="2">
        <f>IF(OR(GC40="",GB40=""),0,--(GC40&lt;&gt;GB40))</f>
        <v>0</v>
      </c>
      <c r="GD70" s="2">
        <f>IF(OR(GD40="",GC40=""),0,--(GD40&lt;&gt;GC40))</f>
        <v>0</v>
      </c>
      <c r="GE70" s="2">
        <f>IF(OR(GE40="",GD40=""),0,--(GE40&lt;&gt;GD40))</f>
        <v>0</v>
      </c>
      <c r="GF70" s="2">
        <f>IF(OR(GF40="",GE40=""),0,--(GF40&lt;&gt;GE40))</f>
        <v>0</v>
      </c>
      <c r="GG70" s="2">
        <f>IF(OR(GG40="",GF40=""),0,--(GG40&lt;&gt;GF40))</f>
        <v>0</v>
      </c>
      <c r="GH70" s="2">
        <f>IF(OR(GH40="",GG40=""),0,--(GH40&lt;&gt;GG40))</f>
        <v>0</v>
      </c>
      <c r="GI70" s="2">
        <f>IF(OR(GI40="",GH40=""),0,--(GI40&lt;&gt;GH40))</f>
        <v>0</v>
      </c>
      <c r="GJ70" s="2">
        <f>IF(OR(GJ40="",GI40=""),0,--(GJ40&lt;&gt;GI40))</f>
        <v>0</v>
      </c>
      <c r="GK70" s="2">
        <f>IF(OR(GK40="",GJ40=""),0,--(GK40&lt;&gt;GJ40))</f>
        <v>0</v>
      </c>
      <c r="GL70" s="2">
        <f>IF(OR(GL40="",GK40=""),0,--(GL40&lt;&gt;GK40))</f>
        <v>0</v>
      </c>
      <c r="GM70" s="2">
        <f>IF(OR(GM40="",GL40=""),0,--(GM40&lt;&gt;GL40))</f>
        <v>0</v>
      </c>
      <c r="GN70" s="2">
        <f>IF(OR(GN40="",GM40=""),0,--(GN40&lt;&gt;GM40))</f>
        <v>0</v>
      </c>
      <c r="GO70" s="2">
        <f>IF(OR(GO40="",GN40=""),0,--(GO40&lt;&gt;GN40))</f>
        <v>0</v>
      </c>
      <c r="GP70" s="2">
        <f>IF(OR(GP40="",GO40=""),0,--(GP40&lt;&gt;GO40))</f>
        <v>0</v>
      </c>
      <c r="GQ70" s="2">
        <f>IF(OR(GQ40="",GP40=""),0,--(GQ40&lt;&gt;GP40))</f>
        <v>0</v>
      </c>
      <c r="GR70" s="2">
        <f>IF(OR(GR40="",GQ40=""),0,--(GR40&lt;&gt;GQ40))</f>
        <v>0</v>
      </c>
      <c r="GS70" s="2">
        <f>IF(OR(GS40="",GR40=""),0,--(GS40&lt;&gt;GR40))</f>
        <v>0</v>
      </c>
      <c r="GY70" s="15">
        <f>SUM($B70:$DB70)</f>
        <v>2</v>
      </c>
    </row>
    <row r="71" spans="1:207">
      <c r="A71" s="2">
        <f>$A41</f>
        <v>6</v>
      </c>
      <c r="B71" s="2">
        <f>0</f>
        <v>0</v>
      </c>
      <c r="C71" s="2">
        <f>IF(OR(C41="",B41=""),0,--(C41&lt;&gt;B41))</f>
        <v>0</v>
      </c>
      <c r="D71" s="2">
        <f>IF(OR(D41="",C41=""),0,--(D41&lt;&gt;C41))</f>
        <v>0</v>
      </c>
      <c r="E71" s="2">
        <f>IF(OR(E41="",D41=""),0,--(E41&lt;&gt;D41))</f>
        <v>0</v>
      </c>
      <c r="F71" s="2">
        <f>IF(OR(F41="",E41=""),0,--(F41&lt;&gt;E41))</f>
        <v>0</v>
      </c>
      <c r="G71" s="2">
        <f>IF(OR(G41="",F41=""),0,--(G41&lt;&gt;F41))</f>
        <v>0</v>
      </c>
      <c r="H71" s="2">
        <f>IF(OR(H41="",G41=""),0,--(H41&lt;&gt;G41))</f>
        <v>0</v>
      </c>
      <c r="I71" s="2">
        <f>IF(OR(I41="",H41=""),0,--(I41&lt;&gt;H41))</f>
        <v>0</v>
      </c>
      <c r="J71" s="2">
        <f>IF(OR(J41="",I41=""),0,--(J41&lt;&gt;I41))</f>
        <v>0</v>
      </c>
      <c r="K71" s="2">
        <f>IF(OR(K41="",J41=""),0,--(K41&lt;&gt;J41))</f>
        <v>0</v>
      </c>
      <c r="L71" s="2">
        <f>IF(OR(L41="",K41=""),0,--(L41&lt;&gt;K41))</f>
        <v>0</v>
      </c>
      <c r="M71" s="2">
        <f>IF(OR(M41="",L41=""),0,--(M41&lt;&gt;L41))</f>
        <v>0</v>
      </c>
      <c r="N71" s="2">
        <f>IF(OR(N41="",M41=""),0,--(N41&lt;&gt;M41))</f>
        <v>0</v>
      </c>
      <c r="O71" s="2">
        <f>IF(OR(O41="",N41=""),0,--(O41&lt;&gt;N41))</f>
        <v>0</v>
      </c>
      <c r="P71" s="2">
        <f>IF(OR(P41="",O41=""),0,--(P41&lt;&gt;O41))</f>
        <v>0</v>
      </c>
      <c r="Q71" s="2">
        <f>IF(OR(Q41="",P41=""),0,--(Q41&lt;&gt;P41))</f>
        <v>0</v>
      </c>
      <c r="R71" s="2">
        <f>IF(OR(R41="",Q41=""),0,--(R41&lt;&gt;Q41))</f>
        <v>0</v>
      </c>
      <c r="S71" s="2">
        <f>IF(OR(S41="",R41=""),0,--(S41&lt;&gt;R41))</f>
        <v>0</v>
      </c>
      <c r="T71" s="2">
        <f>IF(OR(T41="",S41=""),0,--(T41&lt;&gt;S41))</f>
        <v>0</v>
      </c>
      <c r="U71" s="2">
        <f>IF(OR(U41="",T41=""),0,--(U41&lt;&gt;T41))</f>
        <v>0</v>
      </c>
      <c r="V71" s="2">
        <f>IF(OR(V41="",U41=""),0,--(V41&lt;&gt;U41))</f>
        <v>0</v>
      </c>
      <c r="W71" s="2">
        <f>IF(OR(W41="",V41=""),0,--(W41&lt;&gt;V41))</f>
        <v>0</v>
      </c>
      <c r="X71" s="2">
        <f>IF(OR(X41="",W41=""),0,--(X41&lt;&gt;W41))</f>
        <v>0</v>
      </c>
      <c r="Y71" s="2">
        <f>IF(OR(Y41="",X41=""),0,--(Y41&lt;&gt;X41))</f>
        <v>0</v>
      </c>
      <c r="Z71" s="2">
        <f>IF(OR(Z41="",Y41=""),0,--(Z41&lt;&gt;Y41))</f>
        <v>0</v>
      </c>
      <c r="AA71" s="2">
        <f>IF(OR(AA41="",Z41=""),0,--(AA41&lt;&gt;Z41))</f>
        <v>0</v>
      </c>
      <c r="AB71" s="2">
        <f>IF(OR(AB41="",AA41=""),0,--(AB41&lt;&gt;AA41))</f>
        <v>0</v>
      </c>
      <c r="AC71" s="2">
        <f>IF(OR(AC41="",AB41=""),0,--(AC41&lt;&gt;AB41))</f>
        <v>0</v>
      </c>
      <c r="AD71" s="2">
        <f>IF(OR(AD41="",AC41=""),0,--(AD41&lt;&gt;AC41))</f>
        <v>0</v>
      </c>
      <c r="AE71" s="2">
        <f>IF(OR(AE41="",AD41=""),0,--(AE41&lt;&gt;AD41))</f>
        <v>0</v>
      </c>
      <c r="AF71" s="2">
        <f>IF(OR(AF41="",AE41=""),0,--(AF41&lt;&gt;AE41))</f>
        <v>0</v>
      </c>
      <c r="AG71" s="2">
        <f>IF(OR(AG41="",AF41=""),0,--(AG41&lt;&gt;AF41))</f>
        <v>0</v>
      </c>
      <c r="AH71" s="2">
        <f>IF(OR(AH41="",AG41=""),0,--(AH41&lt;&gt;AG41))</f>
        <v>0</v>
      </c>
      <c r="AI71" s="2">
        <f>IF(OR(AI41="",AH41=""),0,--(AI41&lt;&gt;AH41))</f>
        <v>0</v>
      </c>
      <c r="AJ71" s="2">
        <f>IF(OR(AJ41="",AI41=""),0,--(AJ41&lt;&gt;AI41))</f>
        <v>0</v>
      </c>
      <c r="AK71" s="2">
        <f>IF(OR(AK41="",AJ41=""),0,--(AK41&lt;&gt;AJ41))</f>
        <v>0</v>
      </c>
      <c r="AL71" s="2">
        <f>IF(OR(AL41="",AK41=""),0,--(AL41&lt;&gt;AK41))</f>
        <v>0</v>
      </c>
      <c r="AM71" s="2">
        <f>IF(OR(AM41="",AL41=""),0,--(AM41&lt;&gt;AL41))</f>
        <v>0</v>
      </c>
      <c r="AN71" s="2">
        <f>IF(OR(AN41="",AM41=""),0,--(AN41&lt;&gt;AM41))</f>
        <v>0</v>
      </c>
      <c r="AO71" s="2">
        <f>IF(OR(AO41="",AN41=""),0,--(AO41&lt;&gt;AN41))</f>
        <v>0</v>
      </c>
      <c r="AP71" s="2">
        <f>IF(OR(AP41="",AO41=""),0,--(AP41&lt;&gt;AO41))</f>
        <v>0</v>
      </c>
      <c r="AQ71" s="2">
        <f>IF(OR(AQ41="",AP41=""),0,--(AQ41&lt;&gt;AP41))</f>
        <v>0</v>
      </c>
      <c r="AR71" s="2">
        <f>IF(OR(AR41="",AQ41=""),0,--(AR41&lt;&gt;AQ41))</f>
        <v>0</v>
      </c>
      <c r="AS71" s="2">
        <f>IF(OR(AS41="",AR41=""),0,--(AS41&lt;&gt;AR41))</f>
        <v>0</v>
      </c>
      <c r="AT71" s="2">
        <f>IF(OR(AT41="",AS41=""),0,--(AT41&lt;&gt;AS41))</f>
        <v>0</v>
      </c>
      <c r="AU71" s="2">
        <f>IF(OR(AU41="",AT41=""),0,--(AU41&lt;&gt;AT41))</f>
        <v>0</v>
      </c>
      <c r="AV71" s="2">
        <f>IF(OR(AV41="",AU41=""),0,--(AV41&lt;&gt;AU41))</f>
        <v>0</v>
      </c>
      <c r="AW71" s="2">
        <f>IF(OR(AW41="",AV41=""),0,--(AW41&lt;&gt;AV41))</f>
        <v>0</v>
      </c>
      <c r="AX71" s="2">
        <f>IF(OR(AX41="",AW41=""),0,--(AX41&lt;&gt;AW41))</f>
        <v>0</v>
      </c>
      <c r="AY71" s="2">
        <f>IF(OR(AY41="",AX41=""),0,--(AY41&lt;&gt;AX41))</f>
        <v>0</v>
      </c>
      <c r="AZ71" s="2">
        <f>IF(OR(AZ41="",AY41=""),0,--(AZ41&lt;&gt;AY41))</f>
        <v>1</v>
      </c>
      <c r="BA71" s="2">
        <f>IF(OR(BA41="",AZ41=""),0,--(BA41&lt;&gt;AZ41))</f>
        <v>0</v>
      </c>
      <c r="BB71" s="2">
        <f>IF(OR(BB41="",BA41=""),0,--(BB41&lt;&gt;BA41))</f>
        <v>0</v>
      </c>
      <c r="BC71" s="2">
        <f>IF(OR(BC41="",BB41=""),0,--(BC41&lt;&gt;BB41))</f>
        <v>0</v>
      </c>
      <c r="BD71" s="2">
        <f>IF(OR(BD41="",BC41=""),0,--(BD41&lt;&gt;BC41))</f>
        <v>0</v>
      </c>
      <c r="BE71" s="2">
        <f>IF(OR(BE41="",BD41=""),0,--(BE41&lt;&gt;BD41))</f>
        <v>0</v>
      </c>
      <c r="BF71" s="2">
        <f>IF(OR(BF41="",BE41=""),0,--(BF41&lt;&gt;BE41))</f>
        <v>0</v>
      </c>
      <c r="BG71" s="2">
        <f>IF(OR(BG41="",BF41=""),0,--(BG41&lt;&gt;BF41))</f>
        <v>0</v>
      </c>
      <c r="BH71" s="2">
        <f>IF(OR(BH41="",BG41=""),0,--(BH41&lt;&gt;BG41))</f>
        <v>0</v>
      </c>
      <c r="BI71" s="2">
        <f>IF(OR(BI41="",BH41=""),0,--(BI41&lt;&gt;BH41))</f>
        <v>0</v>
      </c>
      <c r="BJ71" s="2">
        <f>IF(OR(BJ41="",BI41=""),0,--(BJ41&lt;&gt;BI41))</f>
        <v>0</v>
      </c>
      <c r="BK71" s="2">
        <f>IF(OR(BK41="",BJ41=""),0,--(BK41&lt;&gt;BJ41))</f>
        <v>0</v>
      </c>
      <c r="BL71" s="2">
        <f>IF(OR(BL41="",BK41=""),0,--(BL41&lt;&gt;BK41))</f>
        <v>0</v>
      </c>
      <c r="BM71" s="2">
        <f>IF(OR(BM41="",BL41=""),0,--(BM41&lt;&gt;BL41))</f>
        <v>0</v>
      </c>
      <c r="BN71" s="2">
        <f>IF(OR(BN41="",BM41=""),0,--(BN41&lt;&gt;BM41))</f>
        <v>0</v>
      </c>
      <c r="BO71" s="2">
        <f>IF(OR(BO41="",BN41=""),0,--(BO41&lt;&gt;BN41))</f>
        <v>0</v>
      </c>
      <c r="BP71" s="2">
        <f>IF(OR(BP41="",BO41=""),0,--(BP41&lt;&gt;BO41))</f>
        <v>0</v>
      </c>
      <c r="BQ71" s="2">
        <f>IF(OR(BQ41="",BP41=""),0,--(BQ41&lt;&gt;BP41))</f>
        <v>0</v>
      </c>
      <c r="BR71" s="2">
        <f>IF(OR(BR41="",BQ41=""),0,--(BR41&lt;&gt;BQ41))</f>
        <v>0</v>
      </c>
      <c r="BS71" s="2">
        <f>IF(OR(BS41="",BR41=""),0,--(BS41&lt;&gt;BR41))</f>
        <v>0</v>
      </c>
      <c r="BT71" s="2">
        <f>IF(OR(BT41="",BS41=""),0,--(BT41&lt;&gt;BS41))</f>
        <v>0</v>
      </c>
      <c r="BU71" s="2">
        <f>IF(OR(BU41="",BT41=""),0,--(BU41&lt;&gt;BT41))</f>
        <v>0</v>
      </c>
      <c r="BV71" s="2">
        <f>IF(OR(BV41="",BU41=""),0,--(BV41&lt;&gt;BU41))</f>
        <v>0</v>
      </c>
      <c r="BW71" s="2">
        <f>IF(OR(BW41="",BV41=""),0,--(BW41&lt;&gt;BV41))</f>
        <v>0</v>
      </c>
      <c r="BX71" s="2">
        <f>IF(OR(BX41="",BW41=""),0,--(BX41&lt;&gt;BW41))</f>
        <v>0</v>
      </c>
      <c r="BY71" s="2">
        <f>IF(OR(BY41="",BX41=""),0,--(BY41&lt;&gt;BX41))</f>
        <v>0</v>
      </c>
      <c r="BZ71" s="2">
        <f>IF(OR(BZ41="",BY41=""),0,--(BZ41&lt;&gt;BY41))</f>
        <v>0</v>
      </c>
      <c r="CA71" s="2">
        <f>IF(OR(CA41="",BZ41=""),0,--(CA41&lt;&gt;BZ41))</f>
        <v>0</v>
      </c>
      <c r="CB71" s="2">
        <f>IF(OR(CB41="",CA41=""),0,--(CB41&lt;&gt;CA41))</f>
        <v>0</v>
      </c>
      <c r="CC71" s="2">
        <f>IF(OR(CC41="",CB41=""),0,--(CC41&lt;&gt;CB41))</f>
        <v>0</v>
      </c>
      <c r="CD71" s="2">
        <f>IF(OR(CD41="",CC41=""),0,--(CD41&lt;&gt;CC41))</f>
        <v>0</v>
      </c>
      <c r="CE71" s="2">
        <f>IF(OR(CE41="",CD41=""),0,--(CE41&lt;&gt;CD41))</f>
        <v>0</v>
      </c>
      <c r="CF71" s="2">
        <f>IF(OR(CF41="",CE41=""),0,--(CF41&lt;&gt;CE41))</f>
        <v>0</v>
      </c>
      <c r="CG71" s="2">
        <f>IF(OR(CG41="",CF41=""),0,--(CG41&lt;&gt;CF41))</f>
        <v>0</v>
      </c>
      <c r="CH71" s="2">
        <f>IF(OR(CH41="",CG41=""),0,--(CH41&lt;&gt;CG41))</f>
        <v>0</v>
      </c>
      <c r="CI71" s="2">
        <f>IF(OR(CI41="",CH41=""),0,--(CI41&lt;&gt;CH41))</f>
        <v>0</v>
      </c>
      <c r="CJ71" s="2">
        <f>IF(OR(CJ41="",CI41=""),0,--(CJ41&lt;&gt;CI41))</f>
        <v>0</v>
      </c>
      <c r="CK71" s="2">
        <f>IF(OR(CK41="",CJ41=""),0,--(CK41&lt;&gt;CJ41))</f>
        <v>0</v>
      </c>
      <c r="CL71" s="2">
        <f>IF(OR(CL41="",CK41=""),0,--(CL41&lt;&gt;CK41))</f>
        <v>0</v>
      </c>
      <c r="CM71" s="2">
        <f>IF(OR(CM41="",CL41=""),0,--(CM41&lt;&gt;CL41))</f>
        <v>0</v>
      </c>
      <c r="CN71" s="2">
        <f>IF(OR(CN41="",CM41=""),0,--(CN41&lt;&gt;CM41))</f>
        <v>0</v>
      </c>
      <c r="CO71" s="2">
        <f>IF(OR(CO41="",CN41=""),0,--(CO41&lt;&gt;CN41))</f>
        <v>0</v>
      </c>
      <c r="CP71" s="2">
        <f>IF(OR(CP41="",CO41=""),0,--(CP41&lt;&gt;CO41))</f>
        <v>0</v>
      </c>
      <c r="CQ71" s="2">
        <f>IF(OR(CQ41="",CP41=""),0,--(CQ41&lt;&gt;CP41))</f>
        <v>0</v>
      </c>
      <c r="CR71" s="2">
        <f>IF(OR(CR41="",CQ41=""),0,--(CR41&lt;&gt;CQ41))</f>
        <v>0</v>
      </c>
      <c r="CS71" s="2">
        <f>IF(OR(CS41="",CR41=""),0,--(CS41&lt;&gt;CR41))</f>
        <v>0</v>
      </c>
      <c r="CT71" s="2">
        <f>IF(OR(CT41="",CS41=""),0,--(CT41&lt;&gt;CS41))</f>
        <v>0</v>
      </c>
      <c r="CU71" s="2">
        <f>IF(OR(CU41="",CT41=""),0,--(CU41&lt;&gt;CT41))</f>
        <v>0</v>
      </c>
      <c r="CV71" s="2">
        <f>IF(OR(CV41="",CU41=""),0,--(CV41&lt;&gt;CU41))</f>
        <v>0</v>
      </c>
      <c r="CW71" s="2">
        <f>IF(OR(CW41="",CV41=""),0,--(CW41&lt;&gt;CV41))</f>
        <v>0</v>
      </c>
      <c r="CX71" s="2">
        <f>IF(OR(CX41="",CW41=""),0,--(CX41&lt;&gt;CW41))</f>
        <v>0</v>
      </c>
      <c r="CY71" s="2">
        <f>IF(OR(CY41="",CX41=""),0,--(CY41&lt;&gt;CX41))</f>
        <v>0</v>
      </c>
      <c r="CZ71" s="2">
        <f>IF(OR(CZ41="",CY41=""),0,--(CZ41&lt;&gt;CY41))</f>
        <v>0</v>
      </c>
      <c r="DA71" s="2">
        <f>IF(OR(DA41="",CZ41=""),0,--(DA41&lt;&gt;CZ41))</f>
        <v>0</v>
      </c>
      <c r="DB71" s="2">
        <f>IF(OR(DB41="",DA41=""),0,--(DB41&lt;&gt;DA41))</f>
        <v>0</v>
      </c>
      <c r="DC71" s="2">
        <f>IF(OR(DC41="",DB41=""),0,--(DC41&lt;&gt;DB41))</f>
        <v>0</v>
      </c>
      <c r="DD71" s="2">
        <f>IF(OR(DD41="",DC41=""),0,--(DD41&lt;&gt;DC41))</f>
        <v>0</v>
      </c>
      <c r="DE71" s="2">
        <f>IF(OR(DE41="",DD41=""),0,--(DE41&lt;&gt;DD41))</f>
        <v>0</v>
      </c>
      <c r="DF71" s="2">
        <f>IF(OR(DF41="",DE41=""),0,--(DF41&lt;&gt;DE41))</f>
        <v>0</v>
      </c>
      <c r="DG71" s="2">
        <f>IF(OR(DG41="",DF41=""),0,--(DG41&lt;&gt;DF41))</f>
        <v>0</v>
      </c>
      <c r="DH71" s="2">
        <f>IF(OR(DH41="",DG41=""),0,--(DH41&lt;&gt;DG41))</f>
        <v>0</v>
      </c>
      <c r="DI71" s="2">
        <f>IF(OR(DI41="",DH41=""),0,--(DI41&lt;&gt;DH41))</f>
        <v>0</v>
      </c>
      <c r="DJ71" s="2">
        <f>IF(OR(DJ41="",DI41=""),0,--(DJ41&lt;&gt;DI41))</f>
        <v>0</v>
      </c>
      <c r="DK71" s="2">
        <f>IF(OR(DK41="",DJ41=""),0,--(DK41&lt;&gt;DJ41))</f>
        <v>0</v>
      </c>
      <c r="DL71" s="2">
        <f>IF(OR(DL41="",DK41=""),0,--(DL41&lt;&gt;DK41))</f>
        <v>0</v>
      </c>
      <c r="DM71" s="2">
        <f>IF(OR(DM41="",DL41=""),0,--(DM41&lt;&gt;DL41))</f>
        <v>0</v>
      </c>
      <c r="DN71" s="2">
        <f>IF(OR(DN41="",DM41=""),0,--(DN41&lt;&gt;DM41))</f>
        <v>0</v>
      </c>
      <c r="DO71" s="2">
        <f>IF(OR(DO41="",DN41=""),0,--(DO41&lt;&gt;DN41))</f>
        <v>0</v>
      </c>
      <c r="DP71" s="2">
        <f>IF(OR(DP41="",DO41=""),0,--(DP41&lt;&gt;DO41))</f>
        <v>0</v>
      </c>
      <c r="DQ71" s="2">
        <f>IF(OR(DQ41="",DP41=""),0,--(DQ41&lt;&gt;DP41))</f>
        <v>0</v>
      </c>
      <c r="DR71" s="2">
        <f>IF(OR(DR41="",DQ41=""),0,--(DR41&lt;&gt;DQ41))</f>
        <v>0</v>
      </c>
      <c r="DS71" s="2">
        <f>IF(OR(DS41="",DR41=""),0,--(DS41&lt;&gt;DR41))</f>
        <v>0</v>
      </c>
      <c r="DT71" s="2">
        <f>IF(OR(DT41="",DS41=""),0,--(DT41&lt;&gt;DS41))</f>
        <v>0</v>
      </c>
      <c r="DU71" s="2">
        <f>IF(OR(DU41="",DT41=""),0,--(DU41&lt;&gt;DT41))</f>
        <v>0</v>
      </c>
      <c r="DV71" s="2">
        <f>IF(OR(DV41="",DU41=""),0,--(DV41&lt;&gt;DU41))</f>
        <v>0</v>
      </c>
      <c r="DW71" s="2">
        <f>IF(OR(DW41="",DV41=""),0,--(DW41&lt;&gt;DV41))</f>
        <v>0</v>
      </c>
      <c r="DX71" s="2">
        <f>IF(OR(DX41="",DW41=""),0,--(DX41&lt;&gt;DW41))</f>
        <v>0</v>
      </c>
      <c r="DY71" s="2">
        <f>IF(OR(DY41="",DX41=""),0,--(DY41&lt;&gt;DX41))</f>
        <v>0</v>
      </c>
      <c r="DZ71" s="2">
        <f>IF(OR(DZ41="",DY41=""),0,--(DZ41&lt;&gt;DY41))</f>
        <v>0</v>
      </c>
      <c r="EA71" s="2">
        <f>IF(OR(EA41="",DZ41=""),0,--(EA41&lt;&gt;DZ41))</f>
        <v>0</v>
      </c>
      <c r="EB71" s="2">
        <f>IF(OR(EB41="",EA41=""),0,--(EB41&lt;&gt;EA41))</f>
        <v>0</v>
      </c>
      <c r="EC71" s="2">
        <f>IF(OR(EC41="",EB41=""),0,--(EC41&lt;&gt;EB41))</f>
        <v>0</v>
      </c>
      <c r="ED71" s="2">
        <f>IF(OR(ED41="",EC41=""),0,--(ED41&lt;&gt;EC41))</f>
        <v>0</v>
      </c>
      <c r="EE71" s="2">
        <f>IF(OR(EE41="",ED41=""),0,--(EE41&lt;&gt;ED41))</f>
        <v>0</v>
      </c>
      <c r="EF71" s="2">
        <f>IF(OR(EF41="",EE41=""),0,--(EF41&lt;&gt;EE41))</f>
        <v>0</v>
      </c>
      <c r="EG71" s="2">
        <f>IF(OR(EG41="",EF41=""),0,--(EG41&lt;&gt;EF41))</f>
        <v>0</v>
      </c>
      <c r="EH71" s="2">
        <f>IF(OR(EH41="",EG41=""),0,--(EH41&lt;&gt;EG41))</f>
        <v>0</v>
      </c>
      <c r="EI71" s="2">
        <f>IF(OR(EI41="",EH41=""),0,--(EI41&lt;&gt;EH41))</f>
        <v>0</v>
      </c>
      <c r="EJ71" s="2">
        <f>IF(OR(EJ41="",EI41=""),0,--(EJ41&lt;&gt;EI41))</f>
        <v>0</v>
      </c>
      <c r="EK71" s="2">
        <f>IF(OR(EK41="",EJ41=""),0,--(EK41&lt;&gt;EJ41))</f>
        <v>0</v>
      </c>
      <c r="EL71" s="2">
        <f>IF(OR(EL41="",EK41=""),0,--(EL41&lt;&gt;EK41))</f>
        <v>0</v>
      </c>
      <c r="EM71" s="2">
        <f>IF(OR(EM41="",EL41=""),0,--(EM41&lt;&gt;EL41))</f>
        <v>0</v>
      </c>
      <c r="EN71" s="2">
        <f>IF(OR(EN41="",EM41=""),0,--(EN41&lt;&gt;EM41))</f>
        <v>0</v>
      </c>
      <c r="EO71" s="2">
        <f>IF(OR(EO41="",EN41=""),0,--(EO41&lt;&gt;EN41))</f>
        <v>0</v>
      </c>
      <c r="EP71" s="2">
        <f>IF(OR(EP41="",EO41=""),0,--(EP41&lt;&gt;EO41))</f>
        <v>0</v>
      </c>
      <c r="EQ71" s="2">
        <f>IF(OR(EQ41="",EP41=""),0,--(EQ41&lt;&gt;EP41))</f>
        <v>0</v>
      </c>
      <c r="ER71" s="2">
        <f>IF(OR(ER41="",EQ41=""),0,--(ER41&lt;&gt;EQ41))</f>
        <v>0</v>
      </c>
      <c r="ES71" s="2">
        <f>IF(OR(ES41="",ER41=""),0,--(ES41&lt;&gt;ER41))</f>
        <v>0</v>
      </c>
      <c r="ET71" s="2">
        <f>IF(OR(ET41="",ES41=""),0,--(ET41&lt;&gt;ES41))</f>
        <v>0</v>
      </c>
      <c r="EU71" s="2">
        <f>IF(OR(EU41="",ET41=""),0,--(EU41&lt;&gt;ET41))</f>
        <v>0</v>
      </c>
      <c r="EV71" s="2">
        <f>IF(OR(EV41="",EU41=""),0,--(EV41&lt;&gt;EU41))</f>
        <v>0</v>
      </c>
      <c r="EW71" s="2">
        <f>IF(OR(EW41="",EV41=""),0,--(EW41&lt;&gt;EV41))</f>
        <v>0</v>
      </c>
      <c r="EX71" s="2">
        <f>IF(OR(EX41="",EW41=""),0,--(EX41&lt;&gt;EW41))</f>
        <v>0</v>
      </c>
      <c r="EY71" s="2">
        <f>IF(OR(EY41="",EX41=""),0,--(EY41&lt;&gt;EX41))</f>
        <v>0</v>
      </c>
      <c r="EZ71" s="2">
        <f>IF(OR(EZ41="",EY41=""),0,--(EZ41&lt;&gt;EY41))</f>
        <v>0</v>
      </c>
      <c r="FA71" s="2">
        <f>IF(OR(FA41="",EZ41=""),0,--(FA41&lt;&gt;EZ41))</f>
        <v>0</v>
      </c>
      <c r="FB71" s="2">
        <f>IF(OR(FB41="",FA41=""),0,--(FB41&lt;&gt;FA41))</f>
        <v>0</v>
      </c>
      <c r="FC71" s="2">
        <f>IF(OR(FC41="",FB41=""),0,--(FC41&lt;&gt;FB41))</f>
        <v>0</v>
      </c>
      <c r="FD71" s="2">
        <f>IF(OR(FD41="",FC41=""),0,--(FD41&lt;&gt;FC41))</f>
        <v>0</v>
      </c>
      <c r="FE71" s="2">
        <f>IF(OR(FE41="",FD41=""),0,--(FE41&lt;&gt;FD41))</f>
        <v>0</v>
      </c>
      <c r="FF71" s="2">
        <f>IF(OR(FF41="",FE41=""),0,--(FF41&lt;&gt;FE41))</f>
        <v>0</v>
      </c>
      <c r="FG71" s="2">
        <f>IF(OR(FG41="",FF41=""),0,--(FG41&lt;&gt;FF41))</f>
        <v>0</v>
      </c>
      <c r="FH71" s="2">
        <f>IF(OR(FH41="",FG41=""),0,--(FH41&lt;&gt;FG41))</f>
        <v>0</v>
      </c>
      <c r="FI71" s="2">
        <f>IF(OR(FI41="",FH41=""),0,--(FI41&lt;&gt;FH41))</f>
        <v>0</v>
      </c>
      <c r="FJ71" s="2">
        <f>IF(OR(FJ41="",FI41=""),0,--(FJ41&lt;&gt;FI41))</f>
        <v>0</v>
      </c>
      <c r="FK71" s="2">
        <f>IF(OR(FK41="",FJ41=""),0,--(FK41&lt;&gt;FJ41))</f>
        <v>0</v>
      </c>
      <c r="FL71" s="2">
        <f>IF(OR(FL41="",FK41=""),0,--(FL41&lt;&gt;FK41))</f>
        <v>0</v>
      </c>
      <c r="FM71" s="2">
        <f>IF(OR(FM41="",FL41=""),0,--(FM41&lt;&gt;FL41))</f>
        <v>0</v>
      </c>
      <c r="FN71" s="2">
        <f>IF(OR(FN41="",FM41=""),0,--(FN41&lt;&gt;FM41))</f>
        <v>0</v>
      </c>
      <c r="FO71" s="2">
        <f>IF(OR(FO41="",FN41=""),0,--(FO41&lt;&gt;FN41))</f>
        <v>0</v>
      </c>
      <c r="FP71" s="2">
        <f>IF(OR(FP41="",FO41=""),0,--(FP41&lt;&gt;FO41))</f>
        <v>0</v>
      </c>
      <c r="FQ71" s="2">
        <f>IF(OR(FQ41="",FP41=""),0,--(FQ41&lt;&gt;FP41))</f>
        <v>0</v>
      </c>
      <c r="FR71" s="2">
        <f>IF(OR(FR41="",FQ41=""),0,--(FR41&lt;&gt;FQ41))</f>
        <v>0</v>
      </c>
      <c r="FS71" s="2">
        <f>IF(OR(FS41="",FR41=""),0,--(FS41&lt;&gt;FR41))</f>
        <v>0</v>
      </c>
      <c r="FT71" s="2">
        <f>IF(OR(FT41="",FS41=""),0,--(FT41&lt;&gt;FS41))</f>
        <v>0</v>
      </c>
      <c r="FU71" s="2">
        <f>IF(OR(FU41="",FT41=""),0,--(FU41&lt;&gt;FT41))</f>
        <v>0</v>
      </c>
      <c r="FV71" s="2">
        <f>IF(OR(FV41="",FU41=""),0,--(FV41&lt;&gt;FU41))</f>
        <v>0</v>
      </c>
      <c r="FW71" s="2">
        <f>IF(OR(FW41="",FV41=""),0,--(FW41&lt;&gt;FV41))</f>
        <v>0</v>
      </c>
      <c r="FX71" s="2">
        <f>IF(OR(FX41="",FW41=""),0,--(FX41&lt;&gt;FW41))</f>
        <v>0</v>
      </c>
      <c r="FY71" s="2">
        <f>IF(OR(FY41="",FX41=""),0,--(FY41&lt;&gt;FX41))</f>
        <v>0</v>
      </c>
      <c r="FZ71" s="2">
        <f>IF(OR(FZ41="",FY41=""),0,--(FZ41&lt;&gt;FY41))</f>
        <v>0</v>
      </c>
      <c r="GA71" s="2">
        <f>IF(OR(GA41="",FZ41=""),0,--(GA41&lt;&gt;FZ41))</f>
        <v>0</v>
      </c>
      <c r="GB71" s="2">
        <f>IF(OR(GB41="",GA41=""),0,--(GB41&lt;&gt;GA41))</f>
        <v>0</v>
      </c>
      <c r="GC71" s="2">
        <f>IF(OR(GC41="",GB41=""),0,--(GC41&lt;&gt;GB41))</f>
        <v>0</v>
      </c>
      <c r="GD71" s="2">
        <f>IF(OR(GD41="",GC41=""),0,--(GD41&lt;&gt;GC41))</f>
        <v>0</v>
      </c>
      <c r="GE71" s="2">
        <f>IF(OR(GE41="",GD41=""),0,--(GE41&lt;&gt;GD41))</f>
        <v>0</v>
      </c>
      <c r="GF71" s="2">
        <f>IF(OR(GF41="",GE41=""),0,--(GF41&lt;&gt;GE41))</f>
        <v>0</v>
      </c>
      <c r="GG71" s="2">
        <f>IF(OR(GG41="",GF41=""),0,--(GG41&lt;&gt;GF41))</f>
        <v>0</v>
      </c>
      <c r="GH71" s="2">
        <f>IF(OR(GH41="",GG41=""),0,--(GH41&lt;&gt;GG41))</f>
        <v>0</v>
      </c>
      <c r="GI71" s="2">
        <f>IF(OR(GI41="",GH41=""),0,--(GI41&lt;&gt;GH41))</f>
        <v>0</v>
      </c>
      <c r="GJ71" s="2">
        <f>IF(OR(GJ41="",GI41=""),0,--(GJ41&lt;&gt;GI41))</f>
        <v>0</v>
      </c>
      <c r="GK71" s="2">
        <f>IF(OR(GK41="",GJ41=""),0,--(GK41&lt;&gt;GJ41))</f>
        <v>0</v>
      </c>
      <c r="GL71" s="2">
        <f>IF(OR(GL41="",GK41=""),0,--(GL41&lt;&gt;GK41))</f>
        <v>0</v>
      </c>
      <c r="GM71" s="2">
        <f>IF(OR(GM41="",GL41=""),0,--(GM41&lt;&gt;GL41))</f>
        <v>0</v>
      </c>
      <c r="GN71" s="2">
        <f>IF(OR(GN41="",GM41=""),0,--(GN41&lt;&gt;GM41))</f>
        <v>0</v>
      </c>
      <c r="GO71" s="2">
        <f>IF(OR(GO41="",GN41=""),0,--(GO41&lt;&gt;GN41))</f>
        <v>0</v>
      </c>
      <c r="GP71" s="2">
        <f>IF(OR(GP41="",GO41=""),0,--(GP41&lt;&gt;GO41))</f>
        <v>0</v>
      </c>
      <c r="GQ71" s="2">
        <f>IF(OR(GQ41="",GP41=""),0,--(GQ41&lt;&gt;GP41))</f>
        <v>0</v>
      </c>
      <c r="GR71" s="2">
        <f>IF(OR(GR41="",GQ41=""),0,--(GR41&lt;&gt;GQ41))</f>
        <v>0</v>
      </c>
      <c r="GS71" s="2">
        <f>IF(OR(GS41="",GR41=""),0,--(GS41&lt;&gt;GR41))</f>
        <v>0</v>
      </c>
      <c r="GY71" s="15">
        <f>SUM($B71:$DB71)</f>
        <v>1</v>
      </c>
    </row>
    <row r="72" spans="1:207">
      <c r="A72" s="2">
        <f>$A42</f>
        <v>7</v>
      </c>
      <c r="B72" s="2">
        <f>0</f>
        <v>0</v>
      </c>
      <c r="C72" s="2">
        <f>IF(OR(C42="",B42=""),0,--(C42&lt;&gt;B42))</f>
        <v>0</v>
      </c>
      <c r="D72" s="2">
        <f>IF(OR(D42="",C42=""),0,--(D42&lt;&gt;C42))</f>
        <v>0</v>
      </c>
      <c r="E72" s="2">
        <f>IF(OR(E42="",D42=""),0,--(E42&lt;&gt;D42))</f>
        <v>0</v>
      </c>
      <c r="F72" s="2">
        <f>IF(OR(F42="",E42=""),0,--(F42&lt;&gt;E42))</f>
        <v>0</v>
      </c>
      <c r="G72" s="2">
        <f>IF(OR(G42="",F42=""),0,--(G42&lt;&gt;F42))</f>
        <v>0</v>
      </c>
      <c r="H72" s="2">
        <f>IF(OR(H42="",G42=""),0,--(H42&lt;&gt;G42))</f>
        <v>0</v>
      </c>
      <c r="I72" s="2">
        <f>IF(OR(I42="",H42=""),0,--(I42&lt;&gt;H42))</f>
        <v>0</v>
      </c>
      <c r="J72" s="2">
        <f>IF(OR(J42="",I42=""),0,--(J42&lt;&gt;I42))</f>
        <v>0</v>
      </c>
      <c r="K72" s="2">
        <f>IF(OR(K42="",J42=""),0,--(K42&lt;&gt;J42))</f>
        <v>0</v>
      </c>
      <c r="L72" s="2">
        <f>IF(OR(L42="",K42=""),0,--(L42&lt;&gt;K42))</f>
        <v>0</v>
      </c>
      <c r="M72" s="2">
        <f>IF(OR(M42="",L42=""),0,--(M42&lt;&gt;L42))</f>
        <v>0</v>
      </c>
      <c r="N72" s="2">
        <f>IF(OR(N42="",M42=""),0,--(N42&lt;&gt;M42))</f>
        <v>0</v>
      </c>
      <c r="O72" s="2">
        <f>IF(OR(O42="",N42=""),0,--(O42&lt;&gt;N42))</f>
        <v>1</v>
      </c>
      <c r="P72" s="2">
        <f>IF(OR(P42="",O42=""),0,--(P42&lt;&gt;O42))</f>
        <v>1</v>
      </c>
      <c r="Q72" s="2">
        <f>IF(OR(Q42="",P42=""),0,--(Q42&lt;&gt;P42))</f>
        <v>0</v>
      </c>
      <c r="R72" s="2">
        <f>IF(OR(R42="",Q42=""),0,--(R42&lt;&gt;Q42))</f>
        <v>0</v>
      </c>
      <c r="S72" s="2">
        <f>IF(OR(S42="",R42=""),0,--(S42&lt;&gt;R42))</f>
        <v>0</v>
      </c>
      <c r="T72" s="2">
        <f>IF(OR(T42="",S42=""),0,--(T42&lt;&gt;S42))</f>
        <v>0</v>
      </c>
      <c r="U72" s="2">
        <f>IF(OR(U42="",T42=""),0,--(U42&lt;&gt;T42))</f>
        <v>0</v>
      </c>
      <c r="V72" s="2">
        <f>IF(OR(V42="",U42=""),0,--(V42&lt;&gt;U42))</f>
        <v>0</v>
      </c>
      <c r="W72" s="2">
        <f>IF(OR(W42="",V42=""),0,--(W42&lt;&gt;V42))</f>
        <v>0</v>
      </c>
      <c r="X72" s="2">
        <f>IF(OR(X42="",W42=""),0,--(X42&lt;&gt;W42))</f>
        <v>0</v>
      </c>
      <c r="Y72" s="2">
        <f>IF(OR(Y42="",X42=""),0,--(Y42&lt;&gt;X42))</f>
        <v>0</v>
      </c>
      <c r="Z72" s="2">
        <f>IF(OR(Z42="",Y42=""),0,--(Z42&lt;&gt;Y42))</f>
        <v>0</v>
      </c>
      <c r="AA72" s="2">
        <f>IF(OR(AA42="",Z42=""),0,--(AA42&lt;&gt;Z42))</f>
        <v>0</v>
      </c>
      <c r="AB72" s="2">
        <f>IF(OR(AB42="",AA42=""),0,--(AB42&lt;&gt;AA42))</f>
        <v>0</v>
      </c>
      <c r="AC72" s="2">
        <f>IF(OR(AC42="",AB42=""),0,--(AC42&lt;&gt;AB42))</f>
        <v>0</v>
      </c>
      <c r="AD72" s="2">
        <f>IF(OR(AD42="",AC42=""),0,--(AD42&lt;&gt;AC42))</f>
        <v>0</v>
      </c>
      <c r="AE72" s="2">
        <f>IF(OR(AE42="",AD42=""),0,--(AE42&lt;&gt;AD42))</f>
        <v>0</v>
      </c>
      <c r="AF72" s="2">
        <f>IF(OR(AF42="",AE42=""),0,--(AF42&lt;&gt;AE42))</f>
        <v>0</v>
      </c>
      <c r="AG72" s="2">
        <f>IF(OR(AG42="",AF42=""),0,--(AG42&lt;&gt;AF42))</f>
        <v>0</v>
      </c>
      <c r="AH72" s="2">
        <f>IF(OR(AH42="",AG42=""),0,--(AH42&lt;&gt;AG42))</f>
        <v>0</v>
      </c>
      <c r="AI72" s="2">
        <f>IF(OR(AI42="",AH42=""),0,--(AI42&lt;&gt;AH42))</f>
        <v>0</v>
      </c>
      <c r="AJ72" s="2">
        <f>IF(OR(AJ42="",AI42=""),0,--(AJ42&lt;&gt;AI42))</f>
        <v>0</v>
      </c>
      <c r="AK72" s="2">
        <f>IF(OR(AK42="",AJ42=""),0,--(AK42&lt;&gt;AJ42))</f>
        <v>0</v>
      </c>
      <c r="AL72" s="2">
        <f>IF(OR(AL42="",AK42=""),0,--(AL42&lt;&gt;AK42))</f>
        <v>0</v>
      </c>
      <c r="AM72" s="2">
        <f>IF(OR(AM42="",AL42=""),0,--(AM42&lt;&gt;AL42))</f>
        <v>0</v>
      </c>
      <c r="AN72" s="2">
        <f>IF(OR(AN42="",AM42=""),0,--(AN42&lt;&gt;AM42))</f>
        <v>1</v>
      </c>
      <c r="AO72" s="2">
        <f>IF(OR(AO42="",AN42=""),0,--(AO42&lt;&gt;AN42))</f>
        <v>1</v>
      </c>
      <c r="AP72" s="2">
        <f>IF(OR(AP42="",AO42=""),0,--(AP42&lt;&gt;AO42))</f>
        <v>0</v>
      </c>
      <c r="AQ72" s="2">
        <f>IF(OR(AQ42="",AP42=""),0,--(AQ42&lt;&gt;AP42))</f>
        <v>0</v>
      </c>
      <c r="AR72" s="2">
        <f>IF(OR(AR42="",AQ42=""),0,--(AR42&lt;&gt;AQ42))</f>
        <v>0</v>
      </c>
      <c r="AS72" s="2">
        <f>IF(OR(AS42="",AR42=""),0,--(AS42&lt;&gt;AR42))</f>
        <v>0</v>
      </c>
      <c r="AT72" s="2">
        <f>IF(OR(AT42="",AS42=""),0,--(AT42&lt;&gt;AS42))</f>
        <v>0</v>
      </c>
      <c r="AU72" s="2">
        <f>IF(OR(AU42="",AT42=""),0,--(AU42&lt;&gt;AT42))</f>
        <v>0</v>
      </c>
      <c r="AV72" s="2">
        <f>IF(OR(AV42="",AU42=""),0,--(AV42&lt;&gt;AU42))</f>
        <v>0</v>
      </c>
      <c r="AW72" s="2">
        <f>IF(OR(AW42="",AV42=""),0,--(AW42&lt;&gt;AV42))</f>
        <v>0</v>
      </c>
      <c r="AX72" s="2">
        <f>IF(OR(AX42="",AW42=""),0,--(AX42&lt;&gt;AW42))</f>
        <v>0</v>
      </c>
      <c r="AY72" s="2">
        <f>IF(OR(AY42="",AX42=""),0,--(AY42&lt;&gt;AX42))</f>
        <v>0</v>
      </c>
      <c r="AZ72" s="2">
        <f>IF(OR(AZ42="",AY42=""),0,--(AZ42&lt;&gt;AY42))</f>
        <v>0</v>
      </c>
      <c r="BA72" s="2">
        <f>IF(OR(BA42="",AZ42=""),0,--(BA42&lt;&gt;AZ42))</f>
        <v>0</v>
      </c>
      <c r="BB72" s="2">
        <f>IF(OR(BB42="",BA42=""),0,--(BB42&lt;&gt;BA42))</f>
        <v>0</v>
      </c>
      <c r="BC72" s="2">
        <f>IF(OR(BC42="",BB42=""),0,--(BC42&lt;&gt;BB42))</f>
        <v>0</v>
      </c>
      <c r="BD72" s="2">
        <f>IF(OR(BD42="",BC42=""),0,--(BD42&lt;&gt;BC42))</f>
        <v>0</v>
      </c>
      <c r="BE72" s="2">
        <f>IF(OR(BE42="",BD42=""),0,--(BE42&lt;&gt;BD42))</f>
        <v>0</v>
      </c>
      <c r="BF72" s="2">
        <f>IF(OR(BF42="",BE42=""),0,--(BF42&lt;&gt;BE42))</f>
        <v>0</v>
      </c>
      <c r="BG72" s="2">
        <f>IF(OR(BG42="",BF42=""),0,--(BG42&lt;&gt;BF42))</f>
        <v>0</v>
      </c>
      <c r="BH72" s="2">
        <f>IF(OR(BH42="",BG42=""),0,--(BH42&lt;&gt;BG42))</f>
        <v>0</v>
      </c>
      <c r="BI72" s="2">
        <f>IF(OR(BI42="",BH42=""),0,--(BI42&lt;&gt;BH42))</f>
        <v>0</v>
      </c>
      <c r="BJ72" s="2">
        <f>IF(OR(BJ42="",BI42=""),0,--(BJ42&lt;&gt;BI42))</f>
        <v>0</v>
      </c>
      <c r="BK72" s="2">
        <f>IF(OR(BK42="",BJ42=""),0,--(BK42&lt;&gt;BJ42))</f>
        <v>0</v>
      </c>
      <c r="BL72" s="2">
        <f>IF(OR(BL42="",BK42=""),0,--(BL42&lt;&gt;BK42))</f>
        <v>0</v>
      </c>
      <c r="BM72" s="2">
        <f>IF(OR(BM42="",BL42=""),0,--(BM42&lt;&gt;BL42))</f>
        <v>0</v>
      </c>
      <c r="BN72" s="2">
        <f>IF(OR(BN42="",BM42=""),0,--(BN42&lt;&gt;BM42))</f>
        <v>0</v>
      </c>
      <c r="BO72" s="2">
        <f>IF(OR(BO42="",BN42=""),0,--(BO42&lt;&gt;BN42))</f>
        <v>0</v>
      </c>
      <c r="BP72" s="2">
        <f>IF(OR(BP42="",BO42=""),0,--(BP42&lt;&gt;BO42))</f>
        <v>0</v>
      </c>
      <c r="BQ72" s="2">
        <f>IF(OR(BQ42="",BP42=""),0,--(BQ42&lt;&gt;BP42))</f>
        <v>0</v>
      </c>
      <c r="BR72" s="2">
        <f>IF(OR(BR42="",BQ42=""),0,--(BR42&lt;&gt;BQ42))</f>
        <v>0</v>
      </c>
      <c r="BS72" s="2">
        <f>IF(OR(BS42="",BR42=""),0,--(BS42&lt;&gt;BR42))</f>
        <v>0</v>
      </c>
      <c r="BT72" s="2">
        <f>IF(OR(BT42="",BS42=""),0,--(BT42&lt;&gt;BS42))</f>
        <v>0</v>
      </c>
      <c r="BU72" s="2">
        <f>IF(OR(BU42="",BT42=""),0,--(BU42&lt;&gt;BT42))</f>
        <v>0</v>
      </c>
      <c r="BV72" s="2">
        <f>IF(OR(BV42="",BU42=""),0,--(BV42&lt;&gt;BU42))</f>
        <v>0</v>
      </c>
      <c r="BW72" s="2">
        <f>IF(OR(BW42="",BV42=""),0,--(BW42&lt;&gt;BV42))</f>
        <v>0</v>
      </c>
      <c r="BX72" s="2">
        <f>IF(OR(BX42="",BW42=""),0,--(BX42&lt;&gt;BW42))</f>
        <v>0</v>
      </c>
      <c r="BY72" s="2">
        <f>IF(OR(BY42="",BX42=""),0,--(BY42&lt;&gt;BX42))</f>
        <v>0</v>
      </c>
      <c r="BZ72" s="2">
        <f>IF(OR(BZ42="",BY42=""),0,--(BZ42&lt;&gt;BY42))</f>
        <v>1</v>
      </c>
      <c r="CA72" s="2">
        <f>IF(OR(CA42="",BZ42=""),0,--(CA42&lt;&gt;BZ42))</f>
        <v>0</v>
      </c>
      <c r="CB72" s="2">
        <f>IF(OR(CB42="",CA42=""),0,--(CB42&lt;&gt;CA42))</f>
        <v>0</v>
      </c>
      <c r="CC72" s="2">
        <f>IF(OR(CC42="",CB42=""),0,--(CC42&lt;&gt;CB42))</f>
        <v>0</v>
      </c>
      <c r="CD72" s="2">
        <f>IF(OR(CD42="",CC42=""),0,--(CD42&lt;&gt;CC42))</f>
        <v>0</v>
      </c>
      <c r="CE72" s="2">
        <f>IF(OR(CE42="",CD42=""),0,--(CE42&lt;&gt;CD42))</f>
        <v>0</v>
      </c>
      <c r="CF72" s="2">
        <f>IF(OR(CF42="",CE42=""),0,--(CF42&lt;&gt;CE42))</f>
        <v>0</v>
      </c>
      <c r="CG72" s="2">
        <f>IF(OR(CG42="",CF42=""),0,--(CG42&lt;&gt;CF42))</f>
        <v>0</v>
      </c>
      <c r="CH72" s="2">
        <f>IF(OR(CH42="",CG42=""),0,--(CH42&lt;&gt;CG42))</f>
        <v>0</v>
      </c>
      <c r="CI72" s="2">
        <f>IF(OR(CI42="",CH42=""),0,--(CI42&lt;&gt;CH42))</f>
        <v>0</v>
      </c>
      <c r="CJ72" s="2">
        <f>IF(OR(CJ42="",CI42=""),0,--(CJ42&lt;&gt;CI42))</f>
        <v>0</v>
      </c>
      <c r="CK72" s="2">
        <f>IF(OR(CK42="",CJ42=""),0,--(CK42&lt;&gt;CJ42))</f>
        <v>0</v>
      </c>
      <c r="CL72" s="2">
        <f>IF(OR(CL42="",CK42=""),0,--(CL42&lt;&gt;CK42))</f>
        <v>0</v>
      </c>
      <c r="CM72" s="2">
        <f>IF(OR(CM42="",CL42=""),0,--(CM42&lt;&gt;CL42))</f>
        <v>0</v>
      </c>
      <c r="CN72" s="2">
        <f>IF(OR(CN42="",CM42=""),0,--(CN42&lt;&gt;CM42))</f>
        <v>0</v>
      </c>
      <c r="CO72" s="2">
        <f>IF(OR(CO42="",CN42=""),0,--(CO42&lt;&gt;CN42))</f>
        <v>0</v>
      </c>
      <c r="CP72" s="2">
        <f>IF(OR(CP42="",CO42=""),0,--(CP42&lt;&gt;CO42))</f>
        <v>0</v>
      </c>
      <c r="CQ72" s="2">
        <f>IF(OR(CQ42="",CP42=""),0,--(CQ42&lt;&gt;CP42))</f>
        <v>0</v>
      </c>
      <c r="CR72" s="2">
        <f>IF(OR(CR42="",CQ42=""),0,--(CR42&lt;&gt;CQ42))</f>
        <v>0</v>
      </c>
      <c r="CS72" s="2">
        <f>IF(OR(CS42="",CR42=""),0,--(CS42&lt;&gt;CR42))</f>
        <v>0</v>
      </c>
      <c r="CT72" s="2">
        <f>IF(OR(CT42="",CS42=""),0,--(CT42&lt;&gt;CS42))</f>
        <v>0</v>
      </c>
      <c r="CU72" s="2">
        <f>IF(OR(CU42="",CT42=""),0,--(CU42&lt;&gt;CT42))</f>
        <v>0</v>
      </c>
      <c r="CV72" s="2">
        <f>IF(OR(CV42="",CU42=""),0,--(CV42&lt;&gt;CU42))</f>
        <v>0</v>
      </c>
      <c r="CW72" s="2">
        <f>IF(OR(CW42="",CV42=""),0,--(CW42&lt;&gt;CV42))</f>
        <v>0</v>
      </c>
      <c r="CX72" s="2">
        <f>IF(OR(CX42="",CW42=""),0,--(CX42&lt;&gt;CW42))</f>
        <v>0</v>
      </c>
      <c r="CY72" s="2">
        <f>IF(OR(CY42="",CX42=""),0,--(CY42&lt;&gt;CX42))</f>
        <v>0</v>
      </c>
      <c r="CZ72" s="2">
        <f>IF(OR(CZ42="",CY42=""),0,--(CZ42&lt;&gt;CY42))</f>
        <v>0</v>
      </c>
      <c r="DA72" s="2">
        <f>IF(OR(DA42="",CZ42=""),0,--(DA42&lt;&gt;CZ42))</f>
        <v>0</v>
      </c>
      <c r="DB72" s="2">
        <f>IF(OR(DB42="",DA42=""),0,--(DB42&lt;&gt;DA42))</f>
        <v>0</v>
      </c>
      <c r="DC72" s="2">
        <f>IF(OR(DC42="",DB42=""),0,--(DC42&lt;&gt;DB42))</f>
        <v>0</v>
      </c>
      <c r="DD72" s="2">
        <f>IF(OR(DD42="",DC42=""),0,--(DD42&lt;&gt;DC42))</f>
        <v>0</v>
      </c>
      <c r="DE72" s="2">
        <f>IF(OR(DE42="",DD42=""),0,--(DE42&lt;&gt;DD42))</f>
        <v>0</v>
      </c>
      <c r="DF72" s="2">
        <f>IF(OR(DF42="",DE42=""),0,--(DF42&lt;&gt;DE42))</f>
        <v>0</v>
      </c>
      <c r="DG72" s="2">
        <f>IF(OR(DG42="",DF42=""),0,--(DG42&lt;&gt;DF42))</f>
        <v>0</v>
      </c>
      <c r="DH72" s="2">
        <f>IF(OR(DH42="",DG42=""),0,--(DH42&lt;&gt;DG42))</f>
        <v>0</v>
      </c>
      <c r="DI72" s="2">
        <f>IF(OR(DI42="",DH42=""),0,--(DI42&lt;&gt;DH42))</f>
        <v>0</v>
      </c>
      <c r="DJ72" s="2">
        <f>IF(OR(DJ42="",DI42=""),0,--(DJ42&lt;&gt;DI42))</f>
        <v>0</v>
      </c>
      <c r="DK72" s="2">
        <f>IF(OR(DK42="",DJ42=""),0,--(DK42&lt;&gt;DJ42))</f>
        <v>0</v>
      </c>
      <c r="DL72" s="2">
        <f>IF(OR(DL42="",DK42=""),0,--(DL42&lt;&gt;DK42))</f>
        <v>0</v>
      </c>
      <c r="DM72" s="2">
        <f>IF(OR(DM42="",DL42=""),0,--(DM42&lt;&gt;DL42))</f>
        <v>0</v>
      </c>
      <c r="DN72" s="2">
        <f>IF(OR(DN42="",DM42=""),0,--(DN42&lt;&gt;DM42))</f>
        <v>0</v>
      </c>
      <c r="DO72" s="2">
        <f>IF(OR(DO42="",DN42=""),0,--(DO42&lt;&gt;DN42))</f>
        <v>0</v>
      </c>
      <c r="DP72" s="2">
        <f>IF(OR(DP42="",DO42=""),0,--(DP42&lt;&gt;DO42))</f>
        <v>0</v>
      </c>
      <c r="DQ72" s="2">
        <f>IF(OR(DQ42="",DP42=""),0,--(DQ42&lt;&gt;DP42))</f>
        <v>0</v>
      </c>
      <c r="DR72" s="2">
        <f>IF(OR(DR42="",DQ42=""),0,--(DR42&lt;&gt;DQ42))</f>
        <v>0</v>
      </c>
      <c r="DS72" s="2">
        <f>IF(OR(DS42="",DR42=""),0,--(DS42&lt;&gt;DR42))</f>
        <v>0</v>
      </c>
      <c r="DT72" s="2">
        <f>IF(OR(DT42="",DS42=""),0,--(DT42&lt;&gt;DS42))</f>
        <v>0</v>
      </c>
      <c r="DU72" s="2">
        <f>IF(OR(DU42="",DT42=""),0,--(DU42&lt;&gt;DT42))</f>
        <v>0</v>
      </c>
      <c r="DV72" s="2">
        <f>IF(OR(DV42="",DU42=""),0,--(DV42&lt;&gt;DU42))</f>
        <v>0</v>
      </c>
      <c r="DW72" s="2">
        <f>IF(OR(DW42="",DV42=""),0,--(DW42&lt;&gt;DV42))</f>
        <v>0</v>
      </c>
      <c r="DX72" s="2">
        <f>IF(OR(DX42="",DW42=""),0,--(DX42&lt;&gt;DW42))</f>
        <v>0</v>
      </c>
      <c r="DY72" s="2">
        <f>IF(OR(DY42="",DX42=""),0,--(DY42&lt;&gt;DX42))</f>
        <v>0</v>
      </c>
      <c r="DZ72" s="2">
        <f>IF(OR(DZ42="",DY42=""),0,--(DZ42&lt;&gt;DY42))</f>
        <v>0</v>
      </c>
      <c r="EA72" s="2">
        <f>IF(OR(EA42="",DZ42=""),0,--(EA42&lt;&gt;DZ42))</f>
        <v>0</v>
      </c>
      <c r="EB72" s="2">
        <f>IF(OR(EB42="",EA42=""),0,--(EB42&lt;&gt;EA42))</f>
        <v>0</v>
      </c>
      <c r="EC72" s="2">
        <f>IF(OR(EC42="",EB42=""),0,--(EC42&lt;&gt;EB42))</f>
        <v>0</v>
      </c>
      <c r="ED72" s="2">
        <f>IF(OR(ED42="",EC42=""),0,--(ED42&lt;&gt;EC42))</f>
        <v>0</v>
      </c>
      <c r="EE72" s="2">
        <f>IF(OR(EE42="",ED42=""),0,--(EE42&lt;&gt;ED42))</f>
        <v>0</v>
      </c>
      <c r="EF72" s="2">
        <f>IF(OR(EF42="",EE42=""),0,--(EF42&lt;&gt;EE42))</f>
        <v>0</v>
      </c>
      <c r="EG72" s="2">
        <f>IF(OR(EG42="",EF42=""),0,--(EG42&lt;&gt;EF42))</f>
        <v>0</v>
      </c>
      <c r="EH72" s="2">
        <f>IF(OR(EH42="",EG42=""),0,--(EH42&lt;&gt;EG42))</f>
        <v>0</v>
      </c>
      <c r="EI72" s="2">
        <f>IF(OR(EI42="",EH42=""),0,--(EI42&lt;&gt;EH42))</f>
        <v>0</v>
      </c>
      <c r="EJ72" s="2">
        <f>IF(OR(EJ42="",EI42=""),0,--(EJ42&lt;&gt;EI42))</f>
        <v>0</v>
      </c>
      <c r="EK72" s="2">
        <f>IF(OR(EK42="",EJ42=""),0,--(EK42&lt;&gt;EJ42))</f>
        <v>0</v>
      </c>
      <c r="EL72" s="2">
        <f>IF(OR(EL42="",EK42=""),0,--(EL42&lt;&gt;EK42))</f>
        <v>0</v>
      </c>
      <c r="EM72" s="2">
        <f>IF(OR(EM42="",EL42=""),0,--(EM42&lt;&gt;EL42))</f>
        <v>0</v>
      </c>
      <c r="EN72" s="2">
        <f>IF(OR(EN42="",EM42=""),0,--(EN42&lt;&gt;EM42))</f>
        <v>0</v>
      </c>
      <c r="EO72" s="2">
        <f>IF(OR(EO42="",EN42=""),0,--(EO42&lt;&gt;EN42))</f>
        <v>0</v>
      </c>
      <c r="EP72" s="2">
        <f>IF(OR(EP42="",EO42=""),0,--(EP42&lt;&gt;EO42))</f>
        <v>0</v>
      </c>
      <c r="EQ72" s="2">
        <f>IF(OR(EQ42="",EP42=""),0,--(EQ42&lt;&gt;EP42))</f>
        <v>0</v>
      </c>
      <c r="ER72" s="2">
        <f>IF(OR(ER42="",EQ42=""),0,--(ER42&lt;&gt;EQ42))</f>
        <v>0</v>
      </c>
      <c r="ES72" s="2">
        <f>IF(OR(ES42="",ER42=""),0,--(ES42&lt;&gt;ER42))</f>
        <v>0</v>
      </c>
      <c r="ET72" s="2">
        <f>IF(OR(ET42="",ES42=""),0,--(ET42&lt;&gt;ES42))</f>
        <v>0</v>
      </c>
      <c r="EU72" s="2">
        <f>IF(OR(EU42="",ET42=""),0,--(EU42&lt;&gt;ET42))</f>
        <v>0</v>
      </c>
      <c r="EV72" s="2">
        <f>IF(OR(EV42="",EU42=""),0,--(EV42&lt;&gt;EU42))</f>
        <v>0</v>
      </c>
      <c r="EW72" s="2">
        <f>IF(OR(EW42="",EV42=""),0,--(EW42&lt;&gt;EV42))</f>
        <v>0</v>
      </c>
      <c r="EX72" s="2">
        <f>IF(OR(EX42="",EW42=""),0,--(EX42&lt;&gt;EW42))</f>
        <v>0</v>
      </c>
      <c r="EY72" s="2">
        <f>IF(OR(EY42="",EX42=""),0,--(EY42&lt;&gt;EX42))</f>
        <v>0</v>
      </c>
      <c r="EZ72" s="2">
        <f>IF(OR(EZ42="",EY42=""),0,--(EZ42&lt;&gt;EY42))</f>
        <v>0</v>
      </c>
      <c r="FA72" s="2">
        <f>IF(OR(FA42="",EZ42=""),0,--(FA42&lt;&gt;EZ42))</f>
        <v>0</v>
      </c>
      <c r="FB72" s="2">
        <f>IF(OR(FB42="",FA42=""),0,--(FB42&lt;&gt;FA42))</f>
        <v>0</v>
      </c>
      <c r="FC72" s="2">
        <f>IF(OR(FC42="",FB42=""),0,--(FC42&lt;&gt;FB42))</f>
        <v>0</v>
      </c>
      <c r="FD72" s="2">
        <f>IF(OR(FD42="",FC42=""),0,--(FD42&lt;&gt;FC42))</f>
        <v>0</v>
      </c>
      <c r="FE72" s="2">
        <f>IF(OR(FE42="",FD42=""),0,--(FE42&lt;&gt;FD42))</f>
        <v>0</v>
      </c>
      <c r="FF72" s="2">
        <f>IF(OR(FF42="",FE42=""),0,--(FF42&lt;&gt;FE42))</f>
        <v>0</v>
      </c>
      <c r="FG72" s="2">
        <f>IF(OR(FG42="",FF42=""),0,--(FG42&lt;&gt;FF42))</f>
        <v>0</v>
      </c>
      <c r="FH72" s="2">
        <f>IF(OR(FH42="",FG42=""),0,--(FH42&lt;&gt;FG42))</f>
        <v>0</v>
      </c>
      <c r="FI72" s="2">
        <f>IF(OR(FI42="",FH42=""),0,--(FI42&lt;&gt;FH42))</f>
        <v>0</v>
      </c>
      <c r="FJ72" s="2">
        <f>IF(OR(FJ42="",FI42=""),0,--(FJ42&lt;&gt;FI42))</f>
        <v>0</v>
      </c>
      <c r="FK72" s="2">
        <f>IF(OR(FK42="",FJ42=""),0,--(FK42&lt;&gt;FJ42))</f>
        <v>0</v>
      </c>
      <c r="FL72" s="2">
        <f>IF(OR(FL42="",FK42=""),0,--(FL42&lt;&gt;FK42))</f>
        <v>0</v>
      </c>
      <c r="FM72" s="2">
        <f>IF(OR(FM42="",FL42=""),0,--(FM42&lt;&gt;FL42))</f>
        <v>0</v>
      </c>
      <c r="FN72" s="2">
        <f>IF(OR(FN42="",FM42=""),0,--(FN42&lt;&gt;FM42))</f>
        <v>0</v>
      </c>
      <c r="FO72" s="2">
        <f>IF(OR(FO42="",FN42=""),0,--(FO42&lt;&gt;FN42))</f>
        <v>0</v>
      </c>
      <c r="FP72" s="2">
        <f>IF(OR(FP42="",FO42=""),0,--(FP42&lt;&gt;FO42))</f>
        <v>0</v>
      </c>
      <c r="FQ72" s="2">
        <f>IF(OR(FQ42="",FP42=""),0,--(FQ42&lt;&gt;FP42))</f>
        <v>0</v>
      </c>
      <c r="FR72" s="2">
        <f>IF(OR(FR42="",FQ42=""),0,--(FR42&lt;&gt;FQ42))</f>
        <v>0</v>
      </c>
      <c r="FS72" s="2">
        <f>IF(OR(FS42="",FR42=""),0,--(FS42&lt;&gt;FR42))</f>
        <v>0</v>
      </c>
      <c r="FT72" s="2">
        <f>IF(OR(FT42="",FS42=""),0,--(FT42&lt;&gt;FS42))</f>
        <v>0</v>
      </c>
      <c r="FU72" s="2">
        <f>IF(OR(FU42="",FT42=""),0,--(FU42&lt;&gt;FT42))</f>
        <v>0</v>
      </c>
      <c r="FV72" s="2">
        <f>IF(OR(FV42="",FU42=""),0,--(FV42&lt;&gt;FU42))</f>
        <v>0</v>
      </c>
      <c r="FW72" s="2">
        <f>IF(OR(FW42="",FV42=""),0,--(FW42&lt;&gt;FV42))</f>
        <v>0</v>
      </c>
      <c r="FX72" s="2">
        <f>IF(OR(FX42="",FW42=""),0,--(FX42&lt;&gt;FW42))</f>
        <v>0</v>
      </c>
      <c r="FY72" s="2">
        <f>IF(OR(FY42="",FX42=""),0,--(FY42&lt;&gt;FX42))</f>
        <v>0</v>
      </c>
      <c r="FZ72" s="2">
        <f>IF(OR(FZ42="",FY42=""),0,--(FZ42&lt;&gt;FY42))</f>
        <v>0</v>
      </c>
      <c r="GA72" s="2">
        <f>IF(OR(GA42="",FZ42=""),0,--(GA42&lt;&gt;FZ42))</f>
        <v>0</v>
      </c>
      <c r="GB72" s="2">
        <f>IF(OR(GB42="",GA42=""),0,--(GB42&lt;&gt;GA42))</f>
        <v>0</v>
      </c>
      <c r="GC72" s="2">
        <f>IF(OR(GC42="",GB42=""),0,--(GC42&lt;&gt;GB42))</f>
        <v>0</v>
      </c>
      <c r="GD72" s="2">
        <f>IF(OR(GD42="",GC42=""),0,--(GD42&lt;&gt;GC42))</f>
        <v>0</v>
      </c>
      <c r="GE72" s="2">
        <f>IF(OR(GE42="",GD42=""),0,--(GE42&lt;&gt;GD42))</f>
        <v>0</v>
      </c>
      <c r="GF72" s="2">
        <f>IF(OR(GF42="",GE42=""),0,--(GF42&lt;&gt;GE42))</f>
        <v>0</v>
      </c>
      <c r="GG72" s="2">
        <f>IF(OR(GG42="",GF42=""),0,--(GG42&lt;&gt;GF42))</f>
        <v>0</v>
      </c>
      <c r="GH72" s="2">
        <f>IF(OR(GH42="",GG42=""),0,--(GH42&lt;&gt;GG42))</f>
        <v>0</v>
      </c>
      <c r="GI72" s="2">
        <f>IF(OR(GI42="",GH42=""),0,--(GI42&lt;&gt;GH42))</f>
        <v>0</v>
      </c>
      <c r="GJ72" s="2">
        <f>IF(OR(GJ42="",GI42=""),0,--(GJ42&lt;&gt;GI42))</f>
        <v>0</v>
      </c>
      <c r="GK72" s="2">
        <f>IF(OR(GK42="",GJ42=""),0,--(GK42&lt;&gt;GJ42))</f>
        <v>0</v>
      </c>
      <c r="GL72" s="2">
        <f>IF(OR(GL42="",GK42=""),0,--(GL42&lt;&gt;GK42))</f>
        <v>0</v>
      </c>
      <c r="GM72" s="2">
        <f>IF(OR(GM42="",GL42=""),0,--(GM42&lt;&gt;GL42))</f>
        <v>0</v>
      </c>
      <c r="GN72" s="2">
        <f>IF(OR(GN42="",GM42=""),0,--(GN42&lt;&gt;GM42))</f>
        <v>0</v>
      </c>
      <c r="GO72" s="2">
        <f>IF(OR(GO42="",GN42=""),0,--(GO42&lt;&gt;GN42))</f>
        <v>0</v>
      </c>
      <c r="GP72" s="2">
        <f>IF(OR(GP42="",GO42=""),0,--(GP42&lt;&gt;GO42))</f>
        <v>0</v>
      </c>
      <c r="GQ72" s="2">
        <f>IF(OR(GQ42="",GP42=""),0,--(GQ42&lt;&gt;GP42))</f>
        <v>0</v>
      </c>
      <c r="GR72" s="2">
        <f>IF(OR(GR42="",GQ42=""),0,--(GR42&lt;&gt;GQ42))</f>
        <v>0</v>
      </c>
      <c r="GS72" s="2">
        <f>IF(OR(GS42="",GR42=""),0,--(GS42&lt;&gt;GR42))</f>
        <v>0</v>
      </c>
      <c r="GY72" s="15">
        <f>SUM($B72:$DB72)</f>
        <v>5</v>
      </c>
    </row>
    <row r="73" spans="1:207">
      <c r="A73" s="2">
        <f>$A43</f>
        <v>8</v>
      </c>
      <c r="B73" s="2">
        <f>0</f>
        <v>0</v>
      </c>
      <c r="C73" s="2">
        <f>IF(OR(C43="",B43=""),0,--(C43&lt;&gt;B43))</f>
        <v>0</v>
      </c>
      <c r="D73" s="2">
        <f>IF(OR(D43="",C43=""),0,--(D43&lt;&gt;C43))</f>
        <v>0</v>
      </c>
      <c r="E73" s="2">
        <f>IF(OR(E43="",D43=""),0,--(E43&lt;&gt;D43))</f>
        <v>0</v>
      </c>
      <c r="F73" s="2">
        <f>IF(OR(F43="",E43=""),0,--(F43&lt;&gt;E43))</f>
        <v>0</v>
      </c>
      <c r="G73" s="2">
        <f>IF(OR(G43="",F43=""),0,--(G43&lt;&gt;F43))</f>
        <v>0</v>
      </c>
      <c r="H73" s="2">
        <f>IF(OR(H43="",G43=""),0,--(H43&lt;&gt;G43))</f>
        <v>0</v>
      </c>
      <c r="I73" s="2">
        <f>IF(OR(I43="",H43=""),0,--(I43&lt;&gt;H43))</f>
        <v>0</v>
      </c>
      <c r="J73" s="2">
        <f>IF(OR(J43="",I43=""),0,--(J43&lt;&gt;I43))</f>
        <v>0</v>
      </c>
      <c r="K73" s="2">
        <f>IF(OR(K43="",J43=""),0,--(K43&lt;&gt;J43))</f>
        <v>0</v>
      </c>
      <c r="L73" s="2">
        <f>IF(OR(L43="",K43=""),0,--(L43&lt;&gt;K43))</f>
        <v>0</v>
      </c>
      <c r="M73" s="2">
        <f>IF(OR(M43="",L43=""),0,--(M43&lt;&gt;L43))</f>
        <v>0</v>
      </c>
      <c r="N73" s="2">
        <f>IF(OR(N43="",M43=""),0,--(N43&lt;&gt;M43))</f>
        <v>0</v>
      </c>
      <c r="O73" s="2">
        <f>IF(OR(O43="",N43=""),0,--(O43&lt;&gt;N43))</f>
        <v>0</v>
      </c>
      <c r="P73" s="2">
        <f>IF(OR(P43="",O43=""),0,--(P43&lt;&gt;O43))</f>
        <v>0</v>
      </c>
      <c r="Q73" s="2">
        <f>IF(OR(Q43="",P43=""),0,--(Q43&lt;&gt;P43))</f>
        <v>0</v>
      </c>
      <c r="R73" s="2">
        <f>IF(OR(R43="",Q43=""),0,--(R43&lt;&gt;Q43))</f>
        <v>0</v>
      </c>
      <c r="S73" s="2">
        <f>IF(OR(S43="",R43=""),0,--(S43&lt;&gt;R43))</f>
        <v>0</v>
      </c>
      <c r="T73" s="2">
        <f>IF(OR(T43="",S43=""),0,--(T43&lt;&gt;S43))</f>
        <v>0</v>
      </c>
      <c r="U73" s="2">
        <f>IF(OR(U43="",T43=""),0,--(U43&lt;&gt;T43))</f>
        <v>0</v>
      </c>
      <c r="V73" s="2">
        <f>IF(OR(V43="",U43=""),0,--(V43&lt;&gt;U43))</f>
        <v>0</v>
      </c>
      <c r="W73" s="2">
        <f>IF(OR(W43="",V43=""),0,--(W43&lt;&gt;V43))</f>
        <v>0</v>
      </c>
      <c r="X73" s="2">
        <f>IF(OR(X43="",W43=""),0,--(X43&lt;&gt;W43))</f>
        <v>0</v>
      </c>
      <c r="Y73" s="2">
        <f>IF(OR(Y43="",X43=""),0,--(Y43&lt;&gt;X43))</f>
        <v>0</v>
      </c>
      <c r="Z73" s="2">
        <f>IF(OR(Z43="",Y43=""),0,--(Z43&lt;&gt;Y43))</f>
        <v>0</v>
      </c>
      <c r="AA73" s="2">
        <f>IF(OR(AA43="",Z43=""),0,--(AA43&lt;&gt;Z43))</f>
        <v>0</v>
      </c>
      <c r="AB73" s="2">
        <f>IF(OR(AB43="",AA43=""),0,--(AB43&lt;&gt;AA43))</f>
        <v>0</v>
      </c>
      <c r="AC73" s="2">
        <f>IF(OR(AC43="",AB43=""),0,--(AC43&lt;&gt;AB43))</f>
        <v>0</v>
      </c>
      <c r="AD73" s="2">
        <f>IF(OR(AD43="",AC43=""),0,--(AD43&lt;&gt;AC43))</f>
        <v>0</v>
      </c>
      <c r="AE73" s="2">
        <f>IF(OR(AE43="",AD43=""),0,--(AE43&lt;&gt;AD43))</f>
        <v>0</v>
      </c>
      <c r="AF73" s="2">
        <f>IF(OR(AF43="",AE43=""),0,--(AF43&lt;&gt;AE43))</f>
        <v>0</v>
      </c>
      <c r="AG73" s="2">
        <f>IF(OR(AG43="",AF43=""),0,--(AG43&lt;&gt;AF43))</f>
        <v>0</v>
      </c>
      <c r="AH73" s="2">
        <f>IF(OR(AH43="",AG43=""),0,--(AH43&lt;&gt;AG43))</f>
        <v>0</v>
      </c>
      <c r="AI73" s="2">
        <f>IF(OR(AI43="",AH43=""),0,--(AI43&lt;&gt;AH43))</f>
        <v>0</v>
      </c>
      <c r="AJ73" s="2">
        <f>IF(OR(AJ43="",AI43=""),0,--(AJ43&lt;&gt;AI43))</f>
        <v>0</v>
      </c>
      <c r="AK73" s="2">
        <f>IF(OR(AK43="",AJ43=""),0,--(AK43&lt;&gt;AJ43))</f>
        <v>0</v>
      </c>
      <c r="AL73" s="2">
        <f>IF(OR(AL43="",AK43=""),0,--(AL43&lt;&gt;AK43))</f>
        <v>0</v>
      </c>
      <c r="AM73" s="2">
        <f>IF(OR(AM43="",AL43=""),0,--(AM43&lt;&gt;AL43))</f>
        <v>0</v>
      </c>
      <c r="AN73" s="2">
        <f>IF(OR(AN43="",AM43=""),0,--(AN43&lt;&gt;AM43))</f>
        <v>0</v>
      </c>
      <c r="AO73" s="2">
        <f>IF(OR(AO43="",AN43=""),0,--(AO43&lt;&gt;AN43))</f>
        <v>0</v>
      </c>
      <c r="AP73" s="2">
        <f>IF(OR(AP43="",AO43=""),0,--(AP43&lt;&gt;AO43))</f>
        <v>0</v>
      </c>
      <c r="AQ73" s="2">
        <f>IF(OR(AQ43="",AP43=""),0,--(AQ43&lt;&gt;AP43))</f>
        <v>0</v>
      </c>
      <c r="AR73" s="2">
        <f>IF(OR(AR43="",AQ43=""),0,--(AR43&lt;&gt;AQ43))</f>
        <v>0</v>
      </c>
      <c r="AS73" s="2">
        <f>IF(OR(AS43="",AR43=""),0,--(AS43&lt;&gt;AR43))</f>
        <v>0</v>
      </c>
      <c r="AT73" s="2">
        <f>IF(OR(AT43="",AS43=""),0,--(AT43&lt;&gt;AS43))</f>
        <v>0</v>
      </c>
      <c r="AU73" s="2">
        <f>IF(OR(AU43="",AT43=""),0,--(AU43&lt;&gt;AT43))</f>
        <v>0</v>
      </c>
      <c r="AV73" s="2">
        <f>IF(OR(AV43="",AU43=""),0,--(AV43&lt;&gt;AU43))</f>
        <v>0</v>
      </c>
      <c r="AW73" s="2">
        <f>IF(OR(AW43="",AV43=""),0,--(AW43&lt;&gt;AV43))</f>
        <v>0</v>
      </c>
      <c r="AX73" s="2">
        <f>IF(OR(AX43="",AW43=""),0,--(AX43&lt;&gt;AW43))</f>
        <v>0</v>
      </c>
      <c r="AY73" s="2">
        <f>IF(OR(AY43="",AX43=""),0,--(AY43&lt;&gt;AX43))</f>
        <v>0</v>
      </c>
      <c r="AZ73" s="2">
        <f>IF(OR(AZ43="",AY43=""),0,--(AZ43&lt;&gt;AY43))</f>
        <v>0</v>
      </c>
      <c r="BA73" s="2">
        <f>IF(OR(BA43="",AZ43=""),0,--(BA43&lt;&gt;AZ43))</f>
        <v>0</v>
      </c>
      <c r="BB73" s="2">
        <f>IF(OR(BB43="",BA43=""),0,--(BB43&lt;&gt;BA43))</f>
        <v>0</v>
      </c>
      <c r="BC73" s="2">
        <f>IF(OR(BC43="",BB43=""),0,--(BC43&lt;&gt;BB43))</f>
        <v>0</v>
      </c>
      <c r="BD73" s="2">
        <f>IF(OR(BD43="",BC43=""),0,--(BD43&lt;&gt;BC43))</f>
        <v>0</v>
      </c>
      <c r="BE73" s="2">
        <f>IF(OR(BE43="",BD43=""),0,--(BE43&lt;&gt;BD43))</f>
        <v>0</v>
      </c>
      <c r="BF73" s="2">
        <f>IF(OR(BF43="",BE43=""),0,--(BF43&lt;&gt;BE43))</f>
        <v>0</v>
      </c>
      <c r="BG73" s="2">
        <f>IF(OR(BG43="",BF43=""),0,--(BG43&lt;&gt;BF43))</f>
        <v>0</v>
      </c>
      <c r="BH73" s="2">
        <f>IF(OR(BH43="",BG43=""),0,--(BH43&lt;&gt;BG43))</f>
        <v>0</v>
      </c>
      <c r="BI73" s="2">
        <f>IF(OR(BI43="",BH43=""),0,--(BI43&lt;&gt;BH43))</f>
        <v>0</v>
      </c>
      <c r="BJ73" s="2">
        <f>IF(OR(BJ43="",BI43=""),0,--(BJ43&lt;&gt;BI43))</f>
        <v>0</v>
      </c>
      <c r="BK73" s="2">
        <f>IF(OR(BK43="",BJ43=""),0,--(BK43&lt;&gt;BJ43))</f>
        <v>0</v>
      </c>
      <c r="BL73" s="2">
        <f>IF(OR(BL43="",BK43=""),0,--(BL43&lt;&gt;BK43))</f>
        <v>0</v>
      </c>
      <c r="BM73" s="2">
        <f>IF(OR(BM43="",BL43=""),0,--(BM43&lt;&gt;BL43))</f>
        <v>0</v>
      </c>
      <c r="BN73" s="2">
        <f>IF(OR(BN43="",BM43=""),0,--(BN43&lt;&gt;BM43))</f>
        <v>0</v>
      </c>
      <c r="BO73" s="2">
        <f>IF(OR(BO43="",BN43=""),0,--(BO43&lt;&gt;BN43))</f>
        <v>0</v>
      </c>
      <c r="BP73" s="2">
        <f>IF(OR(BP43="",BO43=""),0,--(BP43&lt;&gt;BO43))</f>
        <v>0</v>
      </c>
      <c r="BQ73" s="2">
        <f>IF(OR(BQ43="",BP43=""),0,--(BQ43&lt;&gt;BP43))</f>
        <v>0</v>
      </c>
      <c r="BR73" s="2">
        <f>IF(OR(BR43="",BQ43=""),0,--(BR43&lt;&gt;BQ43))</f>
        <v>0</v>
      </c>
      <c r="BS73" s="2">
        <f>IF(OR(BS43="",BR43=""),0,--(BS43&lt;&gt;BR43))</f>
        <v>0</v>
      </c>
      <c r="BT73" s="2">
        <f>IF(OR(BT43="",BS43=""),0,--(BT43&lt;&gt;BS43))</f>
        <v>1</v>
      </c>
      <c r="BU73" s="2">
        <f>IF(OR(BU43="",BT43=""),0,--(BU43&lt;&gt;BT43))</f>
        <v>0</v>
      </c>
      <c r="BV73" s="2">
        <f>IF(OR(BV43="",BU43=""),0,--(BV43&lt;&gt;BU43))</f>
        <v>0</v>
      </c>
      <c r="BW73" s="2">
        <f>IF(OR(BW43="",BV43=""),0,--(BW43&lt;&gt;BV43))</f>
        <v>0</v>
      </c>
      <c r="BX73" s="2">
        <f>IF(OR(BX43="",BW43=""),0,--(BX43&lt;&gt;BW43))</f>
        <v>0</v>
      </c>
      <c r="BY73" s="2">
        <f>IF(OR(BY43="",BX43=""),0,--(BY43&lt;&gt;BX43))</f>
        <v>0</v>
      </c>
      <c r="BZ73" s="2">
        <f>IF(OR(BZ43="",BY43=""),0,--(BZ43&lt;&gt;BY43))</f>
        <v>0</v>
      </c>
      <c r="CA73" s="2">
        <f>IF(OR(CA43="",BZ43=""),0,--(CA43&lt;&gt;BZ43))</f>
        <v>0</v>
      </c>
      <c r="CB73" s="2">
        <f>IF(OR(CB43="",CA43=""),0,--(CB43&lt;&gt;CA43))</f>
        <v>0</v>
      </c>
      <c r="CC73" s="2">
        <f>IF(OR(CC43="",CB43=""),0,--(CC43&lt;&gt;CB43))</f>
        <v>0</v>
      </c>
      <c r="CD73" s="2">
        <f>IF(OR(CD43="",CC43=""),0,--(CD43&lt;&gt;CC43))</f>
        <v>0</v>
      </c>
      <c r="CE73" s="2">
        <f>IF(OR(CE43="",CD43=""),0,--(CE43&lt;&gt;CD43))</f>
        <v>0</v>
      </c>
      <c r="CF73" s="2">
        <f>IF(OR(CF43="",CE43=""),0,--(CF43&lt;&gt;CE43))</f>
        <v>0</v>
      </c>
      <c r="CG73" s="2">
        <f>IF(OR(CG43="",CF43=""),0,--(CG43&lt;&gt;CF43))</f>
        <v>0</v>
      </c>
      <c r="CH73" s="2">
        <f>IF(OR(CH43="",CG43=""),0,--(CH43&lt;&gt;CG43))</f>
        <v>0</v>
      </c>
      <c r="CI73" s="2">
        <f>IF(OR(CI43="",CH43=""),0,--(CI43&lt;&gt;CH43))</f>
        <v>0</v>
      </c>
      <c r="CJ73" s="2">
        <f>IF(OR(CJ43="",CI43=""),0,--(CJ43&lt;&gt;CI43))</f>
        <v>0</v>
      </c>
      <c r="CK73" s="2">
        <f>IF(OR(CK43="",CJ43=""),0,--(CK43&lt;&gt;CJ43))</f>
        <v>0</v>
      </c>
      <c r="CL73" s="2">
        <f>IF(OR(CL43="",CK43=""),0,--(CL43&lt;&gt;CK43))</f>
        <v>0</v>
      </c>
      <c r="CM73" s="2">
        <f>IF(OR(CM43="",CL43=""),0,--(CM43&lt;&gt;CL43))</f>
        <v>0</v>
      </c>
      <c r="CN73" s="2">
        <f>IF(OR(CN43="",CM43=""),0,--(CN43&lt;&gt;CM43))</f>
        <v>0</v>
      </c>
      <c r="CO73" s="2">
        <f>IF(OR(CO43="",CN43=""),0,--(CO43&lt;&gt;CN43))</f>
        <v>0</v>
      </c>
      <c r="CP73" s="2">
        <f>IF(OR(CP43="",CO43=""),0,--(CP43&lt;&gt;CO43))</f>
        <v>0</v>
      </c>
      <c r="CQ73" s="2">
        <f>IF(OR(CQ43="",CP43=""),0,--(CQ43&lt;&gt;CP43))</f>
        <v>0</v>
      </c>
      <c r="CR73" s="2">
        <f>IF(OR(CR43="",CQ43=""),0,--(CR43&lt;&gt;CQ43))</f>
        <v>0</v>
      </c>
      <c r="CS73" s="2">
        <f>IF(OR(CS43="",CR43=""),0,--(CS43&lt;&gt;CR43))</f>
        <v>0</v>
      </c>
      <c r="CT73" s="2">
        <f>IF(OR(CT43="",CS43=""),0,--(CT43&lt;&gt;CS43))</f>
        <v>0</v>
      </c>
      <c r="CU73" s="2">
        <f>IF(OR(CU43="",CT43=""),0,--(CU43&lt;&gt;CT43))</f>
        <v>0</v>
      </c>
      <c r="CV73" s="2">
        <f>IF(OR(CV43="",CU43=""),0,--(CV43&lt;&gt;CU43))</f>
        <v>0</v>
      </c>
      <c r="CW73" s="2">
        <f>IF(OR(CW43="",CV43=""),0,--(CW43&lt;&gt;CV43))</f>
        <v>0</v>
      </c>
      <c r="CX73" s="2">
        <f>IF(OR(CX43="",CW43=""),0,--(CX43&lt;&gt;CW43))</f>
        <v>0</v>
      </c>
      <c r="CY73" s="2">
        <f>IF(OR(CY43="",CX43=""),0,--(CY43&lt;&gt;CX43))</f>
        <v>0</v>
      </c>
      <c r="CZ73" s="2">
        <f>IF(OR(CZ43="",CY43=""),0,--(CZ43&lt;&gt;CY43))</f>
        <v>0</v>
      </c>
      <c r="DA73" s="2">
        <f>IF(OR(DA43="",CZ43=""),0,--(DA43&lt;&gt;CZ43))</f>
        <v>0</v>
      </c>
      <c r="DB73" s="2">
        <f>IF(OR(DB43="",DA43=""),0,--(DB43&lt;&gt;DA43))</f>
        <v>0</v>
      </c>
      <c r="DC73" s="2">
        <f>IF(OR(DC43="",DB43=""),0,--(DC43&lt;&gt;DB43))</f>
        <v>0</v>
      </c>
      <c r="DD73" s="2">
        <f>IF(OR(DD43="",DC43=""),0,--(DD43&lt;&gt;DC43))</f>
        <v>0</v>
      </c>
      <c r="DE73" s="2">
        <f>IF(OR(DE43="",DD43=""),0,--(DE43&lt;&gt;DD43))</f>
        <v>0</v>
      </c>
      <c r="DF73" s="2">
        <f>IF(OR(DF43="",DE43=""),0,--(DF43&lt;&gt;DE43))</f>
        <v>0</v>
      </c>
      <c r="DG73" s="2">
        <f>IF(OR(DG43="",DF43=""),0,--(DG43&lt;&gt;DF43))</f>
        <v>0</v>
      </c>
      <c r="DH73" s="2">
        <f>IF(OR(DH43="",DG43=""),0,--(DH43&lt;&gt;DG43))</f>
        <v>0</v>
      </c>
      <c r="DI73" s="2">
        <f>IF(OR(DI43="",DH43=""),0,--(DI43&lt;&gt;DH43))</f>
        <v>0</v>
      </c>
      <c r="DJ73" s="2">
        <f>IF(OR(DJ43="",DI43=""),0,--(DJ43&lt;&gt;DI43))</f>
        <v>0</v>
      </c>
      <c r="DK73" s="2">
        <f>IF(OR(DK43="",DJ43=""),0,--(DK43&lt;&gt;DJ43))</f>
        <v>0</v>
      </c>
      <c r="DL73" s="2">
        <f>IF(OR(DL43="",DK43=""),0,--(DL43&lt;&gt;DK43))</f>
        <v>0</v>
      </c>
      <c r="DM73" s="2">
        <f>IF(OR(DM43="",DL43=""),0,--(DM43&lt;&gt;DL43))</f>
        <v>0</v>
      </c>
      <c r="DN73" s="2">
        <f>IF(OR(DN43="",DM43=""),0,--(DN43&lt;&gt;DM43))</f>
        <v>0</v>
      </c>
      <c r="DO73" s="2">
        <f>IF(OR(DO43="",DN43=""),0,--(DO43&lt;&gt;DN43))</f>
        <v>0</v>
      </c>
      <c r="DP73" s="2">
        <f>IF(OR(DP43="",DO43=""),0,--(DP43&lt;&gt;DO43))</f>
        <v>0</v>
      </c>
      <c r="DQ73" s="2">
        <f>IF(OR(DQ43="",DP43=""),0,--(DQ43&lt;&gt;DP43))</f>
        <v>0</v>
      </c>
      <c r="DR73" s="2">
        <f>IF(OR(DR43="",DQ43=""),0,--(DR43&lt;&gt;DQ43))</f>
        <v>0</v>
      </c>
      <c r="DS73" s="2">
        <f>IF(OR(DS43="",DR43=""),0,--(DS43&lt;&gt;DR43))</f>
        <v>0</v>
      </c>
      <c r="DT73" s="2">
        <f>IF(OR(DT43="",DS43=""),0,--(DT43&lt;&gt;DS43))</f>
        <v>0</v>
      </c>
      <c r="DU73" s="2">
        <f>IF(OR(DU43="",DT43=""),0,--(DU43&lt;&gt;DT43))</f>
        <v>0</v>
      </c>
      <c r="DV73" s="2">
        <f>IF(OR(DV43="",DU43=""),0,--(DV43&lt;&gt;DU43))</f>
        <v>0</v>
      </c>
      <c r="DW73" s="2">
        <f>IF(OR(DW43="",DV43=""),0,--(DW43&lt;&gt;DV43))</f>
        <v>0</v>
      </c>
      <c r="DX73" s="2">
        <f>IF(OR(DX43="",DW43=""),0,--(DX43&lt;&gt;DW43))</f>
        <v>0</v>
      </c>
      <c r="DY73" s="2">
        <f>IF(OR(DY43="",DX43=""),0,--(DY43&lt;&gt;DX43))</f>
        <v>0</v>
      </c>
      <c r="DZ73" s="2">
        <f>IF(OR(DZ43="",DY43=""),0,--(DZ43&lt;&gt;DY43))</f>
        <v>0</v>
      </c>
      <c r="EA73" s="2">
        <f>IF(OR(EA43="",DZ43=""),0,--(EA43&lt;&gt;DZ43))</f>
        <v>0</v>
      </c>
      <c r="EB73" s="2">
        <f>IF(OR(EB43="",EA43=""),0,--(EB43&lt;&gt;EA43))</f>
        <v>0</v>
      </c>
      <c r="EC73" s="2">
        <f>IF(OR(EC43="",EB43=""),0,--(EC43&lt;&gt;EB43))</f>
        <v>0</v>
      </c>
      <c r="ED73" s="2">
        <f>IF(OR(ED43="",EC43=""),0,--(ED43&lt;&gt;EC43))</f>
        <v>0</v>
      </c>
      <c r="EE73" s="2">
        <f>IF(OR(EE43="",ED43=""),0,--(EE43&lt;&gt;ED43))</f>
        <v>0</v>
      </c>
      <c r="EF73" s="2">
        <f>IF(OR(EF43="",EE43=""),0,--(EF43&lt;&gt;EE43))</f>
        <v>0</v>
      </c>
      <c r="EG73" s="2">
        <f>IF(OR(EG43="",EF43=""),0,--(EG43&lt;&gt;EF43))</f>
        <v>0</v>
      </c>
      <c r="EH73" s="2">
        <f>IF(OR(EH43="",EG43=""),0,--(EH43&lt;&gt;EG43))</f>
        <v>0</v>
      </c>
      <c r="EI73" s="2">
        <f>IF(OR(EI43="",EH43=""),0,--(EI43&lt;&gt;EH43))</f>
        <v>0</v>
      </c>
      <c r="EJ73" s="2">
        <f>IF(OR(EJ43="",EI43=""),0,--(EJ43&lt;&gt;EI43))</f>
        <v>0</v>
      </c>
      <c r="EK73" s="2">
        <f>IF(OR(EK43="",EJ43=""),0,--(EK43&lt;&gt;EJ43))</f>
        <v>0</v>
      </c>
      <c r="EL73" s="2">
        <f>IF(OR(EL43="",EK43=""),0,--(EL43&lt;&gt;EK43))</f>
        <v>0</v>
      </c>
      <c r="EM73" s="2">
        <f>IF(OR(EM43="",EL43=""),0,--(EM43&lt;&gt;EL43))</f>
        <v>0</v>
      </c>
      <c r="EN73" s="2">
        <f>IF(OR(EN43="",EM43=""),0,--(EN43&lt;&gt;EM43))</f>
        <v>0</v>
      </c>
      <c r="EO73" s="2">
        <f>IF(OR(EO43="",EN43=""),0,--(EO43&lt;&gt;EN43))</f>
        <v>0</v>
      </c>
      <c r="EP73" s="2">
        <f>IF(OR(EP43="",EO43=""),0,--(EP43&lt;&gt;EO43))</f>
        <v>0</v>
      </c>
      <c r="EQ73" s="2">
        <f>IF(OR(EQ43="",EP43=""),0,--(EQ43&lt;&gt;EP43))</f>
        <v>0</v>
      </c>
      <c r="ER73" s="2">
        <f>IF(OR(ER43="",EQ43=""),0,--(ER43&lt;&gt;EQ43))</f>
        <v>0</v>
      </c>
      <c r="ES73" s="2">
        <f>IF(OR(ES43="",ER43=""),0,--(ES43&lt;&gt;ER43))</f>
        <v>0</v>
      </c>
      <c r="ET73" s="2">
        <f>IF(OR(ET43="",ES43=""),0,--(ET43&lt;&gt;ES43))</f>
        <v>0</v>
      </c>
      <c r="EU73" s="2">
        <f>IF(OR(EU43="",ET43=""),0,--(EU43&lt;&gt;ET43))</f>
        <v>0</v>
      </c>
      <c r="EV73" s="2">
        <f>IF(OR(EV43="",EU43=""),0,--(EV43&lt;&gt;EU43))</f>
        <v>0</v>
      </c>
      <c r="EW73" s="2">
        <f>IF(OR(EW43="",EV43=""),0,--(EW43&lt;&gt;EV43))</f>
        <v>0</v>
      </c>
      <c r="EX73" s="2">
        <f>IF(OR(EX43="",EW43=""),0,--(EX43&lt;&gt;EW43))</f>
        <v>0</v>
      </c>
      <c r="EY73" s="2">
        <f>IF(OR(EY43="",EX43=""),0,--(EY43&lt;&gt;EX43))</f>
        <v>0</v>
      </c>
      <c r="EZ73" s="2">
        <f>IF(OR(EZ43="",EY43=""),0,--(EZ43&lt;&gt;EY43))</f>
        <v>0</v>
      </c>
      <c r="FA73" s="2">
        <f>IF(OR(FA43="",EZ43=""),0,--(FA43&lt;&gt;EZ43))</f>
        <v>0</v>
      </c>
      <c r="FB73" s="2">
        <f>IF(OR(FB43="",FA43=""),0,--(FB43&lt;&gt;FA43))</f>
        <v>0</v>
      </c>
      <c r="FC73" s="2">
        <f>IF(OR(FC43="",FB43=""),0,--(FC43&lt;&gt;FB43))</f>
        <v>0</v>
      </c>
      <c r="FD73" s="2">
        <f>IF(OR(FD43="",FC43=""),0,--(FD43&lt;&gt;FC43))</f>
        <v>0</v>
      </c>
      <c r="FE73" s="2">
        <f>IF(OR(FE43="",FD43=""),0,--(FE43&lt;&gt;FD43))</f>
        <v>0</v>
      </c>
      <c r="FF73" s="2">
        <f>IF(OR(FF43="",FE43=""),0,--(FF43&lt;&gt;FE43))</f>
        <v>0</v>
      </c>
      <c r="FG73" s="2">
        <f>IF(OR(FG43="",FF43=""),0,--(FG43&lt;&gt;FF43))</f>
        <v>0</v>
      </c>
      <c r="FH73" s="2">
        <f>IF(OR(FH43="",FG43=""),0,--(FH43&lt;&gt;FG43))</f>
        <v>0</v>
      </c>
      <c r="FI73" s="2">
        <f>IF(OR(FI43="",FH43=""),0,--(FI43&lt;&gt;FH43))</f>
        <v>0</v>
      </c>
      <c r="FJ73" s="2">
        <f>IF(OR(FJ43="",FI43=""),0,--(FJ43&lt;&gt;FI43))</f>
        <v>0</v>
      </c>
      <c r="FK73" s="2">
        <f>IF(OR(FK43="",FJ43=""),0,--(FK43&lt;&gt;FJ43))</f>
        <v>0</v>
      </c>
      <c r="FL73" s="2">
        <f>IF(OR(FL43="",FK43=""),0,--(FL43&lt;&gt;FK43))</f>
        <v>0</v>
      </c>
      <c r="FM73" s="2">
        <f>IF(OR(FM43="",FL43=""),0,--(FM43&lt;&gt;FL43))</f>
        <v>0</v>
      </c>
      <c r="FN73" s="2">
        <f>IF(OR(FN43="",FM43=""),0,--(FN43&lt;&gt;FM43))</f>
        <v>0</v>
      </c>
      <c r="FO73" s="2">
        <f>IF(OR(FO43="",FN43=""),0,--(FO43&lt;&gt;FN43))</f>
        <v>0</v>
      </c>
      <c r="FP73" s="2">
        <f>IF(OR(FP43="",FO43=""),0,--(FP43&lt;&gt;FO43))</f>
        <v>0</v>
      </c>
      <c r="FQ73" s="2">
        <f>IF(OR(FQ43="",FP43=""),0,--(FQ43&lt;&gt;FP43))</f>
        <v>0</v>
      </c>
      <c r="FR73" s="2">
        <f>IF(OR(FR43="",FQ43=""),0,--(FR43&lt;&gt;FQ43))</f>
        <v>0</v>
      </c>
      <c r="FS73" s="2">
        <f>IF(OR(FS43="",FR43=""),0,--(FS43&lt;&gt;FR43))</f>
        <v>0</v>
      </c>
      <c r="FT73" s="2">
        <f>IF(OR(FT43="",FS43=""),0,--(FT43&lt;&gt;FS43))</f>
        <v>0</v>
      </c>
      <c r="FU73" s="2">
        <f>IF(OR(FU43="",FT43=""),0,--(FU43&lt;&gt;FT43))</f>
        <v>0</v>
      </c>
      <c r="FV73" s="2">
        <f>IF(OR(FV43="",FU43=""),0,--(FV43&lt;&gt;FU43))</f>
        <v>0</v>
      </c>
      <c r="FW73" s="2">
        <f>IF(OR(FW43="",FV43=""),0,--(FW43&lt;&gt;FV43))</f>
        <v>0</v>
      </c>
      <c r="FX73" s="2">
        <f>IF(OR(FX43="",FW43=""),0,--(FX43&lt;&gt;FW43))</f>
        <v>0</v>
      </c>
      <c r="FY73" s="2">
        <f>IF(OR(FY43="",FX43=""),0,--(FY43&lt;&gt;FX43))</f>
        <v>0</v>
      </c>
      <c r="FZ73" s="2">
        <f>IF(OR(FZ43="",FY43=""),0,--(FZ43&lt;&gt;FY43))</f>
        <v>0</v>
      </c>
      <c r="GA73" s="2">
        <f>IF(OR(GA43="",FZ43=""),0,--(GA43&lt;&gt;FZ43))</f>
        <v>0</v>
      </c>
      <c r="GB73" s="2">
        <f>IF(OR(GB43="",GA43=""),0,--(GB43&lt;&gt;GA43))</f>
        <v>0</v>
      </c>
      <c r="GC73" s="2">
        <f>IF(OR(GC43="",GB43=""),0,--(GC43&lt;&gt;GB43))</f>
        <v>0</v>
      </c>
      <c r="GD73" s="2">
        <f>IF(OR(GD43="",GC43=""),0,--(GD43&lt;&gt;GC43))</f>
        <v>0</v>
      </c>
      <c r="GE73" s="2">
        <f>IF(OR(GE43="",GD43=""),0,--(GE43&lt;&gt;GD43))</f>
        <v>0</v>
      </c>
      <c r="GF73" s="2">
        <f>IF(OR(GF43="",GE43=""),0,--(GF43&lt;&gt;GE43))</f>
        <v>0</v>
      </c>
      <c r="GG73" s="2">
        <f>IF(OR(GG43="",GF43=""),0,--(GG43&lt;&gt;GF43))</f>
        <v>0</v>
      </c>
      <c r="GH73" s="2">
        <f>IF(OR(GH43="",GG43=""),0,--(GH43&lt;&gt;GG43))</f>
        <v>0</v>
      </c>
      <c r="GI73" s="2">
        <f>IF(OR(GI43="",GH43=""),0,--(GI43&lt;&gt;GH43))</f>
        <v>0</v>
      </c>
      <c r="GJ73" s="2">
        <f>IF(OR(GJ43="",GI43=""),0,--(GJ43&lt;&gt;GI43))</f>
        <v>0</v>
      </c>
      <c r="GK73" s="2">
        <f>IF(OR(GK43="",GJ43=""),0,--(GK43&lt;&gt;GJ43))</f>
        <v>0</v>
      </c>
      <c r="GL73" s="2">
        <f>IF(OR(GL43="",GK43=""),0,--(GL43&lt;&gt;GK43))</f>
        <v>0</v>
      </c>
      <c r="GM73" s="2">
        <f>IF(OR(GM43="",GL43=""),0,--(GM43&lt;&gt;GL43))</f>
        <v>0</v>
      </c>
      <c r="GN73" s="2">
        <f>IF(OR(GN43="",GM43=""),0,--(GN43&lt;&gt;GM43))</f>
        <v>0</v>
      </c>
      <c r="GO73" s="2">
        <f>IF(OR(GO43="",GN43=""),0,--(GO43&lt;&gt;GN43))</f>
        <v>0</v>
      </c>
      <c r="GP73" s="2">
        <f>IF(OR(GP43="",GO43=""),0,--(GP43&lt;&gt;GO43))</f>
        <v>0</v>
      </c>
      <c r="GQ73" s="2">
        <f>IF(OR(GQ43="",GP43=""),0,--(GQ43&lt;&gt;GP43))</f>
        <v>0</v>
      </c>
      <c r="GR73" s="2">
        <f>IF(OR(GR43="",GQ43=""),0,--(GR43&lt;&gt;GQ43))</f>
        <v>0</v>
      </c>
      <c r="GS73" s="2">
        <f>IF(OR(GS43="",GR43=""),0,--(GS43&lt;&gt;GR43))</f>
        <v>0</v>
      </c>
      <c r="GY73" s="15">
        <f>SUM($B73:$DB73)</f>
        <v>1</v>
      </c>
    </row>
    <row r="74" spans="1:207">
      <c r="A74" s="2">
        <f>$A44</f>
        <v>9</v>
      </c>
      <c r="B74" s="2">
        <f>0</f>
        <v>0</v>
      </c>
      <c r="C74" s="2">
        <f>IF(OR(C44="",B44=""),0,--(C44&lt;&gt;B44))</f>
        <v>0</v>
      </c>
      <c r="D74" s="2">
        <f>IF(OR(D44="",C44=""),0,--(D44&lt;&gt;C44))</f>
        <v>0</v>
      </c>
      <c r="E74" s="2">
        <f>IF(OR(E44="",D44=""),0,--(E44&lt;&gt;D44))</f>
        <v>0</v>
      </c>
      <c r="F74" s="2">
        <f>IF(OR(F44="",E44=""),0,--(F44&lt;&gt;E44))</f>
        <v>0</v>
      </c>
      <c r="G74" s="2">
        <f>IF(OR(G44="",F44=""),0,--(G44&lt;&gt;F44))</f>
        <v>0</v>
      </c>
      <c r="H74" s="2">
        <f>IF(OR(H44="",G44=""),0,--(H44&lt;&gt;G44))</f>
        <v>0</v>
      </c>
      <c r="I74" s="2">
        <f>IF(OR(I44="",H44=""),0,--(I44&lt;&gt;H44))</f>
        <v>0</v>
      </c>
      <c r="J74" s="2">
        <f>IF(OR(J44="",I44=""),0,--(J44&lt;&gt;I44))</f>
        <v>0</v>
      </c>
      <c r="K74" s="2">
        <f>IF(OR(K44="",J44=""),0,--(K44&lt;&gt;J44))</f>
        <v>0</v>
      </c>
      <c r="L74" s="2">
        <f>IF(OR(L44="",K44=""),0,--(L44&lt;&gt;K44))</f>
        <v>0</v>
      </c>
      <c r="M74" s="2">
        <f>IF(OR(M44="",L44=""),0,--(M44&lt;&gt;L44))</f>
        <v>0</v>
      </c>
      <c r="N74" s="2">
        <f>IF(OR(N44="",M44=""),0,--(N44&lt;&gt;M44))</f>
        <v>0</v>
      </c>
      <c r="O74" s="2">
        <f>IF(OR(O44="",N44=""),0,--(O44&lt;&gt;N44))</f>
        <v>0</v>
      </c>
      <c r="P74" s="2">
        <f>IF(OR(P44="",O44=""),0,--(P44&lt;&gt;O44))</f>
        <v>0</v>
      </c>
      <c r="Q74" s="2">
        <f>IF(OR(Q44="",P44=""),0,--(Q44&lt;&gt;P44))</f>
        <v>0</v>
      </c>
      <c r="R74" s="2">
        <f>IF(OR(R44="",Q44=""),0,--(R44&lt;&gt;Q44))</f>
        <v>0</v>
      </c>
      <c r="S74" s="2">
        <f>IF(OR(S44="",R44=""),0,--(S44&lt;&gt;R44))</f>
        <v>0</v>
      </c>
      <c r="T74" s="2">
        <f>IF(OR(T44="",S44=""),0,--(T44&lt;&gt;S44))</f>
        <v>0</v>
      </c>
      <c r="U74" s="2">
        <f>IF(OR(U44="",T44=""),0,--(U44&lt;&gt;T44))</f>
        <v>0</v>
      </c>
      <c r="V74" s="2">
        <f>IF(OR(V44="",U44=""),0,--(V44&lt;&gt;U44))</f>
        <v>0</v>
      </c>
      <c r="W74" s="2">
        <f>IF(OR(W44="",V44=""),0,--(W44&lt;&gt;V44))</f>
        <v>0</v>
      </c>
      <c r="X74" s="2">
        <f>IF(OR(X44="",W44=""),0,--(X44&lt;&gt;W44))</f>
        <v>0</v>
      </c>
      <c r="Y74" s="2">
        <f>IF(OR(Y44="",X44=""),0,--(Y44&lt;&gt;X44))</f>
        <v>0</v>
      </c>
      <c r="Z74" s="2">
        <f>IF(OR(Z44="",Y44=""),0,--(Z44&lt;&gt;Y44))</f>
        <v>0</v>
      </c>
      <c r="AA74" s="2">
        <f>IF(OR(AA44="",Z44=""),0,--(AA44&lt;&gt;Z44))</f>
        <v>0</v>
      </c>
      <c r="AB74" s="2">
        <f>IF(OR(AB44="",AA44=""),0,--(AB44&lt;&gt;AA44))</f>
        <v>0</v>
      </c>
      <c r="AC74" s="2">
        <f>IF(OR(AC44="",AB44=""),0,--(AC44&lt;&gt;AB44))</f>
        <v>0</v>
      </c>
      <c r="AD74" s="2">
        <f>IF(OR(AD44="",AC44=""),0,--(AD44&lt;&gt;AC44))</f>
        <v>0</v>
      </c>
      <c r="AE74" s="2">
        <f>IF(OR(AE44="",AD44=""),0,--(AE44&lt;&gt;AD44))</f>
        <v>0</v>
      </c>
      <c r="AF74" s="2">
        <f>IF(OR(AF44="",AE44=""),0,--(AF44&lt;&gt;AE44))</f>
        <v>0</v>
      </c>
      <c r="AG74" s="2">
        <f>IF(OR(AG44="",AF44=""),0,--(AG44&lt;&gt;AF44))</f>
        <v>0</v>
      </c>
      <c r="AH74" s="2">
        <f>IF(OR(AH44="",AG44=""),0,--(AH44&lt;&gt;AG44))</f>
        <v>0</v>
      </c>
      <c r="AI74" s="2">
        <f>IF(OR(AI44="",AH44=""),0,--(AI44&lt;&gt;AH44))</f>
        <v>0</v>
      </c>
      <c r="AJ74" s="2">
        <f>IF(OR(AJ44="",AI44=""),0,--(AJ44&lt;&gt;AI44))</f>
        <v>0</v>
      </c>
      <c r="AK74" s="2">
        <f>IF(OR(AK44="",AJ44=""),0,--(AK44&lt;&gt;AJ44))</f>
        <v>0</v>
      </c>
      <c r="AL74" s="2">
        <f>IF(OR(AL44="",AK44=""),0,--(AL44&lt;&gt;AK44))</f>
        <v>0</v>
      </c>
      <c r="AM74" s="2">
        <f>IF(OR(AM44="",AL44=""),0,--(AM44&lt;&gt;AL44))</f>
        <v>0</v>
      </c>
      <c r="AN74" s="2">
        <f>IF(OR(AN44="",AM44=""),0,--(AN44&lt;&gt;AM44))</f>
        <v>0</v>
      </c>
      <c r="AO74" s="2">
        <f>IF(OR(AO44="",AN44=""),0,--(AO44&lt;&gt;AN44))</f>
        <v>0</v>
      </c>
      <c r="AP74" s="2">
        <f>IF(OR(AP44="",AO44=""),0,--(AP44&lt;&gt;AO44))</f>
        <v>0</v>
      </c>
      <c r="AQ74" s="2">
        <f>IF(OR(AQ44="",AP44=""),0,--(AQ44&lt;&gt;AP44))</f>
        <v>0</v>
      </c>
      <c r="AR74" s="2">
        <f>IF(OR(AR44="",AQ44=""),0,--(AR44&lt;&gt;AQ44))</f>
        <v>0</v>
      </c>
      <c r="AS74" s="2">
        <f>IF(OR(AS44="",AR44=""),0,--(AS44&lt;&gt;AR44))</f>
        <v>0</v>
      </c>
      <c r="AT74" s="2">
        <f>IF(OR(AT44="",AS44=""),0,--(AT44&lt;&gt;AS44))</f>
        <v>0</v>
      </c>
      <c r="AU74" s="2">
        <f>IF(OR(AU44="",AT44=""),0,--(AU44&lt;&gt;AT44))</f>
        <v>0</v>
      </c>
      <c r="AV74" s="2">
        <f>IF(OR(AV44="",AU44=""),0,--(AV44&lt;&gt;AU44))</f>
        <v>0</v>
      </c>
      <c r="AW74" s="2">
        <f>IF(OR(AW44="",AV44=""),0,--(AW44&lt;&gt;AV44))</f>
        <v>0</v>
      </c>
      <c r="AX74" s="2">
        <f>IF(OR(AX44="",AW44=""),0,--(AX44&lt;&gt;AW44))</f>
        <v>0</v>
      </c>
      <c r="AY74" s="2">
        <f>IF(OR(AY44="",AX44=""),0,--(AY44&lt;&gt;AX44))</f>
        <v>0</v>
      </c>
      <c r="AZ74" s="2">
        <f>IF(OR(AZ44="",AY44=""),0,--(AZ44&lt;&gt;AY44))</f>
        <v>0</v>
      </c>
      <c r="BA74" s="2">
        <f>IF(OR(BA44="",AZ44=""),0,--(BA44&lt;&gt;AZ44))</f>
        <v>0</v>
      </c>
      <c r="BB74" s="2">
        <f>IF(OR(BB44="",BA44=""),0,--(BB44&lt;&gt;BA44))</f>
        <v>0</v>
      </c>
      <c r="BC74" s="2">
        <f>IF(OR(BC44="",BB44=""),0,--(BC44&lt;&gt;BB44))</f>
        <v>0</v>
      </c>
      <c r="BD74" s="2">
        <f>IF(OR(BD44="",BC44=""),0,--(BD44&lt;&gt;BC44))</f>
        <v>0</v>
      </c>
      <c r="BE74" s="2">
        <f>IF(OR(BE44="",BD44=""),0,--(BE44&lt;&gt;BD44))</f>
        <v>0</v>
      </c>
      <c r="BF74" s="2">
        <f>IF(OR(BF44="",BE44=""),0,--(BF44&lt;&gt;BE44))</f>
        <v>0</v>
      </c>
      <c r="BG74" s="2">
        <f>IF(OR(BG44="",BF44=""),0,--(BG44&lt;&gt;BF44))</f>
        <v>0</v>
      </c>
      <c r="BH74" s="2">
        <f>IF(OR(BH44="",BG44=""),0,--(BH44&lt;&gt;BG44))</f>
        <v>0</v>
      </c>
      <c r="BI74" s="2">
        <f>IF(OR(BI44="",BH44=""),0,--(BI44&lt;&gt;BH44))</f>
        <v>0</v>
      </c>
      <c r="BJ74" s="2">
        <f>IF(OR(BJ44="",BI44=""),0,--(BJ44&lt;&gt;BI44))</f>
        <v>0</v>
      </c>
      <c r="BK74" s="2">
        <f>IF(OR(BK44="",BJ44=""),0,--(BK44&lt;&gt;BJ44))</f>
        <v>0</v>
      </c>
      <c r="BL74" s="2">
        <f>IF(OR(BL44="",BK44=""),0,--(BL44&lt;&gt;BK44))</f>
        <v>0</v>
      </c>
      <c r="BM74" s="2">
        <f>IF(OR(BM44="",BL44=""),0,--(BM44&lt;&gt;BL44))</f>
        <v>0</v>
      </c>
      <c r="BN74" s="2">
        <f>IF(OR(BN44="",BM44=""),0,--(BN44&lt;&gt;BM44))</f>
        <v>0</v>
      </c>
      <c r="BO74" s="2">
        <f>IF(OR(BO44="",BN44=""),0,--(BO44&lt;&gt;BN44))</f>
        <v>0</v>
      </c>
      <c r="BP74" s="2">
        <f>IF(OR(BP44="",BO44=""),0,--(BP44&lt;&gt;BO44))</f>
        <v>0</v>
      </c>
      <c r="BQ74" s="2">
        <f>IF(OR(BQ44="",BP44=""),0,--(BQ44&lt;&gt;BP44))</f>
        <v>0</v>
      </c>
      <c r="BR74" s="2">
        <f>IF(OR(BR44="",BQ44=""),0,--(BR44&lt;&gt;BQ44))</f>
        <v>0</v>
      </c>
      <c r="BS74" s="2">
        <f>IF(OR(BS44="",BR44=""),0,--(BS44&lt;&gt;BR44))</f>
        <v>0</v>
      </c>
      <c r="BT74" s="2">
        <f>IF(OR(BT44="",BS44=""),0,--(BT44&lt;&gt;BS44))</f>
        <v>1</v>
      </c>
      <c r="BU74" s="2">
        <f>IF(OR(BU44="",BT44=""),0,--(BU44&lt;&gt;BT44))</f>
        <v>0</v>
      </c>
      <c r="BV74" s="2">
        <f>IF(OR(BV44="",BU44=""),0,--(BV44&lt;&gt;BU44))</f>
        <v>0</v>
      </c>
      <c r="BW74" s="2">
        <f>IF(OR(BW44="",BV44=""),0,--(BW44&lt;&gt;BV44))</f>
        <v>0</v>
      </c>
      <c r="BX74" s="2">
        <f>IF(OR(BX44="",BW44=""),0,--(BX44&lt;&gt;BW44))</f>
        <v>0</v>
      </c>
      <c r="BY74" s="2">
        <f>IF(OR(BY44="",BX44=""),0,--(BY44&lt;&gt;BX44))</f>
        <v>0</v>
      </c>
      <c r="BZ74" s="2">
        <f>IF(OR(BZ44="",BY44=""),0,--(BZ44&lt;&gt;BY44))</f>
        <v>0</v>
      </c>
      <c r="CA74" s="2">
        <f>IF(OR(CA44="",BZ44=""),0,--(CA44&lt;&gt;BZ44))</f>
        <v>0</v>
      </c>
      <c r="CB74" s="2">
        <f>IF(OR(CB44="",CA44=""),0,--(CB44&lt;&gt;CA44))</f>
        <v>0</v>
      </c>
      <c r="CC74" s="2">
        <f>IF(OR(CC44="",CB44=""),0,--(CC44&lt;&gt;CB44))</f>
        <v>0</v>
      </c>
      <c r="CD74" s="2">
        <f>IF(OR(CD44="",CC44=""),0,--(CD44&lt;&gt;CC44))</f>
        <v>0</v>
      </c>
      <c r="CE74" s="2">
        <f>IF(OR(CE44="",CD44=""),0,--(CE44&lt;&gt;CD44))</f>
        <v>0</v>
      </c>
      <c r="CF74" s="2">
        <f>IF(OR(CF44="",CE44=""),0,--(CF44&lt;&gt;CE44))</f>
        <v>0</v>
      </c>
      <c r="CG74" s="2">
        <f>IF(OR(CG44="",CF44=""),0,--(CG44&lt;&gt;CF44))</f>
        <v>0</v>
      </c>
      <c r="CH74" s="2">
        <f>IF(OR(CH44="",CG44=""),0,--(CH44&lt;&gt;CG44))</f>
        <v>0</v>
      </c>
      <c r="CI74" s="2">
        <f>IF(OR(CI44="",CH44=""),0,--(CI44&lt;&gt;CH44))</f>
        <v>0</v>
      </c>
      <c r="CJ74" s="2">
        <f>IF(OR(CJ44="",CI44=""),0,--(CJ44&lt;&gt;CI44))</f>
        <v>0</v>
      </c>
      <c r="CK74" s="2">
        <f>IF(OR(CK44="",CJ44=""),0,--(CK44&lt;&gt;CJ44))</f>
        <v>0</v>
      </c>
      <c r="CL74" s="2">
        <f>IF(OR(CL44="",CK44=""),0,--(CL44&lt;&gt;CK44))</f>
        <v>0</v>
      </c>
      <c r="CM74" s="2">
        <f>IF(OR(CM44="",CL44=""),0,--(CM44&lt;&gt;CL44))</f>
        <v>0</v>
      </c>
      <c r="CN74" s="2">
        <f>IF(OR(CN44="",CM44=""),0,--(CN44&lt;&gt;CM44))</f>
        <v>0</v>
      </c>
      <c r="CO74" s="2">
        <f>IF(OR(CO44="",CN44=""),0,--(CO44&lt;&gt;CN44))</f>
        <v>0</v>
      </c>
      <c r="CP74" s="2">
        <f>IF(OR(CP44="",CO44=""),0,--(CP44&lt;&gt;CO44))</f>
        <v>0</v>
      </c>
      <c r="CQ74" s="2">
        <f>IF(OR(CQ44="",CP44=""),0,--(CQ44&lt;&gt;CP44))</f>
        <v>0</v>
      </c>
      <c r="CR74" s="2">
        <f>IF(OR(CR44="",CQ44=""),0,--(CR44&lt;&gt;CQ44))</f>
        <v>0</v>
      </c>
      <c r="CS74" s="2">
        <f>IF(OR(CS44="",CR44=""),0,--(CS44&lt;&gt;CR44))</f>
        <v>0</v>
      </c>
      <c r="CT74" s="2">
        <f>IF(OR(CT44="",CS44=""),0,--(CT44&lt;&gt;CS44))</f>
        <v>0</v>
      </c>
      <c r="CU74" s="2">
        <f>IF(OR(CU44="",CT44=""),0,--(CU44&lt;&gt;CT44))</f>
        <v>0</v>
      </c>
      <c r="CV74" s="2">
        <f>IF(OR(CV44="",CU44=""),0,--(CV44&lt;&gt;CU44))</f>
        <v>0</v>
      </c>
      <c r="CW74" s="2">
        <f>IF(OR(CW44="",CV44=""),0,--(CW44&lt;&gt;CV44))</f>
        <v>0</v>
      </c>
      <c r="CX74" s="2">
        <f>IF(OR(CX44="",CW44=""),0,--(CX44&lt;&gt;CW44))</f>
        <v>0</v>
      </c>
      <c r="CY74" s="2">
        <f>IF(OR(CY44="",CX44=""),0,--(CY44&lt;&gt;CX44))</f>
        <v>0</v>
      </c>
      <c r="CZ74" s="2">
        <f>IF(OR(CZ44="",CY44=""),0,--(CZ44&lt;&gt;CY44))</f>
        <v>0</v>
      </c>
      <c r="DA74" s="2">
        <f>IF(OR(DA44="",CZ44=""),0,--(DA44&lt;&gt;CZ44))</f>
        <v>0</v>
      </c>
      <c r="DB74" s="2">
        <f>IF(OR(DB44="",DA44=""),0,--(DB44&lt;&gt;DA44))</f>
        <v>0</v>
      </c>
      <c r="DC74" s="2">
        <f>IF(OR(DC44="",DB44=""),0,--(DC44&lt;&gt;DB44))</f>
        <v>0</v>
      </c>
      <c r="DD74" s="2">
        <f>IF(OR(DD44="",DC44=""),0,--(DD44&lt;&gt;DC44))</f>
        <v>0</v>
      </c>
      <c r="DE74" s="2">
        <f>IF(OR(DE44="",DD44=""),0,--(DE44&lt;&gt;DD44))</f>
        <v>0</v>
      </c>
      <c r="DF74" s="2">
        <f>IF(OR(DF44="",DE44=""),0,--(DF44&lt;&gt;DE44))</f>
        <v>0</v>
      </c>
      <c r="DG74" s="2">
        <f>IF(OR(DG44="",DF44=""),0,--(DG44&lt;&gt;DF44))</f>
        <v>0</v>
      </c>
      <c r="DH74" s="2">
        <f>IF(OR(DH44="",DG44=""),0,--(DH44&lt;&gt;DG44))</f>
        <v>0</v>
      </c>
      <c r="DI74" s="2">
        <f>IF(OR(DI44="",DH44=""),0,--(DI44&lt;&gt;DH44))</f>
        <v>0</v>
      </c>
      <c r="DJ74" s="2">
        <f>IF(OR(DJ44="",DI44=""),0,--(DJ44&lt;&gt;DI44))</f>
        <v>0</v>
      </c>
      <c r="DK74" s="2">
        <f>IF(OR(DK44="",DJ44=""),0,--(DK44&lt;&gt;DJ44))</f>
        <v>0</v>
      </c>
      <c r="DL74" s="2">
        <f>IF(OR(DL44="",DK44=""),0,--(DL44&lt;&gt;DK44))</f>
        <v>0</v>
      </c>
      <c r="DM74" s="2">
        <f>IF(OR(DM44="",DL44=""),0,--(DM44&lt;&gt;DL44))</f>
        <v>0</v>
      </c>
      <c r="DN74" s="2">
        <f>IF(OR(DN44="",DM44=""),0,--(DN44&lt;&gt;DM44))</f>
        <v>0</v>
      </c>
      <c r="DO74" s="2">
        <f>IF(OR(DO44="",DN44=""),0,--(DO44&lt;&gt;DN44))</f>
        <v>0</v>
      </c>
      <c r="DP74" s="2">
        <f>IF(OR(DP44="",DO44=""),0,--(DP44&lt;&gt;DO44))</f>
        <v>0</v>
      </c>
      <c r="DQ74" s="2">
        <f>IF(OR(DQ44="",DP44=""),0,--(DQ44&lt;&gt;DP44))</f>
        <v>0</v>
      </c>
      <c r="DR74" s="2">
        <f>IF(OR(DR44="",DQ44=""),0,--(DR44&lt;&gt;DQ44))</f>
        <v>0</v>
      </c>
      <c r="DS74" s="2">
        <f>IF(OR(DS44="",DR44=""),0,--(DS44&lt;&gt;DR44))</f>
        <v>0</v>
      </c>
      <c r="DT74" s="2">
        <f>IF(OR(DT44="",DS44=""),0,--(DT44&lt;&gt;DS44))</f>
        <v>0</v>
      </c>
      <c r="DU74" s="2">
        <f>IF(OR(DU44="",DT44=""),0,--(DU44&lt;&gt;DT44))</f>
        <v>0</v>
      </c>
      <c r="DV74" s="2">
        <f>IF(OR(DV44="",DU44=""),0,--(DV44&lt;&gt;DU44))</f>
        <v>0</v>
      </c>
      <c r="DW74" s="2">
        <f>IF(OR(DW44="",DV44=""),0,--(DW44&lt;&gt;DV44))</f>
        <v>0</v>
      </c>
      <c r="DX74" s="2">
        <f>IF(OR(DX44="",DW44=""),0,--(DX44&lt;&gt;DW44))</f>
        <v>0</v>
      </c>
      <c r="DY74" s="2">
        <f>IF(OR(DY44="",DX44=""),0,--(DY44&lt;&gt;DX44))</f>
        <v>0</v>
      </c>
      <c r="DZ74" s="2">
        <f>IF(OR(DZ44="",DY44=""),0,--(DZ44&lt;&gt;DY44))</f>
        <v>0</v>
      </c>
      <c r="EA74" s="2">
        <f>IF(OR(EA44="",DZ44=""),0,--(EA44&lt;&gt;DZ44))</f>
        <v>0</v>
      </c>
      <c r="EB74" s="2">
        <f>IF(OR(EB44="",EA44=""),0,--(EB44&lt;&gt;EA44))</f>
        <v>0</v>
      </c>
      <c r="EC74" s="2">
        <f>IF(OR(EC44="",EB44=""),0,--(EC44&lt;&gt;EB44))</f>
        <v>0</v>
      </c>
      <c r="ED74" s="2">
        <f>IF(OR(ED44="",EC44=""),0,--(ED44&lt;&gt;EC44))</f>
        <v>0</v>
      </c>
      <c r="EE74" s="2">
        <f>IF(OR(EE44="",ED44=""),0,--(EE44&lt;&gt;ED44))</f>
        <v>0</v>
      </c>
      <c r="EF74" s="2">
        <f>IF(OR(EF44="",EE44=""),0,--(EF44&lt;&gt;EE44))</f>
        <v>0</v>
      </c>
      <c r="EG74" s="2">
        <f>IF(OR(EG44="",EF44=""),0,--(EG44&lt;&gt;EF44))</f>
        <v>0</v>
      </c>
      <c r="EH74" s="2">
        <f>IF(OR(EH44="",EG44=""),0,--(EH44&lt;&gt;EG44))</f>
        <v>0</v>
      </c>
      <c r="EI74" s="2">
        <f>IF(OR(EI44="",EH44=""),0,--(EI44&lt;&gt;EH44))</f>
        <v>0</v>
      </c>
      <c r="EJ74" s="2">
        <f>IF(OR(EJ44="",EI44=""),0,--(EJ44&lt;&gt;EI44))</f>
        <v>0</v>
      </c>
      <c r="EK74" s="2">
        <f>IF(OR(EK44="",EJ44=""),0,--(EK44&lt;&gt;EJ44))</f>
        <v>0</v>
      </c>
      <c r="EL74" s="2">
        <f>IF(OR(EL44="",EK44=""),0,--(EL44&lt;&gt;EK44))</f>
        <v>0</v>
      </c>
      <c r="EM74" s="2">
        <f>IF(OR(EM44="",EL44=""),0,--(EM44&lt;&gt;EL44))</f>
        <v>0</v>
      </c>
      <c r="EN74" s="2">
        <f>IF(OR(EN44="",EM44=""),0,--(EN44&lt;&gt;EM44))</f>
        <v>0</v>
      </c>
      <c r="EO74" s="2">
        <f>IF(OR(EO44="",EN44=""),0,--(EO44&lt;&gt;EN44))</f>
        <v>0</v>
      </c>
      <c r="EP74" s="2">
        <f>IF(OR(EP44="",EO44=""),0,--(EP44&lt;&gt;EO44))</f>
        <v>0</v>
      </c>
      <c r="EQ74" s="2">
        <f>IF(OR(EQ44="",EP44=""),0,--(EQ44&lt;&gt;EP44))</f>
        <v>0</v>
      </c>
      <c r="ER74" s="2">
        <f>IF(OR(ER44="",EQ44=""),0,--(ER44&lt;&gt;EQ44))</f>
        <v>0</v>
      </c>
      <c r="ES74" s="2">
        <f>IF(OR(ES44="",ER44=""),0,--(ES44&lt;&gt;ER44))</f>
        <v>0</v>
      </c>
      <c r="ET74" s="2">
        <f>IF(OR(ET44="",ES44=""),0,--(ET44&lt;&gt;ES44))</f>
        <v>0</v>
      </c>
      <c r="EU74" s="2">
        <f>IF(OR(EU44="",ET44=""),0,--(EU44&lt;&gt;ET44))</f>
        <v>0</v>
      </c>
      <c r="EV74" s="2">
        <f>IF(OR(EV44="",EU44=""),0,--(EV44&lt;&gt;EU44))</f>
        <v>0</v>
      </c>
      <c r="EW74" s="2">
        <f>IF(OR(EW44="",EV44=""),0,--(EW44&lt;&gt;EV44))</f>
        <v>0</v>
      </c>
      <c r="EX74" s="2">
        <f>IF(OR(EX44="",EW44=""),0,--(EX44&lt;&gt;EW44))</f>
        <v>0</v>
      </c>
      <c r="EY74" s="2">
        <f>IF(OR(EY44="",EX44=""),0,--(EY44&lt;&gt;EX44))</f>
        <v>0</v>
      </c>
      <c r="EZ74" s="2">
        <f>IF(OR(EZ44="",EY44=""),0,--(EZ44&lt;&gt;EY44))</f>
        <v>0</v>
      </c>
      <c r="FA74" s="2">
        <f>IF(OR(FA44="",EZ44=""),0,--(FA44&lt;&gt;EZ44))</f>
        <v>0</v>
      </c>
      <c r="FB74" s="2">
        <f>IF(OR(FB44="",FA44=""),0,--(FB44&lt;&gt;FA44))</f>
        <v>0</v>
      </c>
      <c r="FC74" s="2">
        <f>IF(OR(FC44="",FB44=""),0,--(FC44&lt;&gt;FB44))</f>
        <v>0</v>
      </c>
      <c r="FD74" s="2">
        <f>IF(OR(FD44="",FC44=""),0,--(FD44&lt;&gt;FC44))</f>
        <v>0</v>
      </c>
      <c r="FE74" s="2">
        <f>IF(OR(FE44="",FD44=""),0,--(FE44&lt;&gt;FD44))</f>
        <v>0</v>
      </c>
      <c r="FF74" s="2">
        <f>IF(OR(FF44="",FE44=""),0,--(FF44&lt;&gt;FE44))</f>
        <v>0</v>
      </c>
      <c r="FG74" s="2">
        <f>IF(OR(FG44="",FF44=""),0,--(FG44&lt;&gt;FF44))</f>
        <v>0</v>
      </c>
      <c r="FH74" s="2">
        <f>IF(OR(FH44="",FG44=""),0,--(FH44&lt;&gt;FG44))</f>
        <v>0</v>
      </c>
      <c r="FI74" s="2">
        <f>IF(OR(FI44="",FH44=""),0,--(FI44&lt;&gt;FH44))</f>
        <v>0</v>
      </c>
      <c r="FJ74" s="2">
        <f>IF(OR(FJ44="",FI44=""),0,--(FJ44&lt;&gt;FI44))</f>
        <v>0</v>
      </c>
      <c r="FK74" s="2">
        <f>IF(OR(FK44="",FJ44=""),0,--(FK44&lt;&gt;FJ44))</f>
        <v>0</v>
      </c>
      <c r="FL74" s="2">
        <f>IF(OR(FL44="",FK44=""),0,--(FL44&lt;&gt;FK44))</f>
        <v>0</v>
      </c>
      <c r="FM74" s="2">
        <f>IF(OR(FM44="",FL44=""),0,--(FM44&lt;&gt;FL44))</f>
        <v>0</v>
      </c>
      <c r="FN74" s="2">
        <f>IF(OR(FN44="",FM44=""),0,--(FN44&lt;&gt;FM44))</f>
        <v>0</v>
      </c>
      <c r="FO74" s="2">
        <f>IF(OR(FO44="",FN44=""),0,--(FO44&lt;&gt;FN44))</f>
        <v>0</v>
      </c>
      <c r="FP74" s="2">
        <f>IF(OR(FP44="",FO44=""),0,--(FP44&lt;&gt;FO44))</f>
        <v>0</v>
      </c>
      <c r="FQ74" s="2">
        <f>IF(OR(FQ44="",FP44=""),0,--(FQ44&lt;&gt;FP44))</f>
        <v>0</v>
      </c>
      <c r="FR74" s="2">
        <f>IF(OR(FR44="",FQ44=""),0,--(FR44&lt;&gt;FQ44))</f>
        <v>0</v>
      </c>
      <c r="FS74" s="2">
        <f>IF(OR(FS44="",FR44=""),0,--(FS44&lt;&gt;FR44))</f>
        <v>0</v>
      </c>
      <c r="FT74" s="2">
        <f>IF(OR(FT44="",FS44=""),0,--(FT44&lt;&gt;FS44))</f>
        <v>0</v>
      </c>
      <c r="FU74" s="2">
        <f>IF(OR(FU44="",FT44=""),0,--(FU44&lt;&gt;FT44))</f>
        <v>0</v>
      </c>
      <c r="FV74" s="2">
        <f>IF(OR(FV44="",FU44=""),0,--(FV44&lt;&gt;FU44))</f>
        <v>0</v>
      </c>
      <c r="FW74" s="2">
        <f>IF(OR(FW44="",FV44=""),0,--(FW44&lt;&gt;FV44))</f>
        <v>0</v>
      </c>
      <c r="FX74" s="2">
        <f>IF(OR(FX44="",FW44=""),0,--(FX44&lt;&gt;FW44))</f>
        <v>0</v>
      </c>
      <c r="FY74" s="2">
        <f>IF(OR(FY44="",FX44=""),0,--(FY44&lt;&gt;FX44))</f>
        <v>0</v>
      </c>
      <c r="FZ74" s="2">
        <f>IF(OR(FZ44="",FY44=""),0,--(FZ44&lt;&gt;FY44))</f>
        <v>0</v>
      </c>
      <c r="GA74" s="2">
        <f>IF(OR(GA44="",FZ44=""),0,--(GA44&lt;&gt;FZ44))</f>
        <v>0</v>
      </c>
      <c r="GB74" s="2">
        <f>IF(OR(GB44="",GA44=""),0,--(GB44&lt;&gt;GA44))</f>
        <v>0</v>
      </c>
      <c r="GC74" s="2">
        <f>IF(OR(GC44="",GB44=""),0,--(GC44&lt;&gt;GB44))</f>
        <v>0</v>
      </c>
      <c r="GD74" s="2">
        <f>IF(OR(GD44="",GC44=""),0,--(GD44&lt;&gt;GC44))</f>
        <v>0</v>
      </c>
      <c r="GE74" s="2">
        <f>IF(OR(GE44="",GD44=""),0,--(GE44&lt;&gt;GD44))</f>
        <v>0</v>
      </c>
      <c r="GF74" s="2">
        <f>IF(OR(GF44="",GE44=""),0,--(GF44&lt;&gt;GE44))</f>
        <v>0</v>
      </c>
      <c r="GG74" s="2">
        <f>IF(OR(GG44="",GF44=""),0,--(GG44&lt;&gt;GF44))</f>
        <v>0</v>
      </c>
      <c r="GH74" s="2">
        <f>IF(OR(GH44="",GG44=""),0,--(GH44&lt;&gt;GG44))</f>
        <v>0</v>
      </c>
      <c r="GI74" s="2">
        <f>IF(OR(GI44="",GH44=""),0,--(GI44&lt;&gt;GH44))</f>
        <v>0</v>
      </c>
      <c r="GJ74" s="2">
        <f>IF(OR(GJ44="",GI44=""),0,--(GJ44&lt;&gt;GI44))</f>
        <v>0</v>
      </c>
      <c r="GK74" s="2">
        <f>IF(OR(GK44="",GJ44=""),0,--(GK44&lt;&gt;GJ44))</f>
        <v>0</v>
      </c>
      <c r="GL74" s="2">
        <f>IF(OR(GL44="",GK44=""),0,--(GL44&lt;&gt;GK44))</f>
        <v>0</v>
      </c>
      <c r="GM74" s="2">
        <f>IF(OR(GM44="",GL44=""),0,--(GM44&lt;&gt;GL44))</f>
        <v>0</v>
      </c>
      <c r="GN74" s="2">
        <f>IF(OR(GN44="",GM44=""),0,--(GN44&lt;&gt;GM44))</f>
        <v>0</v>
      </c>
      <c r="GO74" s="2">
        <f>IF(OR(GO44="",GN44=""),0,--(GO44&lt;&gt;GN44))</f>
        <v>0</v>
      </c>
      <c r="GP74" s="2">
        <f>IF(OR(GP44="",GO44=""),0,--(GP44&lt;&gt;GO44))</f>
        <v>0</v>
      </c>
      <c r="GQ74" s="2">
        <f>IF(OR(GQ44="",GP44=""),0,--(GQ44&lt;&gt;GP44))</f>
        <v>0</v>
      </c>
      <c r="GR74" s="2">
        <f>IF(OR(GR44="",GQ44=""),0,--(GR44&lt;&gt;GQ44))</f>
        <v>0</v>
      </c>
      <c r="GS74" s="2">
        <f>IF(OR(GS44="",GR44=""),0,--(GS44&lt;&gt;GR44))</f>
        <v>0</v>
      </c>
      <c r="GY74" s="15">
        <f>SUM($B74:$DB74)</f>
        <v>1</v>
      </c>
    </row>
    <row r="75" spans="1:207">
      <c r="A75" s="2">
        <f>$A45</f>
        <v>10</v>
      </c>
      <c r="B75" s="2">
        <f>0</f>
        <v>0</v>
      </c>
      <c r="C75" s="2">
        <f>IF(OR(C45="",B45=""),0,--(C45&lt;&gt;B45))</f>
        <v>0</v>
      </c>
      <c r="D75" s="2">
        <f>IF(OR(D45="",C45=""),0,--(D45&lt;&gt;C45))</f>
        <v>0</v>
      </c>
      <c r="E75" s="2">
        <f>IF(OR(E45="",D45=""),0,--(E45&lt;&gt;D45))</f>
        <v>0</v>
      </c>
      <c r="F75" s="2">
        <f>IF(OR(F45="",E45=""),0,--(F45&lt;&gt;E45))</f>
        <v>0</v>
      </c>
      <c r="G75" s="2">
        <f>IF(OR(G45="",F45=""),0,--(G45&lt;&gt;F45))</f>
        <v>0</v>
      </c>
      <c r="H75" s="2">
        <f>IF(OR(H45="",G45=""),0,--(H45&lt;&gt;G45))</f>
        <v>0</v>
      </c>
      <c r="I75" s="2">
        <f>IF(OR(I45="",H45=""),0,--(I45&lt;&gt;H45))</f>
        <v>0</v>
      </c>
      <c r="J75" s="2">
        <f>IF(OR(J45="",I45=""),0,--(J45&lt;&gt;I45))</f>
        <v>0</v>
      </c>
      <c r="K75" s="2">
        <f>IF(OR(K45="",J45=""),0,--(K45&lt;&gt;J45))</f>
        <v>0</v>
      </c>
      <c r="L75" s="2">
        <f>IF(OR(L45="",K45=""),0,--(L45&lt;&gt;K45))</f>
        <v>0</v>
      </c>
      <c r="M75" s="2">
        <f>IF(OR(M45="",L45=""),0,--(M45&lt;&gt;L45))</f>
        <v>0</v>
      </c>
      <c r="N75" s="2">
        <f>IF(OR(N45="",M45=""),0,--(N45&lt;&gt;M45))</f>
        <v>0</v>
      </c>
      <c r="O75" s="2">
        <f>IF(OR(O45="",N45=""),0,--(O45&lt;&gt;N45))</f>
        <v>0</v>
      </c>
      <c r="P75" s="2">
        <f>IF(OR(P45="",O45=""),0,--(P45&lt;&gt;O45))</f>
        <v>0</v>
      </c>
      <c r="Q75" s="2">
        <f>IF(OR(Q45="",P45=""),0,--(Q45&lt;&gt;P45))</f>
        <v>0</v>
      </c>
      <c r="R75" s="2">
        <f>IF(OR(R45="",Q45=""),0,--(R45&lt;&gt;Q45))</f>
        <v>0</v>
      </c>
      <c r="S75" s="2">
        <f>IF(OR(S45="",R45=""),0,--(S45&lt;&gt;R45))</f>
        <v>0</v>
      </c>
      <c r="T75" s="2">
        <f>IF(OR(T45="",S45=""),0,--(T45&lt;&gt;S45))</f>
        <v>0</v>
      </c>
      <c r="U75" s="2">
        <f>IF(OR(U45="",T45=""),0,--(U45&lt;&gt;T45))</f>
        <v>0</v>
      </c>
      <c r="V75" s="2">
        <f>IF(OR(V45="",U45=""),0,--(V45&lt;&gt;U45))</f>
        <v>0</v>
      </c>
      <c r="W75" s="2">
        <f>IF(OR(W45="",V45=""),0,--(W45&lt;&gt;V45))</f>
        <v>0</v>
      </c>
      <c r="X75" s="2">
        <f>IF(OR(X45="",W45=""),0,--(X45&lt;&gt;W45))</f>
        <v>0</v>
      </c>
      <c r="Y75" s="2">
        <f>IF(OR(Y45="",X45=""),0,--(Y45&lt;&gt;X45))</f>
        <v>0</v>
      </c>
      <c r="Z75" s="2">
        <f>IF(OR(Z45="",Y45=""),0,--(Z45&lt;&gt;Y45))</f>
        <v>0</v>
      </c>
      <c r="AA75" s="2">
        <f>IF(OR(AA45="",Z45=""),0,--(AA45&lt;&gt;Z45))</f>
        <v>0</v>
      </c>
      <c r="AB75" s="2">
        <f>IF(OR(AB45="",AA45=""),0,--(AB45&lt;&gt;AA45))</f>
        <v>0</v>
      </c>
      <c r="AC75" s="2">
        <f>IF(OR(AC45="",AB45=""),0,--(AC45&lt;&gt;AB45))</f>
        <v>0</v>
      </c>
      <c r="AD75" s="2">
        <f>IF(OR(AD45="",AC45=""),0,--(AD45&lt;&gt;AC45))</f>
        <v>0</v>
      </c>
      <c r="AE75" s="2">
        <f>IF(OR(AE45="",AD45=""),0,--(AE45&lt;&gt;AD45))</f>
        <v>0</v>
      </c>
      <c r="AF75" s="2">
        <f>IF(OR(AF45="",AE45=""),0,--(AF45&lt;&gt;AE45))</f>
        <v>0</v>
      </c>
      <c r="AG75" s="2">
        <f>IF(OR(AG45="",AF45=""),0,--(AG45&lt;&gt;AF45))</f>
        <v>0</v>
      </c>
      <c r="AH75" s="2">
        <f>IF(OR(AH45="",AG45=""),0,--(AH45&lt;&gt;AG45))</f>
        <v>0</v>
      </c>
      <c r="AI75" s="2">
        <f>IF(OR(AI45="",AH45=""),0,--(AI45&lt;&gt;AH45))</f>
        <v>0</v>
      </c>
      <c r="AJ75" s="2">
        <f>IF(OR(AJ45="",AI45=""),0,--(AJ45&lt;&gt;AI45))</f>
        <v>0</v>
      </c>
      <c r="AK75" s="2">
        <f>IF(OR(AK45="",AJ45=""),0,--(AK45&lt;&gt;AJ45))</f>
        <v>0</v>
      </c>
      <c r="AL75" s="2">
        <f>IF(OR(AL45="",AK45=""),0,--(AL45&lt;&gt;AK45))</f>
        <v>0</v>
      </c>
      <c r="AM75" s="2">
        <f>IF(OR(AM45="",AL45=""),0,--(AM45&lt;&gt;AL45))</f>
        <v>0</v>
      </c>
      <c r="AN75" s="2">
        <f>IF(OR(AN45="",AM45=""),0,--(AN45&lt;&gt;AM45))</f>
        <v>0</v>
      </c>
      <c r="AO75" s="2">
        <f>IF(OR(AO45="",AN45=""),0,--(AO45&lt;&gt;AN45))</f>
        <v>0</v>
      </c>
      <c r="AP75" s="2">
        <f>IF(OR(AP45="",AO45=""),0,--(AP45&lt;&gt;AO45))</f>
        <v>0</v>
      </c>
      <c r="AQ75" s="2">
        <f>IF(OR(AQ45="",AP45=""),0,--(AQ45&lt;&gt;AP45))</f>
        <v>0</v>
      </c>
      <c r="AR75" s="2">
        <f>IF(OR(AR45="",AQ45=""),0,--(AR45&lt;&gt;AQ45))</f>
        <v>0</v>
      </c>
      <c r="AS75" s="2">
        <f>IF(OR(AS45="",AR45=""),0,--(AS45&lt;&gt;AR45))</f>
        <v>0</v>
      </c>
      <c r="AT75" s="2">
        <f>IF(OR(AT45="",AS45=""),0,--(AT45&lt;&gt;AS45))</f>
        <v>0</v>
      </c>
      <c r="AU75" s="2">
        <f>IF(OR(AU45="",AT45=""),0,--(AU45&lt;&gt;AT45))</f>
        <v>0</v>
      </c>
      <c r="AV75" s="2">
        <f>IF(OR(AV45="",AU45=""),0,--(AV45&lt;&gt;AU45))</f>
        <v>0</v>
      </c>
      <c r="AW75" s="2">
        <f>IF(OR(AW45="",AV45=""),0,--(AW45&lt;&gt;AV45))</f>
        <v>0</v>
      </c>
      <c r="AX75" s="2">
        <f>IF(OR(AX45="",AW45=""),0,--(AX45&lt;&gt;AW45))</f>
        <v>0</v>
      </c>
      <c r="AY75" s="2">
        <f>IF(OR(AY45="",AX45=""),0,--(AY45&lt;&gt;AX45))</f>
        <v>0</v>
      </c>
      <c r="AZ75" s="2">
        <f>IF(OR(AZ45="",AY45=""),0,--(AZ45&lt;&gt;AY45))</f>
        <v>0</v>
      </c>
      <c r="BA75" s="2">
        <f>IF(OR(BA45="",AZ45=""),0,--(BA45&lt;&gt;AZ45))</f>
        <v>0</v>
      </c>
      <c r="BB75" s="2">
        <f>IF(OR(BB45="",BA45=""),0,--(BB45&lt;&gt;BA45))</f>
        <v>0</v>
      </c>
      <c r="BC75" s="2">
        <f>IF(OR(BC45="",BB45=""),0,--(BC45&lt;&gt;BB45))</f>
        <v>0</v>
      </c>
      <c r="BD75" s="2">
        <f>IF(OR(BD45="",BC45=""),0,--(BD45&lt;&gt;BC45))</f>
        <v>0</v>
      </c>
      <c r="BE75" s="2">
        <f>IF(OR(BE45="",BD45=""),0,--(BE45&lt;&gt;BD45))</f>
        <v>0</v>
      </c>
      <c r="BF75" s="2">
        <f>IF(OR(BF45="",BE45=""),0,--(BF45&lt;&gt;BE45))</f>
        <v>0</v>
      </c>
      <c r="BG75" s="2">
        <f>IF(OR(BG45="",BF45=""),0,--(BG45&lt;&gt;BF45))</f>
        <v>0</v>
      </c>
      <c r="BH75" s="2">
        <f>IF(OR(BH45="",BG45=""),0,--(BH45&lt;&gt;BG45))</f>
        <v>0</v>
      </c>
      <c r="BI75" s="2">
        <f>IF(OR(BI45="",BH45=""),0,--(BI45&lt;&gt;BH45))</f>
        <v>0</v>
      </c>
      <c r="BJ75" s="2">
        <f>IF(OR(BJ45="",BI45=""),0,--(BJ45&lt;&gt;BI45))</f>
        <v>0</v>
      </c>
      <c r="BK75" s="2">
        <f>IF(OR(BK45="",BJ45=""),0,--(BK45&lt;&gt;BJ45))</f>
        <v>0</v>
      </c>
      <c r="BL75" s="2">
        <f>IF(OR(BL45="",BK45=""),0,--(BL45&lt;&gt;BK45))</f>
        <v>0</v>
      </c>
      <c r="BM75" s="2">
        <f>IF(OR(BM45="",BL45=""),0,--(BM45&lt;&gt;BL45))</f>
        <v>0</v>
      </c>
      <c r="BN75" s="2">
        <f>IF(OR(BN45="",BM45=""),0,--(BN45&lt;&gt;BM45))</f>
        <v>0</v>
      </c>
      <c r="BO75" s="2">
        <f>IF(OR(BO45="",BN45=""),0,--(BO45&lt;&gt;BN45))</f>
        <v>0</v>
      </c>
      <c r="BP75" s="2">
        <f>IF(OR(BP45="",BO45=""),0,--(BP45&lt;&gt;BO45))</f>
        <v>0</v>
      </c>
      <c r="BQ75" s="2">
        <f>IF(OR(BQ45="",BP45=""),0,--(BQ45&lt;&gt;BP45))</f>
        <v>0</v>
      </c>
      <c r="BR75" s="2">
        <f>IF(OR(BR45="",BQ45=""),0,--(BR45&lt;&gt;BQ45))</f>
        <v>0</v>
      </c>
      <c r="BS75" s="2">
        <f>IF(OR(BS45="",BR45=""),0,--(BS45&lt;&gt;BR45))</f>
        <v>0</v>
      </c>
      <c r="BT75" s="2">
        <f>IF(OR(BT45="",BS45=""),0,--(BT45&lt;&gt;BS45))</f>
        <v>1</v>
      </c>
      <c r="BU75" s="2">
        <f>IF(OR(BU45="",BT45=""),0,--(BU45&lt;&gt;BT45))</f>
        <v>0</v>
      </c>
      <c r="BV75" s="2">
        <f>IF(OR(BV45="",BU45=""),0,--(BV45&lt;&gt;BU45))</f>
        <v>0</v>
      </c>
      <c r="BW75" s="2">
        <f>IF(OR(BW45="",BV45=""),0,--(BW45&lt;&gt;BV45))</f>
        <v>0</v>
      </c>
      <c r="BX75" s="2">
        <f>IF(OR(BX45="",BW45=""),0,--(BX45&lt;&gt;BW45))</f>
        <v>0</v>
      </c>
      <c r="BY75" s="2">
        <f>IF(OR(BY45="",BX45=""),0,--(BY45&lt;&gt;BX45))</f>
        <v>0</v>
      </c>
      <c r="BZ75" s="2">
        <f>IF(OR(BZ45="",BY45=""),0,--(BZ45&lt;&gt;BY45))</f>
        <v>0</v>
      </c>
      <c r="CA75" s="2">
        <f>IF(OR(CA45="",BZ45=""),0,--(CA45&lt;&gt;BZ45))</f>
        <v>0</v>
      </c>
      <c r="CB75" s="2">
        <f>IF(OR(CB45="",CA45=""),0,--(CB45&lt;&gt;CA45))</f>
        <v>0</v>
      </c>
      <c r="CC75" s="2">
        <f>IF(OR(CC45="",CB45=""),0,--(CC45&lt;&gt;CB45))</f>
        <v>0</v>
      </c>
      <c r="CD75" s="2">
        <f>IF(OR(CD45="",CC45=""),0,--(CD45&lt;&gt;CC45))</f>
        <v>0</v>
      </c>
      <c r="CE75" s="2">
        <f>IF(OR(CE45="",CD45=""),0,--(CE45&lt;&gt;CD45))</f>
        <v>0</v>
      </c>
      <c r="CF75" s="2">
        <f>IF(OR(CF45="",CE45=""),0,--(CF45&lt;&gt;CE45))</f>
        <v>0</v>
      </c>
      <c r="CG75" s="2">
        <f>IF(OR(CG45="",CF45=""),0,--(CG45&lt;&gt;CF45))</f>
        <v>0</v>
      </c>
      <c r="CH75" s="2">
        <f>IF(OR(CH45="",CG45=""),0,--(CH45&lt;&gt;CG45))</f>
        <v>0</v>
      </c>
      <c r="CI75" s="2">
        <f>IF(OR(CI45="",CH45=""),0,--(CI45&lt;&gt;CH45))</f>
        <v>0</v>
      </c>
      <c r="CJ75" s="2">
        <f>IF(OR(CJ45="",CI45=""),0,--(CJ45&lt;&gt;CI45))</f>
        <v>0</v>
      </c>
      <c r="CK75" s="2">
        <f>IF(OR(CK45="",CJ45=""),0,--(CK45&lt;&gt;CJ45))</f>
        <v>0</v>
      </c>
      <c r="CL75" s="2">
        <f>IF(OR(CL45="",CK45=""),0,--(CL45&lt;&gt;CK45))</f>
        <v>0</v>
      </c>
      <c r="CM75" s="2">
        <f>IF(OR(CM45="",CL45=""),0,--(CM45&lt;&gt;CL45))</f>
        <v>0</v>
      </c>
      <c r="CN75" s="2">
        <f>IF(OR(CN45="",CM45=""),0,--(CN45&lt;&gt;CM45))</f>
        <v>0</v>
      </c>
      <c r="CO75" s="2">
        <f>IF(OR(CO45="",CN45=""),0,--(CO45&lt;&gt;CN45))</f>
        <v>0</v>
      </c>
      <c r="CP75" s="2">
        <f>IF(OR(CP45="",CO45=""),0,--(CP45&lt;&gt;CO45))</f>
        <v>0</v>
      </c>
      <c r="CQ75" s="2">
        <f>IF(OR(CQ45="",CP45=""),0,--(CQ45&lt;&gt;CP45))</f>
        <v>0</v>
      </c>
      <c r="CR75" s="2">
        <f>IF(OR(CR45="",CQ45=""),0,--(CR45&lt;&gt;CQ45))</f>
        <v>0</v>
      </c>
      <c r="CS75" s="2">
        <f>IF(OR(CS45="",CR45=""),0,--(CS45&lt;&gt;CR45))</f>
        <v>0</v>
      </c>
      <c r="CT75" s="2">
        <f>IF(OR(CT45="",CS45=""),0,--(CT45&lt;&gt;CS45))</f>
        <v>0</v>
      </c>
      <c r="CU75" s="2">
        <f>IF(OR(CU45="",CT45=""),0,--(CU45&lt;&gt;CT45))</f>
        <v>0</v>
      </c>
      <c r="CV75" s="2">
        <f>IF(OR(CV45="",CU45=""),0,--(CV45&lt;&gt;CU45))</f>
        <v>0</v>
      </c>
      <c r="CW75" s="2">
        <f>IF(OR(CW45="",CV45=""),0,--(CW45&lt;&gt;CV45))</f>
        <v>0</v>
      </c>
      <c r="CX75" s="2">
        <f>IF(OR(CX45="",CW45=""),0,--(CX45&lt;&gt;CW45))</f>
        <v>0</v>
      </c>
      <c r="CY75" s="2">
        <f>IF(OR(CY45="",CX45=""),0,--(CY45&lt;&gt;CX45))</f>
        <v>0</v>
      </c>
      <c r="CZ75" s="2">
        <f>IF(OR(CZ45="",CY45=""),0,--(CZ45&lt;&gt;CY45))</f>
        <v>0</v>
      </c>
      <c r="DA75" s="2">
        <f>IF(OR(DA45="",CZ45=""),0,--(DA45&lt;&gt;CZ45))</f>
        <v>0</v>
      </c>
      <c r="DB75" s="2">
        <f>IF(OR(DB45="",DA45=""),0,--(DB45&lt;&gt;DA45))</f>
        <v>0</v>
      </c>
      <c r="DC75" s="2">
        <f>IF(OR(DC45="",DB45=""),0,--(DC45&lt;&gt;DB45))</f>
        <v>0</v>
      </c>
      <c r="DD75" s="2">
        <f>IF(OR(DD45="",DC45=""),0,--(DD45&lt;&gt;DC45))</f>
        <v>0</v>
      </c>
      <c r="DE75" s="2">
        <f>IF(OR(DE45="",DD45=""),0,--(DE45&lt;&gt;DD45))</f>
        <v>0</v>
      </c>
      <c r="DF75" s="2">
        <f>IF(OR(DF45="",DE45=""),0,--(DF45&lt;&gt;DE45))</f>
        <v>0</v>
      </c>
      <c r="DG75" s="2">
        <f>IF(OR(DG45="",DF45=""),0,--(DG45&lt;&gt;DF45))</f>
        <v>0</v>
      </c>
      <c r="DH75" s="2">
        <f>IF(OR(DH45="",DG45=""),0,--(DH45&lt;&gt;DG45))</f>
        <v>0</v>
      </c>
      <c r="DI75" s="2">
        <f>IF(OR(DI45="",DH45=""),0,--(DI45&lt;&gt;DH45))</f>
        <v>0</v>
      </c>
      <c r="DJ75" s="2">
        <f>IF(OR(DJ45="",DI45=""),0,--(DJ45&lt;&gt;DI45))</f>
        <v>0</v>
      </c>
      <c r="DK75" s="2">
        <f>IF(OR(DK45="",DJ45=""),0,--(DK45&lt;&gt;DJ45))</f>
        <v>0</v>
      </c>
      <c r="DL75" s="2">
        <f>IF(OR(DL45="",DK45=""),0,--(DL45&lt;&gt;DK45))</f>
        <v>0</v>
      </c>
      <c r="DM75" s="2">
        <f>IF(OR(DM45="",DL45=""),0,--(DM45&lt;&gt;DL45))</f>
        <v>0</v>
      </c>
      <c r="DN75" s="2">
        <f>IF(OR(DN45="",DM45=""),0,--(DN45&lt;&gt;DM45))</f>
        <v>0</v>
      </c>
      <c r="DO75" s="2">
        <f>IF(OR(DO45="",DN45=""),0,--(DO45&lt;&gt;DN45))</f>
        <v>0</v>
      </c>
      <c r="DP75" s="2">
        <f>IF(OR(DP45="",DO45=""),0,--(DP45&lt;&gt;DO45))</f>
        <v>0</v>
      </c>
      <c r="DQ75" s="2">
        <f>IF(OR(DQ45="",DP45=""),0,--(DQ45&lt;&gt;DP45))</f>
        <v>0</v>
      </c>
      <c r="DR75" s="2">
        <f>IF(OR(DR45="",DQ45=""),0,--(DR45&lt;&gt;DQ45))</f>
        <v>0</v>
      </c>
      <c r="DS75" s="2">
        <f>IF(OR(DS45="",DR45=""),0,--(DS45&lt;&gt;DR45))</f>
        <v>0</v>
      </c>
      <c r="DT75" s="2">
        <f>IF(OR(DT45="",DS45=""),0,--(DT45&lt;&gt;DS45))</f>
        <v>0</v>
      </c>
      <c r="DU75" s="2">
        <f>IF(OR(DU45="",DT45=""),0,--(DU45&lt;&gt;DT45))</f>
        <v>0</v>
      </c>
      <c r="DV75" s="2">
        <f>IF(OR(DV45="",DU45=""),0,--(DV45&lt;&gt;DU45))</f>
        <v>0</v>
      </c>
      <c r="DW75" s="2">
        <f>IF(OR(DW45="",DV45=""),0,--(DW45&lt;&gt;DV45))</f>
        <v>0</v>
      </c>
      <c r="DX75" s="2">
        <f>IF(OR(DX45="",DW45=""),0,--(DX45&lt;&gt;DW45))</f>
        <v>0</v>
      </c>
      <c r="DY75" s="2">
        <f>IF(OR(DY45="",DX45=""),0,--(DY45&lt;&gt;DX45))</f>
        <v>0</v>
      </c>
      <c r="DZ75" s="2">
        <f>IF(OR(DZ45="",DY45=""),0,--(DZ45&lt;&gt;DY45))</f>
        <v>0</v>
      </c>
      <c r="EA75" s="2">
        <f>IF(OR(EA45="",DZ45=""),0,--(EA45&lt;&gt;DZ45))</f>
        <v>0</v>
      </c>
      <c r="EB75" s="2">
        <f>IF(OR(EB45="",EA45=""),0,--(EB45&lt;&gt;EA45))</f>
        <v>0</v>
      </c>
      <c r="EC75" s="2">
        <f>IF(OR(EC45="",EB45=""),0,--(EC45&lt;&gt;EB45))</f>
        <v>0</v>
      </c>
      <c r="ED75" s="2">
        <f>IF(OR(ED45="",EC45=""),0,--(ED45&lt;&gt;EC45))</f>
        <v>0</v>
      </c>
      <c r="EE75" s="2">
        <f>IF(OR(EE45="",ED45=""),0,--(EE45&lt;&gt;ED45))</f>
        <v>0</v>
      </c>
      <c r="EF75" s="2">
        <f>IF(OR(EF45="",EE45=""),0,--(EF45&lt;&gt;EE45))</f>
        <v>0</v>
      </c>
      <c r="EG75" s="2">
        <f>IF(OR(EG45="",EF45=""),0,--(EG45&lt;&gt;EF45))</f>
        <v>0</v>
      </c>
      <c r="EH75" s="2">
        <f>IF(OR(EH45="",EG45=""),0,--(EH45&lt;&gt;EG45))</f>
        <v>0</v>
      </c>
      <c r="EI75" s="2">
        <f>IF(OR(EI45="",EH45=""),0,--(EI45&lt;&gt;EH45))</f>
        <v>0</v>
      </c>
      <c r="EJ75" s="2">
        <f>IF(OR(EJ45="",EI45=""),0,--(EJ45&lt;&gt;EI45))</f>
        <v>0</v>
      </c>
      <c r="EK75" s="2">
        <f>IF(OR(EK45="",EJ45=""),0,--(EK45&lt;&gt;EJ45))</f>
        <v>0</v>
      </c>
      <c r="EL75" s="2">
        <f>IF(OR(EL45="",EK45=""),0,--(EL45&lt;&gt;EK45))</f>
        <v>0</v>
      </c>
      <c r="EM75" s="2">
        <f>IF(OR(EM45="",EL45=""),0,--(EM45&lt;&gt;EL45))</f>
        <v>0</v>
      </c>
      <c r="EN75" s="2">
        <f>IF(OR(EN45="",EM45=""),0,--(EN45&lt;&gt;EM45))</f>
        <v>0</v>
      </c>
      <c r="EO75" s="2">
        <f>IF(OR(EO45="",EN45=""),0,--(EO45&lt;&gt;EN45))</f>
        <v>0</v>
      </c>
      <c r="EP75" s="2">
        <f>IF(OR(EP45="",EO45=""),0,--(EP45&lt;&gt;EO45))</f>
        <v>0</v>
      </c>
      <c r="EQ75" s="2">
        <f>IF(OR(EQ45="",EP45=""),0,--(EQ45&lt;&gt;EP45))</f>
        <v>0</v>
      </c>
      <c r="ER75" s="2">
        <f>IF(OR(ER45="",EQ45=""),0,--(ER45&lt;&gt;EQ45))</f>
        <v>0</v>
      </c>
      <c r="ES75" s="2">
        <f>IF(OR(ES45="",ER45=""),0,--(ES45&lt;&gt;ER45))</f>
        <v>0</v>
      </c>
      <c r="ET75" s="2">
        <f>IF(OR(ET45="",ES45=""),0,--(ET45&lt;&gt;ES45))</f>
        <v>0</v>
      </c>
      <c r="EU75" s="2">
        <f>IF(OR(EU45="",ET45=""),0,--(EU45&lt;&gt;ET45))</f>
        <v>0</v>
      </c>
      <c r="EV75" s="2">
        <f>IF(OR(EV45="",EU45=""),0,--(EV45&lt;&gt;EU45))</f>
        <v>0</v>
      </c>
      <c r="EW75" s="2">
        <f>IF(OR(EW45="",EV45=""),0,--(EW45&lt;&gt;EV45))</f>
        <v>0</v>
      </c>
      <c r="EX75" s="2">
        <f>IF(OR(EX45="",EW45=""),0,--(EX45&lt;&gt;EW45))</f>
        <v>0</v>
      </c>
      <c r="EY75" s="2">
        <f>IF(OR(EY45="",EX45=""),0,--(EY45&lt;&gt;EX45))</f>
        <v>0</v>
      </c>
      <c r="EZ75" s="2">
        <f>IF(OR(EZ45="",EY45=""),0,--(EZ45&lt;&gt;EY45))</f>
        <v>0</v>
      </c>
      <c r="FA75" s="2">
        <f>IF(OR(FA45="",EZ45=""),0,--(FA45&lt;&gt;EZ45))</f>
        <v>0</v>
      </c>
      <c r="FB75" s="2">
        <f>IF(OR(FB45="",FA45=""),0,--(FB45&lt;&gt;FA45))</f>
        <v>0</v>
      </c>
      <c r="FC75" s="2">
        <f>IF(OR(FC45="",FB45=""),0,--(FC45&lt;&gt;FB45))</f>
        <v>0</v>
      </c>
      <c r="FD75" s="2">
        <f>IF(OR(FD45="",FC45=""),0,--(FD45&lt;&gt;FC45))</f>
        <v>0</v>
      </c>
      <c r="FE75" s="2">
        <f>IF(OR(FE45="",FD45=""),0,--(FE45&lt;&gt;FD45))</f>
        <v>0</v>
      </c>
      <c r="FF75" s="2">
        <f>IF(OR(FF45="",FE45=""),0,--(FF45&lt;&gt;FE45))</f>
        <v>0</v>
      </c>
      <c r="FG75" s="2">
        <f>IF(OR(FG45="",FF45=""),0,--(FG45&lt;&gt;FF45))</f>
        <v>0</v>
      </c>
      <c r="FH75" s="2">
        <f>IF(OR(FH45="",FG45=""),0,--(FH45&lt;&gt;FG45))</f>
        <v>0</v>
      </c>
      <c r="FI75" s="2">
        <f>IF(OR(FI45="",FH45=""),0,--(FI45&lt;&gt;FH45))</f>
        <v>0</v>
      </c>
      <c r="FJ75" s="2">
        <f>IF(OR(FJ45="",FI45=""),0,--(FJ45&lt;&gt;FI45))</f>
        <v>0</v>
      </c>
      <c r="FK75" s="2">
        <f>IF(OR(FK45="",FJ45=""),0,--(FK45&lt;&gt;FJ45))</f>
        <v>0</v>
      </c>
      <c r="FL75" s="2">
        <f>IF(OR(FL45="",FK45=""),0,--(FL45&lt;&gt;FK45))</f>
        <v>0</v>
      </c>
      <c r="FM75" s="2">
        <f>IF(OR(FM45="",FL45=""),0,--(FM45&lt;&gt;FL45))</f>
        <v>0</v>
      </c>
      <c r="FN75" s="2">
        <f>IF(OR(FN45="",FM45=""),0,--(FN45&lt;&gt;FM45))</f>
        <v>0</v>
      </c>
      <c r="FO75" s="2">
        <f>IF(OR(FO45="",FN45=""),0,--(FO45&lt;&gt;FN45))</f>
        <v>0</v>
      </c>
      <c r="FP75" s="2">
        <f>IF(OR(FP45="",FO45=""),0,--(FP45&lt;&gt;FO45))</f>
        <v>0</v>
      </c>
      <c r="FQ75" s="2">
        <f>IF(OR(FQ45="",FP45=""),0,--(FQ45&lt;&gt;FP45))</f>
        <v>0</v>
      </c>
      <c r="FR75" s="2">
        <f>IF(OR(FR45="",FQ45=""),0,--(FR45&lt;&gt;FQ45))</f>
        <v>0</v>
      </c>
      <c r="FS75" s="2">
        <f>IF(OR(FS45="",FR45=""),0,--(FS45&lt;&gt;FR45))</f>
        <v>0</v>
      </c>
      <c r="FT75" s="2">
        <f>IF(OR(FT45="",FS45=""),0,--(FT45&lt;&gt;FS45))</f>
        <v>0</v>
      </c>
      <c r="FU75" s="2">
        <f>IF(OR(FU45="",FT45=""),0,--(FU45&lt;&gt;FT45))</f>
        <v>0</v>
      </c>
      <c r="FV75" s="2">
        <f>IF(OR(FV45="",FU45=""),0,--(FV45&lt;&gt;FU45))</f>
        <v>0</v>
      </c>
      <c r="FW75" s="2">
        <f>IF(OR(FW45="",FV45=""),0,--(FW45&lt;&gt;FV45))</f>
        <v>0</v>
      </c>
      <c r="FX75" s="2">
        <f>IF(OR(FX45="",FW45=""),0,--(FX45&lt;&gt;FW45))</f>
        <v>0</v>
      </c>
      <c r="FY75" s="2">
        <f>IF(OR(FY45="",FX45=""),0,--(FY45&lt;&gt;FX45))</f>
        <v>0</v>
      </c>
      <c r="FZ75" s="2">
        <f>IF(OR(FZ45="",FY45=""),0,--(FZ45&lt;&gt;FY45))</f>
        <v>0</v>
      </c>
      <c r="GA75" s="2">
        <f>IF(OR(GA45="",FZ45=""),0,--(GA45&lt;&gt;FZ45))</f>
        <v>0</v>
      </c>
      <c r="GB75" s="2">
        <f>IF(OR(GB45="",GA45=""),0,--(GB45&lt;&gt;GA45))</f>
        <v>0</v>
      </c>
      <c r="GC75" s="2">
        <f>IF(OR(GC45="",GB45=""),0,--(GC45&lt;&gt;GB45))</f>
        <v>0</v>
      </c>
      <c r="GD75" s="2">
        <f>IF(OR(GD45="",GC45=""),0,--(GD45&lt;&gt;GC45))</f>
        <v>0</v>
      </c>
      <c r="GE75" s="2">
        <f>IF(OR(GE45="",GD45=""),0,--(GE45&lt;&gt;GD45))</f>
        <v>0</v>
      </c>
      <c r="GF75" s="2">
        <f>IF(OR(GF45="",GE45=""),0,--(GF45&lt;&gt;GE45))</f>
        <v>0</v>
      </c>
      <c r="GG75" s="2">
        <f>IF(OR(GG45="",GF45=""),0,--(GG45&lt;&gt;GF45))</f>
        <v>0</v>
      </c>
      <c r="GH75" s="2">
        <f>IF(OR(GH45="",GG45=""),0,--(GH45&lt;&gt;GG45))</f>
        <v>0</v>
      </c>
      <c r="GI75" s="2">
        <f>IF(OR(GI45="",GH45=""),0,--(GI45&lt;&gt;GH45))</f>
        <v>0</v>
      </c>
      <c r="GJ75" s="2">
        <f>IF(OR(GJ45="",GI45=""),0,--(GJ45&lt;&gt;GI45))</f>
        <v>0</v>
      </c>
      <c r="GK75" s="2">
        <f>IF(OR(GK45="",GJ45=""),0,--(GK45&lt;&gt;GJ45))</f>
        <v>0</v>
      </c>
      <c r="GL75" s="2">
        <f>IF(OR(GL45="",GK45=""),0,--(GL45&lt;&gt;GK45))</f>
        <v>0</v>
      </c>
      <c r="GM75" s="2">
        <f>IF(OR(GM45="",GL45=""),0,--(GM45&lt;&gt;GL45))</f>
        <v>0</v>
      </c>
      <c r="GN75" s="2">
        <f>IF(OR(GN45="",GM45=""),0,--(GN45&lt;&gt;GM45))</f>
        <v>0</v>
      </c>
      <c r="GO75" s="2">
        <f>IF(OR(GO45="",GN45=""),0,--(GO45&lt;&gt;GN45))</f>
        <v>0</v>
      </c>
      <c r="GP75" s="2">
        <f>IF(OR(GP45="",GO45=""),0,--(GP45&lt;&gt;GO45))</f>
        <v>0</v>
      </c>
      <c r="GQ75" s="2">
        <f>IF(OR(GQ45="",GP45=""),0,--(GQ45&lt;&gt;GP45))</f>
        <v>0</v>
      </c>
      <c r="GR75" s="2">
        <f>IF(OR(GR45="",GQ45=""),0,--(GR45&lt;&gt;GQ45))</f>
        <v>0</v>
      </c>
      <c r="GS75" s="2">
        <f>IF(OR(GS45="",GR45=""),0,--(GS45&lt;&gt;GR45))</f>
        <v>0</v>
      </c>
      <c r="GY75" s="15">
        <f>SUM($B75:$DB75)</f>
        <v>1</v>
      </c>
    </row>
    <row r="76" spans="1:207">
      <c r="A76" s="2">
        <f>$A46</f>
        <v>11</v>
      </c>
      <c r="B76" s="2">
        <f>0</f>
        <v>0</v>
      </c>
      <c r="C76" s="2">
        <f>IF(OR(C46="",B46=""),0,--(C46&lt;&gt;B46))</f>
        <v>0</v>
      </c>
      <c r="D76" s="2">
        <f>IF(OR(D46="",C46=""),0,--(D46&lt;&gt;C46))</f>
        <v>0</v>
      </c>
      <c r="E76" s="2">
        <f>IF(OR(E46="",D46=""),0,--(E46&lt;&gt;D46))</f>
        <v>0</v>
      </c>
      <c r="F76" s="2">
        <f>IF(OR(F46="",E46=""),0,--(F46&lt;&gt;E46))</f>
        <v>0</v>
      </c>
      <c r="G76" s="2">
        <f>IF(OR(G46="",F46=""),0,--(G46&lt;&gt;F46))</f>
        <v>0</v>
      </c>
      <c r="H76" s="2">
        <f>IF(OR(H46="",G46=""),0,--(H46&lt;&gt;G46))</f>
        <v>0</v>
      </c>
      <c r="I76" s="2">
        <f>IF(OR(I46="",H46=""),0,--(I46&lt;&gt;H46))</f>
        <v>0</v>
      </c>
      <c r="J76" s="2">
        <f>IF(OR(J46="",I46=""),0,--(J46&lt;&gt;I46))</f>
        <v>0</v>
      </c>
      <c r="K76" s="2">
        <f>IF(OR(K46="",J46=""),0,--(K46&lt;&gt;J46))</f>
        <v>0</v>
      </c>
      <c r="L76" s="2">
        <f>IF(OR(L46="",K46=""),0,--(L46&lt;&gt;K46))</f>
        <v>0</v>
      </c>
      <c r="M76" s="2">
        <f>IF(OR(M46="",L46=""),0,--(M46&lt;&gt;L46))</f>
        <v>0</v>
      </c>
      <c r="N76" s="2">
        <f>IF(OR(N46="",M46=""),0,--(N46&lt;&gt;M46))</f>
        <v>0</v>
      </c>
      <c r="O76" s="2">
        <f>IF(OR(O46="",N46=""),0,--(O46&lt;&gt;N46))</f>
        <v>0</v>
      </c>
      <c r="P76" s="2">
        <f>IF(OR(P46="",O46=""),0,--(P46&lt;&gt;O46))</f>
        <v>0</v>
      </c>
      <c r="Q76" s="2">
        <f>IF(OR(Q46="",P46=""),0,--(Q46&lt;&gt;P46))</f>
        <v>0</v>
      </c>
      <c r="R76" s="2">
        <f>IF(OR(R46="",Q46=""),0,--(R46&lt;&gt;Q46))</f>
        <v>0</v>
      </c>
      <c r="S76" s="2">
        <f>IF(OR(S46="",R46=""),0,--(S46&lt;&gt;R46))</f>
        <v>0</v>
      </c>
      <c r="T76" s="2">
        <f>IF(OR(T46="",S46=""),0,--(T46&lt;&gt;S46))</f>
        <v>0</v>
      </c>
      <c r="U76" s="2">
        <f>IF(OR(U46="",T46=""),0,--(U46&lt;&gt;T46))</f>
        <v>0</v>
      </c>
      <c r="V76" s="2">
        <f>IF(OR(V46="",U46=""),0,--(V46&lt;&gt;U46))</f>
        <v>0</v>
      </c>
      <c r="W76" s="2">
        <f>IF(OR(W46="",V46=""),0,--(W46&lt;&gt;V46))</f>
        <v>0</v>
      </c>
      <c r="X76" s="2">
        <f>IF(OR(X46="",W46=""),0,--(X46&lt;&gt;W46))</f>
        <v>0</v>
      </c>
      <c r="Y76" s="2">
        <f>IF(OR(Y46="",X46=""),0,--(Y46&lt;&gt;X46))</f>
        <v>0</v>
      </c>
      <c r="Z76" s="2">
        <f>IF(OR(Z46="",Y46=""),0,--(Z46&lt;&gt;Y46))</f>
        <v>0</v>
      </c>
      <c r="AA76" s="2">
        <f>IF(OR(AA46="",Z46=""),0,--(AA46&lt;&gt;Z46))</f>
        <v>0</v>
      </c>
      <c r="AB76" s="2">
        <f>IF(OR(AB46="",AA46=""),0,--(AB46&lt;&gt;AA46))</f>
        <v>0</v>
      </c>
      <c r="AC76" s="2">
        <f>IF(OR(AC46="",AB46=""),0,--(AC46&lt;&gt;AB46))</f>
        <v>0</v>
      </c>
      <c r="AD76" s="2">
        <f>IF(OR(AD46="",AC46=""),0,--(AD46&lt;&gt;AC46))</f>
        <v>0</v>
      </c>
      <c r="AE76" s="2">
        <f>IF(OR(AE46="",AD46=""),0,--(AE46&lt;&gt;AD46))</f>
        <v>0</v>
      </c>
      <c r="AF76" s="2">
        <f>IF(OR(AF46="",AE46=""),0,--(AF46&lt;&gt;AE46))</f>
        <v>0</v>
      </c>
      <c r="AG76" s="2">
        <f>IF(OR(AG46="",AF46=""),0,--(AG46&lt;&gt;AF46))</f>
        <v>0</v>
      </c>
      <c r="AH76" s="2">
        <f>IF(OR(AH46="",AG46=""),0,--(AH46&lt;&gt;AG46))</f>
        <v>0</v>
      </c>
      <c r="AI76" s="2">
        <f>IF(OR(AI46="",AH46=""),0,--(AI46&lt;&gt;AH46))</f>
        <v>0</v>
      </c>
      <c r="AJ76" s="2">
        <f>IF(OR(AJ46="",AI46=""),0,--(AJ46&lt;&gt;AI46))</f>
        <v>0</v>
      </c>
      <c r="AK76" s="2">
        <f>IF(OR(AK46="",AJ46=""),0,--(AK46&lt;&gt;AJ46))</f>
        <v>0</v>
      </c>
      <c r="AL76" s="2">
        <f>IF(OR(AL46="",AK46=""),0,--(AL46&lt;&gt;AK46))</f>
        <v>0</v>
      </c>
      <c r="AM76" s="2">
        <f>IF(OR(AM46="",AL46=""),0,--(AM46&lt;&gt;AL46))</f>
        <v>0</v>
      </c>
      <c r="AN76" s="2">
        <f>IF(OR(AN46="",AM46=""),0,--(AN46&lt;&gt;AM46))</f>
        <v>0</v>
      </c>
      <c r="AO76" s="2">
        <f>IF(OR(AO46="",AN46=""),0,--(AO46&lt;&gt;AN46))</f>
        <v>0</v>
      </c>
      <c r="AP76" s="2">
        <f>IF(OR(AP46="",AO46=""),0,--(AP46&lt;&gt;AO46))</f>
        <v>0</v>
      </c>
      <c r="AQ76" s="2">
        <f>IF(OR(AQ46="",AP46=""),0,--(AQ46&lt;&gt;AP46))</f>
        <v>0</v>
      </c>
      <c r="AR76" s="2">
        <f>IF(OR(AR46="",AQ46=""),0,--(AR46&lt;&gt;AQ46))</f>
        <v>0</v>
      </c>
      <c r="AS76" s="2">
        <f>IF(OR(AS46="",AR46=""),0,--(AS46&lt;&gt;AR46))</f>
        <v>0</v>
      </c>
      <c r="AT76" s="2">
        <f>IF(OR(AT46="",AS46=""),0,--(AT46&lt;&gt;AS46))</f>
        <v>0</v>
      </c>
      <c r="AU76" s="2">
        <f>IF(OR(AU46="",AT46=""),0,--(AU46&lt;&gt;AT46))</f>
        <v>1</v>
      </c>
      <c r="AV76" s="2">
        <f>IF(OR(AV46="",AU46=""),0,--(AV46&lt;&gt;AU46))</f>
        <v>0</v>
      </c>
      <c r="AW76" s="2">
        <f>IF(OR(AW46="",AV46=""),0,--(AW46&lt;&gt;AV46))</f>
        <v>0</v>
      </c>
      <c r="AX76" s="2">
        <f>IF(OR(AX46="",AW46=""),0,--(AX46&lt;&gt;AW46))</f>
        <v>0</v>
      </c>
      <c r="AY76" s="2">
        <f>IF(OR(AY46="",AX46=""),0,--(AY46&lt;&gt;AX46))</f>
        <v>0</v>
      </c>
      <c r="AZ76" s="2">
        <f>IF(OR(AZ46="",AY46=""),0,--(AZ46&lt;&gt;AY46))</f>
        <v>0</v>
      </c>
      <c r="BA76" s="2">
        <f>IF(OR(BA46="",AZ46=""),0,--(BA46&lt;&gt;AZ46))</f>
        <v>0</v>
      </c>
      <c r="BB76" s="2">
        <f>IF(OR(BB46="",BA46=""),0,--(BB46&lt;&gt;BA46))</f>
        <v>0</v>
      </c>
      <c r="BC76" s="2">
        <f>IF(OR(BC46="",BB46=""),0,--(BC46&lt;&gt;BB46))</f>
        <v>0</v>
      </c>
      <c r="BD76" s="2">
        <f>IF(OR(BD46="",BC46=""),0,--(BD46&lt;&gt;BC46))</f>
        <v>0</v>
      </c>
      <c r="BE76" s="2">
        <f>IF(OR(BE46="",BD46=""),0,--(BE46&lt;&gt;BD46))</f>
        <v>0</v>
      </c>
      <c r="BF76" s="2">
        <f>IF(OR(BF46="",BE46=""),0,--(BF46&lt;&gt;BE46))</f>
        <v>0</v>
      </c>
      <c r="BG76" s="2">
        <f>IF(OR(BG46="",BF46=""),0,--(BG46&lt;&gt;BF46))</f>
        <v>0</v>
      </c>
      <c r="BH76" s="2">
        <f>IF(OR(BH46="",BG46=""),0,--(BH46&lt;&gt;BG46))</f>
        <v>0</v>
      </c>
      <c r="BI76" s="2">
        <f>IF(OR(BI46="",BH46=""),0,--(BI46&lt;&gt;BH46))</f>
        <v>0</v>
      </c>
      <c r="BJ76" s="2">
        <f>IF(OR(BJ46="",BI46=""),0,--(BJ46&lt;&gt;BI46))</f>
        <v>0</v>
      </c>
      <c r="BK76" s="2">
        <f>IF(OR(BK46="",BJ46=""),0,--(BK46&lt;&gt;BJ46))</f>
        <v>0</v>
      </c>
      <c r="BL76" s="2">
        <f>IF(OR(BL46="",BK46=""),0,--(BL46&lt;&gt;BK46))</f>
        <v>0</v>
      </c>
      <c r="BM76" s="2">
        <f>IF(OR(BM46="",BL46=""),0,--(BM46&lt;&gt;BL46))</f>
        <v>0</v>
      </c>
      <c r="BN76" s="2">
        <f>IF(OR(BN46="",BM46=""),0,--(BN46&lt;&gt;BM46))</f>
        <v>0</v>
      </c>
      <c r="BO76" s="2">
        <f>IF(OR(BO46="",BN46=""),0,--(BO46&lt;&gt;BN46))</f>
        <v>0</v>
      </c>
      <c r="BP76" s="2">
        <f>IF(OR(BP46="",BO46=""),0,--(BP46&lt;&gt;BO46))</f>
        <v>0</v>
      </c>
      <c r="BQ76" s="2">
        <f>IF(OR(BQ46="",BP46=""),0,--(BQ46&lt;&gt;BP46))</f>
        <v>0</v>
      </c>
      <c r="BR76" s="2">
        <f>IF(OR(BR46="",BQ46=""),0,--(BR46&lt;&gt;BQ46))</f>
        <v>0</v>
      </c>
      <c r="BS76" s="2">
        <f>IF(OR(BS46="",BR46=""),0,--(BS46&lt;&gt;BR46))</f>
        <v>0</v>
      </c>
      <c r="BT76" s="2">
        <f>IF(OR(BT46="",BS46=""),0,--(BT46&lt;&gt;BS46))</f>
        <v>0</v>
      </c>
      <c r="BU76" s="2">
        <f>IF(OR(BU46="",BT46=""),0,--(BU46&lt;&gt;BT46))</f>
        <v>0</v>
      </c>
      <c r="BV76" s="2">
        <f>IF(OR(BV46="",BU46=""),0,--(BV46&lt;&gt;BU46))</f>
        <v>0</v>
      </c>
      <c r="BW76" s="2">
        <f>IF(OR(BW46="",BV46=""),0,--(BW46&lt;&gt;BV46))</f>
        <v>0</v>
      </c>
      <c r="BX76" s="2">
        <f>IF(OR(BX46="",BW46=""),0,--(BX46&lt;&gt;BW46))</f>
        <v>0</v>
      </c>
      <c r="BY76" s="2">
        <f>IF(OR(BY46="",BX46=""),0,--(BY46&lt;&gt;BX46))</f>
        <v>0</v>
      </c>
      <c r="BZ76" s="2">
        <f>IF(OR(BZ46="",BY46=""),0,--(BZ46&lt;&gt;BY46))</f>
        <v>1</v>
      </c>
      <c r="CA76" s="2">
        <f>IF(OR(CA46="",BZ46=""),0,--(CA46&lt;&gt;BZ46))</f>
        <v>0</v>
      </c>
      <c r="CB76" s="2">
        <f>IF(OR(CB46="",CA46=""),0,--(CB46&lt;&gt;CA46))</f>
        <v>0</v>
      </c>
      <c r="CC76" s="2">
        <f>IF(OR(CC46="",CB46=""),0,--(CC46&lt;&gt;CB46))</f>
        <v>0</v>
      </c>
      <c r="CD76" s="2">
        <f>IF(OR(CD46="",CC46=""),0,--(CD46&lt;&gt;CC46))</f>
        <v>0</v>
      </c>
      <c r="CE76" s="2">
        <f>IF(OR(CE46="",CD46=""),0,--(CE46&lt;&gt;CD46))</f>
        <v>0</v>
      </c>
      <c r="CF76" s="2">
        <f>IF(OR(CF46="",CE46=""),0,--(CF46&lt;&gt;CE46))</f>
        <v>0</v>
      </c>
      <c r="CG76" s="2">
        <f>IF(OR(CG46="",CF46=""),0,--(CG46&lt;&gt;CF46))</f>
        <v>0</v>
      </c>
      <c r="CH76" s="2">
        <f>IF(OR(CH46="",CG46=""),0,--(CH46&lt;&gt;CG46))</f>
        <v>0</v>
      </c>
      <c r="CI76" s="2">
        <f>IF(OR(CI46="",CH46=""),0,--(CI46&lt;&gt;CH46))</f>
        <v>0</v>
      </c>
      <c r="CJ76" s="2">
        <f>IF(OR(CJ46="",CI46=""),0,--(CJ46&lt;&gt;CI46))</f>
        <v>0</v>
      </c>
      <c r="CK76" s="2">
        <f>IF(OR(CK46="",CJ46=""),0,--(CK46&lt;&gt;CJ46))</f>
        <v>0</v>
      </c>
      <c r="CL76" s="2">
        <f>IF(OR(CL46="",CK46=""),0,--(CL46&lt;&gt;CK46))</f>
        <v>0</v>
      </c>
      <c r="CM76" s="2">
        <f>IF(OR(CM46="",CL46=""),0,--(CM46&lt;&gt;CL46))</f>
        <v>0</v>
      </c>
      <c r="CN76" s="2">
        <f>IF(OR(CN46="",CM46=""),0,--(CN46&lt;&gt;CM46))</f>
        <v>0</v>
      </c>
      <c r="CO76" s="2">
        <f>IF(OR(CO46="",CN46=""),0,--(CO46&lt;&gt;CN46))</f>
        <v>0</v>
      </c>
      <c r="CP76" s="2">
        <f>IF(OR(CP46="",CO46=""),0,--(CP46&lt;&gt;CO46))</f>
        <v>0</v>
      </c>
      <c r="CQ76" s="2">
        <f>IF(OR(CQ46="",CP46=""),0,--(CQ46&lt;&gt;CP46))</f>
        <v>0</v>
      </c>
      <c r="CR76" s="2">
        <f>IF(OR(CR46="",CQ46=""),0,--(CR46&lt;&gt;CQ46))</f>
        <v>0</v>
      </c>
      <c r="CS76" s="2">
        <f>IF(OR(CS46="",CR46=""),0,--(CS46&lt;&gt;CR46))</f>
        <v>0</v>
      </c>
      <c r="CT76" s="2">
        <f>IF(OR(CT46="",CS46=""),0,--(CT46&lt;&gt;CS46))</f>
        <v>0</v>
      </c>
      <c r="CU76" s="2">
        <f>IF(OR(CU46="",CT46=""),0,--(CU46&lt;&gt;CT46))</f>
        <v>0</v>
      </c>
      <c r="CV76" s="2">
        <f>IF(OR(CV46="",CU46=""),0,--(CV46&lt;&gt;CU46))</f>
        <v>0</v>
      </c>
      <c r="CW76" s="2">
        <f>IF(OR(CW46="",CV46=""),0,--(CW46&lt;&gt;CV46))</f>
        <v>0</v>
      </c>
      <c r="CX76" s="2">
        <f>IF(OR(CX46="",CW46=""),0,--(CX46&lt;&gt;CW46))</f>
        <v>0</v>
      </c>
      <c r="CY76" s="2">
        <f>IF(OR(CY46="",CX46=""),0,--(CY46&lt;&gt;CX46))</f>
        <v>0</v>
      </c>
      <c r="CZ76" s="2">
        <f>IF(OR(CZ46="",CY46=""),0,--(CZ46&lt;&gt;CY46))</f>
        <v>0</v>
      </c>
      <c r="DA76" s="2">
        <f>IF(OR(DA46="",CZ46=""),0,--(DA46&lt;&gt;CZ46))</f>
        <v>0</v>
      </c>
      <c r="DB76" s="2">
        <f>IF(OR(DB46="",DA46=""),0,--(DB46&lt;&gt;DA46))</f>
        <v>0</v>
      </c>
      <c r="DC76" s="2">
        <f>IF(OR(DC46="",DB46=""),0,--(DC46&lt;&gt;DB46))</f>
        <v>0</v>
      </c>
      <c r="DD76" s="2">
        <f>IF(OR(DD46="",DC46=""),0,--(DD46&lt;&gt;DC46))</f>
        <v>0</v>
      </c>
      <c r="DE76" s="2">
        <f>IF(OR(DE46="",DD46=""),0,--(DE46&lt;&gt;DD46))</f>
        <v>0</v>
      </c>
      <c r="DF76" s="2">
        <f>IF(OR(DF46="",DE46=""),0,--(DF46&lt;&gt;DE46))</f>
        <v>0</v>
      </c>
      <c r="DG76" s="2">
        <f>IF(OR(DG46="",DF46=""),0,--(DG46&lt;&gt;DF46))</f>
        <v>0</v>
      </c>
      <c r="DH76" s="2">
        <f>IF(OR(DH46="",DG46=""),0,--(DH46&lt;&gt;DG46))</f>
        <v>0</v>
      </c>
      <c r="DI76" s="2">
        <f>IF(OR(DI46="",DH46=""),0,--(DI46&lt;&gt;DH46))</f>
        <v>0</v>
      </c>
      <c r="DJ76" s="2">
        <f>IF(OR(DJ46="",DI46=""),0,--(DJ46&lt;&gt;DI46))</f>
        <v>0</v>
      </c>
      <c r="DK76" s="2">
        <f>IF(OR(DK46="",DJ46=""),0,--(DK46&lt;&gt;DJ46))</f>
        <v>0</v>
      </c>
      <c r="DL76" s="2">
        <f>IF(OR(DL46="",DK46=""),0,--(DL46&lt;&gt;DK46))</f>
        <v>0</v>
      </c>
      <c r="DM76" s="2">
        <f>IF(OR(DM46="",DL46=""),0,--(DM46&lt;&gt;DL46))</f>
        <v>0</v>
      </c>
      <c r="DN76" s="2">
        <f>IF(OR(DN46="",DM46=""),0,--(DN46&lt;&gt;DM46))</f>
        <v>0</v>
      </c>
      <c r="DO76" s="2">
        <f>IF(OR(DO46="",DN46=""),0,--(DO46&lt;&gt;DN46))</f>
        <v>0</v>
      </c>
      <c r="DP76" s="2">
        <f>IF(OR(DP46="",DO46=""),0,--(DP46&lt;&gt;DO46))</f>
        <v>0</v>
      </c>
      <c r="DQ76" s="2">
        <f>IF(OR(DQ46="",DP46=""),0,--(DQ46&lt;&gt;DP46))</f>
        <v>0</v>
      </c>
      <c r="DR76" s="2">
        <f>IF(OR(DR46="",DQ46=""),0,--(DR46&lt;&gt;DQ46))</f>
        <v>0</v>
      </c>
      <c r="DS76" s="2">
        <f>IF(OR(DS46="",DR46=""),0,--(DS46&lt;&gt;DR46))</f>
        <v>0</v>
      </c>
      <c r="DT76" s="2">
        <f>IF(OR(DT46="",DS46=""),0,--(DT46&lt;&gt;DS46))</f>
        <v>0</v>
      </c>
      <c r="DU76" s="2">
        <f>IF(OR(DU46="",DT46=""),0,--(DU46&lt;&gt;DT46))</f>
        <v>0</v>
      </c>
      <c r="DV76" s="2">
        <f>IF(OR(DV46="",DU46=""),0,--(DV46&lt;&gt;DU46))</f>
        <v>0</v>
      </c>
      <c r="DW76" s="2">
        <f>IF(OR(DW46="",DV46=""),0,--(DW46&lt;&gt;DV46))</f>
        <v>0</v>
      </c>
      <c r="DX76" s="2">
        <f>IF(OR(DX46="",DW46=""),0,--(DX46&lt;&gt;DW46))</f>
        <v>0</v>
      </c>
      <c r="DY76" s="2">
        <f>IF(OR(DY46="",DX46=""),0,--(DY46&lt;&gt;DX46))</f>
        <v>0</v>
      </c>
      <c r="DZ76" s="2">
        <f>IF(OR(DZ46="",DY46=""),0,--(DZ46&lt;&gt;DY46))</f>
        <v>0</v>
      </c>
      <c r="EA76" s="2">
        <f>IF(OR(EA46="",DZ46=""),0,--(EA46&lt;&gt;DZ46))</f>
        <v>0</v>
      </c>
      <c r="EB76" s="2">
        <f>IF(OR(EB46="",EA46=""),0,--(EB46&lt;&gt;EA46))</f>
        <v>0</v>
      </c>
      <c r="EC76" s="2">
        <f>IF(OR(EC46="",EB46=""),0,--(EC46&lt;&gt;EB46))</f>
        <v>0</v>
      </c>
      <c r="ED76" s="2">
        <f>IF(OR(ED46="",EC46=""),0,--(ED46&lt;&gt;EC46))</f>
        <v>0</v>
      </c>
      <c r="EE76" s="2">
        <f>IF(OR(EE46="",ED46=""),0,--(EE46&lt;&gt;ED46))</f>
        <v>0</v>
      </c>
      <c r="EF76" s="2">
        <f>IF(OR(EF46="",EE46=""),0,--(EF46&lt;&gt;EE46))</f>
        <v>0</v>
      </c>
      <c r="EG76" s="2">
        <f>IF(OR(EG46="",EF46=""),0,--(EG46&lt;&gt;EF46))</f>
        <v>0</v>
      </c>
      <c r="EH76" s="2">
        <f>IF(OR(EH46="",EG46=""),0,--(EH46&lt;&gt;EG46))</f>
        <v>0</v>
      </c>
      <c r="EI76" s="2">
        <f>IF(OR(EI46="",EH46=""),0,--(EI46&lt;&gt;EH46))</f>
        <v>0</v>
      </c>
      <c r="EJ76" s="2">
        <f>IF(OR(EJ46="",EI46=""),0,--(EJ46&lt;&gt;EI46))</f>
        <v>0</v>
      </c>
      <c r="EK76" s="2">
        <f>IF(OR(EK46="",EJ46=""),0,--(EK46&lt;&gt;EJ46))</f>
        <v>0</v>
      </c>
      <c r="EL76" s="2">
        <f>IF(OR(EL46="",EK46=""),0,--(EL46&lt;&gt;EK46))</f>
        <v>0</v>
      </c>
      <c r="EM76" s="2">
        <f>IF(OR(EM46="",EL46=""),0,--(EM46&lt;&gt;EL46))</f>
        <v>0</v>
      </c>
      <c r="EN76" s="2">
        <f>IF(OR(EN46="",EM46=""),0,--(EN46&lt;&gt;EM46))</f>
        <v>0</v>
      </c>
      <c r="EO76" s="2">
        <f>IF(OR(EO46="",EN46=""),0,--(EO46&lt;&gt;EN46))</f>
        <v>0</v>
      </c>
      <c r="EP76" s="2">
        <f>IF(OR(EP46="",EO46=""),0,--(EP46&lt;&gt;EO46))</f>
        <v>0</v>
      </c>
      <c r="EQ76" s="2">
        <f>IF(OR(EQ46="",EP46=""),0,--(EQ46&lt;&gt;EP46))</f>
        <v>0</v>
      </c>
      <c r="ER76" s="2">
        <f>IF(OR(ER46="",EQ46=""),0,--(ER46&lt;&gt;EQ46))</f>
        <v>0</v>
      </c>
      <c r="ES76" s="2">
        <f>IF(OR(ES46="",ER46=""),0,--(ES46&lt;&gt;ER46))</f>
        <v>0</v>
      </c>
      <c r="ET76" s="2">
        <f>IF(OR(ET46="",ES46=""),0,--(ET46&lt;&gt;ES46))</f>
        <v>0</v>
      </c>
      <c r="EU76" s="2">
        <f>IF(OR(EU46="",ET46=""),0,--(EU46&lt;&gt;ET46))</f>
        <v>0</v>
      </c>
      <c r="EV76" s="2">
        <f>IF(OR(EV46="",EU46=""),0,--(EV46&lt;&gt;EU46))</f>
        <v>0</v>
      </c>
      <c r="EW76" s="2">
        <f>IF(OR(EW46="",EV46=""),0,--(EW46&lt;&gt;EV46))</f>
        <v>0</v>
      </c>
      <c r="EX76" s="2">
        <f>IF(OR(EX46="",EW46=""),0,--(EX46&lt;&gt;EW46))</f>
        <v>0</v>
      </c>
      <c r="EY76" s="2">
        <f>IF(OR(EY46="",EX46=""),0,--(EY46&lt;&gt;EX46))</f>
        <v>0</v>
      </c>
      <c r="EZ76" s="2">
        <f>IF(OR(EZ46="",EY46=""),0,--(EZ46&lt;&gt;EY46))</f>
        <v>0</v>
      </c>
      <c r="FA76" s="2">
        <f>IF(OR(FA46="",EZ46=""),0,--(FA46&lt;&gt;EZ46))</f>
        <v>0</v>
      </c>
      <c r="FB76" s="2">
        <f>IF(OR(FB46="",FA46=""),0,--(FB46&lt;&gt;FA46))</f>
        <v>0</v>
      </c>
      <c r="FC76" s="2">
        <f>IF(OR(FC46="",FB46=""),0,--(FC46&lt;&gt;FB46))</f>
        <v>0</v>
      </c>
      <c r="FD76" s="2">
        <f>IF(OR(FD46="",FC46=""),0,--(FD46&lt;&gt;FC46))</f>
        <v>0</v>
      </c>
      <c r="FE76" s="2">
        <f>IF(OR(FE46="",FD46=""),0,--(FE46&lt;&gt;FD46))</f>
        <v>0</v>
      </c>
      <c r="FF76" s="2">
        <f>IF(OR(FF46="",FE46=""),0,--(FF46&lt;&gt;FE46))</f>
        <v>0</v>
      </c>
      <c r="FG76" s="2">
        <f>IF(OR(FG46="",FF46=""),0,--(FG46&lt;&gt;FF46))</f>
        <v>0</v>
      </c>
      <c r="FH76" s="2">
        <f>IF(OR(FH46="",FG46=""),0,--(FH46&lt;&gt;FG46))</f>
        <v>0</v>
      </c>
      <c r="FI76" s="2">
        <f>IF(OR(FI46="",FH46=""),0,--(FI46&lt;&gt;FH46))</f>
        <v>0</v>
      </c>
      <c r="FJ76" s="2">
        <f>IF(OR(FJ46="",FI46=""),0,--(FJ46&lt;&gt;FI46))</f>
        <v>0</v>
      </c>
      <c r="FK76" s="2">
        <f>IF(OR(FK46="",FJ46=""),0,--(FK46&lt;&gt;FJ46))</f>
        <v>0</v>
      </c>
      <c r="FL76" s="2">
        <f>IF(OR(FL46="",FK46=""),0,--(FL46&lt;&gt;FK46))</f>
        <v>0</v>
      </c>
      <c r="FM76" s="2">
        <f>IF(OR(FM46="",FL46=""),0,--(FM46&lt;&gt;FL46))</f>
        <v>0</v>
      </c>
      <c r="FN76" s="2">
        <f>IF(OR(FN46="",FM46=""),0,--(FN46&lt;&gt;FM46))</f>
        <v>0</v>
      </c>
      <c r="FO76" s="2">
        <f>IF(OR(FO46="",FN46=""),0,--(FO46&lt;&gt;FN46))</f>
        <v>0</v>
      </c>
      <c r="FP76" s="2">
        <f>IF(OR(FP46="",FO46=""),0,--(FP46&lt;&gt;FO46))</f>
        <v>0</v>
      </c>
      <c r="FQ76" s="2">
        <f>IF(OR(FQ46="",FP46=""),0,--(FQ46&lt;&gt;FP46))</f>
        <v>0</v>
      </c>
      <c r="FR76" s="2">
        <f>IF(OR(FR46="",FQ46=""),0,--(FR46&lt;&gt;FQ46))</f>
        <v>0</v>
      </c>
      <c r="FS76" s="2">
        <f>IF(OR(FS46="",FR46=""),0,--(FS46&lt;&gt;FR46))</f>
        <v>0</v>
      </c>
      <c r="FT76" s="2">
        <f>IF(OR(FT46="",FS46=""),0,--(FT46&lt;&gt;FS46))</f>
        <v>0</v>
      </c>
      <c r="FU76" s="2">
        <f>IF(OR(FU46="",FT46=""),0,--(FU46&lt;&gt;FT46))</f>
        <v>0</v>
      </c>
      <c r="FV76" s="2">
        <f>IF(OR(FV46="",FU46=""),0,--(FV46&lt;&gt;FU46))</f>
        <v>0</v>
      </c>
      <c r="FW76" s="2">
        <f>IF(OR(FW46="",FV46=""),0,--(FW46&lt;&gt;FV46))</f>
        <v>0</v>
      </c>
      <c r="FX76" s="2">
        <f>IF(OR(FX46="",FW46=""),0,--(FX46&lt;&gt;FW46))</f>
        <v>0</v>
      </c>
      <c r="FY76" s="2">
        <f>IF(OR(FY46="",FX46=""),0,--(FY46&lt;&gt;FX46))</f>
        <v>0</v>
      </c>
      <c r="FZ76" s="2">
        <f>IF(OR(FZ46="",FY46=""),0,--(FZ46&lt;&gt;FY46))</f>
        <v>0</v>
      </c>
      <c r="GA76" s="2">
        <f>IF(OR(GA46="",FZ46=""),0,--(GA46&lt;&gt;FZ46))</f>
        <v>0</v>
      </c>
      <c r="GB76" s="2">
        <f>IF(OR(GB46="",GA46=""),0,--(GB46&lt;&gt;GA46))</f>
        <v>0</v>
      </c>
      <c r="GC76" s="2">
        <f>IF(OR(GC46="",GB46=""),0,--(GC46&lt;&gt;GB46))</f>
        <v>0</v>
      </c>
      <c r="GD76" s="2">
        <f>IF(OR(GD46="",GC46=""),0,--(GD46&lt;&gt;GC46))</f>
        <v>0</v>
      </c>
      <c r="GE76" s="2">
        <f>IF(OR(GE46="",GD46=""),0,--(GE46&lt;&gt;GD46))</f>
        <v>0</v>
      </c>
      <c r="GF76" s="2">
        <f>IF(OR(GF46="",GE46=""),0,--(GF46&lt;&gt;GE46))</f>
        <v>0</v>
      </c>
      <c r="GG76" s="2">
        <f>IF(OR(GG46="",GF46=""),0,--(GG46&lt;&gt;GF46))</f>
        <v>0</v>
      </c>
      <c r="GH76" s="2">
        <f>IF(OR(GH46="",GG46=""),0,--(GH46&lt;&gt;GG46))</f>
        <v>0</v>
      </c>
      <c r="GI76" s="2">
        <f>IF(OR(GI46="",GH46=""),0,--(GI46&lt;&gt;GH46))</f>
        <v>0</v>
      </c>
      <c r="GJ76" s="2">
        <f>IF(OR(GJ46="",GI46=""),0,--(GJ46&lt;&gt;GI46))</f>
        <v>0</v>
      </c>
      <c r="GK76" s="2">
        <f>IF(OR(GK46="",GJ46=""),0,--(GK46&lt;&gt;GJ46))</f>
        <v>0</v>
      </c>
      <c r="GL76" s="2">
        <f>IF(OR(GL46="",GK46=""),0,--(GL46&lt;&gt;GK46))</f>
        <v>0</v>
      </c>
      <c r="GM76" s="2">
        <f>IF(OR(GM46="",GL46=""),0,--(GM46&lt;&gt;GL46))</f>
        <v>0</v>
      </c>
      <c r="GN76" s="2">
        <f>IF(OR(GN46="",GM46=""),0,--(GN46&lt;&gt;GM46))</f>
        <v>0</v>
      </c>
      <c r="GO76" s="2">
        <f>IF(OR(GO46="",GN46=""),0,--(GO46&lt;&gt;GN46))</f>
        <v>0</v>
      </c>
      <c r="GP76" s="2">
        <f>IF(OR(GP46="",GO46=""),0,--(GP46&lt;&gt;GO46))</f>
        <v>0</v>
      </c>
      <c r="GQ76" s="2">
        <f>IF(OR(GQ46="",GP46=""),0,--(GQ46&lt;&gt;GP46))</f>
        <v>0</v>
      </c>
      <c r="GR76" s="2">
        <f>IF(OR(GR46="",GQ46=""),0,--(GR46&lt;&gt;GQ46))</f>
        <v>0</v>
      </c>
      <c r="GS76" s="2">
        <f>IF(OR(GS46="",GR46=""),0,--(GS46&lt;&gt;GR46))</f>
        <v>0</v>
      </c>
      <c r="GY76" s="15">
        <f>SUM($B76:$DB76)</f>
        <v>2</v>
      </c>
    </row>
    <row r="77" spans="1:207">
      <c r="A77" s="2">
        <f>$A47</f>
        <v>12</v>
      </c>
      <c r="B77" s="2">
        <f>0</f>
        <v>0</v>
      </c>
      <c r="C77" s="2">
        <f>IF(OR(C47="",B47=""),0,--(C47&lt;&gt;B47))</f>
        <v>0</v>
      </c>
      <c r="D77" s="2">
        <f>IF(OR(D47="",C47=""),0,--(D47&lt;&gt;C47))</f>
        <v>0</v>
      </c>
      <c r="E77" s="2">
        <f>IF(OR(E47="",D47=""),0,--(E47&lt;&gt;D47))</f>
        <v>0</v>
      </c>
      <c r="F77" s="2">
        <f>IF(OR(F47="",E47=""),0,--(F47&lt;&gt;E47))</f>
        <v>0</v>
      </c>
      <c r="G77" s="2">
        <f>IF(OR(G47="",F47=""),0,--(G47&lt;&gt;F47))</f>
        <v>0</v>
      </c>
      <c r="H77" s="2">
        <f>IF(OR(H47="",G47=""),0,--(H47&lt;&gt;G47))</f>
        <v>0</v>
      </c>
      <c r="I77" s="2">
        <f>IF(OR(I47="",H47=""),0,--(I47&lt;&gt;H47))</f>
        <v>0</v>
      </c>
      <c r="J77" s="2">
        <f>IF(OR(J47="",I47=""),0,--(J47&lt;&gt;I47))</f>
        <v>0</v>
      </c>
      <c r="K77" s="2">
        <f>IF(OR(K47="",J47=""),0,--(K47&lt;&gt;J47))</f>
        <v>0</v>
      </c>
      <c r="L77" s="2">
        <f>IF(OR(L47="",K47=""),0,--(L47&lt;&gt;K47))</f>
        <v>0</v>
      </c>
      <c r="M77" s="2">
        <f>IF(OR(M47="",L47=""),0,--(M47&lt;&gt;L47))</f>
        <v>0</v>
      </c>
      <c r="N77" s="2">
        <f>IF(OR(N47="",M47=""),0,--(N47&lt;&gt;M47))</f>
        <v>0</v>
      </c>
      <c r="O77" s="2">
        <f>IF(OR(O47="",N47=""),0,--(O47&lt;&gt;N47))</f>
        <v>0</v>
      </c>
      <c r="P77" s="2">
        <f>IF(OR(P47="",O47=""),0,--(P47&lt;&gt;O47))</f>
        <v>0</v>
      </c>
      <c r="Q77" s="2">
        <f>IF(OR(Q47="",P47=""),0,--(Q47&lt;&gt;P47))</f>
        <v>0</v>
      </c>
      <c r="R77" s="2">
        <f>IF(OR(R47="",Q47=""),0,--(R47&lt;&gt;Q47))</f>
        <v>0</v>
      </c>
      <c r="S77" s="2">
        <f>IF(OR(S47="",R47=""),0,--(S47&lt;&gt;R47))</f>
        <v>0</v>
      </c>
      <c r="T77" s="2">
        <f>IF(OR(T47="",S47=""),0,--(T47&lt;&gt;S47))</f>
        <v>0</v>
      </c>
      <c r="U77" s="2">
        <f>IF(OR(U47="",T47=""),0,--(U47&lt;&gt;T47))</f>
        <v>0</v>
      </c>
      <c r="V77" s="2">
        <f>IF(OR(V47="",U47=""),0,--(V47&lt;&gt;U47))</f>
        <v>0</v>
      </c>
      <c r="W77" s="2">
        <f>IF(OR(W47="",V47=""),0,--(W47&lt;&gt;V47))</f>
        <v>0</v>
      </c>
      <c r="X77" s="2">
        <f>IF(OR(X47="",W47=""),0,--(X47&lt;&gt;W47))</f>
        <v>0</v>
      </c>
      <c r="Y77" s="2">
        <f>IF(OR(Y47="",X47=""),0,--(Y47&lt;&gt;X47))</f>
        <v>0</v>
      </c>
      <c r="Z77" s="2">
        <f>IF(OR(Z47="",Y47=""),0,--(Z47&lt;&gt;Y47))</f>
        <v>0</v>
      </c>
      <c r="AA77" s="2">
        <f>IF(OR(AA47="",Z47=""),0,--(AA47&lt;&gt;Z47))</f>
        <v>0</v>
      </c>
      <c r="AB77" s="2">
        <f>IF(OR(AB47="",AA47=""),0,--(AB47&lt;&gt;AA47))</f>
        <v>0</v>
      </c>
      <c r="AC77" s="2">
        <f>IF(OR(AC47="",AB47=""),0,--(AC47&lt;&gt;AB47))</f>
        <v>0</v>
      </c>
      <c r="AD77" s="2">
        <f>IF(OR(AD47="",AC47=""),0,--(AD47&lt;&gt;AC47))</f>
        <v>0</v>
      </c>
      <c r="AE77" s="2">
        <f>IF(OR(AE47="",AD47=""),0,--(AE47&lt;&gt;AD47))</f>
        <v>0</v>
      </c>
      <c r="AF77" s="2">
        <f>IF(OR(AF47="",AE47=""),0,--(AF47&lt;&gt;AE47))</f>
        <v>0</v>
      </c>
      <c r="AG77" s="2">
        <f>IF(OR(AG47="",AF47=""),0,--(AG47&lt;&gt;AF47))</f>
        <v>0</v>
      </c>
      <c r="AH77" s="2">
        <f>IF(OR(AH47="",AG47=""),0,--(AH47&lt;&gt;AG47))</f>
        <v>0</v>
      </c>
      <c r="AI77" s="2">
        <f>IF(OR(AI47="",AH47=""),0,--(AI47&lt;&gt;AH47))</f>
        <v>0</v>
      </c>
      <c r="AJ77" s="2">
        <f>IF(OR(AJ47="",AI47=""),0,--(AJ47&lt;&gt;AI47))</f>
        <v>0</v>
      </c>
      <c r="AK77" s="2">
        <f>IF(OR(AK47="",AJ47=""),0,--(AK47&lt;&gt;AJ47))</f>
        <v>0</v>
      </c>
      <c r="AL77" s="2">
        <f>IF(OR(AL47="",AK47=""),0,--(AL47&lt;&gt;AK47))</f>
        <v>0</v>
      </c>
      <c r="AM77" s="2">
        <f>IF(OR(AM47="",AL47=""),0,--(AM47&lt;&gt;AL47))</f>
        <v>0</v>
      </c>
      <c r="AN77" s="2">
        <f>IF(OR(AN47="",AM47=""),0,--(AN47&lt;&gt;AM47))</f>
        <v>0</v>
      </c>
      <c r="AO77" s="2">
        <f>IF(OR(AO47="",AN47=""),0,--(AO47&lt;&gt;AN47))</f>
        <v>0</v>
      </c>
      <c r="AP77" s="2">
        <f>IF(OR(AP47="",AO47=""),0,--(AP47&lt;&gt;AO47))</f>
        <v>0</v>
      </c>
      <c r="AQ77" s="2">
        <f>IF(OR(AQ47="",AP47=""),0,--(AQ47&lt;&gt;AP47))</f>
        <v>0</v>
      </c>
      <c r="AR77" s="2">
        <f>IF(OR(AR47="",AQ47=""),0,--(AR47&lt;&gt;AQ47))</f>
        <v>0</v>
      </c>
      <c r="AS77" s="2">
        <f>IF(OR(AS47="",AR47=""),0,--(AS47&lt;&gt;AR47))</f>
        <v>0</v>
      </c>
      <c r="AT77" s="2">
        <f>IF(OR(AT47="",AS47=""),0,--(AT47&lt;&gt;AS47))</f>
        <v>0</v>
      </c>
      <c r="AU77" s="2">
        <f>IF(OR(AU47="",AT47=""),0,--(AU47&lt;&gt;AT47))</f>
        <v>1</v>
      </c>
      <c r="AV77" s="2">
        <f>IF(OR(AV47="",AU47=""),0,--(AV47&lt;&gt;AU47))</f>
        <v>0</v>
      </c>
      <c r="AW77" s="2">
        <f>IF(OR(AW47="",AV47=""),0,--(AW47&lt;&gt;AV47))</f>
        <v>0</v>
      </c>
      <c r="AX77" s="2">
        <f>IF(OR(AX47="",AW47=""),0,--(AX47&lt;&gt;AW47))</f>
        <v>0</v>
      </c>
      <c r="AY77" s="2">
        <f>IF(OR(AY47="",AX47=""),0,--(AY47&lt;&gt;AX47))</f>
        <v>0</v>
      </c>
      <c r="AZ77" s="2">
        <f>IF(OR(AZ47="",AY47=""),0,--(AZ47&lt;&gt;AY47))</f>
        <v>0</v>
      </c>
      <c r="BA77" s="2">
        <f>IF(OR(BA47="",AZ47=""),0,--(BA47&lt;&gt;AZ47))</f>
        <v>0</v>
      </c>
      <c r="BB77" s="2">
        <f>IF(OR(BB47="",BA47=""),0,--(BB47&lt;&gt;BA47))</f>
        <v>0</v>
      </c>
      <c r="BC77" s="2">
        <f>IF(OR(BC47="",BB47=""),0,--(BC47&lt;&gt;BB47))</f>
        <v>0</v>
      </c>
      <c r="BD77" s="2">
        <f>IF(OR(BD47="",BC47=""),0,--(BD47&lt;&gt;BC47))</f>
        <v>0</v>
      </c>
      <c r="BE77" s="2">
        <f>IF(OR(BE47="",BD47=""),0,--(BE47&lt;&gt;BD47))</f>
        <v>0</v>
      </c>
      <c r="BF77" s="2">
        <f>IF(OR(BF47="",BE47=""),0,--(BF47&lt;&gt;BE47))</f>
        <v>0</v>
      </c>
      <c r="BG77" s="2">
        <f>IF(OR(BG47="",BF47=""),0,--(BG47&lt;&gt;BF47))</f>
        <v>0</v>
      </c>
      <c r="BH77" s="2">
        <f>IF(OR(BH47="",BG47=""),0,--(BH47&lt;&gt;BG47))</f>
        <v>0</v>
      </c>
      <c r="BI77" s="2">
        <f>IF(OR(BI47="",BH47=""),0,--(BI47&lt;&gt;BH47))</f>
        <v>0</v>
      </c>
      <c r="BJ77" s="2">
        <f>IF(OR(BJ47="",BI47=""),0,--(BJ47&lt;&gt;BI47))</f>
        <v>0</v>
      </c>
      <c r="BK77" s="2">
        <f>IF(OR(BK47="",BJ47=""),0,--(BK47&lt;&gt;BJ47))</f>
        <v>0</v>
      </c>
      <c r="BL77" s="2">
        <f>IF(OR(BL47="",BK47=""),0,--(BL47&lt;&gt;BK47))</f>
        <v>0</v>
      </c>
      <c r="BM77" s="2">
        <f>IF(OR(BM47="",BL47=""),0,--(BM47&lt;&gt;BL47))</f>
        <v>0</v>
      </c>
      <c r="BN77" s="2">
        <f>IF(OR(BN47="",BM47=""),0,--(BN47&lt;&gt;BM47))</f>
        <v>0</v>
      </c>
      <c r="BO77" s="2">
        <f>IF(OR(BO47="",BN47=""),0,--(BO47&lt;&gt;BN47))</f>
        <v>0</v>
      </c>
      <c r="BP77" s="2">
        <f>IF(OR(BP47="",BO47=""),0,--(BP47&lt;&gt;BO47))</f>
        <v>0</v>
      </c>
      <c r="BQ77" s="2">
        <f>IF(OR(BQ47="",BP47=""),0,--(BQ47&lt;&gt;BP47))</f>
        <v>0</v>
      </c>
      <c r="BR77" s="2">
        <f>IF(OR(BR47="",BQ47=""),0,--(BR47&lt;&gt;BQ47))</f>
        <v>0</v>
      </c>
      <c r="BS77" s="2">
        <f>IF(OR(BS47="",BR47=""),0,--(BS47&lt;&gt;BR47))</f>
        <v>0</v>
      </c>
      <c r="BT77" s="2">
        <f>IF(OR(BT47="",BS47=""),0,--(BT47&lt;&gt;BS47))</f>
        <v>0</v>
      </c>
      <c r="BU77" s="2">
        <f>IF(OR(BU47="",BT47=""),0,--(BU47&lt;&gt;BT47))</f>
        <v>0</v>
      </c>
      <c r="BV77" s="2">
        <f>IF(OR(BV47="",BU47=""),0,--(BV47&lt;&gt;BU47))</f>
        <v>0</v>
      </c>
      <c r="BW77" s="2">
        <f>IF(OR(BW47="",BV47=""),0,--(BW47&lt;&gt;BV47))</f>
        <v>0</v>
      </c>
      <c r="BX77" s="2">
        <f>IF(OR(BX47="",BW47=""),0,--(BX47&lt;&gt;BW47))</f>
        <v>0</v>
      </c>
      <c r="BY77" s="2">
        <f>IF(OR(BY47="",BX47=""),0,--(BY47&lt;&gt;BX47))</f>
        <v>0</v>
      </c>
      <c r="BZ77" s="2">
        <f>IF(OR(BZ47="",BY47=""),0,--(BZ47&lt;&gt;BY47))</f>
        <v>1</v>
      </c>
      <c r="CA77" s="2">
        <f>IF(OR(CA47="",BZ47=""),0,--(CA47&lt;&gt;BZ47))</f>
        <v>0</v>
      </c>
      <c r="CB77" s="2">
        <f>IF(OR(CB47="",CA47=""),0,--(CB47&lt;&gt;CA47))</f>
        <v>0</v>
      </c>
      <c r="CC77" s="2">
        <f>IF(OR(CC47="",CB47=""),0,--(CC47&lt;&gt;CB47))</f>
        <v>0</v>
      </c>
      <c r="CD77" s="2">
        <f>IF(OR(CD47="",CC47=""),0,--(CD47&lt;&gt;CC47))</f>
        <v>0</v>
      </c>
      <c r="CE77" s="2">
        <f>IF(OR(CE47="",CD47=""),0,--(CE47&lt;&gt;CD47))</f>
        <v>0</v>
      </c>
      <c r="CF77" s="2">
        <f>IF(OR(CF47="",CE47=""),0,--(CF47&lt;&gt;CE47))</f>
        <v>0</v>
      </c>
      <c r="CG77" s="2">
        <f>IF(OR(CG47="",CF47=""),0,--(CG47&lt;&gt;CF47))</f>
        <v>0</v>
      </c>
      <c r="CH77" s="2">
        <f>IF(OR(CH47="",CG47=""),0,--(CH47&lt;&gt;CG47))</f>
        <v>0</v>
      </c>
      <c r="CI77" s="2">
        <f>IF(OR(CI47="",CH47=""),0,--(CI47&lt;&gt;CH47))</f>
        <v>0</v>
      </c>
      <c r="CJ77" s="2">
        <f>IF(OR(CJ47="",CI47=""),0,--(CJ47&lt;&gt;CI47))</f>
        <v>0</v>
      </c>
      <c r="CK77" s="2">
        <f>IF(OR(CK47="",CJ47=""),0,--(CK47&lt;&gt;CJ47))</f>
        <v>0</v>
      </c>
      <c r="CL77" s="2">
        <f>IF(OR(CL47="",CK47=""),0,--(CL47&lt;&gt;CK47))</f>
        <v>0</v>
      </c>
      <c r="CM77" s="2">
        <f>IF(OR(CM47="",CL47=""),0,--(CM47&lt;&gt;CL47))</f>
        <v>0</v>
      </c>
      <c r="CN77" s="2">
        <f>IF(OR(CN47="",CM47=""),0,--(CN47&lt;&gt;CM47))</f>
        <v>0</v>
      </c>
      <c r="CO77" s="2">
        <f>IF(OR(CO47="",CN47=""),0,--(CO47&lt;&gt;CN47))</f>
        <v>0</v>
      </c>
      <c r="CP77" s="2">
        <f>IF(OR(CP47="",CO47=""),0,--(CP47&lt;&gt;CO47))</f>
        <v>0</v>
      </c>
      <c r="CQ77" s="2">
        <f>IF(OR(CQ47="",CP47=""),0,--(CQ47&lt;&gt;CP47))</f>
        <v>0</v>
      </c>
      <c r="CR77" s="2">
        <f>IF(OR(CR47="",CQ47=""),0,--(CR47&lt;&gt;CQ47))</f>
        <v>0</v>
      </c>
      <c r="CS77" s="2">
        <f>IF(OR(CS47="",CR47=""),0,--(CS47&lt;&gt;CR47))</f>
        <v>0</v>
      </c>
      <c r="CT77" s="2">
        <f>IF(OR(CT47="",CS47=""),0,--(CT47&lt;&gt;CS47))</f>
        <v>0</v>
      </c>
      <c r="CU77" s="2">
        <f>IF(OR(CU47="",CT47=""),0,--(CU47&lt;&gt;CT47))</f>
        <v>0</v>
      </c>
      <c r="CV77" s="2">
        <f>IF(OR(CV47="",CU47=""),0,--(CV47&lt;&gt;CU47))</f>
        <v>0</v>
      </c>
      <c r="CW77" s="2">
        <f>IF(OR(CW47="",CV47=""),0,--(CW47&lt;&gt;CV47))</f>
        <v>0</v>
      </c>
      <c r="CX77" s="2">
        <f>IF(OR(CX47="",CW47=""),0,--(CX47&lt;&gt;CW47))</f>
        <v>0</v>
      </c>
      <c r="CY77" s="2">
        <f>IF(OR(CY47="",CX47=""),0,--(CY47&lt;&gt;CX47))</f>
        <v>0</v>
      </c>
      <c r="CZ77" s="2">
        <f>IF(OR(CZ47="",CY47=""),0,--(CZ47&lt;&gt;CY47))</f>
        <v>0</v>
      </c>
      <c r="DA77" s="2">
        <f>IF(OR(DA47="",CZ47=""),0,--(DA47&lt;&gt;CZ47))</f>
        <v>0</v>
      </c>
      <c r="DB77" s="2">
        <f>IF(OR(DB47="",DA47=""),0,--(DB47&lt;&gt;DA47))</f>
        <v>0</v>
      </c>
      <c r="DC77" s="2">
        <f>IF(OR(DC47="",DB47=""),0,--(DC47&lt;&gt;DB47))</f>
        <v>0</v>
      </c>
      <c r="DD77" s="2">
        <f>IF(OR(DD47="",DC47=""),0,--(DD47&lt;&gt;DC47))</f>
        <v>0</v>
      </c>
      <c r="DE77" s="2">
        <f>IF(OR(DE47="",DD47=""),0,--(DE47&lt;&gt;DD47))</f>
        <v>0</v>
      </c>
      <c r="DF77" s="2">
        <f>IF(OR(DF47="",DE47=""),0,--(DF47&lt;&gt;DE47))</f>
        <v>0</v>
      </c>
      <c r="DG77" s="2">
        <f>IF(OR(DG47="",DF47=""),0,--(DG47&lt;&gt;DF47))</f>
        <v>0</v>
      </c>
      <c r="DH77" s="2">
        <f>IF(OR(DH47="",DG47=""),0,--(DH47&lt;&gt;DG47))</f>
        <v>0</v>
      </c>
      <c r="DI77" s="2">
        <f>IF(OR(DI47="",DH47=""),0,--(DI47&lt;&gt;DH47))</f>
        <v>0</v>
      </c>
      <c r="DJ77" s="2">
        <f>IF(OR(DJ47="",DI47=""),0,--(DJ47&lt;&gt;DI47))</f>
        <v>0</v>
      </c>
      <c r="DK77" s="2">
        <f>IF(OR(DK47="",DJ47=""),0,--(DK47&lt;&gt;DJ47))</f>
        <v>0</v>
      </c>
      <c r="DL77" s="2">
        <f>IF(OR(DL47="",DK47=""),0,--(DL47&lt;&gt;DK47))</f>
        <v>0</v>
      </c>
      <c r="DM77" s="2">
        <f>IF(OR(DM47="",DL47=""),0,--(DM47&lt;&gt;DL47))</f>
        <v>0</v>
      </c>
      <c r="DN77" s="2">
        <f>IF(OR(DN47="",DM47=""),0,--(DN47&lt;&gt;DM47))</f>
        <v>0</v>
      </c>
      <c r="DO77" s="2">
        <f>IF(OR(DO47="",DN47=""),0,--(DO47&lt;&gt;DN47))</f>
        <v>0</v>
      </c>
      <c r="DP77" s="2">
        <f>IF(OR(DP47="",DO47=""),0,--(DP47&lt;&gt;DO47))</f>
        <v>0</v>
      </c>
      <c r="DQ77" s="2">
        <f>IF(OR(DQ47="",DP47=""),0,--(DQ47&lt;&gt;DP47))</f>
        <v>0</v>
      </c>
      <c r="DR77" s="2">
        <f>IF(OR(DR47="",DQ47=""),0,--(DR47&lt;&gt;DQ47))</f>
        <v>0</v>
      </c>
      <c r="DS77" s="2">
        <f>IF(OR(DS47="",DR47=""),0,--(DS47&lt;&gt;DR47))</f>
        <v>0</v>
      </c>
      <c r="DT77" s="2">
        <f>IF(OR(DT47="",DS47=""),0,--(DT47&lt;&gt;DS47))</f>
        <v>0</v>
      </c>
      <c r="DU77" s="2">
        <f>IF(OR(DU47="",DT47=""),0,--(DU47&lt;&gt;DT47))</f>
        <v>0</v>
      </c>
      <c r="DV77" s="2">
        <f>IF(OR(DV47="",DU47=""),0,--(DV47&lt;&gt;DU47))</f>
        <v>0</v>
      </c>
      <c r="DW77" s="2">
        <f>IF(OR(DW47="",DV47=""),0,--(DW47&lt;&gt;DV47))</f>
        <v>0</v>
      </c>
      <c r="DX77" s="2">
        <f>IF(OR(DX47="",DW47=""),0,--(DX47&lt;&gt;DW47))</f>
        <v>0</v>
      </c>
      <c r="DY77" s="2">
        <f>IF(OR(DY47="",DX47=""),0,--(DY47&lt;&gt;DX47))</f>
        <v>0</v>
      </c>
      <c r="DZ77" s="2">
        <f>IF(OR(DZ47="",DY47=""),0,--(DZ47&lt;&gt;DY47))</f>
        <v>0</v>
      </c>
      <c r="EA77" s="2">
        <f>IF(OR(EA47="",DZ47=""),0,--(EA47&lt;&gt;DZ47))</f>
        <v>0</v>
      </c>
      <c r="EB77" s="2">
        <f>IF(OR(EB47="",EA47=""),0,--(EB47&lt;&gt;EA47))</f>
        <v>0</v>
      </c>
      <c r="EC77" s="2">
        <f>IF(OR(EC47="",EB47=""),0,--(EC47&lt;&gt;EB47))</f>
        <v>0</v>
      </c>
      <c r="ED77" s="2">
        <f>IF(OR(ED47="",EC47=""),0,--(ED47&lt;&gt;EC47))</f>
        <v>0</v>
      </c>
      <c r="EE77" s="2">
        <f>IF(OR(EE47="",ED47=""),0,--(EE47&lt;&gt;ED47))</f>
        <v>0</v>
      </c>
      <c r="EF77" s="2">
        <f>IF(OR(EF47="",EE47=""),0,--(EF47&lt;&gt;EE47))</f>
        <v>0</v>
      </c>
      <c r="EG77" s="2">
        <f>IF(OR(EG47="",EF47=""),0,--(EG47&lt;&gt;EF47))</f>
        <v>0</v>
      </c>
      <c r="EH77" s="2">
        <f>IF(OR(EH47="",EG47=""),0,--(EH47&lt;&gt;EG47))</f>
        <v>0</v>
      </c>
      <c r="EI77" s="2">
        <f>IF(OR(EI47="",EH47=""),0,--(EI47&lt;&gt;EH47))</f>
        <v>0</v>
      </c>
      <c r="EJ77" s="2">
        <f>IF(OR(EJ47="",EI47=""),0,--(EJ47&lt;&gt;EI47))</f>
        <v>0</v>
      </c>
      <c r="EK77" s="2">
        <f>IF(OR(EK47="",EJ47=""),0,--(EK47&lt;&gt;EJ47))</f>
        <v>0</v>
      </c>
      <c r="EL77" s="2">
        <f>IF(OR(EL47="",EK47=""),0,--(EL47&lt;&gt;EK47))</f>
        <v>0</v>
      </c>
      <c r="EM77" s="2">
        <f>IF(OR(EM47="",EL47=""),0,--(EM47&lt;&gt;EL47))</f>
        <v>0</v>
      </c>
      <c r="EN77" s="2">
        <f>IF(OR(EN47="",EM47=""),0,--(EN47&lt;&gt;EM47))</f>
        <v>0</v>
      </c>
      <c r="EO77" s="2">
        <f>IF(OR(EO47="",EN47=""),0,--(EO47&lt;&gt;EN47))</f>
        <v>0</v>
      </c>
      <c r="EP77" s="2">
        <f>IF(OR(EP47="",EO47=""),0,--(EP47&lt;&gt;EO47))</f>
        <v>0</v>
      </c>
      <c r="EQ77" s="2">
        <f>IF(OR(EQ47="",EP47=""),0,--(EQ47&lt;&gt;EP47))</f>
        <v>0</v>
      </c>
      <c r="ER77" s="2">
        <f>IF(OR(ER47="",EQ47=""),0,--(ER47&lt;&gt;EQ47))</f>
        <v>0</v>
      </c>
      <c r="ES77" s="2">
        <f>IF(OR(ES47="",ER47=""),0,--(ES47&lt;&gt;ER47))</f>
        <v>0</v>
      </c>
      <c r="ET77" s="2">
        <f>IF(OR(ET47="",ES47=""),0,--(ET47&lt;&gt;ES47))</f>
        <v>0</v>
      </c>
      <c r="EU77" s="2">
        <f>IF(OR(EU47="",ET47=""),0,--(EU47&lt;&gt;ET47))</f>
        <v>0</v>
      </c>
      <c r="EV77" s="2">
        <f>IF(OR(EV47="",EU47=""),0,--(EV47&lt;&gt;EU47))</f>
        <v>0</v>
      </c>
      <c r="EW77" s="2">
        <f>IF(OR(EW47="",EV47=""),0,--(EW47&lt;&gt;EV47))</f>
        <v>0</v>
      </c>
      <c r="EX77" s="2">
        <f>IF(OR(EX47="",EW47=""),0,--(EX47&lt;&gt;EW47))</f>
        <v>0</v>
      </c>
      <c r="EY77" s="2">
        <f>IF(OR(EY47="",EX47=""),0,--(EY47&lt;&gt;EX47))</f>
        <v>0</v>
      </c>
      <c r="EZ77" s="2">
        <f>IF(OR(EZ47="",EY47=""),0,--(EZ47&lt;&gt;EY47))</f>
        <v>0</v>
      </c>
      <c r="FA77" s="2">
        <f>IF(OR(FA47="",EZ47=""),0,--(FA47&lt;&gt;EZ47))</f>
        <v>0</v>
      </c>
      <c r="FB77" s="2">
        <f>IF(OR(FB47="",FA47=""),0,--(FB47&lt;&gt;FA47))</f>
        <v>0</v>
      </c>
      <c r="FC77" s="2">
        <f>IF(OR(FC47="",FB47=""),0,--(FC47&lt;&gt;FB47))</f>
        <v>0</v>
      </c>
      <c r="FD77" s="2">
        <f>IF(OR(FD47="",FC47=""),0,--(FD47&lt;&gt;FC47))</f>
        <v>0</v>
      </c>
      <c r="FE77" s="2">
        <f>IF(OR(FE47="",FD47=""),0,--(FE47&lt;&gt;FD47))</f>
        <v>0</v>
      </c>
      <c r="FF77" s="2">
        <f>IF(OR(FF47="",FE47=""),0,--(FF47&lt;&gt;FE47))</f>
        <v>0</v>
      </c>
      <c r="FG77" s="2">
        <f>IF(OR(FG47="",FF47=""),0,--(FG47&lt;&gt;FF47))</f>
        <v>0</v>
      </c>
      <c r="FH77" s="2">
        <f>IF(OR(FH47="",FG47=""),0,--(FH47&lt;&gt;FG47))</f>
        <v>0</v>
      </c>
      <c r="FI77" s="2">
        <f>IF(OR(FI47="",FH47=""),0,--(FI47&lt;&gt;FH47))</f>
        <v>0</v>
      </c>
      <c r="FJ77" s="2">
        <f>IF(OR(FJ47="",FI47=""),0,--(FJ47&lt;&gt;FI47))</f>
        <v>0</v>
      </c>
      <c r="FK77" s="2">
        <f>IF(OR(FK47="",FJ47=""),0,--(FK47&lt;&gt;FJ47))</f>
        <v>0</v>
      </c>
      <c r="FL77" s="2">
        <f>IF(OR(FL47="",FK47=""),0,--(FL47&lt;&gt;FK47))</f>
        <v>0</v>
      </c>
      <c r="FM77" s="2">
        <f>IF(OR(FM47="",FL47=""),0,--(FM47&lt;&gt;FL47))</f>
        <v>0</v>
      </c>
      <c r="FN77" s="2">
        <f>IF(OR(FN47="",FM47=""),0,--(FN47&lt;&gt;FM47))</f>
        <v>0</v>
      </c>
      <c r="FO77" s="2">
        <f>IF(OR(FO47="",FN47=""),0,--(FO47&lt;&gt;FN47))</f>
        <v>0</v>
      </c>
      <c r="FP77" s="2">
        <f>IF(OR(FP47="",FO47=""),0,--(FP47&lt;&gt;FO47))</f>
        <v>0</v>
      </c>
      <c r="FQ77" s="2">
        <f>IF(OR(FQ47="",FP47=""),0,--(FQ47&lt;&gt;FP47))</f>
        <v>0</v>
      </c>
      <c r="FR77" s="2">
        <f>IF(OR(FR47="",FQ47=""),0,--(FR47&lt;&gt;FQ47))</f>
        <v>0</v>
      </c>
      <c r="FS77" s="2">
        <f>IF(OR(FS47="",FR47=""),0,--(FS47&lt;&gt;FR47))</f>
        <v>0</v>
      </c>
      <c r="FT77" s="2">
        <f>IF(OR(FT47="",FS47=""),0,--(FT47&lt;&gt;FS47))</f>
        <v>0</v>
      </c>
      <c r="FU77" s="2">
        <f>IF(OR(FU47="",FT47=""),0,--(FU47&lt;&gt;FT47))</f>
        <v>0</v>
      </c>
      <c r="FV77" s="2">
        <f>IF(OR(FV47="",FU47=""),0,--(FV47&lt;&gt;FU47))</f>
        <v>0</v>
      </c>
      <c r="FW77" s="2">
        <f>IF(OR(FW47="",FV47=""),0,--(FW47&lt;&gt;FV47))</f>
        <v>0</v>
      </c>
      <c r="FX77" s="2">
        <f>IF(OR(FX47="",FW47=""),0,--(FX47&lt;&gt;FW47))</f>
        <v>0</v>
      </c>
      <c r="FY77" s="2">
        <f>IF(OR(FY47="",FX47=""),0,--(FY47&lt;&gt;FX47))</f>
        <v>0</v>
      </c>
      <c r="FZ77" s="2">
        <f>IF(OR(FZ47="",FY47=""),0,--(FZ47&lt;&gt;FY47))</f>
        <v>0</v>
      </c>
      <c r="GA77" s="2">
        <f>IF(OR(GA47="",FZ47=""),0,--(GA47&lt;&gt;FZ47))</f>
        <v>0</v>
      </c>
      <c r="GB77" s="2">
        <f>IF(OR(GB47="",GA47=""),0,--(GB47&lt;&gt;GA47))</f>
        <v>0</v>
      </c>
      <c r="GC77" s="2">
        <f>IF(OR(GC47="",GB47=""),0,--(GC47&lt;&gt;GB47))</f>
        <v>0</v>
      </c>
      <c r="GD77" s="2">
        <f>IF(OR(GD47="",GC47=""),0,--(GD47&lt;&gt;GC47))</f>
        <v>0</v>
      </c>
      <c r="GE77" s="2">
        <f>IF(OR(GE47="",GD47=""),0,--(GE47&lt;&gt;GD47))</f>
        <v>0</v>
      </c>
      <c r="GF77" s="2">
        <f>IF(OR(GF47="",GE47=""),0,--(GF47&lt;&gt;GE47))</f>
        <v>0</v>
      </c>
      <c r="GG77" s="2">
        <f>IF(OR(GG47="",GF47=""),0,--(GG47&lt;&gt;GF47))</f>
        <v>0</v>
      </c>
      <c r="GH77" s="2">
        <f>IF(OR(GH47="",GG47=""),0,--(GH47&lt;&gt;GG47))</f>
        <v>0</v>
      </c>
      <c r="GI77" s="2">
        <f>IF(OR(GI47="",GH47=""),0,--(GI47&lt;&gt;GH47))</f>
        <v>0</v>
      </c>
      <c r="GJ77" s="2">
        <f>IF(OR(GJ47="",GI47=""),0,--(GJ47&lt;&gt;GI47))</f>
        <v>0</v>
      </c>
      <c r="GK77" s="2">
        <f>IF(OR(GK47="",GJ47=""),0,--(GK47&lt;&gt;GJ47))</f>
        <v>0</v>
      </c>
      <c r="GL77" s="2">
        <f>IF(OR(GL47="",GK47=""),0,--(GL47&lt;&gt;GK47))</f>
        <v>0</v>
      </c>
      <c r="GM77" s="2">
        <f>IF(OR(GM47="",GL47=""),0,--(GM47&lt;&gt;GL47))</f>
        <v>0</v>
      </c>
      <c r="GN77" s="2">
        <f>IF(OR(GN47="",GM47=""),0,--(GN47&lt;&gt;GM47))</f>
        <v>0</v>
      </c>
      <c r="GO77" s="2">
        <f>IF(OR(GO47="",GN47=""),0,--(GO47&lt;&gt;GN47))</f>
        <v>0</v>
      </c>
      <c r="GP77" s="2">
        <f>IF(OR(GP47="",GO47=""),0,--(GP47&lt;&gt;GO47))</f>
        <v>0</v>
      </c>
      <c r="GQ77" s="2">
        <f>IF(OR(GQ47="",GP47=""),0,--(GQ47&lt;&gt;GP47))</f>
        <v>0</v>
      </c>
      <c r="GR77" s="2">
        <f>IF(OR(GR47="",GQ47=""),0,--(GR47&lt;&gt;GQ47))</f>
        <v>0</v>
      </c>
      <c r="GS77" s="2">
        <f>IF(OR(GS47="",GR47=""),0,--(GS47&lt;&gt;GR47))</f>
        <v>0</v>
      </c>
      <c r="GY77" s="15">
        <f>SUM($B77:$DB77)</f>
        <v>2</v>
      </c>
    </row>
    <row r="78" spans="1:207">
      <c r="A78" s="2">
        <f>$A48</f>
        <v>13</v>
      </c>
      <c r="B78" s="2">
        <f>0</f>
        <v>0</v>
      </c>
      <c r="C78" s="2">
        <f>IF(OR(C48="",B48=""),0,--(C48&lt;&gt;B48))</f>
        <v>0</v>
      </c>
      <c r="D78" s="2">
        <f>IF(OR(D48="",C48=""),0,--(D48&lt;&gt;C48))</f>
        <v>0</v>
      </c>
      <c r="E78" s="2">
        <f>IF(OR(E48="",D48=""),0,--(E48&lt;&gt;D48))</f>
        <v>0</v>
      </c>
      <c r="F78" s="2">
        <f>IF(OR(F48="",E48=""),0,--(F48&lt;&gt;E48))</f>
        <v>0</v>
      </c>
      <c r="G78" s="2">
        <f>IF(OR(G48="",F48=""),0,--(G48&lt;&gt;F48))</f>
        <v>0</v>
      </c>
      <c r="H78" s="2">
        <f>IF(OR(H48="",G48=""),0,--(H48&lt;&gt;G48))</f>
        <v>0</v>
      </c>
      <c r="I78" s="2">
        <f>IF(OR(I48="",H48=""),0,--(I48&lt;&gt;H48))</f>
        <v>0</v>
      </c>
      <c r="J78" s="2">
        <f>IF(OR(J48="",I48=""),0,--(J48&lt;&gt;I48))</f>
        <v>0</v>
      </c>
      <c r="K78" s="2">
        <f>IF(OR(K48="",J48=""),0,--(K48&lt;&gt;J48))</f>
        <v>0</v>
      </c>
      <c r="L78" s="2">
        <f>IF(OR(L48="",K48=""),0,--(L48&lt;&gt;K48))</f>
        <v>0</v>
      </c>
      <c r="M78" s="2">
        <f>IF(OR(M48="",L48=""),0,--(M48&lt;&gt;L48))</f>
        <v>0</v>
      </c>
      <c r="N78" s="2">
        <f>IF(OR(N48="",M48=""),0,--(N48&lt;&gt;M48))</f>
        <v>0</v>
      </c>
      <c r="O78" s="2">
        <f>IF(OR(O48="",N48=""),0,--(O48&lt;&gt;N48))</f>
        <v>0</v>
      </c>
      <c r="P78" s="2">
        <f>IF(OR(P48="",O48=""),0,--(P48&lt;&gt;O48))</f>
        <v>0</v>
      </c>
      <c r="Q78" s="2">
        <f>IF(OR(Q48="",P48=""),0,--(Q48&lt;&gt;P48))</f>
        <v>0</v>
      </c>
      <c r="R78" s="2">
        <f>IF(OR(R48="",Q48=""),0,--(R48&lt;&gt;Q48))</f>
        <v>0</v>
      </c>
      <c r="S78" s="2">
        <f>IF(OR(S48="",R48=""),0,--(S48&lt;&gt;R48))</f>
        <v>0</v>
      </c>
      <c r="T78" s="2">
        <f>IF(OR(T48="",S48=""),0,--(T48&lt;&gt;S48))</f>
        <v>0</v>
      </c>
      <c r="U78" s="2">
        <f>IF(OR(U48="",T48=""),0,--(U48&lt;&gt;T48))</f>
        <v>0</v>
      </c>
      <c r="V78" s="2">
        <f>IF(OR(V48="",U48=""),0,--(V48&lt;&gt;U48))</f>
        <v>0</v>
      </c>
      <c r="W78" s="2">
        <f>IF(OR(W48="",V48=""),0,--(W48&lt;&gt;V48))</f>
        <v>0</v>
      </c>
      <c r="X78" s="2">
        <f>IF(OR(X48="",W48=""),0,--(X48&lt;&gt;W48))</f>
        <v>0</v>
      </c>
      <c r="Y78" s="2">
        <f>IF(OR(Y48="",X48=""),0,--(Y48&lt;&gt;X48))</f>
        <v>0</v>
      </c>
      <c r="Z78" s="2">
        <f>IF(OR(Z48="",Y48=""),0,--(Z48&lt;&gt;Y48))</f>
        <v>0</v>
      </c>
      <c r="AA78" s="2">
        <f>IF(OR(AA48="",Z48=""),0,--(AA48&lt;&gt;Z48))</f>
        <v>0</v>
      </c>
      <c r="AB78" s="2">
        <f>IF(OR(AB48="",AA48=""),0,--(AB48&lt;&gt;AA48))</f>
        <v>0</v>
      </c>
      <c r="AC78" s="2">
        <f>IF(OR(AC48="",AB48=""),0,--(AC48&lt;&gt;AB48))</f>
        <v>0</v>
      </c>
      <c r="AD78" s="2">
        <f>IF(OR(AD48="",AC48=""),0,--(AD48&lt;&gt;AC48))</f>
        <v>0</v>
      </c>
      <c r="AE78" s="2">
        <f>IF(OR(AE48="",AD48=""),0,--(AE48&lt;&gt;AD48))</f>
        <v>0</v>
      </c>
      <c r="AF78" s="2">
        <f>IF(OR(AF48="",AE48=""),0,--(AF48&lt;&gt;AE48))</f>
        <v>0</v>
      </c>
      <c r="AG78" s="2">
        <f>IF(OR(AG48="",AF48=""),0,--(AG48&lt;&gt;AF48))</f>
        <v>0</v>
      </c>
      <c r="AH78" s="2">
        <f>IF(OR(AH48="",AG48=""),0,--(AH48&lt;&gt;AG48))</f>
        <v>0</v>
      </c>
      <c r="AI78" s="2">
        <f>IF(OR(AI48="",AH48=""),0,--(AI48&lt;&gt;AH48))</f>
        <v>0</v>
      </c>
      <c r="AJ78" s="2">
        <f>IF(OR(AJ48="",AI48=""),0,--(AJ48&lt;&gt;AI48))</f>
        <v>0</v>
      </c>
      <c r="AK78" s="2">
        <f>IF(OR(AK48="",AJ48=""),0,--(AK48&lt;&gt;AJ48))</f>
        <v>0</v>
      </c>
      <c r="AL78" s="2">
        <f>IF(OR(AL48="",AK48=""),0,--(AL48&lt;&gt;AK48))</f>
        <v>0</v>
      </c>
      <c r="AM78" s="2">
        <f>IF(OR(AM48="",AL48=""),0,--(AM48&lt;&gt;AL48))</f>
        <v>0</v>
      </c>
      <c r="AN78" s="2">
        <f>IF(OR(AN48="",AM48=""),0,--(AN48&lt;&gt;AM48))</f>
        <v>0</v>
      </c>
      <c r="AO78" s="2">
        <f>IF(OR(AO48="",AN48=""),0,--(AO48&lt;&gt;AN48))</f>
        <v>0</v>
      </c>
      <c r="AP78" s="2">
        <f>IF(OR(AP48="",AO48=""),0,--(AP48&lt;&gt;AO48))</f>
        <v>0</v>
      </c>
      <c r="AQ78" s="2">
        <f>IF(OR(AQ48="",AP48=""),0,--(AQ48&lt;&gt;AP48))</f>
        <v>0</v>
      </c>
      <c r="AR78" s="2">
        <f>IF(OR(AR48="",AQ48=""),0,--(AR48&lt;&gt;AQ48))</f>
        <v>0</v>
      </c>
      <c r="AS78" s="2">
        <f>IF(OR(AS48="",AR48=""),0,--(AS48&lt;&gt;AR48))</f>
        <v>0</v>
      </c>
      <c r="AT78" s="2">
        <f>IF(OR(AT48="",AS48=""),0,--(AT48&lt;&gt;AS48))</f>
        <v>0</v>
      </c>
      <c r="AU78" s="2">
        <f>IF(OR(AU48="",AT48=""),0,--(AU48&lt;&gt;AT48))</f>
        <v>0</v>
      </c>
      <c r="AV78" s="2">
        <f>IF(OR(AV48="",AU48=""),0,--(AV48&lt;&gt;AU48))</f>
        <v>0</v>
      </c>
      <c r="AW78" s="2">
        <f>IF(OR(AW48="",AV48=""),0,--(AW48&lt;&gt;AV48))</f>
        <v>0</v>
      </c>
      <c r="AX78" s="2">
        <f>IF(OR(AX48="",AW48=""),0,--(AX48&lt;&gt;AW48))</f>
        <v>0</v>
      </c>
      <c r="AY78" s="2">
        <f>IF(OR(AY48="",AX48=""),0,--(AY48&lt;&gt;AX48))</f>
        <v>0</v>
      </c>
      <c r="AZ78" s="2">
        <f>IF(OR(AZ48="",AY48=""),0,--(AZ48&lt;&gt;AY48))</f>
        <v>1</v>
      </c>
      <c r="BA78" s="2">
        <f>IF(OR(BA48="",AZ48=""),0,--(BA48&lt;&gt;AZ48))</f>
        <v>1</v>
      </c>
      <c r="BB78" s="2">
        <f>IF(OR(BB48="",BA48=""),0,--(BB48&lt;&gt;BA48))</f>
        <v>0</v>
      </c>
      <c r="BC78" s="2">
        <f>IF(OR(BC48="",BB48=""),0,--(BC48&lt;&gt;BB48))</f>
        <v>0</v>
      </c>
      <c r="BD78" s="2">
        <f>IF(OR(BD48="",BC48=""),0,--(BD48&lt;&gt;BC48))</f>
        <v>0</v>
      </c>
      <c r="BE78" s="2">
        <f>IF(OR(BE48="",BD48=""),0,--(BE48&lt;&gt;BD48))</f>
        <v>0</v>
      </c>
      <c r="BF78" s="2">
        <f>IF(OR(BF48="",BE48=""),0,--(BF48&lt;&gt;BE48))</f>
        <v>0</v>
      </c>
      <c r="BG78" s="2">
        <f>IF(OR(BG48="",BF48=""),0,--(BG48&lt;&gt;BF48))</f>
        <v>0</v>
      </c>
      <c r="BH78" s="2">
        <f>IF(OR(BH48="",BG48=""),0,--(BH48&lt;&gt;BG48))</f>
        <v>0</v>
      </c>
      <c r="BI78" s="2">
        <f>IF(OR(BI48="",BH48=""),0,--(BI48&lt;&gt;BH48))</f>
        <v>0</v>
      </c>
      <c r="BJ78" s="2">
        <f>IF(OR(BJ48="",BI48=""),0,--(BJ48&lt;&gt;BI48))</f>
        <v>0</v>
      </c>
      <c r="BK78" s="2">
        <f>IF(OR(BK48="",BJ48=""),0,--(BK48&lt;&gt;BJ48))</f>
        <v>0</v>
      </c>
      <c r="BL78" s="2">
        <f>IF(OR(BL48="",BK48=""),0,--(BL48&lt;&gt;BK48))</f>
        <v>0</v>
      </c>
      <c r="BM78" s="2">
        <f>IF(OR(BM48="",BL48=""),0,--(BM48&lt;&gt;BL48))</f>
        <v>0</v>
      </c>
      <c r="BN78" s="2">
        <f>IF(OR(BN48="",BM48=""),0,--(BN48&lt;&gt;BM48))</f>
        <v>0</v>
      </c>
      <c r="BO78" s="2">
        <f>IF(OR(BO48="",BN48=""),0,--(BO48&lt;&gt;BN48))</f>
        <v>0</v>
      </c>
      <c r="BP78" s="2">
        <f>IF(OR(BP48="",BO48=""),0,--(BP48&lt;&gt;BO48))</f>
        <v>0</v>
      </c>
      <c r="BQ78" s="2">
        <f>IF(OR(BQ48="",BP48=""),0,--(BQ48&lt;&gt;BP48))</f>
        <v>0</v>
      </c>
      <c r="BR78" s="2">
        <f>IF(OR(BR48="",BQ48=""),0,--(BR48&lt;&gt;BQ48))</f>
        <v>0</v>
      </c>
      <c r="BS78" s="2">
        <f>IF(OR(BS48="",BR48=""),0,--(BS48&lt;&gt;BR48))</f>
        <v>0</v>
      </c>
      <c r="BT78" s="2">
        <f>IF(OR(BT48="",BS48=""),0,--(BT48&lt;&gt;BS48))</f>
        <v>0</v>
      </c>
      <c r="BU78" s="2">
        <f>IF(OR(BU48="",BT48=""),0,--(BU48&lt;&gt;BT48))</f>
        <v>0</v>
      </c>
      <c r="BV78" s="2">
        <f>IF(OR(BV48="",BU48=""),0,--(BV48&lt;&gt;BU48))</f>
        <v>0</v>
      </c>
      <c r="BW78" s="2">
        <f>IF(OR(BW48="",BV48=""),0,--(BW48&lt;&gt;BV48))</f>
        <v>0</v>
      </c>
      <c r="BX78" s="2">
        <f>IF(OR(BX48="",BW48=""),0,--(BX48&lt;&gt;BW48))</f>
        <v>0</v>
      </c>
      <c r="BY78" s="2">
        <f>IF(OR(BY48="",BX48=""),0,--(BY48&lt;&gt;BX48))</f>
        <v>0</v>
      </c>
      <c r="BZ78" s="2">
        <f>IF(OR(BZ48="",BY48=""),0,--(BZ48&lt;&gt;BY48))</f>
        <v>1</v>
      </c>
      <c r="CA78" s="2">
        <f>IF(OR(CA48="",BZ48=""),0,--(CA48&lt;&gt;BZ48))</f>
        <v>0</v>
      </c>
      <c r="CB78" s="2">
        <f>IF(OR(CB48="",CA48=""),0,--(CB48&lt;&gt;CA48))</f>
        <v>0</v>
      </c>
      <c r="CC78" s="2">
        <f>IF(OR(CC48="",CB48=""),0,--(CC48&lt;&gt;CB48))</f>
        <v>0</v>
      </c>
      <c r="CD78" s="2">
        <f>IF(OR(CD48="",CC48=""),0,--(CD48&lt;&gt;CC48))</f>
        <v>0</v>
      </c>
      <c r="CE78" s="2">
        <f>IF(OR(CE48="",CD48=""),0,--(CE48&lt;&gt;CD48))</f>
        <v>0</v>
      </c>
      <c r="CF78" s="2">
        <f>IF(OR(CF48="",CE48=""),0,--(CF48&lt;&gt;CE48))</f>
        <v>0</v>
      </c>
      <c r="CG78" s="2">
        <f>IF(OR(CG48="",CF48=""),0,--(CG48&lt;&gt;CF48))</f>
        <v>0</v>
      </c>
      <c r="CH78" s="2">
        <f>IF(OR(CH48="",CG48=""),0,--(CH48&lt;&gt;CG48))</f>
        <v>0</v>
      </c>
      <c r="CI78" s="2">
        <f>IF(OR(CI48="",CH48=""),0,--(CI48&lt;&gt;CH48))</f>
        <v>0</v>
      </c>
      <c r="CJ78" s="2">
        <f>IF(OR(CJ48="",CI48=""),0,--(CJ48&lt;&gt;CI48))</f>
        <v>0</v>
      </c>
      <c r="CK78" s="2">
        <f>IF(OR(CK48="",CJ48=""),0,--(CK48&lt;&gt;CJ48))</f>
        <v>0</v>
      </c>
      <c r="CL78" s="2">
        <f>IF(OR(CL48="",CK48=""),0,--(CL48&lt;&gt;CK48))</f>
        <v>0</v>
      </c>
      <c r="CM78" s="2">
        <f>IF(OR(CM48="",CL48=""),0,--(CM48&lt;&gt;CL48))</f>
        <v>0</v>
      </c>
      <c r="CN78" s="2">
        <f>IF(OR(CN48="",CM48=""),0,--(CN48&lt;&gt;CM48))</f>
        <v>0</v>
      </c>
      <c r="CO78" s="2">
        <f>IF(OR(CO48="",CN48=""),0,--(CO48&lt;&gt;CN48))</f>
        <v>0</v>
      </c>
      <c r="CP78" s="2">
        <f>IF(OR(CP48="",CO48=""),0,--(CP48&lt;&gt;CO48))</f>
        <v>0</v>
      </c>
      <c r="CQ78" s="2">
        <f>IF(OR(CQ48="",CP48=""),0,--(CQ48&lt;&gt;CP48))</f>
        <v>0</v>
      </c>
      <c r="CR78" s="2">
        <f>IF(OR(CR48="",CQ48=""),0,--(CR48&lt;&gt;CQ48))</f>
        <v>0</v>
      </c>
      <c r="CS78" s="2">
        <f>IF(OR(CS48="",CR48=""),0,--(CS48&lt;&gt;CR48))</f>
        <v>0</v>
      </c>
      <c r="CT78" s="2">
        <f>IF(OR(CT48="",CS48=""),0,--(CT48&lt;&gt;CS48))</f>
        <v>0</v>
      </c>
      <c r="CU78" s="2">
        <f>IF(OR(CU48="",CT48=""),0,--(CU48&lt;&gt;CT48))</f>
        <v>0</v>
      </c>
      <c r="CV78" s="2">
        <f>IF(OR(CV48="",CU48=""),0,--(CV48&lt;&gt;CU48))</f>
        <v>0</v>
      </c>
      <c r="CW78" s="2">
        <f>IF(OR(CW48="",CV48=""),0,--(CW48&lt;&gt;CV48))</f>
        <v>0</v>
      </c>
      <c r="CX78" s="2">
        <f>IF(OR(CX48="",CW48=""),0,--(CX48&lt;&gt;CW48))</f>
        <v>0</v>
      </c>
      <c r="CY78" s="2">
        <f>IF(OR(CY48="",CX48=""),0,--(CY48&lt;&gt;CX48))</f>
        <v>0</v>
      </c>
      <c r="CZ78" s="2">
        <f>IF(OR(CZ48="",CY48=""),0,--(CZ48&lt;&gt;CY48))</f>
        <v>0</v>
      </c>
      <c r="DA78" s="2">
        <f>IF(OR(DA48="",CZ48=""),0,--(DA48&lt;&gt;CZ48))</f>
        <v>0</v>
      </c>
      <c r="DB78" s="2">
        <f>IF(OR(DB48="",DA48=""),0,--(DB48&lt;&gt;DA48))</f>
        <v>0</v>
      </c>
      <c r="DC78" s="2">
        <f>IF(OR(DC48="",DB48=""),0,--(DC48&lt;&gt;DB48))</f>
        <v>0</v>
      </c>
      <c r="DD78" s="2">
        <f>IF(OR(DD48="",DC48=""),0,--(DD48&lt;&gt;DC48))</f>
        <v>0</v>
      </c>
      <c r="DE78" s="2">
        <f>IF(OR(DE48="",DD48=""),0,--(DE48&lt;&gt;DD48))</f>
        <v>0</v>
      </c>
      <c r="DF78" s="2">
        <f>IF(OR(DF48="",DE48=""),0,--(DF48&lt;&gt;DE48))</f>
        <v>0</v>
      </c>
      <c r="DG78" s="2">
        <f>IF(OR(DG48="",DF48=""),0,--(DG48&lt;&gt;DF48))</f>
        <v>0</v>
      </c>
      <c r="DH78" s="2">
        <f>IF(OR(DH48="",DG48=""),0,--(DH48&lt;&gt;DG48))</f>
        <v>0</v>
      </c>
      <c r="DI78" s="2">
        <f>IF(OR(DI48="",DH48=""),0,--(DI48&lt;&gt;DH48))</f>
        <v>0</v>
      </c>
      <c r="DJ78" s="2">
        <f>IF(OR(DJ48="",DI48=""),0,--(DJ48&lt;&gt;DI48))</f>
        <v>0</v>
      </c>
      <c r="DK78" s="2">
        <f>IF(OR(DK48="",DJ48=""),0,--(DK48&lt;&gt;DJ48))</f>
        <v>0</v>
      </c>
      <c r="DL78" s="2">
        <f>IF(OR(DL48="",DK48=""),0,--(DL48&lt;&gt;DK48))</f>
        <v>0</v>
      </c>
      <c r="DM78" s="2">
        <f>IF(OR(DM48="",DL48=""),0,--(DM48&lt;&gt;DL48))</f>
        <v>0</v>
      </c>
      <c r="DN78" s="2">
        <f>IF(OR(DN48="",DM48=""),0,--(DN48&lt;&gt;DM48))</f>
        <v>0</v>
      </c>
      <c r="DO78" s="2">
        <f>IF(OR(DO48="",DN48=""),0,--(DO48&lt;&gt;DN48))</f>
        <v>0</v>
      </c>
      <c r="DP78" s="2">
        <f>IF(OR(DP48="",DO48=""),0,--(DP48&lt;&gt;DO48))</f>
        <v>0</v>
      </c>
      <c r="DQ78" s="2">
        <f>IF(OR(DQ48="",DP48=""),0,--(DQ48&lt;&gt;DP48))</f>
        <v>0</v>
      </c>
      <c r="DR78" s="2">
        <f>IF(OR(DR48="",DQ48=""),0,--(DR48&lt;&gt;DQ48))</f>
        <v>0</v>
      </c>
      <c r="DS78" s="2">
        <f>IF(OR(DS48="",DR48=""),0,--(DS48&lt;&gt;DR48))</f>
        <v>0</v>
      </c>
      <c r="DT78" s="2">
        <f>IF(OR(DT48="",DS48=""),0,--(DT48&lt;&gt;DS48))</f>
        <v>0</v>
      </c>
      <c r="DU78" s="2">
        <f>IF(OR(DU48="",DT48=""),0,--(DU48&lt;&gt;DT48))</f>
        <v>0</v>
      </c>
      <c r="DV78" s="2">
        <f>IF(OR(DV48="",DU48=""),0,--(DV48&lt;&gt;DU48))</f>
        <v>0</v>
      </c>
      <c r="DW78" s="2">
        <f>IF(OR(DW48="",DV48=""),0,--(DW48&lt;&gt;DV48))</f>
        <v>0</v>
      </c>
      <c r="DX78" s="2">
        <f>IF(OR(DX48="",DW48=""),0,--(DX48&lt;&gt;DW48))</f>
        <v>0</v>
      </c>
      <c r="DY78" s="2">
        <f>IF(OR(DY48="",DX48=""),0,--(DY48&lt;&gt;DX48))</f>
        <v>0</v>
      </c>
      <c r="DZ78" s="2">
        <f>IF(OR(DZ48="",DY48=""),0,--(DZ48&lt;&gt;DY48))</f>
        <v>0</v>
      </c>
      <c r="EA78" s="2">
        <f>IF(OR(EA48="",DZ48=""),0,--(EA48&lt;&gt;DZ48))</f>
        <v>0</v>
      </c>
      <c r="EB78" s="2">
        <f>IF(OR(EB48="",EA48=""),0,--(EB48&lt;&gt;EA48))</f>
        <v>0</v>
      </c>
      <c r="EC78" s="2">
        <f>IF(OR(EC48="",EB48=""),0,--(EC48&lt;&gt;EB48))</f>
        <v>0</v>
      </c>
      <c r="ED78" s="2">
        <f>IF(OR(ED48="",EC48=""),0,--(ED48&lt;&gt;EC48))</f>
        <v>0</v>
      </c>
      <c r="EE78" s="2">
        <f>IF(OR(EE48="",ED48=""),0,--(EE48&lt;&gt;ED48))</f>
        <v>0</v>
      </c>
      <c r="EF78" s="2">
        <f>IF(OR(EF48="",EE48=""),0,--(EF48&lt;&gt;EE48))</f>
        <v>0</v>
      </c>
      <c r="EG78" s="2">
        <f>IF(OR(EG48="",EF48=""),0,--(EG48&lt;&gt;EF48))</f>
        <v>0</v>
      </c>
      <c r="EH78" s="2">
        <f>IF(OR(EH48="",EG48=""),0,--(EH48&lt;&gt;EG48))</f>
        <v>0</v>
      </c>
      <c r="EI78" s="2">
        <f>IF(OR(EI48="",EH48=""),0,--(EI48&lt;&gt;EH48))</f>
        <v>0</v>
      </c>
      <c r="EJ78" s="2">
        <f>IF(OR(EJ48="",EI48=""),0,--(EJ48&lt;&gt;EI48))</f>
        <v>0</v>
      </c>
      <c r="EK78" s="2">
        <f>IF(OR(EK48="",EJ48=""),0,--(EK48&lt;&gt;EJ48))</f>
        <v>0</v>
      </c>
      <c r="EL78" s="2">
        <f>IF(OR(EL48="",EK48=""),0,--(EL48&lt;&gt;EK48))</f>
        <v>0</v>
      </c>
      <c r="EM78" s="2">
        <f>IF(OR(EM48="",EL48=""),0,--(EM48&lt;&gt;EL48))</f>
        <v>0</v>
      </c>
      <c r="EN78" s="2">
        <f>IF(OR(EN48="",EM48=""),0,--(EN48&lt;&gt;EM48))</f>
        <v>0</v>
      </c>
      <c r="EO78" s="2">
        <f>IF(OR(EO48="",EN48=""),0,--(EO48&lt;&gt;EN48))</f>
        <v>0</v>
      </c>
      <c r="EP78" s="2">
        <f>IF(OR(EP48="",EO48=""),0,--(EP48&lt;&gt;EO48))</f>
        <v>0</v>
      </c>
      <c r="EQ78" s="2">
        <f>IF(OR(EQ48="",EP48=""),0,--(EQ48&lt;&gt;EP48))</f>
        <v>0</v>
      </c>
      <c r="ER78" s="2">
        <f>IF(OR(ER48="",EQ48=""),0,--(ER48&lt;&gt;EQ48))</f>
        <v>0</v>
      </c>
      <c r="ES78" s="2">
        <f>IF(OR(ES48="",ER48=""),0,--(ES48&lt;&gt;ER48))</f>
        <v>0</v>
      </c>
      <c r="ET78" s="2">
        <f>IF(OR(ET48="",ES48=""),0,--(ET48&lt;&gt;ES48))</f>
        <v>0</v>
      </c>
      <c r="EU78" s="2">
        <f>IF(OR(EU48="",ET48=""),0,--(EU48&lt;&gt;ET48))</f>
        <v>0</v>
      </c>
      <c r="EV78" s="2">
        <f>IF(OR(EV48="",EU48=""),0,--(EV48&lt;&gt;EU48))</f>
        <v>0</v>
      </c>
      <c r="EW78" s="2">
        <f>IF(OR(EW48="",EV48=""),0,--(EW48&lt;&gt;EV48))</f>
        <v>0</v>
      </c>
      <c r="EX78" s="2">
        <f>IF(OR(EX48="",EW48=""),0,--(EX48&lt;&gt;EW48))</f>
        <v>0</v>
      </c>
      <c r="EY78" s="2">
        <f>IF(OR(EY48="",EX48=""),0,--(EY48&lt;&gt;EX48))</f>
        <v>0</v>
      </c>
      <c r="EZ78" s="2">
        <f>IF(OR(EZ48="",EY48=""),0,--(EZ48&lt;&gt;EY48))</f>
        <v>0</v>
      </c>
      <c r="FA78" s="2">
        <f>IF(OR(FA48="",EZ48=""),0,--(FA48&lt;&gt;EZ48))</f>
        <v>0</v>
      </c>
      <c r="FB78" s="2">
        <f>IF(OR(FB48="",FA48=""),0,--(FB48&lt;&gt;FA48))</f>
        <v>0</v>
      </c>
      <c r="FC78" s="2">
        <f>IF(OR(FC48="",FB48=""),0,--(FC48&lt;&gt;FB48))</f>
        <v>0</v>
      </c>
      <c r="FD78" s="2">
        <f>IF(OR(FD48="",FC48=""),0,--(FD48&lt;&gt;FC48))</f>
        <v>0</v>
      </c>
      <c r="FE78" s="2">
        <f>IF(OR(FE48="",FD48=""),0,--(FE48&lt;&gt;FD48))</f>
        <v>0</v>
      </c>
      <c r="FF78" s="2">
        <f>IF(OR(FF48="",FE48=""),0,--(FF48&lt;&gt;FE48))</f>
        <v>0</v>
      </c>
      <c r="FG78" s="2">
        <f>IF(OR(FG48="",FF48=""),0,--(FG48&lt;&gt;FF48))</f>
        <v>0</v>
      </c>
      <c r="FH78" s="2">
        <f>IF(OR(FH48="",FG48=""),0,--(FH48&lt;&gt;FG48))</f>
        <v>0</v>
      </c>
      <c r="FI78" s="2">
        <f>IF(OR(FI48="",FH48=""),0,--(FI48&lt;&gt;FH48))</f>
        <v>0</v>
      </c>
      <c r="FJ78" s="2">
        <f>IF(OR(FJ48="",FI48=""),0,--(FJ48&lt;&gt;FI48))</f>
        <v>0</v>
      </c>
      <c r="FK78" s="2">
        <f>IF(OR(FK48="",FJ48=""),0,--(FK48&lt;&gt;FJ48))</f>
        <v>0</v>
      </c>
      <c r="FL78" s="2">
        <f>IF(OR(FL48="",FK48=""),0,--(FL48&lt;&gt;FK48))</f>
        <v>0</v>
      </c>
      <c r="FM78" s="2">
        <f>IF(OR(FM48="",FL48=""),0,--(FM48&lt;&gt;FL48))</f>
        <v>0</v>
      </c>
      <c r="FN78" s="2">
        <f>IF(OR(FN48="",FM48=""),0,--(FN48&lt;&gt;FM48))</f>
        <v>0</v>
      </c>
      <c r="FO78" s="2">
        <f>IF(OR(FO48="",FN48=""),0,--(FO48&lt;&gt;FN48))</f>
        <v>0</v>
      </c>
      <c r="FP78" s="2">
        <f>IF(OR(FP48="",FO48=""),0,--(FP48&lt;&gt;FO48))</f>
        <v>0</v>
      </c>
      <c r="FQ78" s="2">
        <f>IF(OR(FQ48="",FP48=""),0,--(FQ48&lt;&gt;FP48))</f>
        <v>0</v>
      </c>
      <c r="FR78" s="2">
        <f>IF(OR(FR48="",FQ48=""),0,--(FR48&lt;&gt;FQ48))</f>
        <v>0</v>
      </c>
      <c r="FS78" s="2">
        <f>IF(OR(FS48="",FR48=""),0,--(FS48&lt;&gt;FR48))</f>
        <v>0</v>
      </c>
      <c r="FT78" s="2">
        <f>IF(OR(FT48="",FS48=""),0,--(FT48&lt;&gt;FS48))</f>
        <v>0</v>
      </c>
      <c r="FU78" s="2">
        <f>IF(OR(FU48="",FT48=""),0,--(FU48&lt;&gt;FT48))</f>
        <v>0</v>
      </c>
      <c r="FV78" s="2">
        <f>IF(OR(FV48="",FU48=""),0,--(FV48&lt;&gt;FU48))</f>
        <v>0</v>
      </c>
      <c r="FW78" s="2">
        <f>IF(OR(FW48="",FV48=""),0,--(FW48&lt;&gt;FV48))</f>
        <v>0</v>
      </c>
      <c r="FX78" s="2">
        <f>IF(OR(FX48="",FW48=""),0,--(FX48&lt;&gt;FW48))</f>
        <v>0</v>
      </c>
      <c r="FY78" s="2">
        <f>IF(OR(FY48="",FX48=""),0,--(FY48&lt;&gt;FX48))</f>
        <v>0</v>
      </c>
      <c r="FZ78" s="2">
        <f>IF(OR(FZ48="",FY48=""),0,--(FZ48&lt;&gt;FY48))</f>
        <v>0</v>
      </c>
      <c r="GA78" s="2">
        <f>IF(OR(GA48="",FZ48=""),0,--(GA48&lt;&gt;FZ48))</f>
        <v>0</v>
      </c>
      <c r="GB78" s="2">
        <f>IF(OR(GB48="",GA48=""),0,--(GB48&lt;&gt;GA48))</f>
        <v>0</v>
      </c>
      <c r="GC78" s="2">
        <f>IF(OR(GC48="",GB48=""),0,--(GC48&lt;&gt;GB48))</f>
        <v>0</v>
      </c>
      <c r="GD78" s="2">
        <f>IF(OR(GD48="",GC48=""),0,--(GD48&lt;&gt;GC48))</f>
        <v>0</v>
      </c>
      <c r="GE78" s="2">
        <f>IF(OR(GE48="",GD48=""),0,--(GE48&lt;&gt;GD48))</f>
        <v>0</v>
      </c>
      <c r="GF78" s="2">
        <f>IF(OR(GF48="",GE48=""),0,--(GF48&lt;&gt;GE48))</f>
        <v>0</v>
      </c>
      <c r="GG78" s="2">
        <f>IF(OR(GG48="",GF48=""),0,--(GG48&lt;&gt;GF48))</f>
        <v>0</v>
      </c>
      <c r="GH78" s="2">
        <f>IF(OR(GH48="",GG48=""),0,--(GH48&lt;&gt;GG48))</f>
        <v>0</v>
      </c>
      <c r="GI78" s="2">
        <f>IF(OR(GI48="",GH48=""),0,--(GI48&lt;&gt;GH48))</f>
        <v>0</v>
      </c>
      <c r="GJ78" s="2">
        <f>IF(OR(GJ48="",GI48=""),0,--(GJ48&lt;&gt;GI48))</f>
        <v>0</v>
      </c>
      <c r="GK78" s="2">
        <f>IF(OR(GK48="",GJ48=""),0,--(GK48&lt;&gt;GJ48))</f>
        <v>0</v>
      </c>
      <c r="GL78" s="2">
        <f>IF(OR(GL48="",GK48=""),0,--(GL48&lt;&gt;GK48))</f>
        <v>0</v>
      </c>
      <c r="GM78" s="2">
        <f>IF(OR(GM48="",GL48=""),0,--(GM48&lt;&gt;GL48))</f>
        <v>0</v>
      </c>
      <c r="GN78" s="2">
        <f>IF(OR(GN48="",GM48=""),0,--(GN48&lt;&gt;GM48))</f>
        <v>0</v>
      </c>
      <c r="GO78" s="2">
        <f>IF(OR(GO48="",GN48=""),0,--(GO48&lt;&gt;GN48))</f>
        <v>0</v>
      </c>
      <c r="GP78" s="2">
        <f>IF(OR(GP48="",GO48=""),0,--(GP48&lt;&gt;GO48))</f>
        <v>0</v>
      </c>
      <c r="GQ78" s="2">
        <f>IF(OR(GQ48="",GP48=""),0,--(GQ48&lt;&gt;GP48))</f>
        <v>0</v>
      </c>
      <c r="GR78" s="2">
        <f>IF(OR(GR48="",GQ48=""),0,--(GR48&lt;&gt;GQ48))</f>
        <v>0</v>
      </c>
      <c r="GS78" s="2">
        <f>IF(OR(GS48="",GR48=""),0,--(GS48&lt;&gt;GR48))</f>
        <v>0</v>
      </c>
      <c r="GY78" s="15">
        <f>SUM($B78:$DB78)</f>
        <v>3</v>
      </c>
    </row>
    <row r="79" spans="1:207">
      <c r="A79" s="2">
        <f>$A49</f>
        <v>14</v>
      </c>
      <c r="B79" s="2">
        <f>0</f>
        <v>0</v>
      </c>
      <c r="C79" s="2">
        <f>IF(OR(C49="",B49=""),0,--(C49&lt;&gt;B49))</f>
        <v>0</v>
      </c>
      <c r="D79" s="2">
        <f>IF(OR(D49="",C49=""),0,--(D49&lt;&gt;C49))</f>
        <v>0</v>
      </c>
      <c r="E79" s="2">
        <f>IF(OR(E49="",D49=""),0,--(E49&lt;&gt;D49))</f>
        <v>0</v>
      </c>
      <c r="F79" s="2">
        <f>IF(OR(F49="",E49=""),0,--(F49&lt;&gt;E49))</f>
        <v>0</v>
      </c>
      <c r="G79" s="2">
        <f>IF(OR(G49="",F49=""),0,--(G49&lt;&gt;F49))</f>
        <v>0</v>
      </c>
      <c r="H79" s="2">
        <f>IF(OR(H49="",G49=""),0,--(H49&lt;&gt;G49))</f>
        <v>0</v>
      </c>
      <c r="I79" s="2">
        <f>IF(OR(I49="",H49=""),0,--(I49&lt;&gt;H49))</f>
        <v>0</v>
      </c>
      <c r="J79" s="2">
        <f>IF(OR(J49="",I49=""),0,--(J49&lt;&gt;I49))</f>
        <v>0</v>
      </c>
      <c r="K79" s="2">
        <f>IF(OR(K49="",J49=""),0,--(K49&lt;&gt;J49))</f>
        <v>0</v>
      </c>
      <c r="L79" s="2">
        <f>IF(OR(L49="",K49=""),0,--(L49&lt;&gt;K49))</f>
        <v>0</v>
      </c>
      <c r="M79" s="2">
        <f>IF(OR(M49="",L49=""),0,--(M49&lt;&gt;L49))</f>
        <v>0</v>
      </c>
      <c r="N79" s="2">
        <f>IF(OR(N49="",M49=""),0,--(N49&lt;&gt;M49))</f>
        <v>0</v>
      </c>
      <c r="O79" s="2">
        <f>IF(OR(O49="",N49=""),0,--(O49&lt;&gt;N49))</f>
        <v>1</v>
      </c>
      <c r="P79" s="2">
        <f>IF(OR(P49="",O49=""),0,--(P49&lt;&gt;O49))</f>
        <v>1</v>
      </c>
      <c r="Q79" s="2">
        <f>IF(OR(Q49="",P49=""),0,--(Q49&lt;&gt;P49))</f>
        <v>0</v>
      </c>
      <c r="R79" s="2">
        <f>IF(OR(R49="",Q49=""),0,--(R49&lt;&gt;Q49))</f>
        <v>0</v>
      </c>
      <c r="S79" s="2">
        <f>IF(OR(S49="",R49=""),0,--(S49&lt;&gt;R49))</f>
        <v>0</v>
      </c>
      <c r="T79" s="2">
        <f>IF(OR(T49="",S49=""),0,--(T49&lt;&gt;S49))</f>
        <v>0</v>
      </c>
      <c r="U79" s="2">
        <f>IF(OR(U49="",T49=""),0,--(U49&lt;&gt;T49))</f>
        <v>0</v>
      </c>
      <c r="V79" s="2">
        <f>IF(OR(V49="",U49=""),0,--(V49&lt;&gt;U49))</f>
        <v>0</v>
      </c>
      <c r="W79" s="2">
        <f>IF(OR(W49="",V49=""),0,--(W49&lt;&gt;V49))</f>
        <v>0</v>
      </c>
      <c r="X79" s="2">
        <f>IF(OR(X49="",W49=""),0,--(X49&lt;&gt;W49))</f>
        <v>0</v>
      </c>
      <c r="Y79" s="2">
        <f>IF(OR(Y49="",X49=""),0,--(Y49&lt;&gt;X49))</f>
        <v>0</v>
      </c>
      <c r="Z79" s="2">
        <f>IF(OR(Z49="",Y49=""),0,--(Z49&lt;&gt;Y49))</f>
        <v>0</v>
      </c>
      <c r="AA79" s="2">
        <f>IF(OR(AA49="",Z49=""),0,--(AA49&lt;&gt;Z49))</f>
        <v>0</v>
      </c>
      <c r="AB79" s="2">
        <f>IF(OR(AB49="",AA49=""),0,--(AB49&lt;&gt;AA49))</f>
        <v>0</v>
      </c>
      <c r="AC79" s="2">
        <f>IF(OR(AC49="",AB49=""),0,--(AC49&lt;&gt;AB49))</f>
        <v>0</v>
      </c>
      <c r="AD79" s="2">
        <f>IF(OR(AD49="",AC49=""),0,--(AD49&lt;&gt;AC49))</f>
        <v>0</v>
      </c>
      <c r="AE79" s="2">
        <f>IF(OR(AE49="",AD49=""),0,--(AE49&lt;&gt;AD49))</f>
        <v>0</v>
      </c>
      <c r="AF79" s="2">
        <f>IF(OR(AF49="",AE49=""),0,--(AF49&lt;&gt;AE49))</f>
        <v>0</v>
      </c>
      <c r="AG79" s="2">
        <f>IF(OR(AG49="",AF49=""),0,--(AG49&lt;&gt;AF49))</f>
        <v>0</v>
      </c>
      <c r="AH79" s="2">
        <f>IF(OR(AH49="",AG49=""),0,--(AH49&lt;&gt;AG49))</f>
        <v>0</v>
      </c>
      <c r="AI79" s="2">
        <f>IF(OR(AI49="",AH49=""),0,--(AI49&lt;&gt;AH49))</f>
        <v>0</v>
      </c>
      <c r="AJ79" s="2">
        <f>IF(OR(AJ49="",AI49=""),0,--(AJ49&lt;&gt;AI49))</f>
        <v>0</v>
      </c>
      <c r="AK79" s="2">
        <f>IF(OR(AK49="",AJ49=""),0,--(AK49&lt;&gt;AJ49))</f>
        <v>0</v>
      </c>
      <c r="AL79" s="2">
        <f>IF(OR(AL49="",AK49=""),0,--(AL49&lt;&gt;AK49))</f>
        <v>0</v>
      </c>
      <c r="AM79" s="2">
        <f>IF(OR(AM49="",AL49=""),0,--(AM49&lt;&gt;AL49))</f>
        <v>0</v>
      </c>
      <c r="AN79" s="2">
        <f>IF(OR(AN49="",AM49=""),0,--(AN49&lt;&gt;AM49))</f>
        <v>0</v>
      </c>
      <c r="AO79" s="2">
        <f>IF(OR(AO49="",AN49=""),0,--(AO49&lt;&gt;AN49))</f>
        <v>0</v>
      </c>
      <c r="AP79" s="2">
        <f>IF(OR(AP49="",AO49=""),0,--(AP49&lt;&gt;AO49))</f>
        <v>0</v>
      </c>
      <c r="AQ79" s="2">
        <f>IF(OR(AQ49="",AP49=""),0,--(AQ49&lt;&gt;AP49))</f>
        <v>0</v>
      </c>
      <c r="AR79" s="2">
        <f>IF(OR(AR49="",AQ49=""),0,--(AR49&lt;&gt;AQ49))</f>
        <v>0</v>
      </c>
      <c r="AS79" s="2">
        <f>IF(OR(AS49="",AR49=""),0,--(AS49&lt;&gt;AR49))</f>
        <v>0</v>
      </c>
      <c r="AT79" s="2">
        <f>IF(OR(AT49="",AS49=""),0,--(AT49&lt;&gt;AS49))</f>
        <v>0</v>
      </c>
      <c r="AU79" s="2">
        <f>IF(OR(AU49="",AT49=""),0,--(AU49&lt;&gt;AT49))</f>
        <v>0</v>
      </c>
      <c r="AV79" s="2">
        <f>IF(OR(AV49="",AU49=""),0,--(AV49&lt;&gt;AU49))</f>
        <v>0</v>
      </c>
      <c r="AW79" s="2">
        <f>IF(OR(AW49="",AV49=""),0,--(AW49&lt;&gt;AV49))</f>
        <v>0</v>
      </c>
      <c r="AX79" s="2">
        <f>IF(OR(AX49="",AW49=""),0,--(AX49&lt;&gt;AW49))</f>
        <v>0</v>
      </c>
      <c r="AY79" s="2">
        <f>IF(OR(AY49="",AX49=""),0,--(AY49&lt;&gt;AX49))</f>
        <v>0</v>
      </c>
      <c r="AZ79" s="2">
        <f>IF(OR(AZ49="",AY49=""),0,--(AZ49&lt;&gt;AY49))</f>
        <v>0</v>
      </c>
      <c r="BA79" s="2">
        <f>IF(OR(BA49="",AZ49=""),0,--(BA49&lt;&gt;AZ49))</f>
        <v>0</v>
      </c>
      <c r="BB79" s="2">
        <f>IF(OR(BB49="",BA49=""),0,--(BB49&lt;&gt;BA49))</f>
        <v>0</v>
      </c>
      <c r="BC79" s="2">
        <f>IF(OR(BC49="",BB49=""),0,--(BC49&lt;&gt;BB49))</f>
        <v>0</v>
      </c>
      <c r="BD79" s="2">
        <f>IF(OR(BD49="",BC49=""),0,--(BD49&lt;&gt;BC49))</f>
        <v>0</v>
      </c>
      <c r="BE79" s="2">
        <f>IF(OR(BE49="",BD49=""),0,--(BE49&lt;&gt;BD49))</f>
        <v>0</v>
      </c>
      <c r="BF79" s="2">
        <f>IF(OR(BF49="",BE49=""),0,--(BF49&lt;&gt;BE49))</f>
        <v>0</v>
      </c>
      <c r="BG79" s="2">
        <f>IF(OR(BG49="",BF49=""),0,--(BG49&lt;&gt;BF49))</f>
        <v>0</v>
      </c>
      <c r="BH79" s="2">
        <f>IF(OR(BH49="",BG49=""),0,--(BH49&lt;&gt;BG49))</f>
        <v>0</v>
      </c>
      <c r="BI79" s="2">
        <f>IF(OR(BI49="",BH49=""),0,--(BI49&lt;&gt;BH49))</f>
        <v>0</v>
      </c>
      <c r="BJ79" s="2">
        <f>IF(OR(BJ49="",BI49=""),0,--(BJ49&lt;&gt;BI49))</f>
        <v>0</v>
      </c>
      <c r="BK79" s="2">
        <f>IF(OR(BK49="",BJ49=""),0,--(BK49&lt;&gt;BJ49))</f>
        <v>0</v>
      </c>
      <c r="BL79" s="2">
        <f>IF(OR(BL49="",BK49=""),0,--(BL49&lt;&gt;BK49))</f>
        <v>0</v>
      </c>
      <c r="BM79" s="2">
        <f>IF(OR(BM49="",BL49=""),0,--(BM49&lt;&gt;BL49))</f>
        <v>0</v>
      </c>
      <c r="BN79" s="2">
        <f>IF(OR(BN49="",BM49=""),0,--(BN49&lt;&gt;BM49))</f>
        <v>0</v>
      </c>
      <c r="BO79" s="2">
        <f>IF(OR(BO49="",BN49=""),0,--(BO49&lt;&gt;BN49))</f>
        <v>0</v>
      </c>
      <c r="BP79" s="2">
        <f>IF(OR(BP49="",BO49=""),0,--(BP49&lt;&gt;BO49))</f>
        <v>0</v>
      </c>
      <c r="BQ79" s="2">
        <f>IF(OR(BQ49="",BP49=""),0,--(BQ49&lt;&gt;BP49))</f>
        <v>0</v>
      </c>
      <c r="BR79" s="2">
        <f>IF(OR(BR49="",BQ49=""),0,--(BR49&lt;&gt;BQ49))</f>
        <v>0</v>
      </c>
      <c r="BS79" s="2">
        <f>IF(OR(BS49="",BR49=""),0,--(BS49&lt;&gt;BR49))</f>
        <v>0</v>
      </c>
      <c r="BT79" s="2">
        <f>IF(OR(BT49="",BS49=""),0,--(BT49&lt;&gt;BS49))</f>
        <v>0</v>
      </c>
      <c r="BU79" s="2">
        <f>IF(OR(BU49="",BT49=""),0,--(BU49&lt;&gt;BT49))</f>
        <v>0</v>
      </c>
      <c r="BV79" s="2">
        <f>IF(OR(BV49="",BU49=""),0,--(BV49&lt;&gt;BU49))</f>
        <v>0</v>
      </c>
      <c r="BW79" s="2">
        <f>IF(OR(BW49="",BV49=""),0,--(BW49&lt;&gt;BV49))</f>
        <v>0</v>
      </c>
      <c r="BX79" s="2">
        <f>IF(OR(BX49="",BW49=""),0,--(BX49&lt;&gt;BW49))</f>
        <v>0</v>
      </c>
      <c r="BY79" s="2">
        <f>IF(OR(BY49="",BX49=""),0,--(BY49&lt;&gt;BX49))</f>
        <v>0</v>
      </c>
      <c r="BZ79" s="2">
        <f>IF(OR(BZ49="",BY49=""),0,--(BZ49&lt;&gt;BY49))</f>
        <v>0</v>
      </c>
      <c r="CA79" s="2">
        <f>IF(OR(CA49="",BZ49=""),0,--(CA49&lt;&gt;BZ49))</f>
        <v>0</v>
      </c>
      <c r="CB79" s="2">
        <f>IF(OR(CB49="",CA49=""),0,--(CB49&lt;&gt;CA49))</f>
        <v>0</v>
      </c>
      <c r="CC79" s="2">
        <f>IF(OR(CC49="",CB49=""),0,--(CC49&lt;&gt;CB49))</f>
        <v>0</v>
      </c>
      <c r="CD79" s="2">
        <f>IF(OR(CD49="",CC49=""),0,--(CD49&lt;&gt;CC49))</f>
        <v>1</v>
      </c>
      <c r="CE79" s="2">
        <f>IF(OR(CE49="",CD49=""),0,--(CE49&lt;&gt;CD49))</f>
        <v>0</v>
      </c>
      <c r="CF79" s="2">
        <f>IF(OR(CF49="",CE49=""),0,--(CF49&lt;&gt;CE49))</f>
        <v>0</v>
      </c>
      <c r="CG79" s="2">
        <f>IF(OR(CG49="",CF49=""),0,--(CG49&lt;&gt;CF49))</f>
        <v>0</v>
      </c>
      <c r="CH79" s="2">
        <f>IF(OR(CH49="",CG49=""),0,--(CH49&lt;&gt;CG49))</f>
        <v>0</v>
      </c>
      <c r="CI79" s="2">
        <f>IF(OR(CI49="",CH49=""),0,--(CI49&lt;&gt;CH49))</f>
        <v>0</v>
      </c>
      <c r="CJ79" s="2">
        <f>IF(OR(CJ49="",CI49=""),0,--(CJ49&lt;&gt;CI49))</f>
        <v>0</v>
      </c>
      <c r="CK79" s="2">
        <f>IF(OR(CK49="",CJ49=""),0,--(CK49&lt;&gt;CJ49))</f>
        <v>0</v>
      </c>
      <c r="CL79" s="2">
        <f>IF(OR(CL49="",CK49=""),0,--(CL49&lt;&gt;CK49))</f>
        <v>0</v>
      </c>
      <c r="CM79" s="2">
        <f>IF(OR(CM49="",CL49=""),0,--(CM49&lt;&gt;CL49))</f>
        <v>0</v>
      </c>
      <c r="CN79" s="2">
        <f>IF(OR(CN49="",CM49=""),0,--(CN49&lt;&gt;CM49))</f>
        <v>0</v>
      </c>
      <c r="CO79" s="2">
        <f>IF(OR(CO49="",CN49=""),0,--(CO49&lt;&gt;CN49))</f>
        <v>0</v>
      </c>
      <c r="CP79" s="2">
        <f>IF(OR(CP49="",CO49=""),0,--(CP49&lt;&gt;CO49))</f>
        <v>0</v>
      </c>
      <c r="CQ79" s="2">
        <f>IF(OR(CQ49="",CP49=""),0,--(CQ49&lt;&gt;CP49))</f>
        <v>0</v>
      </c>
      <c r="CR79" s="2">
        <f>IF(OR(CR49="",CQ49=""),0,--(CR49&lt;&gt;CQ49))</f>
        <v>0</v>
      </c>
      <c r="CS79" s="2">
        <f>IF(OR(CS49="",CR49=""),0,--(CS49&lt;&gt;CR49))</f>
        <v>0</v>
      </c>
      <c r="CT79" s="2">
        <f>IF(OR(CT49="",CS49=""),0,--(CT49&lt;&gt;CS49))</f>
        <v>0</v>
      </c>
      <c r="CU79" s="2">
        <f>IF(OR(CU49="",CT49=""),0,--(CU49&lt;&gt;CT49))</f>
        <v>0</v>
      </c>
      <c r="CV79" s="2">
        <f>IF(OR(CV49="",CU49=""),0,--(CV49&lt;&gt;CU49))</f>
        <v>0</v>
      </c>
      <c r="CW79" s="2">
        <f>IF(OR(CW49="",CV49=""),0,--(CW49&lt;&gt;CV49))</f>
        <v>0</v>
      </c>
      <c r="CX79" s="2">
        <f>IF(OR(CX49="",CW49=""),0,--(CX49&lt;&gt;CW49))</f>
        <v>0</v>
      </c>
      <c r="CY79" s="2">
        <f>IF(OR(CY49="",CX49=""),0,--(CY49&lt;&gt;CX49))</f>
        <v>0</v>
      </c>
      <c r="CZ79" s="2">
        <f>IF(OR(CZ49="",CY49=""),0,--(CZ49&lt;&gt;CY49))</f>
        <v>0</v>
      </c>
      <c r="DA79" s="2">
        <f>IF(OR(DA49="",CZ49=""),0,--(DA49&lt;&gt;CZ49))</f>
        <v>0</v>
      </c>
      <c r="DB79" s="2">
        <f>IF(OR(DB49="",DA49=""),0,--(DB49&lt;&gt;DA49))</f>
        <v>0</v>
      </c>
      <c r="DC79" s="2">
        <f>IF(OR(DC49="",DB49=""),0,--(DC49&lt;&gt;DB49))</f>
        <v>0</v>
      </c>
      <c r="DD79" s="2">
        <f>IF(OR(DD49="",DC49=""),0,--(DD49&lt;&gt;DC49))</f>
        <v>0</v>
      </c>
      <c r="DE79" s="2">
        <f>IF(OR(DE49="",DD49=""),0,--(DE49&lt;&gt;DD49))</f>
        <v>0</v>
      </c>
      <c r="DF79" s="2">
        <f>IF(OR(DF49="",DE49=""),0,--(DF49&lt;&gt;DE49))</f>
        <v>0</v>
      </c>
      <c r="DG79" s="2">
        <f>IF(OR(DG49="",DF49=""),0,--(DG49&lt;&gt;DF49))</f>
        <v>0</v>
      </c>
      <c r="DH79" s="2">
        <f>IF(OR(DH49="",DG49=""),0,--(DH49&lt;&gt;DG49))</f>
        <v>0</v>
      </c>
      <c r="DI79" s="2">
        <f>IF(OR(DI49="",DH49=""),0,--(DI49&lt;&gt;DH49))</f>
        <v>0</v>
      </c>
      <c r="DJ79" s="2">
        <f>IF(OR(DJ49="",DI49=""),0,--(DJ49&lt;&gt;DI49))</f>
        <v>0</v>
      </c>
      <c r="DK79" s="2">
        <f>IF(OR(DK49="",DJ49=""),0,--(DK49&lt;&gt;DJ49))</f>
        <v>0</v>
      </c>
      <c r="DL79" s="2">
        <f>IF(OR(DL49="",DK49=""),0,--(DL49&lt;&gt;DK49))</f>
        <v>0</v>
      </c>
      <c r="DM79" s="2">
        <f>IF(OR(DM49="",DL49=""),0,--(DM49&lt;&gt;DL49))</f>
        <v>0</v>
      </c>
      <c r="DN79" s="2">
        <f>IF(OR(DN49="",DM49=""),0,--(DN49&lt;&gt;DM49))</f>
        <v>0</v>
      </c>
      <c r="DO79" s="2">
        <f>IF(OR(DO49="",DN49=""),0,--(DO49&lt;&gt;DN49))</f>
        <v>0</v>
      </c>
      <c r="DP79" s="2">
        <f>IF(OR(DP49="",DO49=""),0,--(DP49&lt;&gt;DO49))</f>
        <v>0</v>
      </c>
      <c r="DQ79" s="2">
        <f>IF(OR(DQ49="",DP49=""),0,--(DQ49&lt;&gt;DP49))</f>
        <v>0</v>
      </c>
      <c r="DR79" s="2">
        <f>IF(OR(DR49="",DQ49=""),0,--(DR49&lt;&gt;DQ49))</f>
        <v>0</v>
      </c>
      <c r="DS79" s="2">
        <f>IF(OR(DS49="",DR49=""),0,--(DS49&lt;&gt;DR49))</f>
        <v>0</v>
      </c>
      <c r="DT79" s="2">
        <f>IF(OR(DT49="",DS49=""),0,--(DT49&lt;&gt;DS49))</f>
        <v>0</v>
      </c>
      <c r="DU79" s="2">
        <f>IF(OR(DU49="",DT49=""),0,--(DU49&lt;&gt;DT49))</f>
        <v>0</v>
      </c>
      <c r="DV79" s="2">
        <f>IF(OR(DV49="",DU49=""),0,--(DV49&lt;&gt;DU49))</f>
        <v>0</v>
      </c>
      <c r="DW79" s="2">
        <f>IF(OR(DW49="",DV49=""),0,--(DW49&lt;&gt;DV49))</f>
        <v>0</v>
      </c>
      <c r="DX79" s="2">
        <f>IF(OR(DX49="",DW49=""),0,--(DX49&lt;&gt;DW49))</f>
        <v>0</v>
      </c>
      <c r="DY79" s="2">
        <f>IF(OR(DY49="",DX49=""),0,--(DY49&lt;&gt;DX49))</f>
        <v>0</v>
      </c>
      <c r="DZ79" s="2">
        <f>IF(OR(DZ49="",DY49=""),0,--(DZ49&lt;&gt;DY49))</f>
        <v>0</v>
      </c>
      <c r="EA79" s="2">
        <f>IF(OR(EA49="",DZ49=""),0,--(EA49&lt;&gt;DZ49))</f>
        <v>0</v>
      </c>
      <c r="EB79" s="2">
        <f>IF(OR(EB49="",EA49=""),0,--(EB49&lt;&gt;EA49))</f>
        <v>0</v>
      </c>
      <c r="EC79" s="2">
        <f>IF(OR(EC49="",EB49=""),0,--(EC49&lt;&gt;EB49))</f>
        <v>0</v>
      </c>
      <c r="ED79" s="2">
        <f>IF(OR(ED49="",EC49=""),0,--(ED49&lt;&gt;EC49))</f>
        <v>0</v>
      </c>
      <c r="EE79" s="2">
        <f>IF(OR(EE49="",ED49=""),0,--(EE49&lt;&gt;ED49))</f>
        <v>0</v>
      </c>
      <c r="EF79" s="2">
        <f>IF(OR(EF49="",EE49=""),0,--(EF49&lt;&gt;EE49))</f>
        <v>0</v>
      </c>
      <c r="EG79" s="2">
        <f>IF(OR(EG49="",EF49=""),0,--(EG49&lt;&gt;EF49))</f>
        <v>0</v>
      </c>
      <c r="EH79" s="2">
        <f>IF(OR(EH49="",EG49=""),0,--(EH49&lt;&gt;EG49))</f>
        <v>0</v>
      </c>
      <c r="EI79" s="2">
        <f>IF(OR(EI49="",EH49=""),0,--(EI49&lt;&gt;EH49))</f>
        <v>0</v>
      </c>
      <c r="EJ79" s="2">
        <f>IF(OR(EJ49="",EI49=""),0,--(EJ49&lt;&gt;EI49))</f>
        <v>0</v>
      </c>
      <c r="EK79" s="2">
        <f>IF(OR(EK49="",EJ49=""),0,--(EK49&lt;&gt;EJ49))</f>
        <v>0</v>
      </c>
      <c r="EL79" s="2">
        <f>IF(OR(EL49="",EK49=""),0,--(EL49&lt;&gt;EK49))</f>
        <v>0</v>
      </c>
      <c r="EM79" s="2">
        <f>IF(OR(EM49="",EL49=""),0,--(EM49&lt;&gt;EL49))</f>
        <v>0</v>
      </c>
      <c r="EN79" s="2">
        <f>IF(OR(EN49="",EM49=""),0,--(EN49&lt;&gt;EM49))</f>
        <v>0</v>
      </c>
      <c r="EO79" s="2">
        <f>IF(OR(EO49="",EN49=""),0,--(EO49&lt;&gt;EN49))</f>
        <v>0</v>
      </c>
      <c r="EP79" s="2">
        <f>IF(OR(EP49="",EO49=""),0,--(EP49&lt;&gt;EO49))</f>
        <v>0</v>
      </c>
      <c r="EQ79" s="2">
        <f>IF(OR(EQ49="",EP49=""),0,--(EQ49&lt;&gt;EP49))</f>
        <v>0</v>
      </c>
      <c r="ER79" s="2">
        <f>IF(OR(ER49="",EQ49=""),0,--(ER49&lt;&gt;EQ49))</f>
        <v>0</v>
      </c>
      <c r="ES79" s="2">
        <f>IF(OR(ES49="",ER49=""),0,--(ES49&lt;&gt;ER49))</f>
        <v>0</v>
      </c>
      <c r="ET79" s="2">
        <f>IF(OR(ET49="",ES49=""),0,--(ET49&lt;&gt;ES49))</f>
        <v>0</v>
      </c>
      <c r="EU79" s="2">
        <f>IF(OR(EU49="",ET49=""),0,--(EU49&lt;&gt;ET49))</f>
        <v>0</v>
      </c>
      <c r="EV79" s="2">
        <f>IF(OR(EV49="",EU49=""),0,--(EV49&lt;&gt;EU49))</f>
        <v>0</v>
      </c>
      <c r="EW79" s="2">
        <f>IF(OR(EW49="",EV49=""),0,--(EW49&lt;&gt;EV49))</f>
        <v>0</v>
      </c>
      <c r="EX79" s="2">
        <f>IF(OR(EX49="",EW49=""),0,--(EX49&lt;&gt;EW49))</f>
        <v>0</v>
      </c>
      <c r="EY79" s="2">
        <f>IF(OR(EY49="",EX49=""),0,--(EY49&lt;&gt;EX49))</f>
        <v>0</v>
      </c>
      <c r="EZ79" s="2">
        <f>IF(OR(EZ49="",EY49=""),0,--(EZ49&lt;&gt;EY49))</f>
        <v>0</v>
      </c>
      <c r="FA79" s="2">
        <f>IF(OR(FA49="",EZ49=""),0,--(FA49&lt;&gt;EZ49))</f>
        <v>0</v>
      </c>
      <c r="FB79" s="2">
        <f>IF(OR(FB49="",FA49=""),0,--(FB49&lt;&gt;FA49))</f>
        <v>0</v>
      </c>
      <c r="FC79" s="2">
        <f>IF(OR(FC49="",FB49=""),0,--(FC49&lt;&gt;FB49))</f>
        <v>0</v>
      </c>
      <c r="FD79" s="2">
        <f>IF(OR(FD49="",FC49=""),0,--(FD49&lt;&gt;FC49))</f>
        <v>0</v>
      </c>
      <c r="FE79" s="2">
        <f>IF(OR(FE49="",FD49=""),0,--(FE49&lt;&gt;FD49))</f>
        <v>0</v>
      </c>
      <c r="FF79" s="2">
        <f>IF(OR(FF49="",FE49=""),0,--(FF49&lt;&gt;FE49))</f>
        <v>0</v>
      </c>
      <c r="FG79" s="2">
        <f>IF(OR(FG49="",FF49=""),0,--(FG49&lt;&gt;FF49))</f>
        <v>0</v>
      </c>
      <c r="FH79" s="2">
        <f>IF(OR(FH49="",FG49=""),0,--(FH49&lt;&gt;FG49))</f>
        <v>0</v>
      </c>
      <c r="FI79" s="2">
        <f>IF(OR(FI49="",FH49=""),0,--(FI49&lt;&gt;FH49))</f>
        <v>0</v>
      </c>
      <c r="FJ79" s="2">
        <f>IF(OR(FJ49="",FI49=""),0,--(FJ49&lt;&gt;FI49))</f>
        <v>0</v>
      </c>
      <c r="FK79" s="2">
        <f>IF(OR(FK49="",FJ49=""),0,--(FK49&lt;&gt;FJ49))</f>
        <v>0</v>
      </c>
      <c r="FL79" s="2">
        <f>IF(OR(FL49="",FK49=""),0,--(FL49&lt;&gt;FK49))</f>
        <v>0</v>
      </c>
      <c r="FM79" s="2">
        <f>IF(OR(FM49="",FL49=""),0,--(FM49&lt;&gt;FL49))</f>
        <v>0</v>
      </c>
      <c r="FN79" s="2">
        <f>IF(OR(FN49="",FM49=""),0,--(FN49&lt;&gt;FM49))</f>
        <v>0</v>
      </c>
      <c r="FO79" s="2">
        <f>IF(OR(FO49="",FN49=""),0,--(FO49&lt;&gt;FN49))</f>
        <v>0</v>
      </c>
      <c r="FP79" s="2">
        <f>IF(OR(FP49="",FO49=""),0,--(FP49&lt;&gt;FO49))</f>
        <v>0</v>
      </c>
      <c r="FQ79" s="2">
        <f>IF(OR(FQ49="",FP49=""),0,--(FQ49&lt;&gt;FP49))</f>
        <v>0</v>
      </c>
      <c r="FR79" s="2">
        <f>IF(OR(FR49="",FQ49=""),0,--(FR49&lt;&gt;FQ49))</f>
        <v>0</v>
      </c>
      <c r="FS79" s="2">
        <f>IF(OR(FS49="",FR49=""),0,--(FS49&lt;&gt;FR49))</f>
        <v>0</v>
      </c>
      <c r="FT79" s="2">
        <f>IF(OR(FT49="",FS49=""),0,--(FT49&lt;&gt;FS49))</f>
        <v>0</v>
      </c>
      <c r="FU79" s="2">
        <f>IF(OR(FU49="",FT49=""),0,--(FU49&lt;&gt;FT49))</f>
        <v>0</v>
      </c>
      <c r="FV79" s="2">
        <f>IF(OR(FV49="",FU49=""),0,--(FV49&lt;&gt;FU49))</f>
        <v>0</v>
      </c>
      <c r="FW79" s="2">
        <f>IF(OR(FW49="",FV49=""),0,--(FW49&lt;&gt;FV49))</f>
        <v>0</v>
      </c>
      <c r="FX79" s="2">
        <f>IF(OR(FX49="",FW49=""),0,--(FX49&lt;&gt;FW49))</f>
        <v>0</v>
      </c>
      <c r="FY79" s="2">
        <f>IF(OR(FY49="",FX49=""),0,--(FY49&lt;&gt;FX49))</f>
        <v>0</v>
      </c>
      <c r="FZ79" s="2">
        <f>IF(OR(FZ49="",FY49=""),0,--(FZ49&lt;&gt;FY49))</f>
        <v>0</v>
      </c>
      <c r="GA79" s="2">
        <f>IF(OR(GA49="",FZ49=""),0,--(GA49&lt;&gt;FZ49))</f>
        <v>0</v>
      </c>
      <c r="GB79" s="2">
        <f>IF(OR(GB49="",GA49=""),0,--(GB49&lt;&gt;GA49))</f>
        <v>0</v>
      </c>
      <c r="GC79" s="2">
        <f>IF(OR(GC49="",GB49=""),0,--(GC49&lt;&gt;GB49))</f>
        <v>0</v>
      </c>
      <c r="GD79" s="2">
        <f>IF(OR(GD49="",GC49=""),0,--(GD49&lt;&gt;GC49))</f>
        <v>0</v>
      </c>
      <c r="GE79" s="2">
        <f>IF(OR(GE49="",GD49=""),0,--(GE49&lt;&gt;GD49))</f>
        <v>0</v>
      </c>
      <c r="GF79" s="2">
        <f>IF(OR(GF49="",GE49=""),0,--(GF49&lt;&gt;GE49))</f>
        <v>0</v>
      </c>
      <c r="GG79" s="2">
        <f>IF(OR(GG49="",GF49=""),0,--(GG49&lt;&gt;GF49))</f>
        <v>0</v>
      </c>
      <c r="GH79" s="2">
        <f>IF(OR(GH49="",GG49=""),0,--(GH49&lt;&gt;GG49))</f>
        <v>0</v>
      </c>
      <c r="GI79" s="2">
        <f>IF(OR(GI49="",GH49=""),0,--(GI49&lt;&gt;GH49))</f>
        <v>0</v>
      </c>
      <c r="GJ79" s="2">
        <f>IF(OR(GJ49="",GI49=""),0,--(GJ49&lt;&gt;GI49))</f>
        <v>0</v>
      </c>
      <c r="GK79" s="2">
        <f>IF(OR(GK49="",GJ49=""),0,--(GK49&lt;&gt;GJ49))</f>
        <v>0</v>
      </c>
      <c r="GL79" s="2">
        <f>IF(OR(GL49="",GK49=""),0,--(GL49&lt;&gt;GK49))</f>
        <v>0</v>
      </c>
      <c r="GM79" s="2">
        <f>IF(OR(GM49="",GL49=""),0,--(GM49&lt;&gt;GL49))</f>
        <v>0</v>
      </c>
      <c r="GN79" s="2">
        <f>IF(OR(GN49="",GM49=""),0,--(GN49&lt;&gt;GM49))</f>
        <v>0</v>
      </c>
      <c r="GO79" s="2">
        <f>IF(OR(GO49="",GN49=""),0,--(GO49&lt;&gt;GN49))</f>
        <v>0</v>
      </c>
      <c r="GP79" s="2">
        <f>IF(OR(GP49="",GO49=""),0,--(GP49&lt;&gt;GO49))</f>
        <v>0</v>
      </c>
      <c r="GQ79" s="2">
        <f>IF(OR(GQ49="",GP49=""),0,--(GQ49&lt;&gt;GP49))</f>
        <v>0</v>
      </c>
      <c r="GR79" s="2">
        <f>IF(OR(GR49="",GQ49=""),0,--(GR49&lt;&gt;GQ49))</f>
        <v>0</v>
      </c>
      <c r="GS79" s="2">
        <f>IF(OR(GS49="",GR49=""),0,--(GS49&lt;&gt;GR49))</f>
        <v>0</v>
      </c>
      <c r="GY79" s="15">
        <f>SUM($B79:$DB79)</f>
        <v>3</v>
      </c>
    </row>
    <row r="80" spans="1:207">
      <c r="A80" s="2">
        <f>$A50</f>
        <v>15</v>
      </c>
      <c r="B80" s="2">
        <f>0</f>
        <v>0</v>
      </c>
      <c r="C80" s="2">
        <f>IF(OR(C50="",B50=""),0,--(C50&lt;&gt;B50))</f>
        <v>0</v>
      </c>
      <c r="D80" s="2">
        <f>IF(OR(D50="",C50=""),0,--(D50&lt;&gt;C50))</f>
        <v>0</v>
      </c>
      <c r="E80" s="2">
        <f>IF(OR(E50="",D50=""),0,--(E50&lt;&gt;D50))</f>
        <v>0</v>
      </c>
      <c r="F80" s="2">
        <f>IF(OR(F50="",E50=""),0,--(F50&lt;&gt;E50))</f>
        <v>0</v>
      </c>
      <c r="G80" s="2">
        <f>IF(OR(G50="",F50=""),0,--(G50&lt;&gt;F50))</f>
        <v>0</v>
      </c>
      <c r="H80" s="2">
        <f>IF(OR(H50="",G50=""),0,--(H50&lt;&gt;G50))</f>
        <v>0</v>
      </c>
      <c r="I80" s="2">
        <f>IF(OR(I50="",H50=""),0,--(I50&lt;&gt;H50))</f>
        <v>0</v>
      </c>
      <c r="J80" s="2">
        <f>IF(OR(J50="",I50=""),0,--(J50&lt;&gt;I50))</f>
        <v>0</v>
      </c>
      <c r="K80" s="2">
        <f>IF(OR(K50="",J50=""),0,--(K50&lt;&gt;J50))</f>
        <v>0</v>
      </c>
      <c r="L80" s="2">
        <f>IF(OR(L50="",K50=""),0,--(L50&lt;&gt;K50))</f>
        <v>0</v>
      </c>
      <c r="M80" s="2">
        <f>IF(OR(M50="",L50=""),0,--(M50&lt;&gt;L50))</f>
        <v>0</v>
      </c>
      <c r="N80" s="2">
        <f>IF(OR(N50="",M50=""),0,--(N50&lt;&gt;M50))</f>
        <v>0</v>
      </c>
      <c r="O80" s="2">
        <f>IF(OR(O50="",N50=""),0,--(O50&lt;&gt;N50))</f>
        <v>1</v>
      </c>
      <c r="P80" s="2">
        <f>IF(OR(P50="",O50=""),0,--(P50&lt;&gt;O50))</f>
        <v>1</v>
      </c>
      <c r="Q80" s="2">
        <f>IF(OR(Q50="",P50=""),0,--(Q50&lt;&gt;P50))</f>
        <v>0</v>
      </c>
      <c r="R80" s="2">
        <f>IF(OR(R50="",Q50=""),0,--(R50&lt;&gt;Q50))</f>
        <v>0</v>
      </c>
      <c r="S80" s="2">
        <f>IF(OR(S50="",R50=""),0,--(S50&lt;&gt;R50))</f>
        <v>0</v>
      </c>
      <c r="T80" s="2">
        <f>IF(OR(T50="",S50=""),0,--(T50&lt;&gt;S50))</f>
        <v>0</v>
      </c>
      <c r="U80" s="2">
        <f>IF(OR(U50="",T50=""),0,--(U50&lt;&gt;T50))</f>
        <v>0</v>
      </c>
      <c r="V80" s="2">
        <f>IF(OR(V50="",U50=""),0,--(V50&lt;&gt;U50))</f>
        <v>0</v>
      </c>
      <c r="W80" s="2">
        <f>IF(OR(W50="",V50=""),0,--(W50&lt;&gt;V50))</f>
        <v>0</v>
      </c>
      <c r="X80" s="2">
        <f>IF(OR(X50="",W50=""),0,--(X50&lt;&gt;W50))</f>
        <v>0</v>
      </c>
      <c r="Y80" s="2">
        <f>IF(OR(Y50="",X50=""),0,--(Y50&lt;&gt;X50))</f>
        <v>0</v>
      </c>
      <c r="Z80" s="2">
        <f>IF(OR(Z50="",Y50=""),0,--(Z50&lt;&gt;Y50))</f>
        <v>0</v>
      </c>
      <c r="AA80" s="2">
        <f>IF(OR(AA50="",Z50=""),0,--(AA50&lt;&gt;Z50))</f>
        <v>0</v>
      </c>
      <c r="AB80" s="2">
        <f>IF(OR(AB50="",AA50=""),0,--(AB50&lt;&gt;AA50))</f>
        <v>0</v>
      </c>
      <c r="AC80" s="2">
        <f>IF(OR(AC50="",AB50=""),0,--(AC50&lt;&gt;AB50))</f>
        <v>0</v>
      </c>
      <c r="AD80" s="2">
        <f>IF(OR(AD50="",AC50=""),0,--(AD50&lt;&gt;AC50))</f>
        <v>0</v>
      </c>
      <c r="AE80" s="2">
        <f>IF(OR(AE50="",AD50=""),0,--(AE50&lt;&gt;AD50))</f>
        <v>0</v>
      </c>
      <c r="AF80" s="2">
        <f>IF(OR(AF50="",AE50=""),0,--(AF50&lt;&gt;AE50))</f>
        <v>0</v>
      </c>
      <c r="AG80" s="2">
        <f>IF(OR(AG50="",AF50=""),0,--(AG50&lt;&gt;AF50))</f>
        <v>0</v>
      </c>
      <c r="AH80" s="2">
        <f>IF(OR(AH50="",AG50=""),0,--(AH50&lt;&gt;AG50))</f>
        <v>0</v>
      </c>
      <c r="AI80" s="2">
        <f>IF(OR(AI50="",AH50=""),0,--(AI50&lt;&gt;AH50))</f>
        <v>0</v>
      </c>
      <c r="AJ80" s="2">
        <f>IF(OR(AJ50="",AI50=""),0,--(AJ50&lt;&gt;AI50))</f>
        <v>0</v>
      </c>
      <c r="AK80" s="2">
        <f>IF(OR(AK50="",AJ50=""),0,--(AK50&lt;&gt;AJ50))</f>
        <v>0</v>
      </c>
      <c r="AL80" s="2">
        <f>IF(OR(AL50="",AK50=""),0,--(AL50&lt;&gt;AK50))</f>
        <v>0</v>
      </c>
      <c r="AM80" s="2">
        <f>IF(OR(AM50="",AL50=""),0,--(AM50&lt;&gt;AL50))</f>
        <v>0</v>
      </c>
      <c r="AN80" s="2">
        <f>IF(OR(AN50="",AM50=""),0,--(AN50&lt;&gt;AM50))</f>
        <v>0</v>
      </c>
      <c r="AO80" s="2">
        <f>IF(OR(AO50="",AN50=""),0,--(AO50&lt;&gt;AN50))</f>
        <v>0</v>
      </c>
      <c r="AP80" s="2">
        <f>IF(OR(AP50="",AO50=""),0,--(AP50&lt;&gt;AO50))</f>
        <v>0</v>
      </c>
      <c r="AQ80" s="2">
        <f>IF(OR(AQ50="",AP50=""),0,--(AQ50&lt;&gt;AP50))</f>
        <v>0</v>
      </c>
      <c r="AR80" s="2">
        <f>IF(OR(AR50="",AQ50=""),0,--(AR50&lt;&gt;AQ50))</f>
        <v>0</v>
      </c>
      <c r="AS80" s="2">
        <f>IF(OR(AS50="",AR50=""),0,--(AS50&lt;&gt;AR50))</f>
        <v>0</v>
      </c>
      <c r="AT80" s="2">
        <f>IF(OR(AT50="",AS50=""),0,--(AT50&lt;&gt;AS50))</f>
        <v>0</v>
      </c>
      <c r="AU80" s="2">
        <f>IF(OR(AU50="",AT50=""),0,--(AU50&lt;&gt;AT50))</f>
        <v>0</v>
      </c>
      <c r="AV80" s="2">
        <f>IF(OR(AV50="",AU50=""),0,--(AV50&lt;&gt;AU50))</f>
        <v>0</v>
      </c>
      <c r="AW80" s="2">
        <f>IF(OR(AW50="",AV50=""),0,--(AW50&lt;&gt;AV50))</f>
        <v>0</v>
      </c>
      <c r="AX80" s="2">
        <f>IF(OR(AX50="",AW50=""),0,--(AX50&lt;&gt;AW50))</f>
        <v>0</v>
      </c>
      <c r="AY80" s="2">
        <f>IF(OR(AY50="",AX50=""),0,--(AY50&lt;&gt;AX50))</f>
        <v>0</v>
      </c>
      <c r="AZ80" s="2">
        <f>IF(OR(AZ50="",AY50=""),0,--(AZ50&lt;&gt;AY50))</f>
        <v>0</v>
      </c>
      <c r="BA80" s="2">
        <f>IF(OR(BA50="",AZ50=""),0,--(BA50&lt;&gt;AZ50))</f>
        <v>0</v>
      </c>
      <c r="BB80" s="2">
        <f>IF(OR(BB50="",BA50=""),0,--(BB50&lt;&gt;BA50))</f>
        <v>0</v>
      </c>
      <c r="BC80" s="2">
        <f>IF(OR(BC50="",BB50=""),0,--(BC50&lt;&gt;BB50))</f>
        <v>0</v>
      </c>
      <c r="BD80" s="2">
        <f>IF(OR(BD50="",BC50=""),0,--(BD50&lt;&gt;BC50))</f>
        <v>0</v>
      </c>
      <c r="BE80" s="2">
        <f>IF(OR(BE50="",BD50=""),0,--(BE50&lt;&gt;BD50))</f>
        <v>0</v>
      </c>
      <c r="BF80" s="2">
        <f>IF(OR(BF50="",BE50=""),0,--(BF50&lt;&gt;BE50))</f>
        <v>0</v>
      </c>
      <c r="BG80" s="2">
        <f>IF(OR(BG50="",BF50=""),0,--(BG50&lt;&gt;BF50))</f>
        <v>0</v>
      </c>
      <c r="BH80" s="2">
        <f>IF(OR(BH50="",BG50=""),0,--(BH50&lt;&gt;BG50))</f>
        <v>0</v>
      </c>
      <c r="BI80" s="2">
        <f>IF(OR(BI50="",BH50=""),0,--(BI50&lt;&gt;BH50))</f>
        <v>0</v>
      </c>
      <c r="BJ80" s="2">
        <f>IF(OR(BJ50="",BI50=""),0,--(BJ50&lt;&gt;BI50))</f>
        <v>0</v>
      </c>
      <c r="BK80" s="2">
        <f>IF(OR(BK50="",BJ50=""),0,--(BK50&lt;&gt;BJ50))</f>
        <v>0</v>
      </c>
      <c r="BL80" s="2">
        <f>IF(OR(BL50="",BK50=""),0,--(BL50&lt;&gt;BK50))</f>
        <v>0</v>
      </c>
      <c r="BM80" s="2">
        <f>IF(OR(BM50="",BL50=""),0,--(BM50&lt;&gt;BL50))</f>
        <v>0</v>
      </c>
      <c r="BN80" s="2">
        <f>IF(OR(BN50="",BM50=""),0,--(BN50&lt;&gt;BM50))</f>
        <v>0</v>
      </c>
      <c r="BO80" s="2">
        <f>IF(OR(BO50="",BN50=""),0,--(BO50&lt;&gt;BN50))</f>
        <v>0</v>
      </c>
      <c r="BP80" s="2">
        <f>IF(OR(BP50="",BO50=""),0,--(BP50&lt;&gt;BO50))</f>
        <v>0</v>
      </c>
      <c r="BQ80" s="2">
        <f>IF(OR(BQ50="",BP50=""),0,--(BQ50&lt;&gt;BP50))</f>
        <v>0</v>
      </c>
      <c r="BR80" s="2">
        <f>IF(OR(BR50="",BQ50=""),0,--(BR50&lt;&gt;BQ50))</f>
        <v>0</v>
      </c>
      <c r="BS80" s="2">
        <f>IF(OR(BS50="",BR50=""),0,--(BS50&lt;&gt;BR50))</f>
        <v>0</v>
      </c>
      <c r="BT80" s="2">
        <f>IF(OR(BT50="",BS50=""),0,--(BT50&lt;&gt;BS50))</f>
        <v>0</v>
      </c>
      <c r="BU80" s="2">
        <f>IF(OR(BU50="",BT50=""),0,--(BU50&lt;&gt;BT50))</f>
        <v>0</v>
      </c>
      <c r="BV80" s="2">
        <f>IF(OR(BV50="",BU50=""),0,--(BV50&lt;&gt;BU50))</f>
        <v>0</v>
      </c>
      <c r="BW80" s="2">
        <f>IF(OR(BW50="",BV50=""),0,--(BW50&lt;&gt;BV50))</f>
        <v>0</v>
      </c>
      <c r="BX80" s="2">
        <f>IF(OR(BX50="",BW50=""),0,--(BX50&lt;&gt;BW50))</f>
        <v>0</v>
      </c>
      <c r="BY80" s="2">
        <f>IF(OR(BY50="",BX50=""),0,--(BY50&lt;&gt;BX50))</f>
        <v>0</v>
      </c>
      <c r="BZ80" s="2">
        <f>IF(OR(BZ50="",BY50=""),0,--(BZ50&lt;&gt;BY50))</f>
        <v>0</v>
      </c>
      <c r="CA80" s="2">
        <f>IF(OR(CA50="",BZ50=""),0,--(CA50&lt;&gt;BZ50))</f>
        <v>0</v>
      </c>
      <c r="CB80" s="2">
        <f>IF(OR(CB50="",CA50=""),0,--(CB50&lt;&gt;CA50))</f>
        <v>0</v>
      </c>
      <c r="CC80" s="2">
        <f>IF(OR(CC50="",CB50=""),0,--(CC50&lt;&gt;CB50))</f>
        <v>0</v>
      </c>
      <c r="CD80" s="2">
        <f>IF(OR(CD50="",CC50=""),0,--(CD50&lt;&gt;CC50))</f>
        <v>1</v>
      </c>
      <c r="CE80" s="2">
        <f>IF(OR(CE50="",CD50=""),0,--(CE50&lt;&gt;CD50))</f>
        <v>0</v>
      </c>
      <c r="CF80" s="2">
        <f>IF(OR(CF50="",CE50=""),0,--(CF50&lt;&gt;CE50))</f>
        <v>0</v>
      </c>
      <c r="CG80" s="2">
        <f>IF(OR(CG50="",CF50=""),0,--(CG50&lt;&gt;CF50))</f>
        <v>0</v>
      </c>
      <c r="CH80" s="2">
        <f>IF(OR(CH50="",CG50=""),0,--(CH50&lt;&gt;CG50))</f>
        <v>0</v>
      </c>
      <c r="CI80" s="2">
        <f>IF(OR(CI50="",CH50=""),0,--(CI50&lt;&gt;CH50))</f>
        <v>0</v>
      </c>
      <c r="CJ80" s="2">
        <f>IF(OR(CJ50="",CI50=""),0,--(CJ50&lt;&gt;CI50))</f>
        <v>0</v>
      </c>
      <c r="CK80" s="2">
        <f>IF(OR(CK50="",CJ50=""),0,--(CK50&lt;&gt;CJ50))</f>
        <v>0</v>
      </c>
      <c r="CL80" s="2">
        <f>IF(OR(CL50="",CK50=""),0,--(CL50&lt;&gt;CK50))</f>
        <v>0</v>
      </c>
      <c r="CM80" s="2">
        <f>IF(OR(CM50="",CL50=""),0,--(CM50&lt;&gt;CL50))</f>
        <v>0</v>
      </c>
      <c r="CN80" s="2">
        <f>IF(OR(CN50="",CM50=""),0,--(CN50&lt;&gt;CM50))</f>
        <v>0</v>
      </c>
      <c r="CO80" s="2">
        <f>IF(OR(CO50="",CN50=""),0,--(CO50&lt;&gt;CN50))</f>
        <v>0</v>
      </c>
      <c r="CP80" s="2">
        <f>IF(OR(CP50="",CO50=""),0,--(CP50&lt;&gt;CO50))</f>
        <v>0</v>
      </c>
      <c r="CQ80" s="2">
        <f>IF(OR(CQ50="",CP50=""),0,--(CQ50&lt;&gt;CP50))</f>
        <v>0</v>
      </c>
      <c r="CR80" s="2">
        <f>IF(OR(CR50="",CQ50=""),0,--(CR50&lt;&gt;CQ50))</f>
        <v>0</v>
      </c>
      <c r="CS80" s="2">
        <f>IF(OR(CS50="",CR50=""),0,--(CS50&lt;&gt;CR50))</f>
        <v>0</v>
      </c>
      <c r="CT80" s="2">
        <f>IF(OR(CT50="",CS50=""),0,--(CT50&lt;&gt;CS50))</f>
        <v>0</v>
      </c>
      <c r="CU80" s="2">
        <f>IF(OR(CU50="",CT50=""),0,--(CU50&lt;&gt;CT50))</f>
        <v>0</v>
      </c>
      <c r="CV80" s="2">
        <f>IF(OR(CV50="",CU50=""),0,--(CV50&lt;&gt;CU50))</f>
        <v>0</v>
      </c>
      <c r="CW80" s="2">
        <f>IF(OR(CW50="",CV50=""),0,--(CW50&lt;&gt;CV50))</f>
        <v>0</v>
      </c>
      <c r="CX80" s="2">
        <f>IF(OR(CX50="",CW50=""),0,--(CX50&lt;&gt;CW50))</f>
        <v>0</v>
      </c>
      <c r="CY80" s="2">
        <f>IF(OR(CY50="",CX50=""),0,--(CY50&lt;&gt;CX50))</f>
        <v>0</v>
      </c>
      <c r="CZ80" s="2">
        <f>IF(OR(CZ50="",CY50=""),0,--(CZ50&lt;&gt;CY50))</f>
        <v>0</v>
      </c>
      <c r="DA80" s="2">
        <f>IF(OR(DA50="",CZ50=""),0,--(DA50&lt;&gt;CZ50))</f>
        <v>0</v>
      </c>
      <c r="DB80" s="2">
        <f>IF(OR(DB50="",DA50=""),0,--(DB50&lt;&gt;DA50))</f>
        <v>0</v>
      </c>
      <c r="DC80" s="2">
        <f>IF(OR(DC50="",DB50=""),0,--(DC50&lt;&gt;DB50))</f>
        <v>0</v>
      </c>
      <c r="DD80" s="2">
        <f>IF(OR(DD50="",DC50=""),0,--(DD50&lt;&gt;DC50))</f>
        <v>0</v>
      </c>
      <c r="DE80" s="2">
        <f>IF(OR(DE50="",DD50=""),0,--(DE50&lt;&gt;DD50))</f>
        <v>0</v>
      </c>
      <c r="DF80" s="2">
        <f>IF(OR(DF50="",DE50=""),0,--(DF50&lt;&gt;DE50))</f>
        <v>0</v>
      </c>
      <c r="DG80" s="2">
        <f>IF(OR(DG50="",DF50=""),0,--(DG50&lt;&gt;DF50))</f>
        <v>0</v>
      </c>
      <c r="DH80" s="2">
        <f>IF(OR(DH50="",DG50=""),0,--(DH50&lt;&gt;DG50))</f>
        <v>0</v>
      </c>
      <c r="DI80" s="2">
        <f>IF(OR(DI50="",DH50=""),0,--(DI50&lt;&gt;DH50))</f>
        <v>0</v>
      </c>
      <c r="DJ80" s="2">
        <f>IF(OR(DJ50="",DI50=""),0,--(DJ50&lt;&gt;DI50))</f>
        <v>0</v>
      </c>
      <c r="DK80" s="2">
        <f>IF(OR(DK50="",DJ50=""),0,--(DK50&lt;&gt;DJ50))</f>
        <v>0</v>
      </c>
      <c r="DL80" s="2">
        <f>IF(OR(DL50="",DK50=""),0,--(DL50&lt;&gt;DK50))</f>
        <v>0</v>
      </c>
      <c r="DM80" s="2">
        <f>IF(OR(DM50="",DL50=""),0,--(DM50&lt;&gt;DL50))</f>
        <v>0</v>
      </c>
      <c r="DN80" s="2">
        <f>IF(OR(DN50="",DM50=""),0,--(DN50&lt;&gt;DM50))</f>
        <v>0</v>
      </c>
      <c r="DO80" s="2">
        <f>IF(OR(DO50="",DN50=""),0,--(DO50&lt;&gt;DN50))</f>
        <v>0</v>
      </c>
      <c r="DP80" s="2">
        <f>IF(OR(DP50="",DO50=""),0,--(DP50&lt;&gt;DO50))</f>
        <v>0</v>
      </c>
      <c r="DQ80" s="2">
        <f>IF(OR(DQ50="",DP50=""),0,--(DQ50&lt;&gt;DP50))</f>
        <v>0</v>
      </c>
      <c r="DR80" s="2">
        <f>IF(OR(DR50="",DQ50=""),0,--(DR50&lt;&gt;DQ50))</f>
        <v>0</v>
      </c>
      <c r="DS80" s="2">
        <f>IF(OR(DS50="",DR50=""),0,--(DS50&lt;&gt;DR50))</f>
        <v>0</v>
      </c>
      <c r="DT80" s="2">
        <f>IF(OR(DT50="",DS50=""),0,--(DT50&lt;&gt;DS50))</f>
        <v>0</v>
      </c>
      <c r="DU80" s="2">
        <f>IF(OR(DU50="",DT50=""),0,--(DU50&lt;&gt;DT50))</f>
        <v>0</v>
      </c>
      <c r="DV80" s="2">
        <f>IF(OR(DV50="",DU50=""),0,--(DV50&lt;&gt;DU50))</f>
        <v>0</v>
      </c>
      <c r="DW80" s="2">
        <f>IF(OR(DW50="",DV50=""),0,--(DW50&lt;&gt;DV50))</f>
        <v>0</v>
      </c>
      <c r="DX80" s="2">
        <f>IF(OR(DX50="",DW50=""),0,--(DX50&lt;&gt;DW50))</f>
        <v>0</v>
      </c>
      <c r="DY80" s="2">
        <f>IF(OR(DY50="",DX50=""),0,--(DY50&lt;&gt;DX50))</f>
        <v>0</v>
      </c>
      <c r="DZ80" s="2">
        <f>IF(OR(DZ50="",DY50=""),0,--(DZ50&lt;&gt;DY50))</f>
        <v>0</v>
      </c>
      <c r="EA80" s="2">
        <f>IF(OR(EA50="",DZ50=""),0,--(EA50&lt;&gt;DZ50))</f>
        <v>0</v>
      </c>
      <c r="EB80" s="2">
        <f>IF(OR(EB50="",EA50=""),0,--(EB50&lt;&gt;EA50))</f>
        <v>0</v>
      </c>
      <c r="EC80" s="2">
        <f>IF(OR(EC50="",EB50=""),0,--(EC50&lt;&gt;EB50))</f>
        <v>0</v>
      </c>
      <c r="ED80" s="2">
        <f>IF(OR(ED50="",EC50=""),0,--(ED50&lt;&gt;EC50))</f>
        <v>0</v>
      </c>
      <c r="EE80" s="2">
        <f>IF(OR(EE50="",ED50=""),0,--(EE50&lt;&gt;ED50))</f>
        <v>0</v>
      </c>
      <c r="EF80" s="2">
        <f>IF(OR(EF50="",EE50=""),0,--(EF50&lt;&gt;EE50))</f>
        <v>0</v>
      </c>
      <c r="EG80" s="2">
        <f>IF(OR(EG50="",EF50=""),0,--(EG50&lt;&gt;EF50))</f>
        <v>0</v>
      </c>
      <c r="EH80" s="2">
        <f>IF(OR(EH50="",EG50=""),0,--(EH50&lt;&gt;EG50))</f>
        <v>0</v>
      </c>
      <c r="EI80" s="2">
        <f>IF(OR(EI50="",EH50=""),0,--(EI50&lt;&gt;EH50))</f>
        <v>0</v>
      </c>
      <c r="EJ80" s="2">
        <f>IF(OR(EJ50="",EI50=""),0,--(EJ50&lt;&gt;EI50))</f>
        <v>0</v>
      </c>
      <c r="EK80" s="2">
        <f>IF(OR(EK50="",EJ50=""),0,--(EK50&lt;&gt;EJ50))</f>
        <v>0</v>
      </c>
      <c r="EL80" s="2">
        <f>IF(OR(EL50="",EK50=""),0,--(EL50&lt;&gt;EK50))</f>
        <v>0</v>
      </c>
      <c r="EM80" s="2">
        <f>IF(OR(EM50="",EL50=""),0,--(EM50&lt;&gt;EL50))</f>
        <v>0</v>
      </c>
      <c r="EN80" s="2">
        <f>IF(OR(EN50="",EM50=""),0,--(EN50&lt;&gt;EM50))</f>
        <v>0</v>
      </c>
      <c r="EO80" s="2">
        <f>IF(OR(EO50="",EN50=""),0,--(EO50&lt;&gt;EN50))</f>
        <v>0</v>
      </c>
      <c r="EP80" s="2">
        <f>IF(OR(EP50="",EO50=""),0,--(EP50&lt;&gt;EO50))</f>
        <v>0</v>
      </c>
      <c r="EQ80" s="2">
        <f>IF(OR(EQ50="",EP50=""),0,--(EQ50&lt;&gt;EP50))</f>
        <v>0</v>
      </c>
      <c r="ER80" s="2">
        <f>IF(OR(ER50="",EQ50=""),0,--(ER50&lt;&gt;EQ50))</f>
        <v>0</v>
      </c>
      <c r="ES80" s="2">
        <f>IF(OR(ES50="",ER50=""),0,--(ES50&lt;&gt;ER50))</f>
        <v>0</v>
      </c>
      <c r="ET80" s="2">
        <f>IF(OR(ET50="",ES50=""),0,--(ET50&lt;&gt;ES50))</f>
        <v>0</v>
      </c>
      <c r="EU80" s="2">
        <f>IF(OR(EU50="",ET50=""),0,--(EU50&lt;&gt;ET50))</f>
        <v>0</v>
      </c>
      <c r="EV80" s="2">
        <f>IF(OR(EV50="",EU50=""),0,--(EV50&lt;&gt;EU50))</f>
        <v>0</v>
      </c>
      <c r="EW80" s="2">
        <f>IF(OR(EW50="",EV50=""),0,--(EW50&lt;&gt;EV50))</f>
        <v>0</v>
      </c>
      <c r="EX80" s="2">
        <f>IF(OR(EX50="",EW50=""),0,--(EX50&lt;&gt;EW50))</f>
        <v>0</v>
      </c>
      <c r="EY80" s="2">
        <f>IF(OR(EY50="",EX50=""),0,--(EY50&lt;&gt;EX50))</f>
        <v>0</v>
      </c>
      <c r="EZ80" s="2">
        <f>IF(OR(EZ50="",EY50=""),0,--(EZ50&lt;&gt;EY50))</f>
        <v>0</v>
      </c>
      <c r="FA80" s="2">
        <f>IF(OR(FA50="",EZ50=""),0,--(FA50&lt;&gt;EZ50))</f>
        <v>0</v>
      </c>
      <c r="FB80" s="2">
        <f>IF(OR(FB50="",FA50=""),0,--(FB50&lt;&gt;FA50))</f>
        <v>0</v>
      </c>
      <c r="FC80" s="2">
        <f>IF(OR(FC50="",FB50=""),0,--(FC50&lt;&gt;FB50))</f>
        <v>0</v>
      </c>
      <c r="FD80" s="2">
        <f>IF(OR(FD50="",FC50=""),0,--(FD50&lt;&gt;FC50))</f>
        <v>0</v>
      </c>
      <c r="FE80" s="2">
        <f>IF(OR(FE50="",FD50=""),0,--(FE50&lt;&gt;FD50))</f>
        <v>0</v>
      </c>
      <c r="FF80" s="2">
        <f>IF(OR(FF50="",FE50=""),0,--(FF50&lt;&gt;FE50))</f>
        <v>0</v>
      </c>
      <c r="FG80" s="2">
        <f>IF(OR(FG50="",FF50=""),0,--(FG50&lt;&gt;FF50))</f>
        <v>0</v>
      </c>
      <c r="FH80" s="2">
        <f>IF(OR(FH50="",FG50=""),0,--(FH50&lt;&gt;FG50))</f>
        <v>0</v>
      </c>
      <c r="FI80" s="2">
        <f>IF(OR(FI50="",FH50=""),0,--(FI50&lt;&gt;FH50))</f>
        <v>0</v>
      </c>
      <c r="FJ80" s="2">
        <f>IF(OR(FJ50="",FI50=""),0,--(FJ50&lt;&gt;FI50))</f>
        <v>0</v>
      </c>
      <c r="FK80" s="2">
        <f>IF(OR(FK50="",FJ50=""),0,--(FK50&lt;&gt;FJ50))</f>
        <v>0</v>
      </c>
      <c r="FL80" s="2">
        <f>IF(OR(FL50="",FK50=""),0,--(FL50&lt;&gt;FK50))</f>
        <v>0</v>
      </c>
      <c r="FM80" s="2">
        <f>IF(OR(FM50="",FL50=""),0,--(FM50&lt;&gt;FL50))</f>
        <v>0</v>
      </c>
      <c r="FN80" s="2">
        <f>IF(OR(FN50="",FM50=""),0,--(FN50&lt;&gt;FM50))</f>
        <v>0</v>
      </c>
      <c r="FO80" s="2">
        <f>IF(OR(FO50="",FN50=""),0,--(FO50&lt;&gt;FN50))</f>
        <v>0</v>
      </c>
      <c r="FP80" s="2">
        <f>IF(OR(FP50="",FO50=""),0,--(FP50&lt;&gt;FO50))</f>
        <v>0</v>
      </c>
      <c r="FQ80" s="2">
        <f>IF(OR(FQ50="",FP50=""),0,--(FQ50&lt;&gt;FP50))</f>
        <v>0</v>
      </c>
      <c r="FR80" s="2">
        <f>IF(OR(FR50="",FQ50=""),0,--(FR50&lt;&gt;FQ50))</f>
        <v>0</v>
      </c>
      <c r="FS80" s="2">
        <f>IF(OR(FS50="",FR50=""),0,--(FS50&lt;&gt;FR50))</f>
        <v>0</v>
      </c>
      <c r="FT80" s="2">
        <f>IF(OR(FT50="",FS50=""),0,--(FT50&lt;&gt;FS50))</f>
        <v>0</v>
      </c>
      <c r="FU80" s="2">
        <f>IF(OR(FU50="",FT50=""),0,--(FU50&lt;&gt;FT50))</f>
        <v>0</v>
      </c>
      <c r="FV80" s="2">
        <f>IF(OR(FV50="",FU50=""),0,--(FV50&lt;&gt;FU50))</f>
        <v>0</v>
      </c>
      <c r="FW80" s="2">
        <f>IF(OR(FW50="",FV50=""),0,--(FW50&lt;&gt;FV50))</f>
        <v>0</v>
      </c>
      <c r="FX80" s="2">
        <f>IF(OR(FX50="",FW50=""),0,--(FX50&lt;&gt;FW50))</f>
        <v>0</v>
      </c>
      <c r="FY80" s="2">
        <f>IF(OR(FY50="",FX50=""),0,--(FY50&lt;&gt;FX50))</f>
        <v>0</v>
      </c>
      <c r="FZ80" s="2">
        <f>IF(OR(FZ50="",FY50=""),0,--(FZ50&lt;&gt;FY50))</f>
        <v>0</v>
      </c>
      <c r="GA80" s="2">
        <f>IF(OR(GA50="",FZ50=""),0,--(GA50&lt;&gt;FZ50))</f>
        <v>0</v>
      </c>
      <c r="GB80" s="2">
        <f>IF(OR(GB50="",GA50=""),0,--(GB50&lt;&gt;GA50))</f>
        <v>0</v>
      </c>
      <c r="GC80" s="2">
        <f>IF(OR(GC50="",GB50=""),0,--(GC50&lt;&gt;GB50))</f>
        <v>0</v>
      </c>
      <c r="GD80" s="2">
        <f>IF(OR(GD50="",GC50=""),0,--(GD50&lt;&gt;GC50))</f>
        <v>0</v>
      </c>
      <c r="GE80" s="2">
        <f>IF(OR(GE50="",GD50=""),0,--(GE50&lt;&gt;GD50))</f>
        <v>0</v>
      </c>
      <c r="GF80" s="2">
        <f>IF(OR(GF50="",GE50=""),0,--(GF50&lt;&gt;GE50))</f>
        <v>0</v>
      </c>
      <c r="GG80" s="2">
        <f>IF(OR(GG50="",GF50=""),0,--(GG50&lt;&gt;GF50))</f>
        <v>0</v>
      </c>
      <c r="GH80" s="2">
        <f>IF(OR(GH50="",GG50=""),0,--(GH50&lt;&gt;GG50))</f>
        <v>0</v>
      </c>
      <c r="GI80" s="2">
        <f>IF(OR(GI50="",GH50=""),0,--(GI50&lt;&gt;GH50))</f>
        <v>0</v>
      </c>
      <c r="GJ80" s="2">
        <f>IF(OR(GJ50="",GI50=""),0,--(GJ50&lt;&gt;GI50))</f>
        <v>0</v>
      </c>
      <c r="GK80" s="2">
        <f>IF(OR(GK50="",GJ50=""),0,--(GK50&lt;&gt;GJ50))</f>
        <v>0</v>
      </c>
      <c r="GL80" s="2">
        <f>IF(OR(GL50="",GK50=""),0,--(GL50&lt;&gt;GK50))</f>
        <v>0</v>
      </c>
      <c r="GM80" s="2">
        <f>IF(OR(GM50="",GL50=""),0,--(GM50&lt;&gt;GL50))</f>
        <v>0</v>
      </c>
      <c r="GN80" s="2">
        <f>IF(OR(GN50="",GM50=""),0,--(GN50&lt;&gt;GM50))</f>
        <v>0</v>
      </c>
      <c r="GO80" s="2">
        <f>IF(OR(GO50="",GN50=""),0,--(GO50&lt;&gt;GN50))</f>
        <v>0</v>
      </c>
      <c r="GP80" s="2">
        <f>IF(OR(GP50="",GO50=""),0,--(GP50&lt;&gt;GO50))</f>
        <v>0</v>
      </c>
      <c r="GQ80" s="2">
        <f>IF(OR(GQ50="",GP50=""),0,--(GQ50&lt;&gt;GP50))</f>
        <v>0</v>
      </c>
      <c r="GR80" s="2">
        <f>IF(OR(GR50="",GQ50=""),0,--(GR50&lt;&gt;GQ50))</f>
        <v>0</v>
      </c>
      <c r="GS80" s="2">
        <f>IF(OR(GS50="",GR50=""),0,--(GS50&lt;&gt;GR50))</f>
        <v>0</v>
      </c>
      <c r="GY80" s="15">
        <f>SUM($B80:$DB80)</f>
        <v>3</v>
      </c>
    </row>
    <row r="81" spans="1:207">
      <c r="A81" s="2">
        <f>$A51</f>
        <v>16</v>
      </c>
      <c r="B81" s="2">
        <f>0</f>
        <v>0</v>
      </c>
      <c r="C81" s="2">
        <f>IF(OR(C51="",B51=""),0,--(C51&lt;&gt;B51))</f>
        <v>0</v>
      </c>
      <c r="D81" s="2">
        <f>IF(OR(D51="",C51=""),0,--(D51&lt;&gt;C51))</f>
        <v>0</v>
      </c>
      <c r="E81" s="2">
        <f>IF(OR(E51="",D51=""),0,--(E51&lt;&gt;D51))</f>
        <v>0</v>
      </c>
      <c r="F81" s="2">
        <f>IF(OR(F51="",E51=""),0,--(F51&lt;&gt;E51))</f>
        <v>0</v>
      </c>
      <c r="G81" s="2">
        <f>IF(OR(G51="",F51=""),0,--(G51&lt;&gt;F51))</f>
        <v>0</v>
      </c>
      <c r="H81" s="2">
        <f>IF(OR(H51="",G51=""),0,--(H51&lt;&gt;G51))</f>
        <v>0</v>
      </c>
      <c r="I81" s="2">
        <f>IF(OR(I51="",H51=""),0,--(I51&lt;&gt;H51))</f>
        <v>0</v>
      </c>
      <c r="J81" s="2">
        <f>IF(OR(J51="",I51=""),0,--(J51&lt;&gt;I51))</f>
        <v>0</v>
      </c>
      <c r="K81" s="2">
        <f>IF(OR(K51="",J51=""),0,--(K51&lt;&gt;J51))</f>
        <v>0</v>
      </c>
      <c r="L81" s="2">
        <f>IF(OR(L51="",K51=""),0,--(L51&lt;&gt;K51))</f>
        <v>0</v>
      </c>
      <c r="M81" s="2">
        <f>IF(OR(M51="",L51=""),0,--(M51&lt;&gt;L51))</f>
        <v>0</v>
      </c>
      <c r="N81" s="2">
        <f>IF(OR(N51="",M51=""),0,--(N51&lt;&gt;M51))</f>
        <v>0</v>
      </c>
      <c r="O81" s="2">
        <f>IF(OR(O51="",N51=""),0,--(O51&lt;&gt;N51))</f>
        <v>0</v>
      </c>
      <c r="P81" s="2">
        <f>IF(OR(P51="",O51=""),0,--(P51&lt;&gt;O51))</f>
        <v>0</v>
      </c>
      <c r="Q81" s="2">
        <f>IF(OR(Q51="",P51=""),0,--(Q51&lt;&gt;P51))</f>
        <v>0</v>
      </c>
      <c r="R81" s="2">
        <f>IF(OR(R51="",Q51=""),0,--(R51&lt;&gt;Q51))</f>
        <v>0</v>
      </c>
      <c r="S81" s="2">
        <f>IF(OR(S51="",R51=""),0,--(S51&lt;&gt;R51))</f>
        <v>0</v>
      </c>
      <c r="T81" s="2">
        <f>IF(OR(T51="",S51=""),0,--(T51&lt;&gt;S51))</f>
        <v>0</v>
      </c>
      <c r="U81" s="2">
        <f>IF(OR(U51="",T51=""),0,--(U51&lt;&gt;T51))</f>
        <v>0</v>
      </c>
      <c r="V81" s="2">
        <f>IF(OR(V51="",U51=""),0,--(V51&lt;&gt;U51))</f>
        <v>0</v>
      </c>
      <c r="W81" s="2">
        <f>IF(OR(W51="",V51=""),0,--(W51&lt;&gt;V51))</f>
        <v>0</v>
      </c>
      <c r="X81" s="2">
        <f>IF(OR(X51="",W51=""),0,--(X51&lt;&gt;W51))</f>
        <v>0</v>
      </c>
      <c r="Y81" s="2">
        <f>IF(OR(Y51="",X51=""),0,--(Y51&lt;&gt;X51))</f>
        <v>0</v>
      </c>
      <c r="Z81" s="2">
        <f>IF(OR(Z51="",Y51=""),0,--(Z51&lt;&gt;Y51))</f>
        <v>0</v>
      </c>
      <c r="AA81" s="2">
        <f>IF(OR(AA51="",Z51=""),0,--(AA51&lt;&gt;Z51))</f>
        <v>0</v>
      </c>
      <c r="AB81" s="2">
        <f>IF(OR(AB51="",AA51=""),0,--(AB51&lt;&gt;AA51))</f>
        <v>0</v>
      </c>
      <c r="AC81" s="2">
        <f>IF(OR(AC51="",AB51=""),0,--(AC51&lt;&gt;AB51))</f>
        <v>0</v>
      </c>
      <c r="AD81" s="2">
        <f>IF(OR(AD51="",AC51=""),0,--(AD51&lt;&gt;AC51))</f>
        <v>0</v>
      </c>
      <c r="AE81" s="2">
        <f>IF(OR(AE51="",AD51=""),0,--(AE51&lt;&gt;AD51))</f>
        <v>0</v>
      </c>
      <c r="AF81" s="2">
        <f>IF(OR(AF51="",AE51=""),0,--(AF51&lt;&gt;AE51))</f>
        <v>0</v>
      </c>
      <c r="AG81" s="2">
        <f>IF(OR(AG51="",AF51=""),0,--(AG51&lt;&gt;AF51))</f>
        <v>0</v>
      </c>
      <c r="AH81" s="2">
        <f>IF(OR(AH51="",AG51=""),0,--(AH51&lt;&gt;AG51))</f>
        <v>0</v>
      </c>
      <c r="AI81" s="2">
        <f>IF(OR(AI51="",AH51=""),0,--(AI51&lt;&gt;AH51))</f>
        <v>0</v>
      </c>
      <c r="AJ81" s="2">
        <f>IF(OR(AJ51="",AI51=""),0,--(AJ51&lt;&gt;AI51))</f>
        <v>0</v>
      </c>
      <c r="AK81" s="2">
        <f>IF(OR(AK51="",AJ51=""),0,--(AK51&lt;&gt;AJ51))</f>
        <v>0</v>
      </c>
      <c r="AL81" s="2">
        <f>IF(OR(AL51="",AK51=""),0,--(AL51&lt;&gt;AK51))</f>
        <v>0</v>
      </c>
      <c r="AM81" s="2">
        <f>IF(OR(AM51="",AL51=""),0,--(AM51&lt;&gt;AL51))</f>
        <v>0</v>
      </c>
      <c r="AN81" s="2">
        <f>IF(OR(AN51="",AM51=""),0,--(AN51&lt;&gt;AM51))</f>
        <v>0</v>
      </c>
      <c r="AO81" s="2">
        <f>IF(OR(AO51="",AN51=""),0,--(AO51&lt;&gt;AN51))</f>
        <v>0</v>
      </c>
      <c r="AP81" s="2">
        <f>IF(OR(AP51="",AO51=""),0,--(AP51&lt;&gt;AO51))</f>
        <v>0</v>
      </c>
      <c r="AQ81" s="2">
        <f>IF(OR(AQ51="",AP51=""),0,--(AQ51&lt;&gt;AP51))</f>
        <v>0</v>
      </c>
      <c r="AR81" s="2">
        <f>IF(OR(AR51="",AQ51=""),0,--(AR51&lt;&gt;AQ51))</f>
        <v>0</v>
      </c>
      <c r="AS81" s="2">
        <f>IF(OR(AS51="",AR51=""),0,--(AS51&lt;&gt;AR51))</f>
        <v>0</v>
      </c>
      <c r="AT81" s="2">
        <f>IF(OR(AT51="",AS51=""),0,--(AT51&lt;&gt;AS51))</f>
        <v>0</v>
      </c>
      <c r="AU81" s="2">
        <f>IF(OR(AU51="",AT51=""),0,--(AU51&lt;&gt;AT51))</f>
        <v>0</v>
      </c>
      <c r="AV81" s="2">
        <f>IF(OR(AV51="",AU51=""),0,--(AV51&lt;&gt;AU51))</f>
        <v>0</v>
      </c>
      <c r="AW81" s="2">
        <f>IF(OR(AW51="",AV51=""),0,--(AW51&lt;&gt;AV51))</f>
        <v>0</v>
      </c>
      <c r="AX81" s="2">
        <f>IF(OR(AX51="",AW51=""),0,--(AX51&lt;&gt;AW51))</f>
        <v>0</v>
      </c>
      <c r="AY81" s="2">
        <f>IF(OR(AY51="",AX51=""),0,--(AY51&lt;&gt;AX51))</f>
        <v>0</v>
      </c>
      <c r="AZ81" s="2">
        <f>IF(OR(AZ51="",AY51=""),0,--(AZ51&lt;&gt;AY51))</f>
        <v>0</v>
      </c>
      <c r="BA81" s="2">
        <f>IF(OR(BA51="",AZ51=""),0,--(BA51&lt;&gt;AZ51))</f>
        <v>0</v>
      </c>
      <c r="BB81" s="2">
        <f>IF(OR(BB51="",BA51=""),0,--(BB51&lt;&gt;BA51))</f>
        <v>0</v>
      </c>
      <c r="BC81" s="2">
        <f>IF(OR(BC51="",BB51=""),0,--(BC51&lt;&gt;BB51))</f>
        <v>0</v>
      </c>
      <c r="BD81" s="2">
        <f>IF(OR(BD51="",BC51=""),0,--(BD51&lt;&gt;BC51))</f>
        <v>0</v>
      </c>
      <c r="BE81" s="2">
        <f>IF(OR(BE51="",BD51=""),0,--(BE51&lt;&gt;BD51))</f>
        <v>0</v>
      </c>
      <c r="BF81" s="2">
        <f>IF(OR(BF51="",BE51=""),0,--(BF51&lt;&gt;BE51))</f>
        <v>0</v>
      </c>
      <c r="BG81" s="2">
        <f>IF(OR(BG51="",BF51=""),0,--(BG51&lt;&gt;BF51))</f>
        <v>0</v>
      </c>
      <c r="BH81" s="2">
        <f>IF(OR(BH51="",BG51=""),0,--(BH51&lt;&gt;BG51))</f>
        <v>0</v>
      </c>
      <c r="BI81" s="2">
        <f>IF(OR(BI51="",BH51=""),0,--(BI51&lt;&gt;BH51))</f>
        <v>0</v>
      </c>
      <c r="BJ81" s="2">
        <f>IF(OR(BJ51="",BI51=""),0,--(BJ51&lt;&gt;BI51))</f>
        <v>0</v>
      </c>
      <c r="BK81" s="2">
        <f>IF(OR(BK51="",BJ51=""),0,--(BK51&lt;&gt;BJ51))</f>
        <v>0</v>
      </c>
      <c r="BL81" s="2">
        <f>IF(OR(BL51="",BK51=""),0,--(BL51&lt;&gt;BK51))</f>
        <v>0</v>
      </c>
      <c r="BM81" s="2">
        <f>IF(OR(BM51="",BL51=""),0,--(BM51&lt;&gt;BL51))</f>
        <v>0</v>
      </c>
      <c r="BN81" s="2">
        <f>IF(OR(BN51="",BM51=""),0,--(BN51&lt;&gt;BM51))</f>
        <v>0</v>
      </c>
      <c r="BO81" s="2">
        <f>IF(OR(BO51="",BN51=""),0,--(BO51&lt;&gt;BN51))</f>
        <v>0</v>
      </c>
      <c r="BP81" s="2">
        <f>IF(OR(BP51="",BO51=""),0,--(BP51&lt;&gt;BO51))</f>
        <v>0</v>
      </c>
      <c r="BQ81" s="2">
        <f>IF(OR(BQ51="",BP51=""),0,--(BQ51&lt;&gt;BP51))</f>
        <v>0</v>
      </c>
      <c r="BR81" s="2">
        <f>IF(OR(BR51="",BQ51=""),0,--(BR51&lt;&gt;BQ51))</f>
        <v>0</v>
      </c>
      <c r="BS81" s="2">
        <f>IF(OR(BS51="",BR51=""),0,--(BS51&lt;&gt;BR51))</f>
        <v>0</v>
      </c>
      <c r="BT81" s="2">
        <f>IF(OR(BT51="",BS51=""),0,--(BT51&lt;&gt;BS51))</f>
        <v>0</v>
      </c>
      <c r="BU81" s="2">
        <f>IF(OR(BU51="",BT51=""),0,--(BU51&lt;&gt;BT51))</f>
        <v>0</v>
      </c>
      <c r="BV81" s="2">
        <f>IF(OR(BV51="",BU51=""),0,--(BV51&lt;&gt;BU51))</f>
        <v>0</v>
      </c>
      <c r="BW81" s="2">
        <f>IF(OR(BW51="",BV51=""),0,--(BW51&lt;&gt;BV51))</f>
        <v>0</v>
      </c>
      <c r="BX81" s="2">
        <f>IF(OR(BX51="",BW51=""),0,--(BX51&lt;&gt;BW51))</f>
        <v>0</v>
      </c>
      <c r="BY81" s="2">
        <f>IF(OR(BY51="",BX51=""),0,--(BY51&lt;&gt;BX51))</f>
        <v>0</v>
      </c>
      <c r="BZ81" s="2">
        <f>IF(OR(BZ51="",BY51=""),0,--(BZ51&lt;&gt;BY51))</f>
        <v>0</v>
      </c>
      <c r="CA81" s="2">
        <f>IF(OR(CA51="",BZ51=""),0,--(CA51&lt;&gt;BZ51))</f>
        <v>0</v>
      </c>
      <c r="CB81" s="2">
        <f>IF(OR(CB51="",CA51=""),0,--(CB51&lt;&gt;CA51))</f>
        <v>0</v>
      </c>
      <c r="CC81" s="2">
        <f>IF(OR(CC51="",CB51=""),0,--(CC51&lt;&gt;CB51))</f>
        <v>0</v>
      </c>
      <c r="CD81" s="2">
        <f>IF(OR(CD51="",CC51=""),0,--(CD51&lt;&gt;CC51))</f>
        <v>1</v>
      </c>
      <c r="CE81" s="2">
        <f>IF(OR(CE51="",CD51=""),0,--(CE51&lt;&gt;CD51))</f>
        <v>0</v>
      </c>
      <c r="CF81" s="2">
        <f>IF(OR(CF51="",CE51=""),0,--(CF51&lt;&gt;CE51))</f>
        <v>0</v>
      </c>
      <c r="CG81" s="2">
        <f>IF(OR(CG51="",CF51=""),0,--(CG51&lt;&gt;CF51))</f>
        <v>0</v>
      </c>
      <c r="CH81" s="2">
        <f>IF(OR(CH51="",CG51=""),0,--(CH51&lt;&gt;CG51))</f>
        <v>0</v>
      </c>
      <c r="CI81" s="2">
        <f>IF(OR(CI51="",CH51=""),0,--(CI51&lt;&gt;CH51))</f>
        <v>0</v>
      </c>
      <c r="CJ81" s="2">
        <f>IF(OR(CJ51="",CI51=""),0,--(CJ51&lt;&gt;CI51))</f>
        <v>0</v>
      </c>
      <c r="CK81" s="2">
        <f>IF(OR(CK51="",CJ51=""),0,--(CK51&lt;&gt;CJ51))</f>
        <v>0</v>
      </c>
      <c r="CL81" s="2">
        <f>IF(OR(CL51="",CK51=""),0,--(CL51&lt;&gt;CK51))</f>
        <v>0</v>
      </c>
      <c r="CM81" s="2">
        <f>IF(OR(CM51="",CL51=""),0,--(CM51&lt;&gt;CL51))</f>
        <v>0</v>
      </c>
      <c r="CN81" s="2">
        <f>IF(OR(CN51="",CM51=""),0,--(CN51&lt;&gt;CM51))</f>
        <v>0</v>
      </c>
      <c r="CO81" s="2">
        <f>IF(OR(CO51="",CN51=""),0,--(CO51&lt;&gt;CN51))</f>
        <v>0</v>
      </c>
      <c r="CP81" s="2">
        <f>IF(OR(CP51="",CO51=""),0,--(CP51&lt;&gt;CO51))</f>
        <v>0</v>
      </c>
      <c r="CQ81" s="2">
        <f>IF(OR(CQ51="",CP51=""),0,--(CQ51&lt;&gt;CP51))</f>
        <v>0</v>
      </c>
      <c r="CR81" s="2">
        <f>IF(OR(CR51="",CQ51=""),0,--(CR51&lt;&gt;CQ51))</f>
        <v>0</v>
      </c>
      <c r="CS81" s="2">
        <f>IF(OR(CS51="",CR51=""),0,--(CS51&lt;&gt;CR51))</f>
        <v>0</v>
      </c>
      <c r="CT81" s="2">
        <f>IF(OR(CT51="",CS51=""),0,--(CT51&lt;&gt;CS51))</f>
        <v>0</v>
      </c>
      <c r="CU81" s="2">
        <f>IF(OR(CU51="",CT51=""),0,--(CU51&lt;&gt;CT51))</f>
        <v>0</v>
      </c>
      <c r="CV81" s="2">
        <f>IF(OR(CV51="",CU51=""),0,--(CV51&lt;&gt;CU51))</f>
        <v>0</v>
      </c>
      <c r="CW81" s="2">
        <f>IF(OR(CW51="",CV51=""),0,--(CW51&lt;&gt;CV51))</f>
        <v>0</v>
      </c>
      <c r="CX81" s="2">
        <f>IF(OR(CX51="",CW51=""),0,--(CX51&lt;&gt;CW51))</f>
        <v>0</v>
      </c>
      <c r="CY81" s="2">
        <f>IF(OR(CY51="",CX51=""),0,--(CY51&lt;&gt;CX51))</f>
        <v>0</v>
      </c>
      <c r="CZ81" s="2">
        <f>IF(OR(CZ51="",CY51=""),0,--(CZ51&lt;&gt;CY51))</f>
        <v>0</v>
      </c>
      <c r="DA81" s="2">
        <f>IF(OR(DA51="",CZ51=""),0,--(DA51&lt;&gt;CZ51))</f>
        <v>0</v>
      </c>
      <c r="DB81" s="2">
        <f>IF(OR(DB51="",DA51=""),0,--(DB51&lt;&gt;DA51))</f>
        <v>0</v>
      </c>
      <c r="DC81" s="2">
        <f>IF(OR(DC51="",DB51=""),0,--(DC51&lt;&gt;DB51))</f>
        <v>0</v>
      </c>
      <c r="DD81" s="2">
        <f>IF(OR(DD51="",DC51=""),0,--(DD51&lt;&gt;DC51))</f>
        <v>0</v>
      </c>
      <c r="DE81" s="2">
        <f>IF(OR(DE51="",DD51=""),0,--(DE51&lt;&gt;DD51))</f>
        <v>0</v>
      </c>
      <c r="DF81" s="2">
        <f>IF(OR(DF51="",DE51=""),0,--(DF51&lt;&gt;DE51))</f>
        <v>0</v>
      </c>
      <c r="DG81" s="2">
        <f>IF(OR(DG51="",DF51=""),0,--(DG51&lt;&gt;DF51))</f>
        <v>0</v>
      </c>
      <c r="DH81" s="2">
        <f>IF(OR(DH51="",DG51=""),0,--(DH51&lt;&gt;DG51))</f>
        <v>0</v>
      </c>
      <c r="DI81" s="2">
        <f>IF(OR(DI51="",DH51=""),0,--(DI51&lt;&gt;DH51))</f>
        <v>0</v>
      </c>
      <c r="DJ81" s="2">
        <f>IF(OR(DJ51="",DI51=""),0,--(DJ51&lt;&gt;DI51))</f>
        <v>0</v>
      </c>
      <c r="DK81" s="2">
        <f>IF(OR(DK51="",DJ51=""),0,--(DK51&lt;&gt;DJ51))</f>
        <v>0</v>
      </c>
      <c r="DL81" s="2">
        <f>IF(OR(DL51="",DK51=""),0,--(DL51&lt;&gt;DK51))</f>
        <v>0</v>
      </c>
      <c r="DM81" s="2">
        <f>IF(OR(DM51="",DL51=""),0,--(DM51&lt;&gt;DL51))</f>
        <v>0</v>
      </c>
      <c r="DN81" s="2">
        <f>IF(OR(DN51="",DM51=""),0,--(DN51&lt;&gt;DM51))</f>
        <v>0</v>
      </c>
      <c r="DO81" s="2">
        <f>IF(OR(DO51="",DN51=""),0,--(DO51&lt;&gt;DN51))</f>
        <v>0</v>
      </c>
      <c r="DP81" s="2">
        <f>IF(OR(DP51="",DO51=""),0,--(DP51&lt;&gt;DO51))</f>
        <v>0</v>
      </c>
      <c r="DQ81" s="2">
        <f>IF(OR(DQ51="",DP51=""),0,--(DQ51&lt;&gt;DP51))</f>
        <v>0</v>
      </c>
      <c r="DR81" s="2">
        <f>IF(OR(DR51="",DQ51=""),0,--(DR51&lt;&gt;DQ51))</f>
        <v>0</v>
      </c>
      <c r="DS81" s="2">
        <f>IF(OR(DS51="",DR51=""),0,--(DS51&lt;&gt;DR51))</f>
        <v>0</v>
      </c>
      <c r="DT81" s="2">
        <f>IF(OR(DT51="",DS51=""),0,--(DT51&lt;&gt;DS51))</f>
        <v>0</v>
      </c>
      <c r="DU81" s="2">
        <f>IF(OR(DU51="",DT51=""),0,--(DU51&lt;&gt;DT51))</f>
        <v>0</v>
      </c>
      <c r="DV81" s="2">
        <f>IF(OR(DV51="",DU51=""),0,--(DV51&lt;&gt;DU51))</f>
        <v>0</v>
      </c>
      <c r="DW81" s="2">
        <f>IF(OR(DW51="",DV51=""),0,--(DW51&lt;&gt;DV51))</f>
        <v>0</v>
      </c>
      <c r="DX81" s="2">
        <f>IF(OR(DX51="",DW51=""),0,--(DX51&lt;&gt;DW51))</f>
        <v>0</v>
      </c>
      <c r="DY81" s="2">
        <f>IF(OR(DY51="",DX51=""),0,--(DY51&lt;&gt;DX51))</f>
        <v>0</v>
      </c>
      <c r="DZ81" s="2">
        <f>IF(OR(DZ51="",DY51=""),0,--(DZ51&lt;&gt;DY51))</f>
        <v>0</v>
      </c>
      <c r="EA81" s="2">
        <f>IF(OR(EA51="",DZ51=""),0,--(EA51&lt;&gt;DZ51))</f>
        <v>0</v>
      </c>
      <c r="EB81" s="2">
        <f>IF(OR(EB51="",EA51=""),0,--(EB51&lt;&gt;EA51))</f>
        <v>0</v>
      </c>
      <c r="EC81" s="2">
        <f>IF(OR(EC51="",EB51=""),0,--(EC51&lt;&gt;EB51))</f>
        <v>0</v>
      </c>
      <c r="ED81" s="2">
        <f>IF(OR(ED51="",EC51=""),0,--(ED51&lt;&gt;EC51))</f>
        <v>0</v>
      </c>
      <c r="EE81" s="2">
        <f>IF(OR(EE51="",ED51=""),0,--(EE51&lt;&gt;ED51))</f>
        <v>0</v>
      </c>
      <c r="EF81" s="2">
        <f>IF(OR(EF51="",EE51=""),0,--(EF51&lt;&gt;EE51))</f>
        <v>0</v>
      </c>
      <c r="EG81" s="2">
        <f>IF(OR(EG51="",EF51=""),0,--(EG51&lt;&gt;EF51))</f>
        <v>0</v>
      </c>
      <c r="EH81" s="2">
        <f>IF(OR(EH51="",EG51=""),0,--(EH51&lt;&gt;EG51))</f>
        <v>0</v>
      </c>
      <c r="EI81" s="2">
        <f>IF(OR(EI51="",EH51=""),0,--(EI51&lt;&gt;EH51))</f>
        <v>0</v>
      </c>
      <c r="EJ81" s="2">
        <f>IF(OR(EJ51="",EI51=""),0,--(EJ51&lt;&gt;EI51))</f>
        <v>0</v>
      </c>
      <c r="EK81" s="2">
        <f>IF(OR(EK51="",EJ51=""),0,--(EK51&lt;&gt;EJ51))</f>
        <v>0</v>
      </c>
      <c r="EL81" s="2">
        <f>IF(OR(EL51="",EK51=""),0,--(EL51&lt;&gt;EK51))</f>
        <v>0</v>
      </c>
      <c r="EM81" s="2">
        <f>IF(OR(EM51="",EL51=""),0,--(EM51&lt;&gt;EL51))</f>
        <v>0</v>
      </c>
      <c r="EN81" s="2">
        <f>IF(OR(EN51="",EM51=""),0,--(EN51&lt;&gt;EM51))</f>
        <v>0</v>
      </c>
      <c r="EO81" s="2">
        <f>IF(OR(EO51="",EN51=""),0,--(EO51&lt;&gt;EN51))</f>
        <v>0</v>
      </c>
      <c r="EP81" s="2">
        <f>IF(OR(EP51="",EO51=""),0,--(EP51&lt;&gt;EO51))</f>
        <v>0</v>
      </c>
      <c r="EQ81" s="2">
        <f>IF(OR(EQ51="",EP51=""),0,--(EQ51&lt;&gt;EP51))</f>
        <v>0</v>
      </c>
      <c r="ER81" s="2">
        <f>IF(OR(ER51="",EQ51=""),0,--(ER51&lt;&gt;EQ51))</f>
        <v>0</v>
      </c>
      <c r="ES81" s="2">
        <f>IF(OR(ES51="",ER51=""),0,--(ES51&lt;&gt;ER51))</f>
        <v>0</v>
      </c>
      <c r="ET81" s="2">
        <f>IF(OR(ET51="",ES51=""),0,--(ET51&lt;&gt;ES51))</f>
        <v>0</v>
      </c>
      <c r="EU81" s="2">
        <f>IF(OR(EU51="",ET51=""),0,--(EU51&lt;&gt;ET51))</f>
        <v>0</v>
      </c>
      <c r="EV81" s="2">
        <f>IF(OR(EV51="",EU51=""),0,--(EV51&lt;&gt;EU51))</f>
        <v>0</v>
      </c>
      <c r="EW81" s="2">
        <f>IF(OR(EW51="",EV51=""),0,--(EW51&lt;&gt;EV51))</f>
        <v>0</v>
      </c>
      <c r="EX81" s="2">
        <f>IF(OR(EX51="",EW51=""),0,--(EX51&lt;&gt;EW51))</f>
        <v>0</v>
      </c>
      <c r="EY81" s="2">
        <f>IF(OR(EY51="",EX51=""),0,--(EY51&lt;&gt;EX51))</f>
        <v>0</v>
      </c>
      <c r="EZ81" s="2">
        <f>IF(OR(EZ51="",EY51=""),0,--(EZ51&lt;&gt;EY51))</f>
        <v>0</v>
      </c>
      <c r="FA81" s="2">
        <f>IF(OR(FA51="",EZ51=""),0,--(FA51&lt;&gt;EZ51))</f>
        <v>0</v>
      </c>
      <c r="FB81" s="2">
        <f>IF(OR(FB51="",FA51=""),0,--(FB51&lt;&gt;FA51))</f>
        <v>0</v>
      </c>
      <c r="FC81" s="2">
        <f>IF(OR(FC51="",FB51=""),0,--(FC51&lt;&gt;FB51))</f>
        <v>0</v>
      </c>
      <c r="FD81" s="2">
        <f>IF(OR(FD51="",FC51=""),0,--(FD51&lt;&gt;FC51))</f>
        <v>0</v>
      </c>
      <c r="FE81" s="2">
        <f>IF(OR(FE51="",FD51=""),0,--(FE51&lt;&gt;FD51))</f>
        <v>0</v>
      </c>
      <c r="FF81" s="2">
        <f>IF(OR(FF51="",FE51=""),0,--(FF51&lt;&gt;FE51))</f>
        <v>0</v>
      </c>
      <c r="FG81" s="2">
        <f>IF(OR(FG51="",FF51=""),0,--(FG51&lt;&gt;FF51))</f>
        <v>0</v>
      </c>
      <c r="FH81" s="2">
        <f>IF(OR(FH51="",FG51=""),0,--(FH51&lt;&gt;FG51))</f>
        <v>0</v>
      </c>
      <c r="FI81" s="2">
        <f>IF(OR(FI51="",FH51=""),0,--(FI51&lt;&gt;FH51))</f>
        <v>0</v>
      </c>
      <c r="FJ81" s="2">
        <f>IF(OR(FJ51="",FI51=""),0,--(FJ51&lt;&gt;FI51))</f>
        <v>0</v>
      </c>
      <c r="FK81" s="2">
        <f>IF(OR(FK51="",FJ51=""),0,--(FK51&lt;&gt;FJ51))</f>
        <v>0</v>
      </c>
      <c r="FL81" s="2">
        <f>IF(OR(FL51="",FK51=""),0,--(FL51&lt;&gt;FK51))</f>
        <v>0</v>
      </c>
      <c r="FM81" s="2">
        <f>IF(OR(FM51="",FL51=""),0,--(FM51&lt;&gt;FL51))</f>
        <v>0</v>
      </c>
      <c r="FN81" s="2">
        <f>IF(OR(FN51="",FM51=""),0,--(FN51&lt;&gt;FM51))</f>
        <v>0</v>
      </c>
      <c r="FO81" s="2">
        <f>IF(OR(FO51="",FN51=""),0,--(FO51&lt;&gt;FN51))</f>
        <v>0</v>
      </c>
      <c r="FP81" s="2">
        <f>IF(OR(FP51="",FO51=""),0,--(FP51&lt;&gt;FO51))</f>
        <v>0</v>
      </c>
      <c r="FQ81" s="2">
        <f>IF(OR(FQ51="",FP51=""),0,--(FQ51&lt;&gt;FP51))</f>
        <v>0</v>
      </c>
      <c r="FR81" s="2">
        <f>IF(OR(FR51="",FQ51=""),0,--(FR51&lt;&gt;FQ51))</f>
        <v>0</v>
      </c>
      <c r="FS81" s="2">
        <f>IF(OR(FS51="",FR51=""),0,--(FS51&lt;&gt;FR51))</f>
        <v>0</v>
      </c>
      <c r="FT81" s="2">
        <f>IF(OR(FT51="",FS51=""),0,--(FT51&lt;&gt;FS51))</f>
        <v>0</v>
      </c>
      <c r="FU81" s="2">
        <f>IF(OR(FU51="",FT51=""),0,--(FU51&lt;&gt;FT51))</f>
        <v>0</v>
      </c>
      <c r="FV81" s="2">
        <f>IF(OR(FV51="",FU51=""),0,--(FV51&lt;&gt;FU51))</f>
        <v>0</v>
      </c>
      <c r="FW81" s="2">
        <f>IF(OR(FW51="",FV51=""),0,--(FW51&lt;&gt;FV51))</f>
        <v>0</v>
      </c>
      <c r="FX81" s="2">
        <f>IF(OR(FX51="",FW51=""),0,--(FX51&lt;&gt;FW51))</f>
        <v>0</v>
      </c>
      <c r="FY81" s="2">
        <f>IF(OR(FY51="",FX51=""),0,--(FY51&lt;&gt;FX51))</f>
        <v>0</v>
      </c>
      <c r="FZ81" s="2">
        <f>IF(OR(FZ51="",FY51=""),0,--(FZ51&lt;&gt;FY51))</f>
        <v>0</v>
      </c>
      <c r="GA81" s="2">
        <f>IF(OR(GA51="",FZ51=""),0,--(GA51&lt;&gt;FZ51))</f>
        <v>0</v>
      </c>
      <c r="GB81" s="2">
        <f>IF(OR(GB51="",GA51=""),0,--(GB51&lt;&gt;GA51))</f>
        <v>0</v>
      </c>
      <c r="GC81" s="2">
        <f>IF(OR(GC51="",GB51=""),0,--(GC51&lt;&gt;GB51))</f>
        <v>0</v>
      </c>
      <c r="GD81" s="2">
        <f>IF(OR(GD51="",GC51=""),0,--(GD51&lt;&gt;GC51))</f>
        <v>0</v>
      </c>
      <c r="GE81" s="2">
        <f>IF(OR(GE51="",GD51=""),0,--(GE51&lt;&gt;GD51))</f>
        <v>0</v>
      </c>
      <c r="GF81" s="2">
        <f>IF(OR(GF51="",GE51=""),0,--(GF51&lt;&gt;GE51))</f>
        <v>0</v>
      </c>
      <c r="GG81" s="2">
        <f>IF(OR(GG51="",GF51=""),0,--(GG51&lt;&gt;GF51))</f>
        <v>0</v>
      </c>
      <c r="GH81" s="2">
        <f>IF(OR(GH51="",GG51=""),0,--(GH51&lt;&gt;GG51))</f>
        <v>0</v>
      </c>
      <c r="GI81" s="2">
        <f>IF(OR(GI51="",GH51=""),0,--(GI51&lt;&gt;GH51))</f>
        <v>0</v>
      </c>
      <c r="GJ81" s="2">
        <f>IF(OR(GJ51="",GI51=""),0,--(GJ51&lt;&gt;GI51))</f>
        <v>0</v>
      </c>
      <c r="GK81" s="2">
        <f>IF(OR(GK51="",GJ51=""),0,--(GK51&lt;&gt;GJ51))</f>
        <v>0</v>
      </c>
      <c r="GL81" s="2">
        <f>IF(OR(GL51="",GK51=""),0,--(GL51&lt;&gt;GK51))</f>
        <v>0</v>
      </c>
      <c r="GM81" s="2">
        <f>IF(OR(GM51="",GL51=""),0,--(GM51&lt;&gt;GL51))</f>
        <v>0</v>
      </c>
      <c r="GN81" s="2">
        <f>IF(OR(GN51="",GM51=""),0,--(GN51&lt;&gt;GM51))</f>
        <v>0</v>
      </c>
      <c r="GO81" s="2">
        <f>IF(OR(GO51="",GN51=""),0,--(GO51&lt;&gt;GN51))</f>
        <v>0</v>
      </c>
      <c r="GP81" s="2">
        <f>IF(OR(GP51="",GO51=""),0,--(GP51&lt;&gt;GO51))</f>
        <v>0</v>
      </c>
      <c r="GQ81" s="2">
        <f>IF(OR(GQ51="",GP51=""),0,--(GQ51&lt;&gt;GP51))</f>
        <v>0</v>
      </c>
      <c r="GR81" s="2">
        <f>IF(OR(GR51="",GQ51=""),0,--(GR51&lt;&gt;GQ51))</f>
        <v>0</v>
      </c>
      <c r="GS81" s="2">
        <f>IF(OR(GS51="",GR51=""),0,--(GS51&lt;&gt;GR51))</f>
        <v>0</v>
      </c>
      <c r="GY81" s="15">
        <f>SUM($B81:$DB81)</f>
        <v>1</v>
      </c>
    </row>
    <row r="82" spans="1:207">
      <c r="A82" s="2">
        <f>$A52</f>
        <v>17</v>
      </c>
      <c r="B82" s="2">
        <f>0</f>
        <v>0</v>
      </c>
      <c r="C82" s="2">
        <f>IF(OR(C52="",B52=""),0,--(C52&lt;&gt;B52))</f>
        <v>0</v>
      </c>
      <c r="D82" s="2">
        <f>IF(OR(D52="",C52=""),0,--(D52&lt;&gt;C52))</f>
        <v>0</v>
      </c>
      <c r="E82" s="2">
        <f>IF(OR(E52="",D52=""),0,--(E52&lt;&gt;D52))</f>
        <v>0</v>
      </c>
      <c r="F82" s="2">
        <f>IF(OR(F52="",E52=""),0,--(F52&lt;&gt;E52))</f>
        <v>0</v>
      </c>
      <c r="G82" s="2">
        <f>IF(OR(G52="",F52=""),0,--(G52&lt;&gt;F52))</f>
        <v>0</v>
      </c>
      <c r="H82" s="2">
        <f>IF(OR(H52="",G52=""),0,--(H52&lt;&gt;G52))</f>
        <v>0</v>
      </c>
      <c r="I82" s="2">
        <f>IF(OR(I52="",H52=""),0,--(I52&lt;&gt;H52))</f>
        <v>0</v>
      </c>
      <c r="J82" s="2">
        <f>IF(OR(J52="",I52=""),0,--(J52&lt;&gt;I52))</f>
        <v>0</v>
      </c>
      <c r="K82" s="2">
        <f>IF(OR(K52="",J52=""),0,--(K52&lt;&gt;J52))</f>
        <v>0</v>
      </c>
      <c r="L82" s="2">
        <f>IF(OR(L52="",K52=""),0,--(L52&lt;&gt;K52))</f>
        <v>0</v>
      </c>
      <c r="M82" s="2">
        <f>IF(OR(M52="",L52=""),0,--(M52&lt;&gt;L52))</f>
        <v>0</v>
      </c>
      <c r="N82" s="2">
        <f>IF(OR(N52="",M52=""),0,--(N52&lt;&gt;M52))</f>
        <v>0</v>
      </c>
      <c r="O82" s="2">
        <f>IF(OR(O52="",N52=""),0,--(O52&lt;&gt;N52))</f>
        <v>0</v>
      </c>
      <c r="P82" s="2">
        <f>IF(OR(P52="",O52=""),0,--(P52&lt;&gt;O52))</f>
        <v>0</v>
      </c>
      <c r="Q82" s="2">
        <f>IF(OR(Q52="",P52=""),0,--(Q52&lt;&gt;P52))</f>
        <v>0</v>
      </c>
      <c r="R82" s="2">
        <f>IF(OR(R52="",Q52=""),0,--(R52&lt;&gt;Q52))</f>
        <v>0</v>
      </c>
      <c r="S82" s="2">
        <f>IF(OR(S52="",R52=""),0,--(S52&lt;&gt;R52))</f>
        <v>0</v>
      </c>
      <c r="T82" s="2">
        <f>IF(OR(T52="",S52=""),0,--(T52&lt;&gt;S52))</f>
        <v>0</v>
      </c>
      <c r="U82" s="2">
        <f>IF(OR(U52="",T52=""),0,--(U52&lt;&gt;T52))</f>
        <v>0</v>
      </c>
      <c r="V82" s="2">
        <f>IF(OR(V52="",U52=""),0,--(V52&lt;&gt;U52))</f>
        <v>0</v>
      </c>
      <c r="W82" s="2">
        <f>IF(OR(W52="",V52=""),0,--(W52&lt;&gt;V52))</f>
        <v>0</v>
      </c>
      <c r="X82" s="2">
        <f>IF(OR(X52="",W52=""),0,--(X52&lt;&gt;W52))</f>
        <v>0</v>
      </c>
      <c r="Y82" s="2">
        <f>IF(OR(Y52="",X52=""),0,--(Y52&lt;&gt;X52))</f>
        <v>0</v>
      </c>
      <c r="Z82" s="2">
        <f>IF(OR(Z52="",Y52=""),0,--(Z52&lt;&gt;Y52))</f>
        <v>0</v>
      </c>
      <c r="AA82" s="2">
        <f>IF(OR(AA52="",Z52=""),0,--(AA52&lt;&gt;Z52))</f>
        <v>0</v>
      </c>
      <c r="AB82" s="2">
        <f>IF(OR(AB52="",AA52=""),0,--(AB52&lt;&gt;AA52))</f>
        <v>0</v>
      </c>
      <c r="AC82" s="2">
        <f>IF(OR(AC52="",AB52=""),0,--(AC52&lt;&gt;AB52))</f>
        <v>0</v>
      </c>
      <c r="AD82" s="2">
        <f>IF(OR(AD52="",AC52=""),0,--(AD52&lt;&gt;AC52))</f>
        <v>0</v>
      </c>
      <c r="AE82" s="2">
        <f>IF(OR(AE52="",AD52=""),0,--(AE52&lt;&gt;AD52))</f>
        <v>0</v>
      </c>
      <c r="AF82" s="2">
        <f>IF(OR(AF52="",AE52=""),0,--(AF52&lt;&gt;AE52))</f>
        <v>0</v>
      </c>
      <c r="AG82" s="2">
        <f>IF(OR(AG52="",AF52=""),0,--(AG52&lt;&gt;AF52))</f>
        <v>0</v>
      </c>
      <c r="AH82" s="2">
        <f>IF(OR(AH52="",AG52=""),0,--(AH52&lt;&gt;AG52))</f>
        <v>0</v>
      </c>
      <c r="AI82" s="2">
        <f>IF(OR(AI52="",AH52=""),0,--(AI52&lt;&gt;AH52))</f>
        <v>0</v>
      </c>
      <c r="AJ82" s="2">
        <f>IF(OR(AJ52="",AI52=""),0,--(AJ52&lt;&gt;AI52))</f>
        <v>0</v>
      </c>
      <c r="AK82" s="2">
        <f>IF(OR(AK52="",AJ52=""),0,--(AK52&lt;&gt;AJ52))</f>
        <v>0</v>
      </c>
      <c r="AL82" s="2">
        <f>IF(OR(AL52="",AK52=""),0,--(AL52&lt;&gt;AK52))</f>
        <v>0</v>
      </c>
      <c r="AM82" s="2">
        <f>IF(OR(AM52="",AL52=""),0,--(AM52&lt;&gt;AL52))</f>
        <v>0</v>
      </c>
      <c r="AN82" s="2">
        <f>IF(OR(AN52="",AM52=""),0,--(AN52&lt;&gt;AM52))</f>
        <v>0</v>
      </c>
      <c r="AO82" s="2">
        <f>IF(OR(AO52="",AN52=""),0,--(AO52&lt;&gt;AN52))</f>
        <v>0</v>
      </c>
      <c r="AP82" s="2">
        <f>IF(OR(AP52="",AO52=""),0,--(AP52&lt;&gt;AO52))</f>
        <v>0</v>
      </c>
      <c r="AQ82" s="2">
        <f>IF(OR(AQ52="",AP52=""),0,--(AQ52&lt;&gt;AP52))</f>
        <v>0</v>
      </c>
      <c r="AR82" s="2">
        <f>IF(OR(AR52="",AQ52=""),0,--(AR52&lt;&gt;AQ52))</f>
        <v>0</v>
      </c>
      <c r="AS82" s="2">
        <f>IF(OR(AS52="",AR52=""),0,--(AS52&lt;&gt;AR52))</f>
        <v>0</v>
      </c>
      <c r="AT82" s="2">
        <f>IF(OR(AT52="",AS52=""),0,--(AT52&lt;&gt;AS52))</f>
        <v>0</v>
      </c>
      <c r="AU82" s="2">
        <f>IF(OR(AU52="",AT52=""),0,--(AU52&lt;&gt;AT52))</f>
        <v>0</v>
      </c>
      <c r="AV82" s="2">
        <f>IF(OR(AV52="",AU52=""),0,--(AV52&lt;&gt;AU52))</f>
        <v>0</v>
      </c>
      <c r="AW82" s="2">
        <f>IF(OR(AW52="",AV52=""),0,--(AW52&lt;&gt;AV52))</f>
        <v>0</v>
      </c>
      <c r="AX82" s="2">
        <f>IF(OR(AX52="",AW52=""),0,--(AX52&lt;&gt;AW52))</f>
        <v>0</v>
      </c>
      <c r="AY82" s="2">
        <f>IF(OR(AY52="",AX52=""),0,--(AY52&lt;&gt;AX52))</f>
        <v>0</v>
      </c>
      <c r="AZ82" s="2">
        <f>IF(OR(AZ52="",AY52=""),0,--(AZ52&lt;&gt;AY52))</f>
        <v>0</v>
      </c>
      <c r="BA82" s="2">
        <f>IF(OR(BA52="",AZ52=""),0,--(BA52&lt;&gt;AZ52))</f>
        <v>0</v>
      </c>
      <c r="BB82" s="2">
        <f>IF(OR(BB52="",BA52=""),0,--(BB52&lt;&gt;BA52))</f>
        <v>0</v>
      </c>
      <c r="BC82" s="2">
        <f>IF(OR(BC52="",BB52=""),0,--(BC52&lt;&gt;BB52))</f>
        <v>0</v>
      </c>
      <c r="BD82" s="2">
        <f>IF(OR(BD52="",BC52=""),0,--(BD52&lt;&gt;BC52))</f>
        <v>0</v>
      </c>
      <c r="BE82" s="2">
        <f>IF(OR(BE52="",BD52=""),0,--(BE52&lt;&gt;BD52))</f>
        <v>0</v>
      </c>
      <c r="BF82" s="2">
        <f>IF(OR(BF52="",BE52=""),0,--(BF52&lt;&gt;BE52))</f>
        <v>0</v>
      </c>
      <c r="BG82" s="2">
        <f>IF(OR(BG52="",BF52=""),0,--(BG52&lt;&gt;BF52))</f>
        <v>0</v>
      </c>
      <c r="BH82" s="2">
        <f>IF(OR(BH52="",BG52=""),0,--(BH52&lt;&gt;BG52))</f>
        <v>0</v>
      </c>
      <c r="BI82" s="2">
        <f>IF(OR(BI52="",BH52=""),0,--(BI52&lt;&gt;BH52))</f>
        <v>0</v>
      </c>
      <c r="BJ82" s="2">
        <f>IF(OR(BJ52="",BI52=""),0,--(BJ52&lt;&gt;BI52))</f>
        <v>0</v>
      </c>
      <c r="BK82" s="2">
        <f>IF(OR(BK52="",BJ52=""),0,--(BK52&lt;&gt;BJ52))</f>
        <v>0</v>
      </c>
      <c r="BL82" s="2">
        <f>IF(OR(BL52="",BK52=""),0,--(BL52&lt;&gt;BK52))</f>
        <v>0</v>
      </c>
      <c r="BM82" s="2">
        <f>IF(OR(BM52="",BL52=""),0,--(BM52&lt;&gt;BL52))</f>
        <v>0</v>
      </c>
      <c r="BN82" s="2">
        <f>IF(OR(BN52="",BM52=""),0,--(BN52&lt;&gt;BM52))</f>
        <v>0</v>
      </c>
      <c r="BO82" s="2">
        <f>IF(OR(BO52="",BN52=""),0,--(BO52&lt;&gt;BN52))</f>
        <v>0</v>
      </c>
      <c r="BP82" s="2">
        <f>IF(OR(BP52="",BO52=""),0,--(BP52&lt;&gt;BO52))</f>
        <v>0</v>
      </c>
      <c r="BQ82" s="2">
        <f>IF(OR(BQ52="",BP52=""),0,--(BQ52&lt;&gt;BP52))</f>
        <v>0</v>
      </c>
      <c r="BR82" s="2">
        <f>IF(OR(BR52="",BQ52=""),0,--(BR52&lt;&gt;BQ52))</f>
        <v>0</v>
      </c>
      <c r="BS82" s="2">
        <f>IF(OR(BS52="",BR52=""),0,--(BS52&lt;&gt;BR52))</f>
        <v>0</v>
      </c>
      <c r="BT82" s="2">
        <f>IF(OR(BT52="",BS52=""),0,--(BT52&lt;&gt;BS52))</f>
        <v>0</v>
      </c>
      <c r="BU82" s="2">
        <f>IF(OR(BU52="",BT52=""),0,--(BU52&lt;&gt;BT52))</f>
        <v>0</v>
      </c>
      <c r="BV82" s="2">
        <f>IF(OR(BV52="",BU52=""),0,--(BV52&lt;&gt;BU52))</f>
        <v>0</v>
      </c>
      <c r="BW82" s="2">
        <f>IF(OR(BW52="",BV52=""),0,--(BW52&lt;&gt;BV52))</f>
        <v>0</v>
      </c>
      <c r="BX82" s="2">
        <f>IF(OR(BX52="",BW52=""),0,--(BX52&lt;&gt;BW52))</f>
        <v>0</v>
      </c>
      <c r="BY82" s="2">
        <f>IF(OR(BY52="",BX52=""),0,--(BY52&lt;&gt;BX52))</f>
        <v>0</v>
      </c>
      <c r="BZ82" s="2">
        <f>IF(OR(BZ52="",BY52=""),0,--(BZ52&lt;&gt;BY52))</f>
        <v>1</v>
      </c>
      <c r="CA82" s="2">
        <f>IF(OR(CA52="",BZ52=""),0,--(CA52&lt;&gt;BZ52))</f>
        <v>0</v>
      </c>
      <c r="CB82" s="2">
        <f>IF(OR(CB52="",CA52=""),0,--(CB52&lt;&gt;CA52))</f>
        <v>0</v>
      </c>
      <c r="CC82" s="2">
        <f>IF(OR(CC52="",CB52=""),0,--(CC52&lt;&gt;CB52))</f>
        <v>0</v>
      </c>
      <c r="CD82" s="2">
        <f>IF(OR(CD52="",CC52=""),0,--(CD52&lt;&gt;CC52))</f>
        <v>0</v>
      </c>
      <c r="CE82" s="2">
        <f>IF(OR(CE52="",CD52=""),0,--(CE52&lt;&gt;CD52))</f>
        <v>0</v>
      </c>
      <c r="CF82" s="2">
        <f>IF(OR(CF52="",CE52=""),0,--(CF52&lt;&gt;CE52))</f>
        <v>0</v>
      </c>
      <c r="CG82" s="2">
        <f>IF(OR(CG52="",CF52=""),0,--(CG52&lt;&gt;CF52))</f>
        <v>0</v>
      </c>
      <c r="CH82" s="2">
        <f>IF(OR(CH52="",CG52=""),0,--(CH52&lt;&gt;CG52))</f>
        <v>0</v>
      </c>
      <c r="CI82" s="2">
        <f>IF(OR(CI52="",CH52=""),0,--(CI52&lt;&gt;CH52))</f>
        <v>0</v>
      </c>
      <c r="CJ82" s="2">
        <f>IF(OR(CJ52="",CI52=""),0,--(CJ52&lt;&gt;CI52))</f>
        <v>0</v>
      </c>
      <c r="CK82" s="2">
        <f>IF(OR(CK52="",CJ52=""),0,--(CK52&lt;&gt;CJ52))</f>
        <v>0</v>
      </c>
      <c r="CL82" s="2">
        <f>IF(OR(CL52="",CK52=""),0,--(CL52&lt;&gt;CK52))</f>
        <v>0</v>
      </c>
      <c r="CM82" s="2">
        <f>IF(OR(CM52="",CL52=""),0,--(CM52&lt;&gt;CL52))</f>
        <v>0</v>
      </c>
      <c r="CN82" s="2">
        <f>IF(OR(CN52="",CM52=""),0,--(CN52&lt;&gt;CM52))</f>
        <v>0</v>
      </c>
      <c r="CO82" s="2">
        <f>IF(OR(CO52="",CN52=""),0,--(CO52&lt;&gt;CN52))</f>
        <v>0</v>
      </c>
      <c r="CP82" s="2">
        <f>IF(OR(CP52="",CO52=""),0,--(CP52&lt;&gt;CO52))</f>
        <v>0</v>
      </c>
      <c r="CQ82" s="2">
        <f>IF(OR(CQ52="",CP52=""),0,--(CQ52&lt;&gt;CP52))</f>
        <v>0</v>
      </c>
      <c r="CR82" s="2">
        <f>IF(OR(CR52="",CQ52=""),0,--(CR52&lt;&gt;CQ52))</f>
        <v>0</v>
      </c>
      <c r="CS82" s="2">
        <f>IF(OR(CS52="",CR52=""),0,--(CS52&lt;&gt;CR52))</f>
        <v>0</v>
      </c>
      <c r="CT82" s="2">
        <f>IF(OR(CT52="",CS52=""),0,--(CT52&lt;&gt;CS52))</f>
        <v>0</v>
      </c>
      <c r="CU82" s="2">
        <f>IF(OR(CU52="",CT52=""),0,--(CU52&lt;&gt;CT52))</f>
        <v>0</v>
      </c>
      <c r="CV82" s="2">
        <f>IF(OR(CV52="",CU52=""),0,--(CV52&lt;&gt;CU52))</f>
        <v>0</v>
      </c>
      <c r="CW82" s="2">
        <f>IF(OR(CW52="",CV52=""),0,--(CW52&lt;&gt;CV52))</f>
        <v>0</v>
      </c>
      <c r="CX82" s="2">
        <f>IF(OR(CX52="",CW52=""),0,--(CX52&lt;&gt;CW52))</f>
        <v>0</v>
      </c>
      <c r="CY82" s="2">
        <f>IF(OR(CY52="",CX52=""),0,--(CY52&lt;&gt;CX52))</f>
        <v>0</v>
      </c>
      <c r="CZ82" s="2">
        <f>IF(OR(CZ52="",CY52=""),0,--(CZ52&lt;&gt;CY52))</f>
        <v>0</v>
      </c>
      <c r="DA82" s="2">
        <f>IF(OR(DA52="",CZ52=""),0,--(DA52&lt;&gt;CZ52))</f>
        <v>0</v>
      </c>
      <c r="DB82" s="2">
        <f>IF(OR(DB52="",DA52=""),0,--(DB52&lt;&gt;DA52))</f>
        <v>0</v>
      </c>
      <c r="DC82" s="2">
        <f>IF(OR(DC52="",DB52=""),0,--(DC52&lt;&gt;DB52))</f>
        <v>0</v>
      </c>
      <c r="DD82" s="2">
        <f>IF(OR(DD52="",DC52=""),0,--(DD52&lt;&gt;DC52))</f>
        <v>0</v>
      </c>
      <c r="DE82" s="2">
        <f>IF(OR(DE52="",DD52=""),0,--(DE52&lt;&gt;DD52))</f>
        <v>0</v>
      </c>
      <c r="DF82" s="2">
        <f>IF(OR(DF52="",DE52=""),0,--(DF52&lt;&gt;DE52))</f>
        <v>0</v>
      </c>
      <c r="DG82" s="2">
        <f>IF(OR(DG52="",DF52=""),0,--(DG52&lt;&gt;DF52))</f>
        <v>0</v>
      </c>
      <c r="DH82" s="2">
        <f>IF(OR(DH52="",DG52=""),0,--(DH52&lt;&gt;DG52))</f>
        <v>0</v>
      </c>
      <c r="DI82" s="2">
        <f>IF(OR(DI52="",DH52=""),0,--(DI52&lt;&gt;DH52))</f>
        <v>0</v>
      </c>
      <c r="DJ82" s="2">
        <f>IF(OR(DJ52="",DI52=""),0,--(DJ52&lt;&gt;DI52))</f>
        <v>0</v>
      </c>
      <c r="DK82" s="2">
        <f>IF(OR(DK52="",DJ52=""),0,--(DK52&lt;&gt;DJ52))</f>
        <v>0</v>
      </c>
      <c r="DL82" s="2">
        <f>IF(OR(DL52="",DK52=""),0,--(DL52&lt;&gt;DK52))</f>
        <v>0</v>
      </c>
      <c r="DM82" s="2">
        <f>IF(OR(DM52="",DL52=""),0,--(DM52&lt;&gt;DL52))</f>
        <v>0</v>
      </c>
      <c r="DN82" s="2">
        <f>IF(OR(DN52="",DM52=""),0,--(DN52&lt;&gt;DM52))</f>
        <v>0</v>
      </c>
      <c r="DO82" s="2">
        <f>IF(OR(DO52="",DN52=""),0,--(DO52&lt;&gt;DN52))</f>
        <v>0</v>
      </c>
      <c r="DP82" s="2">
        <f>IF(OR(DP52="",DO52=""),0,--(DP52&lt;&gt;DO52))</f>
        <v>0</v>
      </c>
      <c r="DQ82" s="2">
        <f>IF(OR(DQ52="",DP52=""),0,--(DQ52&lt;&gt;DP52))</f>
        <v>0</v>
      </c>
      <c r="DR82" s="2">
        <f>IF(OR(DR52="",DQ52=""),0,--(DR52&lt;&gt;DQ52))</f>
        <v>0</v>
      </c>
      <c r="DS82" s="2">
        <f>IF(OR(DS52="",DR52=""),0,--(DS52&lt;&gt;DR52))</f>
        <v>0</v>
      </c>
      <c r="DT82" s="2">
        <f>IF(OR(DT52="",DS52=""),0,--(DT52&lt;&gt;DS52))</f>
        <v>0</v>
      </c>
      <c r="DU82" s="2">
        <f>IF(OR(DU52="",DT52=""),0,--(DU52&lt;&gt;DT52))</f>
        <v>0</v>
      </c>
      <c r="DV82" s="2">
        <f>IF(OR(DV52="",DU52=""),0,--(DV52&lt;&gt;DU52))</f>
        <v>0</v>
      </c>
      <c r="DW82" s="2">
        <f>IF(OR(DW52="",DV52=""),0,--(DW52&lt;&gt;DV52))</f>
        <v>0</v>
      </c>
      <c r="DX82" s="2">
        <f>IF(OR(DX52="",DW52=""),0,--(DX52&lt;&gt;DW52))</f>
        <v>0</v>
      </c>
      <c r="DY82" s="2">
        <f>IF(OR(DY52="",DX52=""),0,--(DY52&lt;&gt;DX52))</f>
        <v>0</v>
      </c>
      <c r="DZ82" s="2">
        <f>IF(OR(DZ52="",DY52=""),0,--(DZ52&lt;&gt;DY52))</f>
        <v>0</v>
      </c>
      <c r="EA82" s="2">
        <f>IF(OR(EA52="",DZ52=""),0,--(EA52&lt;&gt;DZ52))</f>
        <v>0</v>
      </c>
      <c r="EB82" s="2">
        <f>IF(OR(EB52="",EA52=""),0,--(EB52&lt;&gt;EA52))</f>
        <v>0</v>
      </c>
      <c r="EC82" s="2">
        <f>IF(OR(EC52="",EB52=""),0,--(EC52&lt;&gt;EB52))</f>
        <v>0</v>
      </c>
      <c r="ED82" s="2">
        <f>IF(OR(ED52="",EC52=""),0,--(ED52&lt;&gt;EC52))</f>
        <v>0</v>
      </c>
      <c r="EE82" s="2">
        <f>IF(OR(EE52="",ED52=""),0,--(EE52&lt;&gt;ED52))</f>
        <v>0</v>
      </c>
      <c r="EF82" s="2">
        <f>IF(OR(EF52="",EE52=""),0,--(EF52&lt;&gt;EE52))</f>
        <v>0</v>
      </c>
      <c r="EG82" s="2">
        <f>IF(OR(EG52="",EF52=""),0,--(EG52&lt;&gt;EF52))</f>
        <v>0</v>
      </c>
      <c r="EH82" s="2">
        <f>IF(OR(EH52="",EG52=""),0,--(EH52&lt;&gt;EG52))</f>
        <v>0</v>
      </c>
      <c r="EI82" s="2">
        <f>IF(OR(EI52="",EH52=""),0,--(EI52&lt;&gt;EH52))</f>
        <v>0</v>
      </c>
      <c r="EJ82" s="2">
        <f>IF(OR(EJ52="",EI52=""),0,--(EJ52&lt;&gt;EI52))</f>
        <v>0</v>
      </c>
      <c r="EK82" s="2">
        <f>IF(OR(EK52="",EJ52=""),0,--(EK52&lt;&gt;EJ52))</f>
        <v>0</v>
      </c>
      <c r="EL82" s="2">
        <f>IF(OR(EL52="",EK52=""),0,--(EL52&lt;&gt;EK52))</f>
        <v>0</v>
      </c>
      <c r="EM82" s="2">
        <f>IF(OR(EM52="",EL52=""),0,--(EM52&lt;&gt;EL52))</f>
        <v>0</v>
      </c>
      <c r="EN82" s="2">
        <f>IF(OR(EN52="",EM52=""),0,--(EN52&lt;&gt;EM52))</f>
        <v>0</v>
      </c>
      <c r="EO82" s="2">
        <f>IF(OR(EO52="",EN52=""),0,--(EO52&lt;&gt;EN52))</f>
        <v>0</v>
      </c>
      <c r="EP82" s="2">
        <f>IF(OR(EP52="",EO52=""),0,--(EP52&lt;&gt;EO52))</f>
        <v>0</v>
      </c>
      <c r="EQ82" s="2">
        <f>IF(OR(EQ52="",EP52=""),0,--(EQ52&lt;&gt;EP52))</f>
        <v>0</v>
      </c>
      <c r="ER82" s="2">
        <f>IF(OR(ER52="",EQ52=""),0,--(ER52&lt;&gt;EQ52))</f>
        <v>0</v>
      </c>
      <c r="ES82" s="2">
        <f>IF(OR(ES52="",ER52=""),0,--(ES52&lt;&gt;ER52))</f>
        <v>0</v>
      </c>
      <c r="ET82" s="2">
        <f>IF(OR(ET52="",ES52=""),0,--(ET52&lt;&gt;ES52))</f>
        <v>0</v>
      </c>
      <c r="EU82" s="2">
        <f>IF(OR(EU52="",ET52=""),0,--(EU52&lt;&gt;ET52))</f>
        <v>0</v>
      </c>
      <c r="EV82" s="2">
        <f>IF(OR(EV52="",EU52=""),0,--(EV52&lt;&gt;EU52))</f>
        <v>0</v>
      </c>
      <c r="EW82" s="2">
        <f>IF(OR(EW52="",EV52=""),0,--(EW52&lt;&gt;EV52))</f>
        <v>0</v>
      </c>
      <c r="EX82" s="2">
        <f>IF(OR(EX52="",EW52=""),0,--(EX52&lt;&gt;EW52))</f>
        <v>0</v>
      </c>
      <c r="EY82" s="2">
        <f>IF(OR(EY52="",EX52=""),0,--(EY52&lt;&gt;EX52))</f>
        <v>0</v>
      </c>
      <c r="EZ82" s="2">
        <f>IF(OR(EZ52="",EY52=""),0,--(EZ52&lt;&gt;EY52))</f>
        <v>0</v>
      </c>
      <c r="FA82" s="2">
        <f>IF(OR(FA52="",EZ52=""),0,--(FA52&lt;&gt;EZ52))</f>
        <v>0</v>
      </c>
      <c r="FB82" s="2">
        <f>IF(OR(FB52="",FA52=""),0,--(FB52&lt;&gt;FA52))</f>
        <v>0</v>
      </c>
      <c r="FC82" s="2">
        <f>IF(OR(FC52="",FB52=""),0,--(FC52&lt;&gt;FB52))</f>
        <v>0</v>
      </c>
      <c r="FD82" s="2">
        <f>IF(OR(FD52="",FC52=""),0,--(FD52&lt;&gt;FC52))</f>
        <v>0</v>
      </c>
      <c r="FE82" s="2">
        <f>IF(OR(FE52="",FD52=""),0,--(FE52&lt;&gt;FD52))</f>
        <v>0</v>
      </c>
      <c r="FF82" s="2">
        <f>IF(OR(FF52="",FE52=""),0,--(FF52&lt;&gt;FE52))</f>
        <v>0</v>
      </c>
      <c r="FG82" s="2">
        <f>IF(OR(FG52="",FF52=""),0,--(FG52&lt;&gt;FF52))</f>
        <v>0</v>
      </c>
      <c r="FH82" s="2">
        <f>IF(OR(FH52="",FG52=""),0,--(FH52&lt;&gt;FG52))</f>
        <v>0</v>
      </c>
      <c r="FI82" s="2">
        <f>IF(OR(FI52="",FH52=""),0,--(FI52&lt;&gt;FH52))</f>
        <v>0</v>
      </c>
      <c r="FJ82" s="2">
        <f>IF(OR(FJ52="",FI52=""),0,--(FJ52&lt;&gt;FI52))</f>
        <v>0</v>
      </c>
      <c r="FK82" s="2">
        <f>IF(OR(FK52="",FJ52=""),0,--(FK52&lt;&gt;FJ52))</f>
        <v>0</v>
      </c>
      <c r="FL82" s="2">
        <f>IF(OR(FL52="",FK52=""),0,--(FL52&lt;&gt;FK52))</f>
        <v>0</v>
      </c>
      <c r="FM82" s="2">
        <f>IF(OR(FM52="",FL52=""),0,--(FM52&lt;&gt;FL52))</f>
        <v>0</v>
      </c>
      <c r="FN82" s="2">
        <f>IF(OR(FN52="",FM52=""),0,--(FN52&lt;&gt;FM52))</f>
        <v>0</v>
      </c>
      <c r="FO82" s="2">
        <f>IF(OR(FO52="",FN52=""),0,--(FO52&lt;&gt;FN52))</f>
        <v>0</v>
      </c>
      <c r="FP82" s="2">
        <f>IF(OR(FP52="",FO52=""),0,--(FP52&lt;&gt;FO52))</f>
        <v>0</v>
      </c>
      <c r="FQ82" s="2">
        <f>IF(OR(FQ52="",FP52=""),0,--(FQ52&lt;&gt;FP52))</f>
        <v>0</v>
      </c>
      <c r="FR82" s="2">
        <f>IF(OR(FR52="",FQ52=""),0,--(FR52&lt;&gt;FQ52))</f>
        <v>0</v>
      </c>
      <c r="FS82" s="2">
        <f>IF(OR(FS52="",FR52=""),0,--(FS52&lt;&gt;FR52))</f>
        <v>0</v>
      </c>
      <c r="FT82" s="2">
        <f>IF(OR(FT52="",FS52=""),0,--(FT52&lt;&gt;FS52))</f>
        <v>0</v>
      </c>
      <c r="FU82" s="2">
        <f>IF(OR(FU52="",FT52=""),0,--(FU52&lt;&gt;FT52))</f>
        <v>0</v>
      </c>
      <c r="FV82" s="2">
        <f>IF(OR(FV52="",FU52=""),0,--(FV52&lt;&gt;FU52))</f>
        <v>0</v>
      </c>
      <c r="FW82" s="2">
        <f>IF(OR(FW52="",FV52=""),0,--(FW52&lt;&gt;FV52))</f>
        <v>0</v>
      </c>
      <c r="FX82" s="2">
        <f>IF(OR(FX52="",FW52=""),0,--(FX52&lt;&gt;FW52))</f>
        <v>0</v>
      </c>
      <c r="FY82" s="2">
        <f>IF(OR(FY52="",FX52=""),0,--(FY52&lt;&gt;FX52))</f>
        <v>0</v>
      </c>
      <c r="FZ82" s="2">
        <f>IF(OR(FZ52="",FY52=""),0,--(FZ52&lt;&gt;FY52))</f>
        <v>0</v>
      </c>
      <c r="GA82" s="2">
        <f>IF(OR(GA52="",FZ52=""),0,--(GA52&lt;&gt;FZ52))</f>
        <v>0</v>
      </c>
      <c r="GB82" s="2">
        <f>IF(OR(GB52="",GA52=""),0,--(GB52&lt;&gt;GA52))</f>
        <v>0</v>
      </c>
      <c r="GC82" s="2">
        <f>IF(OR(GC52="",GB52=""),0,--(GC52&lt;&gt;GB52))</f>
        <v>0</v>
      </c>
      <c r="GD82" s="2">
        <f>IF(OR(GD52="",GC52=""),0,--(GD52&lt;&gt;GC52))</f>
        <v>0</v>
      </c>
      <c r="GE82" s="2">
        <f>IF(OR(GE52="",GD52=""),0,--(GE52&lt;&gt;GD52))</f>
        <v>0</v>
      </c>
      <c r="GF82" s="2">
        <f>IF(OR(GF52="",GE52=""),0,--(GF52&lt;&gt;GE52))</f>
        <v>0</v>
      </c>
      <c r="GG82" s="2">
        <f>IF(OR(GG52="",GF52=""),0,--(GG52&lt;&gt;GF52))</f>
        <v>0</v>
      </c>
      <c r="GH82" s="2">
        <f>IF(OR(GH52="",GG52=""),0,--(GH52&lt;&gt;GG52))</f>
        <v>0</v>
      </c>
      <c r="GI82" s="2">
        <f>IF(OR(GI52="",GH52=""),0,--(GI52&lt;&gt;GH52))</f>
        <v>0</v>
      </c>
      <c r="GJ82" s="2">
        <f>IF(OR(GJ52="",GI52=""),0,--(GJ52&lt;&gt;GI52))</f>
        <v>0</v>
      </c>
      <c r="GK82" s="2">
        <f>IF(OR(GK52="",GJ52=""),0,--(GK52&lt;&gt;GJ52))</f>
        <v>0</v>
      </c>
      <c r="GL82" s="2">
        <f>IF(OR(GL52="",GK52=""),0,--(GL52&lt;&gt;GK52))</f>
        <v>0</v>
      </c>
      <c r="GM82" s="2">
        <f>IF(OR(GM52="",GL52=""),0,--(GM52&lt;&gt;GL52))</f>
        <v>0</v>
      </c>
      <c r="GN82" s="2">
        <f>IF(OR(GN52="",GM52=""),0,--(GN52&lt;&gt;GM52))</f>
        <v>0</v>
      </c>
      <c r="GO82" s="2">
        <f>IF(OR(GO52="",GN52=""),0,--(GO52&lt;&gt;GN52))</f>
        <v>0</v>
      </c>
      <c r="GP82" s="2">
        <f>IF(OR(GP52="",GO52=""),0,--(GP52&lt;&gt;GO52))</f>
        <v>0</v>
      </c>
      <c r="GQ82" s="2">
        <f>IF(OR(GQ52="",GP52=""),0,--(GQ52&lt;&gt;GP52))</f>
        <v>0</v>
      </c>
      <c r="GR82" s="2">
        <f>IF(OR(GR52="",GQ52=""),0,--(GR52&lt;&gt;GQ52))</f>
        <v>0</v>
      </c>
      <c r="GS82" s="2">
        <f>IF(OR(GS52="",GR52=""),0,--(GS52&lt;&gt;GR52))</f>
        <v>0</v>
      </c>
      <c r="GY82" s="15">
        <f>SUM($B82:$DB82)</f>
        <v>1</v>
      </c>
    </row>
    <row r="83" spans="1:207">
      <c r="A83" s="2">
        <f>$A53</f>
        <v>18</v>
      </c>
      <c r="B83" s="2">
        <f>0</f>
        <v>0</v>
      </c>
      <c r="C83" s="2">
        <f>IF(OR(C53="",B53=""),0,--(C53&lt;&gt;B53))</f>
        <v>0</v>
      </c>
      <c r="D83" s="2">
        <f>IF(OR(D53="",C53=""),0,--(D53&lt;&gt;C53))</f>
        <v>0</v>
      </c>
      <c r="E83" s="2">
        <f>IF(OR(E53="",D53=""),0,--(E53&lt;&gt;D53))</f>
        <v>0</v>
      </c>
      <c r="F83" s="2">
        <f>IF(OR(F53="",E53=""),0,--(F53&lt;&gt;E53))</f>
        <v>0</v>
      </c>
      <c r="G83" s="2">
        <f>IF(OR(G53="",F53=""),0,--(G53&lt;&gt;F53))</f>
        <v>0</v>
      </c>
      <c r="H83" s="2">
        <f>IF(OR(H53="",G53=""),0,--(H53&lt;&gt;G53))</f>
        <v>0</v>
      </c>
      <c r="I83" s="2">
        <f>IF(OR(I53="",H53=""),0,--(I53&lt;&gt;H53))</f>
        <v>0</v>
      </c>
      <c r="J83" s="2">
        <f>IF(OR(J53="",I53=""),0,--(J53&lt;&gt;I53))</f>
        <v>0</v>
      </c>
      <c r="K83" s="2">
        <f>IF(OR(K53="",J53=""),0,--(K53&lt;&gt;J53))</f>
        <v>0</v>
      </c>
      <c r="L83" s="2">
        <f>IF(OR(L53="",K53=""),0,--(L53&lt;&gt;K53))</f>
        <v>0</v>
      </c>
      <c r="M83" s="2">
        <f>IF(OR(M53="",L53=""),0,--(M53&lt;&gt;L53))</f>
        <v>0</v>
      </c>
      <c r="N83" s="2">
        <f>IF(OR(N53="",M53=""),0,--(N53&lt;&gt;M53))</f>
        <v>0</v>
      </c>
      <c r="O83" s="2">
        <f>IF(OR(O53="",N53=""),0,--(O53&lt;&gt;N53))</f>
        <v>0</v>
      </c>
      <c r="P83" s="2">
        <f>IF(OR(P53="",O53=""),0,--(P53&lt;&gt;O53))</f>
        <v>0</v>
      </c>
      <c r="Q83" s="2">
        <f>IF(OR(Q53="",P53=""),0,--(Q53&lt;&gt;P53))</f>
        <v>0</v>
      </c>
      <c r="R83" s="2">
        <f>IF(OR(R53="",Q53=""),0,--(R53&lt;&gt;Q53))</f>
        <v>0</v>
      </c>
      <c r="S83" s="2">
        <f>IF(OR(S53="",R53=""),0,--(S53&lt;&gt;R53))</f>
        <v>0</v>
      </c>
      <c r="T83" s="2">
        <f>IF(OR(T53="",S53=""),0,--(T53&lt;&gt;S53))</f>
        <v>0</v>
      </c>
      <c r="U83" s="2">
        <f>IF(OR(U53="",T53=""),0,--(U53&lt;&gt;T53))</f>
        <v>0</v>
      </c>
      <c r="V83" s="2">
        <f>IF(OR(V53="",U53=""),0,--(V53&lt;&gt;U53))</f>
        <v>0</v>
      </c>
      <c r="W83" s="2">
        <f>IF(OR(W53="",V53=""),0,--(W53&lt;&gt;V53))</f>
        <v>0</v>
      </c>
      <c r="X83" s="2">
        <f>IF(OR(X53="",W53=""),0,--(X53&lt;&gt;W53))</f>
        <v>0</v>
      </c>
      <c r="Y83" s="2">
        <f>IF(OR(Y53="",X53=""),0,--(Y53&lt;&gt;X53))</f>
        <v>0</v>
      </c>
      <c r="Z83" s="2">
        <f>IF(OR(Z53="",Y53=""),0,--(Z53&lt;&gt;Y53))</f>
        <v>0</v>
      </c>
      <c r="AA83" s="2">
        <f>IF(OR(AA53="",Z53=""),0,--(AA53&lt;&gt;Z53))</f>
        <v>0</v>
      </c>
      <c r="AB83" s="2">
        <f>IF(OR(AB53="",AA53=""),0,--(AB53&lt;&gt;AA53))</f>
        <v>0</v>
      </c>
      <c r="AC83" s="2">
        <f>IF(OR(AC53="",AB53=""),0,--(AC53&lt;&gt;AB53))</f>
        <v>0</v>
      </c>
      <c r="AD83" s="2">
        <f>IF(OR(AD53="",AC53=""),0,--(AD53&lt;&gt;AC53))</f>
        <v>0</v>
      </c>
      <c r="AE83" s="2">
        <f>IF(OR(AE53="",AD53=""),0,--(AE53&lt;&gt;AD53))</f>
        <v>0</v>
      </c>
      <c r="AF83" s="2">
        <f>IF(OR(AF53="",AE53=""),0,--(AF53&lt;&gt;AE53))</f>
        <v>0</v>
      </c>
      <c r="AG83" s="2">
        <f>IF(OR(AG53="",AF53=""),0,--(AG53&lt;&gt;AF53))</f>
        <v>0</v>
      </c>
      <c r="AH83" s="2">
        <f>IF(OR(AH53="",AG53=""),0,--(AH53&lt;&gt;AG53))</f>
        <v>0</v>
      </c>
      <c r="AI83" s="2">
        <f>IF(OR(AI53="",AH53=""),0,--(AI53&lt;&gt;AH53))</f>
        <v>0</v>
      </c>
      <c r="AJ83" s="2">
        <f>IF(OR(AJ53="",AI53=""),0,--(AJ53&lt;&gt;AI53))</f>
        <v>0</v>
      </c>
      <c r="AK83" s="2">
        <f>IF(OR(AK53="",AJ53=""),0,--(AK53&lt;&gt;AJ53))</f>
        <v>0</v>
      </c>
      <c r="AL83" s="2">
        <f>IF(OR(AL53="",AK53=""),0,--(AL53&lt;&gt;AK53))</f>
        <v>0</v>
      </c>
      <c r="AM83" s="2">
        <f>IF(OR(AM53="",AL53=""),0,--(AM53&lt;&gt;AL53))</f>
        <v>0</v>
      </c>
      <c r="AN83" s="2">
        <f>IF(OR(AN53="",AM53=""),0,--(AN53&lt;&gt;AM53))</f>
        <v>0</v>
      </c>
      <c r="AO83" s="2">
        <f>IF(OR(AO53="",AN53=""),0,--(AO53&lt;&gt;AN53))</f>
        <v>0</v>
      </c>
      <c r="AP83" s="2">
        <f>IF(OR(AP53="",AO53=""),0,--(AP53&lt;&gt;AO53))</f>
        <v>0</v>
      </c>
      <c r="AQ83" s="2">
        <f>IF(OR(AQ53="",AP53=""),0,--(AQ53&lt;&gt;AP53))</f>
        <v>0</v>
      </c>
      <c r="AR83" s="2">
        <f>IF(OR(AR53="",AQ53=""),0,--(AR53&lt;&gt;AQ53))</f>
        <v>0</v>
      </c>
      <c r="AS83" s="2">
        <f>IF(OR(AS53="",AR53=""),0,--(AS53&lt;&gt;AR53))</f>
        <v>0</v>
      </c>
      <c r="AT83" s="2">
        <f>IF(OR(AT53="",AS53=""),0,--(AT53&lt;&gt;AS53))</f>
        <v>0</v>
      </c>
      <c r="AU83" s="2">
        <f>IF(OR(AU53="",AT53=""),0,--(AU53&lt;&gt;AT53))</f>
        <v>0</v>
      </c>
      <c r="AV83" s="2">
        <f>IF(OR(AV53="",AU53=""),0,--(AV53&lt;&gt;AU53))</f>
        <v>0</v>
      </c>
      <c r="AW83" s="2">
        <f>IF(OR(AW53="",AV53=""),0,--(AW53&lt;&gt;AV53))</f>
        <v>0</v>
      </c>
      <c r="AX83" s="2">
        <f>IF(OR(AX53="",AW53=""),0,--(AX53&lt;&gt;AW53))</f>
        <v>0</v>
      </c>
      <c r="AY83" s="2">
        <f>IF(OR(AY53="",AX53=""),0,--(AY53&lt;&gt;AX53))</f>
        <v>0</v>
      </c>
      <c r="AZ83" s="2">
        <f>IF(OR(AZ53="",AY53=""),0,--(AZ53&lt;&gt;AY53))</f>
        <v>0</v>
      </c>
      <c r="BA83" s="2">
        <f>IF(OR(BA53="",AZ53=""),0,--(BA53&lt;&gt;AZ53))</f>
        <v>0</v>
      </c>
      <c r="BB83" s="2">
        <f>IF(OR(BB53="",BA53=""),0,--(BB53&lt;&gt;BA53))</f>
        <v>0</v>
      </c>
      <c r="BC83" s="2">
        <f>IF(OR(BC53="",BB53=""),0,--(BC53&lt;&gt;BB53))</f>
        <v>0</v>
      </c>
      <c r="BD83" s="2">
        <f>IF(OR(BD53="",BC53=""),0,--(BD53&lt;&gt;BC53))</f>
        <v>0</v>
      </c>
      <c r="BE83" s="2">
        <f>IF(OR(BE53="",BD53=""),0,--(BE53&lt;&gt;BD53))</f>
        <v>0</v>
      </c>
      <c r="BF83" s="2">
        <f>IF(OR(BF53="",BE53=""),0,--(BF53&lt;&gt;BE53))</f>
        <v>0</v>
      </c>
      <c r="BG83" s="2">
        <f>IF(OR(BG53="",BF53=""),0,--(BG53&lt;&gt;BF53))</f>
        <v>0</v>
      </c>
      <c r="BH83" s="2">
        <f>IF(OR(BH53="",BG53=""),0,--(BH53&lt;&gt;BG53))</f>
        <v>0</v>
      </c>
      <c r="BI83" s="2">
        <f>IF(OR(BI53="",BH53=""),0,--(BI53&lt;&gt;BH53))</f>
        <v>0</v>
      </c>
      <c r="BJ83" s="2">
        <f>IF(OR(BJ53="",BI53=""),0,--(BJ53&lt;&gt;BI53))</f>
        <v>0</v>
      </c>
      <c r="BK83" s="2">
        <f>IF(OR(BK53="",BJ53=""),0,--(BK53&lt;&gt;BJ53))</f>
        <v>0</v>
      </c>
      <c r="BL83" s="2">
        <f>IF(OR(BL53="",BK53=""),0,--(BL53&lt;&gt;BK53))</f>
        <v>0</v>
      </c>
      <c r="BM83" s="2">
        <f>IF(OR(BM53="",BL53=""),0,--(BM53&lt;&gt;BL53))</f>
        <v>0</v>
      </c>
      <c r="BN83" s="2">
        <f>IF(OR(BN53="",BM53=""),0,--(BN53&lt;&gt;BM53))</f>
        <v>0</v>
      </c>
      <c r="BO83" s="2">
        <f>IF(OR(BO53="",BN53=""),0,--(BO53&lt;&gt;BN53))</f>
        <v>0</v>
      </c>
      <c r="BP83" s="2">
        <f>IF(OR(BP53="",BO53=""),0,--(BP53&lt;&gt;BO53))</f>
        <v>0</v>
      </c>
      <c r="BQ83" s="2">
        <f>IF(OR(BQ53="",BP53=""),0,--(BQ53&lt;&gt;BP53))</f>
        <v>0</v>
      </c>
      <c r="BR83" s="2">
        <f>IF(OR(BR53="",BQ53=""),0,--(BR53&lt;&gt;BQ53))</f>
        <v>0</v>
      </c>
      <c r="BS83" s="2">
        <f>IF(OR(BS53="",BR53=""),0,--(BS53&lt;&gt;BR53))</f>
        <v>0</v>
      </c>
      <c r="BT83" s="2">
        <f>IF(OR(BT53="",BS53=""),0,--(BT53&lt;&gt;BS53))</f>
        <v>0</v>
      </c>
      <c r="BU83" s="2">
        <f>IF(OR(BU53="",BT53=""),0,--(BU53&lt;&gt;BT53))</f>
        <v>0</v>
      </c>
      <c r="BV83" s="2">
        <f>IF(OR(BV53="",BU53=""),0,--(BV53&lt;&gt;BU53))</f>
        <v>0</v>
      </c>
      <c r="BW83" s="2">
        <f>IF(OR(BW53="",BV53=""),0,--(BW53&lt;&gt;BV53))</f>
        <v>0</v>
      </c>
      <c r="BX83" s="2">
        <f>IF(OR(BX53="",BW53=""),0,--(BX53&lt;&gt;BW53))</f>
        <v>0</v>
      </c>
      <c r="BY83" s="2">
        <f>IF(OR(BY53="",BX53=""),0,--(BY53&lt;&gt;BX53))</f>
        <v>0</v>
      </c>
      <c r="BZ83" s="2">
        <f>IF(OR(BZ53="",BY53=""),0,--(BZ53&lt;&gt;BY53))</f>
        <v>1</v>
      </c>
      <c r="CA83" s="2">
        <f>IF(OR(CA53="",BZ53=""),0,--(CA53&lt;&gt;BZ53))</f>
        <v>0</v>
      </c>
      <c r="CB83" s="2">
        <f>IF(OR(CB53="",CA53=""),0,--(CB53&lt;&gt;CA53))</f>
        <v>0</v>
      </c>
      <c r="CC83" s="2">
        <f>IF(OR(CC53="",CB53=""),0,--(CC53&lt;&gt;CB53))</f>
        <v>0</v>
      </c>
      <c r="CD83" s="2">
        <f>IF(OR(CD53="",CC53=""),0,--(CD53&lt;&gt;CC53))</f>
        <v>0</v>
      </c>
      <c r="CE83" s="2">
        <f>IF(OR(CE53="",CD53=""),0,--(CE53&lt;&gt;CD53))</f>
        <v>0</v>
      </c>
      <c r="CF83" s="2">
        <f>IF(OR(CF53="",CE53=""),0,--(CF53&lt;&gt;CE53))</f>
        <v>0</v>
      </c>
      <c r="CG83" s="2">
        <f>IF(OR(CG53="",CF53=""),0,--(CG53&lt;&gt;CF53))</f>
        <v>0</v>
      </c>
      <c r="CH83" s="2">
        <f>IF(OR(CH53="",CG53=""),0,--(CH53&lt;&gt;CG53))</f>
        <v>0</v>
      </c>
      <c r="CI83" s="2">
        <f>IF(OR(CI53="",CH53=""),0,--(CI53&lt;&gt;CH53))</f>
        <v>0</v>
      </c>
      <c r="CJ83" s="2">
        <f>IF(OR(CJ53="",CI53=""),0,--(CJ53&lt;&gt;CI53))</f>
        <v>0</v>
      </c>
      <c r="CK83" s="2">
        <f>IF(OR(CK53="",CJ53=""),0,--(CK53&lt;&gt;CJ53))</f>
        <v>0</v>
      </c>
      <c r="CL83" s="2">
        <f>IF(OR(CL53="",CK53=""),0,--(CL53&lt;&gt;CK53))</f>
        <v>0</v>
      </c>
      <c r="CM83" s="2">
        <f>IF(OR(CM53="",CL53=""),0,--(CM53&lt;&gt;CL53))</f>
        <v>0</v>
      </c>
      <c r="CN83" s="2">
        <f>IF(OR(CN53="",CM53=""),0,--(CN53&lt;&gt;CM53))</f>
        <v>0</v>
      </c>
      <c r="CO83" s="2">
        <f>IF(OR(CO53="",CN53=""),0,--(CO53&lt;&gt;CN53))</f>
        <v>0</v>
      </c>
      <c r="CP83" s="2">
        <f>IF(OR(CP53="",CO53=""),0,--(CP53&lt;&gt;CO53))</f>
        <v>0</v>
      </c>
      <c r="CQ83" s="2">
        <f>IF(OR(CQ53="",CP53=""),0,--(CQ53&lt;&gt;CP53))</f>
        <v>0</v>
      </c>
      <c r="CR83" s="2">
        <f>IF(OR(CR53="",CQ53=""),0,--(CR53&lt;&gt;CQ53))</f>
        <v>0</v>
      </c>
      <c r="CS83" s="2">
        <f>IF(OR(CS53="",CR53=""),0,--(CS53&lt;&gt;CR53))</f>
        <v>0</v>
      </c>
      <c r="CT83" s="2">
        <f>IF(OR(CT53="",CS53=""),0,--(CT53&lt;&gt;CS53))</f>
        <v>0</v>
      </c>
      <c r="CU83" s="2">
        <f>IF(OR(CU53="",CT53=""),0,--(CU53&lt;&gt;CT53))</f>
        <v>0</v>
      </c>
      <c r="CV83" s="2">
        <f>IF(OR(CV53="",CU53=""),0,--(CV53&lt;&gt;CU53))</f>
        <v>0</v>
      </c>
      <c r="CW83" s="2">
        <f>IF(OR(CW53="",CV53=""),0,--(CW53&lt;&gt;CV53))</f>
        <v>0</v>
      </c>
      <c r="CX83" s="2">
        <f>IF(OR(CX53="",CW53=""),0,--(CX53&lt;&gt;CW53))</f>
        <v>0</v>
      </c>
      <c r="CY83" s="2">
        <f>IF(OR(CY53="",CX53=""),0,--(CY53&lt;&gt;CX53))</f>
        <v>0</v>
      </c>
      <c r="CZ83" s="2">
        <f>IF(OR(CZ53="",CY53=""),0,--(CZ53&lt;&gt;CY53))</f>
        <v>0</v>
      </c>
      <c r="DA83" s="2">
        <f>IF(OR(DA53="",CZ53=""),0,--(DA53&lt;&gt;CZ53))</f>
        <v>0</v>
      </c>
      <c r="DB83" s="2">
        <f>IF(OR(DB53="",DA53=""),0,--(DB53&lt;&gt;DA53))</f>
        <v>0</v>
      </c>
      <c r="DC83" s="2">
        <f>IF(OR(DC53="",DB53=""),0,--(DC53&lt;&gt;DB53))</f>
        <v>0</v>
      </c>
      <c r="DD83" s="2">
        <f>IF(OR(DD53="",DC53=""),0,--(DD53&lt;&gt;DC53))</f>
        <v>0</v>
      </c>
      <c r="DE83" s="2">
        <f>IF(OR(DE53="",DD53=""),0,--(DE53&lt;&gt;DD53))</f>
        <v>0</v>
      </c>
      <c r="DF83" s="2">
        <f>IF(OR(DF53="",DE53=""),0,--(DF53&lt;&gt;DE53))</f>
        <v>0</v>
      </c>
      <c r="DG83" s="2">
        <f>IF(OR(DG53="",DF53=""),0,--(DG53&lt;&gt;DF53))</f>
        <v>0</v>
      </c>
      <c r="DH83" s="2">
        <f>IF(OR(DH53="",DG53=""),0,--(DH53&lt;&gt;DG53))</f>
        <v>0</v>
      </c>
      <c r="DI83" s="2">
        <f>IF(OR(DI53="",DH53=""),0,--(DI53&lt;&gt;DH53))</f>
        <v>0</v>
      </c>
      <c r="DJ83" s="2">
        <f>IF(OR(DJ53="",DI53=""),0,--(DJ53&lt;&gt;DI53))</f>
        <v>0</v>
      </c>
      <c r="DK83" s="2">
        <f>IF(OR(DK53="",DJ53=""),0,--(DK53&lt;&gt;DJ53))</f>
        <v>0</v>
      </c>
      <c r="DL83" s="2">
        <f>IF(OR(DL53="",DK53=""),0,--(DL53&lt;&gt;DK53))</f>
        <v>0</v>
      </c>
      <c r="DM83" s="2">
        <f>IF(OR(DM53="",DL53=""),0,--(DM53&lt;&gt;DL53))</f>
        <v>0</v>
      </c>
      <c r="DN83" s="2">
        <f>IF(OR(DN53="",DM53=""),0,--(DN53&lt;&gt;DM53))</f>
        <v>0</v>
      </c>
      <c r="DO83" s="2">
        <f>IF(OR(DO53="",DN53=""),0,--(DO53&lt;&gt;DN53))</f>
        <v>0</v>
      </c>
      <c r="DP83" s="2">
        <f>IF(OR(DP53="",DO53=""),0,--(DP53&lt;&gt;DO53))</f>
        <v>0</v>
      </c>
      <c r="DQ83" s="2">
        <f>IF(OR(DQ53="",DP53=""),0,--(DQ53&lt;&gt;DP53))</f>
        <v>0</v>
      </c>
      <c r="DR83" s="2">
        <f>IF(OR(DR53="",DQ53=""),0,--(DR53&lt;&gt;DQ53))</f>
        <v>0</v>
      </c>
      <c r="DS83" s="2">
        <f>IF(OR(DS53="",DR53=""),0,--(DS53&lt;&gt;DR53))</f>
        <v>0</v>
      </c>
      <c r="DT83" s="2">
        <f>IF(OR(DT53="",DS53=""),0,--(DT53&lt;&gt;DS53))</f>
        <v>0</v>
      </c>
      <c r="DU83" s="2">
        <f>IF(OR(DU53="",DT53=""),0,--(DU53&lt;&gt;DT53))</f>
        <v>0</v>
      </c>
      <c r="DV83" s="2">
        <f>IF(OR(DV53="",DU53=""),0,--(DV53&lt;&gt;DU53))</f>
        <v>0</v>
      </c>
      <c r="DW83" s="2">
        <f>IF(OR(DW53="",DV53=""),0,--(DW53&lt;&gt;DV53))</f>
        <v>0</v>
      </c>
      <c r="DX83" s="2">
        <f>IF(OR(DX53="",DW53=""),0,--(DX53&lt;&gt;DW53))</f>
        <v>0</v>
      </c>
      <c r="DY83" s="2">
        <f>IF(OR(DY53="",DX53=""),0,--(DY53&lt;&gt;DX53))</f>
        <v>0</v>
      </c>
      <c r="DZ83" s="2">
        <f>IF(OR(DZ53="",DY53=""),0,--(DZ53&lt;&gt;DY53))</f>
        <v>0</v>
      </c>
      <c r="EA83" s="2">
        <f>IF(OR(EA53="",DZ53=""),0,--(EA53&lt;&gt;DZ53))</f>
        <v>0</v>
      </c>
      <c r="EB83" s="2">
        <f>IF(OR(EB53="",EA53=""),0,--(EB53&lt;&gt;EA53))</f>
        <v>0</v>
      </c>
      <c r="EC83" s="2">
        <f>IF(OR(EC53="",EB53=""),0,--(EC53&lt;&gt;EB53))</f>
        <v>0</v>
      </c>
      <c r="ED83" s="2">
        <f>IF(OR(ED53="",EC53=""),0,--(ED53&lt;&gt;EC53))</f>
        <v>0</v>
      </c>
      <c r="EE83" s="2">
        <f>IF(OR(EE53="",ED53=""),0,--(EE53&lt;&gt;ED53))</f>
        <v>0</v>
      </c>
      <c r="EF83" s="2">
        <f>IF(OR(EF53="",EE53=""),0,--(EF53&lt;&gt;EE53))</f>
        <v>0</v>
      </c>
      <c r="EG83" s="2">
        <f>IF(OR(EG53="",EF53=""),0,--(EG53&lt;&gt;EF53))</f>
        <v>0</v>
      </c>
      <c r="EH83" s="2">
        <f>IF(OR(EH53="",EG53=""),0,--(EH53&lt;&gt;EG53))</f>
        <v>0</v>
      </c>
      <c r="EI83" s="2">
        <f>IF(OR(EI53="",EH53=""),0,--(EI53&lt;&gt;EH53))</f>
        <v>0</v>
      </c>
      <c r="EJ83" s="2">
        <f>IF(OR(EJ53="",EI53=""),0,--(EJ53&lt;&gt;EI53))</f>
        <v>0</v>
      </c>
      <c r="EK83" s="2">
        <f>IF(OR(EK53="",EJ53=""),0,--(EK53&lt;&gt;EJ53))</f>
        <v>0</v>
      </c>
      <c r="EL83" s="2">
        <f>IF(OR(EL53="",EK53=""),0,--(EL53&lt;&gt;EK53))</f>
        <v>0</v>
      </c>
      <c r="EM83" s="2">
        <f>IF(OR(EM53="",EL53=""),0,--(EM53&lt;&gt;EL53))</f>
        <v>0</v>
      </c>
      <c r="EN83" s="2">
        <f>IF(OR(EN53="",EM53=""),0,--(EN53&lt;&gt;EM53))</f>
        <v>0</v>
      </c>
      <c r="EO83" s="2">
        <f>IF(OR(EO53="",EN53=""),0,--(EO53&lt;&gt;EN53))</f>
        <v>0</v>
      </c>
      <c r="EP83" s="2">
        <f>IF(OR(EP53="",EO53=""),0,--(EP53&lt;&gt;EO53))</f>
        <v>0</v>
      </c>
      <c r="EQ83" s="2">
        <f>IF(OR(EQ53="",EP53=""),0,--(EQ53&lt;&gt;EP53))</f>
        <v>0</v>
      </c>
      <c r="ER83" s="2">
        <f>IF(OR(ER53="",EQ53=""),0,--(ER53&lt;&gt;EQ53))</f>
        <v>0</v>
      </c>
      <c r="ES83" s="2">
        <f>IF(OR(ES53="",ER53=""),0,--(ES53&lt;&gt;ER53))</f>
        <v>0</v>
      </c>
      <c r="ET83" s="2">
        <f>IF(OR(ET53="",ES53=""),0,--(ET53&lt;&gt;ES53))</f>
        <v>0</v>
      </c>
      <c r="EU83" s="2">
        <f>IF(OR(EU53="",ET53=""),0,--(EU53&lt;&gt;ET53))</f>
        <v>0</v>
      </c>
      <c r="EV83" s="2">
        <f>IF(OR(EV53="",EU53=""),0,--(EV53&lt;&gt;EU53))</f>
        <v>0</v>
      </c>
      <c r="EW83" s="2">
        <f>IF(OR(EW53="",EV53=""),0,--(EW53&lt;&gt;EV53))</f>
        <v>0</v>
      </c>
      <c r="EX83" s="2">
        <f>IF(OR(EX53="",EW53=""),0,--(EX53&lt;&gt;EW53))</f>
        <v>0</v>
      </c>
      <c r="EY83" s="2">
        <f>IF(OR(EY53="",EX53=""),0,--(EY53&lt;&gt;EX53))</f>
        <v>0</v>
      </c>
      <c r="EZ83" s="2">
        <f>IF(OR(EZ53="",EY53=""),0,--(EZ53&lt;&gt;EY53))</f>
        <v>0</v>
      </c>
      <c r="FA83" s="2">
        <f>IF(OR(FA53="",EZ53=""),0,--(FA53&lt;&gt;EZ53))</f>
        <v>0</v>
      </c>
      <c r="FB83" s="2">
        <f>IF(OR(FB53="",FA53=""),0,--(FB53&lt;&gt;FA53))</f>
        <v>0</v>
      </c>
      <c r="FC83" s="2">
        <f>IF(OR(FC53="",FB53=""),0,--(FC53&lt;&gt;FB53))</f>
        <v>0</v>
      </c>
      <c r="FD83" s="2">
        <f>IF(OR(FD53="",FC53=""),0,--(FD53&lt;&gt;FC53))</f>
        <v>0</v>
      </c>
      <c r="FE83" s="2">
        <f>IF(OR(FE53="",FD53=""),0,--(FE53&lt;&gt;FD53))</f>
        <v>0</v>
      </c>
      <c r="FF83" s="2">
        <f>IF(OR(FF53="",FE53=""),0,--(FF53&lt;&gt;FE53))</f>
        <v>0</v>
      </c>
      <c r="FG83" s="2">
        <f>IF(OR(FG53="",FF53=""),0,--(FG53&lt;&gt;FF53))</f>
        <v>0</v>
      </c>
      <c r="FH83" s="2">
        <f>IF(OR(FH53="",FG53=""),0,--(FH53&lt;&gt;FG53))</f>
        <v>0</v>
      </c>
      <c r="FI83" s="2">
        <f>IF(OR(FI53="",FH53=""),0,--(FI53&lt;&gt;FH53))</f>
        <v>0</v>
      </c>
      <c r="FJ83" s="2">
        <f>IF(OR(FJ53="",FI53=""),0,--(FJ53&lt;&gt;FI53))</f>
        <v>0</v>
      </c>
      <c r="FK83" s="2">
        <f>IF(OR(FK53="",FJ53=""),0,--(FK53&lt;&gt;FJ53))</f>
        <v>0</v>
      </c>
      <c r="FL83" s="2">
        <f>IF(OR(FL53="",FK53=""),0,--(FL53&lt;&gt;FK53))</f>
        <v>0</v>
      </c>
      <c r="FM83" s="2">
        <f>IF(OR(FM53="",FL53=""),0,--(FM53&lt;&gt;FL53))</f>
        <v>0</v>
      </c>
      <c r="FN83" s="2">
        <f>IF(OR(FN53="",FM53=""),0,--(FN53&lt;&gt;FM53))</f>
        <v>0</v>
      </c>
      <c r="FO83" s="2">
        <f>IF(OR(FO53="",FN53=""),0,--(FO53&lt;&gt;FN53))</f>
        <v>0</v>
      </c>
      <c r="FP83" s="2">
        <f>IF(OR(FP53="",FO53=""),0,--(FP53&lt;&gt;FO53))</f>
        <v>0</v>
      </c>
      <c r="FQ83" s="2">
        <f>IF(OR(FQ53="",FP53=""),0,--(FQ53&lt;&gt;FP53))</f>
        <v>0</v>
      </c>
      <c r="FR83" s="2">
        <f>IF(OR(FR53="",FQ53=""),0,--(FR53&lt;&gt;FQ53))</f>
        <v>0</v>
      </c>
      <c r="FS83" s="2">
        <f>IF(OR(FS53="",FR53=""),0,--(FS53&lt;&gt;FR53))</f>
        <v>0</v>
      </c>
      <c r="FT83" s="2">
        <f>IF(OR(FT53="",FS53=""),0,--(FT53&lt;&gt;FS53))</f>
        <v>0</v>
      </c>
      <c r="FU83" s="2">
        <f>IF(OR(FU53="",FT53=""),0,--(FU53&lt;&gt;FT53))</f>
        <v>0</v>
      </c>
      <c r="FV83" s="2">
        <f>IF(OR(FV53="",FU53=""),0,--(FV53&lt;&gt;FU53))</f>
        <v>0</v>
      </c>
      <c r="FW83" s="2">
        <f>IF(OR(FW53="",FV53=""),0,--(FW53&lt;&gt;FV53))</f>
        <v>0</v>
      </c>
      <c r="FX83" s="2">
        <f>IF(OR(FX53="",FW53=""),0,--(FX53&lt;&gt;FW53))</f>
        <v>0</v>
      </c>
      <c r="FY83" s="2">
        <f>IF(OR(FY53="",FX53=""),0,--(FY53&lt;&gt;FX53))</f>
        <v>0</v>
      </c>
      <c r="FZ83" s="2">
        <f>IF(OR(FZ53="",FY53=""),0,--(FZ53&lt;&gt;FY53))</f>
        <v>0</v>
      </c>
      <c r="GA83" s="2">
        <f>IF(OR(GA53="",FZ53=""),0,--(GA53&lt;&gt;FZ53))</f>
        <v>0</v>
      </c>
      <c r="GB83" s="2">
        <f>IF(OR(GB53="",GA53=""),0,--(GB53&lt;&gt;GA53))</f>
        <v>0</v>
      </c>
      <c r="GC83" s="2">
        <f>IF(OR(GC53="",GB53=""),0,--(GC53&lt;&gt;GB53))</f>
        <v>0</v>
      </c>
      <c r="GD83" s="2">
        <f>IF(OR(GD53="",GC53=""),0,--(GD53&lt;&gt;GC53))</f>
        <v>0</v>
      </c>
      <c r="GE83" s="2">
        <f>IF(OR(GE53="",GD53=""),0,--(GE53&lt;&gt;GD53))</f>
        <v>0</v>
      </c>
      <c r="GF83" s="2">
        <f>IF(OR(GF53="",GE53=""),0,--(GF53&lt;&gt;GE53))</f>
        <v>0</v>
      </c>
      <c r="GG83" s="2">
        <f>IF(OR(GG53="",GF53=""),0,--(GG53&lt;&gt;GF53))</f>
        <v>0</v>
      </c>
      <c r="GH83" s="2">
        <f>IF(OR(GH53="",GG53=""),0,--(GH53&lt;&gt;GG53))</f>
        <v>0</v>
      </c>
      <c r="GI83" s="2">
        <f>IF(OR(GI53="",GH53=""),0,--(GI53&lt;&gt;GH53))</f>
        <v>0</v>
      </c>
      <c r="GJ83" s="2">
        <f>IF(OR(GJ53="",GI53=""),0,--(GJ53&lt;&gt;GI53))</f>
        <v>0</v>
      </c>
      <c r="GK83" s="2">
        <f>IF(OR(GK53="",GJ53=""),0,--(GK53&lt;&gt;GJ53))</f>
        <v>0</v>
      </c>
      <c r="GL83" s="2">
        <f>IF(OR(GL53="",GK53=""),0,--(GL53&lt;&gt;GK53))</f>
        <v>0</v>
      </c>
      <c r="GM83" s="2">
        <f>IF(OR(GM53="",GL53=""),0,--(GM53&lt;&gt;GL53))</f>
        <v>0</v>
      </c>
      <c r="GN83" s="2">
        <f>IF(OR(GN53="",GM53=""),0,--(GN53&lt;&gt;GM53))</f>
        <v>0</v>
      </c>
      <c r="GO83" s="2">
        <f>IF(OR(GO53="",GN53=""),0,--(GO53&lt;&gt;GN53))</f>
        <v>0</v>
      </c>
      <c r="GP83" s="2">
        <f>IF(OR(GP53="",GO53=""),0,--(GP53&lt;&gt;GO53))</f>
        <v>0</v>
      </c>
      <c r="GQ83" s="2">
        <f>IF(OR(GQ53="",GP53=""),0,--(GQ53&lt;&gt;GP53))</f>
        <v>0</v>
      </c>
      <c r="GR83" s="2">
        <f>IF(OR(GR53="",GQ53=""),0,--(GR53&lt;&gt;GQ53))</f>
        <v>0</v>
      </c>
      <c r="GS83" s="2">
        <f>IF(OR(GS53="",GR53=""),0,--(GS53&lt;&gt;GR53))</f>
        <v>0</v>
      </c>
      <c r="GY83" s="15">
        <f>SUM($B83:$DB83)</f>
        <v>1</v>
      </c>
    </row>
    <row r="84" spans="1:207">
      <c r="A84" s="2">
        <f>$A54</f>
        <v>19</v>
      </c>
      <c r="B84" s="2">
        <f>0</f>
        <v>0</v>
      </c>
      <c r="C84" s="2">
        <f>IF(OR(C54="",B54=""),0,--(C54&lt;&gt;B54))</f>
        <v>0</v>
      </c>
      <c r="D84" s="2">
        <f>IF(OR(D54="",C54=""),0,--(D54&lt;&gt;C54))</f>
        <v>0</v>
      </c>
      <c r="E84" s="2">
        <f>IF(OR(E54="",D54=""),0,--(E54&lt;&gt;D54))</f>
        <v>0</v>
      </c>
      <c r="F84" s="2">
        <f>IF(OR(F54="",E54=""),0,--(F54&lt;&gt;E54))</f>
        <v>0</v>
      </c>
      <c r="G84" s="2">
        <f>IF(OR(G54="",F54=""),0,--(G54&lt;&gt;F54))</f>
        <v>0</v>
      </c>
      <c r="H84" s="2">
        <f>IF(OR(H54="",G54=""),0,--(H54&lt;&gt;G54))</f>
        <v>0</v>
      </c>
      <c r="I84" s="2">
        <f>IF(OR(I54="",H54=""),0,--(I54&lt;&gt;H54))</f>
        <v>0</v>
      </c>
      <c r="J84" s="2">
        <f>IF(OR(J54="",I54=""),0,--(J54&lt;&gt;I54))</f>
        <v>0</v>
      </c>
      <c r="K84" s="2">
        <f>IF(OR(K54="",J54=""),0,--(K54&lt;&gt;J54))</f>
        <v>0</v>
      </c>
      <c r="L84" s="2">
        <f>IF(OR(L54="",K54=""),0,--(L54&lt;&gt;K54))</f>
        <v>0</v>
      </c>
      <c r="M84" s="2">
        <f>IF(OR(M54="",L54=""),0,--(M54&lt;&gt;L54))</f>
        <v>0</v>
      </c>
      <c r="N84" s="2">
        <f>IF(OR(N54="",M54=""),0,--(N54&lt;&gt;M54))</f>
        <v>0</v>
      </c>
      <c r="O84" s="2">
        <f>IF(OR(O54="",N54=""),0,--(O54&lt;&gt;N54))</f>
        <v>0</v>
      </c>
      <c r="P84" s="2">
        <f>IF(OR(P54="",O54=""),0,--(P54&lt;&gt;O54))</f>
        <v>0</v>
      </c>
      <c r="Q84" s="2">
        <f>IF(OR(Q54="",P54=""),0,--(Q54&lt;&gt;P54))</f>
        <v>0</v>
      </c>
      <c r="R84" s="2">
        <f>IF(OR(R54="",Q54=""),0,--(R54&lt;&gt;Q54))</f>
        <v>0</v>
      </c>
      <c r="S84" s="2">
        <f>IF(OR(S54="",R54=""),0,--(S54&lt;&gt;R54))</f>
        <v>0</v>
      </c>
      <c r="T84" s="2">
        <f>IF(OR(T54="",S54=""),0,--(T54&lt;&gt;S54))</f>
        <v>0</v>
      </c>
      <c r="U84" s="2">
        <f>IF(OR(U54="",T54=""),0,--(U54&lt;&gt;T54))</f>
        <v>0</v>
      </c>
      <c r="V84" s="2">
        <f>IF(OR(V54="",U54=""),0,--(V54&lt;&gt;U54))</f>
        <v>0</v>
      </c>
      <c r="W84" s="2">
        <f>IF(OR(W54="",V54=""),0,--(W54&lt;&gt;V54))</f>
        <v>0</v>
      </c>
      <c r="X84" s="2">
        <f>IF(OR(X54="",W54=""),0,--(X54&lt;&gt;W54))</f>
        <v>0</v>
      </c>
      <c r="Y84" s="2">
        <f>IF(OR(Y54="",X54=""),0,--(Y54&lt;&gt;X54))</f>
        <v>0</v>
      </c>
      <c r="Z84" s="2">
        <f>IF(OR(Z54="",Y54=""),0,--(Z54&lt;&gt;Y54))</f>
        <v>0</v>
      </c>
      <c r="AA84" s="2">
        <f>IF(OR(AA54="",Z54=""),0,--(AA54&lt;&gt;Z54))</f>
        <v>0</v>
      </c>
      <c r="AB84" s="2">
        <f>IF(OR(AB54="",AA54=""),0,--(AB54&lt;&gt;AA54))</f>
        <v>0</v>
      </c>
      <c r="AC84" s="2">
        <f>IF(OR(AC54="",AB54=""),0,--(AC54&lt;&gt;AB54))</f>
        <v>0</v>
      </c>
      <c r="AD84" s="2">
        <f>IF(OR(AD54="",AC54=""),0,--(AD54&lt;&gt;AC54))</f>
        <v>0</v>
      </c>
      <c r="AE84" s="2">
        <f>IF(OR(AE54="",AD54=""),0,--(AE54&lt;&gt;AD54))</f>
        <v>0</v>
      </c>
      <c r="AF84" s="2">
        <f>IF(OR(AF54="",AE54=""),0,--(AF54&lt;&gt;AE54))</f>
        <v>0</v>
      </c>
      <c r="AG84" s="2">
        <f>IF(OR(AG54="",AF54=""),0,--(AG54&lt;&gt;AF54))</f>
        <v>0</v>
      </c>
      <c r="AH84" s="2">
        <f>IF(OR(AH54="",AG54=""),0,--(AH54&lt;&gt;AG54))</f>
        <v>0</v>
      </c>
      <c r="AI84" s="2">
        <f>IF(OR(AI54="",AH54=""),0,--(AI54&lt;&gt;AH54))</f>
        <v>0</v>
      </c>
      <c r="AJ84" s="2">
        <f>IF(OR(AJ54="",AI54=""),0,--(AJ54&lt;&gt;AI54))</f>
        <v>0</v>
      </c>
      <c r="AK84" s="2">
        <f>IF(OR(AK54="",AJ54=""),0,--(AK54&lt;&gt;AJ54))</f>
        <v>0</v>
      </c>
      <c r="AL84" s="2">
        <f>IF(OR(AL54="",AK54=""),0,--(AL54&lt;&gt;AK54))</f>
        <v>0</v>
      </c>
      <c r="AM84" s="2">
        <f>IF(OR(AM54="",AL54=""),0,--(AM54&lt;&gt;AL54))</f>
        <v>0</v>
      </c>
      <c r="AN84" s="2">
        <f>IF(OR(AN54="",AM54=""),0,--(AN54&lt;&gt;AM54))</f>
        <v>0</v>
      </c>
      <c r="AO84" s="2">
        <f>IF(OR(AO54="",AN54=""),0,--(AO54&lt;&gt;AN54))</f>
        <v>0</v>
      </c>
      <c r="AP84" s="2">
        <f>IF(OR(AP54="",AO54=""),0,--(AP54&lt;&gt;AO54))</f>
        <v>0</v>
      </c>
      <c r="AQ84" s="2">
        <f>IF(OR(AQ54="",AP54=""),0,--(AQ54&lt;&gt;AP54))</f>
        <v>0</v>
      </c>
      <c r="AR84" s="2">
        <f>IF(OR(AR54="",AQ54=""),0,--(AR54&lt;&gt;AQ54))</f>
        <v>0</v>
      </c>
      <c r="AS84" s="2">
        <f>IF(OR(AS54="",AR54=""),0,--(AS54&lt;&gt;AR54))</f>
        <v>0</v>
      </c>
      <c r="AT84" s="2">
        <f>IF(OR(AT54="",AS54=""),0,--(AT54&lt;&gt;AS54))</f>
        <v>0</v>
      </c>
      <c r="AU84" s="2">
        <f>IF(OR(AU54="",AT54=""),0,--(AU54&lt;&gt;AT54))</f>
        <v>0</v>
      </c>
      <c r="AV84" s="2">
        <f>IF(OR(AV54="",AU54=""),0,--(AV54&lt;&gt;AU54))</f>
        <v>0</v>
      </c>
      <c r="AW84" s="2">
        <f>IF(OR(AW54="",AV54=""),0,--(AW54&lt;&gt;AV54))</f>
        <v>0</v>
      </c>
      <c r="AX84" s="2">
        <f>IF(OR(AX54="",AW54=""),0,--(AX54&lt;&gt;AW54))</f>
        <v>0</v>
      </c>
      <c r="AY84" s="2">
        <f>IF(OR(AY54="",AX54=""),0,--(AY54&lt;&gt;AX54))</f>
        <v>0</v>
      </c>
      <c r="AZ84" s="2">
        <f>IF(OR(AZ54="",AY54=""),0,--(AZ54&lt;&gt;AY54))</f>
        <v>0</v>
      </c>
      <c r="BA84" s="2">
        <f>IF(OR(BA54="",AZ54=""),0,--(BA54&lt;&gt;AZ54))</f>
        <v>0</v>
      </c>
      <c r="BB84" s="2">
        <f>IF(OR(BB54="",BA54=""),0,--(BB54&lt;&gt;BA54))</f>
        <v>0</v>
      </c>
      <c r="BC84" s="2">
        <f>IF(OR(BC54="",BB54=""),0,--(BC54&lt;&gt;BB54))</f>
        <v>0</v>
      </c>
      <c r="BD84" s="2">
        <f>IF(OR(BD54="",BC54=""),0,--(BD54&lt;&gt;BC54))</f>
        <v>0</v>
      </c>
      <c r="BE84" s="2">
        <f>IF(OR(BE54="",BD54=""),0,--(BE54&lt;&gt;BD54))</f>
        <v>0</v>
      </c>
      <c r="BF84" s="2">
        <f>IF(OR(BF54="",BE54=""),0,--(BF54&lt;&gt;BE54))</f>
        <v>0</v>
      </c>
      <c r="BG84" s="2">
        <f>IF(OR(BG54="",BF54=""),0,--(BG54&lt;&gt;BF54))</f>
        <v>0</v>
      </c>
      <c r="BH84" s="2">
        <f>IF(OR(BH54="",BG54=""),0,--(BH54&lt;&gt;BG54))</f>
        <v>0</v>
      </c>
      <c r="BI84" s="2">
        <f>IF(OR(BI54="",BH54=""),0,--(BI54&lt;&gt;BH54))</f>
        <v>0</v>
      </c>
      <c r="BJ84" s="2">
        <f>IF(OR(BJ54="",BI54=""),0,--(BJ54&lt;&gt;BI54))</f>
        <v>0</v>
      </c>
      <c r="BK84" s="2">
        <f>IF(OR(BK54="",BJ54=""),0,--(BK54&lt;&gt;BJ54))</f>
        <v>0</v>
      </c>
      <c r="BL84" s="2">
        <f>IF(OR(BL54="",BK54=""),0,--(BL54&lt;&gt;BK54))</f>
        <v>0</v>
      </c>
      <c r="BM84" s="2">
        <f>IF(OR(BM54="",BL54=""),0,--(BM54&lt;&gt;BL54))</f>
        <v>0</v>
      </c>
      <c r="BN84" s="2">
        <f>IF(OR(BN54="",BM54=""),0,--(BN54&lt;&gt;BM54))</f>
        <v>1</v>
      </c>
      <c r="BO84" s="2">
        <f>IF(OR(BO54="",BN54=""),0,--(BO54&lt;&gt;BN54))</f>
        <v>1</v>
      </c>
      <c r="BP84" s="2">
        <f>IF(OR(BP54="",BO54=""),0,--(BP54&lt;&gt;BO54))</f>
        <v>0</v>
      </c>
      <c r="BQ84" s="2">
        <f>IF(OR(BQ54="",BP54=""),0,--(BQ54&lt;&gt;BP54))</f>
        <v>0</v>
      </c>
      <c r="BR84" s="2">
        <f>IF(OR(BR54="",BQ54=""),0,--(BR54&lt;&gt;BQ54))</f>
        <v>0</v>
      </c>
      <c r="BS84" s="2">
        <f>IF(OR(BS54="",BR54=""),0,--(BS54&lt;&gt;BR54))</f>
        <v>0</v>
      </c>
      <c r="BT84" s="2">
        <f>IF(OR(BT54="",BS54=""),0,--(BT54&lt;&gt;BS54))</f>
        <v>0</v>
      </c>
      <c r="BU84" s="2">
        <f>IF(OR(BU54="",BT54=""),0,--(BU54&lt;&gt;BT54))</f>
        <v>0</v>
      </c>
      <c r="BV84" s="2">
        <f>IF(OR(BV54="",BU54=""),0,--(BV54&lt;&gt;BU54))</f>
        <v>0</v>
      </c>
      <c r="BW84" s="2">
        <f>IF(OR(BW54="",BV54=""),0,--(BW54&lt;&gt;BV54))</f>
        <v>0</v>
      </c>
      <c r="BX84" s="2">
        <f>IF(OR(BX54="",BW54=""),0,--(BX54&lt;&gt;BW54))</f>
        <v>0</v>
      </c>
      <c r="BY84" s="2">
        <f>IF(OR(BY54="",BX54=""),0,--(BY54&lt;&gt;BX54))</f>
        <v>0</v>
      </c>
      <c r="BZ84" s="2">
        <f>IF(OR(BZ54="",BY54=""),0,--(BZ54&lt;&gt;BY54))</f>
        <v>1</v>
      </c>
      <c r="CA84" s="2">
        <f>IF(OR(CA54="",BZ54=""),0,--(CA54&lt;&gt;BZ54))</f>
        <v>0</v>
      </c>
      <c r="CB84" s="2">
        <f>IF(OR(CB54="",CA54=""),0,--(CB54&lt;&gt;CA54))</f>
        <v>0</v>
      </c>
      <c r="CC84" s="2">
        <f>IF(OR(CC54="",CB54=""),0,--(CC54&lt;&gt;CB54))</f>
        <v>0</v>
      </c>
      <c r="CD84" s="2">
        <f>IF(OR(CD54="",CC54=""),0,--(CD54&lt;&gt;CC54))</f>
        <v>0</v>
      </c>
      <c r="CE84" s="2">
        <f>IF(OR(CE54="",CD54=""),0,--(CE54&lt;&gt;CD54))</f>
        <v>0</v>
      </c>
      <c r="CF84" s="2">
        <f>IF(OR(CF54="",CE54=""),0,--(CF54&lt;&gt;CE54))</f>
        <v>0</v>
      </c>
      <c r="CG84" s="2">
        <f>IF(OR(CG54="",CF54=""),0,--(CG54&lt;&gt;CF54))</f>
        <v>0</v>
      </c>
      <c r="CH84" s="2">
        <f>IF(OR(CH54="",CG54=""),0,--(CH54&lt;&gt;CG54))</f>
        <v>0</v>
      </c>
      <c r="CI84" s="2">
        <f>IF(OR(CI54="",CH54=""),0,--(CI54&lt;&gt;CH54))</f>
        <v>0</v>
      </c>
      <c r="CJ84" s="2">
        <f>IF(OR(CJ54="",CI54=""),0,--(CJ54&lt;&gt;CI54))</f>
        <v>0</v>
      </c>
      <c r="CK84" s="2">
        <f>IF(OR(CK54="",CJ54=""),0,--(CK54&lt;&gt;CJ54))</f>
        <v>0</v>
      </c>
      <c r="CL84" s="2">
        <f>IF(OR(CL54="",CK54=""),0,--(CL54&lt;&gt;CK54))</f>
        <v>0</v>
      </c>
      <c r="CM84" s="2">
        <f>IF(OR(CM54="",CL54=""),0,--(CM54&lt;&gt;CL54))</f>
        <v>0</v>
      </c>
      <c r="CN84" s="2">
        <f>IF(OR(CN54="",CM54=""),0,--(CN54&lt;&gt;CM54))</f>
        <v>0</v>
      </c>
      <c r="CO84" s="2">
        <f>IF(OR(CO54="",CN54=""),0,--(CO54&lt;&gt;CN54))</f>
        <v>0</v>
      </c>
      <c r="CP84" s="2">
        <f>IF(OR(CP54="",CO54=""),0,--(CP54&lt;&gt;CO54))</f>
        <v>0</v>
      </c>
      <c r="CQ84" s="2">
        <f>IF(OR(CQ54="",CP54=""),0,--(CQ54&lt;&gt;CP54))</f>
        <v>0</v>
      </c>
      <c r="CR84" s="2">
        <f>IF(OR(CR54="",CQ54=""),0,--(CR54&lt;&gt;CQ54))</f>
        <v>0</v>
      </c>
      <c r="CS84" s="2">
        <f>IF(OR(CS54="",CR54=""),0,--(CS54&lt;&gt;CR54))</f>
        <v>0</v>
      </c>
      <c r="CT84" s="2">
        <f>IF(OR(CT54="",CS54=""),0,--(CT54&lt;&gt;CS54))</f>
        <v>0</v>
      </c>
      <c r="CU84" s="2">
        <f>IF(OR(CU54="",CT54=""),0,--(CU54&lt;&gt;CT54))</f>
        <v>0</v>
      </c>
      <c r="CV84" s="2">
        <f>IF(OR(CV54="",CU54=""),0,--(CV54&lt;&gt;CU54))</f>
        <v>0</v>
      </c>
      <c r="CW84" s="2">
        <f>IF(OR(CW54="",CV54=""),0,--(CW54&lt;&gt;CV54))</f>
        <v>0</v>
      </c>
      <c r="CX84" s="2">
        <f>IF(OR(CX54="",CW54=""),0,--(CX54&lt;&gt;CW54))</f>
        <v>0</v>
      </c>
      <c r="CY84" s="2">
        <f>IF(OR(CY54="",CX54=""),0,--(CY54&lt;&gt;CX54))</f>
        <v>0</v>
      </c>
      <c r="CZ84" s="2">
        <f>IF(OR(CZ54="",CY54=""),0,--(CZ54&lt;&gt;CY54))</f>
        <v>0</v>
      </c>
      <c r="DA84" s="2">
        <f>IF(OR(DA54="",CZ54=""),0,--(DA54&lt;&gt;CZ54))</f>
        <v>0</v>
      </c>
      <c r="DB84" s="2">
        <f>IF(OR(DB54="",DA54=""),0,--(DB54&lt;&gt;DA54))</f>
        <v>0</v>
      </c>
      <c r="DC84" s="2">
        <f>IF(OR(DC54="",DB54=""),0,--(DC54&lt;&gt;DB54))</f>
        <v>0</v>
      </c>
      <c r="DD84" s="2">
        <f>IF(OR(DD54="",DC54=""),0,--(DD54&lt;&gt;DC54))</f>
        <v>0</v>
      </c>
      <c r="DE84" s="2">
        <f>IF(OR(DE54="",DD54=""),0,--(DE54&lt;&gt;DD54))</f>
        <v>0</v>
      </c>
      <c r="DF84" s="2">
        <f>IF(OR(DF54="",DE54=""),0,--(DF54&lt;&gt;DE54))</f>
        <v>0</v>
      </c>
      <c r="DG84" s="2">
        <f>IF(OR(DG54="",DF54=""),0,--(DG54&lt;&gt;DF54))</f>
        <v>0</v>
      </c>
      <c r="DH84" s="2">
        <f>IF(OR(DH54="",DG54=""),0,--(DH54&lt;&gt;DG54))</f>
        <v>0</v>
      </c>
      <c r="DI84" s="2">
        <f>IF(OR(DI54="",DH54=""),0,--(DI54&lt;&gt;DH54))</f>
        <v>0</v>
      </c>
      <c r="DJ84" s="2">
        <f>IF(OR(DJ54="",DI54=""),0,--(DJ54&lt;&gt;DI54))</f>
        <v>0</v>
      </c>
      <c r="DK84" s="2">
        <f>IF(OR(DK54="",DJ54=""),0,--(DK54&lt;&gt;DJ54))</f>
        <v>0</v>
      </c>
      <c r="DL84" s="2">
        <f>IF(OR(DL54="",DK54=""),0,--(DL54&lt;&gt;DK54))</f>
        <v>0</v>
      </c>
      <c r="DM84" s="2">
        <f>IF(OR(DM54="",DL54=""),0,--(DM54&lt;&gt;DL54))</f>
        <v>0</v>
      </c>
      <c r="DN84" s="2">
        <f>IF(OR(DN54="",DM54=""),0,--(DN54&lt;&gt;DM54))</f>
        <v>0</v>
      </c>
      <c r="DO84" s="2">
        <f>IF(OR(DO54="",DN54=""),0,--(DO54&lt;&gt;DN54))</f>
        <v>0</v>
      </c>
      <c r="DP84" s="2">
        <f>IF(OR(DP54="",DO54=""),0,--(DP54&lt;&gt;DO54))</f>
        <v>0</v>
      </c>
      <c r="DQ84" s="2">
        <f>IF(OR(DQ54="",DP54=""),0,--(DQ54&lt;&gt;DP54))</f>
        <v>0</v>
      </c>
      <c r="DR84" s="2">
        <f>IF(OR(DR54="",DQ54=""),0,--(DR54&lt;&gt;DQ54))</f>
        <v>0</v>
      </c>
      <c r="DS84" s="2">
        <f>IF(OR(DS54="",DR54=""),0,--(DS54&lt;&gt;DR54))</f>
        <v>0</v>
      </c>
      <c r="DT84" s="2">
        <f>IF(OR(DT54="",DS54=""),0,--(DT54&lt;&gt;DS54))</f>
        <v>0</v>
      </c>
      <c r="DU84" s="2">
        <f>IF(OR(DU54="",DT54=""),0,--(DU54&lt;&gt;DT54))</f>
        <v>0</v>
      </c>
      <c r="DV84" s="2">
        <f>IF(OR(DV54="",DU54=""),0,--(DV54&lt;&gt;DU54))</f>
        <v>0</v>
      </c>
      <c r="DW84" s="2">
        <f>IF(OR(DW54="",DV54=""),0,--(DW54&lt;&gt;DV54))</f>
        <v>0</v>
      </c>
      <c r="DX84" s="2">
        <f>IF(OR(DX54="",DW54=""),0,--(DX54&lt;&gt;DW54))</f>
        <v>0</v>
      </c>
      <c r="DY84" s="2">
        <f>IF(OR(DY54="",DX54=""),0,--(DY54&lt;&gt;DX54))</f>
        <v>0</v>
      </c>
      <c r="DZ84" s="2">
        <f>IF(OR(DZ54="",DY54=""),0,--(DZ54&lt;&gt;DY54))</f>
        <v>0</v>
      </c>
      <c r="EA84" s="2">
        <f>IF(OR(EA54="",DZ54=""),0,--(EA54&lt;&gt;DZ54))</f>
        <v>0</v>
      </c>
      <c r="EB84" s="2">
        <f>IF(OR(EB54="",EA54=""),0,--(EB54&lt;&gt;EA54))</f>
        <v>0</v>
      </c>
      <c r="EC84" s="2">
        <f>IF(OR(EC54="",EB54=""),0,--(EC54&lt;&gt;EB54))</f>
        <v>0</v>
      </c>
      <c r="ED84" s="2">
        <f>IF(OR(ED54="",EC54=""),0,--(ED54&lt;&gt;EC54))</f>
        <v>0</v>
      </c>
      <c r="EE84" s="2">
        <f>IF(OR(EE54="",ED54=""),0,--(EE54&lt;&gt;ED54))</f>
        <v>0</v>
      </c>
      <c r="EF84" s="2">
        <f>IF(OR(EF54="",EE54=""),0,--(EF54&lt;&gt;EE54))</f>
        <v>0</v>
      </c>
      <c r="EG84" s="2">
        <f>IF(OR(EG54="",EF54=""),0,--(EG54&lt;&gt;EF54))</f>
        <v>0</v>
      </c>
      <c r="EH84" s="2">
        <f>IF(OR(EH54="",EG54=""),0,--(EH54&lt;&gt;EG54))</f>
        <v>0</v>
      </c>
      <c r="EI84" s="2">
        <f>IF(OR(EI54="",EH54=""),0,--(EI54&lt;&gt;EH54))</f>
        <v>0</v>
      </c>
      <c r="EJ84" s="2">
        <f>IF(OR(EJ54="",EI54=""),0,--(EJ54&lt;&gt;EI54))</f>
        <v>0</v>
      </c>
      <c r="EK84" s="2">
        <f>IF(OR(EK54="",EJ54=""),0,--(EK54&lt;&gt;EJ54))</f>
        <v>0</v>
      </c>
      <c r="EL84" s="2">
        <f>IF(OR(EL54="",EK54=""),0,--(EL54&lt;&gt;EK54))</f>
        <v>0</v>
      </c>
      <c r="EM84" s="2">
        <f>IF(OR(EM54="",EL54=""),0,--(EM54&lt;&gt;EL54))</f>
        <v>0</v>
      </c>
      <c r="EN84" s="2">
        <f>IF(OR(EN54="",EM54=""),0,--(EN54&lt;&gt;EM54))</f>
        <v>0</v>
      </c>
      <c r="EO84" s="2">
        <f>IF(OR(EO54="",EN54=""),0,--(EO54&lt;&gt;EN54))</f>
        <v>0</v>
      </c>
      <c r="EP84" s="2">
        <f>IF(OR(EP54="",EO54=""),0,--(EP54&lt;&gt;EO54))</f>
        <v>0</v>
      </c>
      <c r="EQ84" s="2">
        <f>IF(OR(EQ54="",EP54=""),0,--(EQ54&lt;&gt;EP54))</f>
        <v>0</v>
      </c>
      <c r="ER84" s="2">
        <f>IF(OR(ER54="",EQ54=""),0,--(ER54&lt;&gt;EQ54))</f>
        <v>0</v>
      </c>
      <c r="ES84" s="2">
        <f>IF(OR(ES54="",ER54=""),0,--(ES54&lt;&gt;ER54))</f>
        <v>0</v>
      </c>
      <c r="ET84" s="2">
        <f>IF(OR(ET54="",ES54=""),0,--(ET54&lt;&gt;ES54))</f>
        <v>0</v>
      </c>
      <c r="EU84" s="2">
        <f>IF(OR(EU54="",ET54=""),0,--(EU54&lt;&gt;ET54))</f>
        <v>0</v>
      </c>
      <c r="EV84" s="2">
        <f>IF(OR(EV54="",EU54=""),0,--(EV54&lt;&gt;EU54))</f>
        <v>0</v>
      </c>
      <c r="EW84" s="2">
        <f>IF(OR(EW54="",EV54=""),0,--(EW54&lt;&gt;EV54))</f>
        <v>0</v>
      </c>
      <c r="EX84" s="2">
        <f>IF(OR(EX54="",EW54=""),0,--(EX54&lt;&gt;EW54))</f>
        <v>0</v>
      </c>
      <c r="EY84" s="2">
        <f>IF(OR(EY54="",EX54=""),0,--(EY54&lt;&gt;EX54))</f>
        <v>0</v>
      </c>
      <c r="EZ84" s="2">
        <f>IF(OR(EZ54="",EY54=""),0,--(EZ54&lt;&gt;EY54))</f>
        <v>0</v>
      </c>
      <c r="FA84" s="2">
        <f>IF(OR(FA54="",EZ54=""),0,--(FA54&lt;&gt;EZ54))</f>
        <v>0</v>
      </c>
      <c r="FB84" s="2">
        <f>IF(OR(FB54="",FA54=""),0,--(FB54&lt;&gt;FA54))</f>
        <v>0</v>
      </c>
      <c r="FC84" s="2">
        <f>IF(OR(FC54="",FB54=""),0,--(FC54&lt;&gt;FB54))</f>
        <v>0</v>
      </c>
      <c r="FD84" s="2">
        <f>IF(OR(FD54="",FC54=""),0,--(FD54&lt;&gt;FC54))</f>
        <v>0</v>
      </c>
      <c r="FE84" s="2">
        <f>IF(OR(FE54="",FD54=""),0,--(FE54&lt;&gt;FD54))</f>
        <v>0</v>
      </c>
      <c r="FF84" s="2">
        <f>IF(OR(FF54="",FE54=""),0,--(FF54&lt;&gt;FE54))</f>
        <v>0</v>
      </c>
      <c r="FG84" s="2">
        <f>IF(OR(FG54="",FF54=""),0,--(FG54&lt;&gt;FF54))</f>
        <v>0</v>
      </c>
      <c r="FH84" s="2">
        <f>IF(OR(FH54="",FG54=""),0,--(FH54&lt;&gt;FG54))</f>
        <v>0</v>
      </c>
      <c r="FI84" s="2">
        <f>IF(OR(FI54="",FH54=""),0,--(FI54&lt;&gt;FH54))</f>
        <v>0</v>
      </c>
      <c r="FJ84" s="2">
        <f>IF(OR(FJ54="",FI54=""),0,--(FJ54&lt;&gt;FI54))</f>
        <v>0</v>
      </c>
      <c r="FK84" s="2">
        <f>IF(OR(FK54="",FJ54=""),0,--(FK54&lt;&gt;FJ54))</f>
        <v>0</v>
      </c>
      <c r="FL84" s="2">
        <f>IF(OR(FL54="",FK54=""),0,--(FL54&lt;&gt;FK54))</f>
        <v>0</v>
      </c>
      <c r="FM84" s="2">
        <f>IF(OR(FM54="",FL54=""),0,--(FM54&lt;&gt;FL54))</f>
        <v>0</v>
      </c>
      <c r="FN84" s="2">
        <f>IF(OR(FN54="",FM54=""),0,--(FN54&lt;&gt;FM54))</f>
        <v>0</v>
      </c>
      <c r="FO84" s="2">
        <f>IF(OR(FO54="",FN54=""),0,--(FO54&lt;&gt;FN54))</f>
        <v>0</v>
      </c>
      <c r="FP84" s="2">
        <f>IF(OR(FP54="",FO54=""),0,--(FP54&lt;&gt;FO54))</f>
        <v>0</v>
      </c>
      <c r="FQ84" s="2">
        <f>IF(OR(FQ54="",FP54=""),0,--(FQ54&lt;&gt;FP54))</f>
        <v>0</v>
      </c>
      <c r="FR84" s="2">
        <f>IF(OR(FR54="",FQ54=""),0,--(FR54&lt;&gt;FQ54))</f>
        <v>0</v>
      </c>
      <c r="FS84" s="2">
        <f>IF(OR(FS54="",FR54=""),0,--(FS54&lt;&gt;FR54))</f>
        <v>0</v>
      </c>
      <c r="FT84" s="2">
        <f>IF(OR(FT54="",FS54=""),0,--(FT54&lt;&gt;FS54))</f>
        <v>0</v>
      </c>
      <c r="FU84" s="2">
        <f>IF(OR(FU54="",FT54=""),0,--(FU54&lt;&gt;FT54))</f>
        <v>0</v>
      </c>
      <c r="FV84" s="2">
        <f>IF(OR(FV54="",FU54=""),0,--(FV54&lt;&gt;FU54))</f>
        <v>0</v>
      </c>
      <c r="FW84" s="2">
        <f>IF(OR(FW54="",FV54=""),0,--(FW54&lt;&gt;FV54))</f>
        <v>0</v>
      </c>
      <c r="FX84" s="2">
        <f>IF(OR(FX54="",FW54=""),0,--(FX54&lt;&gt;FW54))</f>
        <v>0</v>
      </c>
      <c r="FY84" s="2">
        <f>IF(OR(FY54="",FX54=""),0,--(FY54&lt;&gt;FX54))</f>
        <v>0</v>
      </c>
      <c r="FZ84" s="2">
        <f>IF(OR(FZ54="",FY54=""),0,--(FZ54&lt;&gt;FY54))</f>
        <v>0</v>
      </c>
      <c r="GA84" s="2">
        <f>IF(OR(GA54="",FZ54=""),0,--(GA54&lt;&gt;FZ54))</f>
        <v>0</v>
      </c>
      <c r="GB84" s="2">
        <f>IF(OR(GB54="",GA54=""),0,--(GB54&lt;&gt;GA54))</f>
        <v>0</v>
      </c>
      <c r="GC84" s="2">
        <f>IF(OR(GC54="",GB54=""),0,--(GC54&lt;&gt;GB54))</f>
        <v>0</v>
      </c>
      <c r="GD84" s="2">
        <f>IF(OR(GD54="",GC54=""),0,--(GD54&lt;&gt;GC54))</f>
        <v>0</v>
      </c>
      <c r="GE84" s="2">
        <f>IF(OR(GE54="",GD54=""),0,--(GE54&lt;&gt;GD54))</f>
        <v>0</v>
      </c>
      <c r="GF84" s="2">
        <f>IF(OR(GF54="",GE54=""),0,--(GF54&lt;&gt;GE54))</f>
        <v>0</v>
      </c>
      <c r="GG84" s="2">
        <f>IF(OR(GG54="",GF54=""),0,--(GG54&lt;&gt;GF54))</f>
        <v>0</v>
      </c>
      <c r="GH84" s="2">
        <f>IF(OR(GH54="",GG54=""),0,--(GH54&lt;&gt;GG54))</f>
        <v>0</v>
      </c>
      <c r="GI84" s="2">
        <f>IF(OR(GI54="",GH54=""),0,--(GI54&lt;&gt;GH54))</f>
        <v>0</v>
      </c>
      <c r="GJ84" s="2">
        <f>IF(OR(GJ54="",GI54=""),0,--(GJ54&lt;&gt;GI54))</f>
        <v>0</v>
      </c>
      <c r="GK84" s="2">
        <f>IF(OR(GK54="",GJ54=""),0,--(GK54&lt;&gt;GJ54))</f>
        <v>0</v>
      </c>
      <c r="GL84" s="2">
        <f>IF(OR(GL54="",GK54=""),0,--(GL54&lt;&gt;GK54))</f>
        <v>0</v>
      </c>
      <c r="GM84" s="2">
        <f>IF(OR(GM54="",GL54=""),0,--(GM54&lt;&gt;GL54))</f>
        <v>0</v>
      </c>
      <c r="GN84" s="2">
        <f>IF(OR(GN54="",GM54=""),0,--(GN54&lt;&gt;GM54))</f>
        <v>0</v>
      </c>
      <c r="GO84" s="2">
        <f>IF(OR(GO54="",GN54=""),0,--(GO54&lt;&gt;GN54))</f>
        <v>0</v>
      </c>
      <c r="GP84" s="2">
        <f>IF(OR(GP54="",GO54=""),0,--(GP54&lt;&gt;GO54))</f>
        <v>0</v>
      </c>
      <c r="GQ84" s="2">
        <f>IF(OR(GQ54="",GP54=""),0,--(GQ54&lt;&gt;GP54))</f>
        <v>0</v>
      </c>
      <c r="GR84" s="2">
        <f>IF(OR(GR54="",GQ54=""),0,--(GR54&lt;&gt;GQ54))</f>
        <v>0</v>
      </c>
      <c r="GS84" s="2">
        <f>IF(OR(GS54="",GR54=""),0,--(GS54&lt;&gt;GR54))</f>
        <v>0</v>
      </c>
      <c r="GY84" s="15">
        <f>SUM($B84:$DB84)</f>
        <v>3</v>
      </c>
    </row>
    <row r="85" spans="1:207">
      <c r="A85" s="2">
        <f>$A55</f>
        <v>20</v>
      </c>
      <c r="B85" s="2">
        <f>0</f>
        <v>0</v>
      </c>
      <c r="C85" s="2">
        <f>IF(OR(C55="",B55=""),0,--(C55&lt;&gt;B55))</f>
        <v>0</v>
      </c>
      <c r="D85" s="2">
        <f>IF(OR(D55="",C55=""),0,--(D55&lt;&gt;C55))</f>
        <v>0</v>
      </c>
      <c r="E85" s="2">
        <f>IF(OR(E55="",D55=""),0,--(E55&lt;&gt;D55))</f>
        <v>0</v>
      </c>
      <c r="F85" s="2">
        <f>IF(OR(F55="",E55=""),0,--(F55&lt;&gt;E55))</f>
        <v>0</v>
      </c>
      <c r="G85" s="2">
        <f>IF(OR(G55="",F55=""),0,--(G55&lt;&gt;F55))</f>
        <v>0</v>
      </c>
      <c r="H85" s="2">
        <f>IF(OR(H55="",G55=""),0,--(H55&lt;&gt;G55))</f>
        <v>0</v>
      </c>
      <c r="I85" s="2">
        <f>IF(OR(I55="",H55=""),0,--(I55&lt;&gt;H55))</f>
        <v>0</v>
      </c>
      <c r="J85" s="2">
        <f>IF(OR(J55="",I55=""),0,--(J55&lt;&gt;I55))</f>
        <v>0</v>
      </c>
      <c r="K85" s="2">
        <f>IF(OR(K55="",J55=""),0,--(K55&lt;&gt;J55))</f>
        <v>0</v>
      </c>
      <c r="L85" s="2">
        <f>IF(OR(L55="",K55=""),0,--(L55&lt;&gt;K55))</f>
        <v>0</v>
      </c>
      <c r="M85" s="2">
        <f>IF(OR(M55="",L55=""),0,--(M55&lt;&gt;L55))</f>
        <v>0</v>
      </c>
      <c r="N85" s="2">
        <f>IF(OR(N55="",M55=""),0,--(N55&lt;&gt;M55))</f>
        <v>0</v>
      </c>
      <c r="O85" s="2">
        <f>IF(OR(O55="",N55=""),0,--(O55&lt;&gt;N55))</f>
        <v>1</v>
      </c>
      <c r="P85" s="2">
        <f>IF(OR(P55="",O55=""),0,--(P55&lt;&gt;O55))</f>
        <v>0</v>
      </c>
      <c r="Q85" s="2">
        <f>IF(OR(Q55="",P55=""),0,--(Q55&lt;&gt;P55))</f>
        <v>0</v>
      </c>
      <c r="R85" s="2">
        <f>IF(OR(R55="",Q55=""),0,--(R55&lt;&gt;Q55))</f>
        <v>0</v>
      </c>
      <c r="S85" s="2">
        <f>IF(OR(S55="",R55=""),0,--(S55&lt;&gt;R55))</f>
        <v>0</v>
      </c>
      <c r="T85" s="2">
        <f>IF(OR(T55="",S55=""),0,--(T55&lt;&gt;S55))</f>
        <v>0</v>
      </c>
      <c r="U85" s="2">
        <f>IF(OR(U55="",T55=""),0,--(U55&lt;&gt;T55))</f>
        <v>0</v>
      </c>
      <c r="V85" s="2">
        <f>IF(OR(V55="",U55=""),0,--(V55&lt;&gt;U55))</f>
        <v>0</v>
      </c>
      <c r="W85" s="2">
        <f>IF(OR(W55="",V55=""),0,--(W55&lt;&gt;V55))</f>
        <v>0</v>
      </c>
      <c r="X85" s="2">
        <f>IF(OR(X55="",W55=""),0,--(X55&lt;&gt;W55))</f>
        <v>0</v>
      </c>
      <c r="Y85" s="2">
        <f>IF(OR(Y55="",X55=""),0,--(Y55&lt;&gt;X55))</f>
        <v>0</v>
      </c>
      <c r="Z85" s="2">
        <f>IF(OR(Z55="",Y55=""),0,--(Z55&lt;&gt;Y55))</f>
        <v>0</v>
      </c>
      <c r="AA85" s="2">
        <f>IF(OR(AA55="",Z55=""),0,--(AA55&lt;&gt;Z55))</f>
        <v>0</v>
      </c>
      <c r="AB85" s="2">
        <f>IF(OR(AB55="",AA55=""),0,--(AB55&lt;&gt;AA55))</f>
        <v>0</v>
      </c>
      <c r="AC85" s="2">
        <f>IF(OR(AC55="",AB55=""),0,--(AC55&lt;&gt;AB55))</f>
        <v>0</v>
      </c>
      <c r="AD85" s="2">
        <f>IF(OR(AD55="",AC55=""),0,--(AD55&lt;&gt;AC55))</f>
        <v>0</v>
      </c>
      <c r="AE85" s="2">
        <f>IF(OR(AE55="",AD55=""),0,--(AE55&lt;&gt;AD55))</f>
        <v>0</v>
      </c>
      <c r="AF85" s="2">
        <f>IF(OR(AF55="",AE55=""),0,--(AF55&lt;&gt;AE55))</f>
        <v>0</v>
      </c>
      <c r="AG85" s="2">
        <f>IF(OR(AG55="",AF55=""),0,--(AG55&lt;&gt;AF55))</f>
        <v>0</v>
      </c>
      <c r="AH85" s="2">
        <f>IF(OR(AH55="",AG55=""),0,--(AH55&lt;&gt;AG55))</f>
        <v>0</v>
      </c>
      <c r="AI85" s="2">
        <f>IF(OR(AI55="",AH55=""),0,--(AI55&lt;&gt;AH55))</f>
        <v>0</v>
      </c>
      <c r="AJ85" s="2">
        <f>IF(OR(AJ55="",AI55=""),0,--(AJ55&lt;&gt;AI55))</f>
        <v>0</v>
      </c>
      <c r="AK85" s="2">
        <f>IF(OR(AK55="",AJ55=""),0,--(AK55&lt;&gt;AJ55))</f>
        <v>0</v>
      </c>
      <c r="AL85" s="2">
        <f>IF(OR(AL55="",AK55=""),0,--(AL55&lt;&gt;AK55))</f>
        <v>0</v>
      </c>
      <c r="AM85" s="2">
        <f>IF(OR(AM55="",AL55=""),0,--(AM55&lt;&gt;AL55))</f>
        <v>0</v>
      </c>
      <c r="AN85" s="2">
        <f>IF(OR(AN55="",AM55=""),0,--(AN55&lt;&gt;AM55))</f>
        <v>0</v>
      </c>
      <c r="AO85" s="2">
        <f>IF(OR(AO55="",AN55=""),0,--(AO55&lt;&gt;AN55))</f>
        <v>0</v>
      </c>
      <c r="AP85" s="2">
        <f>IF(OR(AP55="",AO55=""),0,--(AP55&lt;&gt;AO55))</f>
        <v>0</v>
      </c>
      <c r="AQ85" s="2">
        <f>IF(OR(AQ55="",AP55=""),0,--(AQ55&lt;&gt;AP55))</f>
        <v>0</v>
      </c>
      <c r="AR85" s="2">
        <f>IF(OR(AR55="",AQ55=""),0,--(AR55&lt;&gt;AQ55))</f>
        <v>0</v>
      </c>
      <c r="AS85" s="2">
        <f>IF(OR(AS55="",AR55=""),0,--(AS55&lt;&gt;AR55))</f>
        <v>0</v>
      </c>
      <c r="AT85" s="2">
        <f>IF(OR(AT55="",AS55=""),0,--(AT55&lt;&gt;AS55))</f>
        <v>0</v>
      </c>
      <c r="AU85" s="2">
        <f>IF(OR(AU55="",AT55=""),0,--(AU55&lt;&gt;AT55))</f>
        <v>1</v>
      </c>
      <c r="AV85" s="2">
        <f>IF(OR(AV55="",AU55=""),0,--(AV55&lt;&gt;AU55))</f>
        <v>0</v>
      </c>
      <c r="AW85" s="2">
        <f>IF(OR(AW55="",AV55=""),0,--(AW55&lt;&gt;AV55))</f>
        <v>0</v>
      </c>
      <c r="AX85" s="2">
        <f>IF(OR(AX55="",AW55=""),0,--(AX55&lt;&gt;AW55))</f>
        <v>0</v>
      </c>
      <c r="AY85" s="2">
        <f>IF(OR(AY55="",AX55=""),0,--(AY55&lt;&gt;AX55))</f>
        <v>0</v>
      </c>
      <c r="AZ85" s="2">
        <f>IF(OR(AZ55="",AY55=""),0,--(AZ55&lt;&gt;AY55))</f>
        <v>0</v>
      </c>
      <c r="BA85" s="2">
        <f>IF(OR(BA55="",AZ55=""),0,--(BA55&lt;&gt;AZ55))</f>
        <v>0</v>
      </c>
      <c r="BB85" s="2">
        <f>IF(OR(BB55="",BA55=""),0,--(BB55&lt;&gt;BA55))</f>
        <v>0</v>
      </c>
      <c r="BC85" s="2">
        <f>IF(OR(BC55="",BB55=""),0,--(BC55&lt;&gt;BB55))</f>
        <v>0</v>
      </c>
      <c r="BD85" s="2">
        <f>IF(OR(BD55="",BC55=""),0,--(BD55&lt;&gt;BC55))</f>
        <v>0</v>
      </c>
      <c r="BE85" s="2">
        <f>IF(OR(BE55="",BD55=""),0,--(BE55&lt;&gt;BD55))</f>
        <v>0</v>
      </c>
      <c r="BF85" s="2">
        <f>IF(OR(BF55="",BE55=""),0,--(BF55&lt;&gt;BE55))</f>
        <v>0</v>
      </c>
      <c r="BG85" s="2">
        <f>IF(OR(BG55="",BF55=""),0,--(BG55&lt;&gt;BF55))</f>
        <v>0</v>
      </c>
      <c r="BH85" s="2">
        <f>IF(OR(BH55="",BG55=""),0,--(BH55&lt;&gt;BG55))</f>
        <v>0</v>
      </c>
      <c r="BI85" s="2">
        <f>IF(OR(BI55="",BH55=""),0,--(BI55&lt;&gt;BH55))</f>
        <v>0</v>
      </c>
      <c r="BJ85" s="2">
        <f>IF(OR(BJ55="",BI55=""),0,--(BJ55&lt;&gt;BI55))</f>
        <v>0</v>
      </c>
      <c r="BK85" s="2">
        <f>IF(OR(BK55="",BJ55=""),0,--(BK55&lt;&gt;BJ55))</f>
        <v>0</v>
      </c>
      <c r="BL85" s="2">
        <f>IF(OR(BL55="",BK55=""),0,--(BL55&lt;&gt;BK55))</f>
        <v>0</v>
      </c>
      <c r="BM85" s="2">
        <f>IF(OR(BM55="",BL55=""),0,--(BM55&lt;&gt;BL55))</f>
        <v>0</v>
      </c>
      <c r="BN85" s="2">
        <f>IF(OR(BN55="",BM55=""),0,--(BN55&lt;&gt;BM55))</f>
        <v>0</v>
      </c>
      <c r="BO85" s="2">
        <f>IF(OR(BO55="",BN55=""),0,--(BO55&lt;&gt;BN55))</f>
        <v>0</v>
      </c>
      <c r="BP85" s="2">
        <f>IF(OR(BP55="",BO55=""),0,--(BP55&lt;&gt;BO55))</f>
        <v>0</v>
      </c>
      <c r="BQ85" s="2">
        <f>IF(OR(BQ55="",BP55=""),0,--(BQ55&lt;&gt;BP55))</f>
        <v>0</v>
      </c>
      <c r="BR85" s="2">
        <f>IF(OR(BR55="",BQ55=""),0,--(BR55&lt;&gt;BQ55))</f>
        <v>0</v>
      </c>
      <c r="BS85" s="2">
        <f>IF(OR(BS55="",BR55=""),0,--(BS55&lt;&gt;BR55))</f>
        <v>0</v>
      </c>
      <c r="BT85" s="2">
        <f>IF(OR(BT55="",BS55=""),0,--(BT55&lt;&gt;BS55))</f>
        <v>1</v>
      </c>
      <c r="BU85" s="2">
        <f>IF(OR(BU55="",BT55=""),0,--(BU55&lt;&gt;BT55))</f>
        <v>0</v>
      </c>
      <c r="BV85" s="2">
        <f>IF(OR(BV55="",BU55=""),0,--(BV55&lt;&gt;BU55))</f>
        <v>0</v>
      </c>
      <c r="BW85" s="2">
        <f>IF(OR(BW55="",BV55=""),0,--(BW55&lt;&gt;BV55))</f>
        <v>0</v>
      </c>
      <c r="BX85" s="2">
        <f>IF(OR(BX55="",BW55=""),0,--(BX55&lt;&gt;BW55))</f>
        <v>0</v>
      </c>
      <c r="BY85" s="2">
        <f>IF(OR(BY55="",BX55=""),0,--(BY55&lt;&gt;BX55))</f>
        <v>0</v>
      </c>
      <c r="BZ85" s="2">
        <f>IF(OR(BZ55="",BY55=""),0,--(BZ55&lt;&gt;BY55))</f>
        <v>0</v>
      </c>
      <c r="CA85" s="2">
        <f>IF(OR(CA55="",BZ55=""),0,--(CA55&lt;&gt;BZ55))</f>
        <v>0</v>
      </c>
      <c r="CB85" s="2">
        <f>IF(OR(CB55="",CA55=""),0,--(CB55&lt;&gt;CA55))</f>
        <v>0</v>
      </c>
      <c r="CC85" s="2">
        <f>IF(OR(CC55="",CB55=""),0,--(CC55&lt;&gt;CB55))</f>
        <v>0</v>
      </c>
      <c r="CD85" s="2">
        <f>IF(OR(CD55="",CC55=""),0,--(CD55&lt;&gt;CC55))</f>
        <v>0</v>
      </c>
      <c r="CE85" s="2">
        <f>IF(OR(CE55="",CD55=""),0,--(CE55&lt;&gt;CD55))</f>
        <v>0</v>
      </c>
      <c r="CF85" s="2">
        <f>IF(OR(CF55="",CE55=""),0,--(CF55&lt;&gt;CE55))</f>
        <v>0</v>
      </c>
      <c r="CG85" s="2">
        <f>IF(OR(CG55="",CF55=""),0,--(CG55&lt;&gt;CF55))</f>
        <v>0</v>
      </c>
      <c r="CH85" s="2">
        <f>IF(OR(CH55="",CG55=""),0,--(CH55&lt;&gt;CG55))</f>
        <v>0</v>
      </c>
      <c r="CI85" s="2">
        <f>IF(OR(CI55="",CH55=""),0,--(CI55&lt;&gt;CH55))</f>
        <v>0</v>
      </c>
      <c r="CJ85" s="2">
        <f>IF(OR(CJ55="",CI55=""),0,--(CJ55&lt;&gt;CI55))</f>
        <v>0</v>
      </c>
      <c r="CK85" s="2">
        <f>IF(OR(CK55="",CJ55=""),0,--(CK55&lt;&gt;CJ55))</f>
        <v>0</v>
      </c>
      <c r="CL85" s="2">
        <f>IF(OR(CL55="",CK55=""),0,--(CL55&lt;&gt;CK55))</f>
        <v>0</v>
      </c>
      <c r="CM85" s="2">
        <f>IF(OR(CM55="",CL55=""),0,--(CM55&lt;&gt;CL55))</f>
        <v>0</v>
      </c>
      <c r="CN85" s="2">
        <f>IF(OR(CN55="",CM55=""),0,--(CN55&lt;&gt;CM55))</f>
        <v>0</v>
      </c>
      <c r="CO85" s="2">
        <f>IF(OR(CO55="",CN55=""),0,--(CO55&lt;&gt;CN55))</f>
        <v>0</v>
      </c>
      <c r="CP85" s="2">
        <f>IF(OR(CP55="",CO55=""),0,--(CP55&lt;&gt;CO55))</f>
        <v>0</v>
      </c>
      <c r="CQ85" s="2">
        <f>IF(OR(CQ55="",CP55=""),0,--(CQ55&lt;&gt;CP55))</f>
        <v>0</v>
      </c>
      <c r="CR85" s="2">
        <f>IF(OR(CR55="",CQ55=""),0,--(CR55&lt;&gt;CQ55))</f>
        <v>0</v>
      </c>
      <c r="CS85" s="2">
        <f>IF(OR(CS55="",CR55=""),0,--(CS55&lt;&gt;CR55))</f>
        <v>0</v>
      </c>
      <c r="CT85" s="2">
        <f>IF(OR(CT55="",CS55=""),0,--(CT55&lt;&gt;CS55))</f>
        <v>0</v>
      </c>
      <c r="CU85" s="2">
        <f>IF(OR(CU55="",CT55=""),0,--(CU55&lt;&gt;CT55))</f>
        <v>0</v>
      </c>
      <c r="CV85" s="2">
        <f>IF(OR(CV55="",CU55=""),0,--(CV55&lt;&gt;CU55))</f>
        <v>0</v>
      </c>
      <c r="CW85" s="2">
        <f>IF(OR(CW55="",CV55=""),0,--(CW55&lt;&gt;CV55))</f>
        <v>0</v>
      </c>
      <c r="CX85" s="2">
        <f>IF(OR(CX55="",CW55=""),0,--(CX55&lt;&gt;CW55))</f>
        <v>0</v>
      </c>
      <c r="CY85" s="2">
        <f>IF(OR(CY55="",CX55=""),0,--(CY55&lt;&gt;CX55))</f>
        <v>0</v>
      </c>
      <c r="CZ85" s="2">
        <f>IF(OR(CZ55="",CY55=""),0,--(CZ55&lt;&gt;CY55))</f>
        <v>0</v>
      </c>
      <c r="DA85" s="2">
        <f>IF(OR(DA55="",CZ55=""),0,--(DA55&lt;&gt;CZ55))</f>
        <v>0</v>
      </c>
      <c r="DB85" s="2">
        <f>IF(OR(DB55="",DA55=""),0,--(DB55&lt;&gt;DA55))</f>
        <v>0</v>
      </c>
      <c r="DC85" s="2">
        <f>IF(OR(DC55="",DB55=""),0,--(DC55&lt;&gt;DB55))</f>
        <v>0</v>
      </c>
      <c r="DD85" s="2">
        <f>IF(OR(DD55="",DC55=""),0,--(DD55&lt;&gt;DC55))</f>
        <v>0</v>
      </c>
      <c r="DE85" s="2">
        <f>IF(OR(DE55="",DD55=""),0,--(DE55&lt;&gt;DD55))</f>
        <v>0</v>
      </c>
      <c r="DF85" s="2">
        <f>IF(OR(DF55="",DE55=""),0,--(DF55&lt;&gt;DE55))</f>
        <v>0</v>
      </c>
      <c r="DG85" s="2">
        <f>IF(OR(DG55="",DF55=""),0,--(DG55&lt;&gt;DF55))</f>
        <v>0</v>
      </c>
      <c r="DH85" s="2">
        <f>IF(OR(DH55="",DG55=""),0,--(DH55&lt;&gt;DG55))</f>
        <v>0</v>
      </c>
      <c r="DI85" s="2">
        <f>IF(OR(DI55="",DH55=""),0,--(DI55&lt;&gt;DH55))</f>
        <v>0</v>
      </c>
      <c r="DJ85" s="2">
        <f>IF(OR(DJ55="",DI55=""),0,--(DJ55&lt;&gt;DI55))</f>
        <v>0</v>
      </c>
      <c r="DK85" s="2">
        <f>IF(OR(DK55="",DJ55=""),0,--(DK55&lt;&gt;DJ55))</f>
        <v>0</v>
      </c>
      <c r="DL85" s="2">
        <f>IF(OR(DL55="",DK55=""),0,--(DL55&lt;&gt;DK55))</f>
        <v>0</v>
      </c>
      <c r="DM85" s="2">
        <f>IF(OR(DM55="",DL55=""),0,--(DM55&lt;&gt;DL55))</f>
        <v>0</v>
      </c>
      <c r="DN85" s="2">
        <f>IF(OR(DN55="",DM55=""),0,--(DN55&lt;&gt;DM55))</f>
        <v>0</v>
      </c>
      <c r="DO85" s="2">
        <f>IF(OR(DO55="",DN55=""),0,--(DO55&lt;&gt;DN55))</f>
        <v>0</v>
      </c>
      <c r="DP85" s="2">
        <f>IF(OR(DP55="",DO55=""),0,--(DP55&lt;&gt;DO55))</f>
        <v>0</v>
      </c>
      <c r="DQ85" s="2">
        <f>IF(OR(DQ55="",DP55=""),0,--(DQ55&lt;&gt;DP55))</f>
        <v>0</v>
      </c>
      <c r="DR85" s="2">
        <f>IF(OR(DR55="",DQ55=""),0,--(DR55&lt;&gt;DQ55))</f>
        <v>0</v>
      </c>
      <c r="DS85" s="2">
        <f>IF(OR(DS55="",DR55=""),0,--(DS55&lt;&gt;DR55))</f>
        <v>0</v>
      </c>
      <c r="DT85" s="2">
        <f>IF(OR(DT55="",DS55=""),0,--(DT55&lt;&gt;DS55))</f>
        <v>0</v>
      </c>
      <c r="DU85" s="2">
        <f>IF(OR(DU55="",DT55=""),0,--(DU55&lt;&gt;DT55))</f>
        <v>0</v>
      </c>
      <c r="DV85" s="2">
        <f>IF(OR(DV55="",DU55=""),0,--(DV55&lt;&gt;DU55))</f>
        <v>0</v>
      </c>
      <c r="DW85" s="2">
        <f>IF(OR(DW55="",DV55=""),0,--(DW55&lt;&gt;DV55))</f>
        <v>0</v>
      </c>
      <c r="DX85" s="2">
        <f>IF(OR(DX55="",DW55=""),0,--(DX55&lt;&gt;DW55))</f>
        <v>0</v>
      </c>
      <c r="DY85" s="2">
        <f>IF(OR(DY55="",DX55=""),0,--(DY55&lt;&gt;DX55))</f>
        <v>0</v>
      </c>
      <c r="DZ85" s="2">
        <f>IF(OR(DZ55="",DY55=""),0,--(DZ55&lt;&gt;DY55))</f>
        <v>0</v>
      </c>
      <c r="EA85" s="2">
        <f>IF(OR(EA55="",DZ55=""),0,--(EA55&lt;&gt;DZ55))</f>
        <v>0</v>
      </c>
      <c r="EB85" s="2">
        <f>IF(OR(EB55="",EA55=""),0,--(EB55&lt;&gt;EA55))</f>
        <v>0</v>
      </c>
      <c r="EC85" s="2">
        <f>IF(OR(EC55="",EB55=""),0,--(EC55&lt;&gt;EB55))</f>
        <v>0</v>
      </c>
      <c r="ED85" s="2">
        <f>IF(OR(ED55="",EC55=""),0,--(ED55&lt;&gt;EC55))</f>
        <v>0</v>
      </c>
      <c r="EE85" s="2">
        <f>IF(OR(EE55="",ED55=""),0,--(EE55&lt;&gt;ED55))</f>
        <v>0</v>
      </c>
      <c r="EF85" s="2">
        <f>IF(OR(EF55="",EE55=""),0,--(EF55&lt;&gt;EE55))</f>
        <v>0</v>
      </c>
      <c r="EG85" s="2">
        <f>IF(OR(EG55="",EF55=""),0,--(EG55&lt;&gt;EF55))</f>
        <v>0</v>
      </c>
      <c r="EH85" s="2">
        <f>IF(OR(EH55="",EG55=""),0,--(EH55&lt;&gt;EG55))</f>
        <v>0</v>
      </c>
      <c r="EI85" s="2">
        <f>IF(OR(EI55="",EH55=""),0,--(EI55&lt;&gt;EH55))</f>
        <v>0</v>
      </c>
      <c r="EJ85" s="2">
        <f>IF(OR(EJ55="",EI55=""),0,--(EJ55&lt;&gt;EI55))</f>
        <v>0</v>
      </c>
      <c r="EK85" s="2">
        <f>IF(OR(EK55="",EJ55=""),0,--(EK55&lt;&gt;EJ55))</f>
        <v>0</v>
      </c>
      <c r="EL85" s="2">
        <f>IF(OR(EL55="",EK55=""),0,--(EL55&lt;&gt;EK55))</f>
        <v>0</v>
      </c>
      <c r="EM85" s="2">
        <f>IF(OR(EM55="",EL55=""),0,--(EM55&lt;&gt;EL55))</f>
        <v>0</v>
      </c>
      <c r="EN85" s="2">
        <f>IF(OR(EN55="",EM55=""),0,--(EN55&lt;&gt;EM55))</f>
        <v>0</v>
      </c>
      <c r="EO85" s="2">
        <f>IF(OR(EO55="",EN55=""),0,--(EO55&lt;&gt;EN55))</f>
        <v>0</v>
      </c>
      <c r="EP85" s="2">
        <f>IF(OR(EP55="",EO55=""),0,--(EP55&lt;&gt;EO55))</f>
        <v>0</v>
      </c>
      <c r="EQ85" s="2">
        <f>IF(OR(EQ55="",EP55=""),0,--(EQ55&lt;&gt;EP55))</f>
        <v>0</v>
      </c>
      <c r="ER85" s="2">
        <f>IF(OR(ER55="",EQ55=""),0,--(ER55&lt;&gt;EQ55))</f>
        <v>0</v>
      </c>
      <c r="ES85" s="2">
        <f>IF(OR(ES55="",ER55=""),0,--(ES55&lt;&gt;ER55))</f>
        <v>0</v>
      </c>
      <c r="ET85" s="2">
        <f>IF(OR(ET55="",ES55=""),0,--(ET55&lt;&gt;ES55))</f>
        <v>0</v>
      </c>
      <c r="EU85" s="2">
        <f>IF(OR(EU55="",ET55=""),0,--(EU55&lt;&gt;ET55))</f>
        <v>0</v>
      </c>
      <c r="EV85" s="2">
        <f>IF(OR(EV55="",EU55=""),0,--(EV55&lt;&gt;EU55))</f>
        <v>0</v>
      </c>
      <c r="EW85" s="2">
        <f>IF(OR(EW55="",EV55=""),0,--(EW55&lt;&gt;EV55))</f>
        <v>0</v>
      </c>
      <c r="EX85" s="2">
        <f>IF(OR(EX55="",EW55=""),0,--(EX55&lt;&gt;EW55))</f>
        <v>0</v>
      </c>
      <c r="EY85" s="2">
        <f>IF(OR(EY55="",EX55=""),0,--(EY55&lt;&gt;EX55))</f>
        <v>0</v>
      </c>
      <c r="EZ85" s="2">
        <f>IF(OR(EZ55="",EY55=""),0,--(EZ55&lt;&gt;EY55))</f>
        <v>0</v>
      </c>
      <c r="FA85" s="2">
        <f>IF(OR(FA55="",EZ55=""),0,--(FA55&lt;&gt;EZ55))</f>
        <v>0</v>
      </c>
      <c r="FB85" s="2">
        <f>IF(OR(FB55="",FA55=""),0,--(FB55&lt;&gt;FA55))</f>
        <v>0</v>
      </c>
      <c r="FC85" s="2">
        <f>IF(OR(FC55="",FB55=""),0,--(FC55&lt;&gt;FB55))</f>
        <v>0</v>
      </c>
      <c r="FD85" s="2">
        <f>IF(OR(FD55="",FC55=""),0,--(FD55&lt;&gt;FC55))</f>
        <v>0</v>
      </c>
      <c r="FE85" s="2">
        <f>IF(OR(FE55="",FD55=""),0,--(FE55&lt;&gt;FD55))</f>
        <v>0</v>
      </c>
      <c r="FF85" s="2">
        <f>IF(OR(FF55="",FE55=""),0,--(FF55&lt;&gt;FE55))</f>
        <v>0</v>
      </c>
      <c r="FG85" s="2">
        <f>IF(OR(FG55="",FF55=""),0,--(FG55&lt;&gt;FF55))</f>
        <v>0</v>
      </c>
      <c r="FH85" s="2">
        <f>IF(OR(FH55="",FG55=""),0,--(FH55&lt;&gt;FG55))</f>
        <v>0</v>
      </c>
      <c r="FI85" s="2">
        <f>IF(OR(FI55="",FH55=""),0,--(FI55&lt;&gt;FH55))</f>
        <v>0</v>
      </c>
      <c r="FJ85" s="2">
        <f>IF(OR(FJ55="",FI55=""),0,--(FJ55&lt;&gt;FI55))</f>
        <v>0</v>
      </c>
      <c r="FK85" s="2">
        <f>IF(OR(FK55="",FJ55=""),0,--(FK55&lt;&gt;FJ55))</f>
        <v>0</v>
      </c>
      <c r="FL85" s="2">
        <f>IF(OR(FL55="",FK55=""),0,--(FL55&lt;&gt;FK55))</f>
        <v>0</v>
      </c>
      <c r="FM85" s="2">
        <f>IF(OR(FM55="",FL55=""),0,--(FM55&lt;&gt;FL55))</f>
        <v>0</v>
      </c>
      <c r="FN85" s="2">
        <f>IF(OR(FN55="",FM55=""),0,--(FN55&lt;&gt;FM55))</f>
        <v>0</v>
      </c>
      <c r="FO85" s="2">
        <f>IF(OR(FO55="",FN55=""),0,--(FO55&lt;&gt;FN55))</f>
        <v>0</v>
      </c>
      <c r="FP85" s="2">
        <f>IF(OR(FP55="",FO55=""),0,--(FP55&lt;&gt;FO55))</f>
        <v>0</v>
      </c>
      <c r="FQ85" s="2">
        <f>IF(OR(FQ55="",FP55=""),0,--(FQ55&lt;&gt;FP55))</f>
        <v>0</v>
      </c>
      <c r="FR85" s="2">
        <f>IF(OR(FR55="",FQ55=""),0,--(FR55&lt;&gt;FQ55))</f>
        <v>0</v>
      </c>
      <c r="FS85" s="2">
        <f>IF(OR(FS55="",FR55=""),0,--(FS55&lt;&gt;FR55))</f>
        <v>0</v>
      </c>
      <c r="FT85" s="2">
        <f>IF(OR(FT55="",FS55=""),0,--(FT55&lt;&gt;FS55))</f>
        <v>0</v>
      </c>
      <c r="FU85" s="2">
        <f>IF(OR(FU55="",FT55=""),0,--(FU55&lt;&gt;FT55))</f>
        <v>0</v>
      </c>
      <c r="FV85" s="2">
        <f>IF(OR(FV55="",FU55=""),0,--(FV55&lt;&gt;FU55))</f>
        <v>0</v>
      </c>
      <c r="FW85" s="2">
        <f>IF(OR(FW55="",FV55=""),0,--(FW55&lt;&gt;FV55))</f>
        <v>0</v>
      </c>
      <c r="FX85" s="2">
        <f>IF(OR(FX55="",FW55=""),0,--(FX55&lt;&gt;FW55))</f>
        <v>0</v>
      </c>
      <c r="FY85" s="2">
        <f>IF(OR(FY55="",FX55=""),0,--(FY55&lt;&gt;FX55))</f>
        <v>0</v>
      </c>
      <c r="FZ85" s="2">
        <f>IF(OR(FZ55="",FY55=""),0,--(FZ55&lt;&gt;FY55))</f>
        <v>0</v>
      </c>
      <c r="GA85" s="2">
        <f>IF(OR(GA55="",FZ55=""),0,--(GA55&lt;&gt;FZ55))</f>
        <v>0</v>
      </c>
      <c r="GB85" s="2">
        <f>IF(OR(GB55="",GA55=""),0,--(GB55&lt;&gt;GA55))</f>
        <v>0</v>
      </c>
      <c r="GC85" s="2">
        <f>IF(OR(GC55="",GB55=""),0,--(GC55&lt;&gt;GB55))</f>
        <v>0</v>
      </c>
      <c r="GD85" s="2">
        <f>IF(OR(GD55="",GC55=""),0,--(GD55&lt;&gt;GC55))</f>
        <v>0</v>
      </c>
      <c r="GE85" s="2">
        <f>IF(OR(GE55="",GD55=""),0,--(GE55&lt;&gt;GD55))</f>
        <v>0</v>
      </c>
      <c r="GF85" s="2">
        <f>IF(OR(GF55="",GE55=""),0,--(GF55&lt;&gt;GE55))</f>
        <v>0</v>
      </c>
      <c r="GG85" s="2">
        <f>IF(OR(GG55="",GF55=""),0,--(GG55&lt;&gt;GF55))</f>
        <v>0</v>
      </c>
      <c r="GH85" s="2">
        <f>IF(OR(GH55="",GG55=""),0,--(GH55&lt;&gt;GG55))</f>
        <v>0</v>
      </c>
      <c r="GI85" s="2">
        <f>IF(OR(GI55="",GH55=""),0,--(GI55&lt;&gt;GH55))</f>
        <v>0</v>
      </c>
      <c r="GJ85" s="2">
        <f>IF(OR(GJ55="",GI55=""),0,--(GJ55&lt;&gt;GI55))</f>
        <v>0</v>
      </c>
      <c r="GK85" s="2">
        <f>IF(OR(GK55="",GJ55=""),0,--(GK55&lt;&gt;GJ55))</f>
        <v>0</v>
      </c>
      <c r="GL85" s="2">
        <f>IF(OR(GL55="",GK55=""),0,--(GL55&lt;&gt;GK55))</f>
        <v>0</v>
      </c>
      <c r="GM85" s="2">
        <f>IF(OR(GM55="",GL55=""),0,--(GM55&lt;&gt;GL55))</f>
        <v>0</v>
      </c>
      <c r="GN85" s="2">
        <f>IF(OR(GN55="",GM55=""),0,--(GN55&lt;&gt;GM55))</f>
        <v>0</v>
      </c>
      <c r="GO85" s="2">
        <f>IF(OR(GO55="",GN55=""),0,--(GO55&lt;&gt;GN55))</f>
        <v>0</v>
      </c>
      <c r="GP85" s="2">
        <f>IF(OR(GP55="",GO55=""),0,--(GP55&lt;&gt;GO55))</f>
        <v>0</v>
      </c>
      <c r="GQ85" s="2">
        <f>IF(OR(GQ55="",GP55=""),0,--(GQ55&lt;&gt;GP55))</f>
        <v>0</v>
      </c>
      <c r="GR85" s="2">
        <f>IF(OR(GR55="",GQ55=""),0,--(GR55&lt;&gt;GQ55))</f>
        <v>0</v>
      </c>
      <c r="GS85" s="2">
        <f>IF(OR(GS55="",GR55=""),0,--(GS55&lt;&gt;GR55))</f>
        <v>0</v>
      </c>
      <c r="GY85" s="15">
        <f>SUM($B85:$DB85)</f>
        <v>3</v>
      </c>
    </row>
    <row r="86" spans="1:207">
      <c r="A86" s="2">
        <f>$A56</f>
        <v>21</v>
      </c>
      <c r="B86" s="2">
        <f>0</f>
        <v>0</v>
      </c>
      <c r="C86" s="2">
        <f>IF(OR(C56="",B56=""),0,--(C56&lt;&gt;B56))</f>
        <v>0</v>
      </c>
      <c r="D86" s="2">
        <f>IF(OR(D56="",C56=""),0,--(D56&lt;&gt;C56))</f>
        <v>0</v>
      </c>
      <c r="E86" s="2">
        <f>IF(OR(E56="",D56=""),0,--(E56&lt;&gt;D56))</f>
        <v>0</v>
      </c>
      <c r="F86" s="2">
        <f>IF(OR(F56="",E56=""),0,--(F56&lt;&gt;E56))</f>
        <v>0</v>
      </c>
      <c r="G86" s="2">
        <f>IF(OR(G56="",F56=""),0,--(G56&lt;&gt;F56))</f>
        <v>0</v>
      </c>
      <c r="H86" s="2">
        <f>IF(OR(H56="",G56=""),0,--(H56&lt;&gt;G56))</f>
        <v>0</v>
      </c>
      <c r="I86" s="2">
        <f>IF(OR(I56="",H56=""),0,--(I56&lt;&gt;H56))</f>
        <v>0</v>
      </c>
      <c r="J86" s="2">
        <f>IF(OR(J56="",I56=""),0,--(J56&lt;&gt;I56))</f>
        <v>0</v>
      </c>
      <c r="K86" s="2">
        <f>IF(OR(K56="",J56=""),0,--(K56&lt;&gt;J56))</f>
        <v>0</v>
      </c>
      <c r="L86" s="2">
        <f>IF(OR(L56="",K56=""),0,--(L56&lt;&gt;K56))</f>
        <v>0</v>
      </c>
      <c r="M86" s="2">
        <f>IF(OR(M56="",L56=""),0,--(M56&lt;&gt;L56))</f>
        <v>0</v>
      </c>
      <c r="N86" s="2">
        <f>IF(OR(N56="",M56=""),0,--(N56&lt;&gt;M56))</f>
        <v>0</v>
      </c>
      <c r="O86" s="2">
        <f>IF(OR(O56="",N56=""),0,--(O56&lt;&gt;N56))</f>
        <v>1</v>
      </c>
      <c r="P86" s="2">
        <f>IF(OR(P56="",O56=""),0,--(P56&lt;&gt;O56))</f>
        <v>1</v>
      </c>
      <c r="Q86" s="2">
        <f>IF(OR(Q56="",P56=""),0,--(Q56&lt;&gt;P56))</f>
        <v>0</v>
      </c>
      <c r="R86" s="2">
        <f>IF(OR(R56="",Q56=""),0,--(R56&lt;&gt;Q56))</f>
        <v>0</v>
      </c>
      <c r="S86" s="2">
        <f>IF(OR(S56="",R56=""),0,--(S56&lt;&gt;R56))</f>
        <v>0</v>
      </c>
      <c r="T86" s="2">
        <f>IF(OR(T56="",S56=""),0,--(T56&lt;&gt;S56))</f>
        <v>0</v>
      </c>
      <c r="U86" s="2">
        <f>IF(OR(U56="",T56=""),0,--(U56&lt;&gt;T56))</f>
        <v>0</v>
      </c>
      <c r="V86" s="2">
        <f>IF(OR(V56="",U56=""),0,--(V56&lt;&gt;U56))</f>
        <v>0</v>
      </c>
      <c r="W86" s="2">
        <f>IF(OR(W56="",V56=""),0,--(W56&lt;&gt;V56))</f>
        <v>0</v>
      </c>
      <c r="X86" s="2">
        <f>IF(OR(X56="",W56=""),0,--(X56&lt;&gt;W56))</f>
        <v>0</v>
      </c>
      <c r="Y86" s="2">
        <f>IF(OR(Y56="",X56=""),0,--(Y56&lt;&gt;X56))</f>
        <v>0</v>
      </c>
      <c r="Z86" s="2">
        <f>IF(OR(Z56="",Y56=""),0,--(Z56&lt;&gt;Y56))</f>
        <v>0</v>
      </c>
      <c r="AA86" s="2">
        <f>IF(OR(AA56="",Z56=""),0,--(AA56&lt;&gt;Z56))</f>
        <v>0</v>
      </c>
      <c r="AB86" s="2">
        <f>IF(OR(AB56="",AA56=""),0,--(AB56&lt;&gt;AA56))</f>
        <v>0</v>
      </c>
      <c r="AC86" s="2">
        <f>IF(OR(AC56="",AB56=""),0,--(AC56&lt;&gt;AB56))</f>
        <v>0</v>
      </c>
      <c r="AD86" s="2">
        <f>IF(OR(AD56="",AC56=""),0,--(AD56&lt;&gt;AC56))</f>
        <v>0</v>
      </c>
      <c r="AE86" s="2">
        <f>IF(OR(AE56="",AD56=""),0,--(AE56&lt;&gt;AD56))</f>
        <v>0</v>
      </c>
      <c r="AF86" s="2">
        <f>IF(OR(AF56="",AE56=""),0,--(AF56&lt;&gt;AE56))</f>
        <v>0</v>
      </c>
      <c r="AG86" s="2">
        <f>IF(OR(AG56="",AF56=""),0,--(AG56&lt;&gt;AF56))</f>
        <v>0</v>
      </c>
      <c r="AH86" s="2">
        <f>IF(OR(AH56="",AG56=""),0,--(AH56&lt;&gt;AG56))</f>
        <v>0</v>
      </c>
      <c r="AI86" s="2">
        <f>IF(OR(AI56="",AH56=""),0,--(AI56&lt;&gt;AH56))</f>
        <v>0</v>
      </c>
      <c r="AJ86" s="2">
        <f>IF(OR(AJ56="",AI56=""),0,--(AJ56&lt;&gt;AI56))</f>
        <v>0</v>
      </c>
      <c r="AK86" s="2">
        <f>IF(OR(AK56="",AJ56=""),0,--(AK56&lt;&gt;AJ56))</f>
        <v>0</v>
      </c>
      <c r="AL86" s="2">
        <f>IF(OR(AL56="",AK56=""),0,--(AL56&lt;&gt;AK56))</f>
        <v>0</v>
      </c>
      <c r="AM86" s="2">
        <f>IF(OR(AM56="",AL56=""),0,--(AM56&lt;&gt;AL56))</f>
        <v>0</v>
      </c>
      <c r="AN86" s="2">
        <f>IF(OR(AN56="",AM56=""),0,--(AN56&lt;&gt;AM56))</f>
        <v>0</v>
      </c>
      <c r="AO86" s="2">
        <f>IF(OR(AO56="",AN56=""),0,--(AO56&lt;&gt;AN56))</f>
        <v>0</v>
      </c>
      <c r="AP86" s="2">
        <f>IF(OR(AP56="",AO56=""),0,--(AP56&lt;&gt;AO56))</f>
        <v>0</v>
      </c>
      <c r="AQ86" s="2">
        <f>IF(OR(AQ56="",AP56=""),0,--(AQ56&lt;&gt;AP56))</f>
        <v>0</v>
      </c>
      <c r="AR86" s="2">
        <f>IF(OR(AR56="",AQ56=""),0,--(AR56&lt;&gt;AQ56))</f>
        <v>0</v>
      </c>
      <c r="AS86" s="2">
        <f>IF(OR(AS56="",AR56=""),0,--(AS56&lt;&gt;AR56))</f>
        <v>0</v>
      </c>
      <c r="AT86" s="2">
        <f>IF(OR(AT56="",AS56=""),0,--(AT56&lt;&gt;AS56))</f>
        <v>0</v>
      </c>
      <c r="AU86" s="2">
        <f>IF(OR(AU56="",AT56=""),0,--(AU56&lt;&gt;AT56))</f>
        <v>0</v>
      </c>
      <c r="AV86" s="2">
        <f>IF(OR(AV56="",AU56=""),0,--(AV56&lt;&gt;AU56))</f>
        <v>0</v>
      </c>
      <c r="AW86" s="2">
        <f>IF(OR(AW56="",AV56=""),0,--(AW56&lt;&gt;AV56))</f>
        <v>0</v>
      </c>
      <c r="AX86" s="2">
        <f>IF(OR(AX56="",AW56=""),0,--(AX56&lt;&gt;AW56))</f>
        <v>0</v>
      </c>
      <c r="AY86" s="2">
        <f>IF(OR(AY56="",AX56=""),0,--(AY56&lt;&gt;AX56))</f>
        <v>0</v>
      </c>
      <c r="AZ86" s="2">
        <f>IF(OR(AZ56="",AY56=""),0,--(AZ56&lt;&gt;AY56))</f>
        <v>1</v>
      </c>
      <c r="BA86" s="2">
        <f>IF(OR(BA56="",AZ56=""),0,--(BA56&lt;&gt;AZ56))</f>
        <v>1</v>
      </c>
      <c r="BB86" s="2">
        <f>IF(OR(BB56="",BA56=""),0,--(BB56&lt;&gt;BA56))</f>
        <v>0</v>
      </c>
      <c r="BC86" s="2">
        <f>IF(OR(BC56="",BB56=""),0,--(BC56&lt;&gt;BB56))</f>
        <v>0</v>
      </c>
      <c r="BD86" s="2">
        <f>IF(OR(BD56="",BC56=""),0,--(BD56&lt;&gt;BC56))</f>
        <v>0</v>
      </c>
      <c r="BE86" s="2">
        <f>IF(OR(BE56="",BD56=""),0,--(BE56&lt;&gt;BD56))</f>
        <v>0</v>
      </c>
      <c r="BF86" s="2">
        <f>IF(OR(BF56="",BE56=""),0,--(BF56&lt;&gt;BE56))</f>
        <v>0</v>
      </c>
      <c r="BG86" s="2">
        <f>IF(OR(BG56="",BF56=""),0,--(BG56&lt;&gt;BF56))</f>
        <v>0</v>
      </c>
      <c r="BH86" s="2">
        <f>IF(OR(BH56="",BG56=""),0,--(BH56&lt;&gt;BG56))</f>
        <v>0</v>
      </c>
      <c r="BI86" s="2">
        <f>IF(OR(BI56="",BH56=""),0,--(BI56&lt;&gt;BH56))</f>
        <v>0</v>
      </c>
      <c r="BJ86" s="2">
        <f>IF(OR(BJ56="",BI56=""),0,--(BJ56&lt;&gt;BI56))</f>
        <v>0</v>
      </c>
      <c r="BK86" s="2">
        <f>IF(OR(BK56="",BJ56=""),0,--(BK56&lt;&gt;BJ56))</f>
        <v>0</v>
      </c>
      <c r="BL86" s="2">
        <f>IF(OR(BL56="",BK56=""),0,--(BL56&lt;&gt;BK56))</f>
        <v>0</v>
      </c>
      <c r="BM86" s="2">
        <f>IF(OR(BM56="",BL56=""),0,--(BM56&lt;&gt;BL56))</f>
        <v>0</v>
      </c>
      <c r="BN86" s="2">
        <f>IF(OR(BN56="",BM56=""),0,--(BN56&lt;&gt;BM56))</f>
        <v>0</v>
      </c>
      <c r="BO86" s="2">
        <f>IF(OR(BO56="",BN56=""),0,--(BO56&lt;&gt;BN56))</f>
        <v>0</v>
      </c>
      <c r="BP86" s="2">
        <f>IF(OR(BP56="",BO56=""),0,--(BP56&lt;&gt;BO56))</f>
        <v>0</v>
      </c>
      <c r="BQ86" s="2">
        <f>IF(OR(BQ56="",BP56=""),0,--(BQ56&lt;&gt;BP56))</f>
        <v>0</v>
      </c>
      <c r="BR86" s="2">
        <f>IF(OR(BR56="",BQ56=""),0,--(BR56&lt;&gt;BQ56))</f>
        <v>0</v>
      </c>
      <c r="BS86" s="2">
        <f>IF(OR(BS56="",BR56=""),0,--(BS56&lt;&gt;BR56))</f>
        <v>0</v>
      </c>
      <c r="BT86" s="2">
        <f>IF(OR(BT56="",BS56=""),0,--(BT56&lt;&gt;BS56))</f>
        <v>0</v>
      </c>
      <c r="BU86" s="2">
        <f>IF(OR(BU56="",BT56=""),0,--(BU56&lt;&gt;BT56))</f>
        <v>0</v>
      </c>
      <c r="BV86" s="2">
        <f>IF(OR(BV56="",BU56=""),0,--(BV56&lt;&gt;BU56))</f>
        <v>0</v>
      </c>
      <c r="BW86" s="2">
        <f>IF(OR(BW56="",BV56=""),0,--(BW56&lt;&gt;BV56))</f>
        <v>0</v>
      </c>
      <c r="BX86" s="2">
        <f>IF(OR(BX56="",BW56=""),0,--(BX56&lt;&gt;BW56))</f>
        <v>0</v>
      </c>
      <c r="BY86" s="2">
        <f>IF(OR(BY56="",BX56=""),0,--(BY56&lt;&gt;BX56))</f>
        <v>0</v>
      </c>
      <c r="BZ86" s="2">
        <f>IF(OR(BZ56="",BY56=""),0,--(BZ56&lt;&gt;BY56))</f>
        <v>1</v>
      </c>
      <c r="CA86" s="2">
        <f>IF(OR(CA56="",BZ56=""),0,--(CA56&lt;&gt;BZ56))</f>
        <v>0</v>
      </c>
      <c r="CB86" s="2">
        <f>IF(OR(CB56="",CA56=""),0,--(CB56&lt;&gt;CA56))</f>
        <v>0</v>
      </c>
      <c r="CC86" s="2">
        <f>IF(OR(CC56="",CB56=""),0,--(CC56&lt;&gt;CB56))</f>
        <v>0</v>
      </c>
      <c r="CD86" s="2">
        <f>IF(OR(CD56="",CC56=""),0,--(CD56&lt;&gt;CC56))</f>
        <v>0</v>
      </c>
      <c r="CE86" s="2">
        <f>IF(OR(CE56="",CD56=""),0,--(CE56&lt;&gt;CD56))</f>
        <v>0</v>
      </c>
      <c r="CF86" s="2">
        <f>IF(OR(CF56="",CE56=""),0,--(CF56&lt;&gt;CE56))</f>
        <v>0</v>
      </c>
      <c r="CG86" s="2">
        <f>IF(OR(CG56="",CF56=""),0,--(CG56&lt;&gt;CF56))</f>
        <v>0</v>
      </c>
      <c r="CH86" s="2">
        <f>IF(OR(CH56="",CG56=""),0,--(CH56&lt;&gt;CG56))</f>
        <v>0</v>
      </c>
      <c r="CI86" s="2">
        <f>IF(OR(CI56="",CH56=""),0,--(CI56&lt;&gt;CH56))</f>
        <v>0</v>
      </c>
      <c r="CJ86" s="2">
        <f>IF(OR(CJ56="",CI56=""),0,--(CJ56&lt;&gt;CI56))</f>
        <v>0</v>
      </c>
      <c r="CK86" s="2">
        <f>IF(OR(CK56="",CJ56=""),0,--(CK56&lt;&gt;CJ56))</f>
        <v>0</v>
      </c>
      <c r="CL86" s="2">
        <f>IF(OR(CL56="",CK56=""),0,--(CL56&lt;&gt;CK56))</f>
        <v>0</v>
      </c>
      <c r="CM86" s="2">
        <f>IF(OR(CM56="",CL56=""),0,--(CM56&lt;&gt;CL56))</f>
        <v>0</v>
      </c>
      <c r="CN86" s="2">
        <f>IF(OR(CN56="",CM56=""),0,--(CN56&lt;&gt;CM56))</f>
        <v>0</v>
      </c>
      <c r="CO86" s="2">
        <f>IF(OR(CO56="",CN56=""),0,--(CO56&lt;&gt;CN56))</f>
        <v>0</v>
      </c>
      <c r="CP86" s="2">
        <f>IF(OR(CP56="",CO56=""),0,--(CP56&lt;&gt;CO56))</f>
        <v>0</v>
      </c>
      <c r="CQ86" s="2">
        <f>IF(OR(CQ56="",CP56=""),0,--(CQ56&lt;&gt;CP56))</f>
        <v>0</v>
      </c>
      <c r="CR86" s="2">
        <f>IF(OR(CR56="",CQ56=""),0,--(CR56&lt;&gt;CQ56))</f>
        <v>0</v>
      </c>
      <c r="CS86" s="2">
        <f>IF(OR(CS56="",CR56=""),0,--(CS56&lt;&gt;CR56))</f>
        <v>0</v>
      </c>
      <c r="CT86" s="2">
        <f>IF(OR(CT56="",CS56=""),0,--(CT56&lt;&gt;CS56))</f>
        <v>0</v>
      </c>
      <c r="CU86" s="2">
        <f>IF(OR(CU56="",CT56=""),0,--(CU56&lt;&gt;CT56))</f>
        <v>0</v>
      </c>
      <c r="CV86" s="2">
        <f>IF(OR(CV56="",CU56=""),0,--(CV56&lt;&gt;CU56))</f>
        <v>0</v>
      </c>
      <c r="CW86" s="2">
        <f>IF(OR(CW56="",CV56=""),0,--(CW56&lt;&gt;CV56))</f>
        <v>0</v>
      </c>
      <c r="CX86" s="2">
        <f>IF(OR(CX56="",CW56=""),0,--(CX56&lt;&gt;CW56))</f>
        <v>0</v>
      </c>
      <c r="CY86" s="2">
        <f>IF(OR(CY56="",CX56=""),0,--(CY56&lt;&gt;CX56))</f>
        <v>0</v>
      </c>
      <c r="CZ86" s="2">
        <f>IF(OR(CZ56="",CY56=""),0,--(CZ56&lt;&gt;CY56))</f>
        <v>0</v>
      </c>
      <c r="DA86" s="2">
        <f>IF(OR(DA56="",CZ56=""),0,--(DA56&lt;&gt;CZ56))</f>
        <v>0</v>
      </c>
      <c r="DB86" s="2">
        <f>IF(OR(DB56="",DA56=""),0,--(DB56&lt;&gt;DA56))</f>
        <v>0</v>
      </c>
      <c r="DC86" s="2">
        <f>IF(OR(DC56="",DB56=""),0,--(DC56&lt;&gt;DB56))</f>
        <v>0</v>
      </c>
      <c r="DD86" s="2">
        <f>IF(OR(DD56="",DC56=""),0,--(DD56&lt;&gt;DC56))</f>
        <v>0</v>
      </c>
      <c r="DE86" s="2">
        <f>IF(OR(DE56="",DD56=""),0,--(DE56&lt;&gt;DD56))</f>
        <v>0</v>
      </c>
      <c r="DF86" s="2">
        <f>IF(OR(DF56="",DE56=""),0,--(DF56&lt;&gt;DE56))</f>
        <v>0</v>
      </c>
      <c r="DG86" s="2">
        <f>IF(OR(DG56="",DF56=""),0,--(DG56&lt;&gt;DF56))</f>
        <v>0</v>
      </c>
      <c r="DH86" s="2">
        <f>IF(OR(DH56="",DG56=""),0,--(DH56&lt;&gt;DG56))</f>
        <v>0</v>
      </c>
      <c r="DI86" s="2">
        <f>IF(OR(DI56="",DH56=""),0,--(DI56&lt;&gt;DH56))</f>
        <v>0</v>
      </c>
      <c r="DJ86" s="2">
        <f>IF(OR(DJ56="",DI56=""),0,--(DJ56&lt;&gt;DI56))</f>
        <v>0</v>
      </c>
      <c r="DK86" s="2">
        <f>IF(OR(DK56="",DJ56=""),0,--(DK56&lt;&gt;DJ56))</f>
        <v>0</v>
      </c>
      <c r="DL86" s="2">
        <f>IF(OR(DL56="",DK56=""),0,--(DL56&lt;&gt;DK56))</f>
        <v>0</v>
      </c>
      <c r="DM86" s="2">
        <f>IF(OR(DM56="",DL56=""),0,--(DM56&lt;&gt;DL56))</f>
        <v>0</v>
      </c>
      <c r="DN86" s="2">
        <f>IF(OR(DN56="",DM56=""),0,--(DN56&lt;&gt;DM56))</f>
        <v>0</v>
      </c>
      <c r="DO86" s="2">
        <f>IF(OR(DO56="",DN56=""),0,--(DO56&lt;&gt;DN56))</f>
        <v>0</v>
      </c>
      <c r="DP86" s="2">
        <f>IF(OR(DP56="",DO56=""),0,--(DP56&lt;&gt;DO56))</f>
        <v>0</v>
      </c>
      <c r="DQ86" s="2">
        <f>IF(OR(DQ56="",DP56=""),0,--(DQ56&lt;&gt;DP56))</f>
        <v>0</v>
      </c>
      <c r="DR86" s="2">
        <f>IF(OR(DR56="",DQ56=""),0,--(DR56&lt;&gt;DQ56))</f>
        <v>0</v>
      </c>
      <c r="DS86" s="2">
        <f>IF(OR(DS56="",DR56=""),0,--(DS56&lt;&gt;DR56))</f>
        <v>0</v>
      </c>
      <c r="DT86" s="2">
        <f>IF(OR(DT56="",DS56=""),0,--(DT56&lt;&gt;DS56))</f>
        <v>0</v>
      </c>
      <c r="DU86" s="2">
        <f>IF(OR(DU56="",DT56=""),0,--(DU56&lt;&gt;DT56))</f>
        <v>0</v>
      </c>
      <c r="DV86" s="2">
        <f>IF(OR(DV56="",DU56=""),0,--(DV56&lt;&gt;DU56))</f>
        <v>0</v>
      </c>
      <c r="DW86" s="2">
        <f>IF(OR(DW56="",DV56=""),0,--(DW56&lt;&gt;DV56))</f>
        <v>0</v>
      </c>
      <c r="DX86" s="2">
        <f>IF(OR(DX56="",DW56=""),0,--(DX56&lt;&gt;DW56))</f>
        <v>0</v>
      </c>
      <c r="DY86" s="2">
        <f>IF(OR(DY56="",DX56=""),0,--(DY56&lt;&gt;DX56))</f>
        <v>0</v>
      </c>
      <c r="DZ86" s="2">
        <f>IF(OR(DZ56="",DY56=""),0,--(DZ56&lt;&gt;DY56))</f>
        <v>0</v>
      </c>
      <c r="EA86" s="2">
        <f>IF(OR(EA56="",DZ56=""),0,--(EA56&lt;&gt;DZ56))</f>
        <v>0</v>
      </c>
      <c r="EB86" s="2">
        <f>IF(OR(EB56="",EA56=""),0,--(EB56&lt;&gt;EA56))</f>
        <v>0</v>
      </c>
      <c r="EC86" s="2">
        <f>IF(OR(EC56="",EB56=""),0,--(EC56&lt;&gt;EB56))</f>
        <v>0</v>
      </c>
      <c r="ED86" s="2">
        <f>IF(OR(ED56="",EC56=""),0,--(ED56&lt;&gt;EC56))</f>
        <v>0</v>
      </c>
      <c r="EE86" s="2">
        <f>IF(OR(EE56="",ED56=""),0,--(EE56&lt;&gt;ED56))</f>
        <v>0</v>
      </c>
      <c r="EF86" s="2">
        <f>IF(OR(EF56="",EE56=""),0,--(EF56&lt;&gt;EE56))</f>
        <v>0</v>
      </c>
      <c r="EG86" s="2">
        <f>IF(OR(EG56="",EF56=""),0,--(EG56&lt;&gt;EF56))</f>
        <v>0</v>
      </c>
      <c r="EH86" s="2">
        <f>IF(OR(EH56="",EG56=""),0,--(EH56&lt;&gt;EG56))</f>
        <v>0</v>
      </c>
      <c r="EI86" s="2">
        <f>IF(OR(EI56="",EH56=""),0,--(EI56&lt;&gt;EH56))</f>
        <v>0</v>
      </c>
      <c r="EJ86" s="2">
        <f>IF(OR(EJ56="",EI56=""),0,--(EJ56&lt;&gt;EI56))</f>
        <v>0</v>
      </c>
      <c r="EK86" s="2">
        <f>IF(OR(EK56="",EJ56=""),0,--(EK56&lt;&gt;EJ56))</f>
        <v>0</v>
      </c>
      <c r="EL86" s="2">
        <f>IF(OR(EL56="",EK56=""),0,--(EL56&lt;&gt;EK56))</f>
        <v>0</v>
      </c>
      <c r="EM86" s="2">
        <f>IF(OR(EM56="",EL56=""),0,--(EM56&lt;&gt;EL56))</f>
        <v>0</v>
      </c>
      <c r="EN86" s="2">
        <f>IF(OR(EN56="",EM56=""),0,--(EN56&lt;&gt;EM56))</f>
        <v>0</v>
      </c>
      <c r="EO86" s="2">
        <f>IF(OR(EO56="",EN56=""),0,--(EO56&lt;&gt;EN56))</f>
        <v>0</v>
      </c>
      <c r="EP86" s="2">
        <f>IF(OR(EP56="",EO56=""),0,--(EP56&lt;&gt;EO56))</f>
        <v>0</v>
      </c>
      <c r="EQ86" s="2">
        <f>IF(OR(EQ56="",EP56=""),0,--(EQ56&lt;&gt;EP56))</f>
        <v>0</v>
      </c>
      <c r="ER86" s="2">
        <f>IF(OR(ER56="",EQ56=""),0,--(ER56&lt;&gt;EQ56))</f>
        <v>0</v>
      </c>
      <c r="ES86" s="2">
        <f>IF(OR(ES56="",ER56=""),0,--(ES56&lt;&gt;ER56))</f>
        <v>0</v>
      </c>
      <c r="ET86" s="2">
        <f>IF(OR(ET56="",ES56=""),0,--(ET56&lt;&gt;ES56))</f>
        <v>0</v>
      </c>
      <c r="EU86" s="2">
        <f>IF(OR(EU56="",ET56=""),0,--(EU56&lt;&gt;ET56))</f>
        <v>0</v>
      </c>
      <c r="EV86" s="2">
        <f>IF(OR(EV56="",EU56=""),0,--(EV56&lt;&gt;EU56))</f>
        <v>0</v>
      </c>
      <c r="EW86" s="2">
        <f>IF(OR(EW56="",EV56=""),0,--(EW56&lt;&gt;EV56))</f>
        <v>0</v>
      </c>
      <c r="EX86" s="2">
        <f>IF(OR(EX56="",EW56=""),0,--(EX56&lt;&gt;EW56))</f>
        <v>0</v>
      </c>
      <c r="EY86" s="2">
        <f>IF(OR(EY56="",EX56=""),0,--(EY56&lt;&gt;EX56))</f>
        <v>0</v>
      </c>
      <c r="EZ86" s="2">
        <f>IF(OR(EZ56="",EY56=""),0,--(EZ56&lt;&gt;EY56))</f>
        <v>0</v>
      </c>
      <c r="FA86" s="2">
        <f>IF(OR(FA56="",EZ56=""),0,--(FA56&lt;&gt;EZ56))</f>
        <v>0</v>
      </c>
      <c r="FB86" s="2">
        <f>IF(OR(FB56="",FA56=""),0,--(FB56&lt;&gt;FA56))</f>
        <v>0</v>
      </c>
      <c r="FC86" s="2">
        <f>IF(OR(FC56="",FB56=""),0,--(FC56&lt;&gt;FB56))</f>
        <v>0</v>
      </c>
      <c r="FD86" s="2">
        <f>IF(OR(FD56="",FC56=""),0,--(FD56&lt;&gt;FC56))</f>
        <v>0</v>
      </c>
      <c r="FE86" s="2">
        <f>IF(OR(FE56="",FD56=""),0,--(FE56&lt;&gt;FD56))</f>
        <v>0</v>
      </c>
      <c r="FF86" s="2">
        <f>IF(OR(FF56="",FE56=""),0,--(FF56&lt;&gt;FE56))</f>
        <v>0</v>
      </c>
      <c r="FG86" s="2">
        <f>IF(OR(FG56="",FF56=""),0,--(FG56&lt;&gt;FF56))</f>
        <v>0</v>
      </c>
      <c r="FH86" s="2">
        <f>IF(OR(FH56="",FG56=""),0,--(FH56&lt;&gt;FG56))</f>
        <v>0</v>
      </c>
      <c r="FI86" s="2">
        <f>IF(OR(FI56="",FH56=""),0,--(FI56&lt;&gt;FH56))</f>
        <v>0</v>
      </c>
      <c r="FJ86" s="2">
        <f>IF(OR(FJ56="",FI56=""),0,--(FJ56&lt;&gt;FI56))</f>
        <v>0</v>
      </c>
      <c r="FK86" s="2">
        <f>IF(OR(FK56="",FJ56=""),0,--(FK56&lt;&gt;FJ56))</f>
        <v>0</v>
      </c>
      <c r="FL86" s="2">
        <f>IF(OR(FL56="",FK56=""),0,--(FL56&lt;&gt;FK56))</f>
        <v>0</v>
      </c>
      <c r="FM86" s="2">
        <f>IF(OR(FM56="",FL56=""),0,--(FM56&lt;&gt;FL56))</f>
        <v>0</v>
      </c>
      <c r="FN86" s="2">
        <f>IF(OR(FN56="",FM56=""),0,--(FN56&lt;&gt;FM56))</f>
        <v>0</v>
      </c>
      <c r="FO86" s="2">
        <f>IF(OR(FO56="",FN56=""),0,--(FO56&lt;&gt;FN56))</f>
        <v>0</v>
      </c>
      <c r="FP86" s="2">
        <f>IF(OR(FP56="",FO56=""),0,--(FP56&lt;&gt;FO56))</f>
        <v>0</v>
      </c>
      <c r="FQ86" s="2">
        <f>IF(OR(FQ56="",FP56=""),0,--(FQ56&lt;&gt;FP56))</f>
        <v>0</v>
      </c>
      <c r="FR86" s="2">
        <f>IF(OR(FR56="",FQ56=""),0,--(FR56&lt;&gt;FQ56))</f>
        <v>0</v>
      </c>
      <c r="FS86" s="2">
        <f>IF(OR(FS56="",FR56=""),0,--(FS56&lt;&gt;FR56))</f>
        <v>0</v>
      </c>
      <c r="FT86" s="2">
        <f>IF(OR(FT56="",FS56=""),0,--(FT56&lt;&gt;FS56))</f>
        <v>0</v>
      </c>
      <c r="FU86" s="2">
        <f>IF(OR(FU56="",FT56=""),0,--(FU56&lt;&gt;FT56))</f>
        <v>0</v>
      </c>
      <c r="FV86" s="2">
        <f>IF(OR(FV56="",FU56=""),0,--(FV56&lt;&gt;FU56))</f>
        <v>0</v>
      </c>
      <c r="FW86" s="2">
        <f>IF(OR(FW56="",FV56=""),0,--(FW56&lt;&gt;FV56))</f>
        <v>0</v>
      </c>
      <c r="FX86" s="2">
        <f>IF(OR(FX56="",FW56=""),0,--(FX56&lt;&gt;FW56))</f>
        <v>0</v>
      </c>
      <c r="FY86" s="2">
        <f>IF(OR(FY56="",FX56=""),0,--(FY56&lt;&gt;FX56))</f>
        <v>0</v>
      </c>
      <c r="FZ86" s="2">
        <f>IF(OR(FZ56="",FY56=""),0,--(FZ56&lt;&gt;FY56))</f>
        <v>0</v>
      </c>
      <c r="GA86" s="2">
        <f>IF(OR(GA56="",FZ56=""),0,--(GA56&lt;&gt;FZ56))</f>
        <v>0</v>
      </c>
      <c r="GB86" s="2">
        <f>IF(OR(GB56="",GA56=""),0,--(GB56&lt;&gt;GA56))</f>
        <v>0</v>
      </c>
      <c r="GC86" s="2">
        <f>IF(OR(GC56="",GB56=""),0,--(GC56&lt;&gt;GB56))</f>
        <v>0</v>
      </c>
      <c r="GD86" s="2">
        <f>IF(OR(GD56="",GC56=""),0,--(GD56&lt;&gt;GC56))</f>
        <v>0</v>
      </c>
      <c r="GE86" s="2">
        <f>IF(OR(GE56="",GD56=""),0,--(GE56&lt;&gt;GD56))</f>
        <v>0</v>
      </c>
      <c r="GF86" s="2">
        <f>IF(OR(GF56="",GE56=""),0,--(GF56&lt;&gt;GE56))</f>
        <v>0</v>
      </c>
      <c r="GG86" s="2">
        <f>IF(OR(GG56="",GF56=""),0,--(GG56&lt;&gt;GF56))</f>
        <v>0</v>
      </c>
      <c r="GH86" s="2">
        <f>IF(OR(GH56="",GG56=""),0,--(GH56&lt;&gt;GG56))</f>
        <v>0</v>
      </c>
      <c r="GI86" s="2">
        <f>IF(OR(GI56="",GH56=""),0,--(GI56&lt;&gt;GH56))</f>
        <v>0</v>
      </c>
      <c r="GJ86" s="2">
        <f>IF(OR(GJ56="",GI56=""),0,--(GJ56&lt;&gt;GI56))</f>
        <v>0</v>
      </c>
      <c r="GK86" s="2">
        <f>IF(OR(GK56="",GJ56=""),0,--(GK56&lt;&gt;GJ56))</f>
        <v>0</v>
      </c>
      <c r="GL86" s="2">
        <f>IF(OR(GL56="",GK56=""),0,--(GL56&lt;&gt;GK56))</f>
        <v>0</v>
      </c>
      <c r="GM86" s="2">
        <f>IF(OR(GM56="",GL56=""),0,--(GM56&lt;&gt;GL56))</f>
        <v>0</v>
      </c>
      <c r="GN86" s="2">
        <f>IF(OR(GN56="",GM56=""),0,--(GN56&lt;&gt;GM56))</f>
        <v>0</v>
      </c>
      <c r="GO86" s="2">
        <f>IF(OR(GO56="",GN56=""),0,--(GO56&lt;&gt;GN56))</f>
        <v>0</v>
      </c>
      <c r="GP86" s="2">
        <f>IF(OR(GP56="",GO56=""),0,--(GP56&lt;&gt;GO56))</f>
        <v>0</v>
      </c>
      <c r="GQ86" s="2">
        <f>IF(OR(GQ56="",GP56=""),0,--(GQ56&lt;&gt;GP56))</f>
        <v>0</v>
      </c>
      <c r="GR86" s="2">
        <f>IF(OR(GR56="",GQ56=""),0,--(GR56&lt;&gt;GQ56))</f>
        <v>0</v>
      </c>
      <c r="GS86" s="2">
        <f>IF(OR(GS56="",GR56=""),0,--(GS56&lt;&gt;GR56))</f>
        <v>0</v>
      </c>
      <c r="GY86" s="15">
        <f>SUM($B86:$DB86)</f>
        <v>5</v>
      </c>
    </row>
    <row r="87" spans="1:207">
      <c r="A87" s="2">
        <f>$A57</f>
        <v>22</v>
      </c>
      <c r="B87" s="2">
        <f>0</f>
        <v>0</v>
      </c>
      <c r="C87" s="2">
        <f>IF(OR(C57="",B57=""),0,--(C57&lt;&gt;B57))</f>
        <v>0</v>
      </c>
      <c r="D87" s="2">
        <f>IF(OR(D57="",C57=""),0,--(D57&lt;&gt;C57))</f>
        <v>0</v>
      </c>
      <c r="E87" s="2">
        <f>IF(OR(E57="",D57=""),0,--(E57&lt;&gt;D57))</f>
        <v>0</v>
      </c>
      <c r="F87" s="2">
        <f>IF(OR(F57="",E57=""),0,--(F57&lt;&gt;E57))</f>
        <v>0</v>
      </c>
      <c r="G87" s="2">
        <f>IF(OR(G57="",F57=""),0,--(G57&lt;&gt;F57))</f>
        <v>0</v>
      </c>
      <c r="H87" s="2">
        <f>IF(OR(H57="",G57=""),0,--(H57&lt;&gt;G57))</f>
        <v>0</v>
      </c>
      <c r="I87" s="2">
        <f>IF(OR(I57="",H57=""),0,--(I57&lt;&gt;H57))</f>
        <v>0</v>
      </c>
      <c r="J87" s="2">
        <f>IF(OR(J57="",I57=""),0,--(J57&lt;&gt;I57))</f>
        <v>0</v>
      </c>
      <c r="K87" s="2">
        <f>IF(OR(K57="",J57=""),0,--(K57&lt;&gt;J57))</f>
        <v>0</v>
      </c>
      <c r="L87" s="2">
        <f>IF(OR(L57="",K57=""),0,--(L57&lt;&gt;K57))</f>
        <v>0</v>
      </c>
      <c r="M87" s="2">
        <f>IF(OR(M57="",L57=""),0,--(M57&lt;&gt;L57))</f>
        <v>0</v>
      </c>
      <c r="N87" s="2">
        <f>IF(OR(N57="",M57=""),0,--(N57&lt;&gt;M57))</f>
        <v>0</v>
      </c>
      <c r="O87" s="2">
        <f>IF(OR(O57="",N57=""),0,--(O57&lt;&gt;N57))</f>
        <v>0</v>
      </c>
      <c r="P87" s="2">
        <f>IF(OR(P57="",O57=""),0,--(P57&lt;&gt;O57))</f>
        <v>0</v>
      </c>
      <c r="Q87" s="2">
        <f>IF(OR(Q57="",P57=""),0,--(Q57&lt;&gt;P57))</f>
        <v>0</v>
      </c>
      <c r="R87" s="2">
        <f>IF(OR(R57="",Q57=""),0,--(R57&lt;&gt;Q57))</f>
        <v>0</v>
      </c>
      <c r="S87" s="2">
        <f>IF(OR(S57="",R57=""),0,--(S57&lt;&gt;R57))</f>
        <v>0</v>
      </c>
      <c r="T87" s="2">
        <f>IF(OR(T57="",S57=""),0,--(T57&lt;&gt;S57))</f>
        <v>0</v>
      </c>
      <c r="U87" s="2">
        <f>IF(OR(U57="",T57=""),0,--(U57&lt;&gt;T57))</f>
        <v>0</v>
      </c>
      <c r="V87" s="2">
        <f>IF(OR(V57="",U57=""),0,--(V57&lt;&gt;U57))</f>
        <v>0</v>
      </c>
      <c r="W87" s="2">
        <f>IF(OR(W57="",V57=""),0,--(W57&lt;&gt;V57))</f>
        <v>0</v>
      </c>
      <c r="X87" s="2">
        <f>IF(OR(X57="",W57=""),0,--(X57&lt;&gt;W57))</f>
        <v>0</v>
      </c>
      <c r="Y87" s="2">
        <f>IF(OR(Y57="",X57=""),0,--(Y57&lt;&gt;X57))</f>
        <v>0</v>
      </c>
      <c r="Z87" s="2">
        <f>IF(OR(Z57="",Y57=""),0,--(Z57&lt;&gt;Y57))</f>
        <v>0</v>
      </c>
      <c r="AA87" s="2">
        <f>IF(OR(AA57="",Z57=""),0,--(AA57&lt;&gt;Z57))</f>
        <v>0</v>
      </c>
      <c r="AB87" s="2">
        <f>IF(OR(AB57="",AA57=""),0,--(AB57&lt;&gt;AA57))</f>
        <v>0</v>
      </c>
      <c r="AC87" s="2">
        <f>IF(OR(AC57="",AB57=""),0,--(AC57&lt;&gt;AB57))</f>
        <v>0</v>
      </c>
      <c r="AD87" s="2">
        <f>IF(OR(AD57="",AC57=""),0,--(AD57&lt;&gt;AC57))</f>
        <v>0</v>
      </c>
      <c r="AE87" s="2">
        <f>IF(OR(AE57="",AD57=""),0,--(AE57&lt;&gt;AD57))</f>
        <v>0</v>
      </c>
      <c r="AF87" s="2">
        <f>IF(OR(AF57="",AE57=""),0,--(AF57&lt;&gt;AE57))</f>
        <v>0</v>
      </c>
      <c r="AG87" s="2">
        <f>IF(OR(AG57="",AF57=""),0,--(AG57&lt;&gt;AF57))</f>
        <v>0</v>
      </c>
      <c r="AH87" s="2">
        <f>IF(OR(AH57="",AG57=""),0,--(AH57&lt;&gt;AG57))</f>
        <v>0</v>
      </c>
      <c r="AI87" s="2">
        <f>IF(OR(AI57="",AH57=""),0,--(AI57&lt;&gt;AH57))</f>
        <v>0</v>
      </c>
      <c r="AJ87" s="2">
        <f>IF(OR(AJ57="",AI57=""),0,--(AJ57&lt;&gt;AI57))</f>
        <v>0</v>
      </c>
      <c r="AK87" s="2">
        <f>IF(OR(AK57="",AJ57=""),0,--(AK57&lt;&gt;AJ57))</f>
        <v>0</v>
      </c>
      <c r="AL87" s="2">
        <f>IF(OR(AL57="",AK57=""),0,--(AL57&lt;&gt;AK57))</f>
        <v>0</v>
      </c>
      <c r="AM87" s="2">
        <f>IF(OR(AM57="",AL57=""),0,--(AM57&lt;&gt;AL57))</f>
        <v>0</v>
      </c>
      <c r="AN87" s="2">
        <f>IF(OR(AN57="",AM57=""),0,--(AN57&lt;&gt;AM57))</f>
        <v>0</v>
      </c>
      <c r="AO87" s="2">
        <f>IF(OR(AO57="",AN57=""),0,--(AO57&lt;&gt;AN57))</f>
        <v>0</v>
      </c>
      <c r="AP87" s="2">
        <f>IF(OR(AP57="",AO57=""),0,--(AP57&lt;&gt;AO57))</f>
        <v>0</v>
      </c>
      <c r="AQ87" s="2">
        <f>IF(OR(AQ57="",AP57=""),0,--(AQ57&lt;&gt;AP57))</f>
        <v>0</v>
      </c>
      <c r="AR87" s="2">
        <f>IF(OR(AR57="",AQ57=""),0,--(AR57&lt;&gt;AQ57))</f>
        <v>0</v>
      </c>
      <c r="AS87" s="2">
        <f>IF(OR(AS57="",AR57=""),0,--(AS57&lt;&gt;AR57))</f>
        <v>0</v>
      </c>
      <c r="AT87" s="2">
        <f>IF(OR(AT57="",AS57=""),0,--(AT57&lt;&gt;AS57))</f>
        <v>0</v>
      </c>
      <c r="AU87" s="2">
        <f>IF(OR(AU57="",AT57=""),0,--(AU57&lt;&gt;AT57))</f>
        <v>0</v>
      </c>
      <c r="AV87" s="2">
        <f>IF(OR(AV57="",AU57=""),0,--(AV57&lt;&gt;AU57))</f>
        <v>0</v>
      </c>
      <c r="AW87" s="2">
        <f>IF(OR(AW57="",AV57=""),0,--(AW57&lt;&gt;AV57))</f>
        <v>0</v>
      </c>
      <c r="AX87" s="2">
        <f>IF(OR(AX57="",AW57=""),0,--(AX57&lt;&gt;AW57))</f>
        <v>0</v>
      </c>
      <c r="AY87" s="2">
        <f>IF(OR(AY57="",AX57=""),0,--(AY57&lt;&gt;AX57))</f>
        <v>0</v>
      </c>
      <c r="AZ87" s="2">
        <f>IF(OR(AZ57="",AY57=""),0,--(AZ57&lt;&gt;AY57))</f>
        <v>0</v>
      </c>
      <c r="BA87" s="2">
        <f>IF(OR(BA57="",AZ57=""),0,--(BA57&lt;&gt;AZ57))</f>
        <v>0</v>
      </c>
      <c r="BB87" s="2">
        <f>IF(OR(BB57="",BA57=""),0,--(BB57&lt;&gt;BA57))</f>
        <v>0</v>
      </c>
      <c r="BC87" s="2">
        <f>IF(OR(BC57="",BB57=""),0,--(BC57&lt;&gt;BB57))</f>
        <v>0</v>
      </c>
      <c r="BD87" s="2">
        <f>IF(OR(BD57="",BC57=""),0,--(BD57&lt;&gt;BC57))</f>
        <v>0</v>
      </c>
      <c r="BE87" s="2">
        <f>IF(OR(BE57="",BD57=""),0,--(BE57&lt;&gt;BD57))</f>
        <v>0</v>
      </c>
      <c r="BF87" s="2">
        <f>IF(OR(BF57="",BE57=""),0,--(BF57&lt;&gt;BE57))</f>
        <v>0</v>
      </c>
      <c r="BG87" s="2">
        <f>IF(OR(BG57="",BF57=""),0,--(BG57&lt;&gt;BF57))</f>
        <v>0</v>
      </c>
      <c r="BH87" s="2">
        <f>IF(OR(BH57="",BG57=""),0,--(BH57&lt;&gt;BG57))</f>
        <v>0</v>
      </c>
      <c r="BI87" s="2">
        <f>IF(OR(BI57="",BH57=""),0,--(BI57&lt;&gt;BH57))</f>
        <v>0</v>
      </c>
      <c r="BJ87" s="2">
        <f>IF(OR(BJ57="",BI57=""),0,--(BJ57&lt;&gt;BI57))</f>
        <v>0</v>
      </c>
      <c r="BK87" s="2">
        <f>IF(OR(BK57="",BJ57=""),0,--(BK57&lt;&gt;BJ57))</f>
        <v>0</v>
      </c>
      <c r="BL87" s="2">
        <f>IF(OR(BL57="",BK57=""),0,--(BL57&lt;&gt;BK57))</f>
        <v>0</v>
      </c>
      <c r="BM87" s="2">
        <f>IF(OR(BM57="",BL57=""),0,--(BM57&lt;&gt;BL57))</f>
        <v>0</v>
      </c>
      <c r="BN87" s="2">
        <f>IF(OR(BN57="",BM57=""),0,--(BN57&lt;&gt;BM57))</f>
        <v>0</v>
      </c>
      <c r="BO87" s="2">
        <f>IF(OR(BO57="",BN57=""),0,--(BO57&lt;&gt;BN57))</f>
        <v>0</v>
      </c>
      <c r="BP87" s="2">
        <f>IF(OR(BP57="",BO57=""),0,--(BP57&lt;&gt;BO57))</f>
        <v>0</v>
      </c>
      <c r="BQ87" s="2">
        <f>IF(OR(BQ57="",BP57=""),0,--(BQ57&lt;&gt;BP57))</f>
        <v>0</v>
      </c>
      <c r="BR87" s="2">
        <f>IF(OR(BR57="",BQ57=""),0,--(BR57&lt;&gt;BQ57))</f>
        <v>0</v>
      </c>
      <c r="BS87" s="2">
        <f>IF(OR(BS57="",BR57=""),0,--(BS57&lt;&gt;BR57))</f>
        <v>0</v>
      </c>
      <c r="BT87" s="2">
        <f>IF(OR(BT57="",BS57=""),0,--(BT57&lt;&gt;BS57))</f>
        <v>1</v>
      </c>
      <c r="BU87" s="2">
        <f>IF(OR(BU57="",BT57=""),0,--(BU57&lt;&gt;BT57))</f>
        <v>0</v>
      </c>
      <c r="BV87" s="2">
        <f>IF(OR(BV57="",BU57=""),0,--(BV57&lt;&gt;BU57))</f>
        <v>0</v>
      </c>
      <c r="BW87" s="2">
        <f>IF(OR(BW57="",BV57=""),0,--(BW57&lt;&gt;BV57))</f>
        <v>0</v>
      </c>
      <c r="BX87" s="2">
        <f>IF(OR(BX57="",BW57=""),0,--(BX57&lt;&gt;BW57))</f>
        <v>0</v>
      </c>
      <c r="BY87" s="2">
        <f>IF(OR(BY57="",BX57=""),0,--(BY57&lt;&gt;BX57))</f>
        <v>0</v>
      </c>
      <c r="BZ87" s="2">
        <f>IF(OR(BZ57="",BY57=""),0,--(BZ57&lt;&gt;BY57))</f>
        <v>0</v>
      </c>
      <c r="CA87" s="2">
        <f>IF(OR(CA57="",BZ57=""),0,--(CA57&lt;&gt;BZ57))</f>
        <v>0</v>
      </c>
      <c r="CB87" s="2">
        <f>IF(OR(CB57="",CA57=""),0,--(CB57&lt;&gt;CA57))</f>
        <v>0</v>
      </c>
      <c r="CC87" s="2">
        <f>IF(OR(CC57="",CB57=""),0,--(CC57&lt;&gt;CB57))</f>
        <v>0</v>
      </c>
      <c r="CD87" s="2">
        <f>IF(OR(CD57="",CC57=""),0,--(CD57&lt;&gt;CC57))</f>
        <v>0</v>
      </c>
      <c r="CE87" s="2">
        <f>IF(OR(CE57="",CD57=""),0,--(CE57&lt;&gt;CD57))</f>
        <v>0</v>
      </c>
      <c r="CF87" s="2">
        <f>IF(OR(CF57="",CE57=""),0,--(CF57&lt;&gt;CE57))</f>
        <v>0</v>
      </c>
      <c r="CG87" s="2">
        <f>IF(OR(CG57="",CF57=""),0,--(CG57&lt;&gt;CF57))</f>
        <v>0</v>
      </c>
      <c r="CH87" s="2">
        <f>IF(OR(CH57="",CG57=""),0,--(CH57&lt;&gt;CG57))</f>
        <v>0</v>
      </c>
      <c r="CI87" s="2">
        <f>IF(OR(CI57="",CH57=""),0,--(CI57&lt;&gt;CH57))</f>
        <v>0</v>
      </c>
      <c r="CJ87" s="2">
        <f>IF(OR(CJ57="",CI57=""),0,--(CJ57&lt;&gt;CI57))</f>
        <v>0</v>
      </c>
      <c r="CK87" s="2">
        <f>IF(OR(CK57="",CJ57=""),0,--(CK57&lt;&gt;CJ57))</f>
        <v>0</v>
      </c>
      <c r="CL87" s="2">
        <f>IF(OR(CL57="",CK57=""),0,--(CL57&lt;&gt;CK57))</f>
        <v>0</v>
      </c>
      <c r="CM87" s="2">
        <f>IF(OR(CM57="",CL57=""),0,--(CM57&lt;&gt;CL57))</f>
        <v>0</v>
      </c>
      <c r="CN87" s="2">
        <f>IF(OR(CN57="",CM57=""),0,--(CN57&lt;&gt;CM57))</f>
        <v>0</v>
      </c>
      <c r="CO87" s="2">
        <f>IF(OR(CO57="",CN57=""),0,--(CO57&lt;&gt;CN57))</f>
        <v>0</v>
      </c>
      <c r="CP87" s="2">
        <f>IF(OR(CP57="",CO57=""),0,--(CP57&lt;&gt;CO57))</f>
        <v>0</v>
      </c>
      <c r="CQ87" s="2">
        <f>IF(OR(CQ57="",CP57=""),0,--(CQ57&lt;&gt;CP57))</f>
        <v>0</v>
      </c>
      <c r="CR87" s="2">
        <f>IF(OR(CR57="",CQ57=""),0,--(CR57&lt;&gt;CQ57))</f>
        <v>0</v>
      </c>
      <c r="CS87" s="2">
        <f>IF(OR(CS57="",CR57=""),0,--(CS57&lt;&gt;CR57))</f>
        <v>0</v>
      </c>
      <c r="CT87" s="2">
        <f>IF(OR(CT57="",CS57=""),0,--(CT57&lt;&gt;CS57))</f>
        <v>0</v>
      </c>
      <c r="CU87" s="2">
        <f>IF(OR(CU57="",CT57=""),0,--(CU57&lt;&gt;CT57))</f>
        <v>0</v>
      </c>
      <c r="CV87" s="2">
        <f>IF(OR(CV57="",CU57=""),0,--(CV57&lt;&gt;CU57))</f>
        <v>0</v>
      </c>
      <c r="CW87" s="2">
        <f>IF(OR(CW57="",CV57=""),0,--(CW57&lt;&gt;CV57))</f>
        <v>0</v>
      </c>
      <c r="CX87" s="2">
        <f>IF(OR(CX57="",CW57=""),0,--(CX57&lt;&gt;CW57))</f>
        <v>0</v>
      </c>
      <c r="CY87" s="2">
        <f>IF(OR(CY57="",CX57=""),0,--(CY57&lt;&gt;CX57))</f>
        <v>0</v>
      </c>
      <c r="CZ87" s="2">
        <f>IF(OR(CZ57="",CY57=""),0,--(CZ57&lt;&gt;CY57))</f>
        <v>0</v>
      </c>
      <c r="DA87" s="2">
        <f>IF(OR(DA57="",CZ57=""),0,--(DA57&lt;&gt;CZ57))</f>
        <v>0</v>
      </c>
      <c r="DB87" s="2">
        <f>IF(OR(DB57="",DA57=""),0,--(DB57&lt;&gt;DA57))</f>
        <v>0</v>
      </c>
      <c r="DC87" s="2">
        <f>IF(OR(DC57="",DB57=""),0,--(DC57&lt;&gt;DB57))</f>
        <v>0</v>
      </c>
      <c r="DD87" s="2">
        <f>IF(OR(DD57="",DC57=""),0,--(DD57&lt;&gt;DC57))</f>
        <v>0</v>
      </c>
      <c r="DE87" s="2">
        <f>IF(OR(DE57="",DD57=""),0,--(DE57&lt;&gt;DD57))</f>
        <v>0</v>
      </c>
      <c r="DF87" s="2">
        <f>IF(OR(DF57="",DE57=""),0,--(DF57&lt;&gt;DE57))</f>
        <v>0</v>
      </c>
      <c r="DG87" s="2">
        <f>IF(OR(DG57="",DF57=""),0,--(DG57&lt;&gt;DF57))</f>
        <v>0</v>
      </c>
      <c r="DH87" s="2">
        <f>IF(OR(DH57="",DG57=""),0,--(DH57&lt;&gt;DG57))</f>
        <v>0</v>
      </c>
      <c r="DI87" s="2">
        <f>IF(OR(DI57="",DH57=""),0,--(DI57&lt;&gt;DH57))</f>
        <v>0</v>
      </c>
      <c r="DJ87" s="2">
        <f>IF(OR(DJ57="",DI57=""),0,--(DJ57&lt;&gt;DI57))</f>
        <v>0</v>
      </c>
      <c r="DK87" s="2">
        <f>IF(OR(DK57="",DJ57=""),0,--(DK57&lt;&gt;DJ57))</f>
        <v>0</v>
      </c>
      <c r="DL87" s="2">
        <f>IF(OR(DL57="",DK57=""),0,--(DL57&lt;&gt;DK57))</f>
        <v>0</v>
      </c>
      <c r="DM87" s="2">
        <f>IF(OR(DM57="",DL57=""),0,--(DM57&lt;&gt;DL57))</f>
        <v>0</v>
      </c>
      <c r="DN87" s="2">
        <f>IF(OR(DN57="",DM57=""),0,--(DN57&lt;&gt;DM57))</f>
        <v>0</v>
      </c>
      <c r="DO87" s="2">
        <f>IF(OR(DO57="",DN57=""),0,--(DO57&lt;&gt;DN57))</f>
        <v>0</v>
      </c>
      <c r="DP87" s="2">
        <f>IF(OR(DP57="",DO57=""),0,--(DP57&lt;&gt;DO57))</f>
        <v>0</v>
      </c>
      <c r="DQ87" s="2">
        <f>IF(OR(DQ57="",DP57=""),0,--(DQ57&lt;&gt;DP57))</f>
        <v>0</v>
      </c>
      <c r="DR87" s="2">
        <f>IF(OR(DR57="",DQ57=""),0,--(DR57&lt;&gt;DQ57))</f>
        <v>0</v>
      </c>
      <c r="DS87" s="2">
        <f>IF(OR(DS57="",DR57=""),0,--(DS57&lt;&gt;DR57))</f>
        <v>0</v>
      </c>
      <c r="DT87" s="2">
        <f>IF(OR(DT57="",DS57=""),0,--(DT57&lt;&gt;DS57))</f>
        <v>0</v>
      </c>
      <c r="DU87" s="2">
        <f>IF(OR(DU57="",DT57=""),0,--(DU57&lt;&gt;DT57))</f>
        <v>0</v>
      </c>
      <c r="DV87" s="2">
        <f>IF(OR(DV57="",DU57=""),0,--(DV57&lt;&gt;DU57))</f>
        <v>0</v>
      </c>
      <c r="DW87" s="2">
        <f>IF(OR(DW57="",DV57=""),0,--(DW57&lt;&gt;DV57))</f>
        <v>0</v>
      </c>
      <c r="DX87" s="2">
        <f>IF(OR(DX57="",DW57=""),0,--(DX57&lt;&gt;DW57))</f>
        <v>0</v>
      </c>
      <c r="DY87" s="2">
        <f>IF(OR(DY57="",DX57=""),0,--(DY57&lt;&gt;DX57))</f>
        <v>0</v>
      </c>
      <c r="DZ87" s="2">
        <f>IF(OR(DZ57="",DY57=""),0,--(DZ57&lt;&gt;DY57))</f>
        <v>0</v>
      </c>
      <c r="EA87" s="2">
        <f>IF(OR(EA57="",DZ57=""),0,--(EA57&lt;&gt;DZ57))</f>
        <v>0</v>
      </c>
      <c r="EB87" s="2">
        <f>IF(OR(EB57="",EA57=""),0,--(EB57&lt;&gt;EA57))</f>
        <v>0</v>
      </c>
      <c r="EC87" s="2">
        <f>IF(OR(EC57="",EB57=""),0,--(EC57&lt;&gt;EB57))</f>
        <v>0</v>
      </c>
      <c r="ED87" s="2">
        <f>IF(OR(ED57="",EC57=""),0,--(ED57&lt;&gt;EC57))</f>
        <v>0</v>
      </c>
      <c r="EE87" s="2">
        <f>IF(OR(EE57="",ED57=""),0,--(EE57&lt;&gt;ED57))</f>
        <v>0</v>
      </c>
      <c r="EF87" s="2">
        <f>IF(OR(EF57="",EE57=""),0,--(EF57&lt;&gt;EE57))</f>
        <v>0</v>
      </c>
      <c r="EG87" s="2">
        <f>IF(OR(EG57="",EF57=""),0,--(EG57&lt;&gt;EF57))</f>
        <v>0</v>
      </c>
      <c r="EH87" s="2">
        <f>IF(OR(EH57="",EG57=""),0,--(EH57&lt;&gt;EG57))</f>
        <v>0</v>
      </c>
      <c r="EI87" s="2">
        <f>IF(OR(EI57="",EH57=""),0,--(EI57&lt;&gt;EH57))</f>
        <v>0</v>
      </c>
      <c r="EJ87" s="2">
        <f>IF(OR(EJ57="",EI57=""),0,--(EJ57&lt;&gt;EI57))</f>
        <v>0</v>
      </c>
      <c r="EK87" s="2">
        <f>IF(OR(EK57="",EJ57=""),0,--(EK57&lt;&gt;EJ57))</f>
        <v>0</v>
      </c>
      <c r="EL87" s="2">
        <f>IF(OR(EL57="",EK57=""),0,--(EL57&lt;&gt;EK57))</f>
        <v>0</v>
      </c>
      <c r="EM87" s="2">
        <f>IF(OR(EM57="",EL57=""),0,--(EM57&lt;&gt;EL57))</f>
        <v>0</v>
      </c>
      <c r="EN87" s="2">
        <f>IF(OR(EN57="",EM57=""),0,--(EN57&lt;&gt;EM57))</f>
        <v>0</v>
      </c>
      <c r="EO87" s="2">
        <f>IF(OR(EO57="",EN57=""),0,--(EO57&lt;&gt;EN57))</f>
        <v>0</v>
      </c>
      <c r="EP87" s="2">
        <f>IF(OR(EP57="",EO57=""),0,--(EP57&lt;&gt;EO57))</f>
        <v>0</v>
      </c>
      <c r="EQ87" s="2">
        <f>IF(OR(EQ57="",EP57=""),0,--(EQ57&lt;&gt;EP57))</f>
        <v>0</v>
      </c>
      <c r="ER87" s="2">
        <f>IF(OR(ER57="",EQ57=""),0,--(ER57&lt;&gt;EQ57))</f>
        <v>0</v>
      </c>
      <c r="ES87" s="2">
        <f>IF(OR(ES57="",ER57=""),0,--(ES57&lt;&gt;ER57))</f>
        <v>0</v>
      </c>
      <c r="ET87" s="2">
        <f>IF(OR(ET57="",ES57=""),0,--(ET57&lt;&gt;ES57))</f>
        <v>0</v>
      </c>
      <c r="EU87" s="2">
        <f>IF(OR(EU57="",ET57=""),0,--(EU57&lt;&gt;ET57))</f>
        <v>0</v>
      </c>
      <c r="EV87" s="2">
        <f>IF(OR(EV57="",EU57=""),0,--(EV57&lt;&gt;EU57))</f>
        <v>0</v>
      </c>
      <c r="EW87" s="2">
        <f>IF(OR(EW57="",EV57=""),0,--(EW57&lt;&gt;EV57))</f>
        <v>0</v>
      </c>
      <c r="EX87" s="2">
        <f>IF(OR(EX57="",EW57=""),0,--(EX57&lt;&gt;EW57))</f>
        <v>0</v>
      </c>
      <c r="EY87" s="2">
        <f>IF(OR(EY57="",EX57=""),0,--(EY57&lt;&gt;EX57))</f>
        <v>0</v>
      </c>
      <c r="EZ87" s="2">
        <f>IF(OR(EZ57="",EY57=""),0,--(EZ57&lt;&gt;EY57))</f>
        <v>0</v>
      </c>
      <c r="FA87" s="2">
        <f>IF(OR(FA57="",EZ57=""),0,--(FA57&lt;&gt;EZ57))</f>
        <v>0</v>
      </c>
      <c r="FB87" s="2">
        <f>IF(OR(FB57="",FA57=""),0,--(FB57&lt;&gt;FA57))</f>
        <v>0</v>
      </c>
      <c r="FC87" s="2">
        <f>IF(OR(FC57="",FB57=""),0,--(FC57&lt;&gt;FB57))</f>
        <v>0</v>
      </c>
      <c r="FD87" s="2">
        <f>IF(OR(FD57="",FC57=""),0,--(FD57&lt;&gt;FC57))</f>
        <v>0</v>
      </c>
      <c r="FE87" s="2">
        <f>IF(OR(FE57="",FD57=""),0,--(FE57&lt;&gt;FD57))</f>
        <v>0</v>
      </c>
      <c r="FF87" s="2">
        <f>IF(OR(FF57="",FE57=""),0,--(FF57&lt;&gt;FE57))</f>
        <v>0</v>
      </c>
      <c r="FG87" s="2">
        <f>IF(OR(FG57="",FF57=""),0,--(FG57&lt;&gt;FF57))</f>
        <v>0</v>
      </c>
      <c r="FH87" s="2">
        <f>IF(OR(FH57="",FG57=""),0,--(FH57&lt;&gt;FG57))</f>
        <v>0</v>
      </c>
      <c r="FI87" s="2">
        <f>IF(OR(FI57="",FH57=""),0,--(FI57&lt;&gt;FH57))</f>
        <v>0</v>
      </c>
      <c r="FJ87" s="2">
        <f>IF(OR(FJ57="",FI57=""),0,--(FJ57&lt;&gt;FI57))</f>
        <v>0</v>
      </c>
      <c r="FK87" s="2">
        <f>IF(OR(FK57="",FJ57=""),0,--(FK57&lt;&gt;FJ57))</f>
        <v>0</v>
      </c>
      <c r="FL87" s="2">
        <f>IF(OR(FL57="",FK57=""),0,--(FL57&lt;&gt;FK57))</f>
        <v>0</v>
      </c>
      <c r="FM87" s="2">
        <f>IF(OR(FM57="",FL57=""),0,--(FM57&lt;&gt;FL57))</f>
        <v>0</v>
      </c>
      <c r="FN87" s="2">
        <f>IF(OR(FN57="",FM57=""),0,--(FN57&lt;&gt;FM57))</f>
        <v>0</v>
      </c>
      <c r="FO87" s="2">
        <f>IF(OR(FO57="",FN57=""),0,--(FO57&lt;&gt;FN57))</f>
        <v>0</v>
      </c>
      <c r="FP87" s="2">
        <f>IF(OR(FP57="",FO57=""),0,--(FP57&lt;&gt;FO57))</f>
        <v>0</v>
      </c>
      <c r="FQ87" s="2">
        <f>IF(OR(FQ57="",FP57=""),0,--(FQ57&lt;&gt;FP57))</f>
        <v>0</v>
      </c>
      <c r="FR87" s="2">
        <f>IF(OR(FR57="",FQ57=""),0,--(FR57&lt;&gt;FQ57))</f>
        <v>0</v>
      </c>
      <c r="FS87" s="2">
        <f>IF(OR(FS57="",FR57=""),0,--(FS57&lt;&gt;FR57))</f>
        <v>0</v>
      </c>
      <c r="FT87" s="2">
        <f>IF(OR(FT57="",FS57=""),0,--(FT57&lt;&gt;FS57))</f>
        <v>0</v>
      </c>
      <c r="FU87" s="2">
        <f>IF(OR(FU57="",FT57=""),0,--(FU57&lt;&gt;FT57))</f>
        <v>0</v>
      </c>
      <c r="FV87" s="2">
        <f>IF(OR(FV57="",FU57=""),0,--(FV57&lt;&gt;FU57))</f>
        <v>0</v>
      </c>
      <c r="FW87" s="2">
        <f>IF(OR(FW57="",FV57=""),0,--(FW57&lt;&gt;FV57))</f>
        <v>0</v>
      </c>
      <c r="FX87" s="2">
        <f>IF(OR(FX57="",FW57=""),0,--(FX57&lt;&gt;FW57))</f>
        <v>0</v>
      </c>
      <c r="FY87" s="2">
        <f>IF(OR(FY57="",FX57=""),0,--(FY57&lt;&gt;FX57))</f>
        <v>0</v>
      </c>
      <c r="FZ87" s="2">
        <f>IF(OR(FZ57="",FY57=""),0,--(FZ57&lt;&gt;FY57))</f>
        <v>0</v>
      </c>
      <c r="GA87" s="2">
        <f>IF(OR(GA57="",FZ57=""),0,--(GA57&lt;&gt;FZ57))</f>
        <v>0</v>
      </c>
      <c r="GB87" s="2">
        <f>IF(OR(GB57="",GA57=""),0,--(GB57&lt;&gt;GA57))</f>
        <v>0</v>
      </c>
      <c r="GC87" s="2">
        <f>IF(OR(GC57="",GB57=""),0,--(GC57&lt;&gt;GB57))</f>
        <v>0</v>
      </c>
      <c r="GD87" s="2">
        <f>IF(OR(GD57="",GC57=""),0,--(GD57&lt;&gt;GC57))</f>
        <v>0</v>
      </c>
      <c r="GE87" s="2">
        <f>IF(OR(GE57="",GD57=""),0,--(GE57&lt;&gt;GD57))</f>
        <v>0</v>
      </c>
      <c r="GF87" s="2">
        <f>IF(OR(GF57="",GE57=""),0,--(GF57&lt;&gt;GE57))</f>
        <v>0</v>
      </c>
      <c r="GG87" s="2">
        <f>IF(OR(GG57="",GF57=""),0,--(GG57&lt;&gt;GF57))</f>
        <v>0</v>
      </c>
      <c r="GH87" s="2">
        <f>IF(OR(GH57="",GG57=""),0,--(GH57&lt;&gt;GG57))</f>
        <v>0</v>
      </c>
      <c r="GI87" s="2">
        <f>IF(OR(GI57="",GH57=""),0,--(GI57&lt;&gt;GH57))</f>
        <v>0</v>
      </c>
      <c r="GJ87" s="2">
        <f>IF(OR(GJ57="",GI57=""),0,--(GJ57&lt;&gt;GI57))</f>
        <v>0</v>
      </c>
      <c r="GK87" s="2">
        <f>IF(OR(GK57="",GJ57=""),0,--(GK57&lt;&gt;GJ57))</f>
        <v>0</v>
      </c>
      <c r="GL87" s="2">
        <f>IF(OR(GL57="",GK57=""),0,--(GL57&lt;&gt;GK57))</f>
        <v>0</v>
      </c>
      <c r="GM87" s="2">
        <f>IF(OR(GM57="",GL57=""),0,--(GM57&lt;&gt;GL57))</f>
        <v>0</v>
      </c>
      <c r="GN87" s="2">
        <f>IF(OR(GN57="",GM57=""),0,--(GN57&lt;&gt;GM57))</f>
        <v>0</v>
      </c>
      <c r="GO87" s="2">
        <f>IF(OR(GO57="",GN57=""),0,--(GO57&lt;&gt;GN57))</f>
        <v>0</v>
      </c>
      <c r="GP87" s="2">
        <f>IF(OR(GP57="",GO57=""),0,--(GP57&lt;&gt;GO57))</f>
        <v>0</v>
      </c>
      <c r="GQ87" s="2">
        <f>IF(OR(GQ57="",GP57=""),0,--(GQ57&lt;&gt;GP57))</f>
        <v>0</v>
      </c>
      <c r="GR87" s="2">
        <f>IF(OR(GR57="",GQ57=""),0,--(GR57&lt;&gt;GQ57))</f>
        <v>0</v>
      </c>
      <c r="GS87" s="2">
        <f>IF(OR(GS57="",GR57=""),0,--(GS57&lt;&gt;GR57))</f>
        <v>0</v>
      </c>
      <c r="GY87" s="15">
        <f>SUM($B87:$DB87)</f>
        <v>1</v>
      </c>
    </row>
    <row r="88" spans="1:207">
      <c r="A88" s="2">
        <f>$A58</f>
        <v>23</v>
      </c>
      <c r="B88" s="2">
        <f>0</f>
        <v>0</v>
      </c>
      <c r="C88" s="2">
        <f>IF(OR(C58="",B58=""),0,--(C58&lt;&gt;B58))</f>
        <v>0</v>
      </c>
      <c r="D88" s="2">
        <f>IF(OR(D58="",C58=""),0,--(D58&lt;&gt;C58))</f>
        <v>0</v>
      </c>
      <c r="E88" s="2">
        <f>IF(OR(E58="",D58=""),0,--(E58&lt;&gt;D58))</f>
        <v>0</v>
      </c>
      <c r="F88" s="2">
        <f>IF(OR(F58="",E58=""),0,--(F58&lt;&gt;E58))</f>
        <v>0</v>
      </c>
      <c r="G88" s="2">
        <f>IF(OR(G58="",F58=""),0,--(G58&lt;&gt;F58))</f>
        <v>0</v>
      </c>
      <c r="H88" s="2">
        <f>IF(OR(H58="",G58=""),0,--(H58&lt;&gt;G58))</f>
        <v>0</v>
      </c>
      <c r="I88" s="2">
        <f>IF(OR(I58="",H58=""),0,--(I58&lt;&gt;H58))</f>
        <v>0</v>
      </c>
      <c r="J88" s="2">
        <f>IF(OR(J58="",I58=""),0,--(J58&lt;&gt;I58))</f>
        <v>0</v>
      </c>
      <c r="K88" s="2">
        <f>IF(OR(K58="",J58=""),0,--(K58&lt;&gt;J58))</f>
        <v>0</v>
      </c>
      <c r="L88" s="2">
        <f>IF(OR(L58="",K58=""),0,--(L58&lt;&gt;K58))</f>
        <v>0</v>
      </c>
      <c r="M88" s="2">
        <f>IF(OR(M58="",L58=""),0,--(M58&lt;&gt;L58))</f>
        <v>0</v>
      </c>
      <c r="N88" s="2">
        <f>IF(OR(N58="",M58=""),0,--(N58&lt;&gt;M58))</f>
        <v>0</v>
      </c>
      <c r="O88" s="2">
        <f>IF(OR(O58="",N58=""),0,--(O58&lt;&gt;N58))</f>
        <v>0</v>
      </c>
      <c r="P88" s="2">
        <f>IF(OR(P58="",O58=""),0,--(P58&lt;&gt;O58))</f>
        <v>0</v>
      </c>
      <c r="Q88" s="2">
        <f>IF(OR(Q58="",P58=""),0,--(Q58&lt;&gt;P58))</f>
        <v>0</v>
      </c>
      <c r="R88" s="2">
        <f>IF(OR(R58="",Q58=""),0,--(R58&lt;&gt;Q58))</f>
        <v>0</v>
      </c>
      <c r="S88" s="2">
        <f>IF(OR(S58="",R58=""),0,--(S58&lt;&gt;R58))</f>
        <v>0</v>
      </c>
      <c r="T88" s="2">
        <f>IF(OR(T58="",S58=""),0,--(T58&lt;&gt;S58))</f>
        <v>0</v>
      </c>
      <c r="U88" s="2">
        <f>IF(OR(U58="",T58=""),0,--(U58&lt;&gt;T58))</f>
        <v>0</v>
      </c>
      <c r="V88" s="2">
        <f>IF(OR(V58="",U58=""),0,--(V58&lt;&gt;U58))</f>
        <v>0</v>
      </c>
      <c r="W88" s="2">
        <f>IF(OR(W58="",V58=""),0,--(W58&lt;&gt;V58))</f>
        <v>0</v>
      </c>
      <c r="X88" s="2">
        <f>IF(OR(X58="",W58=""),0,--(X58&lt;&gt;W58))</f>
        <v>0</v>
      </c>
      <c r="Y88" s="2">
        <f>IF(OR(Y58="",X58=""),0,--(Y58&lt;&gt;X58))</f>
        <v>0</v>
      </c>
      <c r="Z88" s="2">
        <f>IF(OR(Z58="",Y58=""),0,--(Z58&lt;&gt;Y58))</f>
        <v>0</v>
      </c>
      <c r="AA88" s="2">
        <f>IF(OR(AA58="",Z58=""),0,--(AA58&lt;&gt;Z58))</f>
        <v>0</v>
      </c>
      <c r="AB88" s="2">
        <f>IF(OR(AB58="",AA58=""),0,--(AB58&lt;&gt;AA58))</f>
        <v>0</v>
      </c>
      <c r="AC88" s="2">
        <f>IF(OR(AC58="",AB58=""),0,--(AC58&lt;&gt;AB58))</f>
        <v>0</v>
      </c>
      <c r="AD88" s="2">
        <f>IF(OR(AD58="",AC58=""),0,--(AD58&lt;&gt;AC58))</f>
        <v>0</v>
      </c>
      <c r="AE88" s="2">
        <f>IF(OR(AE58="",AD58=""),0,--(AE58&lt;&gt;AD58))</f>
        <v>0</v>
      </c>
      <c r="AF88" s="2">
        <f>IF(OR(AF58="",AE58=""),0,--(AF58&lt;&gt;AE58))</f>
        <v>0</v>
      </c>
      <c r="AG88" s="2">
        <f>IF(OR(AG58="",AF58=""),0,--(AG58&lt;&gt;AF58))</f>
        <v>0</v>
      </c>
      <c r="AH88" s="2">
        <f>IF(OR(AH58="",AG58=""),0,--(AH58&lt;&gt;AG58))</f>
        <v>0</v>
      </c>
      <c r="AI88" s="2">
        <f>IF(OR(AI58="",AH58=""),0,--(AI58&lt;&gt;AH58))</f>
        <v>0</v>
      </c>
      <c r="AJ88" s="2">
        <f>IF(OR(AJ58="",AI58=""),0,--(AJ58&lt;&gt;AI58))</f>
        <v>0</v>
      </c>
      <c r="AK88" s="2">
        <f>IF(OR(AK58="",AJ58=""),0,--(AK58&lt;&gt;AJ58))</f>
        <v>0</v>
      </c>
      <c r="AL88" s="2">
        <f>IF(OR(AL58="",AK58=""),0,--(AL58&lt;&gt;AK58))</f>
        <v>1</v>
      </c>
      <c r="AM88" s="2">
        <f>IF(OR(AM58="",AL58=""),0,--(AM58&lt;&gt;AL58))</f>
        <v>1</v>
      </c>
      <c r="AN88" s="2">
        <f>IF(OR(AN58="",AM58=""),0,--(AN58&lt;&gt;AM58))</f>
        <v>0</v>
      </c>
      <c r="AO88" s="2">
        <f>IF(OR(AO58="",AN58=""),0,--(AO58&lt;&gt;AN58))</f>
        <v>0</v>
      </c>
      <c r="AP88" s="2">
        <f>IF(OR(AP58="",AO58=""),0,--(AP58&lt;&gt;AO58))</f>
        <v>0</v>
      </c>
      <c r="AQ88" s="2">
        <f>IF(OR(AQ58="",AP58=""),0,--(AQ58&lt;&gt;AP58))</f>
        <v>0</v>
      </c>
      <c r="AR88" s="2">
        <f>IF(OR(AR58="",AQ58=""),0,--(AR58&lt;&gt;AQ58))</f>
        <v>0</v>
      </c>
      <c r="AS88" s="2">
        <f>IF(OR(AS58="",AR58=""),0,--(AS58&lt;&gt;AR58))</f>
        <v>0</v>
      </c>
      <c r="AT88" s="2">
        <f>IF(OR(AT58="",AS58=""),0,--(AT58&lt;&gt;AS58))</f>
        <v>0</v>
      </c>
      <c r="AU88" s="2">
        <f>IF(OR(AU58="",AT58=""),0,--(AU58&lt;&gt;AT58))</f>
        <v>0</v>
      </c>
      <c r="AV88" s="2">
        <f>IF(OR(AV58="",AU58=""),0,--(AV58&lt;&gt;AU58))</f>
        <v>0</v>
      </c>
      <c r="AW88" s="2">
        <f>IF(OR(AW58="",AV58=""),0,--(AW58&lt;&gt;AV58))</f>
        <v>0</v>
      </c>
      <c r="AX88" s="2">
        <f>IF(OR(AX58="",AW58=""),0,--(AX58&lt;&gt;AW58))</f>
        <v>0</v>
      </c>
      <c r="AY88" s="2">
        <f>IF(OR(AY58="",AX58=""),0,--(AY58&lt;&gt;AX58))</f>
        <v>0</v>
      </c>
      <c r="AZ88" s="2">
        <f>IF(OR(AZ58="",AY58=""),0,--(AZ58&lt;&gt;AY58))</f>
        <v>0</v>
      </c>
      <c r="BA88" s="2">
        <f>IF(OR(BA58="",AZ58=""),0,--(BA58&lt;&gt;AZ58))</f>
        <v>0</v>
      </c>
      <c r="BB88" s="2">
        <f>IF(OR(BB58="",BA58=""),0,--(BB58&lt;&gt;BA58))</f>
        <v>0</v>
      </c>
      <c r="BC88" s="2">
        <f>IF(OR(BC58="",BB58=""),0,--(BC58&lt;&gt;BB58))</f>
        <v>1</v>
      </c>
      <c r="BD88" s="2">
        <f>IF(OR(BD58="",BC58=""),0,--(BD58&lt;&gt;BC58))</f>
        <v>1</v>
      </c>
      <c r="BE88" s="2">
        <f>IF(OR(BE58="",BD58=""),0,--(BE58&lt;&gt;BD58))</f>
        <v>0</v>
      </c>
      <c r="BF88" s="2">
        <f>IF(OR(BF58="",BE58=""),0,--(BF58&lt;&gt;BE58))</f>
        <v>0</v>
      </c>
      <c r="BG88" s="2">
        <f>IF(OR(BG58="",BF58=""),0,--(BG58&lt;&gt;BF58))</f>
        <v>0</v>
      </c>
      <c r="BH88" s="2">
        <f>IF(OR(BH58="",BG58=""),0,--(BH58&lt;&gt;BG58))</f>
        <v>0</v>
      </c>
      <c r="BI88" s="2">
        <f>IF(OR(BI58="",BH58=""),0,--(BI58&lt;&gt;BH58))</f>
        <v>0</v>
      </c>
      <c r="BJ88" s="2">
        <f>IF(OR(BJ58="",BI58=""),0,--(BJ58&lt;&gt;BI58))</f>
        <v>0</v>
      </c>
      <c r="BK88" s="2">
        <f>IF(OR(BK58="",BJ58=""),0,--(BK58&lt;&gt;BJ58))</f>
        <v>1</v>
      </c>
      <c r="BL88" s="2">
        <f>IF(OR(BL58="",BK58=""),0,--(BL58&lt;&gt;BK58))</f>
        <v>0</v>
      </c>
      <c r="BM88" s="2">
        <f>IF(OR(BM58="",BL58=""),0,--(BM58&lt;&gt;BL58))</f>
        <v>0</v>
      </c>
      <c r="BN88" s="2">
        <f>IF(OR(BN58="",BM58=""),0,--(BN58&lt;&gt;BM58))</f>
        <v>0</v>
      </c>
      <c r="BO88" s="2">
        <f>IF(OR(BO58="",BN58=""),0,--(BO58&lt;&gt;BN58))</f>
        <v>0</v>
      </c>
      <c r="BP88" s="2">
        <f>IF(OR(BP58="",BO58=""),0,--(BP58&lt;&gt;BO58))</f>
        <v>0</v>
      </c>
      <c r="BQ88" s="2">
        <f>IF(OR(BQ58="",BP58=""),0,--(BQ58&lt;&gt;BP58))</f>
        <v>0</v>
      </c>
      <c r="BR88" s="2">
        <f>IF(OR(BR58="",BQ58=""),0,--(BR58&lt;&gt;BQ58))</f>
        <v>0</v>
      </c>
      <c r="BS88" s="2">
        <f>IF(OR(BS58="",BR58=""),0,--(BS58&lt;&gt;BR58))</f>
        <v>0</v>
      </c>
      <c r="BT88" s="2">
        <f>IF(OR(BT58="",BS58=""),0,--(BT58&lt;&gt;BS58))</f>
        <v>0</v>
      </c>
      <c r="BU88" s="2">
        <f>IF(OR(BU58="",BT58=""),0,--(BU58&lt;&gt;BT58))</f>
        <v>0</v>
      </c>
      <c r="BV88" s="2">
        <f>IF(OR(BV58="",BU58=""),0,--(BV58&lt;&gt;BU58))</f>
        <v>0</v>
      </c>
      <c r="BW88" s="2">
        <f>IF(OR(BW58="",BV58=""),0,--(BW58&lt;&gt;BV58))</f>
        <v>0</v>
      </c>
      <c r="BX88" s="2">
        <f>IF(OR(BX58="",BW58=""),0,--(BX58&lt;&gt;BW58))</f>
        <v>0</v>
      </c>
      <c r="BY88" s="2">
        <f>IF(OR(BY58="",BX58=""),0,--(BY58&lt;&gt;BX58))</f>
        <v>0</v>
      </c>
      <c r="BZ88" s="2">
        <f>IF(OR(BZ58="",BY58=""),0,--(BZ58&lt;&gt;BY58))</f>
        <v>0</v>
      </c>
      <c r="CA88" s="2">
        <f>IF(OR(CA58="",BZ58=""),0,--(CA58&lt;&gt;BZ58))</f>
        <v>0</v>
      </c>
      <c r="CB88" s="2">
        <f>IF(OR(CB58="",CA58=""),0,--(CB58&lt;&gt;CA58))</f>
        <v>0</v>
      </c>
      <c r="CC88" s="2">
        <f>IF(OR(CC58="",CB58=""),0,--(CC58&lt;&gt;CB58))</f>
        <v>0</v>
      </c>
      <c r="CD88" s="2">
        <f>IF(OR(CD58="",CC58=""),0,--(CD58&lt;&gt;CC58))</f>
        <v>0</v>
      </c>
      <c r="CE88" s="2">
        <f>IF(OR(CE58="",CD58=""),0,--(CE58&lt;&gt;CD58))</f>
        <v>0</v>
      </c>
      <c r="CF88" s="2">
        <f>IF(OR(CF58="",CE58=""),0,--(CF58&lt;&gt;CE58))</f>
        <v>0</v>
      </c>
      <c r="CG88" s="2">
        <f>IF(OR(CG58="",CF58=""),0,--(CG58&lt;&gt;CF58))</f>
        <v>0</v>
      </c>
      <c r="CH88" s="2">
        <f>IF(OR(CH58="",CG58=""),0,--(CH58&lt;&gt;CG58))</f>
        <v>0</v>
      </c>
      <c r="CI88" s="2">
        <f>IF(OR(CI58="",CH58=""),0,--(CI58&lt;&gt;CH58))</f>
        <v>0</v>
      </c>
      <c r="CJ88" s="2">
        <f>IF(OR(CJ58="",CI58=""),0,--(CJ58&lt;&gt;CI58))</f>
        <v>0</v>
      </c>
      <c r="CK88" s="2">
        <f>IF(OR(CK58="",CJ58=""),0,--(CK58&lt;&gt;CJ58))</f>
        <v>0</v>
      </c>
      <c r="CL88" s="2">
        <f>IF(OR(CL58="",CK58=""),0,--(CL58&lt;&gt;CK58))</f>
        <v>0</v>
      </c>
      <c r="CM88" s="2">
        <f>IF(OR(CM58="",CL58=""),0,--(CM58&lt;&gt;CL58))</f>
        <v>0</v>
      </c>
      <c r="CN88" s="2">
        <f>IF(OR(CN58="",CM58=""),0,--(CN58&lt;&gt;CM58))</f>
        <v>0</v>
      </c>
      <c r="CO88" s="2">
        <f>IF(OR(CO58="",CN58=""),0,--(CO58&lt;&gt;CN58))</f>
        <v>0</v>
      </c>
      <c r="CP88" s="2">
        <f>IF(OR(CP58="",CO58=""),0,--(CP58&lt;&gt;CO58))</f>
        <v>0</v>
      </c>
      <c r="CQ88" s="2">
        <f>IF(OR(CQ58="",CP58=""),0,--(CQ58&lt;&gt;CP58))</f>
        <v>0</v>
      </c>
      <c r="CR88" s="2">
        <f>IF(OR(CR58="",CQ58=""),0,--(CR58&lt;&gt;CQ58))</f>
        <v>0</v>
      </c>
      <c r="CS88" s="2">
        <f>IF(OR(CS58="",CR58=""),0,--(CS58&lt;&gt;CR58))</f>
        <v>0</v>
      </c>
      <c r="CT88" s="2">
        <f>IF(OR(CT58="",CS58=""),0,--(CT58&lt;&gt;CS58))</f>
        <v>0</v>
      </c>
      <c r="CU88" s="2">
        <f>IF(OR(CU58="",CT58=""),0,--(CU58&lt;&gt;CT58))</f>
        <v>0</v>
      </c>
      <c r="CV88" s="2">
        <f>IF(OR(CV58="",CU58=""),0,--(CV58&lt;&gt;CU58))</f>
        <v>0</v>
      </c>
      <c r="CW88" s="2">
        <f>IF(OR(CW58="",CV58=""),0,--(CW58&lt;&gt;CV58))</f>
        <v>0</v>
      </c>
      <c r="CX88" s="2">
        <f>IF(OR(CX58="",CW58=""),0,--(CX58&lt;&gt;CW58))</f>
        <v>0</v>
      </c>
      <c r="CY88" s="2">
        <f>IF(OR(CY58="",CX58=""),0,--(CY58&lt;&gt;CX58))</f>
        <v>0</v>
      </c>
      <c r="CZ88" s="2">
        <f>IF(OR(CZ58="",CY58=""),0,--(CZ58&lt;&gt;CY58))</f>
        <v>0</v>
      </c>
      <c r="DA88" s="2">
        <f>IF(OR(DA58="",CZ58=""),0,--(DA58&lt;&gt;CZ58))</f>
        <v>0</v>
      </c>
      <c r="DB88" s="2">
        <f>IF(OR(DB58="",DA58=""),0,--(DB58&lt;&gt;DA58))</f>
        <v>0</v>
      </c>
      <c r="DC88" s="2">
        <f>IF(OR(DC58="",DB58=""),0,--(DC58&lt;&gt;DB58))</f>
        <v>0</v>
      </c>
      <c r="DD88" s="2">
        <f>IF(OR(DD58="",DC58=""),0,--(DD58&lt;&gt;DC58))</f>
        <v>0</v>
      </c>
      <c r="DE88" s="2">
        <f>IF(OR(DE58="",DD58=""),0,--(DE58&lt;&gt;DD58))</f>
        <v>0</v>
      </c>
      <c r="DF88" s="2">
        <f>IF(OR(DF58="",DE58=""),0,--(DF58&lt;&gt;DE58))</f>
        <v>0</v>
      </c>
      <c r="DG88" s="2">
        <f>IF(OR(DG58="",DF58=""),0,--(DG58&lt;&gt;DF58))</f>
        <v>0</v>
      </c>
      <c r="DH88" s="2">
        <f>IF(OR(DH58="",DG58=""),0,--(DH58&lt;&gt;DG58))</f>
        <v>0</v>
      </c>
      <c r="DI88" s="2">
        <f>IF(OR(DI58="",DH58=""),0,--(DI58&lt;&gt;DH58))</f>
        <v>0</v>
      </c>
      <c r="DJ88" s="2">
        <f>IF(OR(DJ58="",DI58=""),0,--(DJ58&lt;&gt;DI58))</f>
        <v>0</v>
      </c>
      <c r="DK88" s="2">
        <f>IF(OR(DK58="",DJ58=""),0,--(DK58&lt;&gt;DJ58))</f>
        <v>0</v>
      </c>
      <c r="DL88" s="2">
        <f>IF(OR(DL58="",DK58=""),0,--(DL58&lt;&gt;DK58))</f>
        <v>0</v>
      </c>
      <c r="DM88" s="2">
        <f>IF(OR(DM58="",DL58=""),0,--(DM58&lt;&gt;DL58))</f>
        <v>0</v>
      </c>
      <c r="DN88" s="2">
        <f>IF(OR(DN58="",DM58=""),0,--(DN58&lt;&gt;DM58))</f>
        <v>0</v>
      </c>
      <c r="DO88" s="2">
        <f>IF(OR(DO58="",DN58=""),0,--(DO58&lt;&gt;DN58))</f>
        <v>0</v>
      </c>
      <c r="DP88" s="2">
        <f>IF(OR(DP58="",DO58=""),0,--(DP58&lt;&gt;DO58))</f>
        <v>0</v>
      </c>
      <c r="DQ88" s="2">
        <f>IF(OR(DQ58="",DP58=""),0,--(DQ58&lt;&gt;DP58))</f>
        <v>0</v>
      </c>
      <c r="DR88" s="2">
        <f>IF(OR(DR58="",DQ58=""),0,--(DR58&lt;&gt;DQ58))</f>
        <v>0</v>
      </c>
      <c r="DS88" s="2">
        <f>IF(OR(DS58="",DR58=""),0,--(DS58&lt;&gt;DR58))</f>
        <v>0</v>
      </c>
      <c r="DT88" s="2">
        <f>IF(OR(DT58="",DS58=""),0,--(DT58&lt;&gt;DS58))</f>
        <v>0</v>
      </c>
      <c r="DU88" s="2">
        <f>IF(OR(DU58="",DT58=""),0,--(DU58&lt;&gt;DT58))</f>
        <v>0</v>
      </c>
      <c r="DV88" s="2">
        <f>IF(OR(DV58="",DU58=""),0,--(DV58&lt;&gt;DU58))</f>
        <v>0</v>
      </c>
      <c r="DW88" s="2">
        <f>IF(OR(DW58="",DV58=""),0,--(DW58&lt;&gt;DV58))</f>
        <v>0</v>
      </c>
      <c r="DX88" s="2">
        <f>IF(OR(DX58="",DW58=""),0,--(DX58&lt;&gt;DW58))</f>
        <v>0</v>
      </c>
      <c r="DY88" s="2">
        <f>IF(OR(DY58="",DX58=""),0,--(DY58&lt;&gt;DX58))</f>
        <v>0</v>
      </c>
      <c r="DZ88" s="2">
        <f>IF(OR(DZ58="",DY58=""),0,--(DZ58&lt;&gt;DY58))</f>
        <v>0</v>
      </c>
      <c r="EA88" s="2">
        <f>IF(OR(EA58="",DZ58=""),0,--(EA58&lt;&gt;DZ58))</f>
        <v>0</v>
      </c>
      <c r="EB88" s="2">
        <f>IF(OR(EB58="",EA58=""),0,--(EB58&lt;&gt;EA58))</f>
        <v>0</v>
      </c>
      <c r="EC88" s="2">
        <f>IF(OR(EC58="",EB58=""),0,--(EC58&lt;&gt;EB58))</f>
        <v>0</v>
      </c>
      <c r="ED88" s="2">
        <f>IF(OR(ED58="",EC58=""),0,--(ED58&lt;&gt;EC58))</f>
        <v>0</v>
      </c>
      <c r="EE88" s="2">
        <f>IF(OR(EE58="",ED58=""),0,--(EE58&lt;&gt;ED58))</f>
        <v>0</v>
      </c>
      <c r="EF88" s="2">
        <f>IF(OR(EF58="",EE58=""),0,--(EF58&lt;&gt;EE58))</f>
        <v>0</v>
      </c>
      <c r="EG88" s="2">
        <f>IF(OR(EG58="",EF58=""),0,--(EG58&lt;&gt;EF58))</f>
        <v>0</v>
      </c>
      <c r="EH88" s="2">
        <f>IF(OR(EH58="",EG58=""),0,--(EH58&lt;&gt;EG58))</f>
        <v>0</v>
      </c>
      <c r="EI88" s="2">
        <f>IF(OR(EI58="",EH58=""),0,--(EI58&lt;&gt;EH58))</f>
        <v>0</v>
      </c>
      <c r="EJ88" s="2">
        <f>IF(OR(EJ58="",EI58=""),0,--(EJ58&lt;&gt;EI58))</f>
        <v>0</v>
      </c>
      <c r="EK88" s="2">
        <f>IF(OR(EK58="",EJ58=""),0,--(EK58&lt;&gt;EJ58))</f>
        <v>0</v>
      </c>
      <c r="EL88" s="2">
        <f>IF(OR(EL58="",EK58=""),0,--(EL58&lt;&gt;EK58))</f>
        <v>0</v>
      </c>
      <c r="EM88" s="2">
        <f>IF(OR(EM58="",EL58=""),0,--(EM58&lt;&gt;EL58))</f>
        <v>0</v>
      </c>
      <c r="EN88" s="2">
        <f>IF(OR(EN58="",EM58=""),0,--(EN58&lt;&gt;EM58))</f>
        <v>0</v>
      </c>
      <c r="EO88" s="2">
        <f>IF(OR(EO58="",EN58=""),0,--(EO58&lt;&gt;EN58))</f>
        <v>0</v>
      </c>
      <c r="EP88" s="2">
        <f>IF(OR(EP58="",EO58=""),0,--(EP58&lt;&gt;EO58))</f>
        <v>0</v>
      </c>
      <c r="EQ88" s="2">
        <f>IF(OR(EQ58="",EP58=""),0,--(EQ58&lt;&gt;EP58))</f>
        <v>0</v>
      </c>
      <c r="ER88" s="2">
        <f>IF(OR(ER58="",EQ58=""),0,--(ER58&lt;&gt;EQ58))</f>
        <v>0</v>
      </c>
      <c r="ES88" s="2">
        <f>IF(OR(ES58="",ER58=""),0,--(ES58&lt;&gt;ER58))</f>
        <v>0</v>
      </c>
      <c r="ET88" s="2">
        <f>IF(OR(ET58="",ES58=""),0,--(ET58&lt;&gt;ES58))</f>
        <v>0</v>
      </c>
      <c r="EU88" s="2">
        <f>IF(OR(EU58="",ET58=""),0,--(EU58&lt;&gt;ET58))</f>
        <v>0</v>
      </c>
      <c r="EV88" s="2">
        <f>IF(OR(EV58="",EU58=""),0,--(EV58&lt;&gt;EU58))</f>
        <v>0</v>
      </c>
      <c r="EW88" s="2">
        <f>IF(OR(EW58="",EV58=""),0,--(EW58&lt;&gt;EV58))</f>
        <v>0</v>
      </c>
      <c r="EX88" s="2">
        <f>IF(OR(EX58="",EW58=""),0,--(EX58&lt;&gt;EW58))</f>
        <v>0</v>
      </c>
      <c r="EY88" s="2">
        <f>IF(OR(EY58="",EX58=""),0,--(EY58&lt;&gt;EX58))</f>
        <v>0</v>
      </c>
      <c r="EZ88" s="2">
        <f>IF(OR(EZ58="",EY58=""),0,--(EZ58&lt;&gt;EY58))</f>
        <v>0</v>
      </c>
      <c r="FA88" s="2">
        <f>IF(OR(FA58="",EZ58=""),0,--(FA58&lt;&gt;EZ58))</f>
        <v>0</v>
      </c>
      <c r="FB88" s="2">
        <f>IF(OR(FB58="",FA58=""),0,--(FB58&lt;&gt;FA58))</f>
        <v>0</v>
      </c>
      <c r="FC88" s="2">
        <f>IF(OR(FC58="",FB58=""),0,--(FC58&lt;&gt;FB58))</f>
        <v>0</v>
      </c>
      <c r="FD88" s="2">
        <f>IF(OR(FD58="",FC58=""),0,--(FD58&lt;&gt;FC58))</f>
        <v>0</v>
      </c>
      <c r="FE88" s="2">
        <f>IF(OR(FE58="",FD58=""),0,--(FE58&lt;&gt;FD58))</f>
        <v>0</v>
      </c>
      <c r="FF88" s="2">
        <f>IF(OR(FF58="",FE58=""),0,--(FF58&lt;&gt;FE58))</f>
        <v>0</v>
      </c>
      <c r="FG88" s="2">
        <f>IF(OR(FG58="",FF58=""),0,--(FG58&lt;&gt;FF58))</f>
        <v>0</v>
      </c>
      <c r="FH88" s="2">
        <f>IF(OR(FH58="",FG58=""),0,--(FH58&lt;&gt;FG58))</f>
        <v>0</v>
      </c>
      <c r="FI88" s="2">
        <f>IF(OR(FI58="",FH58=""),0,--(FI58&lt;&gt;FH58))</f>
        <v>0</v>
      </c>
      <c r="FJ88" s="2">
        <f>IF(OR(FJ58="",FI58=""),0,--(FJ58&lt;&gt;FI58))</f>
        <v>0</v>
      </c>
      <c r="FK88" s="2">
        <f>IF(OR(FK58="",FJ58=""),0,--(FK58&lt;&gt;FJ58))</f>
        <v>0</v>
      </c>
      <c r="FL88" s="2">
        <f>IF(OR(FL58="",FK58=""),0,--(FL58&lt;&gt;FK58))</f>
        <v>0</v>
      </c>
      <c r="FM88" s="2">
        <f>IF(OR(FM58="",FL58=""),0,--(FM58&lt;&gt;FL58))</f>
        <v>0</v>
      </c>
      <c r="FN88" s="2">
        <f>IF(OR(FN58="",FM58=""),0,--(FN58&lt;&gt;FM58))</f>
        <v>0</v>
      </c>
      <c r="FO88" s="2">
        <f>IF(OR(FO58="",FN58=""),0,--(FO58&lt;&gt;FN58))</f>
        <v>0</v>
      </c>
      <c r="FP88" s="2">
        <f>IF(OR(FP58="",FO58=""),0,--(FP58&lt;&gt;FO58))</f>
        <v>0</v>
      </c>
      <c r="FQ88" s="2">
        <f>IF(OR(FQ58="",FP58=""),0,--(FQ58&lt;&gt;FP58))</f>
        <v>0</v>
      </c>
      <c r="FR88" s="2">
        <f>IF(OR(FR58="",FQ58=""),0,--(FR58&lt;&gt;FQ58))</f>
        <v>0</v>
      </c>
      <c r="FS88" s="2">
        <f>IF(OR(FS58="",FR58=""),0,--(FS58&lt;&gt;FR58))</f>
        <v>0</v>
      </c>
      <c r="FT88" s="2">
        <f>IF(OR(FT58="",FS58=""),0,--(FT58&lt;&gt;FS58))</f>
        <v>0</v>
      </c>
      <c r="FU88" s="2">
        <f>IF(OR(FU58="",FT58=""),0,--(FU58&lt;&gt;FT58))</f>
        <v>0</v>
      </c>
      <c r="FV88" s="2">
        <f>IF(OR(FV58="",FU58=""),0,--(FV58&lt;&gt;FU58))</f>
        <v>0</v>
      </c>
      <c r="FW88" s="2">
        <f>IF(OR(FW58="",FV58=""),0,--(FW58&lt;&gt;FV58))</f>
        <v>0</v>
      </c>
      <c r="FX88" s="2">
        <f>IF(OR(FX58="",FW58=""),0,--(FX58&lt;&gt;FW58))</f>
        <v>0</v>
      </c>
      <c r="FY88" s="2">
        <f>IF(OR(FY58="",FX58=""),0,--(FY58&lt;&gt;FX58))</f>
        <v>0</v>
      </c>
      <c r="FZ88" s="2">
        <f>IF(OR(FZ58="",FY58=""),0,--(FZ58&lt;&gt;FY58))</f>
        <v>0</v>
      </c>
      <c r="GA88" s="2">
        <f>IF(OR(GA58="",FZ58=""),0,--(GA58&lt;&gt;FZ58))</f>
        <v>0</v>
      </c>
      <c r="GB88" s="2">
        <f>IF(OR(GB58="",GA58=""),0,--(GB58&lt;&gt;GA58))</f>
        <v>0</v>
      </c>
      <c r="GC88" s="2">
        <f>IF(OR(GC58="",GB58=""),0,--(GC58&lt;&gt;GB58))</f>
        <v>0</v>
      </c>
      <c r="GD88" s="2">
        <f>IF(OR(GD58="",GC58=""),0,--(GD58&lt;&gt;GC58))</f>
        <v>0</v>
      </c>
      <c r="GE88" s="2">
        <f>IF(OR(GE58="",GD58=""),0,--(GE58&lt;&gt;GD58))</f>
        <v>0</v>
      </c>
      <c r="GF88" s="2">
        <f>IF(OR(GF58="",GE58=""),0,--(GF58&lt;&gt;GE58))</f>
        <v>0</v>
      </c>
      <c r="GG88" s="2">
        <f>IF(OR(GG58="",GF58=""),0,--(GG58&lt;&gt;GF58))</f>
        <v>0</v>
      </c>
      <c r="GH88" s="2">
        <f>IF(OR(GH58="",GG58=""),0,--(GH58&lt;&gt;GG58))</f>
        <v>0</v>
      </c>
      <c r="GI88" s="2">
        <f>IF(OR(GI58="",GH58=""),0,--(GI58&lt;&gt;GH58))</f>
        <v>0</v>
      </c>
      <c r="GJ88" s="2">
        <f>IF(OR(GJ58="",GI58=""),0,--(GJ58&lt;&gt;GI58))</f>
        <v>0</v>
      </c>
      <c r="GK88" s="2">
        <f>IF(OR(GK58="",GJ58=""),0,--(GK58&lt;&gt;GJ58))</f>
        <v>0</v>
      </c>
      <c r="GL88" s="2">
        <f>IF(OR(GL58="",GK58=""),0,--(GL58&lt;&gt;GK58))</f>
        <v>0</v>
      </c>
      <c r="GM88" s="2">
        <f>IF(OR(GM58="",GL58=""),0,--(GM58&lt;&gt;GL58))</f>
        <v>0</v>
      </c>
      <c r="GN88" s="2">
        <f>IF(OR(GN58="",GM58=""),0,--(GN58&lt;&gt;GM58))</f>
        <v>0</v>
      </c>
      <c r="GO88" s="2">
        <f>IF(OR(GO58="",GN58=""),0,--(GO58&lt;&gt;GN58))</f>
        <v>0</v>
      </c>
      <c r="GP88" s="2">
        <f>IF(OR(GP58="",GO58=""),0,--(GP58&lt;&gt;GO58))</f>
        <v>0</v>
      </c>
      <c r="GQ88" s="2">
        <f>IF(OR(GQ58="",GP58=""),0,--(GQ58&lt;&gt;GP58))</f>
        <v>0</v>
      </c>
      <c r="GR88" s="2">
        <f>IF(OR(GR58="",GQ58=""),0,--(GR58&lt;&gt;GQ58))</f>
        <v>0</v>
      </c>
      <c r="GS88" s="2">
        <f>IF(OR(GS58="",GR58=""),0,--(GS58&lt;&gt;GR58))</f>
        <v>0</v>
      </c>
      <c r="GY88" s="15">
        <f>SUM($B88:$DB88)</f>
        <v>5</v>
      </c>
    </row>
    <row r="89" spans="1:207">
      <c r="A89" s="2">
        <f>$A59</f>
        <v>24</v>
      </c>
      <c r="B89" s="2">
        <f>0</f>
        <v>0</v>
      </c>
      <c r="C89" s="2">
        <f>IF(OR(C59="",B59=""),0,--(C59&lt;&gt;B59))</f>
        <v>0</v>
      </c>
      <c r="D89" s="2">
        <f>IF(OR(D59="",C59=""),0,--(D59&lt;&gt;C59))</f>
        <v>0</v>
      </c>
      <c r="E89" s="2">
        <f>IF(OR(E59="",D59=""),0,--(E59&lt;&gt;D59))</f>
        <v>0</v>
      </c>
      <c r="F89" s="2">
        <f>IF(OR(F59="",E59=""),0,--(F59&lt;&gt;E59))</f>
        <v>0</v>
      </c>
      <c r="G89" s="2">
        <f>IF(OR(G59="",F59=""),0,--(G59&lt;&gt;F59))</f>
        <v>0</v>
      </c>
      <c r="H89" s="2">
        <f>IF(OR(H59="",G59=""),0,--(H59&lt;&gt;G59))</f>
        <v>0</v>
      </c>
      <c r="I89" s="2">
        <f>IF(OR(I59="",H59=""),0,--(I59&lt;&gt;H59))</f>
        <v>0</v>
      </c>
      <c r="J89" s="2">
        <f>IF(OR(J59="",I59=""),0,--(J59&lt;&gt;I59))</f>
        <v>0</v>
      </c>
      <c r="K89" s="2">
        <f>IF(OR(K59="",J59=""),0,--(K59&lt;&gt;J59))</f>
        <v>0</v>
      </c>
      <c r="L89" s="2">
        <f>IF(OR(L59="",K59=""),0,--(L59&lt;&gt;K59))</f>
        <v>0</v>
      </c>
      <c r="M89" s="2">
        <f>IF(OR(M59="",L59=""),0,--(M59&lt;&gt;L59))</f>
        <v>0</v>
      </c>
      <c r="N89" s="2">
        <f>IF(OR(N59="",M59=""),0,--(N59&lt;&gt;M59))</f>
        <v>0</v>
      </c>
      <c r="O89" s="2">
        <f>IF(OR(O59="",N59=""),0,--(O59&lt;&gt;N59))</f>
        <v>0</v>
      </c>
      <c r="P89" s="2">
        <f>IF(OR(P59="",O59=""),0,--(P59&lt;&gt;O59))</f>
        <v>0</v>
      </c>
      <c r="Q89" s="2">
        <f>IF(OR(Q59="",P59=""),0,--(Q59&lt;&gt;P59))</f>
        <v>0</v>
      </c>
      <c r="R89" s="2">
        <f>IF(OR(R59="",Q59=""),0,--(R59&lt;&gt;Q59))</f>
        <v>0</v>
      </c>
      <c r="S89" s="2">
        <f>IF(OR(S59="",R59=""),0,--(S59&lt;&gt;R59))</f>
        <v>0</v>
      </c>
      <c r="T89" s="2">
        <f>IF(OR(T59="",S59=""),0,--(T59&lt;&gt;S59))</f>
        <v>0</v>
      </c>
      <c r="U89" s="2">
        <f>IF(OR(U59="",T59=""),0,--(U59&lt;&gt;T59))</f>
        <v>0</v>
      </c>
      <c r="V89" s="2">
        <f>IF(OR(V59="",U59=""),0,--(V59&lt;&gt;U59))</f>
        <v>0</v>
      </c>
      <c r="W89" s="2">
        <f>IF(OR(W59="",V59=""),0,--(W59&lt;&gt;V59))</f>
        <v>0</v>
      </c>
      <c r="X89" s="2">
        <f>IF(OR(X59="",W59=""),0,--(X59&lt;&gt;W59))</f>
        <v>0</v>
      </c>
      <c r="Y89" s="2">
        <f>IF(OR(Y59="",X59=""),0,--(Y59&lt;&gt;X59))</f>
        <v>0</v>
      </c>
      <c r="Z89" s="2">
        <f>IF(OR(Z59="",Y59=""),0,--(Z59&lt;&gt;Y59))</f>
        <v>0</v>
      </c>
      <c r="AA89" s="2">
        <f>IF(OR(AA59="",Z59=""),0,--(AA59&lt;&gt;Z59))</f>
        <v>0</v>
      </c>
      <c r="AB89" s="2">
        <f>IF(OR(AB59="",AA59=""),0,--(AB59&lt;&gt;AA59))</f>
        <v>0</v>
      </c>
      <c r="AC89" s="2">
        <f>IF(OR(AC59="",AB59=""),0,--(AC59&lt;&gt;AB59))</f>
        <v>0</v>
      </c>
      <c r="AD89" s="2">
        <f>IF(OR(AD59="",AC59=""),0,--(AD59&lt;&gt;AC59))</f>
        <v>0</v>
      </c>
      <c r="AE89" s="2">
        <f>IF(OR(AE59="",AD59=""),0,--(AE59&lt;&gt;AD59))</f>
        <v>0</v>
      </c>
      <c r="AF89" s="2">
        <f>IF(OR(AF59="",AE59=""),0,--(AF59&lt;&gt;AE59))</f>
        <v>0</v>
      </c>
      <c r="AG89" s="2">
        <f>IF(OR(AG59="",AF59=""),0,--(AG59&lt;&gt;AF59))</f>
        <v>0</v>
      </c>
      <c r="AH89" s="2">
        <f>IF(OR(AH59="",AG59=""),0,--(AH59&lt;&gt;AG59))</f>
        <v>0</v>
      </c>
      <c r="AI89" s="2">
        <f>IF(OR(AI59="",AH59=""),0,--(AI59&lt;&gt;AH59))</f>
        <v>0</v>
      </c>
      <c r="AJ89" s="2">
        <f>IF(OR(AJ59="",AI59=""),0,--(AJ59&lt;&gt;AI59))</f>
        <v>0</v>
      </c>
      <c r="AK89" s="2">
        <f>IF(OR(AK59="",AJ59=""),0,--(AK59&lt;&gt;AJ59))</f>
        <v>0</v>
      </c>
      <c r="AL89" s="2">
        <f>IF(OR(AL59="",AK59=""),0,--(AL59&lt;&gt;AK59))</f>
        <v>0</v>
      </c>
      <c r="AM89" s="2">
        <f>IF(OR(AM59="",AL59=""),0,--(AM59&lt;&gt;AL59))</f>
        <v>0</v>
      </c>
      <c r="AN89" s="2">
        <f>IF(OR(AN59="",AM59=""),0,--(AN59&lt;&gt;AM59))</f>
        <v>0</v>
      </c>
      <c r="AO89" s="2">
        <f>IF(OR(AO59="",AN59=""),0,--(AO59&lt;&gt;AN59))</f>
        <v>0</v>
      </c>
      <c r="AP89" s="2">
        <f>IF(OR(AP59="",AO59=""),0,--(AP59&lt;&gt;AO59))</f>
        <v>0</v>
      </c>
      <c r="AQ89" s="2">
        <f>IF(OR(AQ59="",AP59=""),0,--(AQ59&lt;&gt;AP59))</f>
        <v>0</v>
      </c>
      <c r="AR89" s="2">
        <f>IF(OR(AR59="",AQ59=""),0,--(AR59&lt;&gt;AQ59))</f>
        <v>0</v>
      </c>
      <c r="AS89" s="2">
        <f>IF(OR(AS59="",AR59=""),0,--(AS59&lt;&gt;AR59))</f>
        <v>0</v>
      </c>
      <c r="AT89" s="2">
        <f>IF(OR(AT59="",AS59=""),0,--(AT59&lt;&gt;AS59))</f>
        <v>0</v>
      </c>
      <c r="AU89" s="2">
        <f>IF(OR(AU59="",AT59=""),0,--(AU59&lt;&gt;AT59))</f>
        <v>0</v>
      </c>
      <c r="AV89" s="2">
        <f>IF(OR(AV59="",AU59=""),0,--(AV59&lt;&gt;AU59))</f>
        <v>0</v>
      </c>
      <c r="AW89" s="2">
        <f>IF(OR(AW59="",AV59=""),0,--(AW59&lt;&gt;AV59))</f>
        <v>0</v>
      </c>
      <c r="AX89" s="2">
        <f>IF(OR(AX59="",AW59=""),0,--(AX59&lt;&gt;AW59))</f>
        <v>0</v>
      </c>
      <c r="AY89" s="2">
        <f>IF(OR(AY59="",AX59=""),0,--(AY59&lt;&gt;AX59))</f>
        <v>0</v>
      </c>
      <c r="AZ89" s="2">
        <f>IF(OR(AZ59="",AY59=""),0,--(AZ59&lt;&gt;AY59))</f>
        <v>0</v>
      </c>
      <c r="BA89" s="2">
        <f>IF(OR(BA59="",AZ59=""),0,--(BA59&lt;&gt;AZ59))</f>
        <v>0</v>
      </c>
      <c r="BB89" s="2">
        <f>IF(OR(BB59="",BA59=""),0,--(BB59&lt;&gt;BA59))</f>
        <v>0</v>
      </c>
      <c r="BC89" s="2">
        <f>IF(OR(BC59="",BB59=""),0,--(BC59&lt;&gt;BB59))</f>
        <v>0</v>
      </c>
      <c r="BD89" s="2">
        <f>IF(OR(BD59="",BC59=""),0,--(BD59&lt;&gt;BC59))</f>
        <v>0</v>
      </c>
      <c r="BE89" s="2">
        <f>IF(OR(BE59="",BD59=""),0,--(BE59&lt;&gt;BD59))</f>
        <v>0</v>
      </c>
      <c r="BF89" s="2">
        <f>IF(OR(BF59="",BE59=""),0,--(BF59&lt;&gt;BE59))</f>
        <v>0</v>
      </c>
      <c r="BG89" s="2">
        <f>IF(OR(BG59="",BF59=""),0,--(BG59&lt;&gt;BF59))</f>
        <v>0</v>
      </c>
      <c r="BH89" s="2">
        <f>IF(OR(BH59="",BG59=""),0,--(BH59&lt;&gt;BG59))</f>
        <v>0</v>
      </c>
      <c r="BI89" s="2">
        <f>IF(OR(BI59="",BH59=""),0,--(BI59&lt;&gt;BH59))</f>
        <v>0</v>
      </c>
      <c r="BJ89" s="2">
        <f>IF(OR(BJ59="",BI59=""),0,--(BJ59&lt;&gt;BI59))</f>
        <v>0</v>
      </c>
      <c r="BK89" s="2">
        <f>IF(OR(BK59="",BJ59=""),0,--(BK59&lt;&gt;BJ59))</f>
        <v>0</v>
      </c>
      <c r="BL89" s="2">
        <f>IF(OR(BL59="",BK59=""),0,--(BL59&lt;&gt;BK59))</f>
        <v>0</v>
      </c>
      <c r="BM89" s="2">
        <f>IF(OR(BM59="",BL59=""),0,--(BM59&lt;&gt;BL59))</f>
        <v>0</v>
      </c>
      <c r="BN89" s="2">
        <f>IF(OR(BN59="",BM59=""),0,--(BN59&lt;&gt;BM59))</f>
        <v>0</v>
      </c>
      <c r="BO89" s="2">
        <f>IF(OR(BO59="",BN59=""),0,--(BO59&lt;&gt;BN59))</f>
        <v>0</v>
      </c>
      <c r="BP89" s="2">
        <f>IF(OR(BP59="",BO59=""),0,--(BP59&lt;&gt;BO59))</f>
        <v>0</v>
      </c>
      <c r="BQ89" s="2">
        <f>IF(OR(BQ59="",BP59=""),0,--(BQ59&lt;&gt;BP59))</f>
        <v>0</v>
      </c>
      <c r="BR89" s="2">
        <f>IF(OR(BR59="",BQ59=""),0,--(BR59&lt;&gt;BQ59))</f>
        <v>0</v>
      </c>
      <c r="BS89" s="2">
        <f>IF(OR(BS59="",BR59=""),0,--(BS59&lt;&gt;BR59))</f>
        <v>0</v>
      </c>
      <c r="BT89" s="2">
        <f>IF(OR(BT59="",BS59=""),0,--(BT59&lt;&gt;BS59))</f>
        <v>1</v>
      </c>
      <c r="BU89" s="2">
        <f>IF(OR(BU59="",BT59=""),0,--(BU59&lt;&gt;BT59))</f>
        <v>0</v>
      </c>
      <c r="BV89" s="2">
        <f>IF(OR(BV59="",BU59=""),0,--(BV59&lt;&gt;BU59))</f>
        <v>0</v>
      </c>
      <c r="BW89" s="2">
        <f>IF(OR(BW59="",BV59=""),0,--(BW59&lt;&gt;BV59))</f>
        <v>0</v>
      </c>
      <c r="BX89" s="2">
        <f>IF(OR(BX59="",BW59=""),0,--(BX59&lt;&gt;BW59))</f>
        <v>0</v>
      </c>
      <c r="BY89" s="2">
        <f>IF(OR(BY59="",BX59=""),0,--(BY59&lt;&gt;BX59))</f>
        <v>0</v>
      </c>
      <c r="BZ89" s="2">
        <f>IF(OR(BZ59="",BY59=""),0,--(BZ59&lt;&gt;BY59))</f>
        <v>0</v>
      </c>
      <c r="CA89" s="2">
        <f>IF(OR(CA59="",BZ59=""),0,--(CA59&lt;&gt;BZ59))</f>
        <v>0</v>
      </c>
      <c r="CB89" s="2">
        <f>IF(OR(CB59="",CA59=""),0,--(CB59&lt;&gt;CA59))</f>
        <v>0</v>
      </c>
      <c r="CC89" s="2">
        <f>IF(OR(CC59="",CB59=""),0,--(CC59&lt;&gt;CB59))</f>
        <v>0</v>
      </c>
      <c r="CD89" s="2">
        <f>IF(OR(CD59="",CC59=""),0,--(CD59&lt;&gt;CC59))</f>
        <v>0</v>
      </c>
      <c r="CE89" s="2">
        <f>IF(OR(CE59="",CD59=""),0,--(CE59&lt;&gt;CD59))</f>
        <v>0</v>
      </c>
      <c r="CF89" s="2">
        <f>IF(OR(CF59="",CE59=""),0,--(CF59&lt;&gt;CE59))</f>
        <v>0</v>
      </c>
      <c r="CG89" s="2">
        <f>IF(OR(CG59="",CF59=""),0,--(CG59&lt;&gt;CF59))</f>
        <v>0</v>
      </c>
      <c r="CH89" s="2">
        <f>IF(OR(CH59="",CG59=""),0,--(CH59&lt;&gt;CG59))</f>
        <v>0</v>
      </c>
      <c r="CI89" s="2">
        <f>IF(OR(CI59="",CH59=""),0,--(CI59&lt;&gt;CH59))</f>
        <v>0</v>
      </c>
      <c r="CJ89" s="2">
        <f>IF(OR(CJ59="",CI59=""),0,--(CJ59&lt;&gt;CI59))</f>
        <v>0</v>
      </c>
      <c r="CK89" s="2">
        <f>IF(OR(CK59="",CJ59=""),0,--(CK59&lt;&gt;CJ59))</f>
        <v>0</v>
      </c>
      <c r="CL89" s="2">
        <f>IF(OR(CL59="",CK59=""),0,--(CL59&lt;&gt;CK59))</f>
        <v>0</v>
      </c>
      <c r="CM89" s="2">
        <f>IF(OR(CM59="",CL59=""),0,--(CM59&lt;&gt;CL59))</f>
        <v>0</v>
      </c>
      <c r="CN89" s="2">
        <f>IF(OR(CN59="",CM59=""),0,--(CN59&lt;&gt;CM59))</f>
        <v>0</v>
      </c>
      <c r="CO89" s="2">
        <f>IF(OR(CO59="",CN59=""),0,--(CO59&lt;&gt;CN59))</f>
        <v>0</v>
      </c>
      <c r="CP89" s="2">
        <f>IF(OR(CP59="",CO59=""),0,--(CP59&lt;&gt;CO59))</f>
        <v>0</v>
      </c>
      <c r="CQ89" s="2">
        <f>IF(OR(CQ59="",CP59=""),0,--(CQ59&lt;&gt;CP59))</f>
        <v>0</v>
      </c>
      <c r="CR89" s="2">
        <f>IF(OR(CR59="",CQ59=""),0,--(CR59&lt;&gt;CQ59))</f>
        <v>0</v>
      </c>
      <c r="CS89" s="2">
        <f>IF(OR(CS59="",CR59=""),0,--(CS59&lt;&gt;CR59))</f>
        <v>0</v>
      </c>
      <c r="CT89" s="2">
        <f>IF(OR(CT59="",CS59=""),0,--(CT59&lt;&gt;CS59))</f>
        <v>0</v>
      </c>
      <c r="CU89" s="2">
        <f>IF(OR(CU59="",CT59=""),0,--(CU59&lt;&gt;CT59))</f>
        <v>0</v>
      </c>
      <c r="CV89" s="2">
        <f>IF(OR(CV59="",CU59=""),0,--(CV59&lt;&gt;CU59))</f>
        <v>0</v>
      </c>
      <c r="CW89" s="2">
        <f>IF(OR(CW59="",CV59=""),0,--(CW59&lt;&gt;CV59))</f>
        <v>0</v>
      </c>
      <c r="CX89" s="2">
        <f>IF(OR(CX59="",CW59=""),0,--(CX59&lt;&gt;CW59))</f>
        <v>0</v>
      </c>
      <c r="CY89" s="2">
        <f>IF(OR(CY59="",CX59=""),0,--(CY59&lt;&gt;CX59))</f>
        <v>0</v>
      </c>
      <c r="CZ89" s="2">
        <f>IF(OR(CZ59="",CY59=""),0,--(CZ59&lt;&gt;CY59))</f>
        <v>0</v>
      </c>
      <c r="DA89" s="2">
        <f>IF(OR(DA59="",CZ59=""),0,--(DA59&lt;&gt;CZ59))</f>
        <v>0</v>
      </c>
      <c r="DB89" s="2">
        <f>IF(OR(DB59="",DA59=""),0,--(DB59&lt;&gt;DA59))</f>
        <v>0</v>
      </c>
      <c r="DC89" s="2">
        <f>IF(OR(DC59="",DB59=""),0,--(DC59&lt;&gt;DB59))</f>
        <v>0</v>
      </c>
      <c r="DD89" s="2">
        <f>IF(OR(DD59="",DC59=""),0,--(DD59&lt;&gt;DC59))</f>
        <v>0</v>
      </c>
      <c r="DE89" s="2">
        <f>IF(OR(DE59="",DD59=""),0,--(DE59&lt;&gt;DD59))</f>
        <v>0</v>
      </c>
      <c r="DF89" s="2">
        <f>IF(OR(DF59="",DE59=""),0,--(DF59&lt;&gt;DE59))</f>
        <v>0</v>
      </c>
      <c r="DG89" s="2">
        <f>IF(OR(DG59="",DF59=""),0,--(DG59&lt;&gt;DF59))</f>
        <v>0</v>
      </c>
      <c r="DH89" s="2">
        <f>IF(OR(DH59="",DG59=""),0,--(DH59&lt;&gt;DG59))</f>
        <v>0</v>
      </c>
      <c r="DI89" s="2">
        <f>IF(OR(DI59="",DH59=""),0,--(DI59&lt;&gt;DH59))</f>
        <v>0</v>
      </c>
      <c r="DJ89" s="2">
        <f>IF(OR(DJ59="",DI59=""),0,--(DJ59&lt;&gt;DI59))</f>
        <v>0</v>
      </c>
      <c r="DK89" s="2">
        <f>IF(OR(DK59="",DJ59=""),0,--(DK59&lt;&gt;DJ59))</f>
        <v>0</v>
      </c>
      <c r="DL89" s="2">
        <f>IF(OR(DL59="",DK59=""),0,--(DL59&lt;&gt;DK59))</f>
        <v>0</v>
      </c>
      <c r="DM89" s="2">
        <f>IF(OR(DM59="",DL59=""),0,--(DM59&lt;&gt;DL59))</f>
        <v>0</v>
      </c>
      <c r="DN89" s="2">
        <f>IF(OR(DN59="",DM59=""),0,--(DN59&lt;&gt;DM59))</f>
        <v>0</v>
      </c>
      <c r="DO89" s="2">
        <f>IF(OR(DO59="",DN59=""),0,--(DO59&lt;&gt;DN59))</f>
        <v>0</v>
      </c>
      <c r="DP89" s="2">
        <f>IF(OR(DP59="",DO59=""),0,--(DP59&lt;&gt;DO59))</f>
        <v>0</v>
      </c>
      <c r="DQ89" s="2">
        <f>IF(OR(DQ59="",DP59=""),0,--(DQ59&lt;&gt;DP59))</f>
        <v>0</v>
      </c>
      <c r="DR89" s="2">
        <f>IF(OR(DR59="",DQ59=""),0,--(DR59&lt;&gt;DQ59))</f>
        <v>0</v>
      </c>
      <c r="DS89" s="2">
        <f>IF(OR(DS59="",DR59=""),0,--(DS59&lt;&gt;DR59))</f>
        <v>0</v>
      </c>
      <c r="DT89" s="2">
        <f>IF(OR(DT59="",DS59=""),0,--(DT59&lt;&gt;DS59))</f>
        <v>0</v>
      </c>
      <c r="DU89" s="2">
        <f>IF(OR(DU59="",DT59=""),0,--(DU59&lt;&gt;DT59))</f>
        <v>0</v>
      </c>
      <c r="DV89" s="2">
        <f>IF(OR(DV59="",DU59=""),0,--(DV59&lt;&gt;DU59))</f>
        <v>0</v>
      </c>
      <c r="DW89" s="2">
        <f>IF(OR(DW59="",DV59=""),0,--(DW59&lt;&gt;DV59))</f>
        <v>0</v>
      </c>
      <c r="DX89" s="2">
        <f>IF(OR(DX59="",DW59=""),0,--(DX59&lt;&gt;DW59))</f>
        <v>0</v>
      </c>
      <c r="DY89" s="2">
        <f>IF(OR(DY59="",DX59=""),0,--(DY59&lt;&gt;DX59))</f>
        <v>0</v>
      </c>
      <c r="DZ89" s="2">
        <f>IF(OR(DZ59="",DY59=""),0,--(DZ59&lt;&gt;DY59))</f>
        <v>0</v>
      </c>
      <c r="EA89" s="2">
        <f>IF(OR(EA59="",DZ59=""),0,--(EA59&lt;&gt;DZ59))</f>
        <v>0</v>
      </c>
      <c r="EB89" s="2">
        <f>IF(OR(EB59="",EA59=""),0,--(EB59&lt;&gt;EA59))</f>
        <v>0</v>
      </c>
      <c r="EC89" s="2">
        <f>IF(OR(EC59="",EB59=""),0,--(EC59&lt;&gt;EB59))</f>
        <v>0</v>
      </c>
      <c r="ED89" s="2">
        <f>IF(OR(ED59="",EC59=""),0,--(ED59&lt;&gt;EC59))</f>
        <v>0</v>
      </c>
      <c r="EE89" s="2">
        <f>IF(OR(EE59="",ED59=""),0,--(EE59&lt;&gt;ED59))</f>
        <v>0</v>
      </c>
      <c r="EF89" s="2">
        <f>IF(OR(EF59="",EE59=""),0,--(EF59&lt;&gt;EE59))</f>
        <v>0</v>
      </c>
      <c r="EG89" s="2">
        <f>IF(OR(EG59="",EF59=""),0,--(EG59&lt;&gt;EF59))</f>
        <v>0</v>
      </c>
      <c r="EH89" s="2">
        <f>IF(OR(EH59="",EG59=""),0,--(EH59&lt;&gt;EG59))</f>
        <v>0</v>
      </c>
      <c r="EI89" s="2">
        <f>IF(OR(EI59="",EH59=""),0,--(EI59&lt;&gt;EH59))</f>
        <v>0</v>
      </c>
      <c r="EJ89" s="2">
        <f>IF(OR(EJ59="",EI59=""),0,--(EJ59&lt;&gt;EI59))</f>
        <v>0</v>
      </c>
      <c r="EK89" s="2">
        <f>IF(OR(EK59="",EJ59=""),0,--(EK59&lt;&gt;EJ59))</f>
        <v>0</v>
      </c>
      <c r="EL89" s="2">
        <f>IF(OR(EL59="",EK59=""),0,--(EL59&lt;&gt;EK59))</f>
        <v>0</v>
      </c>
      <c r="EM89" s="2">
        <f>IF(OR(EM59="",EL59=""),0,--(EM59&lt;&gt;EL59))</f>
        <v>0</v>
      </c>
      <c r="EN89" s="2">
        <f>IF(OR(EN59="",EM59=""),0,--(EN59&lt;&gt;EM59))</f>
        <v>0</v>
      </c>
      <c r="EO89" s="2">
        <f>IF(OR(EO59="",EN59=""),0,--(EO59&lt;&gt;EN59))</f>
        <v>0</v>
      </c>
      <c r="EP89" s="2">
        <f>IF(OR(EP59="",EO59=""),0,--(EP59&lt;&gt;EO59))</f>
        <v>0</v>
      </c>
      <c r="EQ89" s="2">
        <f>IF(OR(EQ59="",EP59=""),0,--(EQ59&lt;&gt;EP59))</f>
        <v>0</v>
      </c>
      <c r="ER89" s="2">
        <f>IF(OR(ER59="",EQ59=""),0,--(ER59&lt;&gt;EQ59))</f>
        <v>0</v>
      </c>
      <c r="ES89" s="2">
        <f>IF(OR(ES59="",ER59=""),0,--(ES59&lt;&gt;ER59))</f>
        <v>0</v>
      </c>
      <c r="ET89" s="2">
        <f>IF(OR(ET59="",ES59=""),0,--(ET59&lt;&gt;ES59))</f>
        <v>0</v>
      </c>
      <c r="EU89" s="2">
        <f>IF(OR(EU59="",ET59=""),0,--(EU59&lt;&gt;ET59))</f>
        <v>0</v>
      </c>
      <c r="EV89" s="2">
        <f>IF(OR(EV59="",EU59=""),0,--(EV59&lt;&gt;EU59))</f>
        <v>0</v>
      </c>
      <c r="EW89" s="2">
        <f>IF(OR(EW59="",EV59=""),0,--(EW59&lt;&gt;EV59))</f>
        <v>0</v>
      </c>
      <c r="EX89" s="2">
        <f>IF(OR(EX59="",EW59=""),0,--(EX59&lt;&gt;EW59))</f>
        <v>0</v>
      </c>
      <c r="EY89" s="2">
        <f>IF(OR(EY59="",EX59=""),0,--(EY59&lt;&gt;EX59))</f>
        <v>0</v>
      </c>
      <c r="EZ89" s="2">
        <f>IF(OR(EZ59="",EY59=""),0,--(EZ59&lt;&gt;EY59))</f>
        <v>0</v>
      </c>
      <c r="FA89" s="2">
        <f>IF(OR(FA59="",EZ59=""),0,--(FA59&lt;&gt;EZ59))</f>
        <v>0</v>
      </c>
      <c r="FB89" s="2">
        <f>IF(OR(FB59="",FA59=""),0,--(FB59&lt;&gt;FA59))</f>
        <v>0</v>
      </c>
      <c r="FC89" s="2">
        <f>IF(OR(FC59="",FB59=""),0,--(FC59&lt;&gt;FB59))</f>
        <v>0</v>
      </c>
      <c r="FD89" s="2">
        <f>IF(OR(FD59="",FC59=""),0,--(FD59&lt;&gt;FC59))</f>
        <v>0</v>
      </c>
      <c r="FE89" s="2">
        <f>IF(OR(FE59="",FD59=""),0,--(FE59&lt;&gt;FD59))</f>
        <v>0</v>
      </c>
      <c r="FF89" s="2">
        <f>IF(OR(FF59="",FE59=""),0,--(FF59&lt;&gt;FE59))</f>
        <v>0</v>
      </c>
      <c r="FG89" s="2">
        <f>IF(OR(FG59="",FF59=""),0,--(FG59&lt;&gt;FF59))</f>
        <v>0</v>
      </c>
      <c r="FH89" s="2">
        <f>IF(OR(FH59="",FG59=""),0,--(FH59&lt;&gt;FG59))</f>
        <v>0</v>
      </c>
      <c r="FI89" s="2">
        <f>IF(OR(FI59="",FH59=""),0,--(FI59&lt;&gt;FH59))</f>
        <v>0</v>
      </c>
      <c r="FJ89" s="2">
        <f>IF(OR(FJ59="",FI59=""),0,--(FJ59&lt;&gt;FI59))</f>
        <v>0</v>
      </c>
      <c r="FK89" s="2">
        <f>IF(OR(FK59="",FJ59=""),0,--(FK59&lt;&gt;FJ59))</f>
        <v>0</v>
      </c>
      <c r="FL89" s="2">
        <f>IF(OR(FL59="",FK59=""),0,--(FL59&lt;&gt;FK59))</f>
        <v>0</v>
      </c>
      <c r="FM89" s="2">
        <f>IF(OR(FM59="",FL59=""),0,--(FM59&lt;&gt;FL59))</f>
        <v>0</v>
      </c>
      <c r="FN89" s="2">
        <f>IF(OR(FN59="",FM59=""),0,--(FN59&lt;&gt;FM59))</f>
        <v>0</v>
      </c>
      <c r="FO89" s="2">
        <f>IF(OR(FO59="",FN59=""),0,--(FO59&lt;&gt;FN59))</f>
        <v>0</v>
      </c>
      <c r="FP89" s="2">
        <f>IF(OR(FP59="",FO59=""),0,--(FP59&lt;&gt;FO59))</f>
        <v>0</v>
      </c>
      <c r="FQ89" s="2">
        <f>IF(OR(FQ59="",FP59=""),0,--(FQ59&lt;&gt;FP59))</f>
        <v>0</v>
      </c>
      <c r="FR89" s="2">
        <f>IF(OR(FR59="",FQ59=""),0,--(FR59&lt;&gt;FQ59))</f>
        <v>0</v>
      </c>
      <c r="FS89" s="2">
        <f>IF(OR(FS59="",FR59=""),0,--(FS59&lt;&gt;FR59))</f>
        <v>0</v>
      </c>
      <c r="FT89" s="2">
        <f>IF(OR(FT59="",FS59=""),0,--(FT59&lt;&gt;FS59))</f>
        <v>0</v>
      </c>
      <c r="FU89" s="2">
        <f>IF(OR(FU59="",FT59=""),0,--(FU59&lt;&gt;FT59))</f>
        <v>0</v>
      </c>
      <c r="FV89" s="2">
        <f>IF(OR(FV59="",FU59=""),0,--(FV59&lt;&gt;FU59))</f>
        <v>0</v>
      </c>
      <c r="FW89" s="2">
        <f>IF(OR(FW59="",FV59=""),0,--(FW59&lt;&gt;FV59))</f>
        <v>0</v>
      </c>
      <c r="FX89" s="2">
        <f>IF(OR(FX59="",FW59=""),0,--(FX59&lt;&gt;FW59))</f>
        <v>0</v>
      </c>
      <c r="FY89" s="2">
        <f>IF(OR(FY59="",FX59=""),0,--(FY59&lt;&gt;FX59))</f>
        <v>0</v>
      </c>
      <c r="FZ89" s="2">
        <f>IF(OR(FZ59="",FY59=""),0,--(FZ59&lt;&gt;FY59))</f>
        <v>0</v>
      </c>
      <c r="GA89" s="2">
        <f>IF(OR(GA59="",FZ59=""),0,--(GA59&lt;&gt;FZ59))</f>
        <v>0</v>
      </c>
      <c r="GB89" s="2">
        <f>IF(OR(GB59="",GA59=""),0,--(GB59&lt;&gt;GA59))</f>
        <v>0</v>
      </c>
      <c r="GC89" s="2">
        <f>IF(OR(GC59="",GB59=""),0,--(GC59&lt;&gt;GB59))</f>
        <v>0</v>
      </c>
      <c r="GD89" s="2">
        <f>IF(OR(GD59="",GC59=""),0,--(GD59&lt;&gt;GC59))</f>
        <v>0</v>
      </c>
      <c r="GE89" s="2">
        <f>IF(OR(GE59="",GD59=""),0,--(GE59&lt;&gt;GD59))</f>
        <v>0</v>
      </c>
      <c r="GF89" s="2">
        <f>IF(OR(GF59="",GE59=""),0,--(GF59&lt;&gt;GE59))</f>
        <v>0</v>
      </c>
      <c r="GG89" s="2">
        <f>IF(OR(GG59="",GF59=""),0,--(GG59&lt;&gt;GF59))</f>
        <v>0</v>
      </c>
      <c r="GH89" s="2">
        <f>IF(OR(GH59="",GG59=""),0,--(GH59&lt;&gt;GG59))</f>
        <v>0</v>
      </c>
      <c r="GI89" s="2">
        <f>IF(OR(GI59="",GH59=""),0,--(GI59&lt;&gt;GH59))</f>
        <v>0</v>
      </c>
      <c r="GJ89" s="2">
        <f>IF(OR(GJ59="",GI59=""),0,--(GJ59&lt;&gt;GI59))</f>
        <v>0</v>
      </c>
      <c r="GK89" s="2">
        <f>IF(OR(GK59="",GJ59=""),0,--(GK59&lt;&gt;GJ59))</f>
        <v>0</v>
      </c>
      <c r="GL89" s="2">
        <f>IF(OR(GL59="",GK59=""),0,--(GL59&lt;&gt;GK59))</f>
        <v>0</v>
      </c>
      <c r="GM89" s="2">
        <f>IF(OR(GM59="",GL59=""),0,--(GM59&lt;&gt;GL59))</f>
        <v>0</v>
      </c>
      <c r="GN89" s="2">
        <f>IF(OR(GN59="",GM59=""),0,--(GN59&lt;&gt;GM59))</f>
        <v>0</v>
      </c>
      <c r="GO89" s="2">
        <f>IF(OR(GO59="",GN59=""),0,--(GO59&lt;&gt;GN59))</f>
        <v>0</v>
      </c>
      <c r="GP89" s="2">
        <f>IF(OR(GP59="",GO59=""),0,--(GP59&lt;&gt;GO59))</f>
        <v>0</v>
      </c>
      <c r="GQ89" s="2">
        <f>IF(OR(GQ59="",GP59=""),0,--(GQ59&lt;&gt;GP59))</f>
        <v>0</v>
      </c>
      <c r="GR89" s="2">
        <f>IF(OR(GR59="",GQ59=""),0,--(GR59&lt;&gt;GQ59))</f>
        <v>0</v>
      </c>
      <c r="GS89" s="2">
        <f>IF(OR(GS59="",GR59=""),0,--(GS59&lt;&gt;GR59))</f>
        <v>0</v>
      </c>
      <c r="GY89" s="15">
        <f>SUM($B89:$DB89)</f>
        <v>1</v>
      </c>
    </row>
    <row r="90" spans="1:207">
      <c r="A90" s="2">
        <f>$A60</f>
        <v>25</v>
      </c>
      <c r="B90" s="2">
        <f>0</f>
        <v>0</v>
      </c>
      <c r="C90" s="2">
        <f>IF(OR(C60="",B60=""),0,--(C60&lt;&gt;B60))</f>
        <v>0</v>
      </c>
      <c r="D90" s="2">
        <f>IF(OR(D60="",C60=""),0,--(D60&lt;&gt;C60))</f>
        <v>0</v>
      </c>
      <c r="E90" s="2">
        <f>IF(OR(E60="",D60=""),0,--(E60&lt;&gt;D60))</f>
        <v>0</v>
      </c>
      <c r="F90" s="2">
        <f>IF(OR(F60="",E60=""),0,--(F60&lt;&gt;E60))</f>
        <v>0</v>
      </c>
      <c r="G90" s="2">
        <f>IF(OR(G60="",F60=""),0,--(G60&lt;&gt;F60))</f>
        <v>0</v>
      </c>
      <c r="H90" s="2">
        <f>IF(OR(H60="",G60=""),0,--(H60&lt;&gt;G60))</f>
        <v>0</v>
      </c>
      <c r="I90" s="2">
        <f>IF(OR(I60="",H60=""),0,--(I60&lt;&gt;H60))</f>
        <v>0</v>
      </c>
      <c r="J90" s="2">
        <f>IF(OR(J60="",I60=""),0,--(J60&lt;&gt;I60))</f>
        <v>0</v>
      </c>
      <c r="K90" s="2">
        <f>IF(OR(K60="",J60=""),0,--(K60&lt;&gt;J60))</f>
        <v>0</v>
      </c>
      <c r="L90" s="2">
        <f>IF(OR(L60="",K60=""),0,--(L60&lt;&gt;K60))</f>
        <v>0</v>
      </c>
      <c r="M90" s="2">
        <f>IF(OR(M60="",L60=""),0,--(M60&lt;&gt;L60))</f>
        <v>0</v>
      </c>
      <c r="N90" s="2">
        <f>IF(OR(N60="",M60=""),0,--(N60&lt;&gt;M60))</f>
        <v>0</v>
      </c>
      <c r="O90" s="2">
        <f>IF(OR(O60="",N60=""),0,--(O60&lt;&gt;N60))</f>
        <v>0</v>
      </c>
      <c r="P90" s="2">
        <f>IF(OR(P60="",O60=""),0,--(P60&lt;&gt;O60))</f>
        <v>0</v>
      </c>
      <c r="Q90" s="2">
        <f>IF(OR(Q60="",P60=""),0,--(Q60&lt;&gt;P60))</f>
        <v>0</v>
      </c>
      <c r="R90" s="2">
        <f>IF(OR(R60="",Q60=""),0,--(R60&lt;&gt;Q60))</f>
        <v>0</v>
      </c>
      <c r="S90" s="2">
        <f>IF(OR(S60="",R60=""),0,--(S60&lt;&gt;R60))</f>
        <v>0</v>
      </c>
      <c r="T90" s="2">
        <f>IF(OR(T60="",S60=""),0,--(T60&lt;&gt;S60))</f>
        <v>0</v>
      </c>
      <c r="U90" s="2">
        <f>IF(OR(U60="",T60=""),0,--(U60&lt;&gt;T60))</f>
        <v>0</v>
      </c>
      <c r="V90" s="2">
        <f>IF(OR(V60="",U60=""),0,--(V60&lt;&gt;U60))</f>
        <v>0</v>
      </c>
      <c r="W90" s="2">
        <f>IF(OR(W60="",V60=""),0,--(W60&lt;&gt;V60))</f>
        <v>0</v>
      </c>
      <c r="X90" s="2">
        <f>IF(OR(X60="",W60=""),0,--(X60&lt;&gt;W60))</f>
        <v>0</v>
      </c>
      <c r="Y90" s="2">
        <f>IF(OR(Y60="",X60=""),0,--(Y60&lt;&gt;X60))</f>
        <v>0</v>
      </c>
      <c r="Z90" s="2">
        <f>IF(OR(Z60="",Y60=""),0,--(Z60&lt;&gt;Y60))</f>
        <v>0</v>
      </c>
      <c r="AA90" s="2">
        <f>IF(OR(AA60="",Z60=""),0,--(AA60&lt;&gt;Z60))</f>
        <v>0</v>
      </c>
      <c r="AB90" s="2">
        <f>IF(OR(AB60="",AA60=""),0,--(AB60&lt;&gt;AA60))</f>
        <v>0</v>
      </c>
      <c r="AC90" s="2">
        <f>IF(OR(AC60="",AB60=""),0,--(AC60&lt;&gt;AB60))</f>
        <v>0</v>
      </c>
      <c r="AD90" s="2">
        <f>IF(OR(AD60="",AC60=""),0,--(AD60&lt;&gt;AC60))</f>
        <v>0</v>
      </c>
      <c r="AE90" s="2">
        <f>IF(OR(AE60="",AD60=""),0,--(AE60&lt;&gt;AD60))</f>
        <v>0</v>
      </c>
      <c r="AF90" s="2">
        <f>IF(OR(AF60="",AE60=""),0,--(AF60&lt;&gt;AE60))</f>
        <v>0</v>
      </c>
      <c r="AG90" s="2">
        <f>IF(OR(AG60="",AF60=""),0,--(AG60&lt;&gt;AF60))</f>
        <v>0</v>
      </c>
      <c r="AH90" s="2">
        <f>IF(OR(AH60="",AG60=""),0,--(AH60&lt;&gt;AG60))</f>
        <v>0</v>
      </c>
      <c r="AI90" s="2">
        <f>IF(OR(AI60="",AH60=""),0,--(AI60&lt;&gt;AH60))</f>
        <v>0</v>
      </c>
      <c r="AJ90" s="2">
        <f>IF(OR(AJ60="",AI60=""),0,--(AJ60&lt;&gt;AI60))</f>
        <v>0</v>
      </c>
      <c r="AK90" s="2">
        <f>IF(OR(AK60="",AJ60=""),0,--(AK60&lt;&gt;AJ60))</f>
        <v>0</v>
      </c>
      <c r="AL90" s="2">
        <f>IF(OR(AL60="",AK60=""),0,--(AL60&lt;&gt;AK60))</f>
        <v>0</v>
      </c>
      <c r="AM90" s="2">
        <f>IF(OR(AM60="",AL60=""),0,--(AM60&lt;&gt;AL60))</f>
        <v>0</v>
      </c>
      <c r="AN90" s="2">
        <f>IF(OR(AN60="",AM60=""),0,--(AN60&lt;&gt;AM60))</f>
        <v>0</v>
      </c>
      <c r="AO90" s="2">
        <f>IF(OR(AO60="",AN60=""),0,--(AO60&lt;&gt;AN60))</f>
        <v>0</v>
      </c>
      <c r="AP90" s="2">
        <f>IF(OR(AP60="",AO60=""),0,--(AP60&lt;&gt;AO60))</f>
        <v>0</v>
      </c>
      <c r="AQ90" s="2">
        <f>IF(OR(AQ60="",AP60=""),0,--(AQ60&lt;&gt;AP60))</f>
        <v>0</v>
      </c>
      <c r="AR90" s="2">
        <f>IF(OR(AR60="",AQ60=""),0,--(AR60&lt;&gt;AQ60))</f>
        <v>0</v>
      </c>
      <c r="AS90" s="2">
        <f>IF(OR(AS60="",AR60=""),0,--(AS60&lt;&gt;AR60))</f>
        <v>0</v>
      </c>
      <c r="AT90" s="2">
        <f>IF(OR(AT60="",AS60=""),0,--(AT60&lt;&gt;AS60))</f>
        <v>0</v>
      </c>
      <c r="AU90" s="2">
        <f>IF(OR(AU60="",AT60=""),0,--(AU60&lt;&gt;AT60))</f>
        <v>0</v>
      </c>
      <c r="AV90" s="2">
        <f>IF(OR(AV60="",AU60=""),0,--(AV60&lt;&gt;AU60))</f>
        <v>0</v>
      </c>
      <c r="AW90" s="2">
        <f>IF(OR(AW60="",AV60=""),0,--(AW60&lt;&gt;AV60))</f>
        <v>0</v>
      </c>
      <c r="AX90" s="2">
        <f>IF(OR(AX60="",AW60=""),0,--(AX60&lt;&gt;AW60))</f>
        <v>0</v>
      </c>
      <c r="AY90" s="2">
        <f>IF(OR(AY60="",AX60=""),0,--(AY60&lt;&gt;AX60))</f>
        <v>0</v>
      </c>
      <c r="AZ90" s="2">
        <f>IF(OR(AZ60="",AY60=""),0,--(AZ60&lt;&gt;AY60))</f>
        <v>0</v>
      </c>
      <c r="BA90" s="2">
        <f>IF(OR(BA60="",AZ60=""),0,--(BA60&lt;&gt;AZ60))</f>
        <v>0</v>
      </c>
      <c r="BB90" s="2">
        <f>IF(OR(BB60="",BA60=""),0,--(BB60&lt;&gt;BA60))</f>
        <v>0</v>
      </c>
      <c r="BC90" s="2">
        <f>IF(OR(BC60="",BB60=""),0,--(BC60&lt;&gt;BB60))</f>
        <v>0</v>
      </c>
      <c r="BD90" s="2">
        <f>IF(OR(BD60="",BC60=""),0,--(BD60&lt;&gt;BC60))</f>
        <v>0</v>
      </c>
      <c r="BE90" s="2">
        <f>IF(OR(BE60="",BD60=""),0,--(BE60&lt;&gt;BD60))</f>
        <v>0</v>
      </c>
      <c r="BF90" s="2">
        <f>IF(OR(BF60="",BE60=""),0,--(BF60&lt;&gt;BE60))</f>
        <v>0</v>
      </c>
      <c r="BG90" s="2">
        <f>IF(OR(BG60="",BF60=""),0,--(BG60&lt;&gt;BF60))</f>
        <v>0</v>
      </c>
      <c r="BH90" s="2">
        <f>IF(OR(BH60="",BG60=""),0,--(BH60&lt;&gt;BG60))</f>
        <v>0</v>
      </c>
      <c r="BI90" s="2">
        <f>IF(OR(BI60="",BH60=""),0,--(BI60&lt;&gt;BH60))</f>
        <v>0</v>
      </c>
      <c r="BJ90" s="2">
        <f>IF(OR(BJ60="",BI60=""),0,--(BJ60&lt;&gt;BI60))</f>
        <v>0</v>
      </c>
      <c r="BK90" s="2">
        <f>IF(OR(BK60="",BJ60=""),0,--(BK60&lt;&gt;BJ60))</f>
        <v>0</v>
      </c>
      <c r="BL90" s="2">
        <f>IF(OR(BL60="",BK60=""),0,--(BL60&lt;&gt;BK60))</f>
        <v>0</v>
      </c>
      <c r="BM90" s="2">
        <f>IF(OR(BM60="",BL60=""),0,--(BM60&lt;&gt;BL60))</f>
        <v>0</v>
      </c>
      <c r="BN90" s="2">
        <f>IF(OR(BN60="",BM60=""),0,--(BN60&lt;&gt;BM60))</f>
        <v>0</v>
      </c>
      <c r="BO90" s="2">
        <f>IF(OR(BO60="",BN60=""),0,--(BO60&lt;&gt;BN60))</f>
        <v>0</v>
      </c>
      <c r="BP90" s="2">
        <f>IF(OR(BP60="",BO60=""),0,--(BP60&lt;&gt;BO60))</f>
        <v>0</v>
      </c>
      <c r="BQ90" s="2">
        <f>IF(OR(BQ60="",BP60=""),0,--(BQ60&lt;&gt;BP60))</f>
        <v>0</v>
      </c>
      <c r="BR90" s="2">
        <f>IF(OR(BR60="",BQ60=""),0,--(BR60&lt;&gt;BQ60))</f>
        <v>0</v>
      </c>
      <c r="BS90" s="2">
        <f>IF(OR(BS60="",BR60=""),0,--(BS60&lt;&gt;BR60))</f>
        <v>0</v>
      </c>
      <c r="BT90" s="2">
        <f>IF(OR(BT60="",BS60=""),0,--(BT60&lt;&gt;BS60))</f>
        <v>1</v>
      </c>
      <c r="BU90" s="2">
        <f>IF(OR(BU60="",BT60=""),0,--(BU60&lt;&gt;BT60))</f>
        <v>0</v>
      </c>
      <c r="BV90" s="2">
        <f>IF(OR(BV60="",BU60=""),0,--(BV60&lt;&gt;BU60))</f>
        <v>0</v>
      </c>
      <c r="BW90" s="2">
        <f>IF(OR(BW60="",BV60=""),0,--(BW60&lt;&gt;BV60))</f>
        <v>0</v>
      </c>
      <c r="BX90" s="2">
        <f>IF(OR(BX60="",BW60=""),0,--(BX60&lt;&gt;BW60))</f>
        <v>0</v>
      </c>
      <c r="BY90" s="2">
        <f>IF(OR(BY60="",BX60=""),0,--(BY60&lt;&gt;BX60))</f>
        <v>0</v>
      </c>
      <c r="BZ90" s="2">
        <f>IF(OR(BZ60="",BY60=""),0,--(BZ60&lt;&gt;BY60))</f>
        <v>0</v>
      </c>
      <c r="CA90" s="2">
        <f>IF(OR(CA60="",BZ60=""),0,--(CA60&lt;&gt;BZ60))</f>
        <v>0</v>
      </c>
      <c r="CB90" s="2">
        <f>IF(OR(CB60="",CA60=""),0,--(CB60&lt;&gt;CA60))</f>
        <v>0</v>
      </c>
      <c r="CC90" s="2">
        <f>IF(OR(CC60="",CB60=""),0,--(CC60&lt;&gt;CB60))</f>
        <v>0</v>
      </c>
      <c r="CD90" s="2">
        <f>IF(OR(CD60="",CC60=""),0,--(CD60&lt;&gt;CC60))</f>
        <v>0</v>
      </c>
      <c r="CE90" s="2">
        <f>IF(OR(CE60="",CD60=""),0,--(CE60&lt;&gt;CD60))</f>
        <v>0</v>
      </c>
      <c r="CF90" s="2">
        <f>IF(OR(CF60="",CE60=""),0,--(CF60&lt;&gt;CE60))</f>
        <v>0</v>
      </c>
      <c r="CG90" s="2">
        <f>IF(OR(CG60="",CF60=""),0,--(CG60&lt;&gt;CF60))</f>
        <v>0</v>
      </c>
      <c r="CH90" s="2">
        <f>IF(OR(CH60="",CG60=""),0,--(CH60&lt;&gt;CG60))</f>
        <v>0</v>
      </c>
      <c r="CI90" s="2">
        <f>IF(OR(CI60="",CH60=""),0,--(CI60&lt;&gt;CH60))</f>
        <v>0</v>
      </c>
      <c r="CJ90" s="2">
        <f>IF(OR(CJ60="",CI60=""),0,--(CJ60&lt;&gt;CI60))</f>
        <v>0</v>
      </c>
      <c r="CK90" s="2">
        <f>IF(OR(CK60="",CJ60=""),0,--(CK60&lt;&gt;CJ60))</f>
        <v>0</v>
      </c>
      <c r="CL90" s="2">
        <f>IF(OR(CL60="",CK60=""),0,--(CL60&lt;&gt;CK60))</f>
        <v>0</v>
      </c>
      <c r="CM90" s="2">
        <f>IF(OR(CM60="",CL60=""),0,--(CM60&lt;&gt;CL60))</f>
        <v>0</v>
      </c>
      <c r="CN90" s="2">
        <f>IF(OR(CN60="",CM60=""),0,--(CN60&lt;&gt;CM60))</f>
        <v>0</v>
      </c>
      <c r="CO90" s="2">
        <f>IF(OR(CO60="",CN60=""),0,--(CO60&lt;&gt;CN60))</f>
        <v>0</v>
      </c>
      <c r="CP90" s="2">
        <f>IF(OR(CP60="",CO60=""),0,--(CP60&lt;&gt;CO60))</f>
        <v>0</v>
      </c>
      <c r="CQ90" s="2">
        <f>IF(OR(CQ60="",CP60=""),0,--(CQ60&lt;&gt;CP60))</f>
        <v>0</v>
      </c>
      <c r="CR90" s="2">
        <f>IF(OR(CR60="",CQ60=""),0,--(CR60&lt;&gt;CQ60))</f>
        <v>0</v>
      </c>
      <c r="CS90" s="2">
        <f>IF(OR(CS60="",CR60=""),0,--(CS60&lt;&gt;CR60))</f>
        <v>0</v>
      </c>
      <c r="CT90" s="2">
        <f>IF(OR(CT60="",CS60=""),0,--(CT60&lt;&gt;CS60))</f>
        <v>0</v>
      </c>
      <c r="CU90" s="2">
        <f>IF(OR(CU60="",CT60=""),0,--(CU60&lt;&gt;CT60))</f>
        <v>0</v>
      </c>
      <c r="CV90" s="2">
        <f>IF(OR(CV60="",CU60=""),0,--(CV60&lt;&gt;CU60))</f>
        <v>0</v>
      </c>
      <c r="CW90" s="2">
        <f>IF(OR(CW60="",CV60=""),0,--(CW60&lt;&gt;CV60))</f>
        <v>0</v>
      </c>
      <c r="CX90" s="2">
        <f>IF(OR(CX60="",CW60=""),0,--(CX60&lt;&gt;CW60))</f>
        <v>0</v>
      </c>
      <c r="CY90" s="2">
        <f>IF(OR(CY60="",CX60=""),0,--(CY60&lt;&gt;CX60))</f>
        <v>0</v>
      </c>
      <c r="CZ90" s="2">
        <f>IF(OR(CZ60="",CY60=""),0,--(CZ60&lt;&gt;CY60))</f>
        <v>0</v>
      </c>
      <c r="DA90" s="2">
        <f>IF(OR(DA60="",CZ60=""),0,--(DA60&lt;&gt;CZ60))</f>
        <v>0</v>
      </c>
      <c r="DB90" s="2">
        <f>IF(OR(DB60="",DA60=""),0,--(DB60&lt;&gt;DA60))</f>
        <v>0</v>
      </c>
      <c r="DC90" s="2">
        <f>IF(OR(DC60="",DB60=""),0,--(DC60&lt;&gt;DB60))</f>
        <v>0</v>
      </c>
      <c r="DD90" s="2">
        <f>IF(OR(DD60="",DC60=""),0,--(DD60&lt;&gt;DC60))</f>
        <v>0</v>
      </c>
      <c r="DE90" s="2">
        <f>IF(OR(DE60="",DD60=""),0,--(DE60&lt;&gt;DD60))</f>
        <v>0</v>
      </c>
      <c r="DF90" s="2">
        <f>IF(OR(DF60="",DE60=""),0,--(DF60&lt;&gt;DE60))</f>
        <v>0</v>
      </c>
      <c r="DG90" s="2">
        <f>IF(OR(DG60="",DF60=""),0,--(DG60&lt;&gt;DF60))</f>
        <v>0</v>
      </c>
      <c r="DH90" s="2">
        <f>IF(OR(DH60="",DG60=""),0,--(DH60&lt;&gt;DG60))</f>
        <v>0</v>
      </c>
      <c r="DI90" s="2">
        <f>IF(OR(DI60="",DH60=""),0,--(DI60&lt;&gt;DH60))</f>
        <v>0</v>
      </c>
      <c r="DJ90" s="2">
        <f>IF(OR(DJ60="",DI60=""),0,--(DJ60&lt;&gt;DI60))</f>
        <v>0</v>
      </c>
      <c r="DK90" s="2">
        <f>IF(OR(DK60="",DJ60=""),0,--(DK60&lt;&gt;DJ60))</f>
        <v>0</v>
      </c>
      <c r="DL90" s="2">
        <f>IF(OR(DL60="",DK60=""),0,--(DL60&lt;&gt;DK60))</f>
        <v>0</v>
      </c>
      <c r="DM90" s="2">
        <f>IF(OR(DM60="",DL60=""),0,--(DM60&lt;&gt;DL60))</f>
        <v>0</v>
      </c>
      <c r="DN90" s="2">
        <f>IF(OR(DN60="",DM60=""),0,--(DN60&lt;&gt;DM60))</f>
        <v>0</v>
      </c>
      <c r="DO90" s="2">
        <f>IF(OR(DO60="",DN60=""),0,--(DO60&lt;&gt;DN60))</f>
        <v>0</v>
      </c>
      <c r="DP90" s="2">
        <f>IF(OR(DP60="",DO60=""),0,--(DP60&lt;&gt;DO60))</f>
        <v>0</v>
      </c>
      <c r="DQ90" s="2">
        <f>IF(OR(DQ60="",DP60=""),0,--(DQ60&lt;&gt;DP60))</f>
        <v>0</v>
      </c>
      <c r="DR90" s="2">
        <f>IF(OR(DR60="",DQ60=""),0,--(DR60&lt;&gt;DQ60))</f>
        <v>0</v>
      </c>
      <c r="DS90" s="2">
        <f>IF(OR(DS60="",DR60=""),0,--(DS60&lt;&gt;DR60))</f>
        <v>0</v>
      </c>
      <c r="DT90" s="2">
        <f>IF(OR(DT60="",DS60=""),0,--(DT60&lt;&gt;DS60))</f>
        <v>0</v>
      </c>
      <c r="DU90" s="2">
        <f>IF(OR(DU60="",DT60=""),0,--(DU60&lt;&gt;DT60))</f>
        <v>0</v>
      </c>
      <c r="DV90" s="2">
        <f>IF(OR(DV60="",DU60=""),0,--(DV60&lt;&gt;DU60))</f>
        <v>0</v>
      </c>
      <c r="DW90" s="2">
        <f>IF(OR(DW60="",DV60=""),0,--(DW60&lt;&gt;DV60))</f>
        <v>0</v>
      </c>
      <c r="DX90" s="2">
        <f>IF(OR(DX60="",DW60=""),0,--(DX60&lt;&gt;DW60))</f>
        <v>0</v>
      </c>
      <c r="DY90" s="2">
        <f>IF(OR(DY60="",DX60=""),0,--(DY60&lt;&gt;DX60))</f>
        <v>0</v>
      </c>
      <c r="DZ90" s="2">
        <f>IF(OR(DZ60="",DY60=""),0,--(DZ60&lt;&gt;DY60))</f>
        <v>0</v>
      </c>
      <c r="EA90" s="2">
        <f>IF(OR(EA60="",DZ60=""),0,--(EA60&lt;&gt;DZ60))</f>
        <v>0</v>
      </c>
      <c r="EB90" s="2">
        <f>IF(OR(EB60="",EA60=""),0,--(EB60&lt;&gt;EA60))</f>
        <v>0</v>
      </c>
      <c r="EC90" s="2">
        <f>IF(OR(EC60="",EB60=""),0,--(EC60&lt;&gt;EB60))</f>
        <v>0</v>
      </c>
      <c r="ED90" s="2">
        <f>IF(OR(ED60="",EC60=""),0,--(ED60&lt;&gt;EC60))</f>
        <v>0</v>
      </c>
      <c r="EE90" s="2">
        <f>IF(OR(EE60="",ED60=""),0,--(EE60&lt;&gt;ED60))</f>
        <v>0</v>
      </c>
      <c r="EF90" s="2">
        <f>IF(OR(EF60="",EE60=""),0,--(EF60&lt;&gt;EE60))</f>
        <v>0</v>
      </c>
      <c r="EG90" s="2">
        <f>IF(OR(EG60="",EF60=""),0,--(EG60&lt;&gt;EF60))</f>
        <v>0</v>
      </c>
      <c r="EH90" s="2">
        <f>IF(OR(EH60="",EG60=""),0,--(EH60&lt;&gt;EG60))</f>
        <v>0</v>
      </c>
      <c r="EI90" s="2">
        <f>IF(OR(EI60="",EH60=""),0,--(EI60&lt;&gt;EH60))</f>
        <v>0</v>
      </c>
      <c r="EJ90" s="2">
        <f>IF(OR(EJ60="",EI60=""),0,--(EJ60&lt;&gt;EI60))</f>
        <v>0</v>
      </c>
      <c r="EK90" s="2">
        <f>IF(OR(EK60="",EJ60=""),0,--(EK60&lt;&gt;EJ60))</f>
        <v>0</v>
      </c>
      <c r="EL90" s="2">
        <f>IF(OR(EL60="",EK60=""),0,--(EL60&lt;&gt;EK60))</f>
        <v>0</v>
      </c>
      <c r="EM90" s="2">
        <f>IF(OR(EM60="",EL60=""),0,--(EM60&lt;&gt;EL60))</f>
        <v>0</v>
      </c>
      <c r="EN90" s="2">
        <f>IF(OR(EN60="",EM60=""),0,--(EN60&lt;&gt;EM60))</f>
        <v>0</v>
      </c>
      <c r="EO90" s="2">
        <f>IF(OR(EO60="",EN60=""),0,--(EO60&lt;&gt;EN60))</f>
        <v>0</v>
      </c>
      <c r="EP90" s="2">
        <f>IF(OR(EP60="",EO60=""),0,--(EP60&lt;&gt;EO60))</f>
        <v>0</v>
      </c>
      <c r="EQ90" s="2">
        <f>IF(OR(EQ60="",EP60=""),0,--(EQ60&lt;&gt;EP60))</f>
        <v>0</v>
      </c>
      <c r="ER90" s="2">
        <f>IF(OR(ER60="",EQ60=""),0,--(ER60&lt;&gt;EQ60))</f>
        <v>0</v>
      </c>
      <c r="ES90" s="2">
        <f>IF(OR(ES60="",ER60=""),0,--(ES60&lt;&gt;ER60))</f>
        <v>0</v>
      </c>
      <c r="ET90" s="2">
        <f>IF(OR(ET60="",ES60=""),0,--(ET60&lt;&gt;ES60))</f>
        <v>0</v>
      </c>
      <c r="EU90" s="2">
        <f>IF(OR(EU60="",ET60=""),0,--(EU60&lt;&gt;ET60))</f>
        <v>0</v>
      </c>
      <c r="EV90" s="2">
        <f>IF(OR(EV60="",EU60=""),0,--(EV60&lt;&gt;EU60))</f>
        <v>0</v>
      </c>
      <c r="EW90" s="2">
        <f>IF(OR(EW60="",EV60=""),0,--(EW60&lt;&gt;EV60))</f>
        <v>0</v>
      </c>
      <c r="EX90" s="2">
        <f>IF(OR(EX60="",EW60=""),0,--(EX60&lt;&gt;EW60))</f>
        <v>0</v>
      </c>
      <c r="EY90" s="2">
        <f>IF(OR(EY60="",EX60=""),0,--(EY60&lt;&gt;EX60))</f>
        <v>0</v>
      </c>
      <c r="EZ90" s="2">
        <f>IF(OR(EZ60="",EY60=""),0,--(EZ60&lt;&gt;EY60))</f>
        <v>0</v>
      </c>
      <c r="FA90" s="2">
        <f>IF(OR(FA60="",EZ60=""),0,--(FA60&lt;&gt;EZ60))</f>
        <v>0</v>
      </c>
      <c r="FB90" s="2">
        <f>IF(OR(FB60="",FA60=""),0,--(FB60&lt;&gt;FA60))</f>
        <v>0</v>
      </c>
      <c r="FC90" s="2">
        <f>IF(OR(FC60="",FB60=""),0,--(FC60&lt;&gt;FB60))</f>
        <v>0</v>
      </c>
      <c r="FD90" s="2">
        <f>IF(OR(FD60="",FC60=""),0,--(FD60&lt;&gt;FC60))</f>
        <v>0</v>
      </c>
      <c r="FE90" s="2">
        <f>IF(OR(FE60="",FD60=""),0,--(FE60&lt;&gt;FD60))</f>
        <v>0</v>
      </c>
      <c r="FF90" s="2">
        <f>IF(OR(FF60="",FE60=""),0,--(FF60&lt;&gt;FE60))</f>
        <v>0</v>
      </c>
      <c r="FG90" s="2">
        <f>IF(OR(FG60="",FF60=""),0,--(FG60&lt;&gt;FF60))</f>
        <v>0</v>
      </c>
      <c r="FH90" s="2">
        <f>IF(OR(FH60="",FG60=""),0,--(FH60&lt;&gt;FG60))</f>
        <v>0</v>
      </c>
      <c r="FI90" s="2">
        <f>IF(OR(FI60="",FH60=""),0,--(FI60&lt;&gt;FH60))</f>
        <v>0</v>
      </c>
      <c r="FJ90" s="2">
        <f>IF(OR(FJ60="",FI60=""),0,--(FJ60&lt;&gt;FI60))</f>
        <v>0</v>
      </c>
      <c r="FK90" s="2">
        <f>IF(OR(FK60="",FJ60=""),0,--(FK60&lt;&gt;FJ60))</f>
        <v>0</v>
      </c>
      <c r="FL90" s="2">
        <f>IF(OR(FL60="",FK60=""),0,--(FL60&lt;&gt;FK60))</f>
        <v>0</v>
      </c>
      <c r="FM90" s="2">
        <f>IF(OR(FM60="",FL60=""),0,--(FM60&lt;&gt;FL60))</f>
        <v>0</v>
      </c>
      <c r="FN90" s="2">
        <f>IF(OR(FN60="",FM60=""),0,--(FN60&lt;&gt;FM60))</f>
        <v>0</v>
      </c>
      <c r="FO90" s="2">
        <f>IF(OR(FO60="",FN60=""),0,--(FO60&lt;&gt;FN60))</f>
        <v>0</v>
      </c>
      <c r="FP90" s="2">
        <f>IF(OR(FP60="",FO60=""),0,--(FP60&lt;&gt;FO60))</f>
        <v>0</v>
      </c>
      <c r="FQ90" s="2">
        <f>IF(OR(FQ60="",FP60=""),0,--(FQ60&lt;&gt;FP60))</f>
        <v>0</v>
      </c>
      <c r="FR90" s="2">
        <f>IF(OR(FR60="",FQ60=""),0,--(FR60&lt;&gt;FQ60))</f>
        <v>0</v>
      </c>
      <c r="FS90" s="2">
        <f>IF(OR(FS60="",FR60=""),0,--(FS60&lt;&gt;FR60))</f>
        <v>0</v>
      </c>
      <c r="FT90" s="2">
        <f>IF(OR(FT60="",FS60=""),0,--(FT60&lt;&gt;FS60))</f>
        <v>0</v>
      </c>
      <c r="FU90" s="2">
        <f>IF(OR(FU60="",FT60=""),0,--(FU60&lt;&gt;FT60))</f>
        <v>0</v>
      </c>
      <c r="FV90" s="2">
        <f>IF(OR(FV60="",FU60=""),0,--(FV60&lt;&gt;FU60))</f>
        <v>0</v>
      </c>
      <c r="FW90" s="2">
        <f>IF(OR(FW60="",FV60=""),0,--(FW60&lt;&gt;FV60))</f>
        <v>0</v>
      </c>
      <c r="FX90" s="2">
        <f>IF(OR(FX60="",FW60=""),0,--(FX60&lt;&gt;FW60))</f>
        <v>0</v>
      </c>
      <c r="FY90" s="2">
        <f>IF(OR(FY60="",FX60=""),0,--(FY60&lt;&gt;FX60))</f>
        <v>0</v>
      </c>
      <c r="FZ90" s="2">
        <f>IF(OR(FZ60="",FY60=""),0,--(FZ60&lt;&gt;FY60))</f>
        <v>0</v>
      </c>
      <c r="GA90" s="2">
        <f>IF(OR(GA60="",FZ60=""),0,--(GA60&lt;&gt;FZ60))</f>
        <v>0</v>
      </c>
      <c r="GB90" s="2">
        <f>IF(OR(GB60="",GA60=""),0,--(GB60&lt;&gt;GA60))</f>
        <v>0</v>
      </c>
      <c r="GC90" s="2">
        <f>IF(OR(GC60="",GB60=""),0,--(GC60&lt;&gt;GB60))</f>
        <v>0</v>
      </c>
      <c r="GD90" s="2">
        <f>IF(OR(GD60="",GC60=""),0,--(GD60&lt;&gt;GC60))</f>
        <v>0</v>
      </c>
      <c r="GE90" s="2">
        <f>IF(OR(GE60="",GD60=""),0,--(GE60&lt;&gt;GD60))</f>
        <v>0</v>
      </c>
      <c r="GF90" s="2">
        <f>IF(OR(GF60="",GE60=""),0,--(GF60&lt;&gt;GE60))</f>
        <v>0</v>
      </c>
      <c r="GG90" s="2">
        <f>IF(OR(GG60="",GF60=""),0,--(GG60&lt;&gt;GF60))</f>
        <v>0</v>
      </c>
      <c r="GH90" s="2">
        <f>IF(OR(GH60="",GG60=""),0,--(GH60&lt;&gt;GG60))</f>
        <v>0</v>
      </c>
      <c r="GI90" s="2">
        <f>IF(OR(GI60="",GH60=""),0,--(GI60&lt;&gt;GH60))</f>
        <v>0</v>
      </c>
      <c r="GJ90" s="2">
        <f>IF(OR(GJ60="",GI60=""),0,--(GJ60&lt;&gt;GI60))</f>
        <v>0</v>
      </c>
      <c r="GK90" s="2">
        <f>IF(OR(GK60="",GJ60=""),0,--(GK60&lt;&gt;GJ60))</f>
        <v>0</v>
      </c>
      <c r="GL90" s="2">
        <f>IF(OR(GL60="",GK60=""),0,--(GL60&lt;&gt;GK60))</f>
        <v>0</v>
      </c>
      <c r="GM90" s="2">
        <f>IF(OR(GM60="",GL60=""),0,--(GM60&lt;&gt;GL60))</f>
        <v>0</v>
      </c>
      <c r="GN90" s="2">
        <f>IF(OR(GN60="",GM60=""),0,--(GN60&lt;&gt;GM60))</f>
        <v>0</v>
      </c>
      <c r="GO90" s="2">
        <f>IF(OR(GO60="",GN60=""),0,--(GO60&lt;&gt;GN60))</f>
        <v>0</v>
      </c>
      <c r="GP90" s="2">
        <f>IF(OR(GP60="",GO60=""),0,--(GP60&lt;&gt;GO60))</f>
        <v>0</v>
      </c>
      <c r="GQ90" s="2">
        <f>IF(OR(GQ60="",GP60=""),0,--(GQ60&lt;&gt;GP60))</f>
        <v>0</v>
      </c>
      <c r="GR90" s="2">
        <f>IF(OR(GR60="",GQ60=""),0,--(GR60&lt;&gt;GQ60))</f>
        <v>0</v>
      </c>
      <c r="GS90" s="2">
        <f>IF(OR(GS60="",GR60=""),0,--(GS60&lt;&gt;GR60))</f>
        <v>0</v>
      </c>
      <c r="GY90" s="15">
        <f>SUM($B90:$DB90)</f>
        <v>1</v>
      </c>
    </row>
    <row r="91" spans="1:207">
      <c r="A91" s="2">
        <f>$A61</f>
        <v>26</v>
      </c>
      <c r="B91" s="2">
        <f>0</f>
        <v>0</v>
      </c>
      <c r="C91" s="2">
        <f>IF(OR(C61="",B61=""),0,--(C61&lt;&gt;B61))</f>
        <v>0</v>
      </c>
      <c r="D91" s="2">
        <f>IF(OR(D61="",C61=""),0,--(D61&lt;&gt;C61))</f>
        <v>0</v>
      </c>
      <c r="E91" s="2">
        <f>IF(OR(E61="",D61=""),0,--(E61&lt;&gt;D61))</f>
        <v>0</v>
      </c>
      <c r="F91" s="2">
        <f>IF(OR(F61="",E61=""),0,--(F61&lt;&gt;E61))</f>
        <v>0</v>
      </c>
      <c r="G91" s="2">
        <f>IF(OR(G61="",F61=""),0,--(G61&lt;&gt;F61))</f>
        <v>0</v>
      </c>
      <c r="H91" s="2">
        <f>IF(OR(H61="",G61=""),0,--(H61&lt;&gt;G61))</f>
        <v>0</v>
      </c>
      <c r="I91" s="2">
        <f>IF(OR(I61="",H61=""),0,--(I61&lt;&gt;H61))</f>
        <v>0</v>
      </c>
      <c r="J91" s="2">
        <f>IF(OR(J61="",I61=""),0,--(J61&lt;&gt;I61))</f>
        <v>0</v>
      </c>
      <c r="K91" s="2">
        <f>IF(OR(K61="",J61=""),0,--(K61&lt;&gt;J61))</f>
        <v>0</v>
      </c>
      <c r="L91" s="2">
        <f>IF(OR(L61="",K61=""),0,--(L61&lt;&gt;K61))</f>
        <v>0</v>
      </c>
      <c r="M91" s="2">
        <f>IF(OR(M61="",L61=""),0,--(M61&lt;&gt;L61))</f>
        <v>0</v>
      </c>
      <c r="N91" s="2">
        <f>IF(OR(N61="",M61=""),0,--(N61&lt;&gt;M61))</f>
        <v>0</v>
      </c>
      <c r="O91" s="2">
        <f>IF(OR(O61="",N61=""),0,--(O61&lt;&gt;N61))</f>
        <v>0</v>
      </c>
      <c r="P91" s="2">
        <f>IF(OR(P61="",O61=""),0,--(P61&lt;&gt;O61))</f>
        <v>0</v>
      </c>
      <c r="Q91" s="2">
        <f>IF(OR(Q61="",P61=""),0,--(Q61&lt;&gt;P61))</f>
        <v>0</v>
      </c>
      <c r="R91" s="2">
        <f>IF(OR(R61="",Q61=""),0,--(R61&lt;&gt;Q61))</f>
        <v>0</v>
      </c>
      <c r="S91" s="2">
        <f>IF(OR(S61="",R61=""),0,--(S61&lt;&gt;R61))</f>
        <v>0</v>
      </c>
      <c r="T91" s="2">
        <f>IF(OR(T61="",S61=""),0,--(T61&lt;&gt;S61))</f>
        <v>0</v>
      </c>
      <c r="U91" s="2">
        <f>IF(OR(U61="",T61=""),0,--(U61&lt;&gt;T61))</f>
        <v>0</v>
      </c>
      <c r="V91" s="2">
        <f>IF(OR(V61="",U61=""),0,--(V61&lt;&gt;U61))</f>
        <v>0</v>
      </c>
      <c r="W91" s="2">
        <f>IF(OR(W61="",V61=""),0,--(W61&lt;&gt;V61))</f>
        <v>0</v>
      </c>
      <c r="X91" s="2">
        <f>IF(OR(X61="",W61=""),0,--(X61&lt;&gt;W61))</f>
        <v>0</v>
      </c>
      <c r="Y91" s="2">
        <f>IF(OR(Y61="",X61=""),0,--(Y61&lt;&gt;X61))</f>
        <v>0</v>
      </c>
      <c r="Z91" s="2">
        <f>IF(OR(Z61="",Y61=""),0,--(Z61&lt;&gt;Y61))</f>
        <v>0</v>
      </c>
      <c r="AA91" s="2">
        <f>IF(OR(AA61="",Z61=""),0,--(AA61&lt;&gt;Z61))</f>
        <v>0</v>
      </c>
      <c r="AB91" s="2">
        <f>IF(OR(AB61="",AA61=""),0,--(AB61&lt;&gt;AA61))</f>
        <v>0</v>
      </c>
      <c r="AC91" s="2">
        <f>IF(OR(AC61="",AB61=""),0,--(AC61&lt;&gt;AB61))</f>
        <v>0</v>
      </c>
      <c r="AD91" s="2">
        <f>IF(OR(AD61="",AC61=""),0,--(AD61&lt;&gt;AC61))</f>
        <v>0</v>
      </c>
      <c r="AE91" s="2">
        <f>IF(OR(AE61="",AD61=""),0,--(AE61&lt;&gt;AD61))</f>
        <v>0</v>
      </c>
      <c r="AF91" s="2">
        <f>IF(OR(AF61="",AE61=""),0,--(AF61&lt;&gt;AE61))</f>
        <v>0</v>
      </c>
      <c r="AG91" s="2">
        <f>IF(OR(AG61="",AF61=""),0,--(AG61&lt;&gt;AF61))</f>
        <v>0</v>
      </c>
      <c r="AH91" s="2">
        <f>IF(OR(AH61="",AG61=""),0,--(AH61&lt;&gt;AG61))</f>
        <v>0</v>
      </c>
      <c r="AI91" s="2">
        <f>IF(OR(AI61="",AH61=""),0,--(AI61&lt;&gt;AH61))</f>
        <v>0</v>
      </c>
      <c r="AJ91" s="2">
        <f>IF(OR(AJ61="",AI61=""),0,--(AJ61&lt;&gt;AI61))</f>
        <v>0</v>
      </c>
      <c r="AK91" s="2">
        <f>IF(OR(AK61="",AJ61=""),0,--(AK61&lt;&gt;AJ61))</f>
        <v>0</v>
      </c>
      <c r="AL91" s="2">
        <f>IF(OR(AL61="",AK61=""),0,--(AL61&lt;&gt;AK61))</f>
        <v>1</v>
      </c>
      <c r="AM91" s="2">
        <f>IF(OR(AM61="",AL61=""),0,--(AM61&lt;&gt;AL61))</f>
        <v>1</v>
      </c>
      <c r="AN91" s="2">
        <f>IF(OR(AN61="",AM61=""),0,--(AN61&lt;&gt;AM61))</f>
        <v>0</v>
      </c>
      <c r="AO91" s="2">
        <f>IF(OR(AO61="",AN61=""),0,--(AO61&lt;&gt;AN61))</f>
        <v>0</v>
      </c>
      <c r="AP91" s="2">
        <f>IF(OR(AP61="",AO61=""),0,--(AP61&lt;&gt;AO61))</f>
        <v>0</v>
      </c>
      <c r="AQ91" s="2">
        <f>IF(OR(AQ61="",AP61=""),0,--(AQ61&lt;&gt;AP61))</f>
        <v>0</v>
      </c>
      <c r="AR91" s="2">
        <f>IF(OR(AR61="",AQ61=""),0,--(AR61&lt;&gt;AQ61))</f>
        <v>0</v>
      </c>
      <c r="AS91" s="2">
        <f>IF(OR(AS61="",AR61=""),0,--(AS61&lt;&gt;AR61))</f>
        <v>0</v>
      </c>
      <c r="AT91" s="2">
        <f>IF(OR(AT61="",AS61=""),0,--(AT61&lt;&gt;AS61))</f>
        <v>0</v>
      </c>
      <c r="AU91" s="2">
        <f>IF(OR(AU61="",AT61=""),0,--(AU61&lt;&gt;AT61))</f>
        <v>0</v>
      </c>
      <c r="AV91" s="2">
        <f>IF(OR(AV61="",AU61=""),0,--(AV61&lt;&gt;AU61))</f>
        <v>0</v>
      </c>
      <c r="AW91" s="2">
        <f>IF(OR(AW61="",AV61=""),0,--(AW61&lt;&gt;AV61))</f>
        <v>0</v>
      </c>
      <c r="AX91" s="2">
        <f>IF(OR(AX61="",AW61=""),0,--(AX61&lt;&gt;AW61))</f>
        <v>0</v>
      </c>
      <c r="AY91" s="2">
        <f>IF(OR(AY61="",AX61=""),0,--(AY61&lt;&gt;AX61))</f>
        <v>0</v>
      </c>
      <c r="AZ91" s="2">
        <f>IF(OR(AZ61="",AY61=""),0,--(AZ61&lt;&gt;AY61))</f>
        <v>0</v>
      </c>
      <c r="BA91" s="2">
        <f>IF(OR(BA61="",AZ61=""),0,--(BA61&lt;&gt;AZ61))</f>
        <v>0</v>
      </c>
      <c r="BB91" s="2">
        <f>IF(OR(BB61="",BA61=""),0,--(BB61&lt;&gt;BA61))</f>
        <v>0</v>
      </c>
      <c r="BC91" s="2">
        <f>IF(OR(BC61="",BB61=""),0,--(BC61&lt;&gt;BB61))</f>
        <v>0</v>
      </c>
      <c r="BD91" s="2">
        <f>IF(OR(BD61="",BC61=""),0,--(BD61&lt;&gt;BC61))</f>
        <v>0</v>
      </c>
      <c r="BE91" s="2">
        <f>IF(OR(BE61="",BD61=""),0,--(BE61&lt;&gt;BD61))</f>
        <v>0</v>
      </c>
      <c r="BF91" s="2">
        <f>IF(OR(BF61="",BE61=""),0,--(BF61&lt;&gt;BE61))</f>
        <v>0</v>
      </c>
      <c r="BG91" s="2">
        <f>IF(OR(BG61="",BF61=""),0,--(BG61&lt;&gt;BF61))</f>
        <v>0</v>
      </c>
      <c r="BH91" s="2">
        <f>IF(OR(BH61="",BG61=""),0,--(BH61&lt;&gt;BG61))</f>
        <v>0</v>
      </c>
      <c r="BI91" s="2">
        <f>IF(OR(BI61="",BH61=""),0,--(BI61&lt;&gt;BH61))</f>
        <v>0</v>
      </c>
      <c r="BJ91" s="2">
        <f>IF(OR(BJ61="",BI61=""),0,--(BJ61&lt;&gt;BI61))</f>
        <v>0</v>
      </c>
      <c r="BK91" s="2">
        <f>IF(OR(BK61="",BJ61=""),0,--(BK61&lt;&gt;BJ61))</f>
        <v>0</v>
      </c>
      <c r="BL91" s="2">
        <f>IF(OR(BL61="",BK61=""),0,--(BL61&lt;&gt;BK61))</f>
        <v>0</v>
      </c>
      <c r="BM91" s="2">
        <f>IF(OR(BM61="",BL61=""),0,--(BM61&lt;&gt;BL61))</f>
        <v>0</v>
      </c>
      <c r="BN91" s="2">
        <f>IF(OR(BN61="",BM61=""),0,--(BN61&lt;&gt;BM61))</f>
        <v>0</v>
      </c>
      <c r="BO91" s="2">
        <f>IF(OR(BO61="",BN61=""),0,--(BO61&lt;&gt;BN61))</f>
        <v>0</v>
      </c>
      <c r="BP91" s="2">
        <f>IF(OR(BP61="",BO61=""),0,--(BP61&lt;&gt;BO61))</f>
        <v>0</v>
      </c>
      <c r="BQ91" s="2">
        <f>IF(OR(BQ61="",BP61=""),0,--(BQ61&lt;&gt;BP61))</f>
        <v>0</v>
      </c>
      <c r="BR91" s="2">
        <f>IF(OR(BR61="",BQ61=""),0,--(BR61&lt;&gt;BQ61))</f>
        <v>0</v>
      </c>
      <c r="BS91" s="2">
        <f>IF(OR(BS61="",BR61=""),0,--(BS61&lt;&gt;BR61))</f>
        <v>0</v>
      </c>
      <c r="BT91" s="2">
        <f>IF(OR(BT61="",BS61=""),0,--(BT61&lt;&gt;BS61))</f>
        <v>1</v>
      </c>
      <c r="BU91" s="2">
        <f>IF(OR(BU61="",BT61=""),0,--(BU61&lt;&gt;BT61))</f>
        <v>0</v>
      </c>
      <c r="BV91" s="2">
        <f>IF(OR(BV61="",BU61=""),0,--(BV61&lt;&gt;BU61))</f>
        <v>0</v>
      </c>
      <c r="BW91" s="2">
        <f>IF(OR(BW61="",BV61=""),0,--(BW61&lt;&gt;BV61))</f>
        <v>0</v>
      </c>
      <c r="BX91" s="2">
        <f>IF(OR(BX61="",BW61=""),0,--(BX61&lt;&gt;BW61))</f>
        <v>0</v>
      </c>
      <c r="BY91" s="2">
        <f>IF(OR(BY61="",BX61=""),0,--(BY61&lt;&gt;BX61))</f>
        <v>0</v>
      </c>
      <c r="BZ91" s="2">
        <f>IF(OR(BZ61="",BY61=""),0,--(BZ61&lt;&gt;BY61))</f>
        <v>0</v>
      </c>
      <c r="CA91" s="2">
        <f>IF(OR(CA61="",BZ61=""),0,--(CA61&lt;&gt;BZ61))</f>
        <v>0</v>
      </c>
      <c r="CB91" s="2">
        <f>IF(OR(CB61="",CA61=""),0,--(CB61&lt;&gt;CA61))</f>
        <v>0</v>
      </c>
      <c r="CC91" s="2">
        <f>IF(OR(CC61="",CB61=""),0,--(CC61&lt;&gt;CB61))</f>
        <v>0</v>
      </c>
      <c r="CD91" s="2">
        <f>IF(OR(CD61="",CC61=""),0,--(CD61&lt;&gt;CC61))</f>
        <v>0</v>
      </c>
      <c r="CE91" s="2">
        <f>IF(OR(CE61="",CD61=""),0,--(CE61&lt;&gt;CD61))</f>
        <v>0</v>
      </c>
      <c r="CF91" s="2">
        <f>IF(OR(CF61="",CE61=""),0,--(CF61&lt;&gt;CE61))</f>
        <v>0</v>
      </c>
      <c r="CG91" s="2">
        <f>IF(OR(CG61="",CF61=""),0,--(CG61&lt;&gt;CF61))</f>
        <v>0</v>
      </c>
      <c r="CH91" s="2">
        <f>IF(OR(CH61="",CG61=""),0,--(CH61&lt;&gt;CG61))</f>
        <v>0</v>
      </c>
      <c r="CI91" s="2">
        <f>IF(OR(CI61="",CH61=""),0,--(CI61&lt;&gt;CH61))</f>
        <v>0</v>
      </c>
      <c r="CJ91" s="2">
        <f>IF(OR(CJ61="",CI61=""),0,--(CJ61&lt;&gt;CI61))</f>
        <v>0</v>
      </c>
      <c r="CK91" s="2">
        <f>IF(OR(CK61="",CJ61=""),0,--(CK61&lt;&gt;CJ61))</f>
        <v>0</v>
      </c>
      <c r="CL91" s="2">
        <f>IF(OR(CL61="",CK61=""),0,--(CL61&lt;&gt;CK61))</f>
        <v>0</v>
      </c>
      <c r="CM91" s="2">
        <f>IF(OR(CM61="",CL61=""),0,--(CM61&lt;&gt;CL61))</f>
        <v>0</v>
      </c>
      <c r="CN91" s="2">
        <f>IF(OR(CN61="",CM61=""),0,--(CN61&lt;&gt;CM61))</f>
        <v>0</v>
      </c>
      <c r="CO91" s="2">
        <f>IF(OR(CO61="",CN61=""),0,--(CO61&lt;&gt;CN61))</f>
        <v>0</v>
      </c>
      <c r="CP91" s="2">
        <f>IF(OR(CP61="",CO61=""),0,--(CP61&lt;&gt;CO61))</f>
        <v>0</v>
      </c>
      <c r="CQ91" s="2">
        <f>IF(OR(CQ61="",CP61=""),0,--(CQ61&lt;&gt;CP61))</f>
        <v>0</v>
      </c>
      <c r="CR91" s="2">
        <f>IF(OR(CR61="",CQ61=""),0,--(CR61&lt;&gt;CQ61))</f>
        <v>0</v>
      </c>
      <c r="CS91" s="2">
        <f>IF(OR(CS61="",CR61=""),0,--(CS61&lt;&gt;CR61))</f>
        <v>0</v>
      </c>
      <c r="CT91" s="2">
        <f>IF(OR(CT61="",CS61=""),0,--(CT61&lt;&gt;CS61))</f>
        <v>0</v>
      </c>
      <c r="CU91" s="2">
        <f>IF(OR(CU61="",CT61=""),0,--(CU61&lt;&gt;CT61))</f>
        <v>0</v>
      </c>
      <c r="CV91" s="2">
        <f>IF(OR(CV61="",CU61=""),0,--(CV61&lt;&gt;CU61))</f>
        <v>0</v>
      </c>
      <c r="CW91" s="2">
        <f>IF(OR(CW61="",CV61=""),0,--(CW61&lt;&gt;CV61))</f>
        <v>0</v>
      </c>
      <c r="CX91" s="2">
        <f>IF(OR(CX61="",CW61=""),0,--(CX61&lt;&gt;CW61))</f>
        <v>0</v>
      </c>
      <c r="CY91" s="2">
        <f>IF(OR(CY61="",CX61=""),0,--(CY61&lt;&gt;CX61))</f>
        <v>0</v>
      </c>
      <c r="CZ91" s="2">
        <f>IF(OR(CZ61="",CY61=""),0,--(CZ61&lt;&gt;CY61))</f>
        <v>0</v>
      </c>
      <c r="DA91" s="2">
        <f>IF(OR(DA61="",CZ61=""),0,--(DA61&lt;&gt;CZ61))</f>
        <v>0</v>
      </c>
      <c r="DB91" s="2">
        <f>IF(OR(DB61="",DA61=""),0,--(DB61&lt;&gt;DA61))</f>
        <v>0</v>
      </c>
      <c r="DC91" s="2">
        <f>IF(OR(DC61="",DB61=""),0,--(DC61&lt;&gt;DB61))</f>
        <v>0</v>
      </c>
      <c r="DD91" s="2">
        <f>IF(OR(DD61="",DC61=""),0,--(DD61&lt;&gt;DC61))</f>
        <v>0</v>
      </c>
      <c r="DE91" s="2">
        <f>IF(OR(DE61="",DD61=""),0,--(DE61&lt;&gt;DD61))</f>
        <v>0</v>
      </c>
      <c r="DF91" s="2">
        <f>IF(OR(DF61="",DE61=""),0,--(DF61&lt;&gt;DE61))</f>
        <v>0</v>
      </c>
      <c r="DG91" s="2">
        <f>IF(OR(DG61="",DF61=""),0,--(DG61&lt;&gt;DF61))</f>
        <v>0</v>
      </c>
      <c r="DH91" s="2">
        <f>IF(OR(DH61="",DG61=""),0,--(DH61&lt;&gt;DG61))</f>
        <v>0</v>
      </c>
      <c r="DI91" s="2">
        <f>IF(OR(DI61="",DH61=""),0,--(DI61&lt;&gt;DH61))</f>
        <v>0</v>
      </c>
      <c r="DJ91" s="2">
        <f>IF(OR(DJ61="",DI61=""),0,--(DJ61&lt;&gt;DI61))</f>
        <v>0</v>
      </c>
      <c r="DK91" s="2">
        <f>IF(OR(DK61="",DJ61=""),0,--(DK61&lt;&gt;DJ61))</f>
        <v>0</v>
      </c>
      <c r="DL91" s="2">
        <f>IF(OR(DL61="",DK61=""),0,--(DL61&lt;&gt;DK61))</f>
        <v>0</v>
      </c>
      <c r="DM91" s="2">
        <f>IF(OR(DM61="",DL61=""),0,--(DM61&lt;&gt;DL61))</f>
        <v>0</v>
      </c>
      <c r="DN91" s="2">
        <f>IF(OR(DN61="",DM61=""),0,--(DN61&lt;&gt;DM61))</f>
        <v>0</v>
      </c>
      <c r="DO91" s="2">
        <f>IF(OR(DO61="",DN61=""),0,--(DO61&lt;&gt;DN61))</f>
        <v>0</v>
      </c>
      <c r="DP91" s="2">
        <f>IF(OR(DP61="",DO61=""),0,--(DP61&lt;&gt;DO61))</f>
        <v>0</v>
      </c>
      <c r="DQ91" s="2">
        <f>IF(OR(DQ61="",DP61=""),0,--(DQ61&lt;&gt;DP61))</f>
        <v>0</v>
      </c>
      <c r="DR91" s="2">
        <f>IF(OR(DR61="",DQ61=""),0,--(DR61&lt;&gt;DQ61))</f>
        <v>0</v>
      </c>
      <c r="DS91" s="2">
        <f>IF(OR(DS61="",DR61=""),0,--(DS61&lt;&gt;DR61))</f>
        <v>0</v>
      </c>
      <c r="DT91" s="2">
        <f>IF(OR(DT61="",DS61=""),0,--(DT61&lt;&gt;DS61))</f>
        <v>0</v>
      </c>
      <c r="DU91" s="2">
        <f>IF(OR(DU61="",DT61=""),0,--(DU61&lt;&gt;DT61))</f>
        <v>0</v>
      </c>
      <c r="DV91" s="2">
        <f>IF(OR(DV61="",DU61=""),0,--(DV61&lt;&gt;DU61))</f>
        <v>0</v>
      </c>
      <c r="DW91" s="2">
        <f>IF(OR(DW61="",DV61=""),0,--(DW61&lt;&gt;DV61))</f>
        <v>0</v>
      </c>
      <c r="DX91" s="2">
        <f>IF(OR(DX61="",DW61=""),0,--(DX61&lt;&gt;DW61))</f>
        <v>0</v>
      </c>
      <c r="DY91" s="2">
        <f>IF(OR(DY61="",DX61=""),0,--(DY61&lt;&gt;DX61))</f>
        <v>0</v>
      </c>
      <c r="DZ91" s="2">
        <f>IF(OR(DZ61="",DY61=""),0,--(DZ61&lt;&gt;DY61))</f>
        <v>0</v>
      </c>
      <c r="EA91" s="2">
        <f>IF(OR(EA61="",DZ61=""),0,--(EA61&lt;&gt;DZ61))</f>
        <v>0</v>
      </c>
      <c r="EB91" s="2">
        <f>IF(OR(EB61="",EA61=""),0,--(EB61&lt;&gt;EA61))</f>
        <v>0</v>
      </c>
      <c r="EC91" s="2">
        <f>IF(OR(EC61="",EB61=""),0,--(EC61&lt;&gt;EB61))</f>
        <v>0</v>
      </c>
      <c r="ED91" s="2">
        <f>IF(OR(ED61="",EC61=""),0,--(ED61&lt;&gt;EC61))</f>
        <v>0</v>
      </c>
      <c r="EE91" s="2">
        <f>IF(OR(EE61="",ED61=""),0,--(EE61&lt;&gt;ED61))</f>
        <v>0</v>
      </c>
      <c r="EF91" s="2">
        <f>IF(OR(EF61="",EE61=""),0,--(EF61&lt;&gt;EE61))</f>
        <v>0</v>
      </c>
      <c r="EG91" s="2">
        <f>IF(OR(EG61="",EF61=""),0,--(EG61&lt;&gt;EF61))</f>
        <v>0</v>
      </c>
      <c r="EH91" s="2">
        <f>IF(OR(EH61="",EG61=""),0,--(EH61&lt;&gt;EG61))</f>
        <v>0</v>
      </c>
      <c r="EI91" s="2">
        <f>IF(OR(EI61="",EH61=""),0,--(EI61&lt;&gt;EH61))</f>
        <v>0</v>
      </c>
      <c r="EJ91" s="2">
        <f>IF(OR(EJ61="",EI61=""),0,--(EJ61&lt;&gt;EI61))</f>
        <v>0</v>
      </c>
      <c r="EK91" s="2">
        <f>IF(OR(EK61="",EJ61=""),0,--(EK61&lt;&gt;EJ61))</f>
        <v>0</v>
      </c>
      <c r="EL91" s="2">
        <f>IF(OR(EL61="",EK61=""),0,--(EL61&lt;&gt;EK61))</f>
        <v>0</v>
      </c>
      <c r="EM91" s="2">
        <f>IF(OR(EM61="",EL61=""),0,--(EM61&lt;&gt;EL61))</f>
        <v>0</v>
      </c>
      <c r="EN91" s="2">
        <f>IF(OR(EN61="",EM61=""),0,--(EN61&lt;&gt;EM61))</f>
        <v>0</v>
      </c>
      <c r="EO91" s="2">
        <f>IF(OR(EO61="",EN61=""),0,--(EO61&lt;&gt;EN61))</f>
        <v>0</v>
      </c>
      <c r="EP91" s="2">
        <f>IF(OR(EP61="",EO61=""),0,--(EP61&lt;&gt;EO61))</f>
        <v>0</v>
      </c>
      <c r="EQ91" s="2">
        <f>IF(OR(EQ61="",EP61=""),0,--(EQ61&lt;&gt;EP61))</f>
        <v>0</v>
      </c>
      <c r="ER91" s="2">
        <f>IF(OR(ER61="",EQ61=""),0,--(ER61&lt;&gt;EQ61))</f>
        <v>0</v>
      </c>
      <c r="ES91" s="2">
        <f>IF(OR(ES61="",ER61=""),0,--(ES61&lt;&gt;ER61))</f>
        <v>0</v>
      </c>
      <c r="ET91" s="2">
        <f>IF(OR(ET61="",ES61=""),0,--(ET61&lt;&gt;ES61))</f>
        <v>0</v>
      </c>
      <c r="EU91" s="2">
        <f>IF(OR(EU61="",ET61=""),0,--(EU61&lt;&gt;ET61))</f>
        <v>0</v>
      </c>
      <c r="EV91" s="2">
        <f>IF(OR(EV61="",EU61=""),0,--(EV61&lt;&gt;EU61))</f>
        <v>0</v>
      </c>
      <c r="EW91" s="2">
        <f>IF(OR(EW61="",EV61=""),0,--(EW61&lt;&gt;EV61))</f>
        <v>0</v>
      </c>
      <c r="EX91" s="2">
        <f>IF(OR(EX61="",EW61=""),0,--(EX61&lt;&gt;EW61))</f>
        <v>0</v>
      </c>
      <c r="EY91" s="2">
        <f>IF(OR(EY61="",EX61=""),0,--(EY61&lt;&gt;EX61))</f>
        <v>0</v>
      </c>
      <c r="EZ91" s="2">
        <f>IF(OR(EZ61="",EY61=""),0,--(EZ61&lt;&gt;EY61))</f>
        <v>0</v>
      </c>
      <c r="FA91" s="2">
        <f>IF(OR(FA61="",EZ61=""),0,--(FA61&lt;&gt;EZ61))</f>
        <v>0</v>
      </c>
      <c r="FB91" s="2">
        <f>IF(OR(FB61="",FA61=""),0,--(FB61&lt;&gt;FA61))</f>
        <v>0</v>
      </c>
      <c r="FC91" s="2">
        <f>IF(OR(FC61="",FB61=""),0,--(FC61&lt;&gt;FB61))</f>
        <v>0</v>
      </c>
      <c r="FD91" s="2">
        <f>IF(OR(FD61="",FC61=""),0,--(FD61&lt;&gt;FC61))</f>
        <v>0</v>
      </c>
      <c r="FE91" s="2">
        <f>IF(OR(FE61="",FD61=""),0,--(FE61&lt;&gt;FD61))</f>
        <v>0</v>
      </c>
      <c r="FF91" s="2">
        <f>IF(OR(FF61="",FE61=""),0,--(FF61&lt;&gt;FE61))</f>
        <v>0</v>
      </c>
      <c r="FG91" s="2">
        <f>IF(OR(FG61="",FF61=""),0,--(FG61&lt;&gt;FF61))</f>
        <v>0</v>
      </c>
      <c r="FH91" s="2">
        <f>IF(OR(FH61="",FG61=""),0,--(FH61&lt;&gt;FG61))</f>
        <v>0</v>
      </c>
      <c r="FI91" s="2">
        <f>IF(OR(FI61="",FH61=""),0,--(FI61&lt;&gt;FH61))</f>
        <v>0</v>
      </c>
      <c r="FJ91" s="2">
        <f>IF(OR(FJ61="",FI61=""),0,--(FJ61&lt;&gt;FI61))</f>
        <v>0</v>
      </c>
      <c r="FK91" s="2">
        <f>IF(OR(FK61="",FJ61=""),0,--(FK61&lt;&gt;FJ61))</f>
        <v>0</v>
      </c>
      <c r="FL91" s="2">
        <f>IF(OR(FL61="",FK61=""),0,--(FL61&lt;&gt;FK61))</f>
        <v>0</v>
      </c>
      <c r="FM91" s="2">
        <f>IF(OR(FM61="",FL61=""),0,--(FM61&lt;&gt;FL61))</f>
        <v>0</v>
      </c>
      <c r="FN91" s="2">
        <f>IF(OR(FN61="",FM61=""),0,--(FN61&lt;&gt;FM61))</f>
        <v>0</v>
      </c>
      <c r="FO91" s="2">
        <f>IF(OR(FO61="",FN61=""),0,--(FO61&lt;&gt;FN61))</f>
        <v>0</v>
      </c>
      <c r="FP91" s="2">
        <f>IF(OR(FP61="",FO61=""),0,--(FP61&lt;&gt;FO61))</f>
        <v>0</v>
      </c>
      <c r="FQ91" s="2">
        <f>IF(OR(FQ61="",FP61=""),0,--(FQ61&lt;&gt;FP61))</f>
        <v>0</v>
      </c>
      <c r="FR91" s="2">
        <f>IF(OR(FR61="",FQ61=""),0,--(FR61&lt;&gt;FQ61))</f>
        <v>0</v>
      </c>
      <c r="FS91" s="2">
        <f>IF(OR(FS61="",FR61=""),0,--(FS61&lt;&gt;FR61))</f>
        <v>0</v>
      </c>
      <c r="FT91" s="2">
        <f>IF(OR(FT61="",FS61=""),0,--(FT61&lt;&gt;FS61))</f>
        <v>0</v>
      </c>
      <c r="FU91" s="2">
        <f>IF(OR(FU61="",FT61=""),0,--(FU61&lt;&gt;FT61))</f>
        <v>0</v>
      </c>
      <c r="FV91" s="2">
        <f>IF(OR(FV61="",FU61=""),0,--(FV61&lt;&gt;FU61))</f>
        <v>0</v>
      </c>
      <c r="FW91" s="2">
        <f>IF(OR(FW61="",FV61=""),0,--(FW61&lt;&gt;FV61))</f>
        <v>0</v>
      </c>
      <c r="FX91" s="2">
        <f>IF(OR(FX61="",FW61=""),0,--(FX61&lt;&gt;FW61))</f>
        <v>0</v>
      </c>
      <c r="FY91" s="2">
        <f>IF(OR(FY61="",FX61=""),0,--(FY61&lt;&gt;FX61))</f>
        <v>0</v>
      </c>
      <c r="FZ91" s="2">
        <f>IF(OR(FZ61="",FY61=""),0,--(FZ61&lt;&gt;FY61))</f>
        <v>0</v>
      </c>
      <c r="GA91" s="2">
        <f>IF(OR(GA61="",FZ61=""),0,--(GA61&lt;&gt;FZ61))</f>
        <v>0</v>
      </c>
      <c r="GB91" s="2">
        <f>IF(OR(GB61="",GA61=""),0,--(GB61&lt;&gt;GA61))</f>
        <v>0</v>
      </c>
      <c r="GC91" s="2">
        <f>IF(OR(GC61="",GB61=""),0,--(GC61&lt;&gt;GB61))</f>
        <v>0</v>
      </c>
      <c r="GD91" s="2">
        <f>IF(OR(GD61="",GC61=""),0,--(GD61&lt;&gt;GC61))</f>
        <v>0</v>
      </c>
      <c r="GE91" s="2">
        <f>IF(OR(GE61="",GD61=""),0,--(GE61&lt;&gt;GD61))</f>
        <v>0</v>
      </c>
      <c r="GF91" s="2">
        <f>IF(OR(GF61="",GE61=""),0,--(GF61&lt;&gt;GE61))</f>
        <v>0</v>
      </c>
      <c r="GG91" s="2">
        <f>IF(OR(GG61="",GF61=""),0,--(GG61&lt;&gt;GF61))</f>
        <v>0</v>
      </c>
      <c r="GH91" s="2">
        <f>IF(OR(GH61="",GG61=""),0,--(GH61&lt;&gt;GG61))</f>
        <v>0</v>
      </c>
      <c r="GI91" s="2">
        <f>IF(OR(GI61="",GH61=""),0,--(GI61&lt;&gt;GH61))</f>
        <v>0</v>
      </c>
      <c r="GJ91" s="2">
        <f>IF(OR(GJ61="",GI61=""),0,--(GJ61&lt;&gt;GI61))</f>
        <v>0</v>
      </c>
      <c r="GK91" s="2">
        <f>IF(OR(GK61="",GJ61=""),0,--(GK61&lt;&gt;GJ61))</f>
        <v>0</v>
      </c>
      <c r="GL91" s="2">
        <f>IF(OR(GL61="",GK61=""),0,--(GL61&lt;&gt;GK61))</f>
        <v>0</v>
      </c>
      <c r="GM91" s="2">
        <f>IF(OR(GM61="",GL61=""),0,--(GM61&lt;&gt;GL61))</f>
        <v>0</v>
      </c>
      <c r="GN91" s="2">
        <f>IF(OR(GN61="",GM61=""),0,--(GN61&lt;&gt;GM61))</f>
        <v>0</v>
      </c>
      <c r="GO91" s="2">
        <f>IF(OR(GO61="",GN61=""),0,--(GO61&lt;&gt;GN61))</f>
        <v>0</v>
      </c>
      <c r="GP91" s="2">
        <f>IF(OR(GP61="",GO61=""),0,--(GP61&lt;&gt;GO61))</f>
        <v>0</v>
      </c>
      <c r="GQ91" s="2">
        <f>IF(OR(GQ61="",GP61=""),0,--(GQ61&lt;&gt;GP61))</f>
        <v>0</v>
      </c>
      <c r="GR91" s="2">
        <f>IF(OR(GR61="",GQ61=""),0,--(GR61&lt;&gt;GQ61))</f>
        <v>0</v>
      </c>
      <c r="GS91" s="2">
        <f>IF(OR(GS61="",GR61=""),0,--(GS61&lt;&gt;GR61))</f>
        <v>0</v>
      </c>
      <c r="GY91" s="15">
        <f>SUM($B91:$DB91)</f>
        <v>3</v>
      </c>
    </row>
  </sheetData>
  <sheetProtection sheet="1" objects="1" scenarios="1" formatCells="0" formatColumns="0" formatRows="0"/>
  <conditionalFormatting sqref="B6:GS31">
    <cfRule type="containsText" dxfId="59" priority="1" operator="containsText" text="5543">
      <formula>NOT(ISERROR(SEARCH("5543",B6)))</formula>
    </cfRule>
  </conditionalFormatting>
  <conditionalFormatting sqref="B6:GS31">
    <cfRule type="containsText" dxfId="58" priority="2" operator="containsText" text="5544">
      <formula>NOT(ISERROR(SEARCH("5544",B6)))</formula>
    </cfRule>
  </conditionalFormatting>
  <conditionalFormatting sqref="B6:GS31">
    <cfRule type="containsText" dxfId="57" priority="3" operator="containsText" text="TH-06">
      <formula>NOT(ISERROR(SEARCH("TH-06",B6)))</formula>
    </cfRule>
  </conditionalFormatting>
  <conditionalFormatting sqref="B6:GS31">
    <cfRule type="containsText" dxfId="56" priority="4" operator="containsText" text="TH-05">
      <formula>NOT(ISERROR(SEARCH("TH-05",B6)))</formula>
    </cfRule>
  </conditionalFormatting>
  <conditionalFormatting sqref="B6:GS31">
    <cfRule type="containsText" dxfId="55" priority="5" operator="containsText" text="5503">
      <formula>NOT(ISERROR(SEARCH("5503",B6)))</formula>
    </cfRule>
  </conditionalFormatting>
  <conditionalFormatting sqref="B6:GS31">
    <cfRule type="containsText" dxfId="54" priority="6" operator="containsText" text="POLO">
      <formula>NOT(ISERROR(SEARCH("POLO",B6)))</formula>
    </cfRule>
  </conditionalFormatting>
  <conditionalFormatting sqref="B6:GS31">
    <cfRule type="containsText" dxfId="53" priority="7" operator="containsText" text="5501">
      <formula>NOT(ISERROR(SEARCH("5501",B6)))</formula>
    </cfRule>
  </conditionalFormatting>
  <conditionalFormatting sqref="B6:GS31">
    <cfRule type="containsText" dxfId="52" priority="8" operator="containsText" text="5500">
      <formula>NOT(ISERROR(SEARCH("5500",B6)))</formula>
    </cfRule>
  </conditionalFormatting>
  <conditionalFormatting sqref="B6:GS31">
    <cfRule type="containsText" dxfId="51" priority="9" operator="containsText" text="5220">
      <formula>NOT(ISERROR(SEARCH("5220",B6)))</formula>
    </cfRule>
  </conditionalFormatting>
  <conditionalFormatting sqref="B6:GS31">
    <cfRule type="containsText" dxfId="50" priority="10" operator="containsText" text="5200">
      <formula>NOT(ISERROR(SEARCH("5200",B6)))</formula>
    </cfRule>
  </conditionalFormatting>
  <conditionalFormatting sqref="B6:GS31">
    <cfRule type="containsText" dxfId="49" priority="11" operator="containsText" text="4359">
      <formula>NOT(ISERROR(SEARCH("4359",B6)))</formula>
    </cfRule>
  </conditionalFormatting>
  <conditionalFormatting sqref="B6:GS31">
    <cfRule type="containsText" dxfId="48" priority="12" operator="containsText" text="4222">
      <formula>NOT(ISERROR(SEARCH("4222",B6)))</formula>
    </cfRule>
  </conditionalFormatting>
  <conditionalFormatting sqref="B6:GS31">
    <cfRule type="containsText" dxfId="47" priority="13" operator="containsText" text="4223">
      <formula>NOT(ISERROR(SEARCH("4223",B6)))</formula>
    </cfRule>
  </conditionalFormatting>
  <conditionalFormatting sqref="B6:GS31">
    <cfRule type="containsText" dxfId="46" priority="14" operator="containsText" text="5201">
      <formula>NOT(ISERROR(SEARCH("5201",B6)))</formula>
    </cfRule>
  </conditionalFormatting>
  <conditionalFormatting sqref="B6:GS31">
    <cfRule type="containsText" dxfId="45" priority="15" operator="containsText" text="T Shirt">
      <formula>NOT(ISERROR(SEARCH("T Shirt",B6)))</formula>
    </cfRule>
  </conditionalFormatting>
  <conditionalFormatting sqref="B6:GS31">
    <cfRule type="containsText" dxfId="44" priority="16" operator="containsText" text="4525">
      <formula>NOT(ISERROR(SEARCH("4525",B6)))</formula>
    </cfRule>
  </conditionalFormatting>
  <conditionalFormatting sqref="B6:GS31">
    <cfRule type="containsText" dxfId="43" priority="17" operator="containsText" text="4523">
      <formula>NOT(ISERROR(SEARCH("4523",B6)))</formula>
    </cfRule>
  </conditionalFormatting>
  <conditionalFormatting sqref="B6:GS31">
    <cfRule type="containsText" dxfId="42" priority="18" operator="containsText" text="BW-30">
      <formula>NOT(ISERROR(SEARCH("BW-30",B6)))</formula>
    </cfRule>
  </conditionalFormatting>
  <conditionalFormatting sqref="B6:GS31">
    <cfRule type="containsText" dxfId="41" priority="19" operator="containsText" text="RS-92">
      <formula>NOT(ISERROR(SEARCH("RS-92",B6)))</formula>
    </cfRule>
  </conditionalFormatting>
  <conditionalFormatting sqref="B6:GS31">
    <cfRule type="containsText" dxfId="40" priority="20" operator="containsText" text="RS-63">
      <formula>NOT(ISERROR(SEARCH("RS-63",B6)))</formula>
    </cfRule>
  </conditionalFormatting>
  <conditionalFormatting sqref="B6:GS31">
    <cfRule type="containsText" dxfId="39" priority="21" operator="containsText" text="RS-60">
      <formula>NOT(ISERROR(SEARCH("RS-60",B6)))</formula>
    </cfRule>
  </conditionalFormatting>
  <conditionalFormatting sqref="B6:GS31">
    <cfRule type="containsText" dxfId="38" priority="22" operator="containsText" text="RS-52">
      <formula>NOT(ISERROR(SEARCH("RS-52",B6)))</formula>
    </cfRule>
  </conditionalFormatting>
  <conditionalFormatting sqref="B6:GS31">
    <cfRule type="containsText" dxfId="37" priority="23" operator="containsText" text="Panty">
      <formula>NOT(ISERROR(SEARCH("Panty",B6)))</formula>
    </cfRule>
  </conditionalFormatting>
  <conditionalFormatting sqref="B6:GS31">
    <cfRule type="containsText" dxfId="36" priority="24" operator="containsText" text="RS-17">
      <formula>NOT(ISERROR(SEARCH("RS-17",B6)))</formula>
    </cfRule>
  </conditionalFormatting>
  <conditionalFormatting sqref="B6:GS31">
    <cfRule type="containsText" dxfId="35" priority="25" operator="containsText" text="RS-27">
      <formula>NOT(ISERROR(SEARCH("RS-27",B6)))</formula>
    </cfRule>
  </conditionalFormatting>
  <conditionalFormatting sqref="B6:GS31">
    <cfRule type="containsText" dxfId="34" priority="26" operator="containsText" text="4301">
      <formula>NOT(ISERROR(SEARCH("4301",B6)))</formula>
    </cfRule>
  </conditionalFormatting>
  <conditionalFormatting sqref="B6:GS31">
    <cfRule type="containsText" dxfId="33" priority="27" operator="containsText" text="4300">
      <formula>NOT(ISERROR(SEARCH("4300",B6)))</formula>
    </cfRule>
  </conditionalFormatting>
  <conditionalFormatting sqref="B6:GS31">
    <cfRule type="containsText" dxfId="32" priority="28" operator="containsText" text="TH-04">
      <formula>NOT(ISERROR(SEARCH("TH-04",B6)))</formula>
    </cfRule>
  </conditionalFormatting>
  <conditionalFormatting sqref="B6:GS31">
    <cfRule type="containsText" dxfId="31" priority="29" operator="containsText" text="TH-02">
      <formula>NOT(ISERROR(SEARCH("TH-02",B6)))</formula>
    </cfRule>
  </conditionalFormatting>
  <conditionalFormatting sqref="B6:GS31">
    <cfRule type="containsText" dxfId="30" priority="30" operator="containsText" text="TH-01">
      <formula>NOT(ISERROR(SEARCH("TH-01",B6)))</formula>
    </cfRule>
  </conditionalFormatting>
  <conditionalFormatting sqref="B6:GS31">
    <cfRule type="containsText" dxfId="29" priority="31" operator="containsText" text="VACCANT">
      <formula>NOT(ISERROR(SEARCH("VACCANT",B6)))</formula>
    </cfRule>
  </conditionalFormatting>
  <conditionalFormatting sqref="B6:GS31">
    <cfRule type="containsText" dxfId="28" priority="32" operator="containsText" text="THERMAL">
      <formula>NOT(ISERROR(SEARCH("THERMAL",B6)))</formula>
    </cfRule>
  </conditionalFormatting>
  <conditionalFormatting sqref="B6:GS31">
    <cfRule type="containsText" dxfId="27" priority="33" operator="containsText" text="7926">
      <formula>NOT(ISERROR(SEARCH("7926",B6)))</formula>
    </cfRule>
  </conditionalFormatting>
  <conditionalFormatting sqref="B6:GS31">
    <cfRule type="containsText" dxfId="26" priority="34" operator="containsText" text="6820">
      <formula>NOT(ISERROR(SEARCH("6820",B6)))</formula>
    </cfRule>
  </conditionalFormatting>
  <conditionalFormatting sqref="B6:GS31">
    <cfRule type="containsText" dxfId="25" priority="35" operator="containsText" text="6137">
      <formula>NOT(ISERROR(SEARCH("6137",B6)))</formula>
    </cfRule>
  </conditionalFormatting>
  <conditionalFormatting sqref="B6:GS31">
    <cfRule type="containsText" dxfId="24" priority="36" operator="containsText" text="6135">
      <formula>NOT(ISERROR(SEARCH("6135",B6)))</formula>
    </cfRule>
  </conditionalFormatting>
  <conditionalFormatting sqref="B6:GS31">
    <cfRule type="containsText" dxfId="23" priority="37" operator="containsText" text="6109">
      <formula>NOT(ISERROR(SEARCH("6109",B6)))</formula>
    </cfRule>
  </conditionalFormatting>
  <conditionalFormatting sqref="B6:GS31">
    <cfRule type="containsText" dxfId="22" priority="38" operator="containsText" text="6108">
      <formula>NOT(ISERROR(SEARCH("6108",B6)))</formula>
    </cfRule>
  </conditionalFormatting>
  <conditionalFormatting sqref="B6:GS31">
    <cfRule type="containsText" dxfId="21" priority="39" operator="containsText" text="5520">
      <formula>NOT(ISERROR(SEARCH("5520",B6)))</formula>
    </cfRule>
  </conditionalFormatting>
  <conditionalFormatting sqref="B6:GS31">
    <cfRule type="containsText" dxfId="20" priority="40" operator="containsText" text="4117">
      <formula>NOT(ISERROR(SEARCH("4117",B6)))</formula>
    </cfRule>
  </conditionalFormatting>
  <conditionalFormatting sqref="B6:GS31">
    <cfRule type="containsText" dxfId="19" priority="41" operator="containsText" text="4115">
      <formula>NOT(ISERROR(SEARCH("4115",B6)))</formula>
    </cfRule>
  </conditionalFormatting>
  <conditionalFormatting sqref="B6:GS31">
    <cfRule type="containsText" dxfId="18" priority="42" operator="containsText" text="4110">
      <formula>NOT(ISERROR(SEARCH("4110",B6)))</formula>
    </cfRule>
  </conditionalFormatting>
  <conditionalFormatting sqref="B6:GS31">
    <cfRule type="containsText" dxfId="17" priority="43" operator="containsText" text="RS17">
      <formula>NOT(ISERROR(SEARCH("RS17",B6)))</formula>
    </cfRule>
  </conditionalFormatting>
  <conditionalFormatting sqref="B6:GS31">
    <cfRule type="containsText" dxfId="16" priority="44" operator="containsText" text="4406/10">
      <formula>NOT(ISERROR(SEARCH("4406/10",B6)))</formula>
    </cfRule>
  </conditionalFormatting>
  <conditionalFormatting sqref="B6:GS31">
    <cfRule type="containsText" dxfId="15" priority="45" operator="containsText" text="RS 26/27">
      <formula>NOT(ISERROR(SEARCH("RS 26/27",B6)))</formula>
    </cfRule>
  </conditionalFormatting>
  <conditionalFormatting sqref="B6:GS31">
    <cfRule type="containsText" dxfId="14" priority="46" operator="containsText" text="4300/4301">
      <formula>NOT(ISERROR(SEARCH("4300/4301",B6)))</formula>
    </cfRule>
  </conditionalFormatting>
  <dataValidations count="2">
    <dataValidation type="list" errorStyle="warning" allowBlank="1" showInputMessage="1" showErrorMessage="1" errorTitle="Not on the style list" error="Pick a style from the dropdown, or add it to the STYLE LIST first. Blank means no work that day." sqref="GT6" xr:uid="{D79DF4E3-5912-4E30-94E0-898966E9ABA8}">
      <formula1>$HA$5:$HA$19</formula1>
    </dataValidation>
    <dataValidation type="list" errorStyle="warning" allowBlank="1" showInputMessage="1" showErrorMessage="1" errorTitle="Not an EMBELISHMENT style" error="Pick from the dropdown. The list is every style column on EMBELISHMENT, plus VACCANT. Blank means no work." sqref="B6:GS31" xr:uid="{6A34CE8A-0754-45FF-8A13-D91CD22F1B3C}">
      <formula1>$HE$5:$HE$47</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439C8-45BF-47E1-9DE8-08089A960402}">
  <dimension ref="A1:E29"/>
  <sheetViews>
    <sheetView workbookViewId="0">
      <pane ySplit="1" topLeftCell="A2" activePane="bottomLeft" state="frozen"/>
      <selection pane="bottomLeft" activeCell="H26" sqref="H26"/>
    </sheetView>
    <sheetView workbookViewId="1"/>
  </sheetViews>
  <sheetFormatPr defaultRowHeight="15"/>
  <cols>
    <col min="1" max="1" width="22.42578125" style="2" customWidth="1"/>
    <col min="2" max="2" width="40" style="2" customWidth="1"/>
    <col min="3" max="3" width="15.28515625" style="2" customWidth="1"/>
    <col min="4" max="16384" width="9.140625" style="2"/>
  </cols>
  <sheetData>
    <row r="1" spans="1:5" ht="21.95" customHeight="1">
      <c r="A1" s="61" t="s">
        <v>30</v>
      </c>
      <c r="B1" s="61" t="s">
        <v>147</v>
      </c>
      <c r="C1" s="62" t="s">
        <v>449</v>
      </c>
    </row>
    <row r="2" spans="1:5" ht="18.75">
      <c r="A2" s="63"/>
      <c r="B2" s="63"/>
      <c r="C2" s="63"/>
      <c r="E2" s="64" t="s">
        <v>488</v>
      </c>
    </row>
    <row r="3" spans="1:5">
      <c r="A3" s="68" t="s">
        <v>450</v>
      </c>
      <c r="B3" s="69" t="s">
        <v>178</v>
      </c>
      <c r="C3" s="70">
        <v>185</v>
      </c>
      <c r="E3" s="65" t="s">
        <v>489</v>
      </c>
    </row>
    <row r="4" spans="1:5">
      <c r="A4" s="71" t="s">
        <v>450</v>
      </c>
      <c r="B4" s="72" t="s">
        <v>158</v>
      </c>
      <c r="C4" s="73">
        <v>8</v>
      </c>
    </row>
    <row r="5" spans="1:5">
      <c r="A5" s="71" t="s">
        <v>450</v>
      </c>
      <c r="B5" s="72" t="s">
        <v>159</v>
      </c>
      <c r="C5" s="73">
        <v>2</v>
      </c>
    </row>
    <row r="6" spans="1:5">
      <c r="A6" s="71" t="s">
        <v>450</v>
      </c>
      <c r="B6" s="72" t="s">
        <v>160</v>
      </c>
      <c r="C6" s="73">
        <v>8</v>
      </c>
    </row>
    <row r="7" spans="1:5">
      <c r="A7" s="71" t="s">
        <v>451</v>
      </c>
      <c r="B7" s="72" t="s">
        <v>161</v>
      </c>
      <c r="C7" s="73">
        <v>279</v>
      </c>
    </row>
    <row r="8" spans="1:5">
      <c r="A8" s="71" t="s">
        <v>451</v>
      </c>
      <c r="B8" s="72" t="s">
        <v>452</v>
      </c>
      <c r="C8" s="73">
        <v>30</v>
      </c>
    </row>
    <row r="9" spans="1:5">
      <c r="A9" s="71" t="s">
        <v>451</v>
      </c>
      <c r="B9" s="72" t="s">
        <v>163</v>
      </c>
      <c r="C9" s="73">
        <v>5</v>
      </c>
    </row>
    <row r="10" spans="1:5">
      <c r="A10" s="71" t="s">
        <v>451</v>
      </c>
      <c r="B10" s="72" t="s">
        <v>164</v>
      </c>
      <c r="C10" s="73">
        <v>29</v>
      </c>
    </row>
    <row r="11" spans="1:5">
      <c r="A11" s="71" t="s">
        <v>453</v>
      </c>
      <c r="B11" s="72" t="s">
        <v>165</v>
      </c>
      <c r="C11" s="73">
        <v>34</v>
      </c>
    </row>
    <row r="12" spans="1:5" ht="25.5">
      <c r="A12" s="71" t="s">
        <v>453</v>
      </c>
      <c r="B12" s="72" t="s">
        <v>166</v>
      </c>
      <c r="C12" s="73">
        <v>13</v>
      </c>
    </row>
    <row r="13" spans="1:5">
      <c r="A13" s="71" t="s">
        <v>453</v>
      </c>
      <c r="B13" s="72" t="s">
        <v>443</v>
      </c>
      <c r="C13" s="73">
        <v>37</v>
      </c>
    </row>
    <row r="14" spans="1:5">
      <c r="A14" s="71" t="s">
        <v>453</v>
      </c>
      <c r="B14" s="72" t="s">
        <v>167</v>
      </c>
      <c r="C14" s="73">
        <v>6</v>
      </c>
    </row>
    <row r="15" spans="1:5">
      <c r="A15" s="71" t="s">
        <v>198</v>
      </c>
      <c r="B15" s="72" t="s">
        <v>168</v>
      </c>
      <c r="C15" s="73">
        <v>42</v>
      </c>
    </row>
    <row r="16" spans="1:5">
      <c r="A16" s="71" t="s">
        <v>182</v>
      </c>
      <c r="B16" s="72" t="s">
        <v>169</v>
      </c>
      <c r="C16" s="73">
        <v>58</v>
      </c>
    </row>
    <row r="17" spans="1:3">
      <c r="A17" s="71" t="s">
        <v>453</v>
      </c>
      <c r="B17" s="72" t="s">
        <v>170</v>
      </c>
      <c r="C17" s="73">
        <v>54</v>
      </c>
    </row>
    <row r="18" spans="1:3">
      <c r="A18" s="71" t="s">
        <v>454</v>
      </c>
      <c r="B18" s="72" t="s">
        <v>171</v>
      </c>
      <c r="C18" s="73">
        <v>8</v>
      </c>
    </row>
    <row r="19" spans="1:3">
      <c r="A19" s="71" t="s">
        <v>455</v>
      </c>
      <c r="B19" s="72" t="s">
        <v>172</v>
      </c>
      <c r="C19" s="73">
        <v>8</v>
      </c>
    </row>
    <row r="20" spans="1:3">
      <c r="A20" s="71" t="s">
        <v>456</v>
      </c>
      <c r="B20" s="72" t="s">
        <v>457</v>
      </c>
      <c r="C20" s="73">
        <v>2</v>
      </c>
    </row>
    <row r="21" spans="1:3">
      <c r="A21" s="71" t="s">
        <v>453</v>
      </c>
      <c r="B21" s="72" t="s">
        <v>458</v>
      </c>
      <c r="C21" s="73">
        <v>21</v>
      </c>
    </row>
    <row r="22" spans="1:3">
      <c r="A22" s="71" t="s">
        <v>459</v>
      </c>
      <c r="B22" s="72" t="s">
        <v>444</v>
      </c>
      <c r="C22" s="73">
        <v>35</v>
      </c>
    </row>
    <row r="23" spans="1:3">
      <c r="A23" s="71" t="s">
        <v>460</v>
      </c>
      <c r="B23" s="72" t="s">
        <v>175</v>
      </c>
      <c r="C23" s="73">
        <v>2</v>
      </c>
    </row>
    <row r="24" spans="1:3">
      <c r="A24" s="71" t="s">
        <v>461</v>
      </c>
      <c r="B24" s="72" t="s">
        <v>66</v>
      </c>
      <c r="C24" s="73">
        <v>3</v>
      </c>
    </row>
    <row r="25" spans="1:3">
      <c r="A25" s="71" t="s">
        <v>462</v>
      </c>
      <c r="B25" s="72" t="s">
        <v>176</v>
      </c>
      <c r="C25" s="73">
        <v>1</v>
      </c>
    </row>
    <row r="26" spans="1:3">
      <c r="A26" s="71" t="s">
        <v>463</v>
      </c>
      <c r="B26" s="72" t="s">
        <v>445</v>
      </c>
      <c r="C26" s="73">
        <v>13</v>
      </c>
    </row>
    <row r="27" spans="1:3" ht="25.5">
      <c r="A27" s="71" t="s">
        <v>464</v>
      </c>
      <c r="B27" s="72" t="s">
        <v>465</v>
      </c>
      <c r="C27" s="73">
        <v>2</v>
      </c>
    </row>
    <row r="28" spans="1:3">
      <c r="A28" s="74" t="s">
        <v>464</v>
      </c>
      <c r="B28" s="75" t="s">
        <v>446</v>
      </c>
      <c r="C28" s="76">
        <v>35</v>
      </c>
    </row>
    <row r="29" spans="1:3">
      <c r="A29" s="66"/>
      <c r="B29" s="66" t="s">
        <v>490</v>
      </c>
      <c r="C29" s="67">
        <f>SUM(C3:C28)</f>
        <v>920</v>
      </c>
    </row>
  </sheetData>
  <sheetProtection sheet="1" objects="1" scenarios="1" formatCells="0" formatColumns="0" formatRows="0"/>
  <conditionalFormatting sqref="A3:C28">
    <cfRule type="expression" dxfId="13" priority="1">
      <formula>MOD(MATCH($A3,$A$3:$A$28,0),2)=0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26E06-1E42-4E30-B8D3-DD92B08D40A7}">
  <sheetPr>
    <pageSetUpPr fitToPage="1"/>
  </sheetPr>
  <dimension ref="A1:AQ29"/>
  <sheetViews>
    <sheetView topLeftCell="AG1" zoomScale="103" zoomScaleNormal="65" workbookViewId="0">
      <selection activeCell="D23" sqref="D23"/>
    </sheetView>
    <sheetView workbookViewId="1">
      <selection sqref="A1:A2"/>
    </sheetView>
  </sheetViews>
  <sheetFormatPr defaultRowHeight="15"/>
  <cols>
    <col min="1" max="1" width="46.28515625" style="2" bestFit="1" customWidth="1"/>
    <col min="2" max="16" width="9.140625" style="2" customWidth="1"/>
    <col min="17" max="16384" width="9.140625" style="2"/>
  </cols>
  <sheetData>
    <row r="1" spans="1:43" ht="15.75" thickBot="1">
      <c r="A1" s="77" t="s">
        <v>147</v>
      </c>
      <c r="B1" s="78">
        <v>6135</v>
      </c>
      <c r="C1" s="79">
        <v>6137</v>
      </c>
      <c r="D1" s="79" t="s">
        <v>23</v>
      </c>
      <c r="E1" s="80">
        <v>4110</v>
      </c>
      <c r="F1" s="81" t="s">
        <v>148</v>
      </c>
      <c r="G1" s="82">
        <v>6108</v>
      </c>
      <c r="H1" s="82" t="s">
        <v>149</v>
      </c>
      <c r="I1" s="82">
        <v>6109</v>
      </c>
      <c r="J1" s="82">
        <v>4115</v>
      </c>
      <c r="K1" s="82" t="s">
        <v>150</v>
      </c>
      <c r="L1" s="82">
        <v>4117</v>
      </c>
      <c r="M1" s="83" t="s">
        <v>151</v>
      </c>
      <c r="N1" s="83" t="s">
        <v>152</v>
      </c>
      <c r="O1" s="84">
        <v>4523</v>
      </c>
      <c r="P1" s="84">
        <v>4525</v>
      </c>
      <c r="Q1" s="84" t="s">
        <v>153</v>
      </c>
      <c r="R1" s="85" t="s">
        <v>154</v>
      </c>
      <c r="S1" s="86">
        <v>6820</v>
      </c>
      <c r="T1" s="87" t="s">
        <v>20</v>
      </c>
      <c r="U1" s="88">
        <v>5201</v>
      </c>
      <c r="V1" s="85">
        <v>4223</v>
      </c>
      <c r="W1" s="85">
        <v>4222</v>
      </c>
      <c r="X1" s="89">
        <v>4300</v>
      </c>
      <c r="Y1" s="85">
        <v>4359</v>
      </c>
      <c r="Z1" s="89">
        <v>4301</v>
      </c>
      <c r="AA1" s="85" t="s">
        <v>155</v>
      </c>
      <c r="AB1" s="85" t="s">
        <v>156</v>
      </c>
      <c r="AC1" s="89">
        <v>5200</v>
      </c>
      <c r="AD1" s="85">
        <v>5220</v>
      </c>
      <c r="AE1" s="85">
        <v>5500</v>
      </c>
      <c r="AF1" s="85">
        <v>5501</v>
      </c>
      <c r="AG1" s="85" t="s">
        <v>157</v>
      </c>
      <c r="AH1" s="89">
        <v>7926</v>
      </c>
      <c r="AI1" s="90">
        <v>5503</v>
      </c>
      <c r="AJ1" s="90">
        <v>5520</v>
      </c>
      <c r="AK1" s="91" t="s">
        <v>26</v>
      </c>
      <c r="AL1" s="91" t="s">
        <v>24</v>
      </c>
      <c r="AM1" s="90" t="s">
        <v>27</v>
      </c>
      <c r="AN1" s="90" t="s">
        <v>28</v>
      </c>
      <c r="AO1" s="90">
        <v>5544</v>
      </c>
      <c r="AP1" s="90">
        <v>5543</v>
      </c>
      <c r="AQ1" s="91" t="s">
        <v>25</v>
      </c>
    </row>
    <row r="2" spans="1:43" ht="15.75" thickBot="1">
      <c r="A2" s="92"/>
      <c r="B2" s="93"/>
      <c r="C2" s="94"/>
      <c r="D2" s="94"/>
      <c r="E2" s="95"/>
      <c r="F2" s="96"/>
      <c r="G2" s="95"/>
      <c r="H2" s="95"/>
      <c r="I2" s="95"/>
      <c r="J2" s="90"/>
      <c r="K2" s="90"/>
      <c r="L2" s="90"/>
      <c r="M2" s="96"/>
      <c r="N2" s="96"/>
      <c r="O2" s="96"/>
      <c r="P2" s="96"/>
      <c r="Q2" s="94"/>
      <c r="R2" s="97"/>
      <c r="S2" s="94"/>
      <c r="T2" s="94"/>
      <c r="U2" s="97"/>
      <c r="V2" s="97"/>
      <c r="W2" s="97"/>
      <c r="X2" s="94"/>
      <c r="Y2" s="97"/>
      <c r="Z2" s="94"/>
      <c r="AA2" s="97"/>
      <c r="AB2" s="97"/>
      <c r="AC2" s="94"/>
      <c r="AD2" s="97"/>
      <c r="AE2" s="97"/>
      <c r="AF2" s="97"/>
      <c r="AG2" s="98"/>
      <c r="AH2" s="89"/>
      <c r="AI2" s="90"/>
      <c r="AJ2" s="90"/>
      <c r="AK2" s="99"/>
      <c r="AL2" s="99"/>
      <c r="AM2" s="90"/>
      <c r="AN2" s="90"/>
      <c r="AO2" s="90"/>
      <c r="AP2" s="90"/>
      <c r="AQ2" s="99"/>
    </row>
    <row r="3" spans="1:43">
      <c r="A3" s="100" t="s">
        <v>178</v>
      </c>
      <c r="B3" s="101">
        <v>6</v>
      </c>
      <c r="C3" s="102">
        <v>4</v>
      </c>
      <c r="D3" s="102">
        <v>2</v>
      </c>
      <c r="E3" s="103">
        <v>2</v>
      </c>
      <c r="F3" s="104">
        <v>2</v>
      </c>
      <c r="G3" s="105">
        <v>6</v>
      </c>
      <c r="H3" s="105">
        <v>5</v>
      </c>
      <c r="I3" s="106">
        <v>6</v>
      </c>
      <c r="J3" s="107">
        <v>5</v>
      </c>
      <c r="K3" s="107">
        <v>6</v>
      </c>
      <c r="L3" s="107">
        <v>6</v>
      </c>
      <c r="M3" s="104">
        <v>6</v>
      </c>
      <c r="N3" s="104">
        <v>2</v>
      </c>
      <c r="O3" s="104">
        <v>3</v>
      </c>
      <c r="P3" s="104">
        <v>3</v>
      </c>
      <c r="Q3" s="108">
        <v>4</v>
      </c>
      <c r="R3" s="109">
        <v>4</v>
      </c>
      <c r="S3" s="102">
        <v>6.5</v>
      </c>
      <c r="T3" s="109">
        <v>5</v>
      </c>
      <c r="U3" s="109"/>
      <c r="V3" s="109">
        <v>16</v>
      </c>
      <c r="W3" s="109">
        <v>12</v>
      </c>
      <c r="X3" s="102">
        <v>21</v>
      </c>
      <c r="Y3" s="109">
        <v>9</v>
      </c>
      <c r="Z3" s="102">
        <v>20</v>
      </c>
      <c r="AA3" s="109">
        <v>9</v>
      </c>
      <c r="AB3" s="109">
        <v>17</v>
      </c>
      <c r="AC3" s="109">
        <v>2</v>
      </c>
      <c r="AD3" s="109">
        <v>4</v>
      </c>
      <c r="AE3" s="109">
        <v>4</v>
      </c>
      <c r="AF3" s="109">
        <v>4</v>
      </c>
      <c r="AG3" s="102">
        <v>8</v>
      </c>
      <c r="AH3" s="110">
        <v>13</v>
      </c>
      <c r="AI3" s="107">
        <v>2</v>
      </c>
      <c r="AJ3" s="107">
        <v>2</v>
      </c>
      <c r="AK3" s="107">
        <v>4</v>
      </c>
      <c r="AL3" s="107">
        <v>3</v>
      </c>
      <c r="AM3" s="107">
        <v>5</v>
      </c>
      <c r="AN3" s="107">
        <v>3</v>
      </c>
      <c r="AO3" s="107">
        <v>6</v>
      </c>
      <c r="AP3" s="107">
        <v>3</v>
      </c>
      <c r="AQ3" s="107">
        <v>5</v>
      </c>
    </row>
    <row r="4" spans="1:43">
      <c r="A4" s="111" t="s">
        <v>158</v>
      </c>
      <c r="B4" s="112"/>
      <c r="C4" s="113"/>
      <c r="D4" s="113"/>
      <c r="E4" s="114"/>
      <c r="F4" s="115"/>
      <c r="G4" s="116"/>
      <c r="H4" s="116"/>
      <c r="I4" s="117"/>
      <c r="J4" s="118"/>
      <c r="K4" s="118"/>
      <c r="L4" s="118"/>
      <c r="M4" s="115"/>
      <c r="N4" s="115"/>
      <c r="O4" s="115"/>
      <c r="P4" s="115"/>
      <c r="Q4" s="119"/>
      <c r="R4" s="120"/>
      <c r="S4" s="113"/>
      <c r="T4" s="120"/>
      <c r="U4" s="120"/>
      <c r="V4" s="120">
        <v>2</v>
      </c>
      <c r="W4" s="120"/>
      <c r="X4" s="113"/>
      <c r="Y4" s="120"/>
      <c r="Z4" s="113"/>
      <c r="AA4" s="120"/>
      <c r="AB4" s="120">
        <v>4</v>
      </c>
      <c r="AC4" s="120"/>
      <c r="AD4" s="120"/>
      <c r="AE4" s="120"/>
      <c r="AF4" s="120"/>
      <c r="AG4" s="113">
        <v>0</v>
      </c>
      <c r="AH4" s="121">
        <v>1</v>
      </c>
      <c r="AI4" s="118"/>
      <c r="AJ4" s="118"/>
      <c r="AK4" s="118"/>
      <c r="AL4" s="118"/>
      <c r="AM4" s="118"/>
      <c r="AN4" s="118"/>
      <c r="AO4" s="118"/>
      <c r="AP4" s="118"/>
      <c r="AQ4" s="118"/>
    </row>
    <row r="5" spans="1:43">
      <c r="A5" s="111" t="s">
        <v>159</v>
      </c>
      <c r="B5" s="112"/>
      <c r="C5" s="113"/>
      <c r="D5" s="113"/>
      <c r="E5" s="114"/>
      <c r="F5" s="115"/>
      <c r="G5" s="116"/>
      <c r="H5" s="116"/>
      <c r="I5" s="117"/>
      <c r="J5" s="118"/>
      <c r="K5" s="118"/>
      <c r="L5" s="118"/>
      <c r="M5" s="115"/>
      <c r="N5" s="115"/>
      <c r="O5" s="115"/>
      <c r="P5" s="115"/>
      <c r="Q5" s="119"/>
      <c r="R5" s="120"/>
      <c r="S5" s="113"/>
      <c r="T5" s="120"/>
      <c r="U5" s="120"/>
      <c r="V5" s="120"/>
      <c r="W5" s="120"/>
      <c r="X5" s="113"/>
      <c r="Y5" s="120"/>
      <c r="Z5" s="113"/>
      <c r="AA5" s="120"/>
      <c r="AB5" s="120"/>
      <c r="AC5" s="120"/>
      <c r="AD5" s="120"/>
      <c r="AE5" s="120"/>
      <c r="AF5" s="120"/>
      <c r="AG5" s="113">
        <v>0</v>
      </c>
      <c r="AH5" s="121"/>
      <c r="AI5" s="118"/>
      <c r="AJ5" s="118"/>
      <c r="AK5" s="118"/>
      <c r="AL5" s="118"/>
      <c r="AM5" s="118"/>
      <c r="AN5" s="118"/>
      <c r="AO5" s="118"/>
      <c r="AP5" s="118"/>
      <c r="AQ5" s="118"/>
    </row>
    <row r="6" spans="1:43" ht="15.75" thickBot="1">
      <c r="A6" s="122" t="s">
        <v>160</v>
      </c>
      <c r="B6" s="123"/>
      <c r="C6" s="124"/>
      <c r="D6" s="124"/>
      <c r="E6" s="125"/>
      <c r="F6" s="126"/>
      <c r="G6" s="127"/>
      <c r="H6" s="127"/>
      <c r="I6" s="128"/>
      <c r="J6" s="129"/>
      <c r="K6" s="129"/>
      <c r="L6" s="129"/>
      <c r="M6" s="126"/>
      <c r="N6" s="126"/>
      <c r="O6" s="126"/>
      <c r="P6" s="126"/>
      <c r="Q6" s="130"/>
      <c r="R6" s="131"/>
      <c r="S6" s="124"/>
      <c r="T6" s="131"/>
      <c r="U6" s="131"/>
      <c r="V6" s="131"/>
      <c r="W6" s="131">
        <v>1</v>
      </c>
      <c r="X6" s="124">
        <v>1</v>
      </c>
      <c r="Y6" s="131"/>
      <c r="Z6" s="124">
        <v>1</v>
      </c>
      <c r="AA6" s="131"/>
      <c r="AB6" s="131"/>
      <c r="AC6" s="131"/>
      <c r="AD6" s="131">
        <v>1</v>
      </c>
      <c r="AE6" s="131"/>
      <c r="AF6" s="131"/>
      <c r="AG6" s="124"/>
      <c r="AH6" s="132">
        <v>1</v>
      </c>
      <c r="AI6" s="129"/>
      <c r="AJ6" s="129">
        <v>1</v>
      </c>
      <c r="AK6" s="129"/>
      <c r="AL6" s="129">
        <v>1</v>
      </c>
      <c r="AM6" s="129">
        <v>1</v>
      </c>
      <c r="AN6" s="129"/>
      <c r="AO6" s="129">
        <v>1</v>
      </c>
      <c r="AP6" s="129"/>
      <c r="AQ6" s="129"/>
    </row>
    <row r="7" spans="1:43">
      <c r="A7" s="133" t="s">
        <v>161</v>
      </c>
      <c r="B7" s="134">
        <v>14</v>
      </c>
      <c r="C7" s="135">
        <v>13</v>
      </c>
      <c r="D7" s="135">
        <v>10</v>
      </c>
      <c r="E7" s="136">
        <v>12</v>
      </c>
      <c r="F7" s="137">
        <v>12</v>
      </c>
      <c r="G7" s="138">
        <v>10</v>
      </c>
      <c r="H7" s="138">
        <v>7</v>
      </c>
      <c r="I7" s="139">
        <v>10</v>
      </c>
      <c r="J7" s="140">
        <v>10</v>
      </c>
      <c r="K7" s="140">
        <v>7</v>
      </c>
      <c r="L7" s="140">
        <v>8</v>
      </c>
      <c r="M7" s="137">
        <v>9</v>
      </c>
      <c r="N7" s="137">
        <v>8</v>
      </c>
      <c r="O7" s="137">
        <v>11</v>
      </c>
      <c r="P7" s="137">
        <v>11</v>
      </c>
      <c r="Q7" s="141">
        <v>10</v>
      </c>
      <c r="R7" s="139">
        <v>7</v>
      </c>
      <c r="S7" s="135">
        <v>16</v>
      </c>
      <c r="T7" s="139">
        <v>8</v>
      </c>
      <c r="U7" s="139">
        <v>10</v>
      </c>
      <c r="V7" s="139"/>
      <c r="W7" s="139"/>
      <c r="X7" s="135">
        <v>9</v>
      </c>
      <c r="Y7" s="139">
        <v>7</v>
      </c>
      <c r="Z7" s="135">
        <v>9</v>
      </c>
      <c r="AA7" s="139">
        <v>10</v>
      </c>
      <c r="AB7" s="139">
        <v>10</v>
      </c>
      <c r="AC7" s="139">
        <v>7</v>
      </c>
      <c r="AD7" s="139">
        <v>11</v>
      </c>
      <c r="AE7" s="139">
        <v>4</v>
      </c>
      <c r="AF7" s="139">
        <v>4</v>
      </c>
      <c r="AG7" s="135">
        <v>6</v>
      </c>
      <c r="AH7" s="142">
        <v>8</v>
      </c>
      <c r="AI7" s="140">
        <v>8</v>
      </c>
      <c r="AJ7" s="140">
        <v>10</v>
      </c>
      <c r="AK7" s="140">
        <v>6</v>
      </c>
      <c r="AL7" s="140">
        <v>8</v>
      </c>
      <c r="AM7" s="140">
        <v>2</v>
      </c>
      <c r="AN7" s="140">
        <v>10</v>
      </c>
      <c r="AO7" s="140">
        <v>2</v>
      </c>
      <c r="AP7" s="140">
        <v>7</v>
      </c>
      <c r="AQ7" s="140">
        <v>11</v>
      </c>
    </row>
    <row r="8" spans="1:43">
      <c r="A8" s="143" t="s">
        <v>162</v>
      </c>
      <c r="B8" s="144">
        <v>3</v>
      </c>
      <c r="C8" s="145">
        <v>3</v>
      </c>
      <c r="D8" s="145">
        <v>3</v>
      </c>
      <c r="E8" s="146">
        <v>3</v>
      </c>
      <c r="F8" s="147">
        <v>3</v>
      </c>
      <c r="G8" s="148"/>
      <c r="H8" s="148"/>
      <c r="I8" s="149"/>
      <c r="J8" s="150"/>
      <c r="K8" s="150"/>
      <c r="L8" s="150"/>
      <c r="M8" s="147"/>
      <c r="N8" s="147"/>
      <c r="O8" s="147">
        <v>4</v>
      </c>
      <c r="P8" s="147">
        <v>4</v>
      </c>
      <c r="Q8" s="151">
        <v>4</v>
      </c>
      <c r="R8" s="149"/>
      <c r="S8" s="145"/>
      <c r="T8" s="149"/>
      <c r="U8" s="149"/>
      <c r="V8" s="149"/>
      <c r="W8" s="149"/>
      <c r="X8" s="145"/>
      <c r="Y8" s="149"/>
      <c r="Z8" s="145"/>
      <c r="AA8" s="149"/>
      <c r="AB8" s="149"/>
      <c r="AC8" s="149"/>
      <c r="AD8" s="149"/>
      <c r="AE8" s="149"/>
      <c r="AF8" s="149"/>
      <c r="AG8" s="145"/>
      <c r="AH8" s="152"/>
      <c r="AI8" s="150"/>
      <c r="AJ8" s="150"/>
      <c r="AK8" s="150"/>
      <c r="AL8" s="150"/>
      <c r="AM8" s="150"/>
      <c r="AN8" s="150"/>
      <c r="AO8" s="150"/>
      <c r="AP8" s="150"/>
      <c r="AQ8" s="150"/>
    </row>
    <row r="9" spans="1:43">
      <c r="A9" s="143" t="s">
        <v>163</v>
      </c>
      <c r="B9" s="153"/>
      <c r="C9" s="154"/>
      <c r="D9" s="154"/>
      <c r="E9" s="146"/>
      <c r="F9" s="147"/>
      <c r="G9" s="148"/>
      <c r="H9" s="148"/>
      <c r="I9" s="149"/>
      <c r="J9" s="150"/>
      <c r="K9" s="150"/>
      <c r="L9" s="150"/>
      <c r="M9" s="147"/>
      <c r="N9" s="147"/>
      <c r="O9" s="147"/>
      <c r="P9" s="147"/>
      <c r="Q9" s="151"/>
      <c r="R9" s="149"/>
      <c r="S9" s="145"/>
      <c r="T9" s="149"/>
      <c r="U9" s="149"/>
      <c r="V9" s="149">
        <v>5</v>
      </c>
      <c r="W9" s="149">
        <v>2</v>
      </c>
      <c r="X9" s="145"/>
      <c r="Y9" s="149"/>
      <c r="Z9" s="145"/>
      <c r="AA9" s="149"/>
      <c r="AB9" s="149"/>
      <c r="AC9" s="149"/>
      <c r="AD9" s="149"/>
      <c r="AE9" s="149"/>
      <c r="AF9" s="149"/>
      <c r="AG9" s="145">
        <v>0</v>
      </c>
      <c r="AH9" s="152"/>
      <c r="AI9" s="150"/>
      <c r="AJ9" s="150"/>
      <c r="AK9" s="150"/>
      <c r="AL9" s="150"/>
      <c r="AM9" s="150"/>
      <c r="AN9" s="150"/>
      <c r="AO9" s="150"/>
      <c r="AP9" s="150"/>
      <c r="AQ9" s="150"/>
    </row>
    <row r="10" spans="1:43" ht="15.75" thickBot="1">
      <c r="A10" s="155" t="s">
        <v>164</v>
      </c>
      <c r="B10" s="156">
        <v>3</v>
      </c>
      <c r="C10" s="157"/>
      <c r="D10" s="158"/>
      <c r="E10" s="159"/>
      <c r="F10" s="160"/>
      <c r="G10" s="161">
        <v>3</v>
      </c>
      <c r="H10" s="161"/>
      <c r="I10" s="162"/>
      <c r="J10" s="163">
        <v>4</v>
      </c>
      <c r="K10" s="163">
        <v>3</v>
      </c>
      <c r="L10" s="163">
        <v>4</v>
      </c>
      <c r="M10" s="160">
        <v>4</v>
      </c>
      <c r="N10" s="160"/>
      <c r="O10" s="160"/>
      <c r="P10" s="160"/>
      <c r="Q10" s="164"/>
      <c r="R10" s="162"/>
      <c r="S10" s="158"/>
      <c r="T10" s="162"/>
      <c r="U10" s="162"/>
      <c r="V10" s="162">
        <v>2</v>
      </c>
      <c r="W10" s="162">
        <v>2</v>
      </c>
      <c r="X10" s="158"/>
      <c r="Y10" s="162"/>
      <c r="Z10" s="158"/>
      <c r="AA10" s="162"/>
      <c r="AB10" s="162"/>
      <c r="AC10" s="162"/>
      <c r="AD10" s="162"/>
      <c r="AE10" s="162"/>
      <c r="AF10" s="162"/>
      <c r="AG10" s="158"/>
      <c r="AH10" s="165">
        <v>1</v>
      </c>
      <c r="AI10" s="163"/>
      <c r="AJ10" s="163">
        <v>4</v>
      </c>
      <c r="AK10" s="163"/>
      <c r="AL10" s="163">
        <v>1</v>
      </c>
      <c r="AM10" s="163">
        <v>1</v>
      </c>
      <c r="AN10" s="163">
        <v>1</v>
      </c>
      <c r="AO10" s="163">
        <v>1</v>
      </c>
      <c r="AP10" s="163"/>
      <c r="AQ10" s="163"/>
    </row>
    <row r="11" spans="1:43">
      <c r="A11" s="166" t="s">
        <v>165</v>
      </c>
      <c r="B11" s="167"/>
      <c r="C11" s="168"/>
      <c r="D11" s="168"/>
      <c r="E11" s="169"/>
      <c r="F11" s="170"/>
      <c r="G11" s="171">
        <v>1</v>
      </c>
      <c r="H11" s="171">
        <v>1</v>
      </c>
      <c r="I11" s="172">
        <v>1</v>
      </c>
      <c r="J11" s="173"/>
      <c r="K11" s="173">
        <v>1</v>
      </c>
      <c r="L11" s="173">
        <v>1</v>
      </c>
      <c r="M11" s="170"/>
      <c r="N11" s="170">
        <v>2</v>
      </c>
      <c r="O11" s="170"/>
      <c r="P11" s="170"/>
      <c r="Q11" s="174"/>
      <c r="R11" s="172">
        <v>2</v>
      </c>
      <c r="S11" s="168"/>
      <c r="T11" s="172">
        <v>4</v>
      </c>
      <c r="U11" s="172">
        <v>4</v>
      </c>
      <c r="V11" s="172"/>
      <c r="W11" s="172"/>
      <c r="X11" s="168">
        <v>1.5</v>
      </c>
      <c r="Y11" s="172">
        <v>3</v>
      </c>
      <c r="Z11" s="168">
        <v>1.5</v>
      </c>
      <c r="AA11" s="172"/>
      <c r="AB11" s="172"/>
      <c r="AC11" s="172">
        <v>5</v>
      </c>
      <c r="AD11" s="172"/>
      <c r="AE11" s="172">
        <v>5</v>
      </c>
      <c r="AF11" s="172">
        <v>2</v>
      </c>
      <c r="AG11" s="168">
        <v>1</v>
      </c>
      <c r="AH11" s="175">
        <v>2</v>
      </c>
      <c r="AI11" s="173">
        <v>4</v>
      </c>
      <c r="AJ11" s="173">
        <v>3</v>
      </c>
      <c r="AK11" s="173">
        <v>1</v>
      </c>
      <c r="AL11" s="173"/>
      <c r="AM11" s="173"/>
      <c r="AN11" s="173">
        <v>2</v>
      </c>
      <c r="AO11" s="173">
        <v>1</v>
      </c>
      <c r="AP11" s="173">
        <v>3</v>
      </c>
      <c r="AQ11" s="173">
        <v>2</v>
      </c>
    </row>
    <row r="12" spans="1:43">
      <c r="A12" s="176" t="s">
        <v>166</v>
      </c>
      <c r="B12" s="177"/>
      <c r="C12" s="178"/>
      <c r="D12" s="178"/>
      <c r="E12" s="179"/>
      <c r="F12" s="180"/>
      <c r="G12" s="181"/>
      <c r="H12" s="181"/>
      <c r="I12" s="182"/>
      <c r="J12" s="183"/>
      <c r="K12" s="183"/>
      <c r="L12" s="183"/>
      <c r="M12" s="180"/>
      <c r="N12" s="180"/>
      <c r="O12" s="180"/>
      <c r="P12" s="180"/>
      <c r="Q12" s="184">
        <v>4</v>
      </c>
      <c r="R12" s="182"/>
      <c r="S12" s="178"/>
      <c r="T12" s="182"/>
      <c r="U12" s="182"/>
      <c r="V12" s="182"/>
      <c r="W12" s="182"/>
      <c r="X12" s="178"/>
      <c r="Y12" s="182"/>
      <c r="Z12" s="178"/>
      <c r="AA12" s="182"/>
      <c r="AB12" s="182"/>
      <c r="AC12" s="182"/>
      <c r="AD12" s="182"/>
      <c r="AE12" s="182"/>
      <c r="AF12" s="182"/>
      <c r="AG12" s="178"/>
      <c r="AH12" s="185"/>
      <c r="AI12" s="183"/>
      <c r="AJ12" s="183"/>
      <c r="AK12" s="183"/>
      <c r="AL12" s="183"/>
      <c r="AM12" s="183"/>
      <c r="AN12" s="183"/>
      <c r="AO12" s="183"/>
      <c r="AP12" s="183"/>
      <c r="AQ12" s="183"/>
    </row>
    <row r="13" spans="1:43">
      <c r="A13" s="176" t="s">
        <v>443</v>
      </c>
      <c r="B13" s="177">
        <v>5.5</v>
      </c>
      <c r="C13" s="178">
        <v>3</v>
      </c>
      <c r="D13" s="178">
        <v>3</v>
      </c>
      <c r="E13" s="179">
        <v>3</v>
      </c>
      <c r="F13" s="180"/>
      <c r="G13" s="181">
        <v>2.5</v>
      </c>
      <c r="H13" s="181"/>
      <c r="I13" s="182"/>
      <c r="J13" s="183"/>
      <c r="K13" s="183"/>
      <c r="L13" s="183"/>
      <c r="M13" s="180"/>
      <c r="N13" s="180"/>
      <c r="O13" s="180"/>
      <c r="P13" s="180"/>
      <c r="Q13" s="184">
        <v>4</v>
      </c>
      <c r="R13" s="182"/>
      <c r="S13" s="178"/>
      <c r="T13" s="182"/>
      <c r="U13" s="182"/>
      <c r="V13" s="182"/>
      <c r="W13" s="182"/>
      <c r="X13" s="178"/>
      <c r="Y13" s="182"/>
      <c r="Z13" s="178"/>
      <c r="AA13" s="182"/>
      <c r="AB13" s="182"/>
      <c r="AC13" s="182"/>
      <c r="AD13" s="182"/>
      <c r="AE13" s="182"/>
      <c r="AF13" s="182"/>
      <c r="AG13" s="178"/>
      <c r="AH13" s="185"/>
      <c r="AI13" s="183"/>
      <c r="AJ13" s="183"/>
      <c r="AK13" s="183"/>
      <c r="AL13" s="183"/>
      <c r="AM13" s="183"/>
      <c r="AN13" s="183"/>
      <c r="AO13" s="183"/>
      <c r="AP13" s="183"/>
      <c r="AQ13" s="183"/>
    </row>
    <row r="14" spans="1:43">
      <c r="A14" s="176" t="s">
        <v>167</v>
      </c>
      <c r="B14" s="186"/>
      <c r="C14" s="187"/>
      <c r="D14" s="187"/>
      <c r="E14" s="188"/>
      <c r="F14" s="189">
        <v>3</v>
      </c>
      <c r="G14" s="190"/>
      <c r="H14" s="190"/>
      <c r="I14" s="191"/>
      <c r="J14" s="192">
        <v>3</v>
      </c>
      <c r="K14" s="192">
        <v>2</v>
      </c>
      <c r="L14" s="192">
        <v>3</v>
      </c>
      <c r="M14" s="189">
        <v>2</v>
      </c>
      <c r="N14" s="189"/>
      <c r="O14" s="189">
        <v>4</v>
      </c>
      <c r="P14" s="189">
        <v>4</v>
      </c>
      <c r="Q14" s="193"/>
      <c r="R14" s="191"/>
      <c r="S14" s="187"/>
      <c r="T14" s="191"/>
      <c r="U14" s="191"/>
      <c r="V14" s="191"/>
      <c r="W14" s="191"/>
      <c r="X14" s="187"/>
      <c r="Y14" s="191"/>
      <c r="Z14" s="187">
        <v>2</v>
      </c>
      <c r="AA14" s="191"/>
      <c r="AB14" s="191"/>
      <c r="AC14" s="191"/>
      <c r="AD14" s="191"/>
      <c r="AE14" s="191"/>
      <c r="AF14" s="191"/>
      <c r="AG14" s="187"/>
      <c r="AH14" s="194">
        <v>1</v>
      </c>
      <c r="AI14" s="192"/>
      <c r="AJ14" s="192">
        <v>3</v>
      </c>
      <c r="AK14" s="192">
        <v>1</v>
      </c>
      <c r="AL14" s="192"/>
      <c r="AM14" s="192"/>
      <c r="AN14" s="192"/>
      <c r="AO14" s="192"/>
      <c r="AP14" s="192"/>
      <c r="AQ14" s="192">
        <v>1</v>
      </c>
    </row>
    <row r="15" spans="1:43">
      <c r="A15" s="176" t="s">
        <v>168</v>
      </c>
      <c r="B15" s="186"/>
      <c r="C15" s="187">
        <v>3</v>
      </c>
      <c r="D15" s="187">
        <v>3</v>
      </c>
      <c r="E15" s="187">
        <v>3</v>
      </c>
      <c r="F15" s="189">
        <v>3</v>
      </c>
      <c r="G15" s="190"/>
      <c r="H15" s="190">
        <v>2</v>
      </c>
      <c r="I15" s="191">
        <v>3</v>
      </c>
      <c r="J15" s="192">
        <v>2.5</v>
      </c>
      <c r="K15" s="192">
        <v>2</v>
      </c>
      <c r="L15" s="192">
        <v>2.5</v>
      </c>
      <c r="M15" s="189">
        <v>2</v>
      </c>
      <c r="N15" s="189">
        <v>2</v>
      </c>
      <c r="O15" s="189">
        <v>4</v>
      </c>
      <c r="P15" s="189">
        <v>4</v>
      </c>
      <c r="Q15" s="193"/>
      <c r="R15" s="191"/>
      <c r="S15" s="187"/>
      <c r="T15" s="191"/>
      <c r="U15" s="191"/>
      <c r="V15" s="191"/>
      <c r="W15" s="191"/>
      <c r="X15" s="187"/>
      <c r="Y15" s="191"/>
      <c r="Z15" s="187"/>
      <c r="AA15" s="191"/>
      <c r="AB15" s="191"/>
      <c r="AC15" s="191"/>
      <c r="AD15" s="191">
        <v>1</v>
      </c>
      <c r="AE15" s="191"/>
      <c r="AF15" s="191"/>
      <c r="AG15" s="187"/>
      <c r="AH15" s="194"/>
      <c r="AI15" s="192"/>
      <c r="AJ15" s="192"/>
      <c r="AK15" s="192"/>
      <c r="AL15" s="192">
        <v>1</v>
      </c>
      <c r="AM15" s="192">
        <v>1</v>
      </c>
      <c r="AN15" s="192"/>
      <c r="AO15" s="192">
        <v>1</v>
      </c>
      <c r="AP15" s="192"/>
      <c r="AQ15" s="192"/>
    </row>
    <row r="16" spans="1:43">
      <c r="A16" s="176" t="s">
        <v>169</v>
      </c>
      <c r="B16" s="186"/>
      <c r="C16" s="187"/>
      <c r="D16" s="187"/>
      <c r="E16" s="188"/>
      <c r="F16" s="189"/>
      <c r="G16" s="190">
        <v>3</v>
      </c>
      <c r="H16" s="190">
        <v>3</v>
      </c>
      <c r="I16" s="191">
        <v>3</v>
      </c>
      <c r="J16" s="192"/>
      <c r="K16" s="192">
        <v>1</v>
      </c>
      <c r="L16" s="192">
        <v>1</v>
      </c>
      <c r="M16" s="189">
        <v>2</v>
      </c>
      <c r="N16" s="189">
        <v>2</v>
      </c>
      <c r="O16" s="189"/>
      <c r="P16" s="189"/>
      <c r="Q16" s="193"/>
      <c r="R16" s="191">
        <v>1</v>
      </c>
      <c r="S16" s="187">
        <v>8</v>
      </c>
      <c r="T16" s="191">
        <v>7</v>
      </c>
      <c r="U16" s="191"/>
      <c r="V16" s="191"/>
      <c r="W16" s="191"/>
      <c r="X16" s="187"/>
      <c r="Y16" s="191"/>
      <c r="Z16" s="187"/>
      <c r="AA16" s="191"/>
      <c r="AB16" s="191">
        <v>1</v>
      </c>
      <c r="AC16" s="191"/>
      <c r="AD16" s="191">
        <v>2</v>
      </c>
      <c r="AE16" s="191"/>
      <c r="AF16" s="191">
        <v>6</v>
      </c>
      <c r="AG16" s="187"/>
      <c r="AH16" s="194"/>
      <c r="AI16" s="192"/>
      <c r="AJ16" s="192"/>
      <c r="AK16" s="192">
        <v>2</v>
      </c>
      <c r="AL16" s="192"/>
      <c r="AM16" s="192"/>
      <c r="AN16" s="192"/>
      <c r="AO16" s="192"/>
      <c r="AP16" s="192"/>
      <c r="AQ16" s="192"/>
    </row>
    <row r="17" spans="1:43">
      <c r="A17" s="176" t="s">
        <v>170</v>
      </c>
      <c r="B17" s="186"/>
      <c r="C17" s="187"/>
      <c r="D17" s="187">
        <v>5</v>
      </c>
      <c r="E17" s="188">
        <v>2</v>
      </c>
      <c r="F17" s="189">
        <v>4</v>
      </c>
      <c r="G17" s="190">
        <v>4</v>
      </c>
      <c r="H17" s="190">
        <v>3</v>
      </c>
      <c r="I17" s="191">
        <v>4</v>
      </c>
      <c r="J17" s="192">
        <v>5</v>
      </c>
      <c r="K17" s="192">
        <v>2</v>
      </c>
      <c r="L17" s="192">
        <v>2</v>
      </c>
      <c r="M17" s="189">
        <v>1</v>
      </c>
      <c r="N17" s="189">
        <v>1</v>
      </c>
      <c r="O17" s="189"/>
      <c r="P17" s="189"/>
      <c r="Q17" s="193"/>
      <c r="R17" s="191"/>
      <c r="S17" s="187"/>
      <c r="T17" s="191"/>
      <c r="U17" s="191">
        <v>5</v>
      </c>
      <c r="V17" s="191"/>
      <c r="W17" s="191"/>
      <c r="X17" s="187"/>
      <c r="Y17" s="191"/>
      <c r="Z17" s="187"/>
      <c r="AA17" s="191">
        <v>6</v>
      </c>
      <c r="AB17" s="191">
        <v>2</v>
      </c>
      <c r="AC17" s="191">
        <v>3</v>
      </c>
      <c r="AD17" s="191">
        <v>4</v>
      </c>
      <c r="AE17" s="191"/>
      <c r="AF17" s="191"/>
      <c r="AG17" s="187">
        <v>3</v>
      </c>
      <c r="AH17" s="194">
        <v>1</v>
      </c>
      <c r="AI17" s="192">
        <v>3</v>
      </c>
      <c r="AJ17" s="192">
        <v>4</v>
      </c>
      <c r="AK17" s="192">
        <v>1</v>
      </c>
      <c r="AL17" s="192">
        <v>4</v>
      </c>
      <c r="AM17" s="192">
        <v>2</v>
      </c>
      <c r="AN17" s="192">
        <v>4</v>
      </c>
      <c r="AO17" s="192"/>
      <c r="AP17" s="192">
        <v>3</v>
      </c>
      <c r="AQ17" s="192">
        <v>4</v>
      </c>
    </row>
    <row r="18" spans="1:43">
      <c r="A18" s="176" t="s">
        <v>171</v>
      </c>
      <c r="B18" s="186"/>
      <c r="C18" s="187"/>
      <c r="D18" s="187"/>
      <c r="E18" s="188"/>
      <c r="F18" s="189"/>
      <c r="G18" s="190"/>
      <c r="H18" s="190"/>
      <c r="I18" s="191"/>
      <c r="J18" s="192"/>
      <c r="K18" s="192"/>
      <c r="L18" s="192"/>
      <c r="M18" s="189"/>
      <c r="N18" s="189"/>
      <c r="O18" s="189"/>
      <c r="P18" s="189"/>
      <c r="Q18" s="195"/>
      <c r="R18" s="196"/>
      <c r="S18" s="197"/>
      <c r="T18" s="191"/>
      <c r="U18" s="191"/>
      <c r="V18" s="191"/>
      <c r="W18" s="191"/>
      <c r="X18" s="187"/>
      <c r="Y18" s="191"/>
      <c r="Z18" s="187"/>
      <c r="AA18" s="191"/>
      <c r="AB18" s="191"/>
      <c r="AC18" s="191"/>
      <c r="AD18" s="191"/>
      <c r="AE18" s="191"/>
      <c r="AF18" s="191"/>
      <c r="AG18" s="187"/>
      <c r="AH18" s="194"/>
      <c r="AI18" s="192"/>
      <c r="AJ18" s="192"/>
      <c r="AK18" s="192"/>
      <c r="AL18" s="192"/>
      <c r="AM18" s="192">
        <v>6</v>
      </c>
      <c r="AN18" s="192"/>
      <c r="AO18" s="192">
        <v>4</v>
      </c>
      <c r="AP18" s="192"/>
      <c r="AQ18" s="192"/>
    </row>
    <row r="19" spans="1:43">
      <c r="A19" s="176" t="s">
        <v>172</v>
      </c>
      <c r="B19" s="186"/>
      <c r="C19" s="187"/>
      <c r="D19" s="187"/>
      <c r="E19" s="188"/>
      <c r="F19" s="189"/>
      <c r="G19" s="190"/>
      <c r="H19" s="190"/>
      <c r="I19" s="191"/>
      <c r="J19" s="192"/>
      <c r="K19" s="192"/>
      <c r="L19" s="192"/>
      <c r="M19" s="189"/>
      <c r="N19" s="189"/>
      <c r="O19" s="189"/>
      <c r="P19" s="189"/>
      <c r="Q19" s="195"/>
      <c r="R19" s="196"/>
      <c r="S19" s="197"/>
      <c r="T19" s="191"/>
      <c r="U19" s="191"/>
      <c r="V19" s="191">
        <v>1</v>
      </c>
      <c r="W19" s="191">
        <v>1</v>
      </c>
      <c r="X19" s="187">
        <v>1</v>
      </c>
      <c r="Y19" s="191"/>
      <c r="Z19" s="187"/>
      <c r="AA19" s="191"/>
      <c r="AB19" s="191"/>
      <c r="AC19" s="191"/>
      <c r="AD19" s="191"/>
      <c r="AE19" s="191"/>
      <c r="AF19" s="191"/>
      <c r="AG19" s="187">
        <v>4</v>
      </c>
      <c r="AH19" s="194">
        <v>2</v>
      </c>
      <c r="AI19" s="192"/>
      <c r="AJ19" s="192"/>
      <c r="AK19" s="192"/>
      <c r="AL19" s="192"/>
      <c r="AM19" s="192"/>
      <c r="AN19" s="192"/>
      <c r="AO19" s="192"/>
      <c r="AP19" s="192"/>
      <c r="AQ19" s="192"/>
    </row>
    <row r="20" spans="1:43">
      <c r="A20" s="198" t="s">
        <v>173</v>
      </c>
      <c r="B20" s="199"/>
      <c r="C20" s="200"/>
      <c r="D20" s="200"/>
      <c r="E20" s="201"/>
      <c r="F20" s="202"/>
      <c r="G20" s="203"/>
      <c r="H20" s="203"/>
      <c r="I20" s="204"/>
      <c r="J20" s="205"/>
      <c r="K20" s="205"/>
      <c r="L20" s="205"/>
      <c r="M20" s="202"/>
      <c r="N20" s="202"/>
      <c r="O20" s="202"/>
      <c r="P20" s="202"/>
      <c r="Q20" s="206"/>
      <c r="R20" s="207"/>
      <c r="S20" s="208"/>
      <c r="T20" s="204"/>
      <c r="U20" s="204"/>
      <c r="V20" s="204">
        <v>1</v>
      </c>
      <c r="W20" s="204">
        <v>3</v>
      </c>
      <c r="X20" s="200"/>
      <c r="Y20" s="204"/>
      <c r="Z20" s="200"/>
      <c r="AA20" s="204"/>
      <c r="AB20" s="204"/>
      <c r="AC20" s="204"/>
      <c r="AD20" s="204"/>
      <c r="AE20" s="204"/>
      <c r="AF20" s="204"/>
      <c r="AG20" s="200"/>
      <c r="AH20" s="209"/>
      <c r="AI20" s="205"/>
      <c r="AJ20" s="205"/>
      <c r="AK20" s="205"/>
      <c r="AL20" s="205"/>
      <c r="AM20" s="205"/>
      <c r="AN20" s="205"/>
      <c r="AO20" s="205"/>
      <c r="AP20" s="205"/>
      <c r="AQ20" s="205"/>
    </row>
    <row r="21" spans="1:43" ht="15.75" thickBot="1">
      <c r="A21" s="198" t="s">
        <v>174</v>
      </c>
      <c r="B21" s="210"/>
      <c r="C21" s="211"/>
      <c r="D21" s="211">
        <v>1</v>
      </c>
      <c r="E21" s="212"/>
      <c r="F21" s="213"/>
      <c r="G21" s="214"/>
      <c r="H21" s="214"/>
      <c r="I21" s="215"/>
      <c r="J21" s="216">
        <v>1</v>
      </c>
      <c r="K21" s="216"/>
      <c r="L21" s="216"/>
      <c r="M21" s="213">
        <v>1</v>
      </c>
      <c r="N21" s="213">
        <v>1</v>
      </c>
      <c r="O21" s="213"/>
      <c r="P21" s="213"/>
      <c r="Q21" s="217"/>
      <c r="R21" s="218"/>
      <c r="S21" s="219"/>
      <c r="T21" s="215"/>
      <c r="U21" s="215">
        <v>3</v>
      </c>
      <c r="V21" s="215"/>
      <c r="W21" s="215"/>
      <c r="X21" s="211"/>
      <c r="Y21" s="215"/>
      <c r="Z21" s="211"/>
      <c r="AA21" s="215">
        <v>1</v>
      </c>
      <c r="AB21" s="215"/>
      <c r="AC21" s="215">
        <v>2</v>
      </c>
      <c r="AD21" s="215">
        <v>2</v>
      </c>
      <c r="AE21" s="215"/>
      <c r="AF21" s="215"/>
      <c r="AG21" s="211"/>
      <c r="AH21" s="220"/>
      <c r="AI21" s="216">
        <v>2</v>
      </c>
      <c r="AJ21" s="216">
        <v>4</v>
      </c>
      <c r="AK21" s="216">
        <v>2</v>
      </c>
      <c r="AL21" s="216">
        <v>2</v>
      </c>
      <c r="AM21" s="216"/>
      <c r="AN21" s="216">
        <v>2</v>
      </c>
      <c r="AO21" s="216">
        <v>2</v>
      </c>
      <c r="AP21" s="216">
        <v>2</v>
      </c>
      <c r="AQ21" s="216">
        <v>3</v>
      </c>
    </row>
    <row r="22" spans="1:43">
      <c r="A22" s="221" t="s">
        <v>444</v>
      </c>
      <c r="B22" s="222">
        <v>1</v>
      </c>
      <c r="C22" s="223">
        <v>1</v>
      </c>
      <c r="D22" s="223">
        <v>1</v>
      </c>
      <c r="E22" s="224">
        <v>1</v>
      </c>
      <c r="F22" s="225">
        <v>1</v>
      </c>
      <c r="G22" s="226">
        <v>1</v>
      </c>
      <c r="H22" s="226">
        <v>1</v>
      </c>
      <c r="I22" s="227">
        <v>1</v>
      </c>
      <c r="J22" s="228">
        <v>1</v>
      </c>
      <c r="K22" s="228">
        <v>1</v>
      </c>
      <c r="L22" s="228">
        <v>1</v>
      </c>
      <c r="M22" s="225">
        <v>1</v>
      </c>
      <c r="N22" s="225">
        <v>1</v>
      </c>
      <c r="O22" s="225">
        <v>2</v>
      </c>
      <c r="P22" s="225">
        <v>2</v>
      </c>
      <c r="Q22" s="229">
        <v>2</v>
      </c>
      <c r="R22" s="227"/>
      <c r="S22" s="223">
        <v>1.5</v>
      </c>
      <c r="T22" s="227">
        <v>1</v>
      </c>
      <c r="U22" s="227">
        <v>1</v>
      </c>
      <c r="V22" s="227">
        <v>1</v>
      </c>
      <c r="W22" s="227">
        <v>1</v>
      </c>
      <c r="X22" s="223">
        <v>2</v>
      </c>
      <c r="Y22" s="227">
        <v>1.5</v>
      </c>
      <c r="Z22" s="223">
        <v>2</v>
      </c>
      <c r="AA22" s="227">
        <v>1</v>
      </c>
      <c r="AB22" s="227">
        <v>1</v>
      </c>
      <c r="AC22" s="227">
        <v>1</v>
      </c>
      <c r="AD22" s="227">
        <v>1</v>
      </c>
      <c r="AE22" s="227">
        <v>1</v>
      </c>
      <c r="AF22" s="227">
        <v>1</v>
      </c>
      <c r="AG22" s="223">
        <v>1</v>
      </c>
      <c r="AH22" s="230">
        <v>3</v>
      </c>
      <c r="AI22" s="228">
        <v>1</v>
      </c>
      <c r="AJ22" s="228">
        <v>1</v>
      </c>
      <c r="AK22" s="228">
        <v>1</v>
      </c>
      <c r="AL22" s="228">
        <v>1</v>
      </c>
      <c r="AM22" s="228">
        <v>1</v>
      </c>
      <c r="AN22" s="228">
        <v>1</v>
      </c>
      <c r="AO22" s="228"/>
      <c r="AP22" s="228"/>
      <c r="AQ22" s="228">
        <v>1</v>
      </c>
    </row>
    <row r="23" spans="1:43">
      <c r="A23" s="231" t="s">
        <v>175</v>
      </c>
      <c r="B23" s="232"/>
      <c r="C23" s="233"/>
      <c r="D23" s="233"/>
      <c r="E23" s="234"/>
      <c r="F23" s="235"/>
      <c r="G23" s="236"/>
      <c r="H23" s="236"/>
      <c r="I23" s="237"/>
      <c r="J23" s="238"/>
      <c r="K23" s="238"/>
      <c r="L23" s="238"/>
      <c r="M23" s="235"/>
      <c r="N23" s="235"/>
      <c r="O23" s="235"/>
      <c r="P23" s="235"/>
      <c r="Q23" s="239"/>
      <c r="R23" s="237"/>
      <c r="S23" s="233"/>
      <c r="T23" s="237"/>
      <c r="U23" s="237"/>
      <c r="V23" s="237"/>
      <c r="W23" s="237"/>
      <c r="X23" s="233"/>
      <c r="Y23" s="237"/>
      <c r="Z23" s="233"/>
      <c r="AA23" s="237"/>
      <c r="AB23" s="237">
        <v>1</v>
      </c>
      <c r="AC23" s="237"/>
      <c r="AD23" s="237"/>
      <c r="AE23" s="237"/>
      <c r="AF23" s="237"/>
      <c r="AG23" s="233"/>
      <c r="AH23" s="240">
        <v>2</v>
      </c>
      <c r="AI23" s="238"/>
      <c r="AJ23" s="238"/>
      <c r="AK23" s="238"/>
      <c r="AL23" s="238"/>
      <c r="AM23" s="238"/>
      <c r="AN23" s="238"/>
      <c r="AO23" s="238"/>
      <c r="AP23" s="238"/>
      <c r="AQ23" s="238"/>
    </row>
    <row r="24" spans="1:43">
      <c r="A24" s="231" t="s">
        <v>66</v>
      </c>
      <c r="B24" s="232"/>
      <c r="C24" s="233"/>
      <c r="D24" s="233"/>
      <c r="E24" s="234"/>
      <c r="F24" s="235"/>
      <c r="G24" s="236"/>
      <c r="H24" s="236"/>
      <c r="I24" s="237"/>
      <c r="J24" s="238"/>
      <c r="K24" s="238"/>
      <c r="L24" s="238"/>
      <c r="M24" s="235"/>
      <c r="N24" s="235"/>
      <c r="O24" s="235"/>
      <c r="P24" s="235"/>
      <c r="Q24" s="239"/>
      <c r="R24" s="237"/>
      <c r="S24" s="233"/>
      <c r="T24" s="237"/>
      <c r="U24" s="237"/>
      <c r="V24" s="237">
        <v>0.5</v>
      </c>
      <c r="W24" s="237">
        <v>1</v>
      </c>
      <c r="X24" s="233">
        <v>1</v>
      </c>
      <c r="Y24" s="237"/>
      <c r="Z24" s="233">
        <v>1</v>
      </c>
      <c r="AA24" s="237"/>
      <c r="AB24" s="237"/>
      <c r="AC24" s="237"/>
      <c r="AD24" s="237"/>
      <c r="AE24" s="237"/>
      <c r="AF24" s="237"/>
      <c r="AG24" s="233">
        <v>1</v>
      </c>
      <c r="AH24" s="240">
        <v>1</v>
      </c>
      <c r="AI24" s="238"/>
      <c r="AJ24" s="238"/>
      <c r="AK24" s="238"/>
      <c r="AL24" s="238"/>
      <c r="AM24" s="238"/>
      <c r="AN24" s="238"/>
      <c r="AO24" s="238"/>
      <c r="AP24" s="238"/>
      <c r="AQ24" s="238"/>
    </row>
    <row r="25" spans="1:43">
      <c r="A25" s="231" t="s">
        <v>176</v>
      </c>
      <c r="B25" s="232"/>
      <c r="C25" s="233"/>
      <c r="D25" s="233"/>
      <c r="E25" s="234"/>
      <c r="F25" s="235"/>
      <c r="G25" s="236"/>
      <c r="H25" s="236"/>
      <c r="I25" s="237"/>
      <c r="J25" s="238"/>
      <c r="K25" s="238"/>
      <c r="L25" s="238"/>
      <c r="M25" s="235"/>
      <c r="N25" s="235"/>
      <c r="O25" s="235"/>
      <c r="P25" s="235"/>
      <c r="Q25" s="239"/>
      <c r="R25" s="237"/>
      <c r="S25" s="233"/>
      <c r="T25" s="237"/>
      <c r="U25" s="237"/>
      <c r="V25" s="237">
        <v>0.5</v>
      </c>
      <c r="W25" s="237">
        <v>1</v>
      </c>
      <c r="X25" s="233"/>
      <c r="Y25" s="237"/>
      <c r="Z25" s="233"/>
      <c r="AA25" s="237"/>
      <c r="AB25" s="237"/>
      <c r="AC25" s="237"/>
      <c r="AD25" s="237"/>
      <c r="AE25" s="237"/>
      <c r="AF25" s="237"/>
      <c r="AG25" s="233">
        <v>1</v>
      </c>
      <c r="AH25" s="240"/>
      <c r="AI25" s="238"/>
      <c r="AJ25" s="238"/>
      <c r="AK25" s="238"/>
      <c r="AL25" s="238"/>
      <c r="AM25" s="238"/>
      <c r="AN25" s="238"/>
      <c r="AO25" s="238"/>
      <c r="AP25" s="238"/>
      <c r="AQ25" s="238"/>
    </row>
    <row r="26" spans="1:43">
      <c r="A26" s="241" t="s">
        <v>445</v>
      </c>
      <c r="B26" s="242"/>
      <c r="C26" s="243"/>
      <c r="D26" s="243"/>
      <c r="E26" s="244"/>
      <c r="F26" s="245"/>
      <c r="G26" s="246"/>
      <c r="H26" s="246"/>
      <c r="I26" s="247"/>
      <c r="J26" s="248"/>
      <c r="K26" s="248"/>
      <c r="L26" s="248"/>
      <c r="M26" s="245"/>
      <c r="N26" s="245"/>
      <c r="O26" s="245"/>
      <c r="P26" s="245"/>
      <c r="Q26" s="249">
        <v>1.5</v>
      </c>
      <c r="R26" s="247"/>
      <c r="S26" s="243"/>
      <c r="T26" s="247"/>
      <c r="U26" s="247"/>
      <c r="V26" s="247"/>
      <c r="W26" s="247"/>
      <c r="X26" s="243">
        <v>1</v>
      </c>
      <c r="Y26" s="247"/>
      <c r="Z26" s="243">
        <v>1</v>
      </c>
      <c r="AA26" s="247"/>
      <c r="AB26" s="247"/>
      <c r="AC26" s="247"/>
      <c r="AD26" s="247"/>
      <c r="AE26" s="247"/>
      <c r="AF26" s="247">
        <v>1</v>
      </c>
      <c r="AG26" s="243">
        <v>1</v>
      </c>
      <c r="AH26" s="250">
        <v>1</v>
      </c>
      <c r="AI26" s="248">
        <v>1</v>
      </c>
      <c r="AJ26" s="248"/>
      <c r="AK26" s="248">
        <v>1</v>
      </c>
      <c r="AL26" s="248">
        <v>1</v>
      </c>
      <c r="AM26" s="248">
        <v>1</v>
      </c>
      <c r="AN26" s="248">
        <v>1</v>
      </c>
      <c r="AO26" s="248"/>
      <c r="AP26" s="248"/>
      <c r="AQ26" s="248">
        <v>1</v>
      </c>
    </row>
    <row r="27" spans="1:43" ht="15.75" thickBot="1">
      <c r="A27" s="251" t="s">
        <v>446</v>
      </c>
      <c r="B27" s="242">
        <v>1</v>
      </c>
      <c r="C27" s="243">
        <v>2</v>
      </c>
      <c r="D27" s="243">
        <v>2</v>
      </c>
      <c r="E27" s="244">
        <v>2</v>
      </c>
      <c r="F27" s="245">
        <v>2</v>
      </c>
      <c r="G27" s="246">
        <v>1</v>
      </c>
      <c r="H27" s="246">
        <v>2</v>
      </c>
      <c r="I27" s="247">
        <v>2</v>
      </c>
      <c r="J27" s="252">
        <v>2</v>
      </c>
      <c r="K27" s="252">
        <v>2</v>
      </c>
      <c r="L27" s="252">
        <v>2</v>
      </c>
      <c r="M27" s="245">
        <v>2</v>
      </c>
      <c r="N27" s="245">
        <v>2</v>
      </c>
      <c r="O27" s="245">
        <v>2</v>
      </c>
      <c r="P27" s="245">
        <v>2</v>
      </c>
      <c r="Q27" s="249"/>
      <c r="R27" s="253"/>
      <c r="S27" s="254"/>
      <c r="T27" s="253"/>
      <c r="U27" s="253">
        <v>1</v>
      </c>
      <c r="V27" s="253">
        <v>1</v>
      </c>
      <c r="W27" s="253">
        <v>1</v>
      </c>
      <c r="X27" s="254"/>
      <c r="Y27" s="253">
        <v>1</v>
      </c>
      <c r="Z27" s="254"/>
      <c r="AA27" s="253"/>
      <c r="AB27" s="253">
        <v>1</v>
      </c>
      <c r="AC27" s="253"/>
      <c r="AD27" s="253">
        <v>1</v>
      </c>
      <c r="AE27" s="253"/>
      <c r="AF27" s="253"/>
      <c r="AG27" s="254"/>
      <c r="AH27" s="255"/>
      <c r="AI27" s="252"/>
      <c r="AJ27" s="252"/>
      <c r="AK27" s="252"/>
      <c r="AL27" s="252"/>
      <c r="AM27" s="252"/>
      <c r="AN27" s="252"/>
      <c r="AO27" s="252"/>
      <c r="AP27" s="252">
        <v>1</v>
      </c>
      <c r="AQ27" s="252"/>
    </row>
    <row r="28" spans="1:43" ht="15.75" thickBot="1">
      <c r="A28" s="256" t="s">
        <v>34</v>
      </c>
      <c r="B28" s="257">
        <v>33.5</v>
      </c>
      <c r="C28" s="257">
        <v>29</v>
      </c>
      <c r="D28" s="257">
        <v>30</v>
      </c>
      <c r="E28" s="257">
        <v>28</v>
      </c>
      <c r="F28" s="257">
        <v>30</v>
      </c>
      <c r="G28" s="257">
        <v>31.5</v>
      </c>
      <c r="H28" s="257">
        <v>24</v>
      </c>
      <c r="I28" s="257">
        <v>30</v>
      </c>
      <c r="J28" s="257">
        <v>33.5</v>
      </c>
      <c r="K28" s="258">
        <v>27</v>
      </c>
      <c r="L28" s="258">
        <v>30.5</v>
      </c>
      <c r="M28" s="257">
        <v>30</v>
      </c>
      <c r="N28" s="257">
        <v>21</v>
      </c>
      <c r="O28" s="257">
        <v>30</v>
      </c>
      <c r="P28" s="257">
        <v>30</v>
      </c>
      <c r="Q28" s="259">
        <v>29.5</v>
      </c>
      <c r="R28" s="260">
        <v>14</v>
      </c>
      <c r="S28" s="261">
        <v>32</v>
      </c>
      <c r="T28" s="257">
        <v>25</v>
      </c>
      <c r="U28" s="259">
        <v>24</v>
      </c>
      <c r="V28" s="259">
        <v>30</v>
      </c>
      <c r="W28" s="259">
        <v>25</v>
      </c>
      <c r="X28" s="259">
        <v>37.5</v>
      </c>
      <c r="Y28" s="259">
        <v>21.5</v>
      </c>
      <c r="Z28" s="259">
        <v>37.5</v>
      </c>
      <c r="AA28" s="259">
        <v>27</v>
      </c>
      <c r="AB28" s="259">
        <v>37</v>
      </c>
      <c r="AC28" s="259">
        <v>20</v>
      </c>
      <c r="AD28" s="258">
        <v>27</v>
      </c>
      <c r="AE28" s="258">
        <v>14</v>
      </c>
      <c r="AF28" s="258">
        <v>18</v>
      </c>
      <c r="AG28" s="258">
        <v>26</v>
      </c>
      <c r="AH28" s="258">
        <v>37</v>
      </c>
      <c r="AI28" s="258">
        <v>21</v>
      </c>
      <c r="AJ28" s="258">
        <v>32</v>
      </c>
      <c r="AK28" s="258">
        <v>19</v>
      </c>
      <c r="AL28" s="258">
        <v>22</v>
      </c>
      <c r="AM28" s="258">
        <v>20</v>
      </c>
      <c r="AN28" s="258">
        <v>24</v>
      </c>
      <c r="AO28" s="258">
        <v>18</v>
      </c>
      <c r="AP28" s="258">
        <v>19</v>
      </c>
      <c r="AQ28" s="258">
        <v>28</v>
      </c>
    </row>
    <row r="29" spans="1:43">
      <c r="A29" s="262"/>
      <c r="B29" s="106">
        <v>3500</v>
      </c>
      <c r="C29" s="106">
        <v>3500</v>
      </c>
      <c r="D29" s="106">
        <v>2000</v>
      </c>
      <c r="E29" s="106">
        <v>3500</v>
      </c>
      <c r="F29" s="106">
        <v>2500</v>
      </c>
      <c r="G29" s="106">
        <v>3500</v>
      </c>
      <c r="H29" s="106">
        <v>2500</v>
      </c>
      <c r="I29" s="106">
        <v>3500</v>
      </c>
      <c r="J29" s="106">
        <v>3000</v>
      </c>
      <c r="K29" s="106">
        <v>2500</v>
      </c>
      <c r="L29" s="106">
        <v>3000</v>
      </c>
      <c r="M29" s="106">
        <v>2500</v>
      </c>
      <c r="N29" s="106">
        <v>2500</v>
      </c>
      <c r="O29" s="106">
        <v>2500</v>
      </c>
      <c r="P29" s="106">
        <v>2500</v>
      </c>
      <c r="Q29" s="106">
        <v>5000</v>
      </c>
      <c r="R29" s="106">
        <v>1500</v>
      </c>
      <c r="S29" s="106">
        <v>5000</v>
      </c>
      <c r="T29" s="106">
        <v>3000</v>
      </c>
      <c r="U29" s="106">
        <v>1200</v>
      </c>
      <c r="V29" s="106"/>
      <c r="W29" s="106"/>
      <c r="X29" s="106">
        <v>1000</v>
      </c>
      <c r="Y29" s="106"/>
      <c r="Z29" s="106">
        <v>1000</v>
      </c>
      <c r="AA29" s="106"/>
      <c r="AB29" s="106"/>
      <c r="AC29" s="106">
        <v>1200</v>
      </c>
      <c r="AD29" s="106">
        <v>900</v>
      </c>
      <c r="AE29" s="106">
        <v>1400</v>
      </c>
      <c r="AF29" s="106">
        <v>1200</v>
      </c>
      <c r="AG29" s="106">
        <v>500</v>
      </c>
      <c r="AH29" s="106">
        <v>1000</v>
      </c>
      <c r="AI29" s="106">
        <v>1000</v>
      </c>
      <c r="AJ29" s="106">
        <v>2000</v>
      </c>
      <c r="AK29" s="106">
        <v>1200</v>
      </c>
      <c r="AL29" s="106">
        <v>1200</v>
      </c>
      <c r="AM29" s="106">
        <v>1200</v>
      </c>
      <c r="AN29" s="106">
        <v>1500</v>
      </c>
      <c r="AO29" s="106">
        <v>1000</v>
      </c>
      <c r="AP29" s="106">
        <v>1000</v>
      </c>
      <c r="AQ29" s="106">
        <v>1200</v>
      </c>
    </row>
  </sheetData>
  <sheetProtection sheet="1" objects="1" scenarios="1" formatCells="0" formatColumns="0" formatRows="0"/>
  <mergeCells count="1">
    <mergeCell ref="A1:A2"/>
  </mergeCells>
  <printOptions horizontalCentered="1" gridLines="1"/>
  <pageMargins left="0.25" right="0.25" top="0.3888888888888889" bottom="0.3888888888888889" header="0.16666666666666666" footer="0.16666666666666666"/>
  <pageSetup paperSize="9" scale="82" fitToWidth="3" orientation="landscape" horizontalDpi="360" verticalDpi="360"/>
  <headerFooter>
    <oddHeader>&amp;L&amp;"Calibri,Bold"&amp;12MACHINE REQUIREMENT PER STYLE  (EMBELISHMENT)&amp;R&amp;D</oddHeader>
    <oddFooter>&amp;RPage &amp;P of &amp;N&amp;LGarment Unit A</oddFooter>
  </headerFooter>
  <colBreaks count="1" manualBreakCount="1">
    <brk id="21"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C18EB-A706-4B31-B40C-1D8EB9038E1F}">
  <sheetPr>
    <tabColor rgb="FFC00000"/>
  </sheetPr>
  <dimension ref="A1:DV205"/>
  <sheetViews>
    <sheetView zoomScale="80" zoomScaleNormal="80" workbookViewId="0">
      <selection activeCell="K23" sqref="K23"/>
    </sheetView>
    <sheetView workbookViewId="1"/>
  </sheetViews>
  <sheetFormatPr defaultRowHeight="15"/>
  <cols>
    <col min="1" max="1" width="21.42578125" style="2" customWidth="1"/>
    <col min="2" max="2" width="21" style="2" customWidth="1"/>
    <col min="3" max="12" width="9.140625" style="2"/>
    <col min="13" max="13" width="15.140625" style="2" bestFit="1" customWidth="1"/>
    <col min="14" max="14" width="12.7109375" style="2" bestFit="1" customWidth="1"/>
    <col min="15" max="15" width="10.5703125" style="2" bestFit="1" customWidth="1"/>
    <col min="16" max="16" width="16.5703125" style="2" bestFit="1" customWidth="1"/>
    <col min="17" max="17" width="17.140625" style="2" bestFit="1" customWidth="1"/>
    <col min="18" max="18" width="9.5703125" style="2" bestFit="1" customWidth="1"/>
    <col min="19" max="19" width="16.42578125" style="2" bestFit="1" customWidth="1"/>
    <col min="20" max="21" width="17" style="2" bestFit="1" customWidth="1"/>
    <col min="22" max="22" width="16" style="2" bestFit="1" customWidth="1"/>
    <col min="23" max="23" width="18.42578125" style="2" bestFit="1" customWidth="1"/>
    <col min="24" max="24" width="9.140625" style="2"/>
    <col min="25" max="25" width="10.7109375" style="2" bestFit="1" customWidth="1"/>
    <col min="26" max="26" width="19.85546875" style="2" bestFit="1" customWidth="1"/>
    <col min="27" max="27" width="22.5703125" style="2" bestFit="1" customWidth="1"/>
    <col min="28" max="28" width="12.85546875" style="2" bestFit="1" customWidth="1"/>
    <col min="29" max="29" width="15" style="2" bestFit="1" customWidth="1"/>
    <col min="30" max="49" width="9.140625" style="2"/>
    <col min="50" max="50" width="16.7109375" style="2" bestFit="1" customWidth="1"/>
    <col min="51" max="51" width="9.140625" style="2"/>
    <col min="52" max="52" width="25.140625" style="2" bestFit="1" customWidth="1"/>
    <col min="53" max="55" width="9.140625" style="2"/>
    <col min="56" max="56" width="22.85546875" style="2" customWidth="1"/>
    <col min="57" max="57" width="14.85546875" style="2" customWidth="1"/>
    <col min="58" max="63" width="11.85546875" style="2" customWidth="1"/>
    <col min="64" max="16384" width="9.140625" style="2"/>
  </cols>
  <sheetData>
    <row r="1" spans="1:126" ht="19.5">
      <c r="A1" s="1" t="s">
        <v>283</v>
      </c>
      <c r="BD1" s="1" t="s">
        <v>313</v>
      </c>
      <c r="BQ1" s="9" t="s">
        <v>386</v>
      </c>
      <c r="BR1" s="10"/>
      <c r="BS1" s="10"/>
      <c r="BT1" s="10"/>
    </row>
    <row r="2" spans="1:126">
      <c r="A2" s="4" t="s">
        <v>284</v>
      </c>
      <c r="AY2" s="503" t="s">
        <v>304</v>
      </c>
      <c r="BD2" s="504" t="s">
        <v>314</v>
      </c>
      <c r="BQ2" s="65" t="s">
        <v>387</v>
      </c>
      <c r="CA2" s="6" t="s">
        <v>496</v>
      </c>
    </row>
    <row r="3" spans="1:126">
      <c r="A3" s="7" t="s">
        <v>285</v>
      </c>
      <c r="B3" s="7" t="str">
        <f>INDEX('MC MASTER'!$B$3:$B$28,1)</f>
        <v>SNLS</v>
      </c>
      <c r="C3" s="7" t="str">
        <f>INDEX('MC MASTER'!$B$3:$B$28,2)</f>
        <v>DNLS</v>
      </c>
      <c r="D3" s="7" t="str">
        <f>INDEX('MC MASTER'!$B$3:$B$28,3)</f>
        <v>SNLS - Edge cutter</v>
      </c>
      <c r="E3" s="7" t="str">
        <f>INDEX('MC MASTER'!$B$3:$B$28,4)</f>
        <v>Zig - Zag</v>
      </c>
      <c r="F3" s="7" t="str">
        <f>INDEX('MC MASTER'!$B$3:$B$28,5)</f>
        <v>4th Overlock</v>
      </c>
      <c r="G3" s="7" t="str">
        <f>INDEX('MC MASTER'!$B$3:$B$28,6)</f>
        <v>3th Overlock (Leg elastic)</v>
      </c>
      <c r="H3" s="7" t="str">
        <f>INDEX('MC MASTER'!$B$3:$B$28,7)</f>
        <v>5th Overlock</v>
      </c>
      <c r="I3" s="7" t="str">
        <f>INDEX('MC MASTER'!$B$3:$B$28,8)</f>
        <v>Overlock (Ring Elastic Attach)</v>
      </c>
      <c r="J3" s="7" t="str">
        <f>INDEX('MC MASTER'!$B$3:$B$28,9)</f>
        <v>Flatlock Hem</v>
      </c>
      <c r="K3" s="7" t="str">
        <f>INDEX('MC MASTER'!$B$3:$B$28,10)</f>
        <v>F/L (Coverseam / Waist COVER SEAM</v>
      </c>
      <c r="L3" s="7" t="str">
        <f>INDEX('MC MASTER'!$B$3:$B$28,11)</f>
        <v>F/L (Coverseam )with pullar</v>
      </c>
      <c r="M3" s="7" t="str">
        <f>INDEX('MC MASTER'!$B$3:$B$28,12)</f>
        <v>F/L (Coverseam )</v>
      </c>
      <c r="N3" s="7" t="str">
        <f>INDEX('MC MASTER'!$B$3:$B$28,13)</f>
        <v>Flatlock (Ring Elastic Attach)</v>
      </c>
      <c r="O3" s="7" t="str">
        <f>INDEX('MC MASTER'!$B$3:$B$28,14)</f>
        <v>3N5T-F/L -BINDING</v>
      </c>
      <c r="P3" s="7" t="str">
        <f>INDEX('MC MASTER'!$B$3:$B$28,15)</f>
        <v>3N5T-F/L -( TopStitch)</v>
      </c>
      <c r="Q3" s="7" t="str">
        <f>INDEX('MC MASTER'!$B$3:$B$28,16)</f>
        <v>FlatSeamer FS</v>
      </c>
      <c r="R3" s="7" t="str">
        <f>INDEX('MC MASTER'!$B$3:$B$28,17)</f>
        <v>Kansai</v>
      </c>
      <c r="S3" s="7" t="str">
        <f>INDEX('MC MASTER'!$B$3:$B$28,18)</f>
        <v>Chain stitch</v>
      </c>
      <c r="T3" s="7" t="str">
        <f>INDEX('MC MASTER'!$B$3:$B$28,19)</f>
        <v>Flatlock (VT)</v>
      </c>
      <c r="U3" s="7" t="str">
        <f>INDEX('MC MASTER'!$B$3:$B$28,20)</f>
        <v>Heat Seal</v>
      </c>
      <c r="V3" s="7" t="str">
        <f>INDEX('MC MASTER'!$B$3:$B$28,21)</f>
        <v>Snap button</v>
      </c>
      <c r="W3" s="7" t="str">
        <f>INDEX('MC MASTER'!$B$3:$B$28,22)</f>
        <v>Button Hole</v>
      </c>
      <c r="X3" s="7" t="str">
        <f>INDEX('MC MASTER'!$B$3:$B$28,23)</f>
        <v>Button Attach</v>
      </c>
      <c r="Y3" s="7" t="str">
        <f>INDEX('MC MASTER'!$B$3:$B$28,24)</f>
        <v>Bartack</v>
      </c>
      <c r="Z3" s="7" t="str">
        <f>INDEX('MC MASTER'!$B$3:$B$28,25)</f>
        <v>Bartack Pattern tacker (LABEL ATTACH )</v>
      </c>
      <c r="AA3" s="7" t="str">
        <f>INDEX('MC MASTER'!$B$3:$B$28,26)</f>
        <v>Bartack Pattern tacker</v>
      </c>
      <c r="AB3" s="7" t="s">
        <v>286</v>
      </c>
      <c r="AC3" s="7" t="s">
        <v>287</v>
      </c>
      <c r="AW3" s="7" t="s">
        <v>288</v>
      </c>
      <c r="AX3" s="7" t="s">
        <v>318</v>
      </c>
      <c r="AY3" s="281" t="s">
        <v>285</v>
      </c>
      <c r="AZ3" s="281" t="s">
        <v>225</v>
      </c>
      <c r="BA3" s="281" t="s">
        <v>209</v>
      </c>
      <c r="BQ3" s="12" t="s">
        <v>285</v>
      </c>
      <c r="BR3" s="12" t="s">
        <v>388</v>
      </c>
      <c r="BS3" s="12" t="s">
        <v>389</v>
      </c>
      <c r="BT3" s="12" t="s">
        <v>390</v>
      </c>
      <c r="CA3" s="267" cm="1">
        <f t="array" ref="CA3">INDEX('MC MAP'!$A$33:$A$80,COLUMN()-78)</f>
        <v>7926</v>
      </c>
      <c r="CB3" s="267" cm="1" t="str">
        <f t="array" ref="CB3">INDEX('MC MAP'!$A$33:$A$80,COLUMN()-78)</f>
        <v>4300/4301</v>
      </c>
      <c r="CC3" s="267" cm="1" t="str">
        <f t="array" ref="CC3">INDEX('MC MAP'!$A$33:$A$80,COLUMN()-78)</f>
        <v>RS 26/27</v>
      </c>
      <c r="CD3" s="267" cm="1">
        <f t="array" ref="CD3">INDEX('MC MAP'!$A$33:$A$80,COLUMN()-78)</f>
        <v>6820</v>
      </c>
      <c r="CE3" s="267" cm="1">
        <f t="array" ref="CE3">INDEX('MC MAP'!$A$33:$A$80,COLUMN()-78)</f>
        <v>6108</v>
      </c>
      <c r="CF3" s="267" cm="1">
        <f t="array" ref="CF3">INDEX('MC MAP'!$A$33:$A$80,COLUMN()-78)</f>
        <v>6109</v>
      </c>
      <c r="CG3" s="267" cm="1">
        <f t="array" ref="CG3">INDEX('MC MAP'!$A$33:$A$80,COLUMN()-78)</f>
        <v>4117</v>
      </c>
      <c r="CH3" s="267" cm="1" t="str">
        <f t="array" ref="CH3">INDEX('MC MAP'!$A$33:$A$80,COLUMN()-78)</f>
        <v>4406/10</v>
      </c>
      <c r="CI3" s="267" cm="1">
        <f t="array" ref="CI3">INDEX('MC MAP'!$A$33:$A$80,COLUMN()-78)</f>
        <v>4115</v>
      </c>
      <c r="CJ3" s="267" cm="1" t="str">
        <f t="array" ref="CJ3">INDEX('MC MAP'!$A$33:$A$80,COLUMN()-78)</f>
        <v>RS17</v>
      </c>
      <c r="CK3" s="267" cm="1">
        <f t="array" ref="CK3">INDEX('MC MAP'!$A$33:$A$80,COLUMN()-78)</f>
        <v>6135</v>
      </c>
      <c r="CL3" s="267" cm="1" t="str">
        <f t="array" ref="CL3">INDEX('MC MAP'!$A$33:$A$80,COLUMN()-78)</f>
        <v>THERMAL</v>
      </c>
      <c r="CM3" s="267" cm="1" t="str">
        <f t="array" ref="CM3">INDEX('MC MAP'!$A$33:$A$80,COLUMN()-78)</f>
        <v>VACCANT</v>
      </c>
      <c r="CN3" s="267" cm="1">
        <f t="array" ref="CN3">INDEX('MC MAP'!$A$33:$A$80,COLUMN()-78)</f>
        <v>6137</v>
      </c>
      <c r="CO3" s="267" cm="1">
        <f t="array" ref="CO3">INDEX('MC MAP'!$A$33:$A$80,COLUMN()-78)</f>
        <v>4110</v>
      </c>
      <c r="CP3" s="267" cm="1">
        <f t="array" ref="CP3">INDEX('MC MAP'!$A$33:$A$80,COLUMN()-78)</f>
        <v>5520</v>
      </c>
      <c r="CQ3" s="267" cm="1" t="str">
        <f t="array" ref="CQ3">INDEX('MC MAP'!$A$33:$A$80,COLUMN()-78)</f>
        <v>TH-01</v>
      </c>
      <c r="CR3" s="267" cm="1" t="str">
        <f t="array" ref="CR3">INDEX('MC MAP'!$A$33:$A$80,COLUMN()-78)</f>
        <v>TH-02</v>
      </c>
      <c r="CS3" s="267" cm="1" t="str">
        <f t="array" ref="CS3">INDEX('MC MAP'!$A$33:$A$80,COLUMN()-78)</f>
        <v>TH-04</v>
      </c>
      <c r="CT3" s="267" cm="1" t="str">
        <f t="array" ref="CT3">INDEX('MC MAP'!$A$33:$A$80,COLUMN()-78)</f>
        <v>RS-17</v>
      </c>
      <c r="CU3" s="267" cm="1" t="str">
        <f t="array" ref="CU3">INDEX('MC MAP'!$A$33:$A$80,COLUMN()-78)</f>
        <v>RS-52</v>
      </c>
      <c r="CV3" s="267" cm="1" t="str">
        <f t="array" ref="CV3">INDEX('MC MAP'!$A$33:$A$80,COLUMN()-78)</f>
        <v>6109-T</v>
      </c>
      <c r="CW3" s="267" cm="1" t="str">
        <f t="array" ref="CW3">INDEX('MC MAP'!$A$33:$A$80,COLUMN()-78)</f>
        <v>4117-T</v>
      </c>
      <c r="CX3" s="267" cm="1" t="str">
        <f t="array" ref="CX3">INDEX('MC MAP'!$A$33:$A$80,COLUMN()-78)</f>
        <v>RS-60</v>
      </c>
      <c r="CY3" s="267" cm="1" t="str">
        <f t="array" ref="CY3">INDEX('MC MAP'!$A$33:$A$80,COLUMN()-78)</f>
        <v>RS-63</v>
      </c>
      <c r="CZ3" s="267" cm="1">
        <f t="array" ref="CZ3">INDEX('MC MAP'!$A$33:$A$80,COLUMN()-78)</f>
        <v>4523</v>
      </c>
      <c r="DA3" s="267" cm="1">
        <f t="array" ref="DA3">INDEX('MC MAP'!$A$33:$A$80,COLUMN()-78)</f>
        <v>4525</v>
      </c>
      <c r="DB3" s="267" cm="1" t="str">
        <f t="array" ref="DB3">INDEX('MC MAP'!$A$33:$A$80,COLUMN()-78)</f>
        <v>Panty</v>
      </c>
      <c r="DC3" s="267" cm="1" t="str">
        <f t="array" ref="DC3">INDEX('MC MAP'!$A$33:$A$80,COLUMN()-78)</f>
        <v>T Shirt</v>
      </c>
      <c r="DD3" s="267" cm="1" t="str">
        <f t="array" ref="DD3">INDEX('MC MAP'!$A$33:$A$80,COLUMN()-78)</f>
        <v>RS-27</v>
      </c>
      <c r="DE3" s="267" cm="1">
        <f t="array" ref="DE3">INDEX('MC MAP'!$A$33:$A$80,COLUMN()-78)</f>
        <v>5201</v>
      </c>
      <c r="DF3" s="267" cm="1">
        <f t="array" ref="DF3">INDEX('MC MAP'!$A$33:$A$80,COLUMN()-78)</f>
        <v>4223</v>
      </c>
      <c r="DG3" s="267" cm="1">
        <f t="array" ref="DG3">INDEX('MC MAP'!$A$33:$A$80,COLUMN()-78)</f>
        <v>4222</v>
      </c>
      <c r="DH3" s="267" cm="1">
        <f t="array" ref="DH3">INDEX('MC MAP'!$A$33:$A$80,COLUMN()-78)</f>
        <v>4300</v>
      </c>
      <c r="DI3" s="267" cm="1">
        <f t="array" ref="DI3">INDEX('MC MAP'!$A$33:$A$80,COLUMN()-78)</f>
        <v>4359</v>
      </c>
      <c r="DJ3" s="267" cm="1">
        <f t="array" ref="DJ3">INDEX('MC MAP'!$A$33:$A$80,COLUMN()-78)</f>
        <v>4301</v>
      </c>
      <c r="DK3" s="267" cm="1" t="str">
        <f t="array" ref="DK3">INDEX('MC MAP'!$A$33:$A$80,COLUMN()-78)</f>
        <v>RS-92</v>
      </c>
      <c r="DL3" s="267" cm="1" t="str">
        <f t="array" ref="DL3">INDEX('MC MAP'!$A$33:$A$80,COLUMN()-78)</f>
        <v>BW-30</v>
      </c>
      <c r="DM3" s="267" cm="1">
        <f t="array" ref="DM3">INDEX('MC MAP'!$A$33:$A$80,COLUMN()-78)</f>
        <v>5200</v>
      </c>
      <c r="DN3" s="267" cm="1">
        <f t="array" ref="DN3">INDEX('MC MAP'!$A$33:$A$80,COLUMN()-78)</f>
        <v>5220</v>
      </c>
      <c r="DO3" s="267" cm="1">
        <f t="array" ref="DO3">INDEX('MC MAP'!$A$33:$A$80,COLUMN()-78)</f>
        <v>5500</v>
      </c>
      <c r="DP3" s="267" cm="1">
        <f t="array" ref="DP3">INDEX('MC MAP'!$A$33:$A$80,COLUMN()-78)</f>
        <v>5501</v>
      </c>
      <c r="DQ3" s="267" cm="1" t="str">
        <f t="array" ref="DQ3">INDEX('MC MAP'!$A$33:$A$80,COLUMN()-78)</f>
        <v>POLO</v>
      </c>
      <c r="DR3" s="267" cm="1">
        <f t="array" ref="DR3">INDEX('MC MAP'!$A$33:$A$80,COLUMN()-78)</f>
        <v>5503</v>
      </c>
      <c r="DS3" s="267" cm="1" t="str">
        <f t="array" ref="DS3">INDEX('MC MAP'!$A$33:$A$80,COLUMN()-78)</f>
        <v>TH-05</v>
      </c>
      <c r="DT3" s="267" cm="1" t="str">
        <f t="array" ref="DT3">INDEX('MC MAP'!$A$33:$A$80,COLUMN()-78)</f>
        <v>TH-06</v>
      </c>
      <c r="DU3" s="267" cm="1">
        <f t="array" ref="DU3">INDEX('MC MAP'!$A$33:$A$80,COLUMN()-78)</f>
        <v>5544</v>
      </c>
      <c r="DV3" s="267" cm="1">
        <f t="array" ref="DV3">INDEX('MC MAP'!$A$33:$A$80,COLUMN()-78)</f>
        <v>5543</v>
      </c>
    </row>
    <row r="4" spans="1:126" ht="24.75">
      <c r="A4" s="505" cm="1">
        <f t="array" ref="A4">INDEX('LINE PLAN'!$B$35:$GS$35,ROW()-3)</f>
        <v>46235</v>
      </c>
      <c r="B4" s="2">
        <f>SUMPRODUCT($CA4:$DV4,INDEX('MC MAP'!$DA$5:$EV$30,1,0))</f>
        <v>152</v>
      </c>
      <c r="C4" s="2">
        <f>SUMPRODUCT($CA4:$DV4,INDEX('MC MAP'!$DA$5:$EV$30,2,0))</f>
        <v>1</v>
      </c>
      <c r="D4" s="2">
        <f>SUMPRODUCT($CA4:$DV4,INDEX('MC MAP'!$DA$5:$EV$30,3,0))</f>
        <v>0</v>
      </c>
      <c r="E4" s="2">
        <f>SUMPRODUCT($CA4:$DV4,INDEX('MC MAP'!$DA$5:$EV$30,4,0))</f>
        <v>4</v>
      </c>
      <c r="F4" s="2">
        <f>SUMPRODUCT($CA4:$DV4,INDEX('MC MAP'!$DA$5:$EV$30,5,0))</f>
        <v>291</v>
      </c>
      <c r="G4" s="2">
        <f>SUMPRODUCT($CA4:$DV4,INDEX('MC MAP'!$DA$5:$EV$30,6,0))</f>
        <v>31</v>
      </c>
      <c r="H4" s="2">
        <f>SUMPRODUCT($CA4:$DV4,INDEX('MC MAP'!$DA$5:$EV$30,7,0))</f>
        <v>0</v>
      </c>
      <c r="I4" s="2">
        <f>SUMPRODUCT($CA4:$DV4,INDEX('MC MAP'!$DA$5:$EV$30,8,0))</f>
        <v>36</v>
      </c>
      <c r="J4" s="2">
        <f>SUMPRODUCT($CA4:$DV4,INDEX('MC MAP'!$DA$5:$EV$30,9,0))</f>
        <v>22.5</v>
      </c>
      <c r="K4" s="2">
        <f>SUMPRODUCT($CA4:$DV4,INDEX('MC MAP'!$DA$5:$EV$30,10,0))</f>
        <v>4</v>
      </c>
      <c r="L4" s="2">
        <f>SUMPRODUCT($CA4:$DV4,INDEX('MC MAP'!$DA$5:$EV$30,11,0))</f>
        <v>43.5</v>
      </c>
      <c r="M4" s="2">
        <f>SUMPRODUCT($CA4:$DV4,INDEX('MC MAP'!$DA$5:$EV$30,12,0))</f>
        <v>17</v>
      </c>
      <c r="N4" s="2">
        <f>SUMPRODUCT($CA4:$DV4,INDEX('MC MAP'!$DA$5:$EV$30,13,0))</f>
        <v>34.5</v>
      </c>
      <c r="O4" s="2">
        <f>SUMPRODUCT($CA4:$DV4,INDEX('MC MAP'!$DA$5:$EV$30,14,0))</f>
        <v>40</v>
      </c>
      <c r="P4" s="2">
        <f>SUMPRODUCT($CA4:$DV4,INDEX('MC MAP'!$DA$5:$EV$30,15,0))</f>
        <v>47</v>
      </c>
      <c r="Q4" s="2">
        <f>SUMPRODUCT($CA4:$DV4,INDEX('MC MAP'!$DA$5:$EV$30,16,0))</f>
        <v>0</v>
      </c>
      <c r="R4" s="2">
        <f>SUMPRODUCT($CA4:$DV4,INDEX('MC MAP'!$DA$5:$EV$30,17,0))</f>
        <v>3</v>
      </c>
      <c r="S4" s="2">
        <f>SUMPRODUCT($CA4:$DV4,INDEX('MC MAP'!$DA$5:$EV$30,18,0))</f>
        <v>0</v>
      </c>
      <c r="T4" s="2">
        <f>SUMPRODUCT($CA4:$DV4,INDEX('MC MAP'!$DA$5:$EV$30,19,0))</f>
        <v>13</v>
      </c>
      <c r="U4" s="2">
        <f>SUMPRODUCT($CA4:$DV4,INDEX('MC MAP'!$DA$5:$EV$30,20,0))</f>
        <v>31</v>
      </c>
      <c r="V4" s="2">
        <f>SUMPRODUCT($CA4:$DV4,INDEX('MC MAP'!$DA$5:$EV$30,21,0))</f>
        <v>2</v>
      </c>
      <c r="W4" s="2">
        <f>SUMPRODUCT($CA4:$DV4,INDEX('MC MAP'!$DA$5:$EV$30,22,0))</f>
        <v>2</v>
      </c>
      <c r="X4" s="2">
        <f>SUMPRODUCT($CA4:$DV4,INDEX('MC MAP'!$DA$5:$EV$30,23,0))</f>
        <v>0</v>
      </c>
      <c r="Y4" s="2">
        <f>SUMPRODUCT($CA4:$DV4,INDEX('MC MAP'!$DA$5:$EV$30,24,0))</f>
        <v>4.5</v>
      </c>
      <c r="Z4" s="2">
        <f>SUMPRODUCT($CA4:$DV4,INDEX('MC MAP'!$DA$5:$EV$30,25,0))</f>
        <v>0</v>
      </c>
      <c r="AA4" s="2">
        <f>SUMPRODUCT($CA4:$DV4,INDEX('MC MAP'!$DA$5:$EV$30,26,0))</f>
        <v>29</v>
      </c>
      <c r="AB4" s="2">
        <f>SUM($B4:$AA4)</f>
        <v>808</v>
      </c>
      <c r="AC4" s="2">
        <f>SUM($CA4:$DV4)+$AW4</f>
        <v>26</v>
      </c>
      <c r="AW4" s="2">
        <f>IF($A4=0,0,COUNTIF(INDEX('LINE PLAN'!$B$36:$GS$61,0,ROW()-3),"THERMAL - NOT SPECIFIED"))</f>
        <v>0</v>
      </c>
      <c r="AX4" s="506" cm="1">
        <f t="array" ref="AX4">IF(OR($AB4=0,UPPER($BS4)&lt;&gt;"Y"),0,SUMPRODUCT(--($B4:$AA4&gt;$B$205:$AA$205)))</f>
        <v>5</v>
      </c>
      <c r="AY4" s="507">
        <f>$A4</f>
        <v>46235</v>
      </c>
      <c r="AZ4" s="2">
        <f>$AB4</f>
        <v>808</v>
      </c>
      <c r="BA4" s="2">
        <f>'MC MASTER'!$C$29</f>
        <v>920</v>
      </c>
      <c r="BD4" s="508" t="s">
        <v>209</v>
      </c>
      <c r="BE4" s="508" t="s">
        <v>315</v>
      </c>
      <c r="BF4" s="508" t="s">
        <v>295</v>
      </c>
      <c r="BG4" s="508" t="s">
        <v>346</v>
      </c>
      <c r="BH4" s="508" t="s">
        <v>316</v>
      </c>
      <c r="BI4" s="508" t="s">
        <v>317</v>
      </c>
      <c r="BJ4" s="508" t="s">
        <v>318</v>
      </c>
      <c r="BQ4" s="509">
        <f>$A4</f>
        <v>46235</v>
      </c>
      <c r="BR4" s="15" t="str">
        <f>TEXT($A4,"ddd")</f>
        <v>Sat</v>
      </c>
      <c r="BS4" s="547" t="s">
        <v>391</v>
      </c>
      <c r="BT4" s="15">
        <f>IF(UPPER($BS4)="Y",$AB4,0)</f>
        <v>808</v>
      </c>
      <c r="CA4" s="2">
        <f>COUNTIF(INDEX('LINE PLAN'!$B$36:$GS$61,0,ROW()-3),CA$3)</f>
        <v>1</v>
      </c>
      <c r="CB4" s="2">
        <f>COUNTIF(INDEX('LINE PLAN'!$B$36:$GS$61,0,ROW()-3),CB$3)</f>
        <v>1</v>
      </c>
      <c r="CC4" s="2">
        <f>COUNTIF(INDEX('LINE PLAN'!$B$36:$GS$61,0,ROW()-3),CC$3)</f>
        <v>1</v>
      </c>
      <c r="CD4" s="2">
        <f>COUNTIF(INDEX('LINE PLAN'!$B$36:$GS$61,0,ROW()-3),CD$3)</f>
        <v>2</v>
      </c>
      <c r="CE4" s="2">
        <f>COUNTIF(INDEX('LINE PLAN'!$B$36:$GS$61,0,ROW()-3),CE$3)</f>
        <v>2</v>
      </c>
      <c r="CF4" s="2">
        <f>COUNTIF(INDEX('LINE PLAN'!$B$36:$GS$61,0,ROW()-3),CF$3)</f>
        <v>3</v>
      </c>
      <c r="CG4" s="2">
        <f>COUNTIF(INDEX('LINE PLAN'!$B$36:$GS$61,0,ROW()-3),CG$3)</f>
        <v>2</v>
      </c>
      <c r="CH4" s="2">
        <f>COUNTIF(INDEX('LINE PLAN'!$B$36:$GS$61,0,ROW()-3),CH$3)</f>
        <v>1</v>
      </c>
      <c r="CI4" s="2">
        <f>COUNTIF(INDEX('LINE PLAN'!$B$36:$GS$61,0,ROW()-3),CI$3)</f>
        <v>1</v>
      </c>
      <c r="CJ4" s="2">
        <f>COUNTIF(INDEX('LINE PLAN'!$B$36:$GS$61,0,ROW()-3),CJ$3)</f>
        <v>1</v>
      </c>
      <c r="CK4" s="2">
        <f>COUNTIF(INDEX('LINE PLAN'!$B$36:$GS$61,0,ROW()-3),CK$3)</f>
        <v>3</v>
      </c>
      <c r="CL4" s="2">
        <f>COUNTIF(INDEX('LINE PLAN'!$B$36:$GS$61,0,ROW()-3),CL$3)</f>
        <v>0</v>
      </c>
      <c r="CM4" s="2">
        <f>COUNTIF(INDEX('LINE PLAN'!$B$36:$GS$61,0,ROW()-3),CM$3)</f>
        <v>0</v>
      </c>
      <c r="CN4" s="2">
        <f>COUNTIF(INDEX('LINE PLAN'!$B$36:$GS$61,0,ROW()-3),CN$3)</f>
        <v>5</v>
      </c>
      <c r="CO4" s="2">
        <f>COUNTIF(INDEX('LINE PLAN'!$B$36:$GS$61,0,ROW()-3),CO$3)</f>
        <v>0</v>
      </c>
      <c r="CP4" s="2">
        <f>COUNTIF(INDEX('LINE PLAN'!$B$36:$GS$61,0,ROW()-3),CP$3)</f>
        <v>2</v>
      </c>
      <c r="CQ4" s="2">
        <f>COUNTIF(INDEX('LINE PLAN'!$B$36:$GS$61,0,ROW()-3),CQ$3)</f>
        <v>0</v>
      </c>
      <c r="CR4" s="2">
        <f>COUNTIF(INDEX('LINE PLAN'!$B$36:$GS$61,0,ROW()-3),CR$3)</f>
        <v>1</v>
      </c>
      <c r="CS4" s="2">
        <f>COUNTIF(INDEX('LINE PLAN'!$B$36:$GS$61,0,ROW()-3),CS$3)</f>
        <v>0</v>
      </c>
      <c r="CT4" s="2">
        <f>COUNTIF(INDEX('LINE PLAN'!$B$36:$GS$61,0,ROW()-3),CT$3)</f>
        <v>0</v>
      </c>
      <c r="CU4" s="2">
        <f>COUNTIF(INDEX('LINE PLAN'!$B$36:$GS$61,0,ROW()-3),CU$3)</f>
        <v>0</v>
      </c>
      <c r="CV4" s="2">
        <f>COUNTIF(INDEX('LINE PLAN'!$B$36:$GS$61,0,ROW()-3),CV$3)</f>
        <v>0</v>
      </c>
      <c r="CW4" s="2">
        <f>COUNTIF(INDEX('LINE PLAN'!$B$36:$GS$61,0,ROW()-3),CW$3)</f>
        <v>0</v>
      </c>
      <c r="CX4" s="2">
        <f>COUNTIF(INDEX('LINE PLAN'!$B$36:$GS$61,0,ROW()-3),CX$3)</f>
        <v>0</v>
      </c>
      <c r="CY4" s="2">
        <f>COUNTIF(INDEX('LINE PLAN'!$B$36:$GS$61,0,ROW()-3),CY$3)</f>
        <v>0</v>
      </c>
      <c r="CZ4" s="2">
        <f>COUNTIF(INDEX('LINE PLAN'!$B$36:$GS$61,0,ROW()-3),CZ$3)</f>
        <v>0</v>
      </c>
      <c r="DA4" s="2">
        <f>COUNTIF(INDEX('LINE PLAN'!$B$36:$GS$61,0,ROW()-3),DA$3)</f>
        <v>0</v>
      </c>
      <c r="DB4" s="2">
        <f>COUNTIF(INDEX('LINE PLAN'!$B$36:$GS$61,0,ROW()-3),DB$3)</f>
        <v>0</v>
      </c>
      <c r="DC4" s="2">
        <f>COUNTIF(INDEX('LINE PLAN'!$B$36:$GS$61,0,ROW()-3),DC$3)</f>
        <v>0</v>
      </c>
      <c r="DD4" s="2">
        <f>COUNTIF(INDEX('LINE PLAN'!$B$36:$GS$61,0,ROW()-3),DD$3)</f>
        <v>0</v>
      </c>
      <c r="DE4" s="2">
        <f>COUNTIF(INDEX('LINE PLAN'!$B$36:$GS$61,0,ROW()-3),DE$3)</f>
        <v>0</v>
      </c>
      <c r="DF4" s="2">
        <f>COUNTIF(INDEX('LINE PLAN'!$B$36:$GS$61,0,ROW()-3),DF$3)</f>
        <v>0</v>
      </c>
      <c r="DG4" s="2">
        <f>COUNTIF(INDEX('LINE PLAN'!$B$36:$GS$61,0,ROW()-3),DG$3)</f>
        <v>0</v>
      </c>
      <c r="DH4" s="2">
        <f>COUNTIF(INDEX('LINE PLAN'!$B$36:$GS$61,0,ROW()-3),DH$3)</f>
        <v>0</v>
      </c>
      <c r="DI4" s="2">
        <f>COUNTIF(INDEX('LINE PLAN'!$B$36:$GS$61,0,ROW()-3),DI$3)</f>
        <v>0</v>
      </c>
      <c r="DJ4" s="2">
        <f>COUNTIF(INDEX('LINE PLAN'!$B$36:$GS$61,0,ROW()-3),DJ$3)</f>
        <v>0</v>
      </c>
      <c r="DK4" s="2">
        <f>COUNTIF(INDEX('LINE PLAN'!$B$36:$GS$61,0,ROW()-3),DK$3)</f>
        <v>0</v>
      </c>
      <c r="DL4" s="2">
        <f>COUNTIF(INDEX('LINE PLAN'!$B$36:$GS$61,0,ROW()-3),DL$3)</f>
        <v>0</v>
      </c>
      <c r="DM4" s="2">
        <f>COUNTIF(INDEX('LINE PLAN'!$B$36:$GS$61,0,ROW()-3),DM$3)</f>
        <v>0</v>
      </c>
      <c r="DN4" s="2">
        <f>COUNTIF(INDEX('LINE PLAN'!$B$36:$GS$61,0,ROW()-3),DN$3)</f>
        <v>0</v>
      </c>
      <c r="DO4" s="2">
        <f>COUNTIF(INDEX('LINE PLAN'!$B$36:$GS$61,0,ROW()-3),DO$3)</f>
        <v>0</v>
      </c>
      <c r="DP4" s="2">
        <f>COUNTIF(INDEX('LINE PLAN'!$B$36:$GS$61,0,ROW()-3),DP$3)</f>
        <v>0</v>
      </c>
      <c r="DQ4" s="2">
        <f>COUNTIF(INDEX('LINE PLAN'!$B$36:$GS$61,0,ROW()-3),DQ$3)</f>
        <v>0</v>
      </c>
      <c r="DR4" s="2">
        <f>COUNTIF(INDEX('LINE PLAN'!$B$36:$GS$61,0,ROW()-3),DR$3)</f>
        <v>0</v>
      </c>
      <c r="DS4" s="2">
        <f>COUNTIF(INDEX('LINE PLAN'!$B$36:$GS$61,0,ROW()-3),DS$3)</f>
        <v>0</v>
      </c>
      <c r="DT4" s="2">
        <f>COUNTIF(INDEX('LINE PLAN'!$B$36:$GS$61,0,ROW()-3),DT$3)</f>
        <v>0</v>
      </c>
      <c r="DU4" s="2">
        <f>COUNTIF(INDEX('LINE PLAN'!$B$36:$GS$61,0,ROW()-3),DU$3)</f>
        <v>0</v>
      </c>
      <c r="DV4" s="2">
        <f>COUNTIF(INDEX('LINE PLAN'!$B$36:$GS$61,0,ROW()-3),DV$3)</f>
        <v>0</v>
      </c>
    </row>
    <row r="5" spans="1:126" ht="18.75">
      <c r="A5" s="505" cm="1">
        <f t="array" ref="A5">INDEX('LINE PLAN'!$B$35:$GS$35,ROW()-3)</f>
        <v>46236</v>
      </c>
      <c r="B5" s="2">
        <f>SUMPRODUCT($CA5:$DV5,INDEX('MC MAP'!$DA$5:$EV$30,1,0))</f>
        <v>152</v>
      </c>
      <c r="C5" s="2">
        <f>SUMPRODUCT($CA5:$DV5,INDEX('MC MAP'!$DA$5:$EV$30,2,0))</f>
        <v>1</v>
      </c>
      <c r="D5" s="2">
        <f>SUMPRODUCT($CA5:$DV5,INDEX('MC MAP'!$DA$5:$EV$30,3,0))</f>
        <v>0</v>
      </c>
      <c r="E5" s="2">
        <f>SUMPRODUCT($CA5:$DV5,INDEX('MC MAP'!$DA$5:$EV$30,4,0))</f>
        <v>4</v>
      </c>
      <c r="F5" s="2">
        <f>SUMPRODUCT($CA5:$DV5,INDEX('MC MAP'!$DA$5:$EV$30,5,0))</f>
        <v>291</v>
      </c>
      <c r="G5" s="2">
        <f>SUMPRODUCT($CA5:$DV5,INDEX('MC MAP'!$DA$5:$EV$30,6,0))</f>
        <v>31</v>
      </c>
      <c r="H5" s="2">
        <f>SUMPRODUCT($CA5:$DV5,INDEX('MC MAP'!$DA$5:$EV$30,7,0))</f>
        <v>0</v>
      </c>
      <c r="I5" s="2">
        <f>SUMPRODUCT($CA5:$DV5,INDEX('MC MAP'!$DA$5:$EV$30,8,0))</f>
        <v>36</v>
      </c>
      <c r="J5" s="2">
        <f>SUMPRODUCT($CA5:$DV5,INDEX('MC MAP'!$DA$5:$EV$30,9,0))</f>
        <v>22.5</v>
      </c>
      <c r="K5" s="2">
        <f>SUMPRODUCT($CA5:$DV5,INDEX('MC MAP'!$DA$5:$EV$30,10,0))</f>
        <v>4</v>
      </c>
      <c r="L5" s="2">
        <f>SUMPRODUCT($CA5:$DV5,INDEX('MC MAP'!$DA$5:$EV$30,11,0))</f>
        <v>43.5</v>
      </c>
      <c r="M5" s="2">
        <f>SUMPRODUCT($CA5:$DV5,INDEX('MC MAP'!$DA$5:$EV$30,12,0))</f>
        <v>17</v>
      </c>
      <c r="N5" s="2">
        <f>SUMPRODUCT($CA5:$DV5,INDEX('MC MAP'!$DA$5:$EV$30,13,0))</f>
        <v>34.5</v>
      </c>
      <c r="O5" s="2">
        <f>SUMPRODUCT($CA5:$DV5,INDEX('MC MAP'!$DA$5:$EV$30,14,0))</f>
        <v>40</v>
      </c>
      <c r="P5" s="2">
        <f>SUMPRODUCT($CA5:$DV5,INDEX('MC MAP'!$DA$5:$EV$30,15,0))</f>
        <v>47</v>
      </c>
      <c r="Q5" s="2">
        <f>SUMPRODUCT($CA5:$DV5,INDEX('MC MAP'!$DA$5:$EV$30,16,0))</f>
        <v>0</v>
      </c>
      <c r="R5" s="2">
        <f>SUMPRODUCT($CA5:$DV5,INDEX('MC MAP'!$DA$5:$EV$30,17,0))</f>
        <v>3</v>
      </c>
      <c r="S5" s="2">
        <f>SUMPRODUCT($CA5:$DV5,INDEX('MC MAP'!$DA$5:$EV$30,18,0))</f>
        <v>0</v>
      </c>
      <c r="T5" s="2">
        <f>SUMPRODUCT($CA5:$DV5,INDEX('MC MAP'!$DA$5:$EV$30,19,0))</f>
        <v>13</v>
      </c>
      <c r="U5" s="2">
        <f>SUMPRODUCT($CA5:$DV5,INDEX('MC MAP'!$DA$5:$EV$30,20,0))</f>
        <v>31</v>
      </c>
      <c r="V5" s="2">
        <f>SUMPRODUCT($CA5:$DV5,INDEX('MC MAP'!$DA$5:$EV$30,21,0))</f>
        <v>2</v>
      </c>
      <c r="W5" s="2">
        <f>SUMPRODUCT($CA5:$DV5,INDEX('MC MAP'!$DA$5:$EV$30,22,0))</f>
        <v>2</v>
      </c>
      <c r="X5" s="2">
        <f>SUMPRODUCT($CA5:$DV5,INDEX('MC MAP'!$DA$5:$EV$30,23,0))</f>
        <v>0</v>
      </c>
      <c r="Y5" s="2">
        <f>SUMPRODUCT($CA5:$DV5,INDEX('MC MAP'!$DA$5:$EV$30,24,0))</f>
        <v>4.5</v>
      </c>
      <c r="Z5" s="2">
        <f>SUMPRODUCT($CA5:$DV5,INDEX('MC MAP'!$DA$5:$EV$30,25,0))</f>
        <v>0</v>
      </c>
      <c r="AA5" s="2">
        <f>SUMPRODUCT($CA5:$DV5,INDEX('MC MAP'!$DA$5:$EV$30,26,0))</f>
        <v>29</v>
      </c>
      <c r="AB5" s="2">
        <f>SUM($B5:$AA5)</f>
        <v>808</v>
      </c>
      <c r="AC5" s="2">
        <f>SUM($CA5:$DV5)+$AW5</f>
        <v>26</v>
      </c>
      <c r="AW5" s="2">
        <f>IF($A5=0,0,COUNTIF(INDEX('LINE PLAN'!$B$36:$GS$61,0,ROW()-3),"THERMAL - NOT SPECIFIED"))</f>
        <v>0</v>
      </c>
      <c r="AX5" s="506" cm="1">
        <f t="array" ref="AX5">IF(OR($AB5=0,UPPER($BS5)&lt;&gt;"Y"),0,SUMPRODUCT(--($B5:$AA5&gt;$B$205:$AA$205)))</f>
        <v>0</v>
      </c>
      <c r="AY5" s="507">
        <f>$A5</f>
        <v>46236</v>
      </c>
      <c r="AZ5" s="2">
        <f>$AB5</f>
        <v>808</v>
      </c>
      <c r="BA5" s="2">
        <f>'MC MASTER'!$C$29</f>
        <v>920</v>
      </c>
      <c r="BD5" s="510">
        <f>'MC MASTER'!$C$29</f>
        <v>920</v>
      </c>
      <c r="BE5" s="511">
        <f>MAX($BT$4:$BT$203)</f>
        <v>808</v>
      </c>
      <c r="BF5" s="512">
        <f>INDEX($A$4:$A$203,MATCH($BE$5,$BT$4:$BT$203,0))</f>
        <v>46235</v>
      </c>
      <c r="BG5" s="513" cm="1">
        <f t="array" ref="BG5">SUMPRODUCT(--($AX$4:$AX$203&gt;0))</f>
        <v>65</v>
      </c>
      <c r="BH5" s="514" cm="1">
        <f t="array" ref="BH5">SUMPRODUCT(--($BT$4:$BT$203&gt;0))</f>
        <v>71</v>
      </c>
      <c r="BI5" s="515">
        <f>IFERROR(SUMIF($BT$4:$BT$203,"&gt;0")/$BH$5,0)</f>
        <v>683.760563380282</v>
      </c>
      <c r="BJ5" s="513" cm="1">
        <f t="array" ref="BJ5">SUMPRODUCT(--(DASHBOARD!$E$84:$E$109&gt;DASHBOARD!$C$84:$C$109))</f>
        <v>7</v>
      </c>
      <c r="BQ5" s="509">
        <f>$A5</f>
        <v>46236</v>
      </c>
      <c r="BR5" s="15" t="str">
        <f>TEXT($A5,"ddd")</f>
        <v>Sun</v>
      </c>
      <c r="BS5" s="547" t="s">
        <v>392</v>
      </c>
      <c r="BT5" s="15">
        <f>IF(UPPER($BS5)="Y",$AB5,0)</f>
        <v>0</v>
      </c>
      <c r="CA5" s="2">
        <f>COUNTIF(INDEX('LINE PLAN'!$B$36:$GS$61,0,ROW()-3),CA$3)</f>
        <v>1</v>
      </c>
      <c r="CB5" s="2">
        <f>COUNTIF(INDEX('LINE PLAN'!$B$36:$GS$61,0,ROW()-3),CB$3)</f>
        <v>1</v>
      </c>
      <c r="CC5" s="2">
        <f>COUNTIF(INDEX('LINE PLAN'!$B$36:$GS$61,0,ROW()-3),CC$3)</f>
        <v>1</v>
      </c>
      <c r="CD5" s="2">
        <f>COUNTIF(INDEX('LINE PLAN'!$B$36:$GS$61,0,ROW()-3),CD$3)</f>
        <v>2</v>
      </c>
      <c r="CE5" s="2">
        <f>COUNTIF(INDEX('LINE PLAN'!$B$36:$GS$61,0,ROW()-3),CE$3)</f>
        <v>2</v>
      </c>
      <c r="CF5" s="2">
        <f>COUNTIF(INDEX('LINE PLAN'!$B$36:$GS$61,0,ROW()-3),CF$3)</f>
        <v>3</v>
      </c>
      <c r="CG5" s="2">
        <f>COUNTIF(INDEX('LINE PLAN'!$B$36:$GS$61,0,ROW()-3),CG$3)</f>
        <v>2</v>
      </c>
      <c r="CH5" s="2">
        <f>COUNTIF(INDEX('LINE PLAN'!$B$36:$GS$61,0,ROW()-3),CH$3)</f>
        <v>1</v>
      </c>
      <c r="CI5" s="2">
        <f>COUNTIF(INDEX('LINE PLAN'!$B$36:$GS$61,0,ROW()-3),CI$3)</f>
        <v>1</v>
      </c>
      <c r="CJ5" s="2">
        <f>COUNTIF(INDEX('LINE PLAN'!$B$36:$GS$61,0,ROW()-3),CJ$3)</f>
        <v>1</v>
      </c>
      <c r="CK5" s="2">
        <f>COUNTIF(INDEX('LINE PLAN'!$B$36:$GS$61,0,ROW()-3),CK$3)</f>
        <v>3</v>
      </c>
      <c r="CL5" s="2">
        <f>COUNTIF(INDEX('LINE PLAN'!$B$36:$GS$61,0,ROW()-3),CL$3)</f>
        <v>0</v>
      </c>
      <c r="CM5" s="2">
        <f>COUNTIF(INDEX('LINE PLAN'!$B$36:$GS$61,0,ROW()-3),CM$3)</f>
        <v>0</v>
      </c>
      <c r="CN5" s="2">
        <f>COUNTIF(INDEX('LINE PLAN'!$B$36:$GS$61,0,ROW()-3),CN$3)</f>
        <v>5</v>
      </c>
      <c r="CO5" s="2">
        <f>COUNTIF(INDEX('LINE PLAN'!$B$36:$GS$61,0,ROW()-3),CO$3)</f>
        <v>0</v>
      </c>
      <c r="CP5" s="2">
        <f>COUNTIF(INDEX('LINE PLAN'!$B$36:$GS$61,0,ROW()-3),CP$3)</f>
        <v>2</v>
      </c>
      <c r="CQ5" s="2">
        <f>COUNTIF(INDEX('LINE PLAN'!$B$36:$GS$61,0,ROW()-3),CQ$3)</f>
        <v>0</v>
      </c>
      <c r="CR5" s="2">
        <f>COUNTIF(INDEX('LINE PLAN'!$B$36:$GS$61,0,ROW()-3),CR$3)</f>
        <v>1</v>
      </c>
      <c r="CS5" s="2">
        <f>COUNTIF(INDEX('LINE PLAN'!$B$36:$GS$61,0,ROW()-3),CS$3)</f>
        <v>0</v>
      </c>
      <c r="CT5" s="2">
        <f>COUNTIF(INDEX('LINE PLAN'!$B$36:$GS$61,0,ROW()-3),CT$3)</f>
        <v>0</v>
      </c>
      <c r="CU5" s="2">
        <f>COUNTIF(INDEX('LINE PLAN'!$B$36:$GS$61,0,ROW()-3),CU$3)</f>
        <v>0</v>
      </c>
      <c r="CV5" s="2">
        <f>COUNTIF(INDEX('LINE PLAN'!$B$36:$GS$61,0,ROW()-3),CV$3)</f>
        <v>0</v>
      </c>
      <c r="CW5" s="2">
        <f>COUNTIF(INDEX('LINE PLAN'!$B$36:$GS$61,0,ROW()-3),CW$3)</f>
        <v>0</v>
      </c>
      <c r="CX5" s="2">
        <f>COUNTIF(INDEX('LINE PLAN'!$B$36:$GS$61,0,ROW()-3),CX$3)</f>
        <v>0</v>
      </c>
      <c r="CY5" s="2">
        <f>COUNTIF(INDEX('LINE PLAN'!$B$36:$GS$61,0,ROW()-3),CY$3)</f>
        <v>0</v>
      </c>
      <c r="CZ5" s="2">
        <f>COUNTIF(INDEX('LINE PLAN'!$B$36:$GS$61,0,ROW()-3),CZ$3)</f>
        <v>0</v>
      </c>
      <c r="DA5" s="2">
        <f>COUNTIF(INDEX('LINE PLAN'!$B$36:$GS$61,0,ROW()-3),DA$3)</f>
        <v>0</v>
      </c>
      <c r="DB5" s="2">
        <f>COUNTIF(INDEX('LINE PLAN'!$B$36:$GS$61,0,ROW()-3),DB$3)</f>
        <v>0</v>
      </c>
      <c r="DC5" s="2">
        <f>COUNTIF(INDEX('LINE PLAN'!$B$36:$GS$61,0,ROW()-3),DC$3)</f>
        <v>0</v>
      </c>
      <c r="DD5" s="2">
        <f>COUNTIF(INDEX('LINE PLAN'!$B$36:$GS$61,0,ROW()-3),DD$3)</f>
        <v>0</v>
      </c>
      <c r="DE5" s="2">
        <f>COUNTIF(INDEX('LINE PLAN'!$B$36:$GS$61,0,ROW()-3),DE$3)</f>
        <v>0</v>
      </c>
      <c r="DF5" s="2">
        <f>COUNTIF(INDEX('LINE PLAN'!$B$36:$GS$61,0,ROW()-3),DF$3)</f>
        <v>0</v>
      </c>
      <c r="DG5" s="2">
        <f>COUNTIF(INDEX('LINE PLAN'!$B$36:$GS$61,0,ROW()-3),DG$3)</f>
        <v>0</v>
      </c>
      <c r="DH5" s="2">
        <f>COUNTIF(INDEX('LINE PLAN'!$B$36:$GS$61,0,ROW()-3),DH$3)</f>
        <v>0</v>
      </c>
      <c r="DI5" s="2">
        <f>COUNTIF(INDEX('LINE PLAN'!$B$36:$GS$61,0,ROW()-3),DI$3)</f>
        <v>0</v>
      </c>
      <c r="DJ5" s="2">
        <f>COUNTIF(INDEX('LINE PLAN'!$B$36:$GS$61,0,ROW()-3),DJ$3)</f>
        <v>0</v>
      </c>
      <c r="DK5" s="2">
        <f>COUNTIF(INDEX('LINE PLAN'!$B$36:$GS$61,0,ROW()-3),DK$3)</f>
        <v>0</v>
      </c>
      <c r="DL5" s="2">
        <f>COUNTIF(INDEX('LINE PLAN'!$B$36:$GS$61,0,ROW()-3),DL$3)</f>
        <v>0</v>
      </c>
      <c r="DM5" s="2">
        <f>COUNTIF(INDEX('LINE PLAN'!$B$36:$GS$61,0,ROW()-3),DM$3)</f>
        <v>0</v>
      </c>
      <c r="DN5" s="2">
        <f>COUNTIF(INDEX('LINE PLAN'!$B$36:$GS$61,0,ROW()-3),DN$3)</f>
        <v>0</v>
      </c>
      <c r="DO5" s="2">
        <f>COUNTIF(INDEX('LINE PLAN'!$B$36:$GS$61,0,ROW()-3),DO$3)</f>
        <v>0</v>
      </c>
      <c r="DP5" s="2">
        <f>COUNTIF(INDEX('LINE PLAN'!$B$36:$GS$61,0,ROW()-3),DP$3)</f>
        <v>0</v>
      </c>
      <c r="DQ5" s="2">
        <f>COUNTIF(INDEX('LINE PLAN'!$B$36:$GS$61,0,ROW()-3),DQ$3)</f>
        <v>0</v>
      </c>
      <c r="DR5" s="2">
        <f>COUNTIF(INDEX('LINE PLAN'!$B$36:$GS$61,0,ROW()-3),DR$3)</f>
        <v>0</v>
      </c>
      <c r="DS5" s="2">
        <f>COUNTIF(INDEX('LINE PLAN'!$B$36:$GS$61,0,ROW()-3),DS$3)</f>
        <v>0</v>
      </c>
      <c r="DT5" s="2">
        <f>COUNTIF(INDEX('LINE PLAN'!$B$36:$GS$61,0,ROW()-3),DT$3)</f>
        <v>0</v>
      </c>
      <c r="DU5" s="2">
        <f>COUNTIF(INDEX('LINE PLAN'!$B$36:$GS$61,0,ROW()-3),DU$3)</f>
        <v>0</v>
      </c>
      <c r="DV5" s="2">
        <f>COUNTIF(INDEX('LINE PLAN'!$B$36:$GS$61,0,ROW()-3),DV$3)</f>
        <v>0</v>
      </c>
    </row>
    <row r="6" spans="1:126">
      <c r="A6" s="505" cm="1">
        <f t="array" ref="A6">INDEX('LINE PLAN'!$B$35:$GS$35,ROW()-3)</f>
        <v>46237</v>
      </c>
      <c r="B6" s="2">
        <f>SUMPRODUCT($CA6:$DV6,INDEX('MC MAP'!$DA$5:$EV$30,1,0))</f>
        <v>152</v>
      </c>
      <c r="C6" s="2">
        <f>SUMPRODUCT($CA6:$DV6,INDEX('MC MAP'!$DA$5:$EV$30,2,0))</f>
        <v>1</v>
      </c>
      <c r="D6" s="2">
        <f>SUMPRODUCT($CA6:$DV6,INDEX('MC MAP'!$DA$5:$EV$30,3,0))</f>
        <v>0</v>
      </c>
      <c r="E6" s="2">
        <f>SUMPRODUCT($CA6:$DV6,INDEX('MC MAP'!$DA$5:$EV$30,4,0))</f>
        <v>4</v>
      </c>
      <c r="F6" s="2">
        <f>SUMPRODUCT($CA6:$DV6,INDEX('MC MAP'!$DA$5:$EV$30,5,0))</f>
        <v>291</v>
      </c>
      <c r="G6" s="2">
        <f>SUMPRODUCT($CA6:$DV6,INDEX('MC MAP'!$DA$5:$EV$30,6,0))</f>
        <v>31</v>
      </c>
      <c r="H6" s="2">
        <f>SUMPRODUCT($CA6:$DV6,INDEX('MC MAP'!$DA$5:$EV$30,7,0))</f>
        <v>0</v>
      </c>
      <c r="I6" s="2">
        <f>SUMPRODUCT($CA6:$DV6,INDEX('MC MAP'!$DA$5:$EV$30,8,0))</f>
        <v>36</v>
      </c>
      <c r="J6" s="2">
        <f>SUMPRODUCT($CA6:$DV6,INDEX('MC MAP'!$DA$5:$EV$30,9,0))</f>
        <v>22.5</v>
      </c>
      <c r="K6" s="2">
        <f>SUMPRODUCT($CA6:$DV6,INDEX('MC MAP'!$DA$5:$EV$30,10,0))</f>
        <v>4</v>
      </c>
      <c r="L6" s="2">
        <f>SUMPRODUCT($CA6:$DV6,INDEX('MC MAP'!$DA$5:$EV$30,11,0))</f>
        <v>43.5</v>
      </c>
      <c r="M6" s="2">
        <f>SUMPRODUCT($CA6:$DV6,INDEX('MC MAP'!$DA$5:$EV$30,12,0))</f>
        <v>17</v>
      </c>
      <c r="N6" s="2">
        <f>SUMPRODUCT($CA6:$DV6,INDEX('MC MAP'!$DA$5:$EV$30,13,0))</f>
        <v>34.5</v>
      </c>
      <c r="O6" s="2">
        <f>SUMPRODUCT($CA6:$DV6,INDEX('MC MAP'!$DA$5:$EV$30,14,0))</f>
        <v>40</v>
      </c>
      <c r="P6" s="2">
        <f>SUMPRODUCT($CA6:$DV6,INDEX('MC MAP'!$DA$5:$EV$30,15,0))</f>
        <v>47</v>
      </c>
      <c r="Q6" s="2">
        <f>SUMPRODUCT($CA6:$DV6,INDEX('MC MAP'!$DA$5:$EV$30,16,0))</f>
        <v>0</v>
      </c>
      <c r="R6" s="2">
        <f>SUMPRODUCT($CA6:$DV6,INDEX('MC MAP'!$DA$5:$EV$30,17,0))</f>
        <v>3</v>
      </c>
      <c r="S6" s="2">
        <f>SUMPRODUCT($CA6:$DV6,INDEX('MC MAP'!$DA$5:$EV$30,18,0))</f>
        <v>0</v>
      </c>
      <c r="T6" s="2">
        <f>SUMPRODUCT($CA6:$DV6,INDEX('MC MAP'!$DA$5:$EV$30,19,0))</f>
        <v>13</v>
      </c>
      <c r="U6" s="2">
        <f>SUMPRODUCT($CA6:$DV6,INDEX('MC MAP'!$DA$5:$EV$30,20,0))</f>
        <v>31</v>
      </c>
      <c r="V6" s="2">
        <f>SUMPRODUCT($CA6:$DV6,INDEX('MC MAP'!$DA$5:$EV$30,21,0))</f>
        <v>2</v>
      </c>
      <c r="W6" s="2">
        <f>SUMPRODUCT($CA6:$DV6,INDEX('MC MAP'!$DA$5:$EV$30,22,0))</f>
        <v>2</v>
      </c>
      <c r="X6" s="2">
        <f>SUMPRODUCT($CA6:$DV6,INDEX('MC MAP'!$DA$5:$EV$30,23,0))</f>
        <v>0</v>
      </c>
      <c r="Y6" s="2">
        <f>SUMPRODUCT($CA6:$DV6,INDEX('MC MAP'!$DA$5:$EV$30,24,0))</f>
        <v>4.5</v>
      </c>
      <c r="Z6" s="2">
        <f>SUMPRODUCT($CA6:$DV6,INDEX('MC MAP'!$DA$5:$EV$30,25,0))</f>
        <v>0</v>
      </c>
      <c r="AA6" s="2">
        <f>SUMPRODUCT($CA6:$DV6,INDEX('MC MAP'!$DA$5:$EV$30,26,0))</f>
        <v>29</v>
      </c>
      <c r="AB6" s="2">
        <f>SUM($B6:$AA6)</f>
        <v>808</v>
      </c>
      <c r="AC6" s="2">
        <f>SUM($CA6:$DV6)+$AW6</f>
        <v>26</v>
      </c>
      <c r="AW6" s="2">
        <f>IF($A6=0,0,COUNTIF(INDEX('LINE PLAN'!$B$36:$GS$61,0,ROW()-3),"THERMAL - NOT SPECIFIED"))</f>
        <v>0</v>
      </c>
      <c r="AX6" s="506" cm="1">
        <f t="array" ref="AX6">IF(OR($AB6=0,UPPER($BS6)&lt;&gt;"Y"),0,SUMPRODUCT(--($B6:$AA6&gt;$B$205:$AA$205)))</f>
        <v>5</v>
      </c>
      <c r="AY6" s="507">
        <f>$A6</f>
        <v>46237</v>
      </c>
      <c r="AZ6" s="2">
        <f>$AB6</f>
        <v>808</v>
      </c>
      <c r="BA6" s="2">
        <f>'MC MASTER'!$C$29</f>
        <v>920</v>
      </c>
      <c r="BQ6" s="509">
        <f>$A6</f>
        <v>46237</v>
      </c>
      <c r="BR6" s="15" t="str">
        <f>TEXT($A6,"ddd")</f>
        <v>Mon</v>
      </c>
      <c r="BS6" s="547" t="s">
        <v>391</v>
      </c>
      <c r="BT6" s="15">
        <f>IF(UPPER($BS6)="Y",$AB6,0)</f>
        <v>808</v>
      </c>
      <c r="CA6" s="2">
        <f>COUNTIF(INDEX('LINE PLAN'!$B$36:$GS$61,0,ROW()-3),CA$3)</f>
        <v>1</v>
      </c>
      <c r="CB6" s="2">
        <f>COUNTIF(INDEX('LINE PLAN'!$B$36:$GS$61,0,ROW()-3),CB$3)</f>
        <v>1</v>
      </c>
      <c r="CC6" s="2">
        <f>COUNTIF(INDEX('LINE PLAN'!$B$36:$GS$61,0,ROW()-3),CC$3)</f>
        <v>1</v>
      </c>
      <c r="CD6" s="2">
        <f>COUNTIF(INDEX('LINE PLAN'!$B$36:$GS$61,0,ROW()-3),CD$3)</f>
        <v>2</v>
      </c>
      <c r="CE6" s="2">
        <f>COUNTIF(INDEX('LINE PLAN'!$B$36:$GS$61,0,ROW()-3),CE$3)</f>
        <v>2</v>
      </c>
      <c r="CF6" s="2">
        <f>COUNTIF(INDEX('LINE PLAN'!$B$36:$GS$61,0,ROW()-3),CF$3)</f>
        <v>3</v>
      </c>
      <c r="CG6" s="2">
        <f>COUNTIF(INDEX('LINE PLAN'!$B$36:$GS$61,0,ROW()-3),CG$3)</f>
        <v>2</v>
      </c>
      <c r="CH6" s="2">
        <f>COUNTIF(INDEX('LINE PLAN'!$B$36:$GS$61,0,ROW()-3),CH$3)</f>
        <v>1</v>
      </c>
      <c r="CI6" s="2">
        <f>COUNTIF(INDEX('LINE PLAN'!$B$36:$GS$61,0,ROW()-3),CI$3)</f>
        <v>1</v>
      </c>
      <c r="CJ6" s="2">
        <f>COUNTIF(INDEX('LINE PLAN'!$B$36:$GS$61,0,ROW()-3),CJ$3)</f>
        <v>1</v>
      </c>
      <c r="CK6" s="2">
        <f>COUNTIF(INDEX('LINE PLAN'!$B$36:$GS$61,0,ROW()-3),CK$3)</f>
        <v>3</v>
      </c>
      <c r="CL6" s="2">
        <f>COUNTIF(INDEX('LINE PLAN'!$B$36:$GS$61,0,ROW()-3),CL$3)</f>
        <v>0</v>
      </c>
      <c r="CM6" s="2">
        <f>COUNTIF(INDEX('LINE PLAN'!$B$36:$GS$61,0,ROW()-3),CM$3)</f>
        <v>0</v>
      </c>
      <c r="CN6" s="2">
        <f>COUNTIF(INDEX('LINE PLAN'!$B$36:$GS$61,0,ROW()-3),CN$3)</f>
        <v>5</v>
      </c>
      <c r="CO6" s="2">
        <f>COUNTIF(INDEX('LINE PLAN'!$B$36:$GS$61,0,ROW()-3),CO$3)</f>
        <v>0</v>
      </c>
      <c r="CP6" s="2">
        <f>COUNTIF(INDEX('LINE PLAN'!$B$36:$GS$61,0,ROW()-3),CP$3)</f>
        <v>2</v>
      </c>
      <c r="CQ6" s="2">
        <f>COUNTIF(INDEX('LINE PLAN'!$B$36:$GS$61,0,ROW()-3),CQ$3)</f>
        <v>0</v>
      </c>
      <c r="CR6" s="2">
        <f>COUNTIF(INDEX('LINE PLAN'!$B$36:$GS$61,0,ROW()-3),CR$3)</f>
        <v>1</v>
      </c>
      <c r="CS6" s="2">
        <f>COUNTIF(INDEX('LINE PLAN'!$B$36:$GS$61,0,ROW()-3),CS$3)</f>
        <v>0</v>
      </c>
      <c r="CT6" s="2">
        <f>COUNTIF(INDEX('LINE PLAN'!$B$36:$GS$61,0,ROW()-3),CT$3)</f>
        <v>0</v>
      </c>
      <c r="CU6" s="2">
        <f>COUNTIF(INDEX('LINE PLAN'!$B$36:$GS$61,0,ROW()-3),CU$3)</f>
        <v>0</v>
      </c>
      <c r="CV6" s="2">
        <f>COUNTIF(INDEX('LINE PLAN'!$B$36:$GS$61,0,ROW()-3),CV$3)</f>
        <v>0</v>
      </c>
      <c r="CW6" s="2">
        <f>COUNTIF(INDEX('LINE PLAN'!$B$36:$GS$61,0,ROW()-3),CW$3)</f>
        <v>0</v>
      </c>
      <c r="CX6" s="2">
        <f>COUNTIF(INDEX('LINE PLAN'!$B$36:$GS$61,0,ROW()-3),CX$3)</f>
        <v>0</v>
      </c>
      <c r="CY6" s="2">
        <f>COUNTIF(INDEX('LINE PLAN'!$B$36:$GS$61,0,ROW()-3),CY$3)</f>
        <v>0</v>
      </c>
      <c r="CZ6" s="2">
        <f>COUNTIF(INDEX('LINE PLAN'!$B$36:$GS$61,0,ROW()-3),CZ$3)</f>
        <v>0</v>
      </c>
      <c r="DA6" s="2">
        <f>COUNTIF(INDEX('LINE PLAN'!$B$36:$GS$61,0,ROW()-3),DA$3)</f>
        <v>0</v>
      </c>
      <c r="DB6" s="2">
        <f>COUNTIF(INDEX('LINE PLAN'!$B$36:$GS$61,0,ROW()-3),DB$3)</f>
        <v>0</v>
      </c>
      <c r="DC6" s="2">
        <f>COUNTIF(INDEX('LINE PLAN'!$B$36:$GS$61,0,ROW()-3),DC$3)</f>
        <v>0</v>
      </c>
      <c r="DD6" s="2">
        <f>COUNTIF(INDEX('LINE PLAN'!$B$36:$GS$61,0,ROW()-3),DD$3)</f>
        <v>0</v>
      </c>
      <c r="DE6" s="2">
        <f>COUNTIF(INDEX('LINE PLAN'!$B$36:$GS$61,0,ROW()-3),DE$3)</f>
        <v>0</v>
      </c>
      <c r="DF6" s="2">
        <f>COUNTIF(INDEX('LINE PLAN'!$B$36:$GS$61,0,ROW()-3),DF$3)</f>
        <v>0</v>
      </c>
      <c r="DG6" s="2">
        <f>COUNTIF(INDEX('LINE PLAN'!$B$36:$GS$61,0,ROW()-3),DG$3)</f>
        <v>0</v>
      </c>
      <c r="DH6" s="2">
        <f>COUNTIF(INDEX('LINE PLAN'!$B$36:$GS$61,0,ROW()-3),DH$3)</f>
        <v>0</v>
      </c>
      <c r="DI6" s="2">
        <f>COUNTIF(INDEX('LINE PLAN'!$B$36:$GS$61,0,ROW()-3),DI$3)</f>
        <v>0</v>
      </c>
      <c r="DJ6" s="2">
        <f>COUNTIF(INDEX('LINE PLAN'!$B$36:$GS$61,0,ROW()-3),DJ$3)</f>
        <v>0</v>
      </c>
      <c r="DK6" s="2">
        <f>COUNTIF(INDEX('LINE PLAN'!$B$36:$GS$61,0,ROW()-3),DK$3)</f>
        <v>0</v>
      </c>
      <c r="DL6" s="2">
        <f>COUNTIF(INDEX('LINE PLAN'!$B$36:$GS$61,0,ROW()-3),DL$3)</f>
        <v>0</v>
      </c>
      <c r="DM6" s="2">
        <f>COUNTIF(INDEX('LINE PLAN'!$B$36:$GS$61,0,ROW()-3),DM$3)</f>
        <v>0</v>
      </c>
      <c r="DN6" s="2">
        <f>COUNTIF(INDEX('LINE PLAN'!$B$36:$GS$61,0,ROW()-3),DN$3)</f>
        <v>0</v>
      </c>
      <c r="DO6" s="2">
        <f>COUNTIF(INDEX('LINE PLAN'!$B$36:$GS$61,0,ROW()-3),DO$3)</f>
        <v>0</v>
      </c>
      <c r="DP6" s="2">
        <f>COUNTIF(INDEX('LINE PLAN'!$B$36:$GS$61,0,ROW()-3),DP$3)</f>
        <v>0</v>
      </c>
      <c r="DQ6" s="2">
        <f>COUNTIF(INDEX('LINE PLAN'!$B$36:$GS$61,0,ROW()-3),DQ$3)</f>
        <v>0</v>
      </c>
      <c r="DR6" s="2">
        <f>COUNTIF(INDEX('LINE PLAN'!$B$36:$GS$61,0,ROW()-3),DR$3)</f>
        <v>0</v>
      </c>
      <c r="DS6" s="2">
        <f>COUNTIF(INDEX('LINE PLAN'!$B$36:$GS$61,0,ROW()-3),DS$3)</f>
        <v>0</v>
      </c>
      <c r="DT6" s="2">
        <f>COUNTIF(INDEX('LINE PLAN'!$B$36:$GS$61,0,ROW()-3),DT$3)</f>
        <v>0</v>
      </c>
      <c r="DU6" s="2">
        <f>COUNTIF(INDEX('LINE PLAN'!$B$36:$GS$61,0,ROW()-3),DU$3)</f>
        <v>0</v>
      </c>
      <c r="DV6" s="2">
        <f>COUNTIF(INDEX('LINE PLAN'!$B$36:$GS$61,0,ROW()-3),DV$3)</f>
        <v>0</v>
      </c>
    </row>
    <row r="7" spans="1:126" ht="15.75">
      <c r="A7" s="505" cm="1">
        <f t="array" ref="A7">INDEX('LINE PLAN'!$B$35:$GS$35,ROW()-3)</f>
        <v>46238</v>
      </c>
      <c r="B7" s="2">
        <f>SUMPRODUCT($CA7:$DV7,INDEX('MC MAP'!$DA$5:$EV$30,1,0))</f>
        <v>152</v>
      </c>
      <c r="C7" s="2">
        <f>SUMPRODUCT($CA7:$DV7,INDEX('MC MAP'!$DA$5:$EV$30,2,0))</f>
        <v>1</v>
      </c>
      <c r="D7" s="2">
        <f>SUMPRODUCT($CA7:$DV7,INDEX('MC MAP'!$DA$5:$EV$30,3,0))</f>
        <v>0</v>
      </c>
      <c r="E7" s="2">
        <f>SUMPRODUCT($CA7:$DV7,INDEX('MC MAP'!$DA$5:$EV$30,4,0))</f>
        <v>4</v>
      </c>
      <c r="F7" s="2">
        <f>SUMPRODUCT($CA7:$DV7,INDEX('MC MAP'!$DA$5:$EV$30,5,0))</f>
        <v>291</v>
      </c>
      <c r="G7" s="2">
        <f>SUMPRODUCT($CA7:$DV7,INDEX('MC MAP'!$DA$5:$EV$30,6,0))</f>
        <v>31</v>
      </c>
      <c r="H7" s="2">
        <f>SUMPRODUCT($CA7:$DV7,INDEX('MC MAP'!$DA$5:$EV$30,7,0))</f>
        <v>0</v>
      </c>
      <c r="I7" s="2">
        <f>SUMPRODUCT($CA7:$DV7,INDEX('MC MAP'!$DA$5:$EV$30,8,0))</f>
        <v>36</v>
      </c>
      <c r="J7" s="2">
        <f>SUMPRODUCT($CA7:$DV7,INDEX('MC MAP'!$DA$5:$EV$30,9,0))</f>
        <v>22.5</v>
      </c>
      <c r="K7" s="2">
        <f>SUMPRODUCT($CA7:$DV7,INDEX('MC MAP'!$DA$5:$EV$30,10,0))</f>
        <v>4</v>
      </c>
      <c r="L7" s="2">
        <f>SUMPRODUCT($CA7:$DV7,INDEX('MC MAP'!$DA$5:$EV$30,11,0))</f>
        <v>43.5</v>
      </c>
      <c r="M7" s="2">
        <f>SUMPRODUCT($CA7:$DV7,INDEX('MC MAP'!$DA$5:$EV$30,12,0))</f>
        <v>17</v>
      </c>
      <c r="N7" s="2">
        <f>SUMPRODUCT($CA7:$DV7,INDEX('MC MAP'!$DA$5:$EV$30,13,0))</f>
        <v>34.5</v>
      </c>
      <c r="O7" s="2">
        <f>SUMPRODUCT($CA7:$DV7,INDEX('MC MAP'!$DA$5:$EV$30,14,0))</f>
        <v>40</v>
      </c>
      <c r="P7" s="2">
        <f>SUMPRODUCT($CA7:$DV7,INDEX('MC MAP'!$DA$5:$EV$30,15,0))</f>
        <v>47</v>
      </c>
      <c r="Q7" s="2">
        <f>SUMPRODUCT($CA7:$DV7,INDEX('MC MAP'!$DA$5:$EV$30,16,0))</f>
        <v>0</v>
      </c>
      <c r="R7" s="2">
        <f>SUMPRODUCT($CA7:$DV7,INDEX('MC MAP'!$DA$5:$EV$30,17,0))</f>
        <v>3</v>
      </c>
      <c r="S7" s="2">
        <f>SUMPRODUCT($CA7:$DV7,INDEX('MC MAP'!$DA$5:$EV$30,18,0))</f>
        <v>0</v>
      </c>
      <c r="T7" s="2">
        <f>SUMPRODUCT($CA7:$DV7,INDEX('MC MAP'!$DA$5:$EV$30,19,0))</f>
        <v>13</v>
      </c>
      <c r="U7" s="2">
        <f>SUMPRODUCT($CA7:$DV7,INDEX('MC MAP'!$DA$5:$EV$30,20,0))</f>
        <v>31</v>
      </c>
      <c r="V7" s="2">
        <f>SUMPRODUCT($CA7:$DV7,INDEX('MC MAP'!$DA$5:$EV$30,21,0))</f>
        <v>2</v>
      </c>
      <c r="W7" s="2">
        <f>SUMPRODUCT($CA7:$DV7,INDEX('MC MAP'!$DA$5:$EV$30,22,0))</f>
        <v>2</v>
      </c>
      <c r="X7" s="2">
        <f>SUMPRODUCT($CA7:$DV7,INDEX('MC MAP'!$DA$5:$EV$30,23,0))</f>
        <v>0</v>
      </c>
      <c r="Y7" s="2">
        <f>SUMPRODUCT($CA7:$DV7,INDEX('MC MAP'!$DA$5:$EV$30,24,0))</f>
        <v>4.5</v>
      </c>
      <c r="Z7" s="2">
        <f>SUMPRODUCT($CA7:$DV7,INDEX('MC MAP'!$DA$5:$EV$30,25,0))</f>
        <v>0</v>
      </c>
      <c r="AA7" s="2">
        <f>SUMPRODUCT($CA7:$DV7,INDEX('MC MAP'!$DA$5:$EV$30,26,0))</f>
        <v>29</v>
      </c>
      <c r="AB7" s="2">
        <f>SUM($B7:$AA7)</f>
        <v>808</v>
      </c>
      <c r="AC7" s="2">
        <f>SUM($CA7:$DV7)+$AW7</f>
        <v>26</v>
      </c>
      <c r="AW7" s="2">
        <f>IF($A7=0,0,COUNTIF(INDEX('LINE PLAN'!$B$36:$GS$61,0,ROW()-3),"THERMAL - NOT SPECIFIED"))</f>
        <v>0</v>
      </c>
      <c r="AX7" s="506" cm="1">
        <f t="array" ref="AX7">IF(OR($AB7=0,UPPER($BS7)&lt;&gt;"Y"),0,SUMPRODUCT(--($B7:$AA7&gt;$B$205:$AA$205)))</f>
        <v>5</v>
      </c>
      <c r="AY7" s="507">
        <f>$A7</f>
        <v>46238</v>
      </c>
      <c r="AZ7" s="2">
        <f>$AB7</f>
        <v>808</v>
      </c>
      <c r="BA7" s="2">
        <f>'MC MASTER'!$C$29</f>
        <v>920</v>
      </c>
      <c r="BD7" s="483" t="s">
        <v>319</v>
      </c>
      <c r="BM7" s="516" t="s">
        <v>304</v>
      </c>
      <c r="BN7" s="52"/>
      <c r="BO7" s="52"/>
      <c r="BQ7" s="509">
        <f>$A7</f>
        <v>46238</v>
      </c>
      <c r="BR7" s="15" t="str">
        <f>TEXT($A7,"ddd")</f>
        <v>Tue</v>
      </c>
      <c r="BS7" s="547" t="s">
        <v>391</v>
      </c>
      <c r="BT7" s="15">
        <f>IF(UPPER($BS7)="Y",$AB7,0)</f>
        <v>808</v>
      </c>
      <c r="CA7" s="2">
        <f>COUNTIF(INDEX('LINE PLAN'!$B$36:$GS$61,0,ROW()-3),CA$3)</f>
        <v>1</v>
      </c>
      <c r="CB7" s="2">
        <f>COUNTIF(INDEX('LINE PLAN'!$B$36:$GS$61,0,ROW()-3),CB$3)</f>
        <v>1</v>
      </c>
      <c r="CC7" s="2">
        <f>COUNTIF(INDEX('LINE PLAN'!$B$36:$GS$61,0,ROW()-3),CC$3)</f>
        <v>1</v>
      </c>
      <c r="CD7" s="2">
        <f>COUNTIF(INDEX('LINE PLAN'!$B$36:$GS$61,0,ROW()-3),CD$3)</f>
        <v>2</v>
      </c>
      <c r="CE7" s="2">
        <f>COUNTIF(INDEX('LINE PLAN'!$B$36:$GS$61,0,ROW()-3),CE$3)</f>
        <v>2</v>
      </c>
      <c r="CF7" s="2">
        <f>COUNTIF(INDEX('LINE PLAN'!$B$36:$GS$61,0,ROW()-3),CF$3)</f>
        <v>3</v>
      </c>
      <c r="CG7" s="2">
        <f>COUNTIF(INDEX('LINE PLAN'!$B$36:$GS$61,0,ROW()-3),CG$3)</f>
        <v>2</v>
      </c>
      <c r="CH7" s="2">
        <f>COUNTIF(INDEX('LINE PLAN'!$B$36:$GS$61,0,ROW()-3),CH$3)</f>
        <v>1</v>
      </c>
      <c r="CI7" s="2">
        <f>COUNTIF(INDEX('LINE PLAN'!$B$36:$GS$61,0,ROW()-3),CI$3)</f>
        <v>1</v>
      </c>
      <c r="CJ7" s="2">
        <f>COUNTIF(INDEX('LINE PLAN'!$B$36:$GS$61,0,ROW()-3),CJ$3)</f>
        <v>1</v>
      </c>
      <c r="CK7" s="2">
        <f>COUNTIF(INDEX('LINE PLAN'!$B$36:$GS$61,0,ROW()-3),CK$3)</f>
        <v>3</v>
      </c>
      <c r="CL7" s="2">
        <f>COUNTIF(INDEX('LINE PLAN'!$B$36:$GS$61,0,ROW()-3),CL$3)</f>
        <v>0</v>
      </c>
      <c r="CM7" s="2">
        <f>COUNTIF(INDEX('LINE PLAN'!$B$36:$GS$61,0,ROW()-3),CM$3)</f>
        <v>0</v>
      </c>
      <c r="CN7" s="2">
        <f>COUNTIF(INDEX('LINE PLAN'!$B$36:$GS$61,0,ROW()-3),CN$3)</f>
        <v>5</v>
      </c>
      <c r="CO7" s="2">
        <f>COUNTIF(INDEX('LINE PLAN'!$B$36:$GS$61,0,ROW()-3),CO$3)</f>
        <v>0</v>
      </c>
      <c r="CP7" s="2">
        <f>COUNTIF(INDEX('LINE PLAN'!$B$36:$GS$61,0,ROW()-3),CP$3)</f>
        <v>2</v>
      </c>
      <c r="CQ7" s="2">
        <f>COUNTIF(INDEX('LINE PLAN'!$B$36:$GS$61,0,ROW()-3),CQ$3)</f>
        <v>0</v>
      </c>
      <c r="CR7" s="2">
        <f>COUNTIF(INDEX('LINE PLAN'!$B$36:$GS$61,0,ROW()-3),CR$3)</f>
        <v>1</v>
      </c>
      <c r="CS7" s="2">
        <f>COUNTIF(INDEX('LINE PLAN'!$B$36:$GS$61,0,ROW()-3),CS$3)</f>
        <v>0</v>
      </c>
      <c r="CT7" s="2">
        <f>COUNTIF(INDEX('LINE PLAN'!$B$36:$GS$61,0,ROW()-3),CT$3)</f>
        <v>0</v>
      </c>
      <c r="CU7" s="2">
        <f>COUNTIF(INDEX('LINE PLAN'!$B$36:$GS$61,0,ROW()-3),CU$3)</f>
        <v>0</v>
      </c>
      <c r="CV7" s="2">
        <f>COUNTIF(INDEX('LINE PLAN'!$B$36:$GS$61,0,ROW()-3),CV$3)</f>
        <v>0</v>
      </c>
      <c r="CW7" s="2">
        <f>COUNTIF(INDEX('LINE PLAN'!$B$36:$GS$61,0,ROW()-3),CW$3)</f>
        <v>0</v>
      </c>
      <c r="CX7" s="2">
        <f>COUNTIF(INDEX('LINE PLAN'!$B$36:$GS$61,0,ROW()-3),CX$3)</f>
        <v>0</v>
      </c>
      <c r="CY7" s="2">
        <f>COUNTIF(INDEX('LINE PLAN'!$B$36:$GS$61,0,ROW()-3),CY$3)</f>
        <v>0</v>
      </c>
      <c r="CZ7" s="2">
        <f>COUNTIF(INDEX('LINE PLAN'!$B$36:$GS$61,0,ROW()-3),CZ$3)</f>
        <v>0</v>
      </c>
      <c r="DA7" s="2">
        <f>COUNTIF(INDEX('LINE PLAN'!$B$36:$GS$61,0,ROW()-3),DA$3)</f>
        <v>0</v>
      </c>
      <c r="DB7" s="2">
        <f>COUNTIF(INDEX('LINE PLAN'!$B$36:$GS$61,0,ROW()-3),DB$3)</f>
        <v>0</v>
      </c>
      <c r="DC7" s="2">
        <f>COUNTIF(INDEX('LINE PLAN'!$B$36:$GS$61,0,ROW()-3),DC$3)</f>
        <v>0</v>
      </c>
      <c r="DD7" s="2">
        <f>COUNTIF(INDEX('LINE PLAN'!$B$36:$GS$61,0,ROW()-3),DD$3)</f>
        <v>0</v>
      </c>
      <c r="DE7" s="2">
        <f>COUNTIF(INDEX('LINE PLAN'!$B$36:$GS$61,0,ROW()-3),DE$3)</f>
        <v>0</v>
      </c>
      <c r="DF7" s="2">
        <f>COUNTIF(INDEX('LINE PLAN'!$B$36:$GS$61,0,ROW()-3),DF$3)</f>
        <v>0</v>
      </c>
      <c r="DG7" s="2">
        <f>COUNTIF(INDEX('LINE PLAN'!$B$36:$GS$61,0,ROW()-3),DG$3)</f>
        <v>0</v>
      </c>
      <c r="DH7" s="2">
        <f>COUNTIF(INDEX('LINE PLAN'!$B$36:$GS$61,0,ROW()-3),DH$3)</f>
        <v>0</v>
      </c>
      <c r="DI7" s="2">
        <f>COUNTIF(INDEX('LINE PLAN'!$B$36:$GS$61,0,ROW()-3),DI$3)</f>
        <v>0</v>
      </c>
      <c r="DJ7" s="2">
        <f>COUNTIF(INDEX('LINE PLAN'!$B$36:$GS$61,0,ROW()-3),DJ$3)</f>
        <v>0</v>
      </c>
      <c r="DK7" s="2">
        <f>COUNTIF(INDEX('LINE PLAN'!$B$36:$GS$61,0,ROW()-3),DK$3)</f>
        <v>0</v>
      </c>
      <c r="DL7" s="2">
        <f>COUNTIF(INDEX('LINE PLAN'!$B$36:$GS$61,0,ROW()-3),DL$3)</f>
        <v>0</v>
      </c>
      <c r="DM7" s="2">
        <f>COUNTIF(INDEX('LINE PLAN'!$B$36:$GS$61,0,ROW()-3),DM$3)</f>
        <v>0</v>
      </c>
      <c r="DN7" s="2">
        <f>COUNTIF(INDEX('LINE PLAN'!$B$36:$GS$61,0,ROW()-3),DN$3)</f>
        <v>0</v>
      </c>
      <c r="DO7" s="2">
        <f>COUNTIF(INDEX('LINE PLAN'!$B$36:$GS$61,0,ROW()-3),DO$3)</f>
        <v>0</v>
      </c>
      <c r="DP7" s="2">
        <f>COUNTIF(INDEX('LINE PLAN'!$B$36:$GS$61,0,ROW()-3),DP$3)</f>
        <v>0</v>
      </c>
      <c r="DQ7" s="2">
        <f>COUNTIF(INDEX('LINE PLAN'!$B$36:$GS$61,0,ROW()-3),DQ$3)</f>
        <v>0</v>
      </c>
      <c r="DR7" s="2">
        <f>COUNTIF(INDEX('LINE PLAN'!$B$36:$GS$61,0,ROW()-3),DR$3)</f>
        <v>0</v>
      </c>
      <c r="DS7" s="2">
        <f>COUNTIF(INDEX('LINE PLAN'!$B$36:$GS$61,0,ROW()-3),DS$3)</f>
        <v>0</v>
      </c>
      <c r="DT7" s="2">
        <f>COUNTIF(INDEX('LINE PLAN'!$B$36:$GS$61,0,ROW()-3),DT$3)</f>
        <v>0</v>
      </c>
      <c r="DU7" s="2">
        <f>COUNTIF(INDEX('LINE PLAN'!$B$36:$GS$61,0,ROW()-3),DU$3)</f>
        <v>0</v>
      </c>
      <c r="DV7" s="2">
        <f>COUNTIF(INDEX('LINE PLAN'!$B$36:$GS$61,0,ROW()-3),DV$3)</f>
        <v>0</v>
      </c>
    </row>
    <row r="8" spans="1:126">
      <c r="A8" s="505" cm="1">
        <f t="array" ref="A8">INDEX('LINE PLAN'!$B$35:$GS$35,ROW()-3)</f>
        <v>46239</v>
      </c>
      <c r="B8" s="2">
        <f>SUMPRODUCT($CA8:$DV8,INDEX('MC MAP'!$DA$5:$EV$30,1,0))</f>
        <v>152</v>
      </c>
      <c r="C8" s="2">
        <f>SUMPRODUCT($CA8:$DV8,INDEX('MC MAP'!$DA$5:$EV$30,2,0))</f>
        <v>1</v>
      </c>
      <c r="D8" s="2">
        <f>SUMPRODUCT($CA8:$DV8,INDEX('MC MAP'!$DA$5:$EV$30,3,0))</f>
        <v>0</v>
      </c>
      <c r="E8" s="2">
        <f>SUMPRODUCT($CA8:$DV8,INDEX('MC MAP'!$DA$5:$EV$30,4,0))</f>
        <v>4</v>
      </c>
      <c r="F8" s="2">
        <f>SUMPRODUCT($CA8:$DV8,INDEX('MC MAP'!$DA$5:$EV$30,5,0))</f>
        <v>291</v>
      </c>
      <c r="G8" s="2">
        <f>SUMPRODUCT($CA8:$DV8,INDEX('MC MAP'!$DA$5:$EV$30,6,0))</f>
        <v>31</v>
      </c>
      <c r="H8" s="2">
        <f>SUMPRODUCT($CA8:$DV8,INDEX('MC MAP'!$DA$5:$EV$30,7,0))</f>
        <v>0</v>
      </c>
      <c r="I8" s="2">
        <f>SUMPRODUCT($CA8:$DV8,INDEX('MC MAP'!$DA$5:$EV$30,8,0))</f>
        <v>36</v>
      </c>
      <c r="J8" s="2">
        <f>SUMPRODUCT($CA8:$DV8,INDEX('MC MAP'!$DA$5:$EV$30,9,0))</f>
        <v>22.5</v>
      </c>
      <c r="K8" s="2">
        <f>SUMPRODUCT($CA8:$DV8,INDEX('MC MAP'!$DA$5:$EV$30,10,0))</f>
        <v>4</v>
      </c>
      <c r="L8" s="2">
        <f>SUMPRODUCT($CA8:$DV8,INDEX('MC MAP'!$DA$5:$EV$30,11,0))</f>
        <v>43.5</v>
      </c>
      <c r="M8" s="2">
        <f>SUMPRODUCT($CA8:$DV8,INDEX('MC MAP'!$DA$5:$EV$30,12,0))</f>
        <v>17</v>
      </c>
      <c r="N8" s="2">
        <f>SUMPRODUCT($CA8:$DV8,INDEX('MC MAP'!$DA$5:$EV$30,13,0))</f>
        <v>34.5</v>
      </c>
      <c r="O8" s="2">
        <f>SUMPRODUCT($CA8:$DV8,INDEX('MC MAP'!$DA$5:$EV$30,14,0))</f>
        <v>40</v>
      </c>
      <c r="P8" s="2">
        <f>SUMPRODUCT($CA8:$DV8,INDEX('MC MAP'!$DA$5:$EV$30,15,0))</f>
        <v>47</v>
      </c>
      <c r="Q8" s="2">
        <f>SUMPRODUCT($CA8:$DV8,INDEX('MC MAP'!$DA$5:$EV$30,16,0))</f>
        <v>0</v>
      </c>
      <c r="R8" s="2">
        <f>SUMPRODUCT($CA8:$DV8,INDEX('MC MAP'!$DA$5:$EV$30,17,0))</f>
        <v>3</v>
      </c>
      <c r="S8" s="2">
        <f>SUMPRODUCT($CA8:$DV8,INDEX('MC MAP'!$DA$5:$EV$30,18,0))</f>
        <v>0</v>
      </c>
      <c r="T8" s="2">
        <f>SUMPRODUCT($CA8:$DV8,INDEX('MC MAP'!$DA$5:$EV$30,19,0))</f>
        <v>13</v>
      </c>
      <c r="U8" s="2">
        <f>SUMPRODUCT($CA8:$DV8,INDEX('MC MAP'!$DA$5:$EV$30,20,0))</f>
        <v>31</v>
      </c>
      <c r="V8" s="2">
        <f>SUMPRODUCT($CA8:$DV8,INDEX('MC MAP'!$DA$5:$EV$30,21,0))</f>
        <v>2</v>
      </c>
      <c r="W8" s="2">
        <f>SUMPRODUCT($CA8:$DV8,INDEX('MC MAP'!$DA$5:$EV$30,22,0))</f>
        <v>2</v>
      </c>
      <c r="X8" s="2">
        <f>SUMPRODUCT($CA8:$DV8,INDEX('MC MAP'!$DA$5:$EV$30,23,0))</f>
        <v>0</v>
      </c>
      <c r="Y8" s="2">
        <f>SUMPRODUCT($CA8:$DV8,INDEX('MC MAP'!$DA$5:$EV$30,24,0))</f>
        <v>4.5</v>
      </c>
      <c r="Z8" s="2">
        <f>SUMPRODUCT($CA8:$DV8,INDEX('MC MAP'!$DA$5:$EV$30,25,0))</f>
        <v>0</v>
      </c>
      <c r="AA8" s="2">
        <f>SUMPRODUCT($CA8:$DV8,INDEX('MC MAP'!$DA$5:$EV$30,26,0))</f>
        <v>29</v>
      </c>
      <c r="AB8" s="2">
        <f>SUM($B8:$AA8)</f>
        <v>808</v>
      </c>
      <c r="AC8" s="2">
        <f>SUM($CA8:$DV8)+$AW8</f>
        <v>26</v>
      </c>
      <c r="AW8" s="2">
        <f>IF($A8=0,0,COUNTIF(INDEX('LINE PLAN'!$B$36:$GS$61,0,ROW()-3),"THERMAL - NOT SPECIFIED"))</f>
        <v>0</v>
      </c>
      <c r="AX8" s="506" cm="1">
        <f t="array" ref="AX8">IF(OR($AB8=0,UPPER($BS8)&lt;&gt;"Y"),0,SUMPRODUCT(--($B8:$AA8&gt;$B$205:$AA$205)))</f>
        <v>5</v>
      </c>
      <c r="AY8" s="507">
        <f>$A8</f>
        <v>46239</v>
      </c>
      <c r="AZ8" s="2">
        <f>$AB8</f>
        <v>808</v>
      </c>
      <c r="BA8" s="2">
        <f>'MC MASTER'!$C$29</f>
        <v>920</v>
      </c>
      <c r="BD8" s="517" t="s">
        <v>320</v>
      </c>
      <c r="BE8" s="517" t="s">
        <v>321</v>
      </c>
      <c r="BF8" s="517" t="s">
        <v>322</v>
      </c>
      <c r="BG8" s="517" t="s">
        <v>323</v>
      </c>
      <c r="BH8" s="517" t="s">
        <v>324</v>
      </c>
      <c r="BI8" s="517" t="s">
        <v>325</v>
      </c>
      <c r="BJ8" s="517" t="s">
        <v>326</v>
      </c>
      <c r="BK8" s="517" t="s">
        <v>214</v>
      </c>
      <c r="BM8" s="518" t="s">
        <v>335</v>
      </c>
      <c r="BN8" s="518" t="s">
        <v>336</v>
      </c>
      <c r="BO8" s="518" t="s">
        <v>209</v>
      </c>
      <c r="BQ8" s="509">
        <f>$A8</f>
        <v>46239</v>
      </c>
      <c r="BR8" s="15" t="str">
        <f>TEXT($A8,"ddd")</f>
        <v>Wed</v>
      </c>
      <c r="BS8" s="547" t="s">
        <v>391</v>
      </c>
      <c r="BT8" s="15">
        <f>IF(UPPER($BS8)="Y",$AB8,0)</f>
        <v>808</v>
      </c>
      <c r="CA8" s="2">
        <f>COUNTIF(INDEX('LINE PLAN'!$B$36:$GS$61,0,ROW()-3),CA$3)</f>
        <v>1</v>
      </c>
      <c r="CB8" s="2">
        <f>COUNTIF(INDEX('LINE PLAN'!$B$36:$GS$61,0,ROW()-3),CB$3)</f>
        <v>1</v>
      </c>
      <c r="CC8" s="2">
        <f>COUNTIF(INDEX('LINE PLAN'!$B$36:$GS$61,0,ROW()-3),CC$3)</f>
        <v>1</v>
      </c>
      <c r="CD8" s="2">
        <f>COUNTIF(INDEX('LINE PLAN'!$B$36:$GS$61,0,ROW()-3),CD$3)</f>
        <v>2</v>
      </c>
      <c r="CE8" s="2">
        <f>COUNTIF(INDEX('LINE PLAN'!$B$36:$GS$61,0,ROW()-3),CE$3)</f>
        <v>2</v>
      </c>
      <c r="CF8" s="2">
        <f>COUNTIF(INDEX('LINE PLAN'!$B$36:$GS$61,0,ROW()-3),CF$3)</f>
        <v>3</v>
      </c>
      <c r="CG8" s="2">
        <f>COUNTIF(INDEX('LINE PLAN'!$B$36:$GS$61,0,ROW()-3),CG$3)</f>
        <v>2</v>
      </c>
      <c r="CH8" s="2">
        <f>COUNTIF(INDEX('LINE PLAN'!$B$36:$GS$61,0,ROW()-3),CH$3)</f>
        <v>1</v>
      </c>
      <c r="CI8" s="2">
        <f>COUNTIF(INDEX('LINE PLAN'!$B$36:$GS$61,0,ROW()-3),CI$3)</f>
        <v>1</v>
      </c>
      <c r="CJ8" s="2">
        <f>COUNTIF(INDEX('LINE PLAN'!$B$36:$GS$61,0,ROW()-3),CJ$3)</f>
        <v>1</v>
      </c>
      <c r="CK8" s="2">
        <f>COUNTIF(INDEX('LINE PLAN'!$B$36:$GS$61,0,ROW()-3),CK$3)</f>
        <v>3</v>
      </c>
      <c r="CL8" s="2">
        <f>COUNTIF(INDEX('LINE PLAN'!$B$36:$GS$61,0,ROW()-3),CL$3)</f>
        <v>0</v>
      </c>
      <c r="CM8" s="2">
        <f>COUNTIF(INDEX('LINE PLAN'!$B$36:$GS$61,0,ROW()-3),CM$3)</f>
        <v>0</v>
      </c>
      <c r="CN8" s="2">
        <f>COUNTIF(INDEX('LINE PLAN'!$B$36:$GS$61,0,ROW()-3),CN$3)</f>
        <v>5</v>
      </c>
      <c r="CO8" s="2">
        <f>COUNTIF(INDEX('LINE PLAN'!$B$36:$GS$61,0,ROW()-3),CO$3)</f>
        <v>0</v>
      </c>
      <c r="CP8" s="2">
        <f>COUNTIF(INDEX('LINE PLAN'!$B$36:$GS$61,0,ROW()-3),CP$3)</f>
        <v>2</v>
      </c>
      <c r="CQ8" s="2">
        <f>COUNTIF(INDEX('LINE PLAN'!$B$36:$GS$61,0,ROW()-3),CQ$3)</f>
        <v>0</v>
      </c>
      <c r="CR8" s="2">
        <f>COUNTIF(INDEX('LINE PLAN'!$B$36:$GS$61,0,ROW()-3),CR$3)</f>
        <v>1</v>
      </c>
      <c r="CS8" s="2">
        <f>COUNTIF(INDEX('LINE PLAN'!$B$36:$GS$61,0,ROW()-3),CS$3)</f>
        <v>0</v>
      </c>
      <c r="CT8" s="2">
        <f>COUNTIF(INDEX('LINE PLAN'!$B$36:$GS$61,0,ROW()-3),CT$3)</f>
        <v>0</v>
      </c>
      <c r="CU8" s="2">
        <f>COUNTIF(INDEX('LINE PLAN'!$B$36:$GS$61,0,ROW()-3),CU$3)</f>
        <v>0</v>
      </c>
      <c r="CV8" s="2">
        <f>COUNTIF(INDEX('LINE PLAN'!$B$36:$GS$61,0,ROW()-3),CV$3)</f>
        <v>0</v>
      </c>
      <c r="CW8" s="2">
        <f>COUNTIF(INDEX('LINE PLAN'!$B$36:$GS$61,0,ROW()-3),CW$3)</f>
        <v>0</v>
      </c>
      <c r="CX8" s="2">
        <f>COUNTIF(INDEX('LINE PLAN'!$B$36:$GS$61,0,ROW()-3),CX$3)</f>
        <v>0</v>
      </c>
      <c r="CY8" s="2">
        <f>COUNTIF(INDEX('LINE PLAN'!$B$36:$GS$61,0,ROW()-3),CY$3)</f>
        <v>0</v>
      </c>
      <c r="CZ8" s="2">
        <f>COUNTIF(INDEX('LINE PLAN'!$B$36:$GS$61,0,ROW()-3),CZ$3)</f>
        <v>0</v>
      </c>
      <c r="DA8" s="2">
        <f>COUNTIF(INDEX('LINE PLAN'!$B$36:$GS$61,0,ROW()-3),DA$3)</f>
        <v>0</v>
      </c>
      <c r="DB8" s="2">
        <f>COUNTIF(INDEX('LINE PLAN'!$B$36:$GS$61,0,ROW()-3),DB$3)</f>
        <v>0</v>
      </c>
      <c r="DC8" s="2">
        <f>COUNTIF(INDEX('LINE PLAN'!$B$36:$GS$61,0,ROW()-3),DC$3)</f>
        <v>0</v>
      </c>
      <c r="DD8" s="2">
        <f>COUNTIF(INDEX('LINE PLAN'!$B$36:$GS$61,0,ROW()-3),DD$3)</f>
        <v>0</v>
      </c>
      <c r="DE8" s="2">
        <f>COUNTIF(INDEX('LINE PLAN'!$B$36:$GS$61,0,ROW()-3),DE$3)</f>
        <v>0</v>
      </c>
      <c r="DF8" s="2">
        <f>COUNTIF(INDEX('LINE PLAN'!$B$36:$GS$61,0,ROW()-3),DF$3)</f>
        <v>0</v>
      </c>
      <c r="DG8" s="2">
        <f>COUNTIF(INDEX('LINE PLAN'!$B$36:$GS$61,0,ROW()-3),DG$3)</f>
        <v>0</v>
      </c>
      <c r="DH8" s="2">
        <f>COUNTIF(INDEX('LINE PLAN'!$B$36:$GS$61,0,ROW()-3),DH$3)</f>
        <v>0</v>
      </c>
      <c r="DI8" s="2">
        <f>COUNTIF(INDEX('LINE PLAN'!$B$36:$GS$61,0,ROW()-3),DI$3)</f>
        <v>0</v>
      </c>
      <c r="DJ8" s="2">
        <f>COUNTIF(INDEX('LINE PLAN'!$B$36:$GS$61,0,ROW()-3),DJ$3)</f>
        <v>0</v>
      </c>
      <c r="DK8" s="2">
        <f>COUNTIF(INDEX('LINE PLAN'!$B$36:$GS$61,0,ROW()-3),DK$3)</f>
        <v>0</v>
      </c>
      <c r="DL8" s="2">
        <f>COUNTIF(INDEX('LINE PLAN'!$B$36:$GS$61,0,ROW()-3),DL$3)</f>
        <v>0</v>
      </c>
      <c r="DM8" s="2">
        <f>COUNTIF(INDEX('LINE PLAN'!$B$36:$GS$61,0,ROW()-3),DM$3)</f>
        <v>0</v>
      </c>
      <c r="DN8" s="2">
        <f>COUNTIF(INDEX('LINE PLAN'!$B$36:$GS$61,0,ROW()-3),DN$3)</f>
        <v>0</v>
      </c>
      <c r="DO8" s="2">
        <f>COUNTIF(INDEX('LINE PLAN'!$B$36:$GS$61,0,ROW()-3),DO$3)</f>
        <v>0</v>
      </c>
      <c r="DP8" s="2">
        <f>COUNTIF(INDEX('LINE PLAN'!$B$36:$GS$61,0,ROW()-3),DP$3)</f>
        <v>0</v>
      </c>
      <c r="DQ8" s="2">
        <f>COUNTIF(INDEX('LINE PLAN'!$B$36:$GS$61,0,ROW()-3),DQ$3)</f>
        <v>0</v>
      </c>
      <c r="DR8" s="2">
        <f>COUNTIF(INDEX('LINE PLAN'!$B$36:$GS$61,0,ROW()-3),DR$3)</f>
        <v>0</v>
      </c>
      <c r="DS8" s="2">
        <f>COUNTIF(INDEX('LINE PLAN'!$B$36:$GS$61,0,ROW()-3),DS$3)</f>
        <v>0</v>
      </c>
      <c r="DT8" s="2">
        <f>COUNTIF(INDEX('LINE PLAN'!$B$36:$GS$61,0,ROW()-3),DT$3)</f>
        <v>0</v>
      </c>
      <c r="DU8" s="2">
        <f>COUNTIF(INDEX('LINE PLAN'!$B$36:$GS$61,0,ROW()-3),DU$3)</f>
        <v>0</v>
      </c>
      <c r="DV8" s="2">
        <f>COUNTIF(INDEX('LINE PLAN'!$B$36:$GS$61,0,ROW()-3),DV$3)</f>
        <v>0</v>
      </c>
    </row>
    <row r="9" spans="1:126">
      <c r="A9" s="505" cm="1">
        <f t="array" ref="A9">INDEX('LINE PLAN'!$B$35:$GS$35,ROW()-3)</f>
        <v>46240</v>
      </c>
      <c r="B9" s="2">
        <f>SUMPRODUCT($CA9:$DV9,INDEX('MC MAP'!$DA$5:$EV$30,1,0))</f>
        <v>152</v>
      </c>
      <c r="C9" s="2">
        <f>SUMPRODUCT($CA9:$DV9,INDEX('MC MAP'!$DA$5:$EV$30,2,0))</f>
        <v>1</v>
      </c>
      <c r="D9" s="2">
        <f>SUMPRODUCT($CA9:$DV9,INDEX('MC MAP'!$DA$5:$EV$30,3,0))</f>
        <v>0</v>
      </c>
      <c r="E9" s="2">
        <f>SUMPRODUCT($CA9:$DV9,INDEX('MC MAP'!$DA$5:$EV$30,4,0))</f>
        <v>4</v>
      </c>
      <c r="F9" s="2">
        <f>SUMPRODUCT($CA9:$DV9,INDEX('MC MAP'!$DA$5:$EV$30,5,0))</f>
        <v>291</v>
      </c>
      <c r="G9" s="2">
        <f>SUMPRODUCT($CA9:$DV9,INDEX('MC MAP'!$DA$5:$EV$30,6,0))</f>
        <v>31</v>
      </c>
      <c r="H9" s="2">
        <f>SUMPRODUCT($CA9:$DV9,INDEX('MC MAP'!$DA$5:$EV$30,7,0))</f>
        <v>0</v>
      </c>
      <c r="I9" s="2">
        <f>SUMPRODUCT($CA9:$DV9,INDEX('MC MAP'!$DA$5:$EV$30,8,0))</f>
        <v>36</v>
      </c>
      <c r="J9" s="2">
        <f>SUMPRODUCT($CA9:$DV9,INDEX('MC MAP'!$DA$5:$EV$30,9,0))</f>
        <v>22.5</v>
      </c>
      <c r="K9" s="2">
        <f>SUMPRODUCT($CA9:$DV9,INDEX('MC MAP'!$DA$5:$EV$30,10,0))</f>
        <v>4</v>
      </c>
      <c r="L9" s="2">
        <f>SUMPRODUCT($CA9:$DV9,INDEX('MC MAP'!$DA$5:$EV$30,11,0))</f>
        <v>43.5</v>
      </c>
      <c r="M9" s="2">
        <f>SUMPRODUCT($CA9:$DV9,INDEX('MC MAP'!$DA$5:$EV$30,12,0))</f>
        <v>17</v>
      </c>
      <c r="N9" s="2">
        <f>SUMPRODUCT($CA9:$DV9,INDEX('MC MAP'!$DA$5:$EV$30,13,0))</f>
        <v>34.5</v>
      </c>
      <c r="O9" s="2">
        <f>SUMPRODUCT($CA9:$DV9,INDEX('MC MAP'!$DA$5:$EV$30,14,0))</f>
        <v>40</v>
      </c>
      <c r="P9" s="2">
        <f>SUMPRODUCT($CA9:$DV9,INDEX('MC MAP'!$DA$5:$EV$30,15,0))</f>
        <v>47</v>
      </c>
      <c r="Q9" s="2">
        <f>SUMPRODUCT($CA9:$DV9,INDEX('MC MAP'!$DA$5:$EV$30,16,0))</f>
        <v>0</v>
      </c>
      <c r="R9" s="2">
        <f>SUMPRODUCT($CA9:$DV9,INDEX('MC MAP'!$DA$5:$EV$30,17,0))</f>
        <v>3</v>
      </c>
      <c r="S9" s="2">
        <f>SUMPRODUCT($CA9:$DV9,INDEX('MC MAP'!$DA$5:$EV$30,18,0))</f>
        <v>0</v>
      </c>
      <c r="T9" s="2">
        <f>SUMPRODUCT($CA9:$DV9,INDEX('MC MAP'!$DA$5:$EV$30,19,0))</f>
        <v>13</v>
      </c>
      <c r="U9" s="2">
        <f>SUMPRODUCT($CA9:$DV9,INDEX('MC MAP'!$DA$5:$EV$30,20,0))</f>
        <v>31</v>
      </c>
      <c r="V9" s="2">
        <f>SUMPRODUCT($CA9:$DV9,INDEX('MC MAP'!$DA$5:$EV$30,21,0))</f>
        <v>2</v>
      </c>
      <c r="W9" s="2">
        <f>SUMPRODUCT($CA9:$DV9,INDEX('MC MAP'!$DA$5:$EV$30,22,0))</f>
        <v>2</v>
      </c>
      <c r="X9" s="2">
        <f>SUMPRODUCT($CA9:$DV9,INDEX('MC MAP'!$DA$5:$EV$30,23,0))</f>
        <v>0</v>
      </c>
      <c r="Y9" s="2">
        <f>SUMPRODUCT($CA9:$DV9,INDEX('MC MAP'!$DA$5:$EV$30,24,0))</f>
        <v>4.5</v>
      </c>
      <c r="Z9" s="2">
        <f>SUMPRODUCT($CA9:$DV9,INDEX('MC MAP'!$DA$5:$EV$30,25,0))</f>
        <v>0</v>
      </c>
      <c r="AA9" s="2">
        <f>SUMPRODUCT($CA9:$DV9,INDEX('MC MAP'!$DA$5:$EV$30,26,0))</f>
        <v>29</v>
      </c>
      <c r="AB9" s="2">
        <f>SUM($B9:$AA9)</f>
        <v>808</v>
      </c>
      <c r="AC9" s="2">
        <f>SUM($CA9:$DV9)+$AW9</f>
        <v>26</v>
      </c>
      <c r="AW9" s="2">
        <f>IF($A9=0,0,COUNTIF(INDEX('LINE PLAN'!$B$36:$GS$61,0,ROW()-3),"THERMAL - NOT SPECIFIED"))</f>
        <v>0</v>
      </c>
      <c r="AX9" s="506" cm="1">
        <f t="array" ref="AX9">IF(OR($AB9=0,UPPER($BS9)&lt;&gt;"Y"),0,SUMPRODUCT(--($B9:$AA9&gt;$B$205:$AA$205)))</f>
        <v>5</v>
      </c>
      <c r="AY9" s="507">
        <f>$A9</f>
        <v>46240</v>
      </c>
      <c r="AZ9" s="2">
        <f>$AB9</f>
        <v>808</v>
      </c>
      <c r="BA9" s="2">
        <f>'MC MASTER'!$C$29</f>
        <v>920</v>
      </c>
      <c r="BD9" s="519">
        <v>1</v>
      </c>
      <c r="BE9" s="520">
        <f>INDEX($A$4:$A$203,($BD9-1)*7+1)</f>
        <v>46235</v>
      </c>
      <c r="BF9" s="520">
        <f>INDEX($A$4:$A$203,$BD9*7)</f>
        <v>46241</v>
      </c>
      <c r="BG9" s="521" cm="1">
        <f t="array" aca="1" ref="BG9" ca="1">SUMPRODUCT(--(OFFSET($BT$4,($BD9-1)*7,0,7,1)&gt;0))</f>
        <v>6</v>
      </c>
      <c r="BH9" s="522">
        <f ca="1">IFERROR(SUMIF(OFFSET($BT$4,($BD9-1)*7,0,7,1),"&gt;0")/$BG9,0)</f>
        <v>808</v>
      </c>
      <c r="BI9" s="523">
        <f ca="1">MAX(OFFSET($BT$4,($BD9-1)*7,0,7,1))</f>
        <v>808</v>
      </c>
      <c r="BJ9" s="524">
        <f ca="1">IFERROR($BI9/$BD$5,0)</f>
        <v>0.878260869565217</v>
      </c>
      <c r="BK9" s="525" t="str">
        <f ca="1">IF($BI9=0,"NO WORK",IF($BJ9&gt;1,"OVER CAPACITY",IF($BJ9&gt;0.95,"TIGHT","OK")))</f>
        <v>OK</v>
      </c>
      <c r="BM9" s="52" t="str">
        <f>TEXT($BE9,"d-mmm")</f>
        <v>1-Aug</v>
      </c>
      <c r="BN9" s="526">
        <f ca="1">$BI9</f>
        <v>808</v>
      </c>
      <c r="BO9" s="527">
        <f>$BD$5</f>
        <v>920</v>
      </c>
      <c r="BQ9" s="509">
        <f>$A9</f>
        <v>46240</v>
      </c>
      <c r="BR9" s="15" t="str">
        <f>TEXT($A9,"ddd")</f>
        <v>Thu</v>
      </c>
      <c r="BS9" s="547" t="s">
        <v>391</v>
      </c>
      <c r="BT9" s="15">
        <f>IF(UPPER($BS9)="Y",$AB9,0)</f>
        <v>808</v>
      </c>
      <c r="CA9" s="2">
        <f>COUNTIF(INDEX('LINE PLAN'!$B$36:$GS$61,0,ROW()-3),CA$3)</f>
        <v>1</v>
      </c>
      <c r="CB9" s="2">
        <f>COUNTIF(INDEX('LINE PLAN'!$B$36:$GS$61,0,ROW()-3),CB$3)</f>
        <v>1</v>
      </c>
      <c r="CC9" s="2">
        <f>COUNTIF(INDEX('LINE PLAN'!$B$36:$GS$61,0,ROW()-3),CC$3)</f>
        <v>1</v>
      </c>
      <c r="CD9" s="2">
        <f>COUNTIF(INDEX('LINE PLAN'!$B$36:$GS$61,0,ROW()-3),CD$3)</f>
        <v>2</v>
      </c>
      <c r="CE9" s="2">
        <f>COUNTIF(INDEX('LINE PLAN'!$B$36:$GS$61,0,ROW()-3),CE$3)</f>
        <v>2</v>
      </c>
      <c r="CF9" s="2">
        <f>COUNTIF(INDEX('LINE PLAN'!$B$36:$GS$61,0,ROW()-3),CF$3)</f>
        <v>3</v>
      </c>
      <c r="CG9" s="2">
        <f>COUNTIF(INDEX('LINE PLAN'!$B$36:$GS$61,0,ROW()-3),CG$3)</f>
        <v>2</v>
      </c>
      <c r="CH9" s="2">
        <f>COUNTIF(INDEX('LINE PLAN'!$B$36:$GS$61,0,ROW()-3),CH$3)</f>
        <v>1</v>
      </c>
      <c r="CI9" s="2">
        <f>COUNTIF(INDEX('LINE PLAN'!$B$36:$GS$61,0,ROW()-3),CI$3)</f>
        <v>1</v>
      </c>
      <c r="CJ9" s="2">
        <f>COUNTIF(INDEX('LINE PLAN'!$B$36:$GS$61,0,ROW()-3),CJ$3)</f>
        <v>1</v>
      </c>
      <c r="CK9" s="2">
        <f>COUNTIF(INDEX('LINE PLAN'!$B$36:$GS$61,0,ROW()-3),CK$3)</f>
        <v>3</v>
      </c>
      <c r="CL9" s="2">
        <f>COUNTIF(INDEX('LINE PLAN'!$B$36:$GS$61,0,ROW()-3),CL$3)</f>
        <v>0</v>
      </c>
      <c r="CM9" s="2">
        <f>COUNTIF(INDEX('LINE PLAN'!$B$36:$GS$61,0,ROW()-3),CM$3)</f>
        <v>0</v>
      </c>
      <c r="CN9" s="2">
        <f>COUNTIF(INDEX('LINE PLAN'!$B$36:$GS$61,0,ROW()-3),CN$3)</f>
        <v>5</v>
      </c>
      <c r="CO9" s="2">
        <f>COUNTIF(INDEX('LINE PLAN'!$B$36:$GS$61,0,ROW()-3),CO$3)</f>
        <v>0</v>
      </c>
      <c r="CP9" s="2">
        <f>COUNTIF(INDEX('LINE PLAN'!$B$36:$GS$61,0,ROW()-3),CP$3)</f>
        <v>2</v>
      </c>
      <c r="CQ9" s="2">
        <f>COUNTIF(INDEX('LINE PLAN'!$B$36:$GS$61,0,ROW()-3),CQ$3)</f>
        <v>0</v>
      </c>
      <c r="CR9" s="2">
        <f>COUNTIF(INDEX('LINE PLAN'!$B$36:$GS$61,0,ROW()-3),CR$3)</f>
        <v>1</v>
      </c>
      <c r="CS9" s="2">
        <f>COUNTIF(INDEX('LINE PLAN'!$B$36:$GS$61,0,ROW()-3),CS$3)</f>
        <v>0</v>
      </c>
      <c r="CT9" s="2">
        <f>COUNTIF(INDEX('LINE PLAN'!$B$36:$GS$61,0,ROW()-3),CT$3)</f>
        <v>0</v>
      </c>
      <c r="CU9" s="2">
        <f>COUNTIF(INDEX('LINE PLAN'!$B$36:$GS$61,0,ROW()-3),CU$3)</f>
        <v>0</v>
      </c>
      <c r="CV9" s="2">
        <f>COUNTIF(INDEX('LINE PLAN'!$B$36:$GS$61,0,ROW()-3),CV$3)</f>
        <v>0</v>
      </c>
      <c r="CW9" s="2">
        <f>COUNTIF(INDEX('LINE PLAN'!$B$36:$GS$61,0,ROW()-3),CW$3)</f>
        <v>0</v>
      </c>
      <c r="CX9" s="2">
        <f>COUNTIF(INDEX('LINE PLAN'!$B$36:$GS$61,0,ROW()-3),CX$3)</f>
        <v>0</v>
      </c>
      <c r="CY9" s="2">
        <f>COUNTIF(INDEX('LINE PLAN'!$B$36:$GS$61,0,ROW()-3),CY$3)</f>
        <v>0</v>
      </c>
      <c r="CZ9" s="2">
        <f>COUNTIF(INDEX('LINE PLAN'!$B$36:$GS$61,0,ROW()-3),CZ$3)</f>
        <v>0</v>
      </c>
      <c r="DA9" s="2">
        <f>COUNTIF(INDEX('LINE PLAN'!$B$36:$GS$61,0,ROW()-3),DA$3)</f>
        <v>0</v>
      </c>
      <c r="DB9" s="2">
        <f>COUNTIF(INDEX('LINE PLAN'!$B$36:$GS$61,0,ROW()-3),DB$3)</f>
        <v>0</v>
      </c>
      <c r="DC9" s="2">
        <f>COUNTIF(INDEX('LINE PLAN'!$B$36:$GS$61,0,ROW()-3),DC$3)</f>
        <v>0</v>
      </c>
      <c r="DD9" s="2">
        <f>COUNTIF(INDEX('LINE PLAN'!$B$36:$GS$61,0,ROW()-3),DD$3)</f>
        <v>0</v>
      </c>
      <c r="DE9" s="2">
        <f>COUNTIF(INDEX('LINE PLAN'!$B$36:$GS$61,0,ROW()-3),DE$3)</f>
        <v>0</v>
      </c>
      <c r="DF9" s="2">
        <f>COUNTIF(INDEX('LINE PLAN'!$B$36:$GS$61,0,ROW()-3),DF$3)</f>
        <v>0</v>
      </c>
      <c r="DG9" s="2">
        <f>COUNTIF(INDEX('LINE PLAN'!$B$36:$GS$61,0,ROW()-3),DG$3)</f>
        <v>0</v>
      </c>
      <c r="DH9" s="2">
        <f>COUNTIF(INDEX('LINE PLAN'!$B$36:$GS$61,0,ROW()-3),DH$3)</f>
        <v>0</v>
      </c>
      <c r="DI9" s="2">
        <f>COUNTIF(INDEX('LINE PLAN'!$B$36:$GS$61,0,ROW()-3),DI$3)</f>
        <v>0</v>
      </c>
      <c r="DJ9" s="2">
        <f>COUNTIF(INDEX('LINE PLAN'!$B$36:$GS$61,0,ROW()-3),DJ$3)</f>
        <v>0</v>
      </c>
      <c r="DK9" s="2">
        <f>COUNTIF(INDEX('LINE PLAN'!$B$36:$GS$61,0,ROW()-3),DK$3)</f>
        <v>0</v>
      </c>
      <c r="DL9" s="2">
        <f>COUNTIF(INDEX('LINE PLAN'!$B$36:$GS$61,0,ROW()-3),DL$3)</f>
        <v>0</v>
      </c>
      <c r="DM9" s="2">
        <f>COUNTIF(INDEX('LINE PLAN'!$B$36:$GS$61,0,ROW()-3),DM$3)</f>
        <v>0</v>
      </c>
      <c r="DN9" s="2">
        <f>COUNTIF(INDEX('LINE PLAN'!$B$36:$GS$61,0,ROW()-3),DN$3)</f>
        <v>0</v>
      </c>
      <c r="DO9" s="2">
        <f>COUNTIF(INDEX('LINE PLAN'!$B$36:$GS$61,0,ROW()-3),DO$3)</f>
        <v>0</v>
      </c>
      <c r="DP9" s="2">
        <f>COUNTIF(INDEX('LINE PLAN'!$B$36:$GS$61,0,ROW()-3),DP$3)</f>
        <v>0</v>
      </c>
      <c r="DQ9" s="2">
        <f>COUNTIF(INDEX('LINE PLAN'!$B$36:$GS$61,0,ROW()-3),DQ$3)</f>
        <v>0</v>
      </c>
      <c r="DR9" s="2">
        <f>COUNTIF(INDEX('LINE PLAN'!$B$36:$GS$61,0,ROW()-3),DR$3)</f>
        <v>0</v>
      </c>
      <c r="DS9" s="2">
        <f>COUNTIF(INDEX('LINE PLAN'!$B$36:$GS$61,0,ROW()-3),DS$3)</f>
        <v>0</v>
      </c>
      <c r="DT9" s="2">
        <f>COUNTIF(INDEX('LINE PLAN'!$B$36:$GS$61,0,ROW()-3),DT$3)</f>
        <v>0</v>
      </c>
      <c r="DU9" s="2">
        <f>COUNTIF(INDEX('LINE PLAN'!$B$36:$GS$61,0,ROW()-3),DU$3)</f>
        <v>0</v>
      </c>
      <c r="DV9" s="2">
        <f>COUNTIF(INDEX('LINE PLAN'!$B$36:$GS$61,0,ROW()-3),DV$3)</f>
        <v>0</v>
      </c>
    </row>
    <row r="10" spans="1:126">
      <c r="A10" s="505" cm="1">
        <f t="array" ref="A10">INDEX('LINE PLAN'!$B$35:$GS$35,ROW()-3)</f>
        <v>46241</v>
      </c>
      <c r="B10" s="2">
        <f>SUMPRODUCT($CA10:$DV10,INDEX('MC MAP'!$DA$5:$EV$30,1,0))</f>
        <v>152</v>
      </c>
      <c r="C10" s="2">
        <f>SUMPRODUCT($CA10:$DV10,INDEX('MC MAP'!$DA$5:$EV$30,2,0))</f>
        <v>1</v>
      </c>
      <c r="D10" s="2">
        <f>SUMPRODUCT($CA10:$DV10,INDEX('MC MAP'!$DA$5:$EV$30,3,0))</f>
        <v>0</v>
      </c>
      <c r="E10" s="2">
        <f>SUMPRODUCT($CA10:$DV10,INDEX('MC MAP'!$DA$5:$EV$30,4,0))</f>
        <v>4</v>
      </c>
      <c r="F10" s="2">
        <f>SUMPRODUCT($CA10:$DV10,INDEX('MC MAP'!$DA$5:$EV$30,5,0))</f>
        <v>291</v>
      </c>
      <c r="G10" s="2">
        <f>SUMPRODUCT($CA10:$DV10,INDEX('MC MAP'!$DA$5:$EV$30,6,0))</f>
        <v>31</v>
      </c>
      <c r="H10" s="2">
        <f>SUMPRODUCT($CA10:$DV10,INDEX('MC MAP'!$DA$5:$EV$30,7,0))</f>
        <v>0</v>
      </c>
      <c r="I10" s="528">
        <f>SUMPRODUCT($CA10:$DV10,INDEX('MC MAP'!$DA$5:$EV$30,8,0))</f>
        <v>36</v>
      </c>
      <c r="J10" s="2">
        <f>SUMPRODUCT($CA10:$DV10,INDEX('MC MAP'!$DA$5:$EV$30,9,0))</f>
        <v>22.5</v>
      </c>
      <c r="K10" s="2">
        <f>SUMPRODUCT($CA10:$DV10,INDEX('MC MAP'!$DA$5:$EV$30,10,0))</f>
        <v>4</v>
      </c>
      <c r="L10" s="2">
        <f>SUMPRODUCT($CA10:$DV10,INDEX('MC MAP'!$DA$5:$EV$30,11,0))</f>
        <v>43.5</v>
      </c>
      <c r="M10" s="2">
        <f>SUMPRODUCT($CA10:$DV10,INDEX('MC MAP'!$DA$5:$EV$30,12,0))</f>
        <v>17</v>
      </c>
      <c r="N10" s="2">
        <f>SUMPRODUCT($CA10:$DV10,INDEX('MC MAP'!$DA$5:$EV$30,13,0))</f>
        <v>34.5</v>
      </c>
      <c r="O10" s="2">
        <f>SUMPRODUCT($CA10:$DV10,INDEX('MC MAP'!$DA$5:$EV$30,14,0))</f>
        <v>40</v>
      </c>
      <c r="P10" s="2">
        <f>SUMPRODUCT($CA10:$DV10,INDEX('MC MAP'!$DA$5:$EV$30,15,0))</f>
        <v>47</v>
      </c>
      <c r="Q10" s="2">
        <f>SUMPRODUCT($CA10:$DV10,INDEX('MC MAP'!$DA$5:$EV$30,16,0))</f>
        <v>0</v>
      </c>
      <c r="R10" s="2">
        <f>SUMPRODUCT($CA10:$DV10,INDEX('MC MAP'!$DA$5:$EV$30,17,0))</f>
        <v>3</v>
      </c>
      <c r="S10" s="2">
        <f>SUMPRODUCT($CA10:$DV10,INDEX('MC MAP'!$DA$5:$EV$30,18,0))</f>
        <v>0</v>
      </c>
      <c r="T10" s="2">
        <f>SUMPRODUCT($CA10:$DV10,INDEX('MC MAP'!$DA$5:$EV$30,19,0))</f>
        <v>13</v>
      </c>
      <c r="U10" s="2">
        <f>SUMPRODUCT($CA10:$DV10,INDEX('MC MAP'!$DA$5:$EV$30,20,0))</f>
        <v>31</v>
      </c>
      <c r="V10" s="2">
        <f>SUMPRODUCT($CA10:$DV10,INDEX('MC MAP'!$DA$5:$EV$30,21,0))</f>
        <v>2</v>
      </c>
      <c r="W10" s="2">
        <f>SUMPRODUCT($CA10:$DV10,INDEX('MC MAP'!$DA$5:$EV$30,22,0))</f>
        <v>2</v>
      </c>
      <c r="X10" s="2">
        <f>SUMPRODUCT($CA10:$DV10,INDEX('MC MAP'!$DA$5:$EV$30,23,0))</f>
        <v>0</v>
      </c>
      <c r="Y10" s="2">
        <f>SUMPRODUCT($CA10:$DV10,INDEX('MC MAP'!$DA$5:$EV$30,24,0))</f>
        <v>4.5</v>
      </c>
      <c r="Z10" s="2">
        <f>SUMPRODUCT($CA10:$DV10,INDEX('MC MAP'!$DA$5:$EV$30,25,0))</f>
        <v>0</v>
      </c>
      <c r="AA10" s="2">
        <f>SUMPRODUCT($CA10:$DV10,INDEX('MC MAP'!$DA$5:$EV$30,26,0))</f>
        <v>29</v>
      </c>
      <c r="AB10" s="2">
        <f>SUM($B10:$AA10)</f>
        <v>808</v>
      </c>
      <c r="AC10" s="2">
        <f>SUM($CA10:$DV10)+$AW10</f>
        <v>26</v>
      </c>
      <c r="AW10" s="2">
        <f>IF($A10=0,0,COUNTIF(INDEX('LINE PLAN'!$B$36:$GS$61,0,ROW()-3),"THERMAL - NOT SPECIFIED"))</f>
        <v>0</v>
      </c>
      <c r="AX10" s="506" cm="1">
        <f t="array" ref="AX10">IF(OR($AB10=0,UPPER($BS10)&lt;&gt;"Y"),0,SUMPRODUCT(--($B10:$AA10&gt;$B$205:$AA$205)))</f>
        <v>5</v>
      </c>
      <c r="AY10" s="507">
        <f>$A10</f>
        <v>46241</v>
      </c>
      <c r="AZ10" s="2">
        <f>$AB10</f>
        <v>808</v>
      </c>
      <c r="BA10" s="2">
        <f>'MC MASTER'!$C$29</f>
        <v>920</v>
      </c>
      <c r="BD10" s="529">
        <v>2</v>
      </c>
      <c r="BE10" s="520">
        <f>INDEX($A$4:$A$203,($BD10-1)*7+1)</f>
        <v>46242</v>
      </c>
      <c r="BF10" s="520">
        <f>INDEX($A$4:$A$203,$BD10*7)</f>
        <v>46248</v>
      </c>
      <c r="BG10" s="521" cm="1">
        <f t="array" aca="1" ref="BG10" ca="1">SUMPRODUCT(--(OFFSET($BT$4,($BD10-1)*7,0,7,1)&gt;0))</f>
        <v>6</v>
      </c>
      <c r="BH10" s="522">
        <f ca="1">IFERROR(SUMIF(OFFSET($BT$4,($BD10-1)*7,0,7,1),"&gt;0")/$BG10,0)</f>
        <v>780</v>
      </c>
      <c r="BI10" s="523">
        <f ca="1">MAX(OFFSET($BT$4,($BD10-1)*7,0,7,1))</f>
        <v>808</v>
      </c>
      <c r="BJ10" s="524">
        <f ca="1">IFERROR($BI10/$BD$5,0)</f>
        <v>0.878260869565217</v>
      </c>
      <c r="BK10" s="525" t="str">
        <f ca="1">IF($BI10=0,"NO WORK",IF($BJ10&gt;1,"OVER CAPACITY",IF($BJ10&gt;0.95,"TIGHT","OK")))</f>
        <v>OK</v>
      </c>
      <c r="BM10" s="52" t="str">
        <f>TEXT($BE10,"d-mmm")</f>
        <v>8-Aug</v>
      </c>
      <c r="BN10" s="526">
        <f ca="1">$BI10</f>
        <v>808</v>
      </c>
      <c r="BO10" s="527">
        <f>$BD$5</f>
        <v>920</v>
      </c>
      <c r="BQ10" s="509">
        <f>$A10</f>
        <v>46241</v>
      </c>
      <c r="BR10" s="15" t="str">
        <f>TEXT($A10,"ddd")</f>
        <v>Fri</v>
      </c>
      <c r="BS10" s="547" t="s">
        <v>391</v>
      </c>
      <c r="BT10" s="15">
        <f>IF(UPPER($BS10)="Y",$AB10,0)</f>
        <v>808</v>
      </c>
      <c r="CA10" s="2">
        <f>COUNTIF(INDEX('LINE PLAN'!$B$36:$GS$61,0,ROW()-3),CA$3)</f>
        <v>1</v>
      </c>
      <c r="CB10" s="2">
        <f>COUNTIF(INDEX('LINE PLAN'!$B$36:$GS$61,0,ROW()-3),CB$3)</f>
        <v>1</v>
      </c>
      <c r="CC10" s="2">
        <f>COUNTIF(INDEX('LINE PLAN'!$B$36:$GS$61,0,ROW()-3),CC$3)</f>
        <v>1</v>
      </c>
      <c r="CD10" s="2">
        <f>COUNTIF(INDEX('LINE PLAN'!$B$36:$GS$61,0,ROW()-3),CD$3)</f>
        <v>2</v>
      </c>
      <c r="CE10" s="2">
        <f>COUNTIF(INDEX('LINE PLAN'!$B$36:$GS$61,0,ROW()-3),CE$3)</f>
        <v>2</v>
      </c>
      <c r="CF10" s="2">
        <f>COUNTIF(INDEX('LINE PLAN'!$B$36:$GS$61,0,ROW()-3),CF$3)</f>
        <v>3</v>
      </c>
      <c r="CG10" s="2">
        <f>COUNTIF(INDEX('LINE PLAN'!$B$36:$GS$61,0,ROW()-3),CG$3)</f>
        <v>2</v>
      </c>
      <c r="CH10" s="2">
        <f>COUNTIF(INDEX('LINE PLAN'!$B$36:$GS$61,0,ROW()-3),CH$3)</f>
        <v>1</v>
      </c>
      <c r="CI10" s="2">
        <f>COUNTIF(INDEX('LINE PLAN'!$B$36:$GS$61,0,ROW()-3),CI$3)</f>
        <v>1</v>
      </c>
      <c r="CJ10" s="2">
        <f>COUNTIF(INDEX('LINE PLAN'!$B$36:$GS$61,0,ROW()-3),CJ$3)</f>
        <v>1</v>
      </c>
      <c r="CK10" s="2">
        <f>COUNTIF(INDEX('LINE PLAN'!$B$36:$GS$61,0,ROW()-3),CK$3)</f>
        <v>3</v>
      </c>
      <c r="CL10" s="2">
        <f>COUNTIF(INDEX('LINE PLAN'!$B$36:$GS$61,0,ROW()-3),CL$3)</f>
        <v>0</v>
      </c>
      <c r="CM10" s="2">
        <f>COUNTIF(INDEX('LINE PLAN'!$B$36:$GS$61,0,ROW()-3),CM$3)</f>
        <v>0</v>
      </c>
      <c r="CN10" s="2">
        <f>COUNTIF(INDEX('LINE PLAN'!$B$36:$GS$61,0,ROW()-3),CN$3)</f>
        <v>5</v>
      </c>
      <c r="CO10" s="2">
        <f>COUNTIF(INDEX('LINE PLAN'!$B$36:$GS$61,0,ROW()-3),CO$3)</f>
        <v>0</v>
      </c>
      <c r="CP10" s="2">
        <f>COUNTIF(INDEX('LINE PLAN'!$B$36:$GS$61,0,ROW()-3),CP$3)</f>
        <v>2</v>
      </c>
      <c r="CQ10" s="2">
        <f>COUNTIF(INDEX('LINE PLAN'!$B$36:$GS$61,0,ROW()-3),CQ$3)</f>
        <v>0</v>
      </c>
      <c r="CR10" s="2">
        <f>COUNTIF(INDEX('LINE PLAN'!$B$36:$GS$61,0,ROW()-3),CR$3)</f>
        <v>1</v>
      </c>
      <c r="CS10" s="2">
        <f>COUNTIF(INDEX('LINE PLAN'!$B$36:$GS$61,0,ROW()-3),CS$3)</f>
        <v>0</v>
      </c>
      <c r="CT10" s="2">
        <f>COUNTIF(INDEX('LINE PLAN'!$B$36:$GS$61,0,ROW()-3),CT$3)</f>
        <v>0</v>
      </c>
      <c r="CU10" s="2">
        <f>COUNTIF(INDEX('LINE PLAN'!$B$36:$GS$61,0,ROW()-3),CU$3)</f>
        <v>0</v>
      </c>
      <c r="CV10" s="2">
        <f>COUNTIF(INDEX('LINE PLAN'!$B$36:$GS$61,0,ROW()-3),CV$3)</f>
        <v>0</v>
      </c>
      <c r="CW10" s="2">
        <f>COUNTIF(INDEX('LINE PLAN'!$B$36:$GS$61,0,ROW()-3),CW$3)</f>
        <v>0</v>
      </c>
      <c r="CX10" s="2">
        <f>COUNTIF(INDEX('LINE PLAN'!$B$36:$GS$61,0,ROW()-3),CX$3)</f>
        <v>0</v>
      </c>
      <c r="CY10" s="2">
        <f>COUNTIF(INDEX('LINE PLAN'!$B$36:$GS$61,0,ROW()-3),CY$3)</f>
        <v>0</v>
      </c>
      <c r="CZ10" s="2">
        <f>COUNTIF(INDEX('LINE PLAN'!$B$36:$GS$61,0,ROW()-3),CZ$3)</f>
        <v>0</v>
      </c>
      <c r="DA10" s="2">
        <f>COUNTIF(INDEX('LINE PLAN'!$B$36:$GS$61,0,ROW()-3),DA$3)</f>
        <v>0</v>
      </c>
      <c r="DB10" s="2">
        <f>COUNTIF(INDEX('LINE PLAN'!$B$36:$GS$61,0,ROW()-3),DB$3)</f>
        <v>0</v>
      </c>
      <c r="DC10" s="2">
        <f>COUNTIF(INDEX('LINE PLAN'!$B$36:$GS$61,0,ROW()-3),DC$3)</f>
        <v>0</v>
      </c>
      <c r="DD10" s="2">
        <f>COUNTIF(INDEX('LINE PLAN'!$B$36:$GS$61,0,ROW()-3),DD$3)</f>
        <v>0</v>
      </c>
      <c r="DE10" s="2">
        <f>COUNTIF(INDEX('LINE PLAN'!$B$36:$GS$61,0,ROW()-3),DE$3)</f>
        <v>0</v>
      </c>
      <c r="DF10" s="2">
        <f>COUNTIF(INDEX('LINE PLAN'!$B$36:$GS$61,0,ROW()-3),DF$3)</f>
        <v>0</v>
      </c>
      <c r="DG10" s="2">
        <f>COUNTIF(INDEX('LINE PLAN'!$B$36:$GS$61,0,ROW()-3),DG$3)</f>
        <v>0</v>
      </c>
      <c r="DH10" s="2">
        <f>COUNTIF(INDEX('LINE PLAN'!$B$36:$GS$61,0,ROW()-3),DH$3)</f>
        <v>0</v>
      </c>
      <c r="DI10" s="2">
        <f>COUNTIF(INDEX('LINE PLAN'!$B$36:$GS$61,0,ROW()-3),DI$3)</f>
        <v>0</v>
      </c>
      <c r="DJ10" s="2">
        <f>COUNTIF(INDEX('LINE PLAN'!$B$36:$GS$61,0,ROW()-3),DJ$3)</f>
        <v>0</v>
      </c>
      <c r="DK10" s="2">
        <f>COUNTIF(INDEX('LINE PLAN'!$B$36:$GS$61,0,ROW()-3),DK$3)</f>
        <v>0</v>
      </c>
      <c r="DL10" s="2">
        <f>COUNTIF(INDEX('LINE PLAN'!$B$36:$GS$61,0,ROW()-3),DL$3)</f>
        <v>0</v>
      </c>
      <c r="DM10" s="2">
        <f>COUNTIF(INDEX('LINE PLAN'!$B$36:$GS$61,0,ROW()-3),DM$3)</f>
        <v>0</v>
      </c>
      <c r="DN10" s="2">
        <f>COUNTIF(INDEX('LINE PLAN'!$B$36:$GS$61,0,ROW()-3),DN$3)</f>
        <v>0</v>
      </c>
      <c r="DO10" s="2">
        <f>COUNTIF(INDEX('LINE PLAN'!$B$36:$GS$61,0,ROW()-3),DO$3)</f>
        <v>0</v>
      </c>
      <c r="DP10" s="2">
        <f>COUNTIF(INDEX('LINE PLAN'!$B$36:$GS$61,0,ROW()-3),DP$3)</f>
        <v>0</v>
      </c>
      <c r="DQ10" s="2">
        <f>COUNTIF(INDEX('LINE PLAN'!$B$36:$GS$61,0,ROW()-3),DQ$3)</f>
        <v>0</v>
      </c>
      <c r="DR10" s="2">
        <f>COUNTIF(INDEX('LINE PLAN'!$B$36:$GS$61,0,ROW()-3),DR$3)</f>
        <v>0</v>
      </c>
      <c r="DS10" s="2">
        <f>COUNTIF(INDEX('LINE PLAN'!$B$36:$GS$61,0,ROW()-3),DS$3)</f>
        <v>0</v>
      </c>
      <c r="DT10" s="2">
        <f>COUNTIF(INDEX('LINE PLAN'!$B$36:$GS$61,0,ROW()-3),DT$3)</f>
        <v>0</v>
      </c>
      <c r="DU10" s="2">
        <f>COUNTIF(INDEX('LINE PLAN'!$B$36:$GS$61,0,ROW()-3),DU$3)</f>
        <v>0</v>
      </c>
      <c r="DV10" s="2">
        <f>COUNTIF(INDEX('LINE PLAN'!$B$36:$GS$61,0,ROW()-3),DV$3)</f>
        <v>0</v>
      </c>
    </row>
    <row r="11" spans="1:126">
      <c r="A11" s="505" cm="1">
        <f t="array" ref="A11">INDEX('LINE PLAN'!$B$35:$GS$35,ROW()-3)</f>
        <v>46242</v>
      </c>
      <c r="B11" s="2">
        <f>SUMPRODUCT($CA11:$DV11,INDEX('MC MAP'!$DA$5:$EV$30,1,0))</f>
        <v>152</v>
      </c>
      <c r="C11" s="2">
        <f>SUMPRODUCT($CA11:$DV11,INDEX('MC MAP'!$DA$5:$EV$30,2,0))</f>
        <v>1</v>
      </c>
      <c r="D11" s="2">
        <f>SUMPRODUCT($CA11:$DV11,INDEX('MC MAP'!$DA$5:$EV$30,3,0))</f>
        <v>0</v>
      </c>
      <c r="E11" s="2">
        <f>SUMPRODUCT($CA11:$DV11,INDEX('MC MAP'!$DA$5:$EV$30,4,0))</f>
        <v>4</v>
      </c>
      <c r="F11" s="2">
        <f>SUMPRODUCT($CA11:$DV11,INDEX('MC MAP'!$DA$5:$EV$30,5,0))</f>
        <v>291</v>
      </c>
      <c r="G11" s="2">
        <f>SUMPRODUCT($CA11:$DV11,INDEX('MC MAP'!$DA$5:$EV$30,6,0))</f>
        <v>31</v>
      </c>
      <c r="H11" s="2">
        <f>SUMPRODUCT($CA11:$DV11,INDEX('MC MAP'!$DA$5:$EV$30,7,0))</f>
        <v>0</v>
      </c>
      <c r="I11" s="528">
        <f>SUMPRODUCT($CA11:$DV11,INDEX('MC MAP'!$DA$5:$EV$30,8,0))</f>
        <v>36</v>
      </c>
      <c r="J11" s="2">
        <f>SUMPRODUCT($CA11:$DV11,INDEX('MC MAP'!$DA$5:$EV$30,9,0))</f>
        <v>22.5</v>
      </c>
      <c r="K11" s="2">
        <f>SUMPRODUCT($CA11:$DV11,INDEX('MC MAP'!$DA$5:$EV$30,10,0))</f>
        <v>4</v>
      </c>
      <c r="L11" s="2">
        <f>SUMPRODUCT($CA11:$DV11,INDEX('MC MAP'!$DA$5:$EV$30,11,0))</f>
        <v>43.5</v>
      </c>
      <c r="M11" s="2">
        <f>SUMPRODUCT($CA11:$DV11,INDEX('MC MAP'!$DA$5:$EV$30,12,0))</f>
        <v>17</v>
      </c>
      <c r="N11" s="2">
        <f>SUMPRODUCT($CA11:$DV11,INDEX('MC MAP'!$DA$5:$EV$30,13,0))</f>
        <v>34.5</v>
      </c>
      <c r="O11" s="2">
        <f>SUMPRODUCT($CA11:$DV11,INDEX('MC MAP'!$DA$5:$EV$30,14,0))</f>
        <v>40</v>
      </c>
      <c r="P11" s="2">
        <f>SUMPRODUCT($CA11:$DV11,INDEX('MC MAP'!$DA$5:$EV$30,15,0))</f>
        <v>47</v>
      </c>
      <c r="Q11" s="2">
        <f>SUMPRODUCT($CA11:$DV11,INDEX('MC MAP'!$DA$5:$EV$30,16,0))</f>
        <v>0</v>
      </c>
      <c r="R11" s="2">
        <f>SUMPRODUCT($CA11:$DV11,INDEX('MC MAP'!$DA$5:$EV$30,17,0))</f>
        <v>3</v>
      </c>
      <c r="S11" s="2">
        <f>SUMPRODUCT($CA11:$DV11,INDEX('MC MAP'!$DA$5:$EV$30,18,0))</f>
        <v>0</v>
      </c>
      <c r="T11" s="2">
        <f>SUMPRODUCT($CA11:$DV11,INDEX('MC MAP'!$DA$5:$EV$30,19,0))</f>
        <v>13</v>
      </c>
      <c r="U11" s="2">
        <f>SUMPRODUCT($CA11:$DV11,INDEX('MC MAP'!$DA$5:$EV$30,20,0))</f>
        <v>31</v>
      </c>
      <c r="V11" s="2">
        <f>SUMPRODUCT($CA11:$DV11,INDEX('MC MAP'!$DA$5:$EV$30,21,0))</f>
        <v>2</v>
      </c>
      <c r="W11" s="2">
        <f>SUMPRODUCT($CA11:$DV11,INDEX('MC MAP'!$DA$5:$EV$30,22,0))</f>
        <v>2</v>
      </c>
      <c r="X11" s="2">
        <f>SUMPRODUCT($CA11:$DV11,INDEX('MC MAP'!$DA$5:$EV$30,23,0))</f>
        <v>0</v>
      </c>
      <c r="Y11" s="2">
        <f>SUMPRODUCT($CA11:$DV11,INDEX('MC MAP'!$DA$5:$EV$30,24,0))</f>
        <v>4.5</v>
      </c>
      <c r="Z11" s="2">
        <f>SUMPRODUCT($CA11:$DV11,INDEX('MC MAP'!$DA$5:$EV$30,25,0))</f>
        <v>0</v>
      </c>
      <c r="AA11" s="2">
        <f>SUMPRODUCT($CA11:$DV11,INDEX('MC MAP'!$DA$5:$EV$30,26,0))</f>
        <v>29</v>
      </c>
      <c r="AB11" s="2">
        <f>SUM($B11:$AA11)</f>
        <v>808</v>
      </c>
      <c r="AC11" s="2">
        <f>SUM($CA11:$DV11)+$AW11</f>
        <v>26</v>
      </c>
      <c r="AW11" s="2">
        <f>IF($A11=0,0,COUNTIF(INDEX('LINE PLAN'!$B$36:$GS$61,0,ROW()-3),"THERMAL - NOT SPECIFIED"))</f>
        <v>0</v>
      </c>
      <c r="AX11" s="506" cm="1">
        <f t="array" ref="AX11">IF(OR($AB11=0,UPPER($BS11)&lt;&gt;"Y"),0,SUMPRODUCT(--($B11:$AA11&gt;$B$205:$AA$205)))</f>
        <v>5</v>
      </c>
      <c r="AY11" s="507">
        <f>$A11</f>
        <v>46242</v>
      </c>
      <c r="AZ11" s="2">
        <f>$AB11</f>
        <v>808</v>
      </c>
      <c r="BA11" s="2">
        <f>'MC MASTER'!$C$29</f>
        <v>920</v>
      </c>
      <c r="BD11" s="529">
        <v>3</v>
      </c>
      <c r="BE11" s="520">
        <f>INDEX($A$4:$A$203,($BD11-1)*7+1)</f>
        <v>46249</v>
      </c>
      <c r="BF11" s="520">
        <f>INDEX($A$4:$A$203,$BD11*7)</f>
        <v>46255</v>
      </c>
      <c r="BG11" s="521" cm="1">
        <f t="array" aca="1" ref="BG11" ca="1">SUMPRODUCT(--(OFFSET($BT$4,($BD11-1)*7,0,7,1)&gt;0))</f>
        <v>6</v>
      </c>
      <c r="BH11" s="522">
        <f ca="1">IFERROR(SUMIF(OFFSET($BT$4,($BD11-1)*7,0,7,1),"&gt;0")/$BG11,0)</f>
        <v>801</v>
      </c>
      <c r="BI11" s="523">
        <f ca="1">MAX(OFFSET($BT$4,($BD11-1)*7,0,7,1))</f>
        <v>801</v>
      </c>
      <c r="BJ11" s="524">
        <f ca="1">IFERROR($BI11/$BD$5,0)</f>
        <v>0.870652173913044</v>
      </c>
      <c r="BK11" s="525" t="str">
        <f ca="1">IF($BI11=0,"NO WORK",IF($BJ11&gt;1,"OVER CAPACITY",IF($BJ11&gt;0.95,"TIGHT","OK")))</f>
        <v>OK</v>
      </c>
      <c r="BM11" s="52" t="str">
        <f>TEXT($BE11,"d-mmm")</f>
        <v>15-Aug</v>
      </c>
      <c r="BN11" s="526">
        <f ca="1">$BI11</f>
        <v>801</v>
      </c>
      <c r="BO11" s="527">
        <f>$BD$5</f>
        <v>920</v>
      </c>
      <c r="BQ11" s="509">
        <f>$A11</f>
        <v>46242</v>
      </c>
      <c r="BR11" s="15" t="str">
        <f>TEXT($A11,"ddd")</f>
        <v>Sat</v>
      </c>
      <c r="BS11" s="547" t="s">
        <v>391</v>
      </c>
      <c r="BT11" s="15">
        <f>IF(UPPER($BS11)="Y",$AB11,0)</f>
        <v>808</v>
      </c>
      <c r="CA11" s="2">
        <f>COUNTIF(INDEX('LINE PLAN'!$B$36:$GS$61,0,ROW()-3),CA$3)</f>
        <v>1</v>
      </c>
      <c r="CB11" s="2">
        <f>COUNTIF(INDEX('LINE PLAN'!$B$36:$GS$61,0,ROW()-3),CB$3)</f>
        <v>1</v>
      </c>
      <c r="CC11" s="2">
        <f>COUNTIF(INDEX('LINE PLAN'!$B$36:$GS$61,0,ROW()-3),CC$3)</f>
        <v>1</v>
      </c>
      <c r="CD11" s="2">
        <f>COUNTIF(INDEX('LINE PLAN'!$B$36:$GS$61,0,ROW()-3),CD$3)</f>
        <v>2</v>
      </c>
      <c r="CE11" s="2">
        <f>COUNTIF(INDEX('LINE PLAN'!$B$36:$GS$61,0,ROW()-3),CE$3)</f>
        <v>2</v>
      </c>
      <c r="CF11" s="2">
        <f>COUNTIF(INDEX('LINE PLAN'!$B$36:$GS$61,0,ROW()-3),CF$3)</f>
        <v>3</v>
      </c>
      <c r="CG11" s="2">
        <f>COUNTIF(INDEX('LINE PLAN'!$B$36:$GS$61,0,ROW()-3),CG$3)</f>
        <v>2</v>
      </c>
      <c r="CH11" s="2">
        <f>COUNTIF(INDEX('LINE PLAN'!$B$36:$GS$61,0,ROW()-3),CH$3)</f>
        <v>1</v>
      </c>
      <c r="CI11" s="2">
        <f>COUNTIF(INDEX('LINE PLAN'!$B$36:$GS$61,0,ROW()-3),CI$3)</f>
        <v>1</v>
      </c>
      <c r="CJ11" s="2">
        <f>COUNTIF(INDEX('LINE PLAN'!$B$36:$GS$61,0,ROW()-3),CJ$3)</f>
        <v>1</v>
      </c>
      <c r="CK11" s="2">
        <f>COUNTIF(INDEX('LINE PLAN'!$B$36:$GS$61,0,ROW()-3),CK$3)</f>
        <v>3</v>
      </c>
      <c r="CL11" s="2">
        <f>COUNTIF(INDEX('LINE PLAN'!$B$36:$GS$61,0,ROW()-3),CL$3)</f>
        <v>0</v>
      </c>
      <c r="CM11" s="2">
        <f>COUNTIF(INDEX('LINE PLAN'!$B$36:$GS$61,0,ROW()-3),CM$3)</f>
        <v>0</v>
      </c>
      <c r="CN11" s="2">
        <f>COUNTIF(INDEX('LINE PLAN'!$B$36:$GS$61,0,ROW()-3),CN$3)</f>
        <v>5</v>
      </c>
      <c r="CO11" s="2">
        <f>COUNTIF(INDEX('LINE PLAN'!$B$36:$GS$61,0,ROW()-3),CO$3)</f>
        <v>0</v>
      </c>
      <c r="CP11" s="2">
        <f>COUNTIF(INDEX('LINE PLAN'!$B$36:$GS$61,0,ROW()-3),CP$3)</f>
        <v>2</v>
      </c>
      <c r="CQ11" s="2">
        <f>COUNTIF(INDEX('LINE PLAN'!$B$36:$GS$61,0,ROW()-3),CQ$3)</f>
        <v>0</v>
      </c>
      <c r="CR11" s="2">
        <f>COUNTIF(INDEX('LINE PLAN'!$B$36:$GS$61,0,ROW()-3),CR$3)</f>
        <v>1</v>
      </c>
      <c r="CS11" s="2">
        <f>COUNTIF(INDEX('LINE PLAN'!$B$36:$GS$61,0,ROW()-3),CS$3)</f>
        <v>0</v>
      </c>
      <c r="CT11" s="2">
        <f>COUNTIF(INDEX('LINE PLAN'!$B$36:$GS$61,0,ROW()-3),CT$3)</f>
        <v>0</v>
      </c>
      <c r="CU11" s="2">
        <f>COUNTIF(INDEX('LINE PLAN'!$B$36:$GS$61,0,ROW()-3),CU$3)</f>
        <v>0</v>
      </c>
      <c r="CV11" s="2">
        <f>COUNTIF(INDEX('LINE PLAN'!$B$36:$GS$61,0,ROW()-3),CV$3)</f>
        <v>0</v>
      </c>
      <c r="CW11" s="2">
        <f>COUNTIF(INDEX('LINE PLAN'!$B$36:$GS$61,0,ROW()-3),CW$3)</f>
        <v>0</v>
      </c>
      <c r="CX11" s="2">
        <f>COUNTIF(INDEX('LINE PLAN'!$B$36:$GS$61,0,ROW()-3),CX$3)</f>
        <v>0</v>
      </c>
      <c r="CY11" s="2">
        <f>COUNTIF(INDEX('LINE PLAN'!$B$36:$GS$61,0,ROW()-3),CY$3)</f>
        <v>0</v>
      </c>
      <c r="CZ11" s="2">
        <f>COUNTIF(INDEX('LINE PLAN'!$B$36:$GS$61,0,ROW()-3),CZ$3)</f>
        <v>0</v>
      </c>
      <c r="DA11" s="2">
        <f>COUNTIF(INDEX('LINE PLAN'!$B$36:$GS$61,0,ROW()-3),DA$3)</f>
        <v>0</v>
      </c>
      <c r="DB11" s="2">
        <f>COUNTIF(INDEX('LINE PLAN'!$B$36:$GS$61,0,ROW()-3),DB$3)</f>
        <v>0</v>
      </c>
      <c r="DC11" s="2">
        <f>COUNTIF(INDEX('LINE PLAN'!$B$36:$GS$61,0,ROW()-3),DC$3)</f>
        <v>0</v>
      </c>
      <c r="DD11" s="2">
        <f>COUNTIF(INDEX('LINE PLAN'!$B$36:$GS$61,0,ROW()-3),DD$3)</f>
        <v>0</v>
      </c>
      <c r="DE11" s="2">
        <f>COUNTIF(INDEX('LINE PLAN'!$B$36:$GS$61,0,ROW()-3),DE$3)</f>
        <v>0</v>
      </c>
      <c r="DF11" s="2">
        <f>COUNTIF(INDEX('LINE PLAN'!$B$36:$GS$61,0,ROW()-3),DF$3)</f>
        <v>0</v>
      </c>
      <c r="DG11" s="2">
        <f>COUNTIF(INDEX('LINE PLAN'!$B$36:$GS$61,0,ROW()-3),DG$3)</f>
        <v>0</v>
      </c>
      <c r="DH11" s="2">
        <f>COUNTIF(INDEX('LINE PLAN'!$B$36:$GS$61,0,ROW()-3),DH$3)</f>
        <v>0</v>
      </c>
      <c r="DI11" s="2">
        <f>COUNTIF(INDEX('LINE PLAN'!$B$36:$GS$61,0,ROW()-3),DI$3)</f>
        <v>0</v>
      </c>
      <c r="DJ11" s="2">
        <f>COUNTIF(INDEX('LINE PLAN'!$B$36:$GS$61,0,ROW()-3),DJ$3)</f>
        <v>0</v>
      </c>
      <c r="DK11" s="2">
        <f>COUNTIF(INDEX('LINE PLAN'!$B$36:$GS$61,0,ROW()-3),DK$3)</f>
        <v>0</v>
      </c>
      <c r="DL11" s="2">
        <f>COUNTIF(INDEX('LINE PLAN'!$B$36:$GS$61,0,ROW()-3),DL$3)</f>
        <v>0</v>
      </c>
      <c r="DM11" s="2">
        <f>COUNTIF(INDEX('LINE PLAN'!$B$36:$GS$61,0,ROW()-3),DM$3)</f>
        <v>0</v>
      </c>
      <c r="DN11" s="2">
        <f>COUNTIF(INDEX('LINE PLAN'!$B$36:$GS$61,0,ROW()-3),DN$3)</f>
        <v>0</v>
      </c>
      <c r="DO11" s="2">
        <f>COUNTIF(INDEX('LINE PLAN'!$B$36:$GS$61,0,ROW()-3),DO$3)</f>
        <v>0</v>
      </c>
      <c r="DP11" s="2">
        <f>COUNTIF(INDEX('LINE PLAN'!$B$36:$GS$61,0,ROW()-3),DP$3)</f>
        <v>0</v>
      </c>
      <c r="DQ11" s="2">
        <f>COUNTIF(INDEX('LINE PLAN'!$B$36:$GS$61,0,ROW()-3),DQ$3)</f>
        <v>0</v>
      </c>
      <c r="DR11" s="2">
        <f>COUNTIF(INDEX('LINE PLAN'!$B$36:$GS$61,0,ROW()-3),DR$3)</f>
        <v>0</v>
      </c>
      <c r="DS11" s="2">
        <f>COUNTIF(INDEX('LINE PLAN'!$B$36:$GS$61,0,ROW()-3),DS$3)</f>
        <v>0</v>
      </c>
      <c r="DT11" s="2">
        <f>COUNTIF(INDEX('LINE PLAN'!$B$36:$GS$61,0,ROW()-3),DT$3)</f>
        <v>0</v>
      </c>
      <c r="DU11" s="2">
        <f>COUNTIF(INDEX('LINE PLAN'!$B$36:$GS$61,0,ROW()-3),DU$3)</f>
        <v>0</v>
      </c>
      <c r="DV11" s="2">
        <f>COUNTIF(INDEX('LINE PLAN'!$B$36:$GS$61,0,ROW()-3),DV$3)</f>
        <v>0</v>
      </c>
    </row>
    <row r="12" spans="1:126">
      <c r="A12" s="505" cm="1">
        <f t="array" ref="A12">INDEX('LINE PLAN'!$B$35:$GS$35,ROW()-3)</f>
        <v>46243</v>
      </c>
      <c r="B12" s="2">
        <f>SUMPRODUCT($CA12:$DV12,INDEX('MC MAP'!$DA$5:$EV$30,1,0))</f>
        <v>152</v>
      </c>
      <c r="C12" s="2">
        <f>SUMPRODUCT($CA12:$DV12,INDEX('MC MAP'!$DA$5:$EV$30,2,0))</f>
        <v>1</v>
      </c>
      <c r="D12" s="2">
        <f>SUMPRODUCT($CA12:$DV12,INDEX('MC MAP'!$DA$5:$EV$30,3,0))</f>
        <v>0</v>
      </c>
      <c r="E12" s="2">
        <f>SUMPRODUCT($CA12:$DV12,INDEX('MC MAP'!$DA$5:$EV$30,4,0))</f>
        <v>4</v>
      </c>
      <c r="F12" s="2">
        <f>SUMPRODUCT($CA12:$DV12,INDEX('MC MAP'!$DA$5:$EV$30,5,0))</f>
        <v>291</v>
      </c>
      <c r="G12" s="2">
        <f>SUMPRODUCT($CA12:$DV12,INDEX('MC MAP'!$DA$5:$EV$30,6,0))</f>
        <v>31</v>
      </c>
      <c r="H12" s="2">
        <f>SUMPRODUCT($CA12:$DV12,INDEX('MC MAP'!$DA$5:$EV$30,7,0))</f>
        <v>0</v>
      </c>
      <c r="I12" s="2">
        <f>SUMPRODUCT($CA12:$DV12,INDEX('MC MAP'!$DA$5:$EV$30,8,0))</f>
        <v>36</v>
      </c>
      <c r="J12" s="2">
        <f>SUMPRODUCT($CA12:$DV12,INDEX('MC MAP'!$DA$5:$EV$30,9,0))</f>
        <v>22.5</v>
      </c>
      <c r="K12" s="2">
        <f>SUMPRODUCT($CA12:$DV12,INDEX('MC MAP'!$DA$5:$EV$30,10,0))</f>
        <v>4</v>
      </c>
      <c r="L12" s="2">
        <f>SUMPRODUCT($CA12:$DV12,INDEX('MC MAP'!$DA$5:$EV$30,11,0))</f>
        <v>43.5</v>
      </c>
      <c r="M12" s="2">
        <f>SUMPRODUCT($CA12:$DV12,INDEX('MC MAP'!$DA$5:$EV$30,12,0))</f>
        <v>17</v>
      </c>
      <c r="N12" s="2">
        <f>SUMPRODUCT($CA12:$DV12,INDEX('MC MAP'!$DA$5:$EV$30,13,0))</f>
        <v>34.5</v>
      </c>
      <c r="O12" s="2">
        <f>SUMPRODUCT($CA12:$DV12,INDEX('MC MAP'!$DA$5:$EV$30,14,0))</f>
        <v>40</v>
      </c>
      <c r="P12" s="2">
        <f>SUMPRODUCT($CA12:$DV12,INDEX('MC MAP'!$DA$5:$EV$30,15,0))</f>
        <v>47</v>
      </c>
      <c r="Q12" s="2">
        <f>SUMPRODUCT($CA12:$DV12,INDEX('MC MAP'!$DA$5:$EV$30,16,0))</f>
        <v>0</v>
      </c>
      <c r="R12" s="2">
        <f>SUMPRODUCT($CA12:$DV12,INDEX('MC MAP'!$DA$5:$EV$30,17,0))</f>
        <v>3</v>
      </c>
      <c r="S12" s="2">
        <f>SUMPRODUCT($CA12:$DV12,INDEX('MC MAP'!$DA$5:$EV$30,18,0))</f>
        <v>0</v>
      </c>
      <c r="T12" s="2">
        <f>SUMPRODUCT($CA12:$DV12,INDEX('MC MAP'!$DA$5:$EV$30,19,0))</f>
        <v>13</v>
      </c>
      <c r="U12" s="2">
        <f>SUMPRODUCT($CA12:$DV12,INDEX('MC MAP'!$DA$5:$EV$30,20,0))</f>
        <v>31</v>
      </c>
      <c r="V12" s="2">
        <f>SUMPRODUCT($CA12:$DV12,INDEX('MC MAP'!$DA$5:$EV$30,21,0))</f>
        <v>2</v>
      </c>
      <c r="W12" s="2">
        <f>SUMPRODUCT($CA12:$DV12,INDEX('MC MAP'!$DA$5:$EV$30,22,0))</f>
        <v>2</v>
      </c>
      <c r="X12" s="2">
        <f>SUMPRODUCT($CA12:$DV12,INDEX('MC MAP'!$DA$5:$EV$30,23,0))</f>
        <v>0</v>
      </c>
      <c r="Y12" s="2">
        <f>SUMPRODUCT($CA12:$DV12,INDEX('MC MAP'!$DA$5:$EV$30,24,0))</f>
        <v>4.5</v>
      </c>
      <c r="Z12" s="2">
        <f>SUMPRODUCT($CA12:$DV12,INDEX('MC MAP'!$DA$5:$EV$30,25,0))</f>
        <v>0</v>
      </c>
      <c r="AA12" s="2">
        <f>SUMPRODUCT($CA12:$DV12,INDEX('MC MAP'!$DA$5:$EV$30,26,0))</f>
        <v>29</v>
      </c>
      <c r="AB12" s="2">
        <f>SUM($B12:$AA12)</f>
        <v>808</v>
      </c>
      <c r="AC12" s="2">
        <f>SUM($CA12:$DV12)+$AW12</f>
        <v>26</v>
      </c>
      <c r="AW12" s="2">
        <f>IF($A12=0,0,COUNTIF(INDEX('LINE PLAN'!$B$36:$GS$61,0,ROW()-3),"THERMAL - NOT SPECIFIED"))</f>
        <v>0</v>
      </c>
      <c r="AX12" s="506" cm="1">
        <f t="array" ref="AX12">IF(OR($AB12=0,UPPER($BS12)&lt;&gt;"Y"),0,SUMPRODUCT(--($B12:$AA12&gt;$B$205:$AA$205)))</f>
        <v>0</v>
      </c>
      <c r="AY12" s="507">
        <f>$A12</f>
        <v>46243</v>
      </c>
      <c r="AZ12" s="2">
        <f>$AB12</f>
        <v>808</v>
      </c>
      <c r="BA12" s="2">
        <f>'MC MASTER'!$C$29</f>
        <v>920</v>
      </c>
      <c r="BD12" s="529">
        <v>4</v>
      </c>
      <c r="BE12" s="520">
        <f>INDEX($A$4:$A$203,($BD12-1)*7+1)</f>
        <v>46256</v>
      </c>
      <c r="BF12" s="520">
        <f>INDEX($A$4:$A$203,$BD12*7)</f>
        <v>46262</v>
      </c>
      <c r="BG12" s="521" cm="1">
        <f t="array" aca="1" ref="BG12" ca="1">SUMPRODUCT(--(OFFSET($BT$4,($BD12-1)*7,0,7,1)&gt;0))</f>
        <v>6</v>
      </c>
      <c r="BH12" s="522">
        <f ca="1">IFERROR(SUMIF(OFFSET($BT$4,($BD12-1)*7,0,7,1),"&gt;0")/$BG12,0)</f>
        <v>801</v>
      </c>
      <c r="BI12" s="523">
        <f ca="1">MAX(OFFSET($BT$4,($BD12-1)*7,0,7,1))</f>
        <v>801</v>
      </c>
      <c r="BJ12" s="524">
        <f ca="1">IFERROR($BI12/$BD$5,0)</f>
        <v>0.870652173913044</v>
      </c>
      <c r="BK12" s="525" t="str">
        <f ca="1">IF($BI12=0,"NO WORK",IF($BJ12&gt;1,"OVER CAPACITY",IF($BJ12&gt;0.95,"TIGHT","OK")))</f>
        <v>OK</v>
      </c>
      <c r="BM12" s="52" t="str">
        <f>TEXT($BE12,"d-mmm")</f>
        <v>22-Aug</v>
      </c>
      <c r="BN12" s="526">
        <f ca="1">$BI12</f>
        <v>801</v>
      </c>
      <c r="BO12" s="527">
        <f>$BD$5</f>
        <v>920</v>
      </c>
      <c r="BQ12" s="509">
        <f>$A12</f>
        <v>46243</v>
      </c>
      <c r="BR12" s="15" t="str">
        <f>TEXT($A12,"ddd")</f>
        <v>Sun</v>
      </c>
      <c r="BS12" s="547" t="s">
        <v>392</v>
      </c>
      <c r="BT12" s="15">
        <f>IF(UPPER($BS12)="Y",$AB12,0)</f>
        <v>0</v>
      </c>
      <c r="CA12" s="2">
        <f>COUNTIF(INDEX('LINE PLAN'!$B$36:$GS$61,0,ROW()-3),CA$3)</f>
        <v>1</v>
      </c>
      <c r="CB12" s="2">
        <f>COUNTIF(INDEX('LINE PLAN'!$B$36:$GS$61,0,ROW()-3),CB$3)</f>
        <v>1</v>
      </c>
      <c r="CC12" s="2">
        <f>COUNTIF(INDEX('LINE PLAN'!$B$36:$GS$61,0,ROW()-3),CC$3)</f>
        <v>1</v>
      </c>
      <c r="CD12" s="2">
        <f>COUNTIF(INDEX('LINE PLAN'!$B$36:$GS$61,0,ROW()-3),CD$3)</f>
        <v>2</v>
      </c>
      <c r="CE12" s="2">
        <f>COUNTIF(INDEX('LINE PLAN'!$B$36:$GS$61,0,ROW()-3),CE$3)</f>
        <v>2</v>
      </c>
      <c r="CF12" s="2">
        <f>COUNTIF(INDEX('LINE PLAN'!$B$36:$GS$61,0,ROW()-3),CF$3)</f>
        <v>3</v>
      </c>
      <c r="CG12" s="2">
        <f>COUNTIF(INDEX('LINE PLAN'!$B$36:$GS$61,0,ROW()-3),CG$3)</f>
        <v>2</v>
      </c>
      <c r="CH12" s="2">
        <f>COUNTIF(INDEX('LINE PLAN'!$B$36:$GS$61,0,ROW()-3),CH$3)</f>
        <v>1</v>
      </c>
      <c r="CI12" s="2">
        <f>COUNTIF(INDEX('LINE PLAN'!$B$36:$GS$61,0,ROW()-3),CI$3)</f>
        <v>1</v>
      </c>
      <c r="CJ12" s="2">
        <f>COUNTIF(INDEX('LINE PLAN'!$B$36:$GS$61,0,ROW()-3),CJ$3)</f>
        <v>1</v>
      </c>
      <c r="CK12" s="2">
        <f>COUNTIF(INDEX('LINE PLAN'!$B$36:$GS$61,0,ROW()-3),CK$3)</f>
        <v>3</v>
      </c>
      <c r="CL12" s="2">
        <f>COUNTIF(INDEX('LINE PLAN'!$B$36:$GS$61,0,ROW()-3),CL$3)</f>
        <v>0</v>
      </c>
      <c r="CM12" s="2">
        <f>COUNTIF(INDEX('LINE PLAN'!$B$36:$GS$61,0,ROW()-3),CM$3)</f>
        <v>0</v>
      </c>
      <c r="CN12" s="2">
        <f>COUNTIF(INDEX('LINE PLAN'!$B$36:$GS$61,0,ROW()-3),CN$3)</f>
        <v>5</v>
      </c>
      <c r="CO12" s="2">
        <f>COUNTIF(INDEX('LINE PLAN'!$B$36:$GS$61,0,ROW()-3),CO$3)</f>
        <v>0</v>
      </c>
      <c r="CP12" s="2">
        <f>COUNTIF(INDEX('LINE PLAN'!$B$36:$GS$61,0,ROW()-3),CP$3)</f>
        <v>2</v>
      </c>
      <c r="CQ12" s="2">
        <f>COUNTIF(INDEX('LINE PLAN'!$B$36:$GS$61,0,ROW()-3),CQ$3)</f>
        <v>0</v>
      </c>
      <c r="CR12" s="2">
        <f>COUNTIF(INDEX('LINE PLAN'!$B$36:$GS$61,0,ROW()-3),CR$3)</f>
        <v>1</v>
      </c>
      <c r="CS12" s="2">
        <f>COUNTIF(INDEX('LINE PLAN'!$B$36:$GS$61,0,ROW()-3),CS$3)</f>
        <v>0</v>
      </c>
      <c r="CT12" s="2">
        <f>COUNTIF(INDEX('LINE PLAN'!$B$36:$GS$61,0,ROW()-3),CT$3)</f>
        <v>0</v>
      </c>
      <c r="CU12" s="2">
        <f>COUNTIF(INDEX('LINE PLAN'!$B$36:$GS$61,0,ROW()-3),CU$3)</f>
        <v>0</v>
      </c>
      <c r="CV12" s="2">
        <f>COUNTIF(INDEX('LINE PLAN'!$B$36:$GS$61,0,ROW()-3),CV$3)</f>
        <v>0</v>
      </c>
      <c r="CW12" s="2">
        <f>COUNTIF(INDEX('LINE PLAN'!$B$36:$GS$61,0,ROW()-3),CW$3)</f>
        <v>0</v>
      </c>
      <c r="CX12" s="2">
        <f>COUNTIF(INDEX('LINE PLAN'!$B$36:$GS$61,0,ROW()-3),CX$3)</f>
        <v>0</v>
      </c>
      <c r="CY12" s="2">
        <f>COUNTIF(INDEX('LINE PLAN'!$B$36:$GS$61,0,ROW()-3),CY$3)</f>
        <v>0</v>
      </c>
      <c r="CZ12" s="2">
        <f>COUNTIF(INDEX('LINE PLAN'!$B$36:$GS$61,0,ROW()-3),CZ$3)</f>
        <v>0</v>
      </c>
      <c r="DA12" s="2">
        <f>COUNTIF(INDEX('LINE PLAN'!$B$36:$GS$61,0,ROW()-3),DA$3)</f>
        <v>0</v>
      </c>
      <c r="DB12" s="2">
        <f>COUNTIF(INDEX('LINE PLAN'!$B$36:$GS$61,0,ROW()-3),DB$3)</f>
        <v>0</v>
      </c>
      <c r="DC12" s="2">
        <f>COUNTIF(INDEX('LINE PLAN'!$B$36:$GS$61,0,ROW()-3),DC$3)</f>
        <v>0</v>
      </c>
      <c r="DD12" s="2">
        <f>COUNTIF(INDEX('LINE PLAN'!$B$36:$GS$61,0,ROW()-3),DD$3)</f>
        <v>0</v>
      </c>
      <c r="DE12" s="2">
        <f>COUNTIF(INDEX('LINE PLAN'!$B$36:$GS$61,0,ROW()-3),DE$3)</f>
        <v>0</v>
      </c>
      <c r="DF12" s="2">
        <f>COUNTIF(INDEX('LINE PLAN'!$B$36:$GS$61,0,ROW()-3),DF$3)</f>
        <v>0</v>
      </c>
      <c r="DG12" s="2">
        <f>COUNTIF(INDEX('LINE PLAN'!$B$36:$GS$61,0,ROW()-3),DG$3)</f>
        <v>0</v>
      </c>
      <c r="DH12" s="2">
        <f>COUNTIF(INDEX('LINE PLAN'!$B$36:$GS$61,0,ROW()-3),DH$3)</f>
        <v>0</v>
      </c>
      <c r="DI12" s="2">
        <f>COUNTIF(INDEX('LINE PLAN'!$B$36:$GS$61,0,ROW()-3),DI$3)</f>
        <v>0</v>
      </c>
      <c r="DJ12" s="2">
        <f>COUNTIF(INDEX('LINE PLAN'!$B$36:$GS$61,0,ROW()-3),DJ$3)</f>
        <v>0</v>
      </c>
      <c r="DK12" s="2">
        <f>COUNTIF(INDEX('LINE PLAN'!$B$36:$GS$61,0,ROW()-3),DK$3)</f>
        <v>0</v>
      </c>
      <c r="DL12" s="2">
        <f>COUNTIF(INDEX('LINE PLAN'!$B$36:$GS$61,0,ROW()-3),DL$3)</f>
        <v>0</v>
      </c>
      <c r="DM12" s="2">
        <f>COUNTIF(INDEX('LINE PLAN'!$B$36:$GS$61,0,ROW()-3),DM$3)</f>
        <v>0</v>
      </c>
      <c r="DN12" s="2">
        <f>COUNTIF(INDEX('LINE PLAN'!$B$36:$GS$61,0,ROW()-3),DN$3)</f>
        <v>0</v>
      </c>
      <c r="DO12" s="2">
        <f>COUNTIF(INDEX('LINE PLAN'!$B$36:$GS$61,0,ROW()-3),DO$3)</f>
        <v>0</v>
      </c>
      <c r="DP12" s="2">
        <f>COUNTIF(INDEX('LINE PLAN'!$B$36:$GS$61,0,ROW()-3),DP$3)</f>
        <v>0</v>
      </c>
      <c r="DQ12" s="2">
        <f>COUNTIF(INDEX('LINE PLAN'!$B$36:$GS$61,0,ROW()-3),DQ$3)</f>
        <v>0</v>
      </c>
      <c r="DR12" s="2">
        <f>COUNTIF(INDEX('LINE PLAN'!$B$36:$GS$61,0,ROW()-3),DR$3)</f>
        <v>0</v>
      </c>
      <c r="DS12" s="2">
        <f>COUNTIF(INDEX('LINE PLAN'!$B$36:$GS$61,0,ROW()-3),DS$3)</f>
        <v>0</v>
      </c>
      <c r="DT12" s="2">
        <f>COUNTIF(INDEX('LINE PLAN'!$B$36:$GS$61,0,ROW()-3),DT$3)</f>
        <v>0</v>
      </c>
      <c r="DU12" s="2">
        <f>COUNTIF(INDEX('LINE PLAN'!$B$36:$GS$61,0,ROW()-3),DU$3)</f>
        <v>0</v>
      </c>
      <c r="DV12" s="2">
        <f>COUNTIF(INDEX('LINE PLAN'!$B$36:$GS$61,0,ROW()-3),DV$3)</f>
        <v>0</v>
      </c>
    </row>
    <row r="13" spans="1:126">
      <c r="A13" s="505" cm="1">
        <f t="array" ref="A13">INDEX('LINE PLAN'!$B$35:$GS$35,ROW()-3)</f>
        <v>46244</v>
      </c>
      <c r="B13" s="2">
        <f>SUMPRODUCT($CA13:$DV13,INDEX('MC MAP'!$DA$5:$EV$30,1,0))</f>
        <v>152</v>
      </c>
      <c r="C13" s="2">
        <f>SUMPRODUCT($CA13:$DV13,INDEX('MC MAP'!$DA$5:$EV$30,2,0))</f>
        <v>1</v>
      </c>
      <c r="D13" s="2">
        <f>SUMPRODUCT($CA13:$DV13,INDEX('MC MAP'!$DA$5:$EV$30,3,0))</f>
        <v>0</v>
      </c>
      <c r="E13" s="2">
        <f>SUMPRODUCT($CA13:$DV13,INDEX('MC MAP'!$DA$5:$EV$30,4,0))</f>
        <v>4</v>
      </c>
      <c r="F13" s="2">
        <f>SUMPRODUCT($CA13:$DV13,INDEX('MC MAP'!$DA$5:$EV$30,5,0))</f>
        <v>291</v>
      </c>
      <c r="G13" s="2">
        <f>SUMPRODUCT($CA13:$DV13,INDEX('MC MAP'!$DA$5:$EV$30,6,0))</f>
        <v>31</v>
      </c>
      <c r="H13" s="2">
        <f>SUMPRODUCT($CA13:$DV13,INDEX('MC MAP'!$DA$5:$EV$30,7,0))</f>
        <v>0</v>
      </c>
      <c r="I13" s="2">
        <f>SUMPRODUCT($CA13:$DV13,INDEX('MC MAP'!$DA$5:$EV$30,8,0))</f>
        <v>36</v>
      </c>
      <c r="J13" s="2">
        <f>SUMPRODUCT($CA13:$DV13,INDEX('MC MAP'!$DA$5:$EV$30,9,0))</f>
        <v>22.5</v>
      </c>
      <c r="K13" s="2">
        <f>SUMPRODUCT($CA13:$DV13,INDEX('MC MAP'!$DA$5:$EV$30,10,0))</f>
        <v>4</v>
      </c>
      <c r="L13" s="2">
        <f>SUMPRODUCT($CA13:$DV13,INDEX('MC MAP'!$DA$5:$EV$30,11,0))</f>
        <v>43.5</v>
      </c>
      <c r="M13" s="2">
        <f>SUMPRODUCT($CA13:$DV13,INDEX('MC MAP'!$DA$5:$EV$30,12,0))</f>
        <v>17</v>
      </c>
      <c r="N13" s="2">
        <f>SUMPRODUCT($CA13:$DV13,INDEX('MC MAP'!$DA$5:$EV$30,13,0))</f>
        <v>34.5</v>
      </c>
      <c r="O13" s="2">
        <f>SUMPRODUCT($CA13:$DV13,INDEX('MC MAP'!$DA$5:$EV$30,14,0))</f>
        <v>40</v>
      </c>
      <c r="P13" s="2">
        <f>SUMPRODUCT($CA13:$DV13,INDEX('MC MAP'!$DA$5:$EV$30,15,0))</f>
        <v>47</v>
      </c>
      <c r="Q13" s="2">
        <f>SUMPRODUCT($CA13:$DV13,INDEX('MC MAP'!$DA$5:$EV$30,16,0))</f>
        <v>0</v>
      </c>
      <c r="R13" s="2">
        <f>SUMPRODUCT($CA13:$DV13,INDEX('MC MAP'!$DA$5:$EV$30,17,0))</f>
        <v>3</v>
      </c>
      <c r="S13" s="2">
        <f>SUMPRODUCT($CA13:$DV13,INDEX('MC MAP'!$DA$5:$EV$30,18,0))</f>
        <v>0</v>
      </c>
      <c r="T13" s="2">
        <f>SUMPRODUCT($CA13:$DV13,INDEX('MC MAP'!$DA$5:$EV$30,19,0))</f>
        <v>13</v>
      </c>
      <c r="U13" s="2">
        <f>SUMPRODUCT($CA13:$DV13,INDEX('MC MAP'!$DA$5:$EV$30,20,0))</f>
        <v>31</v>
      </c>
      <c r="V13" s="2">
        <f>SUMPRODUCT($CA13:$DV13,INDEX('MC MAP'!$DA$5:$EV$30,21,0))</f>
        <v>2</v>
      </c>
      <c r="W13" s="2">
        <f>SUMPRODUCT($CA13:$DV13,INDEX('MC MAP'!$DA$5:$EV$30,22,0))</f>
        <v>2</v>
      </c>
      <c r="X13" s="2">
        <f>SUMPRODUCT($CA13:$DV13,INDEX('MC MAP'!$DA$5:$EV$30,23,0))</f>
        <v>0</v>
      </c>
      <c r="Y13" s="2">
        <f>SUMPRODUCT($CA13:$DV13,INDEX('MC MAP'!$DA$5:$EV$30,24,0))</f>
        <v>4.5</v>
      </c>
      <c r="Z13" s="2">
        <f>SUMPRODUCT($CA13:$DV13,INDEX('MC MAP'!$DA$5:$EV$30,25,0))</f>
        <v>0</v>
      </c>
      <c r="AA13" s="2">
        <f>SUMPRODUCT($CA13:$DV13,INDEX('MC MAP'!$DA$5:$EV$30,26,0))</f>
        <v>29</v>
      </c>
      <c r="AB13" s="2">
        <f>SUM($B13:$AA13)</f>
        <v>808</v>
      </c>
      <c r="AC13" s="2">
        <f>SUM($CA13:$DV13)+$AW13</f>
        <v>26</v>
      </c>
      <c r="AW13" s="2">
        <f>IF($A13=0,0,COUNTIF(INDEX('LINE PLAN'!$B$36:$GS$61,0,ROW()-3),"THERMAL - NOT SPECIFIED"))</f>
        <v>0</v>
      </c>
      <c r="AX13" s="506" cm="1">
        <f t="array" ref="AX13">IF(OR($AB13=0,UPPER($BS13)&lt;&gt;"Y"),0,SUMPRODUCT(--($B13:$AA13&gt;$B$205:$AA$205)))</f>
        <v>5</v>
      </c>
      <c r="AY13" s="507">
        <f>$A13</f>
        <v>46244</v>
      </c>
      <c r="AZ13" s="2">
        <f>$AB13</f>
        <v>808</v>
      </c>
      <c r="BA13" s="2">
        <f>'MC MASTER'!$C$29</f>
        <v>920</v>
      </c>
      <c r="BD13" s="529">
        <v>5</v>
      </c>
      <c r="BE13" s="520">
        <f>INDEX($A$4:$A$203,($BD13-1)*7+1)</f>
        <v>46263</v>
      </c>
      <c r="BF13" s="520">
        <f>INDEX($A$4:$A$203,$BD13*7)</f>
        <v>46269</v>
      </c>
      <c r="BG13" s="521" cm="1">
        <f t="array" aca="1" ref="BG13" ca="1">SUMPRODUCT(--(OFFSET($BT$4,($BD13-1)*7,0,7,1)&gt;0))</f>
        <v>6</v>
      </c>
      <c r="BH13" s="522">
        <f ca="1">IFERROR(SUMIF(OFFSET($BT$4,($BD13-1)*7,0,7,1),"&gt;0")/$BG13,0)</f>
        <v>801</v>
      </c>
      <c r="BI13" s="523">
        <f ca="1">MAX(OFFSET($BT$4,($BD13-1)*7,0,7,1))</f>
        <v>801</v>
      </c>
      <c r="BJ13" s="524">
        <f ca="1">IFERROR($BI13/$BD$5,0)</f>
        <v>0.870652173913044</v>
      </c>
      <c r="BK13" s="525" t="str">
        <f ca="1">IF($BI13=0,"NO WORK",IF($BJ13&gt;1,"OVER CAPACITY",IF($BJ13&gt;0.95,"TIGHT","OK")))</f>
        <v>OK</v>
      </c>
      <c r="BM13" s="52" t="str">
        <f>TEXT($BE13,"d-mmm")</f>
        <v>29-Aug</v>
      </c>
      <c r="BN13" s="526">
        <f ca="1">$BI13</f>
        <v>801</v>
      </c>
      <c r="BO13" s="527">
        <f>$BD$5</f>
        <v>920</v>
      </c>
      <c r="BQ13" s="509">
        <f>$A13</f>
        <v>46244</v>
      </c>
      <c r="BR13" s="15" t="str">
        <f>TEXT($A13,"ddd")</f>
        <v>Mon</v>
      </c>
      <c r="BS13" s="547" t="s">
        <v>391</v>
      </c>
      <c r="BT13" s="15">
        <f>IF(UPPER($BS13)="Y",$AB13,0)</f>
        <v>808</v>
      </c>
      <c r="CA13" s="2">
        <f>COUNTIF(INDEX('LINE PLAN'!$B$36:$GS$61,0,ROW()-3),CA$3)</f>
        <v>1</v>
      </c>
      <c r="CB13" s="2">
        <f>COUNTIF(INDEX('LINE PLAN'!$B$36:$GS$61,0,ROW()-3),CB$3)</f>
        <v>1</v>
      </c>
      <c r="CC13" s="2">
        <f>COUNTIF(INDEX('LINE PLAN'!$B$36:$GS$61,0,ROW()-3),CC$3)</f>
        <v>1</v>
      </c>
      <c r="CD13" s="2">
        <f>COUNTIF(INDEX('LINE PLAN'!$B$36:$GS$61,0,ROW()-3),CD$3)</f>
        <v>2</v>
      </c>
      <c r="CE13" s="2">
        <f>COUNTIF(INDEX('LINE PLAN'!$B$36:$GS$61,0,ROW()-3),CE$3)</f>
        <v>2</v>
      </c>
      <c r="CF13" s="2">
        <f>COUNTIF(INDEX('LINE PLAN'!$B$36:$GS$61,0,ROW()-3),CF$3)</f>
        <v>3</v>
      </c>
      <c r="CG13" s="2">
        <f>COUNTIF(INDEX('LINE PLAN'!$B$36:$GS$61,0,ROW()-3),CG$3)</f>
        <v>2</v>
      </c>
      <c r="CH13" s="2">
        <f>COUNTIF(INDEX('LINE PLAN'!$B$36:$GS$61,0,ROW()-3),CH$3)</f>
        <v>1</v>
      </c>
      <c r="CI13" s="2">
        <f>COUNTIF(INDEX('LINE PLAN'!$B$36:$GS$61,0,ROW()-3),CI$3)</f>
        <v>1</v>
      </c>
      <c r="CJ13" s="2">
        <f>COUNTIF(INDEX('LINE PLAN'!$B$36:$GS$61,0,ROW()-3),CJ$3)</f>
        <v>1</v>
      </c>
      <c r="CK13" s="2">
        <f>COUNTIF(INDEX('LINE PLAN'!$B$36:$GS$61,0,ROW()-3),CK$3)</f>
        <v>3</v>
      </c>
      <c r="CL13" s="2">
        <f>COUNTIF(INDEX('LINE PLAN'!$B$36:$GS$61,0,ROW()-3),CL$3)</f>
        <v>0</v>
      </c>
      <c r="CM13" s="2">
        <f>COUNTIF(INDEX('LINE PLAN'!$B$36:$GS$61,0,ROW()-3),CM$3)</f>
        <v>0</v>
      </c>
      <c r="CN13" s="2">
        <f>COUNTIF(INDEX('LINE PLAN'!$B$36:$GS$61,0,ROW()-3),CN$3)</f>
        <v>5</v>
      </c>
      <c r="CO13" s="2">
        <f>COUNTIF(INDEX('LINE PLAN'!$B$36:$GS$61,0,ROW()-3),CO$3)</f>
        <v>0</v>
      </c>
      <c r="CP13" s="2">
        <f>COUNTIF(INDEX('LINE PLAN'!$B$36:$GS$61,0,ROW()-3),CP$3)</f>
        <v>2</v>
      </c>
      <c r="CQ13" s="2">
        <f>COUNTIF(INDEX('LINE PLAN'!$B$36:$GS$61,0,ROW()-3),CQ$3)</f>
        <v>0</v>
      </c>
      <c r="CR13" s="2">
        <f>COUNTIF(INDEX('LINE PLAN'!$B$36:$GS$61,0,ROW()-3),CR$3)</f>
        <v>1</v>
      </c>
      <c r="CS13" s="2">
        <f>COUNTIF(INDEX('LINE PLAN'!$B$36:$GS$61,0,ROW()-3),CS$3)</f>
        <v>0</v>
      </c>
      <c r="CT13" s="2">
        <f>COUNTIF(INDEX('LINE PLAN'!$B$36:$GS$61,0,ROW()-3),CT$3)</f>
        <v>0</v>
      </c>
      <c r="CU13" s="2">
        <f>COUNTIF(INDEX('LINE PLAN'!$B$36:$GS$61,0,ROW()-3),CU$3)</f>
        <v>0</v>
      </c>
      <c r="CV13" s="2">
        <f>COUNTIF(INDEX('LINE PLAN'!$B$36:$GS$61,0,ROW()-3),CV$3)</f>
        <v>0</v>
      </c>
      <c r="CW13" s="2">
        <f>COUNTIF(INDEX('LINE PLAN'!$B$36:$GS$61,0,ROW()-3),CW$3)</f>
        <v>0</v>
      </c>
      <c r="CX13" s="2">
        <f>COUNTIF(INDEX('LINE PLAN'!$B$36:$GS$61,0,ROW()-3),CX$3)</f>
        <v>0</v>
      </c>
      <c r="CY13" s="2">
        <f>COUNTIF(INDEX('LINE PLAN'!$B$36:$GS$61,0,ROW()-3),CY$3)</f>
        <v>0</v>
      </c>
      <c r="CZ13" s="2">
        <f>COUNTIF(INDEX('LINE PLAN'!$B$36:$GS$61,0,ROW()-3),CZ$3)</f>
        <v>0</v>
      </c>
      <c r="DA13" s="2">
        <f>COUNTIF(INDEX('LINE PLAN'!$B$36:$GS$61,0,ROW()-3),DA$3)</f>
        <v>0</v>
      </c>
      <c r="DB13" s="2">
        <f>COUNTIF(INDEX('LINE PLAN'!$B$36:$GS$61,0,ROW()-3),DB$3)</f>
        <v>0</v>
      </c>
      <c r="DC13" s="2">
        <f>COUNTIF(INDEX('LINE PLAN'!$B$36:$GS$61,0,ROW()-3),DC$3)</f>
        <v>0</v>
      </c>
      <c r="DD13" s="2">
        <f>COUNTIF(INDEX('LINE PLAN'!$B$36:$GS$61,0,ROW()-3),DD$3)</f>
        <v>0</v>
      </c>
      <c r="DE13" s="2">
        <f>COUNTIF(INDEX('LINE PLAN'!$B$36:$GS$61,0,ROW()-3),DE$3)</f>
        <v>0</v>
      </c>
      <c r="DF13" s="2">
        <f>COUNTIF(INDEX('LINE PLAN'!$B$36:$GS$61,0,ROW()-3),DF$3)</f>
        <v>0</v>
      </c>
      <c r="DG13" s="2">
        <f>COUNTIF(INDEX('LINE PLAN'!$B$36:$GS$61,0,ROW()-3),DG$3)</f>
        <v>0</v>
      </c>
      <c r="DH13" s="2">
        <f>COUNTIF(INDEX('LINE PLAN'!$B$36:$GS$61,0,ROW()-3),DH$3)</f>
        <v>0</v>
      </c>
      <c r="DI13" s="2">
        <f>COUNTIF(INDEX('LINE PLAN'!$B$36:$GS$61,0,ROW()-3),DI$3)</f>
        <v>0</v>
      </c>
      <c r="DJ13" s="2">
        <f>COUNTIF(INDEX('LINE PLAN'!$B$36:$GS$61,0,ROW()-3),DJ$3)</f>
        <v>0</v>
      </c>
      <c r="DK13" s="2">
        <f>COUNTIF(INDEX('LINE PLAN'!$B$36:$GS$61,0,ROW()-3),DK$3)</f>
        <v>0</v>
      </c>
      <c r="DL13" s="2">
        <f>COUNTIF(INDEX('LINE PLAN'!$B$36:$GS$61,0,ROW()-3),DL$3)</f>
        <v>0</v>
      </c>
      <c r="DM13" s="2">
        <f>COUNTIF(INDEX('LINE PLAN'!$B$36:$GS$61,0,ROW()-3),DM$3)</f>
        <v>0</v>
      </c>
      <c r="DN13" s="2">
        <f>COUNTIF(INDEX('LINE PLAN'!$B$36:$GS$61,0,ROW()-3),DN$3)</f>
        <v>0</v>
      </c>
      <c r="DO13" s="2">
        <f>COUNTIF(INDEX('LINE PLAN'!$B$36:$GS$61,0,ROW()-3),DO$3)</f>
        <v>0</v>
      </c>
      <c r="DP13" s="2">
        <f>COUNTIF(INDEX('LINE PLAN'!$B$36:$GS$61,0,ROW()-3),DP$3)</f>
        <v>0</v>
      </c>
      <c r="DQ13" s="2">
        <f>COUNTIF(INDEX('LINE PLAN'!$B$36:$GS$61,0,ROW()-3),DQ$3)</f>
        <v>0</v>
      </c>
      <c r="DR13" s="2">
        <f>COUNTIF(INDEX('LINE PLAN'!$B$36:$GS$61,0,ROW()-3),DR$3)</f>
        <v>0</v>
      </c>
      <c r="DS13" s="2">
        <f>COUNTIF(INDEX('LINE PLAN'!$B$36:$GS$61,0,ROW()-3),DS$3)</f>
        <v>0</v>
      </c>
      <c r="DT13" s="2">
        <f>COUNTIF(INDEX('LINE PLAN'!$B$36:$GS$61,0,ROW()-3),DT$3)</f>
        <v>0</v>
      </c>
      <c r="DU13" s="2">
        <f>COUNTIF(INDEX('LINE PLAN'!$B$36:$GS$61,0,ROW()-3),DU$3)</f>
        <v>0</v>
      </c>
      <c r="DV13" s="2">
        <f>COUNTIF(INDEX('LINE PLAN'!$B$36:$GS$61,0,ROW()-3),DV$3)</f>
        <v>0</v>
      </c>
    </row>
    <row r="14" spans="1:126">
      <c r="A14" s="505" cm="1">
        <f t="array" ref="A14">INDEX('LINE PLAN'!$B$35:$GS$35,ROW()-3)</f>
        <v>46245</v>
      </c>
      <c r="B14" s="2">
        <f>SUMPRODUCT($CA14:$DV14,INDEX('MC MAP'!$DA$5:$EV$30,1,0))</f>
        <v>152</v>
      </c>
      <c r="C14" s="2">
        <f>SUMPRODUCT($CA14:$DV14,INDEX('MC MAP'!$DA$5:$EV$30,2,0))</f>
        <v>1</v>
      </c>
      <c r="D14" s="2">
        <f>SUMPRODUCT($CA14:$DV14,INDEX('MC MAP'!$DA$5:$EV$30,3,0))</f>
        <v>0</v>
      </c>
      <c r="E14" s="2">
        <f>SUMPRODUCT($CA14:$DV14,INDEX('MC MAP'!$DA$5:$EV$30,4,0))</f>
        <v>4</v>
      </c>
      <c r="F14" s="2">
        <f>SUMPRODUCT($CA14:$DV14,INDEX('MC MAP'!$DA$5:$EV$30,5,0))</f>
        <v>291</v>
      </c>
      <c r="G14" s="2">
        <f>SUMPRODUCT($CA14:$DV14,INDEX('MC MAP'!$DA$5:$EV$30,6,0))</f>
        <v>31</v>
      </c>
      <c r="H14" s="2">
        <f>SUMPRODUCT($CA14:$DV14,INDEX('MC MAP'!$DA$5:$EV$30,7,0))</f>
        <v>0</v>
      </c>
      <c r="I14" s="2">
        <f>SUMPRODUCT($CA14:$DV14,INDEX('MC MAP'!$DA$5:$EV$30,8,0))</f>
        <v>36</v>
      </c>
      <c r="J14" s="2">
        <f>SUMPRODUCT($CA14:$DV14,INDEX('MC MAP'!$DA$5:$EV$30,9,0))</f>
        <v>22.5</v>
      </c>
      <c r="K14" s="2">
        <f>SUMPRODUCT($CA14:$DV14,INDEX('MC MAP'!$DA$5:$EV$30,10,0))</f>
        <v>4</v>
      </c>
      <c r="L14" s="2">
        <f>SUMPRODUCT($CA14:$DV14,INDEX('MC MAP'!$DA$5:$EV$30,11,0))</f>
        <v>43.5</v>
      </c>
      <c r="M14" s="2">
        <f>SUMPRODUCT($CA14:$DV14,INDEX('MC MAP'!$DA$5:$EV$30,12,0))</f>
        <v>17</v>
      </c>
      <c r="N14" s="2">
        <f>SUMPRODUCT($CA14:$DV14,INDEX('MC MAP'!$DA$5:$EV$30,13,0))</f>
        <v>34.5</v>
      </c>
      <c r="O14" s="2">
        <f>SUMPRODUCT($CA14:$DV14,INDEX('MC MAP'!$DA$5:$EV$30,14,0))</f>
        <v>40</v>
      </c>
      <c r="P14" s="2">
        <f>SUMPRODUCT($CA14:$DV14,INDEX('MC MAP'!$DA$5:$EV$30,15,0))</f>
        <v>47</v>
      </c>
      <c r="Q14" s="2">
        <f>SUMPRODUCT($CA14:$DV14,INDEX('MC MAP'!$DA$5:$EV$30,16,0))</f>
        <v>0</v>
      </c>
      <c r="R14" s="2">
        <f>SUMPRODUCT($CA14:$DV14,INDEX('MC MAP'!$DA$5:$EV$30,17,0))</f>
        <v>3</v>
      </c>
      <c r="S14" s="2">
        <f>SUMPRODUCT($CA14:$DV14,INDEX('MC MAP'!$DA$5:$EV$30,18,0))</f>
        <v>0</v>
      </c>
      <c r="T14" s="2">
        <f>SUMPRODUCT($CA14:$DV14,INDEX('MC MAP'!$DA$5:$EV$30,19,0))</f>
        <v>13</v>
      </c>
      <c r="U14" s="2">
        <f>SUMPRODUCT($CA14:$DV14,INDEX('MC MAP'!$DA$5:$EV$30,20,0))</f>
        <v>31</v>
      </c>
      <c r="V14" s="2">
        <f>SUMPRODUCT($CA14:$DV14,INDEX('MC MAP'!$DA$5:$EV$30,21,0))</f>
        <v>2</v>
      </c>
      <c r="W14" s="2">
        <f>SUMPRODUCT($CA14:$DV14,INDEX('MC MAP'!$DA$5:$EV$30,22,0))</f>
        <v>2</v>
      </c>
      <c r="X14" s="2">
        <f>SUMPRODUCT($CA14:$DV14,INDEX('MC MAP'!$DA$5:$EV$30,23,0))</f>
        <v>0</v>
      </c>
      <c r="Y14" s="2">
        <f>SUMPRODUCT($CA14:$DV14,INDEX('MC MAP'!$DA$5:$EV$30,24,0))</f>
        <v>4.5</v>
      </c>
      <c r="Z14" s="2">
        <f>SUMPRODUCT($CA14:$DV14,INDEX('MC MAP'!$DA$5:$EV$30,25,0))</f>
        <v>0</v>
      </c>
      <c r="AA14" s="2">
        <f>SUMPRODUCT($CA14:$DV14,INDEX('MC MAP'!$DA$5:$EV$30,26,0))</f>
        <v>29</v>
      </c>
      <c r="AB14" s="2">
        <f>SUM($B14:$AA14)</f>
        <v>808</v>
      </c>
      <c r="AC14" s="2">
        <f>SUM($CA14:$DV14)+$AW14</f>
        <v>26</v>
      </c>
      <c r="AW14" s="2">
        <f>IF($A14=0,0,COUNTIF(INDEX('LINE PLAN'!$B$36:$GS$61,0,ROW()-3),"THERMAL - NOT SPECIFIED"))</f>
        <v>0</v>
      </c>
      <c r="AX14" s="506" cm="1">
        <f t="array" ref="AX14">IF(OR($AB14=0,UPPER($BS14)&lt;&gt;"Y"),0,SUMPRODUCT(--($B14:$AA14&gt;$B$205:$AA$205)))</f>
        <v>5</v>
      </c>
      <c r="AY14" s="507">
        <f>$A14</f>
        <v>46245</v>
      </c>
      <c r="AZ14" s="2">
        <f>$AB14</f>
        <v>808</v>
      </c>
      <c r="BA14" s="2">
        <f>'MC MASTER'!$C$29</f>
        <v>920</v>
      </c>
      <c r="BD14" s="529">
        <v>6</v>
      </c>
      <c r="BE14" s="520">
        <f>INDEX($A$4:$A$203,($BD14-1)*7+1)</f>
        <v>46270</v>
      </c>
      <c r="BF14" s="520">
        <f>INDEX($A$4:$A$203,$BD14*7)</f>
        <v>46276</v>
      </c>
      <c r="BG14" s="521" cm="1">
        <f t="array" aca="1" ref="BG14" ca="1">SUMPRODUCT(--(OFFSET($BT$4,($BD14-1)*7,0,7,1)&gt;0))</f>
        <v>6</v>
      </c>
      <c r="BH14" s="522">
        <f ca="1">IFERROR(SUMIF(OFFSET($BT$4,($BD14-1)*7,0,7,1),"&gt;0")/$BG14,0)</f>
        <v>788.333333333333</v>
      </c>
      <c r="BI14" s="523">
        <f ca="1">MAX(OFFSET($BT$4,($BD14-1)*7,0,7,1))</f>
        <v>801</v>
      </c>
      <c r="BJ14" s="524">
        <f ca="1">IFERROR($BI14/$BD$5,0)</f>
        <v>0.870652173913044</v>
      </c>
      <c r="BK14" s="525" t="str">
        <f ca="1">IF($BI14=0,"NO WORK",IF($BJ14&gt;1,"OVER CAPACITY",IF($BJ14&gt;0.95,"TIGHT","OK")))</f>
        <v>OK</v>
      </c>
      <c r="BM14" s="52" t="str">
        <f>TEXT($BE14,"d-mmm")</f>
        <v>5-Sep</v>
      </c>
      <c r="BN14" s="526">
        <f ca="1">$BI14</f>
        <v>801</v>
      </c>
      <c r="BO14" s="527">
        <f>$BD$5</f>
        <v>920</v>
      </c>
      <c r="BQ14" s="509">
        <f>$A14</f>
        <v>46245</v>
      </c>
      <c r="BR14" s="15" t="str">
        <f>TEXT($A14,"ddd")</f>
        <v>Tue</v>
      </c>
      <c r="BS14" s="547" t="s">
        <v>391</v>
      </c>
      <c r="BT14" s="15">
        <f>IF(UPPER($BS14)="Y",$AB14,0)</f>
        <v>808</v>
      </c>
      <c r="CA14" s="2">
        <f>COUNTIF(INDEX('LINE PLAN'!$B$36:$GS$61,0,ROW()-3),CA$3)</f>
        <v>1</v>
      </c>
      <c r="CB14" s="2">
        <f>COUNTIF(INDEX('LINE PLAN'!$B$36:$GS$61,0,ROW()-3),CB$3)</f>
        <v>1</v>
      </c>
      <c r="CC14" s="2">
        <f>COUNTIF(INDEX('LINE PLAN'!$B$36:$GS$61,0,ROW()-3),CC$3)</f>
        <v>1</v>
      </c>
      <c r="CD14" s="2">
        <f>COUNTIF(INDEX('LINE PLAN'!$B$36:$GS$61,0,ROW()-3),CD$3)</f>
        <v>2</v>
      </c>
      <c r="CE14" s="2">
        <f>COUNTIF(INDEX('LINE PLAN'!$B$36:$GS$61,0,ROW()-3),CE$3)</f>
        <v>2</v>
      </c>
      <c r="CF14" s="2">
        <f>COUNTIF(INDEX('LINE PLAN'!$B$36:$GS$61,0,ROW()-3),CF$3)</f>
        <v>3</v>
      </c>
      <c r="CG14" s="2">
        <f>COUNTIF(INDEX('LINE PLAN'!$B$36:$GS$61,0,ROW()-3),CG$3)</f>
        <v>2</v>
      </c>
      <c r="CH14" s="2">
        <f>COUNTIF(INDEX('LINE PLAN'!$B$36:$GS$61,0,ROW()-3),CH$3)</f>
        <v>1</v>
      </c>
      <c r="CI14" s="2">
        <f>COUNTIF(INDEX('LINE PLAN'!$B$36:$GS$61,0,ROW()-3),CI$3)</f>
        <v>1</v>
      </c>
      <c r="CJ14" s="2">
        <f>COUNTIF(INDEX('LINE PLAN'!$B$36:$GS$61,0,ROW()-3),CJ$3)</f>
        <v>1</v>
      </c>
      <c r="CK14" s="2">
        <f>COUNTIF(INDEX('LINE PLAN'!$B$36:$GS$61,0,ROW()-3),CK$3)</f>
        <v>3</v>
      </c>
      <c r="CL14" s="2">
        <f>COUNTIF(INDEX('LINE PLAN'!$B$36:$GS$61,0,ROW()-3),CL$3)</f>
        <v>0</v>
      </c>
      <c r="CM14" s="2">
        <f>COUNTIF(INDEX('LINE PLAN'!$B$36:$GS$61,0,ROW()-3),CM$3)</f>
        <v>0</v>
      </c>
      <c r="CN14" s="2">
        <f>COUNTIF(INDEX('LINE PLAN'!$B$36:$GS$61,0,ROW()-3),CN$3)</f>
        <v>5</v>
      </c>
      <c r="CO14" s="2">
        <f>COUNTIF(INDEX('LINE PLAN'!$B$36:$GS$61,0,ROW()-3),CO$3)</f>
        <v>0</v>
      </c>
      <c r="CP14" s="2">
        <f>COUNTIF(INDEX('LINE PLAN'!$B$36:$GS$61,0,ROW()-3),CP$3)</f>
        <v>2</v>
      </c>
      <c r="CQ14" s="2">
        <f>COUNTIF(INDEX('LINE PLAN'!$B$36:$GS$61,0,ROW()-3),CQ$3)</f>
        <v>0</v>
      </c>
      <c r="CR14" s="2">
        <f>COUNTIF(INDEX('LINE PLAN'!$B$36:$GS$61,0,ROW()-3),CR$3)</f>
        <v>1</v>
      </c>
      <c r="CS14" s="2">
        <f>COUNTIF(INDEX('LINE PLAN'!$B$36:$GS$61,0,ROW()-3),CS$3)</f>
        <v>0</v>
      </c>
      <c r="CT14" s="2">
        <f>COUNTIF(INDEX('LINE PLAN'!$B$36:$GS$61,0,ROW()-3),CT$3)</f>
        <v>0</v>
      </c>
      <c r="CU14" s="2">
        <f>COUNTIF(INDEX('LINE PLAN'!$B$36:$GS$61,0,ROW()-3),CU$3)</f>
        <v>0</v>
      </c>
      <c r="CV14" s="2">
        <f>COUNTIF(INDEX('LINE PLAN'!$B$36:$GS$61,0,ROW()-3),CV$3)</f>
        <v>0</v>
      </c>
      <c r="CW14" s="2">
        <f>COUNTIF(INDEX('LINE PLAN'!$B$36:$GS$61,0,ROW()-3),CW$3)</f>
        <v>0</v>
      </c>
      <c r="CX14" s="2">
        <f>COUNTIF(INDEX('LINE PLAN'!$B$36:$GS$61,0,ROW()-3),CX$3)</f>
        <v>0</v>
      </c>
      <c r="CY14" s="2">
        <f>COUNTIF(INDEX('LINE PLAN'!$B$36:$GS$61,0,ROW()-3),CY$3)</f>
        <v>0</v>
      </c>
      <c r="CZ14" s="2">
        <f>COUNTIF(INDEX('LINE PLAN'!$B$36:$GS$61,0,ROW()-3),CZ$3)</f>
        <v>0</v>
      </c>
      <c r="DA14" s="2">
        <f>COUNTIF(INDEX('LINE PLAN'!$B$36:$GS$61,0,ROW()-3),DA$3)</f>
        <v>0</v>
      </c>
      <c r="DB14" s="2">
        <f>COUNTIF(INDEX('LINE PLAN'!$B$36:$GS$61,0,ROW()-3),DB$3)</f>
        <v>0</v>
      </c>
      <c r="DC14" s="2">
        <f>COUNTIF(INDEX('LINE PLAN'!$B$36:$GS$61,0,ROW()-3),DC$3)</f>
        <v>0</v>
      </c>
      <c r="DD14" s="2">
        <f>COUNTIF(INDEX('LINE PLAN'!$B$36:$GS$61,0,ROW()-3),DD$3)</f>
        <v>0</v>
      </c>
      <c r="DE14" s="2">
        <f>COUNTIF(INDEX('LINE PLAN'!$B$36:$GS$61,0,ROW()-3),DE$3)</f>
        <v>0</v>
      </c>
      <c r="DF14" s="2">
        <f>COUNTIF(INDEX('LINE PLAN'!$B$36:$GS$61,0,ROW()-3),DF$3)</f>
        <v>0</v>
      </c>
      <c r="DG14" s="2">
        <f>COUNTIF(INDEX('LINE PLAN'!$B$36:$GS$61,0,ROW()-3),DG$3)</f>
        <v>0</v>
      </c>
      <c r="DH14" s="2">
        <f>COUNTIF(INDEX('LINE PLAN'!$B$36:$GS$61,0,ROW()-3),DH$3)</f>
        <v>0</v>
      </c>
      <c r="DI14" s="2">
        <f>COUNTIF(INDEX('LINE PLAN'!$B$36:$GS$61,0,ROW()-3),DI$3)</f>
        <v>0</v>
      </c>
      <c r="DJ14" s="2">
        <f>COUNTIF(INDEX('LINE PLAN'!$B$36:$GS$61,0,ROW()-3),DJ$3)</f>
        <v>0</v>
      </c>
      <c r="DK14" s="2">
        <f>COUNTIF(INDEX('LINE PLAN'!$B$36:$GS$61,0,ROW()-3),DK$3)</f>
        <v>0</v>
      </c>
      <c r="DL14" s="2">
        <f>COUNTIF(INDEX('LINE PLAN'!$B$36:$GS$61,0,ROW()-3),DL$3)</f>
        <v>0</v>
      </c>
      <c r="DM14" s="2">
        <f>COUNTIF(INDEX('LINE PLAN'!$B$36:$GS$61,0,ROW()-3),DM$3)</f>
        <v>0</v>
      </c>
      <c r="DN14" s="2">
        <f>COUNTIF(INDEX('LINE PLAN'!$B$36:$GS$61,0,ROW()-3),DN$3)</f>
        <v>0</v>
      </c>
      <c r="DO14" s="2">
        <f>COUNTIF(INDEX('LINE PLAN'!$B$36:$GS$61,0,ROW()-3),DO$3)</f>
        <v>0</v>
      </c>
      <c r="DP14" s="2">
        <f>COUNTIF(INDEX('LINE PLAN'!$B$36:$GS$61,0,ROW()-3),DP$3)</f>
        <v>0</v>
      </c>
      <c r="DQ14" s="2">
        <f>COUNTIF(INDEX('LINE PLAN'!$B$36:$GS$61,0,ROW()-3),DQ$3)</f>
        <v>0</v>
      </c>
      <c r="DR14" s="2">
        <f>COUNTIF(INDEX('LINE PLAN'!$B$36:$GS$61,0,ROW()-3),DR$3)</f>
        <v>0</v>
      </c>
      <c r="DS14" s="2">
        <f>COUNTIF(INDEX('LINE PLAN'!$B$36:$GS$61,0,ROW()-3),DS$3)</f>
        <v>0</v>
      </c>
      <c r="DT14" s="2">
        <f>COUNTIF(INDEX('LINE PLAN'!$B$36:$GS$61,0,ROW()-3),DT$3)</f>
        <v>0</v>
      </c>
      <c r="DU14" s="2">
        <f>COUNTIF(INDEX('LINE PLAN'!$B$36:$GS$61,0,ROW()-3),DU$3)</f>
        <v>0</v>
      </c>
      <c r="DV14" s="2">
        <f>COUNTIF(INDEX('LINE PLAN'!$B$36:$GS$61,0,ROW()-3),DV$3)</f>
        <v>0</v>
      </c>
    </row>
    <row r="15" spans="1:126">
      <c r="A15" s="505" cm="1">
        <f t="array" ref="A15">INDEX('LINE PLAN'!$B$35:$GS$35,ROW()-3)</f>
        <v>46246</v>
      </c>
      <c r="B15" s="2">
        <f>SUMPRODUCT($CA15:$DV15,INDEX('MC MAP'!$DA$5:$EV$30,1,0))</f>
        <v>150.5</v>
      </c>
      <c r="C15" s="2">
        <f>SUMPRODUCT($CA15:$DV15,INDEX('MC MAP'!$DA$5:$EV$30,2,0))</f>
        <v>1</v>
      </c>
      <c r="D15" s="2">
        <f>SUMPRODUCT($CA15:$DV15,INDEX('MC MAP'!$DA$5:$EV$30,3,0))</f>
        <v>0</v>
      </c>
      <c r="E15" s="2">
        <f>SUMPRODUCT($CA15:$DV15,INDEX('MC MAP'!$DA$5:$EV$30,4,0))</f>
        <v>4</v>
      </c>
      <c r="F15" s="2">
        <f>SUMPRODUCT($CA15:$DV15,INDEX('MC MAP'!$DA$5:$EV$30,5,0))</f>
        <v>283</v>
      </c>
      <c r="G15" s="2">
        <f>SUMPRODUCT($CA15:$DV15,INDEX('MC MAP'!$DA$5:$EV$30,6,0))</f>
        <v>31</v>
      </c>
      <c r="H15" s="2">
        <f>SUMPRODUCT($CA15:$DV15,INDEX('MC MAP'!$DA$5:$EV$30,7,0))</f>
        <v>0</v>
      </c>
      <c r="I15" s="2">
        <f>SUMPRODUCT($CA15:$DV15,INDEX('MC MAP'!$DA$5:$EV$30,8,0))</f>
        <v>36</v>
      </c>
      <c r="J15" s="2">
        <f>SUMPRODUCT($CA15:$DV15,INDEX('MC MAP'!$DA$5:$EV$30,9,0))</f>
        <v>26.5</v>
      </c>
      <c r="K15" s="2">
        <f>SUMPRODUCT($CA15:$DV15,INDEX('MC MAP'!$DA$5:$EV$30,10,0))</f>
        <v>4</v>
      </c>
      <c r="L15" s="2">
        <f>SUMPRODUCT($CA15:$DV15,INDEX('MC MAP'!$DA$5:$EV$30,11,0))</f>
        <v>43.5</v>
      </c>
      <c r="M15" s="2">
        <f>SUMPRODUCT($CA15:$DV15,INDEX('MC MAP'!$DA$5:$EV$30,12,0))</f>
        <v>17</v>
      </c>
      <c r="N15" s="2">
        <f>SUMPRODUCT($CA15:$DV15,INDEX('MC MAP'!$DA$5:$EV$30,13,0))</f>
        <v>34.5</v>
      </c>
      <c r="O15" s="2">
        <f>SUMPRODUCT($CA15:$DV15,INDEX('MC MAP'!$DA$5:$EV$30,14,0))</f>
        <v>39</v>
      </c>
      <c r="P15" s="2">
        <f>SUMPRODUCT($CA15:$DV15,INDEX('MC MAP'!$DA$5:$EV$30,15,0))</f>
        <v>47</v>
      </c>
      <c r="Q15" s="2">
        <f>SUMPRODUCT($CA15:$DV15,INDEX('MC MAP'!$DA$5:$EV$30,16,0))</f>
        <v>0</v>
      </c>
      <c r="R15" s="2">
        <f>SUMPRODUCT($CA15:$DV15,INDEX('MC MAP'!$DA$5:$EV$30,17,0))</f>
        <v>3</v>
      </c>
      <c r="S15" s="2">
        <f>SUMPRODUCT($CA15:$DV15,INDEX('MC MAP'!$DA$5:$EV$30,18,0))</f>
        <v>0</v>
      </c>
      <c r="T15" s="2">
        <f>SUMPRODUCT($CA15:$DV15,INDEX('MC MAP'!$DA$5:$EV$30,19,0))</f>
        <v>13</v>
      </c>
      <c r="U15" s="2">
        <f>SUMPRODUCT($CA15:$DV15,INDEX('MC MAP'!$DA$5:$EV$30,20,0))</f>
        <v>30.5</v>
      </c>
      <c r="V15" s="2">
        <f>SUMPRODUCT($CA15:$DV15,INDEX('MC MAP'!$DA$5:$EV$30,21,0))</f>
        <v>2</v>
      </c>
      <c r="W15" s="2">
        <f>SUMPRODUCT($CA15:$DV15,INDEX('MC MAP'!$DA$5:$EV$30,22,0))</f>
        <v>2</v>
      </c>
      <c r="X15" s="2">
        <f>SUMPRODUCT($CA15:$DV15,INDEX('MC MAP'!$DA$5:$EV$30,23,0))</f>
        <v>0</v>
      </c>
      <c r="Y15" s="2">
        <f>SUMPRODUCT($CA15:$DV15,INDEX('MC MAP'!$DA$5:$EV$30,24,0))</f>
        <v>4.5</v>
      </c>
      <c r="Z15" s="2">
        <f>SUMPRODUCT($CA15:$DV15,INDEX('MC MAP'!$DA$5:$EV$30,25,0))</f>
        <v>0</v>
      </c>
      <c r="AA15" s="2">
        <f>SUMPRODUCT($CA15:$DV15,INDEX('MC MAP'!$DA$5:$EV$30,26,0))</f>
        <v>29</v>
      </c>
      <c r="AB15" s="2">
        <f>SUM($B15:$AA15)</f>
        <v>801</v>
      </c>
      <c r="AC15" s="2">
        <f>SUM($CA15:$DV15)+$AW15</f>
        <v>26</v>
      </c>
      <c r="AW15" s="2">
        <f>IF($A15=0,0,COUNTIF(INDEX('LINE PLAN'!$B$36:$GS$61,0,ROW()-3),"THERMAL - NOT SPECIFIED"))</f>
        <v>0</v>
      </c>
      <c r="AX15" s="506" cm="1">
        <f t="array" ref="AX15">IF(OR($AB15=0,UPPER($BS15)&lt;&gt;"Y"),0,SUMPRODUCT(--($B15:$AA15&gt;$B$205:$AA$205)))</f>
        <v>5</v>
      </c>
      <c r="AY15" s="507">
        <f>$A15</f>
        <v>46246</v>
      </c>
      <c r="AZ15" s="2">
        <f>$AB15</f>
        <v>801</v>
      </c>
      <c r="BA15" s="2">
        <f>'MC MASTER'!$C$29</f>
        <v>920</v>
      </c>
      <c r="BD15" s="529">
        <v>7</v>
      </c>
      <c r="BE15" s="520">
        <f>INDEX($A$4:$A$203,($BD15-1)*7+1)</f>
        <v>46277</v>
      </c>
      <c r="BF15" s="520">
        <f>INDEX($A$4:$A$203,$BD15*7)</f>
        <v>46283</v>
      </c>
      <c r="BG15" s="521" cm="1">
        <f t="array" aca="1" ref="BG15" ca="1">SUMPRODUCT(--(OFFSET($BT$4,($BD15-1)*7,0,7,1)&gt;0))</f>
        <v>6</v>
      </c>
      <c r="BH15" s="522">
        <f ca="1">IFERROR(SUMIF(OFFSET($BT$4,($BD15-1)*7,0,7,1),"&gt;0")/$BG15,0)</f>
        <v>780.333333333333</v>
      </c>
      <c r="BI15" s="523">
        <f ca="1">MAX(OFFSET($BT$4,($BD15-1)*7,0,7,1))</f>
        <v>792</v>
      </c>
      <c r="BJ15" s="524">
        <f ca="1">IFERROR($BI15/$BD$5,0)</f>
        <v>0.860869565217391</v>
      </c>
      <c r="BK15" s="525" t="str">
        <f ca="1">IF($BI15=0,"NO WORK",IF($BJ15&gt;1,"OVER CAPACITY",IF($BJ15&gt;0.95,"TIGHT","OK")))</f>
        <v>OK</v>
      </c>
      <c r="BM15" s="52" t="str">
        <f>TEXT($BE15,"d-mmm")</f>
        <v>12-Sep</v>
      </c>
      <c r="BN15" s="526">
        <f ca="1">$BI15</f>
        <v>792</v>
      </c>
      <c r="BO15" s="527">
        <f>$BD$5</f>
        <v>920</v>
      </c>
      <c r="BQ15" s="509">
        <f>$A15</f>
        <v>46246</v>
      </c>
      <c r="BR15" s="15" t="str">
        <f>TEXT($A15,"ddd")</f>
        <v>Wed</v>
      </c>
      <c r="BS15" s="547" t="s">
        <v>391</v>
      </c>
      <c r="BT15" s="15">
        <f>IF(UPPER($BS15)="Y",$AB15,0)</f>
        <v>801</v>
      </c>
      <c r="CA15" s="2">
        <f>COUNTIF(INDEX('LINE PLAN'!$B$36:$GS$61,0,ROW()-3),CA$3)</f>
        <v>1</v>
      </c>
      <c r="CB15" s="2">
        <f>COUNTIF(INDEX('LINE PLAN'!$B$36:$GS$61,0,ROW()-3),CB$3)</f>
        <v>1</v>
      </c>
      <c r="CC15" s="2">
        <f>COUNTIF(INDEX('LINE PLAN'!$B$36:$GS$61,0,ROW()-3),CC$3)</f>
        <v>2</v>
      </c>
      <c r="CD15" s="2">
        <f>COUNTIF(INDEX('LINE PLAN'!$B$36:$GS$61,0,ROW()-3),CD$3)</f>
        <v>1</v>
      </c>
      <c r="CE15" s="2">
        <f>COUNTIF(INDEX('LINE PLAN'!$B$36:$GS$61,0,ROW()-3),CE$3)</f>
        <v>2</v>
      </c>
      <c r="CF15" s="2">
        <f>COUNTIF(INDEX('LINE PLAN'!$B$36:$GS$61,0,ROW()-3),CF$3)</f>
        <v>3</v>
      </c>
      <c r="CG15" s="2">
        <f>COUNTIF(INDEX('LINE PLAN'!$B$36:$GS$61,0,ROW()-3),CG$3)</f>
        <v>2</v>
      </c>
      <c r="CH15" s="2">
        <f>COUNTIF(INDEX('LINE PLAN'!$B$36:$GS$61,0,ROW()-3),CH$3)</f>
        <v>1</v>
      </c>
      <c r="CI15" s="2">
        <f>COUNTIF(INDEX('LINE PLAN'!$B$36:$GS$61,0,ROW()-3),CI$3)</f>
        <v>1</v>
      </c>
      <c r="CJ15" s="2">
        <f>COUNTIF(INDEX('LINE PLAN'!$B$36:$GS$61,0,ROW()-3),CJ$3)</f>
        <v>1</v>
      </c>
      <c r="CK15" s="2">
        <f>COUNTIF(INDEX('LINE PLAN'!$B$36:$GS$61,0,ROW()-3),CK$3)</f>
        <v>3</v>
      </c>
      <c r="CL15" s="2">
        <f>COUNTIF(INDEX('LINE PLAN'!$B$36:$GS$61,0,ROW()-3),CL$3)</f>
        <v>0</v>
      </c>
      <c r="CM15" s="2">
        <f>COUNTIF(INDEX('LINE PLAN'!$B$36:$GS$61,0,ROW()-3),CM$3)</f>
        <v>0</v>
      </c>
      <c r="CN15" s="2">
        <f>COUNTIF(INDEX('LINE PLAN'!$B$36:$GS$61,0,ROW()-3),CN$3)</f>
        <v>5</v>
      </c>
      <c r="CO15" s="2">
        <f>COUNTIF(INDEX('LINE PLAN'!$B$36:$GS$61,0,ROW()-3),CO$3)</f>
        <v>0</v>
      </c>
      <c r="CP15" s="2">
        <f>COUNTIF(INDEX('LINE PLAN'!$B$36:$GS$61,0,ROW()-3),CP$3)</f>
        <v>2</v>
      </c>
      <c r="CQ15" s="2">
        <f>COUNTIF(INDEX('LINE PLAN'!$B$36:$GS$61,0,ROW()-3),CQ$3)</f>
        <v>0</v>
      </c>
      <c r="CR15" s="2">
        <f>COUNTIF(INDEX('LINE PLAN'!$B$36:$GS$61,0,ROW()-3),CR$3)</f>
        <v>1</v>
      </c>
      <c r="CS15" s="2">
        <f>COUNTIF(INDEX('LINE PLAN'!$B$36:$GS$61,0,ROW()-3),CS$3)</f>
        <v>0</v>
      </c>
      <c r="CT15" s="2">
        <f>COUNTIF(INDEX('LINE PLAN'!$B$36:$GS$61,0,ROW()-3),CT$3)</f>
        <v>0</v>
      </c>
      <c r="CU15" s="2">
        <f>COUNTIF(INDEX('LINE PLAN'!$B$36:$GS$61,0,ROW()-3),CU$3)</f>
        <v>0</v>
      </c>
      <c r="CV15" s="2">
        <f>COUNTIF(INDEX('LINE PLAN'!$B$36:$GS$61,0,ROW()-3),CV$3)</f>
        <v>0</v>
      </c>
      <c r="CW15" s="2">
        <f>COUNTIF(INDEX('LINE PLAN'!$B$36:$GS$61,0,ROW()-3),CW$3)</f>
        <v>0</v>
      </c>
      <c r="CX15" s="2">
        <f>COUNTIF(INDEX('LINE PLAN'!$B$36:$GS$61,0,ROW()-3),CX$3)</f>
        <v>0</v>
      </c>
      <c r="CY15" s="2">
        <f>COUNTIF(INDEX('LINE PLAN'!$B$36:$GS$61,0,ROW()-3),CY$3)</f>
        <v>0</v>
      </c>
      <c r="CZ15" s="2">
        <f>COUNTIF(INDEX('LINE PLAN'!$B$36:$GS$61,0,ROW()-3),CZ$3)</f>
        <v>0</v>
      </c>
      <c r="DA15" s="2">
        <f>COUNTIF(INDEX('LINE PLAN'!$B$36:$GS$61,0,ROW()-3),DA$3)</f>
        <v>0</v>
      </c>
      <c r="DB15" s="2">
        <f>COUNTIF(INDEX('LINE PLAN'!$B$36:$GS$61,0,ROW()-3),DB$3)</f>
        <v>0</v>
      </c>
      <c r="DC15" s="2">
        <f>COUNTIF(INDEX('LINE PLAN'!$B$36:$GS$61,0,ROW()-3),DC$3)</f>
        <v>0</v>
      </c>
      <c r="DD15" s="2">
        <f>COUNTIF(INDEX('LINE PLAN'!$B$36:$GS$61,0,ROW()-3),DD$3)</f>
        <v>0</v>
      </c>
      <c r="DE15" s="2">
        <f>COUNTIF(INDEX('LINE PLAN'!$B$36:$GS$61,0,ROW()-3),DE$3)</f>
        <v>0</v>
      </c>
      <c r="DF15" s="2">
        <f>COUNTIF(INDEX('LINE PLAN'!$B$36:$GS$61,0,ROW()-3),DF$3)</f>
        <v>0</v>
      </c>
      <c r="DG15" s="2">
        <f>COUNTIF(INDEX('LINE PLAN'!$B$36:$GS$61,0,ROW()-3),DG$3)</f>
        <v>0</v>
      </c>
      <c r="DH15" s="2">
        <f>COUNTIF(INDEX('LINE PLAN'!$B$36:$GS$61,0,ROW()-3),DH$3)</f>
        <v>0</v>
      </c>
      <c r="DI15" s="2">
        <f>COUNTIF(INDEX('LINE PLAN'!$B$36:$GS$61,0,ROW()-3),DI$3)</f>
        <v>0</v>
      </c>
      <c r="DJ15" s="2">
        <f>COUNTIF(INDEX('LINE PLAN'!$B$36:$GS$61,0,ROW()-3),DJ$3)</f>
        <v>0</v>
      </c>
      <c r="DK15" s="2">
        <f>COUNTIF(INDEX('LINE PLAN'!$B$36:$GS$61,0,ROW()-3),DK$3)</f>
        <v>0</v>
      </c>
      <c r="DL15" s="2">
        <f>COUNTIF(INDEX('LINE PLAN'!$B$36:$GS$61,0,ROW()-3),DL$3)</f>
        <v>0</v>
      </c>
      <c r="DM15" s="2">
        <f>COUNTIF(INDEX('LINE PLAN'!$B$36:$GS$61,0,ROW()-3),DM$3)</f>
        <v>0</v>
      </c>
      <c r="DN15" s="2">
        <f>COUNTIF(INDEX('LINE PLAN'!$B$36:$GS$61,0,ROW()-3),DN$3)</f>
        <v>0</v>
      </c>
      <c r="DO15" s="2">
        <f>COUNTIF(INDEX('LINE PLAN'!$B$36:$GS$61,0,ROW()-3),DO$3)</f>
        <v>0</v>
      </c>
      <c r="DP15" s="2">
        <f>COUNTIF(INDEX('LINE PLAN'!$B$36:$GS$61,0,ROW()-3),DP$3)</f>
        <v>0</v>
      </c>
      <c r="DQ15" s="2">
        <f>COUNTIF(INDEX('LINE PLAN'!$B$36:$GS$61,0,ROW()-3),DQ$3)</f>
        <v>0</v>
      </c>
      <c r="DR15" s="2">
        <f>COUNTIF(INDEX('LINE PLAN'!$B$36:$GS$61,0,ROW()-3),DR$3)</f>
        <v>0</v>
      </c>
      <c r="DS15" s="2">
        <f>COUNTIF(INDEX('LINE PLAN'!$B$36:$GS$61,0,ROW()-3),DS$3)</f>
        <v>0</v>
      </c>
      <c r="DT15" s="2">
        <f>COUNTIF(INDEX('LINE PLAN'!$B$36:$GS$61,0,ROW()-3),DT$3)</f>
        <v>0</v>
      </c>
      <c r="DU15" s="2">
        <f>COUNTIF(INDEX('LINE PLAN'!$B$36:$GS$61,0,ROW()-3),DU$3)</f>
        <v>0</v>
      </c>
      <c r="DV15" s="2">
        <f>COUNTIF(INDEX('LINE PLAN'!$B$36:$GS$61,0,ROW()-3),DV$3)</f>
        <v>0</v>
      </c>
    </row>
    <row r="16" spans="1:126">
      <c r="A16" s="505" cm="1">
        <f t="array" ref="A16">INDEX('LINE PLAN'!$B$35:$GS$35,ROW()-3)</f>
        <v>46247</v>
      </c>
      <c r="B16" s="2">
        <f>SUMPRODUCT($CA16:$DV16,INDEX('MC MAP'!$DA$5:$EV$30,1,0))</f>
        <v>150.5</v>
      </c>
      <c r="C16" s="2">
        <f>SUMPRODUCT($CA16:$DV16,INDEX('MC MAP'!$DA$5:$EV$30,2,0))</f>
        <v>1</v>
      </c>
      <c r="D16" s="2">
        <f>SUMPRODUCT($CA16:$DV16,INDEX('MC MAP'!$DA$5:$EV$30,3,0))</f>
        <v>0</v>
      </c>
      <c r="E16" s="2">
        <f>SUMPRODUCT($CA16:$DV16,INDEX('MC MAP'!$DA$5:$EV$30,4,0))</f>
        <v>4</v>
      </c>
      <c r="F16" s="2">
        <f>SUMPRODUCT($CA16:$DV16,INDEX('MC MAP'!$DA$5:$EV$30,5,0))</f>
        <v>283</v>
      </c>
      <c r="G16" s="2">
        <f>SUMPRODUCT($CA16:$DV16,INDEX('MC MAP'!$DA$5:$EV$30,6,0))</f>
        <v>31</v>
      </c>
      <c r="H16" s="2">
        <f>SUMPRODUCT($CA16:$DV16,INDEX('MC MAP'!$DA$5:$EV$30,7,0))</f>
        <v>0</v>
      </c>
      <c r="I16" s="2">
        <f>SUMPRODUCT($CA16:$DV16,INDEX('MC MAP'!$DA$5:$EV$30,8,0))</f>
        <v>36</v>
      </c>
      <c r="J16" s="2">
        <f>SUMPRODUCT($CA16:$DV16,INDEX('MC MAP'!$DA$5:$EV$30,9,0))</f>
        <v>26.5</v>
      </c>
      <c r="K16" s="2">
        <f>SUMPRODUCT($CA16:$DV16,INDEX('MC MAP'!$DA$5:$EV$30,10,0))</f>
        <v>4</v>
      </c>
      <c r="L16" s="2">
        <f>SUMPRODUCT($CA16:$DV16,INDEX('MC MAP'!$DA$5:$EV$30,11,0))</f>
        <v>43.5</v>
      </c>
      <c r="M16" s="2">
        <f>SUMPRODUCT($CA16:$DV16,INDEX('MC MAP'!$DA$5:$EV$30,12,0))</f>
        <v>17</v>
      </c>
      <c r="N16" s="2">
        <f>SUMPRODUCT($CA16:$DV16,INDEX('MC MAP'!$DA$5:$EV$30,13,0))</f>
        <v>34.5</v>
      </c>
      <c r="O16" s="2">
        <f>SUMPRODUCT($CA16:$DV16,INDEX('MC MAP'!$DA$5:$EV$30,14,0))</f>
        <v>39</v>
      </c>
      <c r="P16" s="2">
        <f>SUMPRODUCT($CA16:$DV16,INDEX('MC MAP'!$DA$5:$EV$30,15,0))</f>
        <v>47</v>
      </c>
      <c r="Q16" s="2">
        <f>SUMPRODUCT($CA16:$DV16,INDEX('MC MAP'!$DA$5:$EV$30,16,0))</f>
        <v>0</v>
      </c>
      <c r="R16" s="2">
        <f>SUMPRODUCT($CA16:$DV16,INDEX('MC MAP'!$DA$5:$EV$30,17,0))</f>
        <v>3</v>
      </c>
      <c r="S16" s="2">
        <f>SUMPRODUCT($CA16:$DV16,INDEX('MC MAP'!$DA$5:$EV$30,18,0))</f>
        <v>0</v>
      </c>
      <c r="T16" s="2">
        <f>SUMPRODUCT($CA16:$DV16,INDEX('MC MAP'!$DA$5:$EV$30,19,0))</f>
        <v>13</v>
      </c>
      <c r="U16" s="2">
        <f>SUMPRODUCT($CA16:$DV16,INDEX('MC MAP'!$DA$5:$EV$30,20,0))</f>
        <v>30.5</v>
      </c>
      <c r="V16" s="2">
        <f>SUMPRODUCT($CA16:$DV16,INDEX('MC MAP'!$DA$5:$EV$30,21,0))</f>
        <v>2</v>
      </c>
      <c r="W16" s="2">
        <f>SUMPRODUCT($CA16:$DV16,INDEX('MC MAP'!$DA$5:$EV$30,22,0))</f>
        <v>2</v>
      </c>
      <c r="X16" s="2">
        <f>SUMPRODUCT($CA16:$DV16,INDEX('MC MAP'!$DA$5:$EV$30,23,0))</f>
        <v>0</v>
      </c>
      <c r="Y16" s="2">
        <f>SUMPRODUCT($CA16:$DV16,INDEX('MC MAP'!$DA$5:$EV$30,24,0))</f>
        <v>4.5</v>
      </c>
      <c r="Z16" s="2">
        <f>SUMPRODUCT($CA16:$DV16,INDEX('MC MAP'!$DA$5:$EV$30,25,0))</f>
        <v>0</v>
      </c>
      <c r="AA16" s="2">
        <f>SUMPRODUCT($CA16:$DV16,INDEX('MC MAP'!$DA$5:$EV$30,26,0))</f>
        <v>29</v>
      </c>
      <c r="AB16" s="2">
        <f>SUM($B16:$AA16)</f>
        <v>801</v>
      </c>
      <c r="AC16" s="2">
        <f>SUM($CA16:$DV16)+$AW16</f>
        <v>26</v>
      </c>
      <c r="AW16" s="2">
        <f>IF($A16=0,0,COUNTIF(INDEX('LINE PLAN'!$B$36:$GS$61,0,ROW()-3),"THERMAL - NOT SPECIFIED"))</f>
        <v>0</v>
      </c>
      <c r="AX16" s="506" cm="1">
        <f t="array" ref="AX16">IF(OR($AB16=0,UPPER($BS16)&lt;&gt;"Y"),0,SUMPRODUCT(--($B16:$AA16&gt;$B$205:$AA$205)))</f>
        <v>5</v>
      </c>
      <c r="AY16" s="507">
        <f>$A16</f>
        <v>46247</v>
      </c>
      <c r="AZ16" s="2">
        <f>$AB16</f>
        <v>801</v>
      </c>
      <c r="BA16" s="2">
        <f>'MC MASTER'!$C$29</f>
        <v>920</v>
      </c>
      <c r="BD16" s="529">
        <v>8</v>
      </c>
      <c r="BE16" s="520">
        <f>INDEX($A$4:$A$203,($BD16-1)*7+1)</f>
        <v>46284</v>
      </c>
      <c r="BF16" s="520">
        <f>INDEX($A$4:$A$203,$BD16*7)</f>
        <v>46290</v>
      </c>
      <c r="BG16" s="521" cm="1">
        <f t="array" aca="1" ref="BG16" ca="1">SUMPRODUCT(--(OFFSET($BT$4,($BD16-1)*7,0,7,1)&gt;0))</f>
        <v>6</v>
      </c>
      <c r="BH16" s="522">
        <f ca="1">IFERROR(SUMIF(OFFSET($BT$4,($BD16-1)*7,0,7,1),"&gt;0")/$BG16,0)</f>
        <v>729.583333333333</v>
      </c>
      <c r="BI16" s="523">
        <f ca="1">MAX(OFFSET($BT$4,($BD16-1)*7,0,7,1))</f>
        <v>760.5</v>
      </c>
      <c r="BJ16" s="524">
        <f ca="1">IFERROR($BI16/$BD$5,0)</f>
        <v>0.826630434782609</v>
      </c>
      <c r="BK16" s="525" t="str">
        <f ca="1">IF($BI16=0,"NO WORK",IF($BJ16&gt;1,"OVER CAPACITY",IF($BJ16&gt;0.95,"TIGHT","OK")))</f>
        <v>OK</v>
      </c>
      <c r="BM16" s="52" t="str">
        <f>TEXT($BE16,"d-mmm")</f>
        <v>19-Sep</v>
      </c>
      <c r="BN16" s="526">
        <f ca="1">$BI16</f>
        <v>760.5</v>
      </c>
      <c r="BO16" s="527">
        <f>$BD$5</f>
        <v>920</v>
      </c>
      <c r="BQ16" s="509">
        <f>$A16</f>
        <v>46247</v>
      </c>
      <c r="BR16" s="15" t="str">
        <f>TEXT($A16,"ddd")</f>
        <v>Thu</v>
      </c>
      <c r="BS16" s="547" t="s">
        <v>391</v>
      </c>
      <c r="BT16" s="15">
        <f>IF(UPPER($BS16)="Y",$AB16,0)</f>
        <v>801</v>
      </c>
      <c r="CA16" s="2">
        <f>COUNTIF(INDEX('LINE PLAN'!$B$36:$GS$61,0,ROW()-3),CA$3)</f>
        <v>1</v>
      </c>
      <c r="CB16" s="2">
        <f>COUNTIF(INDEX('LINE PLAN'!$B$36:$GS$61,0,ROW()-3),CB$3)</f>
        <v>1</v>
      </c>
      <c r="CC16" s="2">
        <f>COUNTIF(INDEX('LINE PLAN'!$B$36:$GS$61,0,ROW()-3),CC$3)</f>
        <v>2</v>
      </c>
      <c r="CD16" s="2">
        <f>COUNTIF(INDEX('LINE PLAN'!$B$36:$GS$61,0,ROW()-3),CD$3)</f>
        <v>1</v>
      </c>
      <c r="CE16" s="2">
        <f>COUNTIF(INDEX('LINE PLAN'!$B$36:$GS$61,0,ROW()-3),CE$3)</f>
        <v>2</v>
      </c>
      <c r="CF16" s="2">
        <f>COUNTIF(INDEX('LINE PLAN'!$B$36:$GS$61,0,ROW()-3),CF$3)</f>
        <v>3</v>
      </c>
      <c r="CG16" s="2">
        <f>COUNTIF(INDEX('LINE PLAN'!$B$36:$GS$61,0,ROW()-3),CG$3)</f>
        <v>2</v>
      </c>
      <c r="CH16" s="2">
        <f>COUNTIF(INDEX('LINE PLAN'!$B$36:$GS$61,0,ROW()-3),CH$3)</f>
        <v>1</v>
      </c>
      <c r="CI16" s="2">
        <f>COUNTIF(INDEX('LINE PLAN'!$B$36:$GS$61,0,ROW()-3),CI$3)</f>
        <v>1</v>
      </c>
      <c r="CJ16" s="2">
        <f>COUNTIF(INDEX('LINE PLAN'!$B$36:$GS$61,0,ROW()-3),CJ$3)</f>
        <v>1</v>
      </c>
      <c r="CK16" s="2">
        <f>COUNTIF(INDEX('LINE PLAN'!$B$36:$GS$61,0,ROW()-3),CK$3)</f>
        <v>3</v>
      </c>
      <c r="CL16" s="2">
        <f>COUNTIF(INDEX('LINE PLAN'!$B$36:$GS$61,0,ROW()-3),CL$3)</f>
        <v>0</v>
      </c>
      <c r="CM16" s="2">
        <f>COUNTIF(INDEX('LINE PLAN'!$B$36:$GS$61,0,ROW()-3),CM$3)</f>
        <v>0</v>
      </c>
      <c r="CN16" s="2">
        <f>COUNTIF(INDEX('LINE PLAN'!$B$36:$GS$61,0,ROW()-3),CN$3)</f>
        <v>5</v>
      </c>
      <c r="CO16" s="2">
        <f>COUNTIF(INDEX('LINE PLAN'!$B$36:$GS$61,0,ROW()-3),CO$3)</f>
        <v>0</v>
      </c>
      <c r="CP16" s="2">
        <f>COUNTIF(INDEX('LINE PLAN'!$B$36:$GS$61,0,ROW()-3),CP$3)</f>
        <v>2</v>
      </c>
      <c r="CQ16" s="2">
        <f>COUNTIF(INDEX('LINE PLAN'!$B$36:$GS$61,0,ROW()-3),CQ$3)</f>
        <v>0</v>
      </c>
      <c r="CR16" s="2">
        <f>COUNTIF(INDEX('LINE PLAN'!$B$36:$GS$61,0,ROW()-3),CR$3)</f>
        <v>1</v>
      </c>
      <c r="CS16" s="2">
        <f>COUNTIF(INDEX('LINE PLAN'!$B$36:$GS$61,0,ROW()-3),CS$3)</f>
        <v>0</v>
      </c>
      <c r="CT16" s="2">
        <f>COUNTIF(INDEX('LINE PLAN'!$B$36:$GS$61,0,ROW()-3),CT$3)</f>
        <v>0</v>
      </c>
      <c r="CU16" s="2">
        <f>COUNTIF(INDEX('LINE PLAN'!$B$36:$GS$61,0,ROW()-3),CU$3)</f>
        <v>0</v>
      </c>
      <c r="CV16" s="2">
        <f>COUNTIF(INDEX('LINE PLAN'!$B$36:$GS$61,0,ROW()-3),CV$3)</f>
        <v>0</v>
      </c>
      <c r="CW16" s="2">
        <f>COUNTIF(INDEX('LINE PLAN'!$B$36:$GS$61,0,ROW()-3),CW$3)</f>
        <v>0</v>
      </c>
      <c r="CX16" s="2">
        <f>COUNTIF(INDEX('LINE PLAN'!$B$36:$GS$61,0,ROW()-3),CX$3)</f>
        <v>0</v>
      </c>
      <c r="CY16" s="2">
        <f>COUNTIF(INDEX('LINE PLAN'!$B$36:$GS$61,0,ROW()-3),CY$3)</f>
        <v>0</v>
      </c>
      <c r="CZ16" s="2">
        <f>COUNTIF(INDEX('LINE PLAN'!$B$36:$GS$61,0,ROW()-3),CZ$3)</f>
        <v>0</v>
      </c>
      <c r="DA16" s="2">
        <f>COUNTIF(INDEX('LINE PLAN'!$B$36:$GS$61,0,ROW()-3),DA$3)</f>
        <v>0</v>
      </c>
      <c r="DB16" s="2">
        <f>COUNTIF(INDEX('LINE PLAN'!$B$36:$GS$61,0,ROW()-3),DB$3)</f>
        <v>0</v>
      </c>
      <c r="DC16" s="2">
        <f>COUNTIF(INDEX('LINE PLAN'!$B$36:$GS$61,0,ROW()-3),DC$3)</f>
        <v>0</v>
      </c>
      <c r="DD16" s="2">
        <f>COUNTIF(INDEX('LINE PLAN'!$B$36:$GS$61,0,ROW()-3),DD$3)</f>
        <v>0</v>
      </c>
      <c r="DE16" s="2">
        <f>COUNTIF(INDEX('LINE PLAN'!$B$36:$GS$61,0,ROW()-3),DE$3)</f>
        <v>0</v>
      </c>
      <c r="DF16" s="2">
        <f>COUNTIF(INDEX('LINE PLAN'!$B$36:$GS$61,0,ROW()-3),DF$3)</f>
        <v>0</v>
      </c>
      <c r="DG16" s="2">
        <f>COUNTIF(INDEX('LINE PLAN'!$B$36:$GS$61,0,ROW()-3),DG$3)</f>
        <v>0</v>
      </c>
      <c r="DH16" s="2">
        <f>COUNTIF(INDEX('LINE PLAN'!$B$36:$GS$61,0,ROW()-3),DH$3)</f>
        <v>0</v>
      </c>
      <c r="DI16" s="2">
        <f>COUNTIF(INDEX('LINE PLAN'!$B$36:$GS$61,0,ROW()-3),DI$3)</f>
        <v>0</v>
      </c>
      <c r="DJ16" s="2">
        <f>COUNTIF(INDEX('LINE PLAN'!$B$36:$GS$61,0,ROW()-3),DJ$3)</f>
        <v>0</v>
      </c>
      <c r="DK16" s="2">
        <f>COUNTIF(INDEX('LINE PLAN'!$B$36:$GS$61,0,ROW()-3),DK$3)</f>
        <v>0</v>
      </c>
      <c r="DL16" s="2">
        <f>COUNTIF(INDEX('LINE PLAN'!$B$36:$GS$61,0,ROW()-3),DL$3)</f>
        <v>0</v>
      </c>
      <c r="DM16" s="2">
        <f>COUNTIF(INDEX('LINE PLAN'!$B$36:$GS$61,0,ROW()-3),DM$3)</f>
        <v>0</v>
      </c>
      <c r="DN16" s="2">
        <f>COUNTIF(INDEX('LINE PLAN'!$B$36:$GS$61,0,ROW()-3),DN$3)</f>
        <v>0</v>
      </c>
      <c r="DO16" s="2">
        <f>COUNTIF(INDEX('LINE PLAN'!$B$36:$GS$61,0,ROW()-3),DO$3)</f>
        <v>0</v>
      </c>
      <c r="DP16" s="2">
        <f>COUNTIF(INDEX('LINE PLAN'!$B$36:$GS$61,0,ROW()-3),DP$3)</f>
        <v>0</v>
      </c>
      <c r="DQ16" s="2">
        <f>COUNTIF(INDEX('LINE PLAN'!$B$36:$GS$61,0,ROW()-3),DQ$3)</f>
        <v>0</v>
      </c>
      <c r="DR16" s="2">
        <f>COUNTIF(INDEX('LINE PLAN'!$B$36:$GS$61,0,ROW()-3),DR$3)</f>
        <v>0</v>
      </c>
      <c r="DS16" s="2">
        <f>COUNTIF(INDEX('LINE PLAN'!$B$36:$GS$61,0,ROW()-3),DS$3)</f>
        <v>0</v>
      </c>
      <c r="DT16" s="2">
        <f>COUNTIF(INDEX('LINE PLAN'!$B$36:$GS$61,0,ROW()-3),DT$3)</f>
        <v>0</v>
      </c>
      <c r="DU16" s="2">
        <f>COUNTIF(INDEX('LINE PLAN'!$B$36:$GS$61,0,ROW()-3),DU$3)</f>
        <v>0</v>
      </c>
      <c r="DV16" s="2">
        <f>COUNTIF(INDEX('LINE PLAN'!$B$36:$GS$61,0,ROW()-3),DV$3)</f>
        <v>0</v>
      </c>
    </row>
    <row r="17" spans="1:126">
      <c r="A17" s="505" cm="1">
        <f t="array" ref="A17">INDEX('LINE PLAN'!$B$35:$GS$35,ROW()-3)</f>
        <v>46248</v>
      </c>
      <c r="B17" s="2">
        <f>SUMPRODUCT($CA17:$DV17,INDEX('MC MAP'!$DA$5:$EV$30,1,0))</f>
        <v>130.5</v>
      </c>
      <c r="C17" s="2">
        <f>SUMPRODUCT($CA17:$DV17,INDEX('MC MAP'!$DA$5:$EV$30,2,0))</f>
        <v>1</v>
      </c>
      <c r="D17" s="2">
        <f>SUMPRODUCT($CA17:$DV17,INDEX('MC MAP'!$DA$5:$EV$30,3,0))</f>
        <v>0</v>
      </c>
      <c r="E17" s="2">
        <f>SUMPRODUCT($CA17:$DV17,INDEX('MC MAP'!$DA$5:$EV$30,4,0))</f>
        <v>4</v>
      </c>
      <c r="F17" s="2">
        <f>SUMPRODUCT($CA17:$DV17,INDEX('MC MAP'!$DA$5:$EV$30,5,0))</f>
        <v>214</v>
      </c>
      <c r="G17" s="2">
        <f>SUMPRODUCT($CA17:$DV17,INDEX('MC MAP'!$DA$5:$EV$30,6,0))</f>
        <v>13</v>
      </c>
      <c r="H17" s="2">
        <f>SUMPRODUCT($CA17:$DV17,INDEX('MC MAP'!$DA$5:$EV$30,7,0))</f>
        <v>0</v>
      </c>
      <c r="I17" s="2">
        <f>SUMPRODUCT($CA17:$DV17,INDEX('MC MAP'!$DA$5:$EV$30,8,0))</f>
        <v>36</v>
      </c>
      <c r="J17" s="2">
        <f>SUMPRODUCT($CA17:$DV17,INDEX('MC MAP'!$DA$5:$EV$30,9,0))</f>
        <v>27.5</v>
      </c>
      <c r="K17" s="2">
        <f>SUMPRODUCT($CA17:$DV17,INDEX('MC MAP'!$DA$5:$EV$30,10,0))</f>
        <v>4</v>
      </c>
      <c r="L17" s="2">
        <f>SUMPRODUCT($CA17:$DV17,INDEX('MC MAP'!$DA$5:$EV$30,11,0))</f>
        <v>25.5</v>
      </c>
      <c r="M17" s="2">
        <f>SUMPRODUCT($CA17:$DV17,INDEX('MC MAP'!$DA$5:$EV$30,12,0))</f>
        <v>17</v>
      </c>
      <c r="N17" s="2">
        <f>SUMPRODUCT($CA17:$DV17,INDEX('MC MAP'!$DA$5:$EV$30,13,0))</f>
        <v>19.5</v>
      </c>
      <c r="O17" s="2">
        <f>SUMPRODUCT($CA17:$DV17,INDEX('MC MAP'!$DA$5:$EV$30,14,0))</f>
        <v>42</v>
      </c>
      <c r="P17" s="2">
        <f>SUMPRODUCT($CA17:$DV17,INDEX('MC MAP'!$DA$5:$EV$30,15,0))</f>
        <v>51</v>
      </c>
      <c r="Q17" s="2">
        <f>SUMPRODUCT($CA17:$DV17,INDEX('MC MAP'!$DA$5:$EV$30,16,0))</f>
        <v>0</v>
      </c>
      <c r="R17" s="2">
        <f>SUMPRODUCT($CA17:$DV17,INDEX('MC MAP'!$DA$5:$EV$30,17,0))</f>
        <v>3</v>
      </c>
      <c r="S17" s="2">
        <f>SUMPRODUCT($CA17:$DV17,INDEX('MC MAP'!$DA$5:$EV$30,18,0))</f>
        <v>0</v>
      </c>
      <c r="T17" s="2">
        <f>SUMPRODUCT($CA17:$DV17,INDEX('MC MAP'!$DA$5:$EV$30,19,0))</f>
        <v>13</v>
      </c>
      <c r="U17" s="2">
        <f>SUMPRODUCT($CA17:$DV17,INDEX('MC MAP'!$DA$5:$EV$30,20,0))</f>
        <v>25.5</v>
      </c>
      <c r="V17" s="2">
        <f>SUMPRODUCT($CA17:$DV17,INDEX('MC MAP'!$DA$5:$EV$30,21,0))</f>
        <v>2</v>
      </c>
      <c r="W17" s="2">
        <f>SUMPRODUCT($CA17:$DV17,INDEX('MC MAP'!$DA$5:$EV$30,22,0))</f>
        <v>2</v>
      </c>
      <c r="X17" s="2">
        <f>SUMPRODUCT($CA17:$DV17,INDEX('MC MAP'!$DA$5:$EV$30,23,0))</f>
        <v>0</v>
      </c>
      <c r="Y17" s="2">
        <f>SUMPRODUCT($CA17:$DV17,INDEX('MC MAP'!$DA$5:$EV$30,24,0))</f>
        <v>4.5</v>
      </c>
      <c r="Z17" s="2">
        <f>SUMPRODUCT($CA17:$DV17,INDEX('MC MAP'!$DA$5:$EV$30,25,0))</f>
        <v>0</v>
      </c>
      <c r="AA17" s="2">
        <f>SUMPRODUCT($CA17:$DV17,INDEX('MC MAP'!$DA$5:$EV$30,26,0))</f>
        <v>19</v>
      </c>
      <c r="AB17" s="2">
        <f>SUM($B17:$AA17)</f>
        <v>654</v>
      </c>
      <c r="AC17" s="2">
        <f>SUM($CA17:$DV17)+$AW17</f>
        <v>26</v>
      </c>
      <c r="AW17" s="2">
        <f>IF($A17=0,0,COUNTIF(INDEX('LINE PLAN'!$B$36:$GS$61,0,ROW()-3),"THERMAL - NOT SPECIFIED"))</f>
        <v>0</v>
      </c>
      <c r="AX17" s="506" cm="1">
        <f t="array" ref="AX17">IF(OR($AB17=0,UPPER($BS17)&lt;&gt;"Y"),0,SUMPRODUCT(--($B17:$AA17&gt;$B$205:$AA$205)))</f>
        <v>2</v>
      </c>
      <c r="AY17" s="507">
        <f>$A17</f>
        <v>46248</v>
      </c>
      <c r="AZ17" s="2">
        <f>$AB17</f>
        <v>654</v>
      </c>
      <c r="BA17" s="2">
        <f>'MC MASTER'!$C$29</f>
        <v>920</v>
      </c>
      <c r="BD17" s="529">
        <v>9</v>
      </c>
      <c r="BE17" s="520">
        <f>INDEX($A$4:$A$203,($BD17-1)*7+1)</f>
        <v>46291</v>
      </c>
      <c r="BF17" s="520">
        <f>INDEX($A$4:$A$203,$BD17*7)</f>
        <v>46297</v>
      </c>
      <c r="BG17" s="521" cm="1">
        <f t="array" aca="1" ref="BG17" ca="1">SUMPRODUCT(--(OFFSET($BT$4,($BD17-1)*7,0,7,1)&gt;0))</f>
        <v>6</v>
      </c>
      <c r="BH17" s="522">
        <f ca="1">IFERROR(SUMIF(OFFSET($BT$4,($BD17-1)*7,0,7,1),"&gt;0")/$BG17,0)</f>
        <v>702.666666666667</v>
      </c>
      <c r="BI17" s="523">
        <f ca="1">MAX(OFFSET($BT$4,($BD17-1)*7,0,7,1))</f>
        <v>729</v>
      </c>
      <c r="BJ17" s="524">
        <f ca="1">IFERROR($BI17/$BD$5,0)</f>
        <v>0.792391304347826</v>
      </c>
      <c r="BK17" s="525" t="str">
        <f ca="1">IF($BI17=0,"NO WORK",IF($BJ17&gt;1,"OVER CAPACITY",IF($BJ17&gt;0.95,"TIGHT","OK")))</f>
        <v>OK</v>
      </c>
      <c r="BM17" s="52" t="str">
        <f>TEXT($BE17,"d-mmm")</f>
        <v>26-Sep</v>
      </c>
      <c r="BN17" s="526">
        <f ca="1">$BI17</f>
        <v>729</v>
      </c>
      <c r="BO17" s="527">
        <f>$BD$5</f>
        <v>920</v>
      </c>
      <c r="BQ17" s="509">
        <f>$A17</f>
        <v>46248</v>
      </c>
      <c r="BR17" s="15" t="str">
        <f>TEXT($A17,"ddd")</f>
        <v>Fri</v>
      </c>
      <c r="BS17" s="547" t="s">
        <v>391</v>
      </c>
      <c r="BT17" s="15">
        <f>IF(UPPER($BS17)="Y",$AB17,0)</f>
        <v>654</v>
      </c>
      <c r="CA17" s="2">
        <f>COUNTIF(INDEX('LINE PLAN'!$B$36:$GS$61,0,ROW()-3),CA$3)</f>
        <v>1</v>
      </c>
      <c r="CB17" s="2">
        <f>COUNTIF(INDEX('LINE PLAN'!$B$36:$GS$61,0,ROW()-3),CB$3)</f>
        <v>1</v>
      </c>
      <c r="CC17" s="2">
        <f>COUNTIF(INDEX('LINE PLAN'!$B$36:$GS$61,0,ROW()-3),CC$3)</f>
        <v>2</v>
      </c>
      <c r="CD17" s="2">
        <f>COUNTIF(INDEX('LINE PLAN'!$B$36:$GS$61,0,ROW()-3),CD$3)</f>
        <v>1</v>
      </c>
      <c r="CE17" s="2">
        <f>COUNTIF(INDEX('LINE PLAN'!$B$36:$GS$61,0,ROW()-3),CE$3)</f>
        <v>3</v>
      </c>
      <c r="CF17" s="2">
        <f>COUNTIF(INDEX('LINE PLAN'!$B$36:$GS$61,0,ROW()-3),CF$3)</f>
        <v>3</v>
      </c>
      <c r="CG17" s="2">
        <f>COUNTIF(INDEX('LINE PLAN'!$B$36:$GS$61,0,ROW()-3),CG$3)</f>
        <v>2</v>
      </c>
      <c r="CH17" s="2">
        <f>COUNTIF(INDEX('LINE PLAN'!$B$36:$GS$61,0,ROW()-3),CH$3)</f>
        <v>1</v>
      </c>
      <c r="CI17" s="2">
        <f>COUNTIF(INDEX('LINE PLAN'!$B$36:$GS$61,0,ROW()-3),CI$3)</f>
        <v>1</v>
      </c>
      <c r="CJ17" s="2">
        <f>COUNTIF(INDEX('LINE PLAN'!$B$36:$GS$61,0,ROW()-3),CJ$3)</f>
        <v>1</v>
      </c>
      <c r="CK17" s="2">
        <f>COUNTIF(INDEX('LINE PLAN'!$B$36:$GS$61,0,ROW()-3),CK$3)</f>
        <v>2</v>
      </c>
      <c r="CL17" s="2">
        <f>COUNTIF(INDEX('LINE PLAN'!$B$36:$GS$61,0,ROW()-3),CL$3)</f>
        <v>0</v>
      </c>
      <c r="CM17" s="2">
        <f>COUNTIF(INDEX('LINE PLAN'!$B$36:$GS$61,0,ROW()-3),CM$3)</f>
        <v>5</v>
      </c>
      <c r="CN17" s="2">
        <f>COUNTIF(INDEX('LINE PLAN'!$B$36:$GS$61,0,ROW()-3),CN$3)</f>
        <v>0</v>
      </c>
      <c r="CO17" s="2">
        <f>COUNTIF(INDEX('LINE PLAN'!$B$36:$GS$61,0,ROW()-3),CO$3)</f>
        <v>0</v>
      </c>
      <c r="CP17" s="2">
        <f>COUNTIF(INDEX('LINE PLAN'!$B$36:$GS$61,0,ROW()-3),CP$3)</f>
        <v>2</v>
      </c>
      <c r="CQ17" s="2">
        <f>COUNTIF(INDEX('LINE PLAN'!$B$36:$GS$61,0,ROW()-3),CQ$3)</f>
        <v>0</v>
      </c>
      <c r="CR17" s="2">
        <f>COUNTIF(INDEX('LINE PLAN'!$B$36:$GS$61,0,ROW()-3),CR$3)</f>
        <v>1</v>
      </c>
      <c r="CS17" s="2">
        <f>COUNTIF(INDEX('LINE PLAN'!$B$36:$GS$61,0,ROW()-3),CS$3)</f>
        <v>0</v>
      </c>
      <c r="CT17" s="2">
        <f>COUNTIF(INDEX('LINE PLAN'!$B$36:$GS$61,0,ROW()-3),CT$3)</f>
        <v>0</v>
      </c>
      <c r="CU17" s="2">
        <f>COUNTIF(INDEX('LINE PLAN'!$B$36:$GS$61,0,ROW()-3),CU$3)</f>
        <v>0</v>
      </c>
      <c r="CV17" s="2">
        <f>COUNTIF(INDEX('LINE PLAN'!$B$36:$GS$61,0,ROW()-3),CV$3)</f>
        <v>0</v>
      </c>
      <c r="CW17" s="2">
        <f>COUNTIF(INDEX('LINE PLAN'!$B$36:$GS$61,0,ROW()-3),CW$3)</f>
        <v>0</v>
      </c>
      <c r="CX17" s="2">
        <f>COUNTIF(INDEX('LINE PLAN'!$B$36:$GS$61,0,ROW()-3),CX$3)</f>
        <v>0</v>
      </c>
      <c r="CY17" s="2">
        <f>COUNTIF(INDEX('LINE PLAN'!$B$36:$GS$61,0,ROW()-3),CY$3)</f>
        <v>0</v>
      </c>
      <c r="CZ17" s="2">
        <f>COUNTIF(INDEX('LINE PLAN'!$B$36:$GS$61,0,ROW()-3),CZ$3)</f>
        <v>0</v>
      </c>
      <c r="DA17" s="2">
        <f>COUNTIF(INDEX('LINE PLAN'!$B$36:$GS$61,0,ROW()-3),DA$3)</f>
        <v>0</v>
      </c>
      <c r="DB17" s="2">
        <f>COUNTIF(INDEX('LINE PLAN'!$B$36:$GS$61,0,ROW()-3),DB$3)</f>
        <v>0</v>
      </c>
      <c r="DC17" s="2">
        <f>COUNTIF(INDEX('LINE PLAN'!$B$36:$GS$61,0,ROW()-3),DC$3)</f>
        <v>0</v>
      </c>
      <c r="DD17" s="2">
        <f>COUNTIF(INDEX('LINE PLAN'!$B$36:$GS$61,0,ROW()-3),DD$3)</f>
        <v>0</v>
      </c>
      <c r="DE17" s="2">
        <f>COUNTIF(INDEX('LINE PLAN'!$B$36:$GS$61,0,ROW()-3),DE$3)</f>
        <v>0</v>
      </c>
      <c r="DF17" s="2">
        <f>COUNTIF(INDEX('LINE PLAN'!$B$36:$GS$61,0,ROW()-3),DF$3)</f>
        <v>0</v>
      </c>
      <c r="DG17" s="2">
        <f>COUNTIF(INDEX('LINE PLAN'!$B$36:$GS$61,0,ROW()-3),DG$3)</f>
        <v>0</v>
      </c>
      <c r="DH17" s="2">
        <f>COUNTIF(INDEX('LINE PLAN'!$B$36:$GS$61,0,ROW()-3),DH$3)</f>
        <v>0</v>
      </c>
      <c r="DI17" s="2">
        <f>COUNTIF(INDEX('LINE PLAN'!$B$36:$GS$61,0,ROW()-3),DI$3)</f>
        <v>0</v>
      </c>
      <c r="DJ17" s="2">
        <f>COUNTIF(INDEX('LINE PLAN'!$B$36:$GS$61,0,ROW()-3),DJ$3)</f>
        <v>0</v>
      </c>
      <c r="DK17" s="2">
        <f>COUNTIF(INDEX('LINE PLAN'!$B$36:$GS$61,0,ROW()-3),DK$3)</f>
        <v>0</v>
      </c>
      <c r="DL17" s="2">
        <f>COUNTIF(INDEX('LINE PLAN'!$B$36:$GS$61,0,ROW()-3),DL$3)</f>
        <v>0</v>
      </c>
      <c r="DM17" s="2">
        <f>COUNTIF(INDEX('LINE PLAN'!$B$36:$GS$61,0,ROW()-3),DM$3)</f>
        <v>0</v>
      </c>
      <c r="DN17" s="2">
        <f>COUNTIF(INDEX('LINE PLAN'!$B$36:$GS$61,0,ROW()-3),DN$3)</f>
        <v>0</v>
      </c>
      <c r="DO17" s="2">
        <f>COUNTIF(INDEX('LINE PLAN'!$B$36:$GS$61,0,ROW()-3),DO$3)</f>
        <v>0</v>
      </c>
      <c r="DP17" s="2">
        <f>COUNTIF(INDEX('LINE PLAN'!$B$36:$GS$61,0,ROW()-3),DP$3)</f>
        <v>0</v>
      </c>
      <c r="DQ17" s="2">
        <f>COUNTIF(INDEX('LINE PLAN'!$B$36:$GS$61,0,ROW()-3),DQ$3)</f>
        <v>0</v>
      </c>
      <c r="DR17" s="2">
        <f>COUNTIF(INDEX('LINE PLAN'!$B$36:$GS$61,0,ROW()-3),DR$3)</f>
        <v>0</v>
      </c>
      <c r="DS17" s="2">
        <f>COUNTIF(INDEX('LINE PLAN'!$B$36:$GS$61,0,ROW()-3),DS$3)</f>
        <v>0</v>
      </c>
      <c r="DT17" s="2">
        <f>COUNTIF(INDEX('LINE PLAN'!$B$36:$GS$61,0,ROW()-3),DT$3)</f>
        <v>0</v>
      </c>
      <c r="DU17" s="2">
        <f>COUNTIF(INDEX('LINE PLAN'!$B$36:$GS$61,0,ROW()-3),DU$3)</f>
        <v>0</v>
      </c>
      <c r="DV17" s="2">
        <f>COUNTIF(INDEX('LINE PLAN'!$B$36:$GS$61,0,ROW()-3),DV$3)</f>
        <v>0</v>
      </c>
    </row>
    <row r="18" spans="1:126">
      <c r="A18" s="505" cm="1">
        <f t="array" ref="A18">INDEX('LINE PLAN'!$B$35:$GS$35,ROW()-3)</f>
        <v>46249</v>
      </c>
      <c r="B18" s="2">
        <f>SUMPRODUCT($CA18:$DV18,INDEX('MC MAP'!$DA$5:$EV$30,1,0))</f>
        <v>144.5</v>
      </c>
      <c r="C18" s="2">
        <f>SUMPRODUCT($CA18:$DV18,INDEX('MC MAP'!$DA$5:$EV$30,2,0))</f>
        <v>1</v>
      </c>
      <c r="D18" s="2">
        <f>SUMPRODUCT($CA18:$DV18,INDEX('MC MAP'!$DA$5:$EV$30,3,0))</f>
        <v>0</v>
      </c>
      <c r="E18" s="2">
        <f>SUMPRODUCT($CA18:$DV18,INDEX('MC MAP'!$DA$5:$EV$30,4,0))</f>
        <v>4</v>
      </c>
      <c r="F18" s="2">
        <f>SUMPRODUCT($CA18:$DV18,INDEX('MC MAP'!$DA$5:$EV$30,5,0))</f>
        <v>266</v>
      </c>
      <c r="G18" s="2">
        <f>SUMPRODUCT($CA18:$DV18,INDEX('MC MAP'!$DA$5:$EV$30,6,0))</f>
        <v>30</v>
      </c>
      <c r="H18" s="2">
        <f>SUMPRODUCT($CA18:$DV18,INDEX('MC MAP'!$DA$5:$EV$30,7,0))</f>
        <v>0</v>
      </c>
      <c r="I18" s="2">
        <f>SUMPRODUCT($CA18:$DV18,INDEX('MC MAP'!$DA$5:$EV$30,8,0))</f>
        <v>36</v>
      </c>
      <c r="J18" s="2">
        <f>SUMPRODUCT($CA18:$DV18,INDEX('MC MAP'!$DA$5:$EV$30,9,0))</f>
        <v>27.5</v>
      </c>
      <c r="K18" s="2">
        <f>SUMPRODUCT($CA18:$DV18,INDEX('MC MAP'!$DA$5:$EV$30,10,0))</f>
        <v>12</v>
      </c>
      <c r="L18" s="2">
        <f>SUMPRODUCT($CA18:$DV18,INDEX('MC MAP'!$DA$5:$EV$30,11,0))</f>
        <v>42.5</v>
      </c>
      <c r="M18" s="2">
        <f>SUMPRODUCT($CA18:$DV18,INDEX('MC MAP'!$DA$5:$EV$30,12,0))</f>
        <v>17</v>
      </c>
      <c r="N18" s="2">
        <f>SUMPRODUCT($CA18:$DV18,INDEX('MC MAP'!$DA$5:$EV$30,13,0))</f>
        <v>28.5</v>
      </c>
      <c r="O18" s="2">
        <f>SUMPRODUCT($CA18:$DV18,INDEX('MC MAP'!$DA$5:$EV$30,14,0))</f>
        <v>42</v>
      </c>
      <c r="P18" s="2">
        <f>SUMPRODUCT($CA18:$DV18,INDEX('MC MAP'!$DA$5:$EV$30,15,0))</f>
        <v>63</v>
      </c>
      <c r="Q18" s="2">
        <f>SUMPRODUCT($CA18:$DV18,INDEX('MC MAP'!$DA$5:$EV$30,16,0))</f>
        <v>0</v>
      </c>
      <c r="R18" s="2">
        <f>SUMPRODUCT($CA18:$DV18,INDEX('MC MAP'!$DA$5:$EV$30,17,0))</f>
        <v>3</v>
      </c>
      <c r="S18" s="2">
        <f>SUMPRODUCT($CA18:$DV18,INDEX('MC MAP'!$DA$5:$EV$30,18,0))</f>
        <v>0</v>
      </c>
      <c r="T18" s="2">
        <f>SUMPRODUCT($CA18:$DV18,INDEX('MC MAP'!$DA$5:$EV$30,19,0))</f>
        <v>15</v>
      </c>
      <c r="U18" s="2">
        <f>SUMPRODUCT($CA18:$DV18,INDEX('MC MAP'!$DA$5:$EV$30,20,0))</f>
        <v>32.5</v>
      </c>
      <c r="V18" s="2">
        <f>SUMPRODUCT($CA18:$DV18,INDEX('MC MAP'!$DA$5:$EV$30,21,0))</f>
        <v>2</v>
      </c>
      <c r="W18" s="2">
        <f>SUMPRODUCT($CA18:$DV18,INDEX('MC MAP'!$DA$5:$EV$30,22,0))</f>
        <v>2</v>
      </c>
      <c r="X18" s="2">
        <f>SUMPRODUCT($CA18:$DV18,INDEX('MC MAP'!$DA$5:$EV$30,23,0))</f>
        <v>0</v>
      </c>
      <c r="Y18" s="2">
        <f>SUMPRODUCT($CA18:$DV18,INDEX('MC MAP'!$DA$5:$EV$30,24,0))</f>
        <v>7.5</v>
      </c>
      <c r="Z18" s="2">
        <f>SUMPRODUCT($CA18:$DV18,INDEX('MC MAP'!$DA$5:$EV$30,25,0))</f>
        <v>0</v>
      </c>
      <c r="AA18" s="2">
        <f>SUMPRODUCT($CA18:$DV18,INDEX('MC MAP'!$DA$5:$EV$30,26,0))</f>
        <v>25</v>
      </c>
      <c r="AB18" s="2">
        <f>SUM($B18:$AA18)</f>
        <v>801</v>
      </c>
      <c r="AC18" s="2">
        <f>SUM($CA18:$DV18)+$AW18</f>
        <v>26</v>
      </c>
      <c r="AW18" s="2">
        <f>IF($A18=0,0,COUNTIF(INDEX('LINE PLAN'!$B$36:$GS$61,0,ROW()-3),"THERMAL - NOT SPECIFIED"))</f>
        <v>0</v>
      </c>
      <c r="AX18" s="506" cm="1">
        <f t="array" ref="AX18">IF(OR($AB18=0,UPPER($BS18)&lt;&gt;"Y"),0,SUMPRODUCT(--($B18:$AA18&gt;$B$205:$AA$205)))</f>
        <v>4</v>
      </c>
      <c r="AY18" s="507">
        <f>$A18</f>
        <v>46249</v>
      </c>
      <c r="AZ18" s="2">
        <f>$AB18</f>
        <v>801</v>
      </c>
      <c r="BA18" s="2">
        <f>'MC MASTER'!$C$29</f>
        <v>920</v>
      </c>
      <c r="BD18" s="529">
        <v>10</v>
      </c>
      <c r="BE18" s="520">
        <f>INDEX($A$4:$A$203,($BD18-1)*7+1)</f>
        <v>46298</v>
      </c>
      <c r="BF18" s="520">
        <f>INDEX($A$4:$A$203,$BD18*7)</f>
        <v>46304</v>
      </c>
      <c r="BG18" s="521" cm="1">
        <f t="array" aca="1" ref="BG18" ca="1">SUMPRODUCT(--(OFFSET($BT$4,($BD18-1)*7,0,7,1)&gt;0))</f>
        <v>6</v>
      </c>
      <c r="BH18" s="522">
        <f ca="1">IFERROR(SUMIF(OFFSET($BT$4,($BD18-1)*7,0,7,1),"&gt;0")/$BG18,0)</f>
        <v>647.5</v>
      </c>
      <c r="BI18" s="523">
        <f ca="1">MAX(OFFSET($BT$4,($BD18-1)*7,0,7,1))</f>
        <v>650</v>
      </c>
      <c r="BJ18" s="524">
        <f ca="1">IFERROR($BI18/$BD$5,0)</f>
        <v>0.706521739130435</v>
      </c>
      <c r="BK18" s="525" t="str">
        <f ca="1">IF($BI18=0,"NO WORK",IF($BJ18&gt;1,"OVER CAPACITY",IF($BJ18&gt;0.95,"TIGHT","OK")))</f>
        <v>OK</v>
      </c>
      <c r="BM18" s="52" t="str">
        <f>TEXT($BE18,"d-mmm")</f>
        <v>3-Oct</v>
      </c>
      <c r="BN18" s="526">
        <f ca="1">$BI18</f>
        <v>650</v>
      </c>
      <c r="BO18" s="527">
        <f>$BD$5</f>
        <v>920</v>
      </c>
      <c r="BQ18" s="509">
        <f>$A18</f>
        <v>46249</v>
      </c>
      <c r="BR18" s="15" t="str">
        <f>TEXT($A18,"ddd")</f>
        <v>Sat</v>
      </c>
      <c r="BS18" s="547" t="s">
        <v>391</v>
      </c>
      <c r="BT18" s="15">
        <f>IF(UPPER($BS18)="Y",$AB18,0)</f>
        <v>801</v>
      </c>
      <c r="CA18" s="2">
        <f>COUNTIF(INDEX('LINE PLAN'!$B$36:$GS$61,0,ROW()-3),CA$3)</f>
        <v>1</v>
      </c>
      <c r="CB18" s="2">
        <f>COUNTIF(INDEX('LINE PLAN'!$B$36:$GS$61,0,ROW()-3),CB$3)</f>
        <v>1</v>
      </c>
      <c r="CC18" s="2">
        <f>COUNTIF(INDEX('LINE PLAN'!$B$36:$GS$61,0,ROW()-3),CC$3)</f>
        <v>2</v>
      </c>
      <c r="CD18" s="2">
        <f>COUNTIF(INDEX('LINE PLAN'!$B$36:$GS$61,0,ROW()-3),CD$3)</f>
        <v>1</v>
      </c>
      <c r="CE18" s="2">
        <f>COUNTIF(INDEX('LINE PLAN'!$B$36:$GS$61,0,ROW()-3),CE$3)</f>
        <v>3</v>
      </c>
      <c r="CF18" s="2">
        <f>COUNTIF(INDEX('LINE PLAN'!$B$36:$GS$61,0,ROW()-3),CF$3)</f>
        <v>3</v>
      </c>
      <c r="CG18" s="2">
        <f>COUNTIF(INDEX('LINE PLAN'!$B$36:$GS$61,0,ROW()-3),CG$3)</f>
        <v>2</v>
      </c>
      <c r="CH18" s="2">
        <f>COUNTIF(INDEX('LINE PLAN'!$B$36:$GS$61,0,ROW()-3),CH$3)</f>
        <v>3</v>
      </c>
      <c r="CI18" s="2">
        <f>COUNTIF(INDEX('LINE PLAN'!$B$36:$GS$61,0,ROW()-3),CI$3)</f>
        <v>1</v>
      </c>
      <c r="CJ18" s="2">
        <f>COUNTIF(INDEX('LINE PLAN'!$B$36:$GS$61,0,ROW()-3),CJ$3)</f>
        <v>3</v>
      </c>
      <c r="CK18" s="2">
        <f>COUNTIF(INDEX('LINE PLAN'!$B$36:$GS$61,0,ROW()-3),CK$3)</f>
        <v>2</v>
      </c>
      <c r="CL18" s="2">
        <f>COUNTIF(INDEX('LINE PLAN'!$B$36:$GS$61,0,ROW()-3),CL$3)</f>
        <v>0</v>
      </c>
      <c r="CM18" s="2">
        <f>COUNTIF(INDEX('LINE PLAN'!$B$36:$GS$61,0,ROW()-3),CM$3)</f>
        <v>0</v>
      </c>
      <c r="CN18" s="2">
        <f>COUNTIF(INDEX('LINE PLAN'!$B$36:$GS$61,0,ROW()-3),CN$3)</f>
        <v>0</v>
      </c>
      <c r="CO18" s="2">
        <f>COUNTIF(INDEX('LINE PLAN'!$B$36:$GS$61,0,ROW()-3),CO$3)</f>
        <v>1</v>
      </c>
      <c r="CP18" s="2">
        <f>COUNTIF(INDEX('LINE PLAN'!$B$36:$GS$61,0,ROW()-3),CP$3)</f>
        <v>2</v>
      </c>
      <c r="CQ18" s="2">
        <f>COUNTIF(INDEX('LINE PLAN'!$B$36:$GS$61,0,ROW()-3),CQ$3)</f>
        <v>0</v>
      </c>
      <c r="CR18" s="2">
        <f>COUNTIF(INDEX('LINE PLAN'!$B$36:$GS$61,0,ROW()-3),CR$3)</f>
        <v>1</v>
      </c>
      <c r="CS18" s="2">
        <f>COUNTIF(INDEX('LINE PLAN'!$B$36:$GS$61,0,ROW()-3),CS$3)</f>
        <v>0</v>
      </c>
      <c r="CT18" s="2">
        <f>COUNTIF(INDEX('LINE PLAN'!$B$36:$GS$61,0,ROW()-3),CT$3)</f>
        <v>0</v>
      </c>
      <c r="CU18" s="2">
        <f>COUNTIF(INDEX('LINE PLAN'!$B$36:$GS$61,0,ROW()-3),CU$3)</f>
        <v>0</v>
      </c>
      <c r="CV18" s="2">
        <f>COUNTIF(INDEX('LINE PLAN'!$B$36:$GS$61,0,ROW()-3),CV$3)</f>
        <v>0</v>
      </c>
      <c r="CW18" s="2">
        <f>COUNTIF(INDEX('LINE PLAN'!$B$36:$GS$61,0,ROW()-3),CW$3)</f>
        <v>0</v>
      </c>
      <c r="CX18" s="2">
        <f>COUNTIF(INDEX('LINE PLAN'!$B$36:$GS$61,0,ROW()-3),CX$3)</f>
        <v>0</v>
      </c>
      <c r="CY18" s="2">
        <f>COUNTIF(INDEX('LINE PLAN'!$B$36:$GS$61,0,ROW()-3),CY$3)</f>
        <v>0</v>
      </c>
      <c r="CZ18" s="2">
        <f>COUNTIF(INDEX('LINE PLAN'!$B$36:$GS$61,0,ROW()-3),CZ$3)</f>
        <v>0</v>
      </c>
      <c r="DA18" s="2">
        <f>COUNTIF(INDEX('LINE PLAN'!$B$36:$GS$61,0,ROW()-3),DA$3)</f>
        <v>0</v>
      </c>
      <c r="DB18" s="2">
        <f>COUNTIF(INDEX('LINE PLAN'!$B$36:$GS$61,0,ROW()-3),DB$3)</f>
        <v>0</v>
      </c>
      <c r="DC18" s="2">
        <f>COUNTIF(INDEX('LINE PLAN'!$B$36:$GS$61,0,ROW()-3),DC$3)</f>
        <v>0</v>
      </c>
      <c r="DD18" s="2">
        <f>COUNTIF(INDEX('LINE PLAN'!$B$36:$GS$61,0,ROW()-3),DD$3)</f>
        <v>0</v>
      </c>
      <c r="DE18" s="2">
        <f>COUNTIF(INDEX('LINE PLAN'!$B$36:$GS$61,0,ROW()-3),DE$3)</f>
        <v>0</v>
      </c>
      <c r="DF18" s="2">
        <f>COUNTIF(INDEX('LINE PLAN'!$B$36:$GS$61,0,ROW()-3),DF$3)</f>
        <v>0</v>
      </c>
      <c r="DG18" s="2">
        <f>COUNTIF(INDEX('LINE PLAN'!$B$36:$GS$61,0,ROW()-3),DG$3)</f>
        <v>0</v>
      </c>
      <c r="DH18" s="2">
        <f>COUNTIF(INDEX('LINE PLAN'!$B$36:$GS$61,0,ROW()-3),DH$3)</f>
        <v>0</v>
      </c>
      <c r="DI18" s="2">
        <f>COUNTIF(INDEX('LINE PLAN'!$B$36:$GS$61,0,ROW()-3),DI$3)</f>
        <v>0</v>
      </c>
      <c r="DJ18" s="2">
        <f>COUNTIF(INDEX('LINE PLAN'!$B$36:$GS$61,0,ROW()-3),DJ$3)</f>
        <v>0</v>
      </c>
      <c r="DK18" s="2">
        <f>COUNTIF(INDEX('LINE PLAN'!$B$36:$GS$61,0,ROW()-3),DK$3)</f>
        <v>0</v>
      </c>
      <c r="DL18" s="2">
        <f>COUNTIF(INDEX('LINE PLAN'!$B$36:$GS$61,0,ROW()-3),DL$3)</f>
        <v>0</v>
      </c>
      <c r="DM18" s="2">
        <f>COUNTIF(INDEX('LINE PLAN'!$B$36:$GS$61,0,ROW()-3),DM$3)</f>
        <v>0</v>
      </c>
      <c r="DN18" s="2">
        <f>COUNTIF(INDEX('LINE PLAN'!$B$36:$GS$61,0,ROW()-3),DN$3)</f>
        <v>0</v>
      </c>
      <c r="DO18" s="2">
        <f>COUNTIF(INDEX('LINE PLAN'!$B$36:$GS$61,0,ROW()-3),DO$3)</f>
        <v>0</v>
      </c>
      <c r="DP18" s="2">
        <f>COUNTIF(INDEX('LINE PLAN'!$B$36:$GS$61,0,ROW()-3),DP$3)</f>
        <v>0</v>
      </c>
      <c r="DQ18" s="2">
        <f>COUNTIF(INDEX('LINE PLAN'!$B$36:$GS$61,0,ROW()-3),DQ$3)</f>
        <v>0</v>
      </c>
      <c r="DR18" s="2">
        <f>COUNTIF(INDEX('LINE PLAN'!$B$36:$GS$61,0,ROW()-3),DR$3)</f>
        <v>0</v>
      </c>
      <c r="DS18" s="2">
        <f>COUNTIF(INDEX('LINE PLAN'!$B$36:$GS$61,0,ROW()-3),DS$3)</f>
        <v>0</v>
      </c>
      <c r="DT18" s="2">
        <f>COUNTIF(INDEX('LINE PLAN'!$B$36:$GS$61,0,ROW()-3),DT$3)</f>
        <v>0</v>
      </c>
      <c r="DU18" s="2">
        <f>COUNTIF(INDEX('LINE PLAN'!$B$36:$GS$61,0,ROW()-3),DU$3)</f>
        <v>0</v>
      </c>
      <c r="DV18" s="2">
        <f>COUNTIF(INDEX('LINE PLAN'!$B$36:$GS$61,0,ROW()-3),DV$3)</f>
        <v>0</v>
      </c>
    </row>
    <row r="19" spans="1:126">
      <c r="A19" s="505" cm="1">
        <f t="array" ref="A19">INDEX('LINE PLAN'!$B$35:$GS$35,ROW()-3)</f>
        <v>46250</v>
      </c>
      <c r="B19" s="2">
        <f>SUMPRODUCT($CA19:$DV19,INDEX('MC MAP'!$DA$5:$EV$30,1,0))</f>
        <v>144.5</v>
      </c>
      <c r="C19" s="2">
        <f>SUMPRODUCT($CA19:$DV19,INDEX('MC MAP'!$DA$5:$EV$30,2,0))</f>
        <v>1</v>
      </c>
      <c r="D19" s="2">
        <f>SUMPRODUCT($CA19:$DV19,INDEX('MC MAP'!$DA$5:$EV$30,3,0))</f>
        <v>0</v>
      </c>
      <c r="E19" s="2">
        <f>SUMPRODUCT($CA19:$DV19,INDEX('MC MAP'!$DA$5:$EV$30,4,0))</f>
        <v>4</v>
      </c>
      <c r="F19" s="2">
        <f>SUMPRODUCT($CA19:$DV19,INDEX('MC MAP'!$DA$5:$EV$30,5,0))</f>
        <v>266</v>
      </c>
      <c r="G19" s="2">
        <f>SUMPRODUCT($CA19:$DV19,INDEX('MC MAP'!$DA$5:$EV$30,6,0))</f>
        <v>30</v>
      </c>
      <c r="H19" s="2">
        <f>SUMPRODUCT($CA19:$DV19,INDEX('MC MAP'!$DA$5:$EV$30,7,0))</f>
        <v>0</v>
      </c>
      <c r="I19" s="2">
        <f>SUMPRODUCT($CA19:$DV19,INDEX('MC MAP'!$DA$5:$EV$30,8,0))</f>
        <v>36</v>
      </c>
      <c r="J19" s="2">
        <f>SUMPRODUCT($CA19:$DV19,INDEX('MC MAP'!$DA$5:$EV$30,9,0))</f>
        <v>27.5</v>
      </c>
      <c r="K19" s="2">
        <f>SUMPRODUCT($CA19:$DV19,INDEX('MC MAP'!$DA$5:$EV$30,10,0))</f>
        <v>12</v>
      </c>
      <c r="L19" s="2">
        <f>SUMPRODUCT($CA19:$DV19,INDEX('MC MAP'!$DA$5:$EV$30,11,0))</f>
        <v>42.5</v>
      </c>
      <c r="M19" s="2">
        <f>SUMPRODUCT($CA19:$DV19,INDEX('MC MAP'!$DA$5:$EV$30,12,0))</f>
        <v>17</v>
      </c>
      <c r="N19" s="2">
        <f>SUMPRODUCT($CA19:$DV19,INDEX('MC MAP'!$DA$5:$EV$30,13,0))</f>
        <v>28.5</v>
      </c>
      <c r="O19" s="2">
        <f>SUMPRODUCT($CA19:$DV19,INDEX('MC MAP'!$DA$5:$EV$30,14,0))</f>
        <v>42</v>
      </c>
      <c r="P19" s="2">
        <f>SUMPRODUCT($CA19:$DV19,INDEX('MC MAP'!$DA$5:$EV$30,15,0))</f>
        <v>63</v>
      </c>
      <c r="Q19" s="2">
        <f>SUMPRODUCT($CA19:$DV19,INDEX('MC MAP'!$DA$5:$EV$30,16,0))</f>
        <v>0</v>
      </c>
      <c r="R19" s="2">
        <f>SUMPRODUCT($CA19:$DV19,INDEX('MC MAP'!$DA$5:$EV$30,17,0))</f>
        <v>3</v>
      </c>
      <c r="S19" s="2">
        <f>SUMPRODUCT($CA19:$DV19,INDEX('MC MAP'!$DA$5:$EV$30,18,0))</f>
        <v>0</v>
      </c>
      <c r="T19" s="2">
        <f>SUMPRODUCT($CA19:$DV19,INDEX('MC MAP'!$DA$5:$EV$30,19,0))</f>
        <v>15</v>
      </c>
      <c r="U19" s="2">
        <f>SUMPRODUCT($CA19:$DV19,INDEX('MC MAP'!$DA$5:$EV$30,20,0))</f>
        <v>32.5</v>
      </c>
      <c r="V19" s="2">
        <f>SUMPRODUCT($CA19:$DV19,INDEX('MC MAP'!$DA$5:$EV$30,21,0))</f>
        <v>2</v>
      </c>
      <c r="W19" s="2">
        <f>SUMPRODUCT($CA19:$DV19,INDEX('MC MAP'!$DA$5:$EV$30,22,0))</f>
        <v>2</v>
      </c>
      <c r="X19" s="2">
        <f>SUMPRODUCT($CA19:$DV19,INDEX('MC MAP'!$DA$5:$EV$30,23,0))</f>
        <v>0</v>
      </c>
      <c r="Y19" s="2">
        <f>SUMPRODUCT($CA19:$DV19,INDEX('MC MAP'!$DA$5:$EV$30,24,0))</f>
        <v>7.5</v>
      </c>
      <c r="Z19" s="2">
        <f>SUMPRODUCT($CA19:$DV19,INDEX('MC MAP'!$DA$5:$EV$30,25,0))</f>
        <v>0</v>
      </c>
      <c r="AA19" s="2">
        <f>SUMPRODUCT($CA19:$DV19,INDEX('MC MAP'!$DA$5:$EV$30,26,0))</f>
        <v>25</v>
      </c>
      <c r="AB19" s="2">
        <f>SUM($B19:$AA19)</f>
        <v>801</v>
      </c>
      <c r="AC19" s="2">
        <f>SUM($CA19:$DV19)+$AW19</f>
        <v>26</v>
      </c>
      <c r="AW19" s="2">
        <f>IF($A19=0,0,COUNTIF(INDEX('LINE PLAN'!$B$36:$GS$61,0,ROW()-3),"THERMAL - NOT SPECIFIED"))</f>
        <v>0</v>
      </c>
      <c r="AX19" s="506" cm="1">
        <f t="array" ref="AX19">IF(OR($AB19=0,UPPER($BS19)&lt;&gt;"Y"),0,SUMPRODUCT(--($B19:$AA19&gt;$B$205:$AA$205)))</f>
        <v>0</v>
      </c>
      <c r="AY19" s="507">
        <f>$A19</f>
        <v>46250</v>
      </c>
      <c r="AZ19" s="2">
        <f>$AB19</f>
        <v>801</v>
      </c>
      <c r="BA19" s="2">
        <f>'MC MASTER'!$C$29</f>
        <v>920</v>
      </c>
      <c r="BD19" s="529">
        <v>11</v>
      </c>
      <c r="BE19" s="520">
        <f>INDEX($A$4:$A$203,($BD19-1)*7+1)</f>
        <v>46305</v>
      </c>
      <c r="BF19" s="520">
        <f>INDEX($A$4:$A$203,$BD19*7)</f>
        <v>46311</v>
      </c>
      <c r="BG19" s="521" cm="1">
        <f t="array" aca="1" ref="BG19" ca="1">SUMPRODUCT(--(OFFSET($BT$4,($BD19-1)*7,0,7,1)&gt;0))</f>
        <v>6</v>
      </c>
      <c r="BH19" s="522">
        <f ca="1">IFERROR(SUMIF(OFFSET($BT$4,($BD19-1)*7,0,7,1),"&gt;0")/$BG19,0)</f>
        <v>366.333333333333</v>
      </c>
      <c r="BI19" s="523">
        <f ca="1">MAX(OFFSET($BT$4,($BD19-1)*7,0,7,1))</f>
        <v>407</v>
      </c>
      <c r="BJ19" s="524">
        <f ca="1">IFERROR($BI19/$BD$5,0)</f>
        <v>0.442391304347826</v>
      </c>
      <c r="BK19" s="525" t="str">
        <f ca="1">IF($BI19=0,"NO WORK",IF($BJ19&gt;1,"OVER CAPACITY",IF($BJ19&gt;0.95,"TIGHT","OK")))</f>
        <v>OK</v>
      </c>
      <c r="BM19" s="52" t="str">
        <f>TEXT($BE19,"d-mmm")</f>
        <v>10-Oct</v>
      </c>
      <c r="BN19" s="526">
        <f ca="1">$BI19</f>
        <v>407</v>
      </c>
      <c r="BO19" s="527">
        <f>$BD$5</f>
        <v>920</v>
      </c>
      <c r="BQ19" s="509">
        <f>$A19</f>
        <v>46250</v>
      </c>
      <c r="BR19" s="15" t="str">
        <f>TEXT($A19,"ddd")</f>
        <v>Sun</v>
      </c>
      <c r="BS19" s="547" t="s">
        <v>392</v>
      </c>
      <c r="BT19" s="15">
        <f>IF(UPPER($BS19)="Y",$AB19,0)</f>
        <v>0</v>
      </c>
      <c r="CA19" s="2">
        <f>COUNTIF(INDEX('LINE PLAN'!$B$36:$GS$61,0,ROW()-3),CA$3)</f>
        <v>1</v>
      </c>
      <c r="CB19" s="2">
        <f>COUNTIF(INDEX('LINE PLAN'!$B$36:$GS$61,0,ROW()-3),CB$3)</f>
        <v>1</v>
      </c>
      <c r="CC19" s="2">
        <f>COUNTIF(INDEX('LINE PLAN'!$B$36:$GS$61,0,ROW()-3),CC$3)</f>
        <v>2</v>
      </c>
      <c r="CD19" s="2">
        <f>COUNTIF(INDEX('LINE PLAN'!$B$36:$GS$61,0,ROW()-3),CD$3)</f>
        <v>1</v>
      </c>
      <c r="CE19" s="2">
        <f>COUNTIF(INDEX('LINE PLAN'!$B$36:$GS$61,0,ROW()-3),CE$3)</f>
        <v>3</v>
      </c>
      <c r="CF19" s="2">
        <f>COUNTIF(INDEX('LINE PLAN'!$B$36:$GS$61,0,ROW()-3),CF$3)</f>
        <v>3</v>
      </c>
      <c r="CG19" s="2">
        <f>COUNTIF(INDEX('LINE PLAN'!$B$36:$GS$61,0,ROW()-3),CG$3)</f>
        <v>2</v>
      </c>
      <c r="CH19" s="2">
        <f>COUNTIF(INDEX('LINE PLAN'!$B$36:$GS$61,0,ROW()-3),CH$3)</f>
        <v>3</v>
      </c>
      <c r="CI19" s="2">
        <f>COUNTIF(INDEX('LINE PLAN'!$B$36:$GS$61,0,ROW()-3),CI$3)</f>
        <v>1</v>
      </c>
      <c r="CJ19" s="2">
        <f>COUNTIF(INDEX('LINE PLAN'!$B$36:$GS$61,0,ROW()-3),CJ$3)</f>
        <v>3</v>
      </c>
      <c r="CK19" s="2">
        <f>COUNTIF(INDEX('LINE PLAN'!$B$36:$GS$61,0,ROW()-3),CK$3)</f>
        <v>2</v>
      </c>
      <c r="CL19" s="2">
        <f>COUNTIF(INDEX('LINE PLAN'!$B$36:$GS$61,0,ROW()-3),CL$3)</f>
        <v>0</v>
      </c>
      <c r="CM19" s="2">
        <f>COUNTIF(INDEX('LINE PLAN'!$B$36:$GS$61,0,ROW()-3),CM$3)</f>
        <v>0</v>
      </c>
      <c r="CN19" s="2">
        <f>COUNTIF(INDEX('LINE PLAN'!$B$36:$GS$61,0,ROW()-3),CN$3)</f>
        <v>0</v>
      </c>
      <c r="CO19" s="2">
        <f>COUNTIF(INDEX('LINE PLAN'!$B$36:$GS$61,0,ROW()-3),CO$3)</f>
        <v>1</v>
      </c>
      <c r="CP19" s="2">
        <f>COUNTIF(INDEX('LINE PLAN'!$B$36:$GS$61,0,ROW()-3),CP$3)</f>
        <v>2</v>
      </c>
      <c r="CQ19" s="2">
        <f>COUNTIF(INDEX('LINE PLAN'!$B$36:$GS$61,0,ROW()-3),CQ$3)</f>
        <v>0</v>
      </c>
      <c r="CR19" s="2">
        <f>COUNTIF(INDEX('LINE PLAN'!$B$36:$GS$61,0,ROW()-3),CR$3)</f>
        <v>1</v>
      </c>
      <c r="CS19" s="2">
        <f>COUNTIF(INDEX('LINE PLAN'!$B$36:$GS$61,0,ROW()-3),CS$3)</f>
        <v>0</v>
      </c>
      <c r="CT19" s="2">
        <f>COUNTIF(INDEX('LINE PLAN'!$B$36:$GS$61,0,ROW()-3),CT$3)</f>
        <v>0</v>
      </c>
      <c r="CU19" s="2">
        <f>COUNTIF(INDEX('LINE PLAN'!$B$36:$GS$61,0,ROW()-3),CU$3)</f>
        <v>0</v>
      </c>
      <c r="CV19" s="2">
        <f>COUNTIF(INDEX('LINE PLAN'!$B$36:$GS$61,0,ROW()-3),CV$3)</f>
        <v>0</v>
      </c>
      <c r="CW19" s="2">
        <f>COUNTIF(INDEX('LINE PLAN'!$B$36:$GS$61,0,ROW()-3),CW$3)</f>
        <v>0</v>
      </c>
      <c r="CX19" s="2">
        <f>COUNTIF(INDEX('LINE PLAN'!$B$36:$GS$61,0,ROW()-3),CX$3)</f>
        <v>0</v>
      </c>
      <c r="CY19" s="2">
        <f>COUNTIF(INDEX('LINE PLAN'!$B$36:$GS$61,0,ROW()-3),CY$3)</f>
        <v>0</v>
      </c>
      <c r="CZ19" s="2">
        <f>COUNTIF(INDEX('LINE PLAN'!$B$36:$GS$61,0,ROW()-3),CZ$3)</f>
        <v>0</v>
      </c>
      <c r="DA19" s="2">
        <f>COUNTIF(INDEX('LINE PLAN'!$B$36:$GS$61,0,ROW()-3),DA$3)</f>
        <v>0</v>
      </c>
      <c r="DB19" s="2">
        <f>COUNTIF(INDEX('LINE PLAN'!$B$36:$GS$61,0,ROW()-3),DB$3)</f>
        <v>0</v>
      </c>
      <c r="DC19" s="2">
        <f>COUNTIF(INDEX('LINE PLAN'!$B$36:$GS$61,0,ROW()-3),DC$3)</f>
        <v>0</v>
      </c>
      <c r="DD19" s="2">
        <f>COUNTIF(INDEX('LINE PLAN'!$B$36:$GS$61,0,ROW()-3),DD$3)</f>
        <v>0</v>
      </c>
      <c r="DE19" s="2">
        <f>COUNTIF(INDEX('LINE PLAN'!$B$36:$GS$61,0,ROW()-3),DE$3)</f>
        <v>0</v>
      </c>
      <c r="DF19" s="2">
        <f>COUNTIF(INDEX('LINE PLAN'!$B$36:$GS$61,0,ROW()-3),DF$3)</f>
        <v>0</v>
      </c>
      <c r="DG19" s="2">
        <f>COUNTIF(INDEX('LINE PLAN'!$B$36:$GS$61,0,ROW()-3),DG$3)</f>
        <v>0</v>
      </c>
      <c r="DH19" s="2">
        <f>COUNTIF(INDEX('LINE PLAN'!$B$36:$GS$61,0,ROW()-3),DH$3)</f>
        <v>0</v>
      </c>
      <c r="DI19" s="2">
        <f>COUNTIF(INDEX('LINE PLAN'!$B$36:$GS$61,0,ROW()-3),DI$3)</f>
        <v>0</v>
      </c>
      <c r="DJ19" s="2">
        <f>COUNTIF(INDEX('LINE PLAN'!$B$36:$GS$61,0,ROW()-3),DJ$3)</f>
        <v>0</v>
      </c>
      <c r="DK19" s="2">
        <f>COUNTIF(INDEX('LINE PLAN'!$B$36:$GS$61,0,ROW()-3),DK$3)</f>
        <v>0</v>
      </c>
      <c r="DL19" s="2">
        <f>COUNTIF(INDEX('LINE PLAN'!$B$36:$GS$61,0,ROW()-3),DL$3)</f>
        <v>0</v>
      </c>
      <c r="DM19" s="2">
        <f>COUNTIF(INDEX('LINE PLAN'!$B$36:$GS$61,0,ROW()-3),DM$3)</f>
        <v>0</v>
      </c>
      <c r="DN19" s="2">
        <f>COUNTIF(INDEX('LINE PLAN'!$B$36:$GS$61,0,ROW()-3),DN$3)</f>
        <v>0</v>
      </c>
      <c r="DO19" s="2">
        <f>COUNTIF(INDEX('LINE PLAN'!$B$36:$GS$61,0,ROW()-3),DO$3)</f>
        <v>0</v>
      </c>
      <c r="DP19" s="2">
        <f>COUNTIF(INDEX('LINE PLAN'!$B$36:$GS$61,0,ROW()-3),DP$3)</f>
        <v>0</v>
      </c>
      <c r="DQ19" s="2">
        <f>COUNTIF(INDEX('LINE PLAN'!$B$36:$GS$61,0,ROW()-3),DQ$3)</f>
        <v>0</v>
      </c>
      <c r="DR19" s="2">
        <f>COUNTIF(INDEX('LINE PLAN'!$B$36:$GS$61,0,ROW()-3),DR$3)</f>
        <v>0</v>
      </c>
      <c r="DS19" s="2">
        <f>COUNTIF(INDEX('LINE PLAN'!$B$36:$GS$61,0,ROW()-3),DS$3)</f>
        <v>0</v>
      </c>
      <c r="DT19" s="2">
        <f>COUNTIF(INDEX('LINE PLAN'!$B$36:$GS$61,0,ROW()-3),DT$3)</f>
        <v>0</v>
      </c>
      <c r="DU19" s="2">
        <f>COUNTIF(INDEX('LINE PLAN'!$B$36:$GS$61,0,ROW()-3),DU$3)</f>
        <v>0</v>
      </c>
      <c r="DV19" s="2">
        <f>COUNTIF(INDEX('LINE PLAN'!$B$36:$GS$61,0,ROW()-3),DV$3)</f>
        <v>0</v>
      </c>
    </row>
    <row r="20" spans="1:126">
      <c r="A20" s="505" cm="1">
        <f t="array" ref="A20">INDEX('LINE PLAN'!$B$35:$GS$35,ROW()-3)</f>
        <v>46251</v>
      </c>
      <c r="B20" s="2">
        <f>SUMPRODUCT($CA20:$DV20,INDEX('MC MAP'!$DA$5:$EV$30,1,0))</f>
        <v>144.5</v>
      </c>
      <c r="C20" s="2">
        <f>SUMPRODUCT($CA20:$DV20,INDEX('MC MAP'!$DA$5:$EV$30,2,0))</f>
        <v>1</v>
      </c>
      <c r="D20" s="2">
        <f>SUMPRODUCT($CA20:$DV20,INDEX('MC MAP'!$DA$5:$EV$30,3,0))</f>
        <v>0</v>
      </c>
      <c r="E20" s="2">
        <f>SUMPRODUCT($CA20:$DV20,INDEX('MC MAP'!$DA$5:$EV$30,4,0))</f>
        <v>4</v>
      </c>
      <c r="F20" s="2">
        <f>SUMPRODUCT($CA20:$DV20,INDEX('MC MAP'!$DA$5:$EV$30,5,0))</f>
        <v>266</v>
      </c>
      <c r="G20" s="2">
        <f>SUMPRODUCT($CA20:$DV20,INDEX('MC MAP'!$DA$5:$EV$30,6,0))</f>
        <v>30</v>
      </c>
      <c r="H20" s="2">
        <f>SUMPRODUCT($CA20:$DV20,INDEX('MC MAP'!$DA$5:$EV$30,7,0))</f>
        <v>0</v>
      </c>
      <c r="I20" s="2">
        <f>SUMPRODUCT($CA20:$DV20,INDEX('MC MAP'!$DA$5:$EV$30,8,0))</f>
        <v>36</v>
      </c>
      <c r="J20" s="2">
        <f>SUMPRODUCT($CA20:$DV20,INDEX('MC MAP'!$DA$5:$EV$30,9,0))</f>
        <v>27.5</v>
      </c>
      <c r="K20" s="2">
        <f>SUMPRODUCT($CA20:$DV20,INDEX('MC MAP'!$DA$5:$EV$30,10,0))</f>
        <v>12</v>
      </c>
      <c r="L20" s="2">
        <f>SUMPRODUCT($CA20:$DV20,INDEX('MC MAP'!$DA$5:$EV$30,11,0))</f>
        <v>42.5</v>
      </c>
      <c r="M20" s="2">
        <f>SUMPRODUCT($CA20:$DV20,INDEX('MC MAP'!$DA$5:$EV$30,12,0))</f>
        <v>17</v>
      </c>
      <c r="N20" s="2">
        <f>SUMPRODUCT($CA20:$DV20,INDEX('MC MAP'!$DA$5:$EV$30,13,0))</f>
        <v>28.5</v>
      </c>
      <c r="O20" s="2">
        <f>SUMPRODUCT($CA20:$DV20,INDEX('MC MAP'!$DA$5:$EV$30,14,0))</f>
        <v>42</v>
      </c>
      <c r="P20" s="2">
        <f>SUMPRODUCT($CA20:$DV20,INDEX('MC MAP'!$DA$5:$EV$30,15,0))</f>
        <v>63</v>
      </c>
      <c r="Q20" s="2">
        <f>SUMPRODUCT($CA20:$DV20,INDEX('MC MAP'!$DA$5:$EV$30,16,0))</f>
        <v>0</v>
      </c>
      <c r="R20" s="2">
        <f>SUMPRODUCT($CA20:$DV20,INDEX('MC MAP'!$DA$5:$EV$30,17,0))</f>
        <v>3</v>
      </c>
      <c r="S20" s="2">
        <f>SUMPRODUCT($CA20:$DV20,INDEX('MC MAP'!$DA$5:$EV$30,18,0))</f>
        <v>0</v>
      </c>
      <c r="T20" s="2">
        <f>SUMPRODUCT($CA20:$DV20,INDEX('MC MAP'!$DA$5:$EV$30,19,0))</f>
        <v>15</v>
      </c>
      <c r="U20" s="2">
        <f>SUMPRODUCT($CA20:$DV20,INDEX('MC MAP'!$DA$5:$EV$30,20,0))</f>
        <v>32.5</v>
      </c>
      <c r="V20" s="2">
        <f>SUMPRODUCT($CA20:$DV20,INDEX('MC MAP'!$DA$5:$EV$30,21,0))</f>
        <v>2</v>
      </c>
      <c r="W20" s="2">
        <f>SUMPRODUCT($CA20:$DV20,INDEX('MC MAP'!$DA$5:$EV$30,22,0))</f>
        <v>2</v>
      </c>
      <c r="X20" s="2">
        <f>SUMPRODUCT($CA20:$DV20,INDEX('MC MAP'!$DA$5:$EV$30,23,0))</f>
        <v>0</v>
      </c>
      <c r="Y20" s="2">
        <f>SUMPRODUCT($CA20:$DV20,INDEX('MC MAP'!$DA$5:$EV$30,24,0))</f>
        <v>7.5</v>
      </c>
      <c r="Z20" s="2">
        <f>SUMPRODUCT($CA20:$DV20,INDEX('MC MAP'!$DA$5:$EV$30,25,0))</f>
        <v>0</v>
      </c>
      <c r="AA20" s="2">
        <f>SUMPRODUCT($CA20:$DV20,INDEX('MC MAP'!$DA$5:$EV$30,26,0))</f>
        <v>25</v>
      </c>
      <c r="AB20" s="2">
        <f>SUM($B20:$AA20)</f>
        <v>801</v>
      </c>
      <c r="AC20" s="2">
        <f>SUM($CA20:$DV20)+$AW20</f>
        <v>26</v>
      </c>
      <c r="AW20" s="2">
        <f>IF($A20=0,0,COUNTIF(INDEX('LINE PLAN'!$B$36:$GS$61,0,ROW()-3),"THERMAL - NOT SPECIFIED"))</f>
        <v>0</v>
      </c>
      <c r="AX20" s="506" cm="1">
        <f t="array" ref="AX20">IF(OR($AB20=0,UPPER($BS20)&lt;&gt;"Y"),0,SUMPRODUCT(--($B20:$AA20&gt;$B$205:$AA$205)))</f>
        <v>4</v>
      </c>
      <c r="AY20" s="507">
        <f>$A20</f>
        <v>46251</v>
      </c>
      <c r="AZ20" s="2">
        <f>$AB20</f>
        <v>801</v>
      </c>
      <c r="BA20" s="2">
        <f>'MC MASTER'!$C$29</f>
        <v>920</v>
      </c>
      <c r="BD20" s="529">
        <v>12</v>
      </c>
      <c r="BE20" s="520">
        <f>INDEX($A$4:$A$203,($BD20-1)*7+1)</f>
        <v>46312</v>
      </c>
      <c r="BF20" s="520">
        <f>INDEX($A$4:$A$203,$BD20*7)</f>
        <v>46318</v>
      </c>
      <c r="BG20" s="521" cm="1">
        <f t="array" aca="1" ref="BG20" ca="1">SUMPRODUCT(--(OFFSET($BT$4,($BD20-1)*7,0,7,1)&gt;0))</f>
        <v>5</v>
      </c>
      <c r="BH20" s="522">
        <f ca="1">IFERROR(SUMIF(OFFSET($BT$4,($BD20-1)*7,0,7,1),"&gt;0")/$BG20,0)</f>
        <v>102.5</v>
      </c>
      <c r="BI20" s="523">
        <f ca="1">MAX(OFFSET($BT$4,($BD20-1)*7,0,7,1))</f>
        <v>163</v>
      </c>
      <c r="BJ20" s="524">
        <f ca="1">IFERROR($BI20/$BD$5,0)</f>
        <v>0.177173913043478</v>
      </c>
      <c r="BK20" s="525" t="str">
        <f ca="1">IF($BI20=0,"NO WORK",IF($BJ20&gt;1,"OVER CAPACITY",IF($BJ20&gt;0.95,"TIGHT","OK")))</f>
        <v>OK</v>
      </c>
      <c r="BM20" s="52" t="str">
        <f>TEXT($BE20,"d-mmm")</f>
        <v>17-Oct</v>
      </c>
      <c r="BN20" s="526">
        <f ca="1">$BI20</f>
        <v>163</v>
      </c>
      <c r="BO20" s="527">
        <f>$BD$5</f>
        <v>920</v>
      </c>
      <c r="BQ20" s="509">
        <f>$A20</f>
        <v>46251</v>
      </c>
      <c r="BR20" s="15" t="str">
        <f>TEXT($A20,"ddd")</f>
        <v>Mon</v>
      </c>
      <c r="BS20" s="547" t="s">
        <v>391</v>
      </c>
      <c r="BT20" s="15">
        <f>IF(UPPER($BS20)="Y",$AB20,0)</f>
        <v>801</v>
      </c>
      <c r="CA20" s="2">
        <f>COUNTIF(INDEX('LINE PLAN'!$B$36:$GS$61,0,ROW()-3),CA$3)</f>
        <v>1</v>
      </c>
      <c r="CB20" s="2">
        <f>COUNTIF(INDEX('LINE PLAN'!$B$36:$GS$61,0,ROW()-3),CB$3)</f>
        <v>1</v>
      </c>
      <c r="CC20" s="2">
        <f>COUNTIF(INDEX('LINE PLAN'!$B$36:$GS$61,0,ROW()-3),CC$3)</f>
        <v>2</v>
      </c>
      <c r="CD20" s="2">
        <f>COUNTIF(INDEX('LINE PLAN'!$B$36:$GS$61,0,ROW()-3),CD$3)</f>
        <v>1</v>
      </c>
      <c r="CE20" s="2">
        <f>COUNTIF(INDEX('LINE PLAN'!$B$36:$GS$61,0,ROW()-3),CE$3)</f>
        <v>3</v>
      </c>
      <c r="CF20" s="2">
        <f>COUNTIF(INDEX('LINE PLAN'!$B$36:$GS$61,0,ROW()-3),CF$3)</f>
        <v>3</v>
      </c>
      <c r="CG20" s="2">
        <f>COUNTIF(INDEX('LINE PLAN'!$B$36:$GS$61,0,ROW()-3),CG$3)</f>
        <v>2</v>
      </c>
      <c r="CH20" s="2">
        <f>COUNTIF(INDEX('LINE PLAN'!$B$36:$GS$61,0,ROW()-3),CH$3)</f>
        <v>3</v>
      </c>
      <c r="CI20" s="2">
        <f>COUNTIF(INDEX('LINE PLAN'!$B$36:$GS$61,0,ROW()-3),CI$3)</f>
        <v>1</v>
      </c>
      <c r="CJ20" s="2">
        <f>COUNTIF(INDEX('LINE PLAN'!$B$36:$GS$61,0,ROW()-3),CJ$3)</f>
        <v>3</v>
      </c>
      <c r="CK20" s="2">
        <f>COUNTIF(INDEX('LINE PLAN'!$B$36:$GS$61,0,ROW()-3),CK$3)</f>
        <v>2</v>
      </c>
      <c r="CL20" s="2">
        <f>COUNTIF(INDEX('LINE PLAN'!$B$36:$GS$61,0,ROW()-3),CL$3)</f>
        <v>0</v>
      </c>
      <c r="CM20" s="2">
        <f>COUNTIF(INDEX('LINE PLAN'!$B$36:$GS$61,0,ROW()-3),CM$3)</f>
        <v>0</v>
      </c>
      <c r="CN20" s="2">
        <f>COUNTIF(INDEX('LINE PLAN'!$B$36:$GS$61,0,ROW()-3),CN$3)</f>
        <v>0</v>
      </c>
      <c r="CO20" s="2">
        <f>COUNTIF(INDEX('LINE PLAN'!$B$36:$GS$61,0,ROW()-3),CO$3)</f>
        <v>1</v>
      </c>
      <c r="CP20" s="2">
        <f>COUNTIF(INDEX('LINE PLAN'!$B$36:$GS$61,0,ROW()-3),CP$3)</f>
        <v>2</v>
      </c>
      <c r="CQ20" s="2">
        <f>COUNTIF(INDEX('LINE PLAN'!$B$36:$GS$61,0,ROW()-3),CQ$3)</f>
        <v>0</v>
      </c>
      <c r="CR20" s="2">
        <f>COUNTIF(INDEX('LINE PLAN'!$B$36:$GS$61,0,ROW()-3),CR$3)</f>
        <v>1</v>
      </c>
      <c r="CS20" s="2">
        <f>COUNTIF(INDEX('LINE PLAN'!$B$36:$GS$61,0,ROW()-3),CS$3)</f>
        <v>0</v>
      </c>
      <c r="CT20" s="2">
        <f>COUNTIF(INDEX('LINE PLAN'!$B$36:$GS$61,0,ROW()-3),CT$3)</f>
        <v>0</v>
      </c>
      <c r="CU20" s="2">
        <f>COUNTIF(INDEX('LINE PLAN'!$B$36:$GS$61,0,ROW()-3),CU$3)</f>
        <v>0</v>
      </c>
      <c r="CV20" s="2">
        <f>COUNTIF(INDEX('LINE PLAN'!$B$36:$GS$61,0,ROW()-3),CV$3)</f>
        <v>0</v>
      </c>
      <c r="CW20" s="2">
        <f>COUNTIF(INDEX('LINE PLAN'!$B$36:$GS$61,0,ROW()-3),CW$3)</f>
        <v>0</v>
      </c>
      <c r="CX20" s="2">
        <f>COUNTIF(INDEX('LINE PLAN'!$B$36:$GS$61,0,ROW()-3),CX$3)</f>
        <v>0</v>
      </c>
      <c r="CY20" s="2">
        <f>COUNTIF(INDEX('LINE PLAN'!$B$36:$GS$61,0,ROW()-3),CY$3)</f>
        <v>0</v>
      </c>
      <c r="CZ20" s="2">
        <f>COUNTIF(INDEX('LINE PLAN'!$B$36:$GS$61,0,ROW()-3),CZ$3)</f>
        <v>0</v>
      </c>
      <c r="DA20" s="2">
        <f>COUNTIF(INDEX('LINE PLAN'!$B$36:$GS$61,0,ROW()-3),DA$3)</f>
        <v>0</v>
      </c>
      <c r="DB20" s="2">
        <f>COUNTIF(INDEX('LINE PLAN'!$B$36:$GS$61,0,ROW()-3),DB$3)</f>
        <v>0</v>
      </c>
      <c r="DC20" s="2">
        <f>COUNTIF(INDEX('LINE PLAN'!$B$36:$GS$61,0,ROW()-3),DC$3)</f>
        <v>0</v>
      </c>
      <c r="DD20" s="2">
        <f>COUNTIF(INDEX('LINE PLAN'!$B$36:$GS$61,0,ROW()-3),DD$3)</f>
        <v>0</v>
      </c>
      <c r="DE20" s="2">
        <f>COUNTIF(INDEX('LINE PLAN'!$B$36:$GS$61,0,ROW()-3),DE$3)</f>
        <v>0</v>
      </c>
      <c r="DF20" s="2">
        <f>COUNTIF(INDEX('LINE PLAN'!$B$36:$GS$61,0,ROW()-3),DF$3)</f>
        <v>0</v>
      </c>
      <c r="DG20" s="2">
        <f>COUNTIF(INDEX('LINE PLAN'!$B$36:$GS$61,0,ROW()-3),DG$3)</f>
        <v>0</v>
      </c>
      <c r="DH20" s="2">
        <f>COUNTIF(INDEX('LINE PLAN'!$B$36:$GS$61,0,ROW()-3),DH$3)</f>
        <v>0</v>
      </c>
      <c r="DI20" s="2">
        <f>COUNTIF(INDEX('LINE PLAN'!$B$36:$GS$61,0,ROW()-3),DI$3)</f>
        <v>0</v>
      </c>
      <c r="DJ20" s="2">
        <f>COUNTIF(INDEX('LINE PLAN'!$B$36:$GS$61,0,ROW()-3),DJ$3)</f>
        <v>0</v>
      </c>
      <c r="DK20" s="2">
        <f>COUNTIF(INDEX('LINE PLAN'!$B$36:$GS$61,0,ROW()-3),DK$3)</f>
        <v>0</v>
      </c>
      <c r="DL20" s="2">
        <f>COUNTIF(INDEX('LINE PLAN'!$B$36:$GS$61,0,ROW()-3),DL$3)</f>
        <v>0</v>
      </c>
      <c r="DM20" s="2">
        <f>COUNTIF(INDEX('LINE PLAN'!$B$36:$GS$61,0,ROW()-3),DM$3)</f>
        <v>0</v>
      </c>
      <c r="DN20" s="2">
        <f>COUNTIF(INDEX('LINE PLAN'!$B$36:$GS$61,0,ROW()-3),DN$3)</f>
        <v>0</v>
      </c>
      <c r="DO20" s="2">
        <f>COUNTIF(INDEX('LINE PLAN'!$B$36:$GS$61,0,ROW()-3),DO$3)</f>
        <v>0</v>
      </c>
      <c r="DP20" s="2">
        <f>COUNTIF(INDEX('LINE PLAN'!$B$36:$GS$61,0,ROW()-3),DP$3)</f>
        <v>0</v>
      </c>
      <c r="DQ20" s="2">
        <f>COUNTIF(INDEX('LINE PLAN'!$B$36:$GS$61,0,ROW()-3),DQ$3)</f>
        <v>0</v>
      </c>
      <c r="DR20" s="2">
        <f>COUNTIF(INDEX('LINE PLAN'!$B$36:$GS$61,0,ROW()-3),DR$3)</f>
        <v>0</v>
      </c>
      <c r="DS20" s="2">
        <f>COUNTIF(INDEX('LINE PLAN'!$B$36:$GS$61,0,ROW()-3),DS$3)</f>
        <v>0</v>
      </c>
      <c r="DT20" s="2">
        <f>COUNTIF(INDEX('LINE PLAN'!$B$36:$GS$61,0,ROW()-3),DT$3)</f>
        <v>0</v>
      </c>
      <c r="DU20" s="2">
        <f>COUNTIF(INDEX('LINE PLAN'!$B$36:$GS$61,0,ROW()-3),DU$3)</f>
        <v>0</v>
      </c>
      <c r="DV20" s="2">
        <f>COUNTIF(INDEX('LINE PLAN'!$B$36:$GS$61,0,ROW()-3),DV$3)</f>
        <v>0</v>
      </c>
    </row>
    <row r="21" spans="1:126">
      <c r="A21" s="505" cm="1">
        <f t="array" ref="A21">INDEX('LINE PLAN'!$B$35:$GS$35,ROW()-3)</f>
        <v>46252</v>
      </c>
      <c r="B21" s="2">
        <f>SUMPRODUCT($CA21:$DV21,INDEX('MC MAP'!$DA$5:$EV$30,1,0))</f>
        <v>144.5</v>
      </c>
      <c r="C21" s="2">
        <f>SUMPRODUCT($CA21:$DV21,INDEX('MC MAP'!$DA$5:$EV$30,2,0))</f>
        <v>1</v>
      </c>
      <c r="D21" s="2">
        <f>SUMPRODUCT($CA21:$DV21,INDEX('MC MAP'!$DA$5:$EV$30,3,0))</f>
        <v>0</v>
      </c>
      <c r="E21" s="2">
        <f>SUMPRODUCT($CA21:$DV21,INDEX('MC MAP'!$DA$5:$EV$30,4,0))</f>
        <v>4</v>
      </c>
      <c r="F21" s="2">
        <f>SUMPRODUCT($CA21:$DV21,INDEX('MC MAP'!$DA$5:$EV$30,5,0))</f>
        <v>266</v>
      </c>
      <c r="G21" s="2">
        <f>SUMPRODUCT($CA21:$DV21,INDEX('MC MAP'!$DA$5:$EV$30,6,0))</f>
        <v>30</v>
      </c>
      <c r="H21" s="2">
        <f>SUMPRODUCT($CA21:$DV21,INDEX('MC MAP'!$DA$5:$EV$30,7,0))</f>
        <v>0</v>
      </c>
      <c r="I21" s="2">
        <f>SUMPRODUCT($CA21:$DV21,INDEX('MC MAP'!$DA$5:$EV$30,8,0))</f>
        <v>36</v>
      </c>
      <c r="J21" s="2">
        <f>SUMPRODUCT($CA21:$DV21,INDEX('MC MAP'!$DA$5:$EV$30,9,0))</f>
        <v>27.5</v>
      </c>
      <c r="K21" s="2">
        <f>SUMPRODUCT($CA21:$DV21,INDEX('MC MAP'!$DA$5:$EV$30,10,0))</f>
        <v>12</v>
      </c>
      <c r="L21" s="2">
        <f>SUMPRODUCT($CA21:$DV21,INDEX('MC MAP'!$DA$5:$EV$30,11,0))</f>
        <v>42.5</v>
      </c>
      <c r="M21" s="2">
        <f>SUMPRODUCT($CA21:$DV21,INDEX('MC MAP'!$DA$5:$EV$30,12,0))</f>
        <v>17</v>
      </c>
      <c r="N21" s="2">
        <f>SUMPRODUCT($CA21:$DV21,INDEX('MC MAP'!$DA$5:$EV$30,13,0))</f>
        <v>28.5</v>
      </c>
      <c r="O21" s="2">
        <f>SUMPRODUCT($CA21:$DV21,INDEX('MC MAP'!$DA$5:$EV$30,14,0))</f>
        <v>42</v>
      </c>
      <c r="P21" s="2">
        <f>SUMPRODUCT($CA21:$DV21,INDEX('MC MAP'!$DA$5:$EV$30,15,0))</f>
        <v>63</v>
      </c>
      <c r="Q21" s="2">
        <f>SUMPRODUCT($CA21:$DV21,INDEX('MC MAP'!$DA$5:$EV$30,16,0))</f>
        <v>0</v>
      </c>
      <c r="R21" s="2">
        <f>SUMPRODUCT($CA21:$DV21,INDEX('MC MAP'!$DA$5:$EV$30,17,0))</f>
        <v>3</v>
      </c>
      <c r="S21" s="2">
        <f>SUMPRODUCT($CA21:$DV21,INDEX('MC MAP'!$DA$5:$EV$30,18,0))</f>
        <v>0</v>
      </c>
      <c r="T21" s="2">
        <f>SUMPRODUCT($CA21:$DV21,INDEX('MC MAP'!$DA$5:$EV$30,19,0))</f>
        <v>15</v>
      </c>
      <c r="U21" s="2">
        <f>SUMPRODUCT($CA21:$DV21,INDEX('MC MAP'!$DA$5:$EV$30,20,0))</f>
        <v>32.5</v>
      </c>
      <c r="V21" s="2">
        <f>SUMPRODUCT($CA21:$DV21,INDEX('MC MAP'!$DA$5:$EV$30,21,0))</f>
        <v>2</v>
      </c>
      <c r="W21" s="2">
        <f>SUMPRODUCT($CA21:$DV21,INDEX('MC MAP'!$DA$5:$EV$30,22,0))</f>
        <v>2</v>
      </c>
      <c r="X21" s="2">
        <f>SUMPRODUCT($CA21:$DV21,INDEX('MC MAP'!$DA$5:$EV$30,23,0))</f>
        <v>0</v>
      </c>
      <c r="Y21" s="2">
        <f>SUMPRODUCT($CA21:$DV21,INDEX('MC MAP'!$DA$5:$EV$30,24,0))</f>
        <v>7.5</v>
      </c>
      <c r="Z21" s="2">
        <f>SUMPRODUCT($CA21:$DV21,INDEX('MC MAP'!$DA$5:$EV$30,25,0))</f>
        <v>0</v>
      </c>
      <c r="AA21" s="2">
        <f>SUMPRODUCT($CA21:$DV21,INDEX('MC MAP'!$DA$5:$EV$30,26,0))</f>
        <v>25</v>
      </c>
      <c r="AB21" s="2">
        <f>SUM($B21:$AA21)</f>
        <v>801</v>
      </c>
      <c r="AC21" s="2">
        <f>SUM($CA21:$DV21)+$AW21</f>
        <v>26</v>
      </c>
      <c r="AW21" s="2">
        <f>IF($A21=0,0,COUNTIF(INDEX('LINE PLAN'!$B$36:$GS$61,0,ROW()-3),"THERMAL - NOT SPECIFIED"))</f>
        <v>0</v>
      </c>
      <c r="AX21" s="506" cm="1">
        <f t="array" ref="AX21">IF(OR($AB21=0,UPPER($BS21)&lt;&gt;"Y"),0,SUMPRODUCT(--($B21:$AA21&gt;$B$205:$AA$205)))</f>
        <v>4</v>
      </c>
      <c r="AY21" s="507">
        <f>$A21</f>
        <v>46252</v>
      </c>
      <c r="AZ21" s="2">
        <f>$AB21</f>
        <v>801</v>
      </c>
      <c r="BA21" s="2">
        <f>'MC MASTER'!$C$29</f>
        <v>920</v>
      </c>
      <c r="BD21" s="529">
        <v>13</v>
      </c>
      <c r="BE21" s="520">
        <f>INDEX($A$4:$A$203,($BD21-1)*7+1)</f>
        <v>46319</v>
      </c>
      <c r="BF21" s="520">
        <f>INDEX($A$4:$A$203,$BD21*7)</f>
        <v>46325</v>
      </c>
      <c r="BG21" s="521" cm="1">
        <f t="array" aca="1" ref="BG21" ca="1">SUMPRODUCT(--(OFFSET($BT$4,($BD21-1)*7,0,7,1)&gt;0))</f>
        <v>0</v>
      </c>
      <c r="BH21" s="522">
        <f ca="1">IFERROR(SUMIF(OFFSET($BT$4,($BD21-1)*7,0,7,1),"&gt;0")/$BG21,0)</f>
        <v>0</v>
      </c>
      <c r="BI21" s="523">
        <f ca="1">MAX(OFFSET($BT$4,($BD21-1)*7,0,7,1))</f>
        <v>0</v>
      </c>
      <c r="BJ21" s="524">
        <f ca="1">IFERROR($BI21/$BD$5,0)</f>
        <v>0</v>
      </c>
      <c r="BK21" s="525" t="str">
        <f ca="1">IF($BI21=0,"NO WORK",IF($BJ21&gt;1,"OVER CAPACITY",IF($BJ21&gt;0.95,"TIGHT","OK")))</f>
        <v>NO WORK</v>
      </c>
      <c r="BM21" s="52" t="str">
        <f>TEXT($BE21,"d-mmm")</f>
        <v>24-Oct</v>
      </c>
      <c r="BN21" s="526">
        <f ca="1">$BI21</f>
        <v>0</v>
      </c>
      <c r="BO21" s="527">
        <f>$BD$5</f>
        <v>920</v>
      </c>
      <c r="BQ21" s="509">
        <f>$A21</f>
        <v>46252</v>
      </c>
      <c r="BR21" s="15" t="str">
        <f>TEXT($A21,"ddd")</f>
        <v>Tue</v>
      </c>
      <c r="BS21" s="547" t="s">
        <v>391</v>
      </c>
      <c r="BT21" s="15">
        <f>IF(UPPER($BS21)="Y",$AB21,0)</f>
        <v>801</v>
      </c>
      <c r="CA21" s="2">
        <f>COUNTIF(INDEX('LINE PLAN'!$B$36:$GS$61,0,ROW()-3),CA$3)</f>
        <v>1</v>
      </c>
      <c r="CB21" s="2">
        <f>COUNTIF(INDEX('LINE PLAN'!$B$36:$GS$61,0,ROW()-3),CB$3)</f>
        <v>1</v>
      </c>
      <c r="CC21" s="2">
        <f>COUNTIF(INDEX('LINE PLAN'!$B$36:$GS$61,0,ROW()-3),CC$3)</f>
        <v>2</v>
      </c>
      <c r="CD21" s="2">
        <f>COUNTIF(INDEX('LINE PLAN'!$B$36:$GS$61,0,ROW()-3),CD$3)</f>
        <v>1</v>
      </c>
      <c r="CE21" s="2">
        <f>COUNTIF(INDEX('LINE PLAN'!$B$36:$GS$61,0,ROW()-3),CE$3)</f>
        <v>3</v>
      </c>
      <c r="CF21" s="2">
        <f>COUNTIF(INDEX('LINE PLAN'!$B$36:$GS$61,0,ROW()-3),CF$3)</f>
        <v>3</v>
      </c>
      <c r="CG21" s="2">
        <f>COUNTIF(INDEX('LINE PLAN'!$B$36:$GS$61,0,ROW()-3),CG$3)</f>
        <v>2</v>
      </c>
      <c r="CH21" s="2">
        <f>COUNTIF(INDEX('LINE PLAN'!$B$36:$GS$61,0,ROW()-3),CH$3)</f>
        <v>3</v>
      </c>
      <c r="CI21" s="2">
        <f>COUNTIF(INDEX('LINE PLAN'!$B$36:$GS$61,0,ROW()-3),CI$3)</f>
        <v>1</v>
      </c>
      <c r="CJ21" s="2">
        <f>COUNTIF(INDEX('LINE PLAN'!$B$36:$GS$61,0,ROW()-3),CJ$3)</f>
        <v>3</v>
      </c>
      <c r="CK21" s="2">
        <f>COUNTIF(INDEX('LINE PLAN'!$B$36:$GS$61,0,ROW()-3),CK$3)</f>
        <v>2</v>
      </c>
      <c r="CL21" s="2">
        <f>COUNTIF(INDEX('LINE PLAN'!$B$36:$GS$61,0,ROW()-3),CL$3)</f>
        <v>0</v>
      </c>
      <c r="CM21" s="2">
        <f>COUNTIF(INDEX('LINE PLAN'!$B$36:$GS$61,0,ROW()-3),CM$3)</f>
        <v>0</v>
      </c>
      <c r="CN21" s="2">
        <f>COUNTIF(INDEX('LINE PLAN'!$B$36:$GS$61,0,ROW()-3),CN$3)</f>
        <v>0</v>
      </c>
      <c r="CO21" s="2">
        <f>COUNTIF(INDEX('LINE PLAN'!$B$36:$GS$61,0,ROW()-3),CO$3)</f>
        <v>1</v>
      </c>
      <c r="CP21" s="2">
        <f>COUNTIF(INDEX('LINE PLAN'!$B$36:$GS$61,0,ROW()-3),CP$3)</f>
        <v>2</v>
      </c>
      <c r="CQ21" s="2">
        <f>COUNTIF(INDEX('LINE PLAN'!$B$36:$GS$61,0,ROW()-3),CQ$3)</f>
        <v>0</v>
      </c>
      <c r="CR21" s="2">
        <f>COUNTIF(INDEX('LINE PLAN'!$B$36:$GS$61,0,ROW()-3),CR$3)</f>
        <v>1</v>
      </c>
      <c r="CS21" s="2">
        <f>COUNTIF(INDEX('LINE PLAN'!$B$36:$GS$61,0,ROW()-3),CS$3)</f>
        <v>0</v>
      </c>
      <c r="CT21" s="2">
        <f>COUNTIF(INDEX('LINE PLAN'!$B$36:$GS$61,0,ROW()-3),CT$3)</f>
        <v>0</v>
      </c>
      <c r="CU21" s="2">
        <f>COUNTIF(INDEX('LINE PLAN'!$B$36:$GS$61,0,ROW()-3),CU$3)</f>
        <v>0</v>
      </c>
      <c r="CV21" s="2">
        <f>COUNTIF(INDEX('LINE PLAN'!$B$36:$GS$61,0,ROW()-3),CV$3)</f>
        <v>0</v>
      </c>
      <c r="CW21" s="2">
        <f>COUNTIF(INDEX('LINE PLAN'!$B$36:$GS$61,0,ROW()-3),CW$3)</f>
        <v>0</v>
      </c>
      <c r="CX21" s="2">
        <f>COUNTIF(INDEX('LINE PLAN'!$B$36:$GS$61,0,ROW()-3),CX$3)</f>
        <v>0</v>
      </c>
      <c r="CY21" s="2">
        <f>COUNTIF(INDEX('LINE PLAN'!$B$36:$GS$61,0,ROW()-3),CY$3)</f>
        <v>0</v>
      </c>
      <c r="CZ21" s="2">
        <f>COUNTIF(INDEX('LINE PLAN'!$B$36:$GS$61,0,ROW()-3),CZ$3)</f>
        <v>0</v>
      </c>
      <c r="DA21" s="2">
        <f>COUNTIF(INDEX('LINE PLAN'!$B$36:$GS$61,0,ROW()-3),DA$3)</f>
        <v>0</v>
      </c>
      <c r="DB21" s="2">
        <f>COUNTIF(INDEX('LINE PLAN'!$B$36:$GS$61,0,ROW()-3),DB$3)</f>
        <v>0</v>
      </c>
      <c r="DC21" s="2">
        <f>COUNTIF(INDEX('LINE PLAN'!$B$36:$GS$61,0,ROW()-3),DC$3)</f>
        <v>0</v>
      </c>
      <c r="DD21" s="2">
        <f>COUNTIF(INDEX('LINE PLAN'!$B$36:$GS$61,0,ROW()-3),DD$3)</f>
        <v>0</v>
      </c>
      <c r="DE21" s="2">
        <f>COUNTIF(INDEX('LINE PLAN'!$B$36:$GS$61,0,ROW()-3),DE$3)</f>
        <v>0</v>
      </c>
      <c r="DF21" s="2">
        <f>COUNTIF(INDEX('LINE PLAN'!$B$36:$GS$61,0,ROW()-3),DF$3)</f>
        <v>0</v>
      </c>
      <c r="DG21" s="2">
        <f>COUNTIF(INDEX('LINE PLAN'!$B$36:$GS$61,0,ROW()-3),DG$3)</f>
        <v>0</v>
      </c>
      <c r="DH21" s="2">
        <f>COUNTIF(INDEX('LINE PLAN'!$B$36:$GS$61,0,ROW()-3),DH$3)</f>
        <v>0</v>
      </c>
      <c r="DI21" s="2">
        <f>COUNTIF(INDEX('LINE PLAN'!$B$36:$GS$61,0,ROW()-3),DI$3)</f>
        <v>0</v>
      </c>
      <c r="DJ21" s="2">
        <f>COUNTIF(INDEX('LINE PLAN'!$B$36:$GS$61,0,ROW()-3),DJ$3)</f>
        <v>0</v>
      </c>
      <c r="DK21" s="2">
        <f>COUNTIF(INDEX('LINE PLAN'!$B$36:$GS$61,0,ROW()-3),DK$3)</f>
        <v>0</v>
      </c>
      <c r="DL21" s="2">
        <f>COUNTIF(INDEX('LINE PLAN'!$B$36:$GS$61,0,ROW()-3),DL$3)</f>
        <v>0</v>
      </c>
      <c r="DM21" s="2">
        <f>COUNTIF(INDEX('LINE PLAN'!$B$36:$GS$61,0,ROW()-3),DM$3)</f>
        <v>0</v>
      </c>
      <c r="DN21" s="2">
        <f>COUNTIF(INDEX('LINE PLAN'!$B$36:$GS$61,0,ROW()-3),DN$3)</f>
        <v>0</v>
      </c>
      <c r="DO21" s="2">
        <f>COUNTIF(INDEX('LINE PLAN'!$B$36:$GS$61,0,ROW()-3),DO$3)</f>
        <v>0</v>
      </c>
      <c r="DP21" s="2">
        <f>COUNTIF(INDEX('LINE PLAN'!$B$36:$GS$61,0,ROW()-3),DP$3)</f>
        <v>0</v>
      </c>
      <c r="DQ21" s="2">
        <f>COUNTIF(INDEX('LINE PLAN'!$B$36:$GS$61,0,ROW()-3),DQ$3)</f>
        <v>0</v>
      </c>
      <c r="DR21" s="2">
        <f>COUNTIF(INDEX('LINE PLAN'!$B$36:$GS$61,0,ROW()-3),DR$3)</f>
        <v>0</v>
      </c>
      <c r="DS21" s="2">
        <f>COUNTIF(INDEX('LINE PLAN'!$B$36:$GS$61,0,ROW()-3),DS$3)</f>
        <v>0</v>
      </c>
      <c r="DT21" s="2">
        <f>COUNTIF(INDEX('LINE PLAN'!$B$36:$GS$61,0,ROW()-3),DT$3)</f>
        <v>0</v>
      </c>
      <c r="DU21" s="2">
        <f>COUNTIF(INDEX('LINE PLAN'!$B$36:$GS$61,0,ROW()-3),DU$3)</f>
        <v>0</v>
      </c>
      <c r="DV21" s="2">
        <f>COUNTIF(INDEX('LINE PLAN'!$B$36:$GS$61,0,ROW()-3),DV$3)</f>
        <v>0</v>
      </c>
    </row>
    <row r="22" spans="1:126">
      <c r="A22" s="505" cm="1">
        <f t="array" ref="A22">INDEX('LINE PLAN'!$B$35:$GS$35,ROW()-3)</f>
        <v>46253</v>
      </c>
      <c r="B22" s="2">
        <f>SUMPRODUCT($CA22:$DV22,INDEX('MC MAP'!$DA$5:$EV$30,1,0))</f>
        <v>144.5</v>
      </c>
      <c r="C22" s="2">
        <f>SUMPRODUCT($CA22:$DV22,INDEX('MC MAP'!$DA$5:$EV$30,2,0))</f>
        <v>1</v>
      </c>
      <c r="D22" s="2">
        <f>SUMPRODUCT($CA22:$DV22,INDEX('MC MAP'!$DA$5:$EV$30,3,0))</f>
        <v>0</v>
      </c>
      <c r="E22" s="2">
        <f>SUMPRODUCT($CA22:$DV22,INDEX('MC MAP'!$DA$5:$EV$30,4,0))</f>
        <v>4</v>
      </c>
      <c r="F22" s="2">
        <f>SUMPRODUCT($CA22:$DV22,INDEX('MC MAP'!$DA$5:$EV$30,5,0))</f>
        <v>266</v>
      </c>
      <c r="G22" s="2">
        <f>SUMPRODUCT($CA22:$DV22,INDEX('MC MAP'!$DA$5:$EV$30,6,0))</f>
        <v>30</v>
      </c>
      <c r="H22" s="2">
        <f>SUMPRODUCT($CA22:$DV22,INDEX('MC MAP'!$DA$5:$EV$30,7,0))</f>
        <v>0</v>
      </c>
      <c r="I22" s="2">
        <f>SUMPRODUCT($CA22:$DV22,INDEX('MC MAP'!$DA$5:$EV$30,8,0))</f>
        <v>36</v>
      </c>
      <c r="J22" s="2">
        <f>SUMPRODUCT($CA22:$DV22,INDEX('MC MAP'!$DA$5:$EV$30,9,0))</f>
        <v>27.5</v>
      </c>
      <c r="K22" s="2">
        <f>SUMPRODUCT($CA22:$DV22,INDEX('MC MAP'!$DA$5:$EV$30,10,0))</f>
        <v>12</v>
      </c>
      <c r="L22" s="2">
        <f>SUMPRODUCT($CA22:$DV22,INDEX('MC MAP'!$DA$5:$EV$30,11,0))</f>
        <v>42.5</v>
      </c>
      <c r="M22" s="2">
        <f>SUMPRODUCT($CA22:$DV22,INDEX('MC MAP'!$DA$5:$EV$30,12,0))</f>
        <v>17</v>
      </c>
      <c r="N22" s="2">
        <f>SUMPRODUCT($CA22:$DV22,INDEX('MC MAP'!$DA$5:$EV$30,13,0))</f>
        <v>28.5</v>
      </c>
      <c r="O22" s="2">
        <f>SUMPRODUCT($CA22:$DV22,INDEX('MC MAP'!$DA$5:$EV$30,14,0))</f>
        <v>42</v>
      </c>
      <c r="P22" s="2">
        <f>SUMPRODUCT($CA22:$DV22,INDEX('MC MAP'!$DA$5:$EV$30,15,0))</f>
        <v>63</v>
      </c>
      <c r="Q22" s="2">
        <f>SUMPRODUCT($CA22:$DV22,INDEX('MC MAP'!$DA$5:$EV$30,16,0))</f>
        <v>0</v>
      </c>
      <c r="R22" s="2">
        <f>SUMPRODUCT($CA22:$DV22,INDEX('MC MAP'!$DA$5:$EV$30,17,0))</f>
        <v>3</v>
      </c>
      <c r="S22" s="2">
        <f>SUMPRODUCT($CA22:$DV22,INDEX('MC MAP'!$DA$5:$EV$30,18,0))</f>
        <v>0</v>
      </c>
      <c r="T22" s="2">
        <f>SUMPRODUCT($CA22:$DV22,INDEX('MC MAP'!$DA$5:$EV$30,19,0))</f>
        <v>15</v>
      </c>
      <c r="U22" s="2">
        <f>SUMPRODUCT($CA22:$DV22,INDEX('MC MAP'!$DA$5:$EV$30,20,0))</f>
        <v>32.5</v>
      </c>
      <c r="V22" s="2">
        <f>SUMPRODUCT($CA22:$DV22,INDEX('MC MAP'!$DA$5:$EV$30,21,0))</f>
        <v>2</v>
      </c>
      <c r="W22" s="2">
        <f>SUMPRODUCT($CA22:$DV22,INDEX('MC MAP'!$DA$5:$EV$30,22,0))</f>
        <v>2</v>
      </c>
      <c r="X22" s="2">
        <f>SUMPRODUCT($CA22:$DV22,INDEX('MC MAP'!$DA$5:$EV$30,23,0))</f>
        <v>0</v>
      </c>
      <c r="Y22" s="2">
        <f>SUMPRODUCT($CA22:$DV22,INDEX('MC MAP'!$DA$5:$EV$30,24,0))</f>
        <v>7.5</v>
      </c>
      <c r="Z22" s="2">
        <f>SUMPRODUCT($CA22:$DV22,INDEX('MC MAP'!$DA$5:$EV$30,25,0))</f>
        <v>0</v>
      </c>
      <c r="AA22" s="2">
        <f>SUMPRODUCT($CA22:$DV22,INDEX('MC MAP'!$DA$5:$EV$30,26,0))</f>
        <v>25</v>
      </c>
      <c r="AB22" s="2">
        <f>SUM($B22:$AA22)</f>
        <v>801</v>
      </c>
      <c r="AC22" s="2">
        <f>SUM($CA22:$DV22)+$AW22</f>
        <v>26</v>
      </c>
      <c r="AW22" s="2">
        <f>IF($A22=0,0,COUNTIF(INDEX('LINE PLAN'!$B$36:$GS$61,0,ROW()-3),"THERMAL - NOT SPECIFIED"))</f>
        <v>0</v>
      </c>
      <c r="AX22" s="506" cm="1">
        <f t="array" ref="AX22">IF(OR($AB22=0,UPPER($BS22)&lt;&gt;"Y"),0,SUMPRODUCT(--($B22:$AA22&gt;$B$205:$AA$205)))</f>
        <v>4</v>
      </c>
      <c r="AY22" s="507">
        <f>$A22</f>
        <v>46253</v>
      </c>
      <c r="AZ22" s="2">
        <f>$AB22</f>
        <v>801</v>
      </c>
      <c r="BA22" s="2">
        <f>'MC MASTER'!$C$29</f>
        <v>920</v>
      </c>
      <c r="BD22" s="529">
        <v>14</v>
      </c>
      <c r="BE22" s="520">
        <f>INDEX($A$4:$A$203,($BD22-1)*7+1)</f>
        <v>46326</v>
      </c>
      <c r="BF22" s="520">
        <f>INDEX($A$4:$A$203,$BD22*7)</f>
        <v>46332</v>
      </c>
      <c r="BG22" s="521" cm="1">
        <f t="array" aca="1" ref="BG22" ca="1">SUMPRODUCT(--(OFFSET($BT$4,($BD22-1)*7,0,7,1)&gt;0))</f>
        <v>0</v>
      </c>
      <c r="BH22" s="522">
        <f ca="1">IFERROR(SUMIF(OFFSET($BT$4,($BD22-1)*7,0,7,1),"&gt;0")/$BG22,0)</f>
        <v>0</v>
      </c>
      <c r="BI22" s="523">
        <f ca="1">MAX(OFFSET($BT$4,($BD22-1)*7,0,7,1))</f>
        <v>0</v>
      </c>
      <c r="BJ22" s="524">
        <f ca="1">IFERROR($BI22/$BD$5,0)</f>
        <v>0</v>
      </c>
      <c r="BK22" s="525" t="str">
        <f ca="1">IF($BI22=0,"NO WORK",IF($BJ22&gt;1,"OVER CAPACITY",IF($BJ22&gt;0.95,"TIGHT","OK")))</f>
        <v>NO WORK</v>
      </c>
      <c r="BM22" s="52" t="str">
        <f>TEXT($BE22,"d-mmm")</f>
        <v>31-Oct</v>
      </c>
      <c r="BN22" s="526">
        <f ca="1">$BI22</f>
        <v>0</v>
      </c>
      <c r="BO22" s="527">
        <f>$BD$5</f>
        <v>920</v>
      </c>
      <c r="BQ22" s="509">
        <f>$A22</f>
        <v>46253</v>
      </c>
      <c r="BR22" s="15" t="str">
        <f>TEXT($A22,"ddd")</f>
        <v>Wed</v>
      </c>
      <c r="BS22" s="547" t="s">
        <v>391</v>
      </c>
      <c r="BT22" s="15">
        <f>IF(UPPER($BS22)="Y",$AB22,0)</f>
        <v>801</v>
      </c>
      <c r="CA22" s="2">
        <f>COUNTIF(INDEX('LINE PLAN'!$B$36:$GS$61,0,ROW()-3),CA$3)</f>
        <v>1</v>
      </c>
      <c r="CB22" s="2">
        <f>COUNTIF(INDEX('LINE PLAN'!$B$36:$GS$61,0,ROW()-3),CB$3)</f>
        <v>1</v>
      </c>
      <c r="CC22" s="2">
        <f>COUNTIF(INDEX('LINE PLAN'!$B$36:$GS$61,0,ROW()-3),CC$3)</f>
        <v>2</v>
      </c>
      <c r="CD22" s="2">
        <f>COUNTIF(INDEX('LINE PLAN'!$B$36:$GS$61,0,ROW()-3),CD$3)</f>
        <v>1</v>
      </c>
      <c r="CE22" s="2">
        <f>COUNTIF(INDEX('LINE PLAN'!$B$36:$GS$61,0,ROW()-3),CE$3)</f>
        <v>3</v>
      </c>
      <c r="CF22" s="2">
        <f>COUNTIF(INDEX('LINE PLAN'!$B$36:$GS$61,0,ROW()-3),CF$3)</f>
        <v>3</v>
      </c>
      <c r="CG22" s="2">
        <f>COUNTIF(INDEX('LINE PLAN'!$B$36:$GS$61,0,ROW()-3),CG$3)</f>
        <v>2</v>
      </c>
      <c r="CH22" s="2">
        <f>COUNTIF(INDEX('LINE PLAN'!$B$36:$GS$61,0,ROW()-3),CH$3)</f>
        <v>3</v>
      </c>
      <c r="CI22" s="2">
        <f>COUNTIF(INDEX('LINE PLAN'!$B$36:$GS$61,0,ROW()-3),CI$3)</f>
        <v>1</v>
      </c>
      <c r="CJ22" s="2">
        <f>COUNTIF(INDEX('LINE PLAN'!$B$36:$GS$61,0,ROW()-3),CJ$3)</f>
        <v>3</v>
      </c>
      <c r="CK22" s="2">
        <f>COUNTIF(INDEX('LINE PLAN'!$B$36:$GS$61,0,ROW()-3),CK$3)</f>
        <v>2</v>
      </c>
      <c r="CL22" s="2">
        <f>COUNTIF(INDEX('LINE PLAN'!$B$36:$GS$61,0,ROW()-3),CL$3)</f>
        <v>0</v>
      </c>
      <c r="CM22" s="2">
        <f>COUNTIF(INDEX('LINE PLAN'!$B$36:$GS$61,0,ROW()-3),CM$3)</f>
        <v>0</v>
      </c>
      <c r="CN22" s="2">
        <f>COUNTIF(INDEX('LINE PLAN'!$B$36:$GS$61,0,ROW()-3),CN$3)</f>
        <v>0</v>
      </c>
      <c r="CO22" s="2">
        <f>COUNTIF(INDEX('LINE PLAN'!$B$36:$GS$61,0,ROW()-3),CO$3)</f>
        <v>1</v>
      </c>
      <c r="CP22" s="2">
        <f>COUNTIF(INDEX('LINE PLAN'!$B$36:$GS$61,0,ROW()-3),CP$3)</f>
        <v>2</v>
      </c>
      <c r="CQ22" s="2">
        <f>COUNTIF(INDEX('LINE PLAN'!$B$36:$GS$61,0,ROW()-3),CQ$3)</f>
        <v>0</v>
      </c>
      <c r="CR22" s="2">
        <f>COUNTIF(INDEX('LINE PLAN'!$B$36:$GS$61,0,ROW()-3),CR$3)</f>
        <v>1</v>
      </c>
      <c r="CS22" s="2">
        <f>COUNTIF(INDEX('LINE PLAN'!$B$36:$GS$61,0,ROW()-3),CS$3)</f>
        <v>0</v>
      </c>
      <c r="CT22" s="2">
        <f>COUNTIF(INDEX('LINE PLAN'!$B$36:$GS$61,0,ROW()-3),CT$3)</f>
        <v>0</v>
      </c>
      <c r="CU22" s="2">
        <f>COUNTIF(INDEX('LINE PLAN'!$B$36:$GS$61,0,ROW()-3),CU$3)</f>
        <v>0</v>
      </c>
      <c r="CV22" s="2">
        <f>COUNTIF(INDEX('LINE PLAN'!$B$36:$GS$61,0,ROW()-3),CV$3)</f>
        <v>0</v>
      </c>
      <c r="CW22" s="2">
        <f>COUNTIF(INDEX('LINE PLAN'!$B$36:$GS$61,0,ROW()-3),CW$3)</f>
        <v>0</v>
      </c>
      <c r="CX22" s="2">
        <f>COUNTIF(INDEX('LINE PLAN'!$B$36:$GS$61,0,ROW()-3),CX$3)</f>
        <v>0</v>
      </c>
      <c r="CY22" s="2">
        <f>COUNTIF(INDEX('LINE PLAN'!$B$36:$GS$61,0,ROW()-3),CY$3)</f>
        <v>0</v>
      </c>
      <c r="CZ22" s="2">
        <f>COUNTIF(INDEX('LINE PLAN'!$B$36:$GS$61,0,ROW()-3),CZ$3)</f>
        <v>0</v>
      </c>
      <c r="DA22" s="2">
        <f>COUNTIF(INDEX('LINE PLAN'!$B$36:$GS$61,0,ROW()-3),DA$3)</f>
        <v>0</v>
      </c>
      <c r="DB22" s="2">
        <f>COUNTIF(INDEX('LINE PLAN'!$B$36:$GS$61,0,ROW()-3),DB$3)</f>
        <v>0</v>
      </c>
      <c r="DC22" s="2">
        <f>COUNTIF(INDEX('LINE PLAN'!$B$36:$GS$61,0,ROW()-3),DC$3)</f>
        <v>0</v>
      </c>
      <c r="DD22" s="2">
        <f>COUNTIF(INDEX('LINE PLAN'!$B$36:$GS$61,0,ROW()-3),DD$3)</f>
        <v>0</v>
      </c>
      <c r="DE22" s="2">
        <f>COUNTIF(INDEX('LINE PLAN'!$B$36:$GS$61,0,ROW()-3),DE$3)</f>
        <v>0</v>
      </c>
      <c r="DF22" s="2">
        <f>COUNTIF(INDEX('LINE PLAN'!$B$36:$GS$61,0,ROW()-3),DF$3)</f>
        <v>0</v>
      </c>
      <c r="DG22" s="2">
        <f>COUNTIF(INDEX('LINE PLAN'!$B$36:$GS$61,0,ROW()-3),DG$3)</f>
        <v>0</v>
      </c>
      <c r="DH22" s="2">
        <f>COUNTIF(INDEX('LINE PLAN'!$B$36:$GS$61,0,ROW()-3),DH$3)</f>
        <v>0</v>
      </c>
      <c r="DI22" s="2">
        <f>COUNTIF(INDEX('LINE PLAN'!$B$36:$GS$61,0,ROW()-3),DI$3)</f>
        <v>0</v>
      </c>
      <c r="DJ22" s="2">
        <f>COUNTIF(INDEX('LINE PLAN'!$B$36:$GS$61,0,ROW()-3),DJ$3)</f>
        <v>0</v>
      </c>
      <c r="DK22" s="2">
        <f>COUNTIF(INDEX('LINE PLAN'!$B$36:$GS$61,0,ROW()-3),DK$3)</f>
        <v>0</v>
      </c>
      <c r="DL22" s="2">
        <f>COUNTIF(INDEX('LINE PLAN'!$B$36:$GS$61,0,ROW()-3),DL$3)</f>
        <v>0</v>
      </c>
      <c r="DM22" s="2">
        <f>COUNTIF(INDEX('LINE PLAN'!$B$36:$GS$61,0,ROW()-3),DM$3)</f>
        <v>0</v>
      </c>
      <c r="DN22" s="2">
        <f>COUNTIF(INDEX('LINE PLAN'!$B$36:$GS$61,0,ROW()-3),DN$3)</f>
        <v>0</v>
      </c>
      <c r="DO22" s="2">
        <f>COUNTIF(INDEX('LINE PLAN'!$B$36:$GS$61,0,ROW()-3),DO$3)</f>
        <v>0</v>
      </c>
      <c r="DP22" s="2">
        <f>COUNTIF(INDEX('LINE PLAN'!$B$36:$GS$61,0,ROW()-3),DP$3)</f>
        <v>0</v>
      </c>
      <c r="DQ22" s="2">
        <f>COUNTIF(INDEX('LINE PLAN'!$B$36:$GS$61,0,ROW()-3),DQ$3)</f>
        <v>0</v>
      </c>
      <c r="DR22" s="2">
        <f>COUNTIF(INDEX('LINE PLAN'!$B$36:$GS$61,0,ROW()-3),DR$3)</f>
        <v>0</v>
      </c>
      <c r="DS22" s="2">
        <f>COUNTIF(INDEX('LINE PLAN'!$B$36:$GS$61,0,ROW()-3),DS$3)</f>
        <v>0</v>
      </c>
      <c r="DT22" s="2">
        <f>COUNTIF(INDEX('LINE PLAN'!$B$36:$GS$61,0,ROW()-3),DT$3)</f>
        <v>0</v>
      </c>
      <c r="DU22" s="2">
        <f>COUNTIF(INDEX('LINE PLAN'!$B$36:$GS$61,0,ROW()-3),DU$3)</f>
        <v>0</v>
      </c>
      <c r="DV22" s="2">
        <f>COUNTIF(INDEX('LINE PLAN'!$B$36:$GS$61,0,ROW()-3),DV$3)</f>
        <v>0</v>
      </c>
    </row>
    <row r="23" spans="1:126">
      <c r="A23" s="505" cm="1">
        <f t="array" ref="A23">INDEX('LINE PLAN'!$B$35:$GS$35,ROW()-3)</f>
        <v>46254</v>
      </c>
      <c r="B23" s="2">
        <f>SUMPRODUCT($CA23:$DV23,INDEX('MC MAP'!$DA$5:$EV$30,1,0))</f>
        <v>144.5</v>
      </c>
      <c r="C23" s="2">
        <f>SUMPRODUCT($CA23:$DV23,INDEX('MC MAP'!$DA$5:$EV$30,2,0))</f>
        <v>1</v>
      </c>
      <c r="D23" s="2">
        <f>SUMPRODUCT($CA23:$DV23,INDEX('MC MAP'!$DA$5:$EV$30,3,0))</f>
        <v>0</v>
      </c>
      <c r="E23" s="2">
        <f>SUMPRODUCT($CA23:$DV23,INDEX('MC MAP'!$DA$5:$EV$30,4,0))</f>
        <v>4</v>
      </c>
      <c r="F23" s="2">
        <f>SUMPRODUCT($CA23:$DV23,INDEX('MC MAP'!$DA$5:$EV$30,5,0))</f>
        <v>266</v>
      </c>
      <c r="G23" s="2">
        <f>SUMPRODUCT($CA23:$DV23,INDEX('MC MAP'!$DA$5:$EV$30,6,0))</f>
        <v>30</v>
      </c>
      <c r="H23" s="2">
        <f>SUMPRODUCT($CA23:$DV23,INDEX('MC MAP'!$DA$5:$EV$30,7,0))</f>
        <v>0</v>
      </c>
      <c r="I23" s="2">
        <f>SUMPRODUCT($CA23:$DV23,INDEX('MC MAP'!$DA$5:$EV$30,8,0))</f>
        <v>36</v>
      </c>
      <c r="J23" s="2">
        <f>SUMPRODUCT($CA23:$DV23,INDEX('MC MAP'!$DA$5:$EV$30,9,0))</f>
        <v>27.5</v>
      </c>
      <c r="K23" s="2">
        <f>SUMPRODUCT($CA23:$DV23,INDEX('MC MAP'!$DA$5:$EV$30,10,0))</f>
        <v>12</v>
      </c>
      <c r="L23" s="2">
        <f>SUMPRODUCT($CA23:$DV23,INDEX('MC MAP'!$DA$5:$EV$30,11,0))</f>
        <v>42.5</v>
      </c>
      <c r="M23" s="2">
        <f>SUMPRODUCT($CA23:$DV23,INDEX('MC MAP'!$DA$5:$EV$30,12,0))</f>
        <v>17</v>
      </c>
      <c r="N23" s="2">
        <f>SUMPRODUCT($CA23:$DV23,INDEX('MC MAP'!$DA$5:$EV$30,13,0))</f>
        <v>28.5</v>
      </c>
      <c r="O23" s="2">
        <f>SUMPRODUCT($CA23:$DV23,INDEX('MC MAP'!$DA$5:$EV$30,14,0))</f>
        <v>42</v>
      </c>
      <c r="P23" s="2">
        <f>SUMPRODUCT($CA23:$DV23,INDEX('MC MAP'!$DA$5:$EV$30,15,0))</f>
        <v>63</v>
      </c>
      <c r="Q23" s="2">
        <f>SUMPRODUCT($CA23:$DV23,INDEX('MC MAP'!$DA$5:$EV$30,16,0))</f>
        <v>0</v>
      </c>
      <c r="R23" s="2">
        <f>SUMPRODUCT($CA23:$DV23,INDEX('MC MAP'!$DA$5:$EV$30,17,0))</f>
        <v>3</v>
      </c>
      <c r="S23" s="2">
        <f>SUMPRODUCT($CA23:$DV23,INDEX('MC MAP'!$DA$5:$EV$30,18,0))</f>
        <v>0</v>
      </c>
      <c r="T23" s="2">
        <f>SUMPRODUCT($CA23:$DV23,INDEX('MC MAP'!$DA$5:$EV$30,19,0))</f>
        <v>15</v>
      </c>
      <c r="U23" s="2">
        <f>SUMPRODUCT($CA23:$DV23,INDEX('MC MAP'!$DA$5:$EV$30,20,0))</f>
        <v>32.5</v>
      </c>
      <c r="V23" s="2">
        <f>SUMPRODUCT($CA23:$DV23,INDEX('MC MAP'!$DA$5:$EV$30,21,0))</f>
        <v>2</v>
      </c>
      <c r="W23" s="2">
        <f>SUMPRODUCT($CA23:$DV23,INDEX('MC MAP'!$DA$5:$EV$30,22,0))</f>
        <v>2</v>
      </c>
      <c r="X23" s="2">
        <f>SUMPRODUCT($CA23:$DV23,INDEX('MC MAP'!$DA$5:$EV$30,23,0))</f>
        <v>0</v>
      </c>
      <c r="Y23" s="2">
        <f>SUMPRODUCT($CA23:$DV23,INDEX('MC MAP'!$DA$5:$EV$30,24,0))</f>
        <v>7.5</v>
      </c>
      <c r="Z23" s="2">
        <f>SUMPRODUCT($CA23:$DV23,INDEX('MC MAP'!$DA$5:$EV$30,25,0))</f>
        <v>0</v>
      </c>
      <c r="AA23" s="2">
        <f>SUMPRODUCT($CA23:$DV23,INDEX('MC MAP'!$DA$5:$EV$30,26,0))</f>
        <v>25</v>
      </c>
      <c r="AB23" s="2">
        <f>SUM($B23:$AA23)</f>
        <v>801</v>
      </c>
      <c r="AC23" s="2">
        <f>SUM($CA23:$DV23)+$AW23</f>
        <v>26</v>
      </c>
      <c r="AW23" s="2">
        <f>IF($A23=0,0,COUNTIF(INDEX('LINE PLAN'!$B$36:$GS$61,0,ROW()-3),"THERMAL - NOT SPECIFIED"))</f>
        <v>0</v>
      </c>
      <c r="AX23" s="506" cm="1">
        <f t="array" ref="AX23">IF(OR($AB23=0,UPPER($BS23)&lt;&gt;"Y"),0,SUMPRODUCT(--($B23:$AA23&gt;$B$205:$AA$205)))</f>
        <v>4</v>
      </c>
      <c r="AY23" s="507">
        <f>$A23</f>
        <v>46254</v>
      </c>
      <c r="AZ23" s="2">
        <f>$AB23</f>
        <v>801</v>
      </c>
      <c r="BA23" s="2">
        <f>'MC MASTER'!$C$29</f>
        <v>920</v>
      </c>
      <c r="BD23" s="530">
        <v>15</v>
      </c>
      <c r="BE23" s="531">
        <f>INDEX($A$4:$A$203,($BD23-1)*7+1)</f>
        <v>46333</v>
      </c>
      <c r="BF23" s="531">
        <f>INDEX($A$4:$A$203,$BD23*7)</f>
        <v>46339</v>
      </c>
      <c r="BG23" s="532" cm="1">
        <f t="array" aca="1" ref="BG23" ca="1">SUMPRODUCT(--(OFFSET($BT$4,($BD23-1)*7,0,7,1)&gt;0))</f>
        <v>0</v>
      </c>
      <c r="BH23" s="533">
        <f ca="1">IFERROR(SUMIF(OFFSET($BT$4,($BD23-1)*7,0,7,1),"&gt;0")/$BG23,0)</f>
        <v>0</v>
      </c>
      <c r="BI23" s="534">
        <f ca="1">MAX(OFFSET($BT$4,($BD23-1)*7,0,7,1))</f>
        <v>0</v>
      </c>
      <c r="BJ23" s="535">
        <f ca="1">IFERROR($BI23/$BD$5,0)</f>
        <v>0</v>
      </c>
      <c r="BK23" s="536" t="str">
        <f ca="1">IF($BI23=0,"NO WORK",IF($BJ23&gt;1,"OVER CAPACITY",IF($BJ23&gt;0.95,"TIGHT","OK")))</f>
        <v>NO WORK</v>
      </c>
      <c r="BM23" s="52" t="str">
        <f>TEXT($BE23,"d-mmm")</f>
        <v>7-Nov</v>
      </c>
      <c r="BN23" s="526">
        <f ca="1">$BI23</f>
        <v>0</v>
      </c>
      <c r="BO23" s="527">
        <f>$BD$5</f>
        <v>920</v>
      </c>
      <c r="BQ23" s="509">
        <f>$A23</f>
        <v>46254</v>
      </c>
      <c r="BR23" s="15" t="str">
        <f>TEXT($A23,"ddd")</f>
        <v>Thu</v>
      </c>
      <c r="BS23" s="547" t="s">
        <v>391</v>
      </c>
      <c r="BT23" s="15">
        <f>IF(UPPER($BS23)="Y",$AB23,0)</f>
        <v>801</v>
      </c>
      <c r="CA23" s="2">
        <f>COUNTIF(INDEX('LINE PLAN'!$B$36:$GS$61,0,ROW()-3),CA$3)</f>
        <v>1</v>
      </c>
      <c r="CB23" s="2">
        <f>COUNTIF(INDEX('LINE PLAN'!$B$36:$GS$61,0,ROW()-3),CB$3)</f>
        <v>1</v>
      </c>
      <c r="CC23" s="2">
        <f>COUNTIF(INDEX('LINE PLAN'!$B$36:$GS$61,0,ROW()-3),CC$3)</f>
        <v>2</v>
      </c>
      <c r="CD23" s="2">
        <f>COUNTIF(INDEX('LINE PLAN'!$B$36:$GS$61,0,ROW()-3),CD$3)</f>
        <v>1</v>
      </c>
      <c r="CE23" s="2">
        <f>COUNTIF(INDEX('LINE PLAN'!$B$36:$GS$61,0,ROW()-3),CE$3)</f>
        <v>3</v>
      </c>
      <c r="CF23" s="2">
        <f>COUNTIF(INDEX('LINE PLAN'!$B$36:$GS$61,0,ROW()-3),CF$3)</f>
        <v>3</v>
      </c>
      <c r="CG23" s="2">
        <f>COUNTIF(INDEX('LINE PLAN'!$B$36:$GS$61,0,ROW()-3),CG$3)</f>
        <v>2</v>
      </c>
      <c r="CH23" s="2">
        <f>COUNTIF(INDEX('LINE PLAN'!$B$36:$GS$61,0,ROW()-3),CH$3)</f>
        <v>3</v>
      </c>
      <c r="CI23" s="2">
        <f>COUNTIF(INDEX('LINE PLAN'!$B$36:$GS$61,0,ROW()-3),CI$3)</f>
        <v>1</v>
      </c>
      <c r="CJ23" s="2">
        <f>COUNTIF(INDEX('LINE PLAN'!$B$36:$GS$61,0,ROW()-3),CJ$3)</f>
        <v>3</v>
      </c>
      <c r="CK23" s="2">
        <f>COUNTIF(INDEX('LINE PLAN'!$B$36:$GS$61,0,ROW()-3),CK$3)</f>
        <v>2</v>
      </c>
      <c r="CL23" s="2">
        <f>COUNTIF(INDEX('LINE PLAN'!$B$36:$GS$61,0,ROW()-3),CL$3)</f>
        <v>0</v>
      </c>
      <c r="CM23" s="2">
        <f>COUNTIF(INDEX('LINE PLAN'!$B$36:$GS$61,0,ROW()-3),CM$3)</f>
        <v>0</v>
      </c>
      <c r="CN23" s="2">
        <f>COUNTIF(INDEX('LINE PLAN'!$B$36:$GS$61,0,ROW()-3),CN$3)</f>
        <v>0</v>
      </c>
      <c r="CO23" s="2">
        <f>COUNTIF(INDEX('LINE PLAN'!$B$36:$GS$61,0,ROW()-3),CO$3)</f>
        <v>1</v>
      </c>
      <c r="CP23" s="2">
        <f>COUNTIF(INDEX('LINE PLAN'!$B$36:$GS$61,0,ROW()-3),CP$3)</f>
        <v>2</v>
      </c>
      <c r="CQ23" s="2">
        <f>COUNTIF(INDEX('LINE PLAN'!$B$36:$GS$61,0,ROW()-3),CQ$3)</f>
        <v>0</v>
      </c>
      <c r="CR23" s="2">
        <f>COUNTIF(INDEX('LINE PLAN'!$B$36:$GS$61,0,ROW()-3),CR$3)</f>
        <v>1</v>
      </c>
      <c r="CS23" s="2">
        <f>COUNTIF(INDEX('LINE PLAN'!$B$36:$GS$61,0,ROW()-3),CS$3)</f>
        <v>0</v>
      </c>
      <c r="CT23" s="2">
        <f>COUNTIF(INDEX('LINE PLAN'!$B$36:$GS$61,0,ROW()-3),CT$3)</f>
        <v>0</v>
      </c>
      <c r="CU23" s="2">
        <f>COUNTIF(INDEX('LINE PLAN'!$B$36:$GS$61,0,ROW()-3),CU$3)</f>
        <v>0</v>
      </c>
      <c r="CV23" s="2">
        <f>COUNTIF(INDEX('LINE PLAN'!$B$36:$GS$61,0,ROW()-3),CV$3)</f>
        <v>0</v>
      </c>
      <c r="CW23" s="2">
        <f>COUNTIF(INDEX('LINE PLAN'!$B$36:$GS$61,0,ROW()-3),CW$3)</f>
        <v>0</v>
      </c>
      <c r="CX23" s="2">
        <f>COUNTIF(INDEX('LINE PLAN'!$B$36:$GS$61,0,ROW()-3),CX$3)</f>
        <v>0</v>
      </c>
      <c r="CY23" s="2">
        <f>COUNTIF(INDEX('LINE PLAN'!$B$36:$GS$61,0,ROW()-3),CY$3)</f>
        <v>0</v>
      </c>
      <c r="CZ23" s="2">
        <f>COUNTIF(INDEX('LINE PLAN'!$B$36:$GS$61,0,ROW()-3),CZ$3)</f>
        <v>0</v>
      </c>
      <c r="DA23" s="2">
        <f>COUNTIF(INDEX('LINE PLAN'!$B$36:$GS$61,0,ROW()-3),DA$3)</f>
        <v>0</v>
      </c>
      <c r="DB23" s="2">
        <f>COUNTIF(INDEX('LINE PLAN'!$B$36:$GS$61,0,ROW()-3),DB$3)</f>
        <v>0</v>
      </c>
      <c r="DC23" s="2">
        <f>COUNTIF(INDEX('LINE PLAN'!$B$36:$GS$61,0,ROW()-3),DC$3)</f>
        <v>0</v>
      </c>
      <c r="DD23" s="2">
        <f>COUNTIF(INDEX('LINE PLAN'!$B$36:$GS$61,0,ROW()-3),DD$3)</f>
        <v>0</v>
      </c>
      <c r="DE23" s="2">
        <f>COUNTIF(INDEX('LINE PLAN'!$B$36:$GS$61,0,ROW()-3),DE$3)</f>
        <v>0</v>
      </c>
      <c r="DF23" s="2">
        <f>COUNTIF(INDEX('LINE PLAN'!$B$36:$GS$61,0,ROW()-3),DF$3)</f>
        <v>0</v>
      </c>
      <c r="DG23" s="2">
        <f>COUNTIF(INDEX('LINE PLAN'!$B$36:$GS$61,0,ROW()-3),DG$3)</f>
        <v>0</v>
      </c>
      <c r="DH23" s="2">
        <f>COUNTIF(INDEX('LINE PLAN'!$B$36:$GS$61,0,ROW()-3),DH$3)</f>
        <v>0</v>
      </c>
      <c r="DI23" s="2">
        <f>COUNTIF(INDEX('LINE PLAN'!$B$36:$GS$61,0,ROW()-3),DI$3)</f>
        <v>0</v>
      </c>
      <c r="DJ23" s="2">
        <f>COUNTIF(INDEX('LINE PLAN'!$B$36:$GS$61,0,ROW()-3),DJ$3)</f>
        <v>0</v>
      </c>
      <c r="DK23" s="2">
        <f>COUNTIF(INDEX('LINE PLAN'!$B$36:$GS$61,0,ROW()-3),DK$3)</f>
        <v>0</v>
      </c>
      <c r="DL23" s="2">
        <f>COUNTIF(INDEX('LINE PLAN'!$B$36:$GS$61,0,ROW()-3),DL$3)</f>
        <v>0</v>
      </c>
      <c r="DM23" s="2">
        <f>COUNTIF(INDEX('LINE PLAN'!$B$36:$GS$61,0,ROW()-3),DM$3)</f>
        <v>0</v>
      </c>
      <c r="DN23" s="2">
        <f>COUNTIF(INDEX('LINE PLAN'!$B$36:$GS$61,0,ROW()-3),DN$3)</f>
        <v>0</v>
      </c>
      <c r="DO23" s="2">
        <f>COUNTIF(INDEX('LINE PLAN'!$B$36:$GS$61,0,ROW()-3),DO$3)</f>
        <v>0</v>
      </c>
      <c r="DP23" s="2">
        <f>COUNTIF(INDEX('LINE PLAN'!$B$36:$GS$61,0,ROW()-3),DP$3)</f>
        <v>0</v>
      </c>
      <c r="DQ23" s="2">
        <f>COUNTIF(INDEX('LINE PLAN'!$B$36:$GS$61,0,ROW()-3),DQ$3)</f>
        <v>0</v>
      </c>
      <c r="DR23" s="2">
        <f>COUNTIF(INDEX('LINE PLAN'!$B$36:$GS$61,0,ROW()-3),DR$3)</f>
        <v>0</v>
      </c>
      <c r="DS23" s="2">
        <f>COUNTIF(INDEX('LINE PLAN'!$B$36:$GS$61,0,ROW()-3),DS$3)</f>
        <v>0</v>
      </c>
      <c r="DT23" s="2">
        <f>COUNTIF(INDEX('LINE PLAN'!$B$36:$GS$61,0,ROW()-3),DT$3)</f>
        <v>0</v>
      </c>
      <c r="DU23" s="2">
        <f>COUNTIF(INDEX('LINE PLAN'!$B$36:$GS$61,0,ROW()-3),DU$3)</f>
        <v>0</v>
      </c>
      <c r="DV23" s="2">
        <f>COUNTIF(INDEX('LINE PLAN'!$B$36:$GS$61,0,ROW()-3),DV$3)</f>
        <v>0</v>
      </c>
    </row>
    <row r="24" spans="1:126">
      <c r="A24" s="505" cm="1">
        <f t="array" ref="A24">INDEX('LINE PLAN'!$B$35:$GS$35,ROW()-3)</f>
        <v>46255</v>
      </c>
      <c r="B24" s="2">
        <f>SUMPRODUCT($CA24:$DV24,INDEX('MC MAP'!$DA$5:$EV$30,1,0))</f>
        <v>144.5</v>
      </c>
      <c r="C24" s="2">
        <f>SUMPRODUCT($CA24:$DV24,INDEX('MC MAP'!$DA$5:$EV$30,2,0))</f>
        <v>1</v>
      </c>
      <c r="D24" s="2">
        <f>SUMPRODUCT($CA24:$DV24,INDEX('MC MAP'!$DA$5:$EV$30,3,0))</f>
        <v>0</v>
      </c>
      <c r="E24" s="2">
        <f>SUMPRODUCT($CA24:$DV24,INDEX('MC MAP'!$DA$5:$EV$30,4,0))</f>
        <v>4</v>
      </c>
      <c r="F24" s="2">
        <f>SUMPRODUCT($CA24:$DV24,INDEX('MC MAP'!$DA$5:$EV$30,5,0))</f>
        <v>266</v>
      </c>
      <c r="G24" s="2">
        <f>SUMPRODUCT($CA24:$DV24,INDEX('MC MAP'!$DA$5:$EV$30,6,0))</f>
        <v>30</v>
      </c>
      <c r="H24" s="2">
        <f>SUMPRODUCT($CA24:$DV24,INDEX('MC MAP'!$DA$5:$EV$30,7,0))</f>
        <v>0</v>
      </c>
      <c r="I24" s="2">
        <f>SUMPRODUCT($CA24:$DV24,INDEX('MC MAP'!$DA$5:$EV$30,8,0))</f>
        <v>36</v>
      </c>
      <c r="J24" s="2">
        <f>SUMPRODUCT($CA24:$DV24,INDEX('MC MAP'!$DA$5:$EV$30,9,0))</f>
        <v>27.5</v>
      </c>
      <c r="K24" s="2">
        <f>SUMPRODUCT($CA24:$DV24,INDEX('MC MAP'!$DA$5:$EV$30,10,0))</f>
        <v>12</v>
      </c>
      <c r="L24" s="2">
        <f>SUMPRODUCT($CA24:$DV24,INDEX('MC MAP'!$DA$5:$EV$30,11,0))</f>
        <v>42.5</v>
      </c>
      <c r="M24" s="2">
        <f>SUMPRODUCT($CA24:$DV24,INDEX('MC MAP'!$DA$5:$EV$30,12,0))</f>
        <v>17</v>
      </c>
      <c r="N24" s="2">
        <f>SUMPRODUCT($CA24:$DV24,INDEX('MC MAP'!$DA$5:$EV$30,13,0))</f>
        <v>28.5</v>
      </c>
      <c r="O24" s="2">
        <f>SUMPRODUCT($CA24:$DV24,INDEX('MC MAP'!$DA$5:$EV$30,14,0))</f>
        <v>42</v>
      </c>
      <c r="P24" s="2">
        <f>SUMPRODUCT($CA24:$DV24,INDEX('MC MAP'!$DA$5:$EV$30,15,0))</f>
        <v>63</v>
      </c>
      <c r="Q24" s="2">
        <f>SUMPRODUCT($CA24:$DV24,INDEX('MC MAP'!$DA$5:$EV$30,16,0))</f>
        <v>0</v>
      </c>
      <c r="R24" s="2">
        <f>SUMPRODUCT($CA24:$DV24,INDEX('MC MAP'!$DA$5:$EV$30,17,0))</f>
        <v>3</v>
      </c>
      <c r="S24" s="2">
        <f>SUMPRODUCT($CA24:$DV24,INDEX('MC MAP'!$DA$5:$EV$30,18,0))</f>
        <v>0</v>
      </c>
      <c r="T24" s="2">
        <f>SUMPRODUCT($CA24:$DV24,INDEX('MC MAP'!$DA$5:$EV$30,19,0))</f>
        <v>15</v>
      </c>
      <c r="U24" s="2">
        <f>SUMPRODUCT($CA24:$DV24,INDEX('MC MAP'!$DA$5:$EV$30,20,0))</f>
        <v>32.5</v>
      </c>
      <c r="V24" s="2">
        <f>SUMPRODUCT($CA24:$DV24,INDEX('MC MAP'!$DA$5:$EV$30,21,0))</f>
        <v>2</v>
      </c>
      <c r="W24" s="2">
        <f>SUMPRODUCT($CA24:$DV24,INDEX('MC MAP'!$DA$5:$EV$30,22,0))</f>
        <v>2</v>
      </c>
      <c r="X24" s="2">
        <f>SUMPRODUCT($CA24:$DV24,INDEX('MC MAP'!$DA$5:$EV$30,23,0))</f>
        <v>0</v>
      </c>
      <c r="Y24" s="2">
        <f>SUMPRODUCT($CA24:$DV24,INDEX('MC MAP'!$DA$5:$EV$30,24,0))</f>
        <v>7.5</v>
      </c>
      <c r="Z24" s="2">
        <f>SUMPRODUCT($CA24:$DV24,INDEX('MC MAP'!$DA$5:$EV$30,25,0))</f>
        <v>0</v>
      </c>
      <c r="AA24" s="2">
        <f>SUMPRODUCT($CA24:$DV24,INDEX('MC MAP'!$DA$5:$EV$30,26,0))</f>
        <v>25</v>
      </c>
      <c r="AB24" s="2">
        <f>SUM($B24:$AA24)</f>
        <v>801</v>
      </c>
      <c r="AC24" s="2">
        <f>SUM($CA24:$DV24)+$AW24</f>
        <v>26</v>
      </c>
      <c r="AW24" s="2">
        <f>IF($A24=0,0,COUNTIF(INDEX('LINE PLAN'!$B$36:$GS$61,0,ROW()-3),"THERMAL - NOT SPECIFIED"))</f>
        <v>0</v>
      </c>
      <c r="AX24" s="506" cm="1">
        <f t="array" ref="AX24">IF(OR($AB24=0,UPPER($BS24)&lt;&gt;"Y"),0,SUMPRODUCT(--($B24:$AA24&gt;$B$205:$AA$205)))</f>
        <v>4</v>
      </c>
      <c r="AY24" s="507">
        <f>$A24</f>
        <v>46255</v>
      </c>
      <c r="AZ24" s="2">
        <f>$AB24</f>
        <v>801</v>
      </c>
      <c r="BA24" s="2">
        <f>'MC MASTER'!$C$29</f>
        <v>920</v>
      </c>
      <c r="BQ24" s="509">
        <f>$A24</f>
        <v>46255</v>
      </c>
      <c r="BR24" s="15" t="str">
        <f>TEXT($A24,"ddd")</f>
        <v>Fri</v>
      </c>
      <c r="BS24" s="547" t="s">
        <v>391</v>
      </c>
      <c r="BT24" s="15">
        <f>IF(UPPER($BS24)="Y",$AB24,0)</f>
        <v>801</v>
      </c>
      <c r="CA24" s="2">
        <f>COUNTIF(INDEX('LINE PLAN'!$B$36:$GS$61,0,ROW()-3),CA$3)</f>
        <v>1</v>
      </c>
      <c r="CB24" s="2">
        <f>COUNTIF(INDEX('LINE PLAN'!$B$36:$GS$61,0,ROW()-3),CB$3)</f>
        <v>1</v>
      </c>
      <c r="CC24" s="2">
        <f>COUNTIF(INDEX('LINE PLAN'!$B$36:$GS$61,0,ROW()-3),CC$3)</f>
        <v>2</v>
      </c>
      <c r="CD24" s="2">
        <f>COUNTIF(INDEX('LINE PLAN'!$B$36:$GS$61,0,ROW()-3),CD$3)</f>
        <v>1</v>
      </c>
      <c r="CE24" s="2">
        <f>COUNTIF(INDEX('LINE PLAN'!$B$36:$GS$61,0,ROW()-3),CE$3)</f>
        <v>3</v>
      </c>
      <c r="CF24" s="2">
        <f>COUNTIF(INDEX('LINE PLAN'!$B$36:$GS$61,0,ROW()-3),CF$3)</f>
        <v>3</v>
      </c>
      <c r="CG24" s="2">
        <f>COUNTIF(INDEX('LINE PLAN'!$B$36:$GS$61,0,ROW()-3),CG$3)</f>
        <v>2</v>
      </c>
      <c r="CH24" s="2">
        <f>COUNTIF(INDEX('LINE PLAN'!$B$36:$GS$61,0,ROW()-3),CH$3)</f>
        <v>3</v>
      </c>
      <c r="CI24" s="2">
        <f>COUNTIF(INDEX('LINE PLAN'!$B$36:$GS$61,0,ROW()-3),CI$3)</f>
        <v>1</v>
      </c>
      <c r="CJ24" s="2">
        <f>COUNTIF(INDEX('LINE PLAN'!$B$36:$GS$61,0,ROW()-3),CJ$3)</f>
        <v>3</v>
      </c>
      <c r="CK24" s="2">
        <f>COUNTIF(INDEX('LINE PLAN'!$B$36:$GS$61,0,ROW()-3),CK$3)</f>
        <v>2</v>
      </c>
      <c r="CL24" s="2">
        <f>COUNTIF(INDEX('LINE PLAN'!$B$36:$GS$61,0,ROW()-3),CL$3)</f>
        <v>0</v>
      </c>
      <c r="CM24" s="2">
        <f>COUNTIF(INDEX('LINE PLAN'!$B$36:$GS$61,0,ROW()-3),CM$3)</f>
        <v>0</v>
      </c>
      <c r="CN24" s="2">
        <f>COUNTIF(INDEX('LINE PLAN'!$B$36:$GS$61,0,ROW()-3),CN$3)</f>
        <v>0</v>
      </c>
      <c r="CO24" s="2">
        <f>COUNTIF(INDEX('LINE PLAN'!$B$36:$GS$61,0,ROW()-3),CO$3)</f>
        <v>1</v>
      </c>
      <c r="CP24" s="2">
        <f>COUNTIF(INDEX('LINE PLAN'!$B$36:$GS$61,0,ROW()-3),CP$3)</f>
        <v>2</v>
      </c>
      <c r="CQ24" s="2">
        <f>COUNTIF(INDEX('LINE PLAN'!$B$36:$GS$61,0,ROW()-3),CQ$3)</f>
        <v>0</v>
      </c>
      <c r="CR24" s="2">
        <f>COUNTIF(INDEX('LINE PLAN'!$B$36:$GS$61,0,ROW()-3),CR$3)</f>
        <v>1</v>
      </c>
      <c r="CS24" s="2">
        <f>COUNTIF(INDEX('LINE PLAN'!$B$36:$GS$61,0,ROW()-3),CS$3)</f>
        <v>0</v>
      </c>
      <c r="CT24" s="2">
        <f>COUNTIF(INDEX('LINE PLAN'!$B$36:$GS$61,0,ROW()-3),CT$3)</f>
        <v>0</v>
      </c>
      <c r="CU24" s="2">
        <f>COUNTIF(INDEX('LINE PLAN'!$B$36:$GS$61,0,ROW()-3),CU$3)</f>
        <v>0</v>
      </c>
      <c r="CV24" s="2">
        <f>COUNTIF(INDEX('LINE PLAN'!$B$36:$GS$61,0,ROW()-3),CV$3)</f>
        <v>0</v>
      </c>
      <c r="CW24" s="2">
        <f>COUNTIF(INDEX('LINE PLAN'!$B$36:$GS$61,0,ROW()-3),CW$3)</f>
        <v>0</v>
      </c>
      <c r="CX24" s="2">
        <f>COUNTIF(INDEX('LINE PLAN'!$B$36:$GS$61,0,ROW()-3),CX$3)</f>
        <v>0</v>
      </c>
      <c r="CY24" s="2">
        <f>COUNTIF(INDEX('LINE PLAN'!$B$36:$GS$61,0,ROW()-3),CY$3)</f>
        <v>0</v>
      </c>
      <c r="CZ24" s="2">
        <f>COUNTIF(INDEX('LINE PLAN'!$B$36:$GS$61,0,ROW()-3),CZ$3)</f>
        <v>0</v>
      </c>
      <c r="DA24" s="2">
        <f>COUNTIF(INDEX('LINE PLAN'!$B$36:$GS$61,0,ROW()-3),DA$3)</f>
        <v>0</v>
      </c>
      <c r="DB24" s="2">
        <f>COUNTIF(INDEX('LINE PLAN'!$B$36:$GS$61,0,ROW()-3),DB$3)</f>
        <v>0</v>
      </c>
      <c r="DC24" s="2">
        <f>COUNTIF(INDEX('LINE PLAN'!$B$36:$GS$61,0,ROW()-3),DC$3)</f>
        <v>0</v>
      </c>
      <c r="DD24" s="2">
        <f>COUNTIF(INDEX('LINE PLAN'!$B$36:$GS$61,0,ROW()-3),DD$3)</f>
        <v>0</v>
      </c>
      <c r="DE24" s="2">
        <f>COUNTIF(INDEX('LINE PLAN'!$B$36:$GS$61,0,ROW()-3),DE$3)</f>
        <v>0</v>
      </c>
      <c r="DF24" s="2">
        <f>COUNTIF(INDEX('LINE PLAN'!$B$36:$GS$61,0,ROW()-3),DF$3)</f>
        <v>0</v>
      </c>
      <c r="DG24" s="2">
        <f>COUNTIF(INDEX('LINE PLAN'!$B$36:$GS$61,0,ROW()-3),DG$3)</f>
        <v>0</v>
      </c>
      <c r="DH24" s="2">
        <f>COUNTIF(INDEX('LINE PLAN'!$B$36:$GS$61,0,ROW()-3),DH$3)</f>
        <v>0</v>
      </c>
      <c r="DI24" s="2">
        <f>COUNTIF(INDEX('LINE PLAN'!$B$36:$GS$61,0,ROW()-3),DI$3)</f>
        <v>0</v>
      </c>
      <c r="DJ24" s="2">
        <f>COUNTIF(INDEX('LINE PLAN'!$B$36:$GS$61,0,ROW()-3),DJ$3)</f>
        <v>0</v>
      </c>
      <c r="DK24" s="2">
        <f>COUNTIF(INDEX('LINE PLAN'!$B$36:$GS$61,0,ROW()-3),DK$3)</f>
        <v>0</v>
      </c>
      <c r="DL24" s="2">
        <f>COUNTIF(INDEX('LINE PLAN'!$B$36:$GS$61,0,ROW()-3),DL$3)</f>
        <v>0</v>
      </c>
      <c r="DM24" s="2">
        <f>COUNTIF(INDEX('LINE PLAN'!$B$36:$GS$61,0,ROW()-3),DM$3)</f>
        <v>0</v>
      </c>
      <c r="DN24" s="2">
        <f>COUNTIF(INDEX('LINE PLAN'!$B$36:$GS$61,0,ROW()-3),DN$3)</f>
        <v>0</v>
      </c>
      <c r="DO24" s="2">
        <f>COUNTIF(INDEX('LINE PLAN'!$B$36:$GS$61,0,ROW()-3),DO$3)</f>
        <v>0</v>
      </c>
      <c r="DP24" s="2">
        <f>COUNTIF(INDEX('LINE PLAN'!$B$36:$GS$61,0,ROW()-3),DP$3)</f>
        <v>0</v>
      </c>
      <c r="DQ24" s="2">
        <f>COUNTIF(INDEX('LINE PLAN'!$B$36:$GS$61,0,ROW()-3),DQ$3)</f>
        <v>0</v>
      </c>
      <c r="DR24" s="2">
        <f>COUNTIF(INDEX('LINE PLAN'!$B$36:$GS$61,0,ROW()-3),DR$3)</f>
        <v>0</v>
      </c>
      <c r="DS24" s="2">
        <f>COUNTIF(INDEX('LINE PLAN'!$B$36:$GS$61,0,ROW()-3),DS$3)</f>
        <v>0</v>
      </c>
      <c r="DT24" s="2">
        <f>COUNTIF(INDEX('LINE PLAN'!$B$36:$GS$61,0,ROW()-3),DT$3)</f>
        <v>0</v>
      </c>
      <c r="DU24" s="2">
        <f>COUNTIF(INDEX('LINE PLAN'!$B$36:$GS$61,0,ROW()-3),DU$3)</f>
        <v>0</v>
      </c>
      <c r="DV24" s="2">
        <f>COUNTIF(INDEX('LINE PLAN'!$B$36:$GS$61,0,ROW()-3),DV$3)</f>
        <v>0</v>
      </c>
    </row>
    <row r="25" spans="1:126" ht="15.75">
      <c r="A25" s="505" cm="1">
        <f t="array" ref="A25">INDEX('LINE PLAN'!$B$35:$GS$35,ROW()-3)</f>
        <v>46256</v>
      </c>
      <c r="B25" s="2">
        <f>SUMPRODUCT($CA25:$DV25,INDEX('MC MAP'!$DA$5:$EV$30,1,0))</f>
        <v>144.5</v>
      </c>
      <c r="C25" s="2">
        <f>SUMPRODUCT($CA25:$DV25,INDEX('MC MAP'!$DA$5:$EV$30,2,0))</f>
        <v>1</v>
      </c>
      <c r="D25" s="2">
        <f>SUMPRODUCT($CA25:$DV25,INDEX('MC MAP'!$DA$5:$EV$30,3,0))</f>
        <v>0</v>
      </c>
      <c r="E25" s="2">
        <f>SUMPRODUCT($CA25:$DV25,INDEX('MC MAP'!$DA$5:$EV$30,4,0))</f>
        <v>4</v>
      </c>
      <c r="F25" s="2">
        <f>SUMPRODUCT($CA25:$DV25,INDEX('MC MAP'!$DA$5:$EV$30,5,0))</f>
        <v>266</v>
      </c>
      <c r="G25" s="2">
        <f>SUMPRODUCT($CA25:$DV25,INDEX('MC MAP'!$DA$5:$EV$30,6,0))</f>
        <v>30</v>
      </c>
      <c r="H25" s="2">
        <f>SUMPRODUCT($CA25:$DV25,INDEX('MC MAP'!$DA$5:$EV$30,7,0))</f>
        <v>0</v>
      </c>
      <c r="I25" s="2">
        <f>SUMPRODUCT($CA25:$DV25,INDEX('MC MAP'!$DA$5:$EV$30,8,0))</f>
        <v>36</v>
      </c>
      <c r="J25" s="2">
        <f>SUMPRODUCT($CA25:$DV25,INDEX('MC MAP'!$DA$5:$EV$30,9,0))</f>
        <v>27.5</v>
      </c>
      <c r="K25" s="2">
        <f>SUMPRODUCT($CA25:$DV25,INDEX('MC MAP'!$DA$5:$EV$30,10,0))</f>
        <v>12</v>
      </c>
      <c r="L25" s="2">
        <f>SUMPRODUCT($CA25:$DV25,INDEX('MC MAP'!$DA$5:$EV$30,11,0))</f>
        <v>42.5</v>
      </c>
      <c r="M25" s="2">
        <f>SUMPRODUCT($CA25:$DV25,INDEX('MC MAP'!$DA$5:$EV$30,12,0))</f>
        <v>17</v>
      </c>
      <c r="N25" s="2">
        <f>SUMPRODUCT($CA25:$DV25,INDEX('MC MAP'!$DA$5:$EV$30,13,0))</f>
        <v>28.5</v>
      </c>
      <c r="O25" s="2">
        <f>SUMPRODUCT($CA25:$DV25,INDEX('MC MAP'!$DA$5:$EV$30,14,0))</f>
        <v>42</v>
      </c>
      <c r="P25" s="2">
        <f>SUMPRODUCT($CA25:$DV25,INDEX('MC MAP'!$DA$5:$EV$30,15,0))</f>
        <v>63</v>
      </c>
      <c r="Q25" s="2">
        <f>SUMPRODUCT($CA25:$DV25,INDEX('MC MAP'!$DA$5:$EV$30,16,0))</f>
        <v>0</v>
      </c>
      <c r="R25" s="2">
        <f>SUMPRODUCT($CA25:$DV25,INDEX('MC MAP'!$DA$5:$EV$30,17,0))</f>
        <v>3</v>
      </c>
      <c r="S25" s="2">
        <f>SUMPRODUCT($CA25:$DV25,INDEX('MC MAP'!$DA$5:$EV$30,18,0))</f>
        <v>0</v>
      </c>
      <c r="T25" s="2">
        <f>SUMPRODUCT($CA25:$DV25,INDEX('MC MAP'!$DA$5:$EV$30,19,0))</f>
        <v>15</v>
      </c>
      <c r="U25" s="2">
        <f>SUMPRODUCT($CA25:$DV25,INDEX('MC MAP'!$DA$5:$EV$30,20,0))</f>
        <v>32.5</v>
      </c>
      <c r="V25" s="2">
        <f>SUMPRODUCT($CA25:$DV25,INDEX('MC MAP'!$DA$5:$EV$30,21,0))</f>
        <v>2</v>
      </c>
      <c r="W25" s="2">
        <f>SUMPRODUCT($CA25:$DV25,INDEX('MC MAP'!$DA$5:$EV$30,22,0))</f>
        <v>2</v>
      </c>
      <c r="X25" s="2">
        <f>SUMPRODUCT($CA25:$DV25,INDEX('MC MAP'!$DA$5:$EV$30,23,0))</f>
        <v>0</v>
      </c>
      <c r="Y25" s="2">
        <f>SUMPRODUCT($CA25:$DV25,INDEX('MC MAP'!$DA$5:$EV$30,24,0))</f>
        <v>7.5</v>
      </c>
      <c r="Z25" s="2">
        <f>SUMPRODUCT($CA25:$DV25,INDEX('MC MAP'!$DA$5:$EV$30,25,0))</f>
        <v>0</v>
      </c>
      <c r="AA25" s="2">
        <f>SUMPRODUCT($CA25:$DV25,INDEX('MC MAP'!$DA$5:$EV$30,26,0))</f>
        <v>25</v>
      </c>
      <c r="AB25" s="2">
        <f>SUM($B25:$AA25)</f>
        <v>801</v>
      </c>
      <c r="AC25" s="2">
        <f>SUM($CA25:$DV25)+$AW25</f>
        <v>26</v>
      </c>
      <c r="AW25" s="2">
        <f>IF($A25=0,0,COUNTIF(INDEX('LINE PLAN'!$B$36:$GS$61,0,ROW()-3),"THERMAL - NOT SPECIFIED"))</f>
        <v>0</v>
      </c>
      <c r="AX25" s="506" cm="1">
        <f t="array" ref="AX25">IF(OR($AB25=0,UPPER($BS25)&lt;&gt;"Y"),0,SUMPRODUCT(--($B25:$AA25&gt;$B$205:$AA$205)))</f>
        <v>4</v>
      </c>
      <c r="AY25" s="507">
        <f>$A25</f>
        <v>46256</v>
      </c>
      <c r="AZ25" s="2">
        <f>$AB25</f>
        <v>801</v>
      </c>
      <c r="BA25" s="2">
        <f>'MC MASTER'!$C$29</f>
        <v>920</v>
      </c>
      <c r="BD25" s="483" t="s">
        <v>327</v>
      </c>
      <c r="BQ25" s="509">
        <f>$A25</f>
        <v>46256</v>
      </c>
      <c r="BR25" s="15" t="str">
        <f>TEXT($A25,"ddd")</f>
        <v>Sat</v>
      </c>
      <c r="BS25" s="547" t="s">
        <v>391</v>
      </c>
      <c r="BT25" s="15">
        <f>IF(UPPER($BS25)="Y",$AB25,0)</f>
        <v>801</v>
      </c>
      <c r="CA25" s="2">
        <f>COUNTIF(INDEX('LINE PLAN'!$B$36:$GS$61,0,ROW()-3),CA$3)</f>
        <v>1</v>
      </c>
      <c r="CB25" s="2">
        <f>COUNTIF(INDEX('LINE PLAN'!$B$36:$GS$61,0,ROW()-3),CB$3)</f>
        <v>1</v>
      </c>
      <c r="CC25" s="2">
        <f>COUNTIF(INDEX('LINE PLAN'!$B$36:$GS$61,0,ROW()-3),CC$3)</f>
        <v>2</v>
      </c>
      <c r="CD25" s="2">
        <f>COUNTIF(INDEX('LINE PLAN'!$B$36:$GS$61,0,ROW()-3),CD$3)</f>
        <v>1</v>
      </c>
      <c r="CE25" s="2">
        <f>COUNTIF(INDEX('LINE PLAN'!$B$36:$GS$61,0,ROW()-3),CE$3)</f>
        <v>3</v>
      </c>
      <c r="CF25" s="2">
        <f>COUNTIF(INDEX('LINE PLAN'!$B$36:$GS$61,0,ROW()-3),CF$3)</f>
        <v>3</v>
      </c>
      <c r="CG25" s="2">
        <f>COUNTIF(INDEX('LINE PLAN'!$B$36:$GS$61,0,ROW()-3),CG$3)</f>
        <v>2</v>
      </c>
      <c r="CH25" s="2">
        <f>COUNTIF(INDEX('LINE PLAN'!$B$36:$GS$61,0,ROW()-3),CH$3)</f>
        <v>3</v>
      </c>
      <c r="CI25" s="2">
        <f>COUNTIF(INDEX('LINE PLAN'!$B$36:$GS$61,0,ROW()-3),CI$3)</f>
        <v>1</v>
      </c>
      <c r="CJ25" s="2">
        <f>COUNTIF(INDEX('LINE PLAN'!$B$36:$GS$61,0,ROW()-3),CJ$3)</f>
        <v>3</v>
      </c>
      <c r="CK25" s="2">
        <f>COUNTIF(INDEX('LINE PLAN'!$B$36:$GS$61,0,ROW()-3),CK$3)</f>
        <v>2</v>
      </c>
      <c r="CL25" s="2">
        <f>COUNTIF(INDEX('LINE PLAN'!$B$36:$GS$61,0,ROW()-3),CL$3)</f>
        <v>0</v>
      </c>
      <c r="CM25" s="2">
        <f>COUNTIF(INDEX('LINE PLAN'!$B$36:$GS$61,0,ROW()-3),CM$3)</f>
        <v>0</v>
      </c>
      <c r="CN25" s="2">
        <f>COUNTIF(INDEX('LINE PLAN'!$B$36:$GS$61,0,ROW()-3),CN$3)</f>
        <v>0</v>
      </c>
      <c r="CO25" s="2">
        <f>COUNTIF(INDEX('LINE PLAN'!$B$36:$GS$61,0,ROW()-3),CO$3)</f>
        <v>1</v>
      </c>
      <c r="CP25" s="2">
        <f>COUNTIF(INDEX('LINE PLAN'!$B$36:$GS$61,0,ROW()-3),CP$3)</f>
        <v>2</v>
      </c>
      <c r="CQ25" s="2">
        <f>COUNTIF(INDEX('LINE PLAN'!$B$36:$GS$61,0,ROW()-3),CQ$3)</f>
        <v>0</v>
      </c>
      <c r="CR25" s="2">
        <f>COUNTIF(INDEX('LINE PLAN'!$B$36:$GS$61,0,ROW()-3),CR$3)</f>
        <v>1</v>
      </c>
      <c r="CS25" s="2">
        <f>COUNTIF(INDEX('LINE PLAN'!$B$36:$GS$61,0,ROW()-3),CS$3)</f>
        <v>0</v>
      </c>
      <c r="CT25" s="2">
        <f>COUNTIF(INDEX('LINE PLAN'!$B$36:$GS$61,0,ROW()-3),CT$3)</f>
        <v>0</v>
      </c>
      <c r="CU25" s="2">
        <f>COUNTIF(INDEX('LINE PLAN'!$B$36:$GS$61,0,ROW()-3),CU$3)</f>
        <v>0</v>
      </c>
      <c r="CV25" s="2">
        <f>COUNTIF(INDEX('LINE PLAN'!$B$36:$GS$61,0,ROW()-3),CV$3)</f>
        <v>0</v>
      </c>
      <c r="CW25" s="2">
        <f>COUNTIF(INDEX('LINE PLAN'!$B$36:$GS$61,0,ROW()-3),CW$3)</f>
        <v>0</v>
      </c>
      <c r="CX25" s="2">
        <f>COUNTIF(INDEX('LINE PLAN'!$B$36:$GS$61,0,ROW()-3),CX$3)</f>
        <v>0</v>
      </c>
      <c r="CY25" s="2">
        <f>COUNTIF(INDEX('LINE PLAN'!$B$36:$GS$61,0,ROW()-3),CY$3)</f>
        <v>0</v>
      </c>
      <c r="CZ25" s="2">
        <f>COUNTIF(INDEX('LINE PLAN'!$B$36:$GS$61,0,ROW()-3),CZ$3)</f>
        <v>0</v>
      </c>
      <c r="DA25" s="2">
        <f>COUNTIF(INDEX('LINE PLAN'!$B$36:$GS$61,0,ROW()-3),DA$3)</f>
        <v>0</v>
      </c>
      <c r="DB25" s="2">
        <f>COUNTIF(INDEX('LINE PLAN'!$B$36:$GS$61,0,ROW()-3),DB$3)</f>
        <v>0</v>
      </c>
      <c r="DC25" s="2">
        <f>COUNTIF(INDEX('LINE PLAN'!$B$36:$GS$61,0,ROW()-3),DC$3)</f>
        <v>0</v>
      </c>
      <c r="DD25" s="2">
        <f>COUNTIF(INDEX('LINE PLAN'!$B$36:$GS$61,0,ROW()-3),DD$3)</f>
        <v>0</v>
      </c>
      <c r="DE25" s="2">
        <f>COUNTIF(INDEX('LINE PLAN'!$B$36:$GS$61,0,ROW()-3),DE$3)</f>
        <v>0</v>
      </c>
      <c r="DF25" s="2">
        <f>COUNTIF(INDEX('LINE PLAN'!$B$36:$GS$61,0,ROW()-3),DF$3)</f>
        <v>0</v>
      </c>
      <c r="DG25" s="2">
        <f>COUNTIF(INDEX('LINE PLAN'!$B$36:$GS$61,0,ROW()-3),DG$3)</f>
        <v>0</v>
      </c>
      <c r="DH25" s="2">
        <f>COUNTIF(INDEX('LINE PLAN'!$B$36:$GS$61,0,ROW()-3),DH$3)</f>
        <v>0</v>
      </c>
      <c r="DI25" s="2">
        <f>COUNTIF(INDEX('LINE PLAN'!$B$36:$GS$61,0,ROW()-3),DI$3)</f>
        <v>0</v>
      </c>
      <c r="DJ25" s="2">
        <f>COUNTIF(INDEX('LINE PLAN'!$B$36:$GS$61,0,ROW()-3),DJ$3)</f>
        <v>0</v>
      </c>
      <c r="DK25" s="2">
        <f>COUNTIF(INDEX('LINE PLAN'!$B$36:$GS$61,0,ROW()-3),DK$3)</f>
        <v>0</v>
      </c>
      <c r="DL25" s="2">
        <f>COUNTIF(INDEX('LINE PLAN'!$B$36:$GS$61,0,ROW()-3),DL$3)</f>
        <v>0</v>
      </c>
      <c r="DM25" s="2">
        <f>COUNTIF(INDEX('LINE PLAN'!$B$36:$GS$61,0,ROW()-3),DM$3)</f>
        <v>0</v>
      </c>
      <c r="DN25" s="2">
        <f>COUNTIF(INDEX('LINE PLAN'!$B$36:$GS$61,0,ROW()-3),DN$3)</f>
        <v>0</v>
      </c>
      <c r="DO25" s="2">
        <f>COUNTIF(INDEX('LINE PLAN'!$B$36:$GS$61,0,ROW()-3),DO$3)</f>
        <v>0</v>
      </c>
      <c r="DP25" s="2">
        <f>COUNTIF(INDEX('LINE PLAN'!$B$36:$GS$61,0,ROW()-3),DP$3)</f>
        <v>0</v>
      </c>
      <c r="DQ25" s="2">
        <f>COUNTIF(INDEX('LINE PLAN'!$B$36:$GS$61,0,ROW()-3),DQ$3)</f>
        <v>0</v>
      </c>
      <c r="DR25" s="2">
        <f>COUNTIF(INDEX('LINE PLAN'!$B$36:$GS$61,0,ROW()-3),DR$3)</f>
        <v>0</v>
      </c>
      <c r="DS25" s="2">
        <f>COUNTIF(INDEX('LINE PLAN'!$B$36:$GS$61,0,ROW()-3),DS$3)</f>
        <v>0</v>
      </c>
      <c r="DT25" s="2">
        <f>COUNTIF(INDEX('LINE PLAN'!$B$36:$GS$61,0,ROW()-3),DT$3)</f>
        <v>0</v>
      </c>
      <c r="DU25" s="2">
        <f>COUNTIF(INDEX('LINE PLAN'!$B$36:$GS$61,0,ROW()-3),DU$3)</f>
        <v>0</v>
      </c>
      <c r="DV25" s="2">
        <f>COUNTIF(INDEX('LINE PLAN'!$B$36:$GS$61,0,ROW()-3),DV$3)</f>
        <v>0</v>
      </c>
    </row>
    <row r="26" spans="1:126">
      <c r="A26" s="505" cm="1">
        <f t="array" ref="A26">INDEX('LINE PLAN'!$B$35:$GS$35,ROW()-3)</f>
        <v>46257</v>
      </c>
      <c r="B26" s="2">
        <f>SUMPRODUCT($CA26:$DV26,INDEX('MC MAP'!$DA$5:$EV$30,1,0))</f>
        <v>144.5</v>
      </c>
      <c r="C26" s="2">
        <f>SUMPRODUCT($CA26:$DV26,INDEX('MC MAP'!$DA$5:$EV$30,2,0))</f>
        <v>1</v>
      </c>
      <c r="D26" s="2">
        <f>SUMPRODUCT($CA26:$DV26,INDEX('MC MAP'!$DA$5:$EV$30,3,0))</f>
        <v>0</v>
      </c>
      <c r="E26" s="2">
        <f>SUMPRODUCT($CA26:$DV26,INDEX('MC MAP'!$DA$5:$EV$30,4,0))</f>
        <v>4</v>
      </c>
      <c r="F26" s="2">
        <f>SUMPRODUCT($CA26:$DV26,INDEX('MC MAP'!$DA$5:$EV$30,5,0))</f>
        <v>266</v>
      </c>
      <c r="G26" s="2">
        <f>SUMPRODUCT($CA26:$DV26,INDEX('MC MAP'!$DA$5:$EV$30,6,0))</f>
        <v>30</v>
      </c>
      <c r="H26" s="2">
        <f>SUMPRODUCT($CA26:$DV26,INDEX('MC MAP'!$DA$5:$EV$30,7,0))</f>
        <v>0</v>
      </c>
      <c r="I26" s="2">
        <f>SUMPRODUCT($CA26:$DV26,INDEX('MC MAP'!$DA$5:$EV$30,8,0))</f>
        <v>36</v>
      </c>
      <c r="J26" s="2">
        <f>SUMPRODUCT($CA26:$DV26,INDEX('MC MAP'!$DA$5:$EV$30,9,0))</f>
        <v>27.5</v>
      </c>
      <c r="K26" s="2">
        <f>SUMPRODUCT($CA26:$DV26,INDEX('MC MAP'!$DA$5:$EV$30,10,0))</f>
        <v>12</v>
      </c>
      <c r="L26" s="2">
        <f>SUMPRODUCT($CA26:$DV26,INDEX('MC MAP'!$DA$5:$EV$30,11,0))</f>
        <v>42.5</v>
      </c>
      <c r="M26" s="2">
        <f>SUMPRODUCT($CA26:$DV26,INDEX('MC MAP'!$DA$5:$EV$30,12,0))</f>
        <v>17</v>
      </c>
      <c r="N26" s="2">
        <f>SUMPRODUCT($CA26:$DV26,INDEX('MC MAP'!$DA$5:$EV$30,13,0))</f>
        <v>28.5</v>
      </c>
      <c r="O26" s="2">
        <f>SUMPRODUCT($CA26:$DV26,INDEX('MC MAP'!$DA$5:$EV$30,14,0))</f>
        <v>42</v>
      </c>
      <c r="P26" s="2">
        <f>SUMPRODUCT($CA26:$DV26,INDEX('MC MAP'!$DA$5:$EV$30,15,0))</f>
        <v>63</v>
      </c>
      <c r="Q26" s="2">
        <f>SUMPRODUCT($CA26:$DV26,INDEX('MC MAP'!$DA$5:$EV$30,16,0))</f>
        <v>0</v>
      </c>
      <c r="R26" s="2">
        <f>SUMPRODUCT($CA26:$DV26,INDEX('MC MAP'!$DA$5:$EV$30,17,0))</f>
        <v>3</v>
      </c>
      <c r="S26" s="2">
        <f>SUMPRODUCT($CA26:$DV26,INDEX('MC MAP'!$DA$5:$EV$30,18,0))</f>
        <v>0</v>
      </c>
      <c r="T26" s="2">
        <f>SUMPRODUCT($CA26:$DV26,INDEX('MC MAP'!$DA$5:$EV$30,19,0))</f>
        <v>15</v>
      </c>
      <c r="U26" s="2">
        <f>SUMPRODUCT($CA26:$DV26,INDEX('MC MAP'!$DA$5:$EV$30,20,0))</f>
        <v>32.5</v>
      </c>
      <c r="V26" s="2">
        <f>SUMPRODUCT($CA26:$DV26,INDEX('MC MAP'!$DA$5:$EV$30,21,0))</f>
        <v>2</v>
      </c>
      <c r="W26" s="2">
        <f>SUMPRODUCT($CA26:$DV26,INDEX('MC MAP'!$DA$5:$EV$30,22,0))</f>
        <v>2</v>
      </c>
      <c r="X26" s="2">
        <f>SUMPRODUCT($CA26:$DV26,INDEX('MC MAP'!$DA$5:$EV$30,23,0))</f>
        <v>0</v>
      </c>
      <c r="Y26" s="2">
        <f>SUMPRODUCT($CA26:$DV26,INDEX('MC MAP'!$DA$5:$EV$30,24,0))</f>
        <v>7.5</v>
      </c>
      <c r="Z26" s="2">
        <f>SUMPRODUCT($CA26:$DV26,INDEX('MC MAP'!$DA$5:$EV$30,25,0))</f>
        <v>0</v>
      </c>
      <c r="AA26" s="2">
        <f>SUMPRODUCT($CA26:$DV26,INDEX('MC MAP'!$DA$5:$EV$30,26,0))</f>
        <v>25</v>
      </c>
      <c r="AB26" s="2">
        <f>SUM($B26:$AA26)</f>
        <v>801</v>
      </c>
      <c r="AC26" s="2">
        <f>SUM($CA26:$DV26)+$AW26</f>
        <v>26</v>
      </c>
      <c r="AW26" s="2">
        <f>IF($A26=0,0,COUNTIF(INDEX('LINE PLAN'!$B$36:$GS$61,0,ROW()-3),"THERMAL - NOT SPECIFIED"))</f>
        <v>0</v>
      </c>
      <c r="AX26" s="506" cm="1">
        <f t="array" ref="AX26">IF(OR($AB26=0,UPPER($BS26)&lt;&gt;"Y"),0,SUMPRODUCT(--($B26:$AA26&gt;$B$205:$AA$205)))</f>
        <v>0</v>
      </c>
      <c r="AY26" s="507">
        <f>$A26</f>
        <v>46257</v>
      </c>
      <c r="AZ26" s="2">
        <f>$AB26</f>
        <v>801</v>
      </c>
      <c r="BA26" s="2">
        <f>'MC MASTER'!$C$29</f>
        <v>920</v>
      </c>
      <c r="BD26" s="517" t="s">
        <v>328</v>
      </c>
      <c r="BE26" s="537" t="s">
        <v>329</v>
      </c>
      <c r="BF26" s="517" t="s">
        <v>323</v>
      </c>
      <c r="BG26" s="517" t="s">
        <v>324</v>
      </c>
      <c r="BH26" s="517" t="s">
        <v>325</v>
      </c>
      <c r="BI26" s="517" t="s">
        <v>326</v>
      </c>
      <c r="BJ26" s="517" t="s">
        <v>214</v>
      </c>
      <c r="BK26" s="538" t="s">
        <v>337</v>
      </c>
      <c r="BL26" s="538" t="s">
        <v>338</v>
      </c>
      <c r="BQ26" s="509">
        <f>$A26</f>
        <v>46257</v>
      </c>
      <c r="BR26" s="15" t="str">
        <f>TEXT($A26,"ddd")</f>
        <v>Sun</v>
      </c>
      <c r="BS26" s="547" t="s">
        <v>392</v>
      </c>
      <c r="BT26" s="15">
        <f>IF(UPPER($BS26)="Y",$AB26,0)</f>
        <v>0</v>
      </c>
      <c r="CA26" s="2">
        <f>COUNTIF(INDEX('LINE PLAN'!$B$36:$GS$61,0,ROW()-3),CA$3)</f>
        <v>1</v>
      </c>
      <c r="CB26" s="2">
        <f>COUNTIF(INDEX('LINE PLAN'!$B$36:$GS$61,0,ROW()-3),CB$3)</f>
        <v>1</v>
      </c>
      <c r="CC26" s="2">
        <f>COUNTIF(INDEX('LINE PLAN'!$B$36:$GS$61,0,ROW()-3),CC$3)</f>
        <v>2</v>
      </c>
      <c r="CD26" s="2">
        <f>COUNTIF(INDEX('LINE PLAN'!$B$36:$GS$61,0,ROW()-3),CD$3)</f>
        <v>1</v>
      </c>
      <c r="CE26" s="2">
        <f>COUNTIF(INDEX('LINE PLAN'!$B$36:$GS$61,0,ROW()-3),CE$3)</f>
        <v>3</v>
      </c>
      <c r="CF26" s="2">
        <f>COUNTIF(INDEX('LINE PLAN'!$B$36:$GS$61,0,ROW()-3),CF$3)</f>
        <v>3</v>
      </c>
      <c r="CG26" s="2">
        <f>COUNTIF(INDEX('LINE PLAN'!$B$36:$GS$61,0,ROW()-3),CG$3)</f>
        <v>2</v>
      </c>
      <c r="CH26" s="2">
        <f>COUNTIF(INDEX('LINE PLAN'!$B$36:$GS$61,0,ROW()-3),CH$3)</f>
        <v>3</v>
      </c>
      <c r="CI26" s="2">
        <f>COUNTIF(INDEX('LINE PLAN'!$B$36:$GS$61,0,ROW()-3),CI$3)</f>
        <v>1</v>
      </c>
      <c r="CJ26" s="2">
        <f>COUNTIF(INDEX('LINE PLAN'!$B$36:$GS$61,0,ROW()-3),CJ$3)</f>
        <v>3</v>
      </c>
      <c r="CK26" s="2">
        <f>COUNTIF(INDEX('LINE PLAN'!$B$36:$GS$61,0,ROW()-3),CK$3)</f>
        <v>2</v>
      </c>
      <c r="CL26" s="2">
        <f>COUNTIF(INDEX('LINE PLAN'!$B$36:$GS$61,0,ROW()-3),CL$3)</f>
        <v>0</v>
      </c>
      <c r="CM26" s="2">
        <f>COUNTIF(INDEX('LINE PLAN'!$B$36:$GS$61,0,ROW()-3),CM$3)</f>
        <v>0</v>
      </c>
      <c r="CN26" s="2">
        <f>COUNTIF(INDEX('LINE PLAN'!$B$36:$GS$61,0,ROW()-3),CN$3)</f>
        <v>0</v>
      </c>
      <c r="CO26" s="2">
        <f>COUNTIF(INDEX('LINE PLAN'!$B$36:$GS$61,0,ROW()-3),CO$3)</f>
        <v>1</v>
      </c>
      <c r="CP26" s="2">
        <f>COUNTIF(INDEX('LINE PLAN'!$B$36:$GS$61,0,ROW()-3),CP$3)</f>
        <v>2</v>
      </c>
      <c r="CQ26" s="2">
        <f>COUNTIF(INDEX('LINE PLAN'!$B$36:$GS$61,0,ROW()-3),CQ$3)</f>
        <v>0</v>
      </c>
      <c r="CR26" s="2">
        <f>COUNTIF(INDEX('LINE PLAN'!$B$36:$GS$61,0,ROW()-3),CR$3)</f>
        <v>1</v>
      </c>
      <c r="CS26" s="2">
        <f>COUNTIF(INDEX('LINE PLAN'!$B$36:$GS$61,0,ROW()-3),CS$3)</f>
        <v>0</v>
      </c>
      <c r="CT26" s="2">
        <f>COUNTIF(INDEX('LINE PLAN'!$B$36:$GS$61,0,ROW()-3),CT$3)</f>
        <v>0</v>
      </c>
      <c r="CU26" s="2">
        <f>COUNTIF(INDEX('LINE PLAN'!$B$36:$GS$61,0,ROW()-3),CU$3)</f>
        <v>0</v>
      </c>
      <c r="CV26" s="2">
        <f>COUNTIF(INDEX('LINE PLAN'!$B$36:$GS$61,0,ROW()-3),CV$3)</f>
        <v>0</v>
      </c>
      <c r="CW26" s="2">
        <f>COUNTIF(INDEX('LINE PLAN'!$B$36:$GS$61,0,ROW()-3),CW$3)</f>
        <v>0</v>
      </c>
      <c r="CX26" s="2">
        <f>COUNTIF(INDEX('LINE PLAN'!$B$36:$GS$61,0,ROW()-3),CX$3)</f>
        <v>0</v>
      </c>
      <c r="CY26" s="2">
        <f>COUNTIF(INDEX('LINE PLAN'!$B$36:$GS$61,0,ROW()-3),CY$3)</f>
        <v>0</v>
      </c>
      <c r="CZ26" s="2">
        <f>COUNTIF(INDEX('LINE PLAN'!$B$36:$GS$61,0,ROW()-3),CZ$3)</f>
        <v>0</v>
      </c>
      <c r="DA26" s="2">
        <f>COUNTIF(INDEX('LINE PLAN'!$B$36:$GS$61,0,ROW()-3),DA$3)</f>
        <v>0</v>
      </c>
      <c r="DB26" s="2">
        <f>COUNTIF(INDEX('LINE PLAN'!$B$36:$GS$61,0,ROW()-3),DB$3)</f>
        <v>0</v>
      </c>
      <c r="DC26" s="2">
        <f>COUNTIF(INDEX('LINE PLAN'!$B$36:$GS$61,0,ROW()-3),DC$3)</f>
        <v>0</v>
      </c>
      <c r="DD26" s="2">
        <f>COUNTIF(INDEX('LINE PLAN'!$B$36:$GS$61,0,ROW()-3),DD$3)</f>
        <v>0</v>
      </c>
      <c r="DE26" s="2">
        <f>COUNTIF(INDEX('LINE PLAN'!$B$36:$GS$61,0,ROW()-3),DE$3)</f>
        <v>0</v>
      </c>
      <c r="DF26" s="2">
        <f>COUNTIF(INDEX('LINE PLAN'!$B$36:$GS$61,0,ROW()-3),DF$3)</f>
        <v>0</v>
      </c>
      <c r="DG26" s="2">
        <f>COUNTIF(INDEX('LINE PLAN'!$B$36:$GS$61,0,ROW()-3),DG$3)</f>
        <v>0</v>
      </c>
      <c r="DH26" s="2">
        <f>COUNTIF(INDEX('LINE PLAN'!$B$36:$GS$61,0,ROW()-3),DH$3)</f>
        <v>0</v>
      </c>
      <c r="DI26" s="2">
        <f>COUNTIF(INDEX('LINE PLAN'!$B$36:$GS$61,0,ROW()-3),DI$3)</f>
        <v>0</v>
      </c>
      <c r="DJ26" s="2">
        <f>COUNTIF(INDEX('LINE PLAN'!$B$36:$GS$61,0,ROW()-3),DJ$3)</f>
        <v>0</v>
      </c>
      <c r="DK26" s="2">
        <f>COUNTIF(INDEX('LINE PLAN'!$B$36:$GS$61,0,ROW()-3),DK$3)</f>
        <v>0</v>
      </c>
      <c r="DL26" s="2">
        <f>COUNTIF(INDEX('LINE PLAN'!$B$36:$GS$61,0,ROW()-3),DL$3)</f>
        <v>0</v>
      </c>
      <c r="DM26" s="2">
        <f>COUNTIF(INDEX('LINE PLAN'!$B$36:$GS$61,0,ROW()-3),DM$3)</f>
        <v>0</v>
      </c>
      <c r="DN26" s="2">
        <f>COUNTIF(INDEX('LINE PLAN'!$B$36:$GS$61,0,ROW()-3),DN$3)</f>
        <v>0</v>
      </c>
      <c r="DO26" s="2">
        <f>COUNTIF(INDEX('LINE PLAN'!$B$36:$GS$61,0,ROW()-3),DO$3)</f>
        <v>0</v>
      </c>
      <c r="DP26" s="2">
        <f>COUNTIF(INDEX('LINE PLAN'!$B$36:$GS$61,0,ROW()-3),DP$3)</f>
        <v>0</v>
      </c>
      <c r="DQ26" s="2">
        <f>COUNTIF(INDEX('LINE PLAN'!$B$36:$GS$61,0,ROW()-3),DQ$3)</f>
        <v>0</v>
      </c>
      <c r="DR26" s="2">
        <f>COUNTIF(INDEX('LINE PLAN'!$B$36:$GS$61,0,ROW()-3),DR$3)</f>
        <v>0</v>
      </c>
      <c r="DS26" s="2">
        <f>COUNTIF(INDEX('LINE PLAN'!$B$36:$GS$61,0,ROW()-3),DS$3)</f>
        <v>0</v>
      </c>
      <c r="DT26" s="2">
        <f>COUNTIF(INDEX('LINE PLAN'!$B$36:$GS$61,0,ROW()-3),DT$3)</f>
        <v>0</v>
      </c>
      <c r="DU26" s="2">
        <f>COUNTIF(INDEX('LINE PLAN'!$B$36:$GS$61,0,ROW()-3),DU$3)</f>
        <v>0</v>
      </c>
      <c r="DV26" s="2">
        <f>COUNTIF(INDEX('LINE PLAN'!$B$36:$GS$61,0,ROW()-3),DV$3)</f>
        <v>0</v>
      </c>
    </row>
    <row r="27" spans="1:126">
      <c r="A27" s="505" cm="1">
        <f t="array" ref="A27">INDEX('LINE PLAN'!$B$35:$GS$35,ROW()-3)</f>
        <v>46258</v>
      </c>
      <c r="B27" s="2">
        <f>SUMPRODUCT($CA27:$DV27,INDEX('MC MAP'!$DA$5:$EV$30,1,0))</f>
        <v>144.5</v>
      </c>
      <c r="C27" s="2">
        <f>SUMPRODUCT($CA27:$DV27,INDEX('MC MAP'!$DA$5:$EV$30,2,0))</f>
        <v>1</v>
      </c>
      <c r="D27" s="2">
        <f>SUMPRODUCT($CA27:$DV27,INDEX('MC MAP'!$DA$5:$EV$30,3,0))</f>
        <v>0</v>
      </c>
      <c r="E27" s="2">
        <f>SUMPRODUCT($CA27:$DV27,INDEX('MC MAP'!$DA$5:$EV$30,4,0))</f>
        <v>4</v>
      </c>
      <c r="F27" s="2">
        <f>SUMPRODUCT($CA27:$DV27,INDEX('MC MAP'!$DA$5:$EV$30,5,0))</f>
        <v>266</v>
      </c>
      <c r="G27" s="2">
        <f>SUMPRODUCT($CA27:$DV27,INDEX('MC MAP'!$DA$5:$EV$30,6,0))</f>
        <v>30</v>
      </c>
      <c r="H27" s="2">
        <f>SUMPRODUCT($CA27:$DV27,INDEX('MC MAP'!$DA$5:$EV$30,7,0))</f>
        <v>0</v>
      </c>
      <c r="I27" s="2">
        <f>SUMPRODUCT($CA27:$DV27,INDEX('MC MAP'!$DA$5:$EV$30,8,0))</f>
        <v>36</v>
      </c>
      <c r="J27" s="2">
        <f>SUMPRODUCT($CA27:$DV27,INDEX('MC MAP'!$DA$5:$EV$30,9,0))</f>
        <v>27.5</v>
      </c>
      <c r="K27" s="2">
        <f>SUMPRODUCT($CA27:$DV27,INDEX('MC MAP'!$DA$5:$EV$30,10,0))</f>
        <v>12</v>
      </c>
      <c r="L27" s="2">
        <f>SUMPRODUCT($CA27:$DV27,INDEX('MC MAP'!$DA$5:$EV$30,11,0))</f>
        <v>42.5</v>
      </c>
      <c r="M27" s="2">
        <f>SUMPRODUCT($CA27:$DV27,INDEX('MC MAP'!$DA$5:$EV$30,12,0))</f>
        <v>17</v>
      </c>
      <c r="N27" s="2">
        <f>SUMPRODUCT($CA27:$DV27,INDEX('MC MAP'!$DA$5:$EV$30,13,0))</f>
        <v>28.5</v>
      </c>
      <c r="O27" s="2">
        <f>SUMPRODUCT($CA27:$DV27,INDEX('MC MAP'!$DA$5:$EV$30,14,0))</f>
        <v>42</v>
      </c>
      <c r="P27" s="2">
        <f>SUMPRODUCT($CA27:$DV27,INDEX('MC MAP'!$DA$5:$EV$30,15,0))</f>
        <v>63</v>
      </c>
      <c r="Q27" s="2">
        <f>SUMPRODUCT($CA27:$DV27,INDEX('MC MAP'!$DA$5:$EV$30,16,0))</f>
        <v>0</v>
      </c>
      <c r="R27" s="2">
        <f>SUMPRODUCT($CA27:$DV27,INDEX('MC MAP'!$DA$5:$EV$30,17,0))</f>
        <v>3</v>
      </c>
      <c r="S27" s="2">
        <f>SUMPRODUCT($CA27:$DV27,INDEX('MC MAP'!$DA$5:$EV$30,18,0))</f>
        <v>0</v>
      </c>
      <c r="T27" s="2">
        <f>SUMPRODUCT($CA27:$DV27,INDEX('MC MAP'!$DA$5:$EV$30,19,0))</f>
        <v>15</v>
      </c>
      <c r="U27" s="2">
        <f>SUMPRODUCT($CA27:$DV27,INDEX('MC MAP'!$DA$5:$EV$30,20,0))</f>
        <v>32.5</v>
      </c>
      <c r="V27" s="2">
        <f>SUMPRODUCT($CA27:$DV27,INDEX('MC MAP'!$DA$5:$EV$30,21,0))</f>
        <v>2</v>
      </c>
      <c r="W27" s="2">
        <f>SUMPRODUCT($CA27:$DV27,INDEX('MC MAP'!$DA$5:$EV$30,22,0))</f>
        <v>2</v>
      </c>
      <c r="X27" s="2">
        <f>SUMPRODUCT($CA27:$DV27,INDEX('MC MAP'!$DA$5:$EV$30,23,0))</f>
        <v>0</v>
      </c>
      <c r="Y27" s="2">
        <f>SUMPRODUCT($CA27:$DV27,INDEX('MC MAP'!$DA$5:$EV$30,24,0))</f>
        <v>7.5</v>
      </c>
      <c r="Z27" s="2">
        <f>SUMPRODUCT($CA27:$DV27,INDEX('MC MAP'!$DA$5:$EV$30,25,0))</f>
        <v>0</v>
      </c>
      <c r="AA27" s="2">
        <f>SUMPRODUCT($CA27:$DV27,INDEX('MC MAP'!$DA$5:$EV$30,26,0))</f>
        <v>25</v>
      </c>
      <c r="AB27" s="2">
        <f>SUM($B27:$AA27)</f>
        <v>801</v>
      </c>
      <c r="AC27" s="2">
        <f>SUM($CA27:$DV27)+$AW27</f>
        <v>26</v>
      </c>
      <c r="AW27" s="2">
        <f>IF($A27=0,0,COUNTIF(INDEX('LINE PLAN'!$B$36:$GS$61,0,ROW()-3),"THERMAL - NOT SPECIFIED"))</f>
        <v>0</v>
      </c>
      <c r="AX27" s="506" cm="1">
        <f t="array" ref="AX27">IF(OR($AB27=0,UPPER($BS27)&lt;&gt;"Y"),0,SUMPRODUCT(--($B27:$AA27&gt;$B$205:$AA$205)))</f>
        <v>4</v>
      </c>
      <c r="AY27" s="507">
        <f>$A27</f>
        <v>46258</v>
      </c>
      <c r="AZ27" s="2">
        <f>$AB27</f>
        <v>801</v>
      </c>
      <c r="BA27" s="2">
        <f>'MC MASTER'!$C$29</f>
        <v>920</v>
      </c>
      <c r="BD27" s="519">
        <f>MONTH(EDATE($A$4,0))</f>
        <v>8</v>
      </c>
      <c r="BE27" s="539" t="str">
        <f>TEXT(EDATE(DATE(YEAR($A$4),MONTH($A$4),1),0),"mmmm yyyy")</f>
        <v>August 2026</v>
      </c>
      <c r="BF27" s="521" cm="1">
        <f t="array" ref="BF27">SUMPRODUCT((MONTH($A$4:$A$203)=$BD27)*($BT$4:$BT$203&gt;0))</f>
        <v>26</v>
      </c>
      <c r="BG27" s="522" cm="1">
        <f t="array" ref="BG27">IFERROR(SUMPRODUCT((MONTH($A$4:$A$203)=$BD27)*$BT$4:$BT$203)/$BF27,0)</f>
        <v>797.769230769231</v>
      </c>
      <c r="BH27" s="523">
        <f ca="1">MAX(OFFSET($BT$4,$BK27-1,0,$BL27,1))</f>
        <v>808</v>
      </c>
      <c r="BI27" s="524">
        <f ca="1">IFERROR($BH27/$BD$5,0)</f>
        <v>0.878260869565217</v>
      </c>
      <c r="BJ27" s="525" t="str">
        <f ca="1">IF($BH27=0,"NO WORK",IF($BI27&gt;1,"OVER CAPACITY",IF($BI27&gt;0.95,"TIGHT","OK")))</f>
        <v>OK</v>
      </c>
      <c r="BK27" s="52">
        <f>IFERROR(MATCH(EDATE(DATE(YEAR($A$4),MONTH($A$4),1),0),$A$4:$A$203,0),1)</f>
        <v>1</v>
      </c>
      <c r="BL27" s="52" cm="1">
        <f t="array" ref="BL27">SUMPRODUCT((MONTH($A$4:$A$203)=$BD27)*($A$4:$A$203&gt;0))</f>
        <v>31</v>
      </c>
      <c r="BQ27" s="509">
        <f>$A27</f>
        <v>46258</v>
      </c>
      <c r="BR27" s="15" t="str">
        <f>TEXT($A27,"ddd")</f>
        <v>Mon</v>
      </c>
      <c r="BS27" s="547" t="s">
        <v>391</v>
      </c>
      <c r="BT27" s="15">
        <f>IF(UPPER($BS27)="Y",$AB27,0)</f>
        <v>801</v>
      </c>
      <c r="CA27" s="2">
        <f>COUNTIF(INDEX('LINE PLAN'!$B$36:$GS$61,0,ROW()-3),CA$3)</f>
        <v>1</v>
      </c>
      <c r="CB27" s="2">
        <f>COUNTIF(INDEX('LINE PLAN'!$B$36:$GS$61,0,ROW()-3),CB$3)</f>
        <v>1</v>
      </c>
      <c r="CC27" s="2">
        <f>COUNTIF(INDEX('LINE PLAN'!$B$36:$GS$61,0,ROW()-3),CC$3)</f>
        <v>2</v>
      </c>
      <c r="CD27" s="2">
        <f>COUNTIF(INDEX('LINE PLAN'!$B$36:$GS$61,0,ROW()-3),CD$3)</f>
        <v>1</v>
      </c>
      <c r="CE27" s="2">
        <f>COUNTIF(INDEX('LINE PLAN'!$B$36:$GS$61,0,ROW()-3),CE$3)</f>
        <v>3</v>
      </c>
      <c r="CF27" s="2">
        <f>COUNTIF(INDEX('LINE PLAN'!$B$36:$GS$61,0,ROW()-3),CF$3)</f>
        <v>3</v>
      </c>
      <c r="CG27" s="2">
        <f>COUNTIF(INDEX('LINE PLAN'!$B$36:$GS$61,0,ROW()-3),CG$3)</f>
        <v>2</v>
      </c>
      <c r="CH27" s="2">
        <f>COUNTIF(INDEX('LINE PLAN'!$B$36:$GS$61,0,ROW()-3),CH$3)</f>
        <v>3</v>
      </c>
      <c r="CI27" s="2">
        <f>COUNTIF(INDEX('LINE PLAN'!$B$36:$GS$61,0,ROW()-3),CI$3)</f>
        <v>1</v>
      </c>
      <c r="CJ27" s="2">
        <f>COUNTIF(INDEX('LINE PLAN'!$B$36:$GS$61,0,ROW()-3),CJ$3)</f>
        <v>3</v>
      </c>
      <c r="CK27" s="2">
        <f>COUNTIF(INDEX('LINE PLAN'!$B$36:$GS$61,0,ROW()-3),CK$3)</f>
        <v>2</v>
      </c>
      <c r="CL27" s="2">
        <f>COUNTIF(INDEX('LINE PLAN'!$B$36:$GS$61,0,ROW()-3),CL$3)</f>
        <v>0</v>
      </c>
      <c r="CM27" s="2">
        <f>COUNTIF(INDEX('LINE PLAN'!$B$36:$GS$61,0,ROW()-3),CM$3)</f>
        <v>0</v>
      </c>
      <c r="CN27" s="2">
        <f>COUNTIF(INDEX('LINE PLAN'!$B$36:$GS$61,0,ROW()-3),CN$3)</f>
        <v>0</v>
      </c>
      <c r="CO27" s="2">
        <f>COUNTIF(INDEX('LINE PLAN'!$B$36:$GS$61,0,ROW()-3),CO$3)</f>
        <v>1</v>
      </c>
      <c r="CP27" s="2">
        <f>COUNTIF(INDEX('LINE PLAN'!$B$36:$GS$61,0,ROW()-3),CP$3)</f>
        <v>2</v>
      </c>
      <c r="CQ27" s="2">
        <f>COUNTIF(INDEX('LINE PLAN'!$B$36:$GS$61,0,ROW()-3),CQ$3)</f>
        <v>0</v>
      </c>
      <c r="CR27" s="2">
        <f>COUNTIF(INDEX('LINE PLAN'!$B$36:$GS$61,0,ROW()-3),CR$3)</f>
        <v>1</v>
      </c>
      <c r="CS27" s="2">
        <f>COUNTIF(INDEX('LINE PLAN'!$B$36:$GS$61,0,ROW()-3),CS$3)</f>
        <v>0</v>
      </c>
      <c r="CT27" s="2">
        <f>COUNTIF(INDEX('LINE PLAN'!$B$36:$GS$61,0,ROW()-3),CT$3)</f>
        <v>0</v>
      </c>
      <c r="CU27" s="2">
        <f>COUNTIF(INDEX('LINE PLAN'!$B$36:$GS$61,0,ROW()-3),CU$3)</f>
        <v>0</v>
      </c>
      <c r="CV27" s="2">
        <f>COUNTIF(INDEX('LINE PLAN'!$B$36:$GS$61,0,ROW()-3),CV$3)</f>
        <v>0</v>
      </c>
      <c r="CW27" s="2">
        <f>COUNTIF(INDEX('LINE PLAN'!$B$36:$GS$61,0,ROW()-3),CW$3)</f>
        <v>0</v>
      </c>
      <c r="CX27" s="2">
        <f>COUNTIF(INDEX('LINE PLAN'!$B$36:$GS$61,0,ROW()-3),CX$3)</f>
        <v>0</v>
      </c>
      <c r="CY27" s="2">
        <f>COUNTIF(INDEX('LINE PLAN'!$B$36:$GS$61,0,ROW()-3),CY$3)</f>
        <v>0</v>
      </c>
      <c r="CZ27" s="2">
        <f>COUNTIF(INDEX('LINE PLAN'!$B$36:$GS$61,0,ROW()-3),CZ$3)</f>
        <v>0</v>
      </c>
      <c r="DA27" s="2">
        <f>COUNTIF(INDEX('LINE PLAN'!$B$36:$GS$61,0,ROW()-3),DA$3)</f>
        <v>0</v>
      </c>
      <c r="DB27" s="2">
        <f>COUNTIF(INDEX('LINE PLAN'!$B$36:$GS$61,0,ROW()-3),DB$3)</f>
        <v>0</v>
      </c>
      <c r="DC27" s="2">
        <f>COUNTIF(INDEX('LINE PLAN'!$B$36:$GS$61,0,ROW()-3),DC$3)</f>
        <v>0</v>
      </c>
      <c r="DD27" s="2">
        <f>COUNTIF(INDEX('LINE PLAN'!$B$36:$GS$61,0,ROW()-3),DD$3)</f>
        <v>0</v>
      </c>
      <c r="DE27" s="2">
        <f>COUNTIF(INDEX('LINE PLAN'!$B$36:$GS$61,0,ROW()-3),DE$3)</f>
        <v>0</v>
      </c>
      <c r="DF27" s="2">
        <f>COUNTIF(INDEX('LINE PLAN'!$B$36:$GS$61,0,ROW()-3),DF$3)</f>
        <v>0</v>
      </c>
      <c r="DG27" s="2">
        <f>COUNTIF(INDEX('LINE PLAN'!$B$36:$GS$61,0,ROW()-3),DG$3)</f>
        <v>0</v>
      </c>
      <c r="DH27" s="2">
        <f>COUNTIF(INDEX('LINE PLAN'!$B$36:$GS$61,0,ROW()-3),DH$3)</f>
        <v>0</v>
      </c>
      <c r="DI27" s="2">
        <f>COUNTIF(INDEX('LINE PLAN'!$B$36:$GS$61,0,ROW()-3),DI$3)</f>
        <v>0</v>
      </c>
      <c r="DJ27" s="2">
        <f>COUNTIF(INDEX('LINE PLAN'!$B$36:$GS$61,0,ROW()-3),DJ$3)</f>
        <v>0</v>
      </c>
      <c r="DK27" s="2">
        <f>COUNTIF(INDEX('LINE PLAN'!$B$36:$GS$61,0,ROW()-3),DK$3)</f>
        <v>0</v>
      </c>
      <c r="DL27" s="2">
        <f>COUNTIF(INDEX('LINE PLAN'!$B$36:$GS$61,0,ROW()-3),DL$3)</f>
        <v>0</v>
      </c>
      <c r="DM27" s="2">
        <f>COUNTIF(INDEX('LINE PLAN'!$B$36:$GS$61,0,ROW()-3),DM$3)</f>
        <v>0</v>
      </c>
      <c r="DN27" s="2">
        <f>COUNTIF(INDEX('LINE PLAN'!$B$36:$GS$61,0,ROW()-3),DN$3)</f>
        <v>0</v>
      </c>
      <c r="DO27" s="2">
        <f>COUNTIF(INDEX('LINE PLAN'!$B$36:$GS$61,0,ROW()-3),DO$3)</f>
        <v>0</v>
      </c>
      <c r="DP27" s="2">
        <f>COUNTIF(INDEX('LINE PLAN'!$B$36:$GS$61,0,ROW()-3),DP$3)</f>
        <v>0</v>
      </c>
      <c r="DQ27" s="2">
        <f>COUNTIF(INDEX('LINE PLAN'!$B$36:$GS$61,0,ROW()-3),DQ$3)</f>
        <v>0</v>
      </c>
      <c r="DR27" s="2">
        <f>COUNTIF(INDEX('LINE PLAN'!$B$36:$GS$61,0,ROW()-3),DR$3)</f>
        <v>0</v>
      </c>
      <c r="DS27" s="2">
        <f>COUNTIF(INDEX('LINE PLAN'!$B$36:$GS$61,0,ROW()-3),DS$3)</f>
        <v>0</v>
      </c>
      <c r="DT27" s="2">
        <f>COUNTIF(INDEX('LINE PLAN'!$B$36:$GS$61,0,ROW()-3),DT$3)</f>
        <v>0</v>
      </c>
      <c r="DU27" s="2">
        <f>COUNTIF(INDEX('LINE PLAN'!$B$36:$GS$61,0,ROW()-3),DU$3)</f>
        <v>0</v>
      </c>
      <c r="DV27" s="2">
        <f>COUNTIF(INDEX('LINE PLAN'!$B$36:$GS$61,0,ROW()-3),DV$3)</f>
        <v>0</v>
      </c>
    </row>
    <row r="28" spans="1:126">
      <c r="A28" s="505" cm="1">
        <f t="array" ref="A28">INDEX('LINE PLAN'!$B$35:$GS$35,ROW()-3)</f>
        <v>46259</v>
      </c>
      <c r="B28" s="2">
        <f>SUMPRODUCT($CA28:$DV28,INDEX('MC MAP'!$DA$5:$EV$30,1,0))</f>
        <v>144.5</v>
      </c>
      <c r="C28" s="2">
        <f>SUMPRODUCT($CA28:$DV28,INDEX('MC MAP'!$DA$5:$EV$30,2,0))</f>
        <v>1</v>
      </c>
      <c r="D28" s="2">
        <f>SUMPRODUCT($CA28:$DV28,INDEX('MC MAP'!$DA$5:$EV$30,3,0))</f>
        <v>0</v>
      </c>
      <c r="E28" s="2">
        <f>SUMPRODUCT($CA28:$DV28,INDEX('MC MAP'!$DA$5:$EV$30,4,0))</f>
        <v>4</v>
      </c>
      <c r="F28" s="2">
        <f>SUMPRODUCT($CA28:$DV28,INDEX('MC MAP'!$DA$5:$EV$30,5,0))</f>
        <v>266</v>
      </c>
      <c r="G28" s="2">
        <f>SUMPRODUCT($CA28:$DV28,INDEX('MC MAP'!$DA$5:$EV$30,6,0))</f>
        <v>30</v>
      </c>
      <c r="H28" s="2">
        <f>SUMPRODUCT($CA28:$DV28,INDEX('MC MAP'!$DA$5:$EV$30,7,0))</f>
        <v>0</v>
      </c>
      <c r="I28" s="2">
        <f>SUMPRODUCT($CA28:$DV28,INDEX('MC MAP'!$DA$5:$EV$30,8,0))</f>
        <v>36</v>
      </c>
      <c r="J28" s="2">
        <f>SUMPRODUCT($CA28:$DV28,INDEX('MC MAP'!$DA$5:$EV$30,9,0))</f>
        <v>27.5</v>
      </c>
      <c r="K28" s="2">
        <f>SUMPRODUCT($CA28:$DV28,INDEX('MC MAP'!$DA$5:$EV$30,10,0))</f>
        <v>12</v>
      </c>
      <c r="L28" s="2">
        <f>SUMPRODUCT($CA28:$DV28,INDEX('MC MAP'!$DA$5:$EV$30,11,0))</f>
        <v>42.5</v>
      </c>
      <c r="M28" s="2">
        <f>SUMPRODUCT($CA28:$DV28,INDEX('MC MAP'!$DA$5:$EV$30,12,0))</f>
        <v>17</v>
      </c>
      <c r="N28" s="2">
        <f>SUMPRODUCT($CA28:$DV28,INDEX('MC MAP'!$DA$5:$EV$30,13,0))</f>
        <v>28.5</v>
      </c>
      <c r="O28" s="2">
        <f>SUMPRODUCT($CA28:$DV28,INDEX('MC MAP'!$DA$5:$EV$30,14,0))</f>
        <v>42</v>
      </c>
      <c r="P28" s="2">
        <f>SUMPRODUCT($CA28:$DV28,INDEX('MC MAP'!$DA$5:$EV$30,15,0))</f>
        <v>63</v>
      </c>
      <c r="Q28" s="2">
        <f>SUMPRODUCT($CA28:$DV28,INDEX('MC MAP'!$DA$5:$EV$30,16,0))</f>
        <v>0</v>
      </c>
      <c r="R28" s="2">
        <f>SUMPRODUCT($CA28:$DV28,INDEX('MC MAP'!$DA$5:$EV$30,17,0))</f>
        <v>3</v>
      </c>
      <c r="S28" s="2">
        <f>SUMPRODUCT($CA28:$DV28,INDEX('MC MAP'!$DA$5:$EV$30,18,0))</f>
        <v>0</v>
      </c>
      <c r="T28" s="2">
        <f>SUMPRODUCT($CA28:$DV28,INDEX('MC MAP'!$DA$5:$EV$30,19,0))</f>
        <v>15</v>
      </c>
      <c r="U28" s="2">
        <f>SUMPRODUCT($CA28:$DV28,INDEX('MC MAP'!$DA$5:$EV$30,20,0))</f>
        <v>32.5</v>
      </c>
      <c r="V28" s="2">
        <f>SUMPRODUCT($CA28:$DV28,INDEX('MC MAP'!$DA$5:$EV$30,21,0))</f>
        <v>2</v>
      </c>
      <c r="W28" s="2">
        <f>SUMPRODUCT($CA28:$DV28,INDEX('MC MAP'!$DA$5:$EV$30,22,0))</f>
        <v>2</v>
      </c>
      <c r="X28" s="2">
        <f>SUMPRODUCT($CA28:$DV28,INDEX('MC MAP'!$DA$5:$EV$30,23,0))</f>
        <v>0</v>
      </c>
      <c r="Y28" s="2">
        <f>SUMPRODUCT($CA28:$DV28,INDEX('MC MAP'!$DA$5:$EV$30,24,0))</f>
        <v>7.5</v>
      </c>
      <c r="Z28" s="2">
        <f>SUMPRODUCT($CA28:$DV28,INDEX('MC MAP'!$DA$5:$EV$30,25,0))</f>
        <v>0</v>
      </c>
      <c r="AA28" s="2">
        <f>SUMPRODUCT($CA28:$DV28,INDEX('MC MAP'!$DA$5:$EV$30,26,0))</f>
        <v>25</v>
      </c>
      <c r="AB28" s="2">
        <f>SUM($B28:$AA28)</f>
        <v>801</v>
      </c>
      <c r="AC28" s="2">
        <f>SUM($CA28:$DV28)+$AW28</f>
        <v>26</v>
      </c>
      <c r="AW28" s="2">
        <f>IF($A28=0,0,COUNTIF(INDEX('LINE PLAN'!$B$36:$GS$61,0,ROW()-3),"THERMAL - NOT SPECIFIED"))</f>
        <v>0</v>
      </c>
      <c r="AX28" s="506" cm="1">
        <f t="array" ref="AX28">IF(OR($AB28=0,UPPER($BS28)&lt;&gt;"Y"),0,SUMPRODUCT(--($B28:$AA28&gt;$B$205:$AA$205)))</f>
        <v>4</v>
      </c>
      <c r="AY28" s="507">
        <f>$A28</f>
        <v>46259</v>
      </c>
      <c r="AZ28" s="2">
        <f>$AB28</f>
        <v>801</v>
      </c>
      <c r="BA28" s="2">
        <f>'MC MASTER'!$C$29</f>
        <v>920</v>
      </c>
      <c r="BD28" s="519">
        <f>MONTH(EDATE($A$4,1))</f>
        <v>9</v>
      </c>
      <c r="BE28" s="539" t="str">
        <f>TEXT(EDATE(DATE(YEAR($A$4),MONTH($A$4),1),1),"mmmm yyyy")</f>
        <v>September 2026</v>
      </c>
      <c r="BF28" s="521" cm="1">
        <f t="array" ref="BF28">SUMPRODUCT((MONTH($A$4:$A$203)=$BD28)*($BT$4:$BT$203&gt;0))</f>
        <v>26</v>
      </c>
      <c r="BG28" s="522" cm="1">
        <f t="array" ref="BG28">IFERROR(SUMPRODUCT((MONTH($A$4:$A$203)=$BD28)*$BT$4:$BT$203)/$BF28,0)</f>
        <v>765.75</v>
      </c>
      <c r="BH28" s="523">
        <f ca="1">MAX(OFFSET($BT$4,$BK28-1,0,$BL28,1))</f>
        <v>801</v>
      </c>
      <c r="BI28" s="524">
        <f ca="1">IFERROR($BH28/$BD$5,0)</f>
        <v>0.870652173913044</v>
      </c>
      <c r="BJ28" s="525" t="str">
        <f ca="1">IF($BH28=0,"NO WORK",IF($BI28&gt;1,"OVER CAPACITY",IF($BI28&gt;0.95,"TIGHT","OK")))</f>
        <v>OK</v>
      </c>
      <c r="BK28" s="52">
        <f>IFERROR(MATCH(EDATE(DATE(YEAR($A$4),MONTH($A$4),1),1),$A$4:$A$203,0),NA())</f>
        <v>32</v>
      </c>
      <c r="BL28" s="52" cm="1">
        <f t="array" ref="BL28">SUMPRODUCT((MONTH($A$4:$A$203)=$BD28)*($A$4:$A$203&gt;0))</f>
        <v>30</v>
      </c>
      <c r="BQ28" s="509">
        <f>$A28</f>
        <v>46259</v>
      </c>
      <c r="BR28" s="15" t="str">
        <f>TEXT($A28,"ddd")</f>
        <v>Tue</v>
      </c>
      <c r="BS28" s="547" t="s">
        <v>391</v>
      </c>
      <c r="BT28" s="15">
        <f>IF(UPPER($BS28)="Y",$AB28,0)</f>
        <v>801</v>
      </c>
      <c r="CA28" s="2">
        <f>COUNTIF(INDEX('LINE PLAN'!$B$36:$GS$61,0,ROW()-3),CA$3)</f>
        <v>1</v>
      </c>
      <c r="CB28" s="2">
        <f>COUNTIF(INDEX('LINE PLAN'!$B$36:$GS$61,0,ROW()-3),CB$3)</f>
        <v>1</v>
      </c>
      <c r="CC28" s="2">
        <f>COUNTIF(INDEX('LINE PLAN'!$B$36:$GS$61,0,ROW()-3),CC$3)</f>
        <v>2</v>
      </c>
      <c r="CD28" s="2">
        <f>COUNTIF(INDEX('LINE PLAN'!$B$36:$GS$61,0,ROW()-3),CD$3)</f>
        <v>1</v>
      </c>
      <c r="CE28" s="2">
        <f>COUNTIF(INDEX('LINE PLAN'!$B$36:$GS$61,0,ROW()-3),CE$3)</f>
        <v>3</v>
      </c>
      <c r="CF28" s="2">
        <f>COUNTIF(INDEX('LINE PLAN'!$B$36:$GS$61,0,ROW()-3),CF$3)</f>
        <v>3</v>
      </c>
      <c r="CG28" s="2">
        <f>COUNTIF(INDEX('LINE PLAN'!$B$36:$GS$61,0,ROW()-3),CG$3)</f>
        <v>2</v>
      </c>
      <c r="CH28" s="2">
        <f>COUNTIF(INDEX('LINE PLAN'!$B$36:$GS$61,0,ROW()-3),CH$3)</f>
        <v>3</v>
      </c>
      <c r="CI28" s="2">
        <f>COUNTIF(INDEX('LINE PLAN'!$B$36:$GS$61,0,ROW()-3),CI$3)</f>
        <v>1</v>
      </c>
      <c r="CJ28" s="2">
        <f>COUNTIF(INDEX('LINE PLAN'!$B$36:$GS$61,0,ROW()-3),CJ$3)</f>
        <v>3</v>
      </c>
      <c r="CK28" s="2">
        <f>COUNTIF(INDEX('LINE PLAN'!$B$36:$GS$61,0,ROW()-3),CK$3)</f>
        <v>2</v>
      </c>
      <c r="CL28" s="2">
        <f>COUNTIF(INDEX('LINE PLAN'!$B$36:$GS$61,0,ROW()-3),CL$3)</f>
        <v>0</v>
      </c>
      <c r="CM28" s="2">
        <f>COUNTIF(INDEX('LINE PLAN'!$B$36:$GS$61,0,ROW()-3),CM$3)</f>
        <v>0</v>
      </c>
      <c r="CN28" s="2">
        <f>COUNTIF(INDEX('LINE PLAN'!$B$36:$GS$61,0,ROW()-3),CN$3)</f>
        <v>0</v>
      </c>
      <c r="CO28" s="2">
        <f>COUNTIF(INDEX('LINE PLAN'!$B$36:$GS$61,0,ROW()-3),CO$3)</f>
        <v>1</v>
      </c>
      <c r="CP28" s="2">
        <f>COUNTIF(INDEX('LINE PLAN'!$B$36:$GS$61,0,ROW()-3),CP$3)</f>
        <v>2</v>
      </c>
      <c r="CQ28" s="2">
        <f>COUNTIF(INDEX('LINE PLAN'!$B$36:$GS$61,0,ROW()-3),CQ$3)</f>
        <v>0</v>
      </c>
      <c r="CR28" s="2">
        <f>COUNTIF(INDEX('LINE PLAN'!$B$36:$GS$61,0,ROW()-3),CR$3)</f>
        <v>1</v>
      </c>
      <c r="CS28" s="2">
        <f>COUNTIF(INDEX('LINE PLAN'!$B$36:$GS$61,0,ROW()-3),CS$3)</f>
        <v>0</v>
      </c>
      <c r="CT28" s="2">
        <f>COUNTIF(INDEX('LINE PLAN'!$B$36:$GS$61,0,ROW()-3),CT$3)</f>
        <v>0</v>
      </c>
      <c r="CU28" s="2">
        <f>COUNTIF(INDEX('LINE PLAN'!$B$36:$GS$61,0,ROW()-3),CU$3)</f>
        <v>0</v>
      </c>
      <c r="CV28" s="2">
        <f>COUNTIF(INDEX('LINE PLAN'!$B$36:$GS$61,0,ROW()-3),CV$3)</f>
        <v>0</v>
      </c>
      <c r="CW28" s="2">
        <f>COUNTIF(INDEX('LINE PLAN'!$B$36:$GS$61,0,ROW()-3),CW$3)</f>
        <v>0</v>
      </c>
      <c r="CX28" s="2">
        <f>COUNTIF(INDEX('LINE PLAN'!$B$36:$GS$61,0,ROW()-3),CX$3)</f>
        <v>0</v>
      </c>
      <c r="CY28" s="2">
        <f>COUNTIF(INDEX('LINE PLAN'!$B$36:$GS$61,0,ROW()-3),CY$3)</f>
        <v>0</v>
      </c>
      <c r="CZ28" s="2">
        <f>COUNTIF(INDEX('LINE PLAN'!$B$36:$GS$61,0,ROW()-3),CZ$3)</f>
        <v>0</v>
      </c>
      <c r="DA28" s="2">
        <f>COUNTIF(INDEX('LINE PLAN'!$B$36:$GS$61,0,ROW()-3),DA$3)</f>
        <v>0</v>
      </c>
      <c r="DB28" s="2">
        <f>COUNTIF(INDEX('LINE PLAN'!$B$36:$GS$61,0,ROW()-3),DB$3)</f>
        <v>0</v>
      </c>
      <c r="DC28" s="2">
        <f>COUNTIF(INDEX('LINE PLAN'!$B$36:$GS$61,0,ROW()-3),DC$3)</f>
        <v>0</v>
      </c>
      <c r="DD28" s="2">
        <f>COUNTIF(INDEX('LINE PLAN'!$B$36:$GS$61,0,ROW()-3),DD$3)</f>
        <v>0</v>
      </c>
      <c r="DE28" s="2">
        <f>COUNTIF(INDEX('LINE PLAN'!$B$36:$GS$61,0,ROW()-3),DE$3)</f>
        <v>0</v>
      </c>
      <c r="DF28" s="2">
        <f>COUNTIF(INDEX('LINE PLAN'!$B$36:$GS$61,0,ROW()-3),DF$3)</f>
        <v>0</v>
      </c>
      <c r="DG28" s="2">
        <f>COUNTIF(INDEX('LINE PLAN'!$B$36:$GS$61,0,ROW()-3),DG$3)</f>
        <v>0</v>
      </c>
      <c r="DH28" s="2">
        <f>COUNTIF(INDEX('LINE PLAN'!$B$36:$GS$61,0,ROW()-3),DH$3)</f>
        <v>0</v>
      </c>
      <c r="DI28" s="2">
        <f>COUNTIF(INDEX('LINE PLAN'!$B$36:$GS$61,0,ROW()-3),DI$3)</f>
        <v>0</v>
      </c>
      <c r="DJ28" s="2">
        <f>COUNTIF(INDEX('LINE PLAN'!$B$36:$GS$61,0,ROW()-3),DJ$3)</f>
        <v>0</v>
      </c>
      <c r="DK28" s="2">
        <f>COUNTIF(INDEX('LINE PLAN'!$B$36:$GS$61,0,ROW()-3),DK$3)</f>
        <v>0</v>
      </c>
      <c r="DL28" s="2">
        <f>COUNTIF(INDEX('LINE PLAN'!$B$36:$GS$61,0,ROW()-3),DL$3)</f>
        <v>0</v>
      </c>
      <c r="DM28" s="2">
        <f>COUNTIF(INDEX('LINE PLAN'!$B$36:$GS$61,0,ROW()-3),DM$3)</f>
        <v>0</v>
      </c>
      <c r="DN28" s="2">
        <f>COUNTIF(INDEX('LINE PLAN'!$B$36:$GS$61,0,ROW()-3),DN$3)</f>
        <v>0</v>
      </c>
      <c r="DO28" s="2">
        <f>COUNTIF(INDEX('LINE PLAN'!$B$36:$GS$61,0,ROW()-3),DO$3)</f>
        <v>0</v>
      </c>
      <c r="DP28" s="2">
        <f>COUNTIF(INDEX('LINE PLAN'!$B$36:$GS$61,0,ROW()-3),DP$3)</f>
        <v>0</v>
      </c>
      <c r="DQ28" s="2">
        <f>COUNTIF(INDEX('LINE PLAN'!$B$36:$GS$61,0,ROW()-3),DQ$3)</f>
        <v>0</v>
      </c>
      <c r="DR28" s="2">
        <f>COUNTIF(INDEX('LINE PLAN'!$B$36:$GS$61,0,ROW()-3),DR$3)</f>
        <v>0</v>
      </c>
      <c r="DS28" s="2">
        <f>COUNTIF(INDEX('LINE PLAN'!$B$36:$GS$61,0,ROW()-3),DS$3)</f>
        <v>0</v>
      </c>
      <c r="DT28" s="2">
        <f>COUNTIF(INDEX('LINE PLAN'!$B$36:$GS$61,0,ROW()-3),DT$3)</f>
        <v>0</v>
      </c>
      <c r="DU28" s="2">
        <f>COUNTIF(INDEX('LINE PLAN'!$B$36:$GS$61,0,ROW()-3),DU$3)</f>
        <v>0</v>
      </c>
      <c r="DV28" s="2">
        <f>COUNTIF(INDEX('LINE PLAN'!$B$36:$GS$61,0,ROW()-3),DV$3)</f>
        <v>0</v>
      </c>
    </row>
    <row r="29" spans="1:126">
      <c r="A29" s="505" cm="1">
        <f t="array" ref="A29">INDEX('LINE PLAN'!$B$35:$GS$35,ROW()-3)</f>
        <v>46260</v>
      </c>
      <c r="B29" s="2">
        <f>SUMPRODUCT($CA29:$DV29,INDEX('MC MAP'!$DA$5:$EV$30,1,0))</f>
        <v>144.5</v>
      </c>
      <c r="C29" s="2">
        <f>SUMPRODUCT($CA29:$DV29,INDEX('MC MAP'!$DA$5:$EV$30,2,0))</f>
        <v>1</v>
      </c>
      <c r="D29" s="2">
        <f>SUMPRODUCT($CA29:$DV29,INDEX('MC MAP'!$DA$5:$EV$30,3,0))</f>
        <v>0</v>
      </c>
      <c r="E29" s="2">
        <f>SUMPRODUCT($CA29:$DV29,INDEX('MC MAP'!$DA$5:$EV$30,4,0))</f>
        <v>4</v>
      </c>
      <c r="F29" s="2">
        <f>SUMPRODUCT($CA29:$DV29,INDEX('MC MAP'!$DA$5:$EV$30,5,0))</f>
        <v>266</v>
      </c>
      <c r="G29" s="2">
        <f>SUMPRODUCT($CA29:$DV29,INDEX('MC MAP'!$DA$5:$EV$30,6,0))</f>
        <v>30</v>
      </c>
      <c r="H29" s="2">
        <f>SUMPRODUCT($CA29:$DV29,INDEX('MC MAP'!$DA$5:$EV$30,7,0))</f>
        <v>0</v>
      </c>
      <c r="I29" s="2">
        <f>SUMPRODUCT($CA29:$DV29,INDEX('MC MAP'!$DA$5:$EV$30,8,0))</f>
        <v>36</v>
      </c>
      <c r="J29" s="2">
        <f>SUMPRODUCT($CA29:$DV29,INDEX('MC MAP'!$DA$5:$EV$30,9,0))</f>
        <v>27.5</v>
      </c>
      <c r="K29" s="2">
        <f>SUMPRODUCT($CA29:$DV29,INDEX('MC MAP'!$DA$5:$EV$30,10,0))</f>
        <v>12</v>
      </c>
      <c r="L29" s="2">
        <f>SUMPRODUCT($CA29:$DV29,INDEX('MC MAP'!$DA$5:$EV$30,11,0))</f>
        <v>42.5</v>
      </c>
      <c r="M29" s="2">
        <f>SUMPRODUCT($CA29:$DV29,INDEX('MC MAP'!$DA$5:$EV$30,12,0))</f>
        <v>17</v>
      </c>
      <c r="N29" s="2">
        <f>SUMPRODUCT($CA29:$DV29,INDEX('MC MAP'!$DA$5:$EV$30,13,0))</f>
        <v>28.5</v>
      </c>
      <c r="O29" s="2">
        <f>SUMPRODUCT($CA29:$DV29,INDEX('MC MAP'!$DA$5:$EV$30,14,0))</f>
        <v>42</v>
      </c>
      <c r="P29" s="2">
        <f>SUMPRODUCT($CA29:$DV29,INDEX('MC MAP'!$DA$5:$EV$30,15,0))</f>
        <v>63</v>
      </c>
      <c r="Q29" s="2">
        <f>SUMPRODUCT($CA29:$DV29,INDEX('MC MAP'!$DA$5:$EV$30,16,0))</f>
        <v>0</v>
      </c>
      <c r="R29" s="2">
        <f>SUMPRODUCT($CA29:$DV29,INDEX('MC MAP'!$DA$5:$EV$30,17,0))</f>
        <v>3</v>
      </c>
      <c r="S29" s="2">
        <f>SUMPRODUCT($CA29:$DV29,INDEX('MC MAP'!$DA$5:$EV$30,18,0))</f>
        <v>0</v>
      </c>
      <c r="T29" s="2">
        <f>SUMPRODUCT($CA29:$DV29,INDEX('MC MAP'!$DA$5:$EV$30,19,0))</f>
        <v>15</v>
      </c>
      <c r="U29" s="2">
        <f>SUMPRODUCT($CA29:$DV29,INDEX('MC MAP'!$DA$5:$EV$30,20,0))</f>
        <v>32.5</v>
      </c>
      <c r="V29" s="2">
        <f>SUMPRODUCT($CA29:$DV29,INDEX('MC MAP'!$DA$5:$EV$30,21,0))</f>
        <v>2</v>
      </c>
      <c r="W29" s="2">
        <f>SUMPRODUCT($CA29:$DV29,INDEX('MC MAP'!$DA$5:$EV$30,22,0))</f>
        <v>2</v>
      </c>
      <c r="X29" s="2">
        <f>SUMPRODUCT($CA29:$DV29,INDEX('MC MAP'!$DA$5:$EV$30,23,0))</f>
        <v>0</v>
      </c>
      <c r="Y29" s="2">
        <f>SUMPRODUCT($CA29:$DV29,INDEX('MC MAP'!$DA$5:$EV$30,24,0))</f>
        <v>7.5</v>
      </c>
      <c r="Z29" s="2">
        <f>SUMPRODUCT($CA29:$DV29,INDEX('MC MAP'!$DA$5:$EV$30,25,0))</f>
        <v>0</v>
      </c>
      <c r="AA29" s="2">
        <f>SUMPRODUCT($CA29:$DV29,INDEX('MC MAP'!$DA$5:$EV$30,26,0))</f>
        <v>25</v>
      </c>
      <c r="AB29" s="2">
        <f>SUM($B29:$AA29)</f>
        <v>801</v>
      </c>
      <c r="AC29" s="2">
        <f>SUM($CA29:$DV29)+$AW29</f>
        <v>26</v>
      </c>
      <c r="AW29" s="2">
        <f>IF($A29=0,0,COUNTIF(INDEX('LINE PLAN'!$B$36:$GS$61,0,ROW()-3),"THERMAL - NOT SPECIFIED"))</f>
        <v>0</v>
      </c>
      <c r="AX29" s="506" cm="1">
        <f t="array" ref="AX29">IF(OR($AB29=0,UPPER($BS29)&lt;&gt;"Y"),0,SUMPRODUCT(--($B29:$AA29&gt;$B$205:$AA$205)))</f>
        <v>4</v>
      </c>
      <c r="AY29" s="507">
        <f>$A29</f>
        <v>46260</v>
      </c>
      <c r="AZ29" s="2">
        <f>$AB29</f>
        <v>801</v>
      </c>
      <c r="BA29" s="2">
        <f>'MC MASTER'!$C$29</f>
        <v>920</v>
      </c>
      <c r="BD29" s="519">
        <f>MONTH(EDATE($A$4,2))</f>
        <v>10</v>
      </c>
      <c r="BE29" s="539" t="str">
        <f>TEXT(EDATE(DATE(YEAR($A$4),MONTH($A$4),1),2),"mmmm yyyy")</f>
        <v>October 2026</v>
      </c>
      <c r="BF29" s="521" cm="1">
        <f t="array" ref="BF29">SUMPRODUCT((MONTH($A$4:$A$203)=$BD29)*($BT$4:$BT$203&gt;0))</f>
        <v>19</v>
      </c>
      <c r="BG29" s="522" cm="1">
        <f t="array" ref="BG29">IFERROR(SUMPRODUCT((MONTH($A$4:$A$203)=$BD29)*$BT$4:$BT$203)/$BF29,0)</f>
        <v>415.552631578947</v>
      </c>
      <c r="BH29" s="523">
        <f ca="1">MAX(OFFSET($BT$4,$BK29-1,0,$BL29,1))</f>
        <v>650</v>
      </c>
      <c r="BI29" s="524">
        <f ca="1">IFERROR($BH29/$BD$5,0)</f>
        <v>0.706521739130435</v>
      </c>
      <c r="BJ29" s="525" t="str">
        <f ca="1">IF($BH29=0,"NO WORK",IF($BI29&gt;1,"OVER CAPACITY",IF($BI29&gt;0.95,"TIGHT","OK")))</f>
        <v>OK</v>
      </c>
      <c r="BK29" s="52">
        <f>IFERROR(MATCH(EDATE(DATE(YEAR($A$4),MONTH($A$4),1),2),$A$4:$A$203,0),NA())</f>
        <v>62</v>
      </c>
      <c r="BL29" s="52" cm="1">
        <f t="array" ref="BL29">SUMPRODUCT((MONTH($A$4:$A$203)=$BD29)*($A$4:$A$203&gt;0))</f>
        <v>31</v>
      </c>
      <c r="BQ29" s="509">
        <f>$A29</f>
        <v>46260</v>
      </c>
      <c r="BR29" s="15" t="str">
        <f>TEXT($A29,"ddd")</f>
        <v>Wed</v>
      </c>
      <c r="BS29" s="547" t="s">
        <v>391</v>
      </c>
      <c r="BT29" s="15">
        <f>IF(UPPER($BS29)="Y",$AB29,0)</f>
        <v>801</v>
      </c>
      <c r="CA29" s="2">
        <f>COUNTIF(INDEX('LINE PLAN'!$B$36:$GS$61,0,ROW()-3),CA$3)</f>
        <v>1</v>
      </c>
      <c r="CB29" s="2">
        <f>COUNTIF(INDEX('LINE PLAN'!$B$36:$GS$61,0,ROW()-3),CB$3)</f>
        <v>1</v>
      </c>
      <c r="CC29" s="2">
        <f>COUNTIF(INDEX('LINE PLAN'!$B$36:$GS$61,0,ROW()-3),CC$3)</f>
        <v>2</v>
      </c>
      <c r="CD29" s="2">
        <f>COUNTIF(INDEX('LINE PLAN'!$B$36:$GS$61,0,ROW()-3),CD$3)</f>
        <v>1</v>
      </c>
      <c r="CE29" s="2">
        <f>COUNTIF(INDEX('LINE PLAN'!$B$36:$GS$61,0,ROW()-3),CE$3)</f>
        <v>3</v>
      </c>
      <c r="CF29" s="2">
        <f>COUNTIF(INDEX('LINE PLAN'!$B$36:$GS$61,0,ROW()-3),CF$3)</f>
        <v>3</v>
      </c>
      <c r="CG29" s="2">
        <f>COUNTIF(INDEX('LINE PLAN'!$B$36:$GS$61,0,ROW()-3),CG$3)</f>
        <v>2</v>
      </c>
      <c r="CH29" s="2">
        <f>COUNTIF(INDEX('LINE PLAN'!$B$36:$GS$61,0,ROW()-3),CH$3)</f>
        <v>3</v>
      </c>
      <c r="CI29" s="2">
        <f>COUNTIF(INDEX('LINE PLAN'!$B$36:$GS$61,0,ROW()-3),CI$3)</f>
        <v>1</v>
      </c>
      <c r="CJ29" s="2">
        <f>COUNTIF(INDEX('LINE PLAN'!$B$36:$GS$61,0,ROW()-3),CJ$3)</f>
        <v>3</v>
      </c>
      <c r="CK29" s="2">
        <f>COUNTIF(INDEX('LINE PLAN'!$B$36:$GS$61,0,ROW()-3),CK$3)</f>
        <v>2</v>
      </c>
      <c r="CL29" s="2">
        <f>COUNTIF(INDEX('LINE PLAN'!$B$36:$GS$61,0,ROW()-3),CL$3)</f>
        <v>0</v>
      </c>
      <c r="CM29" s="2">
        <f>COUNTIF(INDEX('LINE PLAN'!$B$36:$GS$61,0,ROW()-3),CM$3)</f>
        <v>0</v>
      </c>
      <c r="CN29" s="2">
        <f>COUNTIF(INDEX('LINE PLAN'!$B$36:$GS$61,0,ROW()-3),CN$3)</f>
        <v>0</v>
      </c>
      <c r="CO29" s="2">
        <f>COUNTIF(INDEX('LINE PLAN'!$B$36:$GS$61,0,ROW()-3),CO$3)</f>
        <v>1</v>
      </c>
      <c r="CP29" s="2">
        <f>COUNTIF(INDEX('LINE PLAN'!$B$36:$GS$61,0,ROW()-3),CP$3)</f>
        <v>2</v>
      </c>
      <c r="CQ29" s="2">
        <f>COUNTIF(INDEX('LINE PLAN'!$B$36:$GS$61,0,ROW()-3),CQ$3)</f>
        <v>0</v>
      </c>
      <c r="CR29" s="2">
        <f>COUNTIF(INDEX('LINE PLAN'!$B$36:$GS$61,0,ROW()-3),CR$3)</f>
        <v>1</v>
      </c>
      <c r="CS29" s="2">
        <f>COUNTIF(INDEX('LINE PLAN'!$B$36:$GS$61,0,ROW()-3),CS$3)</f>
        <v>0</v>
      </c>
      <c r="CT29" s="2">
        <f>COUNTIF(INDEX('LINE PLAN'!$B$36:$GS$61,0,ROW()-3),CT$3)</f>
        <v>0</v>
      </c>
      <c r="CU29" s="2">
        <f>COUNTIF(INDEX('LINE PLAN'!$B$36:$GS$61,0,ROW()-3),CU$3)</f>
        <v>0</v>
      </c>
      <c r="CV29" s="2">
        <f>COUNTIF(INDEX('LINE PLAN'!$B$36:$GS$61,0,ROW()-3),CV$3)</f>
        <v>0</v>
      </c>
      <c r="CW29" s="2">
        <f>COUNTIF(INDEX('LINE PLAN'!$B$36:$GS$61,0,ROW()-3),CW$3)</f>
        <v>0</v>
      </c>
      <c r="CX29" s="2">
        <f>COUNTIF(INDEX('LINE PLAN'!$B$36:$GS$61,0,ROW()-3),CX$3)</f>
        <v>0</v>
      </c>
      <c r="CY29" s="2">
        <f>COUNTIF(INDEX('LINE PLAN'!$B$36:$GS$61,0,ROW()-3),CY$3)</f>
        <v>0</v>
      </c>
      <c r="CZ29" s="2">
        <f>COUNTIF(INDEX('LINE PLAN'!$B$36:$GS$61,0,ROW()-3),CZ$3)</f>
        <v>0</v>
      </c>
      <c r="DA29" s="2">
        <f>COUNTIF(INDEX('LINE PLAN'!$B$36:$GS$61,0,ROW()-3),DA$3)</f>
        <v>0</v>
      </c>
      <c r="DB29" s="2">
        <f>COUNTIF(INDEX('LINE PLAN'!$B$36:$GS$61,0,ROW()-3),DB$3)</f>
        <v>0</v>
      </c>
      <c r="DC29" s="2">
        <f>COUNTIF(INDEX('LINE PLAN'!$B$36:$GS$61,0,ROW()-3),DC$3)</f>
        <v>0</v>
      </c>
      <c r="DD29" s="2">
        <f>COUNTIF(INDEX('LINE PLAN'!$B$36:$GS$61,0,ROW()-3),DD$3)</f>
        <v>0</v>
      </c>
      <c r="DE29" s="2">
        <f>COUNTIF(INDEX('LINE PLAN'!$B$36:$GS$61,0,ROW()-3),DE$3)</f>
        <v>0</v>
      </c>
      <c r="DF29" s="2">
        <f>COUNTIF(INDEX('LINE PLAN'!$B$36:$GS$61,0,ROW()-3),DF$3)</f>
        <v>0</v>
      </c>
      <c r="DG29" s="2">
        <f>COUNTIF(INDEX('LINE PLAN'!$B$36:$GS$61,0,ROW()-3),DG$3)</f>
        <v>0</v>
      </c>
      <c r="DH29" s="2">
        <f>COUNTIF(INDEX('LINE PLAN'!$B$36:$GS$61,0,ROW()-3),DH$3)</f>
        <v>0</v>
      </c>
      <c r="DI29" s="2">
        <f>COUNTIF(INDEX('LINE PLAN'!$B$36:$GS$61,0,ROW()-3),DI$3)</f>
        <v>0</v>
      </c>
      <c r="DJ29" s="2">
        <f>COUNTIF(INDEX('LINE PLAN'!$B$36:$GS$61,0,ROW()-3),DJ$3)</f>
        <v>0</v>
      </c>
      <c r="DK29" s="2">
        <f>COUNTIF(INDEX('LINE PLAN'!$B$36:$GS$61,0,ROW()-3),DK$3)</f>
        <v>0</v>
      </c>
      <c r="DL29" s="2">
        <f>COUNTIF(INDEX('LINE PLAN'!$B$36:$GS$61,0,ROW()-3),DL$3)</f>
        <v>0</v>
      </c>
      <c r="DM29" s="2">
        <f>COUNTIF(INDEX('LINE PLAN'!$B$36:$GS$61,0,ROW()-3),DM$3)</f>
        <v>0</v>
      </c>
      <c r="DN29" s="2">
        <f>COUNTIF(INDEX('LINE PLAN'!$B$36:$GS$61,0,ROW()-3),DN$3)</f>
        <v>0</v>
      </c>
      <c r="DO29" s="2">
        <f>COUNTIF(INDEX('LINE PLAN'!$B$36:$GS$61,0,ROW()-3),DO$3)</f>
        <v>0</v>
      </c>
      <c r="DP29" s="2">
        <f>COUNTIF(INDEX('LINE PLAN'!$B$36:$GS$61,0,ROW()-3),DP$3)</f>
        <v>0</v>
      </c>
      <c r="DQ29" s="2">
        <f>COUNTIF(INDEX('LINE PLAN'!$B$36:$GS$61,0,ROW()-3),DQ$3)</f>
        <v>0</v>
      </c>
      <c r="DR29" s="2">
        <f>COUNTIF(INDEX('LINE PLAN'!$B$36:$GS$61,0,ROW()-3),DR$3)</f>
        <v>0</v>
      </c>
      <c r="DS29" s="2">
        <f>COUNTIF(INDEX('LINE PLAN'!$B$36:$GS$61,0,ROW()-3),DS$3)</f>
        <v>0</v>
      </c>
      <c r="DT29" s="2">
        <f>COUNTIF(INDEX('LINE PLAN'!$B$36:$GS$61,0,ROW()-3),DT$3)</f>
        <v>0</v>
      </c>
      <c r="DU29" s="2">
        <f>COUNTIF(INDEX('LINE PLAN'!$B$36:$GS$61,0,ROW()-3),DU$3)</f>
        <v>0</v>
      </c>
      <c r="DV29" s="2">
        <f>COUNTIF(INDEX('LINE PLAN'!$B$36:$GS$61,0,ROW()-3),DV$3)</f>
        <v>0</v>
      </c>
    </row>
    <row r="30" spans="1:126">
      <c r="A30" s="505" cm="1">
        <f t="array" ref="A30">INDEX('LINE PLAN'!$B$35:$GS$35,ROW()-3)</f>
        <v>46261</v>
      </c>
      <c r="B30" s="2">
        <f>SUMPRODUCT($CA30:$DV30,INDEX('MC MAP'!$DA$5:$EV$30,1,0))</f>
        <v>144.5</v>
      </c>
      <c r="C30" s="2">
        <f>SUMPRODUCT($CA30:$DV30,INDEX('MC MAP'!$DA$5:$EV$30,2,0))</f>
        <v>1</v>
      </c>
      <c r="D30" s="2">
        <f>SUMPRODUCT($CA30:$DV30,INDEX('MC MAP'!$DA$5:$EV$30,3,0))</f>
        <v>0</v>
      </c>
      <c r="E30" s="2">
        <f>SUMPRODUCT($CA30:$DV30,INDEX('MC MAP'!$DA$5:$EV$30,4,0))</f>
        <v>4</v>
      </c>
      <c r="F30" s="2">
        <f>SUMPRODUCT($CA30:$DV30,INDEX('MC MAP'!$DA$5:$EV$30,5,0))</f>
        <v>266</v>
      </c>
      <c r="G30" s="2">
        <f>SUMPRODUCT($CA30:$DV30,INDEX('MC MAP'!$DA$5:$EV$30,6,0))</f>
        <v>30</v>
      </c>
      <c r="H30" s="2">
        <f>SUMPRODUCT($CA30:$DV30,INDEX('MC MAP'!$DA$5:$EV$30,7,0))</f>
        <v>0</v>
      </c>
      <c r="I30" s="2">
        <f>SUMPRODUCT($CA30:$DV30,INDEX('MC MAP'!$DA$5:$EV$30,8,0))</f>
        <v>36</v>
      </c>
      <c r="J30" s="2">
        <f>SUMPRODUCT($CA30:$DV30,INDEX('MC MAP'!$DA$5:$EV$30,9,0))</f>
        <v>27.5</v>
      </c>
      <c r="K30" s="2">
        <f>SUMPRODUCT($CA30:$DV30,INDEX('MC MAP'!$DA$5:$EV$30,10,0))</f>
        <v>12</v>
      </c>
      <c r="L30" s="2">
        <f>SUMPRODUCT($CA30:$DV30,INDEX('MC MAP'!$DA$5:$EV$30,11,0))</f>
        <v>42.5</v>
      </c>
      <c r="M30" s="2">
        <f>SUMPRODUCT($CA30:$DV30,INDEX('MC MAP'!$DA$5:$EV$30,12,0))</f>
        <v>17</v>
      </c>
      <c r="N30" s="2">
        <f>SUMPRODUCT($CA30:$DV30,INDEX('MC MAP'!$DA$5:$EV$30,13,0))</f>
        <v>28.5</v>
      </c>
      <c r="O30" s="2">
        <f>SUMPRODUCT($CA30:$DV30,INDEX('MC MAP'!$DA$5:$EV$30,14,0))</f>
        <v>42</v>
      </c>
      <c r="P30" s="2">
        <f>SUMPRODUCT($CA30:$DV30,INDEX('MC MAP'!$DA$5:$EV$30,15,0))</f>
        <v>63</v>
      </c>
      <c r="Q30" s="2">
        <f>SUMPRODUCT($CA30:$DV30,INDEX('MC MAP'!$DA$5:$EV$30,16,0))</f>
        <v>0</v>
      </c>
      <c r="R30" s="2">
        <f>SUMPRODUCT($CA30:$DV30,INDEX('MC MAP'!$DA$5:$EV$30,17,0))</f>
        <v>3</v>
      </c>
      <c r="S30" s="2">
        <f>SUMPRODUCT($CA30:$DV30,INDEX('MC MAP'!$DA$5:$EV$30,18,0))</f>
        <v>0</v>
      </c>
      <c r="T30" s="2">
        <f>SUMPRODUCT($CA30:$DV30,INDEX('MC MAP'!$DA$5:$EV$30,19,0))</f>
        <v>15</v>
      </c>
      <c r="U30" s="2">
        <f>SUMPRODUCT($CA30:$DV30,INDEX('MC MAP'!$DA$5:$EV$30,20,0))</f>
        <v>32.5</v>
      </c>
      <c r="V30" s="2">
        <f>SUMPRODUCT($CA30:$DV30,INDEX('MC MAP'!$DA$5:$EV$30,21,0))</f>
        <v>2</v>
      </c>
      <c r="W30" s="2">
        <f>SUMPRODUCT($CA30:$DV30,INDEX('MC MAP'!$DA$5:$EV$30,22,0))</f>
        <v>2</v>
      </c>
      <c r="X30" s="2">
        <f>SUMPRODUCT($CA30:$DV30,INDEX('MC MAP'!$DA$5:$EV$30,23,0))</f>
        <v>0</v>
      </c>
      <c r="Y30" s="2">
        <f>SUMPRODUCT($CA30:$DV30,INDEX('MC MAP'!$DA$5:$EV$30,24,0))</f>
        <v>7.5</v>
      </c>
      <c r="Z30" s="2">
        <f>SUMPRODUCT($CA30:$DV30,INDEX('MC MAP'!$DA$5:$EV$30,25,0))</f>
        <v>0</v>
      </c>
      <c r="AA30" s="2">
        <f>SUMPRODUCT($CA30:$DV30,INDEX('MC MAP'!$DA$5:$EV$30,26,0))</f>
        <v>25</v>
      </c>
      <c r="AB30" s="2">
        <f>SUM($B30:$AA30)</f>
        <v>801</v>
      </c>
      <c r="AC30" s="2">
        <f>SUM($CA30:$DV30)+$AW30</f>
        <v>26</v>
      </c>
      <c r="AW30" s="2">
        <f>IF($A30=0,0,COUNTIF(INDEX('LINE PLAN'!$B$36:$GS$61,0,ROW()-3),"THERMAL - NOT SPECIFIED"))</f>
        <v>0</v>
      </c>
      <c r="AX30" s="506" cm="1">
        <f t="array" ref="AX30">IF(OR($AB30=0,UPPER($BS30)&lt;&gt;"Y"),0,SUMPRODUCT(--($B30:$AA30&gt;$B$205:$AA$205)))</f>
        <v>4</v>
      </c>
      <c r="AY30" s="507">
        <f>$A30</f>
        <v>46261</v>
      </c>
      <c r="AZ30" s="2">
        <f>$AB30</f>
        <v>801</v>
      </c>
      <c r="BA30" s="2">
        <f>'MC MASTER'!$C$29</f>
        <v>920</v>
      </c>
      <c r="BD30" s="540">
        <f>MONTH(EDATE($A$4,3))</f>
        <v>11</v>
      </c>
      <c r="BE30" s="541" t="str">
        <f>TEXT(EDATE(DATE(YEAR($A$4),MONTH($A$4),1),3),"mmmm yyyy")</f>
        <v>November 2026</v>
      </c>
      <c r="BF30" s="532" cm="1">
        <f t="array" ref="BF30">SUMPRODUCT((MONTH($A$4:$A$203)=$BD30)*($BT$4:$BT$203&gt;0))</f>
        <v>0</v>
      </c>
      <c r="BG30" s="533" cm="1">
        <f t="array" ref="BG30">IFERROR(SUMPRODUCT((MONTH($A$4:$A$203)=$BD30)*$BT$4:$BT$203)/$BF30,0)</f>
        <v>0</v>
      </c>
      <c r="BH30" s="534">
        <f ca="1">MAX(OFFSET($BT$4,$BK30-1,0,$BL30,1))</f>
        <v>0</v>
      </c>
      <c r="BI30" s="535">
        <f ca="1">IFERROR($BH30/$BD$5,0)</f>
        <v>0</v>
      </c>
      <c r="BJ30" s="536" t="str">
        <f ca="1">IF($BH30=0,"NO WORK",IF($BI30&gt;1,"OVER CAPACITY",IF($BI30&gt;0.95,"TIGHT","OK")))</f>
        <v>NO WORK</v>
      </c>
      <c r="BK30" s="52">
        <f>IFERROR(MATCH(EDATE(DATE(YEAR($A$4),MONTH($A$4),1),3),$A$4:$A$203,0),NA())</f>
        <v>93</v>
      </c>
      <c r="BL30" s="52" cm="1">
        <f t="array" ref="BL30">SUMPRODUCT((MONTH($A$4:$A$203)=$BD30)*($A$4:$A$203&gt;0))</f>
        <v>13</v>
      </c>
      <c r="BQ30" s="509">
        <f>$A30</f>
        <v>46261</v>
      </c>
      <c r="BR30" s="15" t="str">
        <f>TEXT($A30,"ddd")</f>
        <v>Thu</v>
      </c>
      <c r="BS30" s="547" t="s">
        <v>391</v>
      </c>
      <c r="BT30" s="15">
        <f>IF(UPPER($BS30)="Y",$AB30,0)</f>
        <v>801</v>
      </c>
      <c r="CA30" s="2">
        <f>COUNTIF(INDEX('LINE PLAN'!$B$36:$GS$61,0,ROW()-3),CA$3)</f>
        <v>1</v>
      </c>
      <c r="CB30" s="2">
        <f>COUNTIF(INDEX('LINE PLAN'!$B$36:$GS$61,0,ROW()-3),CB$3)</f>
        <v>1</v>
      </c>
      <c r="CC30" s="2">
        <f>COUNTIF(INDEX('LINE PLAN'!$B$36:$GS$61,0,ROW()-3),CC$3)</f>
        <v>2</v>
      </c>
      <c r="CD30" s="2">
        <f>COUNTIF(INDEX('LINE PLAN'!$B$36:$GS$61,0,ROW()-3),CD$3)</f>
        <v>1</v>
      </c>
      <c r="CE30" s="2">
        <f>COUNTIF(INDEX('LINE PLAN'!$B$36:$GS$61,0,ROW()-3),CE$3)</f>
        <v>3</v>
      </c>
      <c r="CF30" s="2">
        <f>COUNTIF(INDEX('LINE PLAN'!$B$36:$GS$61,0,ROW()-3),CF$3)</f>
        <v>3</v>
      </c>
      <c r="CG30" s="2">
        <f>COUNTIF(INDEX('LINE PLAN'!$B$36:$GS$61,0,ROW()-3),CG$3)</f>
        <v>2</v>
      </c>
      <c r="CH30" s="2">
        <f>COUNTIF(INDEX('LINE PLAN'!$B$36:$GS$61,0,ROW()-3),CH$3)</f>
        <v>3</v>
      </c>
      <c r="CI30" s="2">
        <f>COUNTIF(INDEX('LINE PLAN'!$B$36:$GS$61,0,ROW()-3),CI$3)</f>
        <v>1</v>
      </c>
      <c r="CJ30" s="2">
        <f>COUNTIF(INDEX('LINE PLAN'!$B$36:$GS$61,0,ROW()-3),CJ$3)</f>
        <v>3</v>
      </c>
      <c r="CK30" s="2">
        <f>COUNTIF(INDEX('LINE PLAN'!$B$36:$GS$61,0,ROW()-3),CK$3)</f>
        <v>2</v>
      </c>
      <c r="CL30" s="2">
        <f>COUNTIF(INDEX('LINE PLAN'!$B$36:$GS$61,0,ROW()-3),CL$3)</f>
        <v>0</v>
      </c>
      <c r="CM30" s="2">
        <f>COUNTIF(INDEX('LINE PLAN'!$B$36:$GS$61,0,ROW()-3),CM$3)</f>
        <v>0</v>
      </c>
      <c r="CN30" s="2">
        <f>COUNTIF(INDEX('LINE PLAN'!$B$36:$GS$61,0,ROW()-3),CN$3)</f>
        <v>0</v>
      </c>
      <c r="CO30" s="2">
        <f>COUNTIF(INDEX('LINE PLAN'!$B$36:$GS$61,0,ROW()-3),CO$3)</f>
        <v>1</v>
      </c>
      <c r="CP30" s="2">
        <f>COUNTIF(INDEX('LINE PLAN'!$B$36:$GS$61,0,ROW()-3),CP$3)</f>
        <v>2</v>
      </c>
      <c r="CQ30" s="2">
        <f>COUNTIF(INDEX('LINE PLAN'!$B$36:$GS$61,0,ROW()-3),CQ$3)</f>
        <v>0</v>
      </c>
      <c r="CR30" s="2">
        <f>COUNTIF(INDEX('LINE PLAN'!$B$36:$GS$61,0,ROW()-3),CR$3)</f>
        <v>1</v>
      </c>
      <c r="CS30" s="2">
        <f>COUNTIF(INDEX('LINE PLAN'!$B$36:$GS$61,0,ROW()-3),CS$3)</f>
        <v>0</v>
      </c>
      <c r="CT30" s="2">
        <f>COUNTIF(INDEX('LINE PLAN'!$B$36:$GS$61,0,ROW()-3),CT$3)</f>
        <v>0</v>
      </c>
      <c r="CU30" s="2">
        <f>COUNTIF(INDEX('LINE PLAN'!$B$36:$GS$61,0,ROW()-3),CU$3)</f>
        <v>0</v>
      </c>
      <c r="CV30" s="2">
        <f>COUNTIF(INDEX('LINE PLAN'!$B$36:$GS$61,0,ROW()-3),CV$3)</f>
        <v>0</v>
      </c>
      <c r="CW30" s="2">
        <f>COUNTIF(INDEX('LINE PLAN'!$B$36:$GS$61,0,ROW()-3),CW$3)</f>
        <v>0</v>
      </c>
      <c r="CX30" s="2">
        <f>COUNTIF(INDEX('LINE PLAN'!$B$36:$GS$61,0,ROW()-3),CX$3)</f>
        <v>0</v>
      </c>
      <c r="CY30" s="2">
        <f>COUNTIF(INDEX('LINE PLAN'!$B$36:$GS$61,0,ROW()-3),CY$3)</f>
        <v>0</v>
      </c>
      <c r="CZ30" s="2">
        <f>COUNTIF(INDEX('LINE PLAN'!$B$36:$GS$61,0,ROW()-3),CZ$3)</f>
        <v>0</v>
      </c>
      <c r="DA30" s="2">
        <f>COUNTIF(INDEX('LINE PLAN'!$B$36:$GS$61,0,ROW()-3),DA$3)</f>
        <v>0</v>
      </c>
      <c r="DB30" s="2">
        <f>COUNTIF(INDEX('LINE PLAN'!$B$36:$GS$61,0,ROW()-3),DB$3)</f>
        <v>0</v>
      </c>
      <c r="DC30" s="2">
        <f>COUNTIF(INDEX('LINE PLAN'!$B$36:$GS$61,0,ROW()-3),DC$3)</f>
        <v>0</v>
      </c>
      <c r="DD30" s="2">
        <f>COUNTIF(INDEX('LINE PLAN'!$B$36:$GS$61,0,ROW()-3),DD$3)</f>
        <v>0</v>
      </c>
      <c r="DE30" s="2">
        <f>COUNTIF(INDEX('LINE PLAN'!$B$36:$GS$61,0,ROW()-3),DE$3)</f>
        <v>0</v>
      </c>
      <c r="DF30" s="2">
        <f>COUNTIF(INDEX('LINE PLAN'!$B$36:$GS$61,0,ROW()-3),DF$3)</f>
        <v>0</v>
      </c>
      <c r="DG30" s="2">
        <f>COUNTIF(INDEX('LINE PLAN'!$B$36:$GS$61,0,ROW()-3),DG$3)</f>
        <v>0</v>
      </c>
      <c r="DH30" s="2">
        <f>COUNTIF(INDEX('LINE PLAN'!$B$36:$GS$61,0,ROW()-3),DH$3)</f>
        <v>0</v>
      </c>
      <c r="DI30" s="2">
        <f>COUNTIF(INDEX('LINE PLAN'!$B$36:$GS$61,0,ROW()-3),DI$3)</f>
        <v>0</v>
      </c>
      <c r="DJ30" s="2">
        <f>COUNTIF(INDEX('LINE PLAN'!$B$36:$GS$61,0,ROW()-3),DJ$3)</f>
        <v>0</v>
      </c>
      <c r="DK30" s="2">
        <f>COUNTIF(INDEX('LINE PLAN'!$B$36:$GS$61,0,ROW()-3),DK$3)</f>
        <v>0</v>
      </c>
      <c r="DL30" s="2">
        <f>COUNTIF(INDEX('LINE PLAN'!$B$36:$GS$61,0,ROW()-3),DL$3)</f>
        <v>0</v>
      </c>
      <c r="DM30" s="2">
        <f>COUNTIF(INDEX('LINE PLAN'!$B$36:$GS$61,0,ROW()-3),DM$3)</f>
        <v>0</v>
      </c>
      <c r="DN30" s="2">
        <f>COUNTIF(INDEX('LINE PLAN'!$B$36:$GS$61,0,ROW()-3),DN$3)</f>
        <v>0</v>
      </c>
      <c r="DO30" s="2">
        <f>COUNTIF(INDEX('LINE PLAN'!$B$36:$GS$61,0,ROW()-3),DO$3)</f>
        <v>0</v>
      </c>
      <c r="DP30" s="2">
        <f>COUNTIF(INDEX('LINE PLAN'!$B$36:$GS$61,0,ROW()-3),DP$3)</f>
        <v>0</v>
      </c>
      <c r="DQ30" s="2">
        <f>COUNTIF(INDEX('LINE PLAN'!$B$36:$GS$61,0,ROW()-3),DQ$3)</f>
        <v>0</v>
      </c>
      <c r="DR30" s="2">
        <f>COUNTIF(INDEX('LINE PLAN'!$B$36:$GS$61,0,ROW()-3),DR$3)</f>
        <v>0</v>
      </c>
      <c r="DS30" s="2">
        <f>COUNTIF(INDEX('LINE PLAN'!$B$36:$GS$61,0,ROW()-3),DS$3)</f>
        <v>0</v>
      </c>
      <c r="DT30" s="2">
        <f>COUNTIF(INDEX('LINE PLAN'!$B$36:$GS$61,0,ROW()-3),DT$3)</f>
        <v>0</v>
      </c>
      <c r="DU30" s="2">
        <f>COUNTIF(INDEX('LINE PLAN'!$B$36:$GS$61,0,ROW()-3),DU$3)</f>
        <v>0</v>
      </c>
      <c r="DV30" s="2">
        <f>COUNTIF(INDEX('LINE PLAN'!$B$36:$GS$61,0,ROW()-3),DV$3)</f>
        <v>0</v>
      </c>
    </row>
    <row r="31" spans="1:126" ht="15.75">
      <c r="A31" s="505" cm="1">
        <f t="array" ref="A31">INDEX('LINE PLAN'!$B$35:$GS$35,ROW()-3)</f>
        <v>46262</v>
      </c>
      <c r="B31" s="2">
        <f>SUMPRODUCT($CA31:$DV31,INDEX('MC MAP'!$DA$5:$EV$30,1,0))</f>
        <v>144.5</v>
      </c>
      <c r="C31" s="2">
        <f>SUMPRODUCT($CA31:$DV31,INDEX('MC MAP'!$DA$5:$EV$30,2,0))</f>
        <v>1</v>
      </c>
      <c r="D31" s="2">
        <f>SUMPRODUCT($CA31:$DV31,INDEX('MC MAP'!$DA$5:$EV$30,3,0))</f>
        <v>0</v>
      </c>
      <c r="E31" s="2">
        <f>SUMPRODUCT($CA31:$DV31,INDEX('MC MAP'!$DA$5:$EV$30,4,0))</f>
        <v>4</v>
      </c>
      <c r="F31" s="2">
        <f>SUMPRODUCT($CA31:$DV31,INDEX('MC MAP'!$DA$5:$EV$30,5,0))</f>
        <v>266</v>
      </c>
      <c r="G31" s="2">
        <f>SUMPRODUCT($CA31:$DV31,INDEX('MC MAP'!$DA$5:$EV$30,6,0))</f>
        <v>30</v>
      </c>
      <c r="H31" s="2">
        <f>SUMPRODUCT($CA31:$DV31,INDEX('MC MAP'!$DA$5:$EV$30,7,0))</f>
        <v>0</v>
      </c>
      <c r="I31" s="2">
        <f>SUMPRODUCT($CA31:$DV31,INDEX('MC MAP'!$DA$5:$EV$30,8,0))</f>
        <v>36</v>
      </c>
      <c r="J31" s="2">
        <f>SUMPRODUCT($CA31:$DV31,INDEX('MC MAP'!$DA$5:$EV$30,9,0))</f>
        <v>27.5</v>
      </c>
      <c r="K31" s="2">
        <f>SUMPRODUCT($CA31:$DV31,INDEX('MC MAP'!$DA$5:$EV$30,10,0))</f>
        <v>12</v>
      </c>
      <c r="L31" s="2">
        <f>SUMPRODUCT($CA31:$DV31,INDEX('MC MAP'!$DA$5:$EV$30,11,0))</f>
        <v>42.5</v>
      </c>
      <c r="M31" s="2">
        <f>SUMPRODUCT($CA31:$DV31,INDEX('MC MAP'!$DA$5:$EV$30,12,0))</f>
        <v>17</v>
      </c>
      <c r="N31" s="2">
        <f>SUMPRODUCT($CA31:$DV31,INDEX('MC MAP'!$DA$5:$EV$30,13,0))</f>
        <v>28.5</v>
      </c>
      <c r="O31" s="2">
        <f>SUMPRODUCT($CA31:$DV31,INDEX('MC MAP'!$DA$5:$EV$30,14,0))</f>
        <v>42</v>
      </c>
      <c r="P31" s="2">
        <f>SUMPRODUCT($CA31:$DV31,INDEX('MC MAP'!$DA$5:$EV$30,15,0))</f>
        <v>63</v>
      </c>
      <c r="Q31" s="2">
        <f>SUMPRODUCT($CA31:$DV31,INDEX('MC MAP'!$DA$5:$EV$30,16,0))</f>
        <v>0</v>
      </c>
      <c r="R31" s="2">
        <f>SUMPRODUCT($CA31:$DV31,INDEX('MC MAP'!$DA$5:$EV$30,17,0))</f>
        <v>3</v>
      </c>
      <c r="S31" s="2">
        <f>SUMPRODUCT($CA31:$DV31,INDEX('MC MAP'!$DA$5:$EV$30,18,0))</f>
        <v>0</v>
      </c>
      <c r="T31" s="2">
        <f>SUMPRODUCT($CA31:$DV31,INDEX('MC MAP'!$DA$5:$EV$30,19,0))</f>
        <v>15</v>
      </c>
      <c r="U31" s="2">
        <f>SUMPRODUCT($CA31:$DV31,INDEX('MC MAP'!$DA$5:$EV$30,20,0))</f>
        <v>32.5</v>
      </c>
      <c r="V31" s="2">
        <f>SUMPRODUCT($CA31:$DV31,INDEX('MC MAP'!$DA$5:$EV$30,21,0))</f>
        <v>2</v>
      </c>
      <c r="W31" s="2">
        <f>SUMPRODUCT($CA31:$DV31,INDEX('MC MAP'!$DA$5:$EV$30,22,0))</f>
        <v>2</v>
      </c>
      <c r="X31" s="2">
        <f>SUMPRODUCT($CA31:$DV31,INDEX('MC MAP'!$DA$5:$EV$30,23,0))</f>
        <v>0</v>
      </c>
      <c r="Y31" s="2">
        <f>SUMPRODUCT($CA31:$DV31,INDEX('MC MAP'!$DA$5:$EV$30,24,0))</f>
        <v>7.5</v>
      </c>
      <c r="Z31" s="2">
        <f>SUMPRODUCT($CA31:$DV31,INDEX('MC MAP'!$DA$5:$EV$30,25,0))</f>
        <v>0</v>
      </c>
      <c r="AA31" s="2">
        <f>SUMPRODUCT($CA31:$DV31,INDEX('MC MAP'!$DA$5:$EV$30,26,0))</f>
        <v>25</v>
      </c>
      <c r="AB31" s="2">
        <f>SUM($B31:$AA31)</f>
        <v>801</v>
      </c>
      <c r="AC31" s="2">
        <f>SUM($CA31:$DV31)+$AW31</f>
        <v>26</v>
      </c>
      <c r="AW31" s="2">
        <f>IF($A31=0,0,COUNTIF(INDEX('LINE PLAN'!$B$36:$GS$61,0,ROW()-3),"THERMAL - NOT SPECIFIED"))</f>
        <v>0</v>
      </c>
      <c r="AX31" s="506" cm="1">
        <f t="array" ref="AX31">IF(OR($AB31=0,UPPER($BS31)&lt;&gt;"Y"),0,SUMPRODUCT(--($B31:$AA31&gt;$B$205:$AA$205)))</f>
        <v>4</v>
      </c>
      <c r="AY31" s="507">
        <f>$A31</f>
        <v>46262</v>
      </c>
      <c r="AZ31" s="2">
        <f>$AB31</f>
        <v>801</v>
      </c>
      <c r="BA31" s="2">
        <f>'MC MASTER'!$C$29</f>
        <v>920</v>
      </c>
      <c r="BD31" s="483" t="s">
        <v>330</v>
      </c>
      <c r="BE31" s="264"/>
      <c r="BF31" s="264"/>
      <c r="BG31" s="264"/>
      <c r="BH31" s="264"/>
      <c r="BI31" s="264"/>
      <c r="BJ31" s="264"/>
      <c r="BK31" s="264"/>
      <c r="BQ31" s="509">
        <f>$A31</f>
        <v>46262</v>
      </c>
      <c r="BR31" s="15" t="str">
        <f>TEXT($A31,"ddd")</f>
        <v>Fri</v>
      </c>
      <c r="BS31" s="547" t="s">
        <v>391</v>
      </c>
      <c r="BT31" s="15">
        <f>IF(UPPER($BS31)="Y",$AB31,0)</f>
        <v>801</v>
      </c>
      <c r="CA31" s="2">
        <f>COUNTIF(INDEX('LINE PLAN'!$B$36:$GS$61,0,ROW()-3),CA$3)</f>
        <v>1</v>
      </c>
      <c r="CB31" s="2">
        <f>COUNTIF(INDEX('LINE PLAN'!$B$36:$GS$61,0,ROW()-3),CB$3)</f>
        <v>1</v>
      </c>
      <c r="CC31" s="2">
        <f>COUNTIF(INDEX('LINE PLAN'!$B$36:$GS$61,0,ROW()-3),CC$3)</f>
        <v>2</v>
      </c>
      <c r="CD31" s="2">
        <f>COUNTIF(INDEX('LINE PLAN'!$B$36:$GS$61,0,ROW()-3),CD$3)</f>
        <v>1</v>
      </c>
      <c r="CE31" s="2">
        <f>COUNTIF(INDEX('LINE PLAN'!$B$36:$GS$61,0,ROW()-3),CE$3)</f>
        <v>3</v>
      </c>
      <c r="CF31" s="2">
        <f>COUNTIF(INDEX('LINE PLAN'!$B$36:$GS$61,0,ROW()-3),CF$3)</f>
        <v>3</v>
      </c>
      <c r="CG31" s="2">
        <f>COUNTIF(INDEX('LINE PLAN'!$B$36:$GS$61,0,ROW()-3),CG$3)</f>
        <v>2</v>
      </c>
      <c r="CH31" s="2">
        <f>COUNTIF(INDEX('LINE PLAN'!$B$36:$GS$61,0,ROW()-3),CH$3)</f>
        <v>3</v>
      </c>
      <c r="CI31" s="2">
        <f>COUNTIF(INDEX('LINE PLAN'!$B$36:$GS$61,0,ROW()-3),CI$3)</f>
        <v>1</v>
      </c>
      <c r="CJ31" s="2">
        <f>COUNTIF(INDEX('LINE PLAN'!$B$36:$GS$61,0,ROW()-3),CJ$3)</f>
        <v>3</v>
      </c>
      <c r="CK31" s="2">
        <f>COUNTIF(INDEX('LINE PLAN'!$B$36:$GS$61,0,ROW()-3),CK$3)</f>
        <v>2</v>
      </c>
      <c r="CL31" s="2">
        <f>COUNTIF(INDEX('LINE PLAN'!$B$36:$GS$61,0,ROW()-3),CL$3)</f>
        <v>0</v>
      </c>
      <c r="CM31" s="2">
        <f>COUNTIF(INDEX('LINE PLAN'!$B$36:$GS$61,0,ROW()-3),CM$3)</f>
        <v>0</v>
      </c>
      <c r="CN31" s="2">
        <f>COUNTIF(INDEX('LINE PLAN'!$B$36:$GS$61,0,ROW()-3),CN$3)</f>
        <v>0</v>
      </c>
      <c r="CO31" s="2">
        <f>COUNTIF(INDEX('LINE PLAN'!$B$36:$GS$61,0,ROW()-3),CO$3)</f>
        <v>1</v>
      </c>
      <c r="CP31" s="2">
        <f>COUNTIF(INDEX('LINE PLAN'!$B$36:$GS$61,0,ROW()-3),CP$3)</f>
        <v>2</v>
      </c>
      <c r="CQ31" s="2">
        <f>COUNTIF(INDEX('LINE PLAN'!$B$36:$GS$61,0,ROW()-3),CQ$3)</f>
        <v>0</v>
      </c>
      <c r="CR31" s="2">
        <f>COUNTIF(INDEX('LINE PLAN'!$B$36:$GS$61,0,ROW()-3),CR$3)</f>
        <v>1</v>
      </c>
      <c r="CS31" s="2">
        <f>COUNTIF(INDEX('LINE PLAN'!$B$36:$GS$61,0,ROW()-3),CS$3)</f>
        <v>0</v>
      </c>
      <c r="CT31" s="2">
        <f>COUNTIF(INDEX('LINE PLAN'!$B$36:$GS$61,0,ROW()-3),CT$3)</f>
        <v>0</v>
      </c>
      <c r="CU31" s="2">
        <f>COUNTIF(INDEX('LINE PLAN'!$B$36:$GS$61,0,ROW()-3),CU$3)</f>
        <v>0</v>
      </c>
      <c r="CV31" s="2">
        <f>COUNTIF(INDEX('LINE PLAN'!$B$36:$GS$61,0,ROW()-3),CV$3)</f>
        <v>0</v>
      </c>
      <c r="CW31" s="2">
        <f>COUNTIF(INDEX('LINE PLAN'!$B$36:$GS$61,0,ROW()-3),CW$3)</f>
        <v>0</v>
      </c>
      <c r="CX31" s="2">
        <f>COUNTIF(INDEX('LINE PLAN'!$B$36:$GS$61,0,ROW()-3),CX$3)</f>
        <v>0</v>
      </c>
      <c r="CY31" s="2">
        <f>COUNTIF(INDEX('LINE PLAN'!$B$36:$GS$61,0,ROW()-3),CY$3)</f>
        <v>0</v>
      </c>
      <c r="CZ31" s="2">
        <f>COUNTIF(INDEX('LINE PLAN'!$B$36:$GS$61,0,ROW()-3),CZ$3)</f>
        <v>0</v>
      </c>
      <c r="DA31" s="2">
        <f>COUNTIF(INDEX('LINE PLAN'!$B$36:$GS$61,0,ROW()-3),DA$3)</f>
        <v>0</v>
      </c>
      <c r="DB31" s="2">
        <f>COUNTIF(INDEX('LINE PLAN'!$B$36:$GS$61,0,ROW()-3),DB$3)</f>
        <v>0</v>
      </c>
      <c r="DC31" s="2">
        <f>COUNTIF(INDEX('LINE PLAN'!$B$36:$GS$61,0,ROW()-3),DC$3)</f>
        <v>0</v>
      </c>
      <c r="DD31" s="2">
        <f>COUNTIF(INDEX('LINE PLAN'!$B$36:$GS$61,0,ROW()-3),DD$3)</f>
        <v>0</v>
      </c>
      <c r="DE31" s="2">
        <f>COUNTIF(INDEX('LINE PLAN'!$B$36:$GS$61,0,ROW()-3),DE$3)</f>
        <v>0</v>
      </c>
      <c r="DF31" s="2">
        <f>COUNTIF(INDEX('LINE PLAN'!$B$36:$GS$61,0,ROW()-3),DF$3)</f>
        <v>0</v>
      </c>
      <c r="DG31" s="2">
        <f>COUNTIF(INDEX('LINE PLAN'!$B$36:$GS$61,0,ROW()-3),DG$3)</f>
        <v>0</v>
      </c>
      <c r="DH31" s="2">
        <f>COUNTIF(INDEX('LINE PLAN'!$B$36:$GS$61,0,ROW()-3),DH$3)</f>
        <v>0</v>
      </c>
      <c r="DI31" s="2">
        <f>COUNTIF(INDEX('LINE PLAN'!$B$36:$GS$61,0,ROW()-3),DI$3)</f>
        <v>0</v>
      </c>
      <c r="DJ31" s="2">
        <f>COUNTIF(INDEX('LINE PLAN'!$B$36:$GS$61,0,ROW()-3),DJ$3)</f>
        <v>0</v>
      </c>
      <c r="DK31" s="2">
        <f>COUNTIF(INDEX('LINE PLAN'!$B$36:$GS$61,0,ROW()-3),DK$3)</f>
        <v>0</v>
      </c>
      <c r="DL31" s="2">
        <f>COUNTIF(INDEX('LINE PLAN'!$B$36:$GS$61,0,ROW()-3),DL$3)</f>
        <v>0</v>
      </c>
      <c r="DM31" s="2">
        <f>COUNTIF(INDEX('LINE PLAN'!$B$36:$GS$61,0,ROW()-3),DM$3)</f>
        <v>0</v>
      </c>
      <c r="DN31" s="2">
        <f>COUNTIF(INDEX('LINE PLAN'!$B$36:$GS$61,0,ROW()-3),DN$3)</f>
        <v>0</v>
      </c>
      <c r="DO31" s="2">
        <f>COUNTIF(INDEX('LINE PLAN'!$B$36:$GS$61,0,ROW()-3),DO$3)</f>
        <v>0</v>
      </c>
      <c r="DP31" s="2">
        <f>COUNTIF(INDEX('LINE PLAN'!$B$36:$GS$61,0,ROW()-3),DP$3)</f>
        <v>0</v>
      </c>
      <c r="DQ31" s="2">
        <f>COUNTIF(INDEX('LINE PLAN'!$B$36:$GS$61,0,ROW()-3),DQ$3)</f>
        <v>0</v>
      </c>
      <c r="DR31" s="2">
        <f>COUNTIF(INDEX('LINE PLAN'!$B$36:$GS$61,0,ROW()-3),DR$3)</f>
        <v>0</v>
      </c>
      <c r="DS31" s="2">
        <f>COUNTIF(INDEX('LINE PLAN'!$B$36:$GS$61,0,ROW()-3),DS$3)</f>
        <v>0</v>
      </c>
      <c r="DT31" s="2">
        <f>COUNTIF(INDEX('LINE PLAN'!$B$36:$GS$61,0,ROW()-3),DT$3)</f>
        <v>0</v>
      </c>
      <c r="DU31" s="2">
        <f>COUNTIF(INDEX('LINE PLAN'!$B$36:$GS$61,0,ROW()-3),DU$3)</f>
        <v>0</v>
      </c>
      <c r="DV31" s="2">
        <f>COUNTIF(INDEX('LINE PLAN'!$B$36:$GS$61,0,ROW()-3),DV$3)</f>
        <v>0</v>
      </c>
    </row>
    <row r="32" spans="1:126">
      <c r="A32" s="505" cm="1">
        <f t="array" ref="A32">INDEX('LINE PLAN'!$B$35:$GS$35,ROW()-3)</f>
        <v>46263</v>
      </c>
      <c r="B32" s="2">
        <f>SUMPRODUCT($CA32:$DV32,INDEX('MC MAP'!$DA$5:$EV$30,1,0))</f>
        <v>144.5</v>
      </c>
      <c r="C32" s="2">
        <f>SUMPRODUCT($CA32:$DV32,INDEX('MC MAP'!$DA$5:$EV$30,2,0))</f>
        <v>1</v>
      </c>
      <c r="D32" s="2">
        <f>SUMPRODUCT($CA32:$DV32,INDEX('MC MAP'!$DA$5:$EV$30,3,0))</f>
        <v>0</v>
      </c>
      <c r="E32" s="2">
        <f>SUMPRODUCT($CA32:$DV32,INDEX('MC MAP'!$DA$5:$EV$30,4,0))</f>
        <v>4</v>
      </c>
      <c r="F32" s="2">
        <f>SUMPRODUCT($CA32:$DV32,INDEX('MC MAP'!$DA$5:$EV$30,5,0))</f>
        <v>266</v>
      </c>
      <c r="G32" s="2">
        <f>SUMPRODUCT($CA32:$DV32,INDEX('MC MAP'!$DA$5:$EV$30,6,0))</f>
        <v>30</v>
      </c>
      <c r="H32" s="2">
        <f>SUMPRODUCT($CA32:$DV32,INDEX('MC MAP'!$DA$5:$EV$30,7,0))</f>
        <v>0</v>
      </c>
      <c r="I32" s="2">
        <f>SUMPRODUCT($CA32:$DV32,INDEX('MC MAP'!$DA$5:$EV$30,8,0))</f>
        <v>36</v>
      </c>
      <c r="J32" s="2">
        <f>SUMPRODUCT($CA32:$DV32,INDEX('MC MAP'!$DA$5:$EV$30,9,0))</f>
        <v>27.5</v>
      </c>
      <c r="K32" s="2">
        <f>SUMPRODUCT($CA32:$DV32,INDEX('MC MAP'!$DA$5:$EV$30,10,0))</f>
        <v>12</v>
      </c>
      <c r="L32" s="2">
        <f>SUMPRODUCT($CA32:$DV32,INDEX('MC MAP'!$DA$5:$EV$30,11,0))</f>
        <v>42.5</v>
      </c>
      <c r="M32" s="2">
        <f>SUMPRODUCT($CA32:$DV32,INDEX('MC MAP'!$DA$5:$EV$30,12,0))</f>
        <v>17</v>
      </c>
      <c r="N32" s="2">
        <f>SUMPRODUCT($CA32:$DV32,INDEX('MC MAP'!$DA$5:$EV$30,13,0))</f>
        <v>28.5</v>
      </c>
      <c r="O32" s="2">
        <f>SUMPRODUCT($CA32:$DV32,INDEX('MC MAP'!$DA$5:$EV$30,14,0))</f>
        <v>42</v>
      </c>
      <c r="P32" s="2">
        <f>SUMPRODUCT($CA32:$DV32,INDEX('MC MAP'!$DA$5:$EV$30,15,0))</f>
        <v>63</v>
      </c>
      <c r="Q32" s="2">
        <f>SUMPRODUCT($CA32:$DV32,INDEX('MC MAP'!$DA$5:$EV$30,16,0))</f>
        <v>0</v>
      </c>
      <c r="R32" s="2">
        <f>SUMPRODUCT($CA32:$DV32,INDEX('MC MAP'!$DA$5:$EV$30,17,0))</f>
        <v>3</v>
      </c>
      <c r="S32" s="2">
        <f>SUMPRODUCT($CA32:$DV32,INDEX('MC MAP'!$DA$5:$EV$30,18,0))</f>
        <v>0</v>
      </c>
      <c r="T32" s="2">
        <f>SUMPRODUCT($CA32:$DV32,INDEX('MC MAP'!$DA$5:$EV$30,19,0))</f>
        <v>15</v>
      </c>
      <c r="U32" s="2">
        <f>SUMPRODUCT($CA32:$DV32,INDEX('MC MAP'!$DA$5:$EV$30,20,0))</f>
        <v>32.5</v>
      </c>
      <c r="V32" s="2">
        <f>SUMPRODUCT($CA32:$DV32,INDEX('MC MAP'!$DA$5:$EV$30,21,0))</f>
        <v>2</v>
      </c>
      <c r="W32" s="2">
        <f>SUMPRODUCT($CA32:$DV32,INDEX('MC MAP'!$DA$5:$EV$30,22,0))</f>
        <v>2</v>
      </c>
      <c r="X32" s="2">
        <f>SUMPRODUCT($CA32:$DV32,INDEX('MC MAP'!$DA$5:$EV$30,23,0))</f>
        <v>0</v>
      </c>
      <c r="Y32" s="2">
        <f>SUMPRODUCT($CA32:$DV32,INDEX('MC MAP'!$DA$5:$EV$30,24,0))</f>
        <v>7.5</v>
      </c>
      <c r="Z32" s="2">
        <f>SUMPRODUCT($CA32:$DV32,INDEX('MC MAP'!$DA$5:$EV$30,25,0))</f>
        <v>0</v>
      </c>
      <c r="AA32" s="2">
        <f>SUMPRODUCT($CA32:$DV32,INDEX('MC MAP'!$DA$5:$EV$30,26,0))</f>
        <v>25</v>
      </c>
      <c r="AB32" s="2">
        <f>SUM($B32:$AA32)</f>
        <v>801</v>
      </c>
      <c r="AC32" s="2">
        <f>SUM($CA32:$DV32)+$AW32</f>
        <v>26</v>
      </c>
      <c r="AW32" s="2">
        <f>IF($A32=0,0,COUNTIF(INDEX('LINE PLAN'!$B$36:$GS$61,0,ROW()-3),"THERMAL - NOT SPECIFIED"))</f>
        <v>0</v>
      </c>
      <c r="AX32" s="506" cm="1">
        <f t="array" ref="AX32">IF(OR($AB32=0,UPPER($BS32)&lt;&gt;"Y"),0,SUMPRODUCT(--($B32:$AA32&gt;$B$205:$AA$205)))</f>
        <v>4</v>
      </c>
      <c r="AY32" s="507">
        <f>$A32</f>
        <v>46263</v>
      </c>
      <c r="AZ32" s="2">
        <f>$AB32</f>
        <v>801</v>
      </c>
      <c r="BA32" s="2">
        <f>'MC MASTER'!$C$29</f>
        <v>920</v>
      </c>
      <c r="BD32" s="516" t="s">
        <v>333</v>
      </c>
      <c r="BF32" s="52">
        <f>IFERROR(MATCH(EDATE(DATE(YEAR($A$4),MONTH($A$4),1),COLUMNS($BF$32:BF32)-1),$A$4:$A$203,0),1)</f>
        <v>1</v>
      </c>
      <c r="BG32" s="52">
        <f>IFERROR(MATCH(EDATE(DATE(YEAR($A$4),MONTH($A$4),1),COLUMNS($BF$32:BG32)-1),$A$4:$A$203,0),NA())</f>
        <v>32</v>
      </c>
      <c r="BH32" s="52">
        <f>IFERROR(MATCH(EDATE(DATE(YEAR($A$4),MONTH($A$4),1),COLUMNS($BF$32:BH32)-1),$A$4:$A$203,0),NA())</f>
        <v>62</v>
      </c>
      <c r="BI32" s="52">
        <f>IFERROR(MATCH(EDATE(DATE(YEAR($A$4),MONTH($A$4),1),COLUMNS($BF$32:BI32)-1),$A$4:$A$203,0),NA())</f>
        <v>93</v>
      </c>
      <c r="BQ32" s="509">
        <f>$A32</f>
        <v>46263</v>
      </c>
      <c r="BR32" s="15" t="str">
        <f>TEXT($A32,"ddd")</f>
        <v>Sat</v>
      </c>
      <c r="BS32" s="547" t="s">
        <v>391</v>
      </c>
      <c r="BT32" s="15">
        <f>IF(UPPER($BS32)="Y",$AB32,0)</f>
        <v>801</v>
      </c>
      <c r="CA32" s="2">
        <f>COUNTIF(INDEX('LINE PLAN'!$B$36:$GS$61,0,ROW()-3),CA$3)</f>
        <v>1</v>
      </c>
      <c r="CB32" s="2">
        <f>COUNTIF(INDEX('LINE PLAN'!$B$36:$GS$61,0,ROW()-3),CB$3)</f>
        <v>1</v>
      </c>
      <c r="CC32" s="2">
        <f>COUNTIF(INDEX('LINE PLAN'!$B$36:$GS$61,0,ROW()-3),CC$3)</f>
        <v>2</v>
      </c>
      <c r="CD32" s="2">
        <f>COUNTIF(INDEX('LINE PLAN'!$B$36:$GS$61,0,ROW()-3),CD$3)</f>
        <v>1</v>
      </c>
      <c r="CE32" s="2">
        <f>COUNTIF(INDEX('LINE PLAN'!$B$36:$GS$61,0,ROW()-3),CE$3)</f>
        <v>3</v>
      </c>
      <c r="CF32" s="2">
        <f>COUNTIF(INDEX('LINE PLAN'!$B$36:$GS$61,0,ROW()-3),CF$3)</f>
        <v>3</v>
      </c>
      <c r="CG32" s="2">
        <f>COUNTIF(INDEX('LINE PLAN'!$B$36:$GS$61,0,ROW()-3),CG$3)</f>
        <v>2</v>
      </c>
      <c r="CH32" s="2">
        <f>COUNTIF(INDEX('LINE PLAN'!$B$36:$GS$61,0,ROW()-3),CH$3)</f>
        <v>3</v>
      </c>
      <c r="CI32" s="2">
        <f>COUNTIF(INDEX('LINE PLAN'!$B$36:$GS$61,0,ROW()-3),CI$3)</f>
        <v>1</v>
      </c>
      <c r="CJ32" s="2">
        <f>COUNTIF(INDEX('LINE PLAN'!$B$36:$GS$61,0,ROW()-3),CJ$3)</f>
        <v>3</v>
      </c>
      <c r="CK32" s="2">
        <f>COUNTIF(INDEX('LINE PLAN'!$B$36:$GS$61,0,ROW()-3),CK$3)</f>
        <v>2</v>
      </c>
      <c r="CL32" s="2">
        <f>COUNTIF(INDEX('LINE PLAN'!$B$36:$GS$61,0,ROW()-3),CL$3)</f>
        <v>0</v>
      </c>
      <c r="CM32" s="2">
        <f>COUNTIF(INDEX('LINE PLAN'!$B$36:$GS$61,0,ROW()-3),CM$3)</f>
        <v>0</v>
      </c>
      <c r="CN32" s="2">
        <f>COUNTIF(INDEX('LINE PLAN'!$B$36:$GS$61,0,ROW()-3),CN$3)</f>
        <v>0</v>
      </c>
      <c r="CO32" s="2">
        <f>COUNTIF(INDEX('LINE PLAN'!$B$36:$GS$61,0,ROW()-3),CO$3)</f>
        <v>1</v>
      </c>
      <c r="CP32" s="2">
        <f>COUNTIF(INDEX('LINE PLAN'!$B$36:$GS$61,0,ROW()-3),CP$3)</f>
        <v>2</v>
      </c>
      <c r="CQ32" s="2">
        <f>COUNTIF(INDEX('LINE PLAN'!$B$36:$GS$61,0,ROW()-3),CQ$3)</f>
        <v>0</v>
      </c>
      <c r="CR32" s="2">
        <f>COUNTIF(INDEX('LINE PLAN'!$B$36:$GS$61,0,ROW()-3),CR$3)</f>
        <v>1</v>
      </c>
      <c r="CS32" s="2">
        <f>COUNTIF(INDEX('LINE PLAN'!$B$36:$GS$61,0,ROW()-3),CS$3)</f>
        <v>0</v>
      </c>
      <c r="CT32" s="2">
        <f>COUNTIF(INDEX('LINE PLAN'!$B$36:$GS$61,0,ROW()-3),CT$3)</f>
        <v>0</v>
      </c>
      <c r="CU32" s="2">
        <f>COUNTIF(INDEX('LINE PLAN'!$B$36:$GS$61,0,ROW()-3),CU$3)</f>
        <v>0</v>
      </c>
      <c r="CV32" s="2">
        <f>COUNTIF(INDEX('LINE PLAN'!$B$36:$GS$61,0,ROW()-3),CV$3)</f>
        <v>0</v>
      </c>
      <c r="CW32" s="2">
        <f>COUNTIF(INDEX('LINE PLAN'!$B$36:$GS$61,0,ROW()-3),CW$3)</f>
        <v>0</v>
      </c>
      <c r="CX32" s="2">
        <f>COUNTIF(INDEX('LINE PLAN'!$B$36:$GS$61,0,ROW()-3),CX$3)</f>
        <v>0</v>
      </c>
      <c r="CY32" s="2">
        <f>COUNTIF(INDEX('LINE PLAN'!$B$36:$GS$61,0,ROW()-3),CY$3)</f>
        <v>0</v>
      </c>
      <c r="CZ32" s="2">
        <f>COUNTIF(INDEX('LINE PLAN'!$B$36:$GS$61,0,ROW()-3),CZ$3)</f>
        <v>0</v>
      </c>
      <c r="DA32" s="2">
        <f>COUNTIF(INDEX('LINE PLAN'!$B$36:$GS$61,0,ROW()-3),DA$3)</f>
        <v>0</v>
      </c>
      <c r="DB32" s="2">
        <f>COUNTIF(INDEX('LINE PLAN'!$B$36:$GS$61,0,ROW()-3),DB$3)</f>
        <v>0</v>
      </c>
      <c r="DC32" s="2">
        <f>COUNTIF(INDEX('LINE PLAN'!$B$36:$GS$61,0,ROW()-3),DC$3)</f>
        <v>0</v>
      </c>
      <c r="DD32" s="2">
        <f>COUNTIF(INDEX('LINE PLAN'!$B$36:$GS$61,0,ROW()-3),DD$3)</f>
        <v>0</v>
      </c>
      <c r="DE32" s="2">
        <f>COUNTIF(INDEX('LINE PLAN'!$B$36:$GS$61,0,ROW()-3),DE$3)</f>
        <v>0</v>
      </c>
      <c r="DF32" s="2">
        <f>COUNTIF(INDEX('LINE PLAN'!$B$36:$GS$61,0,ROW()-3),DF$3)</f>
        <v>0</v>
      </c>
      <c r="DG32" s="2">
        <f>COUNTIF(INDEX('LINE PLAN'!$B$36:$GS$61,0,ROW()-3),DG$3)</f>
        <v>0</v>
      </c>
      <c r="DH32" s="2">
        <f>COUNTIF(INDEX('LINE PLAN'!$B$36:$GS$61,0,ROW()-3),DH$3)</f>
        <v>0</v>
      </c>
      <c r="DI32" s="2">
        <f>COUNTIF(INDEX('LINE PLAN'!$B$36:$GS$61,0,ROW()-3),DI$3)</f>
        <v>0</v>
      </c>
      <c r="DJ32" s="2">
        <f>COUNTIF(INDEX('LINE PLAN'!$B$36:$GS$61,0,ROW()-3),DJ$3)</f>
        <v>0</v>
      </c>
      <c r="DK32" s="2">
        <f>COUNTIF(INDEX('LINE PLAN'!$B$36:$GS$61,0,ROW()-3),DK$3)</f>
        <v>0</v>
      </c>
      <c r="DL32" s="2">
        <f>COUNTIF(INDEX('LINE PLAN'!$B$36:$GS$61,0,ROW()-3),DL$3)</f>
        <v>0</v>
      </c>
      <c r="DM32" s="2">
        <f>COUNTIF(INDEX('LINE PLAN'!$B$36:$GS$61,0,ROW()-3),DM$3)</f>
        <v>0</v>
      </c>
      <c r="DN32" s="2">
        <f>COUNTIF(INDEX('LINE PLAN'!$B$36:$GS$61,0,ROW()-3),DN$3)</f>
        <v>0</v>
      </c>
      <c r="DO32" s="2">
        <f>COUNTIF(INDEX('LINE PLAN'!$B$36:$GS$61,0,ROW()-3),DO$3)</f>
        <v>0</v>
      </c>
      <c r="DP32" s="2">
        <f>COUNTIF(INDEX('LINE PLAN'!$B$36:$GS$61,0,ROW()-3),DP$3)</f>
        <v>0</v>
      </c>
      <c r="DQ32" s="2">
        <f>COUNTIF(INDEX('LINE PLAN'!$B$36:$GS$61,0,ROW()-3),DQ$3)</f>
        <v>0</v>
      </c>
      <c r="DR32" s="2">
        <f>COUNTIF(INDEX('LINE PLAN'!$B$36:$GS$61,0,ROW()-3),DR$3)</f>
        <v>0</v>
      </c>
      <c r="DS32" s="2">
        <f>COUNTIF(INDEX('LINE PLAN'!$B$36:$GS$61,0,ROW()-3),DS$3)</f>
        <v>0</v>
      </c>
      <c r="DT32" s="2">
        <f>COUNTIF(INDEX('LINE PLAN'!$B$36:$GS$61,0,ROW()-3),DT$3)</f>
        <v>0</v>
      </c>
      <c r="DU32" s="2">
        <f>COUNTIF(INDEX('LINE PLAN'!$B$36:$GS$61,0,ROW()-3),DU$3)</f>
        <v>0</v>
      </c>
      <c r="DV32" s="2">
        <f>COUNTIF(INDEX('LINE PLAN'!$B$36:$GS$61,0,ROW()-3),DV$3)</f>
        <v>0</v>
      </c>
    </row>
    <row r="33" spans="1:126">
      <c r="A33" s="505" cm="1">
        <f t="array" ref="A33">INDEX('LINE PLAN'!$B$35:$GS$35,ROW()-3)</f>
        <v>46264</v>
      </c>
      <c r="B33" s="2">
        <f>SUMPRODUCT($CA33:$DV33,INDEX('MC MAP'!$DA$5:$EV$30,1,0))</f>
        <v>144.5</v>
      </c>
      <c r="C33" s="2">
        <f>SUMPRODUCT($CA33:$DV33,INDEX('MC MAP'!$DA$5:$EV$30,2,0))</f>
        <v>1</v>
      </c>
      <c r="D33" s="2">
        <f>SUMPRODUCT($CA33:$DV33,INDEX('MC MAP'!$DA$5:$EV$30,3,0))</f>
        <v>0</v>
      </c>
      <c r="E33" s="2">
        <f>SUMPRODUCT($CA33:$DV33,INDEX('MC MAP'!$DA$5:$EV$30,4,0))</f>
        <v>4</v>
      </c>
      <c r="F33" s="2">
        <f>SUMPRODUCT($CA33:$DV33,INDEX('MC MAP'!$DA$5:$EV$30,5,0))</f>
        <v>266</v>
      </c>
      <c r="G33" s="2">
        <f>SUMPRODUCT($CA33:$DV33,INDEX('MC MAP'!$DA$5:$EV$30,6,0))</f>
        <v>30</v>
      </c>
      <c r="H33" s="2">
        <f>SUMPRODUCT($CA33:$DV33,INDEX('MC MAP'!$DA$5:$EV$30,7,0))</f>
        <v>0</v>
      </c>
      <c r="I33" s="2">
        <f>SUMPRODUCT($CA33:$DV33,INDEX('MC MAP'!$DA$5:$EV$30,8,0))</f>
        <v>36</v>
      </c>
      <c r="J33" s="2">
        <f>SUMPRODUCT($CA33:$DV33,INDEX('MC MAP'!$DA$5:$EV$30,9,0))</f>
        <v>27.5</v>
      </c>
      <c r="K33" s="2">
        <f>SUMPRODUCT($CA33:$DV33,INDEX('MC MAP'!$DA$5:$EV$30,10,0))</f>
        <v>12</v>
      </c>
      <c r="L33" s="2">
        <f>SUMPRODUCT($CA33:$DV33,INDEX('MC MAP'!$DA$5:$EV$30,11,0))</f>
        <v>42.5</v>
      </c>
      <c r="M33" s="2">
        <f>SUMPRODUCT($CA33:$DV33,INDEX('MC MAP'!$DA$5:$EV$30,12,0))</f>
        <v>17</v>
      </c>
      <c r="N33" s="2">
        <f>SUMPRODUCT($CA33:$DV33,INDEX('MC MAP'!$DA$5:$EV$30,13,0))</f>
        <v>28.5</v>
      </c>
      <c r="O33" s="2">
        <f>SUMPRODUCT($CA33:$DV33,INDEX('MC MAP'!$DA$5:$EV$30,14,0))</f>
        <v>42</v>
      </c>
      <c r="P33" s="2">
        <f>SUMPRODUCT($CA33:$DV33,INDEX('MC MAP'!$DA$5:$EV$30,15,0))</f>
        <v>63</v>
      </c>
      <c r="Q33" s="2">
        <f>SUMPRODUCT($CA33:$DV33,INDEX('MC MAP'!$DA$5:$EV$30,16,0))</f>
        <v>0</v>
      </c>
      <c r="R33" s="2">
        <f>SUMPRODUCT($CA33:$DV33,INDEX('MC MAP'!$DA$5:$EV$30,17,0))</f>
        <v>3</v>
      </c>
      <c r="S33" s="2">
        <f>SUMPRODUCT($CA33:$DV33,INDEX('MC MAP'!$DA$5:$EV$30,18,0))</f>
        <v>0</v>
      </c>
      <c r="T33" s="2">
        <f>SUMPRODUCT($CA33:$DV33,INDEX('MC MAP'!$DA$5:$EV$30,19,0))</f>
        <v>15</v>
      </c>
      <c r="U33" s="2">
        <f>SUMPRODUCT($CA33:$DV33,INDEX('MC MAP'!$DA$5:$EV$30,20,0))</f>
        <v>32.5</v>
      </c>
      <c r="V33" s="2">
        <f>SUMPRODUCT($CA33:$DV33,INDEX('MC MAP'!$DA$5:$EV$30,21,0))</f>
        <v>2</v>
      </c>
      <c r="W33" s="2">
        <f>SUMPRODUCT($CA33:$DV33,INDEX('MC MAP'!$DA$5:$EV$30,22,0))</f>
        <v>2</v>
      </c>
      <c r="X33" s="2">
        <f>SUMPRODUCT($CA33:$DV33,INDEX('MC MAP'!$DA$5:$EV$30,23,0))</f>
        <v>0</v>
      </c>
      <c r="Y33" s="2">
        <f>SUMPRODUCT($CA33:$DV33,INDEX('MC MAP'!$DA$5:$EV$30,24,0))</f>
        <v>7.5</v>
      </c>
      <c r="Z33" s="2">
        <f>SUMPRODUCT($CA33:$DV33,INDEX('MC MAP'!$DA$5:$EV$30,25,0))</f>
        <v>0</v>
      </c>
      <c r="AA33" s="2">
        <f>SUMPRODUCT($CA33:$DV33,INDEX('MC MAP'!$DA$5:$EV$30,26,0))</f>
        <v>25</v>
      </c>
      <c r="AB33" s="2">
        <f>SUM($B33:$AA33)</f>
        <v>801</v>
      </c>
      <c r="AC33" s="2">
        <f>SUM($CA33:$DV33)+$AW33</f>
        <v>26</v>
      </c>
      <c r="AW33" s="2">
        <f>IF($A33=0,0,COUNTIF(INDEX('LINE PLAN'!$B$36:$GS$61,0,ROW()-3),"THERMAL - NOT SPECIFIED"))</f>
        <v>0</v>
      </c>
      <c r="AX33" s="506" cm="1">
        <f t="array" ref="AX33">IF(OR($AB33=0,UPPER($BS33)&lt;&gt;"Y"),0,SUMPRODUCT(--($B33:$AA33&gt;$B$205:$AA$205)))</f>
        <v>0</v>
      </c>
      <c r="AY33" s="507">
        <f>$A33</f>
        <v>46264</v>
      </c>
      <c r="AZ33" s="2">
        <f>$AB33</f>
        <v>801</v>
      </c>
      <c r="BA33" s="2">
        <f>'MC MASTER'!$C$29</f>
        <v>920</v>
      </c>
      <c r="BD33" s="516" t="s">
        <v>334</v>
      </c>
      <c r="BF33" s="542" cm="1">
        <f t="array" ref="BF33">SUMPRODUCT((MONTH($A$4:$A$203)=INDEX($BD$27:$BD$30,COLUMNS($BF$33:BF33)))*($A$4:$A$203&gt;0))</f>
        <v>31</v>
      </c>
      <c r="BG33" s="542" cm="1">
        <f t="array" ref="BG33">SUMPRODUCT((MONTH($A$4:$A$203)=INDEX($BD$27:$BD$30,COLUMNS($BF$33:BG33)))*($A$4:$A$203&gt;0))</f>
        <v>30</v>
      </c>
      <c r="BH33" s="542" cm="1">
        <f t="array" ref="BH33">SUMPRODUCT((MONTH($A$4:$A$203)=INDEX($BD$27:$BD$30,COLUMNS($BF$33:BH33)))*($A$4:$A$203&gt;0))</f>
        <v>31</v>
      </c>
      <c r="BI33" s="542" cm="1">
        <f t="array" ref="BI33">SUMPRODUCT((MONTH($A$4:$A$203)=INDEX($BD$27:$BD$30,COLUMNS($BF$33:BI33)))*($A$4:$A$203&gt;0))</f>
        <v>13</v>
      </c>
      <c r="BQ33" s="509">
        <f>$A33</f>
        <v>46264</v>
      </c>
      <c r="BR33" s="15" t="str">
        <f>TEXT($A33,"ddd")</f>
        <v>Sun</v>
      </c>
      <c r="BS33" s="547" t="s">
        <v>392</v>
      </c>
      <c r="BT33" s="15">
        <f>IF(UPPER($BS33)="Y",$AB33,0)</f>
        <v>0</v>
      </c>
      <c r="CA33" s="2">
        <f>COUNTIF(INDEX('LINE PLAN'!$B$36:$GS$61,0,ROW()-3),CA$3)</f>
        <v>1</v>
      </c>
      <c r="CB33" s="2">
        <f>COUNTIF(INDEX('LINE PLAN'!$B$36:$GS$61,0,ROW()-3),CB$3)</f>
        <v>1</v>
      </c>
      <c r="CC33" s="2">
        <f>COUNTIF(INDEX('LINE PLAN'!$B$36:$GS$61,0,ROW()-3),CC$3)</f>
        <v>2</v>
      </c>
      <c r="CD33" s="2">
        <f>COUNTIF(INDEX('LINE PLAN'!$B$36:$GS$61,0,ROW()-3),CD$3)</f>
        <v>1</v>
      </c>
      <c r="CE33" s="2">
        <f>COUNTIF(INDEX('LINE PLAN'!$B$36:$GS$61,0,ROW()-3),CE$3)</f>
        <v>3</v>
      </c>
      <c r="CF33" s="2">
        <f>COUNTIF(INDEX('LINE PLAN'!$B$36:$GS$61,0,ROW()-3),CF$3)</f>
        <v>3</v>
      </c>
      <c r="CG33" s="2">
        <f>COUNTIF(INDEX('LINE PLAN'!$B$36:$GS$61,0,ROW()-3),CG$3)</f>
        <v>2</v>
      </c>
      <c r="CH33" s="2">
        <f>COUNTIF(INDEX('LINE PLAN'!$B$36:$GS$61,0,ROW()-3),CH$3)</f>
        <v>3</v>
      </c>
      <c r="CI33" s="2">
        <f>COUNTIF(INDEX('LINE PLAN'!$B$36:$GS$61,0,ROW()-3),CI$3)</f>
        <v>1</v>
      </c>
      <c r="CJ33" s="2">
        <f>COUNTIF(INDEX('LINE PLAN'!$B$36:$GS$61,0,ROW()-3),CJ$3)</f>
        <v>3</v>
      </c>
      <c r="CK33" s="2">
        <f>COUNTIF(INDEX('LINE PLAN'!$B$36:$GS$61,0,ROW()-3),CK$3)</f>
        <v>2</v>
      </c>
      <c r="CL33" s="2">
        <f>COUNTIF(INDEX('LINE PLAN'!$B$36:$GS$61,0,ROW()-3),CL$3)</f>
        <v>0</v>
      </c>
      <c r="CM33" s="2">
        <f>COUNTIF(INDEX('LINE PLAN'!$B$36:$GS$61,0,ROW()-3),CM$3)</f>
        <v>0</v>
      </c>
      <c r="CN33" s="2">
        <f>COUNTIF(INDEX('LINE PLAN'!$B$36:$GS$61,0,ROW()-3),CN$3)</f>
        <v>0</v>
      </c>
      <c r="CO33" s="2">
        <f>COUNTIF(INDEX('LINE PLAN'!$B$36:$GS$61,0,ROW()-3),CO$3)</f>
        <v>1</v>
      </c>
      <c r="CP33" s="2">
        <f>COUNTIF(INDEX('LINE PLAN'!$B$36:$GS$61,0,ROW()-3),CP$3)</f>
        <v>2</v>
      </c>
      <c r="CQ33" s="2">
        <f>COUNTIF(INDEX('LINE PLAN'!$B$36:$GS$61,0,ROW()-3),CQ$3)</f>
        <v>0</v>
      </c>
      <c r="CR33" s="2">
        <f>COUNTIF(INDEX('LINE PLAN'!$B$36:$GS$61,0,ROW()-3),CR$3)</f>
        <v>1</v>
      </c>
      <c r="CS33" s="2">
        <f>COUNTIF(INDEX('LINE PLAN'!$B$36:$GS$61,0,ROW()-3),CS$3)</f>
        <v>0</v>
      </c>
      <c r="CT33" s="2">
        <f>COUNTIF(INDEX('LINE PLAN'!$B$36:$GS$61,0,ROW()-3),CT$3)</f>
        <v>0</v>
      </c>
      <c r="CU33" s="2">
        <f>COUNTIF(INDEX('LINE PLAN'!$B$36:$GS$61,0,ROW()-3),CU$3)</f>
        <v>0</v>
      </c>
      <c r="CV33" s="2">
        <f>COUNTIF(INDEX('LINE PLAN'!$B$36:$GS$61,0,ROW()-3),CV$3)</f>
        <v>0</v>
      </c>
      <c r="CW33" s="2">
        <f>COUNTIF(INDEX('LINE PLAN'!$B$36:$GS$61,0,ROW()-3),CW$3)</f>
        <v>0</v>
      </c>
      <c r="CX33" s="2">
        <f>COUNTIF(INDEX('LINE PLAN'!$B$36:$GS$61,0,ROW()-3),CX$3)</f>
        <v>0</v>
      </c>
      <c r="CY33" s="2">
        <f>COUNTIF(INDEX('LINE PLAN'!$B$36:$GS$61,0,ROW()-3),CY$3)</f>
        <v>0</v>
      </c>
      <c r="CZ33" s="2">
        <f>COUNTIF(INDEX('LINE PLAN'!$B$36:$GS$61,0,ROW()-3),CZ$3)</f>
        <v>0</v>
      </c>
      <c r="DA33" s="2">
        <f>COUNTIF(INDEX('LINE PLAN'!$B$36:$GS$61,0,ROW()-3),DA$3)</f>
        <v>0</v>
      </c>
      <c r="DB33" s="2">
        <f>COUNTIF(INDEX('LINE PLAN'!$B$36:$GS$61,0,ROW()-3),DB$3)</f>
        <v>0</v>
      </c>
      <c r="DC33" s="2">
        <f>COUNTIF(INDEX('LINE PLAN'!$B$36:$GS$61,0,ROW()-3),DC$3)</f>
        <v>0</v>
      </c>
      <c r="DD33" s="2">
        <f>COUNTIF(INDEX('LINE PLAN'!$B$36:$GS$61,0,ROW()-3),DD$3)</f>
        <v>0</v>
      </c>
      <c r="DE33" s="2">
        <f>COUNTIF(INDEX('LINE PLAN'!$B$36:$GS$61,0,ROW()-3),DE$3)</f>
        <v>0</v>
      </c>
      <c r="DF33" s="2">
        <f>COUNTIF(INDEX('LINE PLAN'!$B$36:$GS$61,0,ROW()-3),DF$3)</f>
        <v>0</v>
      </c>
      <c r="DG33" s="2">
        <f>COUNTIF(INDEX('LINE PLAN'!$B$36:$GS$61,0,ROW()-3),DG$3)</f>
        <v>0</v>
      </c>
      <c r="DH33" s="2">
        <f>COUNTIF(INDEX('LINE PLAN'!$B$36:$GS$61,0,ROW()-3),DH$3)</f>
        <v>0</v>
      </c>
      <c r="DI33" s="2">
        <f>COUNTIF(INDEX('LINE PLAN'!$B$36:$GS$61,0,ROW()-3),DI$3)</f>
        <v>0</v>
      </c>
      <c r="DJ33" s="2">
        <f>COUNTIF(INDEX('LINE PLAN'!$B$36:$GS$61,0,ROW()-3),DJ$3)</f>
        <v>0</v>
      </c>
      <c r="DK33" s="2">
        <f>COUNTIF(INDEX('LINE PLAN'!$B$36:$GS$61,0,ROW()-3),DK$3)</f>
        <v>0</v>
      </c>
      <c r="DL33" s="2">
        <f>COUNTIF(INDEX('LINE PLAN'!$B$36:$GS$61,0,ROW()-3),DL$3)</f>
        <v>0</v>
      </c>
      <c r="DM33" s="2">
        <f>COUNTIF(INDEX('LINE PLAN'!$B$36:$GS$61,0,ROW()-3),DM$3)</f>
        <v>0</v>
      </c>
      <c r="DN33" s="2">
        <f>COUNTIF(INDEX('LINE PLAN'!$B$36:$GS$61,0,ROW()-3),DN$3)</f>
        <v>0</v>
      </c>
      <c r="DO33" s="2">
        <f>COUNTIF(INDEX('LINE PLAN'!$B$36:$GS$61,0,ROW()-3),DO$3)</f>
        <v>0</v>
      </c>
      <c r="DP33" s="2">
        <f>COUNTIF(INDEX('LINE PLAN'!$B$36:$GS$61,0,ROW()-3),DP$3)</f>
        <v>0</v>
      </c>
      <c r="DQ33" s="2">
        <f>COUNTIF(INDEX('LINE PLAN'!$B$36:$GS$61,0,ROW()-3),DQ$3)</f>
        <v>0</v>
      </c>
      <c r="DR33" s="2">
        <f>COUNTIF(INDEX('LINE PLAN'!$B$36:$GS$61,0,ROW()-3),DR$3)</f>
        <v>0</v>
      </c>
      <c r="DS33" s="2">
        <f>COUNTIF(INDEX('LINE PLAN'!$B$36:$GS$61,0,ROW()-3),DS$3)</f>
        <v>0</v>
      </c>
      <c r="DT33" s="2">
        <f>COUNTIF(INDEX('LINE PLAN'!$B$36:$GS$61,0,ROW()-3),DT$3)</f>
        <v>0</v>
      </c>
      <c r="DU33" s="2">
        <f>COUNTIF(INDEX('LINE PLAN'!$B$36:$GS$61,0,ROW()-3),DU$3)</f>
        <v>0</v>
      </c>
      <c r="DV33" s="2">
        <f>COUNTIF(INDEX('LINE PLAN'!$B$36:$GS$61,0,ROW()-3),DV$3)</f>
        <v>0</v>
      </c>
    </row>
    <row r="34" spans="1:126">
      <c r="A34" s="505" cm="1">
        <f t="array" ref="A34">INDEX('LINE PLAN'!$B$35:$GS$35,ROW()-3)</f>
        <v>46265</v>
      </c>
      <c r="B34" s="2">
        <f>SUMPRODUCT($CA34:$DV34,INDEX('MC MAP'!$DA$5:$EV$30,1,0))</f>
        <v>144.5</v>
      </c>
      <c r="C34" s="2">
        <f>SUMPRODUCT($CA34:$DV34,INDEX('MC MAP'!$DA$5:$EV$30,2,0))</f>
        <v>1</v>
      </c>
      <c r="D34" s="2">
        <f>SUMPRODUCT($CA34:$DV34,INDEX('MC MAP'!$DA$5:$EV$30,3,0))</f>
        <v>0</v>
      </c>
      <c r="E34" s="2">
        <f>SUMPRODUCT($CA34:$DV34,INDEX('MC MAP'!$DA$5:$EV$30,4,0))</f>
        <v>4</v>
      </c>
      <c r="F34" s="2">
        <f>SUMPRODUCT($CA34:$DV34,INDEX('MC MAP'!$DA$5:$EV$30,5,0))</f>
        <v>266</v>
      </c>
      <c r="G34" s="2">
        <f>SUMPRODUCT($CA34:$DV34,INDEX('MC MAP'!$DA$5:$EV$30,6,0))</f>
        <v>30</v>
      </c>
      <c r="H34" s="2">
        <f>SUMPRODUCT($CA34:$DV34,INDEX('MC MAP'!$DA$5:$EV$30,7,0))</f>
        <v>0</v>
      </c>
      <c r="I34" s="2">
        <f>SUMPRODUCT($CA34:$DV34,INDEX('MC MAP'!$DA$5:$EV$30,8,0))</f>
        <v>36</v>
      </c>
      <c r="J34" s="2">
        <f>SUMPRODUCT($CA34:$DV34,INDEX('MC MAP'!$DA$5:$EV$30,9,0))</f>
        <v>27.5</v>
      </c>
      <c r="K34" s="2">
        <f>SUMPRODUCT($CA34:$DV34,INDEX('MC MAP'!$DA$5:$EV$30,10,0))</f>
        <v>12</v>
      </c>
      <c r="L34" s="2">
        <f>SUMPRODUCT($CA34:$DV34,INDEX('MC MAP'!$DA$5:$EV$30,11,0))</f>
        <v>42.5</v>
      </c>
      <c r="M34" s="2">
        <f>SUMPRODUCT($CA34:$DV34,INDEX('MC MAP'!$DA$5:$EV$30,12,0))</f>
        <v>17</v>
      </c>
      <c r="N34" s="2">
        <f>SUMPRODUCT($CA34:$DV34,INDEX('MC MAP'!$DA$5:$EV$30,13,0))</f>
        <v>28.5</v>
      </c>
      <c r="O34" s="2">
        <f>SUMPRODUCT($CA34:$DV34,INDEX('MC MAP'!$DA$5:$EV$30,14,0))</f>
        <v>42</v>
      </c>
      <c r="P34" s="2">
        <f>SUMPRODUCT($CA34:$DV34,INDEX('MC MAP'!$DA$5:$EV$30,15,0))</f>
        <v>63</v>
      </c>
      <c r="Q34" s="2">
        <f>SUMPRODUCT($CA34:$DV34,INDEX('MC MAP'!$DA$5:$EV$30,16,0))</f>
        <v>0</v>
      </c>
      <c r="R34" s="2">
        <f>SUMPRODUCT($CA34:$DV34,INDEX('MC MAP'!$DA$5:$EV$30,17,0))</f>
        <v>3</v>
      </c>
      <c r="S34" s="2">
        <f>SUMPRODUCT($CA34:$DV34,INDEX('MC MAP'!$DA$5:$EV$30,18,0))</f>
        <v>0</v>
      </c>
      <c r="T34" s="2">
        <f>SUMPRODUCT($CA34:$DV34,INDEX('MC MAP'!$DA$5:$EV$30,19,0))</f>
        <v>15</v>
      </c>
      <c r="U34" s="2">
        <f>SUMPRODUCT($CA34:$DV34,INDEX('MC MAP'!$DA$5:$EV$30,20,0))</f>
        <v>32.5</v>
      </c>
      <c r="V34" s="2">
        <f>SUMPRODUCT($CA34:$DV34,INDEX('MC MAP'!$DA$5:$EV$30,21,0))</f>
        <v>2</v>
      </c>
      <c r="W34" s="2">
        <f>SUMPRODUCT($CA34:$DV34,INDEX('MC MAP'!$DA$5:$EV$30,22,0))</f>
        <v>2</v>
      </c>
      <c r="X34" s="2">
        <f>SUMPRODUCT($CA34:$DV34,INDEX('MC MAP'!$DA$5:$EV$30,23,0))</f>
        <v>0</v>
      </c>
      <c r="Y34" s="2">
        <f>SUMPRODUCT($CA34:$DV34,INDEX('MC MAP'!$DA$5:$EV$30,24,0))</f>
        <v>7.5</v>
      </c>
      <c r="Z34" s="2">
        <f>SUMPRODUCT($CA34:$DV34,INDEX('MC MAP'!$DA$5:$EV$30,25,0))</f>
        <v>0</v>
      </c>
      <c r="AA34" s="2">
        <f>SUMPRODUCT($CA34:$DV34,INDEX('MC MAP'!$DA$5:$EV$30,26,0))</f>
        <v>25</v>
      </c>
      <c r="AB34" s="2">
        <f>SUM($B34:$AA34)</f>
        <v>801</v>
      </c>
      <c r="AC34" s="2">
        <f>SUM($CA34:$DV34)+$AW34</f>
        <v>26</v>
      </c>
      <c r="AW34" s="2">
        <f>IF($A34=0,0,COUNTIF(INDEX('LINE PLAN'!$B$36:$GS$61,0,ROW()-3),"THERMAL - NOT SPECIFIED"))</f>
        <v>0</v>
      </c>
      <c r="AX34" s="506" cm="1">
        <f t="array" ref="AX34">IF(OR($AB34=0,UPPER($BS34)&lt;&gt;"Y"),0,SUMPRODUCT(--($B34:$AA34&gt;$B$205:$AA$205)))</f>
        <v>4</v>
      </c>
      <c r="AY34" s="507">
        <f>$A34</f>
        <v>46265</v>
      </c>
      <c r="AZ34" s="2">
        <f>$AB34</f>
        <v>801</v>
      </c>
      <c r="BA34" s="2">
        <f>'MC MASTER'!$C$29</f>
        <v>920</v>
      </c>
      <c r="BD34" s="537" t="s">
        <v>228</v>
      </c>
      <c r="BE34" s="517" t="s">
        <v>209</v>
      </c>
      <c r="BF34" s="517" t="str">
        <f>TEXT(INDEX($A$4:$A$203,BF$32),"mmm")</f>
        <v>Aug</v>
      </c>
      <c r="BG34" s="517" t="str">
        <f>TEXT(INDEX($A$4:$A$203,BG$32),"mmm")</f>
        <v>Sep</v>
      </c>
      <c r="BH34" s="517" t="str">
        <f>TEXT(INDEX($A$4:$A$203,BH$32),"mmm")</f>
        <v>Oct</v>
      </c>
      <c r="BI34" s="517" t="str">
        <f>TEXT(INDEX($A$4:$A$203,BI$32),"mmm")</f>
        <v>Nov</v>
      </c>
      <c r="BJ34" s="517" t="s">
        <v>331</v>
      </c>
      <c r="BK34" s="517" t="s">
        <v>332</v>
      </c>
      <c r="BQ34" s="509">
        <f>$A34</f>
        <v>46265</v>
      </c>
      <c r="BR34" s="15" t="str">
        <f>TEXT($A34,"ddd")</f>
        <v>Mon</v>
      </c>
      <c r="BS34" s="547" t="s">
        <v>391</v>
      </c>
      <c r="BT34" s="15">
        <f>IF(UPPER($BS34)="Y",$AB34,0)</f>
        <v>801</v>
      </c>
      <c r="CA34" s="2">
        <f>COUNTIF(INDEX('LINE PLAN'!$B$36:$GS$61,0,ROW()-3),CA$3)</f>
        <v>1</v>
      </c>
      <c r="CB34" s="2">
        <f>COUNTIF(INDEX('LINE PLAN'!$B$36:$GS$61,0,ROW()-3),CB$3)</f>
        <v>1</v>
      </c>
      <c r="CC34" s="2">
        <f>COUNTIF(INDEX('LINE PLAN'!$B$36:$GS$61,0,ROW()-3),CC$3)</f>
        <v>2</v>
      </c>
      <c r="CD34" s="2">
        <f>COUNTIF(INDEX('LINE PLAN'!$B$36:$GS$61,0,ROW()-3),CD$3)</f>
        <v>1</v>
      </c>
      <c r="CE34" s="2">
        <f>COUNTIF(INDEX('LINE PLAN'!$B$36:$GS$61,0,ROW()-3),CE$3)</f>
        <v>3</v>
      </c>
      <c r="CF34" s="2">
        <f>COUNTIF(INDEX('LINE PLAN'!$B$36:$GS$61,0,ROW()-3),CF$3)</f>
        <v>3</v>
      </c>
      <c r="CG34" s="2">
        <f>COUNTIF(INDEX('LINE PLAN'!$B$36:$GS$61,0,ROW()-3),CG$3)</f>
        <v>2</v>
      </c>
      <c r="CH34" s="2">
        <f>COUNTIF(INDEX('LINE PLAN'!$B$36:$GS$61,0,ROW()-3),CH$3)</f>
        <v>3</v>
      </c>
      <c r="CI34" s="2">
        <f>COUNTIF(INDEX('LINE PLAN'!$B$36:$GS$61,0,ROW()-3),CI$3)</f>
        <v>1</v>
      </c>
      <c r="CJ34" s="2">
        <f>COUNTIF(INDEX('LINE PLAN'!$B$36:$GS$61,0,ROW()-3),CJ$3)</f>
        <v>3</v>
      </c>
      <c r="CK34" s="2">
        <f>COUNTIF(INDEX('LINE PLAN'!$B$36:$GS$61,0,ROW()-3),CK$3)</f>
        <v>2</v>
      </c>
      <c r="CL34" s="2">
        <f>COUNTIF(INDEX('LINE PLAN'!$B$36:$GS$61,0,ROW()-3),CL$3)</f>
        <v>0</v>
      </c>
      <c r="CM34" s="2">
        <f>COUNTIF(INDEX('LINE PLAN'!$B$36:$GS$61,0,ROW()-3),CM$3)</f>
        <v>0</v>
      </c>
      <c r="CN34" s="2">
        <f>COUNTIF(INDEX('LINE PLAN'!$B$36:$GS$61,0,ROW()-3),CN$3)</f>
        <v>0</v>
      </c>
      <c r="CO34" s="2">
        <f>COUNTIF(INDEX('LINE PLAN'!$B$36:$GS$61,0,ROW()-3),CO$3)</f>
        <v>1</v>
      </c>
      <c r="CP34" s="2">
        <f>COUNTIF(INDEX('LINE PLAN'!$B$36:$GS$61,0,ROW()-3),CP$3)</f>
        <v>2</v>
      </c>
      <c r="CQ34" s="2">
        <f>COUNTIF(INDEX('LINE PLAN'!$B$36:$GS$61,0,ROW()-3),CQ$3)</f>
        <v>0</v>
      </c>
      <c r="CR34" s="2">
        <f>COUNTIF(INDEX('LINE PLAN'!$B$36:$GS$61,0,ROW()-3),CR$3)</f>
        <v>1</v>
      </c>
      <c r="CS34" s="2">
        <f>COUNTIF(INDEX('LINE PLAN'!$B$36:$GS$61,0,ROW()-3),CS$3)</f>
        <v>0</v>
      </c>
      <c r="CT34" s="2">
        <f>COUNTIF(INDEX('LINE PLAN'!$B$36:$GS$61,0,ROW()-3),CT$3)</f>
        <v>0</v>
      </c>
      <c r="CU34" s="2">
        <f>COUNTIF(INDEX('LINE PLAN'!$B$36:$GS$61,0,ROW()-3),CU$3)</f>
        <v>0</v>
      </c>
      <c r="CV34" s="2">
        <f>COUNTIF(INDEX('LINE PLAN'!$B$36:$GS$61,0,ROW()-3),CV$3)</f>
        <v>0</v>
      </c>
      <c r="CW34" s="2">
        <f>COUNTIF(INDEX('LINE PLAN'!$B$36:$GS$61,0,ROW()-3),CW$3)</f>
        <v>0</v>
      </c>
      <c r="CX34" s="2">
        <f>COUNTIF(INDEX('LINE PLAN'!$B$36:$GS$61,0,ROW()-3),CX$3)</f>
        <v>0</v>
      </c>
      <c r="CY34" s="2">
        <f>COUNTIF(INDEX('LINE PLAN'!$B$36:$GS$61,0,ROW()-3),CY$3)</f>
        <v>0</v>
      </c>
      <c r="CZ34" s="2">
        <f>COUNTIF(INDEX('LINE PLAN'!$B$36:$GS$61,0,ROW()-3),CZ$3)</f>
        <v>0</v>
      </c>
      <c r="DA34" s="2">
        <f>COUNTIF(INDEX('LINE PLAN'!$B$36:$GS$61,0,ROW()-3),DA$3)</f>
        <v>0</v>
      </c>
      <c r="DB34" s="2">
        <f>COUNTIF(INDEX('LINE PLAN'!$B$36:$GS$61,0,ROW()-3),DB$3)</f>
        <v>0</v>
      </c>
      <c r="DC34" s="2">
        <f>COUNTIF(INDEX('LINE PLAN'!$B$36:$GS$61,0,ROW()-3),DC$3)</f>
        <v>0</v>
      </c>
      <c r="DD34" s="2">
        <f>COUNTIF(INDEX('LINE PLAN'!$B$36:$GS$61,0,ROW()-3),DD$3)</f>
        <v>0</v>
      </c>
      <c r="DE34" s="2">
        <f>COUNTIF(INDEX('LINE PLAN'!$B$36:$GS$61,0,ROW()-3),DE$3)</f>
        <v>0</v>
      </c>
      <c r="DF34" s="2">
        <f>COUNTIF(INDEX('LINE PLAN'!$B$36:$GS$61,0,ROW()-3),DF$3)</f>
        <v>0</v>
      </c>
      <c r="DG34" s="2">
        <f>COUNTIF(INDEX('LINE PLAN'!$B$36:$GS$61,0,ROW()-3),DG$3)</f>
        <v>0</v>
      </c>
      <c r="DH34" s="2">
        <f>COUNTIF(INDEX('LINE PLAN'!$B$36:$GS$61,0,ROW()-3),DH$3)</f>
        <v>0</v>
      </c>
      <c r="DI34" s="2">
        <f>COUNTIF(INDEX('LINE PLAN'!$B$36:$GS$61,0,ROW()-3),DI$3)</f>
        <v>0</v>
      </c>
      <c r="DJ34" s="2">
        <f>COUNTIF(INDEX('LINE PLAN'!$B$36:$GS$61,0,ROW()-3),DJ$3)</f>
        <v>0</v>
      </c>
      <c r="DK34" s="2">
        <f>COUNTIF(INDEX('LINE PLAN'!$B$36:$GS$61,0,ROW()-3),DK$3)</f>
        <v>0</v>
      </c>
      <c r="DL34" s="2">
        <f>COUNTIF(INDEX('LINE PLAN'!$B$36:$GS$61,0,ROW()-3),DL$3)</f>
        <v>0</v>
      </c>
      <c r="DM34" s="2">
        <f>COUNTIF(INDEX('LINE PLAN'!$B$36:$GS$61,0,ROW()-3),DM$3)</f>
        <v>0</v>
      </c>
      <c r="DN34" s="2">
        <f>COUNTIF(INDEX('LINE PLAN'!$B$36:$GS$61,0,ROW()-3),DN$3)</f>
        <v>0</v>
      </c>
      <c r="DO34" s="2">
        <f>COUNTIF(INDEX('LINE PLAN'!$B$36:$GS$61,0,ROW()-3),DO$3)</f>
        <v>0</v>
      </c>
      <c r="DP34" s="2">
        <f>COUNTIF(INDEX('LINE PLAN'!$B$36:$GS$61,0,ROW()-3),DP$3)</f>
        <v>0</v>
      </c>
      <c r="DQ34" s="2">
        <f>COUNTIF(INDEX('LINE PLAN'!$B$36:$GS$61,0,ROW()-3),DQ$3)</f>
        <v>0</v>
      </c>
      <c r="DR34" s="2">
        <f>COUNTIF(INDEX('LINE PLAN'!$B$36:$GS$61,0,ROW()-3),DR$3)</f>
        <v>0</v>
      </c>
      <c r="DS34" s="2">
        <f>COUNTIF(INDEX('LINE PLAN'!$B$36:$GS$61,0,ROW()-3),DS$3)</f>
        <v>0</v>
      </c>
      <c r="DT34" s="2">
        <f>COUNTIF(INDEX('LINE PLAN'!$B$36:$GS$61,0,ROW()-3),DT$3)</f>
        <v>0</v>
      </c>
      <c r="DU34" s="2">
        <f>COUNTIF(INDEX('LINE PLAN'!$B$36:$GS$61,0,ROW()-3),DU$3)</f>
        <v>0</v>
      </c>
      <c r="DV34" s="2">
        <f>COUNTIF(INDEX('LINE PLAN'!$B$36:$GS$61,0,ROW()-3),DV$3)</f>
        <v>0</v>
      </c>
    </row>
    <row r="35" spans="1:126">
      <c r="A35" s="505" cm="1">
        <f t="array" ref="A35">INDEX('LINE PLAN'!$B$35:$GS$35,ROW()-3)</f>
        <v>46266</v>
      </c>
      <c r="B35" s="2">
        <f>SUMPRODUCT($CA35:$DV35,INDEX('MC MAP'!$DA$5:$EV$30,1,0))</f>
        <v>144.5</v>
      </c>
      <c r="C35" s="2">
        <f>SUMPRODUCT($CA35:$DV35,INDEX('MC MAP'!$DA$5:$EV$30,2,0))</f>
        <v>1</v>
      </c>
      <c r="D35" s="2">
        <f>SUMPRODUCT($CA35:$DV35,INDEX('MC MAP'!$DA$5:$EV$30,3,0))</f>
        <v>0</v>
      </c>
      <c r="E35" s="2">
        <f>SUMPRODUCT($CA35:$DV35,INDEX('MC MAP'!$DA$5:$EV$30,4,0))</f>
        <v>4</v>
      </c>
      <c r="F35" s="2">
        <f>SUMPRODUCT($CA35:$DV35,INDEX('MC MAP'!$DA$5:$EV$30,5,0))</f>
        <v>266</v>
      </c>
      <c r="G35" s="2">
        <f>SUMPRODUCT($CA35:$DV35,INDEX('MC MAP'!$DA$5:$EV$30,6,0))</f>
        <v>30</v>
      </c>
      <c r="H35" s="2">
        <f>SUMPRODUCT($CA35:$DV35,INDEX('MC MAP'!$DA$5:$EV$30,7,0))</f>
        <v>0</v>
      </c>
      <c r="I35" s="2">
        <f>SUMPRODUCT($CA35:$DV35,INDEX('MC MAP'!$DA$5:$EV$30,8,0))</f>
        <v>36</v>
      </c>
      <c r="J35" s="2">
        <f>SUMPRODUCT($CA35:$DV35,INDEX('MC MAP'!$DA$5:$EV$30,9,0))</f>
        <v>27.5</v>
      </c>
      <c r="K35" s="2">
        <f>SUMPRODUCT($CA35:$DV35,INDEX('MC MAP'!$DA$5:$EV$30,10,0))</f>
        <v>12</v>
      </c>
      <c r="L35" s="2">
        <f>SUMPRODUCT($CA35:$DV35,INDEX('MC MAP'!$DA$5:$EV$30,11,0))</f>
        <v>42.5</v>
      </c>
      <c r="M35" s="2">
        <f>SUMPRODUCT($CA35:$DV35,INDEX('MC MAP'!$DA$5:$EV$30,12,0))</f>
        <v>17</v>
      </c>
      <c r="N35" s="2">
        <f>SUMPRODUCT($CA35:$DV35,INDEX('MC MAP'!$DA$5:$EV$30,13,0))</f>
        <v>28.5</v>
      </c>
      <c r="O35" s="2">
        <f>SUMPRODUCT($CA35:$DV35,INDEX('MC MAP'!$DA$5:$EV$30,14,0))</f>
        <v>42</v>
      </c>
      <c r="P35" s="2">
        <f>SUMPRODUCT($CA35:$DV35,INDEX('MC MAP'!$DA$5:$EV$30,15,0))</f>
        <v>63</v>
      </c>
      <c r="Q35" s="2">
        <f>SUMPRODUCT($CA35:$DV35,INDEX('MC MAP'!$DA$5:$EV$30,16,0))</f>
        <v>0</v>
      </c>
      <c r="R35" s="2">
        <f>SUMPRODUCT($CA35:$DV35,INDEX('MC MAP'!$DA$5:$EV$30,17,0))</f>
        <v>3</v>
      </c>
      <c r="S35" s="2">
        <f>SUMPRODUCT($CA35:$DV35,INDEX('MC MAP'!$DA$5:$EV$30,18,0))</f>
        <v>0</v>
      </c>
      <c r="T35" s="2">
        <f>SUMPRODUCT($CA35:$DV35,INDEX('MC MAP'!$DA$5:$EV$30,19,0))</f>
        <v>15</v>
      </c>
      <c r="U35" s="2">
        <f>SUMPRODUCT($CA35:$DV35,INDEX('MC MAP'!$DA$5:$EV$30,20,0))</f>
        <v>32.5</v>
      </c>
      <c r="V35" s="2">
        <f>SUMPRODUCT($CA35:$DV35,INDEX('MC MAP'!$DA$5:$EV$30,21,0))</f>
        <v>2</v>
      </c>
      <c r="W35" s="2">
        <f>SUMPRODUCT($CA35:$DV35,INDEX('MC MAP'!$DA$5:$EV$30,22,0))</f>
        <v>2</v>
      </c>
      <c r="X35" s="2">
        <f>SUMPRODUCT($CA35:$DV35,INDEX('MC MAP'!$DA$5:$EV$30,23,0))</f>
        <v>0</v>
      </c>
      <c r="Y35" s="2">
        <f>SUMPRODUCT($CA35:$DV35,INDEX('MC MAP'!$DA$5:$EV$30,24,0))</f>
        <v>7.5</v>
      </c>
      <c r="Z35" s="2">
        <f>SUMPRODUCT($CA35:$DV35,INDEX('MC MAP'!$DA$5:$EV$30,25,0))</f>
        <v>0</v>
      </c>
      <c r="AA35" s="2">
        <f>SUMPRODUCT($CA35:$DV35,INDEX('MC MAP'!$DA$5:$EV$30,26,0))</f>
        <v>25</v>
      </c>
      <c r="AB35" s="2">
        <f>SUM($B35:$AA35)</f>
        <v>801</v>
      </c>
      <c r="AC35" s="2">
        <f>SUM($CA35:$DV35)+$AW35</f>
        <v>26</v>
      </c>
      <c r="AW35" s="2">
        <f>IF($A35=0,0,COUNTIF(INDEX('LINE PLAN'!$B$36:$GS$61,0,ROW()-3),"THERMAL - NOT SPECIFIED"))</f>
        <v>0</v>
      </c>
      <c r="AX35" s="506" cm="1">
        <f t="array" ref="AX35">IF(OR($AB35=0,UPPER($BS35)&lt;&gt;"Y"),0,SUMPRODUCT(--($B35:$AA35&gt;$B$205:$AA$205)))</f>
        <v>4</v>
      </c>
      <c r="AY35" s="507">
        <f>$A35</f>
        <v>46266</v>
      </c>
      <c r="AZ35" s="2">
        <f>$AB35</f>
        <v>801</v>
      </c>
      <c r="BA35" s="2">
        <f>'MC MASTER'!$C$29</f>
        <v>920</v>
      </c>
      <c r="BD35" s="543" t="str">
        <f>INDEX('MC MASTER'!$B$3:$B$28,ROW()-34)</f>
        <v>SNLS</v>
      </c>
      <c r="BE35" s="521">
        <f>INDEX('MC MASTER'!$C$3:$C$28,ROW()-34)</f>
        <v>185</v>
      </c>
      <c r="BF35" s="522">
        <f ca="1">MAX(OFFSET($B$4,BF$32-1,MATCH($BD35,$B$3:$AA$3,0)-1,BF$33,1))</f>
        <v>152</v>
      </c>
      <c r="BG35" s="529">
        <f ca="1">MAX(OFFSET($B$4,BG$32-1,MATCH($BD35,$B$3:$AA$3,0)-1,BG$33,1))</f>
        <v>145.5</v>
      </c>
      <c r="BH35" s="529">
        <f ca="1">MAX(OFFSET($B$4,BH$32-1,MATCH($BD35,$B$3:$AA$3,0)-1,BH$33,1))</f>
        <v>132</v>
      </c>
      <c r="BI35" s="529">
        <f ca="1">MAX(OFFSET($B$4,BI$32-1,MATCH($BD35,$B$3:$AA$3,0)-1,BI$33,1))</f>
        <v>0</v>
      </c>
      <c r="BJ35" s="544" t="str">
        <f ca="1">IFERROR(INDEX($BF$34:$BI$34,MATCH(MAX($BF35:$BI35),$BF35:$BI35,0)),"")</f>
        <v>Aug</v>
      </c>
      <c r="BK35" s="523">
        <f ca="1">$BE35-MAX($BF35:$BI35)</f>
        <v>33</v>
      </c>
      <c r="BQ35" s="509">
        <f>$A35</f>
        <v>46266</v>
      </c>
      <c r="BR35" s="15" t="str">
        <f>TEXT($A35,"ddd")</f>
        <v>Tue</v>
      </c>
      <c r="BS35" s="547" t="s">
        <v>391</v>
      </c>
      <c r="BT35" s="15">
        <f>IF(UPPER($BS35)="Y",$AB35,0)</f>
        <v>801</v>
      </c>
      <c r="CA35" s="2">
        <f>COUNTIF(INDEX('LINE PLAN'!$B$36:$GS$61,0,ROW()-3),CA$3)</f>
        <v>1</v>
      </c>
      <c r="CB35" s="2">
        <f>COUNTIF(INDEX('LINE PLAN'!$B$36:$GS$61,0,ROW()-3),CB$3)</f>
        <v>1</v>
      </c>
      <c r="CC35" s="2">
        <f>COUNTIF(INDEX('LINE PLAN'!$B$36:$GS$61,0,ROW()-3),CC$3)</f>
        <v>2</v>
      </c>
      <c r="CD35" s="2">
        <f>COUNTIF(INDEX('LINE PLAN'!$B$36:$GS$61,0,ROW()-3),CD$3)</f>
        <v>1</v>
      </c>
      <c r="CE35" s="2">
        <f>COUNTIF(INDEX('LINE PLAN'!$B$36:$GS$61,0,ROW()-3),CE$3)</f>
        <v>3</v>
      </c>
      <c r="CF35" s="2">
        <f>COUNTIF(INDEX('LINE PLAN'!$B$36:$GS$61,0,ROW()-3),CF$3)</f>
        <v>3</v>
      </c>
      <c r="CG35" s="2">
        <f>COUNTIF(INDEX('LINE PLAN'!$B$36:$GS$61,0,ROW()-3),CG$3)</f>
        <v>2</v>
      </c>
      <c r="CH35" s="2">
        <f>COUNTIF(INDEX('LINE PLAN'!$B$36:$GS$61,0,ROW()-3),CH$3)</f>
        <v>3</v>
      </c>
      <c r="CI35" s="2">
        <f>COUNTIF(INDEX('LINE PLAN'!$B$36:$GS$61,0,ROW()-3),CI$3)</f>
        <v>1</v>
      </c>
      <c r="CJ35" s="2">
        <f>COUNTIF(INDEX('LINE PLAN'!$B$36:$GS$61,0,ROW()-3),CJ$3)</f>
        <v>3</v>
      </c>
      <c r="CK35" s="2">
        <f>COUNTIF(INDEX('LINE PLAN'!$B$36:$GS$61,0,ROW()-3),CK$3)</f>
        <v>2</v>
      </c>
      <c r="CL35" s="2">
        <f>COUNTIF(INDEX('LINE PLAN'!$B$36:$GS$61,0,ROW()-3),CL$3)</f>
        <v>0</v>
      </c>
      <c r="CM35" s="2">
        <f>COUNTIF(INDEX('LINE PLAN'!$B$36:$GS$61,0,ROW()-3),CM$3)</f>
        <v>0</v>
      </c>
      <c r="CN35" s="2">
        <f>COUNTIF(INDEX('LINE PLAN'!$B$36:$GS$61,0,ROW()-3),CN$3)</f>
        <v>0</v>
      </c>
      <c r="CO35" s="2">
        <f>COUNTIF(INDEX('LINE PLAN'!$B$36:$GS$61,0,ROW()-3),CO$3)</f>
        <v>1</v>
      </c>
      <c r="CP35" s="2">
        <f>COUNTIF(INDEX('LINE PLAN'!$B$36:$GS$61,0,ROW()-3),CP$3)</f>
        <v>2</v>
      </c>
      <c r="CQ35" s="2">
        <f>COUNTIF(INDEX('LINE PLAN'!$B$36:$GS$61,0,ROW()-3),CQ$3)</f>
        <v>0</v>
      </c>
      <c r="CR35" s="2">
        <f>COUNTIF(INDEX('LINE PLAN'!$B$36:$GS$61,0,ROW()-3),CR$3)</f>
        <v>1</v>
      </c>
      <c r="CS35" s="2">
        <f>COUNTIF(INDEX('LINE PLAN'!$B$36:$GS$61,0,ROW()-3),CS$3)</f>
        <v>0</v>
      </c>
      <c r="CT35" s="2">
        <f>COUNTIF(INDEX('LINE PLAN'!$B$36:$GS$61,0,ROW()-3),CT$3)</f>
        <v>0</v>
      </c>
      <c r="CU35" s="2">
        <f>COUNTIF(INDEX('LINE PLAN'!$B$36:$GS$61,0,ROW()-3),CU$3)</f>
        <v>0</v>
      </c>
      <c r="CV35" s="2">
        <f>COUNTIF(INDEX('LINE PLAN'!$B$36:$GS$61,0,ROW()-3),CV$3)</f>
        <v>0</v>
      </c>
      <c r="CW35" s="2">
        <f>COUNTIF(INDEX('LINE PLAN'!$B$36:$GS$61,0,ROW()-3),CW$3)</f>
        <v>0</v>
      </c>
      <c r="CX35" s="2">
        <f>COUNTIF(INDEX('LINE PLAN'!$B$36:$GS$61,0,ROW()-3),CX$3)</f>
        <v>0</v>
      </c>
      <c r="CY35" s="2">
        <f>COUNTIF(INDEX('LINE PLAN'!$B$36:$GS$61,0,ROW()-3),CY$3)</f>
        <v>0</v>
      </c>
      <c r="CZ35" s="2">
        <f>COUNTIF(INDEX('LINE PLAN'!$B$36:$GS$61,0,ROW()-3),CZ$3)</f>
        <v>0</v>
      </c>
      <c r="DA35" s="2">
        <f>COUNTIF(INDEX('LINE PLAN'!$B$36:$GS$61,0,ROW()-3),DA$3)</f>
        <v>0</v>
      </c>
      <c r="DB35" s="2">
        <f>COUNTIF(INDEX('LINE PLAN'!$B$36:$GS$61,0,ROW()-3),DB$3)</f>
        <v>0</v>
      </c>
      <c r="DC35" s="2">
        <f>COUNTIF(INDEX('LINE PLAN'!$B$36:$GS$61,0,ROW()-3),DC$3)</f>
        <v>0</v>
      </c>
      <c r="DD35" s="2">
        <f>COUNTIF(INDEX('LINE PLAN'!$B$36:$GS$61,0,ROW()-3),DD$3)</f>
        <v>0</v>
      </c>
      <c r="DE35" s="2">
        <f>COUNTIF(INDEX('LINE PLAN'!$B$36:$GS$61,0,ROW()-3),DE$3)</f>
        <v>0</v>
      </c>
      <c r="DF35" s="2">
        <f>COUNTIF(INDEX('LINE PLAN'!$B$36:$GS$61,0,ROW()-3),DF$3)</f>
        <v>0</v>
      </c>
      <c r="DG35" s="2">
        <f>COUNTIF(INDEX('LINE PLAN'!$B$36:$GS$61,0,ROW()-3),DG$3)</f>
        <v>0</v>
      </c>
      <c r="DH35" s="2">
        <f>COUNTIF(INDEX('LINE PLAN'!$B$36:$GS$61,0,ROW()-3),DH$3)</f>
        <v>0</v>
      </c>
      <c r="DI35" s="2">
        <f>COUNTIF(INDEX('LINE PLAN'!$B$36:$GS$61,0,ROW()-3),DI$3)</f>
        <v>0</v>
      </c>
      <c r="DJ35" s="2">
        <f>COUNTIF(INDEX('LINE PLAN'!$B$36:$GS$61,0,ROW()-3),DJ$3)</f>
        <v>0</v>
      </c>
      <c r="DK35" s="2">
        <f>COUNTIF(INDEX('LINE PLAN'!$B$36:$GS$61,0,ROW()-3),DK$3)</f>
        <v>0</v>
      </c>
      <c r="DL35" s="2">
        <f>COUNTIF(INDEX('LINE PLAN'!$B$36:$GS$61,0,ROW()-3),DL$3)</f>
        <v>0</v>
      </c>
      <c r="DM35" s="2">
        <f>COUNTIF(INDEX('LINE PLAN'!$B$36:$GS$61,0,ROW()-3),DM$3)</f>
        <v>0</v>
      </c>
      <c r="DN35" s="2">
        <f>COUNTIF(INDEX('LINE PLAN'!$B$36:$GS$61,0,ROW()-3),DN$3)</f>
        <v>0</v>
      </c>
      <c r="DO35" s="2">
        <f>COUNTIF(INDEX('LINE PLAN'!$B$36:$GS$61,0,ROW()-3),DO$3)</f>
        <v>0</v>
      </c>
      <c r="DP35" s="2">
        <f>COUNTIF(INDEX('LINE PLAN'!$B$36:$GS$61,0,ROW()-3),DP$3)</f>
        <v>0</v>
      </c>
      <c r="DQ35" s="2">
        <f>COUNTIF(INDEX('LINE PLAN'!$B$36:$GS$61,0,ROW()-3),DQ$3)</f>
        <v>0</v>
      </c>
      <c r="DR35" s="2">
        <f>COUNTIF(INDEX('LINE PLAN'!$B$36:$GS$61,0,ROW()-3),DR$3)</f>
        <v>0</v>
      </c>
      <c r="DS35" s="2">
        <f>COUNTIF(INDEX('LINE PLAN'!$B$36:$GS$61,0,ROW()-3),DS$3)</f>
        <v>0</v>
      </c>
      <c r="DT35" s="2">
        <f>COUNTIF(INDEX('LINE PLAN'!$B$36:$GS$61,0,ROW()-3),DT$3)</f>
        <v>0</v>
      </c>
      <c r="DU35" s="2">
        <f>COUNTIF(INDEX('LINE PLAN'!$B$36:$GS$61,0,ROW()-3),DU$3)</f>
        <v>0</v>
      </c>
      <c r="DV35" s="2">
        <f>COUNTIF(INDEX('LINE PLAN'!$B$36:$GS$61,0,ROW()-3),DV$3)</f>
        <v>0</v>
      </c>
    </row>
    <row r="36" spans="1:126">
      <c r="A36" s="505" cm="1">
        <f t="array" ref="A36">INDEX('LINE PLAN'!$B$35:$GS$35,ROW()-3)</f>
        <v>46267</v>
      </c>
      <c r="B36" s="2">
        <f>SUMPRODUCT($CA36:$DV36,INDEX('MC MAP'!$DA$5:$EV$30,1,0))</f>
        <v>144.5</v>
      </c>
      <c r="C36" s="2">
        <f>SUMPRODUCT($CA36:$DV36,INDEX('MC MAP'!$DA$5:$EV$30,2,0))</f>
        <v>1</v>
      </c>
      <c r="D36" s="2">
        <f>SUMPRODUCT($CA36:$DV36,INDEX('MC MAP'!$DA$5:$EV$30,3,0))</f>
        <v>0</v>
      </c>
      <c r="E36" s="2">
        <f>SUMPRODUCT($CA36:$DV36,INDEX('MC MAP'!$DA$5:$EV$30,4,0))</f>
        <v>4</v>
      </c>
      <c r="F36" s="2">
        <f>SUMPRODUCT($CA36:$DV36,INDEX('MC MAP'!$DA$5:$EV$30,5,0))</f>
        <v>266</v>
      </c>
      <c r="G36" s="2">
        <f>SUMPRODUCT($CA36:$DV36,INDEX('MC MAP'!$DA$5:$EV$30,6,0))</f>
        <v>30</v>
      </c>
      <c r="H36" s="2">
        <f>SUMPRODUCT($CA36:$DV36,INDEX('MC MAP'!$DA$5:$EV$30,7,0))</f>
        <v>0</v>
      </c>
      <c r="I36" s="2">
        <f>SUMPRODUCT($CA36:$DV36,INDEX('MC MAP'!$DA$5:$EV$30,8,0))</f>
        <v>36</v>
      </c>
      <c r="J36" s="2">
        <f>SUMPRODUCT($CA36:$DV36,INDEX('MC MAP'!$DA$5:$EV$30,9,0))</f>
        <v>27.5</v>
      </c>
      <c r="K36" s="2">
        <f>SUMPRODUCT($CA36:$DV36,INDEX('MC MAP'!$DA$5:$EV$30,10,0))</f>
        <v>12</v>
      </c>
      <c r="L36" s="2">
        <f>SUMPRODUCT($CA36:$DV36,INDEX('MC MAP'!$DA$5:$EV$30,11,0))</f>
        <v>42.5</v>
      </c>
      <c r="M36" s="2">
        <f>SUMPRODUCT($CA36:$DV36,INDEX('MC MAP'!$DA$5:$EV$30,12,0))</f>
        <v>17</v>
      </c>
      <c r="N36" s="2">
        <f>SUMPRODUCT($CA36:$DV36,INDEX('MC MAP'!$DA$5:$EV$30,13,0))</f>
        <v>28.5</v>
      </c>
      <c r="O36" s="2">
        <f>SUMPRODUCT($CA36:$DV36,INDEX('MC MAP'!$DA$5:$EV$30,14,0))</f>
        <v>42</v>
      </c>
      <c r="P36" s="2">
        <f>SUMPRODUCT($CA36:$DV36,INDEX('MC MAP'!$DA$5:$EV$30,15,0))</f>
        <v>63</v>
      </c>
      <c r="Q36" s="2">
        <f>SUMPRODUCT($CA36:$DV36,INDEX('MC MAP'!$DA$5:$EV$30,16,0))</f>
        <v>0</v>
      </c>
      <c r="R36" s="2">
        <f>SUMPRODUCT($CA36:$DV36,INDEX('MC MAP'!$DA$5:$EV$30,17,0))</f>
        <v>3</v>
      </c>
      <c r="S36" s="2">
        <f>SUMPRODUCT($CA36:$DV36,INDEX('MC MAP'!$DA$5:$EV$30,18,0))</f>
        <v>0</v>
      </c>
      <c r="T36" s="2">
        <f>SUMPRODUCT($CA36:$DV36,INDEX('MC MAP'!$DA$5:$EV$30,19,0))</f>
        <v>15</v>
      </c>
      <c r="U36" s="2">
        <f>SUMPRODUCT($CA36:$DV36,INDEX('MC MAP'!$DA$5:$EV$30,20,0))</f>
        <v>32.5</v>
      </c>
      <c r="V36" s="2">
        <f>SUMPRODUCT($CA36:$DV36,INDEX('MC MAP'!$DA$5:$EV$30,21,0))</f>
        <v>2</v>
      </c>
      <c r="W36" s="2">
        <f>SUMPRODUCT($CA36:$DV36,INDEX('MC MAP'!$DA$5:$EV$30,22,0))</f>
        <v>2</v>
      </c>
      <c r="X36" s="2">
        <f>SUMPRODUCT($CA36:$DV36,INDEX('MC MAP'!$DA$5:$EV$30,23,0))</f>
        <v>0</v>
      </c>
      <c r="Y36" s="2">
        <f>SUMPRODUCT($CA36:$DV36,INDEX('MC MAP'!$DA$5:$EV$30,24,0))</f>
        <v>7.5</v>
      </c>
      <c r="Z36" s="2">
        <f>SUMPRODUCT($CA36:$DV36,INDEX('MC MAP'!$DA$5:$EV$30,25,0))</f>
        <v>0</v>
      </c>
      <c r="AA36" s="2">
        <f>SUMPRODUCT($CA36:$DV36,INDEX('MC MAP'!$DA$5:$EV$30,26,0))</f>
        <v>25</v>
      </c>
      <c r="AB36" s="2">
        <f>SUM($B36:$AA36)</f>
        <v>801</v>
      </c>
      <c r="AC36" s="2">
        <f>SUM($CA36:$DV36)+$AW36</f>
        <v>26</v>
      </c>
      <c r="AW36" s="2">
        <f>IF($A36=0,0,COUNTIF(INDEX('LINE PLAN'!$B$36:$GS$61,0,ROW()-3),"THERMAL - NOT SPECIFIED"))</f>
        <v>0</v>
      </c>
      <c r="AX36" s="506" cm="1">
        <f t="array" ref="AX36">IF(OR($AB36=0,UPPER($BS36)&lt;&gt;"Y"),0,SUMPRODUCT(--($B36:$AA36&gt;$B$205:$AA$205)))</f>
        <v>4</v>
      </c>
      <c r="AY36" s="507">
        <f>$A36</f>
        <v>46267</v>
      </c>
      <c r="AZ36" s="2">
        <f>$AB36</f>
        <v>801</v>
      </c>
      <c r="BA36" s="2">
        <f>'MC MASTER'!$C$29</f>
        <v>920</v>
      </c>
      <c r="BD36" s="543" t="str">
        <f>INDEX('MC MASTER'!$B$3:$B$28,ROW()-34)</f>
        <v>DNLS</v>
      </c>
      <c r="BE36" s="521">
        <f>INDEX('MC MASTER'!$C$3:$C$28,ROW()-34)</f>
        <v>8</v>
      </c>
      <c r="BF36" s="522">
        <f ca="1">MAX(OFFSET($B$4,BF$32-1,MATCH($BD36,$B$3:$AA$3,0)-1,BF$33,1))</f>
        <v>1</v>
      </c>
      <c r="BG36" s="529">
        <f ca="1">MAX(OFFSET($B$4,BG$32-1,MATCH($BD36,$B$3:$AA$3,0)-1,BG$33,1))</f>
        <v>1</v>
      </c>
      <c r="BH36" s="529">
        <f ca="1">MAX(OFFSET($B$4,BH$32-1,MATCH($BD36,$B$3:$AA$3,0)-1,BH$33,1))</f>
        <v>1</v>
      </c>
      <c r="BI36" s="529">
        <f ca="1">MAX(OFFSET($B$4,BI$32-1,MATCH($BD36,$B$3:$AA$3,0)-1,BI$33,1))</f>
        <v>0</v>
      </c>
      <c r="BJ36" s="544" t="str">
        <f ca="1">IFERROR(INDEX($BF$34:$BI$34,MATCH(MAX($BF36:$BI36),$BF36:$BI36,0)),"")</f>
        <v>Aug</v>
      </c>
      <c r="BK36" s="523">
        <f ca="1">$BE36-MAX($BF36:$BI36)</f>
        <v>7</v>
      </c>
      <c r="BQ36" s="509">
        <f>$A36</f>
        <v>46267</v>
      </c>
      <c r="BR36" s="15" t="str">
        <f>TEXT($A36,"ddd")</f>
        <v>Wed</v>
      </c>
      <c r="BS36" s="547" t="s">
        <v>391</v>
      </c>
      <c r="BT36" s="15">
        <f>IF(UPPER($BS36)="Y",$AB36,0)</f>
        <v>801</v>
      </c>
      <c r="CA36" s="2">
        <f>COUNTIF(INDEX('LINE PLAN'!$B$36:$GS$61,0,ROW()-3),CA$3)</f>
        <v>1</v>
      </c>
      <c r="CB36" s="2">
        <f>COUNTIF(INDEX('LINE PLAN'!$B$36:$GS$61,0,ROW()-3),CB$3)</f>
        <v>1</v>
      </c>
      <c r="CC36" s="2">
        <f>COUNTIF(INDEX('LINE PLAN'!$B$36:$GS$61,0,ROW()-3),CC$3)</f>
        <v>2</v>
      </c>
      <c r="CD36" s="2">
        <f>COUNTIF(INDEX('LINE PLAN'!$B$36:$GS$61,0,ROW()-3),CD$3)</f>
        <v>1</v>
      </c>
      <c r="CE36" s="2">
        <f>COUNTIF(INDEX('LINE PLAN'!$B$36:$GS$61,0,ROW()-3),CE$3)</f>
        <v>3</v>
      </c>
      <c r="CF36" s="2">
        <f>COUNTIF(INDEX('LINE PLAN'!$B$36:$GS$61,0,ROW()-3),CF$3)</f>
        <v>3</v>
      </c>
      <c r="CG36" s="2">
        <f>COUNTIF(INDEX('LINE PLAN'!$B$36:$GS$61,0,ROW()-3),CG$3)</f>
        <v>2</v>
      </c>
      <c r="CH36" s="2">
        <f>COUNTIF(INDEX('LINE PLAN'!$B$36:$GS$61,0,ROW()-3),CH$3)</f>
        <v>3</v>
      </c>
      <c r="CI36" s="2">
        <f>COUNTIF(INDEX('LINE PLAN'!$B$36:$GS$61,0,ROW()-3),CI$3)</f>
        <v>1</v>
      </c>
      <c r="CJ36" s="2">
        <f>COUNTIF(INDEX('LINE PLAN'!$B$36:$GS$61,0,ROW()-3),CJ$3)</f>
        <v>3</v>
      </c>
      <c r="CK36" s="2">
        <f>COUNTIF(INDEX('LINE PLAN'!$B$36:$GS$61,0,ROW()-3),CK$3)</f>
        <v>2</v>
      </c>
      <c r="CL36" s="2">
        <f>COUNTIF(INDEX('LINE PLAN'!$B$36:$GS$61,0,ROW()-3),CL$3)</f>
        <v>0</v>
      </c>
      <c r="CM36" s="2">
        <f>COUNTIF(INDEX('LINE PLAN'!$B$36:$GS$61,0,ROW()-3),CM$3)</f>
        <v>0</v>
      </c>
      <c r="CN36" s="2">
        <f>COUNTIF(INDEX('LINE PLAN'!$B$36:$GS$61,0,ROW()-3),CN$3)</f>
        <v>0</v>
      </c>
      <c r="CO36" s="2">
        <f>COUNTIF(INDEX('LINE PLAN'!$B$36:$GS$61,0,ROW()-3),CO$3)</f>
        <v>1</v>
      </c>
      <c r="CP36" s="2">
        <f>COUNTIF(INDEX('LINE PLAN'!$B$36:$GS$61,0,ROW()-3),CP$3)</f>
        <v>2</v>
      </c>
      <c r="CQ36" s="2">
        <f>COUNTIF(INDEX('LINE PLAN'!$B$36:$GS$61,0,ROW()-3),CQ$3)</f>
        <v>0</v>
      </c>
      <c r="CR36" s="2">
        <f>COUNTIF(INDEX('LINE PLAN'!$B$36:$GS$61,0,ROW()-3),CR$3)</f>
        <v>1</v>
      </c>
      <c r="CS36" s="2">
        <f>COUNTIF(INDEX('LINE PLAN'!$B$36:$GS$61,0,ROW()-3),CS$3)</f>
        <v>0</v>
      </c>
      <c r="CT36" s="2">
        <f>COUNTIF(INDEX('LINE PLAN'!$B$36:$GS$61,0,ROW()-3),CT$3)</f>
        <v>0</v>
      </c>
      <c r="CU36" s="2">
        <f>COUNTIF(INDEX('LINE PLAN'!$B$36:$GS$61,0,ROW()-3),CU$3)</f>
        <v>0</v>
      </c>
      <c r="CV36" s="2">
        <f>COUNTIF(INDEX('LINE PLAN'!$B$36:$GS$61,0,ROW()-3),CV$3)</f>
        <v>0</v>
      </c>
      <c r="CW36" s="2">
        <f>COUNTIF(INDEX('LINE PLAN'!$B$36:$GS$61,0,ROW()-3),CW$3)</f>
        <v>0</v>
      </c>
      <c r="CX36" s="2">
        <f>COUNTIF(INDEX('LINE PLAN'!$B$36:$GS$61,0,ROW()-3),CX$3)</f>
        <v>0</v>
      </c>
      <c r="CY36" s="2">
        <f>COUNTIF(INDEX('LINE PLAN'!$B$36:$GS$61,0,ROW()-3),CY$3)</f>
        <v>0</v>
      </c>
      <c r="CZ36" s="2">
        <f>COUNTIF(INDEX('LINE PLAN'!$B$36:$GS$61,0,ROW()-3),CZ$3)</f>
        <v>0</v>
      </c>
      <c r="DA36" s="2">
        <f>COUNTIF(INDEX('LINE PLAN'!$B$36:$GS$61,0,ROW()-3),DA$3)</f>
        <v>0</v>
      </c>
      <c r="DB36" s="2">
        <f>COUNTIF(INDEX('LINE PLAN'!$B$36:$GS$61,0,ROW()-3),DB$3)</f>
        <v>0</v>
      </c>
      <c r="DC36" s="2">
        <f>COUNTIF(INDEX('LINE PLAN'!$B$36:$GS$61,0,ROW()-3),DC$3)</f>
        <v>0</v>
      </c>
      <c r="DD36" s="2">
        <f>COUNTIF(INDEX('LINE PLAN'!$B$36:$GS$61,0,ROW()-3),DD$3)</f>
        <v>0</v>
      </c>
      <c r="DE36" s="2">
        <f>COUNTIF(INDEX('LINE PLAN'!$B$36:$GS$61,0,ROW()-3),DE$3)</f>
        <v>0</v>
      </c>
      <c r="DF36" s="2">
        <f>COUNTIF(INDEX('LINE PLAN'!$B$36:$GS$61,0,ROW()-3),DF$3)</f>
        <v>0</v>
      </c>
      <c r="DG36" s="2">
        <f>COUNTIF(INDEX('LINE PLAN'!$B$36:$GS$61,0,ROW()-3),DG$3)</f>
        <v>0</v>
      </c>
      <c r="DH36" s="2">
        <f>COUNTIF(INDEX('LINE PLAN'!$B$36:$GS$61,0,ROW()-3),DH$3)</f>
        <v>0</v>
      </c>
      <c r="DI36" s="2">
        <f>COUNTIF(INDEX('LINE PLAN'!$B$36:$GS$61,0,ROW()-3),DI$3)</f>
        <v>0</v>
      </c>
      <c r="DJ36" s="2">
        <f>COUNTIF(INDEX('LINE PLAN'!$B$36:$GS$61,0,ROW()-3),DJ$3)</f>
        <v>0</v>
      </c>
      <c r="DK36" s="2">
        <f>COUNTIF(INDEX('LINE PLAN'!$B$36:$GS$61,0,ROW()-3),DK$3)</f>
        <v>0</v>
      </c>
      <c r="DL36" s="2">
        <f>COUNTIF(INDEX('LINE PLAN'!$B$36:$GS$61,0,ROW()-3),DL$3)</f>
        <v>0</v>
      </c>
      <c r="DM36" s="2">
        <f>COUNTIF(INDEX('LINE PLAN'!$B$36:$GS$61,0,ROW()-3),DM$3)</f>
        <v>0</v>
      </c>
      <c r="DN36" s="2">
        <f>COUNTIF(INDEX('LINE PLAN'!$B$36:$GS$61,0,ROW()-3),DN$3)</f>
        <v>0</v>
      </c>
      <c r="DO36" s="2">
        <f>COUNTIF(INDEX('LINE PLAN'!$B$36:$GS$61,0,ROW()-3),DO$3)</f>
        <v>0</v>
      </c>
      <c r="DP36" s="2">
        <f>COUNTIF(INDEX('LINE PLAN'!$B$36:$GS$61,0,ROW()-3),DP$3)</f>
        <v>0</v>
      </c>
      <c r="DQ36" s="2">
        <f>COUNTIF(INDEX('LINE PLAN'!$B$36:$GS$61,0,ROW()-3),DQ$3)</f>
        <v>0</v>
      </c>
      <c r="DR36" s="2">
        <f>COUNTIF(INDEX('LINE PLAN'!$B$36:$GS$61,0,ROW()-3),DR$3)</f>
        <v>0</v>
      </c>
      <c r="DS36" s="2">
        <f>COUNTIF(INDEX('LINE PLAN'!$B$36:$GS$61,0,ROW()-3),DS$3)</f>
        <v>0</v>
      </c>
      <c r="DT36" s="2">
        <f>COUNTIF(INDEX('LINE PLAN'!$B$36:$GS$61,0,ROW()-3),DT$3)</f>
        <v>0</v>
      </c>
      <c r="DU36" s="2">
        <f>COUNTIF(INDEX('LINE PLAN'!$B$36:$GS$61,0,ROW()-3),DU$3)</f>
        <v>0</v>
      </c>
      <c r="DV36" s="2">
        <f>COUNTIF(INDEX('LINE PLAN'!$B$36:$GS$61,0,ROW()-3),DV$3)</f>
        <v>0</v>
      </c>
    </row>
    <row r="37" spans="1:126">
      <c r="A37" s="505" cm="1">
        <f t="array" ref="A37">INDEX('LINE PLAN'!$B$35:$GS$35,ROW()-3)</f>
        <v>46268</v>
      </c>
      <c r="B37" s="2">
        <f>SUMPRODUCT($CA37:$DV37,INDEX('MC MAP'!$DA$5:$EV$30,1,0))</f>
        <v>144.5</v>
      </c>
      <c r="C37" s="2">
        <f>SUMPRODUCT($CA37:$DV37,INDEX('MC MAP'!$DA$5:$EV$30,2,0))</f>
        <v>1</v>
      </c>
      <c r="D37" s="2">
        <f>SUMPRODUCT($CA37:$DV37,INDEX('MC MAP'!$DA$5:$EV$30,3,0))</f>
        <v>0</v>
      </c>
      <c r="E37" s="2">
        <f>SUMPRODUCT($CA37:$DV37,INDEX('MC MAP'!$DA$5:$EV$30,4,0))</f>
        <v>4</v>
      </c>
      <c r="F37" s="2">
        <f>SUMPRODUCT($CA37:$DV37,INDEX('MC MAP'!$DA$5:$EV$30,5,0))</f>
        <v>266</v>
      </c>
      <c r="G37" s="2">
        <f>SUMPRODUCT($CA37:$DV37,INDEX('MC MAP'!$DA$5:$EV$30,6,0))</f>
        <v>30</v>
      </c>
      <c r="H37" s="2">
        <f>SUMPRODUCT($CA37:$DV37,INDEX('MC MAP'!$DA$5:$EV$30,7,0))</f>
        <v>0</v>
      </c>
      <c r="I37" s="2">
        <f>SUMPRODUCT($CA37:$DV37,INDEX('MC MAP'!$DA$5:$EV$30,8,0))</f>
        <v>36</v>
      </c>
      <c r="J37" s="2">
        <f>SUMPRODUCT($CA37:$DV37,INDEX('MC MAP'!$DA$5:$EV$30,9,0))</f>
        <v>27.5</v>
      </c>
      <c r="K37" s="2">
        <f>SUMPRODUCT($CA37:$DV37,INDEX('MC MAP'!$DA$5:$EV$30,10,0))</f>
        <v>12</v>
      </c>
      <c r="L37" s="2">
        <f>SUMPRODUCT($CA37:$DV37,INDEX('MC MAP'!$DA$5:$EV$30,11,0))</f>
        <v>42.5</v>
      </c>
      <c r="M37" s="2">
        <f>SUMPRODUCT($CA37:$DV37,INDEX('MC MAP'!$DA$5:$EV$30,12,0))</f>
        <v>17</v>
      </c>
      <c r="N37" s="2">
        <f>SUMPRODUCT($CA37:$DV37,INDEX('MC MAP'!$DA$5:$EV$30,13,0))</f>
        <v>28.5</v>
      </c>
      <c r="O37" s="2">
        <f>SUMPRODUCT($CA37:$DV37,INDEX('MC MAP'!$DA$5:$EV$30,14,0))</f>
        <v>42</v>
      </c>
      <c r="P37" s="2">
        <f>SUMPRODUCT($CA37:$DV37,INDEX('MC MAP'!$DA$5:$EV$30,15,0))</f>
        <v>63</v>
      </c>
      <c r="Q37" s="2">
        <f>SUMPRODUCT($CA37:$DV37,INDEX('MC MAP'!$DA$5:$EV$30,16,0))</f>
        <v>0</v>
      </c>
      <c r="R37" s="2">
        <f>SUMPRODUCT($CA37:$DV37,INDEX('MC MAP'!$DA$5:$EV$30,17,0))</f>
        <v>3</v>
      </c>
      <c r="S37" s="2">
        <f>SUMPRODUCT($CA37:$DV37,INDEX('MC MAP'!$DA$5:$EV$30,18,0))</f>
        <v>0</v>
      </c>
      <c r="T37" s="2">
        <f>SUMPRODUCT($CA37:$DV37,INDEX('MC MAP'!$DA$5:$EV$30,19,0))</f>
        <v>15</v>
      </c>
      <c r="U37" s="2">
        <f>SUMPRODUCT($CA37:$DV37,INDEX('MC MAP'!$DA$5:$EV$30,20,0))</f>
        <v>32.5</v>
      </c>
      <c r="V37" s="2">
        <f>SUMPRODUCT($CA37:$DV37,INDEX('MC MAP'!$DA$5:$EV$30,21,0))</f>
        <v>2</v>
      </c>
      <c r="W37" s="2">
        <f>SUMPRODUCT($CA37:$DV37,INDEX('MC MAP'!$DA$5:$EV$30,22,0))</f>
        <v>2</v>
      </c>
      <c r="X37" s="2">
        <f>SUMPRODUCT($CA37:$DV37,INDEX('MC MAP'!$DA$5:$EV$30,23,0))</f>
        <v>0</v>
      </c>
      <c r="Y37" s="2">
        <f>SUMPRODUCT($CA37:$DV37,INDEX('MC MAP'!$DA$5:$EV$30,24,0))</f>
        <v>7.5</v>
      </c>
      <c r="Z37" s="2">
        <f>SUMPRODUCT($CA37:$DV37,INDEX('MC MAP'!$DA$5:$EV$30,25,0))</f>
        <v>0</v>
      </c>
      <c r="AA37" s="2">
        <f>SUMPRODUCT($CA37:$DV37,INDEX('MC MAP'!$DA$5:$EV$30,26,0))</f>
        <v>25</v>
      </c>
      <c r="AB37" s="2">
        <f>SUM($B37:$AA37)</f>
        <v>801</v>
      </c>
      <c r="AC37" s="2">
        <f>SUM($CA37:$DV37)+$AW37</f>
        <v>26</v>
      </c>
      <c r="AW37" s="2">
        <f>IF($A37=0,0,COUNTIF(INDEX('LINE PLAN'!$B$36:$GS$61,0,ROW()-3),"THERMAL - NOT SPECIFIED"))</f>
        <v>0</v>
      </c>
      <c r="AX37" s="506" cm="1">
        <f t="array" ref="AX37">IF(OR($AB37=0,UPPER($BS37)&lt;&gt;"Y"),0,SUMPRODUCT(--($B37:$AA37&gt;$B$205:$AA$205)))</f>
        <v>4</v>
      </c>
      <c r="AY37" s="507">
        <f>$A37</f>
        <v>46268</v>
      </c>
      <c r="AZ37" s="2">
        <f>$AB37</f>
        <v>801</v>
      </c>
      <c r="BA37" s="2">
        <f>'MC MASTER'!$C$29</f>
        <v>920</v>
      </c>
      <c r="BD37" s="543" t="str">
        <f>INDEX('MC MASTER'!$B$3:$B$28,ROW()-34)</f>
        <v>SNLS - Edge cutter</v>
      </c>
      <c r="BE37" s="521">
        <f>INDEX('MC MASTER'!$C$3:$C$28,ROW()-34)</f>
        <v>2</v>
      </c>
      <c r="BF37" s="522">
        <f ca="1">MAX(OFFSET($B$4,BF$32-1,MATCH($BD37,$B$3:$AA$3,0)-1,BF$33,1))</f>
        <v>0</v>
      </c>
      <c r="BG37" s="529">
        <f ca="1">MAX(OFFSET($B$4,BG$32-1,MATCH($BD37,$B$3:$AA$3,0)-1,BG$33,1))</f>
        <v>0</v>
      </c>
      <c r="BH37" s="529">
        <f ca="1">MAX(OFFSET($B$4,BH$32-1,MATCH($BD37,$B$3:$AA$3,0)-1,BH$33,1))</f>
        <v>0</v>
      </c>
      <c r="BI37" s="529">
        <f ca="1">MAX(OFFSET($B$4,BI$32-1,MATCH($BD37,$B$3:$AA$3,0)-1,BI$33,1))</f>
        <v>0</v>
      </c>
      <c r="BJ37" s="544" t="str">
        <f ca="1">IFERROR(INDEX($BF$34:$BI$34,MATCH(MAX($BF37:$BI37),$BF37:$BI37,0)),"")</f>
        <v>Aug</v>
      </c>
      <c r="BK37" s="523">
        <f ca="1">$BE37-MAX($BF37:$BI37)</f>
        <v>2</v>
      </c>
      <c r="BQ37" s="509">
        <f>$A37</f>
        <v>46268</v>
      </c>
      <c r="BR37" s="15" t="str">
        <f>TEXT($A37,"ddd")</f>
        <v>Thu</v>
      </c>
      <c r="BS37" s="547" t="s">
        <v>391</v>
      </c>
      <c r="BT37" s="15">
        <f>IF(UPPER($BS37)="Y",$AB37,0)</f>
        <v>801</v>
      </c>
      <c r="CA37" s="2">
        <f>COUNTIF(INDEX('LINE PLAN'!$B$36:$GS$61,0,ROW()-3),CA$3)</f>
        <v>1</v>
      </c>
      <c r="CB37" s="2">
        <f>COUNTIF(INDEX('LINE PLAN'!$B$36:$GS$61,0,ROW()-3),CB$3)</f>
        <v>1</v>
      </c>
      <c r="CC37" s="2">
        <f>COUNTIF(INDEX('LINE PLAN'!$B$36:$GS$61,0,ROW()-3),CC$3)</f>
        <v>2</v>
      </c>
      <c r="CD37" s="2">
        <f>COUNTIF(INDEX('LINE PLAN'!$B$36:$GS$61,0,ROW()-3),CD$3)</f>
        <v>1</v>
      </c>
      <c r="CE37" s="2">
        <f>COUNTIF(INDEX('LINE PLAN'!$B$36:$GS$61,0,ROW()-3),CE$3)</f>
        <v>3</v>
      </c>
      <c r="CF37" s="2">
        <f>COUNTIF(INDEX('LINE PLAN'!$B$36:$GS$61,0,ROW()-3),CF$3)</f>
        <v>3</v>
      </c>
      <c r="CG37" s="2">
        <f>COUNTIF(INDEX('LINE PLAN'!$B$36:$GS$61,0,ROW()-3),CG$3)</f>
        <v>2</v>
      </c>
      <c r="CH37" s="2">
        <f>COUNTIF(INDEX('LINE PLAN'!$B$36:$GS$61,0,ROW()-3),CH$3)</f>
        <v>3</v>
      </c>
      <c r="CI37" s="2">
        <f>COUNTIF(INDEX('LINE PLAN'!$B$36:$GS$61,0,ROW()-3),CI$3)</f>
        <v>1</v>
      </c>
      <c r="CJ37" s="2">
        <f>COUNTIF(INDEX('LINE PLAN'!$B$36:$GS$61,0,ROW()-3),CJ$3)</f>
        <v>3</v>
      </c>
      <c r="CK37" s="2">
        <f>COUNTIF(INDEX('LINE PLAN'!$B$36:$GS$61,0,ROW()-3),CK$3)</f>
        <v>2</v>
      </c>
      <c r="CL37" s="2">
        <f>COUNTIF(INDEX('LINE PLAN'!$B$36:$GS$61,0,ROW()-3),CL$3)</f>
        <v>0</v>
      </c>
      <c r="CM37" s="2">
        <f>COUNTIF(INDEX('LINE PLAN'!$B$36:$GS$61,0,ROW()-3),CM$3)</f>
        <v>0</v>
      </c>
      <c r="CN37" s="2">
        <f>COUNTIF(INDEX('LINE PLAN'!$B$36:$GS$61,0,ROW()-3),CN$3)</f>
        <v>0</v>
      </c>
      <c r="CO37" s="2">
        <f>COUNTIF(INDEX('LINE PLAN'!$B$36:$GS$61,0,ROW()-3),CO$3)</f>
        <v>1</v>
      </c>
      <c r="CP37" s="2">
        <f>COUNTIF(INDEX('LINE PLAN'!$B$36:$GS$61,0,ROW()-3),CP$3)</f>
        <v>2</v>
      </c>
      <c r="CQ37" s="2">
        <f>COUNTIF(INDEX('LINE PLAN'!$B$36:$GS$61,0,ROW()-3),CQ$3)</f>
        <v>0</v>
      </c>
      <c r="CR37" s="2">
        <f>COUNTIF(INDEX('LINE PLAN'!$B$36:$GS$61,0,ROW()-3),CR$3)</f>
        <v>1</v>
      </c>
      <c r="CS37" s="2">
        <f>COUNTIF(INDEX('LINE PLAN'!$B$36:$GS$61,0,ROW()-3),CS$3)</f>
        <v>0</v>
      </c>
      <c r="CT37" s="2">
        <f>COUNTIF(INDEX('LINE PLAN'!$B$36:$GS$61,0,ROW()-3),CT$3)</f>
        <v>0</v>
      </c>
      <c r="CU37" s="2">
        <f>COUNTIF(INDEX('LINE PLAN'!$B$36:$GS$61,0,ROW()-3),CU$3)</f>
        <v>0</v>
      </c>
      <c r="CV37" s="2">
        <f>COUNTIF(INDEX('LINE PLAN'!$B$36:$GS$61,0,ROW()-3),CV$3)</f>
        <v>0</v>
      </c>
      <c r="CW37" s="2">
        <f>COUNTIF(INDEX('LINE PLAN'!$B$36:$GS$61,0,ROW()-3),CW$3)</f>
        <v>0</v>
      </c>
      <c r="CX37" s="2">
        <f>COUNTIF(INDEX('LINE PLAN'!$B$36:$GS$61,0,ROW()-3),CX$3)</f>
        <v>0</v>
      </c>
      <c r="CY37" s="2">
        <f>COUNTIF(INDEX('LINE PLAN'!$B$36:$GS$61,0,ROW()-3),CY$3)</f>
        <v>0</v>
      </c>
      <c r="CZ37" s="2">
        <f>COUNTIF(INDEX('LINE PLAN'!$B$36:$GS$61,0,ROW()-3),CZ$3)</f>
        <v>0</v>
      </c>
      <c r="DA37" s="2">
        <f>COUNTIF(INDEX('LINE PLAN'!$B$36:$GS$61,0,ROW()-3),DA$3)</f>
        <v>0</v>
      </c>
      <c r="DB37" s="2">
        <f>COUNTIF(INDEX('LINE PLAN'!$B$36:$GS$61,0,ROW()-3),DB$3)</f>
        <v>0</v>
      </c>
      <c r="DC37" s="2">
        <f>COUNTIF(INDEX('LINE PLAN'!$B$36:$GS$61,0,ROW()-3),DC$3)</f>
        <v>0</v>
      </c>
      <c r="DD37" s="2">
        <f>COUNTIF(INDEX('LINE PLAN'!$B$36:$GS$61,0,ROW()-3),DD$3)</f>
        <v>0</v>
      </c>
      <c r="DE37" s="2">
        <f>COUNTIF(INDEX('LINE PLAN'!$B$36:$GS$61,0,ROW()-3),DE$3)</f>
        <v>0</v>
      </c>
      <c r="DF37" s="2">
        <f>COUNTIF(INDEX('LINE PLAN'!$B$36:$GS$61,0,ROW()-3),DF$3)</f>
        <v>0</v>
      </c>
      <c r="DG37" s="2">
        <f>COUNTIF(INDEX('LINE PLAN'!$B$36:$GS$61,0,ROW()-3),DG$3)</f>
        <v>0</v>
      </c>
      <c r="DH37" s="2">
        <f>COUNTIF(INDEX('LINE PLAN'!$B$36:$GS$61,0,ROW()-3),DH$3)</f>
        <v>0</v>
      </c>
      <c r="DI37" s="2">
        <f>COUNTIF(INDEX('LINE PLAN'!$B$36:$GS$61,0,ROW()-3),DI$3)</f>
        <v>0</v>
      </c>
      <c r="DJ37" s="2">
        <f>COUNTIF(INDEX('LINE PLAN'!$B$36:$GS$61,0,ROW()-3),DJ$3)</f>
        <v>0</v>
      </c>
      <c r="DK37" s="2">
        <f>COUNTIF(INDEX('LINE PLAN'!$B$36:$GS$61,0,ROW()-3),DK$3)</f>
        <v>0</v>
      </c>
      <c r="DL37" s="2">
        <f>COUNTIF(INDEX('LINE PLAN'!$B$36:$GS$61,0,ROW()-3),DL$3)</f>
        <v>0</v>
      </c>
      <c r="DM37" s="2">
        <f>COUNTIF(INDEX('LINE PLAN'!$B$36:$GS$61,0,ROW()-3),DM$3)</f>
        <v>0</v>
      </c>
      <c r="DN37" s="2">
        <f>COUNTIF(INDEX('LINE PLAN'!$B$36:$GS$61,0,ROW()-3),DN$3)</f>
        <v>0</v>
      </c>
      <c r="DO37" s="2">
        <f>COUNTIF(INDEX('LINE PLAN'!$B$36:$GS$61,0,ROW()-3),DO$3)</f>
        <v>0</v>
      </c>
      <c r="DP37" s="2">
        <f>COUNTIF(INDEX('LINE PLAN'!$B$36:$GS$61,0,ROW()-3),DP$3)</f>
        <v>0</v>
      </c>
      <c r="DQ37" s="2">
        <f>COUNTIF(INDEX('LINE PLAN'!$B$36:$GS$61,0,ROW()-3),DQ$3)</f>
        <v>0</v>
      </c>
      <c r="DR37" s="2">
        <f>COUNTIF(INDEX('LINE PLAN'!$B$36:$GS$61,0,ROW()-3),DR$3)</f>
        <v>0</v>
      </c>
      <c r="DS37" s="2">
        <f>COUNTIF(INDEX('LINE PLAN'!$B$36:$GS$61,0,ROW()-3),DS$3)</f>
        <v>0</v>
      </c>
      <c r="DT37" s="2">
        <f>COUNTIF(INDEX('LINE PLAN'!$B$36:$GS$61,0,ROW()-3),DT$3)</f>
        <v>0</v>
      </c>
      <c r="DU37" s="2">
        <f>COUNTIF(INDEX('LINE PLAN'!$B$36:$GS$61,0,ROW()-3),DU$3)</f>
        <v>0</v>
      </c>
      <c r="DV37" s="2">
        <f>COUNTIF(INDEX('LINE PLAN'!$B$36:$GS$61,0,ROW()-3),DV$3)</f>
        <v>0</v>
      </c>
    </row>
    <row r="38" spans="1:126">
      <c r="A38" s="505" cm="1">
        <f t="array" ref="A38">INDEX('LINE PLAN'!$B$35:$GS$35,ROW()-3)</f>
        <v>46269</v>
      </c>
      <c r="B38" s="2">
        <f>SUMPRODUCT($CA38:$DV38,INDEX('MC MAP'!$DA$5:$EV$30,1,0))</f>
        <v>144.5</v>
      </c>
      <c r="C38" s="2">
        <f>SUMPRODUCT($CA38:$DV38,INDEX('MC MAP'!$DA$5:$EV$30,2,0))</f>
        <v>1</v>
      </c>
      <c r="D38" s="2">
        <f>SUMPRODUCT($CA38:$DV38,INDEX('MC MAP'!$DA$5:$EV$30,3,0))</f>
        <v>0</v>
      </c>
      <c r="E38" s="2">
        <f>SUMPRODUCT($CA38:$DV38,INDEX('MC MAP'!$DA$5:$EV$30,4,0))</f>
        <v>4</v>
      </c>
      <c r="F38" s="2">
        <f>SUMPRODUCT($CA38:$DV38,INDEX('MC MAP'!$DA$5:$EV$30,5,0))</f>
        <v>266</v>
      </c>
      <c r="G38" s="2">
        <f>SUMPRODUCT($CA38:$DV38,INDEX('MC MAP'!$DA$5:$EV$30,6,0))</f>
        <v>30</v>
      </c>
      <c r="H38" s="2">
        <f>SUMPRODUCT($CA38:$DV38,INDEX('MC MAP'!$DA$5:$EV$30,7,0))</f>
        <v>0</v>
      </c>
      <c r="I38" s="2">
        <f>SUMPRODUCT($CA38:$DV38,INDEX('MC MAP'!$DA$5:$EV$30,8,0))</f>
        <v>36</v>
      </c>
      <c r="J38" s="2">
        <f>SUMPRODUCT($CA38:$DV38,INDEX('MC MAP'!$DA$5:$EV$30,9,0))</f>
        <v>27.5</v>
      </c>
      <c r="K38" s="2">
        <f>SUMPRODUCT($CA38:$DV38,INDEX('MC MAP'!$DA$5:$EV$30,10,0))</f>
        <v>12</v>
      </c>
      <c r="L38" s="2">
        <f>SUMPRODUCT($CA38:$DV38,INDEX('MC MAP'!$DA$5:$EV$30,11,0))</f>
        <v>42.5</v>
      </c>
      <c r="M38" s="2">
        <f>SUMPRODUCT($CA38:$DV38,INDEX('MC MAP'!$DA$5:$EV$30,12,0))</f>
        <v>17</v>
      </c>
      <c r="N38" s="2">
        <f>SUMPRODUCT($CA38:$DV38,INDEX('MC MAP'!$DA$5:$EV$30,13,0))</f>
        <v>28.5</v>
      </c>
      <c r="O38" s="2">
        <f>SUMPRODUCT($CA38:$DV38,INDEX('MC MAP'!$DA$5:$EV$30,14,0))</f>
        <v>42</v>
      </c>
      <c r="P38" s="2">
        <f>SUMPRODUCT($CA38:$DV38,INDEX('MC MAP'!$DA$5:$EV$30,15,0))</f>
        <v>63</v>
      </c>
      <c r="Q38" s="2">
        <f>SUMPRODUCT($CA38:$DV38,INDEX('MC MAP'!$DA$5:$EV$30,16,0))</f>
        <v>0</v>
      </c>
      <c r="R38" s="2">
        <f>SUMPRODUCT($CA38:$DV38,INDEX('MC MAP'!$DA$5:$EV$30,17,0))</f>
        <v>3</v>
      </c>
      <c r="S38" s="2">
        <f>SUMPRODUCT($CA38:$DV38,INDEX('MC MAP'!$DA$5:$EV$30,18,0))</f>
        <v>0</v>
      </c>
      <c r="T38" s="2">
        <f>SUMPRODUCT($CA38:$DV38,INDEX('MC MAP'!$DA$5:$EV$30,19,0))</f>
        <v>15</v>
      </c>
      <c r="U38" s="2">
        <f>SUMPRODUCT($CA38:$DV38,INDEX('MC MAP'!$DA$5:$EV$30,20,0))</f>
        <v>32.5</v>
      </c>
      <c r="V38" s="2">
        <f>SUMPRODUCT($CA38:$DV38,INDEX('MC MAP'!$DA$5:$EV$30,21,0))</f>
        <v>2</v>
      </c>
      <c r="W38" s="2">
        <f>SUMPRODUCT($CA38:$DV38,INDEX('MC MAP'!$DA$5:$EV$30,22,0))</f>
        <v>2</v>
      </c>
      <c r="X38" s="2">
        <f>SUMPRODUCT($CA38:$DV38,INDEX('MC MAP'!$DA$5:$EV$30,23,0))</f>
        <v>0</v>
      </c>
      <c r="Y38" s="2">
        <f>SUMPRODUCT($CA38:$DV38,INDEX('MC MAP'!$DA$5:$EV$30,24,0))</f>
        <v>7.5</v>
      </c>
      <c r="Z38" s="2">
        <f>SUMPRODUCT($CA38:$DV38,INDEX('MC MAP'!$DA$5:$EV$30,25,0))</f>
        <v>0</v>
      </c>
      <c r="AA38" s="2">
        <f>SUMPRODUCT($CA38:$DV38,INDEX('MC MAP'!$DA$5:$EV$30,26,0))</f>
        <v>25</v>
      </c>
      <c r="AB38" s="2">
        <f>SUM($B38:$AA38)</f>
        <v>801</v>
      </c>
      <c r="AC38" s="2">
        <f>SUM($CA38:$DV38)+$AW38</f>
        <v>26</v>
      </c>
      <c r="AW38" s="2">
        <f>IF($A38=0,0,COUNTIF(INDEX('LINE PLAN'!$B$36:$GS$61,0,ROW()-3),"THERMAL - NOT SPECIFIED"))</f>
        <v>0</v>
      </c>
      <c r="AX38" s="506" cm="1">
        <f t="array" ref="AX38">IF(OR($AB38=0,UPPER($BS38)&lt;&gt;"Y"),0,SUMPRODUCT(--($B38:$AA38&gt;$B$205:$AA$205)))</f>
        <v>4</v>
      </c>
      <c r="AY38" s="507">
        <f>$A38</f>
        <v>46269</v>
      </c>
      <c r="AZ38" s="2">
        <f>$AB38</f>
        <v>801</v>
      </c>
      <c r="BA38" s="2">
        <f>'MC MASTER'!$C$29</f>
        <v>920</v>
      </c>
      <c r="BD38" s="543" t="str">
        <f>INDEX('MC MASTER'!$B$3:$B$28,ROW()-34)</f>
        <v>Zig - Zag</v>
      </c>
      <c r="BE38" s="521">
        <f>INDEX('MC MASTER'!$C$3:$C$28,ROW()-34)</f>
        <v>8</v>
      </c>
      <c r="BF38" s="522">
        <f ca="1">MAX(OFFSET($B$4,BF$32-1,MATCH($BD38,$B$3:$AA$3,0)-1,BF$33,1))</f>
        <v>4</v>
      </c>
      <c r="BG38" s="529">
        <f ca="1">MAX(OFFSET($B$4,BG$32-1,MATCH($BD38,$B$3:$AA$3,0)-1,BG$33,1))</f>
        <v>4</v>
      </c>
      <c r="BH38" s="529">
        <f ca="1">MAX(OFFSET($B$4,BH$32-1,MATCH($BD38,$B$3:$AA$3,0)-1,BH$33,1))</f>
        <v>4</v>
      </c>
      <c r="BI38" s="529">
        <f ca="1">MAX(OFFSET($B$4,BI$32-1,MATCH($BD38,$B$3:$AA$3,0)-1,BI$33,1))</f>
        <v>0</v>
      </c>
      <c r="BJ38" s="544" t="str">
        <f ca="1">IFERROR(INDEX($BF$34:$BI$34,MATCH(MAX($BF38:$BI38),$BF38:$BI38,0)),"")</f>
        <v>Aug</v>
      </c>
      <c r="BK38" s="523">
        <f ca="1">$BE38-MAX($BF38:$BI38)</f>
        <v>4</v>
      </c>
      <c r="BQ38" s="509">
        <f>$A38</f>
        <v>46269</v>
      </c>
      <c r="BR38" s="15" t="str">
        <f>TEXT($A38,"ddd")</f>
        <v>Fri</v>
      </c>
      <c r="BS38" s="547" t="s">
        <v>391</v>
      </c>
      <c r="BT38" s="15">
        <f>IF(UPPER($BS38)="Y",$AB38,0)</f>
        <v>801</v>
      </c>
      <c r="CA38" s="2">
        <f>COUNTIF(INDEX('LINE PLAN'!$B$36:$GS$61,0,ROW()-3),CA$3)</f>
        <v>1</v>
      </c>
      <c r="CB38" s="2">
        <f>COUNTIF(INDEX('LINE PLAN'!$B$36:$GS$61,0,ROW()-3),CB$3)</f>
        <v>1</v>
      </c>
      <c r="CC38" s="2">
        <f>COUNTIF(INDEX('LINE PLAN'!$B$36:$GS$61,0,ROW()-3),CC$3)</f>
        <v>2</v>
      </c>
      <c r="CD38" s="2">
        <f>COUNTIF(INDEX('LINE PLAN'!$B$36:$GS$61,0,ROW()-3),CD$3)</f>
        <v>1</v>
      </c>
      <c r="CE38" s="2">
        <f>COUNTIF(INDEX('LINE PLAN'!$B$36:$GS$61,0,ROW()-3),CE$3)</f>
        <v>3</v>
      </c>
      <c r="CF38" s="2">
        <f>COUNTIF(INDEX('LINE PLAN'!$B$36:$GS$61,0,ROW()-3),CF$3)</f>
        <v>3</v>
      </c>
      <c r="CG38" s="2">
        <f>COUNTIF(INDEX('LINE PLAN'!$B$36:$GS$61,0,ROW()-3),CG$3)</f>
        <v>2</v>
      </c>
      <c r="CH38" s="2">
        <f>COUNTIF(INDEX('LINE PLAN'!$B$36:$GS$61,0,ROW()-3),CH$3)</f>
        <v>3</v>
      </c>
      <c r="CI38" s="2">
        <f>COUNTIF(INDEX('LINE PLAN'!$B$36:$GS$61,0,ROW()-3),CI$3)</f>
        <v>1</v>
      </c>
      <c r="CJ38" s="2">
        <f>COUNTIF(INDEX('LINE PLAN'!$B$36:$GS$61,0,ROW()-3),CJ$3)</f>
        <v>3</v>
      </c>
      <c r="CK38" s="2">
        <f>COUNTIF(INDEX('LINE PLAN'!$B$36:$GS$61,0,ROW()-3),CK$3)</f>
        <v>2</v>
      </c>
      <c r="CL38" s="2">
        <f>COUNTIF(INDEX('LINE PLAN'!$B$36:$GS$61,0,ROW()-3),CL$3)</f>
        <v>0</v>
      </c>
      <c r="CM38" s="2">
        <f>COUNTIF(INDEX('LINE PLAN'!$B$36:$GS$61,0,ROW()-3),CM$3)</f>
        <v>0</v>
      </c>
      <c r="CN38" s="2">
        <f>COUNTIF(INDEX('LINE PLAN'!$B$36:$GS$61,0,ROW()-3),CN$3)</f>
        <v>0</v>
      </c>
      <c r="CO38" s="2">
        <f>COUNTIF(INDEX('LINE PLAN'!$B$36:$GS$61,0,ROW()-3),CO$3)</f>
        <v>1</v>
      </c>
      <c r="CP38" s="2">
        <f>COUNTIF(INDEX('LINE PLAN'!$B$36:$GS$61,0,ROW()-3),CP$3)</f>
        <v>2</v>
      </c>
      <c r="CQ38" s="2">
        <f>COUNTIF(INDEX('LINE PLAN'!$B$36:$GS$61,0,ROW()-3),CQ$3)</f>
        <v>0</v>
      </c>
      <c r="CR38" s="2">
        <f>COUNTIF(INDEX('LINE PLAN'!$B$36:$GS$61,0,ROW()-3),CR$3)</f>
        <v>1</v>
      </c>
      <c r="CS38" s="2">
        <f>COUNTIF(INDEX('LINE PLAN'!$B$36:$GS$61,0,ROW()-3),CS$3)</f>
        <v>0</v>
      </c>
      <c r="CT38" s="2">
        <f>COUNTIF(INDEX('LINE PLAN'!$B$36:$GS$61,0,ROW()-3),CT$3)</f>
        <v>0</v>
      </c>
      <c r="CU38" s="2">
        <f>COUNTIF(INDEX('LINE PLAN'!$B$36:$GS$61,0,ROW()-3),CU$3)</f>
        <v>0</v>
      </c>
      <c r="CV38" s="2">
        <f>COUNTIF(INDEX('LINE PLAN'!$B$36:$GS$61,0,ROW()-3),CV$3)</f>
        <v>0</v>
      </c>
      <c r="CW38" s="2">
        <f>COUNTIF(INDEX('LINE PLAN'!$B$36:$GS$61,0,ROW()-3),CW$3)</f>
        <v>0</v>
      </c>
      <c r="CX38" s="2">
        <f>COUNTIF(INDEX('LINE PLAN'!$B$36:$GS$61,0,ROW()-3),CX$3)</f>
        <v>0</v>
      </c>
      <c r="CY38" s="2">
        <f>COUNTIF(INDEX('LINE PLAN'!$B$36:$GS$61,0,ROW()-3),CY$3)</f>
        <v>0</v>
      </c>
      <c r="CZ38" s="2">
        <f>COUNTIF(INDEX('LINE PLAN'!$B$36:$GS$61,0,ROW()-3),CZ$3)</f>
        <v>0</v>
      </c>
      <c r="DA38" s="2">
        <f>COUNTIF(INDEX('LINE PLAN'!$B$36:$GS$61,0,ROW()-3),DA$3)</f>
        <v>0</v>
      </c>
      <c r="DB38" s="2">
        <f>COUNTIF(INDEX('LINE PLAN'!$B$36:$GS$61,0,ROW()-3),DB$3)</f>
        <v>0</v>
      </c>
      <c r="DC38" s="2">
        <f>COUNTIF(INDEX('LINE PLAN'!$B$36:$GS$61,0,ROW()-3),DC$3)</f>
        <v>0</v>
      </c>
      <c r="DD38" s="2">
        <f>COUNTIF(INDEX('LINE PLAN'!$B$36:$GS$61,0,ROW()-3),DD$3)</f>
        <v>0</v>
      </c>
      <c r="DE38" s="2">
        <f>COUNTIF(INDEX('LINE PLAN'!$B$36:$GS$61,0,ROW()-3),DE$3)</f>
        <v>0</v>
      </c>
      <c r="DF38" s="2">
        <f>COUNTIF(INDEX('LINE PLAN'!$B$36:$GS$61,0,ROW()-3),DF$3)</f>
        <v>0</v>
      </c>
      <c r="DG38" s="2">
        <f>COUNTIF(INDEX('LINE PLAN'!$B$36:$GS$61,0,ROW()-3),DG$3)</f>
        <v>0</v>
      </c>
      <c r="DH38" s="2">
        <f>COUNTIF(INDEX('LINE PLAN'!$B$36:$GS$61,0,ROW()-3),DH$3)</f>
        <v>0</v>
      </c>
      <c r="DI38" s="2">
        <f>COUNTIF(INDEX('LINE PLAN'!$B$36:$GS$61,0,ROW()-3),DI$3)</f>
        <v>0</v>
      </c>
      <c r="DJ38" s="2">
        <f>COUNTIF(INDEX('LINE PLAN'!$B$36:$GS$61,0,ROW()-3),DJ$3)</f>
        <v>0</v>
      </c>
      <c r="DK38" s="2">
        <f>COUNTIF(INDEX('LINE PLAN'!$B$36:$GS$61,0,ROW()-3),DK$3)</f>
        <v>0</v>
      </c>
      <c r="DL38" s="2">
        <f>COUNTIF(INDEX('LINE PLAN'!$B$36:$GS$61,0,ROW()-3),DL$3)</f>
        <v>0</v>
      </c>
      <c r="DM38" s="2">
        <f>COUNTIF(INDEX('LINE PLAN'!$B$36:$GS$61,0,ROW()-3),DM$3)</f>
        <v>0</v>
      </c>
      <c r="DN38" s="2">
        <f>COUNTIF(INDEX('LINE PLAN'!$B$36:$GS$61,0,ROW()-3),DN$3)</f>
        <v>0</v>
      </c>
      <c r="DO38" s="2">
        <f>COUNTIF(INDEX('LINE PLAN'!$B$36:$GS$61,0,ROW()-3),DO$3)</f>
        <v>0</v>
      </c>
      <c r="DP38" s="2">
        <f>COUNTIF(INDEX('LINE PLAN'!$B$36:$GS$61,0,ROW()-3),DP$3)</f>
        <v>0</v>
      </c>
      <c r="DQ38" s="2">
        <f>COUNTIF(INDEX('LINE PLAN'!$B$36:$GS$61,0,ROW()-3),DQ$3)</f>
        <v>0</v>
      </c>
      <c r="DR38" s="2">
        <f>COUNTIF(INDEX('LINE PLAN'!$B$36:$GS$61,0,ROW()-3),DR$3)</f>
        <v>0</v>
      </c>
      <c r="DS38" s="2">
        <f>COUNTIF(INDEX('LINE PLAN'!$B$36:$GS$61,0,ROW()-3),DS$3)</f>
        <v>0</v>
      </c>
      <c r="DT38" s="2">
        <f>COUNTIF(INDEX('LINE PLAN'!$B$36:$GS$61,0,ROW()-3),DT$3)</f>
        <v>0</v>
      </c>
      <c r="DU38" s="2">
        <f>COUNTIF(INDEX('LINE PLAN'!$B$36:$GS$61,0,ROW()-3),DU$3)</f>
        <v>0</v>
      </c>
      <c r="DV38" s="2">
        <f>COUNTIF(INDEX('LINE PLAN'!$B$36:$GS$61,0,ROW()-3),DV$3)</f>
        <v>0</v>
      </c>
    </row>
    <row r="39" spans="1:126">
      <c r="A39" s="505" cm="1">
        <f t="array" ref="A39">INDEX('LINE PLAN'!$B$35:$GS$35,ROW()-3)</f>
        <v>46270</v>
      </c>
      <c r="B39" s="2">
        <f>SUMPRODUCT($CA39:$DV39,INDEX('MC MAP'!$DA$5:$EV$30,1,0))</f>
        <v>144.5</v>
      </c>
      <c r="C39" s="2">
        <f>SUMPRODUCT($CA39:$DV39,INDEX('MC MAP'!$DA$5:$EV$30,2,0))</f>
        <v>1</v>
      </c>
      <c r="D39" s="2">
        <f>SUMPRODUCT($CA39:$DV39,INDEX('MC MAP'!$DA$5:$EV$30,3,0))</f>
        <v>0</v>
      </c>
      <c r="E39" s="2">
        <f>SUMPRODUCT($CA39:$DV39,INDEX('MC MAP'!$DA$5:$EV$30,4,0))</f>
        <v>4</v>
      </c>
      <c r="F39" s="2">
        <f>SUMPRODUCT($CA39:$DV39,INDEX('MC MAP'!$DA$5:$EV$30,5,0))</f>
        <v>266</v>
      </c>
      <c r="G39" s="2">
        <f>SUMPRODUCT($CA39:$DV39,INDEX('MC MAP'!$DA$5:$EV$30,6,0))</f>
        <v>30</v>
      </c>
      <c r="H39" s="2">
        <f>SUMPRODUCT($CA39:$DV39,INDEX('MC MAP'!$DA$5:$EV$30,7,0))</f>
        <v>0</v>
      </c>
      <c r="I39" s="2">
        <f>SUMPRODUCT($CA39:$DV39,INDEX('MC MAP'!$DA$5:$EV$30,8,0))</f>
        <v>36</v>
      </c>
      <c r="J39" s="2">
        <f>SUMPRODUCT($CA39:$DV39,INDEX('MC MAP'!$DA$5:$EV$30,9,0))</f>
        <v>27.5</v>
      </c>
      <c r="K39" s="2">
        <f>SUMPRODUCT($CA39:$DV39,INDEX('MC MAP'!$DA$5:$EV$30,10,0))</f>
        <v>12</v>
      </c>
      <c r="L39" s="2">
        <f>SUMPRODUCT($CA39:$DV39,INDEX('MC MAP'!$DA$5:$EV$30,11,0))</f>
        <v>42.5</v>
      </c>
      <c r="M39" s="2">
        <f>SUMPRODUCT($CA39:$DV39,INDEX('MC MAP'!$DA$5:$EV$30,12,0))</f>
        <v>17</v>
      </c>
      <c r="N39" s="2">
        <f>SUMPRODUCT($CA39:$DV39,INDEX('MC MAP'!$DA$5:$EV$30,13,0))</f>
        <v>28.5</v>
      </c>
      <c r="O39" s="2">
        <f>SUMPRODUCT($CA39:$DV39,INDEX('MC MAP'!$DA$5:$EV$30,14,0))</f>
        <v>42</v>
      </c>
      <c r="P39" s="2">
        <f>SUMPRODUCT($CA39:$DV39,INDEX('MC MAP'!$DA$5:$EV$30,15,0))</f>
        <v>63</v>
      </c>
      <c r="Q39" s="2">
        <f>SUMPRODUCT($CA39:$DV39,INDEX('MC MAP'!$DA$5:$EV$30,16,0))</f>
        <v>0</v>
      </c>
      <c r="R39" s="2">
        <f>SUMPRODUCT($CA39:$DV39,INDEX('MC MAP'!$DA$5:$EV$30,17,0))</f>
        <v>3</v>
      </c>
      <c r="S39" s="2">
        <f>SUMPRODUCT($CA39:$DV39,INDEX('MC MAP'!$DA$5:$EV$30,18,0))</f>
        <v>0</v>
      </c>
      <c r="T39" s="2">
        <f>SUMPRODUCT($CA39:$DV39,INDEX('MC MAP'!$DA$5:$EV$30,19,0))</f>
        <v>15</v>
      </c>
      <c r="U39" s="2">
        <f>SUMPRODUCT($CA39:$DV39,INDEX('MC MAP'!$DA$5:$EV$30,20,0))</f>
        <v>32.5</v>
      </c>
      <c r="V39" s="2">
        <f>SUMPRODUCT($CA39:$DV39,INDEX('MC MAP'!$DA$5:$EV$30,21,0))</f>
        <v>2</v>
      </c>
      <c r="W39" s="2">
        <f>SUMPRODUCT($CA39:$DV39,INDEX('MC MAP'!$DA$5:$EV$30,22,0))</f>
        <v>2</v>
      </c>
      <c r="X39" s="2">
        <f>SUMPRODUCT($CA39:$DV39,INDEX('MC MAP'!$DA$5:$EV$30,23,0))</f>
        <v>0</v>
      </c>
      <c r="Y39" s="2">
        <f>SUMPRODUCT($CA39:$DV39,INDEX('MC MAP'!$DA$5:$EV$30,24,0))</f>
        <v>7.5</v>
      </c>
      <c r="Z39" s="2">
        <f>SUMPRODUCT($CA39:$DV39,INDEX('MC MAP'!$DA$5:$EV$30,25,0))</f>
        <v>0</v>
      </c>
      <c r="AA39" s="2">
        <f>SUMPRODUCT($CA39:$DV39,INDEX('MC MAP'!$DA$5:$EV$30,26,0))</f>
        <v>25</v>
      </c>
      <c r="AB39" s="2">
        <f>SUM($B39:$AA39)</f>
        <v>801</v>
      </c>
      <c r="AC39" s="2">
        <f>SUM($CA39:$DV39)+$AW39</f>
        <v>26</v>
      </c>
      <c r="AW39" s="2">
        <f>IF($A39=0,0,COUNTIF(INDEX('LINE PLAN'!$B$36:$GS$61,0,ROW()-3),"THERMAL - NOT SPECIFIED"))</f>
        <v>0</v>
      </c>
      <c r="AX39" s="506" cm="1">
        <f t="array" ref="AX39">IF(OR($AB39=0,UPPER($BS39)&lt;&gt;"Y"),0,SUMPRODUCT(--($B39:$AA39&gt;$B$205:$AA$205)))</f>
        <v>4</v>
      </c>
      <c r="AY39" s="507">
        <f>$A39</f>
        <v>46270</v>
      </c>
      <c r="AZ39" s="2">
        <f>$AB39</f>
        <v>801</v>
      </c>
      <c r="BA39" s="2">
        <f>'MC MASTER'!$C$29</f>
        <v>920</v>
      </c>
      <c r="BD39" s="543" t="str">
        <f>INDEX('MC MASTER'!$B$3:$B$28,ROW()-34)</f>
        <v>4th Overlock</v>
      </c>
      <c r="BE39" s="521">
        <f>INDEX('MC MASTER'!$C$3:$C$28,ROW()-34)</f>
        <v>279</v>
      </c>
      <c r="BF39" s="522">
        <f ca="1">MAX(OFFSET($B$4,BF$32-1,MATCH($BD39,$B$3:$AA$3,0)-1,BF$33,1))</f>
        <v>291</v>
      </c>
      <c r="BG39" s="529">
        <f ca="1">MAX(OFFSET($B$4,BG$32-1,MATCH($BD39,$B$3:$AA$3,0)-1,BG$33,1))</f>
        <v>266</v>
      </c>
      <c r="BH39" s="529">
        <f ca="1">MAX(OFFSET($B$4,BH$32-1,MATCH($BD39,$B$3:$AA$3,0)-1,BH$33,1))</f>
        <v>195</v>
      </c>
      <c r="BI39" s="529">
        <f ca="1">MAX(OFFSET($B$4,BI$32-1,MATCH($BD39,$B$3:$AA$3,0)-1,BI$33,1))</f>
        <v>0</v>
      </c>
      <c r="BJ39" s="544" t="str">
        <f ca="1">IFERROR(INDEX($BF$34:$BI$34,MATCH(MAX($BF39:$BI39),$BF39:$BI39,0)),"")</f>
        <v>Aug</v>
      </c>
      <c r="BK39" s="523">
        <f ca="1">$BE39-MAX($BF39:$BI39)</f>
        <v>-12</v>
      </c>
      <c r="BQ39" s="509">
        <f>$A39</f>
        <v>46270</v>
      </c>
      <c r="BR39" s="15" t="str">
        <f>TEXT($A39,"ddd")</f>
        <v>Sat</v>
      </c>
      <c r="BS39" s="547" t="s">
        <v>391</v>
      </c>
      <c r="BT39" s="15">
        <f>IF(UPPER($BS39)="Y",$AB39,0)</f>
        <v>801</v>
      </c>
      <c r="CA39" s="2">
        <f>COUNTIF(INDEX('LINE PLAN'!$B$36:$GS$61,0,ROW()-3),CA$3)</f>
        <v>1</v>
      </c>
      <c r="CB39" s="2">
        <f>COUNTIF(INDEX('LINE PLAN'!$B$36:$GS$61,0,ROW()-3),CB$3)</f>
        <v>1</v>
      </c>
      <c r="CC39" s="2">
        <f>COUNTIF(INDEX('LINE PLAN'!$B$36:$GS$61,0,ROW()-3),CC$3)</f>
        <v>2</v>
      </c>
      <c r="CD39" s="2">
        <f>COUNTIF(INDEX('LINE PLAN'!$B$36:$GS$61,0,ROW()-3),CD$3)</f>
        <v>1</v>
      </c>
      <c r="CE39" s="2">
        <f>COUNTIF(INDEX('LINE PLAN'!$B$36:$GS$61,0,ROW()-3),CE$3)</f>
        <v>3</v>
      </c>
      <c r="CF39" s="2">
        <f>COUNTIF(INDEX('LINE PLAN'!$B$36:$GS$61,0,ROW()-3),CF$3)</f>
        <v>3</v>
      </c>
      <c r="CG39" s="2">
        <f>COUNTIF(INDEX('LINE PLAN'!$B$36:$GS$61,0,ROW()-3),CG$3)</f>
        <v>2</v>
      </c>
      <c r="CH39" s="2">
        <f>COUNTIF(INDEX('LINE PLAN'!$B$36:$GS$61,0,ROW()-3),CH$3)</f>
        <v>3</v>
      </c>
      <c r="CI39" s="2">
        <f>COUNTIF(INDEX('LINE PLAN'!$B$36:$GS$61,0,ROW()-3),CI$3)</f>
        <v>1</v>
      </c>
      <c r="CJ39" s="2">
        <f>COUNTIF(INDEX('LINE PLAN'!$B$36:$GS$61,0,ROW()-3),CJ$3)</f>
        <v>3</v>
      </c>
      <c r="CK39" s="2">
        <f>COUNTIF(INDEX('LINE PLAN'!$B$36:$GS$61,0,ROW()-3),CK$3)</f>
        <v>2</v>
      </c>
      <c r="CL39" s="2">
        <f>COUNTIF(INDEX('LINE PLAN'!$B$36:$GS$61,0,ROW()-3),CL$3)</f>
        <v>0</v>
      </c>
      <c r="CM39" s="2">
        <f>COUNTIF(INDEX('LINE PLAN'!$B$36:$GS$61,0,ROW()-3),CM$3)</f>
        <v>0</v>
      </c>
      <c r="CN39" s="2">
        <f>COUNTIF(INDEX('LINE PLAN'!$B$36:$GS$61,0,ROW()-3),CN$3)</f>
        <v>0</v>
      </c>
      <c r="CO39" s="2">
        <f>COUNTIF(INDEX('LINE PLAN'!$B$36:$GS$61,0,ROW()-3),CO$3)</f>
        <v>1</v>
      </c>
      <c r="CP39" s="2">
        <f>COUNTIF(INDEX('LINE PLAN'!$B$36:$GS$61,0,ROW()-3),CP$3)</f>
        <v>2</v>
      </c>
      <c r="CQ39" s="2">
        <f>COUNTIF(INDEX('LINE PLAN'!$B$36:$GS$61,0,ROW()-3),CQ$3)</f>
        <v>0</v>
      </c>
      <c r="CR39" s="2">
        <f>COUNTIF(INDEX('LINE PLAN'!$B$36:$GS$61,0,ROW()-3),CR$3)</f>
        <v>1</v>
      </c>
      <c r="CS39" s="2">
        <f>COUNTIF(INDEX('LINE PLAN'!$B$36:$GS$61,0,ROW()-3),CS$3)</f>
        <v>0</v>
      </c>
      <c r="CT39" s="2">
        <f>COUNTIF(INDEX('LINE PLAN'!$B$36:$GS$61,0,ROW()-3),CT$3)</f>
        <v>0</v>
      </c>
      <c r="CU39" s="2">
        <f>COUNTIF(INDEX('LINE PLAN'!$B$36:$GS$61,0,ROW()-3),CU$3)</f>
        <v>0</v>
      </c>
      <c r="CV39" s="2">
        <f>COUNTIF(INDEX('LINE PLAN'!$B$36:$GS$61,0,ROW()-3),CV$3)</f>
        <v>0</v>
      </c>
      <c r="CW39" s="2">
        <f>COUNTIF(INDEX('LINE PLAN'!$B$36:$GS$61,0,ROW()-3),CW$3)</f>
        <v>0</v>
      </c>
      <c r="CX39" s="2">
        <f>COUNTIF(INDEX('LINE PLAN'!$B$36:$GS$61,0,ROW()-3),CX$3)</f>
        <v>0</v>
      </c>
      <c r="CY39" s="2">
        <f>COUNTIF(INDEX('LINE PLAN'!$B$36:$GS$61,0,ROW()-3),CY$3)</f>
        <v>0</v>
      </c>
      <c r="CZ39" s="2">
        <f>COUNTIF(INDEX('LINE PLAN'!$B$36:$GS$61,0,ROW()-3),CZ$3)</f>
        <v>0</v>
      </c>
      <c r="DA39" s="2">
        <f>COUNTIF(INDEX('LINE PLAN'!$B$36:$GS$61,0,ROW()-3),DA$3)</f>
        <v>0</v>
      </c>
      <c r="DB39" s="2">
        <f>COUNTIF(INDEX('LINE PLAN'!$B$36:$GS$61,0,ROW()-3),DB$3)</f>
        <v>0</v>
      </c>
      <c r="DC39" s="2">
        <f>COUNTIF(INDEX('LINE PLAN'!$B$36:$GS$61,0,ROW()-3),DC$3)</f>
        <v>0</v>
      </c>
      <c r="DD39" s="2">
        <f>COUNTIF(INDEX('LINE PLAN'!$B$36:$GS$61,0,ROW()-3),DD$3)</f>
        <v>0</v>
      </c>
      <c r="DE39" s="2">
        <f>COUNTIF(INDEX('LINE PLAN'!$B$36:$GS$61,0,ROW()-3),DE$3)</f>
        <v>0</v>
      </c>
      <c r="DF39" s="2">
        <f>COUNTIF(INDEX('LINE PLAN'!$B$36:$GS$61,0,ROW()-3),DF$3)</f>
        <v>0</v>
      </c>
      <c r="DG39" s="2">
        <f>COUNTIF(INDEX('LINE PLAN'!$B$36:$GS$61,0,ROW()-3),DG$3)</f>
        <v>0</v>
      </c>
      <c r="DH39" s="2">
        <f>COUNTIF(INDEX('LINE PLAN'!$B$36:$GS$61,0,ROW()-3),DH$3)</f>
        <v>0</v>
      </c>
      <c r="DI39" s="2">
        <f>COUNTIF(INDEX('LINE PLAN'!$B$36:$GS$61,0,ROW()-3),DI$3)</f>
        <v>0</v>
      </c>
      <c r="DJ39" s="2">
        <f>COUNTIF(INDEX('LINE PLAN'!$B$36:$GS$61,0,ROW()-3),DJ$3)</f>
        <v>0</v>
      </c>
      <c r="DK39" s="2">
        <f>COUNTIF(INDEX('LINE PLAN'!$B$36:$GS$61,0,ROW()-3),DK$3)</f>
        <v>0</v>
      </c>
      <c r="DL39" s="2">
        <f>COUNTIF(INDEX('LINE PLAN'!$B$36:$GS$61,0,ROW()-3),DL$3)</f>
        <v>0</v>
      </c>
      <c r="DM39" s="2">
        <f>COUNTIF(INDEX('LINE PLAN'!$B$36:$GS$61,0,ROW()-3),DM$3)</f>
        <v>0</v>
      </c>
      <c r="DN39" s="2">
        <f>COUNTIF(INDEX('LINE PLAN'!$B$36:$GS$61,0,ROW()-3),DN$3)</f>
        <v>0</v>
      </c>
      <c r="DO39" s="2">
        <f>COUNTIF(INDEX('LINE PLAN'!$B$36:$GS$61,0,ROW()-3),DO$3)</f>
        <v>0</v>
      </c>
      <c r="DP39" s="2">
        <f>COUNTIF(INDEX('LINE PLAN'!$B$36:$GS$61,0,ROW()-3),DP$3)</f>
        <v>0</v>
      </c>
      <c r="DQ39" s="2">
        <f>COUNTIF(INDEX('LINE PLAN'!$B$36:$GS$61,0,ROW()-3),DQ$3)</f>
        <v>0</v>
      </c>
      <c r="DR39" s="2">
        <f>COUNTIF(INDEX('LINE PLAN'!$B$36:$GS$61,0,ROW()-3),DR$3)</f>
        <v>0</v>
      </c>
      <c r="DS39" s="2">
        <f>COUNTIF(INDEX('LINE PLAN'!$B$36:$GS$61,0,ROW()-3),DS$3)</f>
        <v>0</v>
      </c>
      <c r="DT39" s="2">
        <f>COUNTIF(INDEX('LINE PLAN'!$B$36:$GS$61,0,ROW()-3),DT$3)</f>
        <v>0</v>
      </c>
      <c r="DU39" s="2">
        <f>COUNTIF(INDEX('LINE PLAN'!$B$36:$GS$61,0,ROW()-3),DU$3)</f>
        <v>0</v>
      </c>
      <c r="DV39" s="2">
        <f>COUNTIF(INDEX('LINE PLAN'!$B$36:$GS$61,0,ROW()-3),DV$3)</f>
        <v>0</v>
      </c>
    </row>
    <row r="40" spans="1:126">
      <c r="A40" s="505" cm="1">
        <f t="array" ref="A40">INDEX('LINE PLAN'!$B$35:$GS$35,ROW()-3)</f>
        <v>46271</v>
      </c>
      <c r="B40" s="2">
        <f>SUMPRODUCT($CA40:$DV40,INDEX('MC MAP'!$DA$5:$EV$30,1,0))</f>
        <v>132.5</v>
      </c>
      <c r="C40" s="2">
        <f>SUMPRODUCT($CA40:$DV40,INDEX('MC MAP'!$DA$5:$EV$30,2,0))</f>
        <v>1</v>
      </c>
      <c r="D40" s="2">
        <f>SUMPRODUCT($CA40:$DV40,INDEX('MC MAP'!$DA$5:$EV$30,3,0))</f>
        <v>0</v>
      </c>
      <c r="E40" s="2">
        <f>SUMPRODUCT($CA40:$DV40,INDEX('MC MAP'!$DA$5:$EV$30,4,0))</f>
        <v>4</v>
      </c>
      <c r="F40" s="2">
        <f>SUMPRODUCT($CA40:$DV40,INDEX('MC MAP'!$DA$5:$EV$30,5,0))</f>
        <v>238</v>
      </c>
      <c r="G40" s="2">
        <f>SUMPRODUCT($CA40:$DV40,INDEX('MC MAP'!$DA$5:$EV$30,6,0))</f>
        <v>24</v>
      </c>
      <c r="H40" s="2">
        <f>SUMPRODUCT($CA40:$DV40,INDEX('MC MAP'!$DA$5:$EV$30,7,0))</f>
        <v>0</v>
      </c>
      <c r="I40" s="2">
        <f>SUMPRODUCT($CA40:$DV40,INDEX('MC MAP'!$DA$5:$EV$30,8,0))</f>
        <v>30</v>
      </c>
      <c r="J40" s="2">
        <f>SUMPRODUCT($CA40:$DV40,INDEX('MC MAP'!$DA$5:$EV$30,9,0))</f>
        <v>27.5</v>
      </c>
      <c r="K40" s="2">
        <f>SUMPRODUCT($CA40:$DV40,INDEX('MC MAP'!$DA$5:$EV$30,10,0))</f>
        <v>12</v>
      </c>
      <c r="L40" s="2">
        <f>SUMPRODUCT($CA40:$DV40,INDEX('MC MAP'!$DA$5:$EV$30,11,0))</f>
        <v>31.5</v>
      </c>
      <c r="M40" s="2">
        <f>SUMPRODUCT($CA40:$DV40,INDEX('MC MAP'!$DA$5:$EV$30,12,0))</f>
        <v>17</v>
      </c>
      <c r="N40" s="2">
        <f>SUMPRODUCT($CA40:$DV40,INDEX('MC MAP'!$DA$5:$EV$30,13,0))</f>
        <v>28.5</v>
      </c>
      <c r="O40" s="2">
        <f>SUMPRODUCT($CA40:$DV40,INDEX('MC MAP'!$DA$5:$EV$30,14,0))</f>
        <v>42</v>
      </c>
      <c r="P40" s="2">
        <f>SUMPRODUCT($CA40:$DV40,INDEX('MC MAP'!$DA$5:$EV$30,15,0))</f>
        <v>63</v>
      </c>
      <c r="Q40" s="2">
        <f>SUMPRODUCT($CA40:$DV40,INDEX('MC MAP'!$DA$5:$EV$30,16,0))</f>
        <v>0</v>
      </c>
      <c r="R40" s="2">
        <f>SUMPRODUCT($CA40:$DV40,INDEX('MC MAP'!$DA$5:$EV$30,17,0))</f>
        <v>3</v>
      </c>
      <c r="S40" s="2">
        <f>SUMPRODUCT($CA40:$DV40,INDEX('MC MAP'!$DA$5:$EV$30,18,0))</f>
        <v>0</v>
      </c>
      <c r="T40" s="2">
        <f>SUMPRODUCT($CA40:$DV40,INDEX('MC MAP'!$DA$5:$EV$30,19,0))</f>
        <v>15</v>
      </c>
      <c r="U40" s="2">
        <f>SUMPRODUCT($CA40:$DV40,INDEX('MC MAP'!$DA$5:$EV$30,20,0))</f>
        <v>30.5</v>
      </c>
      <c r="V40" s="2">
        <f>SUMPRODUCT($CA40:$DV40,INDEX('MC MAP'!$DA$5:$EV$30,21,0))</f>
        <v>2</v>
      </c>
      <c r="W40" s="2">
        <f>SUMPRODUCT($CA40:$DV40,INDEX('MC MAP'!$DA$5:$EV$30,22,0))</f>
        <v>2</v>
      </c>
      <c r="X40" s="2">
        <f>SUMPRODUCT($CA40:$DV40,INDEX('MC MAP'!$DA$5:$EV$30,23,0))</f>
        <v>0</v>
      </c>
      <c r="Y40" s="2">
        <f>SUMPRODUCT($CA40:$DV40,INDEX('MC MAP'!$DA$5:$EV$30,24,0))</f>
        <v>7.5</v>
      </c>
      <c r="Z40" s="2">
        <f>SUMPRODUCT($CA40:$DV40,INDEX('MC MAP'!$DA$5:$EV$30,25,0))</f>
        <v>0</v>
      </c>
      <c r="AA40" s="2">
        <f>SUMPRODUCT($CA40:$DV40,INDEX('MC MAP'!$DA$5:$EV$30,26,0))</f>
        <v>23</v>
      </c>
      <c r="AB40" s="2">
        <f>SUM($B40:$AA40)</f>
        <v>734</v>
      </c>
      <c r="AC40" s="2">
        <f>SUM($CA40:$DV40)+$AW40</f>
        <v>26</v>
      </c>
      <c r="AW40" s="2">
        <f>IF($A40=0,0,COUNTIF(INDEX('LINE PLAN'!$B$36:$GS$61,0,ROW()-3),"THERMAL - NOT SPECIFIED"))</f>
        <v>0</v>
      </c>
      <c r="AX40" s="506" cm="1">
        <f t="array" ref="AX40">IF(OR($AB40=0,UPPER($BS40)&lt;&gt;"Y"),0,SUMPRODUCT(--($B40:$AA40&gt;$B$205:$AA$205)))</f>
        <v>0</v>
      </c>
      <c r="AY40" s="507">
        <f>$A40</f>
        <v>46271</v>
      </c>
      <c r="AZ40" s="2">
        <f>$AB40</f>
        <v>734</v>
      </c>
      <c r="BA40" s="2">
        <f>'MC MASTER'!$C$29</f>
        <v>920</v>
      </c>
      <c r="BD40" s="543" t="str">
        <f>INDEX('MC MASTER'!$B$3:$B$28,ROW()-34)</f>
        <v>3th Overlock (Leg elastic)</v>
      </c>
      <c r="BE40" s="521">
        <f>INDEX('MC MASTER'!$C$3:$C$28,ROW()-34)</f>
        <v>30</v>
      </c>
      <c r="BF40" s="522">
        <f ca="1">MAX(OFFSET($B$4,BF$32-1,MATCH($BD40,$B$3:$AA$3,0)-1,BF$33,1))</f>
        <v>31</v>
      </c>
      <c r="BG40" s="529">
        <f ca="1">MAX(OFFSET($B$4,BG$32-1,MATCH($BD40,$B$3:$AA$3,0)-1,BG$33,1))</f>
        <v>30</v>
      </c>
      <c r="BH40" s="529">
        <f ca="1">MAX(OFFSET($B$4,BH$32-1,MATCH($BD40,$B$3:$AA$3,0)-1,BH$33,1))</f>
        <v>12</v>
      </c>
      <c r="BI40" s="529">
        <f ca="1">MAX(OFFSET($B$4,BI$32-1,MATCH($BD40,$B$3:$AA$3,0)-1,BI$33,1))</f>
        <v>0</v>
      </c>
      <c r="BJ40" s="544" t="str">
        <f ca="1">IFERROR(INDEX($BF$34:$BI$34,MATCH(MAX($BF40:$BI40),$BF40:$BI40,0)),"")</f>
        <v>Aug</v>
      </c>
      <c r="BK40" s="523">
        <f ca="1">$BE40-MAX($BF40:$BI40)</f>
        <v>-1</v>
      </c>
      <c r="BQ40" s="509">
        <f>$A40</f>
        <v>46271</v>
      </c>
      <c r="BR40" s="15" t="str">
        <f>TEXT($A40,"ddd")</f>
        <v>Sun</v>
      </c>
      <c r="BS40" s="547" t="s">
        <v>392</v>
      </c>
      <c r="BT40" s="15">
        <f>IF(UPPER($BS40)="Y",$AB40,0)</f>
        <v>0</v>
      </c>
      <c r="CA40" s="2">
        <f>COUNTIF(INDEX('LINE PLAN'!$B$36:$GS$61,0,ROW()-3),CA$3)</f>
        <v>1</v>
      </c>
      <c r="CB40" s="2">
        <f>COUNTIF(INDEX('LINE PLAN'!$B$36:$GS$61,0,ROW()-3),CB$3)</f>
        <v>1</v>
      </c>
      <c r="CC40" s="2">
        <f>COUNTIF(INDEX('LINE PLAN'!$B$36:$GS$61,0,ROW()-3),CC$3)</f>
        <v>2</v>
      </c>
      <c r="CD40" s="2">
        <f>COUNTIF(INDEX('LINE PLAN'!$B$36:$GS$61,0,ROW()-3),CD$3)</f>
        <v>1</v>
      </c>
      <c r="CE40" s="2">
        <f>COUNTIF(INDEX('LINE PLAN'!$B$36:$GS$61,0,ROW()-3),CE$3)</f>
        <v>3</v>
      </c>
      <c r="CF40" s="2">
        <f>COUNTIF(INDEX('LINE PLAN'!$B$36:$GS$61,0,ROW()-3),CF$3)</f>
        <v>3</v>
      </c>
      <c r="CG40" s="2">
        <f>COUNTIF(INDEX('LINE PLAN'!$B$36:$GS$61,0,ROW()-3),CG$3)</f>
        <v>2</v>
      </c>
      <c r="CH40" s="2">
        <f>COUNTIF(INDEX('LINE PLAN'!$B$36:$GS$61,0,ROW()-3),CH$3)</f>
        <v>3</v>
      </c>
      <c r="CI40" s="2">
        <f>COUNTIF(INDEX('LINE PLAN'!$B$36:$GS$61,0,ROW()-3),CI$3)</f>
        <v>1</v>
      </c>
      <c r="CJ40" s="2">
        <f>COUNTIF(INDEX('LINE PLAN'!$B$36:$GS$61,0,ROW()-3),CJ$3)</f>
        <v>3</v>
      </c>
      <c r="CK40" s="2">
        <f>COUNTIF(INDEX('LINE PLAN'!$B$36:$GS$61,0,ROW()-3),CK$3)</f>
        <v>0</v>
      </c>
      <c r="CL40" s="2">
        <f>COUNTIF(INDEX('LINE PLAN'!$B$36:$GS$61,0,ROW()-3),CL$3)</f>
        <v>0</v>
      </c>
      <c r="CM40" s="2">
        <f>COUNTIF(INDEX('LINE PLAN'!$B$36:$GS$61,0,ROW()-3),CM$3)</f>
        <v>2</v>
      </c>
      <c r="CN40" s="2">
        <f>COUNTIF(INDEX('LINE PLAN'!$B$36:$GS$61,0,ROW()-3),CN$3)</f>
        <v>0</v>
      </c>
      <c r="CO40" s="2">
        <f>COUNTIF(INDEX('LINE PLAN'!$B$36:$GS$61,0,ROW()-3),CO$3)</f>
        <v>1</v>
      </c>
      <c r="CP40" s="2">
        <f>COUNTIF(INDEX('LINE PLAN'!$B$36:$GS$61,0,ROW()-3),CP$3)</f>
        <v>2</v>
      </c>
      <c r="CQ40" s="2">
        <f>COUNTIF(INDEX('LINE PLAN'!$B$36:$GS$61,0,ROW()-3),CQ$3)</f>
        <v>0</v>
      </c>
      <c r="CR40" s="2">
        <f>COUNTIF(INDEX('LINE PLAN'!$B$36:$GS$61,0,ROW()-3),CR$3)</f>
        <v>1</v>
      </c>
      <c r="CS40" s="2">
        <f>COUNTIF(INDEX('LINE PLAN'!$B$36:$GS$61,0,ROW()-3),CS$3)</f>
        <v>0</v>
      </c>
      <c r="CT40" s="2">
        <f>COUNTIF(INDEX('LINE PLAN'!$B$36:$GS$61,0,ROW()-3),CT$3)</f>
        <v>0</v>
      </c>
      <c r="CU40" s="2">
        <f>COUNTIF(INDEX('LINE PLAN'!$B$36:$GS$61,0,ROW()-3),CU$3)</f>
        <v>0</v>
      </c>
      <c r="CV40" s="2">
        <f>COUNTIF(INDEX('LINE PLAN'!$B$36:$GS$61,0,ROW()-3),CV$3)</f>
        <v>0</v>
      </c>
      <c r="CW40" s="2">
        <f>COUNTIF(INDEX('LINE PLAN'!$B$36:$GS$61,0,ROW()-3),CW$3)</f>
        <v>0</v>
      </c>
      <c r="CX40" s="2">
        <f>COUNTIF(INDEX('LINE PLAN'!$B$36:$GS$61,0,ROW()-3),CX$3)</f>
        <v>0</v>
      </c>
      <c r="CY40" s="2">
        <f>COUNTIF(INDEX('LINE PLAN'!$B$36:$GS$61,0,ROW()-3),CY$3)</f>
        <v>0</v>
      </c>
      <c r="CZ40" s="2">
        <f>COUNTIF(INDEX('LINE PLAN'!$B$36:$GS$61,0,ROW()-3),CZ$3)</f>
        <v>0</v>
      </c>
      <c r="DA40" s="2">
        <f>COUNTIF(INDEX('LINE PLAN'!$B$36:$GS$61,0,ROW()-3),DA$3)</f>
        <v>0</v>
      </c>
      <c r="DB40" s="2">
        <f>COUNTIF(INDEX('LINE PLAN'!$B$36:$GS$61,0,ROW()-3),DB$3)</f>
        <v>0</v>
      </c>
      <c r="DC40" s="2">
        <f>COUNTIF(INDEX('LINE PLAN'!$B$36:$GS$61,0,ROW()-3),DC$3)</f>
        <v>0</v>
      </c>
      <c r="DD40" s="2">
        <f>COUNTIF(INDEX('LINE PLAN'!$B$36:$GS$61,0,ROW()-3),DD$3)</f>
        <v>0</v>
      </c>
      <c r="DE40" s="2">
        <f>COUNTIF(INDEX('LINE PLAN'!$B$36:$GS$61,0,ROW()-3),DE$3)</f>
        <v>0</v>
      </c>
      <c r="DF40" s="2">
        <f>COUNTIF(INDEX('LINE PLAN'!$B$36:$GS$61,0,ROW()-3),DF$3)</f>
        <v>0</v>
      </c>
      <c r="DG40" s="2">
        <f>COUNTIF(INDEX('LINE PLAN'!$B$36:$GS$61,0,ROW()-3),DG$3)</f>
        <v>0</v>
      </c>
      <c r="DH40" s="2">
        <f>COUNTIF(INDEX('LINE PLAN'!$B$36:$GS$61,0,ROW()-3),DH$3)</f>
        <v>0</v>
      </c>
      <c r="DI40" s="2">
        <f>COUNTIF(INDEX('LINE PLAN'!$B$36:$GS$61,0,ROW()-3),DI$3)</f>
        <v>0</v>
      </c>
      <c r="DJ40" s="2">
        <f>COUNTIF(INDEX('LINE PLAN'!$B$36:$GS$61,0,ROW()-3),DJ$3)</f>
        <v>0</v>
      </c>
      <c r="DK40" s="2">
        <f>COUNTIF(INDEX('LINE PLAN'!$B$36:$GS$61,0,ROW()-3),DK$3)</f>
        <v>0</v>
      </c>
      <c r="DL40" s="2">
        <f>COUNTIF(INDEX('LINE PLAN'!$B$36:$GS$61,0,ROW()-3),DL$3)</f>
        <v>0</v>
      </c>
      <c r="DM40" s="2">
        <f>COUNTIF(INDEX('LINE PLAN'!$B$36:$GS$61,0,ROW()-3),DM$3)</f>
        <v>0</v>
      </c>
      <c r="DN40" s="2">
        <f>COUNTIF(INDEX('LINE PLAN'!$B$36:$GS$61,0,ROW()-3),DN$3)</f>
        <v>0</v>
      </c>
      <c r="DO40" s="2">
        <f>COUNTIF(INDEX('LINE PLAN'!$B$36:$GS$61,0,ROW()-3),DO$3)</f>
        <v>0</v>
      </c>
      <c r="DP40" s="2">
        <f>COUNTIF(INDEX('LINE PLAN'!$B$36:$GS$61,0,ROW()-3),DP$3)</f>
        <v>0</v>
      </c>
      <c r="DQ40" s="2">
        <f>COUNTIF(INDEX('LINE PLAN'!$B$36:$GS$61,0,ROW()-3),DQ$3)</f>
        <v>0</v>
      </c>
      <c r="DR40" s="2">
        <f>COUNTIF(INDEX('LINE PLAN'!$B$36:$GS$61,0,ROW()-3),DR$3)</f>
        <v>0</v>
      </c>
      <c r="DS40" s="2">
        <f>COUNTIF(INDEX('LINE PLAN'!$B$36:$GS$61,0,ROW()-3),DS$3)</f>
        <v>0</v>
      </c>
      <c r="DT40" s="2">
        <f>COUNTIF(INDEX('LINE PLAN'!$B$36:$GS$61,0,ROW()-3),DT$3)</f>
        <v>0</v>
      </c>
      <c r="DU40" s="2">
        <f>COUNTIF(INDEX('LINE PLAN'!$B$36:$GS$61,0,ROW()-3),DU$3)</f>
        <v>0</v>
      </c>
      <c r="DV40" s="2">
        <f>COUNTIF(INDEX('LINE PLAN'!$B$36:$GS$61,0,ROW()-3),DV$3)</f>
        <v>0</v>
      </c>
    </row>
    <row r="41" spans="1:126">
      <c r="A41" s="505" cm="1">
        <f t="array" ref="A41">INDEX('LINE PLAN'!$B$35:$GS$35,ROW()-3)</f>
        <v>46272</v>
      </c>
      <c r="B41" s="2">
        <f>SUMPRODUCT($CA41:$DV41,INDEX('MC MAP'!$DA$5:$EV$30,1,0))</f>
        <v>141.5</v>
      </c>
      <c r="C41" s="2">
        <f>SUMPRODUCT($CA41:$DV41,INDEX('MC MAP'!$DA$5:$EV$30,2,0))</f>
        <v>1</v>
      </c>
      <c r="D41" s="2">
        <f>SUMPRODUCT($CA41:$DV41,INDEX('MC MAP'!$DA$5:$EV$30,3,0))</f>
        <v>0</v>
      </c>
      <c r="E41" s="2">
        <f>SUMPRODUCT($CA41:$DV41,INDEX('MC MAP'!$DA$5:$EV$30,4,0))</f>
        <v>4</v>
      </c>
      <c r="F41" s="2">
        <f>SUMPRODUCT($CA41:$DV41,INDEX('MC MAP'!$DA$5:$EV$30,5,0))</f>
        <v>259</v>
      </c>
      <c r="G41" s="2">
        <f>SUMPRODUCT($CA41:$DV41,INDEX('MC MAP'!$DA$5:$EV$30,6,0))</f>
        <v>28</v>
      </c>
      <c r="H41" s="2">
        <f>SUMPRODUCT($CA41:$DV41,INDEX('MC MAP'!$DA$5:$EV$30,7,0))</f>
        <v>0</v>
      </c>
      <c r="I41" s="2">
        <f>SUMPRODUCT($CA41:$DV41,INDEX('MC MAP'!$DA$5:$EV$30,8,0))</f>
        <v>30</v>
      </c>
      <c r="J41" s="2">
        <f>SUMPRODUCT($CA41:$DV41,INDEX('MC MAP'!$DA$5:$EV$30,9,0))</f>
        <v>29.5</v>
      </c>
      <c r="K41" s="2">
        <f>SUMPRODUCT($CA41:$DV41,INDEX('MC MAP'!$DA$5:$EV$30,10,0))</f>
        <v>16</v>
      </c>
      <c r="L41" s="2">
        <f>SUMPRODUCT($CA41:$DV41,INDEX('MC MAP'!$DA$5:$EV$30,11,0))</f>
        <v>35.5</v>
      </c>
      <c r="M41" s="2">
        <f>SUMPRODUCT($CA41:$DV41,INDEX('MC MAP'!$DA$5:$EV$30,12,0))</f>
        <v>18</v>
      </c>
      <c r="N41" s="2">
        <f>SUMPRODUCT($CA41:$DV41,INDEX('MC MAP'!$DA$5:$EV$30,13,0))</f>
        <v>28.5</v>
      </c>
      <c r="O41" s="2">
        <f>SUMPRODUCT($CA41:$DV41,INDEX('MC MAP'!$DA$5:$EV$30,14,0))</f>
        <v>42</v>
      </c>
      <c r="P41" s="2">
        <f>SUMPRODUCT($CA41:$DV41,INDEX('MC MAP'!$DA$5:$EV$30,15,0))</f>
        <v>67</v>
      </c>
      <c r="Q41" s="2">
        <f>SUMPRODUCT($CA41:$DV41,INDEX('MC MAP'!$DA$5:$EV$30,16,0))</f>
        <v>0</v>
      </c>
      <c r="R41" s="2">
        <f>SUMPRODUCT($CA41:$DV41,INDEX('MC MAP'!$DA$5:$EV$30,17,0))</f>
        <v>3</v>
      </c>
      <c r="S41" s="2">
        <f>SUMPRODUCT($CA41:$DV41,INDEX('MC MAP'!$DA$5:$EV$30,18,0))</f>
        <v>0</v>
      </c>
      <c r="T41" s="2">
        <f>SUMPRODUCT($CA41:$DV41,INDEX('MC MAP'!$DA$5:$EV$30,19,0))</f>
        <v>18</v>
      </c>
      <c r="U41" s="2">
        <f>SUMPRODUCT($CA41:$DV41,INDEX('MC MAP'!$DA$5:$EV$30,20,0))</f>
        <v>33.5</v>
      </c>
      <c r="V41" s="2">
        <f>SUMPRODUCT($CA41:$DV41,INDEX('MC MAP'!$DA$5:$EV$30,21,0))</f>
        <v>2</v>
      </c>
      <c r="W41" s="2">
        <f>SUMPRODUCT($CA41:$DV41,INDEX('MC MAP'!$DA$5:$EV$30,22,0))</f>
        <v>2</v>
      </c>
      <c r="X41" s="2">
        <f>SUMPRODUCT($CA41:$DV41,INDEX('MC MAP'!$DA$5:$EV$30,23,0))</f>
        <v>0</v>
      </c>
      <c r="Y41" s="2">
        <f>SUMPRODUCT($CA41:$DV41,INDEX('MC MAP'!$DA$5:$EV$30,24,0))</f>
        <v>10</v>
      </c>
      <c r="Z41" s="2">
        <f>SUMPRODUCT($CA41:$DV41,INDEX('MC MAP'!$DA$5:$EV$30,25,0))</f>
        <v>0</v>
      </c>
      <c r="AA41" s="2">
        <f>SUMPRODUCT($CA41:$DV41,INDEX('MC MAP'!$DA$5:$EV$30,26,0))</f>
        <v>23</v>
      </c>
      <c r="AB41" s="2">
        <f>SUM($B41:$AA41)</f>
        <v>791.5</v>
      </c>
      <c r="AC41" s="2">
        <f>SUM($CA41:$DV41)+$AW41</f>
        <v>26</v>
      </c>
      <c r="AW41" s="2">
        <f>IF($A41=0,0,COUNTIF(INDEX('LINE PLAN'!$B$36:$GS$61,0,ROW()-3),"THERMAL - NOT SPECIFIED"))</f>
        <v>0</v>
      </c>
      <c r="AX41" s="506" cm="1">
        <f t="array" ref="AX41">IF(OR($AB41=0,UPPER($BS41)&lt;&gt;"Y"),0,SUMPRODUCT(--($B41:$AA41&gt;$B$205:$AA$205)))</f>
        <v>4</v>
      </c>
      <c r="AY41" s="507">
        <f>$A41</f>
        <v>46272</v>
      </c>
      <c r="AZ41" s="2">
        <f>$AB41</f>
        <v>791.5</v>
      </c>
      <c r="BA41" s="2">
        <f>'MC MASTER'!$C$29</f>
        <v>920</v>
      </c>
      <c r="BD41" s="543" t="str">
        <f>INDEX('MC MASTER'!$B$3:$B$28,ROW()-34)</f>
        <v>5th Overlock</v>
      </c>
      <c r="BE41" s="521">
        <f>INDEX('MC MASTER'!$C$3:$C$28,ROW()-34)</f>
        <v>5</v>
      </c>
      <c r="BF41" s="522">
        <f ca="1">MAX(OFFSET($B$4,BF$32-1,MATCH($BD41,$B$3:$AA$3,0)-1,BF$33,1))</f>
        <v>0</v>
      </c>
      <c r="BG41" s="529">
        <f ca="1">MAX(OFFSET($B$4,BG$32-1,MATCH($BD41,$B$3:$AA$3,0)-1,BG$33,1))</f>
        <v>0</v>
      </c>
      <c r="BH41" s="529">
        <f ca="1">MAX(OFFSET($B$4,BH$32-1,MATCH($BD41,$B$3:$AA$3,0)-1,BH$33,1))</f>
        <v>0</v>
      </c>
      <c r="BI41" s="529">
        <f ca="1">MAX(OFFSET($B$4,BI$32-1,MATCH($BD41,$B$3:$AA$3,0)-1,BI$33,1))</f>
        <v>0</v>
      </c>
      <c r="BJ41" s="544" t="str">
        <f ca="1">IFERROR(INDEX($BF$34:$BI$34,MATCH(MAX($BF41:$BI41),$BF41:$BI41,0)),"")</f>
        <v>Aug</v>
      </c>
      <c r="BK41" s="523">
        <f ca="1">$BE41-MAX($BF41:$BI41)</f>
        <v>5</v>
      </c>
      <c r="BQ41" s="509">
        <f>$A41</f>
        <v>46272</v>
      </c>
      <c r="BR41" s="15" t="str">
        <f>TEXT($A41,"ddd")</f>
        <v>Mon</v>
      </c>
      <c r="BS41" s="547" t="s">
        <v>391</v>
      </c>
      <c r="BT41" s="15">
        <f>IF(UPPER($BS41)="Y",$AB41,0)</f>
        <v>791.5</v>
      </c>
      <c r="CA41" s="2">
        <f>COUNTIF(INDEX('LINE PLAN'!$B$36:$GS$61,0,ROW()-3),CA$3)</f>
        <v>1</v>
      </c>
      <c r="CB41" s="2">
        <f>COUNTIF(INDEX('LINE PLAN'!$B$36:$GS$61,0,ROW()-3),CB$3)</f>
        <v>1</v>
      </c>
      <c r="CC41" s="2">
        <f>COUNTIF(INDEX('LINE PLAN'!$B$36:$GS$61,0,ROW()-3),CC$3)</f>
        <v>2</v>
      </c>
      <c r="CD41" s="2">
        <f>COUNTIF(INDEX('LINE PLAN'!$B$36:$GS$61,0,ROW()-3),CD$3)</f>
        <v>1</v>
      </c>
      <c r="CE41" s="2">
        <f>COUNTIF(INDEX('LINE PLAN'!$B$36:$GS$61,0,ROW()-3),CE$3)</f>
        <v>3</v>
      </c>
      <c r="CF41" s="2">
        <f>COUNTIF(INDEX('LINE PLAN'!$B$36:$GS$61,0,ROW()-3),CF$3)</f>
        <v>3</v>
      </c>
      <c r="CG41" s="2">
        <f>COUNTIF(INDEX('LINE PLAN'!$B$36:$GS$61,0,ROW()-3),CG$3)</f>
        <v>2</v>
      </c>
      <c r="CH41" s="2">
        <f>COUNTIF(INDEX('LINE PLAN'!$B$36:$GS$61,0,ROW()-3),CH$3)</f>
        <v>4</v>
      </c>
      <c r="CI41" s="2">
        <f>COUNTIF(INDEX('LINE PLAN'!$B$36:$GS$61,0,ROW()-3),CI$3)</f>
        <v>1</v>
      </c>
      <c r="CJ41" s="2">
        <f>COUNTIF(INDEX('LINE PLAN'!$B$36:$GS$61,0,ROW()-3),CJ$3)</f>
        <v>3</v>
      </c>
      <c r="CK41" s="2">
        <f>COUNTIF(INDEX('LINE PLAN'!$B$36:$GS$61,0,ROW()-3),CK$3)</f>
        <v>0</v>
      </c>
      <c r="CL41" s="2">
        <f>COUNTIF(INDEX('LINE PLAN'!$B$36:$GS$61,0,ROW()-3),CL$3)</f>
        <v>0</v>
      </c>
      <c r="CM41" s="2">
        <f>COUNTIF(INDEX('LINE PLAN'!$B$36:$GS$61,0,ROW()-3),CM$3)</f>
        <v>0</v>
      </c>
      <c r="CN41" s="2">
        <f>COUNTIF(INDEX('LINE PLAN'!$B$36:$GS$61,0,ROW()-3),CN$3)</f>
        <v>0</v>
      </c>
      <c r="CO41" s="2">
        <f>COUNTIF(INDEX('LINE PLAN'!$B$36:$GS$61,0,ROW()-3),CO$3)</f>
        <v>1</v>
      </c>
      <c r="CP41" s="2">
        <f>COUNTIF(INDEX('LINE PLAN'!$B$36:$GS$61,0,ROW()-3),CP$3)</f>
        <v>2</v>
      </c>
      <c r="CQ41" s="2">
        <f>COUNTIF(INDEX('LINE PLAN'!$B$36:$GS$61,0,ROW()-3),CQ$3)</f>
        <v>0</v>
      </c>
      <c r="CR41" s="2">
        <f>COUNTIF(INDEX('LINE PLAN'!$B$36:$GS$61,0,ROW()-3),CR$3)</f>
        <v>2</v>
      </c>
      <c r="CS41" s="2">
        <f>COUNTIF(INDEX('LINE PLAN'!$B$36:$GS$61,0,ROW()-3),CS$3)</f>
        <v>0</v>
      </c>
      <c r="CT41" s="2">
        <f>COUNTIF(INDEX('LINE PLAN'!$B$36:$GS$61,0,ROW()-3),CT$3)</f>
        <v>0</v>
      </c>
      <c r="CU41" s="2">
        <f>COUNTIF(INDEX('LINE PLAN'!$B$36:$GS$61,0,ROW()-3),CU$3)</f>
        <v>0</v>
      </c>
      <c r="CV41" s="2">
        <f>COUNTIF(INDEX('LINE PLAN'!$B$36:$GS$61,0,ROW()-3),CV$3)</f>
        <v>0</v>
      </c>
      <c r="CW41" s="2">
        <f>COUNTIF(INDEX('LINE PLAN'!$B$36:$GS$61,0,ROW()-3),CW$3)</f>
        <v>0</v>
      </c>
      <c r="CX41" s="2">
        <f>COUNTIF(INDEX('LINE PLAN'!$B$36:$GS$61,0,ROW()-3),CX$3)</f>
        <v>0</v>
      </c>
      <c r="CY41" s="2">
        <f>COUNTIF(INDEX('LINE PLAN'!$B$36:$GS$61,0,ROW()-3),CY$3)</f>
        <v>0</v>
      </c>
      <c r="CZ41" s="2">
        <f>COUNTIF(INDEX('LINE PLAN'!$B$36:$GS$61,0,ROW()-3),CZ$3)</f>
        <v>0</v>
      </c>
      <c r="DA41" s="2">
        <f>COUNTIF(INDEX('LINE PLAN'!$B$36:$GS$61,0,ROW()-3),DA$3)</f>
        <v>0</v>
      </c>
      <c r="DB41" s="2">
        <f>COUNTIF(INDEX('LINE PLAN'!$B$36:$GS$61,0,ROW()-3),DB$3)</f>
        <v>0</v>
      </c>
      <c r="DC41" s="2">
        <f>COUNTIF(INDEX('LINE PLAN'!$B$36:$GS$61,0,ROW()-3),DC$3)</f>
        <v>0</v>
      </c>
      <c r="DD41" s="2">
        <f>COUNTIF(INDEX('LINE PLAN'!$B$36:$GS$61,0,ROW()-3),DD$3)</f>
        <v>0</v>
      </c>
      <c r="DE41" s="2">
        <f>COUNTIF(INDEX('LINE PLAN'!$B$36:$GS$61,0,ROW()-3),DE$3)</f>
        <v>0</v>
      </c>
      <c r="DF41" s="2">
        <f>COUNTIF(INDEX('LINE PLAN'!$B$36:$GS$61,0,ROW()-3),DF$3)</f>
        <v>0</v>
      </c>
      <c r="DG41" s="2">
        <f>COUNTIF(INDEX('LINE PLAN'!$B$36:$GS$61,0,ROW()-3),DG$3)</f>
        <v>0</v>
      </c>
      <c r="DH41" s="2">
        <f>COUNTIF(INDEX('LINE PLAN'!$B$36:$GS$61,0,ROW()-3),DH$3)</f>
        <v>0</v>
      </c>
      <c r="DI41" s="2">
        <f>COUNTIF(INDEX('LINE PLAN'!$B$36:$GS$61,0,ROW()-3),DI$3)</f>
        <v>0</v>
      </c>
      <c r="DJ41" s="2">
        <f>COUNTIF(INDEX('LINE PLAN'!$B$36:$GS$61,0,ROW()-3),DJ$3)</f>
        <v>0</v>
      </c>
      <c r="DK41" s="2">
        <f>COUNTIF(INDEX('LINE PLAN'!$B$36:$GS$61,0,ROW()-3),DK$3)</f>
        <v>0</v>
      </c>
      <c r="DL41" s="2">
        <f>COUNTIF(INDEX('LINE PLAN'!$B$36:$GS$61,0,ROW()-3),DL$3)</f>
        <v>0</v>
      </c>
      <c r="DM41" s="2">
        <f>COUNTIF(INDEX('LINE PLAN'!$B$36:$GS$61,0,ROW()-3),DM$3)</f>
        <v>0</v>
      </c>
      <c r="DN41" s="2">
        <f>COUNTIF(INDEX('LINE PLAN'!$B$36:$GS$61,0,ROW()-3),DN$3)</f>
        <v>0</v>
      </c>
      <c r="DO41" s="2">
        <f>COUNTIF(INDEX('LINE PLAN'!$B$36:$GS$61,0,ROW()-3),DO$3)</f>
        <v>0</v>
      </c>
      <c r="DP41" s="2">
        <f>COUNTIF(INDEX('LINE PLAN'!$B$36:$GS$61,0,ROW()-3),DP$3)</f>
        <v>0</v>
      </c>
      <c r="DQ41" s="2">
        <f>COUNTIF(INDEX('LINE PLAN'!$B$36:$GS$61,0,ROW()-3),DQ$3)</f>
        <v>0</v>
      </c>
      <c r="DR41" s="2">
        <f>COUNTIF(INDEX('LINE PLAN'!$B$36:$GS$61,0,ROW()-3),DR$3)</f>
        <v>0</v>
      </c>
      <c r="DS41" s="2">
        <f>COUNTIF(INDEX('LINE PLAN'!$B$36:$GS$61,0,ROW()-3),DS$3)</f>
        <v>0</v>
      </c>
      <c r="DT41" s="2">
        <f>COUNTIF(INDEX('LINE PLAN'!$B$36:$GS$61,0,ROW()-3),DT$3)</f>
        <v>0</v>
      </c>
      <c r="DU41" s="2">
        <f>COUNTIF(INDEX('LINE PLAN'!$B$36:$GS$61,0,ROW()-3),DU$3)</f>
        <v>0</v>
      </c>
      <c r="DV41" s="2">
        <f>COUNTIF(INDEX('LINE PLAN'!$B$36:$GS$61,0,ROW()-3),DV$3)</f>
        <v>0</v>
      </c>
    </row>
    <row r="42" spans="1:126">
      <c r="A42" s="505" cm="1">
        <f t="array" ref="A42">INDEX('LINE PLAN'!$B$35:$GS$35,ROW()-3)</f>
        <v>46273</v>
      </c>
      <c r="B42" s="2">
        <f>SUMPRODUCT($CA42:$DV42,INDEX('MC MAP'!$DA$5:$EV$30,1,0))</f>
        <v>139.5</v>
      </c>
      <c r="C42" s="2">
        <f>SUMPRODUCT($CA42:$DV42,INDEX('MC MAP'!$DA$5:$EV$30,2,0))</f>
        <v>1</v>
      </c>
      <c r="D42" s="2">
        <f>SUMPRODUCT($CA42:$DV42,INDEX('MC MAP'!$DA$5:$EV$30,3,0))</f>
        <v>0</v>
      </c>
      <c r="E42" s="2">
        <f>SUMPRODUCT($CA42:$DV42,INDEX('MC MAP'!$DA$5:$EV$30,4,0))</f>
        <v>4</v>
      </c>
      <c r="F42" s="2">
        <f>SUMPRODUCT($CA42:$DV42,INDEX('MC MAP'!$DA$5:$EV$30,5,0))</f>
        <v>249</v>
      </c>
      <c r="G42" s="2">
        <f>SUMPRODUCT($CA42:$DV42,INDEX('MC MAP'!$DA$5:$EV$30,6,0))</f>
        <v>25</v>
      </c>
      <c r="H42" s="2">
        <f>SUMPRODUCT($CA42:$DV42,INDEX('MC MAP'!$DA$5:$EV$30,7,0))</f>
        <v>0</v>
      </c>
      <c r="I42" s="2">
        <f>SUMPRODUCT($CA42:$DV42,INDEX('MC MAP'!$DA$5:$EV$30,8,0))</f>
        <v>30</v>
      </c>
      <c r="J42" s="2">
        <f>SUMPRODUCT($CA42:$DV42,INDEX('MC MAP'!$DA$5:$EV$30,9,0))</f>
        <v>29.5</v>
      </c>
      <c r="K42" s="2">
        <f>SUMPRODUCT($CA42:$DV42,INDEX('MC MAP'!$DA$5:$EV$30,10,0))</f>
        <v>16</v>
      </c>
      <c r="L42" s="2">
        <f>SUMPRODUCT($CA42:$DV42,INDEX('MC MAP'!$DA$5:$EV$30,11,0))</f>
        <v>32.5</v>
      </c>
      <c r="M42" s="2">
        <f>SUMPRODUCT($CA42:$DV42,INDEX('MC MAP'!$DA$5:$EV$30,12,0))</f>
        <v>18</v>
      </c>
      <c r="N42" s="2">
        <f>SUMPRODUCT($CA42:$DV42,INDEX('MC MAP'!$DA$5:$EV$30,13,0))</f>
        <v>25.5</v>
      </c>
      <c r="O42" s="2">
        <f>SUMPRODUCT($CA42:$DV42,INDEX('MC MAP'!$DA$5:$EV$30,14,0))</f>
        <v>42</v>
      </c>
      <c r="P42" s="2">
        <f>SUMPRODUCT($CA42:$DV42,INDEX('MC MAP'!$DA$5:$EV$30,15,0))</f>
        <v>62</v>
      </c>
      <c r="Q42" s="2">
        <f>SUMPRODUCT($CA42:$DV42,INDEX('MC MAP'!$DA$5:$EV$30,16,0))</f>
        <v>0</v>
      </c>
      <c r="R42" s="2">
        <f>SUMPRODUCT($CA42:$DV42,INDEX('MC MAP'!$DA$5:$EV$30,17,0))</f>
        <v>3</v>
      </c>
      <c r="S42" s="2">
        <f>SUMPRODUCT($CA42:$DV42,INDEX('MC MAP'!$DA$5:$EV$30,18,0))</f>
        <v>0</v>
      </c>
      <c r="T42" s="2">
        <f>SUMPRODUCT($CA42:$DV42,INDEX('MC MAP'!$DA$5:$EV$30,19,0))</f>
        <v>17</v>
      </c>
      <c r="U42" s="2">
        <f>SUMPRODUCT($CA42:$DV42,INDEX('MC MAP'!$DA$5:$EV$30,20,0))</f>
        <v>32.5</v>
      </c>
      <c r="V42" s="2">
        <f>SUMPRODUCT($CA42:$DV42,INDEX('MC MAP'!$DA$5:$EV$30,21,0))</f>
        <v>2</v>
      </c>
      <c r="W42" s="2">
        <f>SUMPRODUCT($CA42:$DV42,INDEX('MC MAP'!$DA$5:$EV$30,22,0))</f>
        <v>2</v>
      </c>
      <c r="X42" s="2">
        <f>SUMPRODUCT($CA42:$DV42,INDEX('MC MAP'!$DA$5:$EV$30,23,0))</f>
        <v>0</v>
      </c>
      <c r="Y42" s="2">
        <f>SUMPRODUCT($CA42:$DV42,INDEX('MC MAP'!$DA$5:$EV$30,24,0))</f>
        <v>10</v>
      </c>
      <c r="Z42" s="2">
        <f>SUMPRODUCT($CA42:$DV42,INDEX('MC MAP'!$DA$5:$EV$30,25,0))</f>
        <v>0</v>
      </c>
      <c r="AA42" s="2">
        <f>SUMPRODUCT($CA42:$DV42,INDEX('MC MAP'!$DA$5:$EV$30,26,0))</f>
        <v>21</v>
      </c>
      <c r="AB42" s="2">
        <f>SUM($B42:$AA42)</f>
        <v>761.5</v>
      </c>
      <c r="AC42" s="2">
        <f>SUM($CA42:$DV42)+$AW42</f>
        <v>26</v>
      </c>
      <c r="AW42" s="2">
        <f>IF($A42=0,0,COUNTIF(INDEX('LINE PLAN'!$B$36:$GS$61,0,ROW()-3),"THERMAL - NOT SPECIFIED"))</f>
        <v>0</v>
      </c>
      <c r="AX42" s="506" cm="1">
        <f t="array" ref="AX42">IF(OR($AB42=0,UPPER($BS42)&lt;&gt;"Y"),0,SUMPRODUCT(--($B42:$AA42&gt;$B$205:$AA$205)))</f>
        <v>4</v>
      </c>
      <c r="AY42" s="507">
        <f>$A42</f>
        <v>46273</v>
      </c>
      <c r="AZ42" s="2">
        <f>$AB42</f>
        <v>761.5</v>
      </c>
      <c r="BA42" s="2">
        <f>'MC MASTER'!$C$29</f>
        <v>920</v>
      </c>
      <c r="BD42" s="543" t="str">
        <f>INDEX('MC MASTER'!$B$3:$B$28,ROW()-34)</f>
        <v>Overlock (Ring Elastic Attach)</v>
      </c>
      <c r="BE42" s="521">
        <f>INDEX('MC MASTER'!$C$3:$C$28,ROW()-34)</f>
        <v>29</v>
      </c>
      <c r="BF42" s="522">
        <f ca="1">MAX(OFFSET($B$4,BF$32-1,MATCH($BD42,$B$3:$AA$3,0)-1,BF$33,1))</f>
        <v>36</v>
      </c>
      <c r="BG42" s="529">
        <f ca="1">MAX(OFFSET($B$4,BG$32-1,MATCH($BD42,$B$3:$AA$3,0)-1,BG$33,1))</f>
        <v>41</v>
      </c>
      <c r="BH42" s="529">
        <f ca="1">MAX(OFFSET($B$4,BH$32-1,MATCH($BD42,$B$3:$AA$3,0)-1,BH$33,1))</f>
        <v>41</v>
      </c>
      <c r="BI42" s="529">
        <f ca="1">MAX(OFFSET($B$4,BI$32-1,MATCH($BD42,$B$3:$AA$3,0)-1,BI$33,1))</f>
        <v>0</v>
      </c>
      <c r="BJ42" s="544" t="str">
        <f ca="1">IFERROR(INDEX($BF$34:$BI$34,MATCH(MAX($BF42:$BI42),$BF42:$BI42,0)),"")</f>
        <v>Sep</v>
      </c>
      <c r="BK42" s="523">
        <f ca="1">$BE42-MAX($BF42:$BI42)</f>
        <v>-12</v>
      </c>
      <c r="BQ42" s="509">
        <f>$A42</f>
        <v>46273</v>
      </c>
      <c r="BR42" s="15" t="str">
        <f>TEXT($A42,"ddd")</f>
        <v>Tue</v>
      </c>
      <c r="BS42" s="547" t="s">
        <v>391</v>
      </c>
      <c r="BT42" s="15">
        <f>IF(UPPER($BS42)="Y",$AB42,0)</f>
        <v>761.5</v>
      </c>
      <c r="CA42" s="2">
        <f>COUNTIF(INDEX('LINE PLAN'!$B$36:$GS$61,0,ROW()-3),CA$3)</f>
        <v>1</v>
      </c>
      <c r="CB42" s="2">
        <f>COUNTIF(INDEX('LINE PLAN'!$B$36:$GS$61,0,ROW()-3),CB$3)</f>
        <v>1</v>
      </c>
      <c r="CC42" s="2">
        <f>COUNTIF(INDEX('LINE PLAN'!$B$36:$GS$61,0,ROW()-3),CC$3)</f>
        <v>2</v>
      </c>
      <c r="CD42" s="2">
        <f>COUNTIF(INDEX('LINE PLAN'!$B$36:$GS$61,0,ROW()-3),CD$3)</f>
        <v>1</v>
      </c>
      <c r="CE42" s="2">
        <f>COUNTIF(INDEX('LINE PLAN'!$B$36:$GS$61,0,ROW()-3),CE$3)</f>
        <v>3</v>
      </c>
      <c r="CF42" s="2">
        <f>COUNTIF(INDEX('LINE PLAN'!$B$36:$GS$61,0,ROW()-3),CF$3)</f>
        <v>3</v>
      </c>
      <c r="CG42" s="2">
        <f>COUNTIF(INDEX('LINE PLAN'!$B$36:$GS$61,0,ROW()-3),CG$3)</f>
        <v>2</v>
      </c>
      <c r="CH42" s="2">
        <f>COUNTIF(INDEX('LINE PLAN'!$B$36:$GS$61,0,ROW()-3),CH$3)</f>
        <v>4</v>
      </c>
      <c r="CI42" s="2">
        <f>COUNTIF(INDEX('LINE PLAN'!$B$36:$GS$61,0,ROW()-3),CI$3)</f>
        <v>1</v>
      </c>
      <c r="CJ42" s="2">
        <f>COUNTIF(INDEX('LINE PLAN'!$B$36:$GS$61,0,ROW()-3),CJ$3)</f>
        <v>2</v>
      </c>
      <c r="CK42" s="2">
        <f>COUNTIF(INDEX('LINE PLAN'!$B$36:$GS$61,0,ROW()-3),CK$3)</f>
        <v>0</v>
      </c>
      <c r="CL42" s="2">
        <f>COUNTIF(INDEX('LINE PLAN'!$B$36:$GS$61,0,ROW()-3),CL$3)</f>
        <v>0</v>
      </c>
      <c r="CM42" s="2">
        <f>COUNTIF(INDEX('LINE PLAN'!$B$36:$GS$61,0,ROW()-3),CM$3)</f>
        <v>1</v>
      </c>
      <c r="CN42" s="2">
        <f>COUNTIF(INDEX('LINE PLAN'!$B$36:$GS$61,0,ROW()-3),CN$3)</f>
        <v>0</v>
      </c>
      <c r="CO42" s="2">
        <f>COUNTIF(INDEX('LINE PLAN'!$B$36:$GS$61,0,ROW()-3),CO$3)</f>
        <v>1</v>
      </c>
      <c r="CP42" s="2">
        <f>COUNTIF(INDEX('LINE PLAN'!$B$36:$GS$61,0,ROW()-3),CP$3)</f>
        <v>2</v>
      </c>
      <c r="CQ42" s="2">
        <f>COUNTIF(INDEX('LINE PLAN'!$B$36:$GS$61,0,ROW()-3),CQ$3)</f>
        <v>0</v>
      </c>
      <c r="CR42" s="2">
        <f>COUNTIF(INDEX('LINE PLAN'!$B$36:$GS$61,0,ROW()-3),CR$3)</f>
        <v>2</v>
      </c>
      <c r="CS42" s="2">
        <f>COUNTIF(INDEX('LINE PLAN'!$B$36:$GS$61,0,ROW()-3),CS$3)</f>
        <v>0</v>
      </c>
      <c r="CT42" s="2">
        <f>COUNTIF(INDEX('LINE PLAN'!$B$36:$GS$61,0,ROW()-3),CT$3)</f>
        <v>0</v>
      </c>
      <c r="CU42" s="2">
        <f>COUNTIF(INDEX('LINE PLAN'!$B$36:$GS$61,0,ROW()-3),CU$3)</f>
        <v>0</v>
      </c>
      <c r="CV42" s="2">
        <f>COUNTIF(INDEX('LINE PLAN'!$B$36:$GS$61,0,ROW()-3),CV$3)</f>
        <v>0</v>
      </c>
      <c r="CW42" s="2">
        <f>COUNTIF(INDEX('LINE PLAN'!$B$36:$GS$61,0,ROW()-3),CW$3)</f>
        <v>0</v>
      </c>
      <c r="CX42" s="2">
        <f>COUNTIF(INDEX('LINE PLAN'!$B$36:$GS$61,0,ROW()-3),CX$3)</f>
        <v>0</v>
      </c>
      <c r="CY42" s="2">
        <f>COUNTIF(INDEX('LINE PLAN'!$B$36:$GS$61,0,ROW()-3),CY$3)</f>
        <v>0</v>
      </c>
      <c r="CZ42" s="2">
        <f>COUNTIF(INDEX('LINE PLAN'!$B$36:$GS$61,0,ROW()-3),CZ$3)</f>
        <v>0</v>
      </c>
      <c r="DA42" s="2">
        <f>COUNTIF(INDEX('LINE PLAN'!$B$36:$GS$61,0,ROW()-3),DA$3)</f>
        <v>0</v>
      </c>
      <c r="DB42" s="2">
        <f>COUNTIF(INDEX('LINE PLAN'!$B$36:$GS$61,0,ROW()-3),DB$3)</f>
        <v>0</v>
      </c>
      <c r="DC42" s="2">
        <f>COUNTIF(INDEX('LINE PLAN'!$B$36:$GS$61,0,ROW()-3),DC$3)</f>
        <v>0</v>
      </c>
      <c r="DD42" s="2">
        <f>COUNTIF(INDEX('LINE PLAN'!$B$36:$GS$61,0,ROW()-3),DD$3)</f>
        <v>0</v>
      </c>
      <c r="DE42" s="2">
        <f>COUNTIF(INDEX('LINE PLAN'!$B$36:$GS$61,0,ROW()-3),DE$3)</f>
        <v>0</v>
      </c>
      <c r="DF42" s="2">
        <f>COUNTIF(INDEX('LINE PLAN'!$B$36:$GS$61,0,ROW()-3),DF$3)</f>
        <v>0</v>
      </c>
      <c r="DG42" s="2">
        <f>COUNTIF(INDEX('LINE PLAN'!$B$36:$GS$61,0,ROW()-3),DG$3)</f>
        <v>0</v>
      </c>
      <c r="DH42" s="2">
        <f>COUNTIF(INDEX('LINE PLAN'!$B$36:$GS$61,0,ROW()-3),DH$3)</f>
        <v>0</v>
      </c>
      <c r="DI42" s="2">
        <f>COUNTIF(INDEX('LINE PLAN'!$B$36:$GS$61,0,ROW()-3),DI$3)</f>
        <v>0</v>
      </c>
      <c r="DJ42" s="2">
        <f>COUNTIF(INDEX('LINE PLAN'!$B$36:$GS$61,0,ROW()-3),DJ$3)</f>
        <v>0</v>
      </c>
      <c r="DK42" s="2">
        <f>COUNTIF(INDEX('LINE PLAN'!$B$36:$GS$61,0,ROW()-3),DK$3)</f>
        <v>0</v>
      </c>
      <c r="DL42" s="2">
        <f>COUNTIF(INDEX('LINE PLAN'!$B$36:$GS$61,0,ROW()-3),DL$3)</f>
        <v>0</v>
      </c>
      <c r="DM42" s="2">
        <f>COUNTIF(INDEX('LINE PLAN'!$B$36:$GS$61,0,ROW()-3),DM$3)</f>
        <v>0</v>
      </c>
      <c r="DN42" s="2">
        <f>COUNTIF(INDEX('LINE PLAN'!$B$36:$GS$61,0,ROW()-3),DN$3)</f>
        <v>0</v>
      </c>
      <c r="DO42" s="2">
        <f>COUNTIF(INDEX('LINE PLAN'!$B$36:$GS$61,0,ROW()-3),DO$3)</f>
        <v>0</v>
      </c>
      <c r="DP42" s="2">
        <f>COUNTIF(INDEX('LINE PLAN'!$B$36:$GS$61,0,ROW()-3),DP$3)</f>
        <v>0</v>
      </c>
      <c r="DQ42" s="2">
        <f>COUNTIF(INDEX('LINE PLAN'!$B$36:$GS$61,0,ROW()-3),DQ$3)</f>
        <v>0</v>
      </c>
      <c r="DR42" s="2">
        <f>COUNTIF(INDEX('LINE PLAN'!$B$36:$GS$61,0,ROW()-3),DR$3)</f>
        <v>0</v>
      </c>
      <c r="DS42" s="2">
        <f>COUNTIF(INDEX('LINE PLAN'!$B$36:$GS$61,0,ROW()-3),DS$3)</f>
        <v>0</v>
      </c>
      <c r="DT42" s="2">
        <f>COUNTIF(INDEX('LINE PLAN'!$B$36:$GS$61,0,ROW()-3),DT$3)</f>
        <v>0</v>
      </c>
      <c r="DU42" s="2">
        <f>COUNTIF(INDEX('LINE PLAN'!$B$36:$GS$61,0,ROW()-3),DU$3)</f>
        <v>0</v>
      </c>
      <c r="DV42" s="2">
        <f>COUNTIF(INDEX('LINE PLAN'!$B$36:$GS$61,0,ROW()-3),DV$3)</f>
        <v>0</v>
      </c>
    </row>
    <row r="43" spans="1:126">
      <c r="A43" s="505" cm="1">
        <f t="array" ref="A43">INDEX('LINE PLAN'!$B$35:$GS$35,ROW()-3)</f>
        <v>46274</v>
      </c>
      <c r="B43" s="2">
        <f>SUMPRODUCT($CA43:$DV43,INDEX('MC MAP'!$DA$5:$EV$30,1,0))</f>
        <v>145.5</v>
      </c>
      <c r="C43" s="2">
        <f>SUMPRODUCT($CA43:$DV43,INDEX('MC MAP'!$DA$5:$EV$30,2,0))</f>
        <v>1</v>
      </c>
      <c r="D43" s="2">
        <f>SUMPRODUCT($CA43:$DV43,INDEX('MC MAP'!$DA$5:$EV$30,3,0))</f>
        <v>0</v>
      </c>
      <c r="E43" s="2">
        <f>SUMPRODUCT($CA43:$DV43,INDEX('MC MAP'!$DA$5:$EV$30,4,0))</f>
        <v>4</v>
      </c>
      <c r="F43" s="2">
        <f>SUMPRODUCT($CA43:$DV43,INDEX('MC MAP'!$DA$5:$EV$30,5,0))</f>
        <v>257</v>
      </c>
      <c r="G43" s="2">
        <f>SUMPRODUCT($CA43:$DV43,INDEX('MC MAP'!$DA$5:$EV$30,6,0))</f>
        <v>25</v>
      </c>
      <c r="H43" s="2">
        <f>SUMPRODUCT($CA43:$DV43,INDEX('MC MAP'!$DA$5:$EV$30,7,0))</f>
        <v>0</v>
      </c>
      <c r="I43" s="2">
        <f>SUMPRODUCT($CA43:$DV43,INDEX('MC MAP'!$DA$5:$EV$30,8,0))</f>
        <v>34</v>
      </c>
      <c r="J43" s="2">
        <f>SUMPRODUCT($CA43:$DV43,INDEX('MC MAP'!$DA$5:$EV$30,9,0))</f>
        <v>30.5</v>
      </c>
      <c r="K43" s="2">
        <f>SUMPRODUCT($CA43:$DV43,INDEX('MC MAP'!$DA$5:$EV$30,10,0))</f>
        <v>16</v>
      </c>
      <c r="L43" s="2">
        <f>SUMPRODUCT($CA43:$DV43,INDEX('MC MAP'!$DA$5:$EV$30,11,0))</f>
        <v>32.5</v>
      </c>
      <c r="M43" s="2">
        <f>SUMPRODUCT($CA43:$DV43,INDEX('MC MAP'!$DA$5:$EV$30,12,0))</f>
        <v>21</v>
      </c>
      <c r="N43" s="2">
        <f>SUMPRODUCT($CA43:$DV43,INDEX('MC MAP'!$DA$5:$EV$30,13,0))</f>
        <v>28</v>
      </c>
      <c r="O43" s="2">
        <f>SUMPRODUCT($CA43:$DV43,INDEX('MC MAP'!$DA$5:$EV$30,14,0))</f>
        <v>43</v>
      </c>
      <c r="P43" s="2">
        <f>SUMPRODUCT($CA43:$DV43,INDEX('MC MAP'!$DA$5:$EV$30,15,0))</f>
        <v>64</v>
      </c>
      <c r="Q43" s="2">
        <f>SUMPRODUCT($CA43:$DV43,INDEX('MC MAP'!$DA$5:$EV$30,16,0))</f>
        <v>0</v>
      </c>
      <c r="R43" s="2">
        <f>SUMPRODUCT($CA43:$DV43,INDEX('MC MAP'!$DA$5:$EV$30,17,0))</f>
        <v>3</v>
      </c>
      <c r="S43" s="2">
        <f>SUMPRODUCT($CA43:$DV43,INDEX('MC MAP'!$DA$5:$EV$30,18,0))</f>
        <v>0</v>
      </c>
      <c r="T43" s="2">
        <f>SUMPRODUCT($CA43:$DV43,INDEX('MC MAP'!$DA$5:$EV$30,19,0))</f>
        <v>17</v>
      </c>
      <c r="U43" s="2">
        <f>SUMPRODUCT($CA43:$DV43,INDEX('MC MAP'!$DA$5:$EV$30,20,0))</f>
        <v>33.5</v>
      </c>
      <c r="V43" s="2">
        <f>SUMPRODUCT($CA43:$DV43,INDEX('MC MAP'!$DA$5:$EV$30,21,0))</f>
        <v>2</v>
      </c>
      <c r="W43" s="2">
        <f>SUMPRODUCT($CA43:$DV43,INDEX('MC MAP'!$DA$5:$EV$30,22,0))</f>
        <v>2</v>
      </c>
      <c r="X43" s="2">
        <f>SUMPRODUCT($CA43:$DV43,INDEX('MC MAP'!$DA$5:$EV$30,23,0))</f>
        <v>0</v>
      </c>
      <c r="Y43" s="2">
        <f>SUMPRODUCT($CA43:$DV43,INDEX('MC MAP'!$DA$5:$EV$30,24,0))</f>
        <v>10</v>
      </c>
      <c r="Z43" s="2">
        <f>SUMPRODUCT($CA43:$DV43,INDEX('MC MAP'!$DA$5:$EV$30,25,0))</f>
        <v>0</v>
      </c>
      <c r="AA43" s="2">
        <f>SUMPRODUCT($CA43:$DV43,INDEX('MC MAP'!$DA$5:$EV$30,26,0))</f>
        <v>23</v>
      </c>
      <c r="AB43" s="2">
        <f>SUM($B43:$AA43)</f>
        <v>792</v>
      </c>
      <c r="AC43" s="2">
        <f>SUM($CA43:$DV43)+$AW43</f>
        <v>26</v>
      </c>
      <c r="AW43" s="2">
        <f>IF($A43=0,0,COUNTIF(INDEX('LINE PLAN'!$B$36:$GS$61,0,ROW()-3),"THERMAL - NOT SPECIFIED"))</f>
        <v>0</v>
      </c>
      <c r="AX43" s="506" cm="1">
        <f t="array" ref="AX43">IF(OR($AB43=0,UPPER($BS43)&lt;&gt;"Y"),0,SUMPRODUCT(--($B43:$AA43&gt;$B$205:$AA$205)))</f>
        <v>4</v>
      </c>
      <c r="AY43" s="507">
        <f>$A43</f>
        <v>46274</v>
      </c>
      <c r="AZ43" s="2">
        <f>$AB43</f>
        <v>792</v>
      </c>
      <c r="BA43" s="2">
        <f>'MC MASTER'!$C$29</f>
        <v>920</v>
      </c>
      <c r="BD43" s="543" t="str">
        <f>INDEX('MC MASTER'!$B$3:$B$28,ROW()-34)</f>
        <v>Flatlock Hem</v>
      </c>
      <c r="BE43" s="521">
        <f>INDEX('MC MASTER'!$C$3:$C$28,ROW()-34)</f>
        <v>34</v>
      </c>
      <c r="BF43" s="522">
        <f ca="1">MAX(OFFSET($B$4,BF$32-1,MATCH($BD43,$B$3:$AA$3,0)-1,BF$33,1))</f>
        <v>27.5</v>
      </c>
      <c r="BG43" s="529">
        <f ca="1">MAX(OFFSET($B$4,BG$32-1,MATCH($BD43,$B$3:$AA$3,0)-1,BG$33,1))</f>
        <v>32.5</v>
      </c>
      <c r="BH43" s="529">
        <f ca="1">MAX(OFFSET($B$4,BH$32-1,MATCH($BD43,$B$3:$AA$3,0)-1,BH$33,1))</f>
        <v>25.5</v>
      </c>
      <c r="BI43" s="529">
        <f ca="1">MAX(OFFSET($B$4,BI$32-1,MATCH($BD43,$B$3:$AA$3,0)-1,BI$33,1))</f>
        <v>0</v>
      </c>
      <c r="BJ43" s="544" t="str">
        <f ca="1">IFERROR(INDEX($BF$34:$BI$34,MATCH(MAX($BF43:$BI43),$BF43:$BI43,0)),"")</f>
        <v>Sep</v>
      </c>
      <c r="BK43" s="523">
        <f ca="1">$BE43-MAX($BF43:$BI43)</f>
        <v>1.5</v>
      </c>
      <c r="BQ43" s="509">
        <f>$A43</f>
        <v>46274</v>
      </c>
      <c r="BR43" s="15" t="str">
        <f>TEXT($A43,"ddd")</f>
        <v>Wed</v>
      </c>
      <c r="BS43" s="547" t="s">
        <v>391</v>
      </c>
      <c r="BT43" s="15">
        <f>IF(UPPER($BS43)="Y",$AB43,0)</f>
        <v>792</v>
      </c>
      <c r="CA43" s="2">
        <f>COUNTIF(INDEX('LINE PLAN'!$B$36:$GS$61,0,ROW()-3),CA$3)</f>
        <v>1</v>
      </c>
      <c r="CB43" s="2">
        <f>COUNTIF(INDEX('LINE PLAN'!$B$36:$GS$61,0,ROW()-3),CB$3)</f>
        <v>1</v>
      </c>
      <c r="CC43" s="2">
        <f>COUNTIF(INDEX('LINE PLAN'!$B$36:$GS$61,0,ROW()-3),CC$3)</f>
        <v>2</v>
      </c>
      <c r="CD43" s="2">
        <f>COUNTIF(INDEX('LINE PLAN'!$B$36:$GS$61,0,ROW()-3),CD$3)</f>
        <v>1</v>
      </c>
      <c r="CE43" s="2">
        <f>COUNTIF(INDEX('LINE PLAN'!$B$36:$GS$61,0,ROW()-3),CE$3)</f>
        <v>3</v>
      </c>
      <c r="CF43" s="2">
        <f>COUNTIF(INDEX('LINE PLAN'!$B$36:$GS$61,0,ROW()-3),CF$3)</f>
        <v>3</v>
      </c>
      <c r="CG43" s="2">
        <f>COUNTIF(INDEX('LINE PLAN'!$B$36:$GS$61,0,ROW()-3),CG$3)</f>
        <v>3</v>
      </c>
      <c r="CH43" s="2">
        <f>COUNTIF(INDEX('LINE PLAN'!$B$36:$GS$61,0,ROW()-3),CH$3)</f>
        <v>4</v>
      </c>
      <c r="CI43" s="2">
        <f>COUNTIF(INDEX('LINE PLAN'!$B$36:$GS$61,0,ROW()-3),CI$3)</f>
        <v>1</v>
      </c>
      <c r="CJ43" s="2">
        <f>COUNTIF(INDEX('LINE PLAN'!$B$36:$GS$61,0,ROW()-3),CJ$3)</f>
        <v>2</v>
      </c>
      <c r="CK43" s="2">
        <f>COUNTIF(INDEX('LINE PLAN'!$B$36:$GS$61,0,ROW()-3),CK$3)</f>
        <v>0</v>
      </c>
      <c r="CL43" s="2">
        <f>COUNTIF(INDEX('LINE PLAN'!$B$36:$GS$61,0,ROW()-3),CL$3)</f>
        <v>0</v>
      </c>
      <c r="CM43" s="2">
        <f>COUNTIF(INDEX('LINE PLAN'!$B$36:$GS$61,0,ROW()-3),CM$3)</f>
        <v>0</v>
      </c>
      <c r="CN43" s="2">
        <f>COUNTIF(INDEX('LINE PLAN'!$B$36:$GS$61,0,ROW()-3),CN$3)</f>
        <v>0</v>
      </c>
      <c r="CO43" s="2">
        <f>COUNTIF(INDEX('LINE PLAN'!$B$36:$GS$61,0,ROW()-3),CO$3)</f>
        <v>1</v>
      </c>
      <c r="CP43" s="2">
        <f>COUNTIF(INDEX('LINE PLAN'!$B$36:$GS$61,0,ROW()-3),CP$3)</f>
        <v>2</v>
      </c>
      <c r="CQ43" s="2">
        <f>COUNTIF(INDEX('LINE PLAN'!$B$36:$GS$61,0,ROW()-3),CQ$3)</f>
        <v>0</v>
      </c>
      <c r="CR43" s="2">
        <f>COUNTIF(INDEX('LINE PLAN'!$B$36:$GS$61,0,ROW()-3),CR$3)</f>
        <v>2</v>
      </c>
      <c r="CS43" s="2">
        <f>COUNTIF(INDEX('LINE PLAN'!$B$36:$GS$61,0,ROW()-3),CS$3)</f>
        <v>0</v>
      </c>
      <c r="CT43" s="2">
        <f>COUNTIF(INDEX('LINE PLAN'!$B$36:$GS$61,0,ROW()-3),CT$3)</f>
        <v>0</v>
      </c>
      <c r="CU43" s="2">
        <f>COUNTIF(INDEX('LINE PLAN'!$B$36:$GS$61,0,ROW()-3),CU$3)</f>
        <v>0</v>
      </c>
      <c r="CV43" s="2">
        <f>COUNTIF(INDEX('LINE PLAN'!$B$36:$GS$61,0,ROW()-3),CV$3)</f>
        <v>0</v>
      </c>
      <c r="CW43" s="2">
        <f>COUNTIF(INDEX('LINE PLAN'!$B$36:$GS$61,0,ROW()-3),CW$3)</f>
        <v>0</v>
      </c>
      <c r="CX43" s="2">
        <f>COUNTIF(INDEX('LINE PLAN'!$B$36:$GS$61,0,ROW()-3),CX$3)</f>
        <v>0</v>
      </c>
      <c r="CY43" s="2">
        <f>COUNTIF(INDEX('LINE PLAN'!$B$36:$GS$61,0,ROW()-3),CY$3)</f>
        <v>0</v>
      </c>
      <c r="CZ43" s="2">
        <f>COUNTIF(INDEX('LINE PLAN'!$B$36:$GS$61,0,ROW()-3),CZ$3)</f>
        <v>0</v>
      </c>
      <c r="DA43" s="2">
        <f>COUNTIF(INDEX('LINE PLAN'!$B$36:$GS$61,0,ROW()-3),DA$3)</f>
        <v>0</v>
      </c>
      <c r="DB43" s="2">
        <f>COUNTIF(INDEX('LINE PLAN'!$B$36:$GS$61,0,ROW()-3),DB$3)</f>
        <v>0</v>
      </c>
      <c r="DC43" s="2">
        <f>COUNTIF(INDEX('LINE PLAN'!$B$36:$GS$61,0,ROW()-3),DC$3)</f>
        <v>0</v>
      </c>
      <c r="DD43" s="2">
        <f>COUNTIF(INDEX('LINE PLAN'!$B$36:$GS$61,0,ROW()-3),DD$3)</f>
        <v>0</v>
      </c>
      <c r="DE43" s="2">
        <f>COUNTIF(INDEX('LINE PLAN'!$B$36:$GS$61,0,ROW()-3),DE$3)</f>
        <v>0</v>
      </c>
      <c r="DF43" s="2">
        <f>COUNTIF(INDEX('LINE PLAN'!$B$36:$GS$61,0,ROW()-3),DF$3)</f>
        <v>0</v>
      </c>
      <c r="DG43" s="2">
        <f>COUNTIF(INDEX('LINE PLAN'!$B$36:$GS$61,0,ROW()-3),DG$3)</f>
        <v>0</v>
      </c>
      <c r="DH43" s="2">
        <f>COUNTIF(INDEX('LINE PLAN'!$B$36:$GS$61,0,ROW()-3),DH$3)</f>
        <v>0</v>
      </c>
      <c r="DI43" s="2">
        <f>COUNTIF(INDEX('LINE PLAN'!$B$36:$GS$61,0,ROW()-3),DI$3)</f>
        <v>0</v>
      </c>
      <c r="DJ43" s="2">
        <f>COUNTIF(INDEX('LINE PLAN'!$B$36:$GS$61,0,ROW()-3),DJ$3)</f>
        <v>0</v>
      </c>
      <c r="DK43" s="2">
        <f>COUNTIF(INDEX('LINE PLAN'!$B$36:$GS$61,0,ROW()-3),DK$3)</f>
        <v>0</v>
      </c>
      <c r="DL43" s="2">
        <f>COUNTIF(INDEX('LINE PLAN'!$B$36:$GS$61,0,ROW()-3),DL$3)</f>
        <v>0</v>
      </c>
      <c r="DM43" s="2">
        <f>COUNTIF(INDEX('LINE PLAN'!$B$36:$GS$61,0,ROW()-3),DM$3)</f>
        <v>0</v>
      </c>
      <c r="DN43" s="2">
        <f>COUNTIF(INDEX('LINE PLAN'!$B$36:$GS$61,0,ROW()-3),DN$3)</f>
        <v>0</v>
      </c>
      <c r="DO43" s="2">
        <f>COUNTIF(INDEX('LINE PLAN'!$B$36:$GS$61,0,ROW()-3),DO$3)</f>
        <v>0</v>
      </c>
      <c r="DP43" s="2">
        <f>COUNTIF(INDEX('LINE PLAN'!$B$36:$GS$61,0,ROW()-3),DP$3)</f>
        <v>0</v>
      </c>
      <c r="DQ43" s="2">
        <f>COUNTIF(INDEX('LINE PLAN'!$B$36:$GS$61,0,ROW()-3),DQ$3)</f>
        <v>0</v>
      </c>
      <c r="DR43" s="2">
        <f>COUNTIF(INDEX('LINE PLAN'!$B$36:$GS$61,0,ROW()-3),DR$3)</f>
        <v>0</v>
      </c>
      <c r="DS43" s="2">
        <f>COUNTIF(INDEX('LINE PLAN'!$B$36:$GS$61,0,ROW()-3),DS$3)</f>
        <v>0</v>
      </c>
      <c r="DT43" s="2">
        <f>COUNTIF(INDEX('LINE PLAN'!$B$36:$GS$61,0,ROW()-3),DT$3)</f>
        <v>0</v>
      </c>
      <c r="DU43" s="2">
        <f>COUNTIF(INDEX('LINE PLAN'!$B$36:$GS$61,0,ROW()-3),DU$3)</f>
        <v>0</v>
      </c>
      <c r="DV43" s="2">
        <f>COUNTIF(INDEX('LINE PLAN'!$B$36:$GS$61,0,ROW()-3),DV$3)</f>
        <v>0</v>
      </c>
    </row>
    <row r="44" spans="1:126">
      <c r="A44" s="505" cm="1">
        <f t="array" ref="A44">INDEX('LINE PLAN'!$B$35:$GS$35,ROW()-3)</f>
        <v>46275</v>
      </c>
      <c r="B44" s="2">
        <f>SUMPRODUCT($CA44:$DV44,INDEX('MC MAP'!$DA$5:$EV$30,1,0))</f>
        <v>145.5</v>
      </c>
      <c r="C44" s="2">
        <f>SUMPRODUCT($CA44:$DV44,INDEX('MC MAP'!$DA$5:$EV$30,2,0))</f>
        <v>1</v>
      </c>
      <c r="D44" s="2">
        <f>SUMPRODUCT($CA44:$DV44,INDEX('MC MAP'!$DA$5:$EV$30,3,0))</f>
        <v>0</v>
      </c>
      <c r="E44" s="2">
        <f>SUMPRODUCT($CA44:$DV44,INDEX('MC MAP'!$DA$5:$EV$30,4,0))</f>
        <v>4</v>
      </c>
      <c r="F44" s="2">
        <f>SUMPRODUCT($CA44:$DV44,INDEX('MC MAP'!$DA$5:$EV$30,5,0))</f>
        <v>257</v>
      </c>
      <c r="G44" s="2">
        <f>SUMPRODUCT($CA44:$DV44,INDEX('MC MAP'!$DA$5:$EV$30,6,0))</f>
        <v>25</v>
      </c>
      <c r="H44" s="2">
        <f>SUMPRODUCT($CA44:$DV44,INDEX('MC MAP'!$DA$5:$EV$30,7,0))</f>
        <v>0</v>
      </c>
      <c r="I44" s="2">
        <f>SUMPRODUCT($CA44:$DV44,INDEX('MC MAP'!$DA$5:$EV$30,8,0))</f>
        <v>34</v>
      </c>
      <c r="J44" s="2">
        <f>SUMPRODUCT($CA44:$DV44,INDEX('MC MAP'!$DA$5:$EV$30,9,0))</f>
        <v>30.5</v>
      </c>
      <c r="K44" s="2">
        <f>SUMPRODUCT($CA44:$DV44,INDEX('MC MAP'!$DA$5:$EV$30,10,0))</f>
        <v>16</v>
      </c>
      <c r="L44" s="2">
        <f>SUMPRODUCT($CA44:$DV44,INDEX('MC MAP'!$DA$5:$EV$30,11,0))</f>
        <v>32.5</v>
      </c>
      <c r="M44" s="2">
        <f>SUMPRODUCT($CA44:$DV44,INDEX('MC MAP'!$DA$5:$EV$30,12,0))</f>
        <v>21</v>
      </c>
      <c r="N44" s="2">
        <f>SUMPRODUCT($CA44:$DV44,INDEX('MC MAP'!$DA$5:$EV$30,13,0))</f>
        <v>28</v>
      </c>
      <c r="O44" s="2">
        <f>SUMPRODUCT($CA44:$DV44,INDEX('MC MAP'!$DA$5:$EV$30,14,0))</f>
        <v>43</v>
      </c>
      <c r="P44" s="2">
        <f>SUMPRODUCT($CA44:$DV44,INDEX('MC MAP'!$DA$5:$EV$30,15,0))</f>
        <v>64</v>
      </c>
      <c r="Q44" s="2">
        <f>SUMPRODUCT($CA44:$DV44,INDEX('MC MAP'!$DA$5:$EV$30,16,0))</f>
        <v>0</v>
      </c>
      <c r="R44" s="2">
        <f>SUMPRODUCT($CA44:$DV44,INDEX('MC MAP'!$DA$5:$EV$30,17,0))</f>
        <v>3</v>
      </c>
      <c r="S44" s="2">
        <f>SUMPRODUCT($CA44:$DV44,INDEX('MC MAP'!$DA$5:$EV$30,18,0))</f>
        <v>0</v>
      </c>
      <c r="T44" s="2">
        <f>SUMPRODUCT($CA44:$DV44,INDEX('MC MAP'!$DA$5:$EV$30,19,0))</f>
        <v>17</v>
      </c>
      <c r="U44" s="2">
        <f>SUMPRODUCT($CA44:$DV44,INDEX('MC MAP'!$DA$5:$EV$30,20,0))</f>
        <v>33.5</v>
      </c>
      <c r="V44" s="2">
        <f>SUMPRODUCT($CA44:$DV44,INDEX('MC MAP'!$DA$5:$EV$30,21,0))</f>
        <v>2</v>
      </c>
      <c r="W44" s="2">
        <f>SUMPRODUCT($CA44:$DV44,INDEX('MC MAP'!$DA$5:$EV$30,22,0))</f>
        <v>2</v>
      </c>
      <c r="X44" s="2">
        <f>SUMPRODUCT($CA44:$DV44,INDEX('MC MAP'!$DA$5:$EV$30,23,0))</f>
        <v>0</v>
      </c>
      <c r="Y44" s="2">
        <f>SUMPRODUCT($CA44:$DV44,INDEX('MC MAP'!$DA$5:$EV$30,24,0))</f>
        <v>10</v>
      </c>
      <c r="Z44" s="2">
        <f>SUMPRODUCT($CA44:$DV44,INDEX('MC MAP'!$DA$5:$EV$30,25,0))</f>
        <v>0</v>
      </c>
      <c r="AA44" s="2">
        <f>SUMPRODUCT($CA44:$DV44,INDEX('MC MAP'!$DA$5:$EV$30,26,0))</f>
        <v>23</v>
      </c>
      <c r="AB44" s="2">
        <f>SUM($B44:$AA44)</f>
        <v>792</v>
      </c>
      <c r="AC44" s="2">
        <f>SUM($CA44:$DV44)+$AW44</f>
        <v>26</v>
      </c>
      <c r="AW44" s="2">
        <f>IF($A44=0,0,COUNTIF(INDEX('LINE PLAN'!$B$36:$GS$61,0,ROW()-3),"THERMAL - NOT SPECIFIED"))</f>
        <v>0</v>
      </c>
      <c r="AX44" s="506" cm="1">
        <f t="array" ref="AX44">IF(OR($AB44=0,UPPER($BS44)&lt;&gt;"Y"),0,SUMPRODUCT(--($B44:$AA44&gt;$B$205:$AA$205)))</f>
        <v>4</v>
      </c>
      <c r="AY44" s="507">
        <f>$A44</f>
        <v>46275</v>
      </c>
      <c r="AZ44" s="2">
        <f>$AB44</f>
        <v>792</v>
      </c>
      <c r="BA44" s="2">
        <f>'MC MASTER'!$C$29</f>
        <v>920</v>
      </c>
      <c r="BD44" s="543" t="str">
        <f>INDEX('MC MASTER'!$B$3:$B$28,ROW()-34)</f>
        <v>F/L (Coverseam / Waist COVER SEAM</v>
      </c>
      <c r="BE44" s="521">
        <f>INDEX('MC MASTER'!$C$3:$C$28,ROW()-34)</f>
        <v>13</v>
      </c>
      <c r="BF44" s="522">
        <f ca="1">MAX(OFFSET($B$4,BF$32-1,MATCH($BD44,$B$3:$AA$3,0)-1,BF$33,1))</f>
        <v>12</v>
      </c>
      <c r="BG44" s="529">
        <f ca="1">MAX(OFFSET($B$4,BG$32-1,MATCH($BD44,$B$3:$AA$3,0)-1,BG$33,1))</f>
        <v>16</v>
      </c>
      <c r="BH44" s="529">
        <f ca="1">MAX(OFFSET($B$4,BH$32-1,MATCH($BD44,$B$3:$AA$3,0)-1,BH$33,1))</f>
        <v>12</v>
      </c>
      <c r="BI44" s="529">
        <f ca="1">MAX(OFFSET($B$4,BI$32-1,MATCH($BD44,$B$3:$AA$3,0)-1,BI$33,1))</f>
        <v>0</v>
      </c>
      <c r="BJ44" s="544" t="str">
        <f ca="1">IFERROR(INDEX($BF$34:$BI$34,MATCH(MAX($BF44:$BI44),$BF44:$BI44,0)),"")</f>
        <v>Sep</v>
      </c>
      <c r="BK44" s="523">
        <f ca="1">$BE44-MAX($BF44:$BI44)</f>
        <v>-3</v>
      </c>
      <c r="BQ44" s="509">
        <f>$A44</f>
        <v>46275</v>
      </c>
      <c r="BR44" s="15" t="str">
        <f>TEXT($A44,"ddd")</f>
        <v>Thu</v>
      </c>
      <c r="BS44" s="547" t="s">
        <v>391</v>
      </c>
      <c r="BT44" s="15">
        <f>IF(UPPER($BS44)="Y",$AB44,0)</f>
        <v>792</v>
      </c>
      <c r="CA44" s="2">
        <f>COUNTIF(INDEX('LINE PLAN'!$B$36:$GS$61,0,ROW()-3),CA$3)</f>
        <v>1</v>
      </c>
      <c r="CB44" s="2">
        <f>COUNTIF(INDEX('LINE PLAN'!$B$36:$GS$61,0,ROW()-3),CB$3)</f>
        <v>1</v>
      </c>
      <c r="CC44" s="2">
        <f>COUNTIF(INDEX('LINE PLAN'!$B$36:$GS$61,0,ROW()-3),CC$3)</f>
        <v>2</v>
      </c>
      <c r="CD44" s="2">
        <f>COUNTIF(INDEX('LINE PLAN'!$B$36:$GS$61,0,ROW()-3),CD$3)</f>
        <v>1</v>
      </c>
      <c r="CE44" s="2">
        <f>COUNTIF(INDEX('LINE PLAN'!$B$36:$GS$61,0,ROW()-3),CE$3)</f>
        <v>3</v>
      </c>
      <c r="CF44" s="2">
        <f>COUNTIF(INDEX('LINE PLAN'!$B$36:$GS$61,0,ROW()-3),CF$3)</f>
        <v>3</v>
      </c>
      <c r="CG44" s="2">
        <f>COUNTIF(INDEX('LINE PLAN'!$B$36:$GS$61,0,ROW()-3),CG$3)</f>
        <v>3</v>
      </c>
      <c r="CH44" s="2">
        <f>COUNTIF(INDEX('LINE PLAN'!$B$36:$GS$61,0,ROW()-3),CH$3)</f>
        <v>4</v>
      </c>
      <c r="CI44" s="2">
        <f>COUNTIF(INDEX('LINE PLAN'!$B$36:$GS$61,0,ROW()-3),CI$3)</f>
        <v>1</v>
      </c>
      <c r="CJ44" s="2">
        <f>COUNTIF(INDEX('LINE PLAN'!$B$36:$GS$61,0,ROW()-3),CJ$3)</f>
        <v>2</v>
      </c>
      <c r="CK44" s="2">
        <f>COUNTIF(INDEX('LINE PLAN'!$B$36:$GS$61,0,ROW()-3),CK$3)</f>
        <v>0</v>
      </c>
      <c r="CL44" s="2">
        <f>COUNTIF(INDEX('LINE PLAN'!$B$36:$GS$61,0,ROW()-3),CL$3)</f>
        <v>0</v>
      </c>
      <c r="CM44" s="2">
        <f>COUNTIF(INDEX('LINE PLAN'!$B$36:$GS$61,0,ROW()-3),CM$3)</f>
        <v>0</v>
      </c>
      <c r="CN44" s="2">
        <f>COUNTIF(INDEX('LINE PLAN'!$B$36:$GS$61,0,ROW()-3),CN$3)</f>
        <v>0</v>
      </c>
      <c r="CO44" s="2">
        <f>COUNTIF(INDEX('LINE PLAN'!$B$36:$GS$61,0,ROW()-3),CO$3)</f>
        <v>1</v>
      </c>
      <c r="CP44" s="2">
        <f>COUNTIF(INDEX('LINE PLAN'!$B$36:$GS$61,0,ROW()-3),CP$3)</f>
        <v>2</v>
      </c>
      <c r="CQ44" s="2">
        <f>COUNTIF(INDEX('LINE PLAN'!$B$36:$GS$61,0,ROW()-3),CQ$3)</f>
        <v>0</v>
      </c>
      <c r="CR44" s="2">
        <f>COUNTIF(INDEX('LINE PLAN'!$B$36:$GS$61,0,ROW()-3),CR$3)</f>
        <v>2</v>
      </c>
      <c r="CS44" s="2">
        <f>COUNTIF(INDEX('LINE PLAN'!$B$36:$GS$61,0,ROW()-3),CS$3)</f>
        <v>0</v>
      </c>
      <c r="CT44" s="2">
        <f>COUNTIF(INDEX('LINE PLAN'!$B$36:$GS$61,0,ROW()-3),CT$3)</f>
        <v>0</v>
      </c>
      <c r="CU44" s="2">
        <f>COUNTIF(INDEX('LINE PLAN'!$B$36:$GS$61,0,ROW()-3),CU$3)</f>
        <v>0</v>
      </c>
      <c r="CV44" s="2">
        <f>COUNTIF(INDEX('LINE PLAN'!$B$36:$GS$61,0,ROW()-3),CV$3)</f>
        <v>0</v>
      </c>
      <c r="CW44" s="2">
        <f>COUNTIF(INDEX('LINE PLAN'!$B$36:$GS$61,0,ROW()-3),CW$3)</f>
        <v>0</v>
      </c>
      <c r="CX44" s="2">
        <f>COUNTIF(INDEX('LINE PLAN'!$B$36:$GS$61,0,ROW()-3),CX$3)</f>
        <v>0</v>
      </c>
      <c r="CY44" s="2">
        <f>COUNTIF(INDEX('LINE PLAN'!$B$36:$GS$61,0,ROW()-3),CY$3)</f>
        <v>0</v>
      </c>
      <c r="CZ44" s="2">
        <f>COUNTIF(INDEX('LINE PLAN'!$B$36:$GS$61,0,ROW()-3),CZ$3)</f>
        <v>0</v>
      </c>
      <c r="DA44" s="2">
        <f>COUNTIF(INDEX('LINE PLAN'!$B$36:$GS$61,0,ROW()-3),DA$3)</f>
        <v>0</v>
      </c>
      <c r="DB44" s="2">
        <f>COUNTIF(INDEX('LINE PLAN'!$B$36:$GS$61,0,ROW()-3),DB$3)</f>
        <v>0</v>
      </c>
      <c r="DC44" s="2">
        <f>COUNTIF(INDEX('LINE PLAN'!$B$36:$GS$61,0,ROW()-3),DC$3)</f>
        <v>0</v>
      </c>
      <c r="DD44" s="2">
        <f>COUNTIF(INDEX('LINE PLAN'!$B$36:$GS$61,0,ROW()-3),DD$3)</f>
        <v>0</v>
      </c>
      <c r="DE44" s="2">
        <f>COUNTIF(INDEX('LINE PLAN'!$B$36:$GS$61,0,ROW()-3),DE$3)</f>
        <v>0</v>
      </c>
      <c r="DF44" s="2">
        <f>COUNTIF(INDEX('LINE PLAN'!$B$36:$GS$61,0,ROW()-3),DF$3)</f>
        <v>0</v>
      </c>
      <c r="DG44" s="2">
        <f>COUNTIF(INDEX('LINE PLAN'!$B$36:$GS$61,0,ROW()-3),DG$3)</f>
        <v>0</v>
      </c>
      <c r="DH44" s="2">
        <f>COUNTIF(INDEX('LINE PLAN'!$B$36:$GS$61,0,ROW()-3),DH$3)</f>
        <v>0</v>
      </c>
      <c r="DI44" s="2">
        <f>COUNTIF(INDEX('LINE PLAN'!$B$36:$GS$61,0,ROW()-3),DI$3)</f>
        <v>0</v>
      </c>
      <c r="DJ44" s="2">
        <f>COUNTIF(INDEX('LINE PLAN'!$B$36:$GS$61,0,ROW()-3),DJ$3)</f>
        <v>0</v>
      </c>
      <c r="DK44" s="2">
        <f>COUNTIF(INDEX('LINE PLAN'!$B$36:$GS$61,0,ROW()-3),DK$3)</f>
        <v>0</v>
      </c>
      <c r="DL44" s="2">
        <f>COUNTIF(INDEX('LINE PLAN'!$B$36:$GS$61,0,ROW()-3),DL$3)</f>
        <v>0</v>
      </c>
      <c r="DM44" s="2">
        <f>COUNTIF(INDEX('LINE PLAN'!$B$36:$GS$61,0,ROW()-3),DM$3)</f>
        <v>0</v>
      </c>
      <c r="DN44" s="2">
        <f>COUNTIF(INDEX('LINE PLAN'!$B$36:$GS$61,0,ROW()-3),DN$3)</f>
        <v>0</v>
      </c>
      <c r="DO44" s="2">
        <f>COUNTIF(INDEX('LINE PLAN'!$B$36:$GS$61,0,ROW()-3),DO$3)</f>
        <v>0</v>
      </c>
      <c r="DP44" s="2">
        <f>COUNTIF(INDEX('LINE PLAN'!$B$36:$GS$61,0,ROW()-3),DP$3)</f>
        <v>0</v>
      </c>
      <c r="DQ44" s="2">
        <f>COUNTIF(INDEX('LINE PLAN'!$B$36:$GS$61,0,ROW()-3),DQ$3)</f>
        <v>0</v>
      </c>
      <c r="DR44" s="2">
        <f>COUNTIF(INDEX('LINE PLAN'!$B$36:$GS$61,0,ROW()-3),DR$3)</f>
        <v>0</v>
      </c>
      <c r="DS44" s="2">
        <f>COUNTIF(INDEX('LINE PLAN'!$B$36:$GS$61,0,ROW()-3),DS$3)</f>
        <v>0</v>
      </c>
      <c r="DT44" s="2">
        <f>COUNTIF(INDEX('LINE PLAN'!$B$36:$GS$61,0,ROW()-3),DT$3)</f>
        <v>0</v>
      </c>
      <c r="DU44" s="2">
        <f>COUNTIF(INDEX('LINE PLAN'!$B$36:$GS$61,0,ROW()-3),DU$3)</f>
        <v>0</v>
      </c>
      <c r="DV44" s="2">
        <f>COUNTIF(INDEX('LINE PLAN'!$B$36:$GS$61,0,ROW()-3),DV$3)</f>
        <v>0</v>
      </c>
    </row>
    <row r="45" spans="1:126">
      <c r="A45" s="505" cm="1">
        <f t="array" ref="A45">INDEX('LINE PLAN'!$B$35:$GS$35,ROW()-3)</f>
        <v>46276</v>
      </c>
      <c r="B45" s="2">
        <f>SUMPRODUCT($CA45:$DV45,INDEX('MC MAP'!$DA$5:$EV$30,1,0))</f>
        <v>145.5</v>
      </c>
      <c r="C45" s="2">
        <f>SUMPRODUCT($CA45:$DV45,INDEX('MC MAP'!$DA$5:$EV$30,2,0))</f>
        <v>1</v>
      </c>
      <c r="D45" s="2">
        <f>SUMPRODUCT($CA45:$DV45,INDEX('MC MAP'!$DA$5:$EV$30,3,0))</f>
        <v>0</v>
      </c>
      <c r="E45" s="2">
        <f>SUMPRODUCT($CA45:$DV45,INDEX('MC MAP'!$DA$5:$EV$30,4,0))</f>
        <v>4</v>
      </c>
      <c r="F45" s="2">
        <f>SUMPRODUCT($CA45:$DV45,INDEX('MC MAP'!$DA$5:$EV$30,5,0))</f>
        <v>257</v>
      </c>
      <c r="G45" s="2">
        <f>SUMPRODUCT($CA45:$DV45,INDEX('MC MAP'!$DA$5:$EV$30,6,0))</f>
        <v>25</v>
      </c>
      <c r="H45" s="2">
        <f>SUMPRODUCT($CA45:$DV45,INDEX('MC MAP'!$DA$5:$EV$30,7,0))</f>
        <v>0</v>
      </c>
      <c r="I45" s="2">
        <f>SUMPRODUCT($CA45:$DV45,INDEX('MC MAP'!$DA$5:$EV$30,8,0))</f>
        <v>34</v>
      </c>
      <c r="J45" s="2">
        <f>SUMPRODUCT($CA45:$DV45,INDEX('MC MAP'!$DA$5:$EV$30,9,0))</f>
        <v>30.5</v>
      </c>
      <c r="K45" s="2">
        <f>SUMPRODUCT($CA45:$DV45,INDEX('MC MAP'!$DA$5:$EV$30,10,0))</f>
        <v>16</v>
      </c>
      <c r="L45" s="2">
        <f>SUMPRODUCT($CA45:$DV45,INDEX('MC MAP'!$DA$5:$EV$30,11,0))</f>
        <v>32.5</v>
      </c>
      <c r="M45" s="2">
        <f>SUMPRODUCT($CA45:$DV45,INDEX('MC MAP'!$DA$5:$EV$30,12,0))</f>
        <v>21</v>
      </c>
      <c r="N45" s="2">
        <f>SUMPRODUCT($CA45:$DV45,INDEX('MC MAP'!$DA$5:$EV$30,13,0))</f>
        <v>28</v>
      </c>
      <c r="O45" s="2">
        <f>SUMPRODUCT($CA45:$DV45,INDEX('MC MAP'!$DA$5:$EV$30,14,0))</f>
        <v>43</v>
      </c>
      <c r="P45" s="2">
        <f>SUMPRODUCT($CA45:$DV45,INDEX('MC MAP'!$DA$5:$EV$30,15,0))</f>
        <v>64</v>
      </c>
      <c r="Q45" s="2">
        <f>SUMPRODUCT($CA45:$DV45,INDEX('MC MAP'!$DA$5:$EV$30,16,0))</f>
        <v>0</v>
      </c>
      <c r="R45" s="2">
        <f>SUMPRODUCT($CA45:$DV45,INDEX('MC MAP'!$DA$5:$EV$30,17,0))</f>
        <v>3</v>
      </c>
      <c r="S45" s="2">
        <f>SUMPRODUCT($CA45:$DV45,INDEX('MC MAP'!$DA$5:$EV$30,18,0))</f>
        <v>0</v>
      </c>
      <c r="T45" s="2">
        <f>SUMPRODUCT($CA45:$DV45,INDEX('MC MAP'!$DA$5:$EV$30,19,0))</f>
        <v>17</v>
      </c>
      <c r="U45" s="2">
        <f>SUMPRODUCT($CA45:$DV45,INDEX('MC MAP'!$DA$5:$EV$30,20,0))</f>
        <v>33.5</v>
      </c>
      <c r="V45" s="2">
        <f>SUMPRODUCT($CA45:$DV45,INDEX('MC MAP'!$DA$5:$EV$30,21,0))</f>
        <v>2</v>
      </c>
      <c r="W45" s="2">
        <f>SUMPRODUCT($CA45:$DV45,INDEX('MC MAP'!$DA$5:$EV$30,22,0))</f>
        <v>2</v>
      </c>
      <c r="X45" s="2">
        <f>SUMPRODUCT($CA45:$DV45,INDEX('MC MAP'!$DA$5:$EV$30,23,0))</f>
        <v>0</v>
      </c>
      <c r="Y45" s="2">
        <f>SUMPRODUCT($CA45:$DV45,INDEX('MC MAP'!$DA$5:$EV$30,24,0))</f>
        <v>10</v>
      </c>
      <c r="Z45" s="2">
        <f>SUMPRODUCT($CA45:$DV45,INDEX('MC MAP'!$DA$5:$EV$30,25,0))</f>
        <v>0</v>
      </c>
      <c r="AA45" s="2">
        <f>SUMPRODUCT($CA45:$DV45,INDEX('MC MAP'!$DA$5:$EV$30,26,0))</f>
        <v>23</v>
      </c>
      <c r="AB45" s="2">
        <f>SUM($B45:$AA45)</f>
        <v>792</v>
      </c>
      <c r="AC45" s="2">
        <f>SUM($CA45:$DV45)+$AW45</f>
        <v>26</v>
      </c>
      <c r="AW45" s="2">
        <f>IF($A45=0,0,COUNTIF(INDEX('LINE PLAN'!$B$36:$GS$61,0,ROW()-3),"THERMAL - NOT SPECIFIED"))</f>
        <v>0</v>
      </c>
      <c r="AX45" s="506" cm="1">
        <f t="array" ref="AX45">IF(OR($AB45=0,UPPER($BS45)&lt;&gt;"Y"),0,SUMPRODUCT(--($B45:$AA45&gt;$B$205:$AA$205)))</f>
        <v>4</v>
      </c>
      <c r="AY45" s="507">
        <f>$A45</f>
        <v>46276</v>
      </c>
      <c r="AZ45" s="2">
        <f>$AB45</f>
        <v>792</v>
      </c>
      <c r="BA45" s="2">
        <f>'MC MASTER'!$C$29</f>
        <v>920</v>
      </c>
      <c r="BD45" s="543" t="str">
        <f>INDEX('MC MASTER'!$B$3:$B$28,ROW()-34)</f>
        <v>F/L (Coverseam )with pullar</v>
      </c>
      <c r="BE45" s="521">
        <f>INDEX('MC MASTER'!$C$3:$C$28,ROW()-34)</f>
        <v>37</v>
      </c>
      <c r="BF45" s="522">
        <f ca="1">MAX(OFFSET($B$4,BF$32-1,MATCH($BD45,$B$3:$AA$3,0)-1,BF$33,1))</f>
        <v>43.5</v>
      </c>
      <c r="BG45" s="529">
        <f ca="1">MAX(OFFSET($B$4,BG$32-1,MATCH($BD45,$B$3:$AA$3,0)-1,BG$33,1))</f>
        <v>42.5</v>
      </c>
      <c r="BH45" s="529">
        <f ca="1">MAX(OFFSET($B$4,BH$32-1,MATCH($BD45,$B$3:$AA$3,0)-1,BH$33,1))</f>
        <v>12</v>
      </c>
      <c r="BI45" s="529">
        <f ca="1">MAX(OFFSET($B$4,BI$32-1,MATCH($BD45,$B$3:$AA$3,0)-1,BI$33,1))</f>
        <v>0</v>
      </c>
      <c r="BJ45" s="544" t="str">
        <f ca="1">IFERROR(INDEX($BF$34:$BI$34,MATCH(MAX($BF45:$BI45),$BF45:$BI45,0)),"")</f>
        <v>Aug</v>
      </c>
      <c r="BK45" s="523">
        <f ca="1">$BE45-MAX($BF45:$BI45)</f>
        <v>-6.5</v>
      </c>
      <c r="BQ45" s="509">
        <f>$A45</f>
        <v>46276</v>
      </c>
      <c r="BR45" s="15" t="str">
        <f>TEXT($A45,"ddd")</f>
        <v>Fri</v>
      </c>
      <c r="BS45" s="547" t="s">
        <v>391</v>
      </c>
      <c r="BT45" s="15">
        <f>IF(UPPER($BS45)="Y",$AB45,0)</f>
        <v>792</v>
      </c>
      <c r="CA45" s="2">
        <f>COUNTIF(INDEX('LINE PLAN'!$B$36:$GS$61,0,ROW()-3),CA$3)</f>
        <v>1</v>
      </c>
      <c r="CB45" s="2">
        <f>COUNTIF(INDEX('LINE PLAN'!$B$36:$GS$61,0,ROW()-3),CB$3)</f>
        <v>1</v>
      </c>
      <c r="CC45" s="2">
        <f>COUNTIF(INDEX('LINE PLAN'!$B$36:$GS$61,0,ROW()-3),CC$3)</f>
        <v>2</v>
      </c>
      <c r="CD45" s="2">
        <f>COUNTIF(INDEX('LINE PLAN'!$B$36:$GS$61,0,ROW()-3),CD$3)</f>
        <v>1</v>
      </c>
      <c r="CE45" s="2">
        <f>COUNTIF(INDEX('LINE PLAN'!$B$36:$GS$61,0,ROW()-3),CE$3)</f>
        <v>3</v>
      </c>
      <c r="CF45" s="2">
        <f>COUNTIF(INDEX('LINE PLAN'!$B$36:$GS$61,0,ROW()-3),CF$3)</f>
        <v>3</v>
      </c>
      <c r="CG45" s="2">
        <f>COUNTIF(INDEX('LINE PLAN'!$B$36:$GS$61,0,ROW()-3),CG$3)</f>
        <v>3</v>
      </c>
      <c r="CH45" s="2">
        <f>COUNTIF(INDEX('LINE PLAN'!$B$36:$GS$61,0,ROW()-3),CH$3)</f>
        <v>4</v>
      </c>
      <c r="CI45" s="2">
        <f>COUNTIF(INDEX('LINE PLAN'!$B$36:$GS$61,0,ROW()-3),CI$3)</f>
        <v>1</v>
      </c>
      <c r="CJ45" s="2">
        <f>COUNTIF(INDEX('LINE PLAN'!$B$36:$GS$61,0,ROW()-3),CJ$3)</f>
        <v>2</v>
      </c>
      <c r="CK45" s="2">
        <f>COUNTIF(INDEX('LINE PLAN'!$B$36:$GS$61,0,ROW()-3),CK$3)</f>
        <v>0</v>
      </c>
      <c r="CL45" s="2">
        <f>COUNTIF(INDEX('LINE PLAN'!$B$36:$GS$61,0,ROW()-3),CL$3)</f>
        <v>0</v>
      </c>
      <c r="CM45" s="2">
        <f>COUNTIF(INDEX('LINE PLAN'!$B$36:$GS$61,0,ROW()-3),CM$3)</f>
        <v>0</v>
      </c>
      <c r="CN45" s="2">
        <f>COUNTIF(INDEX('LINE PLAN'!$B$36:$GS$61,0,ROW()-3),CN$3)</f>
        <v>0</v>
      </c>
      <c r="CO45" s="2">
        <f>COUNTIF(INDEX('LINE PLAN'!$B$36:$GS$61,0,ROW()-3),CO$3)</f>
        <v>1</v>
      </c>
      <c r="CP45" s="2">
        <f>COUNTIF(INDEX('LINE PLAN'!$B$36:$GS$61,0,ROW()-3),CP$3)</f>
        <v>2</v>
      </c>
      <c r="CQ45" s="2">
        <f>COUNTIF(INDEX('LINE PLAN'!$B$36:$GS$61,0,ROW()-3),CQ$3)</f>
        <v>0</v>
      </c>
      <c r="CR45" s="2">
        <f>COUNTIF(INDEX('LINE PLAN'!$B$36:$GS$61,0,ROW()-3),CR$3)</f>
        <v>2</v>
      </c>
      <c r="CS45" s="2">
        <f>COUNTIF(INDEX('LINE PLAN'!$B$36:$GS$61,0,ROW()-3),CS$3)</f>
        <v>0</v>
      </c>
      <c r="CT45" s="2">
        <f>COUNTIF(INDEX('LINE PLAN'!$B$36:$GS$61,0,ROW()-3),CT$3)</f>
        <v>0</v>
      </c>
      <c r="CU45" s="2">
        <f>COUNTIF(INDEX('LINE PLAN'!$B$36:$GS$61,0,ROW()-3),CU$3)</f>
        <v>0</v>
      </c>
      <c r="CV45" s="2">
        <f>COUNTIF(INDEX('LINE PLAN'!$B$36:$GS$61,0,ROW()-3),CV$3)</f>
        <v>0</v>
      </c>
      <c r="CW45" s="2">
        <f>COUNTIF(INDEX('LINE PLAN'!$B$36:$GS$61,0,ROW()-3),CW$3)</f>
        <v>0</v>
      </c>
      <c r="CX45" s="2">
        <f>COUNTIF(INDEX('LINE PLAN'!$B$36:$GS$61,0,ROW()-3),CX$3)</f>
        <v>0</v>
      </c>
      <c r="CY45" s="2">
        <f>COUNTIF(INDEX('LINE PLAN'!$B$36:$GS$61,0,ROW()-3),CY$3)</f>
        <v>0</v>
      </c>
      <c r="CZ45" s="2">
        <f>COUNTIF(INDEX('LINE PLAN'!$B$36:$GS$61,0,ROW()-3),CZ$3)</f>
        <v>0</v>
      </c>
      <c r="DA45" s="2">
        <f>COUNTIF(INDEX('LINE PLAN'!$B$36:$GS$61,0,ROW()-3),DA$3)</f>
        <v>0</v>
      </c>
      <c r="DB45" s="2">
        <f>COUNTIF(INDEX('LINE PLAN'!$B$36:$GS$61,0,ROW()-3),DB$3)</f>
        <v>0</v>
      </c>
      <c r="DC45" s="2">
        <f>COUNTIF(INDEX('LINE PLAN'!$B$36:$GS$61,0,ROW()-3),DC$3)</f>
        <v>0</v>
      </c>
      <c r="DD45" s="2">
        <f>COUNTIF(INDEX('LINE PLAN'!$B$36:$GS$61,0,ROW()-3),DD$3)</f>
        <v>0</v>
      </c>
      <c r="DE45" s="2">
        <f>COUNTIF(INDEX('LINE PLAN'!$B$36:$GS$61,0,ROW()-3),DE$3)</f>
        <v>0</v>
      </c>
      <c r="DF45" s="2">
        <f>COUNTIF(INDEX('LINE PLAN'!$B$36:$GS$61,0,ROW()-3),DF$3)</f>
        <v>0</v>
      </c>
      <c r="DG45" s="2">
        <f>COUNTIF(INDEX('LINE PLAN'!$B$36:$GS$61,0,ROW()-3),DG$3)</f>
        <v>0</v>
      </c>
      <c r="DH45" s="2">
        <f>COUNTIF(INDEX('LINE PLAN'!$B$36:$GS$61,0,ROW()-3),DH$3)</f>
        <v>0</v>
      </c>
      <c r="DI45" s="2">
        <f>COUNTIF(INDEX('LINE PLAN'!$B$36:$GS$61,0,ROW()-3),DI$3)</f>
        <v>0</v>
      </c>
      <c r="DJ45" s="2">
        <f>COUNTIF(INDEX('LINE PLAN'!$B$36:$GS$61,0,ROW()-3),DJ$3)</f>
        <v>0</v>
      </c>
      <c r="DK45" s="2">
        <f>COUNTIF(INDEX('LINE PLAN'!$B$36:$GS$61,0,ROW()-3),DK$3)</f>
        <v>0</v>
      </c>
      <c r="DL45" s="2">
        <f>COUNTIF(INDEX('LINE PLAN'!$B$36:$GS$61,0,ROW()-3),DL$3)</f>
        <v>0</v>
      </c>
      <c r="DM45" s="2">
        <f>COUNTIF(INDEX('LINE PLAN'!$B$36:$GS$61,0,ROW()-3),DM$3)</f>
        <v>0</v>
      </c>
      <c r="DN45" s="2">
        <f>COUNTIF(INDEX('LINE PLAN'!$B$36:$GS$61,0,ROW()-3),DN$3)</f>
        <v>0</v>
      </c>
      <c r="DO45" s="2">
        <f>COUNTIF(INDEX('LINE PLAN'!$B$36:$GS$61,0,ROW()-3),DO$3)</f>
        <v>0</v>
      </c>
      <c r="DP45" s="2">
        <f>COUNTIF(INDEX('LINE PLAN'!$B$36:$GS$61,0,ROW()-3),DP$3)</f>
        <v>0</v>
      </c>
      <c r="DQ45" s="2">
        <f>COUNTIF(INDEX('LINE PLAN'!$B$36:$GS$61,0,ROW()-3),DQ$3)</f>
        <v>0</v>
      </c>
      <c r="DR45" s="2">
        <f>COUNTIF(INDEX('LINE PLAN'!$B$36:$GS$61,0,ROW()-3),DR$3)</f>
        <v>0</v>
      </c>
      <c r="DS45" s="2">
        <f>COUNTIF(INDEX('LINE PLAN'!$B$36:$GS$61,0,ROW()-3),DS$3)</f>
        <v>0</v>
      </c>
      <c r="DT45" s="2">
        <f>COUNTIF(INDEX('LINE PLAN'!$B$36:$GS$61,0,ROW()-3),DT$3)</f>
        <v>0</v>
      </c>
      <c r="DU45" s="2">
        <f>COUNTIF(INDEX('LINE PLAN'!$B$36:$GS$61,0,ROW()-3),DU$3)</f>
        <v>0</v>
      </c>
      <c r="DV45" s="2">
        <f>COUNTIF(INDEX('LINE PLAN'!$B$36:$GS$61,0,ROW()-3),DV$3)</f>
        <v>0</v>
      </c>
    </row>
    <row r="46" spans="1:126">
      <c r="A46" s="505" cm="1">
        <f t="array" ref="A46">INDEX('LINE PLAN'!$B$35:$GS$35,ROW()-3)</f>
        <v>46277</v>
      </c>
      <c r="B46" s="2">
        <f>SUMPRODUCT($CA46:$DV46,INDEX('MC MAP'!$DA$5:$EV$30,1,0))</f>
        <v>145.5</v>
      </c>
      <c r="C46" s="2">
        <f>SUMPRODUCT($CA46:$DV46,INDEX('MC MAP'!$DA$5:$EV$30,2,0))</f>
        <v>1</v>
      </c>
      <c r="D46" s="2">
        <f>SUMPRODUCT($CA46:$DV46,INDEX('MC MAP'!$DA$5:$EV$30,3,0))</f>
        <v>0</v>
      </c>
      <c r="E46" s="2">
        <f>SUMPRODUCT($CA46:$DV46,INDEX('MC MAP'!$DA$5:$EV$30,4,0))</f>
        <v>4</v>
      </c>
      <c r="F46" s="2">
        <f>SUMPRODUCT($CA46:$DV46,INDEX('MC MAP'!$DA$5:$EV$30,5,0))</f>
        <v>257</v>
      </c>
      <c r="G46" s="2">
        <f>SUMPRODUCT($CA46:$DV46,INDEX('MC MAP'!$DA$5:$EV$30,6,0))</f>
        <v>25</v>
      </c>
      <c r="H46" s="2">
        <f>SUMPRODUCT($CA46:$DV46,INDEX('MC MAP'!$DA$5:$EV$30,7,0))</f>
        <v>0</v>
      </c>
      <c r="I46" s="2">
        <f>SUMPRODUCT($CA46:$DV46,INDEX('MC MAP'!$DA$5:$EV$30,8,0))</f>
        <v>34</v>
      </c>
      <c r="J46" s="2">
        <f>SUMPRODUCT($CA46:$DV46,INDEX('MC MAP'!$DA$5:$EV$30,9,0))</f>
        <v>30.5</v>
      </c>
      <c r="K46" s="2">
        <f>SUMPRODUCT($CA46:$DV46,INDEX('MC MAP'!$DA$5:$EV$30,10,0))</f>
        <v>16</v>
      </c>
      <c r="L46" s="2">
        <f>SUMPRODUCT($CA46:$DV46,INDEX('MC MAP'!$DA$5:$EV$30,11,0))</f>
        <v>32.5</v>
      </c>
      <c r="M46" s="2">
        <f>SUMPRODUCT($CA46:$DV46,INDEX('MC MAP'!$DA$5:$EV$30,12,0))</f>
        <v>21</v>
      </c>
      <c r="N46" s="2">
        <f>SUMPRODUCT($CA46:$DV46,INDEX('MC MAP'!$DA$5:$EV$30,13,0))</f>
        <v>28</v>
      </c>
      <c r="O46" s="2">
        <f>SUMPRODUCT($CA46:$DV46,INDEX('MC MAP'!$DA$5:$EV$30,14,0))</f>
        <v>43</v>
      </c>
      <c r="P46" s="2">
        <f>SUMPRODUCT($CA46:$DV46,INDEX('MC MAP'!$DA$5:$EV$30,15,0))</f>
        <v>64</v>
      </c>
      <c r="Q46" s="2">
        <f>SUMPRODUCT($CA46:$DV46,INDEX('MC MAP'!$DA$5:$EV$30,16,0))</f>
        <v>0</v>
      </c>
      <c r="R46" s="2">
        <f>SUMPRODUCT($CA46:$DV46,INDEX('MC MAP'!$DA$5:$EV$30,17,0))</f>
        <v>3</v>
      </c>
      <c r="S46" s="2">
        <f>SUMPRODUCT($CA46:$DV46,INDEX('MC MAP'!$DA$5:$EV$30,18,0))</f>
        <v>0</v>
      </c>
      <c r="T46" s="2">
        <f>SUMPRODUCT($CA46:$DV46,INDEX('MC MAP'!$DA$5:$EV$30,19,0))</f>
        <v>17</v>
      </c>
      <c r="U46" s="2">
        <f>SUMPRODUCT($CA46:$DV46,INDEX('MC MAP'!$DA$5:$EV$30,20,0))</f>
        <v>33.5</v>
      </c>
      <c r="V46" s="2">
        <f>SUMPRODUCT($CA46:$DV46,INDEX('MC MAP'!$DA$5:$EV$30,21,0))</f>
        <v>2</v>
      </c>
      <c r="W46" s="2">
        <f>SUMPRODUCT($CA46:$DV46,INDEX('MC MAP'!$DA$5:$EV$30,22,0))</f>
        <v>2</v>
      </c>
      <c r="X46" s="2">
        <f>SUMPRODUCT($CA46:$DV46,INDEX('MC MAP'!$DA$5:$EV$30,23,0))</f>
        <v>0</v>
      </c>
      <c r="Y46" s="2">
        <f>SUMPRODUCT($CA46:$DV46,INDEX('MC MAP'!$DA$5:$EV$30,24,0))</f>
        <v>10</v>
      </c>
      <c r="Z46" s="2">
        <f>SUMPRODUCT($CA46:$DV46,INDEX('MC MAP'!$DA$5:$EV$30,25,0))</f>
        <v>0</v>
      </c>
      <c r="AA46" s="2">
        <f>SUMPRODUCT($CA46:$DV46,INDEX('MC MAP'!$DA$5:$EV$30,26,0))</f>
        <v>23</v>
      </c>
      <c r="AB46" s="2">
        <f>SUM($B46:$AA46)</f>
        <v>792</v>
      </c>
      <c r="AC46" s="2">
        <f>SUM($CA46:$DV46)+$AW46</f>
        <v>26</v>
      </c>
      <c r="AW46" s="2">
        <f>IF($A46=0,0,COUNTIF(INDEX('LINE PLAN'!$B$36:$GS$61,0,ROW()-3),"THERMAL - NOT SPECIFIED"))</f>
        <v>0</v>
      </c>
      <c r="AX46" s="506" cm="1">
        <f t="array" ref="AX46">IF(OR($AB46=0,UPPER($BS46)&lt;&gt;"Y"),0,SUMPRODUCT(--($B46:$AA46&gt;$B$205:$AA$205)))</f>
        <v>4</v>
      </c>
      <c r="AY46" s="507">
        <f>$A46</f>
        <v>46277</v>
      </c>
      <c r="AZ46" s="2">
        <f>$AB46</f>
        <v>792</v>
      </c>
      <c r="BA46" s="2">
        <f>'MC MASTER'!$C$29</f>
        <v>920</v>
      </c>
      <c r="BD46" s="543" t="str">
        <f>INDEX('MC MASTER'!$B$3:$B$28,ROW()-34)</f>
        <v>F/L (Coverseam )</v>
      </c>
      <c r="BE46" s="521">
        <f>INDEX('MC MASTER'!$C$3:$C$28,ROW()-34)</f>
        <v>6</v>
      </c>
      <c r="BF46" s="522">
        <f ca="1">MAX(OFFSET($B$4,BF$32-1,MATCH($BD46,$B$3:$AA$3,0)-1,BF$33,1))</f>
        <v>17</v>
      </c>
      <c r="BG46" s="529">
        <f ca="1">MAX(OFFSET($B$4,BG$32-1,MATCH($BD46,$B$3:$AA$3,0)-1,BG$33,1))</f>
        <v>33</v>
      </c>
      <c r="BH46" s="529">
        <f ca="1">MAX(OFFSET($B$4,BH$32-1,MATCH($BD46,$B$3:$AA$3,0)-1,BH$33,1))</f>
        <v>33</v>
      </c>
      <c r="BI46" s="529">
        <f ca="1">MAX(OFFSET($B$4,BI$32-1,MATCH($BD46,$B$3:$AA$3,0)-1,BI$33,1))</f>
        <v>0</v>
      </c>
      <c r="BJ46" s="544" t="str">
        <f ca="1">IFERROR(INDEX($BF$34:$BI$34,MATCH(MAX($BF46:$BI46),$BF46:$BI46,0)),"")</f>
        <v>Sep</v>
      </c>
      <c r="BK46" s="523">
        <f ca="1">$BE46-MAX($BF46:$BI46)</f>
        <v>-27</v>
      </c>
      <c r="BQ46" s="509">
        <f>$A46</f>
        <v>46277</v>
      </c>
      <c r="BR46" s="15" t="str">
        <f>TEXT($A46,"ddd")</f>
        <v>Sat</v>
      </c>
      <c r="BS46" s="547" t="s">
        <v>391</v>
      </c>
      <c r="BT46" s="15">
        <f>IF(UPPER($BS46)="Y",$AB46,0)</f>
        <v>792</v>
      </c>
      <c r="CA46" s="2">
        <f>COUNTIF(INDEX('LINE PLAN'!$B$36:$GS$61,0,ROW()-3),CA$3)</f>
        <v>1</v>
      </c>
      <c r="CB46" s="2">
        <f>COUNTIF(INDEX('LINE PLAN'!$B$36:$GS$61,0,ROW()-3),CB$3)</f>
        <v>1</v>
      </c>
      <c r="CC46" s="2">
        <f>COUNTIF(INDEX('LINE PLAN'!$B$36:$GS$61,0,ROW()-3),CC$3)</f>
        <v>2</v>
      </c>
      <c r="CD46" s="2">
        <f>COUNTIF(INDEX('LINE PLAN'!$B$36:$GS$61,0,ROW()-3),CD$3)</f>
        <v>1</v>
      </c>
      <c r="CE46" s="2">
        <f>COUNTIF(INDEX('LINE PLAN'!$B$36:$GS$61,0,ROW()-3),CE$3)</f>
        <v>3</v>
      </c>
      <c r="CF46" s="2">
        <f>COUNTIF(INDEX('LINE PLAN'!$B$36:$GS$61,0,ROW()-3),CF$3)</f>
        <v>3</v>
      </c>
      <c r="CG46" s="2">
        <f>COUNTIF(INDEX('LINE PLAN'!$B$36:$GS$61,0,ROW()-3),CG$3)</f>
        <v>3</v>
      </c>
      <c r="CH46" s="2">
        <f>COUNTIF(INDEX('LINE PLAN'!$B$36:$GS$61,0,ROW()-3),CH$3)</f>
        <v>4</v>
      </c>
      <c r="CI46" s="2">
        <f>COUNTIF(INDEX('LINE PLAN'!$B$36:$GS$61,0,ROW()-3),CI$3)</f>
        <v>1</v>
      </c>
      <c r="CJ46" s="2">
        <f>COUNTIF(INDEX('LINE PLAN'!$B$36:$GS$61,0,ROW()-3),CJ$3)</f>
        <v>2</v>
      </c>
      <c r="CK46" s="2">
        <f>COUNTIF(INDEX('LINE PLAN'!$B$36:$GS$61,0,ROW()-3),CK$3)</f>
        <v>0</v>
      </c>
      <c r="CL46" s="2">
        <f>COUNTIF(INDEX('LINE PLAN'!$B$36:$GS$61,0,ROW()-3),CL$3)</f>
        <v>0</v>
      </c>
      <c r="CM46" s="2">
        <f>COUNTIF(INDEX('LINE PLAN'!$B$36:$GS$61,0,ROW()-3),CM$3)</f>
        <v>0</v>
      </c>
      <c r="CN46" s="2">
        <f>COUNTIF(INDEX('LINE PLAN'!$B$36:$GS$61,0,ROW()-3),CN$3)</f>
        <v>0</v>
      </c>
      <c r="CO46" s="2">
        <f>COUNTIF(INDEX('LINE PLAN'!$B$36:$GS$61,0,ROW()-3),CO$3)</f>
        <v>1</v>
      </c>
      <c r="CP46" s="2">
        <f>COUNTIF(INDEX('LINE PLAN'!$B$36:$GS$61,0,ROW()-3),CP$3)</f>
        <v>2</v>
      </c>
      <c r="CQ46" s="2">
        <f>COUNTIF(INDEX('LINE PLAN'!$B$36:$GS$61,0,ROW()-3),CQ$3)</f>
        <v>0</v>
      </c>
      <c r="CR46" s="2">
        <f>COUNTIF(INDEX('LINE PLAN'!$B$36:$GS$61,0,ROW()-3),CR$3)</f>
        <v>2</v>
      </c>
      <c r="CS46" s="2">
        <f>COUNTIF(INDEX('LINE PLAN'!$B$36:$GS$61,0,ROW()-3),CS$3)</f>
        <v>0</v>
      </c>
      <c r="CT46" s="2">
        <f>COUNTIF(INDEX('LINE PLAN'!$B$36:$GS$61,0,ROW()-3),CT$3)</f>
        <v>0</v>
      </c>
      <c r="CU46" s="2">
        <f>COUNTIF(INDEX('LINE PLAN'!$B$36:$GS$61,0,ROW()-3),CU$3)</f>
        <v>0</v>
      </c>
      <c r="CV46" s="2">
        <f>COUNTIF(INDEX('LINE PLAN'!$B$36:$GS$61,0,ROW()-3),CV$3)</f>
        <v>0</v>
      </c>
      <c r="CW46" s="2">
        <f>COUNTIF(INDEX('LINE PLAN'!$B$36:$GS$61,0,ROW()-3),CW$3)</f>
        <v>0</v>
      </c>
      <c r="CX46" s="2">
        <f>COUNTIF(INDEX('LINE PLAN'!$B$36:$GS$61,0,ROW()-3),CX$3)</f>
        <v>0</v>
      </c>
      <c r="CY46" s="2">
        <f>COUNTIF(INDEX('LINE PLAN'!$B$36:$GS$61,0,ROW()-3),CY$3)</f>
        <v>0</v>
      </c>
      <c r="CZ46" s="2">
        <f>COUNTIF(INDEX('LINE PLAN'!$B$36:$GS$61,0,ROW()-3),CZ$3)</f>
        <v>0</v>
      </c>
      <c r="DA46" s="2">
        <f>COUNTIF(INDEX('LINE PLAN'!$B$36:$GS$61,0,ROW()-3),DA$3)</f>
        <v>0</v>
      </c>
      <c r="DB46" s="2">
        <f>COUNTIF(INDEX('LINE PLAN'!$B$36:$GS$61,0,ROW()-3),DB$3)</f>
        <v>0</v>
      </c>
      <c r="DC46" s="2">
        <f>COUNTIF(INDEX('LINE PLAN'!$B$36:$GS$61,0,ROW()-3),DC$3)</f>
        <v>0</v>
      </c>
      <c r="DD46" s="2">
        <f>COUNTIF(INDEX('LINE PLAN'!$B$36:$GS$61,0,ROW()-3),DD$3)</f>
        <v>0</v>
      </c>
      <c r="DE46" s="2">
        <f>COUNTIF(INDEX('LINE PLAN'!$B$36:$GS$61,0,ROW()-3),DE$3)</f>
        <v>0</v>
      </c>
      <c r="DF46" s="2">
        <f>COUNTIF(INDEX('LINE PLAN'!$B$36:$GS$61,0,ROW()-3),DF$3)</f>
        <v>0</v>
      </c>
      <c r="DG46" s="2">
        <f>COUNTIF(INDEX('LINE PLAN'!$B$36:$GS$61,0,ROW()-3),DG$3)</f>
        <v>0</v>
      </c>
      <c r="DH46" s="2">
        <f>COUNTIF(INDEX('LINE PLAN'!$B$36:$GS$61,0,ROW()-3),DH$3)</f>
        <v>0</v>
      </c>
      <c r="DI46" s="2">
        <f>COUNTIF(INDEX('LINE PLAN'!$B$36:$GS$61,0,ROW()-3),DI$3)</f>
        <v>0</v>
      </c>
      <c r="DJ46" s="2">
        <f>COUNTIF(INDEX('LINE PLAN'!$B$36:$GS$61,0,ROW()-3),DJ$3)</f>
        <v>0</v>
      </c>
      <c r="DK46" s="2">
        <f>COUNTIF(INDEX('LINE PLAN'!$B$36:$GS$61,0,ROW()-3),DK$3)</f>
        <v>0</v>
      </c>
      <c r="DL46" s="2">
        <f>COUNTIF(INDEX('LINE PLAN'!$B$36:$GS$61,0,ROW()-3),DL$3)</f>
        <v>0</v>
      </c>
      <c r="DM46" s="2">
        <f>COUNTIF(INDEX('LINE PLAN'!$B$36:$GS$61,0,ROW()-3),DM$3)</f>
        <v>0</v>
      </c>
      <c r="DN46" s="2">
        <f>COUNTIF(INDEX('LINE PLAN'!$B$36:$GS$61,0,ROW()-3),DN$3)</f>
        <v>0</v>
      </c>
      <c r="DO46" s="2">
        <f>COUNTIF(INDEX('LINE PLAN'!$B$36:$GS$61,0,ROW()-3),DO$3)</f>
        <v>0</v>
      </c>
      <c r="DP46" s="2">
        <f>COUNTIF(INDEX('LINE PLAN'!$B$36:$GS$61,0,ROW()-3),DP$3)</f>
        <v>0</v>
      </c>
      <c r="DQ46" s="2">
        <f>COUNTIF(INDEX('LINE PLAN'!$B$36:$GS$61,0,ROW()-3),DQ$3)</f>
        <v>0</v>
      </c>
      <c r="DR46" s="2">
        <f>COUNTIF(INDEX('LINE PLAN'!$B$36:$GS$61,0,ROW()-3),DR$3)</f>
        <v>0</v>
      </c>
      <c r="DS46" s="2">
        <f>COUNTIF(INDEX('LINE PLAN'!$B$36:$GS$61,0,ROW()-3),DS$3)</f>
        <v>0</v>
      </c>
      <c r="DT46" s="2">
        <f>COUNTIF(INDEX('LINE PLAN'!$B$36:$GS$61,0,ROW()-3),DT$3)</f>
        <v>0</v>
      </c>
      <c r="DU46" s="2">
        <f>COUNTIF(INDEX('LINE PLAN'!$B$36:$GS$61,0,ROW()-3),DU$3)</f>
        <v>0</v>
      </c>
      <c r="DV46" s="2">
        <f>COUNTIF(INDEX('LINE PLAN'!$B$36:$GS$61,0,ROW()-3),DV$3)</f>
        <v>0</v>
      </c>
    </row>
    <row r="47" spans="1:126">
      <c r="A47" s="505" cm="1">
        <f t="array" ref="A47">INDEX('LINE PLAN'!$B$35:$GS$35,ROW()-3)</f>
        <v>46278</v>
      </c>
      <c r="B47" s="2">
        <f>SUMPRODUCT($CA47:$DV47,INDEX('MC MAP'!$DA$5:$EV$30,1,0))</f>
        <v>145.5</v>
      </c>
      <c r="C47" s="2">
        <f>SUMPRODUCT($CA47:$DV47,INDEX('MC MAP'!$DA$5:$EV$30,2,0))</f>
        <v>1</v>
      </c>
      <c r="D47" s="2">
        <f>SUMPRODUCT($CA47:$DV47,INDEX('MC MAP'!$DA$5:$EV$30,3,0))</f>
        <v>0</v>
      </c>
      <c r="E47" s="2">
        <f>SUMPRODUCT($CA47:$DV47,INDEX('MC MAP'!$DA$5:$EV$30,4,0))</f>
        <v>4</v>
      </c>
      <c r="F47" s="2">
        <f>SUMPRODUCT($CA47:$DV47,INDEX('MC MAP'!$DA$5:$EV$30,5,0))</f>
        <v>257</v>
      </c>
      <c r="G47" s="2">
        <f>SUMPRODUCT($CA47:$DV47,INDEX('MC MAP'!$DA$5:$EV$30,6,0))</f>
        <v>25</v>
      </c>
      <c r="H47" s="2">
        <f>SUMPRODUCT($CA47:$DV47,INDEX('MC MAP'!$DA$5:$EV$30,7,0))</f>
        <v>0</v>
      </c>
      <c r="I47" s="2">
        <f>SUMPRODUCT($CA47:$DV47,INDEX('MC MAP'!$DA$5:$EV$30,8,0))</f>
        <v>34</v>
      </c>
      <c r="J47" s="2">
        <f>SUMPRODUCT($CA47:$DV47,INDEX('MC MAP'!$DA$5:$EV$30,9,0))</f>
        <v>30.5</v>
      </c>
      <c r="K47" s="2">
        <f>SUMPRODUCT($CA47:$DV47,INDEX('MC MAP'!$DA$5:$EV$30,10,0))</f>
        <v>16</v>
      </c>
      <c r="L47" s="2">
        <f>SUMPRODUCT($CA47:$DV47,INDEX('MC MAP'!$DA$5:$EV$30,11,0))</f>
        <v>32.5</v>
      </c>
      <c r="M47" s="2">
        <f>SUMPRODUCT($CA47:$DV47,INDEX('MC MAP'!$DA$5:$EV$30,12,0))</f>
        <v>21</v>
      </c>
      <c r="N47" s="2">
        <f>SUMPRODUCT($CA47:$DV47,INDEX('MC MAP'!$DA$5:$EV$30,13,0))</f>
        <v>28</v>
      </c>
      <c r="O47" s="2">
        <f>SUMPRODUCT($CA47:$DV47,INDEX('MC MAP'!$DA$5:$EV$30,14,0))</f>
        <v>43</v>
      </c>
      <c r="P47" s="2">
        <f>SUMPRODUCT($CA47:$DV47,INDEX('MC MAP'!$DA$5:$EV$30,15,0))</f>
        <v>64</v>
      </c>
      <c r="Q47" s="2">
        <f>SUMPRODUCT($CA47:$DV47,INDEX('MC MAP'!$DA$5:$EV$30,16,0))</f>
        <v>0</v>
      </c>
      <c r="R47" s="2">
        <f>SUMPRODUCT($CA47:$DV47,INDEX('MC MAP'!$DA$5:$EV$30,17,0))</f>
        <v>3</v>
      </c>
      <c r="S47" s="2">
        <f>SUMPRODUCT($CA47:$DV47,INDEX('MC MAP'!$DA$5:$EV$30,18,0))</f>
        <v>0</v>
      </c>
      <c r="T47" s="2">
        <f>SUMPRODUCT($CA47:$DV47,INDEX('MC MAP'!$DA$5:$EV$30,19,0))</f>
        <v>17</v>
      </c>
      <c r="U47" s="2">
        <f>SUMPRODUCT($CA47:$DV47,INDEX('MC MAP'!$DA$5:$EV$30,20,0))</f>
        <v>33.5</v>
      </c>
      <c r="V47" s="2">
        <f>SUMPRODUCT($CA47:$DV47,INDEX('MC MAP'!$DA$5:$EV$30,21,0))</f>
        <v>2</v>
      </c>
      <c r="W47" s="2">
        <f>SUMPRODUCT($CA47:$DV47,INDEX('MC MAP'!$DA$5:$EV$30,22,0))</f>
        <v>2</v>
      </c>
      <c r="X47" s="2">
        <f>SUMPRODUCT($CA47:$DV47,INDEX('MC MAP'!$DA$5:$EV$30,23,0))</f>
        <v>0</v>
      </c>
      <c r="Y47" s="2">
        <f>SUMPRODUCT($CA47:$DV47,INDEX('MC MAP'!$DA$5:$EV$30,24,0))</f>
        <v>10</v>
      </c>
      <c r="Z47" s="2">
        <f>SUMPRODUCT($CA47:$DV47,INDEX('MC MAP'!$DA$5:$EV$30,25,0))</f>
        <v>0</v>
      </c>
      <c r="AA47" s="2">
        <f>SUMPRODUCT($CA47:$DV47,INDEX('MC MAP'!$DA$5:$EV$30,26,0))</f>
        <v>23</v>
      </c>
      <c r="AB47" s="2">
        <f>SUM($B47:$AA47)</f>
        <v>792</v>
      </c>
      <c r="AC47" s="2">
        <f>SUM($CA47:$DV47)+$AW47</f>
        <v>26</v>
      </c>
      <c r="AW47" s="2">
        <f>IF($A47=0,0,COUNTIF(INDEX('LINE PLAN'!$B$36:$GS$61,0,ROW()-3),"THERMAL - NOT SPECIFIED"))</f>
        <v>0</v>
      </c>
      <c r="AX47" s="506" cm="1">
        <f t="array" ref="AX47">IF(OR($AB47=0,UPPER($BS47)&lt;&gt;"Y"),0,SUMPRODUCT(--($B47:$AA47&gt;$B$205:$AA$205)))</f>
        <v>0</v>
      </c>
      <c r="AY47" s="507">
        <f>$A47</f>
        <v>46278</v>
      </c>
      <c r="AZ47" s="2">
        <f>$AB47</f>
        <v>792</v>
      </c>
      <c r="BA47" s="2">
        <f>'MC MASTER'!$C$29</f>
        <v>920</v>
      </c>
      <c r="BD47" s="543" t="str">
        <f>INDEX('MC MASTER'!$B$3:$B$28,ROW()-34)</f>
        <v>Flatlock (Ring Elastic Attach)</v>
      </c>
      <c r="BE47" s="521">
        <f>INDEX('MC MASTER'!$C$3:$C$28,ROW()-34)</f>
        <v>42</v>
      </c>
      <c r="BF47" s="522">
        <f ca="1">MAX(OFFSET($B$4,BF$32-1,MATCH($BD47,$B$3:$AA$3,0)-1,BF$33,1))</f>
        <v>34.5</v>
      </c>
      <c r="BG47" s="529">
        <f ca="1">MAX(OFFSET($B$4,BG$32-1,MATCH($BD47,$B$3:$AA$3,0)-1,BG$33,1))</f>
        <v>36</v>
      </c>
      <c r="BH47" s="529">
        <f ca="1">MAX(OFFSET($B$4,BH$32-1,MATCH($BD47,$B$3:$AA$3,0)-1,BH$33,1))</f>
        <v>32</v>
      </c>
      <c r="BI47" s="529">
        <f ca="1">MAX(OFFSET($B$4,BI$32-1,MATCH($BD47,$B$3:$AA$3,0)-1,BI$33,1))</f>
        <v>0</v>
      </c>
      <c r="BJ47" s="544" t="str">
        <f ca="1">IFERROR(INDEX($BF$34:$BI$34,MATCH(MAX($BF47:$BI47),$BF47:$BI47,0)),"")</f>
        <v>Sep</v>
      </c>
      <c r="BK47" s="523">
        <f ca="1">$BE47-MAX($BF47:$BI47)</f>
        <v>6</v>
      </c>
      <c r="BQ47" s="509">
        <f>$A47</f>
        <v>46278</v>
      </c>
      <c r="BR47" s="15" t="str">
        <f>TEXT($A47,"ddd")</f>
        <v>Sun</v>
      </c>
      <c r="BS47" s="547" t="s">
        <v>392</v>
      </c>
      <c r="BT47" s="15">
        <f>IF(UPPER($BS47)="Y",$AB47,0)</f>
        <v>0</v>
      </c>
      <c r="CA47" s="2">
        <f>COUNTIF(INDEX('LINE PLAN'!$B$36:$GS$61,0,ROW()-3),CA$3)</f>
        <v>1</v>
      </c>
      <c r="CB47" s="2">
        <f>COUNTIF(INDEX('LINE PLAN'!$B$36:$GS$61,0,ROW()-3),CB$3)</f>
        <v>1</v>
      </c>
      <c r="CC47" s="2">
        <f>COUNTIF(INDEX('LINE PLAN'!$B$36:$GS$61,0,ROW()-3),CC$3)</f>
        <v>2</v>
      </c>
      <c r="CD47" s="2">
        <f>COUNTIF(INDEX('LINE PLAN'!$B$36:$GS$61,0,ROW()-3),CD$3)</f>
        <v>1</v>
      </c>
      <c r="CE47" s="2">
        <f>COUNTIF(INDEX('LINE PLAN'!$B$36:$GS$61,0,ROW()-3),CE$3)</f>
        <v>3</v>
      </c>
      <c r="CF47" s="2">
        <f>COUNTIF(INDEX('LINE PLAN'!$B$36:$GS$61,0,ROW()-3),CF$3)</f>
        <v>3</v>
      </c>
      <c r="CG47" s="2">
        <f>COUNTIF(INDEX('LINE PLAN'!$B$36:$GS$61,0,ROW()-3),CG$3)</f>
        <v>3</v>
      </c>
      <c r="CH47" s="2">
        <f>COUNTIF(INDEX('LINE PLAN'!$B$36:$GS$61,0,ROW()-3),CH$3)</f>
        <v>4</v>
      </c>
      <c r="CI47" s="2">
        <f>COUNTIF(INDEX('LINE PLAN'!$B$36:$GS$61,0,ROW()-3),CI$3)</f>
        <v>1</v>
      </c>
      <c r="CJ47" s="2">
        <f>COUNTIF(INDEX('LINE PLAN'!$B$36:$GS$61,0,ROW()-3),CJ$3)</f>
        <v>2</v>
      </c>
      <c r="CK47" s="2">
        <f>COUNTIF(INDEX('LINE PLAN'!$B$36:$GS$61,0,ROW()-3),CK$3)</f>
        <v>0</v>
      </c>
      <c r="CL47" s="2">
        <f>COUNTIF(INDEX('LINE PLAN'!$B$36:$GS$61,0,ROW()-3),CL$3)</f>
        <v>0</v>
      </c>
      <c r="CM47" s="2">
        <f>COUNTIF(INDEX('LINE PLAN'!$B$36:$GS$61,0,ROW()-3),CM$3)</f>
        <v>0</v>
      </c>
      <c r="CN47" s="2">
        <f>COUNTIF(INDEX('LINE PLAN'!$B$36:$GS$61,0,ROW()-3),CN$3)</f>
        <v>0</v>
      </c>
      <c r="CO47" s="2">
        <f>COUNTIF(INDEX('LINE PLAN'!$B$36:$GS$61,0,ROW()-3),CO$3)</f>
        <v>1</v>
      </c>
      <c r="CP47" s="2">
        <f>COUNTIF(INDEX('LINE PLAN'!$B$36:$GS$61,0,ROW()-3),CP$3)</f>
        <v>2</v>
      </c>
      <c r="CQ47" s="2">
        <f>COUNTIF(INDEX('LINE PLAN'!$B$36:$GS$61,0,ROW()-3),CQ$3)</f>
        <v>0</v>
      </c>
      <c r="CR47" s="2">
        <f>COUNTIF(INDEX('LINE PLAN'!$B$36:$GS$61,0,ROW()-3),CR$3)</f>
        <v>2</v>
      </c>
      <c r="CS47" s="2">
        <f>COUNTIF(INDEX('LINE PLAN'!$B$36:$GS$61,0,ROW()-3),CS$3)</f>
        <v>0</v>
      </c>
      <c r="CT47" s="2">
        <f>COUNTIF(INDEX('LINE PLAN'!$B$36:$GS$61,0,ROW()-3),CT$3)</f>
        <v>0</v>
      </c>
      <c r="CU47" s="2">
        <f>COUNTIF(INDEX('LINE PLAN'!$B$36:$GS$61,0,ROW()-3),CU$3)</f>
        <v>0</v>
      </c>
      <c r="CV47" s="2">
        <f>COUNTIF(INDEX('LINE PLAN'!$B$36:$GS$61,0,ROW()-3),CV$3)</f>
        <v>0</v>
      </c>
      <c r="CW47" s="2">
        <f>COUNTIF(INDEX('LINE PLAN'!$B$36:$GS$61,0,ROW()-3),CW$3)</f>
        <v>0</v>
      </c>
      <c r="CX47" s="2">
        <f>COUNTIF(INDEX('LINE PLAN'!$B$36:$GS$61,0,ROW()-3),CX$3)</f>
        <v>0</v>
      </c>
      <c r="CY47" s="2">
        <f>COUNTIF(INDEX('LINE PLAN'!$B$36:$GS$61,0,ROW()-3),CY$3)</f>
        <v>0</v>
      </c>
      <c r="CZ47" s="2">
        <f>COUNTIF(INDEX('LINE PLAN'!$B$36:$GS$61,0,ROW()-3),CZ$3)</f>
        <v>0</v>
      </c>
      <c r="DA47" s="2">
        <f>COUNTIF(INDEX('LINE PLAN'!$B$36:$GS$61,0,ROW()-3),DA$3)</f>
        <v>0</v>
      </c>
      <c r="DB47" s="2">
        <f>COUNTIF(INDEX('LINE PLAN'!$B$36:$GS$61,0,ROW()-3),DB$3)</f>
        <v>0</v>
      </c>
      <c r="DC47" s="2">
        <f>COUNTIF(INDEX('LINE PLAN'!$B$36:$GS$61,0,ROW()-3),DC$3)</f>
        <v>0</v>
      </c>
      <c r="DD47" s="2">
        <f>COUNTIF(INDEX('LINE PLAN'!$B$36:$GS$61,0,ROW()-3),DD$3)</f>
        <v>0</v>
      </c>
      <c r="DE47" s="2">
        <f>COUNTIF(INDEX('LINE PLAN'!$B$36:$GS$61,0,ROW()-3),DE$3)</f>
        <v>0</v>
      </c>
      <c r="DF47" s="2">
        <f>COUNTIF(INDEX('LINE PLAN'!$B$36:$GS$61,0,ROW()-3),DF$3)</f>
        <v>0</v>
      </c>
      <c r="DG47" s="2">
        <f>COUNTIF(INDEX('LINE PLAN'!$B$36:$GS$61,0,ROW()-3),DG$3)</f>
        <v>0</v>
      </c>
      <c r="DH47" s="2">
        <f>COUNTIF(INDEX('LINE PLAN'!$B$36:$GS$61,0,ROW()-3),DH$3)</f>
        <v>0</v>
      </c>
      <c r="DI47" s="2">
        <f>COUNTIF(INDEX('LINE PLAN'!$B$36:$GS$61,0,ROW()-3),DI$3)</f>
        <v>0</v>
      </c>
      <c r="DJ47" s="2">
        <f>COUNTIF(INDEX('LINE PLAN'!$B$36:$GS$61,0,ROW()-3),DJ$3)</f>
        <v>0</v>
      </c>
      <c r="DK47" s="2">
        <f>COUNTIF(INDEX('LINE PLAN'!$B$36:$GS$61,0,ROW()-3),DK$3)</f>
        <v>0</v>
      </c>
      <c r="DL47" s="2">
        <f>COUNTIF(INDEX('LINE PLAN'!$B$36:$GS$61,0,ROW()-3),DL$3)</f>
        <v>0</v>
      </c>
      <c r="DM47" s="2">
        <f>COUNTIF(INDEX('LINE PLAN'!$B$36:$GS$61,0,ROW()-3),DM$3)</f>
        <v>0</v>
      </c>
      <c r="DN47" s="2">
        <f>COUNTIF(INDEX('LINE PLAN'!$B$36:$GS$61,0,ROW()-3),DN$3)</f>
        <v>0</v>
      </c>
      <c r="DO47" s="2">
        <f>COUNTIF(INDEX('LINE PLAN'!$B$36:$GS$61,0,ROW()-3),DO$3)</f>
        <v>0</v>
      </c>
      <c r="DP47" s="2">
        <f>COUNTIF(INDEX('LINE PLAN'!$B$36:$GS$61,0,ROW()-3),DP$3)</f>
        <v>0</v>
      </c>
      <c r="DQ47" s="2">
        <f>COUNTIF(INDEX('LINE PLAN'!$B$36:$GS$61,0,ROW()-3),DQ$3)</f>
        <v>0</v>
      </c>
      <c r="DR47" s="2">
        <f>COUNTIF(INDEX('LINE PLAN'!$B$36:$GS$61,0,ROW()-3),DR$3)</f>
        <v>0</v>
      </c>
      <c r="DS47" s="2">
        <f>COUNTIF(INDEX('LINE PLAN'!$B$36:$GS$61,0,ROW()-3),DS$3)</f>
        <v>0</v>
      </c>
      <c r="DT47" s="2">
        <f>COUNTIF(INDEX('LINE PLAN'!$B$36:$GS$61,0,ROW()-3),DT$3)</f>
        <v>0</v>
      </c>
      <c r="DU47" s="2">
        <f>COUNTIF(INDEX('LINE PLAN'!$B$36:$GS$61,0,ROW()-3),DU$3)</f>
        <v>0</v>
      </c>
      <c r="DV47" s="2">
        <f>COUNTIF(INDEX('LINE PLAN'!$B$36:$GS$61,0,ROW()-3),DV$3)</f>
        <v>0</v>
      </c>
    </row>
    <row r="48" spans="1:126">
      <c r="A48" s="505" cm="1">
        <f t="array" ref="A48">INDEX('LINE PLAN'!$B$35:$GS$35,ROW()-3)</f>
        <v>46279</v>
      </c>
      <c r="B48" s="2">
        <f>SUMPRODUCT($CA48:$DV48,INDEX('MC MAP'!$DA$5:$EV$30,1,0))</f>
        <v>145.5</v>
      </c>
      <c r="C48" s="2">
        <f>SUMPRODUCT($CA48:$DV48,INDEX('MC MAP'!$DA$5:$EV$30,2,0))</f>
        <v>1</v>
      </c>
      <c r="D48" s="2">
        <f>SUMPRODUCT($CA48:$DV48,INDEX('MC MAP'!$DA$5:$EV$30,3,0))</f>
        <v>0</v>
      </c>
      <c r="E48" s="2">
        <f>SUMPRODUCT($CA48:$DV48,INDEX('MC MAP'!$DA$5:$EV$30,4,0))</f>
        <v>4</v>
      </c>
      <c r="F48" s="2">
        <f>SUMPRODUCT($CA48:$DV48,INDEX('MC MAP'!$DA$5:$EV$30,5,0))</f>
        <v>257</v>
      </c>
      <c r="G48" s="2">
        <f>SUMPRODUCT($CA48:$DV48,INDEX('MC MAP'!$DA$5:$EV$30,6,0))</f>
        <v>25</v>
      </c>
      <c r="H48" s="2">
        <f>SUMPRODUCT($CA48:$DV48,INDEX('MC MAP'!$DA$5:$EV$30,7,0))</f>
        <v>0</v>
      </c>
      <c r="I48" s="2">
        <f>SUMPRODUCT($CA48:$DV48,INDEX('MC MAP'!$DA$5:$EV$30,8,0))</f>
        <v>34</v>
      </c>
      <c r="J48" s="2">
        <f>SUMPRODUCT($CA48:$DV48,INDEX('MC MAP'!$DA$5:$EV$30,9,0))</f>
        <v>30.5</v>
      </c>
      <c r="K48" s="2">
        <f>SUMPRODUCT($CA48:$DV48,INDEX('MC MAP'!$DA$5:$EV$30,10,0))</f>
        <v>16</v>
      </c>
      <c r="L48" s="2">
        <f>SUMPRODUCT($CA48:$DV48,INDEX('MC MAP'!$DA$5:$EV$30,11,0))</f>
        <v>32.5</v>
      </c>
      <c r="M48" s="2">
        <f>SUMPRODUCT($CA48:$DV48,INDEX('MC MAP'!$DA$5:$EV$30,12,0))</f>
        <v>21</v>
      </c>
      <c r="N48" s="2">
        <f>SUMPRODUCT($CA48:$DV48,INDEX('MC MAP'!$DA$5:$EV$30,13,0))</f>
        <v>28</v>
      </c>
      <c r="O48" s="2">
        <f>SUMPRODUCT($CA48:$DV48,INDEX('MC MAP'!$DA$5:$EV$30,14,0))</f>
        <v>43</v>
      </c>
      <c r="P48" s="2">
        <f>SUMPRODUCT($CA48:$DV48,INDEX('MC MAP'!$DA$5:$EV$30,15,0))</f>
        <v>64</v>
      </c>
      <c r="Q48" s="2">
        <f>SUMPRODUCT($CA48:$DV48,INDEX('MC MAP'!$DA$5:$EV$30,16,0))</f>
        <v>0</v>
      </c>
      <c r="R48" s="2">
        <f>SUMPRODUCT($CA48:$DV48,INDEX('MC MAP'!$DA$5:$EV$30,17,0))</f>
        <v>3</v>
      </c>
      <c r="S48" s="2">
        <f>SUMPRODUCT($CA48:$DV48,INDEX('MC MAP'!$DA$5:$EV$30,18,0))</f>
        <v>0</v>
      </c>
      <c r="T48" s="2">
        <f>SUMPRODUCT($CA48:$DV48,INDEX('MC MAP'!$DA$5:$EV$30,19,0))</f>
        <v>17</v>
      </c>
      <c r="U48" s="2">
        <f>SUMPRODUCT($CA48:$DV48,INDEX('MC MAP'!$DA$5:$EV$30,20,0))</f>
        <v>33.5</v>
      </c>
      <c r="V48" s="2">
        <f>SUMPRODUCT($CA48:$DV48,INDEX('MC MAP'!$DA$5:$EV$30,21,0))</f>
        <v>2</v>
      </c>
      <c r="W48" s="2">
        <f>SUMPRODUCT($CA48:$DV48,INDEX('MC MAP'!$DA$5:$EV$30,22,0))</f>
        <v>2</v>
      </c>
      <c r="X48" s="2">
        <f>SUMPRODUCT($CA48:$DV48,INDEX('MC MAP'!$DA$5:$EV$30,23,0))</f>
        <v>0</v>
      </c>
      <c r="Y48" s="2">
        <f>SUMPRODUCT($CA48:$DV48,INDEX('MC MAP'!$DA$5:$EV$30,24,0))</f>
        <v>10</v>
      </c>
      <c r="Z48" s="2">
        <f>SUMPRODUCT($CA48:$DV48,INDEX('MC MAP'!$DA$5:$EV$30,25,0))</f>
        <v>0</v>
      </c>
      <c r="AA48" s="2">
        <f>SUMPRODUCT($CA48:$DV48,INDEX('MC MAP'!$DA$5:$EV$30,26,0))</f>
        <v>23</v>
      </c>
      <c r="AB48" s="2">
        <f>SUM($B48:$AA48)</f>
        <v>792</v>
      </c>
      <c r="AC48" s="2">
        <f>SUM($CA48:$DV48)+$AW48</f>
        <v>26</v>
      </c>
      <c r="AW48" s="2">
        <f>IF($A48=0,0,COUNTIF(INDEX('LINE PLAN'!$B$36:$GS$61,0,ROW()-3),"THERMAL - NOT SPECIFIED"))</f>
        <v>0</v>
      </c>
      <c r="AX48" s="506" cm="1">
        <f t="array" ref="AX48">IF(OR($AB48=0,UPPER($BS48)&lt;&gt;"Y"),0,SUMPRODUCT(--($B48:$AA48&gt;$B$205:$AA$205)))</f>
        <v>4</v>
      </c>
      <c r="AY48" s="507">
        <f>$A48</f>
        <v>46279</v>
      </c>
      <c r="AZ48" s="2">
        <f>$AB48</f>
        <v>792</v>
      </c>
      <c r="BA48" s="2">
        <f>'MC MASTER'!$C$29</f>
        <v>920</v>
      </c>
      <c r="BD48" s="543" t="str">
        <f>INDEX('MC MASTER'!$B$3:$B$28,ROW()-34)</f>
        <v>3N5T-F/L -BINDING</v>
      </c>
      <c r="BE48" s="521">
        <f>INDEX('MC MASTER'!$C$3:$C$28,ROW()-34)</f>
        <v>58</v>
      </c>
      <c r="BF48" s="522">
        <f ca="1">MAX(OFFSET($B$4,BF$32-1,MATCH($BD48,$B$3:$AA$3,0)-1,BF$33,1))</f>
        <v>42</v>
      </c>
      <c r="BG48" s="529">
        <f ca="1">MAX(OFFSET($B$4,BG$32-1,MATCH($BD48,$B$3:$AA$3,0)-1,BG$33,1))</f>
        <v>43</v>
      </c>
      <c r="BH48" s="529">
        <f ca="1">MAX(OFFSET($B$4,BH$32-1,MATCH($BD48,$B$3:$AA$3,0)-1,BH$33,1))</f>
        <v>20</v>
      </c>
      <c r="BI48" s="529">
        <f ca="1">MAX(OFFSET($B$4,BI$32-1,MATCH($BD48,$B$3:$AA$3,0)-1,BI$33,1))</f>
        <v>0</v>
      </c>
      <c r="BJ48" s="544" t="str">
        <f ca="1">IFERROR(INDEX($BF$34:$BI$34,MATCH(MAX($BF48:$BI48),$BF48:$BI48,0)),"")</f>
        <v>Sep</v>
      </c>
      <c r="BK48" s="523">
        <f ca="1">$BE48-MAX($BF48:$BI48)</f>
        <v>15</v>
      </c>
      <c r="BQ48" s="509">
        <f>$A48</f>
        <v>46279</v>
      </c>
      <c r="BR48" s="15" t="str">
        <f>TEXT($A48,"ddd")</f>
        <v>Mon</v>
      </c>
      <c r="BS48" s="547" t="s">
        <v>391</v>
      </c>
      <c r="BT48" s="15">
        <f>IF(UPPER($BS48)="Y",$AB48,0)</f>
        <v>792</v>
      </c>
      <c r="CA48" s="2">
        <f>COUNTIF(INDEX('LINE PLAN'!$B$36:$GS$61,0,ROW()-3),CA$3)</f>
        <v>1</v>
      </c>
      <c r="CB48" s="2">
        <f>COUNTIF(INDEX('LINE PLAN'!$B$36:$GS$61,0,ROW()-3),CB$3)</f>
        <v>1</v>
      </c>
      <c r="CC48" s="2">
        <f>COUNTIF(INDEX('LINE PLAN'!$B$36:$GS$61,0,ROW()-3),CC$3)</f>
        <v>2</v>
      </c>
      <c r="CD48" s="2">
        <f>COUNTIF(INDEX('LINE PLAN'!$B$36:$GS$61,0,ROW()-3),CD$3)</f>
        <v>1</v>
      </c>
      <c r="CE48" s="2">
        <f>COUNTIF(INDEX('LINE PLAN'!$B$36:$GS$61,0,ROW()-3),CE$3)</f>
        <v>3</v>
      </c>
      <c r="CF48" s="2">
        <f>COUNTIF(INDEX('LINE PLAN'!$B$36:$GS$61,0,ROW()-3),CF$3)</f>
        <v>3</v>
      </c>
      <c r="CG48" s="2">
        <f>COUNTIF(INDEX('LINE PLAN'!$B$36:$GS$61,0,ROW()-3),CG$3)</f>
        <v>3</v>
      </c>
      <c r="CH48" s="2">
        <f>COUNTIF(INDEX('LINE PLAN'!$B$36:$GS$61,0,ROW()-3),CH$3)</f>
        <v>4</v>
      </c>
      <c r="CI48" s="2">
        <f>COUNTIF(INDEX('LINE PLAN'!$B$36:$GS$61,0,ROW()-3),CI$3)</f>
        <v>1</v>
      </c>
      <c r="CJ48" s="2">
        <f>COUNTIF(INDEX('LINE PLAN'!$B$36:$GS$61,0,ROW()-3),CJ$3)</f>
        <v>2</v>
      </c>
      <c r="CK48" s="2">
        <f>COUNTIF(INDEX('LINE PLAN'!$B$36:$GS$61,0,ROW()-3),CK$3)</f>
        <v>0</v>
      </c>
      <c r="CL48" s="2">
        <f>COUNTIF(INDEX('LINE PLAN'!$B$36:$GS$61,0,ROW()-3),CL$3)</f>
        <v>0</v>
      </c>
      <c r="CM48" s="2">
        <f>COUNTIF(INDEX('LINE PLAN'!$B$36:$GS$61,0,ROW()-3),CM$3)</f>
        <v>0</v>
      </c>
      <c r="CN48" s="2">
        <f>COUNTIF(INDEX('LINE PLAN'!$B$36:$GS$61,0,ROW()-3),CN$3)</f>
        <v>0</v>
      </c>
      <c r="CO48" s="2">
        <f>COUNTIF(INDEX('LINE PLAN'!$B$36:$GS$61,0,ROW()-3),CO$3)</f>
        <v>1</v>
      </c>
      <c r="CP48" s="2">
        <f>COUNTIF(INDEX('LINE PLAN'!$B$36:$GS$61,0,ROW()-3),CP$3)</f>
        <v>2</v>
      </c>
      <c r="CQ48" s="2">
        <f>COUNTIF(INDEX('LINE PLAN'!$B$36:$GS$61,0,ROW()-3),CQ$3)</f>
        <v>0</v>
      </c>
      <c r="CR48" s="2">
        <f>COUNTIF(INDEX('LINE PLAN'!$B$36:$GS$61,0,ROW()-3),CR$3)</f>
        <v>2</v>
      </c>
      <c r="CS48" s="2">
        <f>COUNTIF(INDEX('LINE PLAN'!$B$36:$GS$61,0,ROW()-3),CS$3)</f>
        <v>0</v>
      </c>
      <c r="CT48" s="2">
        <f>COUNTIF(INDEX('LINE PLAN'!$B$36:$GS$61,0,ROW()-3),CT$3)</f>
        <v>0</v>
      </c>
      <c r="CU48" s="2">
        <f>COUNTIF(INDEX('LINE PLAN'!$B$36:$GS$61,0,ROW()-3),CU$3)</f>
        <v>0</v>
      </c>
      <c r="CV48" s="2">
        <f>COUNTIF(INDEX('LINE PLAN'!$B$36:$GS$61,0,ROW()-3),CV$3)</f>
        <v>0</v>
      </c>
      <c r="CW48" s="2">
        <f>COUNTIF(INDEX('LINE PLAN'!$B$36:$GS$61,0,ROW()-3),CW$3)</f>
        <v>0</v>
      </c>
      <c r="CX48" s="2">
        <f>COUNTIF(INDEX('LINE PLAN'!$B$36:$GS$61,0,ROW()-3),CX$3)</f>
        <v>0</v>
      </c>
      <c r="CY48" s="2">
        <f>COUNTIF(INDEX('LINE PLAN'!$B$36:$GS$61,0,ROW()-3),CY$3)</f>
        <v>0</v>
      </c>
      <c r="CZ48" s="2">
        <f>COUNTIF(INDEX('LINE PLAN'!$B$36:$GS$61,0,ROW()-3),CZ$3)</f>
        <v>0</v>
      </c>
      <c r="DA48" s="2">
        <f>COUNTIF(INDEX('LINE PLAN'!$B$36:$GS$61,0,ROW()-3),DA$3)</f>
        <v>0</v>
      </c>
      <c r="DB48" s="2">
        <f>COUNTIF(INDEX('LINE PLAN'!$B$36:$GS$61,0,ROW()-3),DB$3)</f>
        <v>0</v>
      </c>
      <c r="DC48" s="2">
        <f>COUNTIF(INDEX('LINE PLAN'!$B$36:$GS$61,0,ROW()-3),DC$3)</f>
        <v>0</v>
      </c>
      <c r="DD48" s="2">
        <f>COUNTIF(INDEX('LINE PLAN'!$B$36:$GS$61,0,ROW()-3),DD$3)</f>
        <v>0</v>
      </c>
      <c r="DE48" s="2">
        <f>COUNTIF(INDEX('LINE PLAN'!$B$36:$GS$61,0,ROW()-3),DE$3)</f>
        <v>0</v>
      </c>
      <c r="DF48" s="2">
        <f>COUNTIF(INDEX('LINE PLAN'!$B$36:$GS$61,0,ROW()-3),DF$3)</f>
        <v>0</v>
      </c>
      <c r="DG48" s="2">
        <f>COUNTIF(INDEX('LINE PLAN'!$B$36:$GS$61,0,ROW()-3),DG$3)</f>
        <v>0</v>
      </c>
      <c r="DH48" s="2">
        <f>COUNTIF(INDEX('LINE PLAN'!$B$36:$GS$61,0,ROW()-3),DH$3)</f>
        <v>0</v>
      </c>
      <c r="DI48" s="2">
        <f>COUNTIF(INDEX('LINE PLAN'!$B$36:$GS$61,0,ROW()-3),DI$3)</f>
        <v>0</v>
      </c>
      <c r="DJ48" s="2">
        <f>COUNTIF(INDEX('LINE PLAN'!$B$36:$GS$61,0,ROW()-3),DJ$3)</f>
        <v>0</v>
      </c>
      <c r="DK48" s="2">
        <f>COUNTIF(INDEX('LINE PLAN'!$B$36:$GS$61,0,ROW()-3),DK$3)</f>
        <v>0</v>
      </c>
      <c r="DL48" s="2">
        <f>COUNTIF(INDEX('LINE PLAN'!$B$36:$GS$61,0,ROW()-3),DL$3)</f>
        <v>0</v>
      </c>
      <c r="DM48" s="2">
        <f>COUNTIF(INDEX('LINE PLAN'!$B$36:$GS$61,0,ROW()-3),DM$3)</f>
        <v>0</v>
      </c>
      <c r="DN48" s="2">
        <f>COUNTIF(INDEX('LINE PLAN'!$B$36:$GS$61,0,ROW()-3),DN$3)</f>
        <v>0</v>
      </c>
      <c r="DO48" s="2">
        <f>COUNTIF(INDEX('LINE PLAN'!$B$36:$GS$61,0,ROW()-3),DO$3)</f>
        <v>0</v>
      </c>
      <c r="DP48" s="2">
        <f>COUNTIF(INDEX('LINE PLAN'!$B$36:$GS$61,0,ROW()-3),DP$3)</f>
        <v>0</v>
      </c>
      <c r="DQ48" s="2">
        <f>COUNTIF(INDEX('LINE PLAN'!$B$36:$GS$61,0,ROW()-3),DQ$3)</f>
        <v>0</v>
      </c>
      <c r="DR48" s="2">
        <f>COUNTIF(INDEX('LINE PLAN'!$B$36:$GS$61,0,ROW()-3),DR$3)</f>
        <v>0</v>
      </c>
      <c r="DS48" s="2">
        <f>COUNTIF(INDEX('LINE PLAN'!$B$36:$GS$61,0,ROW()-3),DS$3)</f>
        <v>0</v>
      </c>
      <c r="DT48" s="2">
        <f>COUNTIF(INDEX('LINE PLAN'!$B$36:$GS$61,0,ROW()-3),DT$3)</f>
        <v>0</v>
      </c>
      <c r="DU48" s="2">
        <f>COUNTIF(INDEX('LINE PLAN'!$B$36:$GS$61,0,ROW()-3),DU$3)</f>
        <v>0</v>
      </c>
      <c r="DV48" s="2">
        <f>COUNTIF(INDEX('LINE PLAN'!$B$36:$GS$61,0,ROW()-3),DV$3)</f>
        <v>0</v>
      </c>
    </row>
    <row r="49" spans="1:126">
      <c r="A49" s="505" cm="1">
        <f t="array" ref="A49">INDEX('LINE PLAN'!$B$35:$GS$35,ROW()-3)</f>
        <v>46280</v>
      </c>
      <c r="B49" s="2">
        <f>SUMPRODUCT($CA49:$DV49,INDEX('MC MAP'!$DA$5:$EV$30,1,0))</f>
        <v>145.5</v>
      </c>
      <c r="C49" s="2">
        <f>SUMPRODUCT($CA49:$DV49,INDEX('MC MAP'!$DA$5:$EV$30,2,0))</f>
        <v>1</v>
      </c>
      <c r="D49" s="2">
        <f>SUMPRODUCT($CA49:$DV49,INDEX('MC MAP'!$DA$5:$EV$30,3,0))</f>
        <v>0</v>
      </c>
      <c r="E49" s="2">
        <f>SUMPRODUCT($CA49:$DV49,INDEX('MC MAP'!$DA$5:$EV$30,4,0))</f>
        <v>4</v>
      </c>
      <c r="F49" s="2">
        <f>SUMPRODUCT($CA49:$DV49,INDEX('MC MAP'!$DA$5:$EV$30,5,0))</f>
        <v>253</v>
      </c>
      <c r="G49" s="2">
        <f>SUMPRODUCT($CA49:$DV49,INDEX('MC MAP'!$DA$5:$EV$30,6,0))</f>
        <v>25</v>
      </c>
      <c r="H49" s="2">
        <f>SUMPRODUCT($CA49:$DV49,INDEX('MC MAP'!$DA$5:$EV$30,7,0))</f>
        <v>0</v>
      </c>
      <c r="I49" s="2">
        <f>SUMPRODUCT($CA49:$DV49,INDEX('MC MAP'!$DA$5:$EV$30,8,0))</f>
        <v>33</v>
      </c>
      <c r="J49" s="2">
        <f>SUMPRODUCT($CA49:$DV49,INDEX('MC MAP'!$DA$5:$EV$30,9,0))</f>
        <v>30.5</v>
      </c>
      <c r="K49" s="2">
        <f>SUMPRODUCT($CA49:$DV49,INDEX('MC MAP'!$DA$5:$EV$30,10,0))</f>
        <v>16</v>
      </c>
      <c r="L49" s="2">
        <f>SUMPRODUCT($CA49:$DV49,INDEX('MC MAP'!$DA$5:$EV$30,11,0))</f>
        <v>25</v>
      </c>
      <c r="M49" s="2">
        <f>SUMPRODUCT($CA49:$DV49,INDEX('MC MAP'!$DA$5:$EV$30,12,0))</f>
        <v>27</v>
      </c>
      <c r="N49" s="2">
        <f>SUMPRODUCT($CA49:$DV49,INDEX('MC MAP'!$DA$5:$EV$30,13,0))</f>
        <v>36</v>
      </c>
      <c r="O49" s="2">
        <f>SUMPRODUCT($CA49:$DV49,INDEX('MC MAP'!$DA$5:$EV$30,14,0))</f>
        <v>39</v>
      </c>
      <c r="P49" s="2">
        <f>SUMPRODUCT($CA49:$DV49,INDEX('MC MAP'!$DA$5:$EV$30,15,0))</f>
        <v>60</v>
      </c>
      <c r="Q49" s="2">
        <f>SUMPRODUCT($CA49:$DV49,INDEX('MC MAP'!$DA$5:$EV$30,16,0))</f>
        <v>0</v>
      </c>
      <c r="R49" s="2">
        <f>SUMPRODUCT($CA49:$DV49,INDEX('MC MAP'!$DA$5:$EV$30,17,0))</f>
        <v>3</v>
      </c>
      <c r="S49" s="2">
        <f>SUMPRODUCT($CA49:$DV49,INDEX('MC MAP'!$DA$5:$EV$30,18,0))</f>
        <v>0</v>
      </c>
      <c r="T49" s="2">
        <f>SUMPRODUCT($CA49:$DV49,INDEX('MC MAP'!$DA$5:$EV$30,19,0))</f>
        <v>17</v>
      </c>
      <c r="U49" s="2">
        <f>SUMPRODUCT($CA49:$DV49,INDEX('MC MAP'!$DA$5:$EV$30,20,0))</f>
        <v>33.5</v>
      </c>
      <c r="V49" s="2">
        <f>SUMPRODUCT($CA49:$DV49,INDEX('MC MAP'!$DA$5:$EV$30,21,0))</f>
        <v>2</v>
      </c>
      <c r="W49" s="2">
        <f>SUMPRODUCT($CA49:$DV49,INDEX('MC MAP'!$DA$5:$EV$30,22,0))</f>
        <v>2</v>
      </c>
      <c r="X49" s="2">
        <f>SUMPRODUCT($CA49:$DV49,INDEX('MC MAP'!$DA$5:$EV$30,23,0))</f>
        <v>0</v>
      </c>
      <c r="Y49" s="2">
        <f>SUMPRODUCT($CA49:$DV49,INDEX('MC MAP'!$DA$5:$EV$30,24,0))</f>
        <v>10</v>
      </c>
      <c r="Z49" s="2">
        <f>SUMPRODUCT($CA49:$DV49,INDEX('MC MAP'!$DA$5:$EV$30,25,0))</f>
        <v>0</v>
      </c>
      <c r="AA49" s="2">
        <f>SUMPRODUCT($CA49:$DV49,INDEX('MC MAP'!$DA$5:$EV$30,26,0))</f>
        <v>26</v>
      </c>
      <c r="AB49" s="2">
        <f>SUM($B49:$AA49)</f>
        <v>788.5</v>
      </c>
      <c r="AC49" s="2">
        <f>SUM($CA49:$DV49)+$AW49</f>
        <v>26</v>
      </c>
      <c r="AW49" s="2">
        <f>IF($A49=0,0,COUNTIF(INDEX('LINE PLAN'!$B$36:$GS$61,0,ROW()-3),"THERMAL - NOT SPECIFIED"))</f>
        <v>0</v>
      </c>
      <c r="AX49" s="506" cm="1">
        <f t="array" ref="AX49">IF(OR($AB49=0,UPPER($BS49)&lt;&gt;"Y"),0,SUMPRODUCT(--($B49:$AA49&gt;$B$205:$AA$205)))</f>
        <v>4</v>
      </c>
      <c r="AY49" s="507">
        <f>$A49</f>
        <v>46280</v>
      </c>
      <c r="AZ49" s="2">
        <f>$AB49</f>
        <v>788.5</v>
      </c>
      <c r="BA49" s="2">
        <f>'MC MASTER'!$C$29</f>
        <v>920</v>
      </c>
      <c r="BD49" s="543" t="str">
        <f>INDEX('MC MASTER'!$B$3:$B$28,ROW()-34)</f>
        <v>3N5T-F/L -( TopStitch)</v>
      </c>
      <c r="BE49" s="521">
        <f>INDEX('MC MASTER'!$C$3:$C$28,ROW()-34)</f>
        <v>54</v>
      </c>
      <c r="BF49" s="522">
        <f ca="1">MAX(OFFSET($B$4,BF$32-1,MATCH($BD49,$B$3:$AA$3,0)-1,BF$33,1))</f>
        <v>63</v>
      </c>
      <c r="BG49" s="529">
        <f ca="1">MAX(OFFSET($B$4,BG$32-1,MATCH($BD49,$B$3:$AA$3,0)-1,BG$33,1))</f>
        <v>67</v>
      </c>
      <c r="BH49" s="529">
        <f ca="1">MAX(OFFSET($B$4,BH$32-1,MATCH($BD49,$B$3:$AA$3,0)-1,BH$33,1))</f>
        <v>52</v>
      </c>
      <c r="BI49" s="529">
        <f ca="1">MAX(OFFSET($B$4,BI$32-1,MATCH($BD49,$B$3:$AA$3,0)-1,BI$33,1))</f>
        <v>0</v>
      </c>
      <c r="BJ49" s="544" t="str">
        <f ca="1">IFERROR(INDEX($BF$34:$BI$34,MATCH(MAX($BF49:$BI49),$BF49:$BI49,0)),"")</f>
        <v>Sep</v>
      </c>
      <c r="BK49" s="523">
        <f ca="1">$BE49-MAX($BF49:$BI49)</f>
        <v>-13</v>
      </c>
      <c r="BQ49" s="509">
        <f>$A49</f>
        <v>46280</v>
      </c>
      <c r="BR49" s="15" t="str">
        <f>TEXT($A49,"ddd")</f>
        <v>Tue</v>
      </c>
      <c r="BS49" s="547" t="s">
        <v>391</v>
      </c>
      <c r="BT49" s="15">
        <f>IF(UPPER($BS49)="Y",$AB49,0)</f>
        <v>788.5</v>
      </c>
      <c r="CA49" s="2">
        <f>COUNTIF(INDEX('LINE PLAN'!$B$36:$GS$61,0,ROW()-3),CA$3)</f>
        <v>1</v>
      </c>
      <c r="CB49" s="2">
        <f>COUNTIF(INDEX('LINE PLAN'!$B$36:$GS$61,0,ROW()-3),CB$3)</f>
        <v>1</v>
      </c>
      <c r="CC49" s="2">
        <f>COUNTIF(INDEX('LINE PLAN'!$B$36:$GS$61,0,ROW()-3),CC$3)</f>
        <v>2</v>
      </c>
      <c r="CD49" s="2">
        <f>COUNTIF(INDEX('LINE PLAN'!$B$36:$GS$61,0,ROW()-3),CD$3)</f>
        <v>1</v>
      </c>
      <c r="CE49" s="2">
        <f>COUNTIF(INDEX('LINE PLAN'!$B$36:$GS$61,0,ROW()-3),CE$3)</f>
        <v>0</v>
      </c>
      <c r="CF49" s="2">
        <f>COUNTIF(INDEX('LINE PLAN'!$B$36:$GS$61,0,ROW()-3),CF$3)</f>
        <v>4</v>
      </c>
      <c r="CG49" s="2">
        <f>COUNTIF(INDEX('LINE PLAN'!$B$36:$GS$61,0,ROW()-3),CG$3)</f>
        <v>5</v>
      </c>
      <c r="CH49" s="2">
        <f>COUNTIF(INDEX('LINE PLAN'!$B$36:$GS$61,0,ROW()-3),CH$3)</f>
        <v>4</v>
      </c>
      <c r="CI49" s="2">
        <f>COUNTIF(INDEX('LINE PLAN'!$B$36:$GS$61,0,ROW()-3),CI$3)</f>
        <v>1</v>
      </c>
      <c r="CJ49" s="2">
        <f>COUNTIF(INDEX('LINE PLAN'!$B$36:$GS$61,0,ROW()-3),CJ$3)</f>
        <v>2</v>
      </c>
      <c r="CK49" s="2">
        <f>COUNTIF(INDEX('LINE PLAN'!$B$36:$GS$61,0,ROW()-3),CK$3)</f>
        <v>0</v>
      </c>
      <c r="CL49" s="2">
        <f>COUNTIF(INDEX('LINE PLAN'!$B$36:$GS$61,0,ROW()-3),CL$3)</f>
        <v>0</v>
      </c>
      <c r="CM49" s="2">
        <f>COUNTIF(INDEX('LINE PLAN'!$B$36:$GS$61,0,ROW()-3),CM$3)</f>
        <v>0</v>
      </c>
      <c r="CN49" s="2">
        <f>COUNTIF(INDEX('LINE PLAN'!$B$36:$GS$61,0,ROW()-3),CN$3)</f>
        <v>0</v>
      </c>
      <c r="CO49" s="2">
        <f>COUNTIF(INDEX('LINE PLAN'!$B$36:$GS$61,0,ROW()-3),CO$3)</f>
        <v>1</v>
      </c>
      <c r="CP49" s="2">
        <f>COUNTIF(INDEX('LINE PLAN'!$B$36:$GS$61,0,ROW()-3),CP$3)</f>
        <v>2</v>
      </c>
      <c r="CQ49" s="2">
        <f>COUNTIF(INDEX('LINE PLAN'!$B$36:$GS$61,0,ROW()-3),CQ$3)</f>
        <v>0</v>
      </c>
      <c r="CR49" s="2">
        <f>COUNTIF(INDEX('LINE PLAN'!$B$36:$GS$61,0,ROW()-3),CR$3)</f>
        <v>2</v>
      </c>
      <c r="CS49" s="2">
        <f>COUNTIF(INDEX('LINE PLAN'!$B$36:$GS$61,0,ROW()-3),CS$3)</f>
        <v>0</v>
      </c>
      <c r="CT49" s="2">
        <f>COUNTIF(INDEX('LINE PLAN'!$B$36:$GS$61,0,ROW()-3),CT$3)</f>
        <v>0</v>
      </c>
      <c r="CU49" s="2">
        <f>COUNTIF(INDEX('LINE PLAN'!$B$36:$GS$61,0,ROW()-3),CU$3)</f>
        <v>0</v>
      </c>
      <c r="CV49" s="2">
        <f>COUNTIF(INDEX('LINE PLAN'!$B$36:$GS$61,0,ROW()-3),CV$3)</f>
        <v>0</v>
      </c>
      <c r="CW49" s="2">
        <f>COUNTIF(INDEX('LINE PLAN'!$B$36:$GS$61,0,ROW()-3),CW$3)</f>
        <v>0</v>
      </c>
      <c r="CX49" s="2">
        <f>COUNTIF(INDEX('LINE PLAN'!$B$36:$GS$61,0,ROW()-3),CX$3)</f>
        <v>0</v>
      </c>
      <c r="CY49" s="2">
        <f>COUNTIF(INDEX('LINE PLAN'!$B$36:$GS$61,0,ROW()-3),CY$3)</f>
        <v>0</v>
      </c>
      <c r="CZ49" s="2">
        <f>COUNTIF(INDEX('LINE PLAN'!$B$36:$GS$61,0,ROW()-3),CZ$3)</f>
        <v>0</v>
      </c>
      <c r="DA49" s="2">
        <f>COUNTIF(INDEX('LINE PLAN'!$B$36:$GS$61,0,ROW()-3),DA$3)</f>
        <v>0</v>
      </c>
      <c r="DB49" s="2">
        <f>COUNTIF(INDEX('LINE PLAN'!$B$36:$GS$61,0,ROW()-3),DB$3)</f>
        <v>0</v>
      </c>
      <c r="DC49" s="2">
        <f>COUNTIF(INDEX('LINE PLAN'!$B$36:$GS$61,0,ROW()-3),DC$3)</f>
        <v>0</v>
      </c>
      <c r="DD49" s="2">
        <f>COUNTIF(INDEX('LINE PLAN'!$B$36:$GS$61,0,ROW()-3),DD$3)</f>
        <v>0</v>
      </c>
      <c r="DE49" s="2">
        <f>COUNTIF(INDEX('LINE PLAN'!$B$36:$GS$61,0,ROW()-3),DE$3)</f>
        <v>0</v>
      </c>
      <c r="DF49" s="2">
        <f>COUNTIF(INDEX('LINE PLAN'!$B$36:$GS$61,0,ROW()-3),DF$3)</f>
        <v>0</v>
      </c>
      <c r="DG49" s="2">
        <f>COUNTIF(INDEX('LINE PLAN'!$B$36:$GS$61,0,ROW()-3),DG$3)</f>
        <v>0</v>
      </c>
      <c r="DH49" s="2">
        <f>COUNTIF(INDEX('LINE PLAN'!$B$36:$GS$61,0,ROW()-3),DH$3)</f>
        <v>0</v>
      </c>
      <c r="DI49" s="2">
        <f>COUNTIF(INDEX('LINE PLAN'!$B$36:$GS$61,0,ROW()-3),DI$3)</f>
        <v>0</v>
      </c>
      <c r="DJ49" s="2">
        <f>COUNTIF(INDEX('LINE PLAN'!$B$36:$GS$61,0,ROW()-3),DJ$3)</f>
        <v>0</v>
      </c>
      <c r="DK49" s="2">
        <f>COUNTIF(INDEX('LINE PLAN'!$B$36:$GS$61,0,ROW()-3),DK$3)</f>
        <v>0</v>
      </c>
      <c r="DL49" s="2">
        <f>COUNTIF(INDEX('LINE PLAN'!$B$36:$GS$61,0,ROW()-3),DL$3)</f>
        <v>0</v>
      </c>
      <c r="DM49" s="2">
        <f>COUNTIF(INDEX('LINE PLAN'!$B$36:$GS$61,0,ROW()-3),DM$3)</f>
        <v>0</v>
      </c>
      <c r="DN49" s="2">
        <f>COUNTIF(INDEX('LINE PLAN'!$B$36:$GS$61,0,ROW()-3),DN$3)</f>
        <v>0</v>
      </c>
      <c r="DO49" s="2">
        <f>COUNTIF(INDEX('LINE PLAN'!$B$36:$GS$61,0,ROW()-3),DO$3)</f>
        <v>0</v>
      </c>
      <c r="DP49" s="2">
        <f>COUNTIF(INDEX('LINE PLAN'!$B$36:$GS$61,0,ROW()-3),DP$3)</f>
        <v>0</v>
      </c>
      <c r="DQ49" s="2">
        <f>COUNTIF(INDEX('LINE PLAN'!$B$36:$GS$61,0,ROW()-3),DQ$3)</f>
        <v>0</v>
      </c>
      <c r="DR49" s="2">
        <f>COUNTIF(INDEX('LINE PLAN'!$B$36:$GS$61,0,ROW()-3),DR$3)</f>
        <v>0</v>
      </c>
      <c r="DS49" s="2">
        <f>COUNTIF(INDEX('LINE PLAN'!$B$36:$GS$61,0,ROW()-3),DS$3)</f>
        <v>0</v>
      </c>
      <c r="DT49" s="2">
        <f>COUNTIF(INDEX('LINE PLAN'!$B$36:$GS$61,0,ROW()-3),DT$3)</f>
        <v>0</v>
      </c>
      <c r="DU49" s="2">
        <f>COUNTIF(INDEX('LINE PLAN'!$B$36:$GS$61,0,ROW()-3),DU$3)</f>
        <v>0</v>
      </c>
      <c r="DV49" s="2">
        <f>COUNTIF(INDEX('LINE PLAN'!$B$36:$GS$61,0,ROW()-3),DV$3)</f>
        <v>0</v>
      </c>
    </row>
    <row r="50" spans="1:126">
      <c r="A50" s="505" cm="1">
        <f t="array" ref="A50">INDEX('LINE PLAN'!$B$35:$GS$35,ROW()-3)</f>
        <v>46281</v>
      </c>
      <c r="B50" s="2">
        <f>SUMPRODUCT($CA50:$DV50,INDEX('MC MAP'!$DA$5:$EV$30,1,0))</f>
        <v>145.5</v>
      </c>
      <c r="C50" s="2">
        <f>SUMPRODUCT($CA50:$DV50,INDEX('MC MAP'!$DA$5:$EV$30,2,0))</f>
        <v>1</v>
      </c>
      <c r="D50" s="2">
        <f>SUMPRODUCT($CA50:$DV50,INDEX('MC MAP'!$DA$5:$EV$30,3,0))</f>
        <v>0</v>
      </c>
      <c r="E50" s="2">
        <f>SUMPRODUCT($CA50:$DV50,INDEX('MC MAP'!$DA$5:$EV$30,4,0))</f>
        <v>4</v>
      </c>
      <c r="F50" s="2">
        <f>SUMPRODUCT($CA50:$DV50,INDEX('MC MAP'!$DA$5:$EV$30,5,0))</f>
        <v>253</v>
      </c>
      <c r="G50" s="2">
        <f>SUMPRODUCT($CA50:$DV50,INDEX('MC MAP'!$DA$5:$EV$30,6,0))</f>
        <v>25</v>
      </c>
      <c r="H50" s="2">
        <f>SUMPRODUCT($CA50:$DV50,INDEX('MC MAP'!$DA$5:$EV$30,7,0))</f>
        <v>0</v>
      </c>
      <c r="I50" s="2">
        <f>SUMPRODUCT($CA50:$DV50,INDEX('MC MAP'!$DA$5:$EV$30,8,0))</f>
        <v>33</v>
      </c>
      <c r="J50" s="2">
        <f>SUMPRODUCT($CA50:$DV50,INDEX('MC MAP'!$DA$5:$EV$30,9,0))</f>
        <v>30.5</v>
      </c>
      <c r="K50" s="2">
        <f>SUMPRODUCT($CA50:$DV50,INDEX('MC MAP'!$DA$5:$EV$30,10,0))</f>
        <v>16</v>
      </c>
      <c r="L50" s="2">
        <f>SUMPRODUCT($CA50:$DV50,INDEX('MC MAP'!$DA$5:$EV$30,11,0))</f>
        <v>25</v>
      </c>
      <c r="M50" s="2">
        <f>SUMPRODUCT($CA50:$DV50,INDEX('MC MAP'!$DA$5:$EV$30,12,0))</f>
        <v>27</v>
      </c>
      <c r="N50" s="2">
        <f>SUMPRODUCT($CA50:$DV50,INDEX('MC MAP'!$DA$5:$EV$30,13,0))</f>
        <v>36</v>
      </c>
      <c r="O50" s="2">
        <f>SUMPRODUCT($CA50:$DV50,INDEX('MC MAP'!$DA$5:$EV$30,14,0))</f>
        <v>39</v>
      </c>
      <c r="P50" s="2">
        <f>SUMPRODUCT($CA50:$DV50,INDEX('MC MAP'!$DA$5:$EV$30,15,0))</f>
        <v>60</v>
      </c>
      <c r="Q50" s="2">
        <f>SUMPRODUCT($CA50:$DV50,INDEX('MC MAP'!$DA$5:$EV$30,16,0))</f>
        <v>0</v>
      </c>
      <c r="R50" s="2">
        <f>SUMPRODUCT($CA50:$DV50,INDEX('MC MAP'!$DA$5:$EV$30,17,0))</f>
        <v>3</v>
      </c>
      <c r="S50" s="2">
        <f>SUMPRODUCT($CA50:$DV50,INDEX('MC MAP'!$DA$5:$EV$30,18,0))</f>
        <v>0</v>
      </c>
      <c r="T50" s="2">
        <f>SUMPRODUCT($CA50:$DV50,INDEX('MC MAP'!$DA$5:$EV$30,19,0))</f>
        <v>17</v>
      </c>
      <c r="U50" s="2">
        <f>SUMPRODUCT($CA50:$DV50,INDEX('MC MAP'!$DA$5:$EV$30,20,0))</f>
        <v>33.5</v>
      </c>
      <c r="V50" s="2">
        <f>SUMPRODUCT($CA50:$DV50,INDEX('MC MAP'!$DA$5:$EV$30,21,0))</f>
        <v>2</v>
      </c>
      <c r="W50" s="2">
        <f>SUMPRODUCT($CA50:$DV50,INDEX('MC MAP'!$DA$5:$EV$30,22,0))</f>
        <v>2</v>
      </c>
      <c r="X50" s="2">
        <f>SUMPRODUCT($CA50:$DV50,INDEX('MC MAP'!$DA$5:$EV$30,23,0))</f>
        <v>0</v>
      </c>
      <c r="Y50" s="2">
        <f>SUMPRODUCT($CA50:$DV50,INDEX('MC MAP'!$DA$5:$EV$30,24,0))</f>
        <v>10</v>
      </c>
      <c r="Z50" s="2">
        <f>SUMPRODUCT($CA50:$DV50,INDEX('MC MAP'!$DA$5:$EV$30,25,0))</f>
        <v>0</v>
      </c>
      <c r="AA50" s="2">
        <f>SUMPRODUCT($CA50:$DV50,INDEX('MC MAP'!$DA$5:$EV$30,26,0))</f>
        <v>26</v>
      </c>
      <c r="AB50" s="2">
        <f>SUM($B50:$AA50)</f>
        <v>788.5</v>
      </c>
      <c r="AC50" s="2">
        <f>SUM($CA50:$DV50)+$AW50</f>
        <v>26</v>
      </c>
      <c r="AW50" s="2">
        <f>IF($A50=0,0,COUNTIF(INDEX('LINE PLAN'!$B$36:$GS$61,0,ROW()-3),"THERMAL - NOT SPECIFIED"))</f>
        <v>0</v>
      </c>
      <c r="AX50" s="506" cm="1">
        <f t="array" ref="AX50">IF(OR($AB50=0,UPPER($BS50)&lt;&gt;"Y"),0,SUMPRODUCT(--($B50:$AA50&gt;$B$205:$AA$205)))</f>
        <v>4</v>
      </c>
      <c r="AY50" s="507">
        <f>$A50</f>
        <v>46281</v>
      </c>
      <c r="AZ50" s="2">
        <f>$AB50</f>
        <v>788.5</v>
      </c>
      <c r="BA50" s="2">
        <f>'MC MASTER'!$C$29</f>
        <v>920</v>
      </c>
      <c r="BD50" s="543" t="str">
        <f>INDEX('MC MASTER'!$B$3:$B$28,ROW()-34)</f>
        <v>FlatSeamer FS</v>
      </c>
      <c r="BE50" s="521">
        <f>INDEX('MC MASTER'!$C$3:$C$28,ROW()-34)</f>
        <v>8</v>
      </c>
      <c r="BF50" s="522">
        <f ca="1">MAX(OFFSET($B$4,BF$32-1,MATCH($BD50,$B$3:$AA$3,0)-1,BF$33,1))</f>
        <v>0</v>
      </c>
      <c r="BG50" s="529">
        <f ca="1">MAX(OFFSET($B$4,BG$32-1,MATCH($BD50,$B$3:$AA$3,0)-1,BG$33,1))</f>
        <v>0</v>
      </c>
      <c r="BH50" s="529">
        <f ca="1">MAX(OFFSET($B$4,BH$32-1,MATCH($BD50,$B$3:$AA$3,0)-1,BH$33,1))</f>
        <v>0</v>
      </c>
      <c r="BI50" s="529">
        <f ca="1">MAX(OFFSET($B$4,BI$32-1,MATCH($BD50,$B$3:$AA$3,0)-1,BI$33,1))</f>
        <v>0</v>
      </c>
      <c r="BJ50" s="544" t="str">
        <f ca="1">IFERROR(INDEX($BF$34:$BI$34,MATCH(MAX($BF50:$BI50),$BF50:$BI50,0)),"")</f>
        <v>Aug</v>
      </c>
      <c r="BK50" s="523">
        <f ca="1">$BE50-MAX($BF50:$BI50)</f>
        <v>8</v>
      </c>
      <c r="BQ50" s="509">
        <f>$A50</f>
        <v>46281</v>
      </c>
      <c r="BR50" s="15" t="str">
        <f>TEXT($A50,"ddd")</f>
        <v>Wed</v>
      </c>
      <c r="BS50" s="547" t="s">
        <v>391</v>
      </c>
      <c r="BT50" s="15">
        <f>IF(UPPER($BS50)="Y",$AB50,0)</f>
        <v>788.5</v>
      </c>
      <c r="CA50" s="2">
        <f>COUNTIF(INDEX('LINE PLAN'!$B$36:$GS$61,0,ROW()-3),CA$3)</f>
        <v>1</v>
      </c>
      <c r="CB50" s="2">
        <f>COUNTIF(INDEX('LINE PLAN'!$B$36:$GS$61,0,ROW()-3),CB$3)</f>
        <v>1</v>
      </c>
      <c r="CC50" s="2">
        <f>COUNTIF(INDEX('LINE PLAN'!$B$36:$GS$61,0,ROW()-3),CC$3)</f>
        <v>2</v>
      </c>
      <c r="CD50" s="2">
        <f>COUNTIF(INDEX('LINE PLAN'!$B$36:$GS$61,0,ROW()-3),CD$3)</f>
        <v>1</v>
      </c>
      <c r="CE50" s="2">
        <f>COUNTIF(INDEX('LINE PLAN'!$B$36:$GS$61,0,ROW()-3),CE$3)</f>
        <v>0</v>
      </c>
      <c r="CF50" s="2">
        <f>COUNTIF(INDEX('LINE PLAN'!$B$36:$GS$61,0,ROW()-3),CF$3)</f>
        <v>4</v>
      </c>
      <c r="CG50" s="2">
        <f>COUNTIF(INDEX('LINE PLAN'!$B$36:$GS$61,0,ROW()-3),CG$3)</f>
        <v>5</v>
      </c>
      <c r="CH50" s="2">
        <f>COUNTIF(INDEX('LINE PLAN'!$B$36:$GS$61,0,ROW()-3),CH$3)</f>
        <v>4</v>
      </c>
      <c r="CI50" s="2">
        <f>COUNTIF(INDEX('LINE PLAN'!$B$36:$GS$61,0,ROW()-3),CI$3)</f>
        <v>1</v>
      </c>
      <c r="CJ50" s="2">
        <f>COUNTIF(INDEX('LINE PLAN'!$B$36:$GS$61,0,ROW()-3),CJ$3)</f>
        <v>2</v>
      </c>
      <c r="CK50" s="2">
        <f>COUNTIF(INDEX('LINE PLAN'!$B$36:$GS$61,0,ROW()-3),CK$3)</f>
        <v>0</v>
      </c>
      <c r="CL50" s="2">
        <f>COUNTIF(INDEX('LINE PLAN'!$B$36:$GS$61,0,ROW()-3),CL$3)</f>
        <v>0</v>
      </c>
      <c r="CM50" s="2">
        <f>COUNTIF(INDEX('LINE PLAN'!$B$36:$GS$61,0,ROW()-3),CM$3)</f>
        <v>0</v>
      </c>
      <c r="CN50" s="2">
        <f>COUNTIF(INDEX('LINE PLAN'!$B$36:$GS$61,0,ROW()-3),CN$3)</f>
        <v>0</v>
      </c>
      <c r="CO50" s="2">
        <f>COUNTIF(INDEX('LINE PLAN'!$B$36:$GS$61,0,ROW()-3),CO$3)</f>
        <v>1</v>
      </c>
      <c r="CP50" s="2">
        <f>COUNTIF(INDEX('LINE PLAN'!$B$36:$GS$61,0,ROW()-3),CP$3)</f>
        <v>2</v>
      </c>
      <c r="CQ50" s="2">
        <f>COUNTIF(INDEX('LINE PLAN'!$B$36:$GS$61,0,ROW()-3),CQ$3)</f>
        <v>0</v>
      </c>
      <c r="CR50" s="2">
        <f>COUNTIF(INDEX('LINE PLAN'!$B$36:$GS$61,0,ROW()-3),CR$3)</f>
        <v>2</v>
      </c>
      <c r="CS50" s="2">
        <f>COUNTIF(INDEX('LINE PLAN'!$B$36:$GS$61,0,ROW()-3),CS$3)</f>
        <v>0</v>
      </c>
      <c r="CT50" s="2">
        <f>COUNTIF(INDEX('LINE PLAN'!$B$36:$GS$61,0,ROW()-3),CT$3)</f>
        <v>0</v>
      </c>
      <c r="CU50" s="2">
        <f>COUNTIF(INDEX('LINE PLAN'!$B$36:$GS$61,0,ROW()-3),CU$3)</f>
        <v>0</v>
      </c>
      <c r="CV50" s="2">
        <f>COUNTIF(INDEX('LINE PLAN'!$B$36:$GS$61,0,ROW()-3),CV$3)</f>
        <v>0</v>
      </c>
      <c r="CW50" s="2">
        <f>COUNTIF(INDEX('LINE PLAN'!$B$36:$GS$61,0,ROW()-3),CW$3)</f>
        <v>0</v>
      </c>
      <c r="CX50" s="2">
        <f>COUNTIF(INDEX('LINE PLAN'!$B$36:$GS$61,0,ROW()-3),CX$3)</f>
        <v>0</v>
      </c>
      <c r="CY50" s="2">
        <f>COUNTIF(INDEX('LINE PLAN'!$B$36:$GS$61,0,ROW()-3),CY$3)</f>
        <v>0</v>
      </c>
      <c r="CZ50" s="2">
        <f>COUNTIF(INDEX('LINE PLAN'!$B$36:$GS$61,0,ROW()-3),CZ$3)</f>
        <v>0</v>
      </c>
      <c r="DA50" s="2">
        <f>COUNTIF(INDEX('LINE PLAN'!$B$36:$GS$61,0,ROW()-3),DA$3)</f>
        <v>0</v>
      </c>
      <c r="DB50" s="2">
        <f>COUNTIF(INDEX('LINE PLAN'!$B$36:$GS$61,0,ROW()-3),DB$3)</f>
        <v>0</v>
      </c>
      <c r="DC50" s="2">
        <f>COUNTIF(INDEX('LINE PLAN'!$B$36:$GS$61,0,ROW()-3),DC$3)</f>
        <v>0</v>
      </c>
      <c r="DD50" s="2">
        <f>COUNTIF(INDEX('LINE PLAN'!$B$36:$GS$61,0,ROW()-3),DD$3)</f>
        <v>0</v>
      </c>
      <c r="DE50" s="2">
        <f>COUNTIF(INDEX('LINE PLAN'!$B$36:$GS$61,0,ROW()-3),DE$3)</f>
        <v>0</v>
      </c>
      <c r="DF50" s="2">
        <f>COUNTIF(INDEX('LINE PLAN'!$B$36:$GS$61,0,ROW()-3),DF$3)</f>
        <v>0</v>
      </c>
      <c r="DG50" s="2">
        <f>COUNTIF(INDEX('LINE PLAN'!$B$36:$GS$61,0,ROW()-3),DG$3)</f>
        <v>0</v>
      </c>
      <c r="DH50" s="2">
        <f>COUNTIF(INDEX('LINE PLAN'!$B$36:$GS$61,0,ROW()-3),DH$3)</f>
        <v>0</v>
      </c>
      <c r="DI50" s="2">
        <f>COUNTIF(INDEX('LINE PLAN'!$B$36:$GS$61,0,ROW()-3),DI$3)</f>
        <v>0</v>
      </c>
      <c r="DJ50" s="2">
        <f>COUNTIF(INDEX('LINE PLAN'!$B$36:$GS$61,0,ROW()-3),DJ$3)</f>
        <v>0</v>
      </c>
      <c r="DK50" s="2">
        <f>COUNTIF(INDEX('LINE PLAN'!$B$36:$GS$61,0,ROW()-3),DK$3)</f>
        <v>0</v>
      </c>
      <c r="DL50" s="2">
        <f>COUNTIF(INDEX('LINE PLAN'!$B$36:$GS$61,0,ROW()-3),DL$3)</f>
        <v>0</v>
      </c>
      <c r="DM50" s="2">
        <f>COUNTIF(INDEX('LINE PLAN'!$B$36:$GS$61,0,ROW()-3),DM$3)</f>
        <v>0</v>
      </c>
      <c r="DN50" s="2">
        <f>COUNTIF(INDEX('LINE PLAN'!$B$36:$GS$61,0,ROW()-3),DN$3)</f>
        <v>0</v>
      </c>
      <c r="DO50" s="2">
        <f>COUNTIF(INDEX('LINE PLAN'!$B$36:$GS$61,0,ROW()-3),DO$3)</f>
        <v>0</v>
      </c>
      <c r="DP50" s="2">
        <f>COUNTIF(INDEX('LINE PLAN'!$B$36:$GS$61,0,ROW()-3),DP$3)</f>
        <v>0</v>
      </c>
      <c r="DQ50" s="2">
        <f>COUNTIF(INDEX('LINE PLAN'!$B$36:$GS$61,0,ROW()-3),DQ$3)</f>
        <v>0</v>
      </c>
      <c r="DR50" s="2">
        <f>COUNTIF(INDEX('LINE PLAN'!$B$36:$GS$61,0,ROW()-3),DR$3)</f>
        <v>0</v>
      </c>
      <c r="DS50" s="2">
        <f>COUNTIF(INDEX('LINE PLAN'!$B$36:$GS$61,0,ROW()-3),DS$3)</f>
        <v>0</v>
      </c>
      <c r="DT50" s="2">
        <f>COUNTIF(INDEX('LINE PLAN'!$B$36:$GS$61,0,ROW()-3),DT$3)</f>
        <v>0</v>
      </c>
      <c r="DU50" s="2">
        <f>COUNTIF(INDEX('LINE PLAN'!$B$36:$GS$61,0,ROW()-3),DU$3)</f>
        <v>0</v>
      </c>
      <c r="DV50" s="2">
        <f>COUNTIF(INDEX('LINE PLAN'!$B$36:$GS$61,0,ROW()-3),DV$3)</f>
        <v>0</v>
      </c>
    </row>
    <row r="51" spans="1:126">
      <c r="A51" s="505" cm="1">
        <f t="array" ref="A51">INDEX('LINE PLAN'!$B$35:$GS$35,ROW()-3)</f>
        <v>46282</v>
      </c>
      <c r="B51" s="2">
        <f>SUMPRODUCT($CA51:$DV51,INDEX('MC MAP'!$DA$5:$EV$30,1,0))</f>
        <v>143.5</v>
      </c>
      <c r="C51" s="2">
        <f>SUMPRODUCT($CA51:$DV51,INDEX('MC MAP'!$DA$5:$EV$30,2,0))</f>
        <v>1</v>
      </c>
      <c r="D51" s="2">
        <f>SUMPRODUCT($CA51:$DV51,INDEX('MC MAP'!$DA$5:$EV$30,3,0))</f>
        <v>0</v>
      </c>
      <c r="E51" s="2">
        <f>SUMPRODUCT($CA51:$DV51,INDEX('MC MAP'!$DA$5:$EV$30,4,0))</f>
        <v>4</v>
      </c>
      <c r="F51" s="2">
        <f>SUMPRODUCT($CA51:$DV51,INDEX('MC MAP'!$DA$5:$EV$30,5,0))</f>
        <v>241</v>
      </c>
      <c r="G51" s="2">
        <f>SUMPRODUCT($CA51:$DV51,INDEX('MC MAP'!$DA$5:$EV$30,6,0))</f>
        <v>22</v>
      </c>
      <c r="H51" s="2">
        <f>SUMPRODUCT($CA51:$DV51,INDEX('MC MAP'!$DA$5:$EV$30,7,0))</f>
        <v>0</v>
      </c>
      <c r="I51" s="2">
        <f>SUMPRODUCT($CA51:$DV51,INDEX('MC MAP'!$DA$5:$EV$30,8,0))</f>
        <v>33</v>
      </c>
      <c r="J51" s="2">
        <f>SUMPRODUCT($CA51:$DV51,INDEX('MC MAP'!$DA$5:$EV$30,9,0))</f>
        <v>30.5</v>
      </c>
      <c r="K51" s="2">
        <f>SUMPRODUCT($CA51:$DV51,INDEX('MC MAP'!$DA$5:$EV$30,10,0))</f>
        <v>16</v>
      </c>
      <c r="L51" s="2">
        <f>SUMPRODUCT($CA51:$DV51,INDEX('MC MAP'!$DA$5:$EV$30,11,0))</f>
        <v>22</v>
      </c>
      <c r="M51" s="2">
        <f>SUMPRODUCT($CA51:$DV51,INDEX('MC MAP'!$DA$5:$EV$30,12,0))</f>
        <v>27</v>
      </c>
      <c r="N51" s="2">
        <f>SUMPRODUCT($CA51:$DV51,INDEX('MC MAP'!$DA$5:$EV$30,13,0))</f>
        <v>33</v>
      </c>
      <c r="O51" s="2">
        <f>SUMPRODUCT($CA51:$DV51,INDEX('MC MAP'!$DA$5:$EV$30,14,0))</f>
        <v>39</v>
      </c>
      <c r="P51" s="2">
        <f>SUMPRODUCT($CA51:$DV51,INDEX('MC MAP'!$DA$5:$EV$30,15,0))</f>
        <v>58</v>
      </c>
      <c r="Q51" s="2">
        <f>SUMPRODUCT($CA51:$DV51,INDEX('MC MAP'!$DA$5:$EV$30,16,0))</f>
        <v>0</v>
      </c>
      <c r="R51" s="2">
        <f>SUMPRODUCT($CA51:$DV51,INDEX('MC MAP'!$DA$5:$EV$30,17,0))</f>
        <v>3</v>
      </c>
      <c r="S51" s="2">
        <f>SUMPRODUCT($CA51:$DV51,INDEX('MC MAP'!$DA$5:$EV$30,18,0))</f>
        <v>0</v>
      </c>
      <c r="T51" s="2">
        <f>SUMPRODUCT($CA51:$DV51,INDEX('MC MAP'!$DA$5:$EV$30,19,0))</f>
        <v>17</v>
      </c>
      <c r="U51" s="2">
        <f>SUMPRODUCT($CA51:$DV51,INDEX('MC MAP'!$DA$5:$EV$30,20,0))</f>
        <v>32.5</v>
      </c>
      <c r="V51" s="2">
        <f>SUMPRODUCT($CA51:$DV51,INDEX('MC MAP'!$DA$5:$EV$30,21,0))</f>
        <v>2</v>
      </c>
      <c r="W51" s="2">
        <f>SUMPRODUCT($CA51:$DV51,INDEX('MC MAP'!$DA$5:$EV$30,22,0))</f>
        <v>2</v>
      </c>
      <c r="X51" s="2">
        <f>SUMPRODUCT($CA51:$DV51,INDEX('MC MAP'!$DA$5:$EV$30,23,0))</f>
        <v>0</v>
      </c>
      <c r="Y51" s="2">
        <f>SUMPRODUCT($CA51:$DV51,INDEX('MC MAP'!$DA$5:$EV$30,24,0))</f>
        <v>10</v>
      </c>
      <c r="Z51" s="2">
        <f>SUMPRODUCT($CA51:$DV51,INDEX('MC MAP'!$DA$5:$EV$30,25,0))</f>
        <v>0</v>
      </c>
      <c r="AA51" s="2">
        <f>SUMPRODUCT($CA51:$DV51,INDEX('MC MAP'!$DA$5:$EV$30,26,0))</f>
        <v>24</v>
      </c>
      <c r="AB51" s="2">
        <f>SUM($B51:$AA51)</f>
        <v>760.5</v>
      </c>
      <c r="AC51" s="2">
        <f>SUM($CA51:$DV51)+$AW51</f>
        <v>26</v>
      </c>
      <c r="AW51" s="2">
        <f>IF($A51=0,0,COUNTIF(INDEX('LINE PLAN'!$B$36:$GS$61,0,ROW()-3),"THERMAL - NOT SPECIFIED"))</f>
        <v>0</v>
      </c>
      <c r="AX51" s="506" cm="1">
        <f t="array" ref="AX51">IF(OR($AB51=0,UPPER($BS51)&lt;&gt;"Y"),0,SUMPRODUCT(--($B51:$AA51&gt;$B$205:$AA$205)))</f>
        <v>4</v>
      </c>
      <c r="AY51" s="507">
        <f>$A51</f>
        <v>46282</v>
      </c>
      <c r="AZ51" s="2">
        <f>$AB51</f>
        <v>760.5</v>
      </c>
      <c r="BA51" s="2">
        <f>'MC MASTER'!$C$29</f>
        <v>920</v>
      </c>
      <c r="BD51" s="543" t="str">
        <f>INDEX('MC MASTER'!$B$3:$B$28,ROW()-34)</f>
        <v>Kansai</v>
      </c>
      <c r="BE51" s="521">
        <f>INDEX('MC MASTER'!$C$3:$C$28,ROW()-34)</f>
        <v>8</v>
      </c>
      <c r="BF51" s="522">
        <f ca="1">MAX(OFFSET($B$4,BF$32-1,MATCH($BD51,$B$3:$AA$3,0)-1,BF$33,1))</f>
        <v>3</v>
      </c>
      <c r="BG51" s="529">
        <f ca="1">MAX(OFFSET($B$4,BG$32-1,MATCH($BD51,$B$3:$AA$3,0)-1,BG$33,1))</f>
        <v>3</v>
      </c>
      <c r="BH51" s="529">
        <f ca="1">MAX(OFFSET($B$4,BH$32-1,MATCH($BD51,$B$3:$AA$3,0)-1,BH$33,1))</f>
        <v>3</v>
      </c>
      <c r="BI51" s="529">
        <f ca="1">MAX(OFFSET($B$4,BI$32-1,MATCH($BD51,$B$3:$AA$3,0)-1,BI$33,1))</f>
        <v>0</v>
      </c>
      <c r="BJ51" s="544" t="str">
        <f ca="1">IFERROR(INDEX($BF$34:$BI$34,MATCH(MAX($BF51:$BI51),$BF51:$BI51,0)),"")</f>
        <v>Aug</v>
      </c>
      <c r="BK51" s="523">
        <f ca="1">$BE51-MAX($BF51:$BI51)</f>
        <v>5</v>
      </c>
      <c r="BQ51" s="509">
        <f>$A51</f>
        <v>46282</v>
      </c>
      <c r="BR51" s="15" t="str">
        <f>TEXT($A51,"ddd")</f>
        <v>Thu</v>
      </c>
      <c r="BS51" s="547" t="s">
        <v>391</v>
      </c>
      <c r="BT51" s="15">
        <f>IF(UPPER($BS51)="Y",$AB51,0)</f>
        <v>760.5</v>
      </c>
      <c r="CA51" s="2">
        <f>COUNTIF(INDEX('LINE PLAN'!$B$36:$GS$61,0,ROW()-3),CA$3)</f>
        <v>1</v>
      </c>
      <c r="CB51" s="2">
        <f>COUNTIF(INDEX('LINE PLAN'!$B$36:$GS$61,0,ROW()-3),CB$3)</f>
        <v>1</v>
      </c>
      <c r="CC51" s="2">
        <f>COUNTIF(INDEX('LINE PLAN'!$B$36:$GS$61,0,ROW()-3),CC$3)</f>
        <v>2</v>
      </c>
      <c r="CD51" s="2">
        <f>COUNTIF(INDEX('LINE PLAN'!$B$36:$GS$61,0,ROW()-3),CD$3)</f>
        <v>1</v>
      </c>
      <c r="CE51" s="2">
        <f>COUNTIF(INDEX('LINE PLAN'!$B$36:$GS$61,0,ROW()-3),CE$3)</f>
        <v>0</v>
      </c>
      <c r="CF51" s="2">
        <f>COUNTIF(INDEX('LINE PLAN'!$B$36:$GS$61,0,ROW()-3),CF$3)</f>
        <v>4</v>
      </c>
      <c r="CG51" s="2">
        <f>COUNTIF(INDEX('LINE PLAN'!$B$36:$GS$61,0,ROW()-3),CG$3)</f>
        <v>5</v>
      </c>
      <c r="CH51" s="2">
        <f>COUNTIF(INDEX('LINE PLAN'!$B$36:$GS$61,0,ROW()-3),CH$3)</f>
        <v>4</v>
      </c>
      <c r="CI51" s="2">
        <f>COUNTIF(INDEX('LINE PLAN'!$B$36:$GS$61,0,ROW()-3),CI$3)</f>
        <v>1</v>
      </c>
      <c r="CJ51" s="2">
        <f>COUNTIF(INDEX('LINE PLAN'!$B$36:$GS$61,0,ROW()-3),CJ$3)</f>
        <v>2</v>
      </c>
      <c r="CK51" s="2">
        <f>COUNTIF(INDEX('LINE PLAN'!$B$36:$GS$61,0,ROW()-3),CK$3)</f>
        <v>0</v>
      </c>
      <c r="CL51" s="2">
        <f>COUNTIF(INDEX('LINE PLAN'!$B$36:$GS$61,0,ROW()-3),CL$3)</f>
        <v>0</v>
      </c>
      <c r="CM51" s="2">
        <f>COUNTIF(INDEX('LINE PLAN'!$B$36:$GS$61,0,ROW()-3),CM$3)</f>
        <v>1</v>
      </c>
      <c r="CN51" s="2">
        <f>COUNTIF(INDEX('LINE PLAN'!$B$36:$GS$61,0,ROW()-3),CN$3)</f>
        <v>0</v>
      </c>
      <c r="CO51" s="2">
        <f>COUNTIF(INDEX('LINE PLAN'!$B$36:$GS$61,0,ROW()-3),CO$3)</f>
        <v>0</v>
      </c>
      <c r="CP51" s="2">
        <f>COUNTIF(INDEX('LINE PLAN'!$B$36:$GS$61,0,ROW()-3),CP$3)</f>
        <v>2</v>
      </c>
      <c r="CQ51" s="2">
        <f>COUNTIF(INDEX('LINE PLAN'!$B$36:$GS$61,0,ROW()-3),CQ$3)</f>
        <v>0</v>
      </c>
      <c r="CR51" s="2">
        <f>COUNTIF(INDEX('LINE PLAN'!$B$36:$GS$61,0,ROW()-3),CR$3)</f>
        <v>2</v>
      </c>
      <c r="CS51" s="2">
        <f>COUNTIF(INDEX('LINE PLAN'!$B$36:$GS$61,0,ROW()-3),CS$3)</f>
        <v>0</v>
      </c>
      <c r="CT51" s="2">
        <f>COUNTIF(INDEX('LINE PLAN'!$B$36:$GS$61,0,ROW()-3),CT$3)</f>
        <v>0</v>
      </c>
      <c r="CU51" s="2">
        <f>COUNTIF(INDEX('LINE PLAN'!$B$36:$GS$61,0,ROW()-3),CU$3)</f>
        <v>0</v>
      </c>
      <c r="CV51" s="2">
        <f>COUNTIF(INDEX('LINE PLAN'!$B$36:$GS$61,0,ROW()-3),CV$3)</f>
        <v>0</v>
      </c>
      <c r="CW51" s="2">
        <f>COUNTIF(INDEX('LINE PLAN'!$B$36:$GS$61,0,ROW()-3),CW$3)</f>
        <v>0</v>
      </c>
      <c r="CX51" s="2">
        <f>COUNTIF(INDEX('LINE PLAN'!$B$36:$GS$61,0,ROW()-3),CX$3)</f>
        <v>0</v>
      </c>
      <c r="CY51" s="2">
        <f>COUNTIF(INDEX('LINE PLAN'!$B$36:$GS$61,0,ROW()-3),CY$3)</f>
        <v>0</v>
      </c>
      <c r="CZ51" s="2">
        <f>COUNTIF(INDEX('LINE PLAN'!$B$36:$GS$61,0,ROW()-3),CZ$3)</f>
        <v>0</v>
      </c>
      <c r="DA51" s="2">
        <f>COUNTIF(INDEX('LINE PLAN'!$B$36:$GS$61,0,ROW()-3),DA$3)</f>
        <v>0</v>
      </c>
      <c r="DB51" s="2">
        <f>COUNTIF(INDEX('LINE PLAN'!$B$36:$GS$61,0,ROW()-3),DB$3)</f>
        <v>0</v>
      </c>
      <c r="DC51" s="2">
        <f>COUNTIF(INDEX('LINE PLAN'!$B$36:$GS$61,0,ROW()-3),DC$3)</f>
        <v>0</v>
      </c>
      <c r="DD51" s="2">
        <f>COUNTIF(INDEX('LINE PLAN'!$B$36:$GS$61,0,ROW()-3),DD$3)</f>
        <v>0</v>
      </c>
      <c r="DE51" s="2">
        <f>COUNTIF(INDEX('LINE PLAN'!$B$36:$GS$61,0,ROW()-3),DE$3)</f>
        <v>0</v>
      </c>
      <c r="DF51" s="2">
        <f>COUNTIF(INDEX('LINE PLAN'!$B$36:$GS$61,0,ROW()-3),DF$3)</f>
        <v>0</v>
      </c>
      <c r="DG51" s="2">
        <f>COUNTIF(INDEX('LINE PLAN'!$B$36:$GS$61,0,ROW()-3),DG$3)</f>
        <v>0</v>
      </c>
      <c r="DH51" s="2">
        <f>COUNTIF(INDEX('LINE PLAN'!$B$36:$GS$61,0,ROW()-3),DH$3)</f>
        <v>0</v>
      </c>
      <c r="DI51" s="2">
        <f>COUNTIF(INDEX('LINE PLAN'!$B$36:$GS$61,0,ROW()-3),DI$3)</f>
        <v>0</v>
      </c>
      <c r="DJ51" s="2">
        <f>COUNTIF(INDEX('LINE PLAN'!$B$36:$GS$61,0,ROW()-3),DJ$3)</f>
        <v>0</v>
      </c>
      <c r="DK51" s="2">
        <f>COUNTIF(INDEX('LINE PLAN'!$B$36:$GS$61,0,ROW()-3),DK$3)</f>
        <v>0</v>
      </c>
      <c r="DL51" s="2">
        <f>COUNTIF(INDEX('LINE PLAN'!$B$36:$GS$61,0,ROW()-3),DL$3)</f>
        <v>0</v>
      </c>
      <c r="DM51" s="2">
        <f>COUNTIF(INDEX('LINE PLAN'!$B$36:$GS$61,0,ROW()-3),DM$3)</f>
        <v>0</v>
      </c>
      <c r="DN51" s="2">
        <f>COUNTIF(INDEX('LINE PLAN'!$B$36:$GS$61,0,ROW()-3),DN$3)</f>
        <v>0</v>
      </c>
      <c r="DO51" s="2">
        <f>COUNTIF(INDEX('LINE PLAN'!$B$36:$GS$61,0,ROW()-3),DO$3)</f>
        <v>0</v>
      </c>
      <c r="DP51" s="2">
        <f>COUNTIF(INDEX('LINE PLAN'!$B$36:$GS$61,0,ROW()-3),DP$3)</f>
        <v>0</v>
      </c>
      <c r="DQ51" s="2">
        <f>COUNTIF(INDEX('LINE PLAN'!$B$36:$GS$61,0,ROW()-3),DQ$3)</f>
        <v>0</v>
      </c>
      <c r="DR51" s="2">
        <f>COUNTIF(INDEX('LINE PLAN'!$B$36:$GS$61,0,ROW()-3),DR$3)</f>
        <v>0</v>
      </c>
      <c r="DS51" s="2">
        <f>COUNTIF(INDEX('LINE PLAN'!$B$36:$GS$61,0,ROW()-3),DS$3)</f>
        <v>0</v>
      </c>
      <c r="DT51" s="2">
        <f>COUNTIF(INDEX('LINE PLAN'!$B$36:$GS$61,0,ROW()-3),DT$3)</f>
        <v>0</v>
      </c>
      <c r="DU51" s="2">
        <f>COUNTIF(INDEX('LINE PLAN'!$B$36:$GS$61,0,ROW()-3),DU$3)</f>
        <v>0</v>
      </c>
      <c r="DV51" s="2">
        <f>COUNTIF(INDEX('LINE PLAN'!$B$36:$GS$61,0,ROW()-3),DV$3)</f>
        <v>0</v>
      </c>
    </row>
    <row r="52" spans="1:126">
      <c r="A52" s="505" cm="1">
        <f t="array" ref="A52">INDEX('LINE PLAN'!$B$35:$GS$35,ROW()-3)</f>
        <v>46283</v>
      </c>
      <c r="B52" s="2">
        <f>SUMPRODUCT($CA52:$DV52,INDEX('MC MAP'!$DA$5:$EV$30,1,0))</f>
        <v>143.5</v>
      </c>
      <c r="C52" s="2">
        <f>SUMPRODUCT($CA52:$DV52,INDEX('MC MAP'!$DA$5:$EV$30,2,0))</f>
        <v>1</v>
      </c>
      <c r="D52" s="2">
        <f>SUMPRODUCT($CA52:$DV52,INDEX('MC MAP'!$DA$5:$EV$30,3,0))</f>
        <v>0</v>
      </c>
      <c r="E52" s="2">
        <f>SUMPRODUCT($CA52:$DV52,INDEX('MC MAP'!$DA$5:$EV$30,4,0))</f>
        <v>4</v>
      </c>
      <c r="F52" s="2">
        <f>SUMPRODUCT($CA52:$DV52,INDEX('MC MAP'!$DA$5:$EV$30,5,0))</f>
        <v>241</v>
      </c>
      <c r="G52" s="2">
        <f>SUMPRODUCT($CA52:$DV52,INDEX('MC MAP'!$DA$5:$EV$30,6,0))</f>
        <v>22</v>
      </c>
      <c r="H52" s="2">
        <f>SUMPRODUCT($CA52:$DV52,INDEX('MC MAP'!$DA$5:$EV$30,7,0))</f>
        <v>0</v>
      </c>
      <c r="I52" s="2">
        <f>SUMPRODUCT($CA52:$DV52,INDEX('MC MAP'!$DA$5:$EV$30,8,0))</f>
        <v>33</v>
      </c>
      <c r="J52" s="2">
        <f>SUMPRODUCT($CA52:$DV52,INDEX('MC MAP'!$DA$5:$EV$30,9,0))</f>
        <v>30.5</v>
      </c>
      <c r="K52" s="2">
        <f>SUMPRODUCT($CA52:$DV52,INDEX('MC MAP'!$DA$5:$EV$30,10,0))</f>
        <v>16</v>
      </c>
      <c r="L52" s="2">
        <f>SUMPRODUCT($CA52:$DV52,INDEX('MC MAP'!$DA$5:$EV$30,11,0))</f>
        <v>22</v>
      </c>
      <c r="M52" s="2">
        <f>SUMPRODUCT($CA52:$DV52,INDEX('MC MAP'!$DA$5:$EV$30,12,0))</f>
        <v>27</v>
      </c>
      <c r="N52" s="2">
        <f>SUMPRODUCT($CA52:$DV52,INDEX('MC MAP'!$DA$5:$EV$30,13,0))</f>
        <v>33</v>
      </c>
      <c r="O52" s="2">
        <f>SUMPRODUCT($CA52:$DV52,INDEX('MC MAP'!$DA$5:$EV$30,14,0))</f>
        <v>39</v>
      </c>
      <c r="P52" s="2">
        <f>SUMPRODUCT($CA52:$DV52,INDEX('MC MAP'!$DA$5:$EV$30,15,0))</f>
        <v>58</v>
      </c>
      <c r="Q52" s="2">
        <f>SUMPRODUCT($CA52:$DV52,INDEX('MC MAP'!$DA$5:$EV$30,16,0))</f>
        <v>0</v>
      </c>
      <c r="R52" s="2">
        <f>SUMPRODUCT($CA52:$DV52,INDEX('MC MAP'!$DA$5:$EV$30,17,0))</f>
        <v>3</v>
      </c>
      <c r="S52" s="2">
        <f>SUMPRODUCT($CA52:$DV52,INDEX('MC MAP'!$DA$5:$EV$30,18,0))</f>
        <v>0</v>
      </c>
      <c r="T52" s="2">
        <f>SUMPRODUCT($CA52:$DV52,INDEX('MC MAP'!$DA$5:$EV$30,19,0))</f>
        <v>17</v>
      </c>
      <c r="U52" s="2">
        <f>SUMPRODUCT($CA52:$DV52,INDEX('MC MAP'!$DA$5:$EV$30,20,0))</f>
        <v>32.5</v>
      </c>
      <c r="V52" s="2">
        <f>SUMPRODUCT($CA52:$DV52,INDEX('MC MAP'!$DA$5:$EV$30,21,0))</f>
        <v>2</v>
      </c>
      <c r="W52" s="2">
        <f>SUMPRODUCT($CA52:$DV52,INDEX('MC MAP'!$DA$5:$EV$30,22,0))</f>
        <v>2</v>
      </c>
      <c r="X52" s="2">
        <f>SUMPRODUCT($CA52:$DV52,INDEX('MC MAP'!$DA$5:$EV$30,23,0))</f>
        <v>0</v>
      </c>
      <c r="Y52" s="2">
        <f>SUMPRODUCT($CA52:$DV52,INDEX('MC MAP'!$DA$5:$EV$30,24,0))</f>
        <v>10</v>
      </c>
      <c r="Z52" s="2">
        <f>SUMPRODUCT($CA52:$DV52,INDEX('MC MAP'!$DA$5:$EV$30,25,0))</f>
        <v>0</v>
      </c>
      <c r="AA52" s="2">
        <f>SUMPRODUCT($CA52:$DV52,INDEX('MC MAP'!$DA$5:$EV$30,26,0))</f>
        <v>24</v>
      </c>
      <c r="AB52" s="2">
        <f>SUM($B52:$AA52)</f>
        <v>760.5</v>
      </c>
      <c r="AC52" s="2">
        <f>SUM($CA52:$DV52)+$AW52</f>
        <v>25</v>
      </c>
      <c r="AW52" s="2">
        <f>IF($A52=0,0,COUNTIF(INDEX('LINE PLAN'!$B$36:$GS$61,0,ROW()-3),"THERMAL - NOT SPECIFIED"))</f>
        <v>0</v>
      </c>
      <c r="AX52" s="506" cm="1">
        <f t="array" ref="AX52">IF(OR($AB52=0,UPPER($BS52)&lt;&gt;"Y"),0,SUMPRODUCT(--($B52:$AA52&gt;$B$205:$AA$205)))</f>
        <v>4</v>
      </c>
      <c r="AY52" s="507">
        <f>$A52</f>
        <v>46283</v>
      </c>
      <c r="AZ52" s="2">
        <f>$AB52</f>
        <v>760.5</v>
      </c>
      <c r="BA52" s="2">
        <f>'MC MASTER'!$C$29</f>
        <v>920</v>
      </c>
      <c r="BD52" s="543" t="str">
        <f>INDEX('MC MASTER'!$B$3:$B$28,ROW()-34)</f>
        <v>Chain stitch</v>
      </c>
      <c r="BE52" s="521">
        <f>INDEX('MC MASTER'!$C$3:$C$28,ROW()-34)</f>
        <v>2</v>
      </c>
      <c r="BF52" s="522">
        <f ca="1">MAX(OFFSET($B$4,BF$32-1,MATCH($BD52,$B$3:$AA$3,0)-1,BF$33,1))</f>
        <v>0</v>
      </c>
      <c r="BG52" s="529">
        <f ca="1">MAX(OFFSET($B$4,BG$32-1,MATCH($BD52,$B$3:$AA$3,0)-1,BG$33,1))</f>
        <v>0</v>
      </c>
      <c r="BH52" s="529">
        <f ca="1">MAX(OFFSET($B$4,BH$32-1,MATCH($BD52,$B$3:$AA$3,0)-1,BH$33,1))</f>
        <v>0</v>
      </c>
      <c r="BI52" s="529">
        <f ca="1">MAX(OFFSET($B$4,BI$32-1,MATCH($BD52,$B$3:$AA$3,0)-1,BI$33,1))</f>
        <v>0</v>
      </c>
      <c r="BJ52" s="544" t="str">
        <f ca="1">IFERROR(INDEX($BF$34:$BI$34,MATCH(MAX($BF52:$BI52),$BF52:$BI52,0)),"")</f>
        <v>Aug</v>
      </c>
      <c r="BK52" s="523">
        <f ca="1">$BE52-MAX($BF52:$BI52)</f>
        <v>2</v>
      </c>
      <c r="BQ52" s="509">
        <f>$A52</f>
        <v>46283</v>
      </c>
      <c r="BR52" s="15" t="str">
        <f>TEXT($A52,"ddd")</f>
        <v>Fri</v>
      </c>
      <c r="BS52" s="547" t="s">
        <v>391</v>
      </c>
      <c r="BT52" s="15">
        <f>IF(UPPER($BS52)="Y",$AB52,0)</f>
        <v>760.5</v>
      </c>
      <c r="CA52" s="2">
        <f>COUNTIF(INDEX('LINE PLAN'!$B$36:$GS$61,0,ROW()-3),CA$3)</f>
        <v>1</v>
      </c>
      <c r="CB52" s="2">
        <f>COUNTIF(INDEX('LINE PLAN'!$B$36:$GS$61,0,ROW()-3),CB$3)</f>
        <v>1</v>
      </c>
      <c r="CC52" s="2">
        <f>COUNTIF(INDEX('LINE PLAN'!$B$36:$GS$61,0,ROW()-3),CC$3)</f>
        <v>2</v>
      </c>
      <c r="CD52" s="2">
        <f>COUNTIF(INDEX('LINE PLAN'!$B$36:$GS$61,0,ROW()-3),CD$3)</f>
        <v>1</v>
      </c>
      <c r="CE52" s="2">
        <f>COUNTIF(INDEX('LINE PLAN'!$B$36:$GS$61,0,ROW()-3),CE$3)</f>
        <v>0</v>
      </c>
      <c r="CF52" s="2">
        <f>COUNTIF(INDEX('LINE PLAN'!$B$36:$GS$61,0,ROW()-3),CF$3)</f>
        <v>4</v>
      </c>
      <c r="CG52" s="2">
        <f>COUNTIF(INDEX('LINE PLAN'!$B$36:$GS$61,0,ROW()-3),CG$3)</f>
        <v>5</v>
      </c>
      <c r="CH52" s="2">
        <f>COUNTIF(INDEX('LINE PLAN'!$B$36:$GS$61,0,ROW()-3),CH$3)</f>
        <v>4</v>
      </c>
      <c r="CI52" s="2">
        <f>COUNTIF(INDEX('LINE PLAN'!$B$36:$GS$61,0,ROW()-3),CI$3)</f>
        <v>1</v>
      </c>
      <c r="CJ52" s="2">
        <f>COUNTIF(INDEX('LINE PLAN'!$B$36:$GS$61,0,ROW()-3),CJ$3)</f>
        <v>2</v>
      </c>
      <c r="CK52" s="2">
        <f>COUNTIF(INDEX('LINE PLAN'!$B$36:$GS$61,0,ROW()-3),CK$3)</f>
        <v>0</v>
      </c>
      <c r="CL52" s="2">
        <f>COUNTIF(INDEX('LINE PLAN'!$B$36:$GS$61,0,ROW()-3),CL$3)</f>
        <v>0</v>
      </c>
      <c r="CM52" s="2">
        <f>COUNTIF(INDEX('LINE PLAN'!$B$36:$GS$61,0,ROW()-3),CM$3)</f>
        <v>0</v>
      </c>
      <c r="CN52" s="2">
        <f>COUNTIF(INDEX('LINE PLAN'!$B$36:$GS$61,0,ROW()-3),CN$3)</f>
        <v>0</v>
      </c>
      <c r="CO52" s="2">
        <f>COUNTIF(INDEX('LINE PLAN'!$B$36:$GS$61,0,ROW()-3),CO$3)</f>
        <v>0</v>
      </c>
      <c r="CP52" s="2">
        <f>COUNTIF(INDEX('LINE PLAN'!$B$36:$GS$61,0,ROW()-3),CP$3)</f>
        <v>2</v>
      </c>
      <c r="CQ52" s="2">
        <f>COUNTIF(INDEX('LINE PLAN'!$B$36:$GS$61,0,ROW()-3),CQ$3)</f>
        <v>0</v>
      </c>
      <c r="CR52" s="2">
        <f>COUNTIF(INDEX('LINE PLAN'!$B$36:$GS$61,0,ROW()-3),CR$3)</f>
        <v>2</v>
      </c>
      <c r="CS52" s="2">
        <f>COUNTIF(INDEX('LINE PLAN'!$B$36:$GS$61,0,ROW()-3),CS$3)</f>
        <v>0</v>
      </c>
      <c r="CT52" s="2">
        <f>COUNTIF(INDEX('LINE PLAN'!$B$36:$GS$61,0,ROW()-3),CT$3)</f>
        <v>0</v>
      </c>
      <c r="CU52" s="2">
        <f>COUNTIF(INDEX('LINE PLAN'!$B$36:$GS$61,0,ROW()-3),CU$3)</f>
        <v>0</v>
      </c>
      <c r="CV52" s="2">
        <f>COUNTIF(INDEX('LINE PLAN'!$B$36:$GS$61,0,ROW()-3),CV$3)</f>
        <v>0</v>
      </c>
      <c r="CW52" s="2">
        <f>COUNTIF(INDEX('LINE PLAN'!$B$36:$GS$61,0,ROW()-3),CW$3)</f>
        <v>0</v>
      </c>
      <c r="CX52" s="2">
        <f>COUNTIF(INDEX('LINE PLAN'!$B$36:$GS$61,0,ROW()-3),CX$3)</f>
        <v>0</v>
      </c>
      <c r="CY52" s="2">
        <f>COUNTIF(INDEX('LINE PLAN'!$B$36:$GS$61,0,ROW()-3),CY$3)</f>
        <v>0</v>
      </c>
      <c r="CZ52" s="2">
        <f>COUNTIF(INDEX('LINE PLAN'!$B$36:$GS$61,0,ROW()-3),CZ$3)</f>
        <v>0</v>
      </c>
      <c r="DA52" s="2">
        <f>COUNTIF(INDEX('LINE PLAN'!$B$36:$GS$61,0,ROW()-3),DA$3)</f>
        <v>0</v>
      </c>
      <c r="DB52" s="2">
        <f>COUNTIF(INDEX('LINE PLAN'!$B$36:$GS$61,0,ROW()-3),DB$3)</f>
        <v>0</v>
      </c>
      <c r="DC52" s="2">
        <f>COUNTIF(INDEX('LINE PLAN'!$B$36:$GS$61,0,ROW()-3),DC$3)</f>
        <v>0</v>
      </c>
      <c r="DD52" s="2">
        <f>COUNTIF(INDEX('LINE PLAN'!$B$36:$GS$61,0,ROW()-3),DD$3)</f>
        <v>0</v>
      </c>
      <c r="DE52" s="2">
        <f>COUNTIF(INDEX('LINE PLAN'!$B$36:$GS$61,0,ROW()-3),DE$3)</f>
        <v>0</v>
      </c>
      <c r="DF52" s="2">
        <f>COUNTIF(INDEX('LINE PLAN'!$B$36:$GS$61,0,ROW()-3),DF$3)</f>
        <v>0</v>
      </c>
      <c r="DG52" s="2">
        <f>COUNTIF(INDEX('LINE PLAN'!$B$36:$GS$61,0,ROW()-3),DG$3)</f>
        <v>0</v>
      </c>
      <c r="DH52" s="2">
        <f>COUNTIF(INDEX('LINE PLAN'!$B$36:$GS$61,0,ROW()-3),DH$3)</f>
        <v>0</v>
      </c>
      <c r="DI52" s="2">
        <f>COUNTIF(INDEX('LINE PLAN'!$B$36:$GS$61,0,ROW()-3),DI$3)</f>
        <v>0</v>
      </c>
      <c r="DJ52" s="2">
        <f>COUNTIF(INDEX('LINE PLAN'!$B$36:$GS$61,0,ROW()-3),DJ$3)</f>
        <v>0</v>
      </c>
      <c r="DK52" s="2">
        <f>COUNTIF(INDEX('LINE PLAN'!$B$36:$GS$61,0,ROW()-3),DK$3)</f>
        <v>0</v>
      </c>
      <c r="DL52" s="2">
        <f>COUNTIF(INDEX('LINE PLAN'!$B$36:$GS$61,0,ROW()-3),DL$3)</f>
        <v>0</v>
      </c>
      <c r="DM52" s="2">
        <f>COUNTIF(INDEX('LINE PLAN'!$B$36:$GS$61,0,ROW()-3),DM$3)</f>
        <v>0</v>
      </c>
      <c r="DN52" s="2">
        <f>COUNTIF(INDEX('LINE PLAN'!$B$36:$GS$61,0,ROW()-3),DN$3)</f>
        <v>0</v>
      </c>
      <c r="DO52" s="2">
        <f>COUNTIF(INDEX('LINE PLAN'!$B$36:$GS$61,0,ROW()-3),DO$3)</f>
        <v>0</v>
      </c>
      <c r="DP52" s="2">
        <f>COUNTIF(INDEX('LINE PLAN'!$B$36:$GS$61,0,ROW()-3),DP$3)</f>
        <v>0</v>
      </c>
      <c r="DQ52" s="2">
        <f>COUNTIF(INDEX('LINE PLAN'!$B$36:$GS$61,0,ROW()-3),DQ$3)</f>
        <v>0</v>
      </c>
      <c r="DR52" s="2">
        <f>COUNTIF(INDEX('LINE PLAN'!$B$36:$GS$61,0,ROW()-3),DR$3)</f>
        <v>0</v>
      </c>
      <c r="DS52" s="2">
        <f>COUNTIF(INDEX('LINE PLAN'!$B$36:$GS$61,0,ROW()-3),DS$3)</f>
        <v>0</v>
      </c>
      <c r="DT52" s="2">
        <f>COUNTIF(INDEX('LINE PLAN'!$B$36:$GS$61,0,ROW()-3),DT$3)</f>
        <v>0</v>
      </c>
      <c r="DU52" s="2">
        <f>COUNTIF(INDEX('LINE PLAN'!$B$36:$GS$61,0,ROW()-3),DU$3)</f>
        <v>0</v>
      </c>
      <c r="DV52" s="2">
        <f>COUNTIF(INDEX('LINE PLAN'!$B$36:$GS$61,0,ROW()-3),DV$3)</f>
        <v>0</v>
      </c>
    </row>
    <row r="53" spans="1:126">
      <c r="A53" s="505" cm="1">
        <f t="array" ref="A53">INDEX('LINE PLAN'!$B$35:$GS$35,ROW()-3)</f>
        <v>46284</v>
      </c>
      <c r="B53" s="2">
        <f>SUMPRODUCT($CA53:$DV53,INDEX('MC MAP'!$DA$5:$EV$30,1,0))</f>
        <v>143.5</v>
      </c>
      <c r="C53" s="2">
        <f>SUMPRODUCT($CA53:$DV53,INDEX('MC MAP'!$DA$5:$EV$30,2,0))</f>
        <v>1</v>
      </c>
      <c r="D53" s="2">
        <f>SUMPRODUCT($CA53:$DV53,INDEX('MC MAP'!$DA$5:$EV$30,3,0))</f>
        <v>0</v>
      </c>
      <c r="E53" s="2">
        <f>SUMPRODUCT($CA53:$DV53,INDEX('MC MAP'!$DA$5:$EV$30,4,0))</f>
        <v>4</v>
      </c>
      <c r="F53" s="2">
        <f>SUMPRODUCT($CA53:$DV53,INDEX('MC MAP'!$DA$5:$EV$30,5,0))</f>
        <v>241</v>
      </c>
      <c r="G53" s="2">
        <f>SUMPRODUCT($CA53:$DV53,INDEX('MC MAP'!$DA$5:$EV$30,6,0))</f>
        <v>22</v>
      </c>
      <c r="H53" s="2">
        <f>SUMPRODUCT($CA53:$DV53,INDEX('MC MAP'!$DA$5:$EV$30,7,0))</f>
        <v>0</v>
      </c>
      <c r="I53" s="2">
        <f>SUMPRODUCT($CA53:$DV53,INDEX('MC MAP'!$DA$5:$EV$30,8,0))</f>
        <v>33</v>
      </c>
      <c r="J53" s="2">
        <f>SUMPRODUCT($CA53:$DV53,INDEX('MC MAP'!$DA$5:$EV$30,9,0))</f>
        <v>30.5</v>
      </c>
      <c r="K53" s="2">
        <f>SUMPRODUCT($CA53:$DV53,INDEX('MC MAP'!$DA$5:$EV$30,10,0))</f>
        <v>16</v>
      </c>
      <c r="L53" s="2">
        <f>SUMPRODUCT($CA53:$DV53,INDEX('MC MAP'!$DA$5:$EV$30,11,0))</f>
        <v>22</v>
      </c>
      <c r="M53" s="2">
        <f>SUMPRODUCT($CA53:$DV53,INDEX('MC MAP'!$DA$5:$EV$30,12,0))</f>
        <v>27</v>
      </c>
      <c r="N53" s="2">
        <f>SUMPRODUCT($CA53:$DV53,INDEX('MC MAP'!$DA$5:$EV$30,13,0))</f>
        <v>33</v>
      </c>
      <c r="O53" s="2">
        <f>SUMPRODUCT($CA53:$DV53,INDEX('MC MAP'!$DA$5:$EV$30,14,0))</f>
        <v>39</v>
      </c>
      <c r="P53" s="2">
        <f>SUMPRODUCT($CA53:$DV53,INDEX('MC MAP'!$DA$5:$EV$30,15,0))</f>
        <v>58</v>
      </c>
      <c r="Q53" s="2">
        <f>SUMPRODUCT($CA53:$DV53,INDEX('MC MAP'!$DA$5:$EV$30,16,0))</f>
        <v>0</v>
      </c>
      <c r="R53" s="2">
        <f>SUMPRODUCT($CA53:$DV53,INDEX('MC MAP'!$DA$5:$EV$30,17,0))</f>
        <v>3</v>
      </c>
      <c r="S53" s="2">
        <f>SUMPRODUCT($CA53:$DV53,INDEX('MC MAP'!$DA$5:$EV$30,18,0))</f>
        <v>0</v>
      </c>
      <c r="T53" s="2">
        <f>SUMPRODUCT($CA53:$DV53,INDEX('MC MAP'!$DA$5:$EV$30,19,0))</f>
        <v>17</v>
      </c>
      <c r="U53" s="2">
        <f>SUMPRODUCT($CA53:$DV53,INDEX('MC MAP'!$DA$5:$EV$30,20,0))</f>
        <v>32.5</v>
      </c>
      <c r="V53" s="2">
        <f>SUMPRODUCT($CA53:$DV53,INDEX('MC MAP'!$DA$5:$EV$30,21,0))</f>
        <v>2</v>
      </c>
      <c r="W53" s="2">
        <f>SUMPRODUCT($CA53:$DV53,INDEX('MC MAP'!$DA$5:$EV$30,22,0))</f>
        <v>2</v>
      </c>
      <c r="X53" s="2">
        <f>SUMPRODUCT($CA53:$DV53,INDEX('MC MAP'!$DA$5:$EV$30,23,0))</f>
        <v>0</v>
      </c>
      <c r="Y53" s="2">
        <f>SUMPRODUCT($CA53:$DV53,INDEX('MC MAP'!$DA$5:$EV$30,24,0))</f>
        <v>10</v>
      </c>
      <c r="Z53" s="2">
        <f>SUMPRODUCT($CA53:$DV53,INDEX('MC MAP'!$DA$5:$EV$30,25,0))</f>
        <v>0</v>
      </c>
      <c r="AA53" s="2">
        <f>SUMPRODUCT($CA53:$DV53,INDEX('MC MAP'!$DA$5:$EV$30,26,0))</f>
        <v>24</v>
      </c>
      <c r="AB53" s="2">
        <f>SUM($B53:$AA53)</f>
        <v>760.5</v>
      </c>
      <c r="AC53" s="2">
        <f>SUM($CA53:$DV53)+$AW53</f>
        <v>25</v>
      </c>
      <c r="AW53" s="2">
        <f>IF($A53=0,0,COUNTIF(INDEX('LINE PLAN'!$B$36:$GS$61,0,ROW()-3),"THERMAL - NOT SPECIFIED"))</f>
        <v>0</v>
      </c>
      <c r="AX53" s="506" cm="1">
        <f t="array" ref="AX53">IF(OR($AB53=0,UPPER($BS53)&lt;&gt;"Y"),0,SUMPRODUCT(--($B53:$AA53&gt;$B$205:$AA$205)))</f>
        <v>4</v>
      </c>
      <c r="AY53" s="507">
        <f>$A53</f>
        <v>46284</v>
      </c>
      <c r="AZ53" s="2">
        <f>$AB53</f>
        <v>760.5</v>
      </c>
      <c r="BA53" s="2">
        <f>'MC MASTER'!$C$29</f>
        <v>920</v>
      </c>
      <c r="BD53" s="543" t="str">
        <f>INDEX('MC MASTER'!$B$3:$B$28,ROW()-34)</f>
        <v>Flatlock (VT)</v>
      </c>
      <c r="BE53" s="521">
        <f>INDEX('MC MASTER'!$C$3:$C$28,ROW()-34)</f>
        <v>21</v>
      </c>
      <c r="BF53" s="522">
        <f ca="1">MAX(OFFSET($B$4,BF$32-1,MATCH($BD53,$B$3:$AA$3,0)-1,BF$33,1))</f>
        <v>15</v>
      </c>
      <c r="BG53" s="529">
        <f ca="1">MAX(OFFSET($B$4,BG$32-1,MATCH($BD53,$B$3:$AA$3,0)-1,BG$33,1))</f>
        <v>18</v>
      </c>
      <c r="BH53" s="529">
        <f ca="1">MAX(OFFSET($B$4,BH$32-1,MATCH($BD53,$B$3:$AA$3,0)-1,BH$33,1))</f>
        <v>15</v>
      </c>
      <c r="BI53" s="529">
        <f ca="1">MAX(OFFSET($B$4,BI$32-1,MATCH($BD53,$B$3:$AA$3,0)-1,BI$33,1))</f>
        <v>0</v>
      </c>
      <c r="BJ53" s="544" t="str">
        <f ca="1">IFERROR(INDEX($BF$34:$BI$34,MATCH(MAX($BF53:$BI53),$BF53:$BI53,0)),"")</f>
        <v>Sep</v>
      </c>
      <c r="BK53" s="523">
        <f ca="1">$BE53-MAX($BF53:$BI53)</f>
        <v>3</v>
      </c>
      <c r="BQ53" s="509">
        <f>$A53</f>
        <v>46284</v>
      </c>
      <c r="BR53" s="15" t="str">
        <f>TEXT($A53,"ddd")</f>
        <v>Sat</v>
      </c>
      <c r="BS53" s="547" t="s">
        <v>391</v>
      </c>
      <c r="BT53" s="15">
        <f>IF(UPPER($BS53)="Y",$AB53,0)</f>
        <v>760.5</v>
      </c>
      <c r="CA53" s="2">
        <f>COUNTIF(INDEX('LINE PLAN'!$B$36:$GS$61,0,ROW()-3),CA$3)</f>
        <v>1</v>
      </c>
      <c r="CB53" s="2">
        <f>COUNTIF(INDEX('LINE PLAN'!$B$36:$GS$61,0,ROW()-3),CB$3)</f>
        <v>1</v>
      </c>
      <c r="CC53" s="2">
        <f>COUNTIF(INDEX('LINE PLAN'!$B$36:$GS$61,0,ROW()-3),CC$3)</f>
        <v>2</v>
      </c>
      <c r="CD53" s="2">
        <f>COUNTIF(INDEX('LINE PLAN'!$B$36:$GS$61,0,ROW()-3),CD$3)</f>
        <v>1</v>
      </c>
      <c r="CE53" s="2">
        <f>COUNTIF(INDEX('LINE PLAN'!$B$36:$GS$61,0,ROW()-3),CE$3)</f>
        <v>0</v>
      </c>
      <c r="CF53" s="2">
        <f>COUNTIF(INDEX('LINE PLAN'!$B$36:$GS$61,0,ROW()-3),CF$3)</f>
        <v>4</v>
      </c>
      <c r="CG53" s="2">
        <f>COUNTIF(INDEX('LINE PLAN'!$B$36:$GS$61,0,ROW()-3),CG$3)</f>
        <v>5</v>
      </c>
      <c r="CH53" s="2">
        <f>COUNTIF(INDEX('LINE PLAN'!$B$36:$GS$61,0,ROW()-3),CH$3)</f>
        <v>4</v>
      </c>
      <c r="CI53" s="2">
        <f>COUNTIF(INDEX('LINE PLAN'!$B$36:$GS$61,0,ROW()-3),CI$3)</f>
        <v>1</v>
      </c>
      <c r="CJ53" s="2">
        <f>COUNTIF(INDEX('LINE PLAN'!$B$36:$GS$61,0,ROW()-3),CJ$3)</f>
        <v>2</v>
      </c>
      <c r="CK53" s="2">
        <f>COUNTIF(INDEX('LINE PLAN'!$B$36:$GS$61,0,ROW()-3),CK$3)</f>
        <v>0</v>
      </c>
      <c r="CL53" s="2">
        <f>COUNTIF(INDEX('LINE PLAN'!$B$36:$GS$61,0,ROW()-3),CL$3)</f>
        <v>0</v>
      </c>
      <c r="CM53" s="2">
        <f>COUNTIF(INDEX('LINE PLAN'!$B$36:$GS$61,0,ROW()-3),CM$3)</f>
        <v>0</v>
      </c>
      <c r="CN53" s="2">
        <f>COUNTIF(INDEX('LINE PLAN'!$B$36:$GS$61,0,ROW()-3),CN$3)</f>
        <v>0</v>
      </c>
      <c r="CO53" s="2">
        <f>COUNTIF(INDEX('LINE PLAN'!$B$36:$GS$61,0,ROW()-3),CO$3)</f>
        <v>0</v>
      </c>
      <c r="CP53" s="2">
        <f>COUNTIF(INDEX('LINE PLAN'!$B$36:$GS$61,0,ROW()-3),CP$3)</f>
        <v>2</v>
      </c>
      <c r="CQ53" s="2">
        <f>COUNTIF(INDEX('LINE PLAN'!$B$36:$GS$61,0,ROW()-3),CQ$3)</f>
        <v>0</v>
      </c>
      <c r="CR53" s="2">
        <f>COUNTIF(INDEX('LINE PLAN'!$B$36:$GS$61,0,ROW()-3),CR$3)</f>
        <v>2</v>
      </c>
      <c r="CS53" s="2">
        <f>COUNTIF(INDEX('LINE PLAN'!$B$36:$GS$61,0,ROW()-3),CS$3)</f>
        <v>0</v>
      </c>
      <c r="CT53" s="2">
        <f>COUNTIF(INDEX('LINE PLAN'!$B$36:$GS$61,0,ROW()-3),CT$3)</f>
        <v>0</v>
      </c>
      <c r="CU53" s="2">
        <f>COUNTIF(INDEX('LINE PLAN'!$B$36:$GS$61,0,ROW()-3),CU$3)</f>
        <v>0</v>
      </c>
      <c r="CV53" s="2">
        <f>COUNTIF(INDEX('LINE PLAN'!$B$36:$GS$61,0,ROW()-3),CV$3)</f>
        <v>0</v>
      </c>
      <c r="CW53" s="2">
        <f>COUNTIF(INDEX('LINE PLAN'!$B$36:$GS$61,0,ROW()-3),CW$3)</f>
        <v>0</v>
      </c>
      <c r="CX53" s="2">
        <f>COUNTIF(INDEX('LINE PLAN'!$B$36:$GS$61,0,ROW()-3),CX$3)</f>
        <v>0</v>
      </c>
      <c r="CY53" s="2">
        <f>COUNTIF(INDEX('LINE PLAN'!$B$36:$GS$61,0,ROW()-3),CY$3)</f>
        <v>0</v>
      </c>
      <c r="CZ53" s="2">
        <f>COUNTIF(INDEX('LINE PLAN'!$B$36:$GS$61,0,ROW()-3),CZ$3)</f>
        <v>0</v>
      </c>
      <c r="DA53" s="2">
        <f>COUNTIF(INDEX('LINE PLAN'!$B$36:$GS$61,0,ROW()-3),DA$3)</f>
        <v>0</v>
      </c>
      <c r="DB53" s="2">
        <f>COUNTIF(INDEX('LINE PLAN'!$B$36:$GS$61,0,ROW()-3),DB$3)</f>
        <v>0</v>
      </c>
      <c r="DC53" s="2">
        <f>COUNTIF(INDEX('LINE PLAN'!$B$36:$GS$61,0,ROW()-3),DC$3)</f>
        <v>0</v>
      </c>
      <c r="DD53" s="2">
        <f>COUNTIF(INDEX('LINE PLAN'!$B$36:$GS$61,0,ROW()-3),DD$3)</f>
        <v>0</v>
      </c>
      <c r="DE53" s="2">
        <f>COUNTIF(INDEX('LINE PLAN'!$B$36:$GS$61,0,ROW()-3),DE$3)</f>
        <v>0</v>
      </c>
      <c r="DF53" s="2">
        <f>COUNTIF(INDEX('LINE PLAN'!$B$36:$GS$61,0,ROW()-3),DF$3)</f>
        <v>0</v>
      </c>
      <c r="DG53" s="2">
        <f>COUNTIF(INDEX('LINE PLAN'!$B$36:$GS$61,0,ROW()-3),DG$3)</f>
        <v>0</v>
      </c>
      <c r="DH53" s="2">
        <f>COUNTIF(INDEX('LINE PLAN'!$B$36:$GS$61,0,ROW()-3),DH$3)</f>
        <v>0</v>
      </c>
      <c r="DI53" s="2">
        <f>COUNTIF(INDEX('LINE PLAN'!$B$36:$GS$61,0,ROW()-3),DI$3)</f>
        <v>0</v>
      </c>
      <c r="DJ53" s="2">
        <f>COUNTIF(INDEX('LINE PLAN'!$B$36:$GS$61,0,ROW()-3),DJ$3)</f>
        <v>0</v>
      </c>
      <c r="DK53" s="2">
        <f>COUNTIF(INDEX('LINE PLAN'!$B$36:$GS$61,0,ROW()-3),DK$3)</f>
        <v>0</v>
      </c>
      <c r="DL53" s="2">
        <f>COUNTIF(INDEX('LINE PLAN'!$B$36:$GS$61,0,ROW()-3),DL$3)</f>
        <v>0</v>
      </c>
      <c r="DM53" s="2">
        <f>COUNTIF(INDEX('LINE PLAN'!$B$36:$GS$61,0,ROW()-3),DM$3)</f>
        <v>0</v>
      </c>
      <c r="DN53" s="2">
        <f>COUNTIF(INDEX('LINE PLAN'!$B$36:$GS$61,0,ROW()-3),DN$3)</f>
        <v>0</v>
      </c>
      <c r="DO53" s="2">
        <f>COUNTIF(INDEX('LINE PLAN'!$B$36:$GS$61,0,ROW()-3),DO$3)</f>
        <v>0</v>
      </c>
      <c r="DP53" s="2">
        <f>COUNTIF(INDEX('LINE PLAN'!$B$36:$GS$61,0,ROW()-3),DP$3)</f>
        <v>0</v>
      </c>
      <c r="DQ53" s="2">
        <f>COUNTIF(INDEX('LINE PLAN'!$B$36:$GS$61,0,ROW()-3),DQ$3)</f>
        <v>0</v>
      </c>
      <c r="DR53" s="2">
        <f>COUNTIF(INDEX('LINE PLAN'!$B$36:$GS$61,0,ROW()-3),DR$3)</f>
        <v>0</v>
      </c>
      <c r="DS53" s="2">
        <f>COUNTIF(INDEX('LINE PLAN'!$B$36:$GS$61,0,ROW()-3),DS$3)</f>
        <v>0</v>
      </c>
      <c r="DT53" s="2">
        <f>COUNTIF(INDEX('LINE PLAN'!$B$36:$GS$61,0,ROW()-3),DT$3)</f>
        <v>0</v>
      </c>
      <c r="DU53" s="2">
        <f>COUNTIF(INDEX('LINE PLAN'!$B$36:$GS$61,0,ROW()-3),DU$3)</f>
        <v>0</v>
      </c>
      <c r="DV53" s="2">
        <f>COUNTIF(INDEX('LINE PLAN'!$B$36:$GS$61,0,ROW()-3),DV$3)</f>
        <v>0</v>
      </c>
    </row>
    <row r="54" spans="1:126">
      <c r="A54" s="505" cm="1">
        <f t="array" ref="A54">INDEX('LINE PLAN'!$B$35:$GS$35,ROW()-3)</f>
        <v>46285</v>
      </c>
      <c r="B54" s="2">
        <f>SUMPRODUCT($CA54:$DV54,INDEX('MC MAP'!$DA$5:$EV$30,1,0))</f>
        <v>133</v>
      </c>
      <c r="C54" s="2">
        <f>SUMPRODUCT($CA54:$DV54,INDEX('MC MAP'!$DA$5:$EV$30,2,0))</f>
        <v>1</v>
      </c>
      <c r="D54" s="2">
        <f>SUMPRODUCT($CA54:$DV54,INDEX('MC MAP'!$DA$5:$EV$30,3,0))</f>
        <v>0</v>
      </c>
      <c r="E54" s="2">
        <f>SUMPRODUCT($CA54:$DV54,INDEX('MC MAP'!$DA$5:$EV$30,4,0))</f>
        <v>4</v>
      </c>
      <c r="F54" s="2">
        <f>SUMPRODUCT($CA54:$DV54,INDEX('MC MAP'!$DA$5:$EV$30,5,0))</f>
        <v>205</v>
      </c>
      <c r="G54" s="2">
        <f>SUMPRODUCT($CA54:$DV54,INDEX('MC MAP'!$DA$5:$EV$30,6,0))</f>
        <v>16</v>
      </c>
      <c r="H54" s="2">
        <f>SUMPRODUCT($CA54:$DV54,INDEX('MC MAP'!$DA$5:$EV$30,7,0))</f>
        <v>0</v>
      </c>
      <c r="I54" s="2">
        <f>SUMPRODUCT($CA54:$DV54,INDEX('MC MAP'!$DA$5:$EV$30,8,0))</f>
        <v>33</v>
      </c>
      <c r="J54" s="2">
        <f>SUMPRODUCT($CA54:$DV54,INDEX('MC MAP'!$DA$5:$EV$30,9,0))</f>
        <v>30.5</v>
      </c>
      <c r="K54" s="2">
        <f>SUMPRODUCT($CA54:$DV54,INDEX('MC MAP'!$DA$5:$EV$30,10,0))</f>
        <v>16</v>
      </c>
      <c r="L54" s="2">
        <f>SUMPRODUCT($CA54:$DV54,INDEX('MC MAP'!$DA$5:$EV$30,11,0))</f>
        <v>16</v>
      </c>
      <c r="M54" s="2">
        <f>SUMPRODUCT($CA54:$DV54,INDEX('MC MAP'!$DA$5:$EV$30,12,0))</f>
        <v>27</v>
      </c>
      <c r="N54" s="2">
        <f>SUMPRODUCT($CA54:$DV54,INDEX('MC MAP'!$DA$5:$EV$30,13,0))</f>
        <v>27</v>
      </c>
      <c r="O54" s="2">
        <f>SUMPRODUCT($CA54:$DV54,INDEX('MC MAP'!$DA$5:$EV$30,14,0))</f>
        <v>31</v>
      </c>
      <c r="P54" s="2">
        <f>SUMPRODUCT($CA54:$DV54,INDEX('MC MAP'!$DA$5:$EV$30,15,0))</f>
        <v>48</v>
      </c>
      <c r="Q54" s="2">
        <f>SUMPRODUCT($CA54:$DV54,INDEX('MC MAP'!$DA$5:$EV$30,16,0))</f>
        <v>0</v>
      </c>
      <c r="R54" s="2">
        <f>SUMPRODUCT($CA54:$DV54,INDEX('MC MAP'!$DA$5:$EV$30,17,0))</f>
        <v>3</v>
      </c>
      <c r="S54" s="2">
        <f>SUMPRODUCT($CA54:$DV54,INDEX('MC MAP'!$DA$5:$EV$30,18,0))</f>
        <v>0</v>
      </c>
      <c r="T54" s="2">
        <f>SUMPRODUCT($CA54:$DV54,INDEX('MC MAP'!$DA$5:$EV$30,19,0))</f>
        <v>15</v>
      </c>
      <c r="U54" s="2">
        <f>SUMPRODUCT($CA54:$DV54,INDEX('MC MAP'!$DA$5:$EV$30,20,0))</f>
        <v>29</v>
      </c>
      <c r="V54" s="2">
        <f>SUMPRODUCT($CA54:$DV54,INDEX('MC MAP'!$DA$5:$EV$30,21,0))</f>
        <v>2</v>
      </c>
      <c r="W54" s="2">
        <f>SUMPRODUCT($CA54:$DV54,INDEX('MC MAP'!$DA$5:$EV$30,22,0))</f>
        <v>2</v>
      </c>
      <c r="X54" s="2">
        <f>SUMPRODUCT($CA54:$DV54,INDEX('MC MAP'!$DA$5:$EV$30,23,0))</f>
        <v>0</v>
      </c>
      <c r="Y54" s="2">
        <f>SUMPRODUCT($CA54:$DV54,INDEX('MC MAP'!$DA$5:$EV$30,24,0))</f>
        <v>10</v>
      </c>
      <c r="Z54" s="2">
        <f>SUMPRODUCT($CA54:$DV54,INDEX('MC MAP'!$DA$5:$EV$30,25,0))</f>
        <v>0</v>
      </c>
      <c r="AA54" s="2">
        <f>SUMPRODUCT($CA54:$DV54,INDEX('MC MAP'!$DA$5:$EV$30,26,0))</f>
        <v>20</v>
      </c>
      <c r="AB54" s="2">
        <f>SUM($B54:$AA54)</f>
        <v>668.5</v>
      </c>
      <c r="AC54" s="2">
        <f>SUM($CA54:$DV54)+$AW54</f>
        <v>25</v>
      </c>
      <c r="AW54" s="2">
        <f>IF($A54=0,0,COUNTIF(INDEX('LINE PLAN'!$B$36:$GS$61,0,ROW()-3),"THERMAL - NOT SPECIFIED"))</f>
        <v>0</v>
      </c>
      <c r="AX54" s="506" cm="1">
        <f t="array" ref="AX54">IF(OR($AB54=0,UPPER($BS54)&lt;&gt;"Y"),0,SUMPRODUCT(--($B54:$AA54&gt;$B$205:$AA$205)))</f>
        <v>0</v>
      </c>
      <c r="AY54" s="507">
        <f>$A54</f>
        <v>46285</v>
      </c>
      <c r="AZ54" s="2">
        <f>$AB54</f>
        <v>668.5</v>
      </c>
      <c r="BA54" s="2">
        <f>'MC MASTER'!$C$29</f>
        <v>920</v>
      </c>
      <c r="BD54" s="543" t="str">
        <f>INDEX('MC MASTER'!$B$3:$B$28,ROW()-34)</f>
        <v>Heat Seal</v>
      </c>
      <c r="BE54" s="521">
        <f>INDEX('MC MASTER'!$C$3:$C$28,ROW()-34)</f>
        <v>35</v>
      </c>
      <c r="BF54" s="522">
        <f ca="1">MAX(OFFSET($B$4,BF$32-1,MATCH($BD54,$B$3:$AA$3,0)-1,BF$33,1))</f>
        <v>32.5</v>
      </c>
      <c r="BG54" s="529">
        <f ca="1">MAX(OFFSET($B$4,BG$32-1,MATCH($BD54,$B$3:$AA$3,0)-1,BG$33,1))</f>
        <v>33.5</v>
      </c>
      <c r="BH54" s="529">
        <f ca="1">MAX(OFFSET($B$4,BH$32-1,MATCH($BD54,$B$3:$AA$3,0)-1,BH$33,1))</f>
        <v>27</v>
      </c>
      <c r="BI54" s="529">
        <f ca="1">MAX(OFFSET($B$4,BI$32-1,MATCH($BD54,$B$3:$AA$3,0)-1,BI$33,1))</f>
        <v>0</v>
      </c>
      <c r="BJ54" s="544" t="str">
        <f ca="1">IFERROR(INDEX($BF$34:$BI$34,MATCH(MAX($BF54:$BI54),$BF54:$BI54,0)),"")</f>
        <v>Sep</v>
      </c>
      <c r="BK54" s="523">
        <f ca="1">$BE54-MAX($BF54:$BI54)</f>
        <v>1.5</v>
      </c>
      <c r="BQ54" s="509">
        <f>$A54</f>
        <v>46285</v>
      </c>
      <c r="BR54" s="15" t="str">
        <f>TEXT($A54,"ddd")</f>
        <v>Sun</v>
      </c>
      <c r="BS54" s="547" t="s">
        <v>392</v>
      </c>
      <c r="BT54" s="15">
        <f>IF(UPPER($BS54)="Y",$AB54,0)</f>
        <v>0</v>
      </c>
      <c r="CA54" s="2">
        <f>COUNTIF(INDEX('LINE PLAN'!$B$36:$GS$61,0,ROW()-3),CA$3)</f>
        <v>1</v>
      </c>
      <c r="CB54" s="2">
        <f>COUNTIF(INDEX('LINE PLAN'!$B$36:$GS$61,0,ROW()-3),CB$3)</f>
        <v>1</v>
      </c>
      <c r="CC54" s="2">
        <f>COUNTIF(INDEX('LINE PLAN'!$B$36:$GS$61,0,ROW()-3),CC$3)</f>
        <v>2</v>
      </c>
      <c r="CD54" s="2">
        <f>COUNTIF(INDEX('LINE PLAN'!$B$36:$GS$61,0,ROW()-3),CD$3)</f>
        <v>0</v>
      </c>
      <c r="CE54" s="2">
        <f>COUNTIF(INDEX('LINE PLAN'!$B$36:$GS$61,0,ROW()-3),CE$3)</f>
        <v>0</v>
      </c>
      <c r="CF54" s="2">
        <f>COUNTIF(INDEX('LINE PLAN'!$B$36:$GS$61,0,ROW()-3),CF$3)</f>
        <v>4</v>
      </c>
      <c r="CG54" s="2">
        <f>COUNTIF(INDEX('LINE PLAN'!$B$36:$GS$61,0,ROW()-3),CG$3)</f>
        <v>5</v>
      </c>
      <c r="CH54" s="2">
        <f>COUNTIF(INDEX('LINE PLAN'!$B$36:$GS$61,0,ROW()-3),CH$3)</f>
        <v>4</v>
      </c>
      <c r="CI54" s="2">
        <f>COUNTIF(INDEX('LINE PLAN'!$B$36:$GS$61,0,ROW()-3),CI$3)</f>
        <v>1</v>
      </c>
      <c r="CJ54" s="2">
        <f>COUNTIF(INDEX('LINE PLAN'!$B$36:$GS$61,0,ROW()-3),CJ$3)</f>
        <v>0</v>
      </c>
      <c r="CK54" s="2">
        <f>COUNTIF(INDEX('LINE PLAN'!$B$36:$GS$61,0,ROW()-3),CK$3)</f>
        <v>0</v>
      </c>
      <c r="CL54" s="2">
        <f>COUNTIF(INDEX('LINE PLAN'!$B$36:$GS$61,0,ROW()-3),CL$3)</f>
        <v>0</v>
      </c>
      <c r="CM54" s="2">
        <f>COUNTIF(INDEX('LINE PLAN'!$B$36:$GS$61,0,ROW()-3),CM$3)</f>
        <v>3</v>
      </c>
      <c r="CN54" s="2">
        <f>COUNTIF(INDEX('LINE PLAN'!$B$36:$GS$61,0,ROW()-3),CN$3)</f>
        <v>0</v>
      </c>
      <c r="CO54" s="2">
        <f>COUNTIF(INDEX('LINE PLAN'!$B$36:$GS$61,0,ROW()-3),CO$3)</f>
        <v>0</v>
      </c>
      <c r="CP54" s="2">
        <f>COUNTIF(INDEX('LINE PLAN'!$B$36:$GS$61,0,ROW()-3),CP$3)</f>
        <v>2</v>
      </c>
      <c r="CQ54" s="2">
        <f>COUNTIF(INDEX('LINE PLAN'!$B$36:$GS$61,0,ROW()-3),CQ$3)</f>
        <v>0</v>
      </c>
      <c r="CR54" s="2">
        <f>COUNTIF(INDEX('LINE PLAN'!$B$36:$GS$61,0,ROW()-3),CR$3)</f>
        <v>2</v>
      </c>
      <c r="CS54" s="2">
        <f>COUNTIF(INDEX('LINE PLAN'!$B$36:$GS$61,0,ROW()-3),CS$3)</f>
        <v>0</v>
      </c>
      <c r="CT54" s="2">
        <f>COUNTIF(INDEX('LINE PLAN'!$B$36:$GS$61,0,ROW()-3),CT$3)</f>
        <v>0</v>
      </c>
      <c r="CU54" s="2">
        <f>COUNTIF(INDEX('LINE PLAN'!$B$36:$GS$61,0,ROW()-3),CU$3)</f>
        <v>0</v>
      </c>
      <c r="CV54" s="2">
        <f>COUNTIF(INDEX('LINE PLAN'!$B$36:$GS$61,0,ROW()-3),CV$3)</f>
        <v>0</v>
      </c>
      <c r="CW54" s="2">
        <f>COUNTIF(INDEX('LINE PLAN'!$B$36:$GS$61,0,ROW()-3),CW$3)</f>
        <v>0</v>
      </c>
      <c r="CX54" s="2">
        <f>COUNTIF(INDEX('LINE PLAN'!$B$36:$GS$61,0,ROW()-3),CX$3)</f>
        <v>0</v>
      </c>
      <c r="CY54" s="2">
        <f>COUNTIF(INDEX('LINE PLAN'!$B$36:$GS$61,0,ROW()-3),CY$3)</f>
        <v>0</v>
      </c>
      <c r="CZ54" s="2">
        <f>COUNTIF(INDEX('LINE PLAN'!$B$36:$GS$61,0,ROW()-3),CZ$3)</f>
        <v>0</v>
      </c>
      <c r="DA54" s="2">
        <f>COUNTIF(INDEX('LINE PLAN'!$B$36:$GS$61,0,ROW()-3),DA$3)</f>
        <v>0</v>
      </c>
      <c r="DB54" s="2">
        <f>COUNTIF(INDEX('LINE PLAN'!$B$36:$GS$61,0,ROW()-3),DB$3)</f>
        <v>0</v>
      </c>
      <c r="DC54" s="2">
        <f>COUNTIF(INDEX('LINE PLAN'!$B$36:$GS$61,0,ROW()-3),DC$3)</f>
        <v>0</v>
      </c>
      <c r="DD54" s="2">
        <f>COUNTIF(INDEX('LINE PLAN'!$B$36:$GS$61,0,ROW()-3),DD$3)</f>
        <v>0</v>
      </c>
      <c r="DE54" s="2">
        <f>COUNTIF(INDEX('LINE PLAN'!$B$36:$GS$61,0,ROW()-3),DE$3)</f>
        <v>0</v>
      </c>
      <c r="DF54" s="2">
        <f>COUNTIF(INDEX('LINE PLAN'!$B$36:$GS$61,0,ROW()-3),DF$3)</f>
        <v>0</v>
      </c>
      <c r="DG54" s="2">
        <f>COUNTIF(INDEX('LINE PLAN'!$B$36:$GS$61,0,ROW()-3),DG$3)</f>
        <v>0</v>
      </c>
      <c r="DH54" s="2">
        <f>COUNTIF(INDEX('LINE PLAN'!$B$36:$GS$61,0,ROW()-3),DH$3)</f>
        <v>0</v>
      </c>
      <c r="DI54" s="2">
        <f>COUNTIF(INDEX('LINE PLAN'!$B$36:$GS$61,0,ROW()-3),DI$3)</f>
        <v>0</v>
      </c>
      <c r="DJ54" s="2">
        <f>COUNTIF(INDEX('LINE PLAN'!$B$36:$GS$61,0,ROW()-3),DJ$3)</f>
        <v>0</v>
      </c>
      <c r="DK54" s="2">
        <f>COUNTIF(INDEX('LINE PLAN'!$B$36:$GS$61,0,ROW()-3),DK$3)</f>
        <v>0</v>
      </c>
      <c r="DL54" s="2">
        <f>COUNTIF(INDEX('LINE PLAN'!$B$36:$GS$61,0,ROW()-3),DL$3)</f>
        <v>0</v>
      </c>
      <c r="DM54" s="2">
        <f>COUNTIF(INDEX('LINE PLAN'!$B$36:$GS$61,0,ROW()-3),DM$3)</f>
        <v>0</v>
      </c>
      <c r="DN54" s="2">
        <f>COUNTIF(INDEX('LINE PLAN'!$B$36:$GS$61,0,ROW()-3),DN$3)</f>
        <v>0</v>
      </c>
      <c r="DO54" s="2">
        <f>COUNTIF(INDEX('LINE PLAN'!$B$36:$GS$61,0,ROW()-3),DO$3)</f>
        <v>0</v>
      </c>
      <c r="DP54" s="2">
        <f>COUNTIF(INDEX('LINE PLAN'!$B$36:$GS$61,0,ROW()-3),DP$3)</f>
        <v>0</v>
      </c>
      <c r="DQ54" s="2">
        <f>COUNTIF(INDEX('LINE PLAN'!$B$36:$GS$61,0,ROW()-3),DQ$3)</f>
        <v>0</v>
      </c>
      <c r="DR54" s="2">
        <f>COUNTIF(INDEX('LINE PLAN'!$B$36:$GS$61,0,ROW()-3),DR$3)</f>
        <v>0</v>
      </c>
      <c r="DS54" s="2">
        <f>COUNTIF(INDEX('LINE PLAN'!$B$36:$GS$61,0,ROW()-3),DS$3)</f>
        <v>0</v>
      </c>
      <c r="DT54" s="2">
        <f>COUNTIF(INDEX('LINE PLAN'!$B$36:$GS$61,0,ROW()-3),DT$3)</f>
        <v>0</v>
      </c>
      <c r="DU54" s="2">
        <f>COUNTIF(INDEX('LINE PLAN'!$B$36:$GS$61,0,ROW()-3),DU$3)</f>
        <v>0</v>
      </c>
      <c r="DV54" s="2">
        <f>COUNTIF(INDEX('LINE PLAN'!$B$36:$GS$61,0,ROW()-3),DV$3)</f>
        <v>0</v>
      </c>
    </row>
    <row r="55" spans="1:126">
      <c r="A55" s="505" cm="1">
        <f t="array" ref="A55">INDEX('LINE PLAN'!$B$35:$GS$35,ROW()-3)</f>
        <v>46286</v>
      </c>
      <c r="B55" s="2">
        <f>SUMPRODUCT($CA55:$DV55,INDEX('MC MAP'!$DA$5:$EV$30,1,0))</f>
        <v>145</v>
      </c>
      <c r="C55" s="2">
        <f>SUMPRODUCT($CA55:$DV55,INDEX('MC MAP'!$DA$5:$EV$30,2,0))</f>
        <v>1</v>
      </c>
      <c r="D55" s="2">
        <f>SUMPRODUCT($CA55:$DV55,INDEX('MC MAP'!$DA$5:$EV$30,3,0))</f>
        <v>0</v>
      </c>
      <c r="E55" s="2">
        <f>SUMPRODUCT($CA55:$DV55,INDEX('MC MAP'!$DA$5:$EV$30,4,0))</f>
        <v>4</v>
      </c>
      <c r="F55" s="2">
        <f>SUMPRODUCT($CA55:$DV55,INDEX('MC MAP'!$DA$5:$EV$30,5,0))</f>
        <v>221</v>
      </c>
      <c r="G55" s="2">
        <f>SUMPRODUCT($CA55:$DV55,INDEX('MC MAP'!$DA$5:$EV$30,6,0))</f>
        <v>16</v>
      </c>
      <c r="H55" s="2">
        <f>SUMPRODUCT($CA55:$DV55,INDEX('MC MAP'!$DA$5:$EV$30,7,0))</f>
        <v>0</v>
      </c>
      <c r="I55" s="2">
        <f>SUMPRODUCT($CA55:$DV55,INDEX('MC MAP'!$DA$5:$EV$30,8,0))</f>
        <v>41</v>
      </c>
      <c r="J55" s="2">
        <f>SUMPRODUCT($CA55:$DV55,INDEX('MC MAP'!$DA$5:$EV$30,9,0))</f>
        <v>32.5</v>
      </c>
      <c r="K55" s="2">
        <f>SUMPRODUCT($CA55:$DV55,INDEX('MC MAP'!$DA$5:$EV$30,10,0))</f>
        <v>16</v>
      </c>
      <c r="L55" s="2">
        <f>SUMPRODUCT($CA55:$DV55,INDEX('MC MAP'!$DA$5:$EV$30,11,0))</f>
        <v>16</v>
      </c>
      <c r="M55" s="2">
        <f>SUMPRODUCT($CA55:$DV55,INDEX('MC MAP'!$DA$5:$EV$30,12,0))</f>
        <v>33</v>
      </c>
      <c r="N55" s="2">
        <f>SUMPRODUCT($CA55:$DV55,INDEX('MC MAP'!$DA$5:$EV$30,13,0))</f>
        <v>32</v>
      </c>
      <c r="O55" s="2">
        <f>SUMPRODUCT($CA55:$DV55,INDEX('MC MAP'!$DA$5:$EV$30,14,0))</f>
        <v>33</v>
      </c>
      <c r="P55" s="2">
        <f>SUMPRODUCT($CA55:$DV55,INDEX('MC MAP'!$DA$5:$EV$30,15,0))</f>
        <v>52</v>
      </c>
      <c r="Q55" s="2">
        <f>SUMPRODUCT($CA55:$DV55,INDEX('MC MAP'!$DA$5:$EV$30,16,0))</f>
        <v>0</v>
      </c>
      <c r="R55" s="2">
        <f>SUMPRODUCT($CA55:$DV55,INDEX('MC MAP'!$DA$5:$EV$30,17,0))</f>
        <v>3</v>
      </c>
      <c r="S55" s="2">
        <f>SUMPRODUCT($CA55:$DV55,INDEX('MC MAP'!$DA$5:$EV$30,18,0))</f>
        <v>0</v>
      </c>
      <c r="T55" s="2">
        <f>SUMPRODUCT($CA55:$DV55,INDEX('MC MAP'!$DA$5:$EV$30,19,0))</f>
        <v>15</v>
      </c>
      <c r="U55" s="2">
        <f>SUMPRODUCT($CA55:$DV55,INDEX('MC MAP'!$DA$5:$EV$30,20,0))</f>
        <v>31</v>
      </c>
      <c r="V55" s="2">
        <f>SUMPRODUCT($CA55:$DV55,INDEX('MC MAP'!$DA$5:$EV$30,21,0))</f>
        <v>2</v>
      </c>
      <c r="W55" s="2">
        <f>SUMPRODUCT($CA55:$DV55,INDEX('MC MAP'!$DA$5:$EV$30,22,0))</f>
        <v>2</v>
      </c>
      <c r="X55" s="2">
        <f>SUMPRODUCT($CA55:$DV55,INDEX('MC MAP'!$DA$5:$EV$30,23,0))</f>
        <v>0</v>
      </c>
      <c r="Y55" s="2">
        <f>SUMPRODUCT($CA55:$DV55,INDEX('MC MAP'!$DA$5:$EV$30,24,0))</f>
        <v>10</v>
      </c>
      <c r="Z55" s="2">
        <f>SUMPRODUCT($CA55:$DV55,INDEX('MC MAP'!$DA$5:$EV$30,25,0))</f>
        <v>0</v>
      </c>
      <c r="AA55" s="2">
        <f>SUMPRODUCT($CA55:$DV55,INDEX('MC MAP'!$DA$5:$EV$30,26,0))</f>
        <v>24</v>
      </c>
      <c r="AB55" s="2">
        <f>SUM($B55:$AA55)</f>
        <v>729.5</v>
      </c>
      <c r="AC55" s="2">
        <f>SUM($CA55:$DV55)+$AW55</f>
        <v>24</v>
      </c>
      <c r="AW55" s="2">
        <f>IF($A55=0,0,COUNTIF(INDEX('LINE PLAN'!$B$36:$GS$61,0,ROW()-3),"THERMAL - NOT SPECIFIED"))</f>
        <v>0</v>
      </c>
      <c r="AX55" s="506" cm="1">
        <f t="array" ref="AX55">IF(OR($AB55=0,UPPER($BS55)&lt;&gt;"Y"),0,SUMPRODUCT(--($B55:$AA55&gt;$B$205:$AA$205)))</f>
        <v>3</v>
      </c>
      <c r="AY55" s="507">
        <f>$A55</f>
        <v>46286</v>
      </c>
      <c r="AZ55" s="2">
        <f>$AB55</f>
        <v>729.5</v>
      </c>
      <c r="BA55" s="2">
        <f>'MC MASTER'!$C$29</f>
        <v>920</v>
      </c>
      <c r="BD55" s="543" t="str">
        <f>INDEX('MC MASTER'!$B$3:$B$28,ROW()-34)</f>
        <v>Snap button</v>
      </c>
      <c r="BE55" s="521">
        <f>INDEX('MC MASTER'!$C$3:$C$28,ROW()-34)</f>
        <v>2</v>
      </c>
      <c r="BF55" s="522">
        <f ca="1">MAX(OFFSET($B$4,BF$32-1,MATCH($BD55,$B$3:$AA$3,0)-1,BF$33,1))</f>
        <v>2</v>
      </c>
      <c r="BG55" s="529">
        <f ca="1">MAX(OFFSET($B$4,BG$32-1,MATCH($BD55,$B$3:$AA$3,0)-1,BG$33,1))</f>
        <v>2</v>
      </c>
      <c r="BH55" s="529">
        <f ca="1">MAX(OFFSET($B$4,BH$32-1,MATCH($BD55,$B$3:$AA$3,0)-1,BH$33,1))</f>
        <v>2</v>
      </c>
      <c r="BI55" s="529">
        <f ca="1">MAX(OFFSET($B$4,BI$32-1,MATCH($BD55,$B$3:$AA$3,0)-1,BI$33,1))</f>
        <v>0</v>
      </c>
      <c r="BJ55" s="544" t="str">
        <f ca="1">IFERROR(INDEX($BF$34:$BI$34,MATCH(MAX($BF55:$BI55),$BF55:$BI55,0)),"")</f>
        <v>Aug</v>
      </c>
      <c r="BK55" s="523">
        <f ca="1">$BE55-MAX($BF55:$BI55)</f>
        <v>0</v>
      </c>
      <c r="BQ55" s="509">
        <f>$A55</f>
        <v>46286</v>
      </c>
      <c r="BR55" s="15" t="str">
        <f>TEXT($A55,"ddd")</f>
        <v>Mon</v>
      </c>
      <c r="BS55" s="547" t="s">
        <v>391</v>
      </c>
      <c r="BT55" s="15">
        <f>IF(UPPER($BS55)="Y",$AB55,0)</f>
        <v>729.5</v>
      </c>
      <c r="CA55" s="2">
        <f>COUNTIF(INDEX('LINE PLAN'!$B$36:$GS$61,0,ROW()-3),CA$3)</f>
        <v>1</v>
      </c>
      <c r="CB55" s="2">
        <f>COUNTIF(INDEX('LINE PLAN'!$B$36:$GS$61,0,ROW()-3),CB$3)</f>
        <v>1</v>
      </c>
      <c r="CC55" s="2">
        <f>COUNTIF(INDEX('LINE PLAN'!$B$36:$GS$61,0,ROW()-3),CC$3)</f>
        <v>2</v>
      </c>
      <c r="CD55" s="2">
        <f>COUNTIF(INDEX('LINE PLAN'!$B$36:$GS$61,0,ROW()-3),CD$3)</f>
        <v>0</v>
      </c>
      <c r="CE55" s="2">
        <f>COUNTIF(INDEX('LINE PLAN'!$B$36:$GS$61,0,ROW()-3),CE$3)</f>
        <v>0</v>
      </c>
      <c r="CF55" s="2">
        <f>COUNTIF(INDEX('LINE PLAN'!$B$36:$GS$61,0,ROW()-3),CF$3)</f>
        <v>4</v>
      </c>
      <c r="CG55" s="2">
        <f>COUNTIF(INDEX('LINE PLAN'!$B$36:$GS$61,0,ROW()-3),CG$3)</f>
        <v>7</v>
      </c>
      <c r="CH55" s="2">
        <f>COUNTIF(INDEX('LINE PLAN'!$B$36:$GS$61,0,ROW()-3),CH$3)</f>
        <v>4</v>
      </c>
      <c r="CI55" s="2">
        <f>COUNTIF(INDEX('LINE PLAN'!$B$36:$GS$61,0,ROW()-3),CI$3)</f>
        <v>1</v>
      </c>
      <c r="CJ55" s="2">
        <f>COUNTIF(INDEX('LINE PLAN'!$B$36:$GS$61,0,ROW()-3),CJ$3)</f>
        <v>0</v>
      </c>
      <c r="CK55" s="2">
        <f>COUNTIF(INDEX('LINE PLAN'!$B$36:$GS$61,0,ROW()-3),CK$3)</f>
        <v>0</v>
      </c>
      <c r="CL55" s="2">
        <f>COUNTIF(INDEX('LINE PLAN'!$B$36:$GS$61,0,ROW()-3),CL$3)</f>
        <v>0</v>
      </c>
      <c r="CM55" s="2">
        <f>COUNTIF(INDEX('LINE PLAN'!$B$36:$GS$61,0,ROW()-3),CM$3)</f>
        <v>0</v>
      </c>
      <c r="CN55" s="2">
        <f>COUNTIF(INDEX('LINE PLAN'!$B$36:$GS$61,0,ROW()-3),CN$3)</f>
        <v>0</v>
      </c>
      <c r="CO55" s="2">
        <f>COUNTIF(INDEX('LINE PLAN'!$B$36:$GS$61,0,ROW()-3),CO$3)</f>
        <v>0</v>
      </c>
      <c r="CP55" s="2">
        <f>COUNTIF(INDEX('LINE PLAN'!$B$36:$GS$61,0,ROW()-3),CP$3)</f>
        <v>2</v>
      </c>
      <c r="CQ55" s="2">
        <f>COUNTIF(INDEX('LINE PLAN'!$B$36:$GS$61,0,ROW()-3),CQ$3)</f>
        <v>0</v>
      </c>
      <c r="CR55" s="2">
        <f>COUNTIF(INDEX('LINE PLAN'!$B$36:$GS$61,0,ROW()-3),CR$3)</f>
        <v>2</v>
      </c>
      <c r="CS55" s="2">
        <f>COUNTIF(INDEX('LINE PLAN'!$B$36:$GS$61,0,ROW()-3),CS$3)</f>
        <v>0</v>
      </c>
      <c r="CT55" s="2">
        <f>COUNTIF(INDEX('LINE PLAN'!$B$36:$GS$61,0,ROW()-3),CT$3)</f>
        <v>0</v>
      </c>
      <c r="CU55" s="2">
        <f>COUNTIF(INDEX('LINE PLAN'!$B$36:$GS$61,0,ROW()-3),CU$3)</f>
        <v>0</v>
      </c>
      <c r="CV55" s="2">
        <f>COUNTIF(INDEX('LINE PLAN'!$B$36:$GS$61,0,ROW()-3),CV$3)</f>
        <v>0</v>
      </c>
      <c r="CW55" s="2">
        <f>COUNTIF(INDEX('LINE PLAN'!$B$36:$GS$61,0,ROW()-3),CW$3)</f>
        <v>0</v>
      </c>
      <c r="CX55" s="2">
        <f>COUNTIF(INDEX('LINE PLAN'!$B$36:$GS$61,0,ROW()-3),CX$3)</f>
        <v>0</v>
      </c>
      <c r="CY55" s="2">
        <f>COUNTIF(INDEX('LINE PLAN'!$B$36:$GS$61,0,ROW()-3),CY$3)</f>
        <v>0</v>
      </c>
      <c r="CZ55" s="2">
        <f>COUNTIF(INDEX('LINE PLAN'!$B$36:$GS$61,0,ROW()-3),CZ$3)</f>
        <v>0</v>
      </c>
      <c r="DA55" s="2">
        <f>COUNTIF(INDEX('LINE PLAN'!$B$36:$GS$61,0,ROW()-3),DA$3)</f>
        <v>0</v>
      </c>
      <c r="DB55" s="2">
        <f>COUNTIF(INDEX('LINE PLAN'!$B$36:$GS$61,0,ROW()-3),DB$3)</f>
        <v>0</v>
      </c>
      <c r="DC55" s="2">
        <f>COUNTIF(INDEX('LINE PLAN'!$B$36:$GS$61,0,ROW()-3),DC$3)</f>
        <v>0</v>
      </c>
      <c r="DD55" s="2">
        <f>COUNTIF(INDEX('LINE PLAN'!$B$36:$GS$61,0,ROW()-3),DD$3)</f>
        <v>0</v>
      </c>
      <c r="DE55" s="2">
        <f>COUNTIF(INDEX('LINE PLAN'!$B$36:$GS$61,0,ROW()-3),DE$3)</f>
        <v>0</v>
      </c>
      <c r="DF55" s="2">
        <f>COUNTIF(INDEX('LINE PLAN'!$B$36:$GS$61,0,ROW()-3),DF$3)</f>
        <v>0</v>
      </c>
      <c r="DG55" s="2">
        <f>COUNTIF(INDEX('LINE PLAN'!$B$36:$GS$61,0,ROW()-3),DG$3)</f>
        <v>0</v>
      </c>
      <c r="DH55" s="2">
        <f>COUNTIF(INDEX('LINE PLAN'!$B$36:$GS$61,0,ROW()-3),DH$3)</f>
        <v>0</v>
      </c>
      <c r="DI55" s="2">
        <f>COUNTIF(INDEX('LINE PLAN'!$B$36:$GS$61,0,ROW()-3),DI$3)</f>
        <v>0</v>
      </c>
      <c r="DJ55" s="2">
        <f>COUNTIF(INDEX('LINE PLAN'!$B$36:$GS$61,0,ROW()-3),DJ$3)</f>
        <v>0</v>
      </c>
      <c r="DK55" s="2">
        <f>COUNTIF(INDEX('LINE PLAN'!$B$36:$GS$61,0,ROW()-3),DK$3)</f>
        <v>0</v>
      </c>
      <c r="DL55" s="2">
        <f>COUNTIF(INDEX('LINE PLAN'!$B$36:$GS$61,0,ROW()-3),DL$3)</f>
        <v>0</v>
      </c>
      <c r="DM55" s="2">
        <f>COUNTIF(INDEX('LINE PLAN'!$B$36:$GS$61,0,ROW()-3),DM$3)</f>
        <v>0</v>
      </c>
      <c r="DN55" s="2">
        <f>COUNTIF(INDEX('LINE PLAN'!$B$36:$GS$61,0,ROW()-3),DN$3)</f>
        <v>0</v>
      </c>
      <c r="DO55" s="2">
        <f>COUNTIF(INDEX('LINE PLAN'!$B$36:$GS$61,0,ROW()-3),DO$3)</f>
        <v>0</v>
      </c>
      <c r="DP55" s="2">
        <f>COUNTIF(INDEX('LINE PLAN'!$B$36:$GS$61,0,ROW()-3),DP$3)</f>
        <v>0</v>
      </c>
      <c r="DQ55" s="2">
        <f>COUNTIF(INDEX('LINE PLAN'!$B$36:$GS$61,0,ROW()-3),DQ$3)</f>
        <v>0</v>
      </c>
      <c r="DR55" s="2">
        <f>COUNTIF(INDEX('LINE PLAN'!$B$36:$GS$61,0,ROW()-3),DR$3)</f>
        <v>0</v>
      </c>
      <c r="DS55" s="2">
        <f>COUNTIF(INDEX('LINE PLAN'!$B$36:$GS$61,0,ROW()-3),DS$3)</f>
        <v>0</v>
      </c>
      <c r="DT55" s="2">
        <f>COUNTIF(INDEX('LINE PLAN'!$B$36:$GS$61,0,ROW()-3),DT$3)</f>
        <v>0</v>
      </c>
      <c r="DU55" s="2">
        <f>COUNTIF(INDEX('LINE PLAN'!$B$36:$GS$61,0,ROW()-3),DU$3)</f>
        <v>0</v>
      </c>
      <c r="DV55" s="2">
        <f>COUNTIF(INDEX('LINE PLAN'!$B$36:$GS$61,0,ROW()-3),DV$3)</f>
        <v>0</v>
      </c>
    </row>
    <row r="56" spans="1:126">
      <c r="A56" s="505" cm="1">
        <f t="array" ref="A56">INDEX('LINE PLAN'!$B$35:$GS$35,ROW()-3)</f>
        <v>46287</v>
      </c>
      <c r="B56" s="2">
        <f>SUMPRODUCT($CA56:$DV56,INDEX('MC MAP'!$DA$5:$EV$30,1,0))</f>
        <v>145</v>
      </c>
      <c r="C56" s="2">
        <f>SUMPRODUCT($CA56:$DV56,INDEX('MC MAP'!$DA$5:$EV$30,2,0))</f>
        <v>1</v>
      </c>
      <c r="D56" s="2">
        <f>SUMPRODUCT($CA56:$DV56,INDEX('MC MAP'!$DA$5:$EV$30,3,0))</f>
        <v>0</v>
      </c>
      <c r="E56" s="2">
        <f>SUMPRODUCT($CA56:$DV56,INDEX('MC MAP'!$DA$5:$EV$30,4,0))</f>
        <v>4</v>
      </c>
      <c r="F56" s="2">
        <f>SUMPRODUCT($CA56:$DV56,INDEX('MC MAP'!$DA$5:$EV$30,5,0))</f>
        <v>221</v>
      </c>
      <c r="G56" s="2">
        <f>SUMPRODUCT($CA56:$DV56,INDEX('MC MAP'!$DA$5:$EV$30,6,0))</f>
        <v>16</v>
      </c>
      <c r="H56" s="2">
        <f>SUMPRODUCT($CA56:$DV56,INDEX('MC MAP'!$DA$5:$EV$30,7,0))</f>
        <v>0</v>
      </c>
      <c r="I56" s="2">
        <f>SUMPRODUCT($CA56:$DV56,INDEX('MC MAP'!$DA$5:$EV$30,8,0))</f>
        <v>41</v>
      </c>
      <c r="J56" s="2">
        <f>SUMPRODUCT($CA56:$DV56,INDEX('MC MAP'!$DA$5:$EV$30,9,0))</f>
        <v>32.5</v>
      </c>
      <c r="K56" s="2">
        <f>SUMPRODUCT($CA56:$DV56,INDEX('MC MAP'!$DA$5:$EV$30,10,0))</f>
        <v>16</v>
      </c>
      <c r="L56" s="2">
        <f>SUMPRODUCT($CA56:$DV56,INDEX('MC MAP'!$DA$5:$EV$30,11,0))</f>
        <v>16</v>
      </c>
      <c r="M56" s="2">
        <f>SUMPRODUCT($CA56:$DV56,INDEX('MC MAP'!$DA$5:$EV$30,12,0))</f>
        <v>33</v>
      </c>
      <c r="N56" s="2">
        <f>SUMPRODUCT($CA56:$DV56,INDEX('MC MAP'!$DA$5:$EV$30,13,0))</f>
        <v>32</v>
      </c>
      <c r="O56" s="2">
        <f>SUMPRODUCT($CA56:$DV56,INDEX('MC MAP'!$DA$5:$EV$30,14,0))</f>
        <v>33</v>
      </c>
      <c r="P56" s="2">
        <f>SUMPRODUCT($CA56:$DV56,INDEX('MC MAP'!$DA$5:$EV$30,15,0))</f>
        <v>52</v>
      </c>
      <c r="Q56" s="2">
        <f>SUMPRODUCT($CA56:$DV56,INDEX('MC MAP'!$DA$5:$EV$30,16,0))</f>
        <v>0</v>
      </c>
      <c r="R56" s="2">
        <f>SUMPRODUCT($CA56:$DV56,INDEX('MC MAP'!$DA$5:$EV$30,17,0))</f>
        <v>3</v>
      </c>
      <c r="S56" s="2">
        <f>SUMPRODUCT($CA56:$DV56,INDEX('MC MAP'!$DA$5:$EV$30,18,0))</f>
        <v>0</v>
      </c>
      <c r="T56" s="2">
        <f>SUMPRODUCT($CA56:$DV56,INDEX('MC MAP'!$DA$5:$EV$30,19,0))</f>
        <v>15</v>
      </c>
      <c r="U56" s="2">
        <f>SUMPRODUCT($CA56:$DV56,INDEX('MC MAP'!$DA$5:$EV$30,20,0))</f>
        <v>31</v>
      </c>
      <c r="V56" s="2">
        <f>SUMPRODUCT($CA56:$DV56,INDEX('MC MAP'!$DA$5:$EV$30,21,0))</f>
        <v>2</v>
      </c>
      <c r="W56" s="2">
        <f>SUMPRODUCT($CA56:$DV56,INDEX('MC MAP'!$DA$5:$EV$30,22,0))</f>
        <v>2</v>
      </c>
      <c r="X56" s="2">
        <f>SUMPRODUCT($CA56:$DV56,INDEX('MC MAP'!$DA$5:$EV$30,23,0))</f>
        <v>0</v>
      </c>
      <c r="Y56" s="2">
        <f>SUMPRODUCT($CA56:$DV56,INDEX('MC MAP'!$DA$5:$EV$30,24,0))</f>
        <v>10</v>
      </c>
      <c r="Z56" s="2">
        <f>SUMPRODUCT($CA56:$DV56,INDEX('MC MAP'!$DA$5:$EV$30,25,0))</f>
        <v>0</v>
      </c>
      <c r="AA56" s="2">
        <f>SUMPRODUCT($CA56:$DV56,INDEX('MC MAP'!$DA$5:$EV$30,26,0))</f>
        <v>24</v>
      </c>
      <c r="AB56" s="2">
        <f>SUM($B56:$AA56)</f>
        <v>729.5</v>
      </c>
      <c r="AC56" s="2">
        <f>SUM($CA56:$DV56)+$AW56</f>
        <v>24</v>
      </c>
      <c r="AW56" s="2">
        <f>IF($A56=0,0,COUNTIF(INDEX('LINE PLAN'!$B$36:$GS$61,0,ROW()-3),"THERMAL - NOT SPECIFIED"))</f>
        <v>0</v>
      </c>
      <c r="AX56" s="506" cm="1">
        <f t="array" ref="AX56">IF(OR($AB56=0,UPPER($BS56)&lt;&gt;"Y"),0,SUMPRODUCT(--($B56:$AA56&gt;$B$205:$AA$205)))</f>
        <v>3</v>
      </c>
      <c r="AY56" s="507">
        <f>$A56</f>
        <v>46287</v>
      </c>
      <c r="AZ56" s="2">
        <f>$AB56</f>
        <v>729.5</v>
      </c>
      <c r="BA56" s="2">
        <f>'MC MASTER'!$C$29</f>
        <v>920</v>
      </c>
      <c r="BD56" s="543" t="str">
        <f>INDEX('MC MASTER'!$B$3:$B$28,ROW()-34)</f>
        <v>Button Hole</v>
      </c>
      <c r="BE56" s="521">
        <f>INDEX('MC MASTER'!$C$3:$C$28,ROW()-34)</f>
        <v>3</v>
      </c>
      <c r="BF56" s="522">
        <f ca="1">MAX(OFFSET($B$4,BF$32-1,MATCH($BD56,$B$3:$AA$3,0)-1,BF$33,1))</f>
        <v>2</v>
      </c>
      <c r="BG56" s="529">
        <f ca="1">MAX(OFFSET($B$4,BG$32-1,MATCH($BD56,$B$3:$AA$3,0)-1,BG$33,1))</f>
        <v>2</v>
      </c>
      <c r="BH56" s="529">
        <f ca="1">MAX(OFFSET($B$4,BH$32-1,MATCH($BD56,$B$3:$AA$3,0)-1,BH$33,1))</f>
        <v>2</v>
      </c>
      <c r="BI56" s="529">
        <f ca="1">MAX(OFFSET($B$4,BI$32-1,MATCH($BD56,$B$3:$AA$3,0)-1,BI$33,1))</f>
        <v>0</v>
      </c>
      <c r="BJ56" s="544" t="str">
        <f ca="1">IFERROR(INDEX($BF$34:$BI$34,MATCH(MAX($BF56:$BI56),$BF56:$BI56,0)),"")</f>
        <v>Aug</v>
      </c>
      <c r="BK56" s="523">
        <f ca="1">$BE56-MAX($BF56:$BI56)</f>
        <v>1</v>
      </c>
      <c r="BQ56" s="509">
        <f>$A56</f>
        <v>46287</v>
      </c>
      <c r="BR56" s="15" t="str">
        <f>TEXT($A56,"ddd")</f>
        <v>Tue</v>
      </c>
      <c r="BS56" s="547" t="s">
        <v>391</v>
      </c>
      <c r="BT56" s="15">
        <f>IF(UPPER($BS56)="Y",$AB56,0)</f>
        <v>729.5</v>
      </c>
      <c r="CA56" s="2">
        <f>COUNTIF(INDEX('LINE PLAN'!$B$36:$GS$61,0,ROW()-3),CA$3)</f>
        <v>1</v>
      </c>
      <c r="CB56" s="2">
        <f>COUNTIF(INDEX('LINE PLAN'!$B$36:$GS$61,0,ROW()-3),CB$3)</f>
        <v>1</v>
      </c>
      <c r="CC56" s="2">
        <f>COUNTIF(INDEX('LINE PLAN'!$B$36:$GS$61,0,ROW()-3),CC$3)</f>
        <v>2</v>
      </c>
      <c r="CD56" s="2">
        <f>COUNTIF(INDEX('LINE PLAN'!$B$36:$GS$61,0,ROW()-3),CD$3)</f>
        <v>0</v>
      </c>
      <c r="CE56" s="2">
        <f>COUNTIF(INDEX('LINE PLAN'!$B$36:$GS$61,0,ROW()-3),CE$3)</f>
        <v>0</v>
      </c>
      <c r="CF56" s="2">
        <f>COUNTIF(INDEX('LINE PLAN'!$B$36:$GS$61,0,ROW()-3),CF$3)</f>
        <v>4</v>
      </c>
      <c r="CG56" s="2">
        <f>COUNTIF(INDEX('LINE PLAN'!$B$36:$GS$61,0,ROW()-3),CG$3)</f>
        <v>7</v>
      </c>
      <c r="CH56" s="2">
        <f>COUNTIF(INDEX('LINE PLAN'!$B$36:$GS$61,0,ROW()-3),CH$3)</f>
        <v>4</v>
      </c>
      <c r="CI56" s="2">
        <f>COUNTIF(INDEX('LINE PLAN'!$B$36:$GS$61,0,ROW()-3),CI$3)</f>
        <v>1</v>
      </c>
      <c r="CJ56" s="2">
        <f>COUNTIF(INDEX('LINE PLAN'!$B$36:$GS$61,0,ROW()-3),CJ$3)</f>
        <v>0</v>
      </c>
      <c r="CK56" s="2">
        <f>COUNTIF(INDEX('LINE PLAN'!$B$36:$GS$61,0,ROW()-3),CK$3)</f>
        <v>0</v>
      </c>
      <c r="CL56" s="2">
        <f>COUNTIF(INDEX('LINE PLAN'!$B$36:$GS$61,0,ROW()-3),CL$3)</f>
        <v>0</v>
      </c>
      <c r="CM56" s="2">
        <f>COUNTIF(INDEX('LINE PLAN'!$B$36:$GS$61,0,ROW()-3),CM$3)</f>
        <v>0</v>
      </c>
      <c r="CN56" s="2">
        <f>COUNTIF(INDEX('LINE PLAN'!$B$36:$GS$61,0,ROW()-3),CN$3)</f>
        <v>0</v>
      </c>
      <c r="CO56" s="2">
        <f>COUNTIF(INDEX('LINE PLAN'!$B$36:$GS$61,0,ROW()-3),CO$3)</f>
        <v>0</v>
      </c>
      <c r="CP56" s="2">
        <f>COUNTIF(INDEX('LINE PLAN'!$B$36:$GS$61,0,ROW()-3),CP$3)</f>
        <v>2</v>
      </c>
      <c r="CQ56" s="2">
        <f>COUNTIF(INDEX('LINE PLAN'!$B$36:$GS$61,0,ROW()-3),CQ$3)</f>
        <v>0</v>
      </c>
      <c r="CR56" s="2">
        <f>COUNTIF(INDEX('LINE PLAN'!$B$36:$GS$61,0,ROW()-3),CR$3)</f>
        <v>2</v>
      </c>
      <c r="CS56" s="2">
        <f>COUNTIF(INDEX('LINE PLAN'!$B$36:$GS$61,0,ROW()-3),CS$3)</f>
        <v>0</v>
      </c>
      <c r="CT56" s="2">
        <f>COUNTIF(INDEX('LINE PLAN'!$B$36:$GS$61,0,ROW()-3),CT$3)</f>
        <v>0</v>
      </c>
      <c r="CU56" s="2">
        <f>COUNTIF(INDEX('LINE PLAN'!$B$36:$GS$61,0,ROW()-3),CU$3)</f>
        <v>0</v>
      </c>
      <c r="CV56" s="2">
        <f>COUNTIF(INDEX('LINE PLAN'!$B$36:$GS$61,0,ROW()-3),CV$3)</f>
        <v>0</v>
      </c>
      <c r="CW56" s="2">
        <f>COUNTIF(INDEX('LINE PLAN'!$B$36:$GS$61,0,ROW()-3),CW$3)</f>
        <v>0</v>
      </c>
      <c r="CX56" s="2">
        <f>COUNTIF(INDEX('LINE PLAN'!$B$36:$GS$61,0,ROW()-3),CX$3)</f>
        <v>0</v>
      </c>
      <c r="CY56" s="2">
        <f>COUNTIF(INDEX('LINE PLAN'!$B$36:$GS$61,0,ROW()-3),CY$3)</f>
        <v>0</v>
      </c>
      <c r="CZ56" s="2">
        <f>COUNTIF(INDEX('LINE PLAN'!$B$36:$GS$61,0,ROW()-3),CZ$3)</f>
        <v>0</v>
      </c>
      <c r="DA56" s="2">
        <f>COUNTIF(INDEX('LINE PLAN'!$B$36:$GS$61,0,ROW()-3),DA$3)</f>
        <v>0</v>
      </c>
      <c r="DB56" s="2">
        <f>COUNTIF(INDEX('LINE PLAN'!$B$36:$GS$61,0,ROW()-3),DB$3)</f>
        <v>0</v>
      </c>
      <c r="DC56" s="2">
        <f>COUNTIF(INDEX('LINE PLAN'!$B$36:$GS$61,0,ROW()-3),DC$3)</f>
        <v>0</v>
      </c>
      <c r="DD56" s="2">
        <f>COUNTIF(INDEX('LINE PLAN'!$B$36:$GS$61,0,ROW()-3),DD$3)</f>
        <v>0</v>
      </c>
      <c r="DE56" s="2">
        <f>COUNTIF(INDEX('LINE PLAN'!$B$36:$GS$61,0,ROW()-3),DE$3)</f>
        <v>0</v>
      </c>
      <c r="DF56" s="2">
        <f>COUNTIF(INDEX('LINE PLAN'!$B$36:$GS$61,0,ROW()-3),DF$3)</f>
        <v>0</v>
      </c>
      <c r="DG56" s="2">
        <f>COUNTIF(INDEX('LINE PLAN'!$B$36:$GS$61,0,ROW()-3),DG$3)</f>
        <v>0</v>
      </c>
      <c r="DH56" s="2">
        <f>COUNTIF(INDEX('LINE PLAN'!$B$36:$GS$61,0,ROW()-3),DH$3)</f>
        <v>0</v>
      </c>
      <c r="DI56" s="2">
        <f>COUNTIF(INDEX('LINE PLAN'!$B$36:$GS$61,0,ROW()-3),DI$3)</f>
        <v>0</v>
      </c>
      <c r="DJ56" s="2">
        <f>COUNTIF(INDEX('LINE PLAN'!$B$36:$GS$61,0,ROW()-3),DJ$3)</f>
        <v>0</v>
      </c>
      <c r="DK56" s="2">
        <f>COUNTIF(INDEX('LINE PLAN'!$B$36:$GS$61,0,ROW()-3),DK$3)</f>
        <v>0</v>
      </c>
      <c r="DL56" s="2">
        <f>COUNTIF(INDEX('LINE PLAN'!$B$36:$GS$61,0,ROW()-3),DL$3)</f>
        <v>0</v>
      </c>
      <c r="DM56" s="2">
        <f>COUNTIF(INDEX('LINE PLAN'!$B$36:$GS$61,0,ROW()-3),DM$3)</f>
        <v>0</v>
      </c>
      <c r="DN56" s="2">
        <f>COUNTIF(INDEX('LINE PLAN'!$B$36:$GS$61,0,ROW()-3),DN$3)</f>
        <v>0</v>
      </c>
      <c r="DO56" s="2">
        <f>COUNTIF(INDEX('LINE PLAN'!$B$36:$GS$61,0,ROW()-3),DO$3)</f>
        <v>0</v>
      </c>
      <c r="DP56" s="2">
        <f>COUNTIF(INDEX('LINE PLAN'!$B$36:$GS$61,0,ROW()-3),DP$3)</f>
        <v>0</v>
      </c>
      <c r="DQ56" s="2">
        <f>COUNTIF(INDEX('LINE PLAN'!$B$36:$GS$61,0,ROW()-3),DQ$3)</f>
        <v>0</v>
      </c>
      <c r="DR56" s="2">
        <f>COUNTIF(INDEX('LINE PLAN'!$B$36:$GS$61,0,ROW()-3),DR$3)</f>
        <v>0</v>
      </c>
      <c r="DS56" s="2">
        <f>COUNTIF(INDEX('LINE PLAN'!$B$36:$GS$61,0,ROW()-3),DS$3)</f>
        <v>0</v>
      </c>
      <c r="DT56" s="2">
        <f>COUNTIF(INDEX('LINE PLAN'!$B$36:$GS$61,0,ROW()-3),DT$3)</f>
        <v>0</v>
      </c>
      <c r="DU56" s="2">
        <f>COUNTIF(INDEX('LINE PLAN'!$B$36:$GS$61,0,ROW()-3),DU$3)</f>
        <v>0</v>
      </c>
      <c r="DV56" s="2">
        <f>COUNTIF(INDEX('LINE PLAN'!$B$36:$GS$61,0,ROW()-3),DV$3)</f>
        <v>0</v>
      </c>
    </row>
    <row r="57" spans="1:126">
      <c r="A57" s="505" cm="1">
        <f t="array" ref="A57">INDEX('LINE PLAN'!$B$35:$GS$35,ROW()-3)</f>
        <v>46288</v>
      </c>
      <c r="B57" s="2">
        <f>SUMPRODUCT($CA57:$DV57,INDEX('MC MAP'!$DA$5:$EV$30,1,0))</f>
        <v>141</v>
      </c>
      <c r="C57" s="2">
        <f>SUMPRODUCT($CA57:$DV57,INDEX('MC MAP'!$DA$5:$EV$30,2,0))</f>
        <v>1</v>
      </c>
      <c r="D57" s="2">
        <f>SUMPRODUCT($CA57:$DV57,INDEX('MC MAP'!$DA$5:$EV$30,3,0))</f>
        <v>0</v>
      </c>
      <c r="E57" s="2">
        <f>SUMPRODUCT($CA57:$DV57,INDEX('MC MAP'!$DA$5:$EV$30,4,0))</f>
        <v>4</v>
      </c>
      <c r="F57" s="2">
        <f>SUMPRODUCT($CA57:$DV57,INDEX('MC MAP'!$DA$5:$EV$30,5,0))</f>
        <v>211</v>
      </c>
      <c r="G57" s="2">
        <f>SUMPRODUCT($CA57:$DV57,INDEX('MC MAP'!$DA$5:$EV$30,6,0))</f>
        <v>12</v>
      </c>
      <c r="H57" s="2">
        <f>SUMPRODUCT($CA57:$DV57,INDEX('MC MAP'!$DA$5:$EV$30,7,0))</f>
        <v>0</v>
      </c>
      <c r="I57" s="2">
        <f>SUMPRODUCT($CA57:$DV57,INDEX('MC MAP'!$DA$5:$EV$30,8,0))</f>
        <v>41</v>
      </c>
      <c r="J57" s="2">
        <f>SUMPRODUCT($CA57:$DV57,INDEX('MC MAP'!$DA$5:$EV$30,9,0))</f>
        <v>32.5</v>
      </c>
      <c r="K57" s="2">
        <f>SUMPRODUCT($CA57:$DV57,INDEX('MC MAP'!$DA$5:$EV$30,10,0))</f>
        <v>12</v>
      </c>
      <c r="L57" s="2">
        <f>SUMPRODUCT($CA57:$DV57,INDEX('MC MAP'!$DA$5:$EV$30,11,0))</f>
        <v>12</v>
      </c>
      <c r="M57" s="2">
        <f>SUMPRODUCT($CA57:$DV57,INDEX('MC MAP'!$DA$5:$EV$30,12,0))</f>
        <v>33</v>
      </c>
      <c r="N57" s="2">
        <f>SUMPRODUCT($CA57:$DV57,INDEX('MC MAP'!$DA$5:$EV$30,13,0))</f>
        <v>32</v>
      </c>
      <c r="O57" s="2">
        <f>SUMPRODUCT($CA57:$DV57,INDEX('MC MAP'!$DA$5:$EV$30,14,0))</f>
        <v>33</v>
      </c>
      <c r="P57" s="2">
        <f>SUMPRODUCT($CA57:$DV57,INDEX('MC MAP'!$DA$5:$EV$30,15,0))</f>
        <v>52</v>
      </c>
      <c r="Q57" s="2">
        <f>SUMPRODUCT($CA57:$DV57,INDEX('MC MAP'!$DA$5:$EV$30,16,0))</f>
        <v>0</v>
      </c>
      <c r="R57" s="2">
        <f>SUMPRODUCT($CA57:$DV57,INDEX('MC MAP'!$DA$5:$EV$30,17,0))</f>
        <v>3</v>
      </c>
      <c r="S57" s="2">
        <f>SUMPRODUCT($CA57:$DV57,INDEX('MC MAP'!$DA$5:$EV$30,18,0))</f>
        <v>0</v>
      </c>
      <c r="T57" s="2">
        <f>SUMPRODUCT($CA57:$DV57,INDEX('MC MAP'!$DA$5:$EV$30,19,0))</f>
        <v>15</v>
      </c>
      <c r="U57" s="2">
        <f>SUMPRODUCT($CA57:$DV57,INDEX('MC MAP'!$DA$5:$EV$30,20,0))</f>
        <v>29</v>
      </c>
      <c r="V57" s="2">
        <f>SUMPRODUCT($CA57:$DV57,INDEX('MC MAP'!$DA$5:$EV$30,21,0))</f>
        <v>2</v>
      </c>
      <c r="W57" s="2">
        <f>SUMPRODUCT($CA57:$DV57,INDEX('MC MAP'!$DA$5:$EV$30,22,0))</f>
        <v>2</v>
      </c>
      <c r="X57" s="2">
        <f>SUMPRODUCT($CA57:$DV57,INDEX('MC MAP'!$DA$5:$EV$30,23,0))</f>
        <v>0</v>
      </c>
      <c r="Y57" s="2">
        <f>SUMPRODUCT($CA57:$DV57,INDEX('MC MAP'!$DA$5:$EV$30,24,0))</f>
        <v>8.5</v>
      </c>
      <c r="Z57" s="2">
        <f>SUMPRODUCT($CA57:$DV57,INDEX('MC MAP'!$DA$5:$EV$30,25,0))</f>
        <v>0</v>
      </c>
      <c r="AA57" s="2">
        <f>SUMPRODUCT($CA57:$DV57,INDEX('MC MAP'!$DA$5:$EV$30,26,0))</f>
        <v>24</v>
      </c>
      <c r="AB57" s="2">
        <f>SUM($B57:$AA57)</f>
        <v>700</v>
      </c>
      <c r="AC57" s="2">
        <f>SUM($CA57:$DV57)+$AW57</f>
        <v>24</v>
      </c>
      <c r="AW57" s="2">
        <f>IF($A57=0,0,COUNTIF(INDEX('LINE PLAN'!$B$36:$GS$61,0,ROW()-3),"THERMAL - NOT SPECIFIED"))</f>
        <v>0</v>
      </c>
      <c r="AX57" s="506" cm="1">
        <f t="array" ref="AX57">IF(OR($AB57=0,UPPER($BS57)&lt;&gt;"Y"),0,SUMPRODUCT(--($B57:$AA57&gt;$B$205:$AA$205)))</f>
        <v>2</v>
      </c>
      <c r="AY57" s="507">
        <f>$A57</f>
        <v>46288</v>
      </c>
      <c r="AZ57" s="2">
        <f>$AB57</f>
        <v>700</v>
      </c>
      <c r="BA57" s="2">
        <f>'MC MASTER'!$C$29</f>
        <v>920</v>
      </c>
      <c r="BD57" s="543" t="str">
        <f>INDEX('MC MASTER'!$B$3:$B$28,ROW()-34)</f>
        <v>Button Attach</v>
      </c>
      <c r="BE57" s="521">
        <f>INDEX('MC MASTER'!$C$3:$C$28,ROW()-34)</f>
        <v>1</v>
      </c>
      <c r="BF57" s="522">
        <f ca="1">MAX(OFFSET($B$4,BF$32-1,MATCH($BD57,$B$3:$AA$3,0)-1,BF$33,1))</f>
        <v>0</v>
      </c>
      <c r="BG57" s="529">
        <f ca="1">MAX(OFFSET($B$4,BG$32-1,MATCH($BD57,$B$3:$AA$3,0)-1,BG$33,1))</f>
        <v>0</v>
      </c>
      <c r="BH57" s="529">
        <f ca="1">MAX(OFFSET($B$4,BH$32-1,MATCH($BD57,$B$3:$AA$3,0)-1,BH$33,1))</f>
        <v>0</v>
      </c>
      <c r="BI57" s="529">
        <f ca="1">MAX(OFFSET($B$4,BI$32-1,MATCH($BD57,$B$3:$AA$3,0)-1,BI$33,1))</f>
        <v>0</v>
      </c>
      <c r="BJ57" s="544" t="str">
        <f ca="1">IFERROR(INDEX($BF$34:$BI$34,MATCH(MAX($BF57:$BI57),$BF57:$BI57,0)),"")</f>
        <v>Aug</v>
      </c>
      <c r="BK57" s="523">
        <f ca="1">$BE57-MAX($BF57:$BI57)</f>
        <v>1</v>
      </c>
      <c r="BQ57" s="509">
        <f>$A57</f>
        <v>46288</v>
      </c>
      <c r="BR57" s="15" t="str">
        <f>TEXT($A57,"ddd")</f>
        <v>Wed</v>
      </c>
      <c r="BS57" s="547" t="s">
        <v>391</v>
      </c>
      <c r="BT57" s="15">
        <f>IF(UPPER($BS57)="Y",$AB57,0)</f>
        <v>700</v>
      </c>
      <c r="CA57" s="2">
        <f>COUNTIF(INDEX('LINE PLAN'!$B$36:$GS$61,0,ROW()-3),CA$3)</f>
        <v>1</v>
      </c>
      <c r="CB57" s="2">
        <f>COUNTIF(INDEX('LINE PLAN'!$B$36:$GS$61,0,ROW()-3),CB$3)</f>
        <v>1</v>
      </c>
      <c r="CC57" s="2">
        <f>COUNTIF(INDEX('LINE PLAN'!$B$36:$GS$61,0,ROW()-3),CC$3)</f>
        <v>2</v>
      </c>
      <c r="CD57" s="2">
        <f>COUNTIF(INDEX('LINE PLAN'!$B$36:$GS$61,0,ROW()-3),CD$3)</f>
        <v>0</v>
      </c>
      <c r="CE57" s="2">
        <f>COUNTIF(INDEX('LINE PLAN'!$B$36:$GS$61,0,ROW()-3),CE$3)</f>
        <v>0</v>
      </c>
      <c r="CF57" s="2">
        <f>COUNTIF(INDEX('LINE PLAN'!$B$36:$GS$61,0,ROW()-3),CF$3)</f>
        <v>4</v>
      </c>
      <c r="CG57" s="2">
        <f>COUNTIF(INDEX('LINE PLAN'!$B$36:$GS$61,0,ROW()-3),CG$3)</f>
        <v>7</v>
      </c>
      <c r="CH57" s="2">
        <f>COUNTIF(INDEX('LINE PLAN'!$B$36:$GS$61,0,ROW()-3),CH$3)</f>
        <v>3</v>
      </c>
      <c r="CI57" s="2">
        <f>COUNTIF(INDEX('LINE PLAN'!$B$36:$GS$61,0,ROW()-3),CI$3)</f>
        <v>1</v>
      </c>
      <c r="CJ57" s="2">
        <f>COUNTIF(INDEX('LINE PLAN'!$B$36:$GS$61,0,ROW()-3),CJ$3)</f>
        <v>0</v>
      </c>
      <c r="CK57" s="2">
        <f>COUNTIF(INDEX('LINE PLAN'!$B$36:$GS$61,0,ROW()-3),CK$3)</f>
        <v>0</v>
      </c>
      <c r="CL57" s="2">
        <f>COUNTIF(INDEX('LINE PLAN'!$B$36:$GS$61,0,ROW()-3),CL$3)</f>
        <v>0</v>
      </c>
      <c r="CM57" s="2">
        <f>COUNTIF(INDEX('LINE PLAN'!$B$36:$GS$61,0,ROW()-3),CM$3)</f>
        <v>1</v>
      </c>
      <c r="CN57" s="2">
        <f>COUNTIF(INDEX('LINE PLAN'!$B$36:$GS$61,0,ROW()-3),CN$3)</f>
        <v>0</v>
      </c>
      <c r="CO57" s="2">
        <f>COUNTIF(INDEX('LINE PLAN'!$B$36:$GS$61,0,ROW()-3),CO$3)</f>
        <v>0</v>
      </c>
      <c r="CP57" s="2">
        <f>COUNTIF(INDEX('LINE PLAN'!$B$36:$GS$61,0,ROW()-3),CP$3)</f>
        <v>2</v>
      </c>
      <c r="CQ57" s="2">
        <f>COUNTIF(INDEX('LINE PLAN'!$B$36:$GS$61,0,ROW()-3),CQ$3)</f>
        <v>0</v>
      </c>
      <c r="CR57" s="2">
        <f>COUNTIF(INDEX('LINE PLAN'!$B$36:$GS$61,0,ROW()-3),CR$3)</f>
        <v>2</v>
      </c>
      <c r="CS57" s="2">
        <f>COUNTIF(INDEX('LINE PLAN'!$B$36:$GS$61,0,ROW()-3),CS$3)</f>
        <v>0</v>
      </c>
      <c r="CT57" s="2">
        <f>COUNTIF(INDEX('LINE PLAN'!$B$36:$GS$61,0,ROW()-3),CT$3)</f>
        <v>0</v>
      </c>
      <c r="CU57" s="2">
        <f>COUNTIF(INDEX('LINE PLAN'!$B$36:$GS$61,0,ROW()-3),CU$3)</f>
        <v>0</v>
      </c>
      <c r="CV57" s="2">
        <f>COUNTIF(INDEX('LINE PLAN'!$B$36:$GS$61,0,ROW()-3),CV$3)</f>
        <v>0</v>
      </c>
      <c r="CW57" s="2">
        <f>COUNTIF(INDEX('LINE PLAN'!$B$36:$GS$61,0,ROW()-3),CW$3)</f>
        <v>0</v>
      </c>
      <c r="CX57" s="2">
        <f>COUNTIF(INDEX('LINE PLAN'!$B$36:$GS$61,0,ROW()-3),CX$3)</f>
        <v>0</v>
      </c>
      <c r="CY57" s="2">
        <f>COUNTIF(INDEX('LINE PLAN'!$B$36:$GS$61,0,ROW()-3),CY$3)</f>
        <v>0</v>
      </c>
      <c r="CZ57" s="2">
        <f>COUNTIF(INDEX('LINE PLAN'!$B$36:$GS$61,0,ROW()-3),CZ$3)</f>
        <v>0</v>
      </c>
      <c r="DA57" s="2">
        <f>COUNTIF(INDEX('LINE PLAN'!$B$36:$GS$61,0,ROW()-3),DA$3)</f>
        <v>0</v>
      </c>
      <c r="DB57" s="2">
        <f>COUNTIF(INDEX('LINE PLAN'!$B$36:$GS$61,0,ROW()-3),DB$3)</f>
        <v>0</v>
      </c>
      <c r="DC57" s="2">
        <f>COUNTIF(INDEX('LINE PLAN'!$B$36:$GS$61,0,ROW()-3),DC$3)</f>
        <v>0</v>
      </c>
      <c r="DD57" s="2">
        <f>COUNTIF(INDEX('LINE PLAN'!$B$36:$GS$61,0,ROW()-3),DD$3)</f>
        <v>0</v>
      </c>
      <c r="DE57" s="2">
        <f>COUNTIF(INDEX('LINE PLAN'!$B$36:$GS$61,0,ROW()-3),DE$3)</f>
        <v>0</v>
      </c>
      <c r="DF57" s="2">
        <f>COUNTIF(INDEX('LINE PLAN'!$B$36:$GS$61,0,ROW()-3),DF$3)</f>
        <v>0</v>
      </c>
      <c r="DG57" s="2">
        <f>COUNTIF(INDEX('LINE PLAN'!$B$36:$GS$61,0,ROW()-3),DG$3)</f>
        <v>0</v>
      </c>
      <c r="DH57" s="2">
        <f>COUNTIF(INDEX('LINE PLAN'!$B$36:$GS$61,0,ROW()-3),DH$3)</f>
        <v>0</v>
      </c>
      <c r="DI57" s="2">
        <f>COUNTIF(INDEX('LINE PLAN'!$B$36:$GS$61,0,ROW()-3),DI$3)</f>
        <v>0</v>
      </c>
      <c r="DJ57" s="2">
        <f>COUNTIF(INDEX('LINE PLAN'!$B$36:$GS$61,0,ROW()-3),DJ$3)</f>
        <v>0</v>
      </c>
      <c r="DK57" s="2">
        <f>COUNTIF(INDEX('LINE PLAN'!$B$36:$GS$61,0,ROW()-3),DK$3)</f>
        <v>0</v>
      </c>
      <c r="DL57" s="2">
        <f>COUNTIF(INDEX('LINE PLAN'!$B$36:$GS$61,0,ROW()-3),DL$3)</f>
        <v>0</v>
      </c>
      <c r="DM57" s="2">
        <f>COUNTIF(INDEX('LINE PLAN'!$B$36:$GS$61,0,ROW()-3),DM$3)</f>
        <v>0</v>
      </c>
      <c r="DN57" s="2">
        <f>COUNTIF(INDEX('LINE PLAN'!$B$36:$GS$61,0,ROW()-3),DN$3)</f>
        <v>0</v>
      </c>
      <c r="DO57" s="2">
        <f>COUNTIF(INDEX('LINE PLAN'!$B$36:$GS$61,0,ROW()-3),DO$3)</f>
        <v>0</v>
      </c>
      <c r="DP57" s="2">
        <f>COUNTIF(INDEX('LINE PLAN'!$B$36:$GS$61,0,ROW()-3),DP$3)</f>
        <v>0</v>
      </c>
      <c r="DQ57" s="2">
        <f>COUNTIF(INDEX('LINE PLAN'!$B$36:$GS$61,0,ROW()-3),DQ$3)</f>
        <v>0</v>
      </c>
      <c r="DR57" s="2">
        <f>COUNTIF(INDEX('LINE PLAN'!$B$36:$GS$61,0,ROW()-3),DR$3)</f>
        <v>0</v>
      </c>
      <c r="DS57" s="2">
        <f>COUNTIF(INDEX('LINE PLAN'!$B$36:$GS$61,0,ROW()-3),DS$3)</f>
        <v>0</v>
      </c>
      <c r="DT57" s="2">
        <f>COUNTIF(INDEX('LINE PLAN'!$B$36:$GS$61,0,ROW()-3),DT$3)</f>
        <v>0</v>
      </c>
      <c r="DU57" s="2">
        <f>COUNTIF(INDEX('LINE PLAN'!$B$36:$GS$61,0,ROW()-3),DU$3)</f>
        <v>0</v>
      </c>
      <c r="DV57" s="2">
        <f>COUNTIF(INDEX('LINE PLAN'!$B$36:$GS$61,0,ROW()-3),DV$3)</f>
        <v>0</v>
      </c>
    </row>
    <row r="58" spans="1:126">
      <c r="A58" s="505" cm="1">
        <f t="array" ref="A58">INDEX('LINE PLAN'!$B$35:$GS$35,ROW()-3)</f>
        <v>46289</v>
      </c>
      <c r="B58" s="2">
        <f>SUMPRODUCT($CA58:$DV58,INDEX('MC MAP'!$DA$5:$EV$30,1,0))</f>
        <v>145</v>
      </c>
      <c r="C58" s="2">
        <f>SUMPRODUCT($CA58:$DV58,INDEX('MC MAP'!$DA$5:$EV$30,2,0))</f>
        <v>1</v>
      </c>
      <c r="D58" s="2">
        <f>SUMPRODUCT($CA58:$DV58,INDEX('MC MAP'!$DA$5:$EV$30,3,0))</f>
        <v>0</v>
      </c>
      <c r="E58" s="2">
        <f>SUMPRODUCT($CA58:$DV58,INDEX('MC MAP'!$DA$5:$EV$30,4,0))</f>
        <v>4</v>
      </c>
      <c r="F58" s="2">
        <f>SUMPRODUCT($CA58:$DV58,INDEX('MC MAP'!$DA$5:$EV$30,5,0))</f>
        <v>224</v>
      </c>
      <c r="G58" s="2">
        <f>SUMPRODUCT($CA58:$DV58,INDEX('MC MAP'!$DA$5:$EV$30,6,0))</f>
        <v>15</v>
      </c>
      <c r="H58" s="2">
        <f>SUMPRODUCT($CA58:$DV58,INDEX('MC MAP'!$DA$5:$EV$30,7,0))</f>
        <v>0</v>
      </c>
      <c r="I58" s="2">
        <f>SUMPRODUCT($CA58:$DV58,INDEX('MC MAP'!$DA$5:$EV$30,8,0))</f>
        <v>41</v>
      </c>
      <c r="J58" s="2">
        <f>SUMPRODUCT($CA58:$DV58,INDEX('MC MAP'!$DA$5:$EV$30,9,0))</f>
        <v>32.5</v>
      </c>
      <c r="K58" s="2">
        <f>SUMPRODUCT($CA58:$DV58,INDEX('MC MAP'!$DA$5:$EV$30,10,0))</f>
        <v>12</v>
      </c>
      <c r="L58" s="2">
        <f>SUMPRODUCT($CA58:$DV58,INDEX('MC MAP'!$DA$5:$EV$30,11,0))</f>
        <v>15</v>
      </c>
      <c r="M58" s="2">
        <f>SUMPRODUCT($CA58:$DV58,INDEX('MC MAP'!$DA$5:$EV$30,12,0))</f>
        <v>33</v>
      </c>
      <c r="N58" s="2">
        <f>SUMPRODUCT($CA58:$DV58,INDEX('MC MAP'!$DA$5:$EV$30,13,0))</f>
        <v>35</v>
      </c>
      <c r="O58" s="2">
        <f>SUMPRODUCT($CA58:$DV58,INDEX('MC MAP'!$DA$5:$EV$30,14,0))</f>
        <v>33</v>
      </c>
      <c r="P58" s="2">
        <f>SUMPRODUCT($CA58:$DV58,INDEX('MC MAP'!$DA$5:$EV$30,15,0))</f>
        <v>52</v>
      </c>
      <c r="Q58" s="2">
        <f>SUMPRODUCT($CA58:$DV58,INDEX('MC MAP'!$DA$5:$EV$30,16,0))</f>
        <v>0</v>
      </c>
      <c r="R58" s="2">
        <f>SUMPRODUCT($CA58:$DV58,INDEX('MC MAP'!$DA$5:$EV$30,17,0))</f>
        <v>3</v>
      </c>
      <c r="S58" s="2">
        <f>SUMPRODUCT($CA58:$DV58,INDEX('MC MAP'!$DA$5:$EV$30,18,0))</f>
        <v>0</v>
      </c>
      <c r="T58" s="2">
        <f>SUMPRODUCT($CA58:$DV58,INDEX('MC MAP'!$DA$5:$EV$30,19,0))</f>
        <v>15</v>
      </c>
      <c r="U58" s="2">
        <f>SUMPRODUCT($CA58:$DV58,INDEX('MC MAP'!$DA$5:$EV$30,20,0))</f>
        <v>30</v>
      </c>
      <c r="V58" s="2">
        <f>SUMPRODUCT($CA58:$DV58,INDEX('MC MAP'!$DA$5:$EV$30,21,0))</f>
        <v>2</v>
      </c>
      <c r="W58" s="2">
        <f>SUMPRODUCT($CA58:$DV58,INDEX('MC MAP'!$DA$5:$EV$30,22,0))</f>
        <v>2</v>
      </c>
      <c r="X58" s="2">
        <f>SUMPRODUCT($CA58:$DV58,INDEX('MC MAP'!$DA$5:$EV$30,23,0))</f>
        <v>0</v>
      </c>
      <c r="Y58" s="2">
        <f>SUMPRODUCT($CA58:$DV58,INDEX('MC MAP'!$DA$5:$EV$30,24,0))</f>
        <v>8.5</v>
      </c>
      <c r="Z58" s="2">
        <f>SUMPRODUCT($CA58:$DV58,INDEX('MC MAP'!$DA$5:$EV$30,25,0))</f>
        <v>0</v>
      </c>
      <c r="AA58" s="2">
        <f>SUMPRODUCT($CA58:$DV58,INDEX('MC MAP'!$DA$5:$EV$30,26,0))</f>
        <v>26</v>
      </c>
      <c r="AB58" s="2">
        <f>SUM($B58:$AA58)</f>
        <v>729</v>
      </c>
      <c r="AC58" s="2">
        <f>SUM($CA58:$DV58)+$AW58</f>
        <v>24</v>
      </c>
      <c r="AW58" s="2">
        <f>IF($A58=0,0,COUNTIF(INDEX('LINE PLAN'!$B$36:$GS$61,0,ROW()-3),"THERMAL - NOT SPECIFIED"))</f>
        <v>0</v>
      </c>
      <c r="AX58" s="506" cm="1">
        <f t="array" ref="AX58">IF(OR($AB58=0,UPPER($BS58)&lt;&gt;"Y"),0,SUMPRODUCT(--($B58:$AA58&gt;$B$205:$AA$205)))</f>
        <v>2</v>
      </c>
      <c r="AY58" s="507">
        <f>$A58</f>
        <v>46289</v>
      </c>
      <c r="AZ58" s="2">
        <f>$AB58</f>
        <v>729</v>
      </c>
      <c r="BA58" s="2">
        <f>'MC MASTER'!$C$29</f>
        <v>920</v>
      </c>
      <c r="BD58" s="543" t="str">
        <f>INDEX('MC MASTER'!$B$3:$B$28,ROW()-34)</f>
        <v>Bartack</v>
      </c>
      <c r="BE58" s="521">
        <f>INDEX('MC MASTER'!$C$3:$C$28,ROW()-34)</f>
        <v>13</v>
      </c>
      <c r="BF58" s="522">
        <f ca="1">MAX(OFFSET($B$4,BF$32-1,MATCH($BD58,$B$3:$AA$3,0)-1,BF$33,1))</f>
        <v>7.5</v>
      </c>
      <c r="BG58" s="529">
        <f ca="1">MAX(OFFSET($B$4,BG$32-1,MATCH($BD58,$B$3:$AA$3,0)-1,BG$33,1))</f>
        <v>10</v>
      </c>
      <c r="BH58" s="529">
        <f ca="1">MAX(OFFSET($B$4,BH$32-1,MATCH($BD58,$B$3:$AA$3,0)-1,BH$33,1))</f>
        <v>8.5</v>
      </c>
      <c r="BI58" s="529">
        <f ca="1">MAX(OFFSET($B$4,BI$32-1,MATCH($BD58,$B$3:$AA$3,0)-1,BI$33,1))</f>
        <v>0</v>
      </c>
      <c r="BJ58" s="544" t="str">
        <f ca="1">IFERROR(INDEX($BF$34:$BI$34,MATCH(MAX($BF58:$BI58),$BF58:$BI58,0)),"")</f>
        <v>Sep</v>
      </c>
      <c r="BK58" s="523">
        <f ca="1">$BE58-MAX($BF58:$BI58)</f>
        <v>3</v>
      </c>
      <c r="BQ58" s="509">
        <f>$A58</f>
        <v>46289</v>
      </c>
      <c r="BR58" s="15" t="str">
        <f>TEXT($A58,"ddd")</f>
        <v>Thu</v>
      </c>
      <c r="BS58" s="547" t="s">
        <v>391</v>
      </c>
      <c r="BT58" s="15">
        <f>IF(UPPER($BS58)="Y",$AB58,0)</f>
        <v>729</v>
      </c>
      <c r="CA58" s="2">
        <f>COUNTIF(INDEX('LINE PLAN'!$B$36:$GS$61,0,ROW()-3),CA$3)</f>
        <v>1</v>
      </c>
      <c r="CB58" s="2">
        <f>COUNTIF(INDEX('LINE PLAN'!$B$36:$GS$61,0,ROW()-3),CB$3)</f>
        <v>1</v>
      </c>
      <c r="CC58" s="2">
        <f>COUNTIF(INDEX('LINE PLAN'!$B$36:$GS$61,0,ROW()-3),CC$3)</f>
        <v>2</v>
      </c>
      <c r="CD58" s="2">
        <f>COUNTIF(INDEX('LINE PLAN'!$B$36:$GS$61,0,ROW()-3),CD$3)</f>
        <v>0</v>
      </c>
      <c r="CE58" s="2">
        <f>COUNTIF(INDEX('LINE PLAN'!$B$36:$GS$61,0,ROW()-3),CE$3)</f>
        <v>0</v>
      </c>
      <c r="CF58" s="2">
        <f>COUNTIF(INDEX('LINE PLAN'!$B$36:$GS$61,0,ROW()-3),CF$3)</f>
        <v>4</v>
      </c>
      <c r="CG58" s="2">
        <f>COUNTIF(INDEX('LINE PLAN'!$B$36:$GS$61,0,ROW()-3),CG$3)</f>
        <v>7</v>
      </c>
      <c r="CH58" s="2">
        <f>COUNTIF(INDEX('LINE PLAN'!$B$36:$GS$61,0,ROW()-3),CH$3)</f>
        <v>3</v>
      </c>
      <c r="CI58" s="2">
        <f>COUNTIF(INDEX('LINE PLAN'!$B$36:$GS$61,0,ROW()-3),CI$3)</f>
        <v>1</v>
      </c>
      <c r="CJ58" s="2">
        <f>COUNTIF(INDEX('LINE PLAN'!$B$36:$GS$61,0,ROW()-3),CJ$3)</f>
        <v>0</v>
      </c>
      <c r="CK58" s="2">
        <f>COUNTIF(INDEX('LINE PLAN'!$B$36:$GS$61,0,ROW()-3),CK$3)</f>
        <v>0</v>
      </c>
      <c r="CL58" s="2">
        <f>COUNTIF(INDEX('LINE PLAN'!$B$36:$GS$61,0,ROW()-3),CL$3)</f>
        <v>0</v>
      </c>
      <c r="CM58" s="2">
        <f>COUNTIF(INDEX('LINE PLAN'!$B$36:$GS$61,0,ROW()-3),CM$3)</f>
        <v>0</v>
      </c>
      <c r="CN58" s="2">
        <f>COUNTIF(INDEX('LINE PLAN'!$B$36:$GS$61,0,ROW()-3),CN$3)</f>
        <v>1</v>
      </c>
      <c r="CO58" s="2">
        <f>COUNTIF(INDEX('LINE PLAN'!$B$36:$GS$61,0,ROW()-3),CO$3)</f>
        <v>0</v>
      </c>
      <c r="CP58" s="2">
        <f>COUNTIF(INDEX('LINE PLAN'!$B$36:$GS$61,0,ROW()-3),CP$3)</f>
        <v>2</v>
      </c>
      <c r="CQ58" s="2">
        <f>COUNTIF(INDEX('LINE PLAN'!$B$36:$GS$61,0,ROW()-3),CQ$3)</f>
        <v>0</v>
      </c>
      <c r="CR58" s="2">
        <f>COUNTIF(INDEX('LINE PLAN'!$B$36:$GS$61,0,ROW()-3),CR$3)</f>
        <v>2</v>
      </c>
      <c r="CS58" s="2">
        <f>COUNTIF(INDEX('LINE PLAN'!$B$36:$GS$61,0,ROW()-3),CS$3)</f>
        <v>0</v>
      </c>
      <c r="CT58" s="2">
        <f>COUNTIF(INDEX('LINE PLAN'!$B$36:$GS$61,0,ROW()-3),CT$3)</f>
        <v>0</v>
      </c>
      <c r="CU58" s="2">
        <f>COUNTIF(INDEX('LINE PLAN'!$B$36:$GS$61,0,ROW()-3),CU$3)</f>
        <v>0</v>
      </c>
      <c r="CV58" s="2">
        <f>COUNTIF(INDEX('LINE PLAN'!$B$36:$GS$61,0,ROW()-3),CV$3)</f>
        <v>0</v>
      </c>
      <c r="CW58" s="2">
        <f>COUNTIF(INDEX('LINE PLAN'!$B$36:$GS$61,0,ROW()-3),CW$3)</f>
        <v>0</v>
      </c>
      <c r="CX58" s="2">
        <f>COUNTIF(INDEX('LINE PLAN'!$B$36:$GS$61,0,ROW()-3),CX$3)</f>
        <v>0</v>
      </c>
      <c r="CY58" s="2">
        <f>COUNTIF(INDEX('LINE PLAN'!$B$36:$GS$61,0,ROW()-3),CY$3)</f>
        <v>0</v>
      </c>
      <c r="CZ58" s="2">
        <f>COUNTIF(INDEX('LINE PLAN'!$B$36:$GS$61,0,ROW()-3),CZ$3)</f>
        <v>0</v>
      </c>
      <c r="DA58" s="2">
        <f>COUNTIF(INDEX('LINE PLAN'!$B$36:$GS$61,0,ROW()-3),DA$3)</f>
        <v>0</v>
      </c>
      <c r="DB58" s="2">
        <f>COUNTIF(INDEX('LINE PLAN'!$B$36:$GS$61,0,ROW()-3),DB$3)</f>
        <v>0</v>
      </c>
      <c r="DC58" s="2">
        <f>COUNTIF(INDEX('LINE PLAN'!$B$36:$GS$61,0,ROW()-3),DC$3)</f>
        <v>0</v>
      </c>
      <c r="DD58" s="2">
        <f>COUNTIF(INDEX('LINE PLAN'!$B$36:$GS$61,0,ROW()-3),DD$3)</f>
        <v>0</v>
      </c>
      <c r="DE58" s="2">
        <f>COUNTIF(INDEX('LINE PLAN'!$B$36:$GS$61,0,ROW()-3),DE$3)</f>
        <v>0</v>
      </c>
      <c r="DF58" s="2">
        <f>COUNTIF(INDEX('LINE PLAN'!$B$36:$GS$61,0,ROW()-3),DF$3)</f>
        <v>0</v>
      </c>
      <c r="DG58" s="2">
        <f>COUNTIF(INDEX('LINE PLAN'!$B$36:$GS$61,0,ROW()-3),DG$3)</f>
        <v>0</v>
      </c>
      <c r="DH58" s="2">
        <f>COUNTIF(INDEX('LINE PLAN'!$B$36:$GS$61,0,ROW()-3),DH$3)</f>
        <v>0</v>
      </c>
      <c r="DI58" s="2">
        <f>COUNTIF(INDEX('LINE PLAN'!$B$36:$GS$61,0,ROW()-3),DI$3)</f>
        <v>0</v>
      </c>
      <c r="DJ58" s="2">
        <f>COUNTIF(INDEX('LINE PLAN'!$B$36:$GS$61,0,ROW()-3),DJ$3)</f>
        <v>0</v>
      </c>
      <c r="DK58" s="2">
        <f>COUNTIF(INDEX('LINE PLAN'!$B$36:$GS$61,0,ROW()-3),DK$3)</f>
        <v>0</v>
      </c>
      <c r="DL58" s="2">
        <f>COUNTIF(INDEX('LINE PLAN'!$B$36:$GS$61,0,ROW()-3),DL$3)</f>
        <v>0</v>
      </c>
      <c r="DM58" s="2">
        <f>COUNTIF(INDEX('LINE PLAN'!$B$36:$GS$61,0,ROW()-3),DM$3)</f>
        <v>0</v>
      </c>
      <c r="DN58" s="2">
        <f>COUNTIF(INDEX('LINE PLAN'!$B$36:$GS$61,0,ROW()-3),DN$3)</f>
        <v>0</v>
      </c>
      <c r="DO58" s="2">
        <f>COUNTIF(INDEX('LINE PLAN'!$B$36:$GS$61,0,ROW()-3),DO$3)</f>
        <v>0</v>
      </c>
      <c r="DP58" s="2">
        <f>COUNTIF(INDEX('LINE PLAN'!$B$36:$GS$61,0,ROW()-3),DP$3)</f>
        <v>0</v>
      </c>
      <c r="DQ58" s="2">
        <f>COUNTIF(INDEX('LINE PLAN'!$B$36:$GS$61,0,ROW()-3),DQ$3)</f>
        <v>0</v>
      </c>
      <c r="DR58" s="2">
        <f>COUNTIF(INDEX('LINE PLAN'!$B$36:$GS$61,0,ROW()-3),DR$3)</f>
        <v>0</v>
      </c>
      <c r="DS58" s="2">
        <f>COUNTIF(INDEX('LINE PLAN'!$B$36:$GS$61,0,ROW()-3),DS$3)</f>
        <v>0</v>
      </c>
      <c r="DT58" s="2">
        <f>COUNTIF(INDEX('LINE PLAN'!$B$36:$GS$61,0,ROW()-3),DT$3)</f>
        <v>0</v>
      </c>
      <c r="DU58" s="2">
        <f>COUNTIF(INDEX('LINE PLAN'!$B$36:$GS$61,0,ROW()-3),DU$3)</f>
        <v>0</v>
      </c>
      <c r="DV58" s="2">
        <f>COUNTIF(INDEX('LINE PLAN'!$B$36:$GS$61,0,ROW()-3),DV$3)</f>
        <v>0</v>
      </c>
    </row>
    <row r="59" spans="1:126">
      <c r="A59" s="505" cm="1">
        <f t="array" ref="A59">INDEX('LINE PLAN'!$B$35:$GS$35,ROW()-3)</f>
        <v>46290</v>
      </c>
      <c r="B59" s="2">
        <f>SUMPRODUCT($CA59:$DV59,INDEX('MC MAP'!$DA$5:$EV$30,1,0))</f>
        <v>145</v>
      </c>
      <c r="C59" s="2">
        <f>SUMPRODUCT($CA59:$DV59,INDEX('MC MAP'!$DA$5:$EV$30,2,0))</f>
        <v>1</v>
      </c>
      <c r="D59" s="2">
        <f>SUMPRODUCT($CA59:$DV59,INDEX('MC MAP'!$DA$5:$EV$30,3,0))</f>
        <v>0</v>
      </c>
      <c r="E59" s="2">
        <f>SUMPRODUCT($CA59:$DV59,INDEX('MC MAP'!$DA$5:$EV$30,4,0))</f>
        <v>4</v>
      </c>
      <c r="F59" s="2">
        <f>SUMPRODUCT($CA59:$DV59,INDEX('MC MAP'!$DA$5:$EV$30,5,0))</f>
        <v>224</v>
      </c>
      <c r="G59" s="2">
        <f>SUMPRODUCT($CA59:$DV59,INDEX('MC MAP'!$DA$5:$EV$30,6,0))</f>
        <v>15</v>
      </c>
      <c r="H59" s="2">
        <f>SUMPRODUCT($CA59:$DV59,INDEX('MC MAP'!$DA$5:$EV$30,7,0))</f>
        <v>0</v>
      </c>
      <c r="I59" s="2">
        <f>SUMPRODUCT($CA59:$DV59,INDEX('MC MAP'!$DA$5:$EV$30,8,0))</f>
        <v>41</v>
      </c>
      <c r="J59" s="2">
        <f>SUMPRODUCT($CA59:$DV59,INDEX('MC MAP'!$DA$5:$EV$30,9,0))</f>
        <v>32.5</v>
      </c>
      <c r="K59" s="2">
        <f>SUMPRODUCT($CA59:$DV59,INDEX('MC MAP'!$DA$5:$EV$30,10,0))</f>
        <v>12</v>
      </c>
      <c r="L59" s="2">
        <f>SUMPRODUCT($CA59:$DV59,INDEX('MC MAP'!$DA$5:$EV$30,11,0))</f>
        <v>15</v>
      </c>
      <c r="M59" s="2">
        <f>SUMPRODUCT($CA59:$DV59,INDEX('MC MAP'!$DA$5:$EV$30,12,0))</f>
        <v>33</v>
      </c>
      <c r="N59" s="2">
        <f>SUMPRODUCT($CA59:$DV59,INDEX('MC MAP'!$DA$5:$EV$30,13,0))</f>
        <v>35</v>
      </c>
      <c r="O59" s="2">
        <f>SUMPRODUCT($CA59:$DV59,INDEX('MC MAP'!$DA$5:$EV$30,14,0))</f>
        <v>33</v>
      </c>
      <c r="P59" s="2">
        <f>SUMPRODUCT($CA59:$DV59,INDEX('MC MAP'!$DA$5:$EV$30,15,0))</f>
        <v>52</v>
      </c>
      <c r="Q59" s="2">
        <f>SUMPRODUCT($CA59:$DV59,INDEX('MC MAP'!$DA$5:$EV$30,16,0))</f>
        <v>0</v>
      </c>
      <c r="R59" s="2">
        <f>SUMPRODUCT($CA59:$DV59,INDEX('MC MAP'!$DA$5:$EV$30,17,0))</f>
        <v>3</v>
      </c>
      <c r="S59" s="2">
        <f>SUMPRODUCT($CA59:$DV59,INDEX('MC MAP'!$DA$5:$EV$30,18,0))</f>
        <v>0</v>
      </c>
      <c r="T59" s="2">
        <f>SUMPRODUCT($CA59:$DV59,INDEX('MC MAP'!$DA$5:$EV$30,19,0))</f>
        <v>15</v>
      </c>
      <c r="U59" s="2">
        <f>SUMPRODUCT($CA59:$DV59,INDEX('MC MAP'!$DA$5:$EV$30,20,0))</f>
        <v>30</v>
      </c>
      <c r="V59" s="2">
        <f>SUMPRODUCT($CA59:$DV59,INDEX('MC MAP'!$DA$5:$EV$30,21,0))</f>
        <v>2</v>
      </c>
      <c r="W59" s="2">
        <f>SUMPRODUCT($CA59:$DV59,INDEX('MC MAP'!$DA$5:$EV$30,22,0))</f>
        <v>2</v>
      </c>
      <c r="X59" s="2">
        <f>SUMPRODUCT($CA59:$DV59,INDEX('MC MAP'!$DA$5:$EV$30,23,0))</f>
        <v>0</v>
      </c>
      <c r="Y59" s="2">
        <f>SUMPRODUCT($CA59:$DV59,INDEX('MC MAP'!$DA$5:$EV$30,24,0))</f>
        <v>8.5</v>
      </c>
      <c r="Z59" s="2">
        <f>SUMPRODUCT($CA59:$DV59,INDEX('MC MAP'!$DA$5:$EV$30,25,0))</f>
        <v>0</v>
      </c>
      <c r="AA59" s="2">
        <f>SUMPRODUCT($CA59:$DV59,INDEX('MC MAP'!$DA$5:$EV$30,26,0))</f>
        <v>26</v>
      </c>
      <c r="AB59" s="2">
        <f>SUM($B59:$AA59)</f>
        <v>729</v>
      </c>
      <c r="AC59" s="2">
        <f>SUM($CA59:$DV59)+$AW59</f>
        <v>24</v>
      </c>
      <c r="AW59" s="2">
        <f>IF($A59=0,0,COUNTIF(INDEX('LINE PLAN'!$B$36:$GS$61,0,ROW()-3),"THERMAL - NOT SPECIFIED"))</f>
        <v>0</v>
      </c>
      <c r="AX59" s="506" cm="1">
        <f t="array" ref="AX59">IF(OR($AB59=0,UPPER($BS59)&lt;&gt;"Y"),0,SUMPRODUCT(--($B59:$AA59&gt;$B$205:$AA$205)))</f>
        <v>2</v>
      </c>
      <c r="AY59" s="507">
        <f>$A59</f>
        <v>46290</v>
      </c>
      <c r="AZ59" s="2">
        <f>$AB59</f>
        <v>729</v>
      </c>
      <c r="BA59" s="2">
        <f>'MC MASTER'!$C$29</f>
        <v>920</v>
      </c>
      <c r="BD59" s="543" t="str">
        <f>INDEX('MC MASTER'!$B$3:$B$28,ROW()-34)</f>
        <v>Bartack Pattern tacker (LABEL ATTACH )</v>
      </c>
      <c r="BE59" s="521">
        <f>INDEX('MC MASTER'!$C$3:$C$28,ROW()-34)</f>
        <v>2</v>
      </c>
      <c r="BF59" s="522">
        <f ca="1">MAX(OFFSET($B$4,BF$32-1,MATCH($BD59,$B$3:$AA$3,0)-1,BF$33,1))</f>
        <v>0</v>
      </c>
      <c r="BG59" s="529">
        <f ca="1">MAX(OFFSET($B$4,BG$32-1,MATCH($BD59,$B$3:$AA$3,0)-1,BG$33,1))</f>
        <v>0</v>
      </c>
      <c r="BH59" s="529">
        <f ca="1">MAX(OFFSET($B$4,BH$32-1,MATCH($BD59,$B$3:$AA$3,0)-1,BH$33,1))</f>
        <v>0</v>
      </c>
      <c r="BI59" s="529">
        <f ca="1">MAX(OFFSET($B$4,BI$32-1,MATCH($BD59,$B$3:$AA$3,0)-1,BI$33,1))</f>
        <v>0</v>
      </c>
      <c r="BJ59" s="544" t="str">
        <f ca="1">IFERROR(INDEX($BF$34:$BI$34,MATCH(MAX($BF59:$BI59),$BF59:$BI59,0)),"")</f>
        <v>Aug</v>
      </c>
      <c r="BK59" s="523">
        <f ca="1">$BE59-MAX($BF59:$BI59)</f>
        <v>2</v>
      </c>
      <c r="BQ59" s="509">
        <f>$A59</f>
        <v>46290</v>
      </c>
      <c r="BR59" s="15" t="str">
        <f>TEXT($A59,"ddd")</f>
        <v>Fri</v>
      </c>
      <c r="BS59" s="547" t="s">
        <v>391</v>
      </c>
      <c r="BT59" s="15">
        <f>IF(UPPER($BS59)="Y",$AB59,0)</f>
        <v>729</v>
      </c>
      <c r="CA59" s="2">
        <f>COUNTIF(INDEX('LINE PLAN'!$B$36:$GS$61,0,ROW()-3),CA$3)</f>
        <v>1</v>
      </c>
      <c r="CB59" s="2">
        <f>COUNTIF(INDEX('LINE PLAN'!$B$36:$GS$61,0,ROW()-3),CB$3)</f>
        <v>1</v>
      </c>
      <c r="CC59" s="2">
        <f>COUNTIF(INDEX('LINE PLAN'!$B$36:$GS$61,0,ROW()-3),CC$3)</f>
        <v>2</v>
      </c>
      <c r="CD59" s="2">
        <f>COUNTIF(INDEX('LINE PLAN'!$B$36:$GS$61,0,ROW()-3),CD$3)</f>
        <v>0</v>
      </c>
      <c r="CE59" s="2">
        <f>COUNTIF(INDEX('LINE PLAN'!$B$36:$GS$61,0,ROW()-3),CE$3)</f>
        <v>0</v>
      </c>
      <c r="CF59" s="2">
        <f>COUNTIF(INDEX('LINE PLAN'!$B$36:$GS$61,0,ROW()-3),CF$3)</f>
        <v>4</v>
      </c>
      <c r="CG59" s="2">
        <f>COUNTIF(INDEX('LINE PLAN'!$B$36:$GS$61,0,ROW()-3),CG$3)</f>
        <v>7</v>
      </c>
      <c r="CH59" s="2">
        <f>COUNTIF(INDEX('LINE PLAN'!$B$36:$GS$61,0,ROW()-3),CH$3)</f>
        <v>3</v>
      </c>
      <c r="CI59" s="2">
        <f>COUNTIF(INDEX('LINE PLAN'!$B$36:$GS$61,0,ROW()-3),CI$3)</f>
        <v>1</v>
      </c>
      <c r="CJ59" s="2">
        <f>COUNTIF(INDEX('LINE PLAN'!$B$36:$GS$61,0,ROW()-3),CJ$3)</f>
        <v>0</v>
      </c>
      <c r="CK59" s="2">
        <f>COUNTIF(INDEX('LINE PLAN'!$B$36:$GS$61,0,ROW()-3),CK$3)</f>
        <v>0</v>
      </c>
      <c r="CL59" s="2">
        <f>COUNTIF(INDEX('LINE PLAN'!$B$36:$GS$61,0,ROW()-3),CL$3)</f>
        <v>0</v>
      </c>
      <c r="CM59" s="2">
        <f>COUNTIF(INDEX('LINE PLAN'!$B$36:$GS$61,0,ROW()-3),CM$3)</f>
        <v>0</v>
      </c>
      <c r="CN59" s="2">
        <f>COUNTIF(INDEX('LINE PLAN'!$B$36:$GS$61,0,ROW()-3),CN$3)</f>
        <v>1</v>
      </c>
      <c r="CO59" s="2">
        <f>COUNTIF(INDEX('LINE PLAN'!$B$36:$GS$61,0,ROW()-3),CO$3)</f>
        <v>0</v>
      </c>
      <c r="CP59" s="2">
        <f>COUNTIF(INDEX('LINE PLAN'!$B$36:$GS$61,0,ROW()-3),CP$3)</f>
        <v>2</v>
      </c>
      <c r="CQ59" s="2">
        <f>COUNTIF(INDEX('LINE PLAN'!$B$36:$GS$61,0,ROW()-3),CQ$3)</f>
        <v>0</v>
      </c>
      <c r="CR59" s="2">
        <f>COUNTIF(INDEX('LINE PLAN'!$B$36:$GS$61,0,ROW()-3),CR$3)</f>
        <v>2</v>
      </c>
      <c r="CS59" s="2">
        <f>COUNTIF(INDEX('LINE PLAN'!$B$36:$GS$61,0,ROW()-3),CS$3)</f>
        <v>0</v>
      </c>
      <c r="CT59" s="2">
        <f>COUNTIF(INDEX('LINE PLAN'!$B$36:$GS$61,0,ROW()-3),CT$3)</f>
        <v>0</v>
      </c>
      <c r="CU59" s="2">
        <f>COUNTIF(INDEX('LINE PLAN'!$B$36:$GS$61,0,ROW()-3),CU$3)</f>
        <v>0</v>
      </c>
      <c r="CV59" s="2">
        <f>COUNTIF(INDEX('LINE PLAN'!$B$36:$GS$61,0,ROW()-3),CV$3)</f>
        <v>0</v>
      </c>
      <c r="CW59" s="2">
        <f>COUNTIF(INDEX('LINE PLAN'!$B$36:$GS$61,0,ROW()-3),CW$3)</f>
        <v>0</v>
      </c>
      <c r="CX59" s="2">
        <f>COUNTIF(INDEX('LINE PLAN'!$B$36:$GS$61,0,ROW()-3),CX$3)</f>
        <v>0</v>
      </c>
      <c r="CY59" s="2">
        <f>COUNTIF(INDEX('LINE PLAN'!$B$36:$GS$61,0,ROW()-3),CY$3)</f>
        <v>0</v>
      </c>
      <c r="CZ59" s="2">
        <f>COUNTIF(INDEX('LINE PLAN'!$B$36:$GS$61,0,ROW()-3),CZ$3)</f>
        <v>0</v>
      </c>
      <c r="DA59" s="2">
        <f>COUNTIF(INDEX('LINE PLAN'!$B$36:$GS$61,0,ROW()-3),DA$3)</f>
        <v>0</v>
      </c>
      <c r="DB59" s="2">
        <f>COUNTIF(INDEX('LINE PLAN'!$B$36:$GS$61,0,ROW()-3),DB$3)</f>
        <v>0</v>
      </c>
      <c r="DC59" s="2">
        <f>COUNTIF(INDEX('LINE PLAN'!$B$36:$GS$61,0,ROW()-3),DC$3)</f>
        <v>0</v>
      </c>
      <c r="DD59" s="2">
        <f>COUNTIF(INDEX('LINE PLAN'!$B$36:$GS$61,0,ROW()-3),DD$3)</f>
        <v>0</v>
      </c>
      <c r="DE59" s="2">
        <f>COUNTIF(INDEX('LINE PLAN'!$B$36:$GS$61,0,ROW()-3),DE$3)</f>
        <v>0</v>
      </c>
      <c r="DF59" s="2">
        <f>COUNTIF(INDEX('LINE PLAN'!$B$36:$GS$61,0,ROW()-3),DF$3)</f>
        <v>0</v>
      </c>
      <c r="DG59" s="2">
        <f>COUNTIF(INDEX('LINE PLAN'!$B$36:$GS$61,0,ROW()-3),DG$3)</f>
        <v>0</v>
      </c>
      <c r="DH59" s="2">
        <f>COUNTIF(INDEX('LINE PLAN'!$B$36:$GS$61,0,ROW()-3),DH$3)</f>
        <v>0</v>
      </c>
      <c r="DI59" s="2">
        <f>COUNTIF(INDEX('LINE PLAN'!$B$36:$GS$61,0,ROW()-3),DI$3)</f>
        <v>0</v>
      </c>
      <c r="DJ59" s="2">
        <f>COUNTIF(INDEX('LINE PLAN'!$B$36:$GS$61,0,ROW()-3),DJ$3)</f>
        <v>0</v>
      </c>
      <c r="DK59" s="2">
        <f>COUNTIF(INDEX('LINE PLAN'!$B$36:$GS$61,0,ROW()-3),DK$3)</f>
        <v>0</v>
      </c>
      <c r="DL59" s="2">
        <f>COUNTIF(INDEX('LINE PLAN'!$B$36:$GS$61,0,ROW()-3),DL$3)</f>
        <v>0</v>
      </c>
      <c r="DM59" s="2">
        <f>COUNTIF(INDEX('LINE PLAN'!$B$36:$GS$61,0,ROW()-3),DM$3)</f>
        <v>0</v>
      </c>
      <c r="DN59" s="2">
        <f>COUNTIF(INDEX('LINE PLAN'!$B$36:$GS$61,0,ROW()-3),DN$3)</f>
        <v>0</v>
      </c>
      <c r="DO59" s="2">
        <f>COUNTIF(INDEX('LINE PLAN'!$B$36:$GS$61,0,ROW()-3),DO$3)</f>
        <v>0</v>
      </c>
      <c r="DP59" s="2">
        <f>COUNTIF(INDEX('LINE PLAN'!$B$36:$GS$61,0,ROW()-3),DP$3)</f>
        <v>0</v>
      </c>
      <c r="DQ59" s="2">
        <f>COUNTIF(INDEX('LINE PLAN'!$B$36:$GS$61,0,ROW()-3),DQ$3)</f>
        <v>0</v>
      </c>
      <c r="DR59" s="2">
        <f>COUNTIF(INDEX('LINE PLAN'!$B$36:$GS$61,0,ROW()-3),DR$3)</f>
        <v>0</v>
      </c>
      <c r="DS59" s="2">
        <f>COUNTIF(INDEX('LINE PLAN'!$B$36:$GS$61,0,ROW()-3),DS$3)</f>
        <v>0</v>
      </c>
      <c r="DT59" s="2">
        <f>COUNTIF(INDEX('LINE PLAN'!$B$36:$GS$61,0,ROW()-3),DT$3)</f>
        <v>0</v>
      </c>
      <c r="DU59" s="2">
        <f>COUNTIF(INDEX('LINE PLAN'!$B$36:$GS$61,0,ROW()-3),DU$3)</f>
        <v>0</v>
      </c>
      <c r="DV59" s="2">
        <f>COUNTIF(INDEX('LINE PLAN'!$B$36:$GS$61,0,ROW()-3),DV$3)</f>
        <v>0</v>
      </c>
    </row>
    <row r="60" spans="1:126">
      <c r="A60" s="505" cm="1">
        <f t="array" ref="A60">INDEX('LINE PLAN'!$B$35:$GS$35,ROW()-3)</f>
        <v>46291</v>
      </c>
      <c r="B60" s="2">
        <f>SUMPRODUCT($CA60:$DV60,INDEX('MC MAP'!$DA$5:$EV$30,1,0))</f>
        <v>145</v>
      </c>
      <c r="C60" s="2">
        <f>SUMPRODUCT($CA60:$DV60,INDEX('MC MAP'!$DA$5:$EV$30,2,0))</f>
        <v>1</v>
      </c>
      <c r="D60" s="2">
        <f>SUMPRODUCT($CA60:$DV60,INDEX('MC MAP'!$DA$5:$EV$30,3,0))</f>
        <v>0</v>
      </c>
      <c r="E60" s="2">
        <f>SUMPRODUCT($CA60:$DV60,INDEX('MC MAP'!$DA$5:$EV$30,4,0))</f>
        <v>4</v>
      </c>
      <c r="F60" s="2">
        <f>SUMPRODUCT($CA60:$DV60,INDEX('MC MAP'!$DA$5:$EV$30,5,0))</f>
        <v>224</v>
      </c>
      <c r="G60" s="2">
        <f>SUMPRODUCT($CA60:$DV60,INDEX('MC MAP'!$DA$5:$EV$30,6,0))</f>
        <v>15</v>
      </c>
      <c r="H60" s="2">
        <f>SUMPRODUCT($CA60:$DV60,INDEX('MC MAP'!$DA$5:$EV$30,7,0))</f>
        <v>0</v>
      </c>
      <c r="I60" s="2">
        <f>SUMPRODUCT($CA60:$DV60,INDEX('MC MAP'!$DA$5:$EV$30,8,0))</f>
        <v>41</v>
      </c>
      <c r="J60" s="2">
        <f>SUMPRODUCT($CA60:$DV60,INDEX('MC MAP'!$DA$5:$EV$30,9,0))</f>
        <v>32.5</v>
      </c>
      <c r="K60" s="2">
        <f>SUMPRODUCT($CA60:$DV60,INDEX('MC MAP'!$DA$5:$EV$30,10,0))</f>
        <v>12</v>
      </c>
      <c r="L60" s="2">
        <f>SUMPRODUCT($CA60:$DV60,INDEX('MC MAP'!$DA$5:$EV$30,11,0))</f>
        <v>15</v>
      </c>
      <c r="M60" s="2">
        <f>SUMPRODUCT($CA60:$DV60,INDEX('MC MAP'!$DA$5:$EV$30,12,0))</f>
        <v>33</v>
      </c>
      <c r="N60" s="2">
        <f>SUMPRODUCT($CA60:$DV60,INDEX('MC MAP'!$DA$5:$EV$30,13,0))</f>
        <v>35</v>
      </c>
      <c r="O60" s="2">
        <f>SUMPRODUCT($CA60:$DV60,INDEX('MC MAP'!$DA$5:$EV$30,14,0))</f>
        <v>33</v>
      </c>
      <c r="P60" s="2">
        <f>SUMPRODUCT($CA60:$DV60,INDEX('MC MAP'!$DA$5:$EV$30,15,0))</f>
        <v>52</v>
      </c>
      <c r="Q60" s="2">
        <f>SUMPRODUCT($CA60:$DV60,INDEX('MC MAP'!$DA$5:$EV$30,16,0))</f>
        <v>0</v>
      </c>
      <c r="R60" s="2">
        <f>SUMPRODUCT($CA60:$DV60,INDEX('MC MAP'!$DA$5:$EV$30,17,0))</f>
        <v>3</v>
      </c>
      <c r="S60" s="2">
        <f>SUMPRODUCT($CA60:$DV60,INDEX('MC MAP'!$DA$5:$EV$30,18,0))</f>
        <v>0</v>
      </c>
      <c r="T60" s="2">
        <f>SUMPRODUCT($CA60:$DV60,INDEX('MC MAP'!$DA$5:$EV$30,19,0))</f>
        <v>15</v>
      </c>
      <c r="U60" s="2">
        <f>SUMPRODUCT($CA60:$DV60,INDEX('MC MAP'!$DA$5:$EV$30,20,0))</f>
        <v>30</v>
      </c>
      <c r="V60" s="2">
        <f>SUMPRODUCT($CA60:$DV60,INDEX('MC MAP'!$DA$5:$EV$30,21,0))</f>
        <v>2</v>
      </c>
      <c r="W60" s="2">
        <f>SUMPRODUCT($CA60:$DV60,INDEX('MC MAP'!$DA$5:$EV$30,22,0))</f>
        <v>2</v>
      </c>
      <c r="X60" s="2">
        <f>SUMPRODUCT($CA60:$DV60,INDEX('MC MAP'!$DA$5:$EV$30,23,0))</f>
        <v>0</v>
      </c>
      <c r="Y60" s="2">
        <f>SUMPRODUCT($CA60:$DV60,INDEX('MC MAP'!$DA$5:$EV$30,24,0))</f>
        <v>8.5</v>
      </c>
      <c r="Z60" s="2">
        <f>SUMPRODUCT($CA60:$DV60,INDEX('MC MAP'!$DA$5:$EV$30,25,0))</f>
        <v>0</v>
      </c>
      <c r="AA60" s="2">
        <f>SUMPRODUCT($CA60:$DV60,INDEX('MC MAP'!$DA$5:$EV$30,26,0))</f>
        <v>26</v>
      </c>
      <c r="AB60" s="2">
        <f>SUM($B60:$AA60)</f>
        <v>729</v>
      </c>
      <c r="AC60" s="2">
        <f>SUM($CA60:$DV60)+$AW60</f>
        <v>24</v>
      </c>
      <c r="AW60" s="2">
        <f>IF($A60=0,0,COUNTIF(INDEX('LINE PLAN'!$B$36:$GS$61,0,ROW()-3),"THERMAL - NOT SPECIFIED"))</f>
        <v>0</v>
      </c>
      <c r="AX60" s="506" cm="1">
        <f t="array" ref="AX60">IF(OR($AB60=0,UPPER($BS60)&lt;&gt;"Y"),0,SUMPRODUCT(--($B60:$AA60&gt;$B$205:$AA$205)))</f>
        <v>2</v>
      </c>
      <c r="AY60" s="507">
        <f>$A60</f>
        <v>46291</v>
      </c>
      <c r="AZ60" s="2">
        <f>$AB60</f>
        <v>729</v>
      </c>
      <c r="BA60" s="2">
        <f>'MC MASTER'!$C$29</f>
        <v>920</v>
      </c>
      <c r="BD60" s="545" t="str">
        <f>INDEX('MC MASTER'!$B$3:$B$28,ROW()-34)</f>
        <v>Bartack Pattern tacker</v>
      </c>
      <c r="BE60" s="532">
        <f>INDEX('MC MASTER'!$C$3:$C$28,ROW()-34)</f>
        <v>35</v>
      </c>
      <c r="BF60" s="533">
        <f ca="1">MAX(OFFSET($B$4,BF$32-1,MATCH($BD60,$B$3:$AA$3,0)-1,BF$33,1))</f>
        <v>29</v>
      </c>
      <c r="BG60" s="530">
        <f ca="1">MAX(OFFSET($B$4,BG$32-1,MATCH($BD60,$B$3:$AA$3,0)-1,BG$33,1))</f>
        <v>26</v>
      </c>
      <c r="BH60" s="530">
        <f ca="1">MAX(OFFSET($B$4,BH$32-1,MATCH($BD60,$B$3:$AA$3,0)-1,BH$33,1))</f>
        <v>24</v>
      </c>
      <c r="BI60" s="530">
        <f ca="1">MAX(OFFSET($B$4,BI$32-1,MATCH($BD60,$B$3:$AA$3,0)-1,BI$33,1))</f>
        <v>0</v>
      </c>
      <c r="BJ60" s="546" t="str">
        <f ca="1">IFERROR(INDEX($BF$34:$BI$34,MATCH(MAX($BF60:$BI60),$BF60:$BI60,0)),"")</f>
        <v>Aug</v>
      </c>
      <c r="BK60" s="534">
        <f ca="1">$BE60-MAX($BF60:$BI60)</f>
        <v>6</v>
      </c>
      <c r="BQ60" s="509">
        <f>$A60</f>
        <v>46291</v>
      </c>
      <c r="BR60" s="15" t="str">
        <f>TEXT($A60,"ddd")</f>
        <v>Sat</v>
      </c>
      <c r="BS60" s="547" t="s">
        <v>391</v>
      </c>
      <c r="BT60" s="15">
        <f>IF(UPPER($BS60)="Y",$AB60,0)</f>
        <v>729</v>
      </c>
      <c r="CA60" s="2">
        <f>COUNTIF(INDEX('LINE PLAN'!$B$36:$GS$61,0,ROW()-3),CA$3)</f>
        <v>1</v>
      </c>
      <c r="CB60" s="2">
        <f>COUNTIF(INDEX('LINE PLAN'!$B$36:$GS$61,0,ROW()-3),CB$3)</f>
        <v>1</v>
      </c>
      <c r="CC60" s="2">
        <f>COUNTIF(INDEX('LINE PLAN'!$B$36:$GS$61,0,ROW()-3),CC$3)</f>
        <v>2</v>
      </c>
      <c r="CD60" s="2">
        <f>COUNTIF(INDEX('LINE PLAN'!$B$36:$GS$61,0,ROW()-3),CD$3)</f>
        <v>0</v>
      </c>
      <c r="CE60" s="2">
        <f>COUNTIF(INDEX('LINE PLAN'!$B$36:$GS$61,0,ROW()-3),CE$3)</f>
        <v>0</v>
      </c>
      <c r="CF60" s="2">
        <f>COUNTIF(INDEX('LINE PLAN'!$B$36:$GS$61,0,ROW()-3),CF$3)</f>
        <v>4</v>
      </c>
      <c r="CG60" s="2">
        <f>COUNTIF(INDEX('LINE PLAN'!$B$36:$GS$61,0,ROW()-3),CG$3)</f>
        <v>7</v>
      </c>
      <c r="CH60" s="2">
        <f>COUNTIF(INDEX('LINE PLAN'!$B$36:$GS$61,0,ROW()-3),CH$3)</f>
        <v>3</v>
      </c>
      <c r="CI60" s="2">
        <f>COUNTIF(INDEX('LINE PLAN'!$B$36:$GS$61,0,ROW()-3),CI$3)</f>
        <v>1</v>
      </c>
      <c r="CJ60" s="2">
        <f>COUNTIF(INDEX('LINE PLAN'!$B$36:$GS$61,0,ROW()-3),CJ$3)</f>
        <v>0</v>
      </c>
      <c r="CK60" s="2">
        <f>COUNTIF(INDEX('LINE PLAN'!$B$36:$GS$61,0,ROW()-3),CK$3)</f>
        <v>0</v>
      </c>
      <c r="CL60" s="2">
        <f>COUNTIF(INDEX('LINE PLAN'!$B$36:$GS$61,0,ROW()-3),CL$3)</f>
        <v>0</v>
      </c>
      <c r="CM60" s="2">
        <f>COUNTIF(INDEX('LINE PLAN'!$B$36:$GS$61,0,ROW()-3),CM$3)</f>
        <v>0</v>
      </c>
      <c r="CN60" s="2">
        <f>COUNTIF(INDEX('LINE PLAN'!$B$36:$GS$61,0,ROW()-3),CN$3)</f>
        <v>1</v>
      </c>
      <c r="CO60" s="2">
        <f>COUNTIF(INDEX('LINE PLAN'!$B$36:$GS$61,0,ROW()-3),CO$3)</f>
        <v>0</v>
      </c>
      <c r="CP60" s="2">
        <f>COUNTIF(INDEX('LINE PLAN'!$B$36:$GS$61,0,ROW()-3),CP$3)</f>
        <v>2</v>
      </c>
      <c r="CQ60" s="2">
        <f>COUNTIF(INDEX('LINE PLAN'!$B$36:$GS$61,0,ROW()-3),CQ$3)</f>
        <v>0</v>
      </c>
      <c r="CR60" s="2">
        <f>COUNTIF(INDEX('LINE PLAN'!$B$36:$GS$61,0,ROW()-3),CR$3)</f>
        <v>2</v>
      </c>
      <c r="CS60" s="2">
        <f>COUNTIF(INDEX('LINE PLAN'!$B$36:$GS$61,0,ROW()-3),CS$3)</f>
        <v>0</v>
      </c>
      <c r="CT60" s="2">
        <f>COUNTIF(INDEX('LINE PLAN'!$B$36:$GS$61,0,ROW()-3),CT$3)</f>
        <v>0</v>
      </c>
      <c r="CU60" s="2">
        <f>COUNTIF(INDEX('LINE PLAN'!$B$36:$GS$61,0,ROW()-3),CU$3)</f>
        <v>0</v>
      </c>
      <c r="CV60" s="2">
        <f>COUNTIF(INDEX('LINE PLAN'!$B$36:$GS$61,0,ROW()-3),CV$3)</f>
        <v>0</v>
      </c>
      <c r="CW60" s="2">
        <f>COUNTIF(INDEX('LINE PLAN'!$B$36:$GS$61,0,ROW()-3),CW$3)</f>
        <v>0</v>
      </c>
      <c r="CX60" s="2">
        <f>COUNTIF(INDEX('LINE PLAN'!$B$36:$GS$61,0,ROW()-3),CX$3)</f>
        <v>0</v>
      </c>
      <c r="CY60" s="2">
        <f>COUNTIF(INDEX('LINE PLAN'!$B$36:$GS$61,0,ROW()-3),CY$3)</f>
        <v>0</v>
      </c>
      <c r="CZ60" s="2">
        <f>COUNTIF(INDEX('LINE PLAN'!$B$36:$GS$61,0,ROW()-3),CZ$3)</f>
        <v>0</v>
      </c>
      <c r="DA60" s="2">
        <f>COUNTIF(INDEX('LINE PLAN'!$B$36:$GS$61,0,ROW()-3),DA$3)</f>
        <v>0</v>
      </c>
      <c r="DB60" s="2">
        <f>COUNTIF(INDEX('LINE PLAN'!$B$36:$GS$61,0,ROW()-3),DB$3)</f>
        <v>0</v>
      </c>
      <c r="DC60" s="2">
        <f>COUNTIF(INDEX('LINE PLAN'!$B$36:$GS$61,0,ROW()-3),DC$3)</f>
        <v>0</v>
      </c>
      <c r="DD60" s="2">
        <f>COUNTIF(INDEX('LINE PLAN'!$B$36:$GS$61,0,ROW()-3),DD$3)</f>
        <v>0</v>
      </c>
      <c r="DE60" s="2">
        <f>COUNTIF(INDEX('LINE PLAN'!$B$36:$GS$61,0,ROW()-3),DE$3)</f>
        <v>0</v>
      </c>
      <c r="DF60" s="2">
        <f>COUNTIF(INDEX('LINE PLAN'!$B$36:$GS$61,0,ROW()-3),DF$3)</f>
        <v>0</v>
      </c>
      <c r="DG60" s="2">
        <f>COUNTIF(INDEX('LINE PLAN'!$B$36:$GS$61,0,ROW()-3),DG$3)</f>
        <v>0</v>
      </c>
      <c r="DH60" s="2">
        <f>COUNTIF(INDEX('LINE PLAN'!$B$36:$GS$61,0,ROW()-3),DH$3)</f>
        <v>0</v>
      </c>
      <c r="DI60" s="2">
        <f>COUNTIF(INDEX('LINE PLAN'!$B$36:$GS$61,0,ROW()-3),DI$3)</f>
        <v>0</v>
      </c>
      <c r="DJ60" s="2">
        <f>COUNTIF(INDEX('LINE PLAN'!$B$36:$GS$61,0,ROW()-3),DJ$3)</f>
        <v>0</v>
      </c>
      <c r="DK60" s="2">
        <f>COUNTIF(INDEX('LINE PLAN'!$B$36:$GS$61,0,ROW()-3),DK$3)</f>
        <v>0</v>
      </c>
      <c r="DL60" s="2">
        <f>COUNTIF(INDEX('LINE PLAN'!$B$36:$GS$61,0,ROW()-3),DL$3)</f>
        <v>0</v>
      </c>
      <c r="DM60" s="2">
        <f>COUNTIF(INDEX('LINE PLAN'!$B$36:$GS$61,0,ROW()-3),DM$3)</f>
        <v>0</v>
      </c>
      <c r="DN60" s="2">
        <f>COUNTIF(INDEX('LINE PLAN'!$B$36:$GS$61,0,ROW()-3),DN$3)</f>
        <v>0</v>
      </c>
      <c r="DO60" s="2">
        <f>COUNTIF(INDEX('LINE PLAN'!$B$36:$GS$61,0,ROW()-3),DO$3)</f>
        <v>0</v>
      </c>
      <c r="DP60" s="2">
        <f>COUNTIF(INDEX('LINE PLAN'!$B$36:$GS$61,0,ROW()-3),DP$3)</f>
        <v>0</v>
      </c>
      <c r="DQ60" s="2">
        <f>COUNTIF(INDEX('LINE PLAN'!$B$36:$GS$61,0,ROW()-3),DQ$3)</f>
        <v>0</v>
      </c>
      <c r="DR60" s="2">
        <f>COUNTIF(INDEX('LINE PLAN'!$B$36:$GS$61,0,ROW()-3),DR$3)</f>
        <v>0</v>
      </c>
      <c r="DS60" s="2">
        <f>COUNTIF(INDEX('LINE PLAN'!$B$36:$GS$61,0,ROW()-3),DS$3)</f>
        <v>0</v>
      </c>
      <c r="DT60" s="2">
        <f>COUNTIF(INDEX('LINE PLAN'!$B$36:$GS$61,0,ROW()-3),DT$3)</f>
        <v>0</v>
      </c>
      <c r="DU60" s="2">
        <f>COUNTIF(INDEX('LINE PLAN'!$B$36:$GS$61,0,ROW()-3),DU$3)</f>
        <v>0</v>
      </c>
      <c r="DV60" s="2">
        <f>COUNTIF(INDEX('LINE PLAN'!$B$36:$GS$61,0,ROW()-3),DV$3)</f>
        <v>0</v>
      </c>
    </row>
    <row r="61" spans="1:126">
      <c r="A61" s="505" cm="1">
        <f t="array" ref="A61">INDEX('LINE PLAN'!$B$35:$GS$35,ROW()-3)</f>
        <v>46292</v>
      </c>
      <c r="B61" s="2">
        <f>SUMPRODUCT($CA61:$DV61,INDEX('MC MAP'!$DA$5:$EV$30,1,0))</f>
        <v>145</v>
      </c>
      <c r="C61" s="2">
        <f>SUMPRODUCT($CA61:$DV61,INDEX('MC MAP'!$DA$5:$EV$30,2,0))</f>
        <v>1</v>
      </c>
      <c r="D61" s="2">
        <f>SUMPRODUCT($CA61:$DV61,INDEX('MC MAP'!$DA$5:$EV$30,3,0))</f>
        <v>0</v>
      </c>
      <c r="E61" s="2">
        <f>SUMPRODUCT($CA61:$DV61,INDEX('MC MAP'!$DA$5:$EV$30,4,0))</f>
        <v>4</v>
      </c>
      <c r="F61" s="2">
        <f>SUMPRODUCT($CA61:$DV61,INDEX('MC MAP'!$DA$5:$EV$30,5,0))</f>
        <v>224</v>
      </c>
      <c r="G61" s="2">
        <f>SUMPRODUCT($CA61:$DV61,INDEX('MC MAP'!$DA$5:$EV$30,6,0))</f>
        <v>15</v>
      </c>
      <c r="H61" s="2">
        <f>SUMPRODUCT($CA61:$DV61,INDEX('MC MAP'!$DA$5:$EV$30,7,0))</f>
        <v>0</v>
      </c>
      <c r="I61" s="2">
        <f>SUMPRODUCT($CA61:$DV61,INDEX('MC MAP'!$DA$5:$EV$30,8,0))</f>
        <v>41</v>
      </c>
      <c r="J61" s="2">
        <f>SUMPRODUCT($CA61:$DV61,INDEX('MC MAP'!$DA$5:$EV$30,9,0))</f>
        <v>32.5</v>
      </c>
      <c r="K61" s="2">
        <f>SUMPRODUCT($CA61:$DV61,INDEX('MC MAP'!$DA$5:$EV$30,10,0))</f>
        <v>12</v>
      </c>
      <c r="L61" s="2">
        <f>SUMPRODUCT($CA61:$DV61,INDEX('MC MAP'!$DA$5:$EV$30,11,0))</f>
        <v>15</v>
      </c>
      <c r="M61" s="2">
        <f>SUMPRODUCT($CA61:$DV61,INDEX('MC MAP'!$DA$5:$EV$30,12,0))</f>
        <v>33</v>
      </c>
      <c r="N61" s="2">
        <f>SUMPRODUCT($CA61:$DV61,INDEX('MC MAP'!$DA$5:$EV$30,13,0))</f>
        <v>35</v>
      </c>
      <c r="O61" s="2">
        <f>SUMPRODUCT($CA61:$DV61,INDEX('MC MAP'!$DA$5:$EV$30,14,0))</f>
        <v>33</v>
      </c>
      <c r="P61" s="2">
        <f>SUMPRODUCT($CA61:$DV61,INDEX('MC MAP'!$DA$5:$EV$30,15,0))</f>
        <v>52</v>
      </c>
      <c r="Q61" s="2">
        <f>SUMPRODUCT($CA61:$DV61,INDEX('MC MAP'!$DA$5:$EV$30,16,0))</f>
        <v>0</v>
      </c>
      <c r="R61" s="2">
        <f>SUMPRODUCT($CA61:$DV61,INDEX('MC MAP'!$DA$5:$EV$30,17,0))</f>
        <v>3</v>
      </c>
      <c r="S61" s="2">
        <f>SUMPRODUCT($CA61:$DV61,INDEX('MC MAP'!$DA$5:$EV$30,18,0))</f>
        <v>0</v>
      </c>
      <c r="T61" s="2">
        <f>SUMPRODUCT($CA61:$DV61,INDEX('MC MAP'!$DA$5:$EV$30,19,0))</f>
        <v>15</v>
      </c>
      <c r="U61" s="2">
        <f>SUMPRODUCT($CA61:$DV61,INDEX('MC MAP'!$DA$5:$EV$30,20,0))</f>
        <v>30</v>
      </c>
      <c r="V61" s="2">
        <f>SUMPRODUCT($CA61:$DV61,INDEX('MC MAP'!$DA$5:$EV$30,21,0))</f>
        <v>2</v>
      </c>
      <c r="W61" s="2">
        <f>SUMPRODUCT($CA61:$DV61,INDEX('MC MAP'!$DA$5:$EV$30,22,0))</f>
        <v>2</v>
      </c>
      <c r="X61" s="2">
        <f>SUMPRODUCT($CA61:$DV61,INDEX('MC MAP'!$DA$5:$EV$30,23,0))</f>
        <v>0</v>
      </c>
      <c r="Y61" s="2">
        <f>SUMPRODUCT($CA61:$DV61,INDEX('MC MAP'!$DA$5:$EV$30,24,0))</f>
        <v>8.5</v>
      </c>
      <c r="Z61" s="2">
        <f>SUMPRODUCT($CA61:$DV61,INDEX('MC MAP'!$DA$5:$EV$30,25,0))</f>
        <v>0</v>
      </c>
      <c r="AA61" s="2">
        <f>SUMPRODUCT($CA61:$DV61,INDEX('MC MAP'!$DA$5:$EV$30,26,0))</f>
        <v>26</v>
      </c>
      <c r="AB61" s="2">
        <f>SUM($B61:$AA61)</f>
        <v>729</v>
      </c>
      <c r="AC61" s="2">
        <f>SUM($CA61:$DV61)+$AW61</f>
        <v>24</v>
      </c>
      <c r="AW61" s="2">
        <f>IF($A61=0,0,COUNTIF(INDEX('LINE PLAN'!$B$36:$GS$61,0,ROW()-3),"THERMAL - NOT SPECIFIED"))</f>
        <v>0</v>
      </c>
      <c r="AX61" s="506" cm="1">
        <f t="array" ref="AX61">IF(OR($AB61=0,UPPER($BS61)&lt;&gt;"Y"),0,SUMPRODUCT(--($B61:$AA61&gt;$B$205:$AA$205)))</f>
        <v>0</v>
      </c>
      <c r="AY61" s="507">
        <f>$A61</f>
        <v>46292</v>
      </c>
      <c r="AZ61" s="2">
        <f>$AB61</f>
        <v>729</v>
      </c>
      <c r="BA61" s="2">
        <f>'MC MASTER'!$C$29</f>
        <v>920</v>
      </c>
      <c r="BQ61" s="509">
        <f>$A61</f>
        <v>46292</v>
      </c>
      <c r="BR61" s="15" t="str">
        <f>TEXT($A61,"ddd")</f>
        <v>Sun</v>
      </c>
      <c r="BS61" s="547" t="s">
        <v>392</v>
      </c>
      <c r="BT61" s="15">
        <f>IF(UPPER($BS61)="Y",$AB61,0)</f>
        <v>0</v>
      </c>
      <c r="CA61" s="2">
        <f>COUNTIF(INDEX('LINE PLAN'!$B$36:$GS$61,0,ROW()-3),CA$3)</f>
        <v>1</v>
      </c>
      <c r="CB61" s="2">
        <f>COUNTIF(INDEX('LINE PLAN'!$B$36:$GS$61,0,ROW()-3),CB$3)</f>
        <v>1</v>
      </c>
      <c r="CC61" s="2">
        <f>COUNTIF(INDEX('LINE PLAN'!$B$36:$GS$61,0,ROW()-3),CC$3)</f>
        <v>2</v>
      </c>
      <c r="CD61" s="2">
        <f>COUNTIF(INDEX('LINE PLAN'!$B$36:$GS$61,0,ROW()-3),CD$3)</f>
        <v>0</v>
      </c>
      <c r="CE61" s="2">
        <f>COUNTIF(INDEX('LINE PLAN'!$B$36:$GS$61,0,ROW()-3),CE$3)</f>
        <v>0</v>
      </c>
      <c r="CF61" s="2">
        <f>COUNTIF(INDEX('LINE PLAN'!$B$36:$GS$61,0,ROW()-3),CF$3)</f>
        <v>4</v>
      </c>
      <c r="CG61" s="2">
        <f>COUNTIF(INDEX('LINE PLAN'!$B$36:$GS$61,0,ROW()-3),CG$3)</f>
        <v>7</v>
      </c>
      <c r="CH61" s="2">
        <f>COUNTIF(INDEX('LINE PLAN'!$B$36:$GS$61,0,ROW()-3),CH$3)</f>
        <v>3</v>
      </c>
      <c r="CI61" s="2">
        <f>COUNTIF(INDEX('LINE PLAN'!$B$36:$GS$61,0,ROW()-3),CI$3)</f>
        <v>1</v>
      </c>
      <c r="CJ61" s="2">
        <f>COUNTIF(INDEX('LINE PLAN'!$B$36:$GS$61,0,ROW()-3),CJ$3)</f>
        <v>0</v>
      </c>
      <c r="CK61" s="2">
        <f>COUNTIF(INDEX('LINE PLAN'!$B$36:$GS$61,0,ROW()-3),CK$3)</f>
        <v>0</v>
      </c>
      <c r="CL61" s="2">
        <f>COUNTIF(INDEX('LINE PLAN'!$B$36:$GS$61,0,ROW()-3),CL$3)</f>
        <v>0</v>
      </c>
      <c r="CM61" s="2">
        <f>COUNTIF(INDEX('LINE PLAN'!$B$36:$GS$61,0,ROW()-3),CM$3)</f>
        <v>0</v>
      </c>
      <c r="CN61" s="2">
        <f>COUNTIF(INDEX('LINE PLAN'!$B$36:$GS$61,0,ROW()-3),CN$3)</f>
        <v>1</v>
      </c>
      <c r="CO61" s="2">
        <f>COUNTIF(INDEX('LINE PLAN'!$B$36:$GS$61,0,ROW()-3),CO$3)</f>
        <v>0</v>
      </c>
      <c r="CP61" s="2">
        <f>COUNTIF(INDEX('LINE PLAN'!$B$36:$GS$61,0,ROW()-3),CP$3)</f>
        <v>2</v>
      </c>
      <c r="CQ61" s="2">
        <f>COUNTIF(INDEX('LINE PLAN'!$B$36:$GS$61,0,ROW()-3),CQ$3)</f>
        <v>0</v>
      </c>
      <c r="CR61" s="2">
        <f>COUNTIF(INDEX('LINE PLAN'!$B$36:$GS$61,0,ROW()-3),CR$3)</f>
        <v>2</v>
      </c>
      <c r="CS61" s="2">
        <f>COUNTIF(INDEX('LINE PLAN'!$B$36:$GS$61,0,ROW()-3),CS$3)</f>
        <v>0</v>
      </c>
      <c r="CT61" s="2">
        <f>COUNTIF(INDEX('LINE PLAN'!$B$36:$GS$61,0,ROW()-3),CT$3)</f>
        <v>0</v>
      </c>
      <c r="CU61" s="2">
        <f>COUNTIF(INDEX('LINE PLAN'!$B$36:$GS$61,0,ROW()-3),CU$3)</f>
        <v>0</v>
      </c>
      <c r="CV61" s="2">
        <f>COUNTIF(INDEX('LINE PLAN'!$B$36:$GS$61,0,ROW()-3),CV$3)</f>
        <v>0</v>
      </c>
      <c r="CW61" s="2">
        <f>COUNTIF(INDEX('LINE PLAN'!$B$36:$GS$61,0,ROW()-3),CW$3)</f>
        <v>0</v>
      </c>
      <c r="CX61" s="2">
        <f>COUNTIF(INDEX('LINE PLAN'!$B$36:$GS$61,0,ROW()-3),CX$3)</f>
        <v>0</v>
      </c>
      <c r="CY61" s="2">
        <f>COUNTIF(INDEX('LINE PLAN'!$B$36:$GS$61,0,ROW()-3),CY$3)</f>
        <v>0</v>
      </c>
      <c r="CZ61" s="2">
        <f>COUNTIF(INDEX('LINE PLAN'!$B$36:$GS$61,0,ROW()-3),CZ$3)</f>
        <v>0</v>
      </c>
      <c r="DA61" s="2">
        <f>COUNTIF(INDEX('LINE PLAN'!$B$36:$GS$61,0,ROW()-3),DA$3)</f>
        <v>0</v>
      </c>
      <c r="DB61" s="2">
        <f>COUNTIF(INDEX('LINE PLAN'!$B$36:$GS$61,0,ROW()-3),DB$3)</f>
        <v>0</v>
      </c>
      <c r="DC61" s="2">
        <f>COUNTIF(INDEX('LINE PLAN'!$B$36:$GS$61,0,ROW()-3),DC$3)</f>
        <v>0</v>
      </c>
      <c r="DD61" s="2">
        <f>COUNTIF(INDEX('LINE PLAN'!$B$36:$GS$61,0,ROW()-3),DD$3)</f>
        <v>0</v>
      </c>
      <c r="DE61" s="2">
        <f>COUNTIF(INDEX('LINE PLAN'!$B$36:$GS$61,0,ROW()-3),DE$3)</f>
        <v>0</v>
      </c>
      <c r="DF61" s="2">
        <f>COUNTIF(INDEX('LINE PLAN'!$B$36:$GS$61,0,ROW()-3),DF$3)</f>
        <v>0</v>
      </c>
      <c r="DG61" s="2">
        <f>COUNTIF(INDEX('LINE PLAN'!$B$36:$GS$61,0,ROW()-3),DG$3)</f>
        <v>0</v>
      </c>
      <c r="DH61" s="2">
        <f>COUNTIF(INDEX('LINE PLAN'!$B$36:$GS$61,0,ROW()-3),DH$3)</f>
        <v>0</v>
      </c>
      <c r="DI61" s="2">
        <f>COUNTIF(INDEX('LINE PLAN'!$B$36:$GS$61,0,ROW()-3),DI$3)</f>
        <v>0</v>
      </c>
      <c r="DJ61" s="2">
        <f>COUNTIF(INDEX('LINE PLAN'!$B$36:$GS$61,0,ROW()-3),DJ$3)</f>
        <v>0</v>
      </c>
      <c r="DK61" s="2">
        <f>COUNTIF(INDEX('LINE PLAN'!$B$36:$GS$61,0,ROW()-3),DK$3)</f>
        <v>0</v>
      </c>
      <c r="DL61" s="2">
        <f>COUNTIF(INDEX('LINE PLAN'!$B$36:$GS$61,0,ROW()-3),DL$3)</f>
        <v>0</v>
      </c>
      <c r="DM61" s="2">
        <f>COUNTIF(INDEX('LINE PLAN'!$B$36:$GS$61,0,ROW()-3),DM$3)</f>
        <v>0</v>
      </c>
      <c r="DN61" s="2">
        <f>COUNTIF(INDEX('LINE PLAN'!$B$36:$GS$61,0,ROW()-3),DN$3)</f>
        <v>0</v>
      </c>
      <c r="DO61" s="2">
        <f>COUNTIF(INDEX('LINE PLAN'!$B$36:$GS$61,0,ROW()-3),DO$3)</f>
        <v>0</v>
      </c>
      <c r="DP61" s="2">
        <f>COUNTIF(INDEX('LINE PLAN'!$B$36:$GS$61,0,ROW()-3),DP$3)</f>
        <v>0</v>
      </c>
      <c r="DQ61" s="2">
        <f>COUNTIF(INDEX('LINE PLAN'!$B$36:$GS$61,0,ROW()-3),DQ$3)</f>
        <v>0</v>
      </c>
      <c r="DR61" s="2">
        <f>COUNTIF(INDEX('LINE PLAN'!$B$36:$GS$61,0,ROW()-3),DR$3)</f>
        <v>0</v>
      </c>
      <c r="DS61" s="2">
        <f>COUNTIF(INDEX('LINE PLAN'!$B$36:$GS$61,0,ROW()-3),DS$3)</f>
        <v>0</v>
      </c>
      <c r="DT61" s="2">
        <f>COUNTIF(INDEX('LINE PLAN'!$B$36:$GS$61,0,ROW()-3),DT$3)</f>
        <v>0</v>
      </c>
      <c r="DU61" s="2">
        <f>COUNTIF(INDEX('LINE PLAN'!$B$36:$GS$61,0,ROW()-3),DU$3)</f>
        <v>0</v>
      </c>
      <c r="DV61" s="2">
        <f>COUNTIF(INDEX('LINE PLAN'!$B$36:$GS$61,0,ROW()-3),DV$3)</f>
        <v>0</v>
      </c>
    </row>
    <row r="62" spans="1:126">
      <c r="A62" s="505" cm="1">
        <f t="array" ref="A62">INDEX('LINE PLAN'!$B$35:$GS$35,ROW()-3)</f>
        <v>46293</v>
      </c>
      <c r="B62" s="2">
        <f>SUMPRODUCT($CA62:$DV62,INDEX('MC MAP'!$DA$5:$EV$30,1,0))</f>
        <v>145</v>
      </c>
      <c r="C62" s="2">
        <f>SUMPRODUCT($CA62:$DV62,INDEX('MC MAP'!$DA$5:$EV$30,2,0))</f>
        <v>1</v>
      </c>
      <c r="D62" s="2">
        <f>SUMPRODUCT($CA62:$DV62,INDEX('MC MAP'!$DA$5:$EV$30,3,0))</f>
        <v>0</v>
      </c>
      <c r="E62" s="2">
        <f>SUMPRODUCT($CA62:$DV62,INDEX('MC MAP'!$DA$5:$EV$30,4,0))</f>
        <v>4</v>
      </c>
      <c r="F62" s="2">
        <f>SUMPRODUCT($CA62:$DV62,INDEX('MC MAP'!$DA$5:$EV$30,5,0))</f>
        <v>224</v>
      </c>
      <c r="G62" s="2">
        <f>SUMPRODUCT($CA62:$DV62,INDEX('MC MAP'!$DA$5:$EV$30,6,0))</f>
        <v>15</v>
      </c>
      <c r="H62" s="2">
        <f>SUMPRODUCT($CA62:$DV62,INDEX('MC MAP'!$DA$5:$EV$30,7,0))</f>
        <v>0</v>
      </c>
      <c r="I62" s="2">
        <f>SUMPRODUCT($CA62:$DV62,INDEX('MC MAP'!$DA$5:$EV$30,8,0))</f>
        <v>41</v>
      </c>
      <c r="J62" s="2">
        <f>SUMPRODUCT($CA62:$DV62,INDEX('MC MAP'!$DA$5:$EV$30,9,0))</f>
        <v>32.5</v>
      </c>
      <c r="K62" s="2">
        <f>SUMPRODUCT($CA62:$DV62,INDEX('MC MAP'!$DA$5:$EV$30,10,0))</f>
        <v>12</v>
      </c>
      <c r="L62" s="2">
        <f>SUMPRODUCT($CA62:$DV62,INDEX('MC MAP'!$DA$5:$EV$30,11,0))</f>
        <v>15</v>
      </c>
      <c r="M62" s="2">
        <f>SUMPRODUCT($CA62:$DV62,INDEX('MC MAP'!$DA$5:$EV$30,12,0))</f>
        <v>33</v>
      </c>
      <c r="N62" s="2">
        <f>SUMPRODUCT($CA62:$DV62,INDEX('MC MAP'!$DA$5:$EV$30,13,0))</f>
        <v>35</v>
      </c>
      <c r="O62" s="2">
        <f>SUMPRODUCT($CA62:$DV62,INDEX('MC MAP'!$DA$5:$EV$30,14,0))</f>
        <v>33</v>
      </c>
      <c r="P62" s="2">
        <f>SUMPRODUCT($CA62:$DV62,INDEX('MC MAP'!$DA$5:$EV$30,15,0))</f>
        <v>52</v>
      </c>
      <c r="Q62" s="2">
        <f>SUMPRODUCT($CA62:$DV62,INDEX('MC MAP'!$DA$5:$EV$30,16,0))</f>
        <v>0</v>
      </c>
      <c r="R62" s="2">
        <f>SUMPRODUCT($CA62:$DV62,INDEX('MC MAP'!$DA$5:$EV$30,17,0))</f>
        <v>3</v>
      </c>
      <c r="S62" s="2">
        <f>SUMPRODUCT($CA62:$DV62,INDEX('MC MAP'!$DA$5:$EV$30,18,0))</f>
        <v>0</v>
      </c>
      <c r="T62" s="2">
        <f>SUMPRODUCT($CA62:$DV62,INDEX('MC MAP'!$DA$5:$EV$30,19,0))</f>
        <v>15</v>
      </c>
      <c r="U62" s="2">
        <f>SUMPRODUCT($CA62:$DV62,INDEX('MC MAP'!$DA$5:$EV$30,20,0))</f>
        <v>30</v>
      </c>
      <c r="V62" s="2">
        <f>SUMPRODUCT($CA62:$DV62,INDEX('MC MAP'!$DA$5:$EV$30,21,0))</f>
        <v>2</v>
      </c>
      <c r="W62" s="2">
        <f>SUMPRODUCT($CA62:$DV62,INDEX('MC MAP'!$DA$5:$EV$30,22,0))</f>
        <v>2</v>
      </c>
      <c r="X62" s="2">
        <f>SUMPRODUCT($CA62:$DV62,INDEX('MC MAP'!$DA$5:$EV$30,23,0))</f>
        <v>0</v>
      </c>
      <c r="Y62" s="2">
        <f>SUMPRODUCT($CA62:$DV62,INDEX('MC MAP'!$DA$5:$EV$30,24,0))</f>
        <v>8.5</v>
      </c>
      <c r="Z62" s="2">
        <f>SUMPRODUCT($CA62:$DV62,INDEX('MC MAP'!$DA$5:$EV$30,25,0))</f>
        <v>0</v>
      </c>
      <c r="AA62" s="2">
        <f>SUMPRODUCT($CA62:$DV62,INDEX('MC MAP'!$DA$5:$EV$30,26,0))</f>
        <v>26</v>
      </c>
      <c r="AB62" s="2">
        <f>SUM($B62:$AA62)</f>
        <v>729</v>
      </c>
      <c r="AC62" s="2">
        <f>SUM($CA62:$DV62)+$AW62</f>
        <v>24</v>
      </c>
      <c r="AW62" s="2">
        <f>IF($A62=0,0,COUNTIF(INDEX('LINE PLAN'!$B$36:$GS$61,0,ROW()-3),"THERMAL - NOT SPECIFIED"))</f>
        <v>0</v>
      </c>
      <c r="AX62" s="506" cm="1">
        <f t="array" ref="AX62">IF(OR($AB62=0,UPPER($BS62)&lt;&gt;"Y"),0,SUMPRODUCT(--($B62:$AA62&gt;$B$205:$AA$205)))</f>
        <v>2</v>
      </c>
      <c r="AY62" s="507">
        <f>$A62</f>
        <v>46293</v>
      </c>
      <c r="AZ62" s="2">
        <f>$AB62</f>
        <v>729</v>
      </c>
      <c r="BA62" s="2">
        <f>'MC MASTER'!$C$29</f>
        <v>920</v>
      </c>
      <c r="BQ62" s="509">
        <f>$A62</f>
        <v>46293</v>
      </c>
      <c r="BR62" s="15" t="str">
        <f>TEXT($A62,"ddd")</f>
        <v>Mon</v>
      </c>
      <c r="BS62" s="547" t="s">
        <v>391</v>
      </c>
      <c r="BT62" s="15">
        <f>IF(UPPER($BS62)="Y",$AB62,0)</f>
        <v>729</v>
      </c>
      <c r="CA62" s="2">
        <f>COUNTIF(INDEX('LINE PLAN'!$B$36:$GS$61,0,ROW()-3),CA$3)</f>
        <v>1</v>
      </c>
      <c r="CB62" s="2">
        <f>COUNTIF(INDEX('LINE PLAN'!$B$36:$GS$61,0,ROW()-3),CB$3)</f>
        <v>1</v>
      </c>
      <c r="CC62" s="2">
        <f>COUNTIF(INDEX('LINE PLAN'!$B$36:$GS$61,0,ROW()-3),CC$3)</f>
        <v>2</v>
      </c>
      <c r="CD62" s="2">
        <f>COUNTIF(INDEX('LINE PLAN'!$B$36:$GS$61,0,ROW()-3),CD$3)</f>
        <v>0</v>
      </c>
      <c r="CE62" s="2">
        <f>COUNTIF(INDEX('LINE PLAN'!$B$36:$GS$61,0,ROW()-3),CE$3)</f>
        <v>0</v>
      </c>
      <c r="CF62" s="2">
        <f>COUNTIF(INDEX('LINE PLAN'!$B$36:$GS$61,0,ROW()-3),CF$3)</f>
        <v>4</v>
      </c>
      <c r="CG62" s="2">
        <f>COUNTIF(INDEX('LINE PLAN'!$B$36:$GS$61,0,ROW()-3),CG$3)</f>
        <v>7</v>
      </c>
      <c r="CH62" s="2">
        <f>COUNTIF(INDEX('LINE PLAN'!$B$36:$GS$61,0,ROW()-3),CH$3)</f>
        <v>3</v>
      </c>
      <c r="CI62" s="2">
        <f>COUNTIF(INDEX('LINE PLAN'!$B$36:$GS$61,0,ROW()-3),CI$3)</f>
        <v>1</v>
      </c>
      <c r="CJ62" s="2">
        <f>COUNTIF(INDEX('LINE PLAN'!$B$36:$GS$61,0,ROW()-3),CJ$3)</f>
        <v>0</v>
      </c>
      <c r="CK62" s="2">
        <f>COUNTIF(INDEX('LINE PLAN'!$B$36:$GS$61,0,ROW()-3),CK$3)</f>
        <v>0</v>
      </c>
      <c r="CL62" s="2">
        <f>COUNTIF(INDEX('LINE PLAN'!$B$36:$GS$61,0,ROW()-3),CL$3)</f>
        <v>0</v>
      </c>
      <c r="CM62" s="2">
        <f>COUNTIF(INDEX('LINE PLAN'!$B$36:$GS$61,0,ROW()-3),CM$3)</f>
        <v>0</v>
      </c>
      <c r="CN62" s="2">
        <f>COUNTIF(INDEX('LINE PLAN'!$B$36:$GS$61,0,ROW()-3),CN$3)</f>
        <v>1</v>
      </c>
      <c r="CO62" s="2">
        <f>COUNTIF(INDEX('LINE PLAN'!$B$36:$GS$61,0,ROW()-3),CO$3)</f>
        <v>0</v>
      </c>
      <c r="CP62" s="2">
        <f>COUNTIF(INDEX('LINE PLAN'!$B$36:$GS$61,0,ROW()-3),CP$3)</f>
        <v>2</v>
      </c>
      <c r="CQ62" s="2">
        <f>COUNTIF(INDEX('LINE PLAN'!$B$36:$GS$61,0,ROW()-3),CQ$3)</f>
        <v>0</v>
      </c>
      <c r="CR62" s="2">
        <f>COUNTIF(INDEX('LINE PLAN'!$B$36:$GS$61,0,ROW()-3),CR$3)</f>
        <v>2</v>
      </c>
      <c r="CS62" s="2">
        <f>COUNTIF(INDEX('LINE PLAN'!$B$36:$GS$61,0,ROW()-3),CS$3)</f>
        <v>0</v>
      </c>
      <c r="CT62" s="2">
        <f>COUNTIF(INDEX('LINE PLAN'!$B$36:$GS$61,0,ROW()-3),CT$3)</f>
        <v>0</v>
      </c>
      <c r="CU62" s="2">
        <f>COUNTIF(INDEX('LINE PLAN'!$B$36:$GS$61,0,ROW()-3),CU$3)</f>
        <v>0</v>
      </c>
      <c r="CV62" s="2">
        <f>COUNTIF(INDEX('LINE PLAN'!$B$36:$GS$61,0,ROW()-3),CV$3)</f>
        <v>0</v>
      </c>
      <c r="CW62" s="2">
        <f>COUNTIF(INDEX('LINE PLAN'!$B$36:$GS$61,0,ROW()-3),CW$3)</f>
        <v>0</v>
      </c>
      <c r="CX62" s="2">
        <f>COUNTIF(INDEX('LINE PLAN'!$B$36:$GS$61,0,ROW()-3),CX$3)</f>
        <v>0</v>
      </c>
      <c r="CY62" s="2">
        <f>COUNTIF(INDEX('LINE PLAN'!$B$36:$GS$61,0,ROW()-3),CY$3)</f>
        <v>0</v>
      </c>
      <c r="CZ62" s="2">
        <f>COUNTIF(INDEX('LINE PLAN'!$B$36:$GS$61,0,ROW()-3),CZ$3)</f>
        <v>0</v>
      </c>
      <c r="DA62" s="2">
        <f>COUNTIF(INDEX('LINE PLAN'!$B$36:$GS$61,0,ROW()-3),DA$3)</f>
        <v>0</v>
      </c>
      <c r="DB62" s="2">
        <f>COUNTIF(INDEX('LINE PLAN'!$B$36:$GS$61,0,ROW()-3),DB$3)</f>
        <v>0</v>
      </c>
      <c r="DC62" s="2">
        <f>COUNTIF(INDEX('LINE PLAN'!$B$36:$GS$61,0,ROW()-3),DC$3)</f>
        <v>0</v>
      </c>
      <c r="DD62" s="2">
        <f>COUNTIF(INDEX('LINE PLAN'!$B$36:$GS$61,0,ROW()-3),DD$3)</f>
        <v>0</v>
      </c>
      <c r="DE62" s="2">
        <f>COUNTIF(INDEX('LINE PLAN'!$B$36:$GS$61,0,ROW()-3),DE$3)</f>
        <v>0</v>
      </c>
      <c r="DF62" s="2">
        <f>COUNTIF(INDEX('LINE PLAN'!$B$36:$GS$61,0,ROW()-3),DF$3)</f>
        <v>0</v>
      </c>
      <c r="DG62" s="2">
        <f>COUNTIF(INDEX('LINE PLAN'!$B$36:$GS$61,0,ROW()-3),DG$3)</f>
        <v>0</v>
      </c>
      <c r="DH62" s="2">
        <f>COUNTIF(INDEX('LINE PLAN'!$B$36:$GS$61,0,ROW()-3),DH$3)</f>
        <v>0</v>
      </c>
      <c r="DI62" s="2">
        <f>COUNTIF(INDEX('LINE PLAN'!$B$36:$GS$61,0,ROW()-3),DI$3)</f>
        <v>0</v>
      </c>
      <c r="DJ62" s="2">
        <f>COUNTIF(INDEX('LINE PLAN'!$B$36:$GS$61,0,ROW()-3),DJ$3)</f>
        <v>0</v>
      </c>
      <c r="DK62" s="2">
        <f>COUNTIF(INDEX('LINE PLAN'!$B$36:$GS$61,0,ROW()-3),DK$3)</f>
        <v>0</v>
      </c>
      <c r="DL62" s="2">
        <f>COUNTIF(INDEX('LINE PLAN'!$B$36:$GS$61,0,ROW()-3),DL$3)</f>
        <v>0</v>
      </c>
      <c r="DM62" s="2">
        <f>COUNTIF(INDEX('LINE PLAN'!$B$36:$GS$61,0,ROW()-3),DM$3)</f>
        <v>0</v>
      </c>
      <c r="DN62" s="2">
        <f>COUNTIF(INDEX('LINE PLAN'!$B$36:$GS$61,0,ROW()-3),DN$3)</f>
        <v>0</v>
      </c>
      <c r="DO62" s="2">
        <f>COUNTIF(INDEX('LINE PLAN'!$B$36:$GS$61,0,ROW()-3),DO$3)</f>
        <v>0</v>
      </c>
      <c r="DP62" s="2">
        <f>COUNTIF(INDEX('LINE PLAN'!$B$36:$GS$61,0,ROW()-3),DP$3)</f>
        <v>0</v>
      </c>
      <c r="DQ62" s="2">
        <f>COUNTIF(INDEX('LINE PLAN'!$B$36:$GS$61,0,ROW()-3),DQ$3)</f>
        <v>0</v>
      </c>
      <c r="DR62" s="2">
        <f>COUNTIF(INDEX('LINE PLAN'!$B$36:$GS$61,0,ROW()-3),DR$3)</f>
        <v>0</v>
      </c>
      <c r="DS62" s="2">
        <f>COUNTIF(INDEX('LINE PLAN'!$B$36:$GS$61,0,ROW()-3),DS$3)</f>
        <v>0</v>
      </c>
      <c r="DT62" s="2">
        <f>COUNTIF(INDEX('LINE PLAN'!$B$36:$GS$61,0,ROW()-3),DT$3)</f>
        <v>0</v>
      </c>
      <c r="DU62" s="2">
        <f>COUNTIF(INDEX('LINE PLAN'!$B$36:$GS$61,0,ROW()-3),DU$3)</f>
        <v>0</v>
      </c>
      <c r="DV62" s="2">
        <f>COUNTIF(INDEX('LINE PLAN'!$B$36:$GS$61,0,ROW()-3),DV$3)</f>
        <v>0</v>
      </c>
    </row>
    <row r="63" spans="1:126">
      <c r="A63" s="505" cm="1">
        <f t="array" ref="A63">INDEX('LINE PLAN'!$B$35:$GS$35,ROW()-3)</f>
        <v>46294</v>
      </c>
      <c r="B63" s="2">
        <f>SUMPRODUCT($CA63:$DV63,INDEX('MC MAP'!$DA$5:$EV$30,1,0))</f>
        <v>145</v>
      </c>
      <c r="C63" s="2">
        <f>SUMPRODUCT($CA63:$DV63,INDEX('MC MAP'!$DA$5:$EV$30,2,0))</f>
        <v>1</v>
      </c>
      <c r="D63" s="2">
        <f>SUMPRODUCT($CA63:$DV63,INDEX('MC MAP'!$DA$5:$EV$30,3,0))</f>
        <v>0</v>
      </c>
      <c r="E63" s="2">
        <f>SUMPRODUCT($CA63:$DV63,INDEX('MC MAP'!$DA$5:$EV$30,4,0))</f>
        <v>4</v>
      </c>
      <c r="F63" s="2">
        <f>SUMPRODUCT($CA63:$DV63,INDEX('MC MAP'!$DA$5:$EV$30,5,0))</f>
        <v>224</v>
      </c>
      <c r="G63" s="2">
        <f>SUMPRODUCT($CA63:$DV63,INDEX('MC MAP'!$DA$5:$EV$30,6,0))</f>
        <v>15</v>
      </c>
      <c r="H63" s="2">
        <f>SUMPRODUCT($CA63:$DV63,INDEX('MC MAP'!$DA$5:$EV$30,7,0))</f>
        <v>0</v>
      </c>
      <c r="I63" s="2">
        <f>SUMPRODUCT($CA63:$DV63,INDEX('MC MAP'!$DA$5:$EV$30,8,0))</f>
        <v>41</v>
      </c>
      <c r="J63" s="2">
        <f>SUMPRODUCT($CA63:$DV63,INDEX('MC MAP'!$DA$5:$EV$30,9,0))</f>
        <v>32.5</v>
      </c>
      <c r="K63" s="2">
        <f>SUMPRODUCT($CA63:$DV63,INDEX('MC MAP'!$DA$5:$EV$30,10,0))</f>
        <v>12</v>
      </c>
      <c r="L63" s="2">
        <f>SUMPRODUCT($CA63:$DV63,INDEX('MC MAP'!$DA$5:$EV$30,11,0))</f>
        <v>15</v>
      </c>
      <c r="M63" s="2">
        <f>SUMPRODUCT($CA63:$DV63,INDEX('MC MAP'!$DA$5:$EV$30,12,0))</f>
        <v>33</v>
      </c>
      <c r="N63" s="2">
        <f>SUMPRODUCT($CA63:$DV63,INDEX('MC MAP'!$DA$5:$EV$30,13,0))</f>
        <v>35</v>
      </c>
      <c r="O63" s="2">
        <f>SUMPRODUCT($CA63:$DV63,INDEX('MC MAP'!$DA$5:$EV$30,14,0))</f>
        <v>33</v>
      </c>
      <c r="P63" s="2">
        <f>SUMPRODUCT($CA63:$DV63,INDEX('MC MAP'!$DA$5:$EV$30,15,0))</f>
        <v>52</v>
      </c>
      <c r="Q63" s="2">
        <f>SUMPRODUCT($CA63:$DV63,INDEX('MC MAP'!$DA$5:$EV$30,16,0))</f>
        <v>0</v>
      </c>
      <c r="R63" s="2">
        <f>SUMPRODUCT($CA63:$DV63,INDEX('MC MAP'!$DA$5:$EV$30,17,0))</f>
        <v>3</v>
      </c>
      <c r="S63" s="2">
        <f>SUMPRODUCT($CA63:$DV63,INDEX('MC MAP'!$DA$5:$EV$30,18,0))</f>
        <v>0</v>
      </c>
      <c r="T63" s="2">
        <f>SUMPRODUCT($CA63:$DV63,INDEX('MC MAP'!$DA$5:$EV$30,19,0))</f>
        <v>15</v>
      </c>
      <c r="U63" s="2">
        <f>SUMPRODUCT($CA63:$DV63,INDEX('MC MAP'!$DA$5:$EV$30,20,0))</f>
        <v>30</v>
      </c>
      <c r="V63" s="2">
        <f>SUMPRODUCT($CA63:$DV63,INDEX('MC MAP'!$DA$5:$EV$30,21,0))</f>
        <v>2</v>
      </c>
      <c r="W63" s="2">
        <f>SUMPRODUCT($CA63:$DV63,INDEX('MC MAP'!$DA$5:$EV$30,22,0))</f>
        <v>2</v>
      </c>
      <c r="X63" s="2">
        <f>SUMPRODUCT($CA63:$DV63,INDEX('MC MAP'!$DA$5:$EV$30,23,0))</f>
        <v>0</v>
      </c>
      <c r="Y63" s="2">
        <f>SUMPRODUCT($CA63:$DV63,INDEX('MC MAP'!$DA$5:$EV$30,24,0))</f>
        <v>8.5</v>
      </c>
      <c r="Z63" s="2">
        <f>SUMPRODUCT($CA63:$DV63,INDEX('MC MAP'!$DA$5:$EV$30,25,0))</f>
        <v>0</v>
      </c>
      <c r="AA63" s="2">
        <f>SUMPRODUCT($CA63:$DV63,INDEX('MC MAP'!$DA$5:$EV$30,26,0))</f>
        <v>26</v>
      </c>
      <c r="AB63" s="2">
        <f>SUM($B63:$AA63)</f>
        <v>729</v>
      </c>
      <c r="AC63" s="2">
        <f>SUM($CA63:$DV63)+$AW63</f>
        <v>24</v>
      </c>
      <c r="AW63" s="2">
        <f>IF($A63=0,0,COUNTIF(INDEX('LINE PLAN'!$B$36:$GS$61,0,ROW()-3),"THERMAL - NOT SPECIFIED"))</f>
        <v>0</v>
      </c>
      <c r="AX63" s="506" cm="1">
        <f t="array" ref="AX63">IF(OR($AB63=0,UPPER($BS63)&lt;&gt;"Y"),0,SUMPRODUCT(--($B63:$AA63&gt;$B$205:$AA$205)))</f>
        <v>2</v>
      </c>
      <c r="AY63" s="507">
        <f>$A63</f>
        <v>46294</v>
      </c>
      <c r="AZ63" s="2">
        <f>$AB63</f>
        <v>729</v>
      </c>
      <c r="BA63" s="2">
        <f>'MC MASTER'!$C$29</f>
        <v>920</v>
      </c>
      <c r="BQ63" s="509">
        <f>$A63</f>
        <v>46294</v>
      </c>
      <c r="BR63" s="15" t="str">
        <f>TEXT($A63,"ddd")</f>
        <v>Tue</v>
      </c>
      <c r="BS63" s="547" t="s">
        <v>391</v>
      </c>
      <c r="BT63" s="15">
        <f>IF(UPPER($BS63)="Y",$AB63,0)</f>
        <v>729</v>
      </c>
      <c r="CA63" s="2">
        <f>COUNTIF(INDEX('LINE PLAN'!$B$36:$GS$61,0,ROW()-3),CA$3)</f>
        <v>1</v>
      </c>
      <c r="CB63" s="2">
        <f>COUNTIF(INDEX('LINE PLAN'!$B$36:$GS$61,0,ROW()-3),CB$3)</f>
        <v>1</v>
      </c>
      <c r="CC63" s="2">
        <f>COUNTIF(INDEX('LINE PLAN'!$B$36:$GS$61,0,ROW()-3),CC$3)</f>
        <v>2</v>
      </c>
      <c r="CD63" s="2">
        <f>COUNTIF(INDEX('LINE PLAN'!$B$36:$GS$61,0,ROW()-3),CD$3)</f>
        <v>0</v>
      </c>
      <c r="CE63" s="2">
        <f>COUNTIF(INDEX('LINE PLAN'!$B$36:$GS$61,0,ROW()-3),CE$3)</f>
        <v>0</v>
      </c>
      <c r="CF63" s="2">
        <f>COUNTIF(INDEX('LINE PLAN'!$B$36:$GS$61,0,ROW()-3),CF$3)</f>
        <v>4</v>
      </c>
      <c r="CG63" s="2">
        <f>COUNTIF(INDEX('LINE PLAN'!$B$36:$GS$61,0,ROW()-3),CG$3)</f>
        <v>7</v>
      </c>
      <c r="CH63" s="2">
        <f>COUNTIF(INDEX('LINE PLAN'!$B$36:$GS$61,0,ROW()-3),CH$3)</f>
        <v>3</v>
      </c>
      <c r="CI63" s="2">
        <f>COUNTIF(INDEX('LINE PLAN'!$B$36:$GS$61,0,ROW()-3),CI$3)</f>
        <v>1</v>
      </c>
      <c r="CJ63" s="2">
        <f>COUNTIF(INDEX('LINE PLAN'!$B$36:$GS$61,0,ROW()-3),CJ$3)</f>
        <v>0</v>
      </c>
      <c r="CK63" s="2">
        <f>COUNTIF(INDEX('LINE PLAN'!$B$36:$GS$61,0,ROW()-3),CK$3)</f>
        <v>0</v>
      </c>
      <c r="CL63" s="2">
        <f>COUNTIF(INDEX('LINE PLAN'!$B$36:$GS$61,0,ROW()-3),CL$3)</f>
        <v>0</v>
      </c>
      <c r="CM63" s="2">
        <f>COUNTIF(INDEX('LINE PLAN'!$B$36:$GS$61,0,ROW()-3),CM$3)</f>
        <v>0</v>
      </c>
      <c r="CN63" s="2">
        <f>COUNTIF(INDEX('LINE PLAN'!$B$36:$GS$61,0,ROW()-3),CN$3)</f>
        <v>1</v>
      </c>
      <c r="CO63" s="2">
        <f>COUNTIF(INDEX('LINE PLAN'!$B$36:$GS$61,0,ROW()-3),CO$3)</f>
        <v>0</v>
      </c>
      <c r="CP63" s="2">
        <f>COUNTIF(INDEX('LINE PLAN'!$B$36:$GS$61,0,ROW()-3),CP$3)</f>
        <v>2</v>
      </c>
      <c r="CQ63" s="2">
        <f>COUNTIF(INDEX('LINE PLAN'!$B$36:$GS$61,0,ROW()-3),CQ$3)</f>
        <v>0</v>
      </c>
      <c r="CR63" s="2">
        <f>COUNTIF(INDEX('LINE PLAN'!$B$36:$GS$61,0,ROW()-3),CR$3)</f>
        <v>2</v>
      </c>
      <c r="CS63" s="2">
        <f>COUNTIF(INDEX('LINE PLAN'!$B$36:$GS$61,0,ROW()-3),CS$3)</f>
        <v>0</v>
      </c>
      <c r="CT63" s="2">
        <f>COUNTIF(INDEX('LINE PLAN'!$B$36:$GS$61,0,ROW()-3),CT$3)</f>
        <v>0</v>
      </c>
      <c r="CU63" s="2">
        <f>COUNTIF(INDEX('LINE PLAN'!$B$36:$GS$61,0,ROW()-3),CU$3)</f>
        <v>0</v>
      </c>
      <c r="CV63" s="2">
        <f>COUNTIF(INDEX('LINE PLAN'!$B$36:$GS$61,0,ROW()-3),CV$3)</f>
        <v>0</v>
      </c>
      <c r="CW63" s="2">
        <f>COUNTIF(INDEX('LINE PLAN'!$B$36:$GS$61,0,ROW()-3),CW$3)</f>
        <v>0</v>
      </c>
      <c r="CX63" s="2">
        <f>COUNTIF(INDEX('LINE PLAN'!$B$36:$GS$61,0,ROW()-3),CX$3)</f>
        <v>0</v>
      </c>
      <c r="CY63" s="2">
        <f>COUNTIF(INDEX('LINE PLAN'!$B$36:$GS$61,0,ROW()-3),CY$3)</f>
        <v>0</v>
      </c>
      <c r="CZ63" s="2">
        <f>COUNTIF(INDEX('LINE PLAN'!$B$36:$GS$61,0,ROW()-3),CZ$3)</f>
        <v>0</v>
      </c>
      <c r="DA63" s="2">
        <f>COUNTIF(INDEX('LINE PLAN'!$B$36:$GS$61,0,ROW()-3),DA$3)</f>
        <v>0</v>
      </c>
      <c r="DB63" s="2">
        <f>COUNTIF(INDEX('LINE PLAN'!$B$36:$GS$61,0,ROW()-3),DB$3)</f>
        <v>0</v>
      </c>
      <c r="DC63" s="2">
        <f>COUNTIF(INDEX('LINE PLAN'!$B$36:$GS$61,0,ROW()-3),DC$3)</f>
        <v>0</v>
      </c>
      <c r="DD63" s="2">
        <f>COUNTIF(INDEX('LINE PLAN'!$B$36:$GS$61,0,ROW()-3),DD$3)</f>
        <v>0</v>
      </c>
      <c r="DE63" s="2">
        <f>COUNTIF(INDEX('LINE PLAN'!$B$36:$GS$61,0,ROW()-3),DE$3)</f>
        <v>0</v>
      </c>
      <c r="DF63" s="2">
        <f>COUNTIF(INDEX('LINE PLAN'!$B$36:$GS$61,0,ROW()-3),DF$3)</f>
        <v>0</v>
      </c>
      <c r="DG63" s="2">
        <f>COUNTIF(INDEX('LINE PLAN'!$B$36:$GS$61,0,ROW()-3),DG$3)</f>
        <v>0</v>
      </c>
      <c r="DH63" s="2">
        <f>COUNTIF(INDEX('LINE PLAN'!$B$36:$GS$61,0,ROW()-3),DH$3)</f>
        <v>0</v>
      </c>
      <c r="DI63" s="2">
        <f>COUNTIF(INDEX('LINE PLAN'!$B$36:$GS$61,0,ROW()-3),DI$3)</f>
        <v>0</v>
      </c>
      <c r="DJ63" s="2">
        <f>COUNTIF(INDEX('LINE PLAN'!$B$36:$GS$61,0,ROW()-3),DJ$3)</f>
        <v>0</v>
      </c>
      <c r="DK63" s="2">
        <f>COUNTIF(INDEX('LINE PLAN'!$B$36:$GS$61,0,ROW()-3),DK$3)</f>
        <v>0</v>
      </c>
      <c r="DL63" s="2">
        <f>COUNTIF(INDEX('LINE PLAN'!$B$36:$GS$61,0,ROW()-3),DL$3)</f>
        <v>0</v>
      </c>
      <c r="DM63" s="2">
        <f>COUNTIF(INDEX('LINE PLAN'!$B$36:$GS$61,0,ROW()-3),DM$3)</f>
        <v>0</v>
      </c>
      <c r="DN63" s="2">
        <f>COUNTIF(INDEX('LINE PLAN'!$B$36:$GS$61,0,ROW()-3),DN$3)</f>
        <v>0</v>
      </c>
      <c r="DO63" s="2">
        <f>COUNTIF(INDEX('LINE PLAN'!$B$36:$GS$61,0,ROW()-3),DO$3)</f>
        <v>0</v>
      </c>
      <c r="DP63" s="2">
        <f>COUNTIF(INDEX('LINE PLAN'!$B$36:$GS$61,0,ROW()-3),DP$3)</f>
        <v>0</v>
      </c>
      <c r="DQ63" s="2">
        <f>COUNTIF(INDEX('LINE PLAN'!$B$36:$GS$61,0,ROW()-3),DQ$3)</f>
        <v>0</v>
      </c>
      <c r="DR63" s="2">
        <f>COUNTIF(INDEX('LINE PLAN'!$B$36:$GS$61,0,ROW()-3),DR$3)</f>
        <v>0</v>
      </c>
      <c r="DS63" s="2">
        <f>COUNTIF(INDEX('LINE PLAN'!$B$36:$GS$61,0,ROW()-3),DS$3)</f>
        <v>0</v>
      </c>
      <c r="DT63" s="2">
        <f>COUNTIF(INDEX('LINE PLAN'!$B$36:$GS$61,0,ROW()-3),DT$3)</f>
        <v>0</v>
      </c>
      <c r="DU63" s="2">
        <f>COUNTIF(INDEX('LINE PLAN'!$B$36:$GS$61,0,ROW()-3),DU$3)</f>
        <v>0</v>
      </c>
      <c r="DV63" s="2">
        <f>COUNTIF(INDEX('LINE PLAN'!$B$36:$GS$61,0,ROW()-3),DV$3)</f>
        <v>0</v>
      </c>
    </row>
    <row r="64" spans="1:126">
      <c r="A64" s="505" cm="1">
        <f t="array" ref="A64">INDEX('LINE PLAN'!$B$35:$GS$35,ROW()-3)</f>
        <v>46295</v>
      </c>
      <c r="B64" s="2">
        <f>SUMPRODUCT($CA64:$DV64,INDEX('MC MAP'!$DA$5:$EV$30,1,0))</f>
        <v>145</v>
      </c>
      <c r="C64" s="2">
        <f>SUMPRODUCT($CA64:$DV64,INDEX('MC MAP'!$DA$5:$EV$30,2,0))</f>
        <v>1</v>
      </c>
      <c r="D64" s="2">
        <f>SUMPRODUCT($CA64:$DV64,INDEX('MC MAP'!$DA$5:$EV$30,3,0))</f>
        <v>0</v>
      </c>
      <c r="E64" s="2">
        <f>SUMPRODUCT($CA64:$DV64,INDEX('MC MAP'!$DA$5:$EV$30,4,0))</f>
        <v>4</v>
      </c>
      <c r="F64" s="2">
        <f>SUMPRODUCT($CA64:$DV64,INDEX('MC MAP'!$DA$5:$EV$30,5,0))</f>
        <v>224</v>
      </c>
      <c r="G64" s="2">
        <f>SUMPRODUCT($CA64:$DV64,INDEX('MC MAP'!$DA$5:$EV$30,6,0))</f>
        <v>15</v>
      </c>
      <c r="H64" s="2">
        <f>SUMPRODUCT($CA64:$DV64,INDEX('MC MAP'!$DA$5:$EV$30,7,0))</f>
        <v>0</v>
      </c>
      <c r="I64" s="2">
        <f>SUMPRODUCT($CA64:$DV64,INDEX('MC MAP'!$DA$5:$EV$30,8,0))</f>
        <v>41</v>
      </c>
      <c r="J64" s="2">
        <f>SUMPRODUCT($CA64:$DV64,INDEX('MC MAP'!$DA$5:$EV$30,9,0))</f>
        <v>32.5</v>
      </c>
      <c r="K64" s="2">
        <f>SUMPRODUCT($CA64:$DV64,INDEX('MC MAP'!$DA$5:$EV$30,10,0))</f>
        <v>12</v>
      </c>
      <c r="L64" s="2">
        <f>SUMPRODUCT($CA64:$DV64,INDEX('MC MAP'!$DA$5:$EV$30,11,0))</f>
        <v>15</v>
      </c>
      <c r="M64" s="2">
        <f>SUMPRODUCT($CA64:$DV64,INDEX('MC MAP'!$DA$5:$EV$30,12,0))</f>
        <v>33</v>
      </c>
      <c r="N64" s="2">
        <f>SUMPRODUCT($CA64:$DV64,INDEX('MC MAP'!$DA$5:$EV$30,13,0))</f>
        <v>35</v>
      </c>
      <c r="O64" s="2">
        <f>SUMPRODUCT($CA64:$DV64,INDEX('MC MAP'!$DA$5:$EV$30,14,0))</f>
        <v>33</v>
      </c>
      <c r="P64" s="2">
        <f>SUMPRODUCT($CA64:$DV64,INDEX('MC MAP'!$DA$5:$EV$30,15,0))</f>
        <v>52</v>
      </c>
      <c r="Q64" s="2">
        <f>SUMPRODUCT($CA64:$DV64,INDEX('MC MAP'!$DA$5:$EV$30,16,0))</f>
        <v>0</v>
      </c>
      <c r="R64" s="2">
        <f>SUMPRODUCT($CA64:$DV64,INDEX('MC MAP'!$DA$5:$EV$30,17,0))</f>
        <v>3</v>
      </c>
      <c r="S64" s="2">
        <f>SUMPRODUCT($CA64:$DV64,INDEX('MC MAP'!$DA$5:$EV$30,18,0))</f>
        <v>0</v>
      </c>
      <c r="T64" s="2">
        <f>SUMPRODUCT($CA64:$DV64,INDEX('MC MAP'!$DA$5:$EV$30,19,0))</f>
        <v>15</v>
      </c>
      <c r="U64" s="2">
        <f>SUMPRODUCT($CA64:$DV64,INDEX('MC MAP'!$DA$5:$EV$30,20,0))</f>
        <v>30</v>
      </c>
      <c r="V64" s="2">
        <f>SUMPRODUCT($CA64:$DV64,INDEX('MC MAP'!$DA$5:$EV$30,21,0))</f>
        <v>2</v>
      </c>
      <c r="W64" s="2">
        <f>SUMPRODUCT($CA64:$DV64,INDEX('MC MAP'!$DA$5:$EV$30,22,0))</f>
        <v>2</v>
      </c>
      <c r="X64" s="2">
        <f>SUMPRODUCT($CA64:$DV64,INDEX('MC MAP'!$DA$5:$EV$30,23,0))</f>
        <v>0</v>
      </c>
      <c r="Y64" s="2">
        <f>SUMPRODUCT($CA64:$DV64,INDEX('MC MAP'!$DA$5:$EV$30,24,0))</f>
        <v>8.5</v>
      </c>
      <c r="Z64" s="2">
        <f>SUMPRODUCT($CA64:$DV64,INDEX('MC MAP'!$DA$5:$EV$30,25,0))</f>
        <v>0</v>
      </c>
      <c r="AA64" s="2">
        <f>SUMPRODUCT($CA64:$DV64,INDEX('MC MAP'!$DA$5:$EV$30,26,0))</f>
        <v>26</v>
      </c>
      <c r="AB64" s="2">
        <f>SUM($B64:$AA64)</f>
        <v>729</v>
      </c>
      <c r="AC64" s="2">
        <f>SUM($CA64:$DV64)+$AW64</f>
        <v>24</v>
      </c>
      <c r="AW64" s="2">
        <f>IF($A64=0,0,COUNTIF(INDEX('LINE PLAN'!$B$36:$GS$61,0,ROW()-3),"THERMAL - NOT SPECIFIED"))</f>
        <v>0</v>
      </c>
      <c r="AX64" s="506" cm="1">
        <f t="array" ref="AX64">IF(OR($AB64=0,UPPER($BS64)&lt;&gt;"Y"),0,SUMPRODUCT(--($B64:$AA64&gt;$B$205:$AA$205)))</f>
        <v>2</v>
      </c>
      <c r="AY64" s="507">
        <f>$A64</f>
        <v>46295</v>
      </c>
      <c r="AZ64" s="2">
        <f>$AB64</f>
        <v>729</v>
      </c>
      <c r="BA64" s="2">
        <f>'MC MASTER'!$C$29</f>
        <v>920</v>
      </c>
      <c r="BQ64" s="509">
        <f>$A64</f>
        <v>46295</v>
      </c>
      <c r="BR64" s="15" t="str">
        <f>TEXT($A64,"ddd")</f>
        <v>Wed</v>
      </c>
      <c r="BS64" s="547" t="s">
        <v>391</v>
      </c>
      <c r="BT64" s="15">
        <f>IF(UPPER($BS64)="Y",$AB64,0)</f>
        <v>729</v>
      </c>
      <c r="CA64" s="2">
        <f>COUNTIF(INDEX('LINE PLAN'!$B$36:$GS$61,0,ROW()-3),CA$3)</f>
        <v>1</v>
      </c>
      <c r="CB64" s="2">
        <f>COUNTIF(INDEX('LINE PLAN'!$B$36:$GS$61,0,ROW()-3),CB$3)</f>
        <v>1</v>
      </c>
      <c r="CC64" s="2">
        <f>COUNTIF(INDEX('LINE PLAN'!$B$36:$GS$61,0,ROW()-3),CC$3)</f>
        <v>2</v>
      </c>
      <c r="CD64" s="2">
        <f>COUNTIF(INDEX('LINE PLAN'!$B$36:$GS$61,0,ROW()-3),CD$3)</f>
        <v>0</v>
      </c>
      <c r="CE64" s="2">
        <f>COUNTIF(INDEX('LINE PLAN'!$B$36:$GS$61,0,ROW()-3),CE$3)</f>
        <v>0</v>
      </c>
      <c r="CF64" s="2">
        <f>COUNTIF(INDEX('LINE PLAN'!$B$36:$GS$61,0,ROW()-3),CF$3)</f>
        <v>4</v>
      </c>
      <c r="CG64" s="2">
        <f>COUNTIF(INDEX('LINE PLAN'!$B$36:$GS$61,0,ROW()-3),CG$3)</f>
        <v>7</v>
      </c>
      <c r="CH64" s="2">
        <f>COUNTIF(INDEX('LINE PLAN'!$B$36:$GS$61,0,ROW()-3),CH$3)</f>
        <v>3</v>
      </c>
      <c r="CI64" s="2">
        <f>COUNTIF(INDEX('LINE PLAN'!$B$36:$GS$61,0,ROW()-3),CI$3)</f>
        <v>1</v>
      </c>
      <c r="CJ64" s="2">
        <f>COUNTIF(INDEX('LINE PLAN'!$B$36:$GS$61,0,ROW()-3),CJ$3)</f>
        <v>0</v>
      </c>
      <c r="CK64" s="2">
        <f>COUNTIF(INDEX('LINE PLAN'!$B$36:$GS$61,0,ROW()-3),CK$3)</f>
        <v>0</v>
      </c>
      <c r="CL64" s="2">
        <f>COUNTIF(INDEX('LINE PLAN'!$B$36:$GS$61,0,ROW()-3),CL$3)</f>
        <v>0</v>
      </c>
      <c r="CM64" s="2">
        <f>COUNTIF(INDEX('LINE PLAN'!$B$36:$GS$61,0,ROW()-3),CM$3)</f>
        <v>0</v>
      </c>
      <c r="CN64" s="2">
        <f>COUNTIF(INDEX('LINE PLAN'!$B$36:$GS$61,0,ROW()-3),CN$3)</f>
        <v>1</v>
      </c>
      <c r="CO64" s="2">
        <f>COUNTIF(INDEX('LINE PLAN'!$B$36:$GS$61,0,ROW()-3),CO$3)</f>
        <v>0</v>
      </c>
      <c r="CP64" s="2">
        <f>COUNTIF(INDEX('LINE PLAN'!$B$36:$GS$61,0,ROW()-3),CP$3)</f>
        <v>2</v>
      </c>
      <c r="CQ64" s="2">
        <f>COUNTIF(INDEX('LINE PLAN'!$B$36:$GS$61,0,ROW()-3),CQ$3)</f>
        <v>0</v>
      </c>
      <c r="CR64" s="2">
        <f>COUNTIF(INDEX('LINE PLAN'!$B$36:$GS$61,0,ROW()-3),CR$3)</f>
        <v>2</v>
      </c>
      <c r="CS64" s="2">
        <f>COUNTIF(INDEX('LINE PLAN'!$B$36:$GS$61,0,ROW()-3),CS$3)</f>
        <v>0</v>
      </c>
      <c r="CT64" s="2">
        <f>COUNTIF(INDEX('LINE PLAN'!$B$36:$GS$61,0,ROW()-3),CT$3)</f>
        <v>0</v>
      </c>
      <c r="CU64" s="2">
        <f>COUNTIF(INDEX('LINE PLAN'!$B$36:$GS$61,0,ROW()-3),CU$3)</f>
        <v>0</v>
      </c>
      <c r="CV64" s="2">
        <f>COUNTIF(INDEX('LINE PLAN'!$B$36:$GS$61,0,ROW()-3),CV$3)</f>
        <v>0</v>
      </c>
      <c r="CW64" s="2">
        <f>COUNTIF(INDEX('LINE PLAN'!$B$36:$GS$61,0,ROW()-3),CW$3)</f>
        <v>0</v>
      </c>
      <c r="CX64" s="2">
        <f>COUNTIF(INDEX('LINE PLAN'!$B$36:$GS$61,0,ROW()-3),CX$3)</f>
        <v>0</v>
      </c>
      <c r="CY64" s="2">
        <f>COUNTIF(INDEX('LINE PLAN'!$B$36:$GS$61,0,ROW()-3),CY$3)</f>
        <v>0</v>
      </c>
      <c r="CZ64" s="2">
        <f>COUNTIF(INDEX('LINE PLAN'!$B$36:$GS$61,0,ROW()-3),CZ$3)</f>
        <v>0</v>
      </c>
      <c r="DA64" s="2">
        <f>COUNTIF(INDEX('LINE PLAN'!$B$36:$GS$61,0,ROW()-3),DA$3)</f>
        <v>0</v>
      </c>
      <c r="DB64" s="2">
        <f>COUNTIF(INDEX('LINE PLAN'!$B$36:$GS$61,0,ROW()-3),DB$3)</f>
        <v>0</v>
      </c>
      <c r="DC64" s="2">
        <f>COUNTIF(INDEX('LINE PLAN'!$B$36:$GS$61,0,ROW()-3),DC$3)</f>
        <v>0</v>
      </c>
      <c r="DD64" s="2">
        <f>COUNTIF(INDEX('LINE PLAN'!$B$36:$GS$61,0,ROW()-3),DD$3)</f>
        <v>0</v>
      </c>
      <c r="DE64" s="2">
        <f>COUNTIF(INDEX('LINE PLAN'!$B$36:$GS$61,0,ROW()-3),DE$3)</f>
        <v>0</v>
      </c>
      <c r="DF64" s="2">
        <f>COUNTIF(INDEX('LINE PLAN'!$B$36:$GS$61,0,ROW()-3),DF$3)</f>
        <v>0</v>
      </c>
      <c r="DG64" s="2">
        <f>COUNTIF(INDEX('LINE PLAN'!$B$36:$GS$61,0,ROW()-3),DG$3)</f>
        <v>0</v>
      </c>
      <c r="DH64" s="2">
        <f>COUNTIF(INDEX('LINE PLAN'!$B$36:$GS$61,0,ROW()-3),DH$3)</f>
        <v>0</v>
      </c>
      <c r="DI64" s="2">
        <f>COUNTIF(INDEX('LINE PLAN'!$B$36:$GS$61,0,ROW()-3),DI$3)</f>
        <v>0</v>
      </c>
      <c r="DJ64" s="2">
        <f>COUNTIF(INDEX('LINE PLAN'!$B$36:$GS$61,0,ROW()-3),DJ$3)</f>
        <v>0</v>
      </c>
      <c r="DK64" s="2">
        <f>COUNTIF(INDEX('LINE PLAN'!$B$36:$GS$61,0,ROW()-3),DK$3)</f>
        <v>0</v>
      </c>
      <c r="DL64" s="2">
        <f>COUNTIF(INDEX('LINE PLAN'!$B$36:$GS$61,0,ROW()-3),DL$3)</f>
        <v>0</v>
      </c>
      <c r="DM64" s="2">
        <f>COUNTIF(INDEX('LINE PLAN'!$B$36:$GS$61,0,ROW()-3),DM$3)</f>
        <v>0</v>
      </c>
      <c r="DN64" s="2">
        <f>COUNTIF(INDEX('LINE PLAN'!$B$36:$GS$61,0,ROW()-3),DN$3)</f>
        <v>0</v>
      </c>
      <c r="DO64" s="2">
        <f>COUNTIF(INDEX('LINE PLAN'!$B$36:$GS$61,0,ROW()-3),DO$3)</f>
        <v>0</v>
      </c>
      <c r="DP64" s="2">
        <f>COUNTIF(INDEX('LINE PLAN'!$B$36:$GS$61,0,ROW()-3),DP$3)</f>
        <v>0</v>
      </c>
      <c r="DQ64" s="2">
        <f>COUNTIF(INDEX('LINE PLAN'!$B$36:$GS$61,0,ROW()-3),DQ$3)</f>
        <v>0</v>
      </c>
      <c r="DR64" s="2">
        <f>COUNTIF(INDEX('LINE PLAN'!$B$36:$GS$61,0,ROW()-3),DR$3)</f>
        <v>0</v>
      </c>
      <c r="DS64" s="2">
        <f>COUNTIF(INDEX('LINE PLAN'!$B$36:$GS$61,0,ROW()-3),DS$3)</f>
        <v>0</v>
      </c>
      <c r="DT64" s="2">
        <f>COUNTIF(INDEX('LINE PLAN'!$B$36:$GS$61,0,ROW()-3),DT$3)</f>
        <v>0</v>
      </c>
      <c r="DU64" s="2">
        <f>COUNTIF(INDEX('LINE PLAN'!$B$36:$GS$61,0,ROW()-3),DU$3)</f>
        <v>0</v>
      </c>
      <c r="DV64" s="2">
        <f>COUNTIF(INDEX('LINE PLAN'!$B$36:$GS$61,0,ROW()-3),DV$3)</f>
        <v>0</v>
      </c>
    </row>
    <row r="65" spans="1:126">
      <c r="A65" s="505" cm="1">
        <f t="array" ref="A65">INDEX('LINE PLAN'!$B$35:$GS$35,ROW()-3)</f>
        <v>46296</v>
      </c>
      <c r="B65" s="2">
        <f>SUMPRODUCT($CA65:$DV65,INDEX('MC MAP'!$DA$5:$EV$30,1,0))</f>
        <v>131</v>
      </c>
      <c r="C65" s="2">
        <f>SUMPRODUCT($CA65:$DV65,INDEX('MC MAP'!$DA$5:$EV$30,2,0))</f>
        <v>1</v>
      </c>
      <c r="D65" s="2">
        <f>SUMPRODUCT($CA65:$DV65,INDEX('MC MAP'!$DA$5:$EV$30,3,0))</f>
        <v>0</v>
      </c>
      <c r="E65" s="2">
        <f>SUMPRODUCT($CA65:$DV65,INDEX('MC MAP'!$DA$5:$EV$30,4,0))</f>
        <v>4</v>
      </c>
      <c r="F65" s="2">
        <f>SUMPRODUCT($CA65:$DV65,INDEX('MC MAP'!$DA$5:$EV$30,5,0))</f>
        <v>195</v>
      </c>
      <c r="G65" s="2">
        <f>SUMPRODUCT($CA65:$DV65,INDEX('MC MAP'!$DA$5:$EV$30,6,0))</f>
        <v>12</v>
      </c>
      <c r="H65" s="2">
        <f>SUMPRODUCT($CA65:$DV65,INDEX('MC MAP'!$DA$5:$EV$30,7,0))</f>
        <v>0</v>
      </c>
      <c r="I65" s="2">
        <f>SUMPRODUCT($CA65:$DV65,INDEX('MC MAP'!$DA$5:$EV$30,8,0))</f>
        <v>41</v>
      </c>
      <c r="J65" s="2">
        <f>SUMPRODUCT($CA65:$DV65,INDEX('MC MAP'!$DA$5:$EV$30,9,0))</f>
        <v>24.5</v>
      </c>
      <c r="K65" s="2">
        <f>SUMPRODUCT($CA65:$DV65,INDEX('MC MAP'!$DA$5:$EV$30,10,0))</f>
        <v>12</v>
      </c>
      <c r="L65" s="2">
        <f>SUMPRODUCT($CA65:$DV65,INDEX('MC MAP'!$DA$5:$EV$30,11,0))</f>
        <v>12</v>
      </c>
      <c r="M65" s="2">
        <f>SUMPRODUCT($CA65:$DV65,INDEX('MC MAP'!$DA$5:$EV$30,12,0))</f>
        <v>33</v>
      </c>
      <c r="N65" s="2">
        <f>SUMPRODUCT($CA65:$DV65,INDEX('MC MAP'!$DA$5:$EV$30,13,0))</f>
        <v>32</v>
      </c>
      <c r="O65" s="2">
        <f>SUMPRODUCT($CA65:$DV65,INDEX('MC MAP'!$DA$5:$EV$30,14,0))</f>
        <v>19</v>
      </c>
      <c r="P65" s="2">
        <f>SUMPRODUCT($CA65:$DV65,INDEX('MC MAP'!$DA$5:$EV$30,15,0))</f>
        <v>52</v>
      </c>
      <c r="Q65" s="2">
        <f>SUMPRODUCT($CA65:$DV65,INDEX('MC MAP'!$DA$5:$EV$30,16,0))</f>
        <v>0</v>
      </c>
      <c r="R65" s="2">
        <f>SUMPRODUCT($CA65:$DV65,INDEX('MC MAP'!$DA$5:$EV$30,17,0))</f>
        <v>3</v>
      </c>
      <c r="S65" s="2">
        <f>SUMPRODUCT($CA65:$DV65,INDEX('MC MAP'!$DA$5:$EV$30,18,0))</f>
        <v>0</v>
      </c>
      <c r="T65" s="2">
        <f>SUMPRODUCT($CA65:$DV65,INDEX('MC MAP'!$DA$5:$EV$30,19,0))</f>
        <v>15</v>
      </c>
      <c r="U65" s="2">
        <f>SUMPRODUCT($CA65:$DV65,INDEX('MC MAP'!$DA$5:$EV$30,20,0))</f>
        <v>27</v>
      </c>
      <c r="V65" s="2">
        <f>SUMPRODUCT($CA65:$DV65,INDEX('MC MAP'!$DA$5:$EV$30,21,0))</f>
        <v>2</v>
      </c>
      <c r="W65" s="2">
        <f>SUMPRODUCT($CA65:$DV65,INDEX('MC MAP'!$DA$5:$EV$30,22,0))</f>
        <v>2</v>
      </c>
      <c r="X65" s="2">
        <f>SUMPRODUCT($CA65:$DV65,INDEX('MC MAP'!$DA$5:$EV$30,23,0))</f>
        <v>0</v>
      </c>
      <c r="Y65" s="2">
        <f>SUMPRODUCT($CA65:$DV65,INDEX('MC MAP'!$DA$5:$EV$30,24,0))</f>
        <v>8.5</v>
      </c>
      <c r="Z65" s="2">
        <f>SUMPRODUCT($CA65:$DV65,INDEX('MC MAP'!$DA$5:$EV$30,25,0))</f>
        <v>0</v>
      </c>
      <c r="AA65" s="2">
        <f>SUMPRODUCT($CA65:$DV65,INDEX('MC MAP'!$DA$5:$EV$30,26,0))</f>
        <v>24</v>
      </c>
      <c r="AB65" s="2">
        <f>SUM($B65:$AA65)</f>
        <v>650</v>
      </c>
      <c r="AC65" s="2">
        <f>SUM($CA65:$DV65)+$AW65</f>
        <v>24</v>
      </c>
      <c r="AW65" s="2">
        <f>IF($A65=0,0,COUNTIF(INDEX('LINE PLAN'!$B$36:$GS$61,0,ROW()-3),"THERMAL - NOT SPECIFIED"))</f>
        <v>0</v>
      </c>
      <c r="AX65" s="506" cm="1">
        <f t="array" ref="AX65">IF(OR($AB65=0,UPPER($BS65)&lt;&gt;"Y"),0,SUMPRODUCT(--($B65:$AA65&gt;$B$205:$AA$205)))</f>
        <v>2</v>
      </c>
      <c r="AY65" s="507">
        <f>$A65</f>
        <v>46296</v>
      </c>
      <c r="AZ65" s="2">
        <f>$AB65</f>
        <v>650</v>
      </c>
      <c r="BA65" s="2">
        <f>'MC MASTER'!$C$29</f>
        <v>920</v>
      </c>
      <c r="BQ65" s="509">
        <f>$A65</f>
        <v>46296</v>
      </c>
      <c r="BR65" s="15" t="str">
        <f>TEXT($A65,"ddd")</f>
        <v>Thu</v>
      </c>
      <c r="BS65" s="547" t="s">
        <v>391</v>
      </c>
      <c r="BT65" s="15">
        <f>IF(UPPER($BS65)="Y",$AB65,0)</f>
        <v>650</v>
      </c>
      <c r="CA65" s="2">
        <f>COUNTIF(INDEX('LINE PLAN'!$B$36:$GS$61,0,ROW()-3),CA$3)</f>
        <v>1</v>
      </c>
      <c r="CB65" s="2">
        <f>COUNTIF(INDEX('LINE PLAN'!$B$36:$GS$61,0,ROW()-3),CB$3)</f>
        <v>1</v>
      </c>
      <c r="CC65" s="2">
        <f>COUNTIF(INDEX('LINE PLAN'!$B$36:$GS$61,0,ROW()-3),CC$3)</f>
        <v>0</v>
      </c>
      <c r="CD65" s="2">
        <f>COUNTIF(INDEX('LINE PLAN'!$B$36:$GS$61,0,ROW()-3),CD$3)</f>
        <v>0</v>
      </c>
      <c r="CE65" s="2">
        <f>COUNTIF(INDEX('LINE PLAN'!$B$36:$GS$61,0,ROW()-3),CE$3)</f>
        <v>0</v>
      </c>
      <c r="CF65" s="2">
        <f>COUNTIF(INDEX('LINE PLAN'!$B$36:$GS$61,0,ROW()-3),CF$3)</f>
        <v>4</v>
      </c>
      <c r="CG65" s="2">
        <f>COUNTIF(INDEX('LINE PLAN'!$B$36:$GS$61,0,ROW()-3),CG$3)</f>
        <v>7</v>
      </c>
      <c r="CH65" s="2">
        <f>COUNTIF(INDEX('LINE PLAN'!$B$36:$GS$61,0,ROW()-3),CH$3)</f>
        <v>3</v>
      </c>
      <c r="CI65" s="2">
        <f>COUNTIF(INDEX('LINE PLAN'!$B$36:$GS$61,0,ROW()-3),CI$3)</f>
        <v>1</v>
      </c>
      <c r="CJ65" s="2">
        <f>COUNTIF(INDEX('LINE PLAN'!$B$36:$GS$61,0,ROW()-3),CJ$3)</f>
        <v>0</v>
      </c>
      <c r="CK65" s="2">
        <f>COUNTIF(INDEX('LINE PLAN'!$B$36:$GS$61,0,ROW()-3),CK$3)</f>
        <v>0</v>
      </c>
      <c r="CL65" s="2">
        <f>COUNTIF(INDEX('LINE PLAN'!$B$36:$GS$61,0,ROW()-3),CL$3)</f>
        <v>0</v>
      </c>
      <c r="CM65" s="2">
        <f>COUNTIF(INDEX('LINE PLAN'!$B$36:$GS$61,0,ROW()-3),CM$3)</f>
        <v>3</v>
      </c>
      <c r="CN65" s="2">
        <f>COUNTIF(INDEX('LINE PLAN'!$B$36:$GS$61,0,ROW()-3),CN$3)</f>
        <v>0</v>
      </c>
      <c r="CO65" s="2">
        <f>COUNTIF(INDEX('LINE PLAN'!$B$36:$GS$61,0,ROW()-3),CO$3)</f>
        <v>0</v>
      </c>
      <c r="CP65" s="2">
        <f>COUNTIF(INDEX('LINE PLAN'!$B$36:$GS$61,0,ROW()-3),CP$3)</f>
        <v>2</v>
      </c>
      <c r="CQ65" s="2">
        <f>COUNTIF(INDEX('LINE PLAN'!$B$36:$GS$61,0,ROW()-3),CQ$3)</f>
        <v>0</v>
      </c>
      <c r="CR65" s="2">
        <f>COUNTIF(INDEX('LINE PLAN'!$B$36:$GS$61,0,ROW()-3),CR$3)</f>
        <v>2</v>
      </c>
      <c r="CS65" s="2">
        <f>COUNTIF(INDEX('LINE PLAN'!$B$36:$GS$61,0,ROW()-3),CS$3)</f>
        <v>0</v>
      </c>
      <c r="CT65" s="2">
        <f>COUNTIF(INDEX('LINE PLAN'!$B$36:$GS$61,0,ROW()-3),CT$3)</f>
        <v>0</v>
      </c>
      <c r="CU65" s="2">
        <f>COUNTIF(INDEX('LINE PLAN'!$B$36:$GS$61,0,ROW()-3),CU$3)</f>
        <v>0</v>
      </c>
      <c r="CV65" s="2">
        <f>COUNTIF(INDEX('LINE PLAN'!$B$36:$GS$61,0,ROW()-3),CV$3)</f>
        <v>0</v>
      </c>
      <c r="CW65" s="2">
        <f>COUNTIF(INDEX('LINE PLAN'!$B$36:$GS$61,0,ROW()-3),CW$3)</f>
        <v>0</v>
      </c>
      <c r="CX65" s="2">
        <f>COUNTIF(INDEX('LINE PLAN'!$B$36:$GS$61,0,ROW()-3),CX$3)</f>
        <v>0</v>
      </c>
      <c r="CY65" s="2">
        <f>COUNTIF(INDEX('LINE PLAN'!$B$36:$GS$61,0,ROW()-3),CY$3)</f>
        <v>0</v>
      </c>
      <c r="CZ65" s="2">
        <f>COUNTIF(INDEX('LINE PLAN'!$B$36:$GS$61,0,ROW()-3),CZ$3)</f>
        <v>0</v>
      </c>
      <c r="DA65" s="2">
        <f>COUNTIF(INDEX('LINE PLAN'!$B$36:$GS$61,0,ROW()-3),DA$3)</f>
        <v>0</v>
      </c>
      <c r="DB65" s="2">
        <f>COUNTIF(INDEX('LINE PLAN'!$B$36:$GS$61,0,ROW()-3),DB$3)</f>
        <v>0</v>
      </c>
      <c r="DC65" s="2">
        <f>COUNTIF(INDEX('LINE PLAN'!$B$36:$GS$61,0,ROW()-3),DC$3)</f>
        <v>0</v>
      </c>
      <c r="DD65" s="2">
        <f>COUNTIF(INDEX('LINE PLAN'!$B$36:$GS$61,0,ROW()-3),DD$3)</f>
        <v>0</v>
      </c>
      <c r="DE65" s="2">
        <f>COUNTIF(INDEX('LINE PLAN'!$B$36:$GS$61,0,ROW()-3),DE$3)</f>
        <v>0</v>
      </c>
      <c r="DF65" s="2">
        <f>COUNTIF(INDEX('LINE PLAN'!$B$36:$GS$61,0,ROW()-3),DF$3)</f>
        <v>0</v>
      </c>
      <c r="DG65" s="2">
        <f>COUNTIF(INDEX('LINE PLAN'!$B$36:$GS$61,0,ROW()-3),DG$3)</f>
        <v>0</v>
      </c>
      <c r="DH65" s="2">
        <f>COUNTIF(INDEX('LINE PLAN'!$B$36:$GS$61,0,ROW()-3),DH$3)</f>
        <v>0</v>
      </c>
      <c r="DI65" s="2">
        <f>COUNTIF(INDEX('LINE PLAN'!$B$36:$GS$61,0,ROW()-3),DI$3)</f>
        <v>0</v>
      </c>
      <c r="DJ65" s="2">
        <f>COUNTIF(INDEX('LINE PLAN'!$B$36:$GS$61,0,ROW()-3),DJ$3)</f>
        <v>0</v>
      </c>
      <c r="DK65" s="2">
        <f>COUNTIF(INDEX('LINE PLAN'!$B$36:$GS$61,0,ROW()-3),DK$3)</f>
        <v>0</v>
      </c>
      <c r="DL65" s="2">
        <f>COUNTIF(INDEX('LINE PLAN'!$B$36:$GS$61,0,ROW()-3),DL$3)</f>
        <v>0</v>
      </c>
      <c r="DM65" s="2">
        <f>COUNTIF(INDEX('LINE PLAN'!$B$36:$GS$61,0,ROW()-3),DM$3)</f>
        <v>0</v>
      </c>
      <c r="DN65" s="2">
        <f>COUNTIF(INDEX('LINE PLAN'!$B$36:$GS$61,0,ROW()-3),DN$3)</f>
        <v>0</v>
      </c>
      <c r="DO65" s="2">
        <f>COUNTIF(INDEX('LINE PLAN'!$B$36:$GS$61,0,ROW()-3),DO$3)</f>
        <v>0</v>
      </c>
      <c r="DP65" s="2">
        <f>COUNTIF(INDEX('LINE PLAN'!$B$36:$GS$61,0,ROW()-3),DP$3)</f>
        <v>0</v>
      </c>
      <c r="DQ65" s="2">
        <f>COUNTIF(INDEX('LINE PLAN'!$B$36:$GS$61,0,ROW()-3),DQ$3)</f>
        <v>0</v>
      </c>
      <c r="DR65" s="2">
        <f>COUNTIF(INDEX('LINE PLAN'!$B$36:$GS$61,0,ROW()-3),DR$3)</f>
        <v>0</v>
      </c>
      <c r="DS65" s="2">
        <f>COUNTIF(INDEX('LINE PLAN'!$B$36:$GS$61,0,ROW()-3),DS$3)</f>
        <v>0</v>
      </c>
      <c r="DT65" s="2">
        <f>COUNTIF(INDEX('LINE PLAN'!$B$36:$GS$61,0,ROW()-3),DT$3)</f>
        <v>0</v>
      </c>
      <c r="DU65" s="2">
        <f>COUNTIF(INDEX('LINE PLAN'!$B$36:$GS$61,0,ROW()-3),DU$3)</f>
        <v>0</v>
      </c>
      <c r="DV65" s="2">
        <f>COUNTIF(INDEX('LINE PLAN'!$B$36:$GS$61,0,ROW()-3),DV$3)</f>
        <v>0</v>
      </c>
    </row>
    <row r="66" spans="1:126">
      <c r="A66" s="505" cm="1">
        <f t="array" ref="A66">INDEX('LINE PLAN'!$B$35:$GS$35,ROW()-3)</f>
        <v>46297</v>
      </c>
      <c r="B66" s="2">
        <f>SUMPRODUCT($CA66:$DV66,INDEX('MC MAP'!$DA$5:$EV$30,1,0))</f>
        <v>131</v>
      </c>
      <c r="C66" s="2">
        <f>SUMPRODUCT($CA66:$DV66,INDEX('MC MAP'!$DA$5:$EV$30,2,0))</f>
        <v>1</v>
      </c>
      <c r="D66" s="2">
        <f>SUMPRODUCT($CA66:$DV66,INDEX('MC MAP'!$DA$5:$EV$30,3,0))</f>
        <v>0</v>
      </c>
      <c r="E66" s="2">
        <f>SUMPRODUCT($CA66:$DV66,INDEX('MC MAP'!$DA$5:$EV$30,4,0))</f>
        <v>4</v>
      </c>
      <c r="F66" s="2">
        <f>SUMPRODUCT($CA66:$DV66,INDEX('MC MAP'!$DA$5:$EV$30,5,0))</f>
        <v>195</v>
      </c>
      <c r="G66" s="2">
        <f>SUMPRODUCT($CA66:$DV66,INDEX('MC MAP'!$DA$5:$EV$30,6,0))</f>
        <v>12</v>
      </c>
      <c r="H66" s="2">
        <f>SUMPRODUCT($CA66:$DV66,INDEX('MC MAP'!$DA$5:$EV$30,7,0))</f>
        <v>0</v>
      </c>
      <c r="I66" s="2">
        <f>SUMPRODUCT($CA66:$DV66,INDEX('MC MAP'!$DA$5:$EV$30,8,0))</f>
        <v>41</v>
      </c>
      <c r="J66" s="2">
        <f>SUMPRODUCT($CA66:$DV66,INDEX('MC MAP'!$DA$5:$EV$30,9,0))</f>
        <v>24.5</v>
      </c>
      <c r="K66" s="2">
        <f>SUMPRODUCT($CA66:$DV66,INDEX('MC MAP'!$DA$5:$EV$30,10,0))</f>
        <v>12</v>
      </c>
      <c r="L66" s="2">
        <f>SUMPRODUCT($CA66:$DV66,INDEX('MC MAP'!$DA$5:$EV$30,11,0))</f>
        <v>12</v>
      </c>
      <c r="M66" s="2">
        <f>SUMPRODUCT($CA66:$DV66,INDEX('MC MAP'!$DA$5:$EV$30,12,0))</f>
        <v>33</v>
      </c>
      <c r="N66" s="2">
        <f>SUMPRODUCT($CA66:$DV66,INDEX('MC MAP'!$DA$5:$EV$30,13,0))</f>
        <v>32</v>
      </c>
      <c r="O66" s="2">
        <f>SUMPRODUCT($CA66:$DV66,INDEX('MC MAP'!$DA$5:$EV$30,14,0))</f>
        <v>19</v>
      </c>
      <c r="P66" s="2">
        <f>SUMPRODUCT($CA66:$DV66,INDEX('MC MAP'!$DA$5:$EV$30,15,0))</f>
        <v>52</v>
      </c>
      <c r="Q66" s="2">
        <f>SUMPRODUCT($CA66:$DV66,INDEX('MC MAP'!$DA$5:$EV$30,16,0))</f>
        <v>0</v>
      </c>
      <c r="R66" s="2">
        <f>SUMPRODUCT($CA66:$DV66,INDEX('MC MAP'!$DA$5:$EV$30,17,0))</f>
        <v>3</v>
      </c>
      <c r="S66" s="2">
        <f>SUMPRODUCT($CA66:$DV66,INDEX('MC MAP'!$DA$5:$EV$30,18,0))</f>
        <v>0</v>
      </c>
      <c r="T66" s="2">
        <f>SUMPRODUCT($CA66:$DV66,INDEX('MC MAP'!$DA$5:$EV$30,19,0))</f>
        <v>15</v>
      </c>
      <c r="U66" s="2">
        <f>SUMPRODUCT($CA66:$DV66,INDEX('MC MAP'!$DA$5:$EV$30,20,0))</f>
        <v>27</v>
      </c>
      <c r="V66" s="2">
        <f>SUMPRODUCT($CA66:$DV66,INDEX('MC MAP'!$DA$5:$EV$30,21,0))</f>
        <v>2</v>
      </c>
      <c r="W66" s="2">
        <f>SUMPRODUCT($CA66:$DV66,INDEX('MC MAP'!$DA$5:$EV$30,22,0))</f>
        <v>2</v>
      </c>
      <c r="X66" s="2">
        <f>SUMPRODUCT($CA66:$DV66,INDEX('MC MAP'!$DA$5:$EV$30,23,0))</f>
        <v>0</v>
      </c>
      <c r="Y66" s="2">
        <f>SUMPRODUCT($CA66:$DV66,INDEX('MC MAP'!$DA$5:$EV$30,24,0))</f>
        <v>8.5</v>
      </c>
      <c r="Z66" s="2">
        <f>SUMPRODUCT($CA66:$DV66,INDEX('MC MAP'!$DA$5:$EV$30,25,0))</f>
        <v>0</v>
      </c>
      <c r="AA66" s="2">
        <f>SUMPRODUCT($CA66:$DV66,INDEX('MC MAP'!$DA$5:$EV$30,26,0))</f>
        <v>24</v>
      </c>
      <c r="AB66" s="2">
        <f>SUM($B66:$AA66)</f>
        <v>650</v>
      </c>
      <c r="AC66" s="2">
        <f>SUM($CA66:$DV66)+$AW66</f>
        <v>21</v>
      </c>
      <c r="AW66" s="2">
        <f>IF($A66=0,0,COUNTIF(INDEX('LINE PLAN'!$B$36:$GS$61,0,ROW()-3),"THERMAL - NOT SPECIFIED"))</f>
        <v>0</v>
      </c>
      <c r="AX66" s="506" cm="1">
        <f t="array" ref="AX66">IF(OR($AB66=0,UPPER($BS66)&lt;&gt;"Y"),0,SUMPRODUCT(--($B66:$AA66&gt;$B$205:$AA$205)))</f>
        <v>2</v>
      </c>
      <c r="AY66" s="507">
        <f>$A66</f>
        <v>46297</v>
      </c>
      <c r="AZ66" s="2">
        <f>$AB66</f>
        <v>650</v>
      </c>
      <c r="BA66" s="2">
        <f>'MC MASTER'!$C$29</f>
        <v>920</v>
      </c>
      <c r="BQ66" s="509">
        <f>$A66</f>
        <v>46297</v>
      </c>
      <c r="BR66" s="15" t="str">
        <f>TEXT($A66,"ddd")</f>
        <v>Fri</v>
      </c>
      <c r="BS66" s="547" t="s">
        <v>391</v>
      </c>
      <c r="BT66" s="15">
        <f>IF(UPPER($BS66)="Y",$AB66,0)</f>
        <v>650</v>
      </c>
      <c r="CA66" s="2">
        <f>COUNTIF(INDEX('LINE PLAN'!$B$36:$GS$61,0,ROW()-3),CA$3)</f>
        <v>1</v>
      </c>
      <c r="CB66" s="2">
        <f>COUNTIF(INDEX('LINE PLAN'!$B$36:$GS$61,0,ROW()-3),CB$3)</f>
        <v>1</v>
      </c>
      <c r="CC66" s="2">
        <f>COUNTIF(INDEX('LINE PLAN'!$B$36:$GS$61,0,ROW()-3),CC$3)</f>
        <v>0</v>
      </c>
      <c r="CD66" s="2">
        <f>COUNTIF(INDEX('LINE PLAN'!$B$36:$GS$61,0,ROW()-3),CD$3)</f>
        <v>0</v>
      </c>
      <c r="CE66" s="2">
        <f>COUNTIF(INDEX('LINE PLAN'!$B$36:$GS$61,0,ROW()-3),CE$3)</f>
        <v>0</v>
      </c>
      <c r="CF66" s="2">
        <f>COUNTIF(INDEX('LINE PLAN'!$B$36:$GS$61,0,ROW()-3),CF$3)</f>
        <v>4</v>
      </c>
      <c r="CG66" s="2">
        <f>COUNTIF(INDEX('LINE PLAN'!$B$36:$GS$61,0,ROW()-3),CG$3)</f>
        <v>7</v>
      </c>
      <c r="CH66" s="2">
        <f>COUNTIF(INDEX('LINE PLAN'!$B$36:$GS$61,0,ROW()-3),CH$3)</f>
        <v>3</v>
      </c>
      <c r="CI66" s="2">
        <f>COUNTIF(INDEX('LINE PLAN'!$B$36:$GS$61,0,ROW()-3),CI$3)</f>
        <v>1</v>
      </c>
      <c r="CJ66" s="2">
        <f>COUNTIF(INDEX('LINE PLAN'!$B$36:$GS$61,0,ROW()-3),CJ$3)</f>
        <v>0</v>
      </c>
      <c r="CK66" s="2">
        <f>COUNTIF(INDEX('LINE PLAN'!$B$36:$GS$61,0,ROW()-3),CK$3)</f>
        <v>0</v>
      </c>
      <c r="CL66" s="2">
        <f>COUNTIF(INDEX('LINE PLAN'!$B$36:$GS$61,0,ROW()-3),CL$3)</f>
        <v>0</v>
      </c>
      <c r="CM66" s="2">
        <f>COUNTIF(INDEX('LINE PLAN'!$B$36:$GS$61,0,ROW()-3),CM$3)</f>
        <v>0</v>
      </c>
      <c r="CN66" s="2">
        <f>COUNTIF(INDEX('LINE PLAN'!$B$36:$GS$61,0,ROW()-3),CN$3)</f>
        <v>0</v>
      </c>
      <c r="CO66" s="2">
        <f>COUNTIF(INDEX('LINE PLAN'!$B$36:$GS$61,0,ROW()-3),CO$3)</f>
        <v>0</v>
      </c>
      <c r="CP66" s="2">
        <f>COUNTIF(INDEX('LINE PLAN'!$B$36:$GS$61,0,ROW()-3),CP$3)</f>
        <v>2</v>
      </c>
      <c r="CQ66" s="2">
        <f>COUNTIF(INDEX('LINE PLAN'!$B$36:$GS$61,0,ROW()-3),CQ$3)</f>
        <v>0</v>
      </c>
      <c r="CR66" s="2">
        <f>COUNTIF(INDEX('LINE PLAN'!$B$36:$GS$61,0,ROW()-3),CR$3)</f>
        <v>2</v>
      </c>
      <c r="CS66" s="2">
        <f>COUNTIF(INDEX('LINE PLAN'!$B$36:$GS$61,0,ROW()-3),CS$3)</f>
        <v>0</v>
      </c>
      <c r="CT66" s="2">
        <f>COUNTIF(INDEX('LINE PLAN'!$B$36:$GS$61,0,ROW()-3),CT$3)</f>
        <v>0</v>
      </c>
      <c r="CU66" s="2">
        <f>COUNTIF(INDEX('LINE PLAN'!$B$36:$GS$61,0,ROW()-3),CU$3)</f>
        <v>0</v>
      </c>
      <c r="CV66" s="2">
        <f>COUNTIF(INDEX('LINE PLAN'!$B$36:$GS$61,0,ROW()-3),CV$3)</f>
        <v>0</v>
      </c>
      <c r="CW66" s="2">
        <f>COUNTIF(INDEX('LINE PLAN'!$B$36:$GS$61,0,ROW()-3),CW$3)</f>
        <v>0</v>
      </c>
      <c r="CX66" s="2">
        <f>COUNTIF(INDEX('LINE PLAN'!$B$36:$GS$61,0,ROW()-3),CX$3)</f>
        <v>0</v>
      </c>
      <c r="CY66" s="2">
        <f>COUNTIF(INDEX('LINE PLAN'!$B$36:$GS$61,0,ROW()-3),CY$3)</f>
        <v>0</v>
      </c>
      <c r="CZ66" s="2">
        <f>COUNTIF(INDEX('LINE PLAN'!$B$36:$GS$61,0,ROW()-3),CZ$3)</f>
        <v>0</v>
      </c>
      <c r="DA66" s="2">
        <f>COUNTIF(INDEX('LINE PLAN'!$B$36:$GS$61,0,ROW()-3),DA$3)</f>
        <v>0</v>
      </c>
      <c r="DB66" s="2">
        <f>COUNTIF(INDEX('LINE PLAN'!$B$36:$GS$61,0,ROW()-3),DB$3)</f>
        <v>0</v>
      </c>
      <c r="DC66" s="2">
        <f>COUNTIF(INDEX('LINE PLAN'!$B$36:$GS$61,0,ROW()-3),DC$3)</f>
        <v>0</v>
      </c>
      <c r="DD66" s="2">
        <f>COUNTIF(INDEX('LINE PLAN'!$B$36:$GS$61,0,ROW()-3),DD$3)</f>
        <v>0</v>
      </c>
      <c r="DE66" s="2">
        <f>COUNTIF(INDEX('LINE PLAN'!$B$36:$GS$61,0,ROW()-3),DE$3)</f>
        <v>0</v>
      </c>
      <c r="DF66" s="2">
        <f>COUNTIF(INDEX('LINE PLAN'!$B$36:$GS$61,0,ROW()-3),DF$3)</f>
        <v>0</v>
      </c>
      <c r="DG66" s="2">
        <f>COUNTIF(INDEX('LINE PLAN'!$B$36:$GS$61,0,ROW()-3),DG$3)</f>
        <v>0</v>
      </c>
      <c r="DH66" s="2">
        <f>COUNTIF(INDEX('LINE PLAN'!$B$36:$GS$61,0,ROW()-3),DH$3)</f>
        <v>0</v>
      </c>
      <c r="DI66" s="2">
        <f>COUNTIF(INDEX('LINE PLAN'!$B$36:$GS$61,0,ROW()-3),DI$3)</f>
        <v>0</v>
      </c>
      <c r="DJ66" s="2">
        <f>COUNTIF(INDEX('LINE PLAN'!$B$36:$GS$61,0,ROW()-3),DJ$3)</f>
        <v>0</v>
      </c>
      <c r="DK66" s="2">
        <f>COUNTIF(INDEX('LINE PLAN'!$B$36:$GS$61,0,ROW()-3),DK$3)</f>
        <v>0</v>
      </c>
      <c r="DL66" s="2">
        <f>COUNTIF(INDEX('LINE PLAN'!$B$36:$GS$61,0,ROW()-3),DL$3)</f>
        <v>0</v>
      </c>
      <c r="DM66" s="2">
        <f>COUNTIF(INDEX('LINE PLAN'!$B$36:$GS$61,0,ROW()-3),DM$3)</f>
        <v>0</v>
      </c>
      <c r="DN66" s="2">
        <f>COUNTIF(INDEX('LINE PLAN'!$B$36:$GS$61,0,ROW()-3),DN$3)</f>
        <v>0</v>
      </c>
      <c r="DO66" s="2">
        <f>COUNTIF(INDEX('LINE PLAN'!$B$36:$GS$61,0,ROW()-3),DO$3)</f>
        <v>0</v>
      </c>
      <c r="DP66" s="2">
        <f>COUNTIF(INDEX('LINE PLAN'!$B$36:$GS$61,0,ROW()-3),DP$3)</f>
        <v>0</v>
      </c>
      <c r="DQ66" s="2">
        <f>COUNTIF(INDEX('LINE PLAN'!$B$36:$GS$61,0,ROW()-3),DQ$3)</f>
        <v>0</v>
      </c>
      <c r="DR66" s="2">
        <f>COUNTIF(INDEX('LINE PLAN'!$B$36:$GS$61,0,ROW()-3),DR$3)</f>
        <v>0</v>
      </c>
      <c r="DS66" s="2">
        <f>COUNTIF(INDEX('LINE PLAN'!$B$36:$GS$61,0,ROW()-3),DS$3)</f>
        <v>0</v>
      </c>
      <c r="DT66" s="2">
        <f>COUNTIF(INDEX('LINE PLAN'!$B$36:$GS$61,0,ROW()-3),DT$3)</f>
        <v>0</v>
      </c>
      <c r="DU66" s="2">
        <f>COUNTIF(INDEX('LINE PLAN'!$B$36:$GS$61,0,ROW()-3),DU$3)</f>
        <v>0</v>
      </c>
      <c r="DV66" s="2">
        <f>COUNTIF(INDEX('LINE PLAN'!$B$36:$GS$61,0,ROW()-3),DV$3)</f>
        <v>0</v>
      </c>
    </row>
    <row r="67" spans="1:126">
      <c r="A67" s="505" cm="1">
        <f t="array" ref="A67">INDEX('LINE PLAN'!$B$35:$GS$35,ROW()-3)</f>
        <v>46298</v>
      </c>
      <c r="B67" s="2">
        <f>SUMPRODUCT($CA67:$DV67,INDEX('MC MAP'!$DA$5:$EV$30,1,0))</f>
        <v>131</v>
      </c>
      <c r="C67" s="2">
        <f>SUMPRODUCT($CA67:$DV67,INDEX('MC MAP'!$DA$5:$EV$30,2,0))</f>
        <v>1</v>
      </c>
      <c r="D67" s="2">
        <f>SUMPRODUCT($CA67:$DV67,INDEX('MC MAP'!$DA$5:$EV$30,3,0))</f>
        <v>0</v>
      </c>
      <c r="E67" s="2">
        <f>SUMPRODUCT($CA67:$DV67,INDEX('MC MAP'!$DA$5:$EV$30,4,0))</f>
        <v>4</v>
      </c>
      <c r="F67" s="2">
        <f>SUMPRODUCT($CA67:$DV67,INDEX('MC MAP'!$DA$5:$EV$30,5,0))</f>
        <v>195</v>
      </c>
      <c r="G67" s="2">
        <f>SUMPRODUCT($CA67:$DV67,INDEX('MC MAP'!$DA$5:$EV$30,6,0))</f>
        <v>12</v>
      </c>
      <c r="H67" s="2">
        <f>SUMPRODUCT($CA67:$DV67,INDEX('MC MAP'!$DA$5:$EV$30,7,0))</f>
        <v>0</v>
      </c>
      <c r="I67" s="2">
        <f>SUMPRODUCT($CA67:$DV67,INDEX('MC MAP'!$DA$5:$EV$30,8,0))</f>
        <v>41</v>
      </c>
      <c r="J67" s="2">
        <f>SUMPRODUCT($CA67:$DV67,INDEX('MC MAP'!$DA$5:$EV$30,9,0))</f>
        <v>24.5</v>
      </c>
      <c r="K67" s="2">
        <f>SUMPRODUCT($CA67:$DV67,INDEX('MC MAP'!$DA$5:$EV$30,10,0))</f>
        <v>12</v>
      </c>
      <c r="L67" s="2">
        <f>SUMPRODUCT($CA67:$DV67,INDEX('MC MAP'!$DA$5:$EV$30,11,0))</f>
        <v>12</v>
      </c>
      <c r="M67" s="2">
        <f>SUMPRODUCT($CA67:$DV67,INDEX('MC MAP'!$DA$5:$EV$30,12,0))</f>
        <v>33</v>
      </c>
      <c r="N67" s="2">
        <f>SUMPRODUCT($CA67:$DV67,INDEX('MC MAP'!$DA$5:$EV$30,13,0))</f>
        <v>32</v>
      </c>
      <c r="O67" s="2">
        <f>SUMPRODUCT($CA67:$DV67,INDEX('MC MAP'!$DA$5:$EV$30,14,0))</f>
        <v>19</v>
      </c>
      <c r="P67" s="2">
        <f>SUMPRODUCT($CA67:$DV67,INDEX('MC MAP'!$DA$5:$EV$30,15,0))</f>
        <v>52</v>
      </c>
      <c r="Q67" s="2">
        <f>SUMPRODUCT($CA67:$DV67,INDEX('MC MAP'!$DA$5:$EV$30,16,0))</f>
        <v>0</v>
      </c>
      <c r="R67" s="2">
        <f>SUMPRODUCT($CA67:$DV67,INDEX('MC MAP'!$DA$5:$EV$30,17,0))</f>
        <v>3</v>
      </c>
      <c r="S67" s="2">
        <f>SUMPRODUCT($CA67:$DV67,INDEX('MC MAP'!$DA$5:$EV$30,18,0))</f>
        <v>0</v>
      </c>
      <c r="T67" s="2">
        <f>SUMPRODUCT($CA67:$DV67,INDEX('MC MAP'!$DA$5:$EV$30,19,0))</f>
        <v>15</v>
      </c>
      <c r="U67" s="2">
        <f>SUMPRODUCT($CA67:$DV67,INDEX('MC MAP'!$DA$5:$EV$30,20,0))</f>
        <v>27</v>
      </c>
      <c r="V67" s="2">
        <f>SUMPRODUCT($CA67:$DV67,INDEX('MC MAP'!$DA$5:$EV$30,21,0))</f>
        <v>2</v>
      </c>
      <c r="W67" s="2">
        <f>SUMPRODUCT($CA67:$DV67,INDEX('MC MAP'!$DA$5:$EV$30,22,0))</f>
        <v>2</v>
      </c>
      <c r="X67" s="2">
        <f>SUMPRODUCT($CA67:$DV67,INDEX('MC MAP'!$DA$5:$EV$30,23,0))</f>
        <v>0</v>
      </c>
      <c r="Y67" s="2">
        <f>SUMPRODUCT($CA67:$DV67,INDEX('MC MAP'!$DA$5:$EV$30,24,0))</f>
        <v>8.5</v>
      </c>
      <c r="Z67" s="2">
        <f>SUMPRODUCT($CA67:$DV67,INDEX('MC MAP'!$DA$5:$EV$30,25,0))</f>
        <v>0</v>
      </c>
      <c r="AA67" s="2">
        <f>SUMPRODUCT($CA67:$DV67,INDEX('MC MAP'!$DA$5:$EV$30,26,0))</f>
        <v>24</v>
      </c>
      <c r="AB67" s="2">
        <f>SUM($B67:$AA67)</f>
        <v>650</v>
      </c>
      <c r="AC67" s="2">
        <f>SUM($CA67:$DV67)+$AW67</f>
        <v>21</v>
      </c>
      <c r="AW67" s="2">
        <f>IF($A67=0,0,COUNTIF(INDEX('LINE PLAN'!$B$36:$GS$61,0,ROW()-3),"THERMAL - NOT SPECIFIED"))</f>
        <v>0</v>
      </c>
      <c r="AX67" s="506" cm="1">
        <f t="array" ref="AX67">IF(OR($AB67=0,UPPER($BS67)&lt;&gt;"Y"),0,SUMPRODUCT(--($B67:$AA67&gt;$B$205:$AA$205)))</f>
        <v>2</v>
      </c>
      <c r="AY67" s="507">
        <f>$A67</f>
        <v>46298</v>
      </c>
      <c r="AZ67" s="2">
        <f>$AB67</f>
        <v>650</v>
      </c>
      <c r="BA67" s="2">
        <f>'MC MASTER'!$C$29</f>
        <v>920</v>
      </c>
      <c r="BQ67" s="509">
        <f>$A67</f>
        <v>46298</v>
      </c>
      <c r="BR67" s="15" t="str">
        <f>TEXT($A67,"ddd")</f>
        <v>Sat</v>
      </c>
      <c r="BS67" s="547" t="s">
        <v>391</v>
      </c>
      <c r="BT67" s="15">
        <f>IF(UPPER($BS67)="Y",$AB67,0)</f>
        <v>650</v>
      </c>
      <c r="CA67" s="2">
        <f>COUNTIF(INDEX('LINE PLAN'!$B$36:$GS$61,0,ROW()-3),CA$3)</f>
        <v>1</v>
      </c>
      <c r="CB67" s="2">
        <f>COUNTIF(INDEX('LINE PLAN'!$B$36:$GS$61,0,ROW()-3),CB$3)</f>
        <v>1</v>
      </c>
      <c r="CC67" s="2">
        <f>COUNTIF(INDEX('LINE PLAN'!$B$36:$GS$61,0,ROW()-3),CC$3)</f>
        <v>0</v>
      </c>
      <c r="CD67" s="2">
        <f>COUNTIF(INDEX('LINE PLAN'!$B$36:$GS$61,0,ROW()-3),CD$3)</f>
        <v>0</v>
      </c>
      <c r="CE67" s="2">
        <f>COUNTIF(INDEX('LINE PLAN'!$B$36:$GS$61,0,ROW()-3),CE$3)</f>
        <v>0</v>
      </c>
      <c r="CF67" s="2">
        <f>COUNTIF(INDEX('LINE PLAN'!$B$36:$GS$61,0,ROW()-3),CF$3)</f>
        <v>4</v>
      </c>
      <c r="CG67" s="2">
        <f>COUNTIF(INDEX('LINE PLAN'!$B$36:$GS$61,0,ROW()-3),CG$3)</f>
        <v>7</v>
      </c>
      <c r="CH67" s="2">
        <f>COUNTIF(INDEX('LINE PLAN'!$B$36:$GS$61,0,ROW()-3),CH$3)</f>
        <v>3</v>
      </c>
      <c r="CI67" s="2">
        <f>COUNTIF(INDEX('LINE PLAN'!$B$36:$GS$61,0,ROW()-3),CI$3)</f>
        <v>1</v>
      </c>
      <c r="CJ67" s="2">
        <f>COUNTIF(INDEX('LINE PLAN'!$B$36:$GS$61,0,ROW()-3),CJ$3)</f>
        <v>0</v>
      </c>
      <c r="CK67" s="2">
        <f>COUNTIF(INDEX('LINE PLAN'!$B$36:$GS$61,0,ROW()-3),CK$3)</f>
        <v>0</v>
      </c>
      <c r="CL67" s="2">
        <f>COUNTIF(INDEX('LINE PLAN'!$B$36:$GS$61,0,ROW()-3),CL$3)</f>
        <v>0</v>
      </c>
      <c r="CM67" s="2">
        <f>COUNTIF(INDEX('LINE PLAN'!$B$36:$GS$61,0,ROW()-3),CM$3)</f>
        <v>0</v>
      </c>
      <c r="CN67" s="2">
        <f>COUNTIF(INDEX('LINE PLAN'!$B$36:$GS$61,0,ROW()-3),CN$3)</f>
        <v>0</v>
      </c>
      <c r="CO67" s="2">
        <f>COUNTIF(INDEX('LINE PLAN'!$B$36:$GS$61,0,ROW()-3),CO$3)</f>
        <v>0</v>
      </c>
      <c r="CP67" s="2">
        <f>COUNTIF(INDEX('LINE PLAN'!$B$36:$GS$61,0,ROW()-3),CP$3)</f>
        <v>2</v>
      </c>
      <c r="CQ67" s="2">
        <f>COUNTIF(INDEX('LINE PLAN'!$B$36:$GS$61,0,ROW()-3),CQ$3)</f>
        <v>0</v>
      </c>
      <c r="CR67" s="2">
        <f>COUNTIF(INDEX('LINE PLAN'!$B$36:$GS$61,0,ROW()-3),CR$3)</f>
        <v>2</v>
      </c>
      <c r="CS67" s="2">
        <f>COUNTIF(INDEX('LINE PLAN'!$B$36:$GS$61,0,ROW()-3),CS$3)</f>
        <v>0</v>
      </c>
      <c r="CT67" s="2">
        <f>COUNTIF(INDEX('LINE PLAN'!$B$36:$GS$61,0,ROW()-3),CT$3)</f>
        <v>0</v>
      </c>
      <c r="CU67" s="2">
        <f>COUNTIF(INDEX('LINE PLAN'!$B$36:$GS$61,0,ROW()-3),CU$3)</f>
        <v>0</v>
      </c>
      <c r="CV67" s="2">
        <f>COUNTIF(INDEX('LINE PLAN'!$B$36:$GS$61,0,ROW()-3),CV$3)</f>
        <v>0</v>
      </c>
      <c r="CW67" s="2">
        <f>COUNTIF(INDEX('LINE PLAN'!$B$36:$GS$61,0,ROW()-3),CW$3)</f>
        <v>0</v>
      </c>
      <c r="CX67" s="2">
        <f>COUNTIF(INDEX('LINE PLAN'!$B$36:$GS$61,0,ROW()-3),CX$3)</f>
        <v>0</v>
      </c>
      <c r="CY67" s="2">
        <f>COUNTIF(INDEX('LINE PLAN'!$B$36:$GS$61,0,ROW()-3),CY$3)</f>
        <v>0</v>
      </c>
      <c r="CZ67" s="2">
        <f>COUNTIF(INDEX('LINE PLAN'!$B$36:$GS$61,0,ROW()-3),CZ$3)</f>
        <v>0</v>
      </c>
      <c r="DA67" s="2">
        <f>COUNTIF(INDEX('LINE PLAN'!$B$36:$GS$61,0,ROW()-3),DA$3)</f>
        <v>0</v>
      </c>
      <c r="DB67" s="2">
        <f>COUNTIF(INDEX('LINE PLAN'!$B$36:$GS$61,0,ROW()-3),DB$3)</f>
        <v>0</v>
      </c>
      <c r="DC67" s="2">
        <f>COUNTIF(INDEX('LINE PLAN'!$B$36:$GS$61,0,ROW()-3),DC$3)</f>
        <v>0</v>
      </c>
      <c r="DD67" s="2">
        <f>COUNTIF(INDEX('LINE PLAN'!$B$36:$GS$61,0,ROW()-3),DD$3)</f>
        <v>0</v>
      </c>
      <c r="DE67" s="2">
        <f>COUNTIF(INDEX('LINE PLAN'!$B$36:$GS$61,0,ROW()-3),DE$3)</f>
        <v>0</v>
      </c>
      <c r="DF67" s="2">
        <f>COUNTIF(INDEX('LINE PLAN'!$B$36:$GS$61,0,ROW()-3),DF$3)</f>
        <v>0</v>
      </c>
      <c r="DG67" s="2">
        <f>COUNTIF(INDEX('LINE PLAN'!$B$36:$GS$61,0,ROW()-3),DG$3)</f>
        <v>0</v>
      </c>
      <c r="DH67" s="2">
        <f>COUNTIF(INDEX('LINE PLAN'!$B$36:$GS$61,0,ROW()-3),DH$3)</f>
        <v>0</v>
      </c>
      <c r="DI67" s="2">
        <f>COUNTIF(INDEX('LINE PLAN'!$B$36:$GS$61,0,ROW()-3),DI$3)</f>
        <v>0</v>
      </c>
      <c r="DJ67" s="2">
        <f>COUNTIF(INDEX('LINE PLAN'!$B$36:$GS$61,0,ROW()-3),DJ$3)</f>
        <v>0</v>
      </c>
      <c r="DK67" s="2">
        <f>COUNTIF(INDEX('LINE PLAN'!$B$36:$GS$61,0,ROW()-3),DK$3)</f>
        <v>0</v>
      </c>
      <c r="DL67" s="2">
        <f>COUNTIF(INDEX('LINE PLAN'!$B$36:$GS$61,0,ROW()-3),DL$3)</f>
        <v>0</v>
      </c>
      <c r="DM67" s="2">
        <f>COUNTIF(INDEX('LINE PLAN'!$B$36:$GS$61,0,ROW()-3),DM$3)</f>
        <v>0</v>
      </c>
      <c r="DN67" s="2">
        <f>COUNTIF(INDEX('LINE PLAN'!$B$36:$GS$61,0,ROW()-3),DN$3)</f>
        <v>0</v>
      </c>
      <c r="DO67" s="2">
        <f>COUNTIF(INDEX('LINE PLAN'!$B$36:$GS$61,0,ROW()-3),DO$3)</f>
        <v>0</v>
      </c>
      <c r="DP67" s="2">
        <f>COUNTIF(INDEX('LINE PLAN'!$B$36:$GS$61,0,ROW()-3),DP$3)</f>
        <v>0</v>
      </c>
      <c r="DQ67" s="2">
        <f>COUNTIF(INDEX('LINE PLAN'!$B$36:$GS$61,0,ROW()-3),DQ$3)</f>
        <v>0</v>
      </c>
      <c r="DR67" s="2">
        <f>COUNTIF(INDEX('LINE PLAN'!$B$36:$GS$61,0,ROW()-3),DR$3)</f>
        <v>0</v>
      </c>
      <c r="DS67" s="2">
        <f>COUNTIF(INDEX('LINE PLAN'!$B$36:$GS$61,0,ROW()-3),DS$3)</f>
        <v>0</v>
      </c>
      <c r="DT67" s="2">
        <f>COUNTIF(INDEX('LINE PLAN'!$B$36:$GS$61,0,ROW()-3),DT$3)</f>
        <v>0</v>
      </c>
      <c r="DU67" s="2">
        <f>COUNTIF(INDEX('LINE PLAN'!$B$36:$GS$61,0,ROW()-3),DU$3)</f>
        <v>0</v>
      </c>
      <c r="DV67" s="2">
        <f>COUNTIF(INDEX('LINE PLAN'!$B$36:$GS$61,0,ROW()-3),DV$3)</f>
        <v>0</v>
      </c>
    </row>
    <row r="68" spans="1:126">
      <c r="A68" s="505" cm="1">
        <f t="array" ref="A68">INDEX('LINE PLAN'!$B$35:$GS$35,ROW()-3)</f>
        <v>46299</v>
      </c>
      <c r="B68" s="2">
        <f>SUMPRODUCT($CA68:$DV68,INDEX('MC MAP'!$DA$5:$EV$30,1,0))</f>
        <v>126</v>
      </c>
      <c r="C68" s="2">
        <f>SUMPRODUCT($CA68:$DV68,INDEX('MC MAP'!$DA$5:$EV$30,2,0))</f>
        <v>1</v>
      </c>
      <c r="D68" s="2">
        <f>SUMPRODUCT($CA68:$DV68,INDEX('MC MAP'!$DA$5:$EV$30,3,0))</f>
        <v>0</v>
      </c>
      <c r="E68" s="2">
        <f>SUMPRODUCT($CA68:$DV68,INDEX('MC MAP'!$DA$5:$EV$30,4,0))</f>
        <v>4</v>
      </c>
      <c r="F68" s="2">
        <f>SUMPRODUCT($CA68:$DV68,INDEX('MC MAP'!$DA$5:$EV$30,5,0))</f>
        <v>185</v>
      </c>
      <c r="G68" s="2">
        <f>SUMPRODUCT($CA68:$DV68,INDEX('MC MAP'!$DA$5:$EV$30,6,0))</f>
        <v>12</v>
      </c>
      <c r="H68" s="2">
        <f>SUMPRODUCT($CA68:$DV68,INDEX('MC MAP'!$DA$5:$EV$30,7,0))</f>
        <v>0</v>
      </c>
      <c r="I68" s="2">
        <f>SUMPRODUCT($CA68:$DV68,INDEX('MC MAP'!$DA$5:$EV$30,8,0))</f>
        <v>37</v>
      </c>
      <c r="J68" s="2">
        <f>SUMPRODUCT($CA68:$DV68,INDEX('MC MAP'!$DA$5:$EV$30,9,0))</f>
        <v>24.5</v>
      </c>
      <c r="K68" s="2">
        <f>SUMPRODUCT($CA68:$DV68,INDEX('MC MAP'!$DA$5:$EV$30,10,0))</f>
        <v>12</v>
      </c>
      <c r="L68" s="2">
        <f>SUMPRODUCT($CA68:$DV68,INDEX('MC MAP'!$DA$5:$EV$30,11,0))</f>
        <v>12</v>
      </c>
      <c r="M68" s="2">
        <f>SUMPRODUCT($CA68:$DV68,INDEX('MC MAP'!$DA$5:$EV$30,12,0))</f>
        <v>30</v>
      </c>
      <c r="N68" s="2">
        <f>SUMPRODUCT($CA68:$DV68,INDEX('MC MAP'!$DA$5:$EV$30,13,0))</f>
        <v>29.5</v>
      </c>
      <c r="O68" s="2">
        <f>SUMPRODUCT($CA68:$DV68,INDEX('MC MAP'!$DA$5:$EV$30,14,0))</f>
        <v>19</v>
      </c>
      <c r="P68" s="2">
        <f>SUMPRODUCT($CA68:$DV68,INDEX('MC MAP'!$DA$5:$EV$30,15,0))</f>
        <v>47</v>
      </c>
      <c r="Q68" s="2">
        <f>SUMPRODUCT($CA68:$DV68,INDEX('MC MAP'!$DA$5:$EV$30,16,0))</f>
        <v>0</v>
      </c>
      <c r="R68" s="2">
        <f>SUMPRODUCT($CA68:$DV68,INDEX('MC MAP'!$DA$5:$EV$30,17,0))</f>
        <v>3</v>
      </c>
      <c r="S68" s="2">
        <f>SUMPRODUCT($CA68:$DV68,INDEX('MC MAP'!$DA$5:$EV$30,18,0))</f>
        <v>0</v>
      </c>
      <c r="T68" s="2">
        <f>SUMPRODUCT($CA68:$DV68,INDEX('MC MAP'!$DA$5:$EV$30,19,0))</f>
        <v>14</v>
      </c>
      <c r="U68" s="2">
        <f>SUMPRODUCT($CA68:$DV68,INDEX('MC MAP'!$DA$5:$EV$30,20,0))</f>
        <v>26</v>
      </c>
      <c r="V68" s="2">
        <f>SUMPRODUCT($CA68:$DV68,INDEX('MC MAP'!$DA$5:$EV$30,21,0))</f>
        <v>2</v>
      </c>
      <c r="W68" s="2">
        <f>SUMPRODUCT($CA68:$DV68,INDEX('MC MAP'!$DA$5:$EV$30,22,0))</f>
        <v>2</v>
      </c>
      <c r="X68" s="2">
        <f>SUMPRODUCT($CA68:$DV68,INDEX('MC MAP'!$DA$5:$EV$30,23,0))</f>
        <v>0</v>
      </c>
      <c r="Y68" s="2">
        <f>SUMPRODUCT($CA68:$DV68,INDEX('MC MAP'!$DA$5:$EV$30,24,0))</f>
        <v>8.5</v>
      </c>
      <c r="Z68" s="2">
        <f>SUMPRODUCT($CA68:$DV68,INDEX('MC MAP'!$DA$5:$EV$30,25,0))</f>
        <v>0</v>
      </c>
      <c r="AA68" s="2">
        <f>SUMPRODUCT($CA68:$DV68,INDEX('MC MAP'!$DA$5:$EV$30,26,0))</f>
        <v>22</v>
      </c>
      <c r="AB68" s="2">
        <f>SUM($B68:$AA68)</f>
        <v>616.5</v>
      </c>
      <c r="AC68" s="2">
        <f>SUM($CA68:$DV68)+$AW68</f>
        <v>21</v>
      </c>
      <c r="AW68" s="2">
        <f>IF($A68=0,0,COUNTIF(INDEX('LINE PLAN'!$B$36:$GS$61,0,ROW()-3),"THERMAL - NOT SPECIFIED"))</f>
        <v>0</v>
      </c>
      <c r="AX68" s="506" cm="1">
        <f t="array" ref="AX68">IF(OR($AB68=0,UPPER($BS68)&lt;&gt;"Y"),0,SUMPRODUCT(--($B68:$AA68&gt;$B$205:$AA$205)))</f>
        <v>0</v>
      </c>
      <c r="AY68" s="507">
        <f>$A68</f>
        <v>46299</v>
      </c>
      <c r="AZ68" s="2">
        <f>$AB68</f>
        <v>616.5</v>
      </c>
      <c r="BA68" s="2">
        <f>'MC MASTER'!$C$29</f>
        <v>920</v>
      </c>
      <c r="BQ68" s="509">
        <f>$A68</f>
        <v>46299</v>
      </c>
      <c r="BR68" s="15" t="str">
        <f>TEXT($A68,"ddd")</f>
        <v>Sun</v>
      </c>
      <c r="BS68" s="547" t="s">
        <v>392</v>
      </c>
      <c r="BT68" s="15">
        <f>IF(UPPER($BS68)="Y",$AB68,0)</f>
        <v>0</v>
      </c>
      <c r="CA68" s="2">
        <f>COUNTIF(INDEX('LINE PLAN'!$B$36:$GS$61,0,ROW()-3),CA$3)</f>
        <v>1</v>
      </c>
      <c r="CB68" s="2">
        <f>COUNTIF(INDEX('LINE PLAN'!$B$36:$GS$61,0,ROW()-3),CB$3)</f>
        <v>1</v>
      </c>
      <c r="CC68" s="2">
        <f>COUNTIF(INDEX('LINE PLAN'!$B$36:$GS$61,0,ROW()-3),CC$3)</f>
        <v>0</v>
      </c>
      <c r="CD68" s="2">
        <f>COUNTIF(INDEX('LINE PLAN'!$B$36:$GS$61,0,ROW()-3),CD$3)</f>
        <v>0</v>
      </c>
      <c r="CE68" s="2">
        <f>COUNTIF(INDEX('LINE PLAN'!$B$36:$GS$61,0,ROW()-3),CE$3)</f>
        <v>0</v>
      </c>
      <c r="CF68" s="2">
        <f>COUNTIF(INDEX('LINE PLAN'!$B$36:$GS$61,0,ROW()-3),CF$3)</f>
        <v>4</v>
      </c>
      <c r="CG68" s="2">
        <f>COUNTIF(INDEX('LINE PLAN'!$B$36:$GS$61,0,ROW()-3),CG$3)</f>
        <v>7</v>
      </c>
      <c r="CH68" s="2">
        <f>COUNTIF(INDEX('LINE PLAN'!$B$36:$GS$61,0,ROW()-3),CH$3)</f>
        <v>3</v>
      </c>
      <c r="CI68" s="2">
        <f>COUNTIF(INDEX('LINE PLAN'!$B$36:$GS$61,0,ROW()-3),CI$3)</f>
        <v>0</v>
      </c>
      <c r="CJ68" s="2">
        <f>COUNTIF(INDEX('LINE PLAN'!$B$36:$GS$61,0,ROW()-3),CJ$3)</f>
        <v>0</v>
      </c>
      <c r="CK68" s="2">
        <f>COUNTIF(INDEX('LINE PLAN'!$B$36:$GS$61,0,ROW()-3),CK$3)</f>
        <v>0</v>
      </c>
      <c r="CL68" s="2">
        <f>COUNTIF(INDEX('LINE PLAN'!$B$36:$GS$61,0,ROW()-3),CL$3)</f>
        <v>0</v>
      </c>
      <c r="CM68" s="2">
        <f>COUNTIF(INDEX('LINE PLAN'!$B$36:$GS$61,0,ROW()-3),CM$3)</f>
        <v>1</v>
      </c>
      <c r="CN68" s="2">
        <f>COUNTIF(INDEX('LINE PLAN'!$B$36:$GS$61,0,ROW()-3),CN$3)</f>
        <v>0</v>
      </c>
      <c r="CO68" s="2">
        <f>COUNTIF(INDEX('LINE PLAN'!$B$36:$GS$61,0,ROW()-3),CO$3)</f>
        <v>0</v>
      </c>
      <c r="CP68" s="2">
        <f>COUNTIF(INDEX('LINE PLAN'!$B$36:$GS$61,0,ROW()-3),CP$3)</f>
        <v>2</v>
      </c>
      <c r="CQ68" s="2">
        <f>COUNTIF(INDEX('LINE PLAN'!$B$36:$GS$61,0,ROW()-3),CQ$3)</f>
        <v>0</v>
      </c>
      <c r="CR68" s="2">
        <f>COUNTIF(INDEX('LINE PLAN'!$B$36:$GS$61,0,ROW()-3),CR$3)</f>
        <v>2</v>
      </c>
      <c r="CS68" s="2">
        <f>COUNTIF(INDEX('LINE PLAN'!$B$36:$GS$61,0,ROW()-3),CS$3)</f>
        <v>0</v>
      </c>
      <c r="CT68" s="2">
        <f>COUNTIF(INDEX('LINE PLAN'!$B$36:$GS$61,0,ROW()-3),CT$3)</f>
        <v>0</v>
      </c>
      <c r="CU68" s="2">
        <f>COUNTIF(INDEX('LINE PLAN'!$B$36:$GS$61,0,ROW()-3),CU$3)</f>
        <v>0</v>
      </c>
      <c r="CV68" s="2">
        <f>COUNTIF(INDEX('LINE PLAN'!$B$36:$GS$61,0,ROW()-3),CV$3)</f>
        <v>0</v>
      </c>
      <c r="CW68" s="2">
        <f>COUNTIF(INDEX('LINE PLAN'!$B$36:$GS$61,0,ROW()-3),CW$3)</f>
        <v>0</v>
      </c>
      <c r="CX68" s="2">
        <f>COUNTIF(INDEX('LINE PLAN'!$B$36:$GS$61,0,ROW()-3),CX$3)</f>
        <v>0</v>
      </c>
      <c r="CY68" s="2">
        <f>COUNTIF(INDEX('LINE PLAN'!$B$36:$GS$61,0,ROW()-3),CY$3)</f>
        <v>0</v>
      </c>
      <c r="CZ68" s="2">
        <f>COUNTIF(INDEX('LINE PLAN'!$B$36:$GS$61,0,ROW()-3),CZ$3)</f>
        <v>0</v>
      </c>
      <c r="DA68" s="2">
        <f>COUNTIF(INDEX('LINE PLAN'!$B$36:$GS$61,0,ROW()-3),DA$3)</f>
        <v>0</v>
      </c>
      <c r="DB68" s="2">
        <f>COUNTIF(INDEX('LINE PLAN'!$B$36:$GS$61,0,ROW()-3),DB$3)</f>
        <v>0</v>
      </c>
      <c r="DC68" s="2">
        <f>COUNTIF(INDEX('LINE PLAN'!$B$36:$GS$61,0,ROW()-3),DC$3)</f>
        <v>0</v>
      </c>
      <c r="DD68" s="2">
        <f>COUNTIF(INDEX('LINE PLAN'!$B$36:$GS$61,0,ROW()-3),DD$3)</f>
        <v>0</v>
      </c>
      <c r="DE68" s="2">
        <f>COUNTIF(INDEX('LINE PLAN'!$B$36:$GS$61,0,ROW()-3),DE$3)</f>
        <v>0</v>
      </c>
      <c r="DF68" s="2">
        <f>COUNTIF(INDEX('LINE PLAN'!$B$36:$GS$61,0,ROW()-3),DF$3)</f>
        <v>0</v>
      </c>
      <c r="DG68" s="2">
        <f>COUNTIF(INDEX('LINE PLAN'!$B$36:$GS$61,0,ROW()-3),DG$3)</f>
        <v>0</v>
      </c>
      <c r="DH68" s="2">
        <f>COUNTIF(INDEX('LINE PLAN'!$B$36:$GS$61,0,ROW()-3),DH$3)</f>
        <v>0</v>
      </c>
      <c r="DI68" s="2">
        <f>COUNTIF(INDEX('LINE PLAN'!$B$36:$GS$61,0,ROW()-3),DI$3)</f>
        <v>0</v>
      </c>
      <c r="DJ68" s="2">
        <f>COUNTIF(INDEX('LINE PLAN'!$B$36:$GS$61,0,ROW()-3),DJ$3)</f>
        <v>0</v>
      </c>
      <c r="DK68" s="2">
        <f>COUNTIF(INDEX('LINE PLAN'!$B$36:$GS$61,0,ROW()-3),DK$3)</f>
        <v>0</v>
      </c>
      <c r="DL68" s="2">
        <f>COUNTIF(INDEX('LINE PLAN'!$B$36:$GS$61,0,ROW()-3),DL$3)</f>
        <v>0</v>
      </c>
      <c r="DM68" s="2">
        <f>COUNTIF(INDEX('LINE PLAN'!$B$36:$GS$61,0,ROW()-3),DM$3)</f>
        <v>0</v>
      </c>
      <c r="DN68" s="2">
        <f>COUNTIF(INDEX('LINE PLAN'!$B$36:$GS$61,0,ROW()-3),DN$3)</f>
        <v>0</v>
      </c>
      <c r="DO68" s="2">
        <f>COUNTIF(INDEX('LINE PLAN'!$B$36:$GS$61,0,ROW()-3),DO$3)</f>
        <v>0</v>
      </c>
      <c r="DP68" s="2">
        <f>COUNTIF(INDEX('LINE PLAN'!$B$36:$GS$61,0,ROW()-3),DP$3)</f>
        <v>0</v>
      </c>
      <c r="DQ68" s="2">
        <f>COUNTIF(INDEX('LINE PLAN'!$B$36:$GS$61,0,ROW()-3),DQ$3)</f>
        <v>0</v>
      </c>
      <c r="DR68" s="2">
        <f>COUNTIF(INDEX('LINE PLAN'!$B$36:$GS$61,0,ROW()-3),DR$3)</f>
        <v>0</v>
      </c>
      <c r="DS68" s="2">
        <f>COUNTIF(INDEX('LINE PLAN'!$B$36:$GS$61,0,ROW()-3),DS$3)</f>
        <v>0</v>
      </c>
      <c r="DT68" s="2">
        <f>COUNTIF(INDEX('LINE PLAN'!$B$36:$GS$61,0,ROW()-3),DT$3)</f>
        <v>0</v>
      </c>
      <c r="DU68" s="2">
        <f>COUNTIF(INDEX('LINE PLAN'!$B$36:$GS$61,0,ROW()-3),DU$3)</f>
        <v>0</v>
      </c>
      <c r="DV68" s="2">
        <f>COUNTIF(INDEX('LINE PLAN'!$B$36:$GS$61,0,ROW()-3),DV$3)</f>
        <v>0</v>
      </c>
    </row>
    <row r="69" spans="1:126">
      <c r="A69" s="505" cm="1">
        <f t="array" ref="A69">INDEX('LINE PLAN'!$B$35:$GS$35,ROW()-3)</f>
        <v>46300</v>
      </c>
      <c r="B69" s="2">
        <f>SUMPRODUCT($CA69:$DV69,INDEX('MC MAP'!$DA$5:$EV$30,1,0))</f>
        <v>132</v>
      </c>
      <c r="C69" s="2">
        <f>SUMPRODUCT($CA69:$DV69,INDEX('MC MAP'!$DA$5:$EV$30,2,0))</f>
        <v>1</v>
      </c>
      <c r="D69" s="2">
        <f>SUMPRODUCT($CA69:$DV69,INDEX('MC MAP'!$DA$5:$EV$30,3,0))</f>
        <v>0</v>
      </c>
      <c r="E69" s="2">
        <f>SUMPRODUCT($CA69:$DV69,INDEX('MC MAP'!$DA$5:$EV$30,4,0))</f>
        <v>4</v>
      </c>
      <c r="F69" s="2">
        <f>SUMPRODUCT($CA69:$DV69,INDEX('MC MAP'!$DA$5:$EV$30,5,0))</f>
        <v>193</v>
      </c>
      <c r="G69" s="2">
        <f>SUMPRODUCT($CA69:$DV69,INDEX('MC MAP'!$DA$5:$EV$30,6,0))</f>
        <v>12</v>
      </c>
      <c r="H69" s="2">
        <f>SUMPRODUCT($CA69:$DV69,INDEX('MC MAP'!$DA$5:$EV$30,7,0))</f>
        <v>0</v>
      </c>
      <c r="I69" s="2">
        <f>SUMPRODUCT($CA69:$DV69,INDEX('MC MAP'!$DA$5:$EV$30,8,0))</f>
        <v>41</v>
      </c>
      <c r="J69" s="2">
        <f>SUMPRODUCT($CA69:$DV69,INDEX('MC MAP'!$DA$5:$EV$30,9,0))</f>
        <v>25.5</v>
      </c>
      <c r="K69" s="2">
        <f>SUMPRODUCT($CA69:$DV69,INDEX('MC MAP'!$DA$5:$EV$30,10,0))</f>
        <v>12</v>
      </c>
      <c r="L69" s="2">
        <f>SUMPRODUCT($CA69:$DV69,INDEX('MC MAP'!$DA$5:$EV$30,11,0))</f>
        <v>12</v>
      </c>
      <c r="M69" s="2">
        <f>SUMPRODUCT($CA69:$DV69,INDEX('MC MAP'!$DA$5:$EV$30,12,0))</f>
        <v>33</v>
      </c>
      <c r="N69" s="2">
        <f>SUMPRODUCT($CA69:$DV69,INDEX('MC MAP'!$DA$5:$EV$30,13,0))</f>
        <v>32</v>
      </c>
      <c r="O69" s="2">
        <f>SUMPRODUCT($CA69:$DV69,INDEX('MC MAP'!$DA$5:$EV$30,14,0))</f>
        <v>20</v>
      </c>
      <c r="P69" s="2">
        <f>SUMPRODUCT($CA69:$DV69,INDEX('MC MAP'!$DA$5:$EV$30,15,0))</f>
        <v>49</v>
      </c>
      <c r="Q69" s="2">
        <f>SUMPRODUCT($CA69:$DV69,INDEX('MC MAP'!$DA$5:$EV$30,16,0))</f>
        <v>0</v>
      </c>
      <c r="R69" s="2">
        <f>SUMPRODUCT($CA69:$DV69,INDEX('MC MAP'!$DA$5:$EV$30,17,0))</f>
        <v>3</v>
      </c>
      <c r="S69" s="2">
        <f>SUMPRODUCT($CA69:$DV69,INDEX('MC MAP'!$DA$5:$EV$30,18,0))</f>
        <v>0</v>
      </c>
      <c r="T69" s="2">
        <f>SUMPRODUCT($CA69:$DV69,INDEX('MC MAP'!$DA$5:$EV$30,19,0))</f>
        <v>14</v>
      </c>
      <c r="U69" s="2">
        <f>SUMPRODUCT($CA69:$DV69,INDEX('MC MAP'!$DA$5:$EV$30,20,0))</f>
        <v>27</v>
      </c>
      <c r="V69" s="2">
        <f>SUMPRODUCT($CA69:$DV69,INDEX('MC MAP'!$DA$5:$EV$30,21,0))</f>
        <v>2</v>
      </c>
      <c r="W69" s="2">
        <f>SUMPRODUCT($CA69:$DV69,INDEX('MC MAP'!$DA$5:$EV$30,22,0))</f>
        <v>2</v>
      </c>
      <c r="X69" s="2">
        <f>SUMPRODUCT($CA69:$DV69,INDEX('MC MAP'!$DA$5:$EV$30,23,0))</f>
        <v>0</v>
      </c>
      <c r="Y69" s="2">
        <f>SUMPRODUCT($CA69:$DV69,INDEX('MC MAP'!$DA$5:$EV$30,24,0))</f>
        <v>8.5</v>
      </c>
      <c r="Z69" s="2">
        <f>SUMPRODUCT($CA69:$DV69,INDEX('MC MAP'!$DA$5:$EV$30,25,0))</f>
        <v>0</v>
      </c>
      <c r="AA69" s="2">
        <f>SUMPRODUCT($CA69:$DV69,INDEX('MC MAP'!$DA$5:$EV$30,26,0))</f>
        <v>24</v>
      </c>
      <c r="AB69" s="2">
        <f>SUM($B69:$AA69)</f>
        <v>647</v>
      </c>
      <c r="AC69" s="2">
        <f>SUM($CA69:$DV69)+$AW69</f>
        <v>21</v>
      </c>
      <c r="AW69" s="2">
        <f>IF($A69=0,0,COUNTIF(INDEX('LINE PLAN'!$B$36:$GS$61,0,ROW()-3),"THERMAL - NOT SPECIFIED"))</f>
        <v>0</v>
      </c>
      <c r="AX69" s="506" cm="1">
        <f t="array" ref="AX69">IF(OR($AB69=0,UPPER($BS69)&lt;&gt;"Y"),0,SUMPRODUCT(--($B69:$AA69&gt;$B$205:$AA$205)))</f>
        <v>2</v>
      </c>
      <c r="AY69" s="507">
        <f>$A69</f>
        <v>46300</v>
      </c>
      <c r="AZ69" s="2">
        <f>$AB69</f>
        <v>647</v>
      </c>
      <c r="BA69" s="2">
        <f>'MC MASTER'!$C$29</f>
        <v>920</v>
      </c>
      <c r="BQ69" s="509">
        <f>$A69</f>
        <v>46300</v>
      </c>
      <c r="BR69" s="15" t="str">
        <f>TEXT($A69,"ddd")</f>
        <v>Mon</v>
      </c>
      <c r="BS69" s="547" t="s">
        <v>391</v>
      </c>
      <c r="BT69" s="15">
        <f>IF(UPPER($BS69)="Y",$AB69,0)</f>
        <v>647</v>
      </c>
      <c r="CA69" s="2">
        <f>COUNTIF(INDEX('LINE PLAN'!$B$36:$GS$61,0,ROW()-3),CA$3)</f>
        <v>1</v>
      </c>
      <c r="CB69" s="2">
        <f>COUNTIF(INDEX('LINE PLAN'!$B$36:$GS$61,0,ROW()-3),CB$3)</f>
        <v>1</v>
      </c>
      <c r="CC69" s="2">
        <f>COUNTIF(INDEX('LINE PLAN'!$B$36:$GS$61,0,ROW()-3),CC$3)</f>
        <v>0</v>
      </c>
      <c r="CD69" s="2">
        <f>COUNTIF(INDEX('LINE PLAN'!$B$36:$GS$61,0,ROW()-3),CD$3)</f>
        <v>0</v>
      </c>
      <c r="CE69" s="2">
        <f>COUNTIF(INDEX('LINE PLAN'!$B$36:$GS$61,0,ROW()-3),CE$3)</f>
        <v>0</v>
      </c>
      <c r="CF69" s="2">
        <f>COUNTIF(INDEX('LINE PLAN'!$B$36:$GS$61,0,ROW()-3),CF$3)</f>
        <v>4</v>
      </c>
      <c r="CG69" s="2">
        <f>COUNTIF(INDEX('LINE PLAN'!$B$36:$GS$61,0,ROW()-3),CG$3)</f>
        <v>8</v>
      </c>
      <c r="CH69" s="2">
        <f>COUNTIF(INDEX('LINE PLAN'!$B$36:$GS$61,0,ROW()-3),CH$3)</f>
        <v>3</v>
      </c>
      <c r="CI69" s="2">
        <f>COUNTIF(INDEX('LINE PLAN'!$B$36:$GS$61,0,ROW()-3),CI$3)</f>
        <v>0</v>
      </c>
      <c r="CJ69" s="2">
        <f>COUNTIF(INDEX('LINE PLAN'!$B$36:$GS$61,0,ROW()-3),CJ$3)</f>
        <v>0</v>
      </c>
      <c r="CK69" s="2">
        <f>COUNTIF(INDEX('LINE PLAN'!$B$36:$GS$61,0,ROW()-3),CK$3)</f>
        <v>0</v>
      </c>
      <c r="CL69" s="2">
        <f>COUNTIF(INDEX('LINE PLAN'!$B$36:$GS$61,0,ROW()-3),CL$3)</f>
        <v>0</v>
      </c>
      <c r="CM69" s="2">
        <f>COUNTIF(INDEX('LINE PLAN'!$B$36:$GS$61,0,ROW()-3),CM$3)</f>
        <v>0</v>
      </c>
      <c r="CN69" s="2">
        <f>COUNTIF(INDEX('LINE PLAN'!$B$36:$GS$61,0,ROW()-3),CN$3)</f>
        <v>0</v>
      </c>
      <c r="CO69" s="2">
        <f>COUNTIF(INDEX('LINE PLAN'!$B$36:$GS$61,0,ROW()-3),CO$3)</f>
        <v>0</v>
      </c>
      <c r="CP69" s="2">
        <f>COUNTIF(INDEX('LINE PLAN'!$B$36:$GS$61,0,ROW()-3),CP$3)</f>
        <v>2</v>
      </c>
      <c r="CQ69" s="2">
        <f>COUNTIF(INDEX('LINE PLAN'!$B$36:$GS$61,0,ROW()-3),CQ$3)</f>
        <v>0</v>
      </c>
      <c r="CR69" s="2">
        <f>COUNTIF(INDEX('LINE PLAN'!$B$36:$GS$61,0,ROW()-3),CR$3)</f>
        <v>2</v>
      </c>
      <c r="CS69" s="2">
        <f>COUNTIF(INDEX('LINE PLAN'!$B$36:$GS$61,0,ROW()-3),CS$3)</f>
        <v>0</v>
      </c>
      <c r="CT69" s="2">
        <f>COUNTIF(INDEX('LINE PLAN'!$B$36:$GS$61,0,ROW()-3),CT$3)</f>
        <v>0</v>
      </c>
      <c r="CU69" s="2">
        <f>COUNTIF(INDEX('LINE PLAN'!$B$36:$GS$61,0,ROW()-3),CU$3)</f>
        <v>0</v>
      </c>
      <c r="CV69" s="2">
        <f>COUNTIF(INDEX('LINE PLAN'!$B$36:$GS$61,0,ROW()-3),CV$3)</f>
        <v>0</v>
      </c>
      <c r="CW69" s="2">
        <f>COUNTIF(INDEX('LINE PLAN'!$B$36:$GS$61,0,ROW()-3),CW$3)</f>
        <v>0</v>
      </c>
      <c r="CX69" s="2">
        <f>COUNTIF(INDEX('LINE PLAN'!$B$36:$GS$61,0,ROW()-3),CX$3)</f>
        <v>0</v>
      </c>
      <c r="CY69" s="2">
        <f>COUNTIF(INDEX('LINE PLAN'!$B$36:$GS$61,0,ROW()-3),CY$3)</f>
        <v>0</v>
      </c>
      <c r="CZ69" s="2">
        <f>COUNTIF(INDEX('LINE PLAN'!$B$36:$GS$61,0,ROW()-3),CZ$3)</f>
        <v>0</v>
      </c>
      <c r="DA69" s="2">
        <f>COUNTIF(INDEX('LINE PLAN'!$B$36:$GS$61,0,ROW()-3),DA$3)</f>
        <v>0</v>
      </c>
      <c r="DB69" s="2">
        <f>COUNTIF(INDEX('LINE PLAN'!$B$36:$GS$61,0,ROW()-3),DB$3)</f>
        <v>0</v>
      </c>
      <c r="DC69" s="2">
        <f>COUNTIF(INDEX('LINE PLAN'!$B$36:$GS$61,0,ROW()-3),DC$3)</f>
        <v>0</v>
      </c>
      <c r="DD69" s="2">
        <f>COUNTIF(INDEX('LINE PLAN'!$B$36:$GS$61,0,ROW()-3),DD$3)</f>
        <v>0</v>
      </c>
      <c r="DE69" s="2">
        <f>COUNTIF(INDEX('LINE PLAN'!$B$36:$GS$61,0,ROW()-3),DE$3)</f>
        <v>0</v>
      </c>
      <c r="DF69" s="2">
        <f>COUNTIF(INDEX('LINE PLAN'!$B$36:$GS$61,0,ROW()-3),DF$3)</f>
        <v>0</v>
      </c>
      <c r="DG69" s="2">
        <f>COUNTIF(INDEX('LINE PLAN'!$B$36:$GS$61,0,ROW()-3),DG$3)</f>
        <v>0</v>
      </c>
      <c r="DH69" s="2">
        <f>COUNTIF(INDEX('LINE PLAN'!$B$36:$GS$61,0,ROW()-3),DH$3)</f>
        <v>0</v>
      </c>
      <c r="DI69" s="2">
        <f>COUNTIF(INDEX('LINE PLAN'!$B$36:$GS$61,0,ROW()-3),DI$3)</f>
        <v>0</v>
      </c>
      <c r="DJ69" s="2">
        <f>COUNTIF(INDEX('LINE PLAN'!$B$36:$GS$61,0,ROW()-3),DJ$3)</f>
        <v>0</v>
      </c>
      <c r="DK69" s="2">
        <f>COUNTIF(INDEX('LINE PLAN'!$B$36:$GS$61,0,ROW()-3),DK$3)</f>
        <v>0</v>
      </c>
      <c r="DL69" s="2">
        <f>COUNTIF(INDEX('LINE PLAN'!$B$36:$GS$61,0,ROW()-3),DL$3)</f>
        <v>0</v>
      </c>
      <c r="DM69" s="2">
        <f>COUNTIF(INDEX('LINE PLAN'!$B$36:$GS$61,0,ROW()-3),DM$3)</f>
        <v>0</v>
      </c>
      <c r="DN69" s="2">
        <f>COUNTIF(INDEX('LINE PLAN'!$B$36:$GS$61,0,ROW()-3),DN$3)</f>
        <v>0</v>
      </c>
      <c r="DO69" s="2">
        <f>COUNTIF(INDEX('LINE PLAN'!$B$36:$GS$61,0,ROW()-3),DO$3)</f>
        <v>0</v>
      </c>
      <c r="DP69" s="2">
        <f>COUNTIF(INDEX('LINE PLAN'!$B$36:$GS$61,0,ROW()-3),DP$3)</f>
        <v>0</v>
      </c>
      <c r="DQ69" s="2">
        <f>COUNTIF(INDEX('LINE PLAN'!$B$36:$GS$61,0,ROW()-3),DQ$3)</f>
        <v>0</v>
      </c>
      <c r="DR69" s="2">
        <f>COUNTIF(INDEX('LINE PLAN'!$B$36:$GS$61,0,ROW()-3),DR$3)</f>
        <v>0</v>
      </c>
      <c r="DS69" s="2">
        <f>COUNTIF(INDEX('LINE PLAN'!$B$36:$GS$61,0,ROW()-3),DS$3)</f>
        <v>0</v>
      </c>
      <c r="DT69" s="2">
        <f>COUNTIF(INDEX('LINE PLAN'!$B$36:$GS$61,0,ROW()-3),DT$3)</f>
        <v>0</v>
      </c>
      <c r="DU69" s="2">
        <f>COUNTIF(INDEX('LINE PLAN'!$B$36:$GS$61,0,ROW()-3),DU$3)</f>
        <v>0</v>
      </c>
      <c r="DV69" s="2">
        <f>COUNTIF(INDEX('LINE PLAN'!$B$36:$GS$61,0,ROW()-3),DV$3)</f>
        <v>0</v>
      </c>
    </row>
    <row r="70" spans="1:126">
      <c r="A70" s="505" cm="1">
        <f t="array" ref="A70">INDEX('LINE PLAN'!$B$35:$GS$35,ROW()-3)</f>
        <v>46301</v>
      </c>
      <c r="B70" s="2">
        <f>SUMPRODUCT($CA70:$DV70,INDEX('MC MAP'!$DA$5:$EV$30,1,0))</f>
        <v>132</v>
      </c>
      <c r="C70" s="2">
        <f>SUMPRODUCT($CA70:$DV70,INDEX('MC MAP'!$DA$5:$EV$30,2,0))</f>
        <v>1</v>
      </c>
      <c r="D70" s="2">
        <f>SUMPRODUCT($CA70:$DV70,INDEX('MC MAP'!$DA$5:$EV$30,3,0))</f>
        <v>0</v>
      </c>
      <c r="E70" s="2">
        <f>SUMPRODUCT($CA70:$DV70,INDEX('MC MAP'!$DA$5:$EV$30,4,0))</f>
        <v>4</v>
      </c>
      <c r="F70" s="2">
        <f>SUMPRODUCT($CA70:$DV70,INDEX('MC MAP'!$DA$5:$EV$30,5,0))</f>
        <v>193</v>
      </c>
      <c r="G70" s="2">
        <f>SUMPRODUCT($CA70:$DV70,INDEX('MC MAP'!$DA$5:$EV$30,6,0))</f>
        <v>12</v>
      </c>
      <c r="H70" s="2">
        <f>SUMPRODUCT($CA70:$DV70,INDEX('MC MAP'!$DA$5:$EV$30,7,0))</f>
        <v>0</v>
      </c>
      <c r="I70" s="2">
        <f>SUMPRODUCT($CA70:$DV70,INDEX('MC MAP'!$DA$5:$EV$30,8,0))</f>
        <v>41</v>
      </c>
      <c r="J70" s="2">
        <f>SUMPRODUCT($CA70:$DV70,INDEX('MC MAP'!$DA$5:$EV$30,9,0))</f>
        <v>25.5</v>
      </c>
      <c r="K70" s="2">
        <f>SUMPRODUCT($CA70:$DV70,INDEX('MC MAP'!$DA$5:$EV$30,10,0))</f>
        <v>12</v>
      </c>
      <c r="L70" s="2">
        <f>SUMPRODUCT($CA70:$DV70,INDEX('MC MAP'!$DA$5:$EV$30,11,0))</f>
        <v>12</v>
      </c>
      <c r="M70" s="2">
        <f>SUMPRODUCT($CA70:$DV70,INDEX('MC MAP'!$DA$5:$EV$30,12,0))</f>
        <v>33</v>
      </c>
      <c r="N70" s="2">
        <f>SUMPRODUCT($CA70:$DV70,INDEX('MC MAP'!$DA$5:$EV$30,13,0))</f>
        <v>32</v>
      </c>
      <c r="O70" s="2">
        <f>SUMPRODUCT($CA70:$DV70,INDEX('MC MAP'!$DA$5:$EV$30,14,0))</f>
        <v>20</v>
      </c>
      <c r="P70" s="2">
        <f>SUMPRODUCT($CA70:$DV70,INDEX('MC MAP'!$DA$5:$EV$30,15,0))</f>
        <v>49</v>
      </c>
      <c r="Q70" s="2">
        <f>SUMPRODUCT($CA70:$DV70,INDEX('MC MAP'!$DA$5:$EV$30,16,0))</f>
        <v>0</v>
      </c>
      <c r="R70" s="2">
        <f>SUMPRODUCT($CA70:$DV70,INDEX('MC MAP'!$DA$5:$EV$30,17,0))</f>
        <v>3</v>
      </c>
      <c r="S70" s="2">
        <f>SUMPRODUCT($CA70:$DV70,INDEX('MC MAP'!$DA$5:$EV$30,18,0))</f>
        <v>0</v>
      </c>
      <c r="T70" s="2">
        <f>SUMPRODUCT($CA70:$DV70,INDEX('MC MAP'!$DA$5:$EV$30,19,0))</f>
        <v>14</v>
      </c>
      <c r="U70" s="2">
        <f>SUMPRODUCT($CA70:$DV70,INDEX('MC MAP'!$DA$5:$EV$30,20,0))</f>
        <v>27</v>
      </c>
      <c r="V70" s="2">
        <f>SUMPRODUCT($CA70:$DV70,INDEX('MC MAP'!$DA$5:$EV$30,21,0))</f>
        <v>2</v>
      </c>
      <c r="W70" s="2">
        <f>SUMPRODUCT($CA70:$DV70,INDEX('MC MAP'!$DA$5:$EV$30,22,0))</f>
        <v>2</v>
      </c>
      <c r="X70" s="2">
        <f>SUMPRODUCT($CA70:$DV70,INDEX('MC MAP'!$DA$5:$EV$30,23,0))</f>
        <v>0</v>
      </c>
      <c r="Y70" s="2">
        <f>SUMPRODUCT($CA70:$DV70,INDEX('MC MAP'!$DA$5:$EV$30,24,0))</f>
        <v>8.5</v>
      </c>
      <c r="Z70" s="2">
        <f>SUMPRODUCT($CA70:$DV70,INDEX('MC MAP'!$DA$5:$EV$30,25,0))</f>
        <v>0</v>
      </c>
      <c r="AA70" s="2">
        <f>SUMPRODUCT($CA70:$DV70,INDEX('MC MAP'!$DA$5:$EV$30,26,0))</f>
        <v>24</v>
      </c>
      <c r="AB70" s="2">
        <f>SUM($B70:$AA70)</f>
        <v>647</v>
      </c>
      <c r="AC70" s="2">
        <f>SUM($CA70:$DV70)+$AW70</f>
        <v>21</v>
      </c>
      <c r="AW70" s="2">
        <f>IF($A70=0,0,COUNTIF(INDEX('LINE PLAN'!$B$36:$GS$61,0,ROW()-3),"THERMAL - NOT SPECIFIED"))</f>
        <v>0</v>
      </c>
      <c r="AX70" s="506" cm="1">
        <f t="array" ref="AX70">IF(OR($AB70=0,UPPER($BS70)&lt;&gt;"Y"),0,SUMPRODUCT(--($B70:$AA70&gt;$B$205:$AA$205)))</f>
        <v>2</v>
      </c>
      <c r="AY70" s="507">
        <f>$A70</f>
        <v>46301</v>
      </c>
      <c r="AZ70" s="2">
        <f>$AB70</f>
        <v>647</v>
      </c>
      <c r="BA70" s="2">
        <f>'MC MASTER'!$C$29</f>
        <v>920</v>
      </c>
      <c r="BQ70" s="509">
        <f>$A70</f>
        <v>46301</v>
      </c>
      <c r="BR70" s="15" t="str">
        <f>TEXT($A70,"ddd")</f>
        <v>Tue</v>
      </c>
      <c r="BS70" s="547" t="s">
        <v>391</v>
      </c>
      <c r="BT70" s="15">
        <f>IF(UPPER($BS70)="Y",$AB70,0)</f>
        <v>647</v>
      </c>
      <c r="CA70" s="2">
        <f>COUNTIF(INDEX('LINE PLAN'!$B$36:$GS$61,0,ROW()-3),CA$3)</f>
        <v>1</v>
      </c>
      <c r="CB70" s="2">
        <f>COUNTIF(INDEX('LINE PLAN'!$B$36:$GS$61,0,ROW()-3),CB$3)</f>
        <v>1</v>
      </c>
      <c r="CC70" s="2">
        <f>COUNTIF(INDEX('LINE PLAN'!$B$36:$GS$61,0,ROW()-3),CC$3)</f>
        <v>0</v>
      </c>
      <c r="CD70" s="2">
        <f>COUNTIF(INDEX('LINE PLAN'!$B$36:$GS$61,0,ROW()-3),CD$3)</f>
        <v>0</v>
      </c>
      <c r="CE70" s="2">
        <f>COUNTIF(INDEX('LINE PLAN'!$B$36:$GS$61,0,ROW()-3),CE$3)</f>
        <v>0</v>
      </c>
      <c r="CF70" s="2">
        <f>COUNTIF(INDEX('LINE PLAN'!$B$36:$GS$61,0,ROW()-3),CF$3)</f>
        <v>4</v>
      </c>
      <c r="CG70" s="2">
        <f>COUNTIF(INDEX('LINE PLAN'!$B$36:$GS$61,0,ROW()-3),CG$3)</f>
        <v>8</v>
      </c>
      <c r="CH70" s="2">
        <f>COUNTIF(INDEX('LINE PLAN'!$B$36:$GS$61,0,ROW()-3),CH$3)</f>
        <v>3</v>
      </c>
      <c r="CI70" s="2">
        <f>COUNTIF(INDEX('LINE PLAN'!$B$36:$GS$61,0,ROW()-3),CI$3)</f>
        <v>0</v>
      </c>
      <c r="CJ70" s="2">
        <f>COUNTIF(INDEX('LINE PLAN'!$B$36:$GS$61,0,ROW()-3),CJ$3)</f>
        <v>0</v>
      </c>
      <c r="CK70" s="2">
        <f>COUNTIF(INDEX('LINE PLAN'!$B$36:$GS$61,0,ROW()-3),CK$3)</f>
        <v>0</v>
      </c>
      <c r="CL70" s="2">
        <f>COUNTIF(INDEX('LINE PLAN'!$B$36:$GS$61,0,ROW()-3),CL$3)</f>
        <v>0</v>
      </c>
      <c r="CM70" s="2">
        <f>COUNTIF(INDEX('LINE PLAN'!$B$36:$GS$61,0,ROW()-3),CM$3)</f>
        <v>0</v>
      </c>
      <c r="CN70" s="2">
        <f>COUNTIF(INDEX('LINE PLAN'!$B$36:$GS$61,0,ROW()-3),CN$3)</f>
        <v>0</v>
      </c>
      <c r="CO70" s="2">
        <f>COUNTIF(INDEX('LINE PLAN'!$B$36:$GS$61,0,ROW()-3),CO$3)</f>
        <v>0</v>
      </c>
      <c r="CP70" s="2">
        <f>COUNTIF(INDEX('LINE PLAN'!$B$36:$GS$61,0,ROW()-3),CP$3)</f>
        <v>2</v>
      </c>
      <c r="CQ70" s="2">
        <f>COUNTIF(INDEX('LINE PLAN'!$B$36:$GS$61,0,ROW()-3),CQ$3)</f>
        <v>0</v>
      </c>
      <c r="CR70" s="2">
        <f>COUNTIF(INDEX('LINE PLAN'!$B$36:$GS$61,0,ROW()-3),CR$3)</f>
        <v>2</v>
      </c>
      <c r="CS70" s="2">
        <f>COUNTIF(INDEX('LINE PLAN'!$B$36:$GS$61,0,ROW()-3),CS$3)</f>
        <v>0</v>
      </c>
      <c r="CT70" s="2">
        <f>COUNTIF(INDEX('LINE PLAN'!$B$36:$GS$61,0,ROW()-3),CT$3)</f>
        <v>0</v>
      </c>
      <c r="CU70" s="2">
        <f>COUNTIF(INDEX('LINE PLAN'!$B$36:$GS$61,0,ROW()-3),CU$3)</f>
        <v>0</v>
      </c>
      <c r="CV70" s="2">
        <f>COUNTIF(INDEX('LINE PLAN'!$B$36:$GS$61,0,ROW()-3),CV$3)</f>
        <v>0</v>
      </c>
      <c r="CW70" s="2">
        <f>COUNTIF(INDEX('LINE PLAN'!$B$36:$GS$61,0,ROW()-3),CW$3)</f>
        <v>0</v>
      </c>
      <c r="CX70" s="2">
        <f>COUNTIF(INDEX('LINE PLAN'!$B$36:$GS$61,0,ROW()-3),CX$3)</f>
        <v>0</v>
      </c>
      <c r="CY70" s="2">
        <f>COUNTIF(INDEX('LINE PLAN'!$B$36:$GS$61,0,ROW()-3),CY$3)</f>
        <v>0</v>
      </c>
      <c r="CZ70" s="2">
        <f>COUNTIF(INDEX('LINE PLAN'!$B$36:$GS$61,0,ROW()-3),CZ$3)</f>
        <v>0</v>
      </c>
      <c r="DA70" s="2">
        <f>COUNTIF(INDEX('LINE PLAN'!$B$36:$GS$61,0,ROW()-3),DA$3)</f>
        <v>0</v>
      </c>
      <c r="DB70" s="2">
        <f>COUNTIF(INDEX('LINE PLAN'!$B$36:$GS$61,0,ROW()-3),DB$3)</f>
        <v>0</v>
      </c>
      <c r="DC70" s="2">
        <f>COUNTIF(INDEX('LINE PLAN'!$B$36:$GS$61,0,ROW()-3),DC$3)</f>
        <v>0</v>
      </c>
      <c r="DD70" s="2">
        <f>COUNTIF(INDEX('LINE PLAN'!$B$36:$GS$61,0,ROW()-3),DD$3)</f>
        <v>0</v>
      </c>
      <c r="DE70" s="2">
        <f>COUNTIF(INDEX('LINE PLAN'!$B$36:$GS$61,0,ROW()-3),DE$3)</f>
        <v>0</v>
      </c>
      <c r="DF70" s="2">
        <f>COUNTIF(INDEX('LINE PLAN'!$B$36:$GS$61,0,ROW()-3),DF$3)</f>
        <v>0</v>
      </c>
      <c r="DG70" s="2">
        <f>COUNTIF(INDEX('LINE PLAN'!$B$36:$GS$61,0,ROW()-3),DG$3)</f>
        <v>0</v>
      </c>
      <c r="DH70" s="2">
        <f>COUNTIF(INDEX('LINE PLAN'!$B$36:$GS$61,0,ROW()-3),DH$3)</f>
        <v>0</v>
      </c>
      <c r="DI70" s="2">
        <f>COUNTIF(INDEX('LINE PLAN'!$B$36:$GS$61,0,ROW()-3),DI$3)</f>
        <v>0</v>
      </c>
      <c r="DJ70" s="2">
        <f>COUNTIF(INDEX('LINE PLAN'!$B$36:$GS$61,0,ROW()-3),DJ$3)</f>
        <v>0</v>
      </c>
      <c r="DK70" s="2">
        <f>COUNTIF(INDEX('LINE PLAN'!$B$36:$GS$61,0,ROW()-3),DK$3)</f>
        <v>0</v>
      </c>
      <c r="DL70" s="2">
        <f>COUNTIF(INDEX('LINE PLAN'!$B$36:$GS$61,0,ROW()-3),DL$3)</f>
        <v>0</v>
      </c>
      <c r="DM70" s="2">
        <f>COUNTIF(INDEX('LINE PLAN'!$B$36:$GS$61,0,ROW()-3),DM$3)</f>
        <v>0</v>
      </c>
      <c r="DN70" s="2">
        <f>COUNTIF(INDEX('LINE PLAN'!$B$36:$GS$61,0,ROW()-3),DN$3)</f>
        <v>0</v>
      </c>
      <c r="DO70" s="2">
        <f>COUNTIF(INDEX('LINE PLAN'!$B$36:$GS$61,0,ROW()-3),DO$3)</f>
        <v>0</v>
      </c>
      <c r="DP70" s="2">
        <f>COUNTIF(INDEX('LINE PLAN'!$B$36:$GS$61,0,ROW()-3),DP$3)</f>
        <v>0</v>
      </c>
      <c r="DQ70" s="2">
        <f>COUNTIF(INDEX('LINE PLAN'!$B$36:$GS$61,0,ROW()-3),DQ$3)</f>
        <v>0</v>
      </c>
      <c r="DR70" s="2">
        <f>COUNTIF(INDEX('LINE PLAN'!$B$36:$GS$61,0,ROW()-3),DR$3)</f>
        <v>0</v>
      </c>
      <c r="DS70" s="2">
        <f>COUNTIF(INDEX('LINE PLAN'!$B$36:$GS$61,0,ROW()-3),DS$3)</f>
        <v>0</v>
      </c>
      <c r="DT70" s="2">
        <f>COUNTIF(INDEX('LINE PLAN'!$B$36:$GS$61,0,ROW()-3),DT$3)</f>
        <v>0</v>
      </c>
      <c r="DU70" s="2">
        <f>COUNTIF(INDEX('LINE PLAN'!$B$36:$GS$61,0,ROW()-3),DU$3)</f>
        <v>0</v>
      </c>
      <c r="DV70" s="2">
        <f>COUNTIF(INDEX('LINE PLAN'!$B$36:$GS$61,0,ROW()-3),DV$3)</f>
        <v>0</v>
      </c>
    </row>
    <row r="71" spans="1:126">
      <c r="A71" s="505" cm="1">
        <f t="array" ref="A71">INDEX('LINE PLAN'!$B$35:$GS$35,ROW()-3)</f>
        <v>46302</v>
      </c>
      <c r="B71" s="2">
        <f>SUMPRODUCT($CA71:$DV71,INDEX('MC MAP'!$DA$5:$EV$30,1,0))</f>
        <v>132</v>
      </c>
      <c r="C71" s="2">
        <f>SUMPRODUCT($CA71:$DV71,INDEX('MC MAP'!$DA$5:$EV$30,2,0))</f>
        <v>1</v>
      </c>
      <c r="D71" s="2">
        <f>SUMPRODUCT($CA71:$DV71,INDEX('MC MAP'!$DA$5:$EV$30,3,0))</f>
        <v>0</v>
      </c>
      <c r="E71" s="2">
        <f>SUMPRODUCT($CA71:$DV71,INDEX('MC MAP'!$DA$5:$EV$30,4,0))</f>
        <v>4</v>
      </c>
      <c r="F71" s="2">
        <f>SUMPRODUCT($CA71:$DV71,INDEX('MC MAP'!$DA$5:$EV$30,5,0))</f>
        <v>193</v>
      </c>
      <c r="G71" s="2">
        <f>SUMPRODUCT($CA71:$DV71,INDEX('MC MAP'!$DA$5:$EV$30,6,0))</f>
        <v>12</v>
      </c>
      <c r="H71" s="2">
        <f>SUMPRODUCT($CA71:$DV71,INDEX('MC MAP'!$DA$5:$EV$30,7,0))</f>
        <v>0</v>
      </c>
      <c r="I71" s="2">
        <f>SUMPRODUCT($CA71:$DV71,INDEX('MC MAP'!$DA$5:$EV$30,8,0))</f>
        <v>41</v>
      </c>
      <c r="J71" s="2">
        <f>SUMPRODUCT($CA71:$DV71,INDEX('MC MAP'!$DA$5:$EV$30,9,0))</f>
        <v>25.5</v>
      </c>
      <c r="K71" s="2">
        <f>SUMPRODUCT($CA71:$DV71,INDEX('MC MAP'!$DA$5:$EV$30,10,0))</f>
        <v>12</v>
      </c>
      <c r="L71" s="2">
        <f>SUMPRODUCT($CA71:$DV71,INDEX('MC MAP'!$DA$5:$EV$30,11,0))</f>
        <v>12</v>
      </c>
      <c r="M71" s="2">
        <f>SUMPRODUCT($CA71:$DV71,INDEX('MC MAP'!$DA$5:$EV$30,12,0))</f>
        <v>33</v>
      </c>
      <c r="N71" s="2">
        <f>SUMPRODUCT($CA71:$DV71,INDEX('MC MAP'!$DA$5:$EV$30,13,0))</f>
        <v>32</v>
      </c>
      <c r="O71" s="2">
        <f>SUMPRODUCT($CA71:$DV71,INDEX('MC MAP'!$DA$5:$EV$30,14,0))</f>
        <v>20</v>
      </c>
      <c r="P71" s="2">
        <f>SUMPRODUCT($CA71:$DV71,INDEX('MC MAP'!$DA$5:$EV$30,15,0))</f>
        <v>49</v>
      </c>
      <c r="Q71" s="2">
        <f>SUMPRODUCT($CA71:$DV71,INDEX('MC MAP'!$DA$5:$EV$30,16,0))</f>
        <v>0</v>
      </c>
      <c r="R71" s="2">
        <f>SUMPRODUCT($CA71:$DV71,INDEX('MC MAP'!$DA$5:$EV$30,17,0))</f>
        <v>3</v>
      </c>
      <c r="S71" s="2">
        <f>SUMPRODUCT($CA71:$DV71,INDEX('MC MAP'!$DA$5:$EV$30,18,0))</f>
        <v>0</v>
      </c>
      <c r="T71" s="2">
        <f>SUMPRODUCT($CA71:$DV71,INDEX('MC MAP'!$DA$5:$EV$30,19,0))</f>
        <v>14</v>
      </c>
      <c r="U71" s="2">
        <f>SUMPRODUCT($CA71:$DV71,INDEX('MC MAP'!$DA$5:$EV$30,20,0))</f>
        <v>27</v>
      </c>
      <c r="V71" s="2">
        <f>SUMPRODUCT($CA71:$DV71,INDEX('MC MAP'!$DA$5:$EV$30,21,0))</f>
        <v>2</v>
      </c>
      <c r="W71" s="2">
        <f>SUMPRODUCT($CA71:$DV71,INDEX('MC MAP'!$DA$5:$EV$30,22,0))</f>
        <v>2</v>
      </c>
      <c r="X71" s="2">
        <f>SUMPRODUCT($CA71:$DV71,INDEX('MC MAP'!$DA$5:$EV$30,23,0))</f>
        <v>0</v>
      </c>
      <c r="Y71" s="2">
        <f>SUMPRODUCT($CA71:$DV71,INDEX('MC MAP'!$DA$5:$EV$30,24,0))</f>
        <v>8.5</v>
      </c>
      <c r="Z71" s="2">
        <f>SUMPRODUCT($CA71:$DV71,INDEX('MC MAP'!$DA$5:$EV$30,25,0))</f>
        <v>0</v>
      </c>
      <c r="AA71" s="2">
        <f>SUMPRODUCT($CA71:$DV71,INDEX('MC MAP'!$DA$5:$EV$30,26,0))</f>
        <v>24</v>
      </c>
      <c r="AB71" s="2">
        <f>SUM($B71:$AA71)</f>
        <v>647</v>
      </c>
      <c r="AC71" s="2">
        <f>SUM($CA71:$DV71)+$AW71</f>
        <v>21</v>
      </c>
      <c r="AW71" s="2">
        <f>IF($A71=0,0,COUNTIF(INDEX('LINE PLAN'!$B$36:$GS$61,0,ROW()-3),"THERMAL - NOT SPECIFIED"))</f>
        <v>0</v>
      </c>
      <c r="AX71" s="506" cm="1">
        <f t="array" ref="AX71">IF(OR($AB71=0,UPPER($BS71)&lt;&gt;"Y"),0,SUMPRODUCT(--($B71:$AA71&gt;$B$205:$AA$205)))</f>
        <v>2</v>
      </c>
      <c r="AY71" s="507">
        <f>$A71</f>
        <v>46302</v>
      </c>
      <c r="AZ71" s="2">
        <f>$AB71</f>
        <v>647</v>
      </c>
      <c r="BA71" s="2">
        <f>'MC MASTER'!$C$29</f>
        <v>920</v>
      </c>
      <c r="BQ71" s="509">
        <f>$A71</f>
        <v>46302</v>
      </c>
      <c r="BR71" s="15" t="str">
        <f>TEXT($A71,"ddd")</f>
        <v>Wed</v>
      </c>
      <c r="BS71" s="547" t="s">
        <v>391</v>
      </c>
      <c r="BT71" s="15">
        <f>IF(UPPER($BS71)="Y",$AB71,0)</f>
        <v>647</v>
      </c>
      <c r="CA71" s="2">
        <f>COUNTIF(INDEX('LINE PLAN'!$B$36:$GS$61,0,ROW()-3),CA$3)</f>
        <v>1</v>
      </c>
      <c r="CB71" s="2">
        <f>COUNTIF(INDEX('LINE PLAN'!$B$36:$GS$61,0,ROW()-3),CB$3)</f>
        <v>1</v>
      </c>
      <c r="CC71" s="2">
        <f>COUNTIF(INDEX('LINE PLAN'!$B$36:$GS$61,0,ROW()-3),CC$3)</f>
        <v>0</v>
      </c>
      <c r="CD71" s="2">
        <f>COUNTIF(INDEX('LINE PLAN'!$B$36:$GS$61,0,ROW()-3),CD$3)</f>
        <v>0</v>
      </c>
      <c r="CE71" s="2">
        <f>COUNTIF(INDEX('LINE PLAN'!$B$36:$GS$61,0,ROW()-3),CE$3)</f>
        <v>0</v>
      </c>
      <c r="CF71" s="2">
        <f>COUNTIF(INDEX('LINE PLAN'!$B$36:$GS$61,0,ROW()-3),CF$3)</f>
        <v>4</v>
      </c>
      <c r="CG71" s="2">
        <f>COUNTIF(INDEX('LINE PLAN'!$B$36:$GS$61,0,ROW()-3),CG$3)</f>
        <v>8</v>
      </c>
      <c r="CH71" s="2">
        <f>COUNTIF(INDEX('LINE PLAN'!$B$36:$GS$61,0,ROW()-3),CH$3)</f>
        <v>3</v>
      </c>
      <c r="CI71" s="2">
        <f>COUNTIF(INDEX('LINE PLAN'!$B$36:$GS$61,0,ROW()-3),CI$3)</f>
        <v>0</v>
      </c>
      <c r="CJ71" s="2">
        <f>COUNTIF(INDEX('LINE PLAN'!$B$36:$GS$61,0,ROW()-3),CJ$3)</f>
        <v>0</v>
      </c>
      <c r="CK71" s="2">
        <f>COUNTIF(INDEX('LINE PLAN'!$B$36:$GS$61,0,ROW()-3),CK$3)</f>
        <v>0</v>
      </c>
      <c r="CL71" s="2">
        <f>COUNTIF(INDEX('LINE PLAN'!$B$36:$GS$61,0,ROW()-3),CL$3)</f>
        <v>0</v>
      </c>
      <c r="CM71" s="2">
        <f>COUNTIF(INDEX('LINE PLAN'!$B$36:$GS$61,0,ROW()-3),CM$3)</f>
        <v>0</v>
      </c>
      <c r="CN71" s="2">
        <f>COUNTIF(INDEX('LINE PLAN'!$B$36:$GS$61,0,ROW()-3),CN$3)</f>
        <v>0</v>
      </c>
      <c r="CO71" s="2">
        <f>COUNTIF(INDEX('LINE PLAN'!$B$36:$GS$61,0,ROW()-3),CO$3)</f>
        <v>0</v>
      </c>
      <c r="CP71" s="2">
        <f>COUNTIF(INDEX('LINE PLAN'!$B$36:$GS$61,0,ROW()-3),CP$3)</f>
        <v>2</v>
      </c>
      <c r="CQ71" s="2">
        <f>COUNTIF(INDEX('LINE PLAN'!$B$36:$GS$61,0,ROW()-3),CQ$3)</f>
        <v>0</v>
      </c>
      <c r="CR71" s="2">
        <f>COUNTIF(INDEX('LINE PLAN'!$B$36:$GS$61,0,ROW()-3),CR$3)</f>
        <v>2</v>
      </c>
      <c r="CS71" s="2">
        <f>COUNTIF(INDEX('LINE PLAN'!$B$36:$GS$61,0,ROW()-3),CS$3)</f>
        <v>0</v>
      </c>
      <c r="CT71" s="2">
        <f>COUNTIF(INDEX('LINE PLAN'!$B$36:$GS$61,0,ROW()-3),CT$3)</f>
        <v>0</v>
      </c>
      <c r="CU71" s="2">
        <f>COUNTIF(INDEX('LINE PLAN'!$B$36:$GS$61,0,ROW()-3),CU$3)</f>
        <v>0</v>
      </c>
      <c r="CV71" s="2">
        <f>COUNTIF(INDEX('LINE PLAN'!$B$36:$GS$61,0,ROW()-3),CV$3)</f>
        <v>0</v>
      </c>
      <c r="CW71" s="2">
        <f>COUNTIF(INDEX('LINE PLAN'!$B$36:$GS$61,0,ROW()-3),CW$3)</f>
        <v>0</v>
      </c>
      <c r="CX71" s="2">
        <f>COUNTIF(INDEX('LINE PLAN'!$B$36:$GS$61,0,ROW()-3),CX$3)</f>
        <v>0</v>
      </c>
      <c r="CY71" s="2">
        <f>COUNTIF(INDEX('LINE PLAN'!$B$36:$GS$61,0,ROW()-3),CY$3)</f>
        <v>0</v>
      </c>
      <c r="CZ71" s="2">
        <f>COUNTIF(INDEX('LINE PLAN'!$B$36:$GS$61,0,ROW()-3),CZ$3)</f>
        <v>0</v>
      </c>
      <c r="DA71" s="2">
        <f>COUNTIF(INDEX('LINE PLAN'!$B$36:$GS$61,0,ROW()-3),DA$3)</f>
        <v>0</v>
      </c>
      <c r="DB71" s="2">
        <f>COUNTIF(INDEX('LINE PLAN'!$B$36:$GS$61,0,ROW()-3),DB$3)</f>
        <v>0</v>
      </c>
      <c r="DC71" s="2">
        <f>COUNTIF(INDEX('LINE PLAN'!$B$36:$GS$61,0,ROW()-3),DC$3)</f>
        <v>0</v>
      </c>
      <c r="DD71" s="2">
        <f>COUNTIF(INDEX('LINE PLAN'!$B$36:$GS$61,0,ROW()-3),DD$3)</f>
        <v>0</v>
      </c>
      <c r="DE71" s="2">
        <f>COUNTIF(INDEX('LINE PLAN'!$B$36:$GS$61,0,ROW()-3),DE$3)</f>
        <v>0</v>
      </c>
      <c r="DF71" s="2">
        <f>COUNTIF(INDEX('LINE PLAN'!$B$36:$GS$61,0,ROW()-3),DF$3)</f>
        <v>0</v>
      </c>
      <c r="DG71" s="2">
        <f>COUNTIF(INDEX('LINE PLAN'!$B$36:$GS$61,0,ROW()-3),DG$3)</f>
        <v>0</v>
      </c>
      <c r="DH71" s="2">
        <f>COUNTIF(INDEX('LINE PLAN'!$B$36:$GS$61,0,ROW()-3),DH$3)</f>
        <v>0</v>
      </c>
      <c r="DI71" s="2">
        <f>COUNTIF(INDEX('LINE PLAN'!$B$36:$GS$61,0,ROW()-3),DI$3)</f>
        <v>0</v>
      </c>
      <c r="DJ71" s="2">
        <f>COUNTIF(INDEX('LINE PLAN'!$B$36:$GS$61,0,ROW()-3),DJ$3)</f>
        <v>0</v>
      </c>
      <c r="DK71" s="2">
        <f>COUNTIF(INDEX('LINE PLAN'!$B$36:$GS$61,0,ROW()-3),DK$3)</f>
        <v>0</v>
      </c>
      <c r="DL71" s="2">
        <f>COUNTIF(INDEX('LINE PLAN'!$B$36:$GS$61,0,ROW()-3),DL$3)</f>
        <v>0</v>
      </c>
      <c r="DM71" s="2">
        <f>COUNTIF(INDEX('LINE PLAN'!$B$36:$GS$61,0,ROW()-3),DM$3)</f>
        <v>0</v>
      </c>
      <c r="DN71" s="2">
        <f>COUNTIF(INDEX('LINE PLAN'!$B$36:$GS$61,0,ROW()-3),DN$3)</f>
        <v>0</v>
      </c>
      <c r="DO71" s="2">
        <f>COUNTIF(INDEX('LINE PLAN'!$B$36:$GS$61,0,ROW()-3),DO$3)</f>
        <v>0</v>
      </c>
      <c r="DP71" s="2">
        <f>COUNTIF(INDEX('LINE PLAN'!$B$36:$GS$61,0,ROW()-3),DP$3)</f>
        <v>0</v>
      </c>
      <c r="DQ71" s="2">
        <f>COUNTIF(INDEX('LINE PLAN'!$B$36:$GS$61,0,ROW()-3),DQ$3)</f>
        <v>0</v>
      </c>
      <c r="DR71" s="2">
        <f>COUNTIF(INDEX('LINE PLAN'!$B$36:$GS$61,0,ROW()-3),DR$3)</f>
        <v>0</v>
      </c>
      <c r="DS71" s="2">
        <f>COUNTIF(INDEX('LINE PLAN'!$B$36:$GS$61,0,ROW()-3),DS$3)</f>
        <v>0</v>
      </c>
      <c r="DT71" s="2">
        <f>COUNTIF(INDEX('LINE PLAN'!$B$36:$GS$61,0,ROW()-3),DT$3)</f>
        <v>0</v>
      </c>
      <c r="DU71" s="2">
        <f>COUNTIF(INDEX('LINE PLAN'!$B$36:$GS$61,0,ROW()-3),DU$3)</f>
        <v>0</v>
      </c>
      <c r="DV71" s="2">
        <f>COUNTIF(INDEX('LINE PLAN'!$B$36:$GS$61,0,ROW()-3),DV$3)</f>
        <v>0</v>
      </c>
    </row>
    <row r="72" spans="1:126">
      <c r="A72" s="505" cm="1">
        <f t="array" ref="A72">INDEX('LINE PLAN'!$B$35:$GS$35,ROW()-3)</f>
        <v>46303</v>
      </c>
      <c r="B72" s="2">
        <f>SUMPRODUCT($CA72:$DV72,INDEX('MC MAP'!$DA$5:$EV$30,1,0))</f>
        <v>132</v>
      </c>
      <c r="C72" s="2">
        <f>SUMPRODUCT($CA72:$DV72,INDEX('MC MAP'!$DA$5:$EV$30,2,0))</f>
        <v>1</v>
      </c>
      <c r="D72" s="2">
        <f>SUMPRODUCT($CA72:$DV72,INDEX('MC MAP'!$DA$5:$EV$30,3,0))</f>
        <v>0</v>
      </c>
      <c r="E72" s="2">
        <f>SUMPRODUCT($CA72:$DV72,INDEX('MC MAP'!$DA$5:$EV$30,4,0))</f>
        <v>4</v>
      </c>
      <c r="F72" s="2">
        <f>SUMPRODUCT($CA72:$DV72,INDEX('MC MAP'!$DA$5:$EV$30,5,0))</f>
        <v>193</v>
      </c>
      <c r="G72" s="2">
        <f>SUMPRODUCT($CA72:$DV72,INDEX('MC MAP'!$DA$5:$EV$30,6,0))</f>
        <v>12</v>
      </c>
      <c r="H72" s="2">
        <f>SUMPRODUCT($CA72:$DV72,INDEX('MC MAP'!$DA$5:$EV$30,7,0))</f>
        <v>0</v>
      </c>
      <c r="I72" s="2">
        <f>SUMPRODUCT($CA72:$DV72,INDEX('MC MAP'!$DA$5:$EV$30,8,0))</f>
        <v>41</v>
      </c>
      <c r="J72" s="2">
        <f>SUMPRODUCT($CA72:$DV72,INDEX('MC MAP'!$DA$5:$EV$30,9,0))</f>
        <v>25.5</v>
      </c>
      <c r="K72" s="2">
        <f>SUMPRODUCT($CA72:$DV72,INDEX('MC MAP'!$DA$5:$EV$30,10,0))</f>
        <v>12</v>
      </c>
      <c r="L72" s="2">
        <f>SUMPRODUCT($CA72:$DV72,INDEX('MC MAP'!$DA$5:$EV$30,11,0))</f>
        <v>12</v>
      </c>
      <c r="M72" s="2">
        <f>SUMPRODUCT($CA72:$DV72,INDEX('MC MAP'!$DA$5:$EV$30,12,0))</f>
        <v>33</v>
      </c>
      <c r="N72" s="2">
        <f>SUMPRODUCT($CA72:$DV72,INDEX('MC MAP'!$DA$5:$EV$30,13,0))</f>
        <v>32</v>
      </c>
      <c r="O72" s="2">
        <f>SUMPRODUCT($CA72:$DV72,INDEX('MC MAP'!$DA$5:$EV$30,14,0))</f>
        <v>20</v>
      </c>
      <c r="P72" s="2">
        <f>SUMPRODUCT($CA72:$DV72,INDEX('MC MAP'!$DA$5:$EV$30,15,0))</f>
        <v>49</v>
      </c>
      <c r="Q72" s="2">
        <f>SUMPRODUCT($CA72:$DV72,INDEX('MC MAP'!$DA$5:$EV$30,16,0))</f>
        <v>0</v>
      </c>
      <c r="R72" s="2">
        <f>SUMPRODUCT($CA72:$DV72,INDEX('MC MAP'!$DA$5:$EV$30,17,0))</f>
        <v>3</v>
      </c>
      <c r="S72" s="2">
        <f>SUMPRODUCT($CA72:$DV72,INDEX('MC MAP'!$DA$5:$EV$30,18,0))</f>
        <v>0</v>
      </c>
      <c r="T72" s="2">
        <f>SUMPRODUCT($CA72:$DV72,INDEX('MC MAP'!$DA$5:$EV$30,19,0))</f>
        <v>14</v>
      </c>
      <c r="U72" s="2">
        <f>SUMPRODUCT($CA72:$DV72,INDEX('MC MAP'!$DA$5:$EV$30,20,0))</f>
        <v>27</v>
      </c>
      <c r="V72" s="2">
        <f>SUMPRODUCT($CA72:$DV72,INDEX('MC MAP'!$DA$5:$EV$30,21,0))</f>
        <v>2</v>
      </c>
      <c r="W72" s="2">
        <f>SUMPRODUCT($CA72:$DV72,INDEX('MC MAP'!$DA$5:$EV$30,22,0))</f>
        <v>2</v>
      </c>
      <c r="X72" s="2">
        <f>SUMPRODUCT($CA72:$DV72,INDEX('MC MAP'!$DA$5:$EV$30,23,0))</f>
        <v>0</v>
      </c>
      <c r="Y72" s="2">
        <f>SUMPRODUCT($CA72:$DV72,INDEX('MC MAP'!$DA$5:$EV$30,24,0))</f>
        <v>8.5</v>
      </c>
      <c r="Z72" s="2">
        <f>SUMPRODUCT($CA72:$DV72,INDEX('MC MAP'!$DA$5:$EV$30,25,0))</f>
        <v>0</v>
      </c>
      <c r="AA72" s="2">
        <f>SUMPRODUCT($CA72:$DV72,INDEX('MC MAP'!$DA$5:$EV$30,26,0))</f>
        <v>24</v>
      </c>
      <c r="AB72" s="2">
        <f>SUM($B72:$AA72)</f>
        <v>647</v>
      </c>
      <c r="AC72" s="2">
        <f>SUM($CA72:$DV72)+$AW72</f>
        <v>21</v>
      </c>
      <c r="AW72" s="2">
        <f>IF($A72=0,0,COUNTIF(INDEX('LINE PLAN'!$B$36:$GS$61,0,ROW()-3),"THERMAL - NOT SPECIFIED"))</f>
        <v>0</v>
      </c>
      <c r="AX72" s="506" cm="1">
        <f t="array" ref="AX72">IF(OR($AB72=0,UPPER($BS72)&lt;&gt;"Y"),0,SUMPRODUCT(--($B72:$AA72&gt;$B$205:$AA$205)))</f>
        <v>2</v>
      </c>
      <c r="AY72" s="507">
        <f>$A72</f>
        <v>46303</v>
      </c>
      <c r="AZ72" s="2">
        <f>$AB72</f>
        <v>647</v>
      </c>
      <c r="BA72" s="2">
        <f>'MC MASTER'!$C$29</f>
        <v>920</v>
      </c>
      <c r="BQ72" s="509">
        <f>$A72</f>
        <v>46303</v>
      </c>
      <c r="BR72" s="15" t="str">
        <f>TEXT($A72,"ddd")</f>
        <v>Thu</v>
      </c>
      <c r="BS72" s="547" t="s">
        <v>391</v>
      </c>
      <c r="BT72" s="15">
        <f>IF(UPPER($BS72)="Y",$AB72,0)</f>
        <v>647</v>
      </c>
      <c r="CA72" s="2">
        <f>COUNTIF(INDEX('LINE PLAN'!$B$36:$GS$61,0,ROW()-3),CA$3)</f>
        <v>1</v>
      </c>
      <c r="CB72" s="2">
        <f>COUNTIF(INDEX('LINE PLAN'!$B$36:$GS$61,0,ROW()-3),CB$3)</f>
        <v>1</v>
      </c>
      <c r="CC72" s="2">
        <f>COUNTIF(INDEX('LINE PLAN'!$B$36:$GS$61,0,ROW()-3),CC$3)</f>
        <v>0</v>
      </c>
      <c r="CD72" s="2">
        <f>COUNTIF(INDEX('LINE PLAN'!$B$36:$GS$61,0,ROW()-3),CD$3)</f>
        <v>0</v>
      </c>
      <c r="CE72" s="2">
        <f>COUNTIF(INDEX('LINE PLAN'!$B$36:$GS$61,0,ROW()-3),CE$3)</f>
        <v>0</v>
      </c>
      <c r="CF72" s="2">
        <f>COUNTIF(INDEX('LINE PLAN'!$B$36:$GS$61,0,ROW()-3),CF$3)</f>
        <v>4</v>
      </c>
      <c r="CG72" s="2">
        <f>COUNTIF(INDEX('LINE PLAN'!$B$36:$GS$61,0,ROW()-3),CG$3)</f>
        <v>8</v>
      </c>
      <c r="CH72" s="2">
        <f>COUNTIF(INDEX('LINE PLAN'!$B$36:$GS$61,0,ROW()-3),CH$3)</f>
        <v>3</v>
      </c>
      <c r="CI72" s="2">
        <f>COUNTIF(INDEX('LINE PLAN'!$B$36:$GS$61,0,ROW()-3),CI$3)</f>
        <v>0</v>
      </c>
      <c r="CJ72" s="2">
        <f>COUNTIF(INDEX('LINE PLAN'!$B$36:$GS$61,0,ROW()-3),CJ$3)</f>
        <v>0</v>
      </c>
      <c r="CK72" s="2">
        <f>COUNTIF(INDEX('LINE PLAN'!$B$36:$GS$61,0,ROW()-3),CK$3)</f>
        <v>0</v>
      </c>
      <c r="CL72" s="2">
        <f>COUNTIF(INDEX('LINE PLAN'!$B$36:$GS$61,0,ROW()-3),CL$3)</f>
        <v>0</v>
      </c>
      <c r="CM72" s="2">
        <f>COUNTIF(INDEX('LINE PLAN'!$B$36:$GS$61,0,ROW()-3),CM$3)</f>
        <v>0</v>
      </c>
      <c r="CN72" s="2">
        <f>COUNTIF(INDEX('LINE PLAN'!$B$36:$GS$61,0,ROW()-3),CN$3)</f>
        <v>0</v>
      </c>
      <c r="CO72" s="2">
        <f>COUNTIF(INDEX('LINE PLAN'!$B$36:$GS$61,0,ROW()-3),CO$3)</f>
        <v>0</v>
      </c>
      <c r="CP72" s="2">
        <f>COUNTIF(INDEX('LINE PLAN'!$B$36:$GS$61,0,ROW()-3),CP$3)</f>
        <v>2</v>
      </c>
      <c r="CQ72" s="2">
        <f>COUNTIF(INDEX('LINE PLAN'!$B$36:$GS$61,0,ROW()-3),CQ$3)</f>
        <v>0</v>
      </c>
      <c r="CR72" s="2">
        <f>COUNTIF(INDEX('LINE PLAN'!$B$36:$GS$61,0,ROW()-3),CR$3)</f>
        <v>2</v>
      </c>
      <c r="CS72" s="2">
        <f>COUNTIF(INDEX('LINE PLAN'!$B$36:$GS$61,0,ROW()-3),CS$3)</f>
        <v>0</v>
      </c>
      <c r="CT72" s="2">
        <f>COUNTIF(INDEX('LINE PLAN'!$B$36:$GS$61,0,ROW()-3),CT$3)</f>
        <v>0</v>
      </c>
      <c r="CU72" s="2">
        <f>COUNTIF(INDEX('LINE PLAN'!$B$36:$GS$61,0,ROW()-3),CU$3)</f>
        <v>0</v>
      </c>
      <c r="CV72" s="2">
        <f>COUNTIF(INDEX('LINE PLAN'!$B$36:$GS$61,0,ROW()-3),CV$3)</f>
        <v>0</v>
      </c>
      <c r="CW72" s="2">
        <f>COUNTIF(INDEX('LINE PLAN'!$B$36:$GS$61,0,ROW()-3),CW$3)</f>
        <v>0</v>
      </c>
      <c r="CX72" s="2">
        <f>COUNTIF(INDEX('LINE PLAN'!$B$36:$GS$61,0,ROW()-3),CX$3)</f>
        <v>0</v>
      </c>
      <c r="CY72" s="2">
        <f>COUNTIF(INDEX('LINE PLAN'!$B$36:$GS$61,0,ROW()-3),CY$3)</f>
        <v>0</v>
      </c>
      <c r="CZ72" s="2">
        <f>COUNTIF(INDEX('LINE PLAN'!$B$36:$GS$61,0,ROW()-3),CZ$3)</f>
        <v>0</v>
      </c>
      <c r="DA72" s="2">
        <f>COUNTIF(INDEX('LINE PLAN'!$B$36:$GS$61,0,ROW()-3),DA$3)</f>
        <v>0</v>
      </c>
      <c r="DB72" s="2">
        <f>COUNTIF(INDEX('LINE PLAN'!$B$36:$GS$61,0,ROW()-3),DB$3)</f>
        <v>0</v>
      </c>
      <c r="DC72" s="2">
        <f>COUNTIF(INDEX('LINE PLAN'!$B$36:$GS$61,0,ROW()-3),DC$3)</f>
        <v>0</v>
      </c>
      <c r="DD72" s="2">
        <f>COUNTIF(INDEX('LINE PLAN'!$B$36:$GS$61,0,ROW()-3),DD$3)</f>
        <v>0</v>
      </c>
      <c r="DE72" s="2">
        <f>COUNTIF(INDEX('LINE PLAN'!$B$36:$GS$61,0,ROW()-3),DE$3)</f>
        <v>0</v>
      </c>
      <c r="DF72" s="2">
        <f>COUNTIF(INDEX('LINE PLAN'!$B$36:$GS$61,0,ROW()-3),DF$3)</f>
        <v>0</v>
      </c>
      <c r="DG72" s="2">
        <f>COUNTIF(INDEX('LINE PLAN'!$B$36:$GS$61,0,ROW()-3),DG$3)</f>
        <v>0</v>
      </c>
      <c r="DH72" s="2">
        <f>COUNTIF(INDEX('LINE PLAN'!$B$36:$GS$61,0,ROW()-3),DH$3)</f>
        <v>0</v>
      </c>
      <c r="DI72" s="2">
        <f>COUNTIF(INDEX('LINE PLAN'!$B$36:$GS$61,0,ROW()-3),DI$3)</f>
        <v>0</v>
      </c>
      <c r="DJ72" s="2">
        <f>COUNTIF(INDEX('LINE PLAN'!$B$36:$GS$61,0,ROW()-3),DJ$3)</f>
        <v>0</v>
      </c>
      <c r="DK72" s="2">
        <f>COUNTIF(INDEX('LINE PLAN'!$B$36:$GS$61,0,ROW()-3),DK$3)</f>
        <v>0</v>
      </c>
      <c r="DL72" s="2">
        <f>COUNTIF(INDEX('LINE PLAN'!$B$36:$GS$61,0,ROW()-3),DL$3)</f>
        <v>0</v>
      </c>
      <c r="DM72" s="2">
        <f>COUNTIF(INDEX('LINE PLAN'!$B$36:$GS$61,0,ROW()-3),DM$3)</f>
        <v>0</v>
      </c>
      <c r="DN72" s="2">
        <f>COUNTIF(INDEX('LINE PLAN'!$B$36:$GS$61,0,ROW()-3),DN$3)</f>
        <v>0</v>
      </c>
      <c r="DO72" s="2">
        <f>COUNTIF(INDEX('LINE PLAN'!$B$36:$GS$61,0,ROW()-3),DO$3)</f>
        <v>0</v>
      </c>
      <c r="DP72" s="2">
        <f>COUNTIF(INDEX('LINE PLAN'!$B$36:$GS$61,0,ROW()-3),DP$3)</f>
        <v>0</v>
      </c>
      <c r="DQ72" s="2">
        <f>COUNTIF(INDEX('LINE PLAN'!$B$36:$GS$61,0,ROW()-3),DQ$3)</f>
        <v>0</v>
      </c>
      <c r="DR72" s="2">
        <f>COUNTIF(INDEX('LINE PLAN'!$B$36:$GS$61,0,ROW()-3),DR$3)</f>
        <v>0</v>
      </c>
      <c r="DS72" s="2">
        <f>COUNTIF(INDEX('LINE PLAN'!$B$36:$GS$61,0,ROW()-3),DS$3)</f>
        <v>0</v>
      </c>
      <c r="DT72" s="2">
        <f>COUNTIF(INDEX('LINE PLAN'!$B$36:$GS$61,0,ROW()-3),DT$3)</f>
        <v>0</v>
      </c>
      <c r="DU72" s="2">
        <f>COUNTIF(INDEX('LINE PLAN'!$B$36:$GS$61,0,ROW()-3),DU$3)</f>
        <v>0</v>
      </c>
      <c r="DV72" s="2">
        <f>COUNTIF(INDEX('LINE PLAN'!$B$36:$GS$61,0,ROW()-3),DV$3)</f>
        <v>0</v>
      </c>
    </row>
    <row r="73" spans="1:126">
      <c r="A73" s="505" cm="1">
        <f t="array" ref="A73">INDEX('LINE PLAN'!$B$35:$GS$35,ROW()-3)</f>
        <v>46304</v>
      </c>
      <c r="B73" s="2">
        <f>SUMPRODUCT($CA73:$DV73,INDEX('MC MAP'!$DA$5:$EV$30,1,0))</f>
        <v>132</v>
      </c>
      <c r="C73" s="2">
        <f>SUMPRODUCT($CA73:$DV73,INDEX('MC MAP'!$DA$5:$EV$30,2,0))</f>
        <v>1</v>
      </c>
      <c r="D73" s="2">
        <f>SUMPRODUCT($CA73:$DV73,INDEX('MC MAP'!$DA$5:$EV$30,3,0))</f>
        <v>0</v>
      </c>
      <c r="E73" s="2">
        <f>SUMPRODUCT($CA73:$DV73,INDEX('MC MAP'!$DA$5:$EV$30,4,0))</f>
        <v>4</v>
      </c>
      <c r="F73" s="2">
        <f>SUMPRODUCT($CA73:$DV73,INDEX('MC MAP'!$DA$5:$EV$30,5,0))</f>
        <v>193</v>
      </c>
      <c r="G73" s="2">
        <f>SUMPRODUCT($CA73:$DV73,INDEX('MC MAP'!$DA$5:$EV$30,6,0))</f>
        <v>12</v>
      </c>
      <c r="H73" s="2">
        <f>SUMPRODUCT($CA73:$DV73,INDEX('MC MAP'!$DA$5:$EV$30,7,0))</f>
        <v>0</v>
      </c>
      <c r="I73" s="2">
        <f>SUMPRODUCT($CA73:$DV73,INDEX('MC MAP'!$DA$5:$EV$30,8,0))</f>
        <v>41</v>
      </c>
      <c r="J73" s="2">
        <f>SUMPRODUCT($CA73:$DV73,INDEX('MC MAP'!$DA$5:$EV$30,9,0))</f>
        <v>25.5</v>
      </c>
      <c r="K73" s="2">
        <f>SUMPRODUCT($CA73:$DV73,INDEX('MC MAP'!$DA$5:$EV$30,10,0))</f>
        <v>12</v>
      </c>
      <c r="L73" s="2">
        <f>SUMPRODUCT($CA73:$DV73,INDEX('MC MAP'!$DA$5:$EV$30,11,0))</f>
        <v>12</v>
      </c>
      <c r="M73" s="2">
        <f>SUMPRODUCT($CA73:$DV73,INDEX('MC MAP'!$DA$5:$EV$30,12,0))</f>
        <v>33</v>
      </c>
      <c r="N73" s="2">
        <f>SUMPRODUCT($CA73:$DV73,INDEX('MC MAP'!$DA$5:$EV$30,13,0))</f>
        <v>32</v>
      </c>
      <c r="O73" s="2">
        <f>SUMPRODUCT($CA73:$DV73,INDEX('MC MAP'!$DA$5:$EV$30,14,0))</f>
        <v>20</v>
      </c>
      <c r="P73" s="2">
        <f>SUMPRODUCT($CA73:$DV73,INDEX('MC MAP'!$DA$5:$EV$30,15,0))</f>
        <v>49</v>
      </c>
      <c r="Q73" s="2">
        <f>SUMPRODUCT($CA73:$DV73,INDEX('MC MAP'!$DA$5:$EV$30,16,0))</f>
        <v>0</v>
      </c>
      <c r="R73" s="2">
        <f>SUMPRODUCT($CA73:$DV73,INDEX('MC MAP'!$DA$5:$EV$30,17,0))</f>
        <v>3</v>
      </c>
      <c r="S73" s="2">
        <f>SUMPRODUCT($CA73:$DV73,INDEX('MC MAP'!$DA$5:$EV$30,18,0))</f>
        <v>0</v>
      </c>
      <c r="T73" s="2">
        <f>SUMPRODUCT($CA73:$DV73,INDEX('MC MAP'!$DA$5:$EV$30,19,0))</f>
        <v>14</v>
      </c>
      <c r="U73" s="2">
        <f>SUMPRODUCT($CA73:$DV73,INDEX('MC MAP'!$DA$5:$EV$30,20,0))</f>
        <v>27</v>
      </c>
      <c r="V73" s="2">
        <f>SUMPRODUCT($CA73:$DV73,INDEX('MC MAP'!$DA$5:$EV$30,21,0))</f>
        <v>2</v>
      </c>
      <c r="W73" s="2">
        <f>SUMPRODUCT($CA73:$DV73,INDEX('MC MAP'!$DA$5:$EV$30,22,0))</f>
        <v>2</v>
      </c>
      <c r="X73" s="2">
        <f>SUMPRODUCT($CA73:$DV73,INDEX('MC MAP'!$DA$5:$EV$30,23,0))</f>
        <v>0</v>
      </c>
      <c r="Y73" s="2">
        <f>SUMPRODUCT($CA73:$DV73,INDEX('MC MAP'!$DA$5:$EV$30,24,0))</f>
        <v>8.5</v>
      </c>
      <c r="Z73" s="2">
        <f>SUMPRODUCT($CA73:$DV73,INDEX('MC MAP'!$DA$5:$EV$30,25,0))</f>
        <v>0</v>
      </c>
      <c r="AA73" s="2">
        <f>SUMPRODUCT($CA73:$DV73,INDEX('MC MAP'!$DA$5:$EV$30,26,0))</f>
        <v>24</v>
      </c>
      <c r="AB73" s="2">
        <f>SUM($B73:$AA73)</f>
        <v>647</v>
      </c>
      <c r="AC73" s="2">
        <f>SUM($CA73:$DV73)+$AW73</f>
        <v>21</v>
      </c>
      <c r="AW73" s="2">
        <f>IF($A73=0,0,COUNTIF(INDEX('LINE PLAN'!$B$36:$GS$61,0,ROW()-3),"THERMAL - NOT SPECIFIED"))</f>
        <v>0</v>
      </c>
      <c r="AX73" s="506" cm="1">
        <f t="array" ref="AX73">IF(OR($AB73=0,UPPER($BS73)&lt;&gt;"Y"),0,SUMPRODUCT(--($B73:$AA73&gt;$B$205:$AA$205)))</f>
        <v>2</v>
      </c>
      <c r="AY73" s="507">
        <f>$A73</f>
        <v>46304</v>
      </c>
      <c r="AZ73" s="2">
        <f>$AB73</f>
        <v>647</v>
      </c>
      <c r="BA73" s="2">
        <f>'MC MASTER'!$C$29</f>
        <v>920</v>
      </c>
      <c r="BQ73" s="509">
        <f>$A73</f>
        <v>46304</v>
      </c>
      <c r="BR73" s="15" t="str">
        <f>TEXT($A73,"ddd")</f>
        <v>Fri</v>
      </c>
      <c r="BS73" s="547" t="s">
        <v>391</v>
      </c>
      <c r="BT73" s="15">
        <f>IF(UPPER($BS73)="Y",$AB73,0)</f>
        <v>647</v>
      </c>
      <c r="CA73" s="2">
        <f>COUNTIF(INDEX('LINE PLAN'!$B$36:$GS$61,0,ROW()-3),CA$3)</f>
        <v>1</v>
      </c>
      <c r="CB73" s="2">
        <f>COUNTIF(INDEX('LINE PLAN'!$B$36:$GS$61,0,ROW()-3),CB$3)</f>
        <v>1</v>
      </c>
      <c r="CC73" s="2">
        <f>COUNTIF(INDEX('LINE PLAN'!$B$36:$GS$61,0,ROW()-3),CC$3)</f>
        <v>0</v>
      </c>
      <c r="CD73" s="2">
        <f>COUNTIF(INDEX('LINE PLAN'!$B$36:$GS$61,0,ROW()-3),CD$3)</f>
        <v>0</v>
      </c>
      <c r="CE73" s="2">
        <f>COUNTIF(INDEX('LINE PLAN'!$B$36:$GS$61,0,ROW()-3),CE$3)</f>
        <v>0</v>
      </c>
      <c r="CF73" s="2">
        <f>COUNTIF(INDEX('LINE PLAN'!$B$36:$GS$61,0,ROW()-3),CF$3)</f>
        <v>4</v>
      </c>
      <c r="CG73" s="2">
        <f>COUNTIF(INDEX('LINE PLAN'!$B$36:$GS$61,0,ROW()-3),CG$3)</f>
        <v>8</v>
      </c>
      <c r="CH73" s="2">
        <f>COUNTIF(INDEX('LINE PLAN'!$B$36:$GS$61,0,ROW()-3),CH$3)</f>
        <v>3</v>
      </c>
      <c r="CI73" s="2">
        <f>COUNTIF(INDEX('LINE PLAN'!$B$36:$GS$61,0,ROW()-3),CI$3)</f>
        <v>0</v>
      </c>
      <c r="CJ73" s="2">
        <f>COUNTIF(INDEX('LINE PLAN'!$B$36:$GS$61,0,ROW()-3),CJ$3)</f>
        <v>0</v>
      </c>
      <c r="CK73" s="2">
        <f>COUNTIF(INDEX('LINE PLAN'!$B$36:$GS$61,0,ROW()-3),CK$3)</f>
        <v>0</v>
      </c>
      <c r="CL73" s="2">
        <f>COUNTIF(INDEX('LINE PLAN'!$B$36:$GS$61,0,ROW()-3),CL$3)</f>
        <v>0</v>
      </c>
      <c r="CM73" s="2">
        <f>COUNTIF(INDEX('LINE PLAN'!$B$36:$GS$61,0,ROW()-3),CM$3)</f>
        <v>0</v>
      </c>
      <c r="CN73" s="2">
        <f>COUNTIF(INDEX('LINE PLAN'!$B$36:$GS$61,0,ROW()-3),CN$3)</f>
        <v>0</v>
      </c>
      <c r="CO73" s="2">
        <f>COUNTIF(INDEX('LINE PLAN'!$B$36:$GS$61,0,ROW()-3),CO$3)</f>
        <v>0</v>
      </c>
      <c r="CP73" s="2">
        <f>COUNTIF(INDEX('LINE PLAN'!$B$36:$GS$61,0,ROW()-3),CP$3)</f>
        <v>2</v>
      </c>
      <c r="CQ73" s="2">
        <f>COUNTIF(INDEX('LINE PLAN'!$B$36:$GS$61,0,ROW()-3),CQ$3)</f>
        <v>0</v>
      </c>
      <c r="CR73" s="2">
        <f>COUNTIF(INDEX('LINE PLAN'!$B$36:$GS$61,0,ROW()-3),CR$3)</f>
        <v>2</v>
      </c>
      <c r="CS73" s="2">
        <f>COUNTIF(INDEX('LINE PLAN'!$B$36:$GS$61,0,ROW()-3),CS$3)</f>
        <v>0</v>
      </c>
      <c r="CT73" s="2">
        <f>COUNTIF(INDEX('LINE PLAN'!$B$36:$GS$61,0,ROW()-3),CT$3)</f>
        <v>0</v>
      </c>
      <c r="CU73" s="2">
        <f>COUNTIF(INDEX('LINE PLAN'!$B$36:$GS$61,0,ROW()-3),CU$3)</f>
        <v>0</v>
      </c>
      <c r="CV73" s="2">
        <f>COUNTIF(INDEX('LINE PLAN'!$B$36:$GS$61,0,ROW()-3),CV$3)</f>
        <v>0</v>
      </c>
      <c r="CW73" s="2">
        <f>COUNTIF(INDEX('LINE PLAN'!$B$36:$GS$61,0,ROW()-3),CW$3)</f>
        <v>0</v>
      </c>
      <c r="CX73" s="2">
        <f>COUNTIF(INDEX('LINE PLAN'!$B$36:$GS$61,0,ROW()-3),CX$3)</f>
        <v>0</v>
      </c>
      <c r="CY73" s="2">
        <f>COUNTIF(INDEX('LINE PLAN'!$B$36:$GS$61,0,ROW()-3),CY$3)</f>
        <v>0</v>
      </c>
      <c r="CZ73" s="2">
        <f>COUNTIF(INDEX('LINE PLAN'!$B$36:$GS$61,0,ROW()-3),CZ$3)</f>
        <v>0</v>
      </c>
      <c r="DA73" s="2">
        <f>COUNTIF(INDEX('LINE PLAN'!$B$36:$GS$61,0,ROW()-3),DA$3)</f>
        <v>0</v>
      </c>
      <c r="DB73" s="2">
        <f>COUNTIF(INDEX('LINE PLAN'!$B$36:$GS$61,0,ROW()-3),DB$3)</f>
        <v>0</v>
      </c>
      <c r="DC73" s="2">
        <f>COUNTIF(INDEX('LINE PLAN'!$B$36:$GS$61,0,ROW()-3),DC$3)</f>
        <v>0</v>
      </c>
      <c r="DD73" s="2">
        <f>COUNTIF(INDEX('LINE PLAN'!$B$36:$GS$61,0,ROW()-3),DD$3)</f>
        <v>0</v>
      </c>
      <c r="DE73" s="2">
        <f>COUNTIF(INDEX('LINE PLAN'!$B$36:$GS$61,0,ROW()-3),DE$3)</f>
        <v>0</v>
      </c>
      <c r="DF73" s="2">
        <f>COUNTIF(INDEX('LINE PLAN'!$B$36:$GS$61,0,ROW()-3),DF$3)</f>
        <v>0</v>
      </c>
      <c r="DG73" s="2">
        <f>COUNTIF(INDEX('LINE PLAN'!$B$36:$GS$61,0,ROW()-3),DG$3)</f>
        <v>0</v>
      </c>
      <c r="DH73" s="2">
        <f>COUNTIF(INDEX('LINE PLAN'!$B$36:$GS$61,0,ROW()-3),DH$3)</f>
        <v>0</v>
      </c>
      <c r="DI73" s="2">
        <f>COUNTIF(INDEX('LINE PLAN'!$B$36:$GS$61,0,ROW()-3),DI$3)</f>
        <v>0</v>
      </c>
      <c r="DJ73" s="2">
        <f>COUNTIF(INDEX('LINE PLAN'!$B$36:$GS$61,0,ROW()-3),DJ$3)</f>
        <v>0</v>
      </c>
      <c r="DK73" s="2">
        <f>COUNTIF(INDEX('LINE PLAN'!$B$36:$GS$61,0,ROW()-3),DK$3)</f>
        <v>0</v>
      </c>
      <c r="DL73" s="2">
        <f>COUNTIF(INDEX('LINE PLAN'!$B$36:$GS$61,0,ROW()-3),DL$3)</f>
        <v>0</v>
      </c>
      <c r="DM73" s="2">
        <f>COUNTIF(INDEX('LINE PLAN'!$B$36:$GS$61,0,ROW()-3),DM$3)</f>
        <v>0</v>
      </c>
      <c r="DN73" s="2">
        <f>COUNTIF(INDEX('LINE PLAN'!$B$36:$GS$61,0,ROW()-3),DN$3)</f>
        <v>0</v>
      </c>
      <c r="DO73" s="2">
        <f>COUNTIF(INDEX('LINE PLAN'!$B$36:$GS$61,0,ROW()-3),DO$3)</f>
        <v>0</v>
      </c>
      <c r="DP73" s="2">
        <f>COUNTIF(INDEX('LINE PLAN'!$B$36:$GS$61,0,ROW()-3),DP$3)</f>
        <v>0</v>
      </c>
      <c r="DQ73" s="2">
        <f>COUNTIF(INDEX('LINE PLAN'!$B$36:$GS$61,0,ROW()-3),DQ$3)</f>
        <v>0</v>
      </c>
      <c r="DR73" s="2">
        <f>COUNTIF(INDEX('LINE PLAN'!$B$36:$GS$61,0,ROW()-3),DR$3)</f>
        <v>0</v>
      </c>
      <c r="DS73" s="2">
        <f>COUNTIF(INDEX('LINE PLAN'!$B$36:$GS$61,0,ROW()-3),DS$3)</f>
        <v>0</v>
      </c>
      <c r="DT73" s="2">
        <f>COUNTIF(INDEX('LINE PLAN'!$B$36:$GS$61,0,ROW()-3),DT$3)</f>
        <v>0</v>
      </c>
      <c r="DU73" s="2">
        <f>COUNTIF(INDEX('LINE PLAN'!$B$36:$GS$61,0,ROW()-3),DU$3)</f>
        <v>0</v>
      </c>
      <c r="DV73" s="2">
        <f>COUNTIF(INDEX('LINE PLAN'!$B$36:$GS$61,0,ROW()-3),DV$3)</f>
        <v>0</v>
      </c>
    </row>
    <row r="74" spans="1:126">
      <c r="A74" s="505" cm="1">
        <f t="array" ref="A74">INDEX('LINE PLAN'!$B$35:$GS$35,ROW()-3)</f>
        <v>46305</v>
      </c>
      <c r="B74" s="2">
        <f>SUMPRODUCT($CA74:$DV74,INDEX('MC MAP'!$DA$5:$EV$30,1,0))</f>
        <v>94</v>
      </c>
      <c r="C74" s="2">
        <f>SUMPRODUCT($CA74:$DV74,INDEX('MC MAP'!$DA$5:$EV$30,2,0))</f>
        <v>1</v>
      </c>
      <c r="D74" s="2">
        <f>SUMPRODUCT($CA74:$DV74,INDEX('MC MAP'!$DA$5:$EV$30,3,0))</f>
        <v>0</v>
      </c>
      <c r="E74" s="2">
        <f>SUMPRODUCT($CA74:$DV74,INDEX('MC MAP'!$DA$5:$EV$30,4,0))</f>
        <v>2</v>
      </c>
      <c r="F74" s="2">
        <f>SUMPRODUCT($CA74:$DV74,INDEX('MC MAP'!$DA$5:$EV$30,5,0))</f>
        <v>111</v>
      </c>
      <c r="G74" s="2">
        <f>SUMPRODUCT($CA74:$DV74,INDEX('MC MAP'!$DA$5:$EV$30,6,0))</f>
        <v>12</v>
      </c>
      <c r="H74" s="2">
        <f>SUMPRODUCT($CA74:$DV74,INDEX('MC MAP'!$DA$5:$EV$30,7,0))</f>
        <v>0</v>
      </c>
      <c r="I74" s="2">
        <f>SUMPRODUCT($CA74:$DV74,INDEX('MC MAP'!$DA$5:$EV$30,8,0))</f>
        <v>33</v>
      </c>
      <c r="J74" s="2">
        <f>SUMPRODUCT($CA74:$DV74,INDEX('MC MAP'!$DA$5:$EV$30,9,0))</f>
        <v>11.5</v>
      </c>
      <c r="K74" s="2">
        <f>SUMPRODUCT($CA74:$DV74,INDEX('MC MAP'!$DA$5:$EV$30,10,0))</f>
        <v>12</v>
      </c>
      <c r="L74" s="2">
        <f>SUMPRODUCT($CA74:$DV74,INDEX('MC MAP'!$DA$5:$EV$30,11,0))</f>
        <v>12</v>
      </c>
      <c r="M74" s="2">
        <f>SUMPRODUCT($CA74:$DV74,INDEX('MC MAP'!$DA$5:$EV$30,12,0))</f>
        <v>25</v>
      </c>
      <c r="N74" s="2">
        <f>SUMPRODUCT($CA74:$DV74,INDEX('MC MAP'!$DA$5:$EV$30,13,0))</f>
        <v>20</v>
      </c>
      <c r="O74" s="2">
        <f>SUMPRODUCT($CA74:$DV74,INDEX('MC MAP'!$DA$5:$EV$30,14,0))</f>
        <v>8</v>
      </c>
      <c r="P74" s="2">
        <f>SUMPRODUCT($CA74:$DV74,INDEX('MC MAP'!$DA$5:$EV$30,15,0))</f>
        <v>17</v>
      </c>
      <c r="Q74" s="2">
        <f>SUMPRODUCT($CA74:$DV74,INDEX('MC MAP'!$DA$5:$EV$30,16,0))</f>
        <v>0</v>
      </c>
      <c r="R74" s="2">
        <f>SUMPRODUCT($CA74:$DV74,INDEX('MC MAP'!$DA$5:$EV$30,17,0))</f>
        <v>3</v>
      </c>
      <c r="S74" s="2">
        <f>SUMPRODUCT($CA74:$DV74,INDEX('MC MAP'!$DA$5:$EV$30,18,0))</f>
        <v>0</v>
      </c>
      <c r="T74" s="2">
        <f>SUMPRODUCT($CA74:$DV74,INDEX('MC MAP'!$DA$5:$EV$30,19,0))</f>
        <v>0</v>
      </c>
      <c r="U74" s="2">
        <f>SUMPRODUCT($CA74:$DV74,INDEX('MC MAP'!$DA$5:$EV$30,20,0))</f>
        <v>19</v>
      </c>
      <c r="V74" s="2">
        <f>SUMPRODUCT($CA74:$DV74,INDEX('MC MAP'!$DA$5:$EV$30,21,0))</f>
        <v>2</v>
      </c>
      <c r="W74" s="2">
        <f>SUMPRODUCT($CA74:$DV74,INDEX('MC MAP'!$DA$5:$EV$30,22,0))</f>
        <v>2</v>
      </c>
      <c r="X74" s="2">
        <f>SUMPRODUCT($CA74:$DV74,INDEX('MC MAP'!$DA$5:$EV$30,23,0))</f>
        <v>0</v>
      </c>
      <c r="Y74" s="2">
        <f>SUMPRODUCT($CA74:$DV74,INDEX('MC MAP'!$DA$5:$EV$30,24,0))</f>
        <v>6.5</v>
      </c>
      <c r="Z74" s="2">
        <f>SUMPRODUCT($CA74:$DV74,INDEX('MC MAP'!$DA$5:$EV$30,25,0))</f>
        <v>0</v>
      </c>
      <c r="AA74" s="2">
        <f>SUMPRODUCT($CA74:$DV74,INDEX('MC MAP'!$DA$5:$EV$30,26,0))</f>
        <v>16</v>
      </c>
      <c r="AB74" s="2">
        <f>SUM($B74:$AA74)</f>
        <v>407</v>
      </c>
      <c r="AC74" s="2">
        <f>SUM($CA74:$DV74)+$AW74</f>
        <v>21</v>
      </c>
      <c r="AW74" s="2">
        <f>IF($A74=0,0,COUNTIF(INDEX('LINE PLAN'!$B$36:$GS$61,0,ROW()-3),"THERMAL - NOT SPECIFIED"))</f>
        <v>0</v>
      </c>
      <c r="AX74" s="506" cm="1">
        <f t="array" ref="AX74">IF(OR($AB74=0,UPPER($BS74)&lt;&gt;"Y"),0,SUMPRODUCT(--($B74:$AA74&gt;$B$205:$AA$205)))</f>
        <v>2</v>
      </c>
      <c r="AY74" s="507">
        <f>$A74</f>
        <v>46305</v>
      </c>
      <c r="AZ74" s="2">
        <f>$AB74</f>
        <v>407</v>
      </c>
      <c r="BA74" s="2">
        <f>'MC MASTER'!$C$29</f>
        <v>920</v>
      </c>
      <c r="BQ74" s="509">
        <f>$A74</f>
        <v>46305</v>
      </c>
      <c r="BR74" s="15" t="str">
        <f>TEXT($A74,"ddd")</f>
        <v>Sat</v>
      </c>
      <c r="BS74" s="547" t="s">
        <v>391</v>
      </c>
      <c r="BT74" s="15">
        <f>IF(UPPER($BS74)="Y",$AB74,0)</f>
        <v>407</v>
      </c>
      <c r="CA74" s="2">
        <f>COUNTIF(INDEX('LINE PLAN'!$B$36:$GS$61,0,ROW()-3),CA$3)</f>
        <v>1</v>
      </c>
      <c r="CB74" s="2">
        <f>COUNTIF(INDEX('LINE PLAN'!$B$36:$GS$61,0,ROW()-3),CB$3)</f>
        <v>1</v>
      </c>
      <c r="CC74" s="2">
        <f>COUNTIF(INDEX('LINE PLAN'!$B$36:$GS$61,0,ROW()-3),CC$3)</f>
        <v>0</v>
      </c>
      <c r="CD74" s="2">
        <f>COUNTIF(INDEX('LINE PLAN'!$B$36:$GS$61,0,ROW()-3),CD$3)</f>
        <v>0</v>
      </c>
      <c r="CE74" s="2">
        <f>COUNTIF(INDEX('LINE PLAN'!$B$36:$GS$61,0,ROW()-3),CE$3)</f>
        <v>0</v>
      </c>
      <c r="CF74" s="2">
        <f>COUNTIF(INDEX('LINE PLAN'!$B$36:$GS$61,0,ROW()-3),CF$3)</f>
        <v>0</v>
      </c>
      <c r="CG74" s="2">
        <f>COUNTIF(INDEX('LINE PLAN'!$B$36:$GS$61,0,ROW()-3),CG$3)</f>
        <v>8</v>
      </c>
      <c r="CH74" s="2">
        <f>COUNTIF(INDEX('LINE PLAN'!$B$36:$GS$61,0,ROW()-3),CH$3)</f>
        <v>3</v>
      </c>
      <c r="CI74" s="2">
        <f>COUNTIF(INDEX('LINE PLAN'!$B$36:$GS$61,0,ROW()-3),CI$3)</f>
        <v>0</v>
      </c>
      <c r="CJ74" s="2">
        <f>COUNTIF(INDEX('LINE PLAN'!$B$36:$GS$61,0,ROW()-3),CJ$3)</f>
        <v>0</v>
      </c>
      <c r="CK74" s="2">
        <f>COUNTIF(INDEX('LINE PLAN'!$B$36:$GS$61,0,ROW()-3),CK$3)</f>
        <v>0</v>
      </c>
      <c r="CL74" s="2">
        <f>COUNTIF(INDEX('LINE PLAN'!$B$36:$GS$61,0,ROW()-3),CL$3)</f>
        <v>0</v>
      </c>
      <c r="CM74" s="2">
        <f>COUNTIF(INDEX('LINE PLAN'!$B$36:$GS$61,0,ROW()-3),CM$3)</f>
        <v>8</v>
      </c>
      <c r="CN74" s="2">
        <f>COUNTIF(INDEX('LINE PLAN'!$B$36:$GS$61,0,ROW()-3),CN$3)</f>
        <v>0</v>
      </c>
      <c r="CO74" s="2">
        <f>COUNTIF(INDEX('LINE PLAN'!$B$36:$GS$61,0,ROW()-3),CO$3)</f>
        <v>0</v>
      </c>
      <c r="CP74" s="2">
        <f>COUNTIF(INDEX('LINE PLAN'!$B$36:$GS$61,0,ROW()-3),CP$3)</f>
        <v>0</v>
      </c>
      <c r="CQ74" s="2">
        <f>COUNTIF(INDEX('LINE PLAN'!$B$36:$GS$61,0,ROW()-3),CQ$3)</f>
        <v>0</v>
      </c>
      <c r="CR74" s="2">
        <f>COUNTIF(INDEX('LINE PLAN'!$B$36:$GS$61,0,ROW()-3),CR$3)</f>
        <v>0</v>
      </c>
      <c r="CS74" s="2">
        <f>COUNTIF(INDEX('LINE PLAN'!$B$36:$GS$61,0,ROW()-3),CS$3)</f>
        <v>0</v>
      </c>
      <c r="CT74" s="2">
        <f>COUNTIF(INDEX('LINE PLAN'!$B$36:$GS$61,0,ROW()-3),CT$3)</f>
        <v>0</v>
      </c>
      <c r="CU74" s="2">
        <f>COUNTIF(INDEX('LINE PLAN'!$B$36:$GS$61,0,ROW()-3),CU$3)</f>
        <v>0</v>
      </c>
      <c r="CV74" s="2">
        <f>COUNTIF(INDEX('LINE PLAN'!$B$36:$GS$61,0,ROW()-3),CV$3)</f>
        <v>0</v>
      </c>
      <c r="CW74" s="2">
        <f>COUNTIF(INDEX('LINE PLAN'!$B$36:$GS$61,0,ROW()-3),CW$3)</f>
        <v>0</v>
      </c>
      <c r="CX74" s="2">
        <f>COUNTIF(INDEX('LINE PLAN'!$B$36:$GS$61,0,ROW()-3),CX$3)</f>
        <v>0</v>
      </c>
      <c r="CY74" s="2">
        <f>COUNTIF(INDEX('LINE PLAN'!$B$36:$GS$61,0,ROW()-3),CY$3)</f>
        <v>0</v>
      </c>
      <c r="CZ74" s="2">
        <f>COUNTIF(INDEX('LINE PLAN'!$B$36:$GS$61,0,ROW()-3),CZ$3)</f>
        <v>0</v>
      </c>
      <c r="DA74" s="2">
        <f>COUNTIF(INDEX('LINE PLAN'!$B$36:$GS$61,0,ROW()-3),DA$3)</f>
        <v>0</v>
      </c>
      <c r="DB74" s="2">
        <f>COUNTIF(INDEX('LINE PLAN'!$B$36:$GS$61,0,ROW()-3),DB$3)</f>
        <v>0</v>
      </c>
      <c r="DC74" s="2">
        <f>COUNTIF(INDEX('LINE PLAN'!$B$36:$GS$61,0,ROW()-3),DC$3)</f>
        <v>0</v>
      </c>
      <c r="DD74" s="2">
        <f>COUNTIF(INDEX('LINE PLAN'!$B$36:$GS$61,0,ROW()-3),DD$3)</f>
        <v>0</v>
      </c>
      <c r="DE74" s="2">
        <f>COUNTIF(INDEX('LINE PLAN'!$B$36:$GS$61,0,ROW()-3),DE$3)</f>
        <v>0</v>
      </c>
      <c r="DF74" s="2">
        <f>COUNTIF(INDEX('LINE PLAN'!$B$36:$GS$61,0,ROW()-3),DF$3)</f>
        <v>0</v>
      </c>
      <c r="DG74" s="2">
        <f>COUNTIF(INDEX('LINE PLAN'!$B$36:$GS$61,0,ROW()-3),DG$3)</f>
        <v>0</v>
      </c>
      <c r="DH74" s="2">
        <f>COUNTIF(INDEX('LINE PLAN'!$B$36:$GS$61,0,ROW()-3),DH$3)</f>
        <v>0</v>
      </c>
      <c r="DI74" s="2">
        <f>COUNTIF(INDEX('LINE PLAN'!$B$36:$GS$61,0,ROW()-3),DI$3)</f>
        <v>0</v>
      </c>
      <c r="DJ74" s="2">
        <f>COUNTIF(INDEX('LINE PLAN'!$B$36:$GS$61,0,ROW()-3),DJ$3)</f>
        <v>0</v>
      </c>
      <c r="DK74" s="2">
        <f>COUNTIF(INDEX('LINE PLAN'!$B$36:$GS$61,0,ROW()-3),DK$3)</f>
        <v>0</v>
      </c>
      <c r="DL74" s="2">
        <f>COUNTIF(INDEX('LINE PLAN'!$B$36:$GS$61,0,ROW()-3),DL$3)</f>
        <v>0</v>
      </c>
      <c r="DM74" s="2">
        <f>COUNTIF(INDEX('LINE PLAN'!$B$36:$GS$61,0,ROW()-3),DM$3)</f>
        <v>0</v>
      </c>
      <c r="DN74" s="2">
        <f>COUNTIF(INDEX('LINE PLAN'!$B$36:$GS$61,0,ROW()-3),DN$3)</f>
        <v>0</v>
      </c>
      <c r="DO74" s="2">
        <f>COUNTIF(INDEX('LINE PLAN'!$B$36:$GS$61,0,ROW()-3),DO$3)</f>
        <v>0</v>
      </c>
      <c r="DP74" s="2">
        <f>COUNTIF(INDEX('LINE PLAN'!$B$36:$GS$61,0,ROW()-3),DP$3)</f>
        <v>0</v>
      </c>
      <c r="DQ74" s="2">
        <f>COUNTIF(INDEX('LINE PLAN'!$B$36:$GS$61,0,ROW()-3),DQ$3)</f>
        <v>0</v>
      </c>
      <c r="DR74" s="2">
        <f>COUNTIF(INDEX('LINE PLAN'!$B$36:$GS$61,0,ROW()-3),DR$3)</f>
        <v>0</v>
      </c>
      <c r="DS74" s="2">
        <f>COUNTIF(INDEX('LINE PLAN'!$B$36:$GS$61,0,ROW()-3),DS$3)</f>
        <v>0</v>
      </c>
      <c r="DT74" s="2">
        <f>COUNTIF(INDEX('LINE PLAN'!$B$36:$GS$61,0,ROW()-3),DT$3)</f>
        <v>0</v>
      </c>
      <c r="DU74" s="2">
        <f>COUNTIF(INDEX('LINE PLAN'!$B$36:$GS$61,0,ROW()-3),DU$3)</f>
        <v>0</v>
      </c>
      <c r="DV74" s="2">
        <f>COUNTIF(INDEX('LINE PLAN'!$B$36:$GS$61,0,ROW()-3),DV$3)</f>
        <v>0</v>
      </c>
    </row>
    <row r="75" spans="1:126">
      <c r="A75" s="505" cm="1">
        <f t="array" ref="A75">INDEX('LINE PLAN'!$B$35:$GS$35,ROW()-3)</f>
        <v>46306</v>
      </c>
      <c r="B75" s="2">
        <f>SUMPRODUCT($CA75:$DV75,INDEX('MC MAP'!$DA$5:$EV$30,1,0))</f>
        <v>94</v>
      </c>
      <c r="C75" s="2">
        <f>SUMPRODUCT($CA75:$DV75,INDEX('MC MAP'!$DA$5:$EV$30,2,0))</f>
        <v>1</v>
      </c>
      <c r="D75" s="2">
        <f>SUMPRODUCT($CA75:$DV75,INDEX('MC MAP'!$DA$5:$EV$30,3,0))</f>
        <v>0</v>
      </c>
      <c r="E75" s="2">
        <f>SUMPRODUCT($CA75:$DV75,INDEX('MC MAP'!$DA$5:$EV$30,4,0))</f>
        <v>2</v>
      </c>
      <c r="F75" s="2">
        <f>SUMPRODUCT($CA75:$DV75,INDEX('MC MAP'!$DA$5:$EV$30,5,0))</f>
        <v>111</v>
      </c>
      <c r="G75" s="2">
        <f>SUMPRODUCT($CA75:$DV75,INDEX('MC MAP'!$DA$5:$EV$30,6,0))</f>
        <v>12</v>
      </c>
      <c r="H75" s="2">
        <f>SUMPRODUCT($CA75:$DV75,INDEX('MC MAP'!$DA$5:$EV$30,7,0))</f>
        <v>0</v>
      </c>
      <c r="I75" s="2">
        <f>SUMPRODUCT($CA75:$DV75,INDEX('MC MAP'!$DA$5:$EV$30,8,0))</f>
        <v>33</v>
      </c>
      <c r="J75" s="2">
        <f>SUMPRODUCT($CA75:$DV75,INDEX('MC MAP'!$DA$5:$EV$30,9,0))</f>
        <v>11.5</v>
      </c>
      <c r="K75" s="2">
        <f>SUMPRODUCT($CA75:$DV75,INDEX('MC MAP'!$DA$5:$EV$30,10,0))</f>
        <v>12</v>
      </c>
      <c r="L75" s="2">
        <f>SUMPRODUCT($CA75:$DV75,INDEX('MC MAP'!$DA$5:$EV$30,11,0))</f>
        <v>12</v>
      </c>
      <c r="M75" s="2">
        <f>SUMPRODUCT($CA75:$DV75,INDEX('MC MAP'!$DA$5:$EV$30,12,0))</f>
        <v>25</v>
      </c>
      <c r="N75" s="2">
        <f>SUMPRODUCT($CA75:$DV75,INDEX('MC MAP'!$DA$5:$EV$30,13,0))</f>
        <v>20</v>
      </c>
      <c r="O75" s="2">
        <f>SUMPRODUCT($CA75:$DV75,INDEX('MC MAP'!$DA$5:$EV$30,14,0))</f>
        <v>8</v>
      </c>
      <c r="P75" s="2">
        <f>SUMPRODUCT($CA75:$DV75,INDEX('MC MAP'!$DA$5:$EV$30,15,0))</f>
        <v>17</v>
      </c>
      <c r="Q75" s="2">
        <f>SUMPRODUCT($CA75:$DV75,INDEX('MC MAP'!$DA$5:$EV$30,16,0))</f>
        <v>0</v>
      </c>
      <c r="R75" s="2">
        <f>SUMPRODUCT($CA75:$DV75,INDEX('MC MAP'!$DA$5:$EV$30,17,0))</f>
        <v>3</v>
      </c>
      <c r="S75" s="2">
        <f>SUMPRODUCT($CA75:$DV75,INDEX('MC MAP'!$DA$5:$EV$30,18,0))</f>
        <v>0</v>
      </c>
      <c r="T75" s="2">
        <f>SUMPRODUCT($CA75:$DV75,INDEX('MC MAP'!$DA$5:$EV$30,19,0))</f>
        <v>0</v>
      </c>
      <c r="U75" s="2">
        <f>SUMPRODUCT($CA75:$DV75,INDEX('MC MAP'!$DA$5:$EV$30,20,0))</f>
        <v>19</v>
      </c>
      <c r="V75" s="2">
        <f>SUMPRODUCT($CA75:$DV75,INDEX('MC MAP'!$DA$5:$EV$30,21,0))</f>
        <v>2</v>
      </c>
      <c r="W75" s="2">
        <f>SUMPRODUCT($CA75:$DV75,INDEX('MC MAP'!$DA$5:$EV$30,22,0))</f>
        <v>2</v>
      </c>
      <c r="X75" s="2">
        <f>SUMPRODUCT($CA75:$DV75,INDEX('MC MAP'!$DA$5:$EV$30,23,0))</f>
        <v>0</v>
      </c>
      <c r="Y75" s="2">
        <f>SUMPRODUCT($CA75:$DV75,INDEX('MC MAP'!$DA$5:$EV$30,24,0))</f>
        <v>6.5</v>
      </c>
      <c r="Z75" s="2">
        <f>SUMPRODUCT($CA75:$DV75,INDEX('MC MAP'!$DA$5:$EV$30,25,0))</f>
        <v>0</v>
      </c>
      <c r="AA75" s="2">
        <f>SUMPRODUCT($CA75:$DV75,INDEX('MC MAP'!$DA$5:$EV$30,26,0))</f>
        <v>16</v>
      </c>
      <c r="AB75" s="2">
        <f>SUM($B75:$AA75)</f>
        <v>407</v>
      </c>
      <c r="AC75" s="2">
        <f>SUM($CA75:$DV75)+$AW75</f>
        <v>13</v>
      </c>
      <c r="AW75" s="2">
        <f>IF($A75=0,0,COUNTIF(INDEX('LINE PLAN'!$B$36:$GS$61,0,ROW()-3),"THERMAL - NOT SPECIFIED"))</f>
        <v>0</v>
      </c>
      <c r="AX75" s="506" cm="1">
        <f t="array" ref="AX75">IF(OR($AB75=0,UPPER($BS75)&lt;&gt;"Y"),0,SUMPRODUCT(--($B75:$AA75&gt;$B$205:$AA$205)))</f>
        <v>0</v>
      </c>
      <c r="AY75" s="507">
        <f>$A75</f>
        <v>46306</v>
      </c>
      <c r="AZ75" s="2">
        <f>$AB75</f>
        <v>407</v>
      </c>
      <c r="BA75" s="2">
        <f>'MC MASTER'!$C$29</f>
        <v>920</v>
      </c>
      <c r="BQ75" s="509">
        <f>$A75</f>
        <v>46306</v>
      </c>
      <c r="BR75" s="15" t="str">
        <f>TEXT($A75,"ddd")</f>
        <v>Sun</v>
      </c>
      <c r="BS75" s="547" t="s">
        <v>392</v>
      </c>
      <c r="BT75" s="15">
        <f>IF(UPPER($BS75)="Y",$AB75,0)</f>
        <v>0</v>
      </c>
      <c r="CA75" s="2">
        <f>COUNTIF(INDEX('LINE PLAN'!$B$36:$GS$61,0,ROW()-3),CA$3)</f>
        <v>1</v>
      </c>
      <c r="CB75" s="2">
        <f>COUNTIF(INDEX('LINE PLAN'!$B$36:$GS$61,0,ROW()-3),CB$3)</f>
        <v>1</v>
      </c>
      <c r="CC75" s="2">
        <f>COUNTIF(INDEX('LINE PLAN'!$B$36:$GS$61,0,ROW()-3),CC$3)</f>
        <v>0</v>
      </c>
      <c r="CD75" s="2">
        <f>COUNTIF(INDEX('LINE PLAN'!$B$36:$GS$61,0,ROW()-3),CD$3)</f>
        <v>0</v>
      </c>
      <c r="CE75" s="2">
        <f>COUNTIF(INDEX('LINE PLAN'!$B$36:$GS$61,0,ROW()-3),CE$3)</f>
        <v>0</v>
      </c>
      <c r="CF75" s="2">
        <f>COUNTIF(INDEX('LINE PLAN'!$B$36:$GS$61,0,ROW()-3),CF$3)</f>
        <v>0</v>
      </c>
      <c r="CG75" s="2">
        <f>COUNTIF(INDEX('LINE PLAN'!$B$36:$GS$61,0,ROW()-3),CG$3)</f>
        <v>8</v>
      </c>
      <c r="CH75" s="2">
        <f>COUNTIF(INDEX('LINE PLAN'!$B$36:$GS$61,0,ROW()-3),CH$3)</f>
        <v>3</v>
      </c>
      <c r="CI75" s="2">
        <f>COUNTIF(INDEX('LINE PLAN'!$B$36:$GS$61,0,ROW()-3),CI$3)</f>
        <v>0</v>
      </c>
      <c r="CJ75" s="2">
        <f>COUNTIF(INDEX('LINE PLAN'!$B$36:$GS$61,0,ROW()-3),CJ$3)</f>
        <v>0</v>
      </c>
      <c r="CK75" s="2">
        <f>COUNTIF(INDEX('LINE PLAN'!$B$36:$GS$61,0,ROW()-3),CK$3)</f>
        <v>0</v>
      </c>
      <c r="CL75" s="2">
        <f>COUNTIF(INDEX('LINE PLAN'!$B$36:$GS$61,0,ROW()-3),CL$3)</f>
        <v>0</v>
      </c>
      <c r="CM75" s="2">
        <f>COUNTIF(INDEX('LINE PLAN'!$B$36:$GS$61,0,ROW()-3),CM$3)</f>
        <v>0</v>
      </c>
      <c r="CN75" s="2">
        <f>COUNTIF(INDEX('LINE PLAN'!$B$36:$GS$61,0,ROW()-3),CN$3)</f>
        <v>0</v>
      </c>
      <c r="CO75" s="2">
        <f>COUNTIF(INDEX('LINE PLAN'!$B$36:$GS$61,0,ROW()-3),CO$3)</f>
        <v>0</v>
      </c>
      <c r="CP75" s="2">
        <f>COUNTIF(INDEX('LINE PLAN'!$B$36:$GS$61,0,ROW()-3),CP$3)</f>
        <v>0</v>
      </c>
      <c r="CQ75" s="2">
        <f>COUNTIF(INDEX('LINE PLAN'!$B$36:$GS$61,0,ROW()-3),CQ$3)</f>
        <v>0</v>
      </c>
      <c r="CR75" s="2">
        <f>COUNTIF(INDEX('LINE PLAN'!$B$36:$GS$61,0,ROW()-3),CR$3)</f>
        <v>0</v>
      </c>
      <c r="CS75" s="2">
        <f>COUNTIF(INDEX('LINE PLAN'!$B$36:$GS$61,0,ROW()-3),CS$3)</f>
        <v>0</v>
      </c>
      <c r="CT75" s="2">
        <f>COUNTIF(INDEX('LINE PLAN'!$B$36:$GS$61,0,ROW()-3),CT$3)</f>
        <v>0</v>
      </c>
      <c r="CU75" s="2">
        <f>COUNTIF(INDEX('LINE PLAN'!$B$36:$GS$61,0,ROW()-3),CU$3)</f>
        <v>0</v>
      </c>
      <c r="CV75" s="2">
        <f>COUNTIF(INDEX('LINE PLAN'!$B$36:$GS$61,0,ROW()-3),CV$3)</f>
        <v>0</v>
      </c>
      <c r="CW75" s="2">
        <f>COUNTIF(INDEX('LINE PLAN'!$B$36:$GS$61,0,ROW()-3),CW$3)</f>
        <v>0</v>
      </c>
      <c r="CX75" s="2">
        <f>COUNTIF(INDEX('LINE PLAN'!$B$36:$GS$61,0,ROW()-3),CX$3)</f>
        <v>0</v>
      </c>
      <c r="CY75" s="2">
        <f>COUNTIF(INDEX('LINE PLAN'!$B$36:$GS$61,0,ROW()-3),CY$3)</f>
        <v>0</v>
      </c>
      <c r="CZ75" s="2">
        <f>COUNTIF(INDEX('LINE PLAN'!$B$36:$GS$61,0,ROW()-3),CZ$3)</f>
        <v>0</v>
      </c>
      <c r="DA75" s="2">
        <f>COUNTIF(INDEX('LINE PLAN'!$B$36:$GS$61,0,ROW()-3),DA$3)</f>
        <v>0</v>
      </c>
      <c r="DB75" s="2">
        <f>COUNTIF(INDEX('LINE PLAN'!$B$36:$GS$61,0,ROW()-3),DB$3)</f>
        <v>0</v>
      </c>
      <c r="DC75" s="2">
        <f>COUNTIF(INDEX('LINE PLAN'!$B$36:$GS$61,0,ROW()-3),DC$3)</f>
        <v>0</v>
      </c>
      <c r="DD75" s="2">
        <f>COUNTIF(INDEX('LINE PLAN'!$B$36:$GS$61,0,ROW()-3),DD$3)</f>
        <v>0</v>
      </c>
      <c r="DE75" s="2">
        <f>COUNTIF(INDEX('LINE PLAN'!$B$36:$GS$61,0,ROW()-3),DE$3)</f>
        <v>0</v>
      </c>
      <c r="DF75" s="2">
        <f>COUNTIF(INDEX('LINE PLAN'!$B$36:$GS$61,0,ROW()-3),DF$3)</f>
        <v>0</v>
      </c>
      <c r="DG75" s="2">
        <f>COUNTIF(INDEX('LINE PLAN'!$B$36:$GS$61,0,ROW()-3),DG$3)</f>
        <v>0</v>
      </c>
      <c r="DH75" s="2">
        <f>COUNTIF(INDEX('LINE PLAN'!$B$36:$GS$61,0,ROW()-3),DH$3)</f>
        <v>0</v>
      </c>
      <c r="DI75" s="2">
        <f>COUNTIF(INDEX('LINE PLAN'!$B$36:$GS$61,0,ROW()-3),DI$3)</f>
        <v>0</v>
      </c>
      <c r="DJ75" s="2">
        <f>COUNTIF(INDEX('LINE PLAN'!$B$36:$GS$61,0,ROW()-3),DJ$3)</f>
        <v>0</v>
      </c>
      <c r="DK75" s="2">
        <f>COUNTIF(INDEX('LINE PLAN'!$B$36:$GS$61,0,ROW()-3),DK$3)</f>
        <v>0</v>
      </c>
      <c r="DL75" s="2">
        <f>COUNTIF(INDEX('LINE PLAN'!$B$36:$GS$61,0,ROW()-3),DL$3)</f>
        <v>0</v>
      </c>
      <c r="DM75" s="2">
        <f>COUNTIF(INDEX('LINE PLAN'!$B$36:$GS$61,0,ROW()-3),DM$3)</f>
        <v>0</v>
      </c>
      <c r="DN75" s="2">
        <f>COUNTIF(INDEX('LINE PLAN'!$B$36:$GS$61,0,ROW()-3),DN$3)</f>
        <v>0</v>
      </c>
      <c r="DO75" s="2">
        <f>COUNTIF(INDEX('LINE PLAN'!$B$36:$GS$61,0,ROW()-3),DO$3)</f>
        <v>0</v>
      </c>
      <c r="DP75" s="2">
        <f>COUNTIF(INDEX('LINE PLAN'!$B$36:$GS$61,0,ROW()-3),DP$3)</f>
        <v>0</v>
      </c>
      <c r="DQ75" s="2">
        <f>COUNTIF(INDEX('LINE PLAN'!$B$36:$GS$61,0,ROW()-3),DQ$3)</f>
        <v>0</v>
      </c>
      <c r="DR75" s="2">
        <f>COUNTIF(INDEX('LINE PLAN'!$B$36:$GS$61,0,ROW()-3),DR$3)</f>
        <v>0</v>
      </c>
      <c r="DS75" s="2">
        <f>COUNTIF(INDEX('LINE PLAN'!$B$36:$GS$61,0,ROW()-3),DS$3)</f>
        <v>0</v>
      </c>
      <c r="DT75" s="2">
        <f>COUNTIF(INDEX('LINE PLAN'!$B$36:$GS$61,0,ROW()-3),DT$3)</f>
        <v>0</v>
      </c>
      <c r="DU75" s="2">
        <f>COUNTIF(INDEX('LINE PLAN'!$B$36:$GS$61,0,ROW()-3),DU$3)</f>
        <v>0</v>
      </c>
      <c r="DV75" s="2">
        <f>COUNTIF(INDEX('LINE PLAN'!$B$36:$GS$61,0,ROW()-3),DV$3)</f>
        <v>0</v>
      </c>
    </row>
    <row r="76" spans="1:126">
      <c r="A76" s="505" cm="1">
        <f t="array" ref="A76">INDEX('LINE PLAN'!$B$35:$GS$35,ROW()-3)</f>
        <v>46307</v>
      </c>
      <c r="B76" s="2">
        <f>SUMPRODUCT($CA76:$DV76,INDEX('MC MAP'!$DA$5:$EV$30,1,0))</f>
        <v>94</v>
      </c>
      <c r="C76" s="2">
        <f>SUMPRODUCT($CA76:$DV76,INDEX('MC MAP'!$DA$5:$EV$30,2,0))</f>
        <v>1</v>
      </c>
      <c r="D76" s="2">
        <f>SUMPRODUCT($CA76:$DV76,INDEX('MC MAP'!$DA$5:$EV$30,3,0))</f>
        <v>0</v>
      </c>
      <c r="E76" s="2">
        <f>SUMPRODUCT($CA76:$DV76,INDEX('MC MAP'!$DA$5:$EV$30,4,0))</f>
        <v>2</v>
      </c>
      <c r="F76" s="2">
        <f>SUMPRODUCT($CA76:$DV76,INDEX('MC MAP'!$DA$5:$EV$30,5,0))</f>
        <v>111</v>
      </c>
      <c r="G76" s="2">
        <f>SUMPRODUCT($CA76:$DV76,INDEX('MC MAP'!$DA$5:$EV$30,6,0))</f>
        <v>12</v>
      </c>
      <c r="H76" s="2">
        <f>SUMPRODUCT($CA76:$DV76,INDEX('MC MAP'!$DA$5:$EV$30,7,0))</f>
        <v>0</v>
      </c>
      <c r="I76" s="2">
        <f>SUMPRODUCT($CA76:$DV76,INDEX('MC MAP'!$DA$5:$EV$30,8,0))</f>
        <v>33</v>
      </c>
      <c r="J76" s="2">
        <f>SUMPRODUCT($CA76:$DV76,INDEX('MC MAP'!$DA$5:$EV$30,9,0))</f>
        <v>11.5</v>
      </c>
      <c r="K76" s="2">
        <f>SUMPRODUCT($CA76:$DV76,INDEX('MC MAP'!$DA$5:$EV$30,10,0))</f>
        <v>12</v>
      </c>
      <c r="L76" s="2">
        <f>SUMPRODUCT($CA76:$DV76,INDEX('MC MAP'!$DA$5:$EV$30,11,0))</f>
        <v>12</v>
      </c>
      <c r="M76" s="2">
        <f>SUMPRODUCT($CA76:$DV76,INDEX('MC MAP'!$DA$5:$EV$30,12,0))</f>
        <v>25</v>
      </c>
      <c r="N76" s="2">
        <f>SUMPRODUCT($CA76:$DV76,INDEX('MC MAP'!$DA$5:$EV$30,13,0))</f>
        <v>20</v>
      </c>
      <c r="O76" s="2">
        <f>SUMPRODUCT($CA76:$DV76,INDEX('MC MAP'!$DA$5:$EV$30,14,0))</f>
        <v>8</v>
      </c>
      <c r="P76" s="2">
        <f>SUMPRODUCT($CA76:$DV76,INDEX('MC MAP'!$DA$5:$EV$30,15,0))</f>
        <v>17</v>
      </c>
      <c r="Q76" s="2">
        <f>SUMPRODUCT($CA76:$DV76,INDEX('MC MAP'!$DA$5:$EV$30,16,0))</f>
        <v>0</v>
      </c>
      <c r="R76" s="2">
        <f>SUMPRODUCT($CA76:$DV76,INDEX('MC MAP'!$DA$5:$EV$30,17,0))</f>
        <v>3</v>
      </c>
      <c r="S76" s="2">
        <f>SUMPRODUCT($CA76:$DV76,INDEX('MC MAP'!$DA$5:$EV$30,18,0))</f>
        <v>0</v>
      </c>
      <c r="T76" s="2">
        <f>SUMPRODUCT($CA76:$DV76,INDEX('MC MAP'!$DA$5:$EV$30,19,0))</f>
        <v>0</v>
      </c>
      <c r="U76" s="2">
        <f>SUMPRODUCT($CA76:$DV76,INDEX('MC MAP'!$DA$5:$EV$30,20,0))</f>
        <v>19</v>
      </c>
      <c r="V76" s="2">
        <f>SUMPRODUCT($CA76:$DV76,INDEX('MC MAP'!$DA$5:$EV$30,21,0))</f>
        <v>2</v>
      </c>
      <c r="W76" s="2">
        <f>SUMPRODUCT($CA76:$DV76,INDEX('MC MAP'!$DA$5:$EV$30,22,0))</f>
        <v>2</v>
      </c>
      <c r="X76" s="2">
        <f>SUMPRODUCT($CA76:$DV76,INDEX('MC MAP'!$DA$5:$EV$30,23,0))</f>
        <v>0</v>
      </c>
      <c r="Y76" s="2">
        <f>SUMPRODUCT($CA76:$DV76,INDEX('MC MAP'!$DA$5:$EV$30,24,0))</f>
        <v>6.5</v>
      </c>
      <c r="Z76" s="2">
        <f>SUMPRODUCT($CA76:$DV76,INDEX('MC MAP'!$DA$5:$EV$30,25,0))</f>
        <v>0</v>
      </c>
      <c r="AA76" s="2">
        <f>SUMPRODUCT($CA76:$DV76,INDEX('MC MAP'!$DA$5:$EV$30,26,0))</f>
        <v>16</v>
      </c>
      <c r="AB76" s="2">
        <f>SUM($B76:$AA76)</f>
        <v>407</v>
      </c>
      <c r="AC76" s="2">
        <f>SUM($CA76:$DV76)+$AW76</f>
        <v>13</v>
      </c>
      <c r="AW76" s="2">
        <f>IF($A76=0,0,COUNTIF(INDEX('LINE PLAN'!$B$36:$GS$61,0,ROW()-3),"THERMAL - NOT SPECIFIED"))</f>
        <v>0</v>
      </c>
      <c r="AX76" s="506" cm="1">
        <f t="array" ref="AX76">IF(OR($AB76=0,UPPER($BS76)&lt;&gt;"Y"),0,SUMPRODUCT(--($B76:$AA76&gt;$B$205:$AA$205)))</f>
        <v>2</v>
      </c>
      <c r="AY76" s="507">
        <f>$A76</f>
        <v>46307</v>
      </c>
      <c r="AZ76" s="2">
        <f>$AB76</f>
        <v>407</v>
      </c>
      <c r="BA76" s="2">
        <f>'MC MASTER'!$C$29</f>
        <v>920</v>
      </c>
      <c r="BQ76" s="509">
        <f>$A76</f>
        <v>46307</v>
      </c>
      <c r="BR76" s="15" t="str">
        <f>TEXT($A76,"ddd")</f>
        <v>Mon</v>
      </c>
      <c r="BS76" s="547" t="s">
        <v>391</v>
      </c>
      <c r="BT76" s="15">
        <f>IF(UPPER($BS76)="Y",$AB76,0)</f>
        <v>407</v>
      </c>
      <c r="CA76" s="2">
        <f>COUNTIF(INDEX('LINE PLAN'!$B$36:$GS$61,0,ROW()-3),CA$3)</f>
        <v>1</v>
      </c>
      <c r="CB76" s="2">
        <f>COUNTIF(INDEX('LINE PLAN'!$B$36:$GS$61,0,ROW()-3),CB$3)</f>
        <v>1</v>
      </c>
      <c r="CC76" s="2">
        <f>COUNTIF(INDEX('LINE PLAN'!$B$36:$GS$61,0,ROW()-3),CC$3)</f>
        <v>0</v>
      </c>
      <c r="CD76" s="2">
        <f>COUNTIF(INDEX('LINE PLAN'!$B$36:$GS$61,0,ROW()-3),CD$3)</f>
        <v>0</v>
      </c>
      <c r="CE76" s="2">
        <f>COUNTIF(INDEX('LINE PLAN'!$B$36:$GS$61,0,ROW()-3),CE$3)</f>
        <v>0</v>
      </c>
      <c r="CF76" s="2">
        <f>COUNTIF(INDEX('LINE PLAN'!$B$36:$GS$61,0,ROW()-3),CF$3)</f>
        <v>0</v>
      </c>
      <c r="CG76" s="2">
        <f>COUNTIF(INDEX('LINE PLAN'!$B$36:$GS$61,0,ROW()-3),CG$3)</f>
        <v>8</v>
      </c>
      <c r="CH76" s="2">
        <f>COUNTIF(INDEX('LINE PLAN'!$B$36:$GS$61,0,ROW()-3),CH$3)</f>
        <v>3</v>
      </c>
      <c r="CI76" s="2">
        <f>COUNTIF(INDEX('LINE PLAN'!$B$36:$GS$61,0,ROW()-3),CI$3)</f>
        <v>0</v>
      </c>
      <c r="CJ76" s="2">
        <f>COUNTIF(INDEX('LINE PLAN'!$B$36:$GS$61,0,ROW()-3),CJ$3)</f>
        <v>0</v>
      </c>
      <c r="CK76" s="2">
        <f>COUNTIF(INDEX('LINE PLAN'!$B$36:$GS$61,0,ROW()-3),CK$3)</f>
        <v>0</v>
      </c>
      <c r="CL76" s="2">
        <f>COUNTIF(INDEX('LINE PLAN'!$B$36:$GS$61,0,ROW()-3),CL$3)</f>
        <v>0</v>
      </c>
      <c r="CM76" s="2">
        <f>COUNTIF(INDEX('LINE PLAN'!$B$36:$GS$61,0,ROW()-3),CM$3)</f>
        <v>0</v>
      </c>
      <c r="CN76" s="2">
        <f>COUNTIF(INDEX('LINE PLAN'!$B$36:$GS$61,0,ROW()-3),CN$3)</f>
        <v>0</v>
      </c>
      <c r="CO76" s="2">
        <f>COUNTIF(INDEX('LINE PLAN'!$B$36:$GS$61,0,ROW()-3),CO$3)</f>
        <v>0</v>
      </c>
      <c r="CP76" s="2">
        <f>COUNTIF(INDEX('LINE PLAN'!$B$36:$GS$61,0,ROW()-3),CP$3)</f>
        <v>0</v>
      </c>
      <c r="CQ76" s="2">
        <f>COUNTIF(INDEX('LINE PLAN'!$B$36:$GS$61,0,ROW()-3),CQ$3)</f>
        <v>0</v>
      </c>
      <c r="CR76" s="2">
        <f>COUNTIF(INDEX('LINE PLAN'!$B$36:$GS$61,0,ROW()-3),CR$3)</f>
        <v>0</v>
      </c>
      <c r="CS76" s="2">
        <f>COUNTIF(INDEX('LINE PLAN'!$B$36:$GS$61,0,ROW()-3),CS$3)</f>
        <v>0</v>
      </c>
      <c r="CT76" s="2">
        <f>COUNTIF(INDEX('LINE PLAN'!$B$36:$GS$61,0,ROW()-3),CT$3)</f>
        <v>0</v>
      </c>
      <c r="CU76" s="2">
        <f>COUNTIF(INDEX('LINE PLAN'!$B$36:$GS$61,0,ROW()-3),CU$3)</f>
        <v>0</v>
      </c>
      <c r="CV76" s="2">
        <f>COUNTIF(INDEX('LINE PLAN'!$B$36:$GS$61,0,ROW()-3),CV$3)</f>
        <v>0</v>
      </c>
      <c r="CW76" s="2">
        <f>COUNTIF(INDEX('LINE PLAN'!$B$36:$GS$61,0,ROW()-3),CW$3)</f>
        <v>0</v>
      </c>
      <c r="CX76" s="2">
        <f>COUNTIF(INDEX('LINE PLAN'!$B$36:$GS$61,0,ROW()-3),CX$3)</f>
        <v>0</v>
      </c>
      <c r="CY76" s="2">
        <f>COUNTIF(INDEX('LINE PLAN'!$B$36:$GS$61,0,ROW()-3),CY$3)</f>
        <v>0</v>
      </c>
      <c r="CZ76" s="2">
        <f>COUNTIF(INDEX('LINE PLAN'!$B$36:$GS$61,0,ROW()-3),CZ$3)</f>
        <v>0</v>
      </c>
      <c r="DA76" s="2">
        <f>COUNTIF(INDEX('LINE PLAN'!$B$36:$GS$61,0,ROW()-3),DA$3)</f>
        <v>0</v>
      </c>
      <c r="DB76" s="2">
        <f>COUNTIF(INDEX('LINE PLAN'!$B$36:$GS$61,0,ROW()-3),DB$3)</f>
        <v>0</v>
      </c>
      <c r="DC76" s="2">
        <f>COUNTIF(INDEX('LINE PLAN'!$B$36:$GS$61,0,ROW()-3),DC$3)</f>
        <v>0</v>
      </c>
      <c r="DD76" s="2">
        <f>COUNTIF(INDEX('LINE PLAN'!$B$36:$GS$61,0,ROW()-3),DD$3)</f>
        <v>0</v>
      </c>
      <c r="DE76" s="2">
        <f>COUNTIF(INDEX('LINE PLAN'!$B$36:$GS$61,0,ROW()-3),DE$3)</f>
        <v>0</v>
      </c>
      <c r="DF76" s="2">
        <f>COUNTIF(INDEX('LINE PLAN'!$B$36:$GS$61,0,ROW()-3),DF$3)</f>
        <v>0</v>
      </c>
      <c r="DG76" s="2">
        <f>COUNTIF(INDEX('LINE PLAN'!$B$36:$GS$61,0,ROW()-3),DG$3)</f>
        <v>0</v>
      </c>
      <c r="DH76" s="2">
        <f>COUNTIF(INDEX('LINE PLAN'!$B$36:$GS$61,0,ROW()-3),DH$3)</f>
        <v>0</v>
      </c>
      <c r="DI76" s="2">
        <f>COUNTIF(INDEX('LINE PLAN'!$B$36:$GS$61,0,ROW()-3),DI$3)</f>
        <v>0</v>
      </c>
      <c r="DJ76" s="2">
        <f>COUNTIF(INDEX('LINE PLAN'!$B$36:$GS$61,0,ROW()-3),DJ$3)</f>
        <v>0</v>
      </c>
      <c r="DK76" s="2">
        <f>COUNTIF(INDEX('LINE PLAN'!$B$36:$GS$61,0,ROW()-3),DK$3)</f>
        <v>0</v>
      </c>
      <c r="DL76" s="2">
        <f>COUNTIF(INDEX('LINE PLAN'!$B$36:$GS$61,0,ROW()-3),DL$3)</f>
        <v>0</v>
      </c>
      <c r="DM76" s="2">
        <f>COUNTIF(INDEX('LINE PLAN'!$B$36:$GS$61,0,ROW()-3),DM$3)</f>
        <v>0</v>
      </c>
      <c r="DN76" s="2">
        <f>COUNTIF(INDEX('LINE PLAN'!$B$36:$GS$61,0,ROW()-3),DN$3)</f>
        <v>0</v>
      </c>
      <c r="DO76" s="2">
        <f>COUNTIF(INDEX('LINE PLAN'!$B$36:$GS$61,0,ROW()-3),DO$3)</f>
        <v>0</v>
      </c>
      <c r="DP76" s="2">
        <f>COUNTIF(INDEX('LINE PLAN'!$B$36:$GS$61,0,ROW()-3),DP$3)</f>
        <v>0</v>
      </c>
      <c r="DQ76" s="2">
        <f>COUNTIF(INDEX('LINE PLAN'!$B$36:$GS$61,0,ROW()-3),DQ$3)</f>
        <v>0</v>
      </c>
      <c r="DR76" s="2">
        <f>COUNTIF(INDEX('LINE PLAN'!$B$36:$GS$61,0,ROW()-3),DR$3)</f>
        <v>0</v>
      </c>
      <c r="DS76" s="2">
        <f>COUNTIF(INDEX('LINE PLAN'!$B$36:$GS$61,0,ROW()-3),DS$3)</f>
        <v>0</v>
      </c>
      <c r="DT76" s="2">
        <f>COUNTIF(INDEX('LINE PLAN'!$B$36:$GS$61,0,ROW()-3),DT$3)</f>
        <v>0</v>
      </c>
      <c r="DU76" s="2">
        <f>COUNTIF(INDEX('LINE PLAN'!$B$36:$GS$61,0,ROW()-3),DU$3)</f>
        <v>0</v>
      </c>
      <c r="DV76" s="2">
        <f>COUNTIF(INDEX('LINE PLAN'!$B$36:$GS$61,0,ROW()-3),DV$3)</f>
        <v>0</v>
      </c>
    </row>
    <row r="77" spans="1:126">
      <c r="A77" s="505" cm="1">
        <f t="array" ref="A77">INDEX('LINE PLAN'!$B$35:$GS$35,ROW()-3)</f>
        <v>46308</v>
      </c>
      <c r="B77" s="2">
        <f>SUMPRODUCT($CA77:$DV77,INDEX('MC MAP'!$DA$5:$EV$30,1,0))</f>
        <v>94</v>
      </c>
      <c r="C77" s="2">
        <f>SUMPRODUCT($CA77:$DV77,INDEX('MC MAP'!$DA$5:$EV$30,2,0))</f>
        <v>1</v>
      </c>
      <c r="D77" s="2">
        <f>SUMPRODUCT($CA77:$DV77,INDEX('MC MAP'!$DA$5:$EV$30,3,0))</f>
        <v>0</v>
      </c>
      <c r="E77" s="2">
        <f>SUMPRODUCT($CA77:$DV77,INDEX('MC MAP'!$DA$5:$EV$30,4,0))</f>
        <v>2</v>
      </c>
      <c r="F77" s="2">
        <f>SUMPRODUCT($CA77:$DV77,INDEX('MC MAP'!$DA$5:$EV$30,5,0))</f>
        <v>111</v>
      </c>
      <c r="G77" s="2">
        <f>SUMPRODUCT($CA77:$DV77,INDEX('MC MAP'!$DA$5:$EV$30,6,0))</f>
        <v>12</v>
      </c>
      <c r="H77" s="2">
        <f>SUMPRODUCT($CA77:$DV77,INDEX('MC MAP'!$DA$5:$EV$30,7,0))</f>
        <v>0</v>
      </c>
      <c r="I77" s="2">
        <f>SUMPRODUCT($CA77:$DV77,INDEX('MC MAP'!$DA$5:$EV$30,8,0))</f>
        <v>33</v>
      </c>
      <c r="J77" s="2">
        <f>SUMPRODUCT($CA77:$DV77,INDEX('MC MAP'!$DA$5:$EV$30,9,0))</f>
        <v>11.5</v>
      </c>
      <c r="K77" s="2">
        <f>SUMPRODUCT($CA77:$DV77,INDEX('MC MAP'!$DA$5:$EV$30,10,0))</f>
        <v>12</v>
      </c>
      <c r="L77" s="2">
        <f>SUMPRODUCT($CA77:$DV77,INDEX('MC MAP'!$DA$5:$EV$30,11,0))</f>
        <v>12</v>
      </c>
      <c r="M77" s="2">
        <f>SUMPRODUCT($CA77:$DV77,INDEX('MC MAP'!$DA$5:$EV$30,12,0))</f>
        <v>25</v>
      </c>
      <c r="N77" s="2">
        <f>SUMPRODUCT($CA77:$DV77,INDEX('MC MAP'!$DA$5:$EV$30,13,0))</f>
        <v>20</v>
      </c>
      <c r="O77" s="2">
        <f>SUMPRODUCT($CA77:$DV77,INDEX('MC MAP'!$DA$5:$EV$30,14,0))</f>
        <v>8</v>
      </c>
      <c r="P77" s="2">
        <f>SUMPRODUCT($CA77:$DV77,INDEX('MC MAP'!$DA$5:$EV$30,15,0))</f>
        <v>17</v>
      </c>
      <c r="Q77" s="2">
        <f>SUMPRODUCT($CA77:$DV77,INDEX('MC MAP'!$DA$5:$EV$30,16,0))</f>
        <v>0</v>
      </c>
      <c r="R77" s="2">
        <f>SUMPRODUCT($CA77:$DV77,INDEX('MC MAP'!$DA$5:$EV$30,17,0))</f>
        <v>3</v>
      </c>
      <c r="S77" s="2">
        <f>SUMPRODUCT($CA77:$DV77,INDEX('MC MAP'!$DA$5:$EV$30,18,0))</f>
        <v>0</v>
      </c>
      <c r="T77" s="2">
        <f>SUMPRODUCT($CA77:$DV77,INDEX('MC MAP'!$DA$5:$EV$30,19,0))</f>
        <v>0</v>
      </c>
      <c r="U77" s="2">
        <f>SUMPRODUCT($CA77:$DV77,INDEX('MC MAP'!$DA$5:$EV$30,20,0))</f>
        <v>19</v>
      </c>
      <c r="V77" s="2">
        <f>SUMPRODUCT($CA77:$DV77,INDEX('MC MAP'!$DA$5:$EV$30,21,0))</f>
        <v>2</v>
      </c>
      <c r="W77" s="2">
        <f>SUMPRODUCT($CA77:$DV77,INDEX('MC MAP'!$DA$5:$EV$30,22,0))</f>
        <v>2</v>
      </c>
      <c r="X77" s="2">
        <f>SUMPRODUCT($CA77:$DV77,INDEX('MC MAP'!$DA$5:$EV$30,23,0))</f>
        <v>0</v>
      </c>
      <c r="Y77" s="2">
        <f>SUMPRODUCT($CA77:$DV77,INDEX('MC MAP'!$DA$5:$EV$30,24,0))</f>
        <v>6.5</v>
      </c>
      <c r="Z77" s="2">
        <f>SUMPRODUCT($CA77:$DV77,INDEX('MC MAP'!$DA$5:$EV$30,25,0))</f>
        <v>0</v>
      </c>
      <c r="AA77" s="2">
        <f>SUMPRODUCT($CA77:$DV77,INDEX('MC MAP'!$DA$5:$EV$30,26,0))</f>
        <v>16</v>
      </c>
      <c r="AB77" s="2">
        <f>SUM($B77:$AA77)</f>
        <v>407</v>
      </c>
      <c r="AC77" s="2">
        <f>SUM($CA77:$DV77)+$AW77</f>
        <v>13</v>
      </c>
      <c r="AW77" s="2">
        <f>IF($A77=0,0,COUNTIF(INDEX('LINE PLAN'!$B$36:$GS$61,0,ROW()-3),"THERMAL - NOT SPECIFIED"))</f>
        <v>0</v>
      </c>
      <c r="AX77" s="506" cm="1">
        <f t="array" ref="AX77">IF(OR($AB77=0,UPPER($BS77)&lt;&gt;"Y"),0,SUMPRODUCT(--($B77:$AA77&gt;$B$205:$AA$205)))</f>
        <v>2</v>
      </c>
      <c r="AY77" s="507">
        <f>$A77</f>
        <v>46308</v>
      </c>
      <c r="AZ77" s="2">
        <f>$AB77</f>
        <v>407</v>
      </c>
      <c r="BA77" s="2">
        <f>'MC MASTER'!$C$29</f>
        <v>920</v>
      </c>
      <c r="BQ77" s="509">
        <f>$A77</f>
        <v>46308</v>
      </c>
      <c r="BR77" s="15" t="str">
        <f>TEXT($A77,"ddd")</f>
        <v>Tue</v>
      </c>
      <c r="BS77" s="547" t="s">
        <v>391</v>
      </c>
      <c r="BT77" s="15">
        <f>IF(UPPER($BS77)="Y",$AB77,0)</f>
        <v>407</v>
      </c>
      <c r="CA77" s="2">
        <f>COUNTIF(INDEX('LINE PLAN'!$B$36:$GS$61,0,ROW()-3),CA$3)</f>
        <v>1</v>
      </c>
      <c r="CB77" s="2">
        <f>COUNTIF(INDEX('LINE PLAN'!$B$36:$GS$61,0,ROW()-3),CB$3)</f>
        <v>1</v>
      </c>
      <c r="CC77" s="2">
        <f>COUNTIF(INDEX('LINE PLAN'!$B$36:$GS$61,0,ROW()-3),CC$3)</f>
        <v>0</v>
      </c>
      <c r="CD77" s="2">
        <f>COUNTIF(INDEX('LINE PLAN'!$B$36:$GS$61,0,ROW()-3),CD$3)</f>
        <v>0</v>
      </c>
      <c r="CE77" s="2">
        <f>COUNTIF(INDEX('LINE PLAN'!$B$36:$GS$61,0,ROW()-3),CE$3)</f>
        <v>0</v>
      </c>
      <c r="CF77" s="2">
        <f>COUNTIF(INDEX('LINE PLAN'!$B$36:$GS$61,0,ROW()-3),CF$3)</f>
        <v>0</v>
      </c>
      <c r="CG77" s="2">
        <f>COUNTIF(INDEX('LINE PLAN'!$B$36:$GS$61,0,ROW()-3),CG$3)</f>
        <v>8</v>
      </c>
      <c r="CH77" s="2">
        <f>COUNTIF(INDEX('LINE PLAN'!$B$36:$GS$61,0,ROW()-3),CH$3)</f>
        <v>3</v>
      </c>
      <c r="CI77" s="2">
        <f>COUNTIF(INDEX('LINE PLAN'!$B$36:$GS$61,0,ROW()-3),CI$3)</f>
        <v>0</v>
      </c>
      <c r="CJ77" s="2">
        <f>COUNTIF(INDEX('LINE PLAN'!$B$36:$GS$61,0,ROW()-3),CJ$3)</f>
        <v>0</v>
      </c>
      <c r="CK77" s="2">
        <f>COUNTIF(INDEX('LINE PLAN'!$B$36:$GS$61,0,ROW()-3),CK$3)</f>
        <v>0</v>
      </c>
      <c r="CL77" s="2">
        <f>COUNTIF(INDEX('LINE PLAN'!$B$36:$GS$61,0,ROW()-3),CL$3)</f>
        <v>0</v>
      </c>
      <c r="CM77" s="2">
        <f>COUNTIF(INDEX('LINE PLAN'!$B$36:$GS$61,0,ROW()-3),CM$3)</f>
        <v>0</v>
      </c>
      <c r="CN77" s="2">
        <f>COUNTIF(INDEX('LINE PLAN'!$B$36:$GS$61,0,ROW()-3),CN$3)</f>
        <v>0</v>
      </c>
      <c r="CO77" s="2">
        <f>COUNTIF(INDEX('LINE PLAN'!$B$36:$GS$61,0,ROW()-3),CO$3)</f>
        <v>0</v>
      </c>
      <c r="CP77" s="2">
        <f>COUNTIF(INDEX('LINE PLAN'!$B$36:$GS$61,0,ROW()-3),CP$3)</f>
        <v>0</v>
      </c>
      <c r="CQ77" s="2">
        <f>COUNTIF(INDEX('LINE PLAN'!$B$36:$GS$61,0,ROW()-3),CQ$3)</f>
        <v>0</v>
      </c>
      <c r="CR77" s="2">
        <f>COUNTIF(INDEX('LINE PLAN'!$B$36:$GS$61,0,ROW()-3),CR$3)</f>
        <v>0</v>
      </c>
      <c r="CS77" s="2">
        <f>COUNTIF(INDEX('LINE PLAN'!$B$36:$GS$61,0,ROW()-3),CS$3)</f>
        <v>0</v>
      </c>
      <c r="CT77" s="2">
        <f>COUNTIF(INDEX('LINE PLAN'!$B$36:$GS$61,0,ROW()-3),CT$3)</f>
        <v>0</v>
      </c>
      <c r="CU77" s="2">
        <f>COUNTIF(INDEX('LINE PLAN'!$B$36:$GS$61,0,ROW()-3),CU$3)</f>
        <v>0</v>
      </c>
      <c r="CV77" s="2">
        <f>COUNTIF(INDEX('LINE PLAN'!$B$36:$GS$61,0,ROW()-3),CV$3)</f>
        <v>0</v>
      </c>
      <c r="CW77" s="2">
        <f>COUNTIF(INDEX('LINE PLAN'!$B$36:$GS$61,0,ROW()-3),CW$3)</f>
        <v>0</v>
      </c>
      <c r="CX77" s="2">
        <f>COUNTIF(INDEX('LINE PLAN'!$B$36:$GS$61,0,ROW()-3),CX$3)</f>
        <v>0</v>
      </c>
      <c r="CY77" s="2">
        <f>COUNTIF(INDEX('LINE PLAN'!$B$36:$GS$61,0,ROW()-3),CY$3)</f>
        <v>0</v>
      </c>
      <c r="CZ77" s="2">
        <f>COUNTIF(INDEX('LINE PLAN'!$B$36:$GS$61,0,ROW()-3),CZ$3)</f>
        <v>0</v>
      </c>
      <c r="DA77" s="2">
        <f>COUNTIF(INDEX('LINE PLAN'!$B$36:$GS$61,0,ROW()-3),DA$3)</f>
        <v>0</v>
      </c>
      <c r="DB77" s="2">
        <f>COUNTIF(INDEX('LINE PLAN'!$B$36:$GS$61,0,ROW()-3),DB$3)</f>
        <v>0</v>
      </c>
      <c r="DC77" s="2">
        <f>COUNTIF(INDEX('LINE PLAN'!$B$36:$GS$61,0,ROW()-3),DC$3)</f>
        <v>0</v>
      </c>
      <c r="DD77" s="2">
        <f>COUNTIF(INDEX('LINE PLAN'!$B$36:$GS$61,0,ROW()-3),DD$3)</f>
        <v>0</v>
      </c>
      <c r="DE77" s="2">
        <f>COUNTIF(INDEX('LINE PLAN'!$B$36:$GS$61,0,ROW()-3),DE$3)</f>
        <v>0</v>
      </c>
      <c r="DF77" s="2">
        <f>COUNTIF(INDEX('LINE PLAN'!$B$36:$GS$61,0,ROW()-3),DF$3)</f>
        <v>0</v>
      </c>
      <c r="DG77" s="2">
        <f>COUNTIF(INDEX('LINE PLAN'!$B$36:$GS$61,0,ROW()-3),DG$3)</f>
        <v>0</v>
      </c>
      <c r="DH77" s="2">
        <f>COUNTIF(INDEX('LINE PLAN'!$B$36:$GS$61,0,ROW()-3),DH$3)</f>
        <v>0</v>
      </c>
      <c r="DI77" s="2">
        <f>COUNTIF(INDEX('LINE PLAN'!$B$36:$GS$61,0,ROW()-3),DI$3)</f>
        <v>0</v>
      </c>
      <c r="DJ77" s="2">
        <f>COUNTIF(INDEX('LINE PLAN'!$B$36:$GS$61,0,ROW()-3),DJ$3)</f>
        <v>0</v>
      </c>
      <c r="DK77" s="2">
        <f>COUNTIF(INDEX('LINE PLAN'!$B$36:$GS$61,0,ROW()-3),DK$3)</f>
        <v>0</v>
      </c>
      <c r="DL77" s="2">
        <f>COUNTIF(INDEX('LINE PLAN'!$B$36:$GS$61,0,ROW()-3),DL$3)</f>
        <v>0</v>
      </c>
      <c r="DM77" s="2">
        <f>COUNTIF(INDEX('LINE PLAN'!$B$36:$GS$61,0,ROW()-3),DM$3)</f>
        <v>0</v>
      </c>
      <c r="DN77" s="2">
        <f>COUNTIF(INDEX('LINE PLAN'!$B$36:$GS$61,0,ROW()-3),DN$3)</f>
        <v>0</v>
      </c>
      <c r="DO77" s="2">
        <f>COUNTIF(INDEX('LINE PLAN'!$B$36:$GS$61,0,ROW()-3),DO$3)</f>
        <v>0</v>
      </c>
      <c r="DP77" s="2">
        <f>COUNTIF(INDEX('LINE PLAN'!$B$36:$GS$61,0,ROW()-3),DP$3)</f>
        <v>0</v>
      </c>
      <c r="DQ77" s="2">
        <f>COUNTIF(INDEX('LINE PLAN'!$B$36:$GS$61,0,ROW()-3),DQ$3)</f>
        <v>0</v>
      </c>
      <c r="DR77" s="2">
        <f>COUNTIF(INDEX('LINE PLAN'!$B$36:$GS$61,0,ROW()-3),DR$3)</f>
        <v>0</v>
      </c>
      <c r="DS77" s="2">
        <f>COUNTIF(INDEX('LINE PLAN'!$B$36:$GS$61,0,ROW()-3),DS$3)</f>
        <v>0</v>
      </c>
      <c r="DT77" s="2">
        <f>COUNTIF(INDEX('LINE PLAN'!$B$36:$GS$61,0,ROW()-3),DT$3)</f>
        <v>0</v>
      </c>
      <c r="DU77" s="2">
        <f>COUNTIF(INDEX('LINE PLAN'!$B$36:$GS$61,0,ROW()-3),DU$3)</f>
        <v>0</v>
      </c>
      <c r="DV77" s="2">
        <f>COUNTIF(INDEX('LINE PLAN'!$B$36:$GS$61,0,ROW()-3),DV$3)</f>
        <v>0</v>
      </c>
    </row>
    <row r="78" spans="1:126">
      <c r="A78" s="505" cm="1">
        <f t="array" ref="A78">INDEX('LINE PLAN'!$B$35:$GS$35,ROW()-3)</f>
        <v>46309</v>
      </c>
      <c r="B78" s="2">
        <f>SUMPRODUCT($CA78:$DV78,INDEX('MC MAP'!$DA$5:$EV$30,1,0))</f>
        <v>94</v>
      </c>
      <c r="C78" s="2">
        <f>SUMPRODUCT($CA78:$DV78,INDEX('MC MAP'!$DA$5:$EV$30,2,0))</f>
        <v>1</v>
      </c>
      <c r="D78" s="2">
        <f>SUMPRODUCT($CA78:$DV78,INDEX('MC MAP'!$DA$5:$EV$30,3,0))</f>
        <v>0</v>
      </c>
      <c r="E78" s="2">
        <f>SUMPRODUCT($CA78:$DV78,INDEX('MC MAP'!$DA$5:$EV$30,4,0))</f>
        <v>2</v>
      </c>
      <c r="F78" s="2">
        <f>SUMPRODUCT($CA78:$DV78,INDEX('MC MAP'!$DA$5:$EV$30,5,0))</f>
        <v>111</v>
      </c>
      <c r="G78" s="2">
        <f>SUMPRODUCT($CA78:$DV78,INDEX('MC MAP'!$DA$5:$EV$30,6,0))</f>
        <v>12</v>
      </c>
      <c r="H78" s="2">
        <f>SUMPRODUCT($CA78:$DV78,INDEX('MC MAP'!$DA$5:$EV$30,7,0))</f>
        <v>0</v>
      </c>
      <c r="I78" s="2">
        <f>SUMPRODUCT($CA78:$DV78,INDEX('MC MAP'!$DA$5:$EV$30,8,0))</f>
        <v>33</v>
      </c>
      <c r="J78" s="2">
        <f>SUMPRODUCT($CA78:$DV78,INDEX('MC MAP'!$DA$5:$EV$30,9,0))</f>
        <v>11.5</v>
      </c>
      <c r="K78" s="2">
        <f>SUMPRODUCT($CA78:$DV78,INDEX('MC MAP'!$DA$5:$EV$30,10,0))</f>
        <v>12</v>
      </c>
      <c r="L78" s="2">
        <f>SUMPRODUCT($CA78:$DV78,INDEX('MC MAP'!$DA$5:$EV$30,11,0))</f>
        <v>12</v>
      </c>
      <c r="M78" s="2">
        <f>SUMPRODUCT($CA78:$DV78,INDEX('MC MAP'!$DA$5:$EV$30,12,0))</f>
        <v>25</v>
      </c>
      <c r="N78" s="2">
        <f>SUMPRODUCT($CA78:$DV78,INDEX('MC MAP'!$DA$5:$EV$30,13,0))</f>
        <v>20</v>
      </c>
      <c r="O78" s="2">
        <f>SUMPRODUCT($CA78:$DV78,INDEX('MC MAP'!$DA$5:$EV$30,14,0))</f>
        <v>8</v>
      </c>
      <c r="P78" s="2">
        <f>SUMPRODUCT($CA78:$DV78,INDEX('MC MAP'!$DA$5:$EV$30,15,0))</f>
        <v>17</v>
      </c>
      <c r="Q78" s="2">
        <f>SUMPRODUCT($CA78:$DV78,INDEX('MC MAP'!$DA$5:$EV$30,16,0))</f>
        <v>0</v>
      </c>
      <c r="R78" s="2">
        <f>SUMPRODUCT($CA78:$DV78,INDEX('MC MAP'!$DA$5:$EV$30,17,0))</f>
        <v>3</v>
      </c>
      <c r="S78" s="2">
        <f>SUMPRODUCT($CA78:$DV78,INDEX('MC MAP'!$DA$5:$EV$30,18,0))</f>
        <v>0</v>
      </c>
      <c r="T78" s="2">
        <f>SUMPRODUCT($CA78:$DV78,INDEX('MC MAP'!$DA$5:$EV$30,19,0))</f>
        <v>0</v>
      </c>
      <c r="U78" s="2">
        <f>SUMPRODUCT($CA78:$DV78,INDEX('MC MAP'!$DA$5:$EV$30,20,0))</f>
        <v>19</v>
      </c>
      <c r="V78" s="2">
        <f>SUMPRODUCT($CA78:$DV78,INDEX('MC MAP'!$DA$5:$EV$30,21,0))</f>
        <v>2</v>
      </c>
      <c r="W78" s="2">
        <f>SUMPRODUCT($CA78:$DV78,INDEX('MC MAP'!$DA$5:$EV$30,22,0))</f>
        <v>2</v>
      </c>
      <c r="X78" s="2">
        <f>SUMPRODUCT($CA78:$DV78,INDEX('MC MAP'!$DA$5:$EV$30,23,0))</f>
        <v>0</v>
      </c>
      <c r="Y78" s="2">
        <f>SUMPRODUCT($CA78:$DV78,INDEX('MC MAP'!$DA$5:$EV$30,24,0))</f>
        <v>6.5</v>
      </c>
      <c r="Z78" s="2">
        <f>SUMPRODUCT($CA78:$DV78,INDEX('MC MAP'!$DA$5:$EV$30,25,0))</f>
        <v>0</v>
      </c>
      <c r="AA78" s="2">
        <f>SUMPRODUCT($CA78:$DV78,INDEX('MC MAP'!$DA$5:$EV$30,26,0))</f>
        <v>16</v>
      </c>
      <c r="AB78" s="2">
        <f>SUM($B78:$AA78)</f>
        <v>407</v>
      </c>
      <c r="AC78" s="2">
        <f>SUM($CA78:$DV78)+$AW78</f>
        <v>13</v>
      </c>
      <c r="AW78" s="2">
        <f>IF($A78=0,0,COUNTIF(INDEX('LINE PLAN'!$B$36:$GS$61,0,ROW()-3),"THERMAL - NOT SPECIFIED"))</f>
        <v>0</v>
      </c>
      <c r="AX78" s="506" cm="1">
        <f t="array" ref="AX78">IF(OR($AB78=0,UPPER($BS78)&lt;&gt;"Y"),0,SUMPRODUCT(--($B78:$AA78&gt;$B$205:$AA$205)))</f>
        <v>2</v>
      </c>
      <c r="AY78" s="507">
        <f>$A78</f>
        <v>46309</v>
      </c>
      <c r="AZ78" s="2">
        <f>$AB78</f>
        <v>407</v>
      </c>
      <c r="BA78" s="2">
        <f>'MC MASTER'!$C$29</f>
        <v>920</v>
      </c>
      <c r="BQ78" s="509">
        <f>$A78</f>
        <v>46309</v>
      </c>
      <c r="BR78" s="15" t="str">
        <f>TEXT($A78,"ddd")</f>
        <v>Wed</v>
      </c>
      <c r="BS78" s="547" t="s">
        <v>391</v>
      </c>
      <c r="BT78" s="15">
        <f>IF(UPPER($BS78)="Y",$AB78,0)</f>
        <v>407</v>
      </c>
      <c r="CA78" s="2">
        <f>COUNTIF(INDEX('LINE PLAN'!$B$36:$GS$61,0,ROW()-3),CA$3)</f>
        <v>1</v>
      </c>
      <c r="CB78" s="2">
        <f>COUNTIF(INDEX('LINE PLAN'!$B$36:$GS$61,0,ROW()-3),CB$3)</f>
        <v>1</v>
      </c>
      <c r="CC78" s="2">
        <f>COUNTIF(INDEX('LINE PLAN'!$B$36:$GS$61,0,ROW()-3),CC$3)</f>
        <v>0</v>
      </c>
      <c r="CD78" s="2">
        <f>COUNTIF(INDEX('LINE PLAN'!$B$36:$GS$61,0,ROW()-3),CD$3)</f>
        <v>0</v>
      </c>
      <c r="CE78" s="2">
        <f>COUNTIF(INDEX('LINE PLAN'!$B$36:$GS$61,0,ROW()-3),CE$3)</f>
        <v>0</v>
      </c>
      <c r="CF78" s="2">
        <f>COUNTIF(INDEX('LINE PLAN'!$B$36:$GS$61,0,ROW()-3),CF$3)</f>
        <v>0</v>
      </c>
      <c r="CG78" s="2">
        <f>COUNTIF(INDEX('LINE PLAN'!$B$36:$GS$61,0,ROW()-3),CG$3)</f>
        <v>8</v>
      </c>
      <c r="CH78" s="2">
        <f>COUNTIF(INDEX('LINE PLAN'!$B$36:$GS$61,0,ROW()-3),CH$3)</f>
        <v>3</v>
      </c>
      <c r="CI78" s="2">
        <f>COUNTIF(INDEX('LINE PLAN'!$B$36:$GS$61,0,ROW()-3),CI$3)</f>
        <v>0</v>
      </c>
      <c r="CJ78" s="2">
        <f>COUNTIF(INDEX('LINE PLAN'!$B$36:$GS$61,0,ROW()-3),CJ$3)</f>
        <v>0</v>
      </c>
      <c r="CK78" s="2">
        <f>COUNTIF(INDEX('LINE PLAN'!$B$36:$GS$61,0,ROW()-3),CK$3)</f>
        <v>0</v>
      </c>
      <c r="CL78" s="2">
        <f>COUNTIF(INDEX('LINE PLAN'!$B$36:$GS$61,0,ROW()-3),CL$3)</f>
        <v>0</v>
      </c>
      <c r="CM78" s="2">
        <f>COUNTIF(INDEX('LINE PLAN'!$B$36:$GS$61,0,ROW()-3),CM$3)</f>
        <v>0</v>
      </c>
      <c r="CN78" s="2">
        <f>COUNTIF(INDEX('LINE PLAN'!$B$36:$GS$61,0,ROW()-3),CN$3)</f>
        <v>0</v>
      </c>
      <c r="CO78" s="2">
        <f>COUNTIF(INDEX('LINE PLAN'!$B$36:$GS$61,0,ROW()-3),CO$3)</f>
        <v>0</v>
      </c>
      <c r="CP78" s="2">
        <f>COUNTIF(INDEX('LINE PLAN'!$B$36:$GS$61,0,ROW()-3),CP$3)</f>
        <v>0</v>
      </c>
      <c r="CQ78" s="2">
        <f>COUNTIF(INDEX('LINE PLAN'!$B$36:$GS$61,0,ROW()-3),CQ$3)</f>
        <v>0</v>
      </c>
      <c r="CR78" s="2">
        <f>COUNTIF(INDEX('LINE PLAN'!$B$36:$GS$61,0,ROW()-3),CR$3)</f>
        <v>0</v>
      </c>
      <c r="CS78" s="2">
        <f>COUNTIF(INDEX('LINE PLAN'!$B$36:$GS$61,0,ROW()-3),CS$3)</f>
        <v>0</v>
      </c>
      <c r="CT78" s="2">
        <f>COUNTIF(INDEX('LINE PLAN'!$B$36:$GS$61,0,ROW()-3),CT$3)</f>
        <v>0</v>
      </c>
      <c r="CU78" s="2">
        <f>COUNTIF(INDEX('LINE PLAN'!$B$36:$GS$61,0,ROW()-3),CU$3)</f>
        <v>0</v>
      </c>
      <c r="CV78" s="2">
        <f>COUNTIF(INDEX('LINE PLAN'!$B$36:$GS$61,0,ROW()-3),CV$3)</f>
        <v>0</v>
      </c>
      <c r="CW78" s="2">
        <f>COUNTIF(INDEX('LINE PLAN'!$B$36:$GS$61,0,ROW()-3),CW$3)</f>
        <v>0</v>
      </c>
      <c r="CX78" s="2">
        <f>COUNTIF(INDEX('LINE PLAN'!$B$36:$GS$61,0,ROW()-3),CX$3)</f>
        <v>0</v>
      </c>
      <c r="CY78" s="2">
        <f>COUNTIF(INDEX('LINE PLAN'!$B$36:$GS$61,0,ROW()-3),CY$3)</f>
        <v>0</v>
      </c>
      <c r="CZ78" s="2">
        <f>COUNTIF(INDEX('LINE PLAN'!$B$36:$GS$61,0,ROW()-3),CZ$3)</f>
        <v>0</v>
      </c>
      <c r="DA78" s="2">
        <f>COUNTIF(INDEX('LINE PLAN'!$B$36:$GS$61,0,ROW()-3),DA$3)</f>
        <v>0</v>
      </c>
      <c r="DB78" s="2">
        <f>COUNTIF(INDEX('LINE PLAN'!$B$36:$GS$61,0,ROW()-3),DB$3)</f>
        <v>0</v>
      </c>
      <c r="DC78" s="2">
        <f>COUNTIF(INDEX('LINE PLAN'!$B$36:$GS$61,0,ROW()-3),DC$3)</f>
        <v>0</v>
      </c>
      <c r="DD78" s="2">
        <f>COUNTIF(INDEX('LINE PLAN'!$B$36:$GS$61,0,ROW()-3),DD$3)</f>
        <v>0</v>
      </c>
      <c r="DE78" s="2">
        <f>COUNTIF(INDEX('LINE PLAN'!$B$36:$GS$61,0,ROW()-3),DE$3)</f>
        <v>0</v>
      </c>
      <c r="DF78" s="2">
        <f>COUNTIF(INDEX('LINE PLAN'!$B$36:$GS$61,0,ROW()-3),DF$3)</f>
        <v>0</v>
      </c>
      <c r="DG78" s="2">
        <f>COUNTIF(INDEX('LINE PLAN'!$B$36:$GS$61,0,ROW()-3),DG$3)</f>
        <v>0</v>
      </c>
      <c r="DH78" s="2">
        <f>COUNTIF(INDEX('LINE PLAN'!$B$36:$GS$61,0,ROW()-3),DH$3)</f>
        <v>0</v>
      </c>
      <c r="DI78" s="2">
        <f>COUNTIF(INDEX('LINE PLAN'!$B$36:$GS$61,0,ROW()-3),DI$3)</f>
        <v>0</v>
      </c>
      <c r="DJ78" s="2">
        <f>COUNTIF(INDEX('LINE PLAN'!$B$36:$GS$61,0,ROW()-3),DJ$3)</f>
        <v>0</v>
      </c>
      <c r="DK78" s="2">
        <f>COUNTIF(INDEX('LINE PLAN'!$B$36:$GS$61,0,ROW()-3),DK$3)</f>
        <v>0</v>
      </c>
      <c r="DL78" s="2">
        <f>COUNTIF(INDEX('LINE PLAN'!$B$36:$GS$61,0,ROW()-3),DL$3)</f>
        <v>0</v>
      </c>
      <c r="DM78" s="2">
        <f>COUNTIF(INDEX('LINE PLAN'!$B$36:$GS$61,0,ROW()-3),DM$3)</f>
        <v>0</v>
      </c>
      <c r="DN78" s="2">
        <f>COUNTIF(INDEX('LINE PLAN'!$B$36:$GS$61,0,ROW()-3),DN$3)</f>
        <v>0</v>
      </c>
      <c r="DO78" s="2">
        <f>COUNTIF(INDEX('LINE PLAN'!$B$36:$GS$61,0,ROW()-3),DO$3)</f>
        <v>0</v>
      </c>
      <c r="DP78" s="2">
        <f>COUNTIF(INDEX('LINE PLAN'!$B$36:$GS$61,0,ROW()-3),DP$3)</f>
        <v>0</v>
      </c>
      <c r="DQ78" s="2">
        <f>COUNTIF(INDEX('LINE PLAN'!$B$36:$GS$61,0,ROW()-3),DQ$3)</f>
        <v>0</v>
      </c>
      <c r="DR78" s="2">
        <f>COUNTIF(INDEX('LINE PLAN'!$B$36:$GS$61,0,ROW()-3),DR$3)</f>
        <v>0</v>
      </c>
      <c r="DS78" s="2">
        <f>COUNTIF(INDEX('LINE PLAN'!$B$36:$GS$61,0,ROW()-3),DS$3)</f>
        <v>0</v>
      </c>
      <c r="DT78" s="2">
        <f>COUNTIF(INDEX('LINE PLAN'!$B$36:$GS$61,0,ROW()-3),DT$3)</f>
        <v>0</v>
      </c>
      <c r="DU78" s="2">
        <f>COUNTIF(INDEX('LINE PLAN'!$B$36:$GS$61,0,ROW()-3),DU$3)</f>
        <v>0</v>
      </c>
      <c r="DV78" s="2">
        <f>COUNTIF(INDEX('LINE PLAN'!$B$36:$GS$61,0,ROW()-3),DV$3)</f>
        <v>0</v>
      </c>
    </row>
    <row r="79" spans="1:126">
      <c r="A79" s="505" cm="1">
        <f t="array" ref="A79">INDEX('LINE PLAN'!$B$35:$GS$35,ROW()-3)</f>
        <v>46310</v>
      </c>
      <c r="B79" s="2">
        <f>SUMPRODUCT($CA79:$DV79,INDEX('MC MAP'!$DA$5:$EV$30,1,0))</f>
        <v>94</v>
      </c>
      <c r="C79" s="2">
        <f>SUMPRODUCT($CA79:$DV79,INDEX('MC MAP'!$DA$5:$EV$30,2,0))</f>
        <v>1</v>
      </c>
      <c r="D79" s="2">
        <f>SUMPRODUCT($CA79:$DV79,INDEX('MC MAP'!$DA$5:$EV$30,3,0))</f>
        <v>0</v>
      </c>
      <c r="E79" s="2">
        <f>SUMPRODUCT($CA79:$DV79,INDEX('MC MAP'!$DA$5:$EV$30,4,0))</f>
        <v>2</v>
      </c>
      <c r="F79" s="2">
        <f>SUMPRODUCT($CA79:$DV79,INDEX('MC MAP'!$DA$5:$EV$30,5,0))</f>
        <v>111</v>
      </c>
      <c r="G79" s="2">
        <f>SUMPRODUCT($CA79:$DV79,INDEX('MC MAP'!$DA$5:$EV$30,6,0))</f>
        <v>12</v>
      </c>
      <c r="H79" s="2">
        <f>SUMPRODUCT($CA79:$DV79,INDEX('MC MAP'!$DA$5:$EV$30,7,0))</f>
        <v>0</v>
      </c>
      <c r="I79" s="2">
        <f>SUMPRODUCT($CA79:$DV79,INDEX('MC MAP'!$DA$5:$EV$30,8,0))</f>
        <v>33</v>
      </c>
      <c r="J79" s="2">
        <f>SUMPRODUCT($CA79:$DV79,INDEX('MC MAP'!$DA$5:$EV$30,9,0))</f>
        <v>11.5</v>
      </c>
      <c r="K79" s="2">
        <f>SUMPRODUCT($CA79:$DV79,INDEX('MC MAP'!$DA$5:$EV$30,10,0))</f>
        <v>12</v>
      </c>
      <c r="L79" s="2">
        <f>SUMPRODUCT($CA79:$DV79,INDEX('MC MAP'!$DA$5:$EV$30,11,0))</f>
        <v>12</v>
      </c>
      <c r="M79" s="2">
        <f>SUMPRODUCT($CA79:$DV79,INDEX('MC MAP'!$DA$5:$EV$30,12,0))</f>
        <v>25</v>
      </c>
      <c r="N79" s="2">
        <f>SUMPRODUCT($CA79:$DV79,INDEX('MC MAP'!$DA$5:$EV$30,13,0))</f>
        <v>20</v>
      </c>
      <c r="O79" s="2">
        <f>SUMPRODUCT($CA79:$DV79,INDEX('MC MAP'!$DA$5:$EV$30,14,0))</f>
        <v>8</v>
      </c>
      <c r="P79" s="2">
        <f>SUMPRODUCT($CA79:$DV79,INDEX('MC MAP'!$DA$5:$EV$30,15,0))</f>
        <v>17</v>
      </c>
      <c r="Q79" s="2">
        <f>SUMPRODUCT($CA79:$DV79,INDEX('MC MAP'!$DA$5:$EV$30,16,0))</f>
        <v>0</v>
      </c>
      <c r="R79" s="2">
        <f>SUMPRODUCT($CA79:$DV79,INDEX('MC MAP'!$DA$5:$EV$30,17,0))</f>
        <v>3</v>
      </c>
      <c r="S79" s="2">
        <f>SUMPRODUCT($CA79:$DV79,INDEX('MC MAP'!$DA$5:$EV$30,18,0))</f>
        <v>0</v>
      </c>
      <c r="T79" s="2">
        <f>SUMPRODUCT($CA79:$DV79,INDEX('MC MAP'!$DA$5:$EV$30,19,0))</f>
        <v>0</v>
      </c>
      <c r="U79" s="2">
        <f>SUMPRODUCT($CA79:$DV79,INDEX('MC MAP'!$DA$5:$EV$30,20,0))</f>
        <v>19</v>
      </c>
      <c r="V79" s="2">
        <f>SUMPRODUCT($CA79:$DV79,INDEX('MC MAP'!$DA$5:$EV$30,21,0))</f>
        <v>2</v>
      </c>
      <c r="W79" s="2">
        <f>SUMPRODUCT($CA79:$DV79,INDEX('MC MAP'!$DA$5:$EV$30,22,0))</f>
        <v>2</v>
      </c>
      <c r="X79" s="2">
        <f>SUMPRODUCT($CA79:$DV79,INDEX('MC MAP'!$DA$5:$EV$30,23,0))</f>
        <v>0</v>
      </c>
      <c r="Y79" s="2">
        <f>SUMPRODUCT($CA79:$DV79,INDEX('MC MAP'!$DA$5:$EV$30,24,0))</f>
        <v>6.5</v>
      </c>
      <c r="Z79" s="2">
        <f>SUMPRODUCT($CA79:$DV79,INDEX('MC MAP'!$DA$5:$EV$30,25,0))</f>
        <v>0</v>
      </c>
      <c r="AA79" s="2">
        <f>SUMPRODUCT($CA79:$DV79,INDEX('MC MAP'!$DA$5:$EV$30,26,0))</f>
        <v>16</v>
      </c>
      <c r="AB79" s="2">
        <f>SUM($B79:$AA79)</f>
        <v>407</v>
      </c>
      <c r="AC79" s="2">
        <f>SUM($CA79:$DV79)+$AW79</f>
        <v>13</v>
      </c>
      <c r="AW79" s="2">
        <f>IF($A79=0,0,COUNTIF(INDEX('LINE PLAN'!$B$36:$GS$61,0,ROW()-3),"THERMAL - NOT SPECIFIED"))</f>
        <v>0</v>
      </c>
      <c r="AX79" s="506" cm="1">
        <f t="array" ref="AX79">IF(OR($AB79=0,UPPER($BS79)&lt;&gt;"Y"),0,SUMPRODUCT(--($B79:$AA79&gt;$B$205:$AA$205)))</f>
        <v>2</v>
      </c>
      <c r="AY79" s="507">
        <f>$A79</f>
        <v>46310</v>
      </c>
      <c r="AZ79" s="2">
        <f>$AB79</f>
        <v>407</v>
      </c>
      <c r="BA79" s="2">
        <f>'MC MASTER'!$C$29</f>
        <v>920</v>
      </c>
      <c r="BQ79" s="509">
        <f>$A79</f>
        <v>46310</v>
      </c>
      <c r="BR79" s="15" t="str">
        <f>TEXT($A79,"ddd")</f>
        <v>Thu</v>
      </c>
      <c r="BS79" s="547" t="s">
        <v>391</v>
      </c>
      <c r="BT79" s="15">
        <f>IF(UPPER($BS79)="Y",$AB79,0)</f>
        <v>407</v>
      </c>
      <c r="CA79" s="2">
        <f>COUNTIF(INDEX('LINE PLAN'!$B$36:$GS$61,0,ROW()-3),CA$3)</f>
        <v>1</v>
      </c>
      <c r="CB79" s="2">
        <f>COUNTIF(INDEX('LINE PLAN'!$B$36:$GS$61,0,ROW()-3),CB$3)</f>
        <v>1</v>
      </c>
      <c r="CC79" s="2">
        <f>COUNTIF(INDEX('LINE PLAN'!$B$36:$GS$61,0,ROW()-3),CC$3)</f>
        <v>0</v>
      </c>
      <c r="CD79" s="2">
        <f>COUNTIF(INDEX('LINE PLAN'!$B$36:$GS$61,0,ROW()-3),CD$3)</f>
        <v>0</v>
      </c>
      <c r="CE79" s="2">
        <f>COUNTIF(INDEX('LINE PLAN'!$B$36:$GS$61,0,ROW()-3),CE$3)</f>
        <v>0</v>
      </c>
      <c r="CF79" s="2">
        <f>COUNTIF(INDEX('LINE PLAN'!$B$36:$GS$61,0,ROW()-3),CF$3)</f>
        <v>0</v>
      </c>
      <c r="CG79" s="2">
        <f>COUNTIF(INDEX('LINE PLAN'!$B$36:$GS$61,0,ROW()-3),CG$3)</f>
        <v>8</v>
      </c>
      <c r="CH79" s="2">
        <f>COUNTIF(INDEX('LINE PLAN'!$B$36:$GS$61,0,ROW()-3),CH$3)</f>
        <v>3</v>
      </c>
      <c r="CI79" s="2">
        <f>COUNTIF(INDEX('LINE PLAN'!$B$36:$GS$61,0,ROW()-3),CI$3)</f>
        <v>0</v>
      </c>
      <c r="CJ79" s="2">
        <f>COUNTIF(INDEX('LINE PLAN'!$B$36:$GS$61,0,ROW()-3),CJ$3)</f>
        <v>0</v>
      </c>
      <c r="CK79" s="2">
        <f>COUNTIF(INDEX('LINE PLAN'!$B$36:$GS$61,0,ROW()-3),CK$3)</f>
        <v>0</v>
      </c>
      <c r="CL79" s="2">
        <f>COUNTIF(INDEX('LINE PLAN'!$B$36:$GS$61,0,ROW()-3),CL$3)</f>
        <v>0</v>
      </c>
      <c r="CM79" s="2">
        <f>COUNTIF(INDEX('LINE PLAN'!$B$36:$GS$61,0,ROW()-3),CM$3)</f>
        <v>0</v>
      </c>
      <c r="CN79" s="2">
        <f>COUNTIF(INDEX('LINE PLAN'!$B$36:$GS$61,0,ROW()-3),CN$3)</f>
        <v>0</v>
      </c>
      <c r="CO79" s="2">
        <f>COUNTIF(INDEX('LINE PLAN'!$B$36:$GS$61,0,ROW()-3),CO$3)</f>
        <v>0</v>
      </c>
      <c r="CP79" s="2">
        <f>COUNTIF(INDEX('LINE PLAN'!$B$36:$GS$61,0,ROW()-3),CP$3)</f>
        <v>0</v>
      </c>
      <c r="CQ79" s="2">
        <f>COUNTIF(INDEX('LINE PLAN'!$B$36:$GS$61,0,ROW()-3),CQ$3)</f>
        <v>0</v>
      </c>
      <c r="CR79" s="2">
        <f>COUNTIF(INDEX('LINE PLAN'!$B$36:$GS$61,0,ROW()-3),CR$3)</f>
        <v>0</v>
      </c>
      <c r="CS79" s="2">
        <f>COUNTIF(INDEX('LINE PLAN'!$B$36:$GS$61,0,ROW()-3),CS$3)</f>
        <v>0</v>
      </c>
      <c r="CT79" s="2">
        <f>COUNTIF(INDEX('LINE PLAN'!$B$36:$GS$61,0,ROW()-3),CT$3)</f>
        <v>0</v>
      </c>
      <c r="CU79" s="2">
        <f>COUNTIF(INDEX('LINE PLAN'!$B$36:$GS$61,0,ROW()-3),CU$3)</f>
        <v>0</v>
      </c>
      <c r="CV79" s="2">
        <f>COUNTIF(INDEX('LINE PLAN'!$B$36:$GS$61,0,ROW()-3),CV$3)</f>
        <v>0</v>
      </c>
      <c r="CW79" s="2">
        <f>COUNTIF(INDEX('LINE PLAN'!$B$36:$GS$61,0,ROW()-3),CW$3)</f>
        <v>0</v>
      </c>
      <c r="CX79" s="2">
        <f>COUNTIF(INDEX('LINE PLAN'!$B$36:$GS$61,0,ROW()-3),CX$3)</f>
        <v>0</v>
      </c>
      <c r="CY79" s="2">
        <f>COUNTIF(INDEX('LINE PLAN'!$B$36:$GS$61,0,ROW()-3),CY$3)</f>
        <v>0</v>
      </c>
      <c r="CZ79" s="2">
        <f>COUNTIF(INDEX('LINE PLAN'!$B$36:$GS$61,0,ROW()-3),CZ$3)</f>
        <v>0</v>
      </c>
      <c r="DA79" s="2">
        <f>COUNTIF(INDEX('LINE PLAN'!$B$36:$GS$61,0,ROW()-3),DA$3)</f>
        <v>0</v>
      </c>
      <c r="DB79" s="2">
        <f>COUNTIF(INDEX('LINE PLAN'!$B$36:$GS$61,0,ROW()-3),DB$3)</f>
        <v>0</v>
      </c>
      <c r="DC79" s="2">
        <f>COUNTIF(INDEX('LINE PLAN'!$B$36:$GS$61,0,ROW()-3),DC$3)</f>
        <v>0</v>
      </c>
      <c r="DD79" s="2">
        <f>COUNTIF(INDEX('LINE PLAN'!$B$36:$GS$61,0,ROW()-3),DD$3)</f>
        <v>0</v>
      </c>
      <c r="DE79" s="2">
        <f>COUNTIF(INDEX('LINE PLAN'!$B$36:$GS$61,0,ROW()-3),DE$3)</f>
        <v>0</v>
      </c>
      <c r="DF79" s="2">
        <f>COUNTIF(INDEX('LINE PLAN'!$B$36:$GS$61,0,ROW()-3),DF$3)</f>
        <v>0</v>
      </c>
      <c r="DG79" s="2">
        <f>COUNTIF(INDEX('LINE PLAN'!$B$36:$GS$61,0,ROW()-3),DG$3)</f>
        <v>0</v>
      </c>
      <c r="DH79" s="2">
        <f>COUNTIF(INDEX('LINE PLAN'!$B$36:$GS$61,0,ROW()-3),DH$3)</f>
        <v>0</v>
      </c>
      <c r="DI79" s="2">
        <f>COUNTIF(INDEX('LINE PLAN'!$B$36:$GS$61,0,ROW()-3),DI$3)</f>
        <v>0</v>
      </c>
      <c r="DJ79" s="2">
        <f>COUNTIF(INDEX('LINE PLAN'!$B$36:$GS$61,0,ROW()-3),DJ$3)</f>
        <v>0</v>
      </c>
      <c r="DK79" s="2">
        <f>COUNTIF(INDEX('LINE PLAN'!$B$36:$GS$61,0,ROW()-3),DK$3)</f>
        <v>0</v>
      </c>
      <c r="DL79" s="2">
        <f>COUNTIF(INDEX('LINE PLAN'!$B$36:$GS$61,0,ROW()-3),DL$3)</f>
        <v>0</v>
      </c>
      <c r="DM79" s="2">
        <f>COUNTIF(INDEX('LINE PLAN'!$B$36:$GS$61,0,ROW()-3),DM$3)</f>
        <v>0</v>
      </c>
      <c r="DN79" s="2">
        <f>COUNTIF(INDEX('LINE PLAN'!$B$36:$GS$61,0,ROW()-3),DN$3)</f>
        <v>0</v>
      </c>
      <c r="DO79" s="2">
        <f>COUNTIF(INDEX('LINE PLAN'!$B$36:$GS$61,0,ROW()-3),DO$3)</f>
        <v>0</v>
      </c>
      <c r="DP79" s="2">
        <f>COUNTIF(INDEX('LINE PLAN'!$B$36:$GS$61,0,ROW()-3),DP$3)</f>
        <v>0</v>
      </c>
      <c r="DQ79" s="2">
        <f>COUNTIF(INDEX('LINE PLAN'!$B$36:$GS$61,0,ROW()-3),DQ$3)</f>
        <v>0</v>
      </c>
      <c r="DR79" s="2">
        <f>COUNTIF(INDEX('LINE PLAN'!$B$36:$GS$61,0,ROW()-3),DR$3)</f>
        <v>0</v>
      </c>
      <c r="DS79" s="2">
        <f>COUNTIF(INDEX('LINE PLAN'!$B$36:$GS$61,0,ROW()-3),DS$3)</f>
        <v>0</v>
      </c>
      <c r="DT79" s="2">
        <f>COUNTIF(INDEX('LINE PLAN'!$B$36:$GS$61,0,ROW()-3),DT$3)</f>
        <v>0</v>
      </c>
      <c r="DU79" s="2">
        <f>COUNTIF(INDEX('LINE PLAN'!$B$36:$GS$61,0,ROW()-3),DU$3)</f>
        <v>0</v>
      </c>
      <c r="DV79" s="2">
        <f>COUNTIF(INDEX('LINE PLAN'!$B$36:$GS$61,0,ROW()-3),DV$3)</f>
        <v>0</v>
      </c>
    </row>
    <row r="80" spans="1:126">
      <c r="A80" s="505" cm="1">
        <f t="array" ref="A80">INDEX('LINE PLAN'!$B$35:$GS$35,ROW()-3)</f>
        <v>46311</v>
      </c>
      <c r="B80" s="2">
        <f>SUMPRODUCT($CA80:$DV80,INDEX('MC MAP'!$DA$5:$EV$30,1,0))</f>
        <v>46</v>
      </c>
      <c r="C80" s="2">
        <f>SUMPRODUCT($CA80:$DV80,INDEX('MC MAP'!$DA$5:$EV$30,2,0))</f>
        <v>1</v>
      </c>
      <c r="D80" s="2">
        <f>SUMPRODUCT($CA80:$DV80,INDEX('MC MAP'!$DA$5:$EV$30,3,0))</f>
        <v>0</v>
      </c>
      <c r="E80" s="2">
        <f>SUMPRODUCT($CA80:$DV80,INDEX('MC MAP'!$DA$5:$EV$30,4,0))</f>
        <v>2</v>
      </c>
      <c r="F80" s="2">
        <f>SUMPRODUCT($CA80:$DV80,INDEX('MC MAP'!$DA$5:$EV$30,5,0))</f>
        <v>47</v>
      </c>
      <c r="G80" s="2">
        <f>SUMPRODUCT($CA80:$DV80,INDEX('MC MAP'!$DA$5:$EV$30,6,0))</f>
        <v>12</v>
      </c>
      <c r="H80" s="2">
        <f>SUMPRODUCT($CA80:$DV80,INDEX('MC MAP'!$DA$5:$EV$30,7,0))</f>
        <v>0</v>
      </c>
      <c r="I80" s="2">
        <f>SUMPRODUCT($CA80:$DV80,INDEX('MC MAP'!$DA$5:$EV$30,8,0))</f>
        <v>1</v>
      </c>
      <c r="J80" s="2">
        <f>SUMPRODUCT($CA80:$DV80,INDEX('MC MAP'!$DA$5:$EV$30,9,0))</f>
        <v>3.5</v>
      </c>
      <c r="K80" s="2">
        <f>SUMPRODUCT($CA80:$DV80,INDEX('MC MAP'!$DA$5:$EV$30,10,0))</f>
        <v>12</v>
      </c>
      <c r="L80" s="2">
        <f>SUMPRODUCT($CA80:$DV80,INDEX('MC MAP'!$DA$5:$EV$30,11,0))</f>
        <v>12</v>
      </c>
      <c r="M80" s="2">
        <f>SUMPRODUCT($CA80:$DV80,INDEX('MC MAP'!$DA$5:$EV$30,12,0))</f>
        <v>1</v>
      </c>
      <c r="N80" s="2">
        <f>SUMPRODUCT($CA80:$DV80,INDEX('MC MAP'!$DA$5:$EV$30,13,0))</f>
        <v>0</v>
      </c>
      <c r="O80" s="2">
        <f>SUMPRODUCT($CA80:$DV80,INDEX('MC MAP'!$DA$5:$EV$30,14,0))</f>
        <v>0</v>
      </c>
      <c r="P80" s="2">
        <f>SUMPRODUCT($CA80:$DV80,INDEX('MC MAP'!$DA$5:$EV$30,15,0))</f>
        <v>1</v>
      </c>
      <c r="Q80" s="2">
        <f>SUMPRODUCT($CA80:$DV80,INDEX('MC MAP'!$DA$5:$EV$30,16,0))</f>
        <v>0</v>
      </c>
      <c r="R80" s="2">
        <f>SUMPRODUCT($CA80:$DV80,INDEX('MC MAP'!$DA$5:$EV$30,17,0))</f>
        <v>3</v>
      </c>
      <c r="S80" s="2">
        <f>SUMPRODUCT($CA80:$DV80,INDEX('MC MAP'!$DA$5:$EV$30,18,0))</f>
        <v>0</v>
      </c>
      <c r="T80" s="2">
        <f>SUMPRODUCT($CA80:$DV80,INDEX('MC MAP'!$DA$5:$EV$30,19,0))</f>
        <v>0</v>
      </c>
      <c r="U80" s="2">
        <f>SUMPRODUCT($CA80:$DV80,INDEX('MC MAP'!$DA$5:$EV$30,20,0))</f>
        <v>11</v>
      </c>
      <c r="V80" s="2">
        <f>SUMPRODUCT($CA80:$DV80,INDEX('MC MAP'!$DA$5:$EV$30,21,0))</f>
        <v>2</v>
      </c>
      <c r="W80" s="2">
        <f>SUMPRODUCT($CA80:$DV80,INDEX('MC MAP'!$DA$5:$EV$30,22,0))</f>
        <v>2</v>
      </c>
      <c r="X80" s="2">
        <f>SUMPRODUCT($CA80:$DV80,INDEX('MC MAP'!$DA$5:$EV$30,23,0))</f>
        <v>0</v>
      </c>
      <c r="Y80" s="2">
        <f>SUMPRODUCT($CA80:$DV80,INDEX('MC MAP'!$DA$5:$EV$30,24,0))</f>
        <v>6.5</v>
      </c>
      <c r="Z80" s="2">
        <f>SUMPRODUCT($CA80:$DV80,INDEX('MC MAP'!$DA$5:$EV$30,25,0))</f>
        <v>0</v>
      </c>
      <c r="AA80" s="2">
        <f>SUMPRODUCT($CA80:$DV80,INDEX('MC MAP'!$DA$5:$EV$30,26,0))</f>
        <v>0</v>
      </c>
      <c r="AB80" s="2">
        <f>SUM($B80:$AA80)</f>
        <v>163</v>
      </c>
      <c r="AC80" s="2">
        <f>SUM($CA80:$DV80)+$AW80</f>
        <v>13</v>
      </c>
      <c r="AW80" s="2">
        <f>IF($A80=0,0,COUNTIF(INDEX('LINE PLAN'!$B$36:$GS$61,0,ROW()-3),"THERMAL - NOT SPECIFIED"))</f>
        <v>0</v>
      </c>
      <c r="AX80" s="506" cm="1">
        <f t="array" ref="AX80">IF(OR($AB80=0,UPPER($BS80)&lt;&gt;"Y"),0,SUMPRODUCT(--($B80:$AA80&gt;$B$205:$AA$205)))</f>
        <v>0</v>
      </c>
      <c r="AY80" s="507">
        <f>$A80</f>
        <v>46311</v>
      </c>
      <c r="AZ80" s="2">
        <f>$AB80</f>
        <v>163</v>
      </c>
      <c r="BA80" s="2">
        <f>'MC MASTER'!$C$29</f>
        <v>920</v>
      </c>
      <c r="BQ80" s="509">
        <f>$A80</f>
        <v>46311</v>
      </c>
      <c r="BR80" s="15" t="str">
        <f>TEXT($A80,"ddd")</f>
        <v>Fri</v>
      </c>
      <c r="BS80" s="547" t="s">
        <v>391</v>
      </c>
      <c r="BT80" s="15">
        <f>IF(UPPER($BS80)="Y",$AB80,0)</f>
        <v>163</v>
      </c>
      <c r="CA80" s="2">
        <f>COUNTIF(INDEX('LINE PLAN'!$B$36:$GS$61,0,ROW()-3),CA$3)</f>
        <v>1</v>
      </c>
      <c r="CB80" s="2">
        <f>COUNTIF(INDEX('LINE PLAN'!$B$36:$GS$61,0,ROW()-3),CB$3)</f>
        <v>1</v>
      </c>
      <c r="CC80" s="2">
        <f>COUNTIF(INDEX('LINE PLAN'!$B$36:$GS$61,0,ROW()-3),CC$3)</f>
        <v>0</v>
      </c>
      <c r="CD80" s="2">
        <f>COUNTIF(INDEX('LINE PLAN'!$B$36:$GS$61,0,ROW()-3),CD$3)</f>
        <v>0</v>
      </c>
      <c r="CE80" s="2">
        <f>COUNTIF(INDEX('LINE PLAN'!$B$36:$GS$61,0,ROW()-3),CE$3)</f>
        <v>0</v>
      </c>
      <c r="CF80" s="2">
        <f>COUNTIF(INDEX('LINE PLAN'!$B$36:$GS$61,0,ROW()-3),CF$3)</f>
        <v>0</v>
      </c>
      <c r="CG80" s="2">
        <f>COUNTIF(INDEX('LINE PLAN'!$B$36:$GS$61,0,ROW()-3),CG$3)</f>
        <v>0</v>
      </c>
      <c r="CH80" s="2">
        <f>COUNTIF(INDEX('LINE PLAN'!$B$36:$GS$61,0,ROW()-3),CH$3)</f>
        <v>3</v>
      </c>
      <c r="CI80" s="2">
        <f>COUNTIF(INDEX('LINE PLAN'!$B$36:$GS$61,0,ROW()-3),CI$3)</f>
        <v>0</v>
      </c>
      <c r="CJ80" s="2">
        <f>COUNTIF(INDEX('LINE PLAN'!$B$36:$GS$61,0,ROW()-3),CJ$3)</f>
        <v>0</v>
      </c>
      <c r="CK80" s="2">
        <f>COUNTIF(INDEX('LINE PLAN'!$B$36:$GS$61,0,ROW()-3),CK$3)</f>
        <v>0</v>
      </c>
      <c r="CL80" s="2">
        <f>COUNTIF(INDEX('LINE PLAN'!$B$36:$GS$61,0,ROW()-3),CL$3)</f>
        <v>0</v>
      </c>
      <c r="CM80" s="2">
        <f>COUNTIF(INDEX('LINE PLAN'!$B$36:$GS$61,0,ROW()-3),CM$3)</f>
        <v>8</v>
      </c>
      <c r="CN80" s="2">
        <f>COUNTIF(INDEX('LINE PLAN'!$B$36:$GS$61,0,ROW()-3),CN$3)</f>
        <v>0</v>
      </c>
      <c r="CO80" s="2">
        <f>COUNTIF(INDEX('LINE PLAN'!$B$36:$GS$61,0,ROW()-3),CO$3)</f>
        <v>0</v>
      </c>
      <c r="CP80" s="2">
        <f>COUNTIF(INDEX('LINE PLAN'!$B$36:$GS$61,0,ROW()-3),CP$3)</f>
        <v>0</v>
      </c>
      <c r="CQ80" s="2">
        <f>COUNTIF(INDEX('LINE PLAN'!$B$36:$GS$61,0,ROW()-3),CQ$3)</f>
        <v>0</v>
      </c>
      <c r="CR80" s="2">
        <f>COUNTIF(INDEX('LINE PLAN'!$B$36:$GS$61,0,ROW()-3),CR$3)</f>
        <v>0</v>
      </c>
      <c r="CS80" s="2">
        <f>COUNTIF(INDEX('LINE PLAN'!$B$36:$GS$61,0,ROW()-3),CS$3)</f>
        <v>0</v>
      </c>
      <c r="CT80" s="2">
        <f>COUNTIF(INDEX('LINE PLAN'!$B$36:$GS$61,0,ROW()-3),CT$3)</f>
        <v>0</v>
      </c>
      <c r="CU80" s="2">
        <f>COUNTIF(INDEX('LINE PLAN'!$B$36:$GS$61,0,ROW()-3),CU$3)</f>
        <v>0</v>
      </c>
      <c r="CV80" s="2">
        <f>COUNTIF(INDEX('LINE PLAN'!$B$36:$GS$61,0,ROW()-3),CV$3)</f>
        <v>0</v>
      </c>
      <c r="CW80" s="2">
        <f>COUNTIF(INDEX('LINE PLAN'!$B$36:$GS$61,0,ROW()-3),CW$3)</f>
        <v>0</v>
      </c>
      <c r="CX80" s="2">
        <f>COUNTIF(INDEX('LINE PLAN'!$B$36:$GS$61,0,ROW()-3),CX$3)</f>
        <v>0</v>
      </c>
      <c r="CY80" s="2">
        <f>COUNTIF(INDEX('LINE PLAN'!$B$36:$GS$61,0,ROW()-3),CY$3)</f>
        <v>0</v>
      </c>
      <c r="CZ80" s="2">
        <f>COUNTIF(INDEX('LINE PLAN'!$B$36:$GS$61,0,ROW()-3),CZ$3)</f>
        <v>0</v>
      </c>
      <c r="DA80" s="2">
        <f>COUNTIF(INDEX('LINE PLAN'!$B$36:$GS$61,0,ROW()-3),DA$3)</f>
        <v>0</v>
      </c>
      <c r="DB80" s="2">
        <f>COUNTIF(INDEX('LINE PLAN'!$B$36:$GS$61,0,ROW()-3),DB$3)</f>
        <v>0</v>
      </c>
      <c r="DC80" s="2">
        <f>COUNTIF(INDEX('LINE PLAN'!$B$36:$GS$61,0,ROW()-3),DC$3)</f>
        <v>0</v>
      </c>
      <c r="DD80" s="2">
        <f>COUNTIF(INDEX('LINE PLAN'!$B$36:$GS$61,0,ROW()-3),DD$3)</f>
        <v>0</v>
      </c>
      <c r="DE80" s="2">
        <f>COUNTIF(INDEX('LINE PLAN'!$B$36:$GS$61,0,ROW()-3),DE$3)</f>
        <v>0</v>
      </c>
      <c r="DF80" s="2">
        <f>COUNTIF(INDEX('LINE PLAN'!$B$36:$GS$61,0,ROW()-3),DF$3)</f>
        <v>0</v>
      </c>
      <c r="DG80" s="2">
        <f>COUNTIF(INDEX('LINE PLAN'!$B$36:$GS$61,0,ROW()-3),DG$3)</f>
        <v>0</v>
      </c>
      <c r="DH80" s="2">
        <f>COUNTIF(INDEX('LINE PLAN'!$B$36:$GS$61,0,ROW()-3),DH$3)</f>
        <v>0</v>
      </c>
      <c r="DI80" s="2">
        <f>COUNTIF(INDEX('LINE PLAN'!$B$36:$GS$61,0,ROW()-3),DI$3)</f>
        <v>0</v>
      </c>
      <c r="DJ80" s="2">
        <f>COUNTIF(INDEX('LINE PLAN'!$B$36:$GS$61,0,ROW()-3),DJ$3)</f>
        <v>0</v>
      </c>
      <c r="DK80" s="2">
        <f>COUNTIF(INDEX('LINE PLAN'!$B$36:$GS$61,0,ROW()-3),DK$3)</f>
        <v>0</v>
      </c>
      <c r="DL80" s="2">
        <f>COUNTIF(INDEX('LINE PLAN'!$B$36:$GS$61,0,ROW()-3),DL$3)</f>
        <v>0</v>
      </c>
      <c r="DM80" s="2">
        <f>COUNTIF(INDEX('LINE PLAN'!$B$36:$GS$61,0,ROW()-3),DM$3)</f>
        <v>0</v>
      </c>
      <c r="DN80" s="2">
        <f>COUNTIF(INDEX('LINE PLAN'!$B$36:$GS$61,0,ROW()-3),DN$3)</f>
        <v>0</v>
      </c>
      <c r="DO80" s="2">
        <f>COUNTIF(INDEX('LINE PLAN'!$B$36:$GS$61,0,ROW()-3),DO$3)</f>
        <v>0</v>
      </c>
      <c r="DP80" s="2">
        <f>COUNTIF(INDEX('LINE PLAN'!$B$36:$GS$61,0,ROW()-3),DP$3)</f>
        <v>0</v>
      </c>
      <c r="DQ80" s="2">
        <f>COUNTIF(INDEX('LINE PLAN'!$B$36:$GS$61,0,ROW()-3),DQ$3)</f>
        <v>0</v>
      </c>
      <c r="DR80" s="2">
        <f>COUNTIF(INDEX('LINE PLAN'!$B$36:$GS$61,0,ROW()-3),DR$3)</f>
        <v>0</v>
      </c>
      <c r="DS80" s="2">
        <f>COUNTIF(INDEX('LINE PLAN'!$B$36:$GS$61,0,ROW()-3),DS$3)</f>
        <v>0</v>
      </c>
      <c r="DT80" s="2">
        <f>COUNTIF(INDEX('LINE PLAN'!$B$36:$GS$61,0,ROW()-3),DT$3)</f>
        <v>0</v>
      </c>
      <c r="DU80" s="2">
        <f>COUNTIF(INDEX('LINE PLAN'!$B$36:$GS$61,0,ROW()-3),DU$3)</f>
        <v>0</v>
      </c>
      <c r="DV80" s="2">
        <f>COUNTIF(INDEX('LINE PLAN'!$B$36:$GS$61,0,ROW()-3),DV$3)</f>
        <v>0</v>
      </c>
    </row>
    <row r="81" spans="1:126">
      <c r="A81" s="505" cm="1">
        <f t="array" ref="A81">INDEX('LINE PLAN'!$B$35:$GS$35,ROW()-3)</f>
        <v>46312</v>
      </c>
      <c r="B81" s="2">
        <f>SUMPRODUCT($CA81:$DV81,INDEX('MC MAP'!$DA$5:$EV$30,1,0))</f>
        <v>46</v>
      </c>
      <c r="C81" s="2">
        <f>SUMPRODUCT($CA81:$DV81,INDEX('MC MAP'!$DA$5:$EV$30,2,0))</f>
        <v>1</v>
      </c>
      <c r="D81" s="2">
        <f>SUMPRODUCT($CA81:$DV81,INDEX('MC MAP'!$DA$5:$EV$30,3,0))</f>
        <v>0</v>
      </c>
      <c r="E81" s="2">
        <f>SUMPRODUCT($CA81:$DV81,INDEX('MC MAP'!$DA$5:$EV$30,4,0))</f>
        <v>2</v>
      </c>
      <c r="F81" s="2">
        <f>SUMPRODUCT($CA81:$DV81,INDEX('MC MAP'!$DA$5:$EV$30,5,0))</f>
        <v>47</v>
      </c>
      <c r="G81" s="2">
        <f>SUMPRODUCT($CA81:$DV81,INDEX('MC MAP'!$DA$5:$EV$30,6,0))</f>
        <v>12</v>
      </c>
      <c r="H81" s="2">
        <f>SUMPRODUCT($CA81:$DV81,INDEX('MC MAP'!$DA$5:$EV$30,7,0))</f>
        <v>0</v>
      </c>
      <c r="I81" s="2">
        <f>SUMPRODUCT($CA81:$DV81,INDEX('MC MAP'!$DA$5:$EV$30,8,0))</f>
        <v>1</v>
      </c>
      <c r="J81" s="2">
        <f>SUMPRODUCT($CA81:$DV81,INDEX('MC MAP'!$DA$5:$EV$30,9,0))</f>
        <v>3.5</v>
      </c>
      <c r="K81" s="2">
        <f>SUMPRODUCT($CA81:$DV81,INDEX('MC MAP'!$DA$5:$EV$30,10,0))</f>
        <v>12</v>
      </c>
      <c r="L81" s="2">
        <f>SUMPRODUCT($CA81:$DV81,INDEX('MC MAP'!$DA$5:$EV$30,11,0))</f>
        <v>12</v>
      </c>
      <c r="M81" s="2">
        <f>SUMPRODUCT($CA81:$DV81,INDEX('MC MAP'!$DA$5:$EV$30,12,0))</f>
        <v>1</v>
      </c>
      <c r="N81" s="2">
        <f>SUMPRODUCT($CA81:$DV81,INDEX('MC MAP'!$DA$5:$EV$30,13,0))</f>
        <v>0</v>
      </c>
      <c r="O81" s="2">
        <f>SUMPRODUCT($CA81:$DV81,INDEX('MC MAP'!$DA$5:$EV$30,14,0))</f>
        <v>0</v>
      </c>
      <c r="P81" s="2">
        <f>SUMPRODUCT($CA81:$DV81,INDEX('MC MAP'!$DA$5:$EV$30,15,0))</f>
        <v>1</v>
      </c>
      <c r="Q81" s="2">
        <f>SUMPRODUCT($CA81:$DV81,INDEX('MC MAP'!$DA$5:$EV$30,16,0))</f>
        <v>0</v>
      </c>
      <c r="R81" s="2">
        <f>SUMPRODUCT($CA81:$DV81,INDEX('MC MAP'!$DA$5:$EV$30,17,0))</f>
        <v>3</v>
      </c>
      <c r="S81" s="2">
        <f>SUMPRODUCT($CA81:$DV81,INDEX('MC MAP'!$DA$5:$EV$30,18,0))</f>
        <v>0</v>
      </c>
      <c r="T81" s="2">
        <f>SUMPRODUCT($CA81:$DV81,INDEX('MC MAP'!$DA$5:$EV$30,19,0))</f>
        <v>0</v>
      </c>
      <c r="U81" s="2">
        <f>SUMPRODUCT($CA81:$DV81,INDEX('MC MAP'!$DA$5:$EV$30,20,0))</f>
        <v>11</v>
      </c>
      <c r="V81" s="2">
        <f>SUMPRODUCT($CA81:$DV81,INDEX('MC MAP'!$DA$5:$EV$30,21,0))</f>
        <v>2</v>
      </c>
      <c r="W81" s="2">
        <f>SUMPRODUCT($CA81:$DV81,INDEX('MC MAP'!$DA$5:$EV$30,22,0))</f>
        <v>2</v>
      </c>
      <c r="X81" s="2">
        <f>SUMPRODUCT($CA81:$DV81,INDEX('MC MAP'!$DA$5:$EV$30,23,0))</f>
        <v>0</v>
      </c>
      <c r="Y81" s="2">
        <f>SUMPRODUCT($CA81:$DV81,INDEX('MC MAP'!$DA$5:$EV$30,24,0))</f>
        <v>6.5</v>
      </c>
      <c r="Z81" s="2">
        <f>SUMPRODUCT($CA81:$DV81,INDEX('MC MAP'!$DA$5:$EV$30,25,0))</f>
        <v>0</v>
      </c>
      <c r="AA81" s="2">
        <f>SUMPRODUCT($CA81:$DV81,INDEX('MC MAP'!$DA$5:$EV$30,26,0))</f>
        <v>0</v>
      </c>
      <c r="AB81" s="2">
        <f>SUM($B81:$AA81)</f>
        <v>163</v>
      </c>
      <c r="AC81" s="2">
        <f>SUM($CA81:$DV81)+$AW81</f>
        <v>5</v>
      </c>
      <c r="AW81" s="2">
        <f>IF($A81=0,0,COUNTIF(INDEX('LINE PLAN'!$B$36:$GS$61,0,ROW()-3),"THERMAL - NOT SPECIFIED"))</f>
        <v>0</v>
      </c>
      <c r="AX81" s="506" cm="1">
        <f t="array" ref="AX81">IF(OR($AB81=0,UPPER($BS81)&lt;&gt;"Y"),0,SUMPRODUCT(--($B81:$AA81&gt;$B$205:$AA$205)))</f>
        <v>0</v>
      </c>
      <c r="AY81" s="507">
        <f>$A81</f>
        <v>46312</v>
      </c>
      <c r="AZ81" s="2">
        <f>$AB81</f>
        <v>163</v>
      </c>
      <c r="BA81" s="2">
        <f>'MC MASTER'!$C$29</f>
        <v>920</v>
      </c>
      <c r="BQ81" s="509">
        <f>$A81</f>
        <v>46312</v>
      </c>
      <c r="BR81" s="15" t="str">
        <f>TEXT($A81,"ddd")</f>
        <v>Sat</v>
      </c>
      <c r="BS81" s="547" t="s">
        <v>391</v>
      </c>
      <c r="BT81" s="15">
        <f>IF(UPPER($BS81)="Y",$AB81,0)</f>
        <v>163</v>
      </c>
      <c r="CA81" s="2">
        <f>COUNTIF(INDEX('LINE PLAN'!$B$36:$GS$61,0,ROW()-3),CA$3)</f>
        <v>1</v>
      </c>
      <c r="CB81" s="2">
        <f>COUNTIF(INDEX('LINE PLAN'!$B$36:$GS$61,0,ROW()-3),CB$3)</f>
        <v>1</v>
      </c>
      <c r="CC81" s="2">
        <f>COUNTIF(INDEX('LINE PLAN'!$B$36:$GS$61,0,ROW()-3),CC$3)</f>
        <v>0</v>
      </c>
      <c r="CD81" s="2">
        <f>COUNTIF(INDEX('LINE PLAN'!$B$36:$GS$61,0,ROW()-3),CD$3)</f>
        <v>0</v>
      </c>
      <c r="CE81" s="2">
        <f>COUNTIF(INDEX('LINE PLAN'!$B$36:$GS$61,0,ROW()-3),CE$3)</f>
        <v>0</v>
      </c>
      <c r="CF81" s="2">
        <f>COUNTIF(INDEX('LINE PLAN'!$B$36:$GS$61,0,ROW()-3),CF$3)</f>
        <v>0</v>
      </c>
      <c r="CG81" s="2">
        <f>COUNTIF(INDEX('LINE PLAN'!$B$36:$GS$61,0,ROW()-3),CG$3)</f>
        <v>0</v>
      </c>
      <c r="CH81" s="2">
        <f>COUNTIF(INDEX('LINE PLAN'!$B$36:$GS$61,0,ROW()-3),CH$3)</f>
        <v>3</v>
      </c>
      <c r="CI81" s="2">
        <f>COUNTIF(INDEX('LINE PLAN'!$B$36:$GS$61,0,ROW()-3),CI$3)</f>
        <v>0</v>
      </c>
      <c r="CJ81" s="2">
        <f>COUNTIF(INDEX('LINE PLAN'!$B$36:$GS$61,0,ROW()-3),CJ$3)</f>
        <v>0</v>
      </c>
      <c r="CK81" s="2">
        <f>COUNTIF(INDEX('LINE PLAN'!$B$36:$GS$61,0,ROW()-3),CK$3)</f>
        <v>0</v>
      </c>
      <c r="CL81" s="2">
        <f>COUNTIF(INDEX('LINE PLAN'!$B$36:$GS$61,0,ROW()-3),CL$3)</f>
        <v>0</v>
      </c>
      <c r="CM81" s="2">
        <f>COUNTIF(INDEX('LINE PLAN'!$B$36:$GS$61,0,ROW()-3),CM$3)</f>
        <v>0</v>
      </c>
      <c r="CN81" s="2">
        <f>COUNTIF(INDEX('LINE PLAN'!$B$36:$GS$61,0,ROW()-3),CN$3)</f>
        <v>0</v>
      </c>
      <c r="CO81" s="2">
        <f>COUNTIF(INDEX('LINE PLAN'!$B$36:$GS$61,0,ROW()-3),CO$3)</f>
        <v>0</v>
      </c>
      <c r="CP81" s="2">
        <f>COUNTIF(INDEX('LINE PLAN'!$B$36:$GS$61,0,ROW()-3),CP$3)</f>
        <v>0</v>
      </c>
      <c r="CQ81" s="2">
        <f>COUNTIF(INDEX('LINE PLAN'!$B$36:$GS$61,0,ROW()-3),CQ$3)</f>
        <v>0</v>
      </c>
      <c r="CR81" s="2">
        <f>COUNTIF(INDEX('LINE PLAN'!$B$36:$GS$61,0,ROW()-3),CR$3)</f>
        <v>0</v>
      </c>
      <c r="CS81" s="2">
        <f>COUNTIF(INDEX('LINE PLAN'!$B$36:$GS$61,0,ROW()-3),CS$3)</f>
        <v>0</v>
      </c>
      <c r="CT81" s="2">
        <f>COUNTIF(INDEX('LINE PLAN'!$B$36:$GS$61,0,ROW()-3),CT$3)</f>
        <v>0</v>
      </c>
      <c r="CU81" s="2">
        <f>COUNTIF(INDEX('LINE PLAN'!$B$36:$GS$61,0,ROW()-3),CU$3)</f>
        <v>0</v>
      </c>
      <c r="CV81" s="2">
        <f>COUNTIF(INDEX('LINE PLAN'!$B$36:$GS$61,0,ROW()-3),CV$3)</f>
        <v>0</v>
      </c>
      <c r="CW81" s="2">
        <f>COUNTIF(INDEX('LINE PLAN'!$B$36:$GS$61,0,ROW()-3),CW$3)</f>
        <v>0</v>
      </c>
      <c r="CX81" s="2">
        <f>COUNTIF(INDEX('LINE PLAN'!$B$36:$GS$61,0,ROW()-3),CX$3)</f>
        <v>0</v>
      </c>
      <c r="CY81" s="2">
        <f>COUNTIF(INDEX('LINE PLAN'!$B$36:$GS$61,0,ROW()-3),CY$3)</f>
        <v>0</v>
      </c>
      <c r="CZ81" s="2">
        <f>COUNTIF(INDEX('LINE PLAN'!$B$36:$GS$61,0,ROW()-3),CZ$3)</f>
        <v>0</v>
      </c>
      <c r="DA81" s="2">
        <f>COUNTIF(INDEX('LINE PLAN'!$B$36:$GS$61,0,ROW()-3),DA$3)</f>
        <v>0</v>
      </c>
      <c r="DB81" s="2">
        <f>COUNTIF(INDEX('LINE PLAN'!$B$36:$GS$61,0,ROW()-3),DB$3)</f>
        <v>0</v>
      </c>
      <c r="DC81" s="2">
        <f>COUNTIF(INDEX('LINE PLAN'!$B$36:$GS$61,0,ROW()-3),DC$3)</f>
        <v>0</v>
      </c>
      <c r="DD81" s="2">
        <f>COUNTIF(INDEX('LINE PLAN'!$B$36:$GS$61,0,ROW()-3),DD$3)</f>
        <v>0</v>
      </c>
      <c r="DE81" s="2">
        <f>COUNTIF(INDEX('LINE PLAN'!$B$36:$GS$61,0,ROW()-3),DE$3)</f>
        <v>0</v>
      </c>
      <c r="DF81" s="2">
        <f>COUNTIF(INDEX('LINE PLAN'!$B$36:$GS$61,0,ROW()-3),DF$3)</f>
        <v>0</v>
      </c>
      <c r="DG81" s="2">
        <f>COUNTIF(INDEX('LINE PLAN'!$B$36:$GS$61,0,ROW()-3),DG$3)</f>
        <v>0</v>
      </c>
      <c r="DH81" s="2">
        <f>COUNTIF(INDEX('LINE PLAN'!$B$36:$GS$61,0,ROW()-3),DH$3)</f>
        <v>0</v>
      </c>
      <c r="DI81" s="2">
        <f>COUNTIF(INDEX('LINE PLAN'!$B$36:$GS$61,0,ROW()-3),DI$3)</f>
        <v>0</v>
      </c>
      <c r="DJ81" s="2">
        <f>COUNTIF(INDEX('LINE PLAN'!$B$36:$GS$61,0,ROW()-3),DJ$3)</f>
        <v>0</v>
      </c>
      <c r="DK81" s="2">
        <f>COUNTIF(INDEX('LINE PLAN'!$B$36:$GS$61,0,ROW()-3),DK$3)</f>
        <v>0</v>
      </c>
      <c r="DL81" s="2">
        <f>COUNTIF(INDEX('LINE PLAN'!$B$36:$GS$61,0,ROW()-3),DL$3)</f>
        <v>0</v>
      </c>
      <c r="DM81" s="2">
        <f>COUNTIF(INDEX('LINE PLAN'!$B$36:$GS$61,0,ROW()-3),DM$3)</f>
        <v>0</v>
      </c>
      <c r="DN81" s="2">
        <f>COUNTIF(INDEX('LINE PLAN'!$B$36:$GS$61,0,ROW()-3),DN$3)</f>
        <v>0</v>
      </c>
      <c r="DO81" s="2">
        <f>COUNTIF(INDEX('LINE PLAN'!$B$36:$GS$61,0,ROW()-3),DO$3)</f>
        <v>0</v>
      </c>
      <c r="DP81" s="2">
        <f>COUNTIF(INDEX('LINE PLAN'!$B$36:$GS$61,0,ROW()-3),DP$3)</f>
        <v>0</v>
      </c>
      <c r="DQ81" s="2">
        <f>COUNTIF(INDEX('LINE PLAN'!$B$36:$GS$61,0,ROW()-3),DQ$3)</f>
        <v>0</v>
      </c>
      <c r="DR81" s="2">
        <f>COUNTIF(INDEX('LINE PLAN'!$B$36:$GS$61,0,ROW()-3),DR$3)</f>
        <v>0</v>
      </c>
      <c r="DS81" s="2">
        <f>COUNTIF(INDEX('LINE PLAN'!$B$36:$GS$61,0,ROW()-3),DS$3)</f>
        <v>0</v>
      </c>
      <c r="DT81" s="2">
        <f>COUNTIF(INDEX('LINE PLAN'!$B$36:$GS$61,0,ROW()-3),DT$3)</f>
        <v>0</v>
      </c>
      <c r="DU81" s="2">
        <f>COUNTIF(INDEX('LINE PLAN'!$B$36:$GS$61,0,ROW()-3),DU$3)</f>
        <v>0</v>
      </c>
      <c r="DV81" s="2">
        <f>COUNTIF(INDEX('LINE PLAN'!$B$36:$GS$61,0,ROW()-3),DV$3)</f>
        <v>0</v>
      </c>
    </row>
    <row r="82" spans="1:126">
      <c r="A82" s="505" cm="1">
        <f t="array" ref="A82">INDEX('LINE PLAN'!$B$35:$GS$35,ROW()-3)</f>
        <v>46313</v>
      </c>
      <c r="B82" s="2">
        <f>SUMPRODUCT($CA82:$DV82,INDEX('MC MAP'!$DA$5:$EV$30,1,0))</f>
        <v>46</v>
      </c>
      <c r="C82" s="2">
        <f>SUMPRODUCT($CA82:$DV82,INDEX('MC MAP'!$DA$5:$EV$30,2,0))</f>
        <v>1</v>
      </c>
      <c r="D82" s="2">
        <f>SUMPRODUCT($CA82:$DV82,INDEX('MC MAP'!$DA$5:$EV$30,3,0))</f>
        <v>0</v>
      </c>
      <c r="E82" s="2">
        <f>SUMPRODUCT($CA82:$DV82,INDEX('MC MAP'!$DA$5:$EV$30,4,0))</f>
        <v>2</v>
      </c>
      <c r="F82" s="2">
        <f>SUMPRODUCT($CA82:$DV82,INDEX('MC MAP'!$DA$5:$EV$30,5,0))</f>
        <v>47</v>
      </c>
      <c r="G82" s="2">
        <f>SUMPRODUCT($CA82:$DV82,INDEX('MC MAP'!$DA$5:$EV$30,6,0))</f>
        <v>12</v>
      </c>
      <c r="H82" s="2">
        <f>SUMPRODUCT($CA82:$DV82,INDEX('MC MAP'!$DA$5:$EV$30,7,0))</f>
        <v>0</v>
      </c>
      <c r="I82" s="2">
        <f>SUMPRODUCT($CA82:$DV82,INDEX('MC MAP'!$DA$5:$EV$30,8,0))</f>
        <v>1</v>
      </c>
      <c r="J82" s="2">
        <f>SUMPRODUCT($CA82:$DV82,INDEX('MC MAP'!$DA$5:$EV$30,9,0))</f>
        <v>3.5</v>
      </c>
      <c r="K82" s="2">
        <f>SUMPRODUCT($CA82:$DV82,INDEX('MC MAP'!$DA$5:$EV$30,10,0))</f>
        <v>12</v>
      </c>
      <c r="L82" s="2">
        <f>SUMPRODUCT($CA82:$DV82,INDEX('MC MAP'!$DA$5:$EV$30,11,0))</f>
        <v>12</v>
      </c>
      <c r="M82" s="2">
        <f>SUMPRODUCT($CA82:$DV82,INDEX('MC MAP'!$DA$5:$EV$30,12,0))</f>
        <v>1</v>
      </c>
      <c r="N82" s="2">
        <f>SUMPRODUCT($CA82:$DV82,INDEX('MC MAP'!$DA$5:$EV$30,13,0))</f>
        <v>0</v>
      </c>
      <c r="O82" s="2">
        <f>SUMPRODUCT($CA82:$DV82,INDEX('MC MAP'!$DA$5:$EV$30,14,0))</f>
        <v>0</v>
      </c>
      <c r="P82" s="2">
        <f>SUMPRODUCT($CA82:$DV82,INDEX('MC MAP'!$DA$5:$EV$30,15,0))</f>
        <v>1</v>
      </c>
      <c r="Q82" s="2">
        <f>SUMPRODUCT($CA82:$DV82,INDEX('MC MAP'!$DA$5:$EV$30,16,0))</f>
        <v>0</v>
      </c>
      <c r="R82" s="2">
        <f>SUMPRODUCT($CA82:$DV82,INDEX('MC MAP'!$DA$5:$EV$30,17,0))</f>
        <v>3</v>
      </c>
      <c r="S82" s="2">
        <f>SUMPRODUCT($CA82:$DV82,INDEX('MC MAP'!$DA$5:$EV$30,18,0))</f>
        <v>0</v>
      </c>
      <c r="T82" s="2">
        <f>SUMPRODUCT($CA82:$DV82,INDEX('MC MAP'!$DA$5:$EV$30,19,0))</f>
        <v>0</v>
      </c>
      <c r="U82" s="2">
        <f>SUMPRODUCT($CA82:$DV82,INDEX('MC MAP'!$DA$5:$EV$30,20,0))</f>
        <v>11</v>
      </c>
      <c r="V82" s="2">
        <f>SUMPRODUCT($CA82:$DV82,INDEX('MC MAP'!$DA$5:$EV$30,21,0))</f>
        <v>2</v>
      </c>
      <c r="W82" s="2">
        <f>SUMPRODUCT($CA82:$DV82,INDEX('MC MAP'!$DA$5:$EV$30,22,0))</f>
        <v>2</v>
      </c>
      <c r="X82" s="2">
        <f>SUMPRODUCT($CA82:$DV82,INDEX('MC MAP'!$DA$5:$EV$30,23,0))</f>
        <v>0</v>
      </c>
      <c r="Y82" s="2">
        <f>SUMPRODUCT($CA82:$DV82,INDEX('MC MAP'!$DA$5:$EV$30,24,0))</f>
        <v>6.5</v>
      </c>
      <c r="Z82" s="2">
        <f>SUMPRODUCT($CA82:$DV82,INDEX('MC MAP'!$DA$5:$EV$30,25,0))</f>
        <v>0</v>
      </c>
      <c r="AA82" s="2">
        <f>SUMPRODUCT($CA82:$DV82,INDEX('MC MAP'!$DA$5:$EV$30,26,0))</f>
        <v>0</v>
      </c>
      <c r="AB82" s="2">
        <f>SUM($B82:$AA82)</f>
        <v>163</v>
      </c>
      <c r="AC82" s="2">
        <f>SUM($CA82:$DV82)+$AW82</f>
        <v>5</v>
      </c>
      <c r="AW82" s="2">
        <f>IF($A82=0,0,COUNTIF(INDEX('LINE PLAN'!$B$36:$GS$61,0,ROW()-3),"THERMAL - NOT SPECIFIED"))</f>
        <v>0</v>
      </c>
      <c r="AX82" s="506" cm="1">
        <f t="array" ref="AX82">IF(OR($AB82=0,UPPER($BS82)&lt;&gt;"Y"),0,SUMPRODUCT(--($B82:$AA82&gt;$B$205:$AA$205)))</f>
        <v>0</v>
      </c>
      <c r="AY82" s="507">
        <f>$A82</f>
        <v>46313</v>
      </c>
      <c r="AZ82" s="2">
        <f>$AB82</f>
        <v>163</v>
      </c>
      <c r="BA82" s="2">
        <f>'MC MASTER'!$C$29</f>
        <v>920</v>
      </c>
      <c r="BQ82" s="509">
        <f>$A82</f>
        <v>46313</v>
      </c>
      <c r="BR82" s="15" t="str">
        <f>TEXT($A82,"ddd")</f>
        <v>Sun</v>
      </c>
      <c r="BS82" s="547" t="s">
        <v>392</v>
      </c>
      <c r="BT82" s="15">
        <f>IF(UPPER($BS82)="Y",$AB82,0)</f>
        <v>0</v>
      </c>
      <c r="CA82" s="2">
        <f>COUNTIF(INDEX('LINE PLAN'!$B$36:$GS$61,0,ROW()-3),CA$3)</f>
        <v>1</v>
      </c>
      <c r="CB82" s="2">
        <f>COUNTIF(INDEX('LINE PLAN'!$B$36:$GS$61,0,ROW()-3),CB$3)</f>
        <v>1</v>
      </c>
      <c r="CC82" s="2">
        <f>COUNTIF(INDEX('LINE PLAN'!$B$36:$GS$61,0,ROW()-3),CC$3)</f>
        <v>0</v>
      </c>
      <c r="CD82" s="2">
        <f>COUNTIF(INDEX('LINE PLAN'!$B$36:$GS$61,0,ROW()-3),CD$3)</f>
        <v>0</v>
      </c>
      <c r="CE82" s="2">
        <f>COUNTIF(INDEX('LINE PLAN'!$B$36:$GS$61,0,ROW()-3),CE$3)</f>
        <v>0</v>
      </c>
      <c r="CF82" s="2">
        <f>COUNTIF(INDEX('LINE PLAN'!$B$36:$GS$61,0,ROW()-3),CF$3)</f>
        <v>0</v>
      </c>
      <c r="CG82" s="2">
        <f>COUNTIF(INDEX('LINE PLAN'!$B$36:$GS$61,0,ROW()-3),CG$3)</f>
        <v>0</v>
      </c>
      <c r="CH82" s="2">
        <f>COUNTIF(INDEX('LINE PLAN'!$B$36:$GS$61,0,ROW()-3),CH$3)</f>
        <v>3</v>
      </c>
      <c r="CI82" s="2">
        <f>COUNTIF(INDEX('LINE PLAN'!$B$36:$GS$61,0,ROW()-3),CI$3)</f>
        <v>0</v>
      </c>
      <c r="CJ82" s="2">
        <f>COUNTIF(INDEX('LINE PLAN'!$B$36:$GS$61,0,ROW()-3),CJ$3)</f>
        <v>0</v>
      </c>
      <c r="CK82" s="2">
        <f>COUNTIF(INDEX('LINE PLAN'!$B$36:$GS$61,0,ROW()-3),CK$3)</f>
        <v>0</v>
      </c>
      <c r="CL82" s="2">
        <f>COUNTIF(INDEX('LINE PLAN'!$B$36:$GS$61,0,ROW()-3),CL$3)</f>
        <v>0</v>
      </c>
      <c r="CM82" s="2">
        <f>COUNTIF(INDEX('LINE PLAN'!$B$36:$GS$61,0,ROW()-3),CM$3)</f>
        <v>0</v>
      </c>
      <c r="CN82" s="2">
        <f>COUNTIF(INDEX('LINE PLAN'!$B$36:$GS$61,0,ROW()-3),CN$3)</f>
        <v>0</v>
      </c>
      <c r="CO82" s="2">
        <f>COUNTIF(INDEX('LINE PLAN'!$B$36:$GS$61,0,ROW()-3),CO$3)</f>
        <v>0</v>
      </c>
      <c r="CP82" s="2">
        <f>COUNTIF(INDEX('LINE PLAN'!$B$36:$GS$61,0,ROW()-3),CP$3)</f>
        <v>0</v>
      </c>
      <c r="CQ82" s="2">
        <f>COUNTIF(INDEX('LINE PLAN'!$B$36:$GS$61,0,ROW()-3),CQ$3)</f>
        <v>0</v>
      </c>
      <c r="CR82" s="2">
        <f>COUNTIF(INDEX('LINE PLAN'!$B$36:$GS$61,0,ROW()-3),CR$3)</f>
        <v>0</v>
      </c>
      <c r="CS82" s="2">
        <f>COUNTIF(INDEX('LINE PLAN'!$B$36:$GS$61,0,ROW()-3),CS$3)</f>
        <v>0</v>
      </c>
      <c r="CT82" s="2">
        <f>COUNTIF(INDEX('LINE PLAN'!$B$36:$GS$61,0,ROW()-3),CT$3)</f>
        <v>0</v>
      </c>
      <c r="CU82" s="2">
        <f>COUNTIF(INDEX('LINE PLAN'!$B$36:$GS$61,0,ROW()-3),CU$3)</f>
        <v>0</v>
      </c>
      <c r="CV82" s="2">
        <f>COUNTIF(INDEX('LINE PLAN'!$B$36:$GS$61,0,ROW()-3),CV$3)</f>
        <v>0</v>
      </c>
      <c r="CW82" s="2">
        <f>COUNTIF(INDEX('LINE PLAN'!$B$36:$GS$61,0,ROW()-3),CW$3)</f>
        <v>0</v>
      </c>
      <c r="CX82" s="2">
        <f>COUNTIF(INDEX('LINE PLAN'!$B$36:$GS$61,0,ROW()-3),CX$3)</f>
        <v>0</v>
      </c>
      <c r="CY82" s="2">
        <f>COUNTIF(INDEX('LINE PLAN'!$B$36:$GS$61,0,ROW()-3),CY$3)</f>
        <v>0</v>
      </c>
      <c r="CZ82" s="2">
        <f>COUNTIF(INDEX('LINE PLAN'!$B$36:$GS$61,0,ROW()-3),CZ$3)</f>
        <v>0</v>
      </c>
      <c r="DA82" s="2">
        <f>COUNTIF(INDEX('LINE PLAN'!$B$36:$GS$61,0,ROW()-3),DA$3)</f>
        <v>0</v>
      </c>
      <c r="DB82" s="2">
        <f>COUNTIF(INDEX('LINE PLAN'!$B$36:$GS$61,0,ROW()-3),DB$3)</f>
        <v>0</v>
      </c>
      <c r="DC82" s="2">
        <f>COUNTIF(INDEX('LINE PLAN'!$B$36:$GS$61,0,ROW()-3),DC$3)</f>
        <v>0</v>
      </c>
      <c r="DD82" s="2">
        <f>COUNTIF(INDEX('LINE PLAN'!$B$36:$GS$61,0,ROW()-3),DD$3)</f>
        <v>0</v>
      </c>
      <c r="DE82" s="2">
        <f>COUNTIF(INDEX('LINE PLAN'!$B$36:$GS$61,0,ROW()-3),DE$3)</f>
        <v>0</v>
      </c>
      <c r="DF82" s="2">
        <f>COUNTIF(INDEX('LINE PLAN'!$B$36:$GS$61,0,ROW()-3),DF$3)</f>
        <v>0</v>
      </c>
      <c r="DG82" s="2">
        <f>COUNTIF(INDEX('LINE PLAN'!$B$36:$GS$61,0,ROW()-3),DG$3)</f>
        <v>0</v>
      </c>
      <c r="DH82" s="2">
        <f>COUNTIF(INDEX('LINE PLAN'!$B$36:$GS$61,0,ROW()-3),DH$3)</f>
        <v>0</v>
      </c>
      <c r="DI82" s="2">
        <f>COUNTIF(INDEX('LINE PLAN'!$B$36:$GS$61,0,ROW()-3),DI$3)</f>
        <v>0</v>
      </c>
      <c r="DJ82" s="2">
        <f>COUNTIF(INDEX('LINE PLAN'!$B$36:$GS$61,0,ROW()-3),DJ$3)</f>
        <v>0</v>
      </c>
      <c r="DK82" s="2">
        <f>COUNTIF(INDEX('LINE PLAN'!$B$36:$GS$61,0,ROW()-3),DK$3)</f>
        <v>0</v>
      </c>
      <c r="DL82" s="2">
        <f>COUNTIF(INDEX('LINE PLAN'!$B$36:$GS$61,0,ROW()-3),DL$3)</f>
        <v>0</v>
      </c>
      <c r="DM82" s="2">
        <f>COUNTIF(INDEX('LINE PLAN'!$B$36:$GS$61,0,ROW()-3),DM$3)</f>
        <v>0</v>
      </c>
      <c r="DN82" s="2">
        <f>COUNTIF(INDEX('LINE PLAN'!$B$36:$GS$61,0,ROW()-3),DN$3)</f>
        <v>0</v>
      </c>
      <c r="DO82" s="2">
        <f>COUNTIF(INDEX('LINE PLAN'!$B$36:$GS$61,0,ROW()-3),DO$3)</f>
        <v>0</v>
      </c>
      <c r="DP82" s="2">
        <f>COUNTIF(INDEX('LINE PLAN'!$B$36:$GS$61,0,ROW()-3),DP$3)</f>
        <v>0</v>
      </c>
      <c r="DQ82" s="2">
        <f>COUNTIF(INDEX('LINE PLAN'!$B$36:$GS$61,0,ROW()-3),DQ$3)</f>
        <v>0</v>
      </c>
      <c r="DR82" s="2">
        <f>COUNTIF(INDEX('LINE PLAN'!$B$36:$GS$61,0,ROW()-3),DR$3)</f>
        <v>0</v>
      </c>
      <c r="DS82" s="2">
        <f>COUNTIF(INDEX('LINE PLAN'!$B$36:$GS$61,0,ROW()-3),DS$3)</f>
        <v>0</v>
      </c>
      <c r="DT82" s="2">
        <f>COUNTIF(INDEX('LINE PLAN'!$B$36:$GS$61,0,ROW()-3),DT$3)</f>
        <v>0</v>
      </c>
      <c r="DU82" s="2">
        <f>COUNTIF(INDEX('LINE PLAN'!$B$36:$GS$61,0,ROW()-3),DU$3)</f>
        <v>0</v>
      </c>
      <c r="DV82" s="2">
        <f>COUNTIF(INDEX('LINE PLAN'!$B$36:$GS$61,0,ROW()-3),DV$3)</f>
        <v>0</v>
      </c>
    </row>
    <row r="83" spans="1:126">
      <c r="A83" s="505" cm="1">
        <f t="array" ref="A83">INDEX('LINE PLAN'!$B$35:$GS$35,ROW()-3)</f>
        <v>46314</v>
      </c>
      <c r="B83" s="2">
        <f>SUMPRODUCT($CA83:$DV83,INDEX('MC MAP'!$DA$5:$EV$30,1,0))</f>
        <v>46</v>
      </c>
      <c r="C83" s="2">
        <f>SUMPRODUCT($CA83:$DV83,INDEX('MC MAP'!$DA$5:$EV$30,2,0))</f>
        <v>1</v>
      </c>
      <c r="D83" s="2">
        <f>SUMPRODUCT($CA83:$DV83,INDEX('MC MAP'!$DA$5:$EV$30,3,0))</f>
        <v>0</v>
      </c>
      <c r="E83" s="2">
        <f>SUMPRODUCT($CA83:$DV83,INDEX('MC MAP'!$DA$5:$EV$30,4,0))</f>
        <v>2</v>
      </c>
      <c r="F83" s="2">
        <f>SUMPRODUCT($CA83:$DV83,INDEX('MC MAP'!$DA$5:$EV$30,5,0))</f>
        <v>47</v>
      </c>
      <c r="G83" s="2">
        <f>SUMPRODUCT($CA83:$DV83,INDEX('MC MAP'!$DA$5:$EV$30,6,0))</f>
        <v>12</v>
      </c>
      <c r="H83" s="2">
        <f>SUMPRODUCT($CA83:$DV83,INDEX('MC MAP'!$DA$5:$EV$30,7,0))</f>
        <v>0</v>
      </c>
      <c r="I83" s="2">
        <f>SUMPRODUCT($CA83:$DV83,INDEX('MC MAP'!$DA$5:$EV$30,8,0))</f>
        <v>1</v>
      </c>
      <c r="J83" s="2">
        <f>SUMPRODUCT($CA83:$DV83,INDEX('MC MAP'!$DA$5:$EV$30,9,0))</f>
        <v>3.5</v>
      </c>
      <c r="K83" s="2">
        <f>SUMPRODUCT($CA83:$DV83,INDEX('MC MAP'!$DA$5:$EV$30,10,0))</f>
        <v>12</v>
      </c>
      <c r="L83" s="2">
        <f>SUMPRODUCT($CA83:$DV83,INDEX('MC MAP'!$DA$5:$EV$30,11,0))</f>
        <v>12</v>
      </c>
      <c r="M83" s="2">
        <f>SUMPRODUCT($CA83:$DV83,INDEX('MC MAP'!$DA$5:$EV$30,12,0))</f>
        <v>1</v>
      </c>
      <c r="N83" s="2">
        <f>SUMPRODUCT($CA83:$DV83,INDEX('MC MAP'!$DA$5:$EV$30,13,0))</f>
        <v>0</v>
      </c>
      <c r="O83" s="2">
        <f>SUMPRODUCT($CA83:$DV83,INDEX('MC MAP'!$DA$5:$EV$30,14,0))</f>
        <v>0</v>
      </c>
      <c r="P83" s="2">
        <f>SUMPRODUCT($CA83:$DV83,INDEX('MC MAP'!$DA$5:$EV$30,15,0))</f>
        <v>1</v>
      </c>
      <c r="Q83" s="2">
        <f>SUMPRODUCT($CA83:$DV83,INDEX('MC MAP'!$DA$5:$EV$30,16,0))</f>
        <v>0</v>
      </c>
      <c r="R83" s="2">
        <f>SUMPRODUCT($CA83:$DV83,INDEX('MC MAP'!$DA$5:$EV$30,17,0))</f>
        <v>3</v>
      </c>
      <c r="S83" s="2">
        <f>SUMPRODUCT($CA83:$DV83,INDEX('MC MAP'!$DA$5:$EV$30,18,0))</f>
        <v>0</v>
      </c>
      <c r="T83" s="2">
        <f>SUMPRODUCT($CA83:$DV83,INDEX('MC MAP'!$DA$5:$EV$30,19,0))</f>
        <v>0</v>
      </c>
      <c r="U83" s="2">
        <f>SUMPRODUCT($CA83:$DV83,INDEX('MC MAP'!$DA$5:$EV$30,20,0))</f>
        <v>11</v>
      </c>
      <c r="V83" s="2">
        <f>SUMPRODUCT($CA83:$DV83,INDEX('MC MAP'!$DA$5:$EV$30,21,0))</f>
        <v>2</v>
      </c>
      <c r="W83" s="2">
        <f>SUMPRODUCT($CA83:$DV83,INDEX('MC MAP'!$DA$5:$EV$30,22,0))</f>
        <v>2</v>
      </c>
      <c r="X83" s="2">
        <f>SUMPRODUCT($CA83:$DV83,INDEX('MC MAP'!$DA$5:$EV$30,23,0))</f>
        <v>0</v>
      </c>
      <c r="Y83" s="2">
        <f>SUMPRODUCT($CA83:$DV83,INDEX('MC MAP'!$DA$5:$EV$30,24,0))</f>
        <v>6.5</v>
      </c>
      <c r="Z83" s="2">
        <f>SUMPRODUCT($CA83:$DV83,INDEX('MC MAP'!$DA$5:$EV$30,25,0))</f>
        <v>0</v>
      </c>
      <c r="AA83" s="2">
        <f>SUMPRODUCT($CA83:$DV83,INDEX('MC MAP'!$DA$5:$EV$30,26,0))</f>
        <v>0</v>
      </c>
      <c r="AB83" s="2">
        <f>SUM($B83:$AA83)</f>
        <v>163</v>
      </c>
      <c r="AC83" s="2">
        <f>SUM($CA83:$DV83)+$AW83</f>
        <v>5</v>
      </c>
      <c r="AW83" s="2">
        <f>IF($A83=0,0,COUNTIF(INDEX('LINE PLAN'!$B$36:$GS$61,0,ROW()-3),"THERMAL - NOT SPECIFIED"))</f>
        <v>0</v>
      </c>
      <c r="AX83" s="506" cm="1">
        <f t="array" ref="AX83">IF(OR($AB83=0,UPPER($BS83)&lt;&gt;"Y"),0,SUMPRODUCT(--($B83:$AA83&gt;$B$205:$AA$205)))</f>
        <v>0</v>
      </c>
      <c r="AY83" s="507">
        <f>$A83</f>
        <v>46314</v>
      </c>
      <c r="AZ83" s="2">
        <f>$AB83</f>
        <v>163</v>
      </c>
      <c r="BA83" s="2">
        <f>'MC MASTER'!$C$29</f>
        <v>920</v>
      </c>
      <c r="BQ83" s="509">
        <f>$A83</f>
        <v>46314</v>
      </c>
      <c r="BR83" s="15" t="str">
        <f>TEXT($A83,"ddd")</f>
        <v>Mon</v>
      </c>
      <c r="BS83" s="547" t="s">
        <v>391</v>
      </c>
      <c r="BT83" s="15">
        <f>IF(UPPER($BS83)="Y",$AB83,0)</f>
        <v>163</v>
      </c>
      <c r="CA83" s="2">
        <f>COUNTIF(INDEX('LINE PLAN'!$B$36:$GS$61,0,ROW()-3),CA$3)</f>
        <v>1</v>
      </c>
      <c r="CB83" s="2">
        <f>COUNTIF(INDEX('LINE PLAN'!$B$36:$GS$61,0,ROW()-3),CB$3)</f>
        <v>1</v>
      </c>
      <c r="CC83" s="2">
        <f>COUNTIF(INDEX('LINE PLAN'!$B$36:$GS$61,0,ROW()-3),CC$3)</f>
        <v>0</v>
      </c>
      <c r="CD83" s="2">
        <f>COUNTIF(INDEX('LINE PLAN'!$B$36:$GS$61,0,ROW()-3),CD$3)</f>
        <v>0</v>
      </c>
      <c r="CE83" s="2">
        <f>COUNTIF(INDEX('LINE PLAN'!$B$36:$GS$61,0,ROW()-3),CE$3)</f>
        <v>0</v>
      </c>
      <c r="CF83" s="2">
        <f>COUNTIF(INDEX('LINE PLAN'!$B$36:$GS$61,0,ROW()-3),CF$3)</f>
        <v>0</v>
      </c>
      <c r="CG83" s="2">
        <f>COUNTIF(INDEX('LINE PLAN'!$B$36:$GS$61,0,ROW()-3),CG$3)</f>
        <v>0</v>
      </c>
      <c r="CH83" s="2">
        <f>COUNTIF(INDEX('LINE PLAN'!$B$36:$GS$61,0,ROW()-3),CH$3)</f>
        <v>3</v>
      </c>
      <c r="CI83" s="2">
        <f>COUNTIF(INDEX('LINE PLAN'!$B$36:$GS$61,0,ROW()-3),CI$3)</f>
        <v>0</v>
      </c>
      <c r="CJ83" s="2">
        <f>COUNTIF(INDEX('LINE PLAN'!$B$36:$GS$61,0,ROW()-3),CJ$3)</f>
        <v>0</v>
      </c>
      <c r="CK83" s="2">
        <f>COUNTIF(INDEX('LINE PLAN'!$B$36:$GS$61,0,ROW()-3),CK$3)</f>
        <v>0</v>
      </c>
      <c r="CL83" s="2">
        <f>COUNTIF(INDEX('LINE PLAN'!$B$36:$GS$61,0,ROW()-3),CL$3)</f>
        <v>0</v>
      </c>
      <c r="CM83" s="2">
        <f>COUNTIF(INDEX('LINE PLAN'!$B$36:$GS$61,0,ROW()-3),CM$3)</f>
        <v>0</v>
      </c>
      <c r="CN83" s="2">
        <f>COUNTIF(INDEX('LINE PLAN'!$B$36:$GS$61,0,ROW()-3),CN$3)</f>
        <v>0</v>
      </c>
      <c r="CO83" s="2">
        <f>COUNTIF(INDEX('LINE PLAN'!$B$36:$GS$61,0,ROW()-3),CO$3)</f>
        <v>0</v>
      </c>
      <c r="CP83" s="2">
        <f>COUNTIF(INDEX('LINE PLAN'!$B$36:$GS$61,0,ROW()-3),CP$3)</f>
        <v>0</v>
      </c>
      <c r="CQ83" s="2">
        <f>COUNTIF(INDEX('LINE PLAN'!$B$36:$GS$61,0,ROW()-3),CQ$3)</f>
        <v>0</v>
      </c>
      <c r="CR83" s="2">
        <f>COUNTIF(INDEX('LINE PLAN'!$B$36:$GS$61,0,ROW()-3),CR$3)</f>
        <v>0</v>
      </c>
      <c r="CS83" s="2">
        <f>COUNTIF(INDEX('LINE PLAN'!$B$36:$GS$61,0,ROW()-3),CS$3)</f>
        <v>0</v>
      </c>
      <c r="CT83" s="2">
        <f>COUNTIF(INDEX('LINE PLAN'!$B$36:$GS$61,0,ROW()-3),CT$3)</f>
        <v>0</v>
      </c>
      <c r="CU83" s="2">
        <f>COUNTIF(INDEX('LINE PLAN'!$B$36:$GS$61,0,ROW()-3),CU$3)</f>
        <v>0</v>
      </c>
      <c r="CV83" s="2">
        <f>COUNTIF(INDEX('LINE PLAN'!$B$36:$GS$61,0,ROW()-3),CV$3)</f>
        <v>0</v>
      </c>
      <c r="CW83" s="2">
        <f>COUNTIF(INDEX('LINE PLAN'!$B$36:$GS$61,0,ROW()-3),CW$3)</f>
        <v>0</v>
      </c>
      <c r="CX83" s="2">
        <f>COUNTIF(INDEX('LINE PLAN'!$B$36:$GS$61,0,ROW()-3),CX$3)</f>
        <v>0</v>
      </c>
      <c r="CY83" s="2">
        <f>COUNTIF(INDEX('LINE PLAN'!$B$36:$GS$61,0,ROW()-3),CY$3)</f>
        <v>0</v>
      </c>
      <c r="CZ83" s="2">
        <f>COUNTIF(INDEX('LINE PLAN'!$B$36:$GS$61,0,ROW()-3),CZ$3)</f>
        <v>0</v>
      </c>
      <c r="DA83" s="2">
        <f>COUNTIF(INDEX('LINE PLAN'!$B$36:$GS$61,0,ROW()-3),DA$3)</f>
        <v>0</v>
      </c>
      <c r="DB83" s="2">
        <f>COUNTIF(INDEX('LINE PLAN'!$B$36:$GS$61,0,ROW()-3),DB$3)</f>
        <v>0</v>
      </c>
      <c r="DC83" s="2">
        <f>COUNTIF(INDEX('LINE PLAN'!$B$36:$GS$61,0,ROW()-3),DC$3)</f>
        <v>0</v>
      </c>
      <c r="DD83" s="2">
        <f>COUNTIF(INDEX('LINE PLAN'!$B$36:$GS$61,0,ROW()-3),DD$3)</f>
        <v>0</v>
      </c>
      <c r="DE83" s="2">
        <f>COUNTIF(INDEX('LINE PLAN'!$B$36:$GS$61,0,ROW()-3),DE$3)</f>
        <v>0</v>
      </c>
      <c r="DF83" s="2">
        <f>COUNTIF(INDEX('LINE PLAN'!$B$36:$GS$61,0,ROW()-3),DF$3)</f>
        <v>0</v>
      </c>
      <c r="DG83" s="2">
        <f>COUNTIF(INDEX('LINE PLAN'!$B$36:$GS$61,0,ROW()-3),DG$3)</f>
        <v>0</v>
      </c>
      <c r="DH83" s="2">
        <f>COUNTIF(INDEX('LINE PLAN'!$B$36:$GS$61,0,ROW()-3),DH$3)</f>
        <v>0</v>
      </c>
      <c r="DI83" s="2">
        <f>COUNTIF(INDEX('LINE PLAN'!$B$36:$GS$61,0,ROW()-3),DI$3)</f>
        <v>0</v>
      </c>
      <c r="DJ83" s="2">
        <f>COUNTIF(INDEX('LINE PLAN'!$B$36:$GS$61,0,ROW()-3),DJ$3)</f>
        <v>0</v>
      </c>
      <c r="DK83" s="2">
        <f>COUNTIF(INDEX('LINE PLAN'!$B$36:$GS$61,0,ROW()-3),DK$3)</f>
        <v>0</v>
      </c>
      <c r="DL83" s="2">
        <f>COUNTIF(INDEX('LINE PLAN'!$B$36:$GS$61,0,ROW()-3),DL$3)</f>
        <v>0</v>
      </c>
      <c r="DM83" s="2">
        <f>COUNTIF(INDEX('LINE PLAN'!$B$36:$GS$61,0,ROW()-3),DM$3)</f>
        <v>0</v>
      </c>
      <c r="DN83" s="2">
        <f>COUNTIF(INDEX('LINE PLAN'!$B$36:$GS$61,0,ROW()-3),DN$3)</f>
        <v>0</v>
      </c>
      <c r="DO83" s="2">
        <f>COUNTIF(INDEX('LINE PLAN'!$B$36:$GS$61,0,ROW()-3),DO$3)</f>
        <v>0</v>
      </c>
      <c r="DP83" s="2">
        <f>COUNTIF(INDEX('LINE PLAN'!$B$36:$GS$61,0,ROW()-3),DP$3)</f>
        <v>0</v>
      </c>
      <c r="DQ83" s="2">
        <f>COUNTIF(INDEX('LINE PLAN'!$B$36:$GS$61,0,ROW()-3),DQ$3)</f>
        <v>0</v>
      </c>
      <c r="DR83" s="2">
        <f>COUNTIF(INDEX('LINE PLAN'!$B$36:$GS$61,0,ROW()-3),DR$3)</f>
        <v>0</v>
      </c>
      <c r="DS83" s="2">
        <f>COUNTIF(INDEX('LINE PLAN'!$B$36:$GS$61,0,ROW()-3),DS$3)</f>
        <v>0</v>
      </c>
      <c r="DT83" s="2">
        <f>COUNTIF(INDEX('LINE PLAN'!$B$36:$GS$61,0,ROW()-3),DT$3)</f>
        <v>0</v>
      </c>
      <c r="DU83" s="2">
        <f>COUNTIF(INDEX('LINE PLAN'!$B$36:$GS$61,0,ROW()-3),DU$3)</f>
        <v>0</v>
      </c>
      <c r="DV83" s="2">
        <f>COUNTIF(INDEX('LINE PLAN'!$B$36:$GS$61,0,ROW()-3),DV$3)</f>
        <v>0</v>
      </c>
    </row>
    <row r="84" spans="1:126">
      <c r="A84" s="505" cm="1">
        <f t="array" ref="A84">INDEX('LINE PLAN'!$B$35:$GS$35,ROW()-3)</f>
        <v>46315</v>
      </c>
      <c r="B84" s="2">
        <f>SUMPRODUCT($CA84:$DV84,INDEX('MC MAP'!$DA$5:$EV$30,1,0))</f>
        <v>34</v>
      </c>
      <c r="C84" s="2">
        <f>SUMPRODUCT($CA84:$DV84,INDEX('MC MAP'!$DA$5:$EV$30,2,0))</f>
        <v>1</v>
      </c>
      <c r="D84" s="2">
        <f>SUMPRODUCT($CA84:$DV84,INDEX('MC MAP'!$DA$5:$EV$30,3,0))</f>
        <v>0</v>
      </c>
      <c r="E84" s="2">
        <f>SUMPRODUCT($CA84:$DV84,INDEX('MC MAP'!$DA$5:$EV$30,4,0))</f>
        <v>2</v>
      </c>
      <c r="F84" s="2">
        <f>SUMPRODUCT($CA84:$DV84,INDEX('MC MAP'!$DA$5:$EV$30,5,0))</f>
        <v>17</v>
      </c>
      <c r="G84" s="2">
        <f>SUMPRODUCT($CA84:$DV84,INDEX('MC MAP'!$DA$5:$EV$30,6,0))</f>
        <v>0</v>
      </c>
      <c r="H84" s="2">
        <f>SUMPRODUCT($CA84:$DV84,INDEX('MC MAP'!$DA$5:$EV$30,7,0))</f>
        <v>0</v>
      </c>
      <c r="I84" s="2">
        <f>SUMPRODUCT($CA84:$DV84,INDEX('MC MAP'!$DA$5:$EV$30,8,0))</f>
        <v>1</v>
      </c>
      <c r="J84" s="2">
        <f>SUMPRODUCT($CA84:$DV84,INDEX('MC MAP'!$DA$5:$EV$30,9,0))</f>
        <v>3.5</v>
      </c>
      <c r="K84" s="2">
        <f>SUMPRODUCT($CA84:$DV84,INDEX('MC MAP'!$DA$5:$EV$30,10,0))</f>
        <v>0</v>
      </c>
      <c r="L84" s="2">
        <f>SUMPRODUCT($CA84:$DV84,INDEX('MC MAP'!$DA$5:$EV$30,11,0))</f>
        <v>0</v>
      </c>
      <c r="M84" s="2">
        <f>SUMPRODUCT($CA84:$DV84,INDEX('MC MAP'!$DA$5:$EV$30,12,0))</f>
        <v>1</v>
      </c>
      <c r="N84" s="2">
        <f>SUMPRODUCT($CA84:$DV84,INDEX('MC MAP'!$DA$5:$EV$30,13,0))</f>
        <v>0</v>
      </c>
      <c r="O84" s="2">
        <f>SUMPRODUCT($CA84:$DV84,INDEX('MC MAP'!$DA$5:$EV$30,14,0))</f>
        <v>0</v>
      </c>
      <c r="P84" s="2">
        <f>SUMPRODUCT($CA84:$DV84,INDEX('MC MAP'!$DA$5:$EV$30,15,0))</f>
        <v>1</v>
      </c>
      <c r="Q84" s="2">
        <f>SUMPRODUCT($CA84:$DV84,INDEX('MC MAP'!$DA$5:$EV$30,16,0))</f>
        <v>0</v>
      </c>
      <c r="R84" s="2">
        <f>SUMPRODUCT($CA84:$DV84,INDEX('MC MAP'!$DA$5:$EV$30,17,0))</f>
        <v>3</v>
      </c>
      <c r="S84" s="2">
        <f>SUMPRODUCT($CA84:$DV84,INDEX('MC MAP'!$DA$5:$EV$30,18,0))</f>
        <v>0</v>
      </c>
      <c r="T84" s="2">
        <f>SUMPRODUCT($CA84:$DV84,INDEX('MC MAP'!$DA$5:$EV$30,19,0))</f>
        <v>0</v>
      </c>
      <c r="U84" s="2">
        <f>SUMPRODUCT($CA84:$DV84,INDEX('MC MAP'!$DA$5:$EV$30,20,0))</f>
        <v>5</v>
      </c>
      <c r="V84" s="2">
        <f>SUMPRODUCT($CA84:$DV84,INDEX('MC MAP'!$DA$5:$EV$30,21,0))</f>
        <v>2</v>
      </c>
      <c r="W84" s="2">
        <f>SUMPRODUCT($CA84:$DV84,INDEX('MC MAP'!$DA$5:$EV$30,22,0))</f>
        <v>2</v>
      </c>
      <c r="X84" s="2">
        <f>SUMPRODUCT($CA84:$DV84,INDEX('MC MAP'!$DA$5:$EV$30,23,0))</f>
        <v>0</v>
      </c>
      <c r="Y84" s="2">
        <f>SUMPRODUCT($CA84:$DV84,INDEX('MC MAP'!$DA$5:$EV$30,24,0))</f>
        <v>2</v>
      </c>
      <c r="Z84" s="2">
        <f>SUMPRODUCT($CA84:$DV84,INDEX('MC MAP'!$DA$5:$EV$30,25,0))</f>
        <v>0</v>
      </c>
      <c r="AA84" s="2">
        <f>SUMPRODUCT($CA84:$DV84,INDEX('MC MAP'!$DA$5:$EV$30,26,0))</f>
        <v>0</v>
      </c>
      <c r="AB84" s="2">
        <f>SUM($B84:$AA84)</f>
        <v>74.5</v>
      </c>
      <c r="AC84" s="2">
        <f>SUM($CA84:$DV84)+$AW84</f>
        <v>5</v>
      </c>
      <c r="AW84" s="2">
        <f>IF($A84=0,0,COUNTIF(INDEX('LINE PLAN'!$B$36:$GS$61,0,ROW()-3),"THERMAL - NOT SPECIFIED"))</f>
        <v>0</v>
      </c>
      <c r="AX84" s="506" cm="1">
        <f t="array" ref="AX84">IF(OR($AB84=0,UPPER($BS84)&lt;&gt;"Y"),0,SUMPRODUCT(--($B84:$AA84&gt;$B$205:$AA$205)))</f>
        <v>0</v>
      </c>
      <c r="AY84" s="507">
        <f>$A84</f>
        <v>46315</v>
      </c>
      <c r="AZ84" s="2">
        <f>$AB84</f>
        <v>74.5</v>
      </c>
      <c r="BA84" s="2">
        <f>'MC MASTER'!$C$29</f>
        <v>920</v>
      </c>
      <c r="BQ84" s="509">
        <f>$A84</f>
        <v>46315</v>
      </c>
      <c r="BR84" s="15" t="str">
        <f>TEXT($A84,"ddd")</f>
        <v>Tue</v>
      </c>
      <c r="BS84" s="547" t="s">
        <v>391</v>
      </c>
      <c r="BT84" s="15">
        <f>IF(UPPER($BS84)="Y",$AB84,0)</f>
        <v>74.5</v>
      </c>
      <c r="CA84" s="2">
        <f>COUNTIF(INDEX('LINE PLAN'!$B$36:$GS$61,0,ROW()-3),CA$3)</f>
        <v>1</v>
      </c>
      <c r="CB84" s="2">
        <f>COUNTIF(INDEX('LINE PLAN'!$B$36:$GS$61,0,ROW()-3),CB$3)</f>
        <v>1</v>
      </c>
      <c r="CC84" s="2">
        <f>COUNTIF(INDEX('LINE PLAN'!$B$36:$GS$61,0,ROW()-3),CC$3)</f>
        <v>0</v>
      </c>
      <c r="CD84" s="2">
        <f>COUNTIF(INDEX('LINE PLAN'!$B$36:$GS$61,0,ROW()-3),CD$3)</f>
        <v>0</v>
      </c>
      <c r="CE84" s="2">
        <f>COUNTIF(INDEX('LINE PLAN'!$B$36:$GS$61,0,ROW()-3),CE$3)</f>
        <v>0</v>
      </c>
      <c r="CF84" s="2">
        <f>COUNTIF(INDEX('LINE PLAN'!$B$36:$GS$61,0,ROW()-3),CF$3)</f>
        <v>0</v>
      </c>
      <c r="CG84" s="2">
        <f>COUNTIF(INDEX('LINE PLAN'!$B$36:$GS$61,0,ROW()-3),CG$3)</f>
        <v>0</v>
      </c>
      <c r="CH84" s="2">
        <f>COUNTIF(INDEX('LINE PLAN'!$B$36:$GS$61,0,ROW()-3),CH$3)</f>
        <v>0</v>
      </c>
      <c r="CI84" s="2">
        <f>COUNTIF(INDEX('LINE PLAN'!$B$36:$GS$61,0,ROW()-3),CI$3)</f>
        <v>0</v>
      </c>
      <c r="CJ84" s="2">
        <f>COUNTIF(INDEX('LINE PLAN'!$B$36:$GS$61,0,ROW()-3),CJ$3)</f>
        <v>0</v>
      </c>
      <c r="CK84" s="2">
        <f>COUNTIF(INDEX('LINE PLAN'!$B$36:$GS$61,0,ROW()-3),CK$3)</f>
        <v>0</v>
      </c>
      <c r="CL84" s="2">
        <f>COUNTIF(INDEX('LINE PLAN'!$B$36:$GS$61,0,ROW()-3),CL$3)</f>
        <v>0</v>
      </c>
      <c r="CM84" s="2">
        <f>COUNTIF(INDEX('LINE PLAN'!$B$36:$GS$61,0,ROW()-3),CM$3)</f>
        <v>3</v>
      </c>
      <c r="CN84" s="2">
        <f>COUNTIF(INDEX('LINE PLAN'!$B$36:$GS$61,0,ROW()-3),CN$3)</f>
        <v>0</v>
      </c>
      <c r="CO84" s="2">
        <f>COUNTIF(INDEX('LINE PLAN'!$B$36:$GS$61,0,ROW()-3),CO$3)</f>
        <v>0</v>
      </c>
      <c r="CP84" s="2">
        <f>COUNTIF(INDEX('LINE PLAN'!$B$36:$GS$61,0,ROW()-3),CP$3)</f>
        <v>0</v>
      </c>
      <c r="CQ84" s="2">
        <f>COUNTIF(INDEX('LINE PLAN'!$B$36:$GS$61,0,ROW()-3),CQ$3)</f>
        <v>0</v>
      </c>
      <c r="CR84" s="2">
        <f>COUNTIF(INDEX('LINE PLAN'!$B$36:$GS$61,0,ROW()-3),CR$3)</f>
        <v>0</v>
      </c>
      <c r="CS84" s="2">
        <f>COUNTIF(INDEX('LINE PLAN'!$B$36:$GS$61,0,ROW()-3),CS$3)</f>
        <v>0</v>
      </c>
      <c r="CT84" s="2">
        <f>COUNTIF(INDEX('LINE PLAN'!$B$36:$GS$61,0,ROW()-3),CT$3)</f>
        <v>0</v>
      </c>
      <c r="CU84" s="2">
        <f>COUNTIF(INDEX('LINE PLAN'!$B$36:$GS$61,0,ROW()-3),CU$3)</f>
        <v>0</v>
      </c>
      <c r="CV84" s="2">
        <f>COUNTIF(INDEX('LINE PLAN'!$B$36:$GS$61,0,ROW()-3),CV$3)</f>
        <v>0</v>
      </c>
      <c r="CW84" s="2">
        <f>COUNTIF(INDEX('LINE PLAN'!$B$36:$GS$61,0,ROW()-3),CW$3)</f>
        <v>0</v>
      </c>
      <c r="CX84" s="2">
        <f>COUNTIF(INDEX('LINE PLAN'!$B$36:$GS$61,0,ROW()-3),CX$3)</f>
        <v>0</v>
      </c>
      <c r="CY84" s="2">
        <f>COUNTIF(INDEX('LINE PLAN'!$B$36:$GS$61,0,ROW()-3),CY$3)</f>
        <v>0</v>
      </c>
      <c r="CZ84" s="2">
        <f>COUNTIF(INDEX('LINE PLAN'!$B$36:$GS$61,0,ROW()-3),CZ$3)</f>
        <v>0</v>
      </c>
      <c r="DA84" s="2">
        <f>COUNTIF(INDEX('LINE PLAN'!$B$36:$GS$61,0,ROW()-3),DA$3)</f>
        <v>0</v>
      </c>
      <c r="DB84" s="2">
        <f>COUNTIF(INDEX('LINE PLAN'!$B$36:$GS$61,0,ROW()-3),DB$3)</f>
        <v>0</v>
      </c>
      <c r="DC84" s="2">
        <f>COUNTIF(INDEX('LINE PLAN'!$B$36:$GS$61,0,ROW()-3),DC$3)</f>
        <v>0</v>
      </c>
      <c r="DD84" s="2">
        <f>COUNTIF(INDEX('LINE PLAN'!$B$36:$GS$61,0,ROW()-3),DD$3)</f>
        <v>0</v>
      </c>
      <c r="DE84" s="2">
        <f>COUNTIF(INDEX('LINE PLAN'!$B$36:$GS$61,0,ROW()-3),DE$3)</f>
        <v>0</v>
      </c>
      <c r="DF84" s="2">
        <f>COUNTIF(INDEX('LINE PLAN'!$B$36:$GS$61,0,ROW()-3),DF$3)</f>
        <v>0</v>
      </c>
      <c r="DG84" s="2">
        <f>COUNTIF(INDEX('LINE PLAN'!$B$36:$GS$61,0,ROW()-3),DG$3)</f>
        <v>0</v>
      </c>
      <c r="DH84" s="2">
        <f>COUNTIF(INDEX('LINE PLAN'!$B$36:$GS$61,0,ROW()-3),DH$3)</f>
        <v>0</v>
      </c>
      <c r="DI84" s="2">
        <f>COUNTIF(INDEX('LINE PLAN'!$B$36:$GS$61,0,ROW()-3),DI$3)</f>
        <v>0</v>
      </c>
      <c r="DJ84" s="2">
        <f>COUNTIF(INDEX('LINE PLAN'!$B$36:$GS$61,0,ROW()-3),DJ$3)</f>
        <v>0</v>
      </c>
      <c r="DK84" s="2">
        <f>COUNTIF(INDEX('LINE PLAN'!$B$36:$GS$61,0,ROW()-3),DK$3)</f>
        <v>0</v>
      </c>
      <c r="DL84" s="2">
        <f>COUNTIF(INDEX('LINE PLAN'!$B$36:$GS$61,0,ROW()-3),DL$3)</f>
        <v>0</v>
      </c>
      <c r="DM84" s="2">
        <f>COUNTIF(INDEX('LINE PLAN'!$B$36:$GS$61,0,ROW()-3),DM$3)</f>
        <v>0</v>
      </c>
      <c r="DN84" s="2">
        <f>COUNTIF(INDEX('LINE PLAN'!$B$36:$GS$61,0,ROW()-3),DN$3)</f>
        <v>0</v>
      </c>
      <c r="DO84" s="2">
        <f>COUNTIF(INDEX('LINE PLAN'!$B$36:$GS$61,0,ROW()-3),DO$3)</f>
        <v>0</v>
      </c>
      <c r="DP84" s="2">
        <f>COUNTIF(INDEX('LINE PLAN'!$B$36:$GS$61,0,ROW()-3),DP$3)</f>
        <v>0</v>
      </c>
      <c r="DQ84" s="2">
        <f>COUNTIF(INDEX('LINE PLAN'!$B$36:$GS$61,0,ROW()-3),DQ$3)</f>
        <v>0</v>
      </c>
      <c r="DR84" s="2">
        <f>COUNTIF(INDEX('LINE PLAN'!$B$36:$GS$61,0,ROW()-3),DR$3)</f>
        <v>0</v>
      </c>
      <c r="DS84" s="2">
        <f>COUNTIF(INDEX('LINE PLAN'!$B$36:$GS$61,0,ROW()-3),DS$3)</f>
        <v>0</v>
      </c>
      <c r="DT84" s="2">
        <f>COUNTIF(INDEX('LINE PLAN'!$B$36:$GS$61,0,ROW()-3),DT$3)</f>
        <v>0</v>
      </c>
      <c r="DU84" s="2">
        <f>COUNTIF(INDEX('LINE PLAN'!$B$36:$GS$61,0,ROW()-3),DU$3)</f>
        <v>0</v>
      </c>
      <c r="DV84" s="2">
        <f>COUNTIF(INDEX('LINE PLAN'!$B$36:$GS$61,0,ROW()-3),DV$3)</f>
        <v>0</v>
      </c>
    </row>
    <row r="85" spans="1:126">
      <c r="A85" s="505" cm="1">
        <f t="array" ref="A85">INDEX('LINE PLAN'!$B$35:$GS$35,ROW()-3)</f>
        <v>46316</v>
      </c>
      <c r="B85" s="2">
        <f>SUMPRODUCT($CA85:$DV85,INDEX('MC MAP'!$DA$5:$EV$30,1,0))</f>
        <v>34</v>
      </c>
      <c r="C85" s="2">
        <f>SUMPRODUCT($CA85:$DV85,INDEX('MC MAP'!$DA$5:$EV$30,2,0))</f>
        <v>1</v>
      </c>
      <c r="D85" s="2">
        <f>SUMPRODUCT($CA85:$DV85,INDEX('MC MAP'!$DA$5:$EV$30,3,0))</f>
        <v>0</v>
      </c>
      <c r="E85" s="2">
        <f>SUMPRODUCT($CA85:$DV85,INDEX('MC MAP'!$DA$5:$EV$30,4,0))</f>
        <v>2</v>
      </c>
      <c r="F85" s="2">
        <f>SUMPRODUCT($CA85:$DV85,INDEX('MC MAP'!$DA$5:$EV$30,5,0))</f>
        <v>17</v>
      </c>
      <c r="G85" s="2">
        <f>SUMPRODUCT($CA85:$DV85,INDEX('MC MAP'!$DA$5:$EV$30,6,0))</f>
        <v>0</v>
      </c>
      <c r="H85" s="2">
        <f>SUMPRODUCT($CA85:$DV85,INDEX('MC MAP'!$DA$5:$EV$30,7,0))</f>
        <v>0</v>
      </c>
      <c r="I85" s="2">
        <f>SUMPRODUCT($CA85:$DV85,INDEX('MC MAP'!$DA$5:$EV$30,8,0))</f>
        <v>1</v>
      </c>
      <c r="J85" s="2">
        <f>SUMPRODUCT($CA85:$DV85,INDEX('MC MAP'!$DA$5:$EV$30,9,0))</f>
        <v>3.5</v>
      </c>
      <c r="K85" s="2">
        <f>SUMPRODUCT($CA85:$DV85,INDEX('MC MAP'!$DA$5:$EV$30,10,0))</f>
        <v>0</v>
      </c>
      <c r="L85" s="2">
        <f>SUMPRODUCT($CA85:$DV85,INDEX('MC MAP'!$DA$5:$EV$30,11,0))</f>
        <v>0</v>
      </c>
      <c r="M85" s="2">
        <f>SUMPRODUCT($CA85:$DV85,INDEX('MC MAP'!$DA$5:$EV$30,12,0))</f>
        <v>1</v>
      </c>
      <c r="N85" s="2">
        <f>SUMPRODUCT($CA85:$DV85,INDEX('MC MAP'!$DA$5:$EV$30,13,0))</f>
        <v>0</v>
      </c>
      <c r="O85" s="2">
        <f>SUMPRODUCT($CA85:$DV85,INDEX('MC MAP'!$DA$5:$EV$30,14,0))</f>
        <v>0</v>
      </c>
      <c r="P85" s="2">
        <f>SUMPRODUCT($CA85:$DV85,INDEX('MC MAP'!$DA$5:$EV$30,15,0))</f>
        <v>1</v>
      </c>
      <c r="Q85" s="2">
        <f>SUMPRODUCT($CA85:$DV85,INDEX('MC MAP'!$DA$5:$EV$30,16,0))</f>
        <v>0</v>
      </c>
      <c r="R85" s="2">
        <f>SUMPRODUCT($CA85:$DV85,INDEX('MC MAP'!$DA$5:$EV$30,17,0))</f>
        <v>3</v>
      </c>
      <c r="S85" s="2">
        <f>SUMPRODUCT($CA85:$DV85,INDEX('MC MAP'!$DA$5:$EV$30,18,0))</f>
        <v>0</v>
      </c>
      <c r="T85" s="2">
        <f>SUMPRODUCT($CA85:$DV85,INDEX('MC MAP'!$DA$5:$EV$30,19,0))</f>
        <v>0</v>
      </c>
      <c r="U85" s="2">
        <f>SUMPRODUCT($CA85:$DV85,INDEX('MC MAP'!$DA$5:$EV$30,20,0))</f>
        <v>5</v>
      </c>
      <c r="V85" s="2">
        <f>SUMPRODUCT($CA85:$DV85,INDEX('MC MAP'!$DA$5:$EV$30,21,0))</f>
        <v>2</v>
      </c>
      <c r="W85" s="2">
        <f>SUMPRODUCT($CA85:$DV85,INDEX('MC MAP'!$DA$5:$EV$30,22,0))</f>
        <v>2</v>
      </c>
      <c r="X85" s="2">
        <f>SUMPRODUCT($CA85:$DV85,INDEX('MC MAP'!$DA$5:$EV$30,23,0))</f>
        <v>0</v>
      </c>
      <c r="Y85" s="2">
        <f>SUMPRODUCT($CA85:$DV85,INDEX('MC MAP'!$DA$5:$EV$30,24,0))</f>
        <v>2</v>
      </c>
      <c r="Z85" s="2">
        <f>SUMPRODUCT($CA85:$DV85,INDEX('MC MAP'!$DA$5:$EV$30,25,0))</f>
        <v>0</v>
      </c>
      <c r="AA85" s="2">
        <f>SUMPRODUCT($CA85:$DV85,INDEX('MC MAP'!$DA$5:$EV$30,26,0))</f>
        <v>0</v>
      </c>
      <c r="AB85" s="2">
        <f>SUM($B85:$AA85)</f>
        <v>74.5</v>
      </c>
      <c r="AC85" s="2">
        <f>SUM($CA85:$DV85)+$AW85</f>
        <v>2</v>
      </c>
      <c r="AW85" s="2">
        <f>IF($A85=0,0,COUNTIF(INDEX('LINE PLAN'!$B$36:$GS$61,0,ROW()-3),"THERMAL - NOT SPECIFIED"))</f>
        <v>0</v>
      </c>
      <c r="AX85" s="506" cm="1">
        <f t="array" ref="AX85">IF(OR($AB85=0,UPPER($BS85)&lt;&gt;"Y"),0,SUMPRODUCT(--($B85:$AA85&gt;$B$205:$AA$205)))</f>
        <v>0</v>
      </c>
      <c r="AY85" s="507">
        <f>$A85</f>
        <v>46316</v>
      </c>
      <c r="AZ85" s="2">
        <f>$AB85</f>
        <v>74.5</v>
      </c>
      <c r="BA85" s="2">
        <f>'MC MASTER'!$C$29</f>
        <v>920</v>
      </c>
      <c r="BQ85" s="509">
        <f>$A85</f>
        <v>46316</v>
      </c>
      <c r="BR85" s="15" t="str">
        <f>TEXT($A85,"ddd")</f>
        <v>Wed</v>
      </c>
      <c r="BS85" s="547" t="s">
        <v>391</v>
      </c>
      <c r="BT85" s="15">
        <f>IF(UPPER($BS85)="Y",$AB85,0)</f>
        <v>74.5</v>
      </c>
      <c r="CA85" s="2">
        <f>COUNTIF(INDEX('LINE PLAN'!$B$36:$GS$61,0,ROW()-3),CA$3)</f>
        <v>1</v>
      </c>
      <c r="CB85" s="2">
        <f>COUNTIF(INDEX('LINE PLAN'!$B$36:$GS$61,0,ROW()-3),CB$3)</f>
        <v>1</v>
      </c>
      <c r="CC85" s="2">
        <f>COUNTIF(INDEX('LINE PLAN'!$B$36:$GS$61,0,ROW()-3),CC$3)</f>
        <v>0</v>
      </c>
      <c r="CD85" s="2">
        <f>COUNTIF(INDEX('LINE PLAN'!$B$36:$GS$61,0,ROW()-3),CD$3)</f>
        <v>0</v>
      </c>
      <c r="CE85" s="2">
        <f>COUNTIF(INDEX('LINE PLAN'!$B$36:$GS$61,0,ROW()-3),CE$3)</f>
        <v>0</v>
      </c>
      <c r="CF85" s="2">
        <f>COUNTIF(INDEX('LINE PLAN'!$B$36:$GS$61,0,ROW()-3),CF$3)</f>
        <v>0</v>
      </c>
      <c r="CG85" s="2">
        <f>COUNTIF(INDEX('LINE PLAN'!$B$36:$GS$61,0,ROW()-3),CG$3)</f>
        <v>0</v>
      </c>
      <c r="CH85" s="2">
        <f>COUNTIF(INDEX('LINE PLAN'!$B$36:$GS$61,0,ROW()-3),CH$3)</f>
        <v>0</v>
      </c>
      <c r="CI85" s="2">
        <f>COUNTIF(INDEX('LINE PLAN'!$B$36:$GS$61,0,ROW()-3),CI$3)</f>
        <v>0</v>
      </c>
      <c r="CJ85" s="2">
        <f>COUNTIF(INDEX('LINE PLAN'!$B$36:$GS$61,0,ROW()-3),CJ$3)</f>
        <v>0</v>
      </c>
      <c r="CK85" s="2">
        <f>COUNTIF(INDEX('LINE PLAN'!$B$36:$GS$61,0,ROW()-3),CK$3)</f>
        <v>0</v>
      </c>
      <c r="CL85" s="2">
        <f>COUNTIF(INDEX('LINE PLAN'!$B$36:$GS$61,0,ROW()-3),CL$3)</f>
        <v>0</v>
      </c>
      <c r="CM85" s="2">
        <f>COUNTIF(INDEX('LINE PLAN'!$B$36:$GS$61,0,ROW()-3),CM$3)</f>
        <v>0</v>
      </c>
      <c r="CN85" s="2">
        <f>COUNTIF(INDEX('LINE PLAN'!$B$36:$GS$61,0,ROW()-3),CN$3)</f>
        <v>0</v>
      </c>
      <c r="CO85" s="2">
        <f>COUNTIF(INDEX('LINE PLAN'!$B$36:$GS$61,0,ROW()-3),CO$3)</f>
        <v>0</v>
      </c>
      <c r="CP85" s="2">
        <f>COUNTIF(INDEX('LINE PLAN'!$B$36:$GS$61,0,ROW()-3),CP$3)</f>
        <v>0</v>
      </c>
      <c r="CQ85" s="2">
        <f>COUNTIF(INDEX('LINE PLAN'!$B$36:$GS$61,0,ROW()-3),CQ$3)</f>
        <v>0</v>
      </c>
      <c r="CR85" s="2">
        <f>COUNTIF(INDEX('LINE PLAN'!$B$36:$GS$61,0,ROW()-3),CR$3)</f>
        <v>0</v>
      </c>
      <c r="CS85" s="2">
        <f>COUNTIF(INDEX('LINE PLAN'!$B$36:$GS$61,0,ROW()-3),CS$3)</f>
        <v>0</v>
      </c>
      <c r="CT85" s="2">
        <f>COUNTIF(INDEX('LINE PLAN'!$B$36:$GS$61,0,ROW()-3),CT$3)</f>
        <v>0</v>
      </c>
      <c r="CU85" s="2">
        <f>COUNTIF(INDEX('LINE PLAN'!$B$36:$GS$61,0,ROW()-3),CU$3)</f>
        <v>0</v>
      </c>
      <c r="CV85" s="2">
        <f>COUNTIF(INDEX('LINE PLAN'!$B$36:$GS$61,0,ROW()-3),CV$3)</f>
        <v>0</v>
      </c>
      <c r="CW85" s="2">
        <f>COUNTIF(INDEX('LINE PLAN'!$B$36:$GS$61,0,ROW()-3),CW$3)</f>
        <v>0</v>
      </c>
      <c r="CX85" s="2">
        <f>COUNTIF(INDEX('LINE PLAN'!$B$36:$GS$61,0,ROW()-3),CX$3)</f>
        <v>0</v>
      </c>
      <c r="CY85" s="2">
        <f>COUNTIF(INDEX('LINE PLAN'!$B$36:$GS$61,0,ROW()-3),CY$3)</f>
        <v>0</v>
      </c>
      <c r="CZ85" s="2">
        <f>COUNTIF(INDEX('LINE PLAN'!$B$36:$GS$61,0,ROW()-3),CZ$3)</f>
        <v>0</v>
      </c>
      <c r="DA85" s="2">
        <f>COUNTIF(INDEX('LINE PLAN'!$B$36:$GS$61,0,ROW()-3),DA$3)</f>
        <v>0</v>
      </c>
      <c r="DB85" s="2">
        <f>COUNTIF(INDEX('LINE PLAN'!$B$36:$GS$61,0,ROW()-3),DB$3)</f>
        <v>0</v>
      </c>
      <c r="DC85" s="2">
        <f>COUNTIF(INDEX('LINE PLAN'!$B$36:$GS$61,0,ROW()-3),DC$3)</f>
        <v>0</v>
      </c>
      <c r="DD85" s="2">
        <f>COUNTIF(INDEX('LINE PLAN'!$B$36:$GS$61,0,ROW()-3),DD$3)</f>
        <v>0</v>
      </c>
      <c r="DE85" s="2">
        <f>COUNTIF(INDEX('LINE PLAN'!$B$36:$GS$61,0,ROW()-3),DE$3)</f>
        <v>0</v>
      </c>
      <c r="DF85" s="2">
        <f>COUNTIF(INDEX('LINE PLAN'!$B$36:$GS$61,0,ROW()-3),DF$3)</f>
        <v>0</v>
      </c>
      <c r="DG85" s="2">
        <f>COUNTIF(INDEX('LINE PLAN'!$B$36:$GS$61,0,ROW()-3),DG$3)</f>
        <v>0</v>
      </c>
      <c r="DH85" s="2">
        <f>COUNTIF(INDEX('LINE PLAN'!$B$36:$GS$61,0,ROW()-3),DH$3)</f>
        <v>0</v>
      </c>
      <c r="DI85" s="2">
        <f>COUNTIF(INDEX('LINE PLAN'!$B$36:$GS$61,0,ROW()-3),DI$3)</f>
        <v>0</v>
      </c>
      <c r="DJ85" s="2">
        <f>COUNTIF(INDEX('LINE PLAN'!$B$36:$GS$61,0,ROW()-3),DJ$3)</f>
        <v>0</v>
      </c>
      <c r="DK85" s="2">
        <f>COUNTIF(INDEX('LINE PLAN'!$B$36:$GS$61,0,ROW()-3),DK$3)</f>
        <v>0</v>
      </c>
      <c r="DL85" s="2">
        <f>COUNTIF(INDEX('LINE PLAN'!$B$36:$GS$61,0,ROW()-3),DL$3)</f>
        <v>0</v>
      </c>
      <c r="DM85" s="2">
        <f>COUNTIF(INDEX('LINE PLAN'!$B$36:$GS$61,0,ROW()-3),DM$3)</f>
        <v>0</v>
      </c>
      <c r="DN85" s="2">
        <f>COUNTIF(INDEX('LINE PLAN'!$B$36:$GS$61,0,ROW()-3),DN$3)</f>
        <v>0</v>
      </c>
      <c r="DO85" s="2">
        <f>COUNTIF(INDEX('LINE PLAN'!$B$36:$GS$61,0,ROW()-3),DO$3)</f>
        <v>0</v>
      </c>
      <c r="DP85" s="2">
        <f>COUNTIF(INDEX('LINE PLAN'!$B$36:$GS$61,0,ROW()-3),DP$3)</f>
        <v>0</v>
      </c>
      <c r="DQ85" s="2">
        <f>COUNTIF(INDEX('LINE PLAN'!$B$36:$GS$61,0,ROW()-3),DQ$3)</f>
        <v>0</v>
      </c>
      <c r="DR85" s="2">
        <f>COUNTIF(INDEX('LINE PLAN'!$B$36:$GS$61,0,ROW()-3),DR$3)</f>
        <v>0</v>
      </c>
      <c r="DS85" s="2">
        <f>COUNTIF(INDEX('LINE PLAN'!$B$36:$GS$61,0,ROW()-3),DS$3)</f>
        <v>0</v>
      </c>
      <c r="DT85" s="2">
        <f>COUNTIF(INDEX('LINE PLAN'!$B$36:$GS$61,0,ROW()-3),DT$3)</f>
        <v>0</v>
      </c>
      <c r="DU85" s="2">
        <f>COUNTIF(INDEX('LINE PLAN'!$B$36:$GS$61,0,ROW()-3),DU$3)</f>
        <v>0</v>
      </c>
      <c r="DV85" s="2">
        <f>COUNTIF(INDEX('LINE PLAN'!$B$36:$GS$61,0,ROW()-3),DV$3)</f>
        <v>0</v>
      </c>
    </row>
    <row r="86" spans="1:126">
      <c r="A86" s="505" cm="1">
        <f t="array" ref="A86">INDEX('LINE PLAN'!$B$35:$GS$35,ROW()-3)</f>
        <v>46317</v>
      </c>
      <c r="B86" s="2">
        <f>SUMPRODUCT($CA86:$DV86,INDEX('MC MAP'!$DA$5:$EV$30,1,0))</f>
        <v>21</v>
      </c>
      <c r="C86" s="2">
        <f>SUMPRODUCT($CA86:$DV86,INDEX('MC MAP'!$DA$5:$EV$30,2,0))</f>
        <v>0</v>
      </c>
      <c r="D86" s="2">
        <f>SUMPRODUCT($CA86:$DV86,INDEX('MC MAP'!$DA$5:$EV$30,3,0))</f>
        <v>0</v>
      </c>
      <c r="E86" s="2">
        <f>SUMPRODUCT($CA86:$DV86,INDEX('MC MAP'!$DA$5:$EV$30,4,0))</f>
        <v>1</v>
      </c>
      <c r="F86" s="2">
        <f>SUMPRODUCT($CA86:$DV86,INDEX('MC MAP'!$DA$5:$EV$30,5,0))</f>
        <v>9</v>
      </c>
      <c r="G86" s="2">
        <f>SUMPRODUCT($CA86:$DV86,INDEX('MC MAP'!$DA$5:$EV$30,6,0))</f>
        <v>0</v>
      </c>
      <c r="H86" s="2">
        <f>SUMPRODUCT($CA86:$DV86,INDEX('MC MAP'!$DA$5:$EV$30,7,0))</f>
        <v>0</v>
      </c>
      <c r="I86" s="2">
        <f>SUMPRODUCT($CA86:$DV86,INDEX('MC MAP'!$DA$5:$EV$30,8,0))</f>
        <v>0</v>
      </c>
      <c r="J86" s="2">
        <f>SUMPRODUCT($CA86:$DV86,INDEX('MC MAP'!$DA$5:$EV$30,9,0))</f>
        <v>1.5</v>
      </c>
      <c r="K86" s="2">
        <f>SUMPRODUCT($CA86:$DV86,INDEX('MC MAP'!$DA$5:$EV$30,10,0))</f>
        <v>0</v>
      </c>
      <c r="L86" s="2">
        <f>SUMPRODUCT($CA86:$DV86,INDEX('MC MAP'!$DA$5:$EV$30,11,0))</f>
        <v>0</v>
      </c>
      <c r="M86" s="2">
        <f>SUMPRODUCT($CA86:$DV86,INDEX('MC MAP'!$DA$5:$EV$30,12,0))</f>
        <v>0</v>
      </c>
      <c r="N86" s="2">
        <f>SUMPRODUCT($CA86:$DV86,INDEX('MC MAP'!$DA$5:$EV$30,13,0))</f>
        <v>0</v>
      </c>
      <c r="O86" s="2">
        <f>SUMPRODUCT($CA86:$DV86,INDEX('MC MAP'!$DA$5:$EV$30,14,0))</f>
        <v>0</v>
      </c>
      <c r="P86" s="2">
        <f>SUMPRODUCT($CA86:$DV86,INDEX('MC MAP'!$DA$5:$EV$30,15,0))</f>
        <v>0</v>
      </c>
      <c r="Q86" s="2">
        <f>SUMPRODUCT($CA86:$DV86,INDEX('MC MAP'!$DA$5:$EV$30,16,0))</f>
        <v>0</v>
      </c>
      <c r="R86" s="2">
        <f>SUMPRODUCT($CA86:$DV86,INDEX('MC MAP'!$DA$5:$EV$30,17,0))</f>
        <v>1</v>
      </c>
      <c r="S86" s="2">
        <f>SUMPRODUCT($CA86:$DV86,INDEX('MC MAP'!$DA$5:$EV$30,18,0))</f>
        <v>0</v>
      </c>
      <c r="T86" s="2">
        <f>SUMPRODUCT($CA86:$DV86,INDEX('MC MAP'!$DA$5:$EV$30,19,0))</f>
        <v>0</v>
      </c>
      <c r="U86" s="2">
        <f>SUMPRODUCT($CA86:$DV86,INDEX('MC MAP'!$DA$5:$EV$30,20,0))</f>
        <v>2</v>
      </c>
      <c r="V86" s="2">
        <f>SUMPRODUCT($CA86:$DV86,INDEX('MC MAP'!$DA$5:$EV$30,21,0))</f>
        <v>0</v>
      </c>
      <c r="W86" s="2">
        <f>SUMPRODUCT($CA86:$DV86,INDEX('MC MAP'!$DA$5:$EV$30,22,0))</f>
        <v>1</v>
      </c>
      <c r="X86" s="2">
        <f>SUMPRODUCT($CA86:$DV86,INDEX('MC MAP'!$DA$5:$EV$30,23,0))</f>
        <v>0</v>
      </c>
      <c r="Y86" s="2">
        <f>SUMPRODUCT($CA86:$DV86,INDEX('MC MAP'!$DA$5:$EV$30,24,0))</f>
        <v>1</v>
      </c>
      <c r="Z86" s="2">
        <f>SUMPRODUCT($CA86:$DV86,INDEX('MC MAP'!$DA$5:$EV$30,25,0))</f>
        <v>0</v>
      </c>
      <c r="AA86" s="2">
        <f>SUMPRODUCT($CA86:$DV86,INDEX('MC MAP'!$DA$5:$EV$30,26,0))</f>
        <v>0</v>
      </c>
      <c r="AB86" s="2">
        <f>SUM($B86:$AA86)</f>
        <v>37.5</v>
      </c>
      <c r="AC86" s="2">
        <f>SUM($CA86:$DV86)+$AW86</f>
        <v>2</v>
      </c>
      <c r="AW86" s="2">
        <f>IF($A86=0,0,COUNTIF(INDEX('LINE PLAN'!$B$36:$GS$61,0,ROW()-3),"THERMAL - NOT SPECIFIED"))</f>
        <v>0</v>
      </c>
      <c r="AX86" s="506" cm="1">
        <f t="array" ref="AX86">IF(OR($AB86=0,UPPER($BS86)&lt;&gt;"Y"),0,SUMPRODUCT(--($B86:$AA86&gt;$B$205:$AA$205)))</f>
        <v>0</v>
      </c>
      <c r="AY86" s="507">
        <f>$A86</f>
        <v>46317</v>
      </c>
      <c r="AZ86" s="2">
        <f>$AB86</f>
        <v>37.5</v>
      </c>
      <c r="BA86" s="2">
        <f>'MC MASTER'!$C$29</f>
        <v>920</v>
      </c>
      <c r="BQ86" s="509">
        <f>$A86</f>
        <v>46317</v>
      </c>
      <c r="BR86" s="15" t="str">
        <f>TEXT($A86,"ddd")</f>
        <v>Thu</v>
      </c>
      <c r="BS86" s="547" t="s">
        <v>391</v>
      </c>
      <c r="BT86" s="15">
        <f>IF(UPPER($BS86)="Y",$AB86,0)</f>
        <v>37.5</v>
      </c>
      <c r="CA86" s="2">
        <f>COUNTIF(INDEX('LINE PLAN'!$B$36:$GS$61,0,ROW()-3),CA$3)</f>
        <v>0</v>
      </c>
      <c r="CB86" s="2">
        <f>COUNTIF(INDEX('LINE PLAN'!$B$36:$GS$61,0,ROW()-3),CB$3)</f>
        <v>1</v>
      </c>
      <c r="CC86" s="2">
        <f>COUNTIF(INDEX('LINE PLAN'!$B$36:$GS$61,0,ROW()-3),CC$3)</f>
        <v>0</v>
      </c>
      <c r="CD86" s="2">
        <f>COUNTIF(INDEX('LINE PLAN'!$B$36:$GS$61,0,ROW()-3),CD$3)</f>
        <v>0</v>
      </c>
      <c r="CE86" s="2">
        <f>COUNTIF(INDEX('LINE PLAN'!$B$36:$GS$61,0,ROW()-3),CE$3)</f>
        <v>0</v>
      </c>
      <c r="CF86" s="2">
        <f>COUNTIF(INDEX('LINE PLAN'!$B$36:$GS$61,0,ROW()-3),CF$3)</f>
        <v>0</v>
      </c>
      <c r="CG86" s="2">
        <f>COUNTIF(INDEX('LINE PLAN'!$B$36:$GS$61,0,ROW()-3),CG$3)</f>
        <v>0</v>
      </c>
      <c r="CH86" s="2">
        <f>COUNTIF(INDEX('LINE PLAN'!$B$36:$GS$61,0,ROW()-3),CH$3)</f>
        <v>0</v>
      </c>
      <c r="CI86" s="2">
        <f>COUNTIF(INDEX('LINE PLAN'!$B$36:$GS$61,0,ROW()-3),CI$3)</f>
        <v>0</v>
      </c>
      <c r="CJ86" s="2">
        <f>COUNTIF(INDEX('LINE PLAN'!$B$36:$GS$61,0,ROW()-3),CJ$3)</f>
        <v>0</v>
      </c>
      <c r="CK86" s="2">
        <f>COUNTIF(INDEX('LINE PLAN'!$B$36:$GS$61,0,ROW()-3),CK$3)</f>
        <v>0</v>
      </c>
      <c r="CL86" s="2">
        <f>COUNTIF(INDEX('LINE PLAN'!$B$36:$GS$61,0,ROW()-3),CL$3)</f>
        <v>0</v>
      </c>
      <c r="CM86" s="2">
        <f>COUNTIF(INDEX('LINE PLAN'!$B$36:$GS$61,0,ROW()-3),CM$3)</f>
        <v>1</v>
      </c>
      <c r="CN86" s="2">
        <f>COUNTIF(INDEX('LINE PLAN'!$B$36:$GS$61,0,ROW()-3),CN$3)</f>
        <v>0</v>
      </c>
      <c r="CO86" s="2">
        <f>COUNTIF(INDEX('LINE PLAN'!$B$36:$GS$61,0,ROW()-3),CO$3)</f>
        <v>0</v>
      </c>
      <c r="CP86" s="2">
        <f>COUNTIF(INDEX('LINE PLAN'!$B$36:$GS$61,0,ROW()-3),CP$3)</f>
        <v>0</v>
      </c>
      <c r="CQ86" s="2">
        <f>COUNTIF(INDEX('LINE PLAN'!$B$36:$GS$61,0,ROW()-3),CQ$3)</f>
        <v>0</v>
      </c>
      <c r="CR86" s="2">
        <f>COUNTIF(INDEX('LINE PLAN'!$B$36:$GS$61,0,ROW()-3),CR$3)</f>
        <v>0</v>
      </c>
      <c r="CS86" s="2">
        <f>COUNTIF(INDEX('LINE PLAN'!$B$36:$GS$61,0,ROW()-3),CS$3)</f>
        <v>0</v>
      </c>
      <c r="CT86" s="2">
        <f>COUNTIF(INDEX('LINE PLAN'!$B$36:$GS$61,0,ROW()-3),CT$3)</f>
        <v>0</v>
      </c>
      <c r="CU86" s="2">
        <f>COUNTIF(INDEX('LINE PLAN'!$B$36:$GS$61,0,ROW()-3),CU$3)</f>
        <v>0</v>
      </c>
      <c r="CV86" s="2">
        <f>COUNTIF(INDEX('LINE PLAN'!$B$36:$GS$61,0,ROW()-3),CV$3)</f>
        <v>0</v>
      </c>
      <c r="CW86" s="2">
        <f>COUNTIF(INDEX('LINE PLAN'!$B$36:$GS$61,0,ROW()-3),CW$3)</f>
        <v>0</v>
      </c>
      <c r="CX86" s="2">
        <f>COUNTIF(INDEX('LINE PLAN'!$B$36:$GS$61,0,ROW()-3),CX$3)</f>
        <v>0</v>
      </c>
      <c r="CY86" s="2">
        <f>COUNTIF(INDEX('LINE PLAN'!$B$36:$GS$61,0,ROW()-3),CY$3)</f>
        <v>0</v>
      </c>
      <c r="CZ86" s="2">
        <f>COUNTIF(INDEX('LINE PLAN'!$B$36:$GS$61,0,ROW()-3),CZ$3)</f>
        <v>0</v>
      </c>
      <c r="DA86" s="2">
        <f>COUNTIF(INDEX('LINE PLAN'!$B$36:$GS$61,0,ROW()-3),DA$3)</f>
        <v>0</v>
      </c>
      <c r="DB86" s="2">
        <f>COUNTIF(INDEX('LINE PLAN'!$B$36:$GS$61,0,ROW()-3),DB$3)</f>
        <v>0</v>
      </c>
      <c r="DC86" s="2">
        <f>COUNTIF(INDEX('LINE PLAN'!$B$36:$GS$61,0,ROW()-3),DC$3)</f>
        <v>0</v>
      </c>
      <c r="DD86" s="2">
        <f>COUNTIF(INDEX('LINE PLAN'!$B$36:$GS$61,0,ROW()-3),DD$3)</f>
        <v>0</v>
      </c>
      <c r="DE86" s="2">
        <f>COUNTIF(INDEX('LINE PLAN'!$B$36:$GS$61,0,ROW()-3),DE$3)</f>
        <v>0</v>
      </c>
      <c r="DF86" s="2">
        <f>COUNTIF(INDEX('LINE PLAN'!$B$36:$GS$61,0,ROW()-3),DF$3)</f>
        <v>0</v>
      </c>
      <c r="DG86" s="2">
        <f>COUNTIF(INDEX('LINE PLAN'!$B$36:$GS$61,0,ROW()-3),DG$3)</f>
        <v>0</v>
      </c>
      <c r="DH86" s="2">
        <f>COUNTIF(INDEX('LINE PLAN'!$B$36:$GS$61,0,ROW()-3),DH$3)</f>
        <v>0</v>
      </c>
      <c r="DI86" s="2">
        <f>COUNTIF(INDEX('LINE PLAN'!$B$36:$GS$61,0,ROW()-3),DI$3)</f>
        <v>0</v>
      </c>
      <c r="DJ86" s="2">
        <f>COUNTIF(INDEX('LINE PLAN'!$B$36:$GS$61,0,ROW()-3),DJ$3)</f>
        <v>0</v>
      </c>
      <c r="DK86" s="2">
        <f>COUNTIF(INDEX('LINE PLAN'!$B$36:$GS$61,0,ROW()-3),DK$3)</f>
        <v>0</v>
      </c>
      <c r="DL86" s="2">
        <f>COUNTIF(INDEX('LINE PLAN'!$B$36:$GS$61,0,ROW()-3),DL$3)</f>
        <v>0</v>
      </c>
      <c r="DM86" s="2">
        <f>COUNTIF(INDEX('LINE PLAN'!$B$36:$GS$61,0,ROW()-3),DM$3)</f>
        <v>0</v>
      </c>
      <c r="DN86" s="2">
        <f>COUNTIF(INDEX('LINE PLAN'!$B$36:$GS$61,0,ROW()-3),DN$3)</f>
        <v>0</v>
      </c>
      <c r="DO86" s="2">
        <f>COUNTIF(INDEX('LINE PLAN'!$B$36:$GS$61,0,ROW()-3),DO$3)</f>
        <v>0</v>
      </c>
      <c r="DP86" s="2">
        <f>COUNTIF(INDEX('LINE PLAN'!$B$36:$GS$61,0,ROW()-3),DP$3)</f>
        <v>0</v>
      </c>
      <c r="DQ86" s="2">
        <f>COUNTIF(INDEX('LINE PLAN'!$B$36:$GS$61,0,ROW()-3),DQ$3)</f>
        <v>0</v>
      </c>
      <c r="DR86" s="2">
        <f>COUNTIF(INDEX('LINE PLAN'!$B$36:$GS$61,0,ROW()-3),DR$3)</f>
        <v>0</v>
      </c>
      <c r="DS86" s="2">
        <f>COUNTIF(INDEX('LINE PLAN'!$B$36:$GS$61,0,ROW()-3),DS$3)</f>
        <v>0</v>
      </c>
      <c r="DT86" s="2">
        <f>COUNTIF(INDEX('LINE PLAN'!$B$36:$GS$61,0,ROW()-3),DT$3)</f>
        <v>0</v>
      </c>
      <c r="DU86" s="2">
        <f>COUNTIF(INDEX('LINE PLAN'!$B$36:$GS$61,0,ROW()-3),DU$3)</f>
        <v>0</v>
      </c>
      <c r="DV86" s="2">
        <f>COUNTIF(INDEX('LINE PLAN'!$B$36:$GS$61,0,ROW()-3),DV$3)</f>
        <v>0</v>
      </c>
    </row>
    <row r="87" spans="1:126">
      <c r="A87" s="505" cm="1">
        <f t="array" ref="A87">INDEX('LINE PLAN'!$B$35:$GS$35,ROW()-3)</f>
        <v>46318</v>
      </c>
      <c r="B87" s="2">
        <f>SUMPRODUCT($CA87:$DV87,INDEX('MC MAP'!$DA$5:$EV$30,1,0))</f>
        <v>0</v>
      </c>
      <c r="C87" s="2">
        <f>SUMPRODUCT($CA87:$DV87,INDEX('MC MAP'!$DA$5:$EV$30,2,0))</f>
        <v>0</v>
      </c>
      <c r="D87" s="2">
        <f>SUMPRODUCT($CA87:$DV87,INDEX('MC MAP'!$DA$5:$EV$30,3,0))</f>
        <v>0</v>
      </c>
      <c r="E87" s="2">
        <f>SUMPRODUCT($CA87:$DV87,INDEX('MC MAP'!$DA$5:$EV$30,4,0))</f>
        <v>0</v>
      </c>
      <c r="F87" s="2">
        <f>SUMPRODUCT($CA87:$DV87,INDEX('MC MAP'!$DA$5:$EV$30,5,0))</f>
        <v>0</v>
      </c>
      <c r="G87" s="2">
        <f>SUMPRODUCT($CA87:$DV87,INDEX('MC MAP'!$DA$5:$EV$30,6,0))</f>
        <v>0</v>
      </c>
      <c r="H87" s="2">
        <f>SUMPRODUCT($CA87:$DV87,INDEX('MC MAP'!$DA$5:$EV$30,7,0))</f>
        <v>0</v>
      </c>
      <c r="I87" s="2">
        <f>SUMPRODUCT($CA87:$DV87,INDEX('MC MAP'!$DA$5:$EV$30,8,0))</f>
        <v>0</v>
      </c>
      <c r="J87" s="2">
        <f>SUMPRODUCT($CA87:$DV87,INDEX('MC MAP'!$DA$5:$EV$30,9,0))</f>
        <v>0</v>
      </c>
      <c r="K87" s="2">
        <f>SUMPRODUCT($CA87:$DV87,INDEX('MC MAP'!$DA$5:$EV$30,10,0))</f>
        <v>0</v>
      </c>
      <c r="L87" s="2">
        <f>SUMPRODUCT($CA87:$DV87,INDEX('MC MAP'!$DA$5:$EV$30,11,0))</f>
        <v>0</v>
      </c>
      <c r="M87" s="2">
        <f>SUMPRODUCT($CA87:$DV87,INDEX('MC MAP'!$DA$5:$EV$30,12,0))</f>
        <v>0</v>
      </c>
      <c r="N87" s="2">
        <f>SUMPRODUCT($CA87:$DV87,INDEX('MC MAP'!$DA$5:$EV$30,13,0))</f>
        <v>0</v>
      </c>
      <c r="O87" s="2">
        <f>SUMPRODUCT($CA87:$DV87,INDEX('MC MAP'!$DA$5:$EV$30,14,0))</f>
        <v>0</v>
      </c>
      <c r="P87" s="2">
        <f>SUMPRODUCT($CA87:$DV87,INDEX('MC MAP'!$DA$5:$EV$30,15,0))</f>
        <v>0</v>
      </c>
      <c r="Q87" s="2">
        <f>SUMPRODUCT($CA87:$DV87,INDEX('MC MAP'!$DA$5:$EV$30,16,0))</f>
        <v>0</v>
      </c>
      <c r="R87" s="2">
        <f>SUMPRODUCT($CA87:$DV87,INDEX('MC MAP'!$DA$5:$EV$30,17,0))</f>
        <v>0</v>
      </c>
      <c r="S87" s="2">
        <f>SUMPRODUCT($CA87:$DV87,INDEX('MC MAP'!$DA$5:$EV$30,18,0))</f>
        <v>0</v>
      </c>
      <c r="T87" s="2">
        <f>SUMPRODUCT($CA87:$DV87,INDEX('MC MAP'!$DA$5:$EV$30,19,0))</f>
        <v>0</v>
      </c>
      <c r="U87" s="2">
        <f>SUMPRODUCT($CA87:$DV87,INDEX('MC MAP'!$DA$5:$EV$30,20,0))</f>
        <v>0</v>
      </c>
      <c r="V87" s="2">
        <f>SUMPRODUCT($CA87:$DV87,INDEX('MC MAP'!$DA$5:$EV$30,21,0))</f>
        <v>0</v>
      </c>
      <c r="W87" s="2">
        <f>SUMPRODUCT($CA87:$DV87,INDEX('MC MAP'!$DA$5:$EV$30,22,0))</f>
        <v>0</v>
      </c>
      <c r="X87" s="2">
        <f>SUMPRODUCT($CA87:$DV87,INDEX('MC MAP'!$DA$5:$EV$30,23,0))</f>
        <v>0</v>
      </c>
      <c r="Y87" s="2">
        <f>SUMPRODUCT($CA87:$DV87,INDEX('MC MAP'!$DA$5:$EV$30,24,0))</f>
        <v>0</v>
      </c>
      <c r="Z87" s="2">
        <f>SUMPRODUCT($CA87:$DV87,INDEX('MC MAP'!$DA$5:$EV$30,25,0))</f>
        <v>0</v>
      </c>
      <c r="AA87" s="2">
        <f>SUMPRODUCT($CA87:$DV87,INDEX('MC MAP'!$DA$5:$EV$30,26,0))</f>
        <v>0</v>
      </c>
      <c r="AB87" s="2">
        <f>SUM($B87:$AA87)</f>
        <v>0</v>
      </c>
      <c r="AC87" s="2">
        <f>SUM($CA87:$DV87)+$AW87</f>
        <v>1</v>
      </c>
      <c r="AW87" s="2">
        <f>IF($A87=0,0,COUNTIF(INDEX('LINE PLAN'!$B$36:$GS$61,0,ROW()-3),"THERMAL - NOT SPECIFIED"))</f>
        <v>0</v>
      </c>
      <c r="AX87" s="506" cm="1">
        <f t="array" ref="AX87">IF(OR($AB87=0,UPPER($BS87)&lt;&gt;"Y"),0,SUMPRODUCT(--($B87:$AA87&gt;$B$205:$AA$205)))</f>
        <v>0</v>
      </c>
      <c r="AY87" s="507">
        <f>$A87</f>
        <v>46318</v>
      </c>
      <c r="AZ87" s="2">
        <f>$AB87</f>
        <v>0</v>
      </c>
      <c r="BA87" s="2">
        <f>'MC MASTER'!$C$29</f>
        <v>920</v>
      </c>
      <c r="BQ87" s="509">
        <f>$A87</f>
        <v>46318</v>
      </c>
      <c r="BR87" s="15" t="str">
        <f>TEXT($A87,"ddd")</f>
        <v>Fri</v>
      </c>
      <c r="BS87" s="547" t="s">
        <v>391</v>
      </c>
      <c r="BT87" s="15">
        <f>IF(UPPER($BS87)="Y",$AB87,0)</f>
        <v>0</v>
      </c>
      <c r="CA87" s="2">
        <f>COUNTIF(INDEX('LINE PLAN'!$B$36:$GS$61,0,ROW()-3),CA$3)</f>
        <v>0</v>
      </c>
      <c r="CB87" s="2">
        <f>COUNTIF(INDEX('LINE PLAN'!$B$36:$GS$61,0,ROW()-3),CB$3)</f>
        <v>0</v>
      </c>
      <c r="CC87" s="2">
        <f>COUNTIF(INDEX('LINE PLAN'!$B$36:$GS$61,0,ROW()-3),CC$3)</f>
        <v>0</v>
      </c>
      <c r="CD87" s="2">
        <f>COUNTIF(INDEX('LINE PLAN'!$B$36:$GS$61,0,ROW()-3),CD$3)</f>
        <v>0</v>
      </c>
      <c r="CE87" s="2">
        <f>COUNTIF(INDEX('LINE PLAN'!$B$36:$GS$61,0,ROW()-3),CE$3)</f>
        <v>0</v>
      </c>
      <c r="CF87" s="2">
        <f>COUNTIF(INDEX('LINE PLAN'!$B$36:$GS$61,0,ROW()-3),CF$3)</f>
        <v>0</v>
      </c>
      <c r="CG87" s="2">
        <f>COUNTIF(INDEX('LINE PLAN'!$B$36:$GS$61,0,ROW()-3),CG$3)</f>
        <v>0</v>
      </c>
      <c r="CH87" s="2">
        <f>COUNTIF(INDEX('LINE PLAN'!$B$36:$GS$61,0,ROW()-3),CH$3)</f>
        <v>0</v>
      </c>
      <c r="CI87" s="2">
        <f>COUNTIF(INDEX('LINE PLAN'!$B$36:$GS$61,0,ROW()-3),CI$3)</f>
        <v>0</v>
      </c>
      <c r="CJ87" s="2">
        <f>COUNTIF(INDEX('LINE PLAN'!$B$36:$GS$61,0,ROW()-3),CJ$3)</f>
        <v>0</v>
      </c>
      <c r="CK87" s="2">
        <f>COUNTIF(INDEX('LINE PLAN'!$B$36:$GS$61,0,ROW()-3),CK$3)</f>
        <v>0</v>
      </c>
      <c r="CL87" s="2">
        <f>COUNTIF(INDEX('LINE PLAN'!$B$36:$GS$61,0,ROW()-3),CL$3)</f>
        <v>0</v>
      </c>
      <c r="CM87" s="2">
        <f>COUNTIF(INDEX('LINE PLAN'!$B$36:$GS$61,0,ROW()-3),CM$3)</f>
        <v>1</v>
      </c>
      <c r="CN87" s="2">
        <f>COUNTIF(INDEX('LINE PLAN'!$B$36:$GS$61,0,ROW()-3),CN$3)</f>
        <v>0</v>
      </c>
      <c r="CO87" s="2">
        <f>COUNTIF(INDEX('LINE PLAN'!$B$36:$GS$61,0,ROW()-3),CO$3)</f>
        <v>0</v>
      </c>
      <c r="CP87" s="2">
        <f>COUNTIF(INDEX('LINE PLAN'!$B$36:$GS$61,0,ROW()-3),CP$3)</f>
        <v>0</v>
      </c>
      <c r="CQ87" s="2">
        <f>COUNTIF(INDEX('LINE PLAN'!$B$36:$GS$61,0,ROW()-3),CQ$3)</f>
        <v>0</v>
      </c>
      <c r="CR87" s="2">
        <f>COUNTIF(INDEX('LINE PLAN'!$B$36:$GS$61,0,ROW()-3),CR$3)</f>
        <v>0</v>
      </c>
      <c r="CS87" s="2">
        <f>COUNTIF(INDEX('LINE PLAN'!$B$36:$GS$61,0,ROW()-3),CS$3)</f>
        <v>0</v>
      </c>
      <c r="CT87" s="2">
        <f>COUNTIF(INDEX('LINE PLAN'!$B$36:$GS$61,0,ROW()-3),CT$3)</f>
        <v>0</v>
      </c>
      <c r="CU87" s="2">
        <f>COUNTIF(INDEX('LINE PLAN'!$B$36:$GS$61,0,ROW()-3),CU$3)</f>
        <v>0</v>
      </c>
      <c r="CV87" s="2">
        <f>COUNTIF(INDEX('LINE PLAN'!$B$36:$GS$61,0,ROW()-3),CV$3)</f>
        <v>0</v>
      </c>
      <c r="CW87" s="2">
        <f>COUNTIF(INDEX('LINE PLAN'!$B$36:$GS$61,0,ROW()-3),CW$3)</f>
        <v>0</v>
      </c>
      <c r="CX87" s="2">
        <f>COUNTIF(INDEX('LINE PLAN'!$B$36:$GS$61,0,ROW()-3),CX$3)</f>
        <v>0</v>
      </c>
      <c r="CY87" s="2">
        <f>COUNTIF(INDEX('LINE PLAN'!$B$36:$GS$61,0,ROW()-3),CY$3)</f>
        <v>0</v>
      </c>
      <c r="CZ87" s="2">
        <f>COUNTIF(INDEX('LINE PLAN'!$B$36:$GS$61,0,ROW()-3),CZ$3)</f>
        <v>0</v>
      </c>
      <c r="DA87" s="2">
        <f>COUNTIF(INDEX('LINE PLAN'!$B$36:$GS$61,0,ROW()-3),DA$3)</f>
        <v>0</v>
      </c>
      <c r="DB87" s="2">
        <f>COUNTIF(INDEX('LINE PLAN'!$B$36:$GS$61,0,ROW()-3),DB$3)</f>
        <v>0</v>
      </c>
      <c r="DC87" s="2">
        <f>COUNTIF(INDEX('LINE PLAN'!$B$36:$GS$61,0,ROW()-3),DC$3)</f>
        <v>0</v>
      </c>
      <c r="DD87" s="2">
        <f>COUNTIF(INDEX('LINE PLAN'!$B$36:$GS$61,0,ROW()-3),DD$3)</f>
        <v>0</v>
      </c>
      <c r="DE87" s="2">
        <f>COUNTIF(INDEX('LINE PLAN'!$B$36:$GS$61,0,ROW()-3),DE$3)</f>
        <v>0</v>
      </c>
      <c r="DF87" s="2">
        <f>COUNTIF(INDEX('LINE PLAN'!$B$36:$GS$61,0,ROW()-3),DF$3)</f>
        <v>0</v>
      </c>
      <c r="DG87" s="2">
        <f>COUNTIF(INDEX('LINE PLAN'!$B$36:$GS$61,0,ROW()-3),DG$3)</f>
        <v>0</v>
      </c>
      <c r="DH87" s="2">
        <f>COUNTIF(INDEX('LINE PLAN'!$B$36:$GS$61,0,ROW()-3),DH$3)</f>
        <v>0</v>
      </c>
      <c r="DI87" s="2">
        <f>COUNTIF(INDEX('LINE PLAN'!$B$36:$GS$61,0,ROW()-3),DI$3)</f>
        <v>0</v>
      </c>
      <c r="DJ87" s="2">
        <f>COUNTIF(INDEX('LINE PLAN'!$B$36:$GS$61,0,ROW()-3),DJ$3)</f>
        <v>0</v>
      </c>
      <c r="DK87" s="2">
        <f>COUNTIF(INDEX('LINE PLAN'!$B$36:$GS$61,0,ROW()-3),DK$3)</f>
        <v>0</v>
      </c>
      <c r="DL87" s="2">
        <f>COUNTIF(INDEX('LINE PLAN'!$B$36:$GS$61,0,ROW()-3),DL$3)</f>
        <v>0</v>
      </c>
      <c r="DM87" s="2">
        <f>COUNTIF(INDEX('LINE PLAN'!$B$36:$GS$61,0,ROW()-3),DM$3)</f>
        <v>0</v>
      </c>
      <c r="DN87" s="2">
        <f>COUNTIF(INDEX('LINE PLAN'!$B$36:$GS$61,0,ROW()-3),DN$3)</f>
        <v>0</v>
      </c>
      <c r="DO87" s="2">
        <f>COUNTIF(INDEX('LINE PLAN'!$B$36:$GS$61,0,ROW()-3),DO$3)</f>
        <v>0</v>
      </c>
      <c r="DP87" s="2">
        <f>COUNTIF(INDEX('LINE PLAN'!$B$36:$GS$61,0,ROW()-3),DP$3)</f>
        <v>0</v>
      </c>
      <c r="DQ87" s="2">
        <f>COUNTIF(INDEX('LINE PLAN'!$B$36:$GS$61,0,ROW()-3),DQ$3)</f>
        <v>0</v>
      </c>
      <c r="DR87" s="2">
        <f>COUNTIF(INDEX('LINE PLAN'!$B$36:$GS$61,0,ROW()-3),DR$3)</f>
        <v>0</v>
      </c>
      <c r="DS87" s="2">
        <f>COUNTIF(INDEX('LINE PLAN'!$B$36:$GS$61,0,ROW()-3),DS$3)</f>
        <v>0</v>
      </c>
      <c r="DT87" s="2">
        <f>COUNTIF(INDEX('LINE PLAN'!$B$36:$GS$61,0,ROW()-3),DT$3)</f>
        <v>0</v>
      </c>
      <c r="DU87" s="2">
        <f>COUNTIF(INDEX('LINE PLAN'!$B$36:$GS$61,0,ROW()-3),DU$3)</f>
        <v>0</v>
      </c>
      <c r="DV87" s="2">
        <f>COUNTIF(INDEX('LINE PLAN'!$B$36:$GS$61,0,ROW()-3),DV$3)</f>
        <v>0</v>
      </c>
    </row>
    <row r="88" spans="1:126">
      <c r="A88" s="505" cm="1">
        <f t="array" ref="A88">INDEX('LINE PLAN'!$B$35:$GS$35,ROW()-3)</f>
        <v>46319</v>
      </c>
      <c r="B88" s="2">
        <f>SUMPRODUCT($CA88:$DV88,INDEX('MC MAP'!$DA$5:$EV$30,1,0))</f>
        <v>0</v>
      </c>
      <c r="C88" s="2">
        <f>SUMPRODUCT($CA88:$DV88,INDEX('MC MAP'!$DA$5:$EV$30,2,0))</f>
        <v>0</v>
      </c>
      <c r="D88" s="2">
        <f>SUMPRODUCT($CA88:$DV88,INDEX('MC MAP'!$DA$5:$EV$30,3,0))</f>
        <v>0</v>
      </c>
      <c r="E88" s="2">
        <f>SUMPRODUCT($CA88:$DV88,INDEX('MC MAP'!$DA$5:$EV$30,4,0))</f>
        <v>0</v>
      </c>
      <c r="F88" s="2">
        <f>SUMPRODUCT($CA88:$DV88,INDEX('MC MAP'!$DA$5:$EV$30,5,0))</f>
        <v>0</v>
      </c>
      <c r="G88" s="2">
        <f>SUMPRODUCT($CA88:$DV88,INDEX('MC MAP'!$DA$5:$EV$30,6,0))</f>
        <v>0</v>
      </c>
      <c r="H88" s="2">
        <f>SUMPRODUCT($CA88:$DV88,INDEX('MC MAP'!$DA$5:$EV$30,7,0))</f>
        <v>0</v>
      </c>
      <c r="I88" s="2">
        <f>SUMPRODUCT($CA88:$DV88,INDEX('MC MAP'!$DA$5:$EV$30,8,0))</f>
        <v>0</v>
      </c>
      <c r="J88" s="2">
        <f>SUMPRODUCT($CA88:$DV88,INDEX('MC MAP'!$DA$5:$EV$30,9,0))</f>
        <v>0</v>
      </c>
      <c r="K88" s="2">
        <f>SUMPRODUCT($CA88:$DV88,INDEX('MC MAP'!$DA$5:$EV$30,10,0))</f>
        <v>0</v>
      </c>
      <c r="L88" s="2">
        <f>SUMPRODUCT($CA88:$DV88,INDEX('MC MAP'!$DA$5:$EV$30,11,0))</f>
        <v>0</v>
      </c>
      <c r="M88" s="2">
        <f>SUMPRODUCT($CA88:$DV88,INDEX('MC MAP'!$DA$5:$EV$30,12,0))</f>
        <v>0</v>
      </c>
      <c r="N88" s="2">
        <f>SUMPRODUCT($CA88:$DV88,INDEX('MC MAP'!$DA$5:$EV$30,13,0))</f>
        <v>0</v>
      </c>
      <c r="O88" s="2">
        <f>SUMPRODUCT($CA88:$DV88,INDEX('MC MAP'!$DA$5:$EV$30,14,0))</f>
        <v>0</v>
      </c>
      <c r="P88" s="2">
        <f>SUMPRODUCT($CA88:$DV88,INDEX('MC MAP'!$DA$5:$EV$30,15,0))</f>
        <v>0</v>
      </c>
      <c r="Q88" s="2">
        <f>SUMPRODUCT($CA88:$DV88,INDEX('MC MAP'!$DA$5:$EV$30,16,0))</f>
        <v>0</v>
      </c>
      <c r="R88" s="2">
        <f>SUMPRODUCT($CA88:$DV88,INDEX('MC MAP'!$DA$5:$EV$30,17,0))</f>
        <v>0</v>
      </c>
      <c r="S88" s="2">
        <f>SUMPRODUCT($CA88:$DV88,INDEX('MC MAP'!$DA$5:$EV$30,18,0))</f>
        <v>0</v>
      </c>
      <c r="T88" s="2">
        <f>SUMPRODUCT($CA88:$DV88,INDEX('MC MAP'!$DA$5:$EV$30,19,0))</f>
        <v>0</v>
      </c>
      <c r="U88" s="2">
        <f>SUMPRODUCT($CA88:$DV88,INDEX('MC MAP'!$DA$5:$EV$30,20,0))</f>
        <v>0</v>
      </c>
      <c r="V88" s="2">
        <f>SUMPRODUCT($CA88:$DV88,INDEX('MC MAP'!$DA$5:$EV$30,21,0))</f>
        <v>0</v>
      </c>
      <c r="W88" s="2">
        <f>SUMPRODUCT($CA88:$DV88,INDEX('MC MAP'!$DA$5:$EV$30,22,0))</f>
        <v>0</v>
      </c>
      <c r="X88" s="2">
        <f>SUMPRODUCT($CA88:$DV88,INDEX('MC MAP'!$DA$5:$EV$30,23,0))</f>
        <v>0</v>
      </c>
      <c r="Y88" s="2">
        <f>SUMPRODUCT($CA88:$DV88,INDEX('MC MAP'!$DA$5:$EV$30,24,0))</f>
        <v>0</v>
      </c>
      <c r="Z88" s="2">
        <f>SUMPRODUCT($CA88:$DV88,INDEX('MC MAP'!$DA$5:$EV$30,25,0))</f>
        <v>0</v>
      </c>
      <c r="AA88" s="2">
        <f>SUMPRODUCT($CA88:$DV88,INDEX('MC MAP'!$DA$5:$EV$30,26,0))</f>
        <v>0</v>
      </c>
      <c r="AB88" s="2">
        <f>SUM($B88:$AA88)</f>
        <v>0</v>
      </c>
      <c r="AC88" s="2">
        <f>SUM($CA88:$DV88)+$AW88</f>
        <v>0</v>
      </c>
      <c r="AW88" s="2">
        <f>IF($A88=0,0,COUNTIF(INDEX('LINE PLAN'!$B$36:$GS$61,0,ROW()-3),"THERMAL - NOT SPECIFIED"))</f>
        <v>0</v>
      </c>
      <c r="AX88" s="506" cm="1">
        <f t="array" ref="AX88">IF(OR($AB88=0,UPPER($BS88)&lt;&gt;"Y"),0,SUMPRODUCT(--($B88:$AA88&gt;$B$205:$AA$205)))</f>
        <v>0</v>
      </c>
      <c r="AY88" s="507">
        <f>$A88</f>
        <v>46319</v>
      </c>
      <c r="AZ88" s="2">
        <f>$AB88</f>
        <v>0</v>
      </c>
      <c r="BA88" s="2">
        <f>'MC MASTER'!$C$29</f>
        <v>920</v>
      </c>
      <c r="BQ88" s="509">
        <f>$A88</f>
        <v>46319</v>
      </c>
      <c r="BR88" s="15" t="str">
        <f>TEXT($A88,"ddd")</f>
        <v>Sat</v>
      </c>
      <c r="BS88" s="547" t="s">
        <v>391</v>
      </c>
      <c r="BT88" s="15">
        <f>IF(UPPER($BS88)="Y",$AB88,0)</f>
        <v>0</v>
      </c>
      <c r="CA88" s="2">
        <f>COUNTIF(INDEX('LINE PLAN'!$B$36:$GS$61,0,ROW()-3),CA$3)</f>
        <v>0</v>
      </c>
      <c r="CB88" s="2">
        <f>COUNTIF(INDEX('LINE PLAN'!$B$36:$GS$61,0,ROW()-3),CB$3)</f>
        <v>0</v>
      </c>
      <c r="CC88" s="2">
        <f>COUNTIF(INDEX('LINE PLAN'!$B$36:$GS$61,0,ROW()-3),CC$3)</f>
        <v>0</v>
      </c>
      <c r="CD88" s="2">
        <f>COUNTIF(INDEX('LINE PLAN'!$B$36:$GS$61,0,ROW()-3),CD$3)</f>
        <v>0</v>
      </c>
      <c r="CE88" s="2">
        <f>COUNTIF(INDEX('LINE PLAN'!$B$36:$GS$61,0,ROW()-3),CE$3)</f>
        <v>0</v>
      </c>
      <c r="CF88" s="2">
        <f>COUNTIF(INDEX('LINE PLAN'!$B$36:$GS$61,0,ROW()-3),CF$3)</f>
        <v>0</v>
      </c>
      <c r="CG88" s="2">
        <f>COUNTIF(INDEX('LINE PLAN'!$B$36:$GS$61,0,ROW()-3),CG$3)</f>
        <v>0</v>
      </c>
      <c r="CH88" s="2">
        <f>COUNTIF(INDEX('LINE PLAN'!$B$36:$GS$61,0,ROW()-3),CH$3)</f>
        <v>0</v>
      </c>
      <c r="CI88" s="2">
        <f>COUNTIF(INDEX('LINE PLAN'!$B$36:$GS$61,0,ROW()-3),CI$3)</f>
        <v>0</v>
      </c>
      <c r="CJ88" s="2">
        <f>COUNTIF(INDEX('LINE PLAN'!$B$36:$GS$61,0,ROW()-3),CJ$3)</f>
        <v>0</v>
      </c>
      <c r="CK88" s="2">
        <f>COUNTIF(INDEX('LINE PLAN'!$B$36:$GS$61,0,ROW()-3),CK$3)</f>
        <v>0</v>
      </c>
      <c r="CL88" s="2">
        <f>COUNTIF(INDEX('LINE PLAN'!$B$36:$GS$61,0,ROW()-3),CL$3)</f>
        <v>0</v>
      </c>
      <c r="CM88" s="2">
        <f>COUNTIF(INDEX('LINE PLAN'!$B$36:$GS$61,0,ROW()-3),CM$3)</f>
        <v>0</v>
      </c>
      <c r="CN88" s="2">
        <f>COUNTIF(INDEX('LINE PLAN'!$B$36:$GS$61,0,ROW()-3),CN$3)</f>
        <v>0</v>
      </c>
      <c r="CO88" s="2">
        <f>COUNTIF(INDEX('LINE PLAN'!$B$36:$GS$61,0,ROW()-3),CO$3)</f>
        <v>0</v>
      </c>
      <c r="CP88" s="2">
        <f>COUNTIF(INDEX('LINE PLAN'!$B$36:$GS$61,0,ROW()-3),CP$3)</f>
        <v>0</v>
      </c>
      <c r="CQ88" s="2">
        <f>COUNTIF(INDEX('LINE PLAN'!$B$36:$GS$61,0,ROW()-3),CQ$3)</f>
        <v>0</v>
      </c>
      <c r="CR88" s="2">
        <f>COUNTIF(INDEX('LINE PLAN'!$B$36:$GS$61,0,ROW()-3),CR$3)</f>
        <v>0</v>
      </c>
      <c r="CS88" s="2">
        <f>COUNTIF(INDEX('LINE PLAN'!$B$36:$GS$61,0,ROW()-3),CS$3)</f>
        <v>0</v>
      </c>
      <c r="CT88" s="2">
        <f>COUNTIF(INDEX('LINE PLAN'!$B$36:$GS$61,0,ROW()-3),CT$3)</f>
        <v>0</v>
      </c>
      <c r="CU88" s="2">
        <f>COUNTIF(INDEX('LINE PLAN'!$B$36:$GS$61,0,ROW()-3),CU$3)</f>
        <v>0</v>
      </c>
      <c r="CV88" s="2">
        <f>COUNTIF(INDEX('LINE PLAN'!$B$36:$GS$61,0,ROW()-3),CV$3)</f>
        <v>0</v>
      </c>
      <c r="CW88" s="2">
        <f>COUNTIF(INDEX('LINE PLAN'!$B$36:$GS$61,0,ROW()-3),CW$3)</f>
        <v>0</v>
      </c>
      <c r="CX88" s="2">
        <f>COUNTIF(INDEX('LINE PLAN'!$B$36:$GS$61,0,ROW()-3),CX$3)</f>
        <v>0</v>
      </c>
      <c r="CY88" s="2">
        <f>COUNTIF(INDEX('LINE PLAN'!$B$36:$GS$61,0,ROW()-3),CY$3)</f>
        <v>0</v>
      </c>
      <c r="CZ88" s="2">
        <f>COUNTIF(INDEX('LINE PLAN'!$B$36:$GS$61,0,ROW()-3),CZ$3)</f>
        <v>0</v>
      </c>
      <c r="DA88" s="2">
        <f>COUNTIF(INDEX('LINE PLAN'!$B$36:$GS$61,0,ROW()-3),DA$3)</f>
        <v>0</v>
      </c>
      <c r="DB88" s="2">
        <f>COUNTIF(INDEX('LINE PLAN'!$B$36:$GS$61,0,ROW()-3),DB$3)</f>
        <v>0</v>
      </c>
      <c r="DC88" s="2">
        <f>COUNTIF(INDEX('LINE PLAN'!$B$36:$GS$61,0,ROW()-3),DC$3)</f>
        <v>0</v>
      </c>
      <c r="DD88" s="2">
        <f>COUNTIF(INDEX('LINE PLAN'!$B$36:$GS$61,0,ROW()-3),DD$3)</f>
        <v>0</v>
      </c>
      <c r="DE88" s="2">
        <f>COUNTIF(INDEX('LINE PLAN'!$B$36:$GS$61,0,ROW()-3),DE$3)</f>
        <v>0</v>
      </c>
      <c r="DF88" s="2">
        <f>COUNTIF(INDEX('LINE PLAN'!$B$36:$GS$61,0,ROW()-3),DF$3)</f>
        <v>0</v>
      </c>
      <c r="DG88" s="2">
        <f>COUNTIF(INDEX('LINE PLAN'!$B$36:$GS$61,0,ROW()-3),DG$3)</f>
        <v>0</v>
      </c>
      <c r="DH88" s="2">
        <f>COUNTIF(INDEX('LINE PLAN'!$B$36:$GS$61,0,ROW()-3),DH$3)</f>
        <v>0</v>
      </c>
      <c r="DI88" s="2">
        <f>COUNTIF(INDEX('LINE PLAN'!$B$36:$GS$61,0,ROW()-3),DI$3)</f>
        <v>0</v>
      </c>
      <c r="DJ88" s="2">
        <f>COUNTIF(INDEX('LINE PLAN'!$B$36:$GS$61,0,ROW()-3),DJ$3)</f>
        <v>0</v>
      </c>
      <c r="DK88" s="2">
        <f>COUNTIF(INDEX('LINE PLAN'!$B$36:$GS$61,0,ROW()-3),DK$3)</f>
        <v>0</v>
      </c>
      <c r="DL88" s="2">
        <f>COUNTIF(INDEX('LINE PLAN'!$B$36:$GS$61,0,ROW()-3),DL$3)</f>
        <v>0</v>
      </c>
      <c r="DM88" s="2">
        <f>COUNTIF(INDEX('LINE PLAN'!$B$36:$GS$61,0,ROW()-3),DM$3)</f>
        <v>0</v>
      </c>
      <c r="DN88" s="2">
        <f>COUNTIF(INDEX('LINE PLAN'!$B$36:$GS$61,0,ROW()-3),DN$3)</f>
        <v>0</v>
      </c>
      <c r="DO88" s="2">
        <f>COUNTIF(INDEX('LINE PLAN'!$B$36:$GS$61,0,ROW()-3),DO$3)</f>
        <v>0</v>
      </c>
      <c r="DP88" s="2">
        <f>COUNTIF(INDEX('LINE PLAN'!$B$36:$GS$61,0,ROW()-3),DP$3)</f>
        <v>0</v>
      </c>
      <c r="DQ88" s="2">
        <f>COUNTIF(INDEX('LINE PLAN'!$B$36:$GS$61,0,ROW()-3),DQ$3)</f>
        <v>0</v>
      </c>
      <c r="DR88" s="2">
        <f>COUNTIF(INDEX('LINE PLAN'!$B$36:$GS$61,0,ROW()-3),DR$3)</f>
        <v>0</v>
      </c>
      <c r="DS88" s="2">
        <f>COUNTIF(INDEX('LINE PLAN'!$B$36:$GS$61,0,ROW()-3),DS$3)</f>
        <v>0</v>
      </c>
      <c r="DT88" s="2">
        <f>COUNTIF(INDEX('LINE PLAN'!$B$36:$GS$61,0,ROW()-3),DT$3)</f>
        <v>0</v>
      </c>
      <c r="DU88" s="2">
        <f>COUNTIF(INDEX('LINE PLAN'!$B$36:$GS$61,0,ROW()-3),DU$3)</f>
        <v>0</v>
      </c>
      <c r="DV88" s="2">
        <f>COUNTIF(INDEX('LINE PLAN'!$B$36:$GS$61,0,ROW()-3),DV$3)</f>
        <v>0</v>
      </c>
    </row>
    <row r="89" spans="1:126">
      <c r="A89" s="505" cm="1">
        <f t="array" ref="A89">INDEX('LINE PLAN'!$B$35:$GS$35,ROW()-3)</f>
        <v>46320</v>
      </c>
      <c r="B89" s="2">
        <f>SUMPRODUCT($CA89:$DV89,INDEX('MC MAP'!$DA$5:$EV$30,1,0))</f>
        <v>0</v>
      </c>
      <c r="C89" s="2">
        <f>SUMPRODUCT($CA89:$DV89,INDEX('MC MAP'!$DA$5:$EV$30,2,0))</f>
        <v>0</v>
      </c>
      <c r="D89" s="2">
        <f>SUMPRODUCT($CA89:$DV89,INDEX('MC MAP'!$DA$5:$EV$30,3,0))</f>
        <v>0</v>
      </c>
      <c r="E89" s="2">
        <f>SUMPRODUCT($CA89:$DV89,INDEX('MC MAP'!$DA$5:$EV$30,4,0))</f>
        <v>0</v>
      </c>
      <c r="F89" s="2">
        <f>SUMPRODUCT($CA89:$DV89,INDEX('MC MAP'!$DA$5:$EV$30,5,0))</f>
        <v>0</v>
      </c>
      <c r="G89" s="2">
        <f>SUMPRODUCT($CA89:$DV89,INDEX('MC MAP'!$DA$5:$EV$30,6,0))</f>
        <v>0</v>
      </c>
      <c r="H89" s="2">
        <f>SUMPRODUCT($CA89:$DV89,INDEX('MC MAP'!$DA$5:$EV$30,7,0))</f>
        <v>0</v>
      </c>
      <c r="I89" s="2">
        <f>SUMPRODUCT($CA89:$DV89,INDEX('MC MAP'!$DA$5:$EV$30,8,0))</f>
        <v>0</v>
      </c>
      <c r="J89" s="2">
        <f>SUMPRODUCT($CA89:$DV89,INDEX('MC MAP'!$DA$5:$EV$30,9,0))</f>
        <v>0</v>
      </c>
      <c r="K89" s="2">
        <f>SUMPRODUCT($CA89:$DV89,INDEX('MC MAP'!$DA$5:$EV$30,10,0))</f>
        <v>0</v>
      </c>
      <c r="L89" s="2">
        <f>SUMPRODUCT($CA89:$DV89,INDEX('MC MAP'!$DA$5:$EV$30,11,0))</f>
        <v>0</v>
      </c>
      <c r="M89" s="2">
        <f>SUMPRODUCT($CA89:$DV89,INDEX('MC MAP'!$DA$5:$EV$30,12,0))</f>
        <v>0</v>
      </c>
      <c r="N89" s="2">
        <f>SUMPRODUCT($CA89:$DV89,INDEX('MC MAP'!$DA$5:$EV$30,13,0))</f>
        <v>0</v>
      </c>
      <c r="O89" s="2">
        <f>SUMPRODUCT($CA89:$DV89,INDEX('MC MAP'!$DA$5:$EV$30,14,0))</f>
        <v>0</v>
      </c>
      <c r="P89" s="2">
        <f>SUMPRODUCT($CA89:$DV89,INDEX('MC MAP'!$DA$5:$EV$30,15,0))</f>
        <v>0</v>
      </c>
      <c r="Q89" s="2">
        <f>SUMPRODUCT($CA89:$DV89,INDEX('MC MAP'!$DA$5:$EV$30,16,0))</f>
        <v>0</v>
      </c>
      <c r="R89" s="2">
        <f>SUMPRODUCT($CA89:$DV89,INDEX('MC MAP'!$DA$5:$EV$30,17,0))</f>
        <v>0</v>
      </c>
      <c r="S89" s="2">
        <f>SUMPRODUCT($CA89:$DV89,INDEX('MC MAP'!$DA$5:$EV$30,18,0))</f>
        <v>0</v>
      </c>
      <c r="T89" s="2">
        <f>SUMPRODUCT($CA89:$DV89,INDEX('MC MAP'!$DA$5:$EV$30,19,0))</f>
        <v>0</v>
      </c>
      <c r="U89" s="2">
        <f>SUMPRODUCT($CA89:$DV89,INDEX('MC MAP'!$DA$5:$EV$30,20,0))</f>
        <v>0</v>
      </c>
      <c r="V89" s="2">
        <f>SUMPRODUCT($CA89:$DV89,INDEX('MC MAP'!$DA$5:$EV$30,21,0))</f>
        <v>0</v>
      </c>
      <c r="W89" s="2">
        <f>SUMPRODUCT($CA89:$DV89,INDEX('MC MAP'!$DA$5:$EV$30,22,0))</f>
        <v>0</v>
      </c>
      <c r="X89" s="2">
        <f>SUMPRODUCT($CA89:$DV89,INDEX('MC MAP'!$DA$5:$EV$30,23,0))</f>
        <v>0</v>
      </c>
      <c r="Y89" s="2">
        <f>SUMPRODUCT($CA89:$DV89,INDEX('MC MAP'!$DA$5:$EV$30,24,0))</f>
        <v>0</v>
      </c>
      <c r="Z89" s="2">
        <f>SUMPRODUCT($CA89:$DV89,INDEX('MC MAP'!$DA$5:$EV$30,25,0))</f>
        <v>0</v>
      </c>
      <c r="AA89" s="2">
        <f>SUMPRODUCT($CA89:$DV89,INDEX('MC MAP'!$DA$5:$EV$30,26,0))</f>
        <v>0</v>
      </c>
      <c r="AB89" s="2">
        <f>SUM($B89:$AA89)</f>
        <v>0</v>
      </c>
      <c r="AC89" s="2">
        <f>SUM($CA89:$DV89)+$AW89</f>
        <v>0</v>
      </c>
      <c r="AW89" s="2">
        <f>IF($A89=0,0,COUNTIF(INDEX('LINE PLAN'!$B$36:$GS$61,0,ROW()-3),"THERMAL - NOT SPECIFIED"))</f>
        <v>0</v>
      </c>
      <c r="AX89" s="506" cm="1">
        <f t="array" ref="AX89">IF(OR($AB89=0,UPPER($BS89)&lt;&gt;"Y"),0,SUMPRODUCT(--($B89:$AA89&gt;$B$205:$AA$205)))</f>
        <v>0</v>
      </c>
      <c r="AY89" s="507">
        <f>$A89</f>
        <v>46320</v>
      </c>
      <c r="AZ89" s="2">
        <f>$AB89</f>
        <v>0</v>
      </c>
      <c r="BA89" s="2">
        <f>'MC MASTER'!$C$29</f>
        <v>920</v>
      </c>
      <c r="BQ89" s="509">
        <f>$A89</f>
        <v>46320</v>
      </c>
      <c r="BR89" s="15" t="str">
        <f>TEXT($A89,"ddd")</f>
        <v>Sun</v>
      </c>
      <c r="BS89" s="547" t="s">
        <v>392</v>
      </c>
      <c r="BT89" s="15">
        <f>IF(UPPER($BS89)="Y",$AB89,0)</f>
        <v>0</v>
      </c>
      <c r="CA89" s="2">
        <f>COUNTIF(INDEX('LINE PLAN'!$B$36:$GS$61,0,ROW()-3),CA$3)</f>
        <v>0</v>
      </c>
      <c r="CB89" s="2">
        <f>COUNTIF(INDEX('LINE PLAN'!$B$36:$GS$61,0,ROW()-3),CB$3)</f>
        <v>0</v>
      </c>
      <c r="CC89" s="2">
        <f>COUNTIF(INDEX('LINE PLAN'!$B$36:$GS$61,0,ROW()-3),CC$3)</f>
        <v>0</v>
      </c>
      <c r="CD89" s="2">
        <f>COUNTIF(INDEX('LINE PLAN'!$B$36:$GS$61,0,ROW()-3),CD$3)</f>
        <v>0</v>
      </c>
      <c r="CE89" s="2">
        <f>COUNTIF(INDEX('LINE PLAN'!$B$36:$GS$61,0,ROW()-3),CE$3)</f>
        <v>0</v>
      </c>
      <c r="CF89" s="2">
        <f>COUNTIF(INDEX('LINE PLAN'!$B$36:$GS$61,0,ROW()-3),CF$3)</f>
        <v>0</v>
      </c>
      <c r="CG89" s="2">
        <f>COUNTIF(INDEX('LINE PLAN'!$B$36:$GS$61,0,ROW()-3),CG$3)</f>
        <v>0</v>
      </c>
      <c r="CH89" s="2">
        <f>COUNTIF(INDEX('LINE PLAN'!$B$36:$GS$61,0,ROW()-3),CH$3)</f>
        <v>0</v>
      </c>
      <c r="CI89" s="2">
        <f>COUNTIF(INDEX('LINE PLAN'!$B$36:$GS$61,0,ROW()-3),CI$3)</f>
        <v>0</v>
      </c>
      <c r="CJ89" s="2">
        <f>COUNTIF(INDEX('LINE PLAN'!$B$36:$GS$61,0,ROW()-3),CJ$3)</f>
        <v>0</v>
      </c>
      <c r="CK89" s="2">
        <f>COUNTIF(INDEX('LINE PLAN'!$B$36:$GS$61,0,ROW()-3),CK$3)</f>
        <v>0</v>
      </c>
      <c r="CL89" s="2">
        <f>COUNTIF(INDEX('LINE PLAN'!$B$36:$GS$61,0,ROW()-3),CL$3)</f>
        <v>0</v>
      </c>
      <c r="CM89" s="2">
        <f>COUNTIF(INDEX('LINE PLAN'!$B$36:$GS$61,0,ROW()-3),CM$3)</f>
        <v>0</v>
      </c>
      <c r="CN89" s="2">
        <f>COUNTIF(INDEX('LINE PLAN'!$B$36:$GS$61,0,ROW()-3),CN$3)</f>
        <v>0</v>
      </c>
      <c r="CO89" s="2">
        <f>COUNTIF(INDEX('LINE PLAN'!$B$36:$GS$61,0,ROW()-3),CO$3)</f>
        <v>0</v>
      </c>
      <c r="CP89" s="2">
        <f>COUNTIF(INDEX('LINE PLAN'!$B$36:$GS$61,0,ROW()-3),CP$3)</f>
        <v>0</v>
      </c>
      <c r="CQ89" s="2">
        <f>COUNTIF(INDEX('LINE PLAN'!$B$36:$GS$61,0,ROW()-3),CQ$3)</f>
        <v>0</v>
      </c>
      <c r="CR89" s="2">
        <f>COUNTIF(INDEX('LINE PLAN'!$B$36:$GS$61,0,ROW()-3),CR$3)</f>
        <v>0</v>
      </c>
      <c r="CS89" s="2">
        <f>COUNTIF(INDEX('LINE PLAN'!$B$36:$GS$61,0,ROW()-3),CS$3)</f>
        <v>0</v>
      </c>
      <c r="CT89" s="2">
        <f>COUNTIF(INDEX('LINE PLAN'!$B$36:$GS$61,0,ROW()-3),CT$3)</f>
        <v>0</v>
      </c>
      <c r="CU89" s="2">
        <f>COUNTIF(INDEX('LINE PLAN'!$B$36:$GS$61,0,ROW()-3),CU$3)</f>
        <v>0</v>
      </c>
      <c r="CV89" s="2">
        <f>COUNTIF(INDEX('LINE PLAN'!$B$36:$GS$61,0,ROW()-3),CV$3)</f>
        <v>0</v>
      </c>
      <c r="CW89" s="2">
        <f>COUNTIF(INDEX('LINE PLAN'!$B$36:$GS$61,0,ROW()-3),CW$3)</f>
        <v>0</v>
      </c>
      <c r="CX89" s="2">
        <f>COUNTIF(INDEX('LINE PLAN'!$B$36:$GS$61,0,ROW()-3),CX$3)</f>
        <v>0</v>
      </c>
      <c r="CY89" s="2">
        <f>COUNTIF(INDEX('LINE PLAN'!$B$36:$GS$61,0,ROW()-3),CY$3)</f>
        <v>0</v>
      </c>
      <c r="CZ89" s="2">
        <f>COUNTIF(INDEX('LINE PLAN'!$B$36:$GS$61,0,ROW()-3),CZ$3)</f>
        <v>0</v>
      </c>
      <c r="DA89" s="2">
        <f>COUNTIF(INDEX('LINE PLAN'!$B$36:$GS$61,0,ROW()-3),DA$3)</f>
        <v>0</v>
      </c>
      <c r="DB89" s="2">
        <f>COUNTIF(INDEX('LINE PLAN'!$B$36:$GS$61,0,ROW()-3),DB$3)</f>
        <v>0</v>
      </c>
      <c r="DC89" s="2">
        <f>COUNTIF(INDEX('LINE PLAN'!$B$36:$GS$61,0,ROW()-3),DC$3)</f>
        <v>0</v>
      </c>
      <c r="DD89" s="2">
        <f>COUNTIF(INDEX('LINE PLAN'!$B$36:$GS$61,0,ROW()-3),DD$3)</f>
        <v>0</v>
      </c>
      <c r="DE89" s="2">
        <f>COUNTIF(INDEX('LINE PLAN'!$B$36:$GS$61,0,ROW()-3),DE$3)</f>
        <v>0</v>
      </c>
      <c r="DF89" s="2">
        <f>COUNTIF(INDEX('LINE PLAN'!$B$36:$GS$61,0,ROW()-3),DF$3)</f>
        <v>0</v>
      </c>
      <c r="DG89" s="2">
        <f>COUNTIF(INDEX('LINE PLAN'!$B$36:$GS$61,0,ROW()-3),DG$3)</f>
        <v>0</v>
      </c>
      <c r="DH89" s="2">
        <f>COUNTIF(INDEX('LINE PLAN'!$B$36:$GS$61,0,ROW()-3),DH$3)</f>
        <v>0</v>
      </c>
      <c r="DI89" s="2">
        <f>COUNTIF(INDEX('LINE PLAN'!$B$36:$GS$61,0,ROW()-3),DI$3)</f>
        <v>0</v>
      </c>
      <c r="DJ89" s="2">
        <f>COUNTIF(INDEX('LINE PLAN'!$B$36:$GS$61,0,ROW()-3),DJ$3)</f>
        <v>0</v>
      </c>
      <c r="DK89" s="2">
        <f>COUNTIF(INDEX('LINE PLAN'!$B$36:$GS$61,0,ROW()-3),DK$3)</f>
        <v>0</v>
      </c>
      <c r="DL89" s="2">
        <f>COUNTIF(INDEX('LINE PLAN'!$B$36:$GS$61,0,ROW()-3),DL$3)</f>
        <v>0</v>
      </c>
      <c r="DM89" s="2">
        <f>COUNTIF(INDEX('LINE PLAN'!$B$36:$GS$61,0,ROW()-3),DM$3)</f>
        <v>0</v>
      </c>
      <c r="DN89" s="2">
        <f>COUNTIF(INDEX('LINE PLAN'!$B$36:$GS$61,0,ROW()-3),DN$3)</f>
        <v>0</v>
      </c>
      <c r="DO89" s="2">
        <f>COUNTIF(INDEX('LINE PLAN'!$B$36:$GS$61,0,ROW()-3),DO$3)</f>
        <v>0</v>
      </c>
      <c r="DP89" s="2">
        <f>COUNTIF(INDEX('LINE PLAN'!$B$36:$GS$61,0,ROW()-3),DP$3)</f>
        <v>0</v>
      </c>
      <c r="DQ89" s="2">
        <f>COUNTIF(INDEX('LINE PLAN'!$B$36:$GS$61,0,ROW()-3),DQ$3)</f>
        <v>0</v>
      </c>
      <c r="DR89" s="2">
        <f>COUNTIF(INDEX('LINE PLAN'!$B$36:$GS$61,0,ROW()-3),DR$3)</f>
        <v>0</v>
      </c>
      <c r="DS89" s="2">
        <f>COUNTIF(INDEX('LINE PLAN'!$B$36:$GS$61,0,ROW()-3),DS$3)</f>
        <v>0</v>
      </c>
      <c r="DT89" s="2">
        <f>COUNTIF(INDEX('LINE PLAN'!$B$36:$GS$61,0,ROW()-3),DT$3)</f>
        <v>0</v>
      </c>
      <c r="DU89" s="2">
        <f>COUNTIF(INDEX('LINE PLAN'!$B$36:$GS$61,0,ROW()-3),DU$3)</f>
        <v>0</v>
      </c>
      <c r="DV89" s="2">
        <f>COUNTIF(INDEX('LINE PLAN'!$B$36:$GS$61,0,ROW()-3),DV$3)</f>
        <v>0</v>
      </c>
    </row>
    <row r="90" spans="1:126">
      <c r="A90" s="505" cm="1">
        <f t="array" ref="A90">INDEX('LINE PLAN'!$B$35:$GS$35,ROW()-3)</f>
        <v>46321</v>
      </c>
      <c r="B90" s="2">
        <f>SUMPRODUCT($CA90:$DV90,INDEX('MC MAP'!$DA$5:$EV$30,1,0))</f>
        <v>0</v>
      </c>
      <c r="C90" s="2">
        <f>SUMPRODUCT($CA90:$DV90,INDEX('MC MAP'!$DA$5:$EV$30,2,0))</f>
        <v>0</v>
      </c>
      <c r="D90" s="2">
        <f>SUMPRODUCT($CA90:$DV90,INDEX('MC MAP'!$DA$5:$EV$30,3,0))</f>
        <v>0</v>
      </c>
      <c r="E90" s="2">
        <f>SUMPRODUCT($CA90:$DV90,INDEX('MC MAP'!$DA$5:$EV$30,4,0))</f>
        <v>0</v>
      </c>
      <c r="F90" s="2">
        <f>SUMPRODUCT($CA90:$DV90,INDEX('MC MAP'!$DA$5:$EV$30,5,0))</f>
        <v>0</v>
      </c>
      <c r="G90" s="2">
        <f>SUMPRODUCT($CA90:$DV90,INDEX('MC MAP'!$DA$5:$EV$30,6,0))</f>
        <v>0</v>
      </c>
      <c r="H90" s="2">
        <f>SUMPRODUCT($CA90:$DV90,INDEX('MC MAP'!$DA$5:$EV$30,7,0))</f>
        <v>0</v>
      </c>
      <c r="I90" s="2">
        <f>SUMPRODUCT($CA90:$DV90,INDEX('MC MAP'!$DA$5:$EV$30,8,0))</f>
        <v>0</v>
      </c>
      <c r="J90" s="2">
        <f>SUMPRODUCT($CA90:$DV90,INDEX('MC MAP'!$DA$5:$EV$30,9,0))</f>
        <v>0</v>
      </c>
      <c r="K90" s="2">
        <f>SUMPRODUCT($CA90:$DV90,INDEX('MC MAP'!$DA$5:$EV$30,10,0))</f>
        <v>0</v>
      </c>
      <c r="L90" s="2">
        <f>SUMPRODUCT($CA90:$DV90,INDEX('MC MAP'!$DA$5:$EV$30,11,0))</f>
        <v>0</v>
      </c>
      <c r="M90" s="2">
        <f>SUMPRODUCT($CA90:$DV90,INDEX('MC MAP'!$DA$5:$EV$30,12,0))</f>
        <v>0</v>
      </c>
      <c r="N90" s="2">
        <f>SUMPRODUCT($CA90:$DV90,INDEX('MC MAP'!$DA$5:$EV$30,13,0))</f>
        <v>0</v>
      </c>
      <c r="O90" s="2">
        <f>SUMPRODUCT($CA90:$DV90,INDEX('MC MAP'!$DA$5:$EV$30,14,0))</f>
        <v>0</v>
      </c>
      <c r="P90" s="2">
        <f>SUMPRODUCT($CA90:$DV90,INDEX('MC MAP'!$DA$5:$EV$30,15,0))</f>
        <v>0</v>
      </c>
      <c r="Q90" s="2">
        <f>SUMPRODUCT($CA90:$DV90,INDEX('MC MAP'!$DA$5:$EV$30,16,0))</f>
        <v>0</v>
      </c>
      <c r="R90" s="2">
        <f>SUMPRODUCT($CA90:$DV90,INDEX('MC MAP'!$DA$5:$EV$30,17,0))</f>
        <v>0</v>
      </c>
      <c r="S90" s="2">
        <f>SUMPRODUCT($CA90:$DV90,INDEX('MC MAP'!$DA$5:$EV$30,18,0))</f>
        <v>0</v>
      </c>
      <c r="T90" s="2">
        <f>SUMPRODUCT($CA90:$DV90,INDEX('MC MAP'!$DA$5:$EV$30,19,0))</f>
        <v>0</v>
      </c>
      <c r="U90" s="2">
        <f>SUMPRODUCT($CA90:$DV90,INDEX('MC MAP'!$DA$5:$EV$30,20,0))</f>
        <v>0</v>
      </c>
      <c r="V90" s="2">
        <f>SUMPRODUCT($CA90:$DV90,INDEX('MC MAP'!$DA$5:$EV$30,21,0))</f>
        <v>0</v>
      </c>
      <c r="W90" s="2">
        <f>SUMPRODUCT($CA90:$DV90,INDEX('MC MAP'!$DA$5:$EV$30,22,0))</f>
        <v>0</v>
      </c>
      <c r="X90" s="2">
        <f>SUMPRODUCT($CA90:$DV90,INDEX('MC MAP'!$DA$5:$EV$30,23,0))</f>
        <v>0</v>
      </c>
      <c r="Y90" s="2">
        <f>SUMPRODUCT($CA90:$DV90,INDEX('MC MAP'!$DA$5:$EV$30,24,0))</f>
        <v>0</v>
      </c>
      <c r="Z90" s="2">
        <f>SUMPRODUCT($CA90:$DV90,INDEX('MC MAP'!$DA$5:$EV$30,25,0))</f>
        <v>0</v>
      </c>
      <c r="AA90" s="2">
        <f>SUMPRODUCT($CA90:$DV90,INDEX('MC MAP'!$DA$5:$EV$30,26,0))</f>
        <v>0</v>
      </c>
      <c r="AB90" s="2">
        <f>SUM($B90:$AA90)</f>
        <v>0</v>
      </c>
      <c r="AC90" s="2">
        <f>SUM($CA90:$DV90)+$AW90</f>
        <v>0</v>
      </c>
      <c r="AW90" s="2">
        <f>IF($A90=0,0,COUNTIF(INDEX('LINE PLAN'!$B$36:$GS$61,0,ROW()-3),"THERMAL - NOT SPECIFIED"))</f>
        <v>0</v>
      </c>
      <c r="AX90" s="506" cm="1">
        <f t="array" ref="AX90">IF(OR($AB90=0,UPPER($BS90)&lt;&gt;"Y"),0,SUMPRODUCT(--($B90:$AA90&gt;$B$205:$AA$205)))</f>
        <v>0</v>
      </c>
      <c r="AY90" s="507">
        <f>$A90</f>
        <v>46321</v>
      </c>
      <c r="AZ90" s="2">
        <f>$AB90</f>
        <v>0</v>
      </c>
      <c r="BA90" s="2">
        <f>'MC MASTER'!$C$29</f>
        <v>920</v>
      </c>
      <c r="BQ90" s="509">
        <f>$A90</f>
        <v>46321</v>
      </c>
      <c r="BR90" s="15" t="str">
        <f>TEXT($A90,"ddd")</f>
        <v>Mon</v>
      </c>
      <c r="BS90" s="547" t="s">
        <v>391</v>
      </c>
      <c r="BT90" s="15">
        <f>IF(UPPER($BS90)="Y",$AB90,0)</f>
        <v>0</v>
      </c>
      <c r="CA90" s="2">
        <f>COUNTIF(INDEX('LINE PLAN'!$B$36:$GS$61,0,ROW()-3),CA$3)</f>
        <v>0</v>
      </c>
      <c r="CB90" s="2">
        <f>COUNTIF(INDEX('LINE PLAN'!$B$36:$GS$61,0,ROW()-3),CB$3)</f>
        <v>0</v>
      </c>
      <c r="CC90" s="2">
        <f>COUNTIF(INDEX('LINE PLAN'!$B$36:$GS$61,0,ROW()-3),CC$3)</f>
        <v>0</v>
      </c>
      <c r="CD90" s="2">
        <f>COUNTIF(INDEX('LINE PLAN'!$B$36:$GS$61,0,ROW()-3),CD$3)</f>
        <v>0</v>
      </c>
      <c r="CE90" s="2">
        <f>COUNTIF(INDEX('LINE PLAN'!$B$36:$GS$61,0,ROW()-3),CE$3)</f>
        <v>0</v>
      </c>
      <c r="CF90" s="2">
        <f>COUNTIF(INDEX('LINE PLAN'!$B$36:$GS$61,0,ROW()-3),CF$3)</f>
        <v>0</v>
      </c>
      <c r="CG90" s="2">
        <f>COUNTIF(INDEX('LINE PLAN'!$B$36:$GS$61,0,ROW()-3),CG$3)</f>
        <v>0</v>
      </c>
      <c r="CH90" s="2">
        <f>COUNTIF(INDEX('LINE PLAN'!$B$36:$GS$61,0,ROW()-3),CH$3)</f>
        <v>0</v>
      </c>
      <c r="CI90" s="2">
        <f>COUNTIF(INDEX('LINE PLAN'!$B$36:$GS$61,0,ROW()-3),CI$3)</f>
        <v>0</v>
      </c>
      <c r="CJ90" s="2">
        <f>COUNTIF(INDEX('LINE PLAN'!$B$36:$GS$61,0,ROW()-3),CJ$3)</f>
        <v>0</v>
      </c>
      <c r="CK90" s="2">
        <f>COUNTIF(INDEX('LINE PLAN'!$B$36:$GS$61,0,ROW()-3),CK$3)</f>
        <v>0</v>
      </c>
      <c r="CL90" s="2">
        <f>COUNTIF(INDEX('LINE PLAN'!$B$36:$GS$61,0,ROW()-3),CL$3)</f>
        <v>0</v>
      </c>
      <c r="CM90" s="2">
        <f>COUNTIF(INDEX('LINE PLAN'!$B$36:$GS$61,0,ROW()-3),CM$3)</f>
        <v>0</v>
      </c>
      <c r="CN90" s="2">
        <f>COUNTIF(INDEX('LINE PLAN'!$B$36:$GS$61,0,ROW()-3),CN$3)</f>
        <v>0</v>
      </c>
      <c r="CO90" s="2">
        <f>COUNTIF(INDEX('LINE PLAN'!$B$36:$GS$61,0,ROW()-3),CO$3)</f>
        <v>0</v>
      </c>
      <c r="CP90" s="2">
        <f>COUNTIF(INDEX('LINE PLAN'!$B$36:$GS$61,0,ROW()-3),CP$3)</f>
        <v>0</v>
      </c>
      <c r="CQ90" s="2">
        <f>COUNTIF(INDEX('LINE PLAN'!$B$36:$GS$61,0,ROW()-3),CQ$3)</f>
        <v>0</v>
      </c>
      <c r="CR90" s="2">
        <f>COUNTIF(INDEX('LINE PLAN'!$B$36:$GS$61,0,ROW()-3),CR$3)</f>
        <v>0</v>
      </c>
      <c r="CS90" s="2">
        <f>COUNTIF(INDEX('LINE PLAN'!$B$36:$GS$61,0,ROW()-3),CS$3)</f>
        <v>0</v>
      </c>
      <c r="CT90" s="2">
        <f>COUNTIF(INDEX('LINE PLAN'!$B$36:$GS$61,0,ROW()-3),CT$3)</f>
        <v>0</v>
      </c>
      <c r="CU90" s="2">
        <f>COUNTIF(INDEX('LINE PLAN'!$B$36:$GS$61,0,ROW()-3),CU$3)</f>
        <v>0</v>
      </c>
      <c r="CV90" s="2">
        <f>COUNTIF(INDEX('LINE PLAN'!$B$36:$GS$61,0,ROW()-3),CV$3)</f>
        <v>0</v>
      </c>
      <c r="CW90" s="2">
        <f>COUNTIF(INDEX('LINE PLAN'!$B$36:$GS$61,0,ROW()-3),CW$3)</f>
        <v>0</v>
      </c>
      <c r="CX90" s="2">
        <f>COUNTIF(INDEX('LINE PLAN'!$B$36:$GS$61,0,ROW()-3),CX$3)</f>
        <v>0</v>
      </c>
      <c r="CY90" s="2">
        <f>COUNTIF(INDEX('LINE PLAN'!$B$36:$GS$61,0,ROW()-3),CY$3)</f>
        <v>0</v>
      </c>
      <c r="CZ90" s="2">
        <f>COUNTIF(INDEX('LINE PLAN'!$B$36:$GS$61,0,ROW()-3),CZ$3)</f>
        <v>0</v>
      </c>
      <c r="DA90" s="2">
        <f>COUNTIF(INDEX('LINE PLAN'!$B$36:$GS$61,0,ROW()-3),DA$3)</f>
        <v>0</v>
      </c>
      <c r="DB90" s="2">
        <f>COUNTIF(INDEX('LINE PLAN'!$B$36:$GS$61,0,ROW()-3),DB$3)</f>
        <v>0</v>
      </c>
      <c r="DC90" s="2">
        <f>COUNTIF(INDEX('LINE PLAN'!$B$36:$GS$61,0,ROW()-3),DC$3)</f>
        <v>0</v>
      </c>
      <c r="DD90" s="2">
        <f>COUNTIF(INDEX('LINE PLAN'!$B$36:$GS$61,0,ROW()-3),DD$3)</f>
        <v>0</v>
      </c>
      <c r="DE90" s="2">
        <f>COUNTIF(INDEX('LINE PLAN'!$B$36:$GS$61,0,ROW()-3),DE$3)</f>
        <v>0</v>
      </c>
      <c r="DF90" s="2">
        <f>COUNTIF(INDEX('LINE PLAN'!$B$36:$GS$61,0,ROW()-3),DF$3)</f>
        <v>0</v>
      </c>
      <c r="DG90" s="2">
        <f>COUNTIF(INDEX('LINE PLAN'!$B$36:$GS$61,0,ROW()-3),DG$3)</f>
        <v>0</v>
      </c>
      <c r="DH90" s="2">
        <f>COUNTIF(INDEX('LINE PLAN'!$B$36:$GS$61,0,ROW()-3),DH$3)</f>
        <v>0</v>
      </c>
      <c r="DI90" s="2">
        <f>COUNTIF(INDEX('LINE PLAN'!$B$36:$GS$61,0,ROW()-3),DI$3)</f>
        <v>0</v>
      </c>
      <c r="DJ90" s="2">
        <f>COUNTIF(INDEX('LINE PLAN'!$B$36:$GS$61,0,ROW()-3),DJ$3)</f>
        <v>0</v>
      </c>
      <c r="DK90" s="2">
        <f>COUNTIF(INDEX('LINE PLAN'!$B$36:$GS$61,0,ROW()-3),DK$3)</f>
        <v>0</v>
      </c>
      <c r="DL90" s="2">
        <f>COUNTIF(INDEX('LINE PLAN'!$B$36:$GS$61,0,ROW()-3),DL$3)</f>
        <v>0</v>
      </c>
      <c r="DM90" s="2">
        <f>COUNTIF(INDEX('LINE PLAN'!$B$36:$GS$61,0,ROW()-3),DM$3)</f>
        <v>0</v>
      </c>
      <c r="DN90" s="2">
        <f>COUNTIF(INDEX('LINE PLAN'!$B$36:$GS$61,0,ROW()-3),DN$3)</f>
        <v>0</v>
      </c>
      <c r="DO90" s="2">
        <f>COUNTIF(INDEX('LINE PLAN'!$B$36:$GS$61,0,ROW()-3),DO$3)</f>
        <v>0</v>
      </c>
      <c r="DP90" s="2">
        <f>COUNTIF(INDEX('LINE PLAN'!$B$36:$GS$61,0,ROW()-3),DP$3)</f>
        <v>0</v>
      </c>
      <c r="DQ90" s="2">
        <f>COUNTIF(INDEX('LINE PLAN'!$B$36:$GS$61,0,ROW()-3),DQ$3)</f>
        <v>0</v>
      </c>
      <c r="DR90" s="2">
        <f>COUNTIF(INDEX('LINE PLAN'!$B$36:$GS$61,0,ROW()-3),DR$3)</f>
        <v>0</v>
      </c>
      <c r="DS90" s="2">
        <f>COUNTIF(INDEX('LINE PLAN'!$B$36:$GS$61,0,ROW()-3),DS$3)</f>
        <v>0</v>
      </c>
      <c r="DT90" s="2">
        <f>COUNTIF(INDEX('LINE PLAN'!$B$36:$GS$61,0,ROW()-3),DT$3)</f>
        <v>0</v>
      </c>
      <c r="DU90" s="2">
        <f>COUNTIF(INDEX('LINE PLAN'!$B$36:$GS$61,0,ROW()-3),DU$3)</f>
        <v>0</v>
      </c>
      <c r="DV90" s="2">
        <f>COUNTIF(INDEX('LINE PLAN'!$B$36:$GS$61,0,ROW()-3),DV$3)</f>
        <v>0</v>
      </c>
    </row>
    <row r="91" spans="1:126">
      <c r="A91" s="505" cm="1">
        <f t="array" ref="A91">INDEX('LINE PLAN'!$B$35:$GS$35,ROW()-3)</f>
        <v>46322</v>
      </c>
      <c r="B91" s="2">
        <f>SUMPRODUCT($CA91:$DV91,INDEX('MC MAP'!$DA$5:$EV$30,1,0))</f>
        <v>0</v>
      </c>
      <c r="C91" s="2">
        <f>SUMPRODUCT($CA91:$DV91,INDEX('MC MAP'!$DA$5:$EV$30,2,0))</f>
        <v>0</v>
      </c>
      <c r="D91" s="2">
        <f>SUMPRODUCT($CA91:$DV91,INDEX('MC MAP'!$DA$5:$EV$30,3,0))</f>
        <v>0</v>
      </c>
      <c r="E91" s="2">
        <f>SUMPRODUCT($CA91:$DV91,INDEX('MC MAP'!$DA$5:$EV$30,4,0))</f>
        <v>0</v>
      </c>
      <c r="F91" s="2">
        <f>SUMPRODUCT($CA91:$DV91,INDEX('MC MAP'!$DA$5:$EV$30,5,0))</f>
        <v>0</v>
      </c>
      <c r="G91" s="2">
        <f>SUMPRODUCT($CA91:$DV91,INDEX('MC MAP'!$DA$5:$EV$30,6,0))</f>
        <v>0</v>
      </c>
      <c r="H91" s="2">
        <f>SUMPRODUCT($CA91:$DV91,INDEX('MC MAP'!$DA$5:$EV$30,7,0))</f>
        <v>0</v>
      </c>
      <c r="I91" s="2">
        <f>SUMPRODUCT($CA91:$DV91,INDEX('MC MAP'!$DA$5:$EV$30,8,0))</f>
        <v>0</v>
      </c>
      <c r="J91" s="2">
        <f>SUMPRODUCT($CA91:$DV91,INDEX('MC MAP'!$DA$5:$EV$30,9,0))</f>
        <v>0</v>
      </c>
      <c r="K91" s="2">
        <f>SUMPRODUCT($CA91:$DV91,INDEX('MC MAP'!$DA$5:$EV$30,10,0))</f>
        <v>0</v>
      </c>
      <c r="L91" s="2">
        <f>SUMPRODUCT($CA91:$DV91,INDEX('MC MAP'!$DA$5:$EV$30,11,0))</f>
        <v>0</v>
      </c>
      <c r="M91" s="2">
        <f>SUMPRODUCT($CA91:$DV91,INDEX('MC MAP'!$DA$5:$EV$30,12,0))</f>
        <v>0</v>
      </c>
      <c r="N91" s="2">
        <f>SUMPRODUCT($CA91:$DV91,INDEX('MC MAP'!$DA$5:$EV$30,13,0))</f>
        <v>0</v>
      </c>
      <c r="O91" s="2">
        <f>SUMPRODUCT($CA91:$DV91,INDEX('MC MAP'!$DA$5:$EV$30,14,0))</f>
        <v>0</v>
      </c>
      <c r="P91" s="2">
        <f>SUMPRODUCT($CA91:$DV91,INDEX('MC MAP'!$DA$5:$EV$30,15,0))</f>
        <v>0</v>
      </c>
      <c r="Q91" s="2">
        <f>SUMPRODUCT($CA91:$DV91,INDEX('MC MAP'!$DA$5:$EV$30,16,0))</f>
        <v>0</v>
      </c>
      <c r="R91" s="2">
        <f>SUMPRODUCT($CA91:$DV91,INDEX('MC MAP'!$DA$5:$EV$30,17,0))</f>
        <v>0</v>
      </c>
      <c r="S91" s="2">
        <f>SUMPRODUCT($CA91:$DV91,INDEX('MC MAP'!$DA$5:$EV$30,18,0))</f>
        <v>0</v>
      </c>
      <c r="T91" s="2">
        <f>SUMPRODUCT($CA91:$DV91,INDEX('MC MAP'!$DA$5:$EV$30,19,0))</f>
        <v>0</v>
      </c>
      <c r="U91" s="2">
        <f>SUMPRODUCT($CA91:$DV91,INDEX('MC MAP'!$DA$5:$EV$30,20,0))</f>
        <v>0</v>
      </c>
      <c r="V91" s="2">
        <f>SUMPRODUCT($CA91:$DV91,INDEX('MC MAP'!$DA$5:$EV$30,21,0))</f>
        <v>0</v>
      </c>
      <c r="W91" s="2">
        <f>SUMPRODUCT($CA91:$DV91,INDEX('MC MAP'!$DA$5:$EV$30,22,0))</f>
        <v>0</v>
      </c>
      <c r="X91" s="2">
        <f>SUMPRODUCT($CA91:$DV91,INDEX('MC MAP'!$DA$5:$EV$30,23,0))</f>
        <v>0</v>
      </c>
      <c r="Y91" s="2">
        <f>SUMPRODUCT($CA91:$DV91,INDEX('MC MAP'!$DA$5:$EV$30,24,0))</f>
        <v>0</v>
      </c>
      <c r="Z91" s="2">
        <f>SUMPRODUCT($CA91:$DV91,INDEX('MC MAP'!$DA$5:$EV$30,25,0))</f>
        <v>0</v>
      </c>
      <c r="AA91" s="2">
        <f>SUMPRODUCT($CA91:$DV91,INDEX('MC MAP'!$DA$5:$EV$30,26,0))</f>
        <v>0</v>
      </c>
      <c r="AB91" s="2">
        <f>SUM($B91:$AA91)</f>
        <v>0</v>
      </c>
      <c r="AC91" s="2">
        <f>SUM($CA91:$DV91)+$AW91</f>
        <v>0</v>
      </c>
      <c r="AW91" s="2">
        <f>IF($A91=0,0,COUNTIF(INDEX('LINE PLAN'!$B$36:$GS$61,0,ROW()-3),"THERMAL - NOT SPECIFIED"))</f>
        <v>0</v>
      </c>
      <c r="AX91" s="506" cm="1">
        <f t="array" ref="AX91">IF(OR($AB91=0,UPPER($BS91)&lt;&gt;"Y"),0,SUMPRODUCT(--($B91:$AA91&gt;$B$205:$AA$205)))</f>
        <v>0</v>
      </c>
      <c r="AY91" s="507">
        <f>$A91</f>
        <v>46322</v>
      </c>
      <c r="AZ91" s="2">
        <f>$AB91</f>
        <v>0</v>
      </c>
      <c r="BA91" s="2">
        <f>'MC MASTER'!$C$29</f>
        <v>920</v>
      </c>
      <c r="BQ91" s="509">
        <f>$A91</f>
        <v>46322</v>
      </c>
      <c r="BR91" s="15" t="str">
        <f>TEXT($A91,"ddd")</f>
        <v>Tue</v>
      </c>
      <c r="BS91" s="547" t="s">
        <v>391</v>
      </c>
      <c r="BT91" s="15">
        <f>IF(UPPER($BS91)="Y",$AB91,0)</f>
        <v>0</v>
      </c>
      <c r="CA91" s="2">
        <f>COUNTIF(INDEX('LINE PLAN'!$B$36:$GS$61,0,ROW()-3),CA$3)</f>
        <v>0</v>
      </c>
      <c r="CB91" s="2">
        <f>COUNTIF(INDEX('LINE PLAN'!$B$36:$GS$61,0,ROW()-3),CB$3)</f>
        <v>0</v>
      </c>
      <c r="CC91" s="2">
        <f>COUNTIF(INDEX('LINE PLAN'!$B$36:$GS$61,0,ROW()-3),CC$3)</f>
        <v>0</v>
      </c>
      <c r="CD91" s="2">
        <f>COUNTIF(INDEX('LINE PLAN'!$B$36:$GS$61,0,ROW()-3),CD$3)</f>
        <v>0</v>
      </c>
      <c r="CE91" s="2">
        <f>COUNTIF(INDEX('LINE PLAN'!$B$36:$GS$61,0,ROW()-3),CE$3)</f>
        <v>0</v>
      </c>
      <c r="CF91" s="2">
        <f>COUNTIF(INDEX('LINE PLAN'!$B$36:$GS$61,0,ROW()-3),CF$3)</f>
        <v>0</v>
      </c>
      <c r="CG91" s="2">
        <f>COUNTIF(INDEX('LINE PLAN'!$B$36:$GS$61,0,ROW()-3),CG$3)</f>
        <v>0</v>
      </c>
      <c r="CH91" s="2">
        <f>COUNTIF(INDEX('LINE PLAN'!$B$36:$GS$61,0,ROW()-3),CH$3)</f>
        <v>0</v>
      </c>
      <c r="CI91" s="2">
        <f>COUNTIF(INDEX('LINE PLAN'!$B$36:$GS$61,0,ROW()-3),CI$3)</f>
        <v>0</v>
      </c>
      <c r="CJ91" s="2">
        <f>COUNTIF(INDEX('LINE PLAN'!$B$36:$GS$61,0,ROW()-3),CJ$3)</f>
        <v>0</v>
      </c>
      <c r="CK91" s="2">
        <f>COUNTIF(INDEX('LINE PLAN'!$B$36:$GS$61,0,ROW()-3),CK$3)</f>
        <v>0</v>
      </c>
      <c r="CL91" s="2">
        <f>COUNTIF(INDEX('LINE PLAN'!$B$36:$GS$61,0,ROW()-3),CL$3)</f>
        <v>0</v>
      </c>
      <c r="CM91" s="2">
        <f>COUNTIF(INDEX('LINE PLAN'!$B$36:$GS$61,0,ROW()-3),CM$3)</f>
        <v>0</v>
      </c>
      <c r="CN91" s="2">
        <f>COUNTIF(INDEX('LINE PLAN'!$B$36:$GS$61,0,ROW()-3),CN$3)</f>
        <v>0</v>
      </c>
      <c r="CO91" s="2">
        <f>COUNTIF(INDEX('LINE PLAN'!$B$36:$GS$61,0,ROW()-3),CO$3)</f>
        <v>0</v>
      </c>
      <c r="CP91" s="2">
        <f>COUNTIF(INDEX('LINE PLAN'!$B$36:$GS$61,0,ROW()-3),CP$3)</f>
        <v>0</v>
      </c>
      <c r="CQ91" s="2">
        <f>COUNTIF(INDEX('LINE PLAN'!$B$36:$GS$61,0,ROW()-3),CQ$3)</f>
        <v>0</v>
      </c>
      <c r="CR91" s="2">
        <f>COUNTIF(INDEX('LINE PLAN'!$B$36:$GS$61,0,ROW()-3),CR$3)</f>
        <v>0</v>
      </c>
      <c r="CS91" s="2">
        <f>COUNTIF(INDEX('LINE PLAN'!$B$36:$GS$61,0,ROW()-3),CS$3)</f>
        <v>0</v>
      </c>
      <c r="CT91" s="2">
        <f>COUNTIF(INDEX('LINE PLAN'!$B$36:$GS$61,0,ROW()-3),CT$3)</f>
        <v>0</v>
      </c>
      <c r="CU91" s="2">
        <f>COUNTIF(INDEX('LINE PLAN'!$B$36:$GS$61,0,ROW()-3),CU$3)</f>
        <v>0</v>
      </c>
      <c r="CV91" s="2">
        <f>COUNTIF(INDEX('LINE PLAN'!$B$36:$GS$61,0,ROW()-3),CV$3)</f>
        <v>0</v>
      </c>
      <c r="CW91" s="2">
        <f>COUNTIF(INDEX('LINE PLAN'!$B$36:$GS$61,0,ROW()-3),CW$3)</f>
        <v>0</v>
      </c>
      <c r="CX91" s="2">
        <f>COUNTIF(INDEX('LINE PLAN'!$B$36:$GS$61,0,ROW()-3),CX$3)</f>
        <v>0</v>
      </c>
      <c r="CY91" s="2">
        <f>COUNTIF(INDEX('LINE PLAN'!$B$36:$GS$61,0,ROW()-3),CY$3)</f>
        <v>0</v>
      </c>
      <c r="CZ91" s="2">
        <f>COUNTIF(INDEX('LINE PLAN'!$B$36:$GS$61,0,ROW()-3),CZ$3)</f>
        <v>0</v>
      </c>
      <c r="DA91" s="2">
        <f>COUNTIF(INDEX('LINE PLAN'!$B$36:$GS$61,0,ROW()-3),DA$3)</f>
        <v>0</v>
      </c>
      <c r="DB91" s="2">
        <f>COUNTIF(INDEX('LINE PLAN'!$B$36:$GS$61,0,ROW()-3),DB$3)</f>
        <v>0</v>
      </c>
      <c r="DC91" s="2">
        <f>COUNTIF(INDEX('LINE PLAN'!$B$36:$GS$61,0,ROW()-3),DC$3)</f>
        <v>0</v>
      </c>
      <c r="DD91" s="2">
        <f>COUNTIF(INDEX('LINE PLAN'!$B$36:$GS$61,0,ROW()-3),DD$3)</f>
        <v>0</v>
      </c>
      <c r="DE91" s="2">
        <f>COUNTIF(INDEX('LINE PLAN'!$B$36:$GS$61,0,ROW()-3),DE$3)</f>
        <v>0</v>
      </c>
      <c r="DF91" s="2">
        <f>COUNTIF(INDEX('LINE PLAN'!$B$36:$GS$61,0,ROW()-3),DF$3)</f>
        <v>0</v>
      </c>
      <c r="DG91" s="2">
        <f>COUNTIF(INDEX('LINE PLAN'!$B$36:$GS$61,0,ROW()-3),DG$3)</f>
        <v>0</v>
      </c>
      <c r="DH91" s="2">
        <f>COUNTIF(INDEX('LINE PLAN'!$B$36:$GS$61,0,ROW()-3),DH$3)</f>
        <v>0</v>
      </c>
      <c r="DI91" s="2">
        <f>COUNTIF(INDEX('LINE PLAN'!$B$36:$GS$61,0,ROW()-3),DI$3)</f>
        <v>0</v>
      </c>
      <c r="DJ91" s="2">
        <f>COUNTIF(INDEX('LINE PLAN'!$B$36:$GS$61,0,ROW()-3),DJ$3)</f>
        <v>0</v>
      </c>
      <c r="DK91" s="2">
        <f>COUNTIF(INDEX('LINE PLAN'!$B$36:$GS$61,0,ROW()-3),DK$3)</f>
        <v>0</v>
      </c>
      <c r="DL91" s="2">
        <f>COUNTIF(INDEX('LINE PLAN'!$B$36:$GS$61,0,ROW()-3),DL$3)</f>
        <v>0</v>
      </c>
      <c r="DM91" s="2">
        <f>COUNTIF(INDEX('LINE PLAN'!$B$36:$GS$61,0,ROW()-3),DM$3)</f>
        <v>0</v>
      </c>
      <c r="DN91" s="2">
        <f>COUNTIF(INDEX('LINE PLAN'!$B$36:$GS$61,0,ROW()-3),DN$3)</f>
        <v>0</v>
      </c>
      <c r="DO91" s="2">
        <f>COUNTIF(INDEX('LINE PLAN'!$B$36:$GS$61,0,ROW()-3),DO$3)</f>
        <v>0</v>
      </c>
      <c r="DP91" s="2">
        <f>COUNTIF(INDEX('LINE PLAN'!$B$36:$GS$61,0,ROW()-3),DP$3)</f>
        <v>0</v>
      </c>
      <c r="DQ91" s="2">
        <f>COUNTIF(INDEX('LINE PLAN'!$B$36:$GS$61,0,ROW()-3),DQ$3)</f>
        <v>0</v>
      </c>
      <c r="DR91" s="2">
        <f>COUNTIF(INDEX('LINE PLAN'!$B$36:$GS$61,0,ROW()-3),DR$3)</f>
        <v>0</v>
      </c>
      <c r="DS91" s="2">
        <f>COUNTIF(INDEX('LINE PLAN'!$B$36:$GS$61,0,ROW()-3),DS$3)</f>
        <v>0</v>
      </c>
      <c r="DT91" s="2">
        <f>COUNTIF(INDEX('LINE PLAN'!$B$36:$GS$61,0,ROW()-3),DT$3)</f>
        <v>0</v>
      </c>
      <c r="DU91" s="2">
        <f>COUNTIF(INDEX('LINE PLAN'!$B$36:$GS$61,0,ROW()-3),DU$3)</f>
        <v>0</v>
      </c>
      <c r="DV91" s="2">
        <f>COUNTIF(INDEX('LINE PLAN'!$B$36:$GS$61,0,ROW()-3),DV$3)</f>
        <v>0</v>
      </c>
    </row>
    <row r="92" spans="1:126">
      <c r="A92" s="505" cm="1">
        <f t="array" ref="A92">INDEX('LINE PLAN'!$B$35:$GS$35,ROW()-3)</f>
        <v>46323</v>
      </c>
      <c r="B92" s="2">
        <f>SUMPRODUCT($CA92:$DV92,INDEX('MC MAP'!$DA$5:$EV$30,1,0))</f>
        <v>0</v>
      </c>
      <c r="C92" s="2">
        <f>SUMPRODUCT($CA92:$DV92,INDEX('MC MAP'!$DA$5:$EV$30,2,0))</f>
        <v>0</v>
      </c>
      <c r="D92" s="2">
        <f>SUMPRODUCT($CA92:$DV92,INDEX('MC MAP'!$DA$5:$EV$30,3,0))</f>
        <v>0</v>
      </c>
      <c r="E92" s="2">
        <f>SUMPRODUCT($CA92:$DV92,INDEX('MC MAP'!$DA$5:$EV$30,4,0))</f>
        <v>0</v>
      </c>
      <c r="F92" s="2">
        <f>SUMPRODUCT($CA92:$DV92,INDEX('MC MAP'!$DA$5:$EV$30,5,0))</f>
        <v>0</v>
      </c>
      <c r="G92" s="2">
        <f>SUMPRODUCT($CA92:$DV92,INDEX('MC MAP'!$DA$5:$EV$30,6,0))</f>
        <v>0</v>
      </c>
      <c r="H92" s="2">
        <f>SUMPRODUCT($CA92:$DV92,INDEX('MC MAP'!$DA$5:$EV$30,7,0))</f>
        <v>0</v>
      </c>
      <c r="I92" s="2">
        <f>SUMPRODUCT($CA92:$DV92,INDEX('MC MAP'!$DA$5:$EV$30,8,0))</f>
        <v>0</v>
      </c>
      <c r="J92" s="2">
        <f>SUMPRODUCT($CA92:$DV92,INDEX('MC MAP'!$DA$5:$EV$30,9,0))</f>
        <v>0</v>
      </c>
      <c r="K92" s="2">
        <f>SUMPRODUCT($CA92:$DV92,INDEX('MC MAP'!$DA$5:$EV$30,10,0))</f>
        <v>0</v>
      </c>
      <c r="L92" s="2">
        <f>SUMPRODUCT($CA92:$DV92,INDEX('MC MAP'!$DA$5:$EV$30,11,0))</f>
        <v>0</v>
      </c>
      <c r="M92" s="2">
        <f>SUMPRODUCT($CA92:$DV92,INDEX('MC MAP'!$DA$5:$EV$30,12,0))</f>
        <v>0</v>
      </c>
      <c r="N92" s="2">
        <f>SUMPRODUCT($CA92:$DV92,INDEX('MC MAP'!$DA$5:$EV$30,13,0))</f>
        <v>0</v>
      </c>
      <c r="O92" s="2">
        <f>SUMPRODUCT($CA92:$DV92,INDEX('MC MAP'!$DA$5:$EV$30,14,0))</f>
        <v>0</v>
      </c>
      <c r="P92" s="2">
        <f>SUMPRODUCT($CA92:$DV92,INDEX('MC MAP'!$DA$5:$EV$30,15,0))</f>
        <v>0</v>
      </c>
      <c r="Q92" s="2">
        <f>SUMPRODUCT($CA92:$DV92,INDEX('MC MAP'!$DA$5:$EV$30,16,0))</f>
        <v>0</v>
      </c>
      <c r="R92" s="2">
        <f>SUMPRODUCT($CA92:$DV92,INDEX('MC MAP'!$DA$5:$EV$30,17,0))</f>
        <v>0</v>
      </c>
      <c r="S92" s="2">
        <f>SUMPRODUCT($CA92:$DV92,INDEX('MC MAP'!$DA$5:$EV$30,18,0))</f>
        <v>0</v>
      </c>
      <c r="T92" s="2">
        <f>SUMPRODUCT($CA92:$DV92,INDEX('MC MAP'!$DA$5:$EV$30,19,0))</f>
        <v>0</v>
      </c>
      <c r="U92" s="2">
        <f>SUMPRODUCT($CA92:$DV92,INDEX('MC MAP'!$DA$5:$EV$30,20,0))</f>
        <v>0</v>
      </c>
      <c r="V92" s="2">
        <f>SUMPRODUCT($CA92:$DV92,INDEX('MC MAP'!$DA$5:$EV$30,21,0))</f>
        <v>0</v>
      </c>
      <c r="W92" s="2">
        <f>SUMPRODUCT($CA92:$DV92,INDEX('MC MAP'!$DA$5:$EV$30,22,0))</f>
        <v>0</v>
      </c>
      <c r="X92" s="2">
        <f>SUMPRODUCT($CA92:$DV92,INDEX('MC MAP'!$DA$5:$EV$30,23,0))</f>
        <v>0</v>
      </c>
      <c r="Y92" s="2">
        <f>SUMPRODUCT($CA92:$DV92,INDEX('MC MAP'!$DA$5:$EV$30,24,0))</f>
        <v>0</v>
      </c>
      <c r="Z92" s="2">
        <f>SUMPRODUCT($CA92:$DV92,INDEX('MC MAP'!$DA$5:$EV$30,25,0))</f>
        <v>0</v>
      </c>
      <c r="AA92" s="2">
        <f>SUMPRODUCT($CA92:$DV92,INDEX('MC MAP'!$DA$5:$EV$30,26,0))</f>
        <v>0</v>
      </c>
      <c r="AB92" s="2">
        <f>SUM($B92:$AA92)</f>
        <v>0</v>
      </c>
      <c r="AC92" s="2">
        <f>SUM($CA92:$DV92)+$AW92</f>
        <v>0</v>
      </c>
      <c r="AW92" s="2">
        <f>IF($A92=0,0,COUNTIF(INDEX('LINE PLAN'!$B$36:$GS$61,0,ROW()-3),"THERMAL - NOT SPECIFIED"))</f>
        <v>0</v>
      </c>
      <c r="AX92" s="506" cm="1">
        <f t="array" ref="AX92">IF(OR($AB92=0,UPPER($BS92)&lt;&gt;"Y"),0,SUMPRODUCT(--($B92:$AA92&gt;$B$205:$AA$205)))</f>
        <v>0</v>
      </c>
      <c r="AY92" s="507">
        <f>$A92</f>
        <v>46323</v>
      </c>
      <c r="AZ92" s="2">
        <f>$AB92</f>
        <v>0</v>
      </c>
      <c r="BA92" s="2">
        <f>'MC MASTER'!$C$29</f>
        <v>920</v>
      </c>
      <c r="BQ92" s="509">
        <f>$A92</f>
        <v>46323</v>
      </c>
      <c r="BR92" s="15" t="str">
        <f>TEXT($A92,"ddd")</f>
        <v>Wed</v>
      </c>
      <c r="BS92" s="547" t="s">
        <v>391</v>
      </c>
      <c r="BT92" s="15">
        <f>IF(UPPER($BS92)="Y",$AB92,0)</f>
        <v>0</v>
      </c>
      <c r="CA92" s="2">
        <f>COUNTIF(INDEX('LINE PLAN'!$B$36:$GS$61,0,ROW()-3),CA$3)</f>
        <v>0</v>
      </c>
      <c r="CB92" s="2">
        <f>COUNTIF(INDEX('LINE PLAN'!$B$36:$GS$61,0,ROW()-3),CB$3)</f>
        <v>0</v>
      </c>
      <c r="CC92" s="2">
        <f>COUNTIF(INDEX('LINE PLAN'!$B$36:$GS$61,0,ROW()-3),CC$3)</f>
        <v>0</v>
      </c>
      <c r="CD92" s="2">
        <f>COUNTIF(INDEX('LINE PLAN'!$B$36:$GS$61,0,ROW()-3),CD$3)</f>
        <v>0</v>
      </c>
      <c r="CE92" s="2">
        <f>COUNTIF(INDEX('LINE PLAN'!$B$36:$GS$61,0,ROW()-3),CE$3)</f>
        <v>0</v>
      </c>
      <c r="CF92" s="2">
        <f>COUNTIF(INDEX('LINE PLAN'!$B$36:$GS$61,0,ROW()-3),CF$3)</f>
        <v>0</v>
      </c>
      <c r="CG92" s="2">
        <f>COUNTIF(INDEX('LINE PLAN'!$B$36:$GS$61,0,ROW()-3),CG$3)</f>
        <v>0</v>
      </c>
      <c r="CH92" s="2">
        <f>COUNTIF(INDEX('LINE PLAN'!$B$36:$GS$61,0,ROW()-3),CH$3)</f>
        <v>0</v>
      </c>
      <c r="CI92" s="2">
        <f>COUNTIF(INDEX('LINE PLAN'!$B$36:$GS$61,0,ROW()-3),CI$3)</f>
        <v>0</v>
      </c>
      <c r="CJ92" s="2">
        <f>COUNTIF(INDEX('LINE PLAN'!$B$36:$GS$61,0,ROW()-3),CJ$3)</f>
        <v>0</v>
      </c>
      <c r="CK92" s="2">
        <f>COUNTIF(INDEX('LINE PLAN'!$B$36:$GS$61,0,ROW()-3),CK$3)</f>
        <v>0</v>
      </c>
      <c r="CL92" s="2">
        <f>COUNTIF(INDEX('LINE PLAN'!$B$36:$GS$61,0,ROW()-3),CL$3)</f>
        <v>0</v>
      </c>
      <c r="CM92" s="2">
        <f>COUNTIF(INDEX('LINE PLAN'!$B$36:$GS$61,0,ROW()-3),CM$3)</f>
        <v>0</v>
      </c>
      <c r="CN92" s="2">
        <f>COUNTIF(INDEX('LINE PLAN'!$B$36:$GS$61,0,ROW()-3),CN$3)</f>
        <v>0</v>
      </c>
      <c r="CO92" s="2">
        <f>COUNTIF(INDEX('LINE PLAN'!$B$36:$GS$61,0,ROW()-3),CO$3)</f>
        <v>0</v>
      </c>
      <c r="CP92" s="2">
        <f>COUNTIF(INDEX('LINE PLAN'!$B$36:$GS$61,0,ROW()-3),CP$3)</f>
        <v>0</v>
      </c>
      <c r="CQ92" s="2">
        <f>COUNTIF(INDEX('LINE PLAN'!$B$36:$GS$61,0,ROW()-3),CQ$3)</f>
        <v>0</v>
      </c>
      <c r="CR92" s="2">
        <f>COUNTIF(INDEX('LINE PLAN'!$B$36:$GS$61,0,ROW()-3),CR$3)</f>
        <v>0</v>
      </c>
      <c r="CS92" s="2">
        <f>COUNTIF(INDEX('LINE PLAN'!$B$36:$GS$61,0,ROW()-3),CS$3)</f>
        <v>0</v>
      </c>
      <c r="CT92" s="2">
        <f>COUNTIF(INDEX('LINE PLAN'!$B$36:$GS$61,0,ROW()-3),CT$3)</f>
        <v>0</v>
      </c>
      <c r="CU92" s="2">
        <f>COUNTIF(INDEX('LINE PLAN'!$B$36:$GS$61,0,ROW()-3),CU$3)</f>
        <v>0</v>
      </c>
      <c r="CV92" s="2">
        <f>COUNTIF(INDEX('LINE PLAN'!$B$36:$GS$61,0,ROW()-3),CV$3)</f>
        <v>0</v>
      </c>
      <c r="CW92" s="2">
        <f>COUNTIF(INDEX('LINE PLAN'!$B$36:$GS$61,0,ROW()-3),CW$3)</f>
        <v>0</v>
      </c>
      <c r="CX92" s="2">
        <f>COUNTIF(INDEX('LINE PLAN'!$B$36:$GS$61,0,ROW()-3),CX$3)</f>
        <v>0</v>
      </c>
      <c r="CY92" s="2">
        <f>COUNTIF(INDEX('LINE PLAN'!$B$36:$GS$61,0,ROW()-3),CY$3)</f>
        <v>0</v>
      </c>
      <c r="CZ92" s="2">
        <f>COUNTIF(INDEX('LINE PLAN'!$B$36:$GS$61,0,ROW()-3),CZ$3)</f>
        <v>0</v>
      </c>
      <c r="DA92" s="2">
        <f>COUNTIF(INDEX('LINE PLAN'!$B$36:$GS$61,0,ROW()-3),DA$3)</f>
        <v>0</v>
      </c>
      <c r="DB92" s="2">
        <f>COUNTIF(INDEX('LINE PLAN'!$B$36:$GS$61,0,ROW()-3),DB$3)</f>
        <v>0</v>
      </c>
      <c r="DC92" s="2">
        <f>COUNTIF(INDEX('LINE PLAN'!$B$36:$GS$61,0,ROW()-3),DC$3)</f>
        <v>0</v>
      </c>
      <c r="DD92" s="2">
        <f>COUNTIF(INDEX('LINE PLAN'!$B$36:$GS$61,0,ROW()-3),DD$3)</f>
        <v>0</v>
      </c>
      <c r="DE92" s="2">
        <f>COUNTIF(INDEX('LINE PLAN'!$B$36:$GS$61,0,ROW()-3),DE$3)</f>
        <v>0</v>
      </c>
      <c r="DF92" s="2">
        <f>COUNTIF(INDEX('LINE PLAN'!$B$36:$GS$61,0,ROW()-3),DF$3)</f>
        <v>0</v>
      </c>
      <c r="DG92" s="2">
        <f>COUNTIF(INDEX('LINE PLAN'!$B$36:$GS$61,0,ROW()-3),DG$3)</f>
        <v>0</v>
      </c>
      <c r="DH92" s="2">
        <f>COUNTIF(INDEX('LINE PLAN'!$B$36:$GS$61,0,ROW()-3),DH$3)</f>
        <v>0</v>
      </c>
      <c r="DI92" s="2">
        <f>COUNTIF(INDEX('LINE PLAN'!$B$36:$GS$61,0,ROW()-3),DI$3)</f>
        <v>0</v>
      </c>
      <c r="DJ92" s="2">
        <f>COUNTIF(INDEX('LINE PLAN'!$B$36:$GS$61,0,ROW()-3),DJ$3)</f>
        <v>0</v>
      </c>
      <c r="DK92" s="2">
        <f>COUNTIF(INDEX('LINE PLAN'!$B$36:$GS$61,0,ROW()-3),DK$3)</f>
        <v>0</v>
      </c>
      <c r="DL92" s="2">
        <f>COUNTIF(INDEX('LINE PLAN'!$B$36:$GS$61,0,ROW()-3),DL$3)</f>
        <v>0</v>
      </c>
      <c r="DM92" s="2">
        <f>COUNTIF(INDEX('LINE PLAN'!$B$36:$GS$61,0,ROW()-3),DM$3)</f>
        <v>0</v>
      </c>
      <c r="DN92" s="2">
        <f>COUNTIF(INDEX('LINE PLAN'!$B$36:$GS$61,0,ROW()-3),DN$3)</f>
        <v>0</v>
      </c>
      <c r="DO92" s="2">
        <f>COUNTIF(INDEX('LINE PLAN'!$B$36:$GS$61,0,ROW()-3),DO$3)</f>
        <v>0</v>
      </c>
      <c r="DP92" s="2">
        <f>COUNTIF(INDEX('LINE PLAN'!$B$36:$GS$61,0,ROW()-3),DP$3)</f>
        <v>0</v>
      </c>
      <c r="DQ92" s="2">
        <f>COUNTIF(INDEX('LINE PLAN'!$B$36:$GS$61,0,ROW()-3),DQ$3)</f>
        <v>0</v>
      </c>
      <c r="DR92" s="2">
        <f>COUNTIF(INDEX('LINE PLAN'!$B$36:$GS$61,0,ROW()-3),DR$3)</f>
        <v>0</v>
      </c>
      <c r="DS92" s="2">
        <f>COUNTIF(INDEX('LINE PLAN'!$B$36:$GS$61,0,ROW()-3),DS$3)</f>
        <v>0</v>
      </c>
      <c r="DT92" s="2">
        <f>COUNTIF(INDEX('LINE PLAN'!$B$36:$GS$61,0,ROW()-3),DT$3)</f>
        <v>0</v>
      </c>
      <c r="DU92" s="2">
        <f>COUNTIF(INDEX('LINE PLAN'!$B$36:$GS$61,0,ROW()-3),DU$3)</f>
        <v>0</v>
      </c>
      <c r="DV92" s="2">
        <f>COUNTIF(INDEX('LINE PLAN'!$B$36:$GS$61,0,ROW()-3),DV$3)</f>
        <v>0</v>
      </c>
    </row>
    <row r="93" spans="1:126">
      <c r="A93" s="505" cm="1">
        <f t="array" ref="A93">INDEX('LINE PLAN'!$B$35:$GS$35,ROW()-3)</f>
        <v>46324</v>
      </c>
      <c r="B93" s="2">
        <f>SUMPRODUCT($CA93:$DV93,INDEX('MC MAP'!$DA$5:$EV$30,1,0))</f>
        <v>0</v>
      </c>
      <c r="C93" s="2">
        <f>SUMPRODUCT($CA93:$DV93,INDEX('MC MAP'!$DA$5:$EV$30,2,0))</f>
        <v>0</v>
      </c>
      <c r="D93" s="2">
        <f>SUMPRODUCT($CA93:$DV93,INDEX('MC MAP'!$DA$5:$EV$30,3,0))</f>
        <v>0</v>
      </c>
      <c r="E93" s="2">
        <f>SUMPRODUCT($CA93:$DV93,INDEX('MC MAP'!$DA$5:$EV$30,4,0))</f>
        <v>0</v>
      </c>
      <c r="F93" s="2">
        <f>SUMPRODUCT($CA93:$DV93,INDEX('MC MAP'!$DA$5:$EV$30,5,0))</f>
        <v>0</v>
      </c>
      <c r="G93" s="2">
        <f>SUMPRODUCT($CA93:$DV93,INDEX('MC MAP'!$DA$5:$EV$30,6,0))</f>
        <v>0</v>
      </c>
      <c r="H93" s="2">
        <f>SUMPRODUCT($CA93:$DV93,INDEX('MC MAP'!$DA$5:$EV$30,7,0))</f>
        <v>0</v>
      </c>
      <c r="I93" s="2">
        <f>SUMPRODUCT($CA93:$DV93,INDEX('MC MAP'!$DA$5:$EV$30,8,0))</f>
        <v>0</v>
      </c>
      <c r="J93" s="2">
        <f>SUMPRODUCT($CA93:$DV93,INDEX('MC MAP'!$DA$5:$EV$30,9,0))</f>
        <v>0</v>
      </c>
      <c r="K93" s="2">
        <f>SUMPRODUCT($CA93:$DV93,INDEX('MC MAP'!$DA$5:$EV$30,10,0))</f>
        <v>0</v>
      </c>
      <c r="L93" s="2">
        <f>SUMPRODUCT($CA93:$DV93,INDEX('MC MAP'!$DA$5:$EV$30,11,0))</f>
        <v>0</v>
      </c>
      <c r="M93" s="2">
        <f>SUMPRODUCT($CA93:$DV93,INDEX('MC MAP'!$DA$5:$EV$30,12,0))</f>
        <v>0</v>
      </c>
      <c r="N93" s="2">
        <f>SUMPRODUCT($CA93:$DV93,INDEX('MC MAP'!$DA$5:$EV$30,13,0))</f>
        <v>0</v>
      </c>
      <c r="O93" s="2">
        <f>SUMPRODUCT($CA93:$DV93,INDEX('MC MAP'!$DA$5:$EV$30,14,0))</f>
        <v>0</v>
      </c>
      <c r="P93" s="2">
        <f>SUMPRODUCT($CA93:$DV93,INDEX('MC MAP'!$DA$5:$EV$30,15,0))</f>
        <v>0</v>
      </c>
      <c r="Q93" s="2">
        <f>SUMPRODUCT($CA93:$DV93,INDEX('MC MAP'!$DA$5:$EV$30,16,0))</f>
        <v>0</v>
      </c>
      <c r="R93" s="2">
        <f>SUMPRODUCT($CA93:$DV93,INDEX('MC MAP'!$DA$5:$EV$30,17,0))</f>
        <v>0</v>
      </c>
      <c r="S93" s="2">
        <f>SUMPRODUCT($CA93:$DV93,INDEX('MC MAP'!$DA$5:$EV$30,18,0))</f>
        <v>0</v>
      </c>
      <c r="T93" s="2">
        <f>SUMPRODUCT($CA93:$DV93,INDEX('MC MAP'!$DA$5:$EV$30,19,0))</f>
        <v>0</v>
      </c>
      <c r="U93" s="2">
        <f>SUMPRODUCT($CA93:$DV93,INDEX('MC MAP'!$DA$5:$EV$30,20,0))</f>
        <v>0</v>
      </c>
      <c r="V93" s="2">
        <f>SUMPRODUCT($CA93:$DV93,INDEX('MC MAP'!$DA$5:$EV$30,21,0))</f>
        <v>0</v>
      </c>
      <c r="W93" s="2">
        <f>SUMPRODUCT($CA93:$DV93,INDEX('MC MAP'!$DA$5:$EV$30,22,0))</f>
        <v>0</v>
      </c>
      <c r="X93" s="2">
        <f>SUMPRODUCT($CA93:$DV93,INDEX('MC MAP'!$DA$5:$EV$30,23,0))</f>
        <v>0</v>
      </c>
      <c r="Y93" s="2">
        <f>SUMPRODUCT($CA93:$DV93,INDEX('MC MAP'!$DA$5:$EV$30,24,0))</f>
        <v>0</v>
      </c>
      <c r="Z93" s="2">
        <f>SUMPRODUCT($CA93:$DV93,INDEX('MC MAP'!$DA$5:$EV$30,25,0))</f>
        <v>0</v>
      </c>
      <c r="AA93" s="2">
        <f>SUMPRODUCT($CA93:$DV93,INDEX('MC MAP'!$DA$5:$EV$30,26,0))</f>
        <v>0</v>
      </c>
      <c r="AB93" s="2">
        <f>SUM($B93:$AA93)</f>
        <v>0</v>
      </c>
      <c r="AC93" s="2">
        <f>SUM($CA93:$DV93)+$AW93</f>
        <v>0</v>
      </c>
      <c r="AW93" s="2">
        <f>IF($A93=0,0,COUNTIF(INDEX('LINE PLAN'!$B$36:$GS$61,0,ROW()-3),"THERMAL - NOT SPECIFIED"))</f>
        <v>0</v>
      </c>
      <c r="AX93" s="506" cm="1">
        <f t="array" ref="AX93">IF(OR($AB93=0,UPPER($BS93)&lt;&gt;"Y"),0,SUMPRODUCT(--($B93:$AA93&gt;$B$205:$AA$205)))</f>
        <v>0</v>
      </c>
      <c r="AY93" s="507">
        <f>$A93</f>
        <v>46324</v>
      </c>
      <c r="AZ93" s="2">
        <f>$AB93</f>
        <v>0</v>
      </c>
      <c r="BA93" s="2">
        <f>'MC MASTER'!$C$29</f>
        <v>920</v>
      </c>
      <c r="BQ93" s="509">
        <f>$A93</f>
        <v>46324</v>
      </c>
      <c r="BR93" s="15" t="str">
        <f>TEXT($A93,"ddd")</f>
        <v>Thu</v>
      </c>
      <c r="BS93" s="547" t="s">
        <v>391</v>
      </c>
      <c r="BT93" s="15">
        <f>IF(UPPER($BS93)="Y",$AB93,0)</f>
        <v>0</v>
      </c>
      <c r="CA93" s="2">
        <f>COUNTIF(INDEX('LINE PLAN'!$B$36:$GS$61,0,ROW()-3),CA$3)</f>
        <v>0</v>
      </c>
      <c r="CB93" s="2">
        <f>COUNTIF(INDEX('LINE PLAN'!$B$36:$GS$61,0,ROW()-3),CB$3)</f>
        <v>0</v>
      </c>
      <c r="CC93" s="2">
        <f>COUNTIF(INDEX('LINE PLAN'!$B$36:$GS$61,0,ROW()-3),CC$3)</f>
        <v>0</v>
      </c>
      <c r="CD93" s="2">
        <f>COUNTIF(INDEX('LINE PLAN'!$B$36:$GS$61,0,ROW()-3),CD$3)</f>
        <v>0</v>
      </c>
      <c r="CE93" s="2">
        <f>COUNTIF(INDEX('LINE PLAN'!$B$36:$GS$61,0,ROW()-3),CE$3)</f>
        <v>0</v>
      </c>
      <c r="CF93" s="2">
        <f>COUNTIF(INDEX('LINE PLAN'!$B$36:$GS$61,0,ROW()-3),CF$3)</f>
        <v>0</v>
      </c>
      <c r="CG93" s="2">
        <f>COUNTIF(INDEX('LINE PLAN'!$B$36:$GS$61,0,ROW()-3),CG$3)</f>
        <v>0</v>
      </c>
      <c r="CH93" s="2">
        <f>COUNTIF(INDEX('LINE PLAN'!$B$36:$GS$61,0,ROW()-3),CH$3)</f>
        <v>0</v>
      </c>
      <c r="CI93" s="2">
        <f>COUNTIF(INDEX('LINE PLAN'!$B$36:$GS$61,0,ROW()-3),CI$3)</f>
        <v>0</v>
      </c>
      <c r="CJ93" s="2">
        <f>COUNTIF(INDEX('LINE PLAN'!$B$36:$GS$61,0,ROW()-3),CJ$3)</f>
        <v>0</v>
      </c>
      <c r="CK93" s="2">
        <f>COUNTIF(INDEX('LINE PLAN'!$B$36:$GS$61,0,ROW()-3),CK$3)</f>
        <v>0</v>
      </c>
      <c r="CL93" s="2">
        <f>COUNTIF(INDEX('LINE PLAN'!$B$36:$GS$61,0,ROW()-3),CL$3)</f>
        <v>0</v>
      </c>
      <c r="CM93" s="2">
        <f>COUNTIF(INDEX('LINE PLAN'!$B$36:$GS$61,0,ROW()-3),CM$3)</f>
        <v>0</v>
      </c>
      <c r="CN93" s="2">
        <f>COUNTIF(INDEX('LINE PLAN'!$B$36:$GS$61,0,ROW()-3),CN$3)</f>
        <v>0</v>
      </c>
      <c r="CO93" s="2">
        <f>COUNTIF(INDEX('LINE PLAN'!$B$36:$GS$61,0,ROW()-3),CO$3)</f>
        <v>0</v>
      </c>
      <c r="CP93" s="2">
        <f>COUNTIF(INDEX('LINE PLAN'!$B$36:$GS$61,0,ROW()-3),CP$3)</f>
        <v>0</v>
      </c>
      <c r="CQ93" s="2">
        <f>COUNTIF(INDEX('LINE PLAN'!$B$36:$GS$61,0,ROW()-3),CQ$3)</f>
        <v>0</v>
      </c>
      <c r="CR93" s="2">
        <f>COUNTIF(INDEX('LINE PLAN'!$B$36:$GS$61,0,ROW()-3),CR$3)</f>
        <v>0</v>
      </c>
      <c r="CS93" s="2">
        <f>COUNTIF(INDEX('LINE PLAN'!$B$36:$GS$61,0,ROW()-3),CS$3)</f>
        <v>0</v>
      </c>
      <c r="CT93" s="2">
        <f>COUNTIF(INDEX('LINE PLAN'!$B$36:$GS$61,0,ROW()-3),CT$3)</f>
        <v>0</v>
      </c>
      <c r="CU93" s="2">
        <f>COUNTIF(INDEX('LINE PLAN'!$B$36:$GS$61,0,ROW()-3),CU$3)</f>
        <v>0</v>
      </c>
      <c r="CV93" s="2">
        <f>COUNTIF(INDEX('LINE PLAN'!$B$36:$GS$61,0,ROW()-3),CV$3)</f>
        <v>0</v>
      </c>
      <c r="CW93" s="2">
        <f>COUNTIF(INDEX('LINE PLAN'!$B$36:$GS$61,0,ROW()-3),CW$3)</f>
        <v>0</v>
      </c>
      <c r="CX93" s="2">
        <f>COUNTIF(INDEX('LINE PLAN'!$B$36:$GS$61,0,ROW()-3),CX$3)</f>
        <v>0</v>
      </c>
      <c r="CY93" s="2">
        <f>COUNTIF(INDEX('LINE PLAN'!$B$36:$GS$61,0,ROW()-3),CY$3)</f>
        <v>0</v>
      </c>
      <c r="CZ93" s="2">
        <f>COUNTIF(INDEX('LINE PLAN'!$B$36:$GS$61,0,ROW()-3),CZ$3)</f>
        <v>0</v>
      </c>
      <c r="DA93" s="2">
        <f>COUNTIF(INDEX('LINE PLAN'!$B$36:$GS$61,0,ROW()-3),DA$3)</f>
        <v>0</v>
      </c>
      <c r="DB93" s="2">
        <f>COUNTIF(INDEX('LINE PLAN'!$B$36:$GS$61,0,ROW()-3),DB$3)</f>
        <v>0</v>
      </c>
      <c r="DC93" s="2">
        <f>COUNTIF(INDEX('LINE PLAN'!$B$36:$GS$61,0,ROW()-3),DC$3)</f>
        <v>0</v>
      </c>
      <c r="DD93" s="2">
        <f>COUNTIF(INDEX('LINE PLAN'!$B$36:$GS$61,0,ROW()-3),DD$3)</f>
        <v>0</v>
      </c>
      <c r="DE93" s="2">
        <f>COUNTIF(INDEX('LINE PLAN'!$B$36:$GS$61,0,ROW()-3),DE$3)</f>
        <v>0</v>
      </c>
      <c r="DF93" s="2">
        <f>COUNTIF(INDEX('LINE PLAN'!$B$36:$GS$61,0,ROW()-3),DF$3)</f>
        <v>0</v>
      </c>
      <c r="DG93" s="2">
        <f>COUNTIF(INDEX('LINE PLAN'!$B$36:$GS$61,0,ROW()-3),DG$3)</f>
        <v>0</v>
      </c>
      <c r="DH93" s="2">
        <f>COUNTIF(INDEX('LINE PLAN'!$B$36:$GS$61,0,ROW()-3),DH$3)</f>
        <v>0</v>
      </c>
      <c r="DI93" s="2">
        <f>COUNTIF(INDEX('LINE PLAN'!$B$36:$GS$61,0,ROW()-3),DI$3)</f>
        <v>0</v>
      </c>
      <c r="DJ93" s="2">
        <f>COUNTIF(INDEX('LINE PLAN'!$B$36:$GS$61,0,ROW()-3),DJ$3)</f>
        <v>0</v>
      </c>
      <c r="DK93" s="2">
        <f>COUNTIF(INDEX('LINE PLAN'!$B$36:$GS$61,0,ROW()-3),DK$3)</f>
        <v>0</v>
      </c>
      <c r="DL93" s="2">
        <f>COUNTIF(INDEX('LINE PLAN'!$B$36:$GS$61,0,ROW()-3),DL$3)</f>
        <v>0</v>
      </c>
      <c r="DM93" s="2">
        <f>COUNTIF(INDEX('LINE PLAN'!$B$36:$GS$61,0,ROW()-3),DM$3)</f>
        <v>0</v>
      </c>
      <c r="DN93" s="2">
        <f>COUNTIF(INDEX('LINE PLAN'!$B$36:$GS$61,0,ROW()-3),DN$3)</f>
        <v>0</v>
      </c>
      <c r="DO93" s="2">
        <f>COUNTIF(INDEX('LINE PLAN'!$B$36:$GS$61,0,ROW()-3),DO$3)</f>
        <v>0</v>
      </c>
      <c r="DP93" s="2">
        <f>COUNTIF(INDEX('LINE PLAN'!$B$36:$GS$61,0,ROW()-3),DP$3)</f>
        <v>0</v>
      </c>
      <c r="DQ93" s="2">
        <f>COUNTIF(INDEX('LINE PLAN'!$B$36:$GS$61,0,ROW()-3),DQ$3)</f>
        <v>0</v>
      </c>
      <c r="DR93" s="2">
        <f>COUNTIF(INDEX('LINE PLAN'!$B$36:$GS$61,0,ROW()-3),DR$3)</f>
        <v>0</v>
      </c>
      <c r="DS93" s="2">
        <f>COUNTIF(INDEX('LINE PLAN'!$B$36:$GS$61,0,ROW()-3),DS$3)</f>
        <v>0</v>
      </c>
      <c r="DT93" s="2">
        <f>COUNTIF(INDEX('LINE PLAN'!$B$36:$GS$61,0,ROW()-3),DT$3)</f>
        <v>0</v>
      </c>
      <c r="DU93" s="2">
        <f>COUNTIF(INDEX('LINE PLAN'!$B$36:$GS$61,0,ROW()-3),DU$3)</f>
        <v>0</v>
      </c>
      <c r="DV93" s="2">
        <f>COUNTIF(INDEX('LINE PLAN'!$B$36:$GS$61,0,ROW()-3),DV$3)</f>
        <v>0</v>
      </c>
    </row>
    <row r="94" spans="1:126">
      <c r="A94" s="505" cm="1">
        <f t="array" ref="A94">INDEX('LINE PLAN'!$B$35:$GS$35,ROW()-3)</f>
        <v>46325</v>
      </c>
      <c r="B94" s="2">
        <f>SUMPRODUCT($CA94:$DV94,INDEX('MC MAP'!$DA$5:$EV$30,1,0))</f>
        <v>0</v>
      </c>
      <c r="C94" s="2">
        <f>SUMPRODUCT($CA94:$DV94,INDEX('MC MAP'!$DA$5:$EV$30,2,0))</f>
        <v>0</v>
      </c>
      <c r="D94" s="2">
        <f>SUMPRODUCT($CA94:$DV94,INDEX('MC MAP'!$DA$5:$EV$30,3,0))</f>
        <v>0</v>
      </c>
      <c r="E94" s="2">
        <f>SUMPRODUCT($CA94:$DV94,INDEX('MC MAP'!$DA$5:$EV$30,4,0))</f>
        <v>0</v>
      </c>
      <c r="F94" s="2">
        <f>SUMPRODUCT($CA94:$DV94,INDEX('MC MAP'!$DA$5:$EV$30,5,0))</f>
        <v>0</v>
      </c>
      <c r="G94" s="2">
        <f>SUMPRODUCT($CA94:$DV94,INDEX('MC MAP'!$DA$5:$EV$30,6,0))</f>
        <v>0</v>
      </c>
      <c r="H94" s="2">
        <f>SUMPRODUCT($CA94:$DV94,INDEX('MC MAP'!$DA$5:$EV$30,7,0))</f>
        <v>0</v>
      </c>
      <c r="I94" s="2">
        <f>SUMPRODUCT($CA94:$DV94,INDEX('MC MAP'!$DA$5:$EV$30,8,0))</f>
        <v>0</v>
      </c>
      <c r="J94" s="2">
        <f>SUMPRODUCT($CA94:$DV94,INDEX('MC MAP'!$DA$5:$EV$30,9,0))</f>
        <v>0</v>
      </c>
      <c r="K94" s="2">
        <f>SUMPRODUCT($CA94:$DV94,INDEX('MC MAP'!$DA$5:$EV$30,10,0))</f>
        <v>0</v>
      </c>
      <c r="L94" s="2">
        <f>SUMPRODUCT($CA94:$DV94,INDEX('MC MAP'!$DA$5:$EV$30,11,0))</f>
        <v>0</v>
      </c>
      <c r="M94" s="2">
        <f>SUMPRODUCT($CA94:$DV94,INDEX('MC MAP'!$DA$5:$EV$30,12,0))</f>
        <v>0</v>
      </c>
      <c r="N94" s="2">
        <f>SUMPRODUCT($CA94:$DV94,INDEX('MC MAP'!$DA$5:$EV$30,13,0))</f>
        <v>0</v>
      </c>
      <c r="O94" s="2">
        <f>SUMPRODUCT($CA94:$DV94,INDEX('MC MAP'!$DA$5:$EV$30,14,0))</f>
        <v>0</v>
      </c>
      <c r="P94" s="2">
        <f>SUMPRODUCT($CA94:$DV94,INDEX('MC MAP'!$DA$5:$EV$30,15,0))</f>
        <v>0</v>
      </c>
      <c r="Q94" s="2">
        <f>SUMPRODUCT($CA94:$DV94,INDEX('MC MAP'!$DA$5:$EV$30,16,0))</f>
        <v>0</v>
      </c>
      <c r="R94" s="2">
        <f>SUMPRODUCT($CA94:$DV94,INDEX('MC MAP'!$DA$5:$EV$30,17,0))</f>
        <v>0</v>
      </c>
      <c r="S94" s="2">
        <f>SUMPRODUCT($CA94:$DV94,INDEX('MC MAP'!$DA$5:$EV$30,18,0))</f>
        <v>0</v>
      </c>
      <c r="T94" s="2">
        <f>SUMPRODUCT($CA94:$DV94,INDEX('MC MAP'!$DA$5:$EV$30,19,0))</f>
        <v>0</v>
      </c>
      <c r="U94" s="2">
        <f>SUMPRODUCT($CA94:$DV94,INDEX('MC MAP'!$DA$5:$EV$30,20,0))</f>
        <v>0</v>
      </c>
      <c r="V94" s="2">
        <f>SUMPRODUCT($CA94:$DV94,INDEX('MC MAP'!$DA$5:$EV$30,21,0))</f>
        <v>0</v>
      </c>
      <c r="W94" s="2">
        <f>SUMPRODUCT($CA94:$DV94,INDEX('MC MAP'!$DA$5:$EV$30,22,0))</f>
        <v>0</v>
      </c>
      <c r="X94" s="2">
        <f>SUMPRODUCT($CA94:$DV94,INDEX('MC MAP'!$DA$5:$EV$30,23,0))</f>
        <v>0</v>
      </c>
      <c r="Y94" s="2">
        <f>SUMPRODUCT($CA94:$DV94,INDEX('MC MAP'!$DA$5:$EV$30,24,0))</f>
        <v>0</v>
      </c>
      <c r="Z94" s="2">
        <f>SUMPRODUCT($CA94:$DV94,INDEX('MC MAP'!$DA$5:$EV$30,25,0))</f>
        <v>0</v>
      </c>
      <c r="AA94" s="2">
        <f>SUMPRODUCT($CA94:$DV94,INDEX('MC MAP'!$DA$5:$EV$30,26,0))</f>
        <v>0</v>
      </c>
      <c r="AB94" s="2">
        <f>SUM($B94:$AA94)</f>
        <v>0</v>
      </c>
      <c r="AC94" s="2">
        <f>SUM($CA94:$DV94)+$AW94</f>
        <v>0</v>
      </c>
      <c r="AW94" s="2">
        <f>IF($A94=0,0,COUNTIF(INDEX('LINE PLAN'!$B$36:$GS$61,0,ROW()-3),"THERMAL - NOT SPECIFIED"))</f>
        <v>0</v>
      </c>
      <c r="AX94" s="506" cm="1">
        <f t="array" ref="AX94">IF(OR($AB94=0,UPPER($BS94)&lt;&gt;"Y"),0,SUMPRODUCT(--($B94:$AA94&gt;$B$205:$AA$205)))</f>
        <v>0</v>
      </c>
      <c r="AY94" s="507">
        <f>$A94</f>
        <v>46325</v>
      </c>
      <c r="AZ94" s="2">
        <f>$AB94</f>
        <v>0</v>
      </c>
      <c r="BA94" s="2">
        <f>'MC MASTER'!$C$29</f>
        <v>920</v>
      </c>
      <c r="BQ94" s="509">
        <f>$A94</f>
        <v>46325</v>
      </c>
      <c r="BR94" s="15" t="str">
        <f>TEXT($A94,"ddd")</f>
        <v>Fri</v>
      </c>
      <c r="BS94" s="547" t="s">
        <v>391</v>
      </c>
      <c r="BT94" s="15">
        <f>IF(UPPER($BS94)="Y",$AB94,0)</f>
        <v>0</v>
      </c>
      <c r="CA94" s="2">
        <f>COUNTIF(INDEX('LINE PLAN'!$B$36:$GS$61,0,ROW()-3),CA$3)</f>
        <v>0</v>
      </c>
      <c r="CB94" s="2">
        <f>COUNTIF(INDEX('LINE PLAN'!$B$36:$GS$61,0,ROW()-3),CB$3)</f>
        <v>0</v>
      </c>
      <c r="CC94" s="2">
        <f>COUNTIF(INDEX('LINE PLAN'!$B$36:$GS$61,0,ROW()-3),CC$3)</f>
        <v>0</v>
      </c>
      <c r="CD94" s="2">
        <f>COUNTIF(INDEX('LINE PLAN'!$B$36:$GS$61,0,ROW()-3),CD$3)</f>
        <v>0</v>
      </c>
      <c r="CE94" s="2">
        <f>COUNTIF(INDEX('LINE PLAN'!$B$36:$GS$61,0,ROW()-3),CE$3)</f>
        <v>0</v>
      </c>
      <c r="CF94" s="2">
        <f>COUNTIF(INDEX('LINE PLAN'!$B$36:$GS$61,0,ROW()-3),CF$3)</f>
        <v>0</v>
      </c>
      <c r="CG94" s="2">
        <f>COUNTIF(INDEX('LINE PLAN'!$B$36:$GS$61,0,ROW()-3),CG$3)</f>
        <v>0</v>
      </c>
      <c r="CH94" s="2">
        <f>COUNTIF(INDEX('LINE PLAN'!$B$36:$GS$61,0,ROW()-3),CH$3)</f>
        <v>0</v>
      </c>
      <c r="CI94" s="2">
        <f>COUNTIF(INDEX('LINE PLAN'!$B$36:$GS$61,0,ROW()-3),CI$3)</f>
        <v>0</v>
      </c>
      <c r="CJ94" s="2">
        <f>COUNTIF(INDEX('LINE PLAN'!$B$36:$GS$61,0,ROW()-3),CJ$3)</f>
        <v>0</v>
      </c>
      <c r="CK94" s="2">
        <f>COUNTIF(INDEX('LINE PLAN'!$B$36:$GS$61,0,ROW()-3),CK$3)</f>
        <v>0</v>
      </c>
      <c r="CL94" s="2">
        <f>COUNTIF(INDEX('LINE PLAN'!$B$36:$GS$61,0,ROW()-3),CL$3)</f>
        <v>0</v>
      </c>
      <c r="CM94" s="2">
        <f>COUNTIF(INDEX('LINE PLAN'!$B$36:$GS$61,0,ROW()-3),CM$3)</f>
        <v>0</v>
      </c>
      <c r="CN94" s="2">
        <f>COUNTIF(INDEX('LINE PLAN'!$B$36:$GS$61,0,ROW()-3),CN$3)</f>
        <v>0</v>
      </c>
      <c r="CO94" s="2">
        <f>COUNTIF(INDEX('LINE PLAN'!$B$36:$GS$61,0,ROW()-3),CO$3)</f>
        <v>0</v>
      </c>
      <c r="CP94" s="2">
        <f>COUNTIF(INDEX('LINE PLAN'!$B$36:$GS$61,0,ROW()-3),CP$3)</f>
        <v>0</v>
      </c>
      <c r="CQ94" s="2">
        <f>COUNTIF(INDEX('LINE PLAN'!$B$36:$GS$61,0,ROW()-3),CQ$3)</f>
        <v>0</v>
      </c>
      <c r="CR94" s="2">
        <f>COUNTIF(INDEX('LINE PLAN'!$B$36:$GS$61,0,ROW()-3),CR$3)</f>
        <v>0</v>
      </c>
      <c r="CS94" s="2">
        <f>COUNTIF(INDEX('LINE PLAN'!$B$36:$GS$61,0,ROW()-3),CS$3)</f>
        <v>0</v>
      </c>
      <c r="CT94" s="2">
        <f>COUNTIF(INDEX('LINE PLAN'!$B$36:$GS$61,0,ROW()-3),CT$3)</f>
        <v>0</v>
      </c>
      <c r="CU94" s="2">
        <f>COUNTIF(INDEX('LINE PLAN'!$B$36:$GS$61,0,ROW()-3),CU$3)</f>
        <v>0</v>
      </c>
      <c r="CV94" s="2">
        <f>COUNTIF(INDEX('LINE PLAN'!$B$36:$GS$61,0,ROW()-3),CV$3)</f>
        <v>0</v>
      </c>
      <c r="CW94" s="2">
        <f>COUNTIF(INDEX('LINE PLAN'!$B$36:$GS$61,0,ROW()-3),CW$3)</f>
        <v>0</v>
      </c>
      <c r="CX94" s="2">
        <f>COUNTIF(INDEX('LINE PLAN'!$B$36:$GS$61,0,ROW()-3),CX$3)</f>
        <v>0</v>
      </c>
      <c r="CY94" s="2">
        <f>COUNTIF(INDEX('LINE PLAN'!$B$36:$GS$61,0,ROW()-3),CY$3)</f>
        <v>0</v>
      </c>
      <c r="CZ94" s="2">
        <f>COUNTIF(INDEX('LINE PLAN'!$B$36:$GS$61,0,ROW()-3),CZ$3)</f>
        <v>0</v>
      </c>
      <c r="DA94" s="2">
        <f>COUNTIF(INDEX('LINE PLAN'!$B$36:$GS$61,0,ROW()-3),DA$3)</f>
        <v>0</v>
      </c>
      <c r="DB94" s="2">
        <f>COUNTIF(INDEX('LINE PLAN'!$B$36:$GS$61,0,ROW()-3),DB$3)</f>
        <v>0</v>
      </c>
      <c r="DC94" s="2">
        <f>COUNTIF(INDEX('LINE PLAN'!$B$36:$GS$61,0,ROW()-3),DC$3)</f>
        <v>0</v>
      </c>
      <c r="DD94" s="2">
        <f>COUNTIF(INDEX('LINE PLAN'!$B$36:$GS$61,0,ROW()-3),DD$3)</f>
        <v>0</v>
      </c>
      <c r="DE94" s="2">
        <f>COUNTIF(INDEX('LINE PLAN'!$B$36:$GS$61,0,ROW()-3),DE$3)</f>
        <v>0</v>
      </c>
      <c r="DF94" s="2">
        <f>COUNTIF(INDEX('LINE PLAN'!$B$36:$GS$61,0,ROW()-3),DF$3)</f>
        <v>0</v>
      </c>
      <c r="DG94" s="2">
        <f>COUNTIF(INDEX('LINE PLAN'!$B$36:$GS$61,0,ROW()-3),DG$3)</f>
        <v>0</v>
      </c>
      <c r="DH94" s="2">
        <f>COUNTIF(INDEX('LINE PLAN'!$B$36:$GS$61,0,ROW()-3),DH$3)</f>
        <v>0</v>
      </c>
      <c r="DI94" s="2">
        <f>COUNTIF(INDEX('LINE PLAN'!$B$36:$GS$61,0,ROW()-3),DI$3)</f>
        <v>0</v>
      </c>
      <c r="DJ94" s="2">
        <f>COUNTIF(INDEX('LINE PLAN'!$B$36:$GS$61,0,ROW()-3),DJ$3)</f>
        <v>0</v>
      </c>
      <c r="DK94" s="2">
        <f>COUNTIF(INDEX('LINE PLAN'!$B$36:$GS$61,0,ROW()-3),DK$3)</f>
        <v>0</v>
      </c>
      <c r="DL94" s="2">
        <f>COUNTIF(INDEX('LINE PLAN'!$B$36:$GS$61,0,ROW()-3),DL$3)</f>
        <v>0</v>
      </c>
      <c r="DM94" s="2">
        <f>COUNTIF(INDEX('LINE PLAN'!$B$36:$GS$61,0,ROW()-3),DM$3)</f>
        <v>0</v>
      </c>
      <c r="DN94" s="2">
        <f>COUNTIF(INDEX('LINE PLAN'!$B$36:$GS$61,0,ROW()-3),DN$3)</f>
        <v>0</v>
      </c>
      <c r="DO94" s="2">
        <f>COUNTIF(INDEX('LINE PLAN'!$B$36:$GS$61,0,ROW()-3),DO$3)</f>
        <v>0</v>
      </c>
      <c r="DP94" s="2">
        <f>COUNTIF(INDEX('LINE PLAN'!$B$36:$GS$61,0,ROW()-3),DP$3)</f>
        <v>0</v>
      </c>
      <c r="DQ94" s="2">
        <f>COUNTIF(INDEX('LINE PLAN'!$B$36:$GS$61,0,ROW()-3),DQ$3)</f>
        <v>0</v>
      </c>
      <c r="DR94" s="2">
        <f>COUNTIF(INDEX('LINE PLAN'!$B$36:$GS$61,0,ROW()-3),DR$3)</f>
        <v>0</v>
      </c>
      <c r="DS94" s="2">
        <f>COUNTIF(INDEX('LINE PLAN'!$B$36:$GS$61,0,ROW()-3),DS$3)</f>
        <v>0</v>
      </c>
      <c r="DT94" s="2">
        <f>COUNTIF(INDEX('LINE PLAN'!$B$36:$GS$61,0,ROW()-3),DT$3)</f>
        <v>0</v>
      </c>
      <c r="DU94" s="2">
        <f>COUNTIF(INDEX('LINE PLAN'!$B$36:$GS$61,0,ROW()-3),DU$3)</f>
        <v>0</v>
      </c>
      <c r="DV94" s="2">
        <f>COUNTIF(INDEX('LINE PLAN'!$B$36:$GS$61,0,ROW()-3),DV$3)</f>
        <v>0</v>
      </c>
    </row>
    <row r="95" spans="1:126">
      <c r="A95" s="505" cm="1">
        <f t="array" ref="A95">INDEX('LINE PLAN'!$B$35:$GS$35,ROW()-3)</f>
        <v>46326</v>
      </c>
      <c r="B95" s="2">
        <f>SUMPRODUCT($CA95:$DV95,INDEX('MC MAP'!$DA$5:$EV$30,1,0))</f>
        <v>0</v>
      </c>
      <c r="C95" s="2">
        <f>SUMPRODUCT($CA95:$DV95,INDEX('MC MAP'!$DA$5:$EV$30,2,0))</f>
        <v>0</v>
      </c>
      <c r="D95" s="2">
        <f>SUMPRODUCT($CA95:$DV95,INDEX('MC MAP'!$DA$5:$EV$30,3,0))</f>
        <v>0</v>
      </c>
      <c r="E95" s="2">
        <f>SUMPRODUCT($CA95:$DV95,INDEX('MC MAP'!$DA$5:$EV$30,4,0))</f>
        <v>0</v>
      </c>
      <c r="F95" s="2">
        <f>SUMPRODUCT($CA95:$DV95,INDEX('MC MAP'!$DA$5:$EV$30,5,0))</f>
        <v>0</v>
      </c>
      <c r="G95" s="2">
        <f>SUMPRODUCT($CA95:$DV95,INDEX('MC MAP'!$DA$5:$EV$30,6,0))</f>
        <v>0</v>
      </c>
      <c r="H95" s="2">
        <f>SUMPRODUCT($CA95:$DV95,INDEX('MC MAP'!$DA$5:$EV$30,7,0))</f>
        <v>0</v>
      </c>
      <c r="I95" s="2">
        <f>SUMPRODUCT($CA95:$DV95,INDEX('MC MAP'!$DA$5:$EV$30,8,0))</f>
        <v>0</v>
      </c>
      <c r="J95" s="2">
        <f>SUMPRODUCT($CA95:$DV95,INDEX('MC MAP'!$DA$5:$EV$30,9,0))</f>
        <v>0</v>
      </c>
      <c r="K95" s="2">
        <f>SUMPRODUCT($CA95:$DV95,INDEX('MC MAP'!$DA$5:$EV$30,10,0))</f>
        <v>0</v>
      </c>
      <c r="L95" s="2">
        <f>SUMPRODUCT($CA95:$DV95,INDEX('MC MAP'!$DA$5:$EV$30,11,0))</f>
        <v>0</v>
      </c>
      <c r="M95" s="2">
        <f>SUMPRODUCT($CA95:$DV95,INDEX('MC MAP'!$DA$5:$EV$30,12,0))</f>
        <v>0</v>
      </c>
      <c r="N95" s="2">
        <f>SUMPRODUCT($CA95:$DV95,INDEX('MC MAP'!$DA$5:$EV$30,13,0))</f>
        <v>0</v>
      </c>
      <c r="O95" s="2">
        <f>SUMPRODUCT($CA95:$DV95,INDEX('MC MAP'!$DA$5:$EV$30,14,0))</f>
        <v>0</v>
      </c>
      <c r="P95" s="2">
        <f>SUMPRODUCT($CA95:$DV95,INDEX('MC MAP'!$DA$5:$EV$30,15,0))</f>
        <v>0</v>
      </c>
      <c r="Q95" s="2">
        <f>SUMPRODUCT($CA95:$DV95,INDEX('MC MAP'!$DA$5:$EV$30,16,0))</f>
        <v>0</v>
      </c>
      <c r="R95" s="2">
        <f>SUMPRODUCT($CA95:$DV95,INDEX('MC MAP'!$DA$5:$EV$30,17,0))</f>
        <v>0</v>
      </c>
      <c r="S95" s="2">
        <f>SUMPRODUCT($CA95:$DV95,INDEX('MC MAP'!$DA$5:$EV$30,18,0))</f>
        <v>0</v>
      </c>
      <c r="T95" s="2">
        <f>SUMPRODUCT($CA95:$DV95,INDEX('MC MAP'!$DA$5:$EV$30,19,0))</f>
        <v>0</v>
      </c>
      <c r="U95" s="2">
        <f>SUMPRODUCT($CA95:$DV95,INDEX('MC MAP'!$DA$5:$EV$30,20,0))</f>
        <v>0</v>
      </c>
      <c r="V95" s="2">
        <f>SUMPRODUCT($CA95:$DV95,INDEX('MC MAP'!$DA$5:$EV$30,21,0))</f>
        <v>0</v>
      </c>
      <c r="W95" s="2">
        <f>SUMPRODUCT($CA95:$DV95,INDEX('MC MAP'!$DA$5:$EV$30,22,0))</f>
        <v>0</v>
      </c>
      <c r="X95" s="2">
        <f>SUMPRODUCT($CA95:$DV95,INDEX('MC MAP'!$DA$5:$EV$30,23,0))</f>
        <v>0</v>
      </c>
      <c r="Y95" s="2">
        <f>SUMPRODUCT($CA95:$DV95,INDEX('MC MAP'!$DA$5:$EV$30,24,0))</f>
        <v>0</v>
      </c>
      <c r="Z95" s="2">
        <f>SUMPRODUCT($CA95:$DV95,INDEX('MC MAP'!$DA$5:$EV$30,25,0))</f>
        <v>0</v>
      </c>
      <c r="AA95" s="2">
        <f>SUMPRODUCT($CA95:$DV95,INDEX('MC MAP'!$DA$5:$EV$30,26,0))</f>
        <v>0</v>
      </c>
      <c r="AB95" s="2">
        <f>SUM($B95:$AA95)</f>
        <v>0</v>
      </c>
      <c r="AC95" s="2">
        <f>SUM($CA95:$DV95)+$AW95</f>
        <v>0</v>
      </c>
      <c r="AW95" s="2">
        <f>IF($A95=0,0,COUNTIF(INDEX('LINE PLAN'!$B$36:$GS$61,0,ROW()-3),"THERMAL - NOT SPECIFIED"))</f>
        <v>0</v>
      </c>
      <c r="AX95" s="506" cm="1">
        <f t="array" ref="AX95">IF(OR($AB95=0,UPPER($BS95)&lt;&gt;"Y"),0,SUMPRODUCT(--($B95:$AA95&gt;$B$205:$AA$205)))</f>
        <v>0</v>
      </c>
      <c r="AY95" s="507">
        <f>$A95</f>
        <v>46326</v>
      </c>
      <c r="AZ95" s="2">
        <f>$AB95</f>
        <v>0</v>
      </c>
      <c r="BA95" s="2">
        <f>'MC MASTER'!$C$29</f>
        <v>920</v>
      </c>
      <c r="BQ95" s="509">
        <f>$A95</f>
        <v>46326</v>
      </c>
      <c r="BR95" s="15" t="str">
        <f>TEXT($A95,"ddd")</f>
        <v>Sat</v>
      </c>
      <c r="BS95" s="547" t="s">
        <v>391</v>
      </c>
      <c r="BT95" s="15">
        <f>IF(UPPER($BS95)="Y",$AB95,0)</f>
        <v>0</v>
      </c>
      <c r="CA95" s="2">
        <f>COUNTIF(INDEX('LINE PLAN'!$B$36:$GS$61,0,ROW()-3),CA$3)</f>
        <v>0</v>
      </c>
      <c r="CB95" s="2">
        <f>COUNTIF(INDEX('LINE PLAN'!$B$36:$GS$61,0,ROW()-3),CB$3)</f>
        <v>0</v>
      </c>
      <c r="CC95" s="2">
        <f>COUNTIF(INDEX('LINE PLAN'!$B$36:$GS$61,0,ROW()-3),CC$3)</f>
        <v>0</v>
      </c>
      <c r="CD95" s="2">
        <f>COUNTIF(INDEX('LINE PLAN'!$B$36:$GS$61,0,ROW()-3),CD$3)</f>
        <v>0</v>
      </c>
      <c r="CE95" s="2">
        <f>COUNTIF(INDEX('LINE PLAN'!$B$36:$GS$61,0,ROW()-3),CE$3)</f>
        <v>0</v>
      </c>
      <c r="CF95" s="2">
        <f>COUNTIF(INDEX('LINE PLAN'!$B$36:$GS$61,0,ROW()-3),CF$3)</f>
        <v>0</v>
      </c>
      <c r="CG95" s="2">
        <f>COUNTIF(INDEX('LINE PLAN'!$B$36:$GS$61,0,ROW()-3),CG$3)</f>
        <v>0</v>
      </c>
      <c r="CH95" s="2">
        <f>COUNTIF(INDEX('LINE PLAN'!$B$36:$GS$61,0,ROW()-3),CH$3)</f>
        <v>0</v>
      </c>
      <c r="CI95" s="2">
        <f>COUNTIF(INDEX('LINE PLAN'!$B$36:$GS$61,0,ROW()-3),CI$3)</f>
        <v>0</v>
      </c>
      <c r="CJ95" s="2">
        <f>COUNTIF(INDEX('LINE PLAN'!$B$36:$GS$61,0,ROW()-3),CJ$3)</f>
        <v>0</v>
      </c>
      <c r="CK95" s="2">
        <f>COUNTIF(INDEX('LINE PLAN'!$B$36:$GS$61,0,ROW()-3),CK$3)</f>
        <v>0</v>
      </c>
      <c r="CL95" s="2">
        <f>COUNTIF(INDEX('LINE PLAN'!$B$36:$GS$61,0,ROW()-3),CL$3)</f>
        <v>0</v>
      </c>
      <c r="CM95" s="2">
        <f>COUNTIF(INDEX('LINE PLAN'!$B$36:$GS$61,0,ROW()-3),CM$3)</f>
        <v>0</v>
      </c>
      <c r="CN95" s="2">
        <f>COUNTIF(INDEX('LINE PLAN'!$B$36:$GS$61,0,ROW()-3),CN$3)</f>
        <v>0</v>
      </c>
      <c r="CO95" s="2">
        <f>COUNTIF(INDEX('LINE PLAN'!$B$36:$GS$61,0,ROW()-3),CO$3)</f>
        <v>0</v>
      </c>
      <c r="CP95" s="2">
        <f>COUNTIF(INDEX('LINE PLAN'!$B$36:$GS$61,0,ROW()-3),CP$3)</f>
        <v>0</v>
      </c>
      <c r="CQ95" s="2">
        <f>COUNTIF(INDEX('LINE PLAN'!$B$36:$GS$61,0,ROW()-3),CQ$3)</f>
        <v>0</v>
      </c>
      <c r="CR95" s="2">
        <f>COUNTIF(INDEX('LINE PLAN'!$B$36:$GS$61,0,ROW()-3),CR$3)</f>
        <v>0</v>
      </c>
      <c r="CS95" s="2">
        <f>COUNTIF(INDEX('LINE PLAN'!$B$36:$GS$61,0,ROW()-3),CS$3)</f>
        <v>0</v>
      </c>
      <c r="CT95" s="2">
        <f>COUNTIF(INDEX('LINE PLAN'!$B$36:$GS$61,0,ROW()-3),CT$3)</f>
        <v>0</v>
      </c>
      <c r="CU95" s="2">
        <f>COUNTIF(INDEX('LINE PLAN'!$B$36:$GS$61,0,ROW()-3),CU$3)</f>
        <v>0</v>
      </c>
      <c r="CV95" s="2">
        <f>COUNTIF(INDEX('LINE PLAN'!$B$36:$GS$61,0,ROW()-3),CV$3)</f>
        <v>0</v>
      </c>
      <c r="CW95" s="2">
        <f>COUNTIF(INDEX('LINE PLAN'!$B$36:$GS$61,0,ROW()-3),CW$3)</f>
        <v>0</v>
      </c>
      <c r="CX95" s="2">
        <f>COUNTIF(INDEX('LINE PLAN'!$B$36:$GS$61,0,ROW()-3),CX$3)</f>
        <v>0</v>
      </c>
      <c r="CY95" s="2">
        <f>COUNTIF(INDEX('LINE PLAN'!$B$36:$GS$61,0,ROW()-3),CY$3)</f>
        <v>0</v>
      </c>
      <c r="CZ95" s="2">
        <f>COUNTIF(INDEX('LINE PLAN'!$B$36:$GS$61,0,ROW()-3),CZ$3)</f>
        <v>0</v>
      </c>
      <c r="DA95" s="2">
        <f>COUNTIF(INDEX('LINE PLAN'!$B$36:$GS$61,0,ROW()-3),DA$3)</f>
        <v>0</v>
      </c>
      <c r="DB95" s="2">
        <f>COUNTIF(INDEX('LINE PLAN'!$B$36:$GS$61,0,ROW()-3),DB$3)</f>
        <v>0</v>
      </c>
      <c r="DC95" s="2">
        <f>COUNTIF(INDEX('LINE PLAN'!$B$36:$GS$61,0,ROW()-3),DC$3)</f>
        <v>0</v>
      </c>
      <c r="DD95" s="2">
        <f>COUNTIF(INDEX('LINE PLAN'!$B$36:$GS$61,0,ROW()-3),DD$3)</f>
        <v>0</v>
      </c>
      <c r="DE95" s="2">
        <f>COUNTIF(INDEX('LINE PLAN'!$B$36:$GS$61,0,ROW()-3),DE$3)</f>
        <v>0</v>
      </c>
      <c r="DF95" s="2">
        <f>COUNTIF(INDEX('LINE PLAN'!$B$36:$GS$61,0,ROW()-3),DF$3)</f>
        <v>0</v>
      </c>
      <c r="DG95" s="2">
        <f>COUNTIF(INDEX('LINE PLAN'!$B$36:$GS$61,0,ROW()-3),DG$3)</f>
        <v>0</v>
      </c>
      <c r="DH95" s="2">
        <f>COUNTIF(INDEX('LINE PLAN'!$B$36:$GS$61,0,ROW()-3),DH$3)</f>
        <v>0</v>
      </c>
      <c r="DI95" s="2">
        <f>COUNTIF(INDEX('LINE PLAN'!$B$36:$GS$61,0,ROW()-3),DI$3)</f>
        <v>0</v>
      </c>
      <c r="DJ95" s="2">
        <f>COUNTIF(INDEX('LINE PLAN'!$B$36:$GS$61,0,ROW()-3),DJ$3)</f>
        <v>0</v>
      </c>
      <c r="DK95" s="2">
        <f>COUNTIF(INDEX('LINE PLAN'!$B$36:$GS$61,0,ROW()-3),DK$3)</f>
        <v>0</v>
      </c>
      <c r="DL95" s="2">
        <f>COUNTIF(INDEX('LINE PLAN'!$B$36:$GS$61,0,ROW()-3),DL$3)</f>
        <v>0</v>
      </c>
      <c r="DM95" s="2">
        <f>COUNTIF(INDEX('LINE PLAN'!$B$36:$GS$61,0,ROW()-3),DM$3)</f>
        <v>0</v>
      </c>
      <c r="DN95" s="2">
        <f>COUNTIF(INDEX('LINE PLAN'!$B$36:$GS$61,0,ROW()-3),DN$3)</f>
        <v>0</v>
      </c>
      <c r="DO95" s="2">
        <f>COUNTIF(INDEX('LINE PLAN'!$B$36:$GS$61,0,ROW()-3),DO$3)</f>
        <v>0</v>
      </c>
      <c r="DP95" s="2">
        <f>COUNTIF(INDEX('LINE PLAN'!$B$36:$GS$61,0,ROW()-3),DP$3)</f>
        <v>0</v>
      </c>
      <c r="DQ95" s="2">
        <f>COUNTIF(INDEX('LINE PLAN'!$B$36:$GS$61,0,ROW()-3),DQ$3)</f>
        <v>0</v>
      </c>
      <c r="DR95" s="2">
        <f>COUNTIF(INDEX('LINE PLAN'!$B$36:$GS$61,0,ROW()-3),DR$3)</f>
        <v>0</v>
      </c>
      <c r="DS95" s="2">
        <f>COUNTIF(INDEX('LINE PLAN'!$B$36:$GS$61,0,ROW()-3),DS$3)</f>
        <v>0</v>
      </c>
      <c r="DT95" s="2">
        <f>COUNTIF(INDEX('LINE PLAN'!$B$36:$GS$61,0,ROW()-3),DT$3)</f>
        <v>0</v>
      </c>
      <c r="DU95" s="2">
        <f>COUNTIF(INDEX('LINE PLAN'!$B$36:$GS$61,0,ROW()-3),DU$3)</f>
        <v>0</v>
      </c>
      <c r="DV95" s="2">
        <f>COUNTIF(INDEX('LINE PLAN'!$B$36:$GS$61,0,ROW()-3),DV$3)</f>
        <v>0</v>
      </c>
    </row>
    <row r="96" spans="1:126">
      <c r="A96" s="505" cm="1">
        <f t="array" ref="A96">INDEX('LINE PLAN'!$B$35:$GS$35,ROW()-3)</f>
        <v>46327</v>
      </c>
      <c r="B96" s="2">
        <f>SUMPRODUCT($CA96:$DV96,INDEX('MC MAP'!$DA$5:$EV$30,1,0))</f>
        <v>0</v>
      </c>
      <c r="C96" s="2">
        <f>SUMPRODUCT($CA96:$DV96,INDEX('MC MAP'!$DA$5:$EV$30,2,0))</f>
        <v>0</v>
      </c>
      <c r="D96" s="2">
        <f>SUMPRODUCT($CA96:$DV96,INDEX('MC MAP'!$DA$5:$EV$30,3,0))</f>
        <v>0</v>
      </c>
      <c r="E96" s="2">
        <f>SUMPRODUCT($CA96:$DV96,INDEX('MC MAP'!$DA$5:$EV$30,4,0))</f>
        <v>0</v>
      </c>
      <c r="F96" s="2">
        <f>SUMPRODUCT($CA96:$DV96,INDEX('MC MAP'!$DA$5:$EV$30,5,0))</f>
        <v>0</v>
      </c>
      <c r="G96" s="2">
        <f>SUMPRODUCT($CA96:$DV96,INDEX('MC MAP'!$DA$5:$EV$30,6,0))</f>
        <v>0</v>
      </c>
      <c r="H96" s="2">
        <f>SUMPRODUCT($CA96:$DV96,INDEX('MC MAP'!$DA$5:$EV$30,7,0))</f>
        <v>0</v>
      </c>
      <c r="I96" s="2">
        <f>SUMPRODUCT($CA96:$DV96,INDEX('MC MAP'!$DA$5:$EV$30,8,0))</f>
        <v>0</v>
      </c>
      <c r="J96" s="2">
        <f>SUMPRODUCT($CA96:$DV96,INDEX('MC MAP'!$DA$5:$EV$30,9,0))</f>
        <v>0</v>
      </c>
      <c r="K96" s="2">
        <f>SUMPRODUCT($CA96:$DV96,INDEX('MC MAP'!$DA$5:$EV$30,10,0))</f>
        <v>0</v>
      </c>
      <c r="L96" s="2">
        <f>SUMPRODUCT($CA96:$DV96,INDEX('MC MAP'!$DA$5:$EV$30,11,0))</f>
        <v>0</v>
      </c>
      <c r="M96" s="2">
        <f>SUMPRODUCT($CA96:$DV96,INDEX('MC MAP'!$DA$5:$EV$30,12,0))</f>
        <v>0</v>
      </c>
      <c r="N96" s="2">
        <f>SUMPRODUCT($CA96:$DV96,INDEX('MC MAP'!$DA$5:$EV$30,13,0))</f>
        <v>0</v>
      </c>
      <c r="O96" s="2">
        <f>SUMPRODUCT($CA96:$DV96,INDEX('MC MAP'!$DA$5:$EV$30,14,0))</f>
        <v>0</v>
      </c>
      <c r="P96" s="2">
        <f>SUMPRODUCT($CA96:$DV96,INDEX('MC MAP'!$DA$5:$EV$30,15,0))</f>
        <v>0</v>
      </c>
      <c r="Q96" s="2">
        <f>SUMPRODUCT($CA96:$DV96,INDEX('MC MAP'!$DA$5:$EV$30,16,0))</f>
        <v>0</v>
      </c>
      <c r="R96" s="2">
        <f>SUMPRODUCT($CA96:$DV96,INDEX('MC MAP'!$DA$5:$EV$30,17,0))</f>
        <v>0</v>
      </c>
      <c r="S96" s="2">
        <f>SUMPRODUCT($CA96:$DV96,INDEX('MC MAP'!$DA$5:$EV$30,18,0))</f>
        <v>0</v>
      </c>
      <c r="T96" s="2">
        <f>SUMPRODUCT($CA96:$DV96,INDEX('MC MAP'!$DA$5:$EV$30,19,0))</f>
        <v>0</v>
      </c>
      <c r="U96" s="2">
        <f>SUMPRODUCT($CA96:$DV96,INDEX('MC MAP'!$DA$5:$EV$30,20,0))</f>
        <v>0</v>
      </c>
      <c r="V96" s="2">
        <f>SUMPRODUCT($CA96:$DV96,INDEX('MC MAP'!$DA$5:$EV$30,21,0))</f>
        <v>0</v>
      </c>
      <c r="W96" s="2">
        <f>SUMPRODUCT($CA96:$DV96,INDEX('MC MAP'!$DA$5:$EV$30,22,0))</f>
        <v>0</v>
      </c>
      <c r="X96" s="2">
        <f>SUMPRODUCT($CA96:$DV96,INDEX('MC MAP'!$DA$5:$EV$30,23,0))</f>
        <v>0</v>
      </c>
      <c r="Y96" s="2">
        <f>SUMPRODUCT($CA96:$DV96,INDEX('MC MAP'!$DA$5:$EV$30,24,0))</f>
        <v>0</v>
      </c>
      <c r="Z96" s="2">
        <f>SUMPRODUCT($CA96:$DV96,INDEX('MC MAP'!$DA$5:$EV$30,25,0))</f>
        <v>0</v>
      </c>
      <c r="AA96" s="2">
        <f>SUMPRODUCT($CA96:$DV96,INDEX('MC MAP'!$DA$5:$EV$30,26,0))</f>
        <v>0</v>
      </c>
      <c r="AB96" s="2">
        <f>SUM($B96:$AA96)</f>
        <v>0</v>
      </c>
      <c r="AC96" s="2">
        <f>SUM($CA96:$DV96)+$AW96</f>
        <v>0</v>
      </c>
      <c r="AW96" s="2">
        <f>IF($A96=0,0,COUNTIF(INDEX('LINE PLAN'!$B$36:$GS$61,0,ROW()-3),"THERMAL - NOT SPECIFIED"))</f>
        <v>0</v>
      </c>
      <c r="AX96" s="506" cm="1">
        <f t="array" ref="AX96">IF(OR($AB96=0,UPPER($BS96)&lt;&gt;"Y"),0,SUMPRODUCT(--($B96:$AA96&gt;$B$205:$AA$205)))</f>
        <v>0</v>
      </c>
      <c r="AY96" s="507">
        <f>$A96</f>
        <v>46327</v>
      </c>
      <c r="AZ96" s="2">
        <f>$AB96</f>
        <v>0</v>
      </c>
      <c r="BA96" s="2">
        <f>'MC MASTER'!$C$29</f>
        <v>920</v>
      </c>
      <c r="BQ96" s="509">
        <f>$A96</f>
        <v>46327</v>
      </c>
      <c r="BR96" s="15" t="str">
        <f>TEXT($A96,"ddd")</f>
        <v>Sun</v>
      </c>
      <c r="BS96" s="547" t="s">
        <v>392</v>
      </c>
      <c r="BT96" s="15">
        <f>IF(UPPER($BS96)="Y",$AB96,0)</f>
        <v>0</v>
      </c>
      <c r="CA96" s="2">
        <f>COUNTIF(INDEX('LINE PLAN'!$B$36:$GS$61,0,ROW()-3),CA$3)</f>
        <v>0</v>
      </c>
      <c r="CB96" s="2">
        <f>COUNTIF(INDEX('LINE PLAN'!$B$36:$GS$61,0,ROW()-3),CB$3)</f>
        <v>0</v>
      </c>
      <c r="CC96" s="2">
        <f>COUNTIF(INDEX('LINE PLAN'!$B$36:$GS$61,0,ROW()-3),CC$3)</f>
        <v>0</v>
      </c>
      <c r="CD96" s="2">
        <f>COUNTIF(INDEX('LINE PLAN'!$B$36:$GS$61,0,ROW()-3),CD$3)</f>
        <v>0</v>
      </c>
      <c r="CE96" s="2">
        <f>COUNTIF(INDEX('LINE PLAN'!$B$36:$GS$61,0,ROW()-3),CE$3)</f>
        <v>0</v>
      </c>
      <c r="CF96" s="2">
        <f>COUNTIF(INDEX('LINE PLAN'!$B$36:$GS$61,0,ROW()-3),CF$3)</f>
        <v>0</v>
      </c>
      <c r="CG96" s="2">
        <f>COUNTIF(INDEX('LINE PLAN'!$B$36:$GS$61,0,ROW()-3),CG$3)</f>
        <v>0</v>
      </c>
      <c r="CH96" s="2">
        <f>COUNTIF(INDEX('LINE PLAN'!$B$36:$GS$61,0,ROW()-3),CH$3)</f>
        <v>0</v>
      </c>
      <c r="CI96" s="2">
        <f>COUNTIF(INDEX('LINE PLAN'!$B$36:$GS$61,0,ROW()-3),CI$3)</f>
        <v>0</v>
      </c>
      <c r="CJ96" s="2">
        <f>COUNTIF(INDEX('LINE PLAN'!$B$36:$GS$61,0,ROW()-3),CJ$3)</f>
        <v>0</v>
      </c>
      <c r="CK96" s="2">
        <f>COUNTIF(INDEX('LINE PLAN'!$B$36:$GS$61,0,ROW()-3),CK$3)</f>
        <v>0</v>
      </c>
      <c r="CL96" s="2">
        <f>COUNTIF(INDEX('LINE PLAN'!$B$36:$GS$61,0,ROW()-3),CL$3)</f>
        <v>0</v>
      </c>
      <c r="CM96" s="2">
        <f>COUNTIF(INDEX('LINE PLAN'!$B$36:$GS$61,0,ROW()-3),CM$3)</f>
        <v>0</v>
      </c>
      <c r="CN96" s="2">
        <f>COUNTIF(INDEX('LINE PLAN'!$B$36:$GS$61,0,ROW()-3),CN$3)</f>
        <v>0</v>
      </c>
      <c r="CO96" s="2">
        <f>COUNTIF(INDEX('LINE PLAN'!$B$36:$GS$61,0,ROW()-3),CO$3)</f>
        <v>0</v>
      </c>
      <c r="CP96" s="2">
        <f>COUNTIF(INDEX('LINE PLAN'!$B$36:$GS$61,0,ROW()-3),CP$3)</f>
        <v>0</v>
      </c>
      <c r="CQ96" s="2">
        <f>COUNTIF(INDEX('LINE PLAN'!$B$36:$GS$61,0,ROW()-3),CQ$3)</f>
        <v>0</v>
      </c>
      <c r="CR96" s="2">
        <f>COUNTIF(INDEX('LINE PLAN'!$B$36:$GS$61,0,ROW()-3),CR$3)</f>
        <v>0</v>
      </c>
      <c r="CS96" s="2">
        <f>COUNTIF(INDEX('LINE PLAN'!$B$36:$GS$61,0,ROW()-3),CS$3)</f>
        <v>0</v>
      </c>
      <c r="CT96" s="2">
        <f>COUNTIF(INDEX('LINE PLAN'!$B$36:$GS$61,0,ROW()-3),CT$3)</f>
        <v>0</v>
      </c>
      <c r="CU96" s="2">
        <f>COUNTIF(INDEX('LINE PLAN'!$B$36:$GS$61,0,ROW()-3),CU$3)</f>
        <v>0</v>
      </c>
      <c r="CV96" s="2">
        <f>COUNTIF(INDEX('LINE PLAN'!$B$36:$GS$61,0,ROW()-3),CV$3)</f>
        <v>0</v>
      </c>
      <c r="CW96" s="2">
        <f>COUNTIF(INDEX('LINE PLAN'!$B$36:$GS$61,0,ROW()-3),CW$3)</f>
        <v>0</v>
      </c>
      <c r="CX96" s="2">
        <f>COUNTIF(INDEX('LINE PLAN'!$B$36:$GS$61,0,ROW()-3),CX$3)</f>
        <v>0</v>
      </c>
      <c r="CY96" s="2">
        <f>COUNTIF(INDEX('LINE PLAN'!$B$36:$GS$61,0,ROW()-3),CY$3)</f>
        <v>0</v>
      </c>
      <c r="CZ96" s="2">
        <f>COUNTIF(INDEX('LINE PLAN'!$B$36:$GS$61,0,ROW()-3),CZ$3)</f>
        <v>0</v>
      </c>
      <c r="DA96" s="2">
        <f>COUNTIF(INDEX('LINE PLAN'!$B$36:$GS$61,0,ROW()-3),DA$3)</f>
        <v>0</v>
      </c>
      <c r="DB96" s="2">
        <f>COUNTIF(INDEX('LINE PLAN'!$B$36:$GS$61,0,ROW()-3),DB$3)</f>
        <v>0</v>
      </c>
      <c r="DC96" s="2">
        <f>COUNTIF(INDEX('LINE PLAN'!$B$36:$GS$61,0,ROW()-3),DC$3)</f>
        <v>0</v>
      </c>
      <c r="DD96" s="2">
        <f>COUNTIF(INDEX('LINE PLAN'!$B$36:$GS$61,0,ROW()-3),DD$3)</f>
        <v>0</v>
      </c>
      <c r="DE96" s="2">
        <f>COUNTIF(INDEX('LINE PLAN'!$B$36:$GS$61,0,ROW()-3),DE$3)</f>
        <v>0</v>
      </c>
      <c r="DF96" s="2">
        <f>COUNTIF(INDEX('LINE PLAN'!$B$36:$GS$61,0,ROW()-3),DF$3)</f>
        <v>0</v>
      </c>
      <c r="DG96" s="2">
        <f>COUNTIF(INDEX('LINE PLAN'!$B$36:$GS$61,0,ROW()-3),DG$3)</f>
        <v>0</v>
      </c>
      <c r="DH96" s="2">
        <f>COUNTIF(INDEX('LINE PLAN'!$B$36:$GS$61,0,ROW()-3),DH$3)</f>
        <v>0</v>
      </c>
      <c r="DI96" s="2">
        <f>COUNTIF(INDEX('LINE PLAN'!$B$36:$GS$61,0,ROW()-3),DI$3)</f>
        <v>0</v>
      </c>
      <c r="DJ96" s="2">
        <f>COUNTIF(INDEX('LINE PLAN'!$B$36:$GS$61,0,ROW()-3),DJ$3)</f>
        <v>0</v>
      </c>
      <c r="DK96" s="2">
        <f>COUNTIF(INDEX('LINE PLAN'!$B$36:$GS$61,0,ROW()-3),DK$3)</f>
        <v>0</v>
      </c>
      <c r="DL96" s="2">
        <f>COUNTIF(INDEX('LINE PLAN'!$B$36:$GS$61,0,ROW()-3),DL$3)</f>
        <v>0</v>
      </c>
      <c r="DM96" s="2">
        <f>COUNTIF(INDEX('LINE PLAN'!$B$36:$GS$61,0,ROW()-3),DM$3)</f>
        <v>0</v>
      </c>
      <c r="DN96" s="2">
        <f>COUNTIF(INDEX('LINE PLAN'!$B$36:$GS$61,0,ROW()-3),DN$3)</f>
        <v>0</v>
      </c>
      <c r="DO96" s="2">
        <f>COUNTIF(INDEX('LINE PLAN'!$B$36:$GS$61,0,ROW()-3),DO$3)</f>
        <v>0</v>
      </c>
      <c r="DP96" s="2">
        <f>COUNTIF(INDEX('LINE PLAN'!$B$36:$GS$61,0,ROW()-3),DP$3)</f>
        <v>0</v>
      </c>
      <c r="DQ96" s="2">
        <f>COUNTIF(INDEX('LINE PLAN'!$B$36:$GS$61,0,ROW()-3),DQ$3)</f>
        <v>0</v>
      </c>
      <c r="DR96" s="2">
        <f>COUNTIF(INDEX('LINE PLAN'!$B$36:$GS$61,0,ROW()-3),DR$3)</f>
        <v>0</v>
      </c>
      <c r="DS96" s="2">
        <f>COUNTIF(INDEX('LINE PLAN'!$B$36:$GS$61,0,ROW()-3),DS$3)</f>
        <v>0</v>
      </c>
      <c r="DT96" s="2">
        <f>COUNTIF(INDEX('LINE PLAN'!$B$36:$GS$61,0,ROW()-3),DT$3)</f>
        <v>0</v>
      </c>
      <c r="DU96" s="2">
        <f>COUNTIF(INDEX('LINE PLAN'!$B$36:$GS$61,0,ROW()-3),DU$3)</f>
        <v>0</v>
      </c>
      <c r="DV96" s="2">
        <f>COUNTIF(INDEX('LINE PLAN'!$B$36:$GS$61,0,ROW()-3),DV$3)</f>
        <v>0</v>
      </c>
    </row>
    <row r="97" spans="1:126">
      <c r="A97" s="505" cm="1">
        <f t="array" ref="A97">INDEX('LINE PLAN'!$B$35:$GS$35,ROW()-3)</f>
        <v>46328</v>
      </c>
      <c r="B97" s="2">
        <f>SUMPRODUCT($CA97:$DV97,INDEX('MC MAP'!$DA$5:$EV$30,1,0))</f>
        <v>0</v>
      </c>
      <c r="C97" s="2">
        <f>SUMPRODUCT($CA97:$DV97,INDEX('MC MAP'!$DA$5:$EV$30,2,0))</f>
        <v>0</v>
      </c>
      <c r="D97" s="2">
        <f>SUMPRODUCT($CA97:$DV97,INDEX('MC MAP'!$DA$5:$EV$30,3,0))</f>
        <v>0</v>
      </c>
      <c r="E97" s="2">
        <f>SUMPRODUCT($CA97:$DV97,INDEX('MC MAP'!$DA$5:$EV$30,4,0))</f>
        <v>0</v>
      </c>
      <c r="F97" s="2">
        <f>SUMPRODUCT($CA97:$DV97,INDEX('MC MAP'!$DA$5:$EV$30,5,0))</f>
        <v>0</v>
      </c>
      <c r="G97" s="2">
        <f>SUMPRODUCT($CA97:$DV97,INDEX('MC MAP'!$DA$5:$EV$30,6,0))</f>
        <v>0</v>
      </c>
      <c r="H97" s="2">
        <f>SUMPRODUCT($CA97:$DV97,INDEX('MC MAP'!$DA$5:$EV$30,7,0))</f>
        <v>0</v>
      </c>
      <c r="I97" s="2">
        <f>SUMPRODUCT($CA97:$DV97,INDEX('MC MAP'!$DA$5:$EV$30,8,0))</f>
        <v>0</v>
      </c>
      <c r="J97" s="2">
        <f>SUMPRODUCT($CA97:$DV97,INDEX('MC MAP'!$DA$5:$EV$30,9,0))</f>
        <v>0</v>
      </c>
      <c r="K97" s="2">
        <f>SUMPRODUCT($CA97:$DV97,INDEX('MC MAP'!$DA$5:$EV$30,10,0))</f>
        <v>0</v>
      </c>
      <c r="L97" s="2">
        <f>SUMPRODUCT($CA97:$DV97,INDEX('MC MAP'!$DA$5:$EV$30,11,0))</f>
        <v>0</v>
      </c>
      <c r="M97" s="2">
        <f>SUMPRODUCT($CA97:$DV97,INDEX('MC MAP'!$DA$5:$EV$30,12,0))</f>
        <v>0</v>
      </c>
      <c r="N97" s="2">
        <f>SUMPRODUCT($CA97:$DV97,INDEX('MC MAP'!$DA$5:$EV$30,13,0))</f>
        <v>0</v>
      </c>
      <c r="O97" s="2">
        <f>SUMPRODUCT($CA97:$DV97,INDEX('MC MAP'!$DA$5:$EV$30,14,0))</f>
        <v>0</v>
      </c>
      <c r="P97" s="2">
        <f>SUMPRODUCT($CA97:$DV97,INDEX('MC MAP'!$DA$5:$EV$30,15,0))</f>
        <v>0</v>
      </c>
      <c r="Q97" s="2">
        <f>SUMPRODUCT($CA97:$DV97,INDEX('MC MAP'!$DA$5:$EV$30,16,0))</f>
        <v>0</v>
      </c>
      <c r="R97" s="2">
        <f>SUMPRODUCT($CA97:$DV97,INDEX('MC MAP'!$DA$5:$EV$30,17,0))</f>
        <v>0</v>
      </c>
      <c r="S97" s="2">
        <f>SUMPRODUCT($CA97:$DV97,INDEX('MC MAP'!$DA$5:$EV$30,18,0))</f>
        <v>0</v>
      </c>
      <c r="T97" s="2">
        <f>SUMPRODUCT($CA97:$DV97,INDEX('MC MAP'!$DA$5:$EV$30,19,0))</f>
        <v>0</v>
      </c>
      <c r="U97" s="2">
        <f>SUMPRODUCT($CA97:$DV97,INDEX('MC MAP'!$DA$5:$EV$30,20,0))</f>
        <v>0</v>
      </c>
      <c r="V97" s="2">
        <f>SUMPRODUCT($CA97:$DV97,INDEX('MC MAP'!$DA$5:$EV$30,21,0))</f>
        <v>0</v>
      </c>
      <c r="W97" s="2">
        <f>SUMPRODUCT($CA97:$DV97,INDEX('MC MAP'!$DA$5:$EV$30,22,0))</f>
        <v>0</v>
      </c>
      <c r="X97" s="2">
        <f>SUMPRODUCT($CA97:$DV97,INDEX('MC MAP'!$DA$5:$EV$30,23,0))</f>
        <v>0</v>
      </c>
      <c r="Y97" s="2">
        <f>SUMPRODUCT($CA97:$DV97,INDEX('MC MAP'!$DA$5:$EV$30,24,0))</f>
        <v>0</v>
      </c>
      <c r="Z97" s="2">
        <f>SUMPRODUCT($CA97:$DV97,INDEX('MC MAP'!$DA$5:$EV$30,25,0))</f>
        <v>0</v>
      </c>
      <c r="AA97" s="2">
        <f>SUMPRODUCT($CA97:$DV97,INDEX('MC MAP'!$DA$5:$EV$30,26,0))</f>
        <v>0</v>
      </c>
      <c r="AB97" s="2">
        <f>SUM($B97:$AA97)</f>
        <v>0</v>
      </c>
      <c r="AC97" s="2">
        <f>SUM($CA97:$DV97)+$AW97</f>
        <v>0</v>
      </c>
      <c r="AW97" s="2">
        <f>IF($A97=0,0,COUNTIF(INDEX('LINE PLAN'!$B$36:$GS$61,0,ROW()-3),"THERMAL - NOT SPECIFIED"))</f>
        <v>0</v>
      </c>
      <c r="AX97" s="506" cm="1">
        <f t="array" ref="AX97">IF(OR($AB97=0,UPPER($BS97)&lt;&gt;"Y"),0,SUMPRODUCT(--($B97:$AA97&gt;$B$205:$AA$205)))</f>
        <v>0</v>
      </c>
      <c r="AY97" s="507">
        <f>$A97</f>
        <v>46328</v>
      </c>
      <c r="AZ97" s="2">
        <f>$AB97</f>
        <v>0</v>
      </c>
      <c r="BA97" s="2">
        <f>'MC MASTER'!$C$29</f>
        <v>920</v>
      </c>
      <c r="BQ97" s="509">
        <f>$A97</f>
        <v>46328</v>
      </c>
      <c r="BR97" s="15" t="str">
        <f>TEXT($A97,"ddd")</f>
        <v>Mon</v>
      </c>
      <c r="BS97" s="547" t="s">
        <v>391</v>
      </c>
      <c r="BT97" s="15">
        <f>IF(UPPER($BS97)="Y",$AB97,0)</f>
        <v>0</v>
      </c>
      <c r="CA97" s="2">
        <f>COUNTIF(INDEX('LINE PLAN'!$B$36:$GS$61,0,ROW()-3),CA$3)</f>
        <v>0</v>
      </c>
      <c r="CB97" s="2">
        <f>COUNTIF(INDEX('LINE PLAN'!$B$36:$GS$61,0,ROW()-3),CB$3)</f>
        <v>0</v>
      </c>
      <c r="CC97" s="2">
        <f>COUNTIF(INDEX('LINE PLAN'!$B$36:$GS$61,0,ROW()-3),CC$3)</f>
        <v>0</v>
      </c>
      <c r="CD97" s="2">
        <f>COUNTIF(INDEX('LINE PLAN'!$B$36:$GS$61,0,ROW()-3),CD$3)</f>
        <v>0</v>
      </c>
      <c r="CE97" s="2">
        <f>COUNTIF(INDEX('LINE PLAN'!$B$36:$GS$61,0,ROW()-3),CE$3)</f>
        <v>0</v>
      </c>
      <c r="CF97" s="2">
        <f>COUNTIF(INDEX('LINE PLAN'!$B$36:$GS$61,0,ROW()-3),CF$3)</f>
        <v>0</v>
      </c>
      <c r="CG97" s="2">
        <f>COUNTIF(INDEX('LINE PLAN'!$B$36:$GS$61,0,ROW()-3),CG$3)</f>
        <v>0</v>
      </c>
      <c r="CH97" s="2">
        <f>COUNTIF(INDEX('LINE PLAN'!$B$36:$GS$61,0,ROW()-3),CH$3)</f>
        <v>0</v>
      </c>
      <c r="CI97" s="2">
        <f>COUNTIF(INDEX('LINE PLAN'!$B$36:$GS$61,0,ROW()-3),CI$3)</f>
        <v>0</v>
      </c>
      <c r="CJ97" s="2">
        <f>COUNTIF(INDEX('LINE PLAN'!$B$36:$GS$61,0,ROW()-3),CJ$3)</f>
        <v>0</v>
      </c>
      <c r="CK97" s="2">
        <f>COUNTIF(INDEX('LINE PLAN'!$B$36:$GS$61,0,ROW()-3),CK$3)</f>
        <v>0</v>
      </c>
      <c r="CL97" s="2">
        <f>COUNTIF(INDEX('LINE PLAN'!$B$36:$GS$61,0,ROW()-3),CL$3)</f>
        <v>0</v>
      </c>
      <c r="CM97" s="2">
        <f>COUNTIF(INDEX('LINE PLAN'!$B$36:$GS$61,0,ROW()-3),CM$3)</f>
        <v>0</v>
      </c>
      <c r="CN97" s="2">
        <f>COUNTIF(INDEX('LINE PLAN'!$B$36:$GS$61,0,ROW()-3),CN$3)</f>
        <v>0</v>
      </c>
      <c r="CO97" s="2">
        <f>COUNTIF(INDEX('LINE PLAN'!$B$36:$GS$61,0,ROW()-3),CO$3)</f>
        <v>0</v>
      </c>
      <c r="CP97" s="2">
        <f>COUNTIF(INDEX('LINE PLAN'!$B$36:$GS$61,0,ROW()-3),CP$3)</f>
        <v>0</v>
      </c>
      <c r="CQ97" s="2">
        <f>COUNTIF(INDEX('LINE PLAN'!$B$36:$GS$61,0,ROW()-3),CQ$3)</f>
        <v>0</v>
      </c>
      <c r="CR97" s="2">
        <f>COUNTIF(INDEX('LINE PLAN'!$B$36:$GS$61,0,ROW()-3),CR$3)</f>
        <v>0</v>
      </c>
      <c r="CS97" s="2">
        <f>COUNTIF(INDEX('LINE PLAN'!$B$36:$GS$61,0,ROW()-3),CS$3)</f>
        <v>0</v>
      </c>
      <c r="CT97" s="2">
        <f>COUNTIF(INDEX('LINE PLAN'!$B$36:$GS$61,0,ROW()-3),CT$3)</f>
        <v>0</v>
      </c>
      <c r="CU97" s="2">
        <f>COUNTIF(INDEX('LINE PLAN'!$B$36:$GS$61,0,ROW()-3),CU$3)</f>
        <v>0</v>
      </c>
      <c r="CV97" s="2">
        <f>COUNTIF(INDEX('LINE PLAN'!$B$36:$GS$61,0,ROW()-3),CV$3)</f>
        <v>0</v>
      </c>
      <c r="CW97" s="2">
        <f>COUNTIF(INDEX('LINE PLAN'!$B$36:$GS$61,0,ROW()-3),CW$3)</f>
        <v>0</v>
      </c>
      <c r="CX97" s="2">
        <f>COUNTIF(INDEX('LINE PLAN'!$B$36:$GS$61,0,ROW()-3),CX$3)</f>
        <v>0</v>
      </c>
      <c r="CY97" s="2">
        <f>COUNTIF(INDEX('LINE PLAN'!$B$36:$GS$61,0,ROW()-3),CY$3)</f>
        <v>0</v>
      </c>
      <c r="CZ97" s="2">
        <f>COUNTIF(INDEX('LINE PLAN'!$B$36:$GS$61,0,ROW()-3),CZ$3)</f>
        <v>0</v>
      </c>
      <c r="DA97" s="2">
        <f>COUNTIF(INDEX('LINE PLAN'!$B$36:$GS$61,0,ROW()-3),DA$3)</f>
        <v>0</v>
      </c>
      <c r="DB97" s="2">
        <f>COUNTIF(INDEX('LINE PLAN'!$B$36:$GS$61,0,ROW()-3),DB$3)</f>
        <v>0</v>
      </c>
      <c r="DC97" s="2">
        <f>COUNTIF(INDEX('LINE PLAN'!$B$36:$GS$61,0,ROW()-3),DC$3)</f>
        <v>0</v>
      </c>
      <c r="DD97" s="2">
        <f>COUNTIF(INDEX('LINE PLAN'!$B$36:$GS$61,0,ROW()-3),DD$3)</f>
        <v>0</v>
      </c>
      <c r="DE97" s="2">
        <f>COUNTIF(INDEX('LINE PLAN'!$B$36:$GS$61,0,ROW()-3),DE$3)</f>
        <v>0</v>
      </c>
      <c r="DF97" s="2">
        <f>COUNTIF(INDEX('LINE PLAN'!$B$36:$GS$61,0,ROW()-3),DF$3)</f>
        <v>0</v>
      </c>
      <c r="DG97" s="2">
        <f>COUNTIF(INDEX('LINE PLAN'!$B$36:$GS$61,0,ROW()-3),DG$3)</f>
        <v>0</v>
      </c>
      <c r="DH97" s="2">
        <f>COUNTIF(INDEX('LINE PLAN'!$B$36:$GS$61,0,ROW()-3),DH$3)</f>
        <v>0</v>
      </c>
      <c r="DI97" s="2">
        <f>COUNTIF(INDEX('LINE PLAN'!$B$36:$GS$61,0,ROW()-3),DI$3)</f>
        <v>0</v>
      </c>
      <c r="DJ97" s="2">
        <f>COUNTIF(INDEX('LINE PLAN'!$B$36:$GS$61,0,ROW()-3),DJ$3)</f>
        <v>0</v>
      </c>
      <c r="DK97" s="2">
        <f>COUNTIF(INDEX('LINE PLAN'!$B$36:$GS$61,0,ROW()-3),DK$3)</f>
        <v>0</v>
      </c>
      <c r="DL97" s="2">
        <f>COUNTIF(INDEX('LINE PLAN'!$B$36:$GS$61,0,ROW()-3),DL$3)</f>
        <v>0</v>
      </c>
      <c r="DM97" s="2">
        <f>COUNTIF(INDEX('LINE PLAN'!$B$36:$GS$61,0,ROW()-3),DM$3)</f>
        <v>0</v>
      </c>
      <c r="DN97" s="2">
        <f>COUNTIF(INDEX('LINE PLAN'!$B$36:$GS$61,0,ROW()-3),DN$3)</f>
        <v>0</v>
      </c>
      <c r="DO97" s="2">
        <f>COUNTIF(INDEX('LINE PLAN'!$B$36:$GS$61,0,ROW()-3),DO$3)</f>
        <v>0</v>
      </c>
      <c r="DP97" s="2">
        <f>COUNTIF(INDEX('LINE PLAN'!$B$36:$GS$61,0,ROW()-3),DP$3)</f>
        <v>0</v>
      </c>
      <c r="DQ97" s="2">
        <f>COUNTIF(INDEX('LINE PLAN'!$B$36:$GS$61,0,ROW()-3),DQ$3)</f>
        <v>0</v>
      </c>
      <c r="DR97" s="2">
        <f>COUNTIF(INDEX('LINE PLAN'!$B$36:$GS$61,0,ROW()-3),DR$3)</f>
        <v>0</v>
      </c>
      <c r="DS97" s="2">
        <f>COUNTIF(INDEX('LINE PLAN'!$B$36:$GS$61,0,ROW()-3),DS$3)</f>
        <v>0</v>
      </c>
      <c r="DT97" s="2">
        <f>COUNTIF(INDEX('LINE PLAN'!$B$36:$GS$61,0,ROW()-3),DT$3)</f>
        <v>0</v>
      </c>
      <c r="DU97" s="2">
        <f>COUNTIF(INDEX('LINE PLAN'!$B$36:$GS$61,0,ROW()-3),DU$3)</f>
        <v>0</v>
      </c>
      <c r="DV97" s="2">
        <f>COUNTIF(INDEX('LINE PLAN'!$B$36:$GS$61,0,ROW()-3),DV$3)</f>
        <v>0</v>
      </c>
    </row>
    <row r="98" spans="1:126">
      <c r="A98" s="505" cm="1">
        <f t="array" ref="A98">INDEX('LINE PLAN'!$B$35:$GS$35,ROW()-3)</f>
        <v>46329</v>
      </c>
      <c r="B98" s="2">
        <f>SUMPRODUCT($CA98:$DV98,INDEX('MC MAP'!$DA$5:$EV$30,1,0))</f>
        <v>0</v>
      </c>
      <c r="C98" s="2">
        <f>SUMPRODUCT($CA98:$DV98,INDEX('MC MAP'!$DA$5:$EV$30,2,0))</f>
        <v>0</v>
      </c>
      <c r="D98" s="2">
        <f>SUMPRODUCT($CA98:$DV98,INDEX('MC MAP'!$DA$5:$EV$30,3,0))</f>
        <v>0</v>
      </c>
      <c r="E98" s="2">
        <f>SUMPRODUCT($CA98:$DV98,INDEX('MC MAP'!$DA$5:$EV$30,4,0))</f>
        <v>0</v>
      </c>
      <c r="F98" s="2">
        <f>SUMPRODUCT($CA98:$DV98,INDEX('MC MAP'!$DA$5:$EV$30,5,0))</f>
        <v>0</v>
      </c>
      <c r="G98" s="2">
        <f>SUMPRODUCT($CA98:$DV98,INDEX('MC MAP'!$DA$5:$EV$30,6,0))</f>
        <v>0</v>
      </c>
      <c r="H98" s="2">
        <f>SUMPRODUCT($CA98:$DV98,INDEX('MC MAP'!$DA$5:$EV$30,7,0))</f>
        <v>0</v>
      </c>
      <c r="I98" s="2">
        <f>SUMPRODUCT($CA98:$DV98,INDEX('MC MAP'!$DA$5:$EV$30,8,0))</f>
        <v>0</v>
      </c>
      <c r="J98" s="2">
        <f>SUMPRODUCT($CA98:$DV98,INDEX('MC MAP'!$DA$5:$EV$30,9,0))</f>
        <v>0</v>
      </c>
      <c r="K98" s="2">
        <f>SUMPRODUCT($CA98:$DV98,INDEX('MC MAP'!$DA$5:$EV$30,10,0))</f>
        <v>0</v>
      </c>
      <c r="L98" s="2">
        <f>SUMPRODUCT($CA98:$DV98,INDEX('MC MAP'!$DA$5:$EV$30,11,0))</f>
        <v>0</v>
      </c>
      <c r="M98" s="2">
        <f>SUMPRODUCT($CA98:$DV98,INDEX('MC MAP'!$DA$5:$EV$30,12,0))</f>
        <v>0</v>
      </c>
      <c r="N98" s="2">
        <f>SUMPRODUCT($CA98:$DV98,INDEX('MC MAP'!$DA$5:$EV$30,13,0))</f>
        <v>0</v>
      </c>
      <c r="O98" s="2">
        <f>SUMPRODUCT($CA98:$DV98,INDEX('MC MAP'!$DA$5:$EV$30,14,0))</f>
        <v>0</v>
      </c>
      <c r="P98" s="2">
        <f>SUMPRODUCT($CA98:$DV98,INDEX('MC MAP'!$DA$5:$EV$30,15,0))</f>
        <v>0</v>
      </c>
      <c r="Q98" s="2">
        <f>SUMPRODUCT($CA98:$DV98,INDEX('MC MAP'!$DA$5:$EV$30,16,0))</f>
        <v>0</v>
      </c>
      <c r="R98" s="2">
        <f>SUMPRODUCT($CA98:$DV98,INDEX('MC MAP'!$DA$5:$EV$30,17,0))</f>
        <v>0</v>
      </c>
      <c r="S98" s="2">
        <f>SUMPRODUCT($CA98:$DV98,INDEX('MC MAP'!$DA$5:$EV$30,18,0))</f>
        <v>0</v>
      </c>
      <c r="T98" s="2">
        <f>SUMPRODUCT($CA98:$DV98,INDEX('MC MAP'!$DA$5:$EV$30,19,0))</f>
        <v>0</v>
      </c>
      <c r="U98" s="2">
        <f>SUMPRODUCT($CA98:$DV98,INDEX('MC MAP'!$DA$5:$EV$30,20,0))</f>
        <v>0</v>
      </c>
      <c r="V98" s="2">
        <f>SUMPRODUCT($CA98:$DV98,INDEX('MC MAP'!$DA$5:$EV$30,21,0))</f>
        <v>0</v>
      </c>
      <c r="W98" s="2">
        <f>SUMPRODUCT($CA98:$DV98,INDEX('MC MAP'!$DA$5:$EV$30,22,0))</f>
        <v>0</v>
      </c>
      <c r="X98" s="2">
        <f>SUMPRODUCT($CA98:$DV98,INDEX('MC MAP'!$DA$5:$EV$30,23,0))</f>
        <v>0</v>
      </c>
      <c r="Y98" s="2">
        <f>SUMPRODUCT($CA98:$DV98,INDEX('MC MAP'!$DA$5:$EV$30,24,0))</f>
        <v>0</v>
      </c>
      <c r="Z98" s="2">
        <f>SUMPRODUCT($CA98:$DV98,INDEX('MC MAP'!$DA$5:$EV$30,25,0))</f>
        <v>0</v>
      </c>
      <c r="AA98" s="2">
        <f>SUMPRODUCT($CA98:$DV98,INDEX('MC MAP'!$DA$5:$EV$30,26,0))</f>
        <v>0</v>
      </c>
      <c r="AB98" s="2">
        <f>SUM($B98:$AA98)</f>
        <v>0</v>
      </c>
      <c r="AC98" s="2">
        <f>SUM($CA98:$DV98)+$AW98</f>
        <v>0</v>
      </c>
      <c r="AW98" s="2">
        <f>IF($A98=0,0,COUNTIF(INDEX('LINE PLAN'!$B$36:$GS$61,0,ROW()-3),"THERMAL - NOT SPECIFIED"))</f>
        <v>0</v>
      </c>
      <c r="AX98" s="506" cm="1">
        <f t="array" ref="AX98">IF(OR($AB98=0,UPPER($BS98)&lt;&gt;"Y"),0,SUMPRODUCT(--($B98:$AA98&gt;$B$205:$AA$205)))</f>
        <v>0</v>
      </c>
      <c r="AY98" s="507">
        <f>$A98</f>
        <v>46329</v>
      </c>
      <c r="AZ98" s="2">
        <f>$AB98</f>
        <v>0</v>
      </c>
      <c r="BA98" s="2">
        <f>'MC MASTER'!$C$29</f>
        <v>920</v>
      </c>
      <c r="BQ98" s="509">
        <f>$A98</f>
        <v>46329</v>
      </c>
      <c r="BR98" s="15" t="str">
        <f>TEXT($A98,"ddd")</f>
        <v>Tue</v>
      </c>
      <c r="BS98" s="547" t="s">
        <v>391</v>
      </c>
      <c r="BT98" s="15">
        <f>IF(UPPER($BS98)="Y",$AB98,0)</f>
        <v>0</v>
      </c>
      <c r="CA98" s="2">
        <f>COUNTIF(INDEX('LINE PLAN'!$B$36:$GS$61,0,ROW()-3),CA$3)</f>
        <v>0</v>
      </c>
      <c r="CB98" s="2">
        <f>COUNTIF(INDEX('LINE PLAN'!$B$36:$GS$61,0,ROW()-3),CB$3)</f>
        <v>0</v>
      </c>
      <c r="CC98" s="2">
        <f>COUNTIF(INDEX('LINE PLAN'!$B$36:$GS$61,0,ROW()-3),CC$3)</f>
        <v>0</v>
      </c>
      <c r="CD98" s="2">
        <f>COUNTIF(INDEX('LINE PLAN'!$B$36:$GS$61,0,ROW()-3),CD$3)</f>
        <v>0</v>
      </c>
      <c r="CE98" s="2">
        <f>COUNTIF(INDEX('LINE PLAN'!$B$36:$GS$61,0,ROW()-3),CE$3)</f>
        <v>0</v>
      </c>
      <c r="CF98" s="2">
        <f>COUNTIF(INDEX('LINE PLAN'!$B$36:$GS$61,0,ROW()-3),CF$3)</f>
        <v>0</v>
      </c>
      <c r="CG98" s="2">
        <f>COUNTIF(INDEX('LINE PLAN'!$B$36:$GS$61,0,ROW()-3),CG$3)</f>
        <v>0</v>
      </c>
      <c r="CH98" s="2">
        <f>COUNTIF(INDEX('LINE PLAN'!$B$36:$GS$61,0,ROW()-3),CH$3)</f>
        <v>0</v>
      </c>
      <c r="CI98" s="2">
        <f>COUNTIF(INDEX('LINE PLAN'!$B$36:$GS$61,0,ROW()-3),CI$3)</f>
        <v>0</v>
      </c>
      <c r="CJ98" s="2">
        <f>COUNTIF(INDEX('LINE PLAN'!$B$36:$GS$61,0,ROW()-3),CJ$3)</f>
        <v>0</v>
      </c>
      <c r="CK98" s="2">
        <f>COUNTIF(INDEX('LINE PLAN'!$B$36:$GS$61,0,ROW()-3),CK$3)</f>
        <v>0</v>
      </c>
      <c r="CL98" s="2">
        <f>COUNTIF(INDEX('LINE PLAN'!$B$36:$GS$61,0,ROW()-3),CL$3)</f>
        <v>0</v>
      </c>
      <c r="CM98" s="2">
        <f>COUNTIF(INDEX('LINE PLAN'!$B$36:$GS$61,0,ROW()-3),CM$3)</f>
        <v>0</v>
      </c>
      <c r="CN98" s="2">
        <f>COUNTIF(INDEX('LINE PLAN'!$B$36:$GS$61,0,ROW()-3),CN$3)</f>
        <v>0</v>
      </c>
      <c r="CO98" s="2">
        <f>COUNTIF(INDEX('LINE PLAN'!$B$36:$GS$61,0,ROW()-3),CO$3)</f>
        <v>0</v>
      </c>
      <c r="CP98" s="2">
        <f>COUNTIF(INDEX('LINE PLAN'!$B$36:$GS$61,0,ROW()-3),CP$3)</f>
        <v>0</v>
      </c>
      <c r="CQ98" s="2">
        <f>COUNTIF(INDEX('LINE PLAN'!$B$36:$GS$61,0,ROW()-3),CQ$3)</f>
        <v>0</v>
      </c>
      <c r="CR98" s="2">
        <f>COUNTIF(INDEX('LINE PLAN'!$B$36:$GS$61,0,ROW()-3),CR$3)</f>
        <v>0</v>
      </c>
      <c r="CS98" s="2">
        <f>COUNTIF(INDEX('LINE PLAN'!$B$36:$GS$61,0,ROW()-3),CS$3)</f>
        <v>0</v>
      </c>
      <c r="CT98" s="2">
        <f>COUNTIF(INDEX('LINE PLAN'!$B$36:$GS$61,0,ROW()-3),CT$3)</f>
        <v>0</v>
      </c>
      <c r="CU98" s="2">
        <f>COUNTIF(INDEX('LINE PLAN'!$B$36:$GS$61,0,ROW()-3),CU$3)</f>
        <v>0</v>
      </c>
      <c r="CV98" s="2">
        <f>COUNTIF(INDEX('LINE PLAN'!$B$36:$GS$61,0,ROW()-3),CV$3)</f>
        <v>0</v>
      </c>
      <c r="CW98" s="2">
        <f>COUNTIF(INDEX('LINE PLAN'!$B$36:$GS$61,0,ROW()-3),CW$3)</f>
        <v>0</v>
      </c>
      <c r="CX98" s="2">
        <f>COUNTIF(INDEX('LINE PLAN'!$B$36:$GS$61,0,ROW()-3),CX$3)</f>
        <v>0</v>
      </c>
      <c r="CY98" s="2">
        <f>COUNTIF(INDEX('LINE PLAN'!$B$36:$GS$61,0,ROW()-3),CY$3)</f>
        <v>0</v>
      </c>
      <c r="CZ98" s="2">
        <f>COUNTIF(INDEX('LINE PLAN'!$B$36:$GS$61,0,ROW()-3),CZ$3)</f>
        <v>0</v>
      </c>
      <c r="DA98" s="2">
        <f>COUNTIF(INDEX('LINE PLAN'!$B$36:$GS$61,0,ROW()-3),DA$3)</f>
        <v>0</v>
      </c>
      <c r="DB98" s="2">
        <f>COUNTIF(INDEX('LINE PLAN'!$B$36:$GS$61,0,ROW()-3),DB$3)</f>
        <v>0</v>
      </c>
      <c r="DC98" s="2">
        <f>COUNTIF(INDEX('LINE PLAN'!$B$36:$GS$61,0,ROW()-3),DC$3)</f>
        <v>0</v>
      </c>
      <c r="DD98" s="2">
        <f>COUNTIF(INDEX('LINE PLAN'!$B$36:$GS$61,0,ROW()-3),DD$3)</f>
        <v>0</v>
      </c>
      <c r="DE98" s="2">
        <f>COUNTIF(INDEX('LINE PLAN'!$B$36:$GS$61,0,ROW()-3),DE$3)</f>
        <v>0</v>
      </c>
      <c r="DF98" s="2">
        <f>COUNTIF(INDEX('LINE PLAN'!$B$36:$GS$61,0,ROW()-3),DF$3)</f>
        <v>0</v>
      </c>
      <c r="DG98" s="2">
        <f>COUNTIF(INDEX('LINE PLAN'!$B$36:$GS$61,0,ROW()-3),DG$3)</f>
        <v>0</v>
      </c>
      <c r="DH98" s="2">
        <f>COUNTIF(INDEX('LINE PLAN'!$B$36:$GS$61,0,ROW()-3),DH$3)</f>
        <v>0</v>
      </c>
      <c r="DI98" s="2">
        <f>COUNTIF(INDEX('LINE PLAN'!$B$36:$GS$61,0,ROW()-3),DI$3)</f>
        <v>0</v>
      </c>
      <c r="DJ98" s="2">
        <f>COUNTIF(INDEX('LINE PLAN'!$B$36:$GS$61,0,ROW()-3),DJ$3)</f>
        <v>0</v>
      </c>
      <c r="DK98" s="2">
        <f>COUNTIF(INDEX('LINE PLAN'!$B$36:$GS$61,0,ROW()-3),DK$3)</f>
        <v>0</v>
      </c>
      <c r="DL98" s="2">
        <f>COUNTIF(INDEX('LINE PLAN'!$B$36:$GS$61,0,ROW()-3),DL$3)</f>
        <v>0</v>
      </c>
      <c r="DM98" s="2">
        <f>COUNTIF(INDEX('LINE PLAN'!$B$36:$GS$61,0,ROW()-3),DM$3)</f>
        <v>0</v>
      </c>
      <c r="DN98" s="2">
        <f>COUNTIF(INDEX('LINE PLAN'!$B$36:$GS$61,0,ROW()-3),DN$3)</f>
        <v>0</v>
      </c>
      <c r="DO98" s="2">
        <f>COUNTIF(INDEX('LINE PLAN'!$B$36:$GS$61,0,ROW()-3),DO$3)</f>
        <v>0</v>
      </c>
      <c r="DP98" s="2">
        <f>COUNTIF(INDEX('LINE PLAN'!$B$36:$GS$61,0,ROW()-3),DP$3)</f>
        <v>0</v>
      </c>
      <c r="DQ98" s="2">
        <f>COUNTIF(INDEX('LINE PLAN'!$B$36:$GS$61,0,ROW()-3),DQ$3)</f>
        <v>0</v>
      </c>
      <c r="DR98" s="2">
        <f>COUNTIF(INDEX('LINE PLAN'!$B$36:$GS$61,0,ROW()-3),DR$3)</f>
        <v>0</v>
      </c>
      <c r="DS98" s="2">
        <f>COUNTIF(INDEX('LINE PLAN'!$B$36:$GS$61,0,ROW()-3),DS$3)</f>
        <v>0</v>
      </c>
      <c r="DT98" s="2">
        <f>COUNTIF(INDEX('LINE PLAN'!$B$36:$GS$61,0,ROW()-3),DT$3)</f>
        <v>0</v>
      </c>
      <c r="DU98" s="2">
        <f>COUNTIF(INDEX('LINE PLAN'!$B$36:$GS$61,0,ROW()-3),DU$3)</f>
        <v>0</v>
      </c>
      <c r="DV98" s="2">
        <f>COUNTIF(INDEX('LINE PLAN'!$B$36:$GS$61,0,ROW()-3),DV$3)</f>
        <v>0</v>
      </c>
    </row>
    <row r="99" spans="1:126">
      <c r="A99" s="505" cm="1">
        <f t="array" ref="A99">INDEX('LINE PLAN'!$B$35:$GS$35,ROW()-3)</f>
        <v>46330</v>
      </c>
      <c r="B99" s="2">
        <f>SUMPRODUCT($CA99:$DV99,INDEX('MC MAP'!$DA$5:$EV$30,1,0))</f>
        <v>0</v>
      </c>
      <c r="C99" s="2">
        <f>SUMPRODUCT($CA99:$DV99,INDEX('MC MAP'!$DA$5:$EV$30,2,0))</f>
        <v>0</v>
      </c>
      <c r="D99" s="2">
        <f>SUMPRODUCT($CA99:$DV99,INDEX('MC MAP'!$DA$5:$EV$30,3,0))</f>
        <v>0</v>
      </c>
      <c r="E99" s="2">
        <f>SUMPRODUCT($CA99:$DV99,INDEX('MC MAP'!$DA$5:$EV$30,4,0))</f>
        <v>0</v>
      </c>
      <c r="F99" s="2">
        <f>SUMPRODUCT($CA99:$DV99,INDEX('MC MAP'!$DA$5:$EV$30,5,0))</f>
        <v>0</v>
      </c>
      <c r="G99" s="2">
        <f>SUMPRODUCT($CA99:$DV99,INDEX('MC MAP'!$DA$5:$EV$30,6,0))</f>
        <v>0</v>
      </c>
      <c r="H99" s="2">
        <f>SUMPRODUCT($CA99:$DV99,INDEX('MC MAP'!$DA$5:$EV$30,7,0))</f>
        <v>0</v>
      </c>
      <c r="I99" s="2">
        <f>SUMPRODUCT($CA99:$DV99,INDEX('MC MAP'!$DA$5:$EV$30,8,0))</f>
        <v>0</v>
      </c>
      <c r="J99" s="2">
        <f>SUMPRODUCT($CA99:$DV99,INDEX('MC MAP'!$DA$5:$EV$30,9,0))</f>
        <v>0</v>
      </c>
      <c r="K99" s="2">
        <f>SUMPRODUCT($CA99:$DV99,INDEX('MC MAP'!$DA$5:$EV$30,10,0))</f>
        <v>0</v>
      </c>
      <c r="L99" s="2">
        <f>SUMPRODUCT($CA99:$DV99,INDEX('MC MAP'!$DA$5:$EV$30,11,0))</f>
        <v>0</v>
      </c>
      <c r="M99" s="2">
        <f>SUMPRODUCT($CA99:$DV99,INDEX('MC MAP'!$DA$5:$EV$30,12,0))</f>
        <v>0</v>
      </c>
      <c r="N99" s="2">
        <f>SUMPRODUCT($CA99:$DV99,INDEX('MC MAP'!$DA$5:$EV$30,13,0))</f>
        <v>0</v>
      </c>
      <c r="O99" s="2">
        <f>SUMPRODUCT($CA99:$DV99,INDEX('MC MAP'!$DA$5:$EV$30,14,0))</f>
        <v>0</v>
      </c>
      <c r="P99" s="2">
        <f>SUMPRODUCT($CA99:$DV99,INDEX('MC MAP'!$DA$5:$EV$30,15,0))</f>
        <v>0</v>
      </c>
      <c r="Q99" s="2">
        <f>SUMPRODUCT($CA99:$DV99,INDEX('MC MAP'!$DA$5:$EV$30,16,0))</f>
        <v>0</v>
      </c>
      <c r="R99" s="2">
        <f>SUMPRODUCT($CA99:$DV99,INDEX('MC MAP'!$DA$5:$EV$30,17,0))</f>
        <v>0</v>
      </c>
      <c r="S99" s="2">
        <f>SUMPRODUCT($CA99:$DV99,INDEX('MC MAP'!$DA$5:$EV$30,18,0))</f>
        <v>0</v>
      </c>
      <c r="T99" s="2">
        <f>SUMPRODUCT($CA99:$DV99,INDEX('MC MAP'!$DA$5:$EV$30,19,0))</f>
        <v>0</v>
      </c>
      <c r="U99" s="2">
        <f>SUMPRODUCT($CA99:$DV99,INDEX('MC MAP'!$DA$5:$EV$30,20,0))</f>
        <v>0</v>
      </c>
      <c r="V99" s="2">
        <f>SUMPRODUCT($CA99:$DV99,INDEX('MC MAP'!$DA$5:$EV$30,21,0))</f>
        <v>0</v>
      </c>
      <c r="W99" s="2">
        <f>SUMPRODUCT($CA99:$DV99,INDEX('MC MAP'!$DA$5:$EV$30,22,0))</f>
        <v>0</v>
      </c>
      <c r="X99" s="2">
        <f>SUMPRODUCT($CA99:$DV99,INDEX('MC MAP'!$DA$5:$EV$30,23,0))</f>
        <v>0</v>
      </c>
      <c r="Y99" s="2">
        <f>SUMPRODUCT($CA99:$DV99,INDEX('MC MAP'!$DA$5:$EV$30,24,0))</f>
        <v>0</v>
      </c>
      <c r="Z99" s="2">
        <f>SUMPRODUCT($CA99:$DV99,INDEX('MC MAP'!$DA$5:$EV$30,25,0))</f>
        <v>0</v>
      </c>
      <c r="AA99" s="2">
        <f>SUMPRODUCT($CA99:$DV99,INDEX('MC MAP'!$DA$5:$EV$30,26,0))</f>
        <v>0</v>
      </c>
      <c r="AB99" s="2">
        <f>SUM($B99:$AA99)</f>
        <v>0</v>
      </c>
      <c r="AC99" s="2">
        <f>SUM($CA99:$DV99)+$AW99</f>
        <v>0</v>
      </c>
      <c r="AW99" s="2">
        <f>IF($A99=0,0,COUNTIF(INDEX('LINE PLAN'!$B$36:$GS$61,0,ROW()-3),"THERMAL - NOT SPECIFIED"))</f>
        <v>0</v>
      </c>
      <c r="AX99" s="506" cm="1">
        <f t="array" ref="AX99">IF(OR($AB99=0,UPPER($BS99)&lt;&gt;"Y"),0,SUMPRODUCT(--($B99:$AA99&gt;$B$205:$AA$205)))</f>
        <v>0</v>
      </c>
      <c r="AY99" s="507">
        <f>$A99</f>
        <v>46330</v>
      </c>
      <c r="AZ99" s="2">
        <f>$AB99</f>
        <v>0</v>
      </c>
      <c r="BA99" s="2">
        <f>'MC MASTER'!$C$29</f>
        <v>920</v>
      </c>
      <c r="BQ99" s="509">
        <f>$A99</f>
        <v>46330</v>
      </c>
      <c r="BR99" s="15" t="str">
        <f>TEXT($A99,"ddd")</f>
        <v>Wed</v>
      </c>
      <c r="BS99" s="547" t="s">
        <v>391</v>
      </c>
      <c r="BT99" s="15">
        <f>IF(UPPER($BS99)="Y",$AB99,0)</f>
        <v>0</v>
      </c>
      <c r="CA99" s="2">
        <f>COUNTIF(INDEX('LINE PLAN'!$B$36:$GS$61,0,ROW()-3),CA$3)</f>
        <v>0</v>
      </c>
      <c r="CB99" s="2">
        <f>COUNTIF(INDEX('LINE PLAN'!$B$36:$GS$61,0,ROW()-3),CB$3)</f>
        <v>0</v>
      </c>
      <c r="CC99" s="2">
        <f>COUNTIF(INDEX('LINE PLAN'!$B$36:$GS$61,0,ROW()-3),CC$3)</f>
        <v>0</v>
      </c>
      <c r="CD99" s="2">
        <f>COUNTIF(INDEX('LINE PLAN'!$B$36:$GS$61,0,ROW()-3),CD$3)</f>
        <v>0</v>
      </c>
      <c r="CE99" s="2">
        <f>COUNTIF(INDEX('LINE PLAN'!$B$36:$GS$61,0,ROW()-3),CE$3)</f>
        <v>0</v>
      </c>
      <c r="CF99" s="2">
        <f>COUNTIF(INDEX('LINE PLAN'!$B$36:$GS$61,0,ROW()-3),CF$3)</f>
        <v>0</v>
      </c>
      <c r="CG99" s="2">
        <f>COUNTIF(INDEX('LINE PLAN'!$B$36:$GS$61,0,ROW()-3),CG$3)</f>
        <v>0</v>
      </c>
      <c r="CH99" s="2">
        <f>COUNTIF(INDEX('LINE PLAN'!$B$36:$GS$61,0,ROW()-3),CH$3)</f>
        <v>0</v>
      </c>
      <c r="CI99" s="2">
        <f>COUNTIF(INDEX('LINE PLAN'!$B$36:$GS$61,0,ROW()-3),CI$3)</f>
        <v>0</v>
      </c>
      <c r="CJ99" s="2">
        <f>COUNTIF(INDEX('LINE PLAN'!$B$36:$GS$61,0,ROW()-3),CJ$3)</f>
        <v>0</v>
      </c>
      <c r="CK99" s="2">
        <f>COUNTIF(INDEX('LINE PLAN'!$B$36:$GS$61,0,ROW()-3),CK$3)</f>
        <v>0</v>
      </c>
      <c r="CL99" s="2">
        <f>COUNTIF(INDEX('LINE PLAN'!$B$36:$GS$61,0,ROW()-3),CL$3)</f>
        <v>0</v>
      </c>
      <c r="CM99" s="2">
        <f>COUNTIF(INDEX('LINE PLAN'!$B$36:$GS$61,0,ROW()-3),CM$3)</f>
        <v>0</v>
      </c>
      <c r="CN99" s="2">
        <f>COUNTIF(INDEX('LINE PLAN'!$B$36:$GS$61,0,ROW()-3),CN$3)</f>
        <v>0</v>
      </c>
      <c r="CO99" s="2">
        <f>COUNTIF(INDEX('LINE PLAN'!$B$36:$GS$61,0,ROW()-3),CO$3)</f>
        <v>0</v>
      </c>
      <c r="CP99" s="2">
        <f>COUNTIF(INDEX('LINE PLAN'!$B$36:$GS$61,0,ROW()-3),CP$3)</f>
        <v>0</v>
      </c>
      <c r="CQ99" s="2">
        <f>COUNTIF(INDEX('LINE PLAN'!$B$36:$GS$61,0,ROW()-3),CQ$3)</f>
        <v>0</v>
      </c>
      <c r="CR99" s="2">
        <f>COUNTIF(INDEX('LINE PLAN'!$B$36:$GS$61,0,ROW()-3),CR$3)</f>
        <v>0</v>
      </c>
      <c r="CS99" s="2">
        <f>COUNTIF(INDEX('LINE PLAN'!$B$36:$GS$61,0,ROW()-3),CS$3)</f>
        <v>0</v>
      </c>
      <c r="CT99" s="2">
        <f>COUNTIF(INDEX('LINE PLAN'!$B$36:$GS$61,0,ROW()-3),CT$3)</f>
        <v>0</v>
      </c>
      <c r="CU99" s="2">
        <f>COUNTIF(INDEX('LINE PLAN'!$B$36:$GS$61,0,ROW()-3),CU$3)</f>
        <v>0</v>
      </c>
      <c r="CV99" s="2">
        <f>COUNTIF(INDEX('LINE PLAN'!$B$36:$GS$61,0,ROW()-3),CV$3)</f>
        <v>0</v>
      </c>
      <c r="CW99" s="2">
        <f>COUNTIF(INDEX('LINE PLAN'!$B$36:$GS$61,0,ROW()-3),CW$3)</f>
        <v>0</v>
      </c>
      <c r="CX99" s="2">
        <f>COUNTIF(INDEX('LINE PLAN'!$B$36:$GS$61,0,ROW()-3),CX$3)</f>
        <v>0</v>
      </c>
      <c r="CY99" s="2">
        <f>COUNTIF(INDEX('LINE PLAN'!$B$36:$GS$61,0,ROW()-3),CY$3)</f>
        <v>0</v>
      </c>
      <c r="CZ99" s="2">
        <f>COUNTIF(INDEX('LINE PLAN'!$B$36:$GS$61,0,ROW()-3),CZ$3)</f>
        <v>0</v>
      </c>
      <c r="DA99" s="2">
        <f>COUNTIF(INDEX('LINE PLAN'!$B$36:$GS$61,0,ROW()-3),DA$3)</f>
        <v>0</v>
      </c>
      <c r="DB99" s="2">
        <f>COUNTIF(INDEX('LINE PLAN'!$B$36:$GS$61,0,ROW()-3),DB$3)</f>
        <v>0</v>
      </c>
      <c r="DC99" s="2">
        <f>COUNTIF(INDEX('LINE PLAN'!$B$36:$GS$61,0,ROW()-3),DC$3)</f>
        <v>0</v>
      </c>
      <c r="DD99" s="2">
        <f>COUNTIF(INDEX('LINE PLAN'!$B$36:$GS$61,0,ROW()-3),DD$3)</f>
        <v>0</v>
      </c>
      <c r="DE99" s="2">
        <f>COUNTIF(INDEX('LINE PLAN'!$B$36:$GS$61,0,ROW()-3),DE$3)</f>
        <v>0</v>
      </c>
      <c r="DF99" s="2">
        <f>COUNTIF(INDEX('LINE PLAN'!$B$36:$GS$61,0,ROW()-3),DF$3)</f>
        <v>0</v>
      </c>
      <c r="DG99" s="2">
        <f>COUNTIF(INDEX('LINE PLAN'!$B$36:$GS$61,0,ROW()-3),DG$3)</f>
        <v>0</v>
      </c>
      <c r="DH99" s="2">
        <f>COUNTIF(INDEX('LINE PLAN'!$B$36:$GS$61,0,ROW()-3),DH$3)</f>
        <v>0</v>
      </c>
      <c r="DI99" s="2">
        <f>COUNTIF(INDEX('LINE PLAN'!$B$36:$GS$61,0,ROW()-3),DI$3)</f>
        <v>0</v>
      </c>
      <c r="DJ99" s="2">
        <f>COUNTIF(INDEX('LINE PLAN'!$B$36:$GS$61,0,ROW()-3),DJ$3)</f>
        <v>0</v>
      </c>
      <c r="DK99" s="2">
        <f>COUNTIF(INDEX('LINE PLAN'!$B$36:$GS$61,0,ROW()-3),DK$3)</f>
        <v>0</v>
      </c>
      <c r="DL99" s="2">
        <f>COUNTIF(INDEX('LINE PLAN'!$B$36:$GS$61,0,ROW()-3),DL$3)</f>
        <v>0</v>
      </c>
      <c r="DM99" s="2">
        <f>COUNTIF(INDEX('LINE PLAN'!$B$36:$GS$61,0,ROW()-3),DM$3)</f>
        <v>0</v>
      </c>
      <c r="DN99" s="2">
        <f>COUNTIF(INDEX('LINE PLAN'!$B$36:$GS$61,0,ROW()-3),DN$3)</f>
        <v>0</v>
      </c>
      <c r="DO99" s="2">
        <f>COUNTIF(INDEX('LINE PLAN'!$B$36:$GS$61,0,ROW()-3),DO$3)</f>
        <v>0</v>
      </c>
      <c r="DP99" s="2">
        <f>COUNTIF(INDEX('LINE PLAN'!$B$36:$GS$61,0,ROW()-3),DP$3)</f>
        <v>0</v>
      </c>
      <c r="DQ99" s="2">
        <f>COUNTIF(INDEX('LINE PLAN'!$B$36:$GS$61,0,ROW()-3),DQ$3)</f>
        <v>0</v>
      </c>
      <c r="DR99" s="2">
        <f>COUNTIF(INDEX('LINE PLAN'!$B$36:$GS$61,0,ROW()-3),DR$3)</f>
        <v>0</v>
      </c>
      <c r="DS99" s="2">
        <f>COUNTIF(INDEX('LINE PLAN'!$B$36:$GS$61,0,ROW()-3),DS$3)</f>
        <v>0</v>
      </c>
      <c r="DT99" s="2">
        <f>COUNTIF(INDEX('LINE PLAN'!$B$36:$GS$61,0,ROW()-3),DT$3)</f>
        <v>0</v>
      </c>
      <c r="DU99" s="2">
        <f>COUNTIF(INDEX('LINE PLAN'!$B$36:$GS$61,0,ROW()-3),DU$3)</f>
        <v>0</v>
      </c>
      <c r="DV99" s="2">
        <f>COUNTIF(INDEX('LINE PLAN'!$B$36:$GS$61,0,ROW()-3),DV$3)</f>
        <v>0</v>
      </c>
    </row>
    <row r="100" spans="1:126">
      <c r="A100" s="505" cm="1">
        <f t="array" ref="A100">INDEX('LINE PLAN'!$B$35:$GS$35,ROW()-3)</f>
        <v>46331</v>
      </c>
      <c r="B100" s="2">
        <f>SUMPRODUCT($CA100:$DV100,INDEX('MC MAP'!$DA$5:$EV$30,1,0))</f>
        <v>0</v>
      </c>
      <c r="C100" s="2">
        <f>SUMPRODUCT($CA100:$DV100,INDEX('MC MAP'!$DA$5:$EV$30,2,0))</f>
        <v>0</v>
      </c>
      <c r="D100" s="2">
        <f>SUMPRODUCT($CA100:$DV100,INDEX('MC MAP'!$DA$5:$EV$30,3,0))</f>
        <v>0</v>
      </c>
      <c r="E100" s="2">
        <f>SUMPRODUCT($CA100:$DV100,INDEX('MC MAP'!$DA$5:$EV$30,4,0))</f>
        <v>0</v>
      </c>
      <c r="F100" s="2">
        <f>SUMPRODUCT($CA100:$DV100,INDEX('MC MAP'!$DA$5:$EV$30,5,0))</f>
        <v>0</v>
      </c>
      <c r="G100" s="2">
        <f>SUMPRODUCT($CA100:$DV100,INDEX('MC MAP'!$DA$5:$EV$30,6,0))</f>
        <v>0</v>
      </c>
      <c r="H100" s="2">
        <f>SUMPRODUCT($CA100:$DV100,INDEX('MC MAP'!$DA$5:$EV$30,7,0))</f>
        <v>0</v>
      </c>
      <c r="I100" s="2">
        <f>SUMPRODUCT($CA100:$DV100,INDEX('MC MAP'!$DA$5:$EV$30,8,0))</f>
        <v>0</v>
      </c>
      <c r="J100" s="2">
        <f>SUMPRODUCT($CA100:$DV100,INDEX('MC MAP'!$DA$5:$EV$30,9,0))</f>
        <v>0</v>
      </c>
      <c r="K100" s="2">
        <f>SUMPRODUCT($CA100:$DV100,INDEX('MC MAP'!$DA$5:$EV$30,10,0))</f>
        <v>0</v>
      </c>
      <c r="L100" s="2">
        <f>SUMPRODUCT($CA100:$DV100,INDEX('MC MAP'!$DA$5:$EV$30,11,0))</f>
        <v>0</v>
      </c>
      <c r="M100" s="2">
        <f>SUMPRODUCT($CA100:$DV100,INDEX('MC MAP'!$DA$5:$EV$30,12,0))</f>
        <v>0</v>
      </c>
      <c r="N100" s="2">
        <f>SUMPRODUCT($CA100:$DV100,INDEX('MC MAP'!$DA$5:$EV$30,13,0))</f>
        <v>0</v>
      </c>
      <c r="O100" s="2">
        <f>SUMPRODUCT($CA100:$DV100,INDEX('MC MAP'!$DA$5:$EV$30,14,0))</f>
        <v>0</v>
      </c>
      <c r="P100" s="2">
        <f>SUMPRODUCT($CA100:$DV100,INDEX('MC MAP'!$DA$5:$EV$30,15,0))</f>
        <v>0</v>
      </c>
      <c r="Q100" s="2">
        <f>SUMPRODUCT($CA100:$DV100,INDEX('MC MAP'!$DA$5:$EV$30,16,0))</f>
        <v>0</v>
      </c>
      <c r="R100" s="2">
        <f>SUMPRODUCT($CA100:$DV100,INDEX('MC MAP'!$DA$5:$EV$30,17,0))</f>
        <v>0</v>
      </c>
      <c r="S100" s="2">
        <f>SUMPRODUCT($CA100:$DV100,INDEX('MC MAP'!$DA$5:$EV$30,18,0))</f>
        <v>0</v>
      </c>
      <c r="T100" s="2">
        <f>SUMPRODUCT($CA100:$DV100,INDEX('MC MAP'!$DA$5:$EV$30,19,0))</f>
        <v>0</v>
      </c>
      <c r="U100" s="2">
        <f>SUMPRODUCT($CA100:$DV100,INDEX('MC MAP'!$DA$5:$EV$30,20,0))</f>
        <v>0</v>
      </c>
      <c r="V100" s="2">
        <f>SUMPRODUCT($CA100:$DV100,INDEX('MC MAP'!$DA$5:$EV$30,21,0))</f>
        <v>0</v>
      </c>
      <c r="W100" s="2">
        <f>SUMPRODUCT($CA100:$DV100,INDEX('MC MAP'!$DA$5:$EV$30,22,0))</f>
        <v>0</v>
      </c>
      <c r="X100" s="2">
        <f>SUMPRODUCT($CA100:$DV100,INDEX('MC MAP'!$DA$5:$EV$30,23,0))</f>
        <v>0</v>
      </c>
      <c r="Y100" s="2">
        <f>SUMPRODUCT($CA100:$DV100,INDEX('MC MAP'!$DA$5:$EV$30,24,0))</f>
        <v>0</v>
      </c>
      <c r="Z100" s="2">
        <f>SUMPRODUCT($CA100:$DV100,INDEX('MC MAP'!$DA$5:$EV$30,25,0))</f>
        <v>0</v>
      </c>
      <c r="AA100" s="2">
        <f>SUMPRODUCT($CA100:$DV100,INDEX('MC MAP'!$DA$5:$EV$30,26,0))</f>
        <v>0</v>
      </c>
      <c r="AB100" s="2">
        <f>SUM($B100:$AA100)</f>
        <v>0</v>
      </c>
      <c r="AC100" s="2">
        <f>SUM($CA100:$DV100)+$AW100</f>
        <v>0</v>
      </c>
      <c r="AW100" s="2">
        <f>IF($A100=0,0,COUNTIF(INDEX('LINE PLAN'!$B$36:$GS$61,0,ROW()-3),"THERMAL - NOT SPECIFIED"))</f>
        <v>0</v>
      </c>
      <c r="AX100" s="506" cm="1">
        <f t="array" ref="AX100">IF(OR($AB100=0,UPPER($BS100)&lt;&gt;"Y"),0,SUMPRODUCT(--($B100:$AA100&gt;$B$205:$AA$205)))</f>
        <v>0</v>
      </c>
      <c r="AY100" s="507">
        <f>$A100</f>
        <v>46331</v>
      </c>
      <c r="AZ100" s="2">
        <f>$AB100</f>
        <v>0</v>
      </c>
      <c r="BA100" s="2">
        <f>'MC MASTER'!$C$29</f>
        <v>920</v>
      </c>
      <c r="BQ100" s="509">
        <f>$A100</f>
        <v>46331</v>
      </c>
      <c r="BR100" s="15" t="str">
        <f>TEXT($A100,"ddd")</f>
        <v>Thu</v>
      </c>
      <c r="BS100" s="547" t="s">
        <v>391</v>
      </c>
      <c r="BT100" s="15">
        <f>IF(UPPER($BS100)="Y",$AB100,0)</f>
        <v>0</v>
      </c>
      <c r="CA100" s="2">
        <f>COUNTIF(INDEX('LINE PLAN'!$B$36:$GS$61,0,ROW()-3),CA$3)</f>
        <v>0</v>
      </c>
      <c r="CB100" s="2">
        <f>COUNTIF(INDEX('LINE PLAN'!$B$36:$GS$61,0,ROW()-3),CB$3)</f>
        <v>0</v>
      </c>
      <c r="CC100" s="2">
        <f>COUNTIF(INDEX('LINE PLAN'!$B$36:$GS$61,0,ROW()-3),CC$3)</f>
        <v>0</v>
      </c>
      <c r="CD100" s="2">
        <f>COUNTIF(INDEX('LINE PLAN'!$B$36:$GS$61,0,ROW()-3),CD$3)</f>
        <v>0</v>
      </c>
      <c r="CE100" s="2">
        <f>COUNTIF(INDEX('LINE PLAN'!$B$36:$GS$61,0,ROW()-3),CE$3)</f>
        <v>0</v>
      </c>
      <c r="CF100" s="2">
        <f>COUNTIF(INDEX('LINE PLAN'!$B$36:$GS$61,0,ROW()-3),CF$3)</f>
        <v>0</v>
      </c>
      <c r="CG100" s="2">
        <f>COUNTIF(INDEX('LINE PLAN'!$B$36:$GS$61,0,ROW()-3),CG$3)</f>
        <v>0</v>
      </c>
      <c r="CH100" s="2">
        <f>COUNTIF(INDEX('LINE PLAN'!$B$36:$GS$61,0,ROW()-3),CH$3)</f>
        <v>0</v>
      </c>
      <c r="CI100" s="2">
        <f>COUNTIF(INDEX('LINE PLAN'!$B$36:$GS$61,0,ROW()-3),CI$3)</f>
        <v>0</v>
      </c>
      <c r="CJ100" s="2">
        <f>COUNTIF(INDEX('LINE PLAN'!$B$36:$GS$61,0,ROW()-3),CJ$3)</f>
        <v>0</v>
      </c>
      <c r="CK100" s="2">
        <f>COUNTIF(INDEX('LINE PLAN'!$B$36:$GS$61,0,ROW()-3),CK$3)</f>
        <v>0</v>
      </c>
      <c r="CL100" s="2">
        <f>COUNTIF(INDEX('LINE PLAN'!$B$36:$GS$61,0,ROW()-3),CL$3)</f>
        <v>0</v>
      </c>
      <c r="CM100" s="2">
        <f>COUNTIF(INDEX('LINE PLAN'!$B$36:$GS$61,0,ROW()-3),CM$3)</f>
        <v>0</v>
      </c>
      <c r="CN100" s="2">
        <f>COUNTIF(INDEX('LINE PLAN'!$B$36:$GS$61,0,ROW()-3),CN$3)</f>
        <v>0</v>
      </c>
      <c r="CO100" s="2">
        <f>COUNTIF(INDEX('LINE PLAN'!$B$36:$GS$61,0,ROW()-3),CO$3)</f>
        <v>0</v>
      </c>
      <c r="CP100" s="2">
        <f>COUNTIF(INDEX('LINE PLAN'!$B$36:$GS$61,0,ROW()-3),CP$3)</f>
        <v>0</v>
      </c>
      <c r="CQ100" s="2">
        <f>COUNTIF(INDEX('LINE PLAN'!$B$36:$GS$61,0,ROW()-3),CQ$3)</f>
        <v>0</v>
      </c>
      <c r="CR100" s="2">
        <f>COUNTIF(INDEX('LINE PLAN'!$B$36:$GS$61,0,ROW()-3),CR$3)</f>
        <v>0</v>
      </c>
      <c r="CS100" s="2">
        <f>COUNTIF(INDEX('LINE PLAN'!$B$36:$GS$61,0,ROW()-3),CS$3)</f>
        <v>0</v>
      </c>
      <c r="CT100" s="2">
        <f>COUNTIF(INDEX('LINE PLAN'!$B$36:$GS$61,0,ROW()-3),CT$3)</f>
        <v>0</v>
      </c>
      <c r="CU100" s="2">
        <f>COUNTIF(INDEX('LINE PLAN'!$B$36:$GS$61,0,ROW()-3),CU$3)</f>
        <v>0</v>
      </c>
      <c r="CV100" s="2">
        <f>COUNTIF(INDEX('LINE PLAN'!$B$36:$GS$61,0,ROW()-3),CV$3)</f>
        <v>0</v>
      </c>
      <c r="CW100" s="2">
        <f>COUNTIF(INDEX('LINE PLAN'!$B$36:$GS$61,0,ROW()-3),CW$3)</f>
        <v>0</v>
      </c>
      <c r="CX100" s="2">
        <f>COUNTIF(INDEX('LINE PLAN'!$B$36:$GS$61,0,ROW()-3),CX$3)</f>
        <v>0</v>
      </c>
      <c r="CY100" s="2">
        <f>COUNTIF(INDEX('LINE PLAN'!$B$36:$GS$61,0,ROW()-3),CY$3)</f>
        <v>0</v>
      </c>
      <c r="CZ100" s="2">
        <f>COUNTIF(INDEX('LINE PLAN'!$B$36:$GS$61,0,ROW()-3),CZ$3)</f>
        <v>0</v>
      </c>
      <c r="DA100" s="2">
        <f>COUNTIF(INDEX('LINE PLAN'!$B$36:$GS$61,0,ROW()-3),DA$3)</f>
        <v>0</v>
      </c>
      <c r="DB100" s="2">
        <f>COUNTIF(INDEX('LINE PLAN'!$B$36:$GS$61,0,ROW()-3),DB$3)</f>
        <v>0</v>
      </c>
      <c r="DC100" s="2">
        <f>COUNTIF(INDEX('LINE PLAN'!$B$36:$GS$61,0,ROW()-3),DC$3)</f>
        <v>0</v>
      </c>
      <c r="DD100" s="2">
        <f>COUNTIF(INDEX('LINE PLAN'!$B$36:$GS$61,0,ROW()-3),DD$3)</f>
        <v>0</v>
      </c>
      <c r="DE100" s="2">
        <f>COUNTIF(INDEX('LINE PLAN'!$B$36:$GS$61,0,ROW()-3),DE$3)</f>
        <v>0</v>
      </c>
      <c r="DF100" s="2">
        <f>COUNTIF(INDEX('LINE PLAN'!$B$36:$GS$61,0,ROW()-3),DF$3)</f>
        <v>0</v>
      </c>
      <c r="DG100" s="2">
        <f>COUNTIF(INDEX('LINE PLAN'!$B$36:$GS$61,0,ROW()-3),DG$3)</f>
        <v>0</v>
      </c>
      <c r="DH100" s="2">
        <f>COUNTIF(INDEX('LINE PLAN'!$B$36:$GS$61,0,ROW()-3),DH$3)</f>
        <v>0</v>
      </c>
      <c r="DI100" s="2">
        <f>COUNTIF(INDEX('LINE PLAN'!$B$36:$GS$61,0,ROW()-3),DI$3)</f>
        <v>0</v>
      </c>
      <c r="DJ100" s="2">
        <f>COUNTIF(INDEX('LINE PLAN'!$B$36:$GS$61,0,ROW()-3),DJ$3)</f>
        <v>0</v>
      </c>
      <c r="DK100" s="2">
        <f>COUNTIF(INDEX('LINE PLAN'!$B$36:$GS$61,0,ROW()-3),DK$3)</f>
        <v>0</v>
      </c>
      <c r="DL100" s="2">
        <f>COUNTIF(INDEX('LINE PLAN'!$B$36:$GS$61,0,ROW()-3),DL$3)</f>
        <v>0</v>
      </c>
      <c r="DM100" s="2">
        <f>COUNTIF(INDEX('LINE PLAN'!$B$36:$GS$61,0,ROW()-3),DM$3)</f>
        <v>0</v>
      </c>
      <c r="DN100" s="2">
        <f>COUNTIF(INDEX('LINE PLAN'!$B$36:$GS$61,0,ROW()-3),DN$3)</f>
        <v>0</v>
      </c>
      <c r="DO100" s="2">
        <f>COUNTIF(INDEX('LINE PLAN'!$B$36:$GS$61,0,ROW()-3),DO$3)</f>
        <v>0</v>
      </c>
      <c r="DP100" s="2">
        <f>COUNTIF(INDEX('LINE PLAN'!$B$36:$GS$61,0,ROW()-3),DP$3)</f>
        <v>0</v>
      </c>
      <c r="DQ100" s="2">
        <f>COUNTIF(INDEX('LINE PLAN'!$B$36:$GS$61,0,ROW()-3),DQ$3)</f>
        <v>0</v>
      </c>
      <c r="DR100" s="2">
        <f>COUNTIF(INDEX('LINE PLAN'!$B$36:$GS$61,0,ROW()-3),DR$3)</f>
        <v>0</v>
      </c>
      <c r="DS100" s="2">
        <f>COUNTIF(INDEX('LINE PLAN'!$B$36:$GS$61,0,ROW()-3),DS$3)</f>
        <v>0</v>
      </c>
      <c r="DT100" s="2">
        <f>COUNTIF(INDEX('LINE PLAN'!$B$36:$GS$61,0,ROW()-3),DT$3)</f>
        <v>0</v>
      </c>
      <c r="DU100" s="2">
        <f>COUNTIF(INDEX('LINE PLAN'!$B$36:$GS$61,0,ROW()-3),DU$3)</f>
        <v>0</v>
      </c>
      <c r="DV100" s="2">
        <f>COUNTIF(INDEX('LINE PLAN'!$B$36:$GS$61,0,ROW()-3),DV$3)</f>
        <v>0</v>
      </c>
    </row>
    <row r="101" spans="1:126">
      <c r="A101" s="505" cm="1">
        <f t="array" ref="A101">INDEX('LINE PLAN'!$B$35:$GS$35,ROW()-3)</f>
        <v>46332</v>
      </c>
      <c r="B101" s="2">
        <f>SUMPRODUCT($CA101:$DV101,INDEX('MC MAP'!$DA$5:$EV$30,1,0))</f>
        <v>0</v>
      </c>
      <c r="C101" s="2">
        <f>SUMPRODUCT($CA101:$DV101,INDEX('MC MAP'!$DA$5:$EV$30,2,0))</f>
        <v>0</v>
      </c>
      <c r="D101" s="2">
        <f>SUMPRODUCT($CA101:$DV101,INDEX('MC MAP'!$DA$5:$EV$30,3,0))</f>
        <v>0</v>
      </c>
      <c r="E101" s="2">
        <f>SUMPRODUCT($CA101:$DV101,INDEX('MC MAP'!$DA$5:$EV$30,4,0))</f>
        <v>0</v>
      </c>
      <c r="F101" s="2">
        <f>SUMPRODUCT($CA101:$DV101,INDEX('MC MAP'!$DA$5:$EV$30,5,0))</f>
        <v>0</v>
      </c>
      <c r="G101" s="2">
        <f>SUMPRODUCT($CA101:$DV101,INDEX('MC MAP'!$DA$5:$EV$30,6,0))</f>
        <v>0</v>
      </c>
      <c r="H101" s="2">
        <f>SUMPRODUCT($CA101:$DV101,INDEX('MC MAP'!$DA$5:$EV$30,7,0))</f>
        <v>0</v>
      </c>
      <c r="I101" s="2">
        <f>SUMPRODUCT($CA101:$DV101,INDEX('MC MAP'!$DA$5:$EV$30,8,0))</f>
        <v>0</v>
      </c>
      <c r="J101" s="2">
        <f>SUMPRODUCT($CA101:$DV101,INDEX('MC MAP'!$DA$5:$EV$30,9,0))</f>
        <v>0</v>
      </c>
      <c r="K101" s="2">
        <f>SUMPRODUCT($CA101:$DV101,INDEX('MC MAP'!$DA$5:$EV$30,10,0))</f>
        <v>0</v>
      </c>
      <c r="L101" s="2">
        <f>SUMPRODUCT($CA101:$DV101,INDEX('MC MAP'!$DA$5:$EV$30,11,0))</f>
        <v>0</v>
      </c>
      <c r="M101" s="2">
        <f>SUMPRODUCT($CA101:$DV101,INDEX('MC MAP'!$DA$5:$EV$30,12,0))</f>
        <v>0</v>
      </c>
      <c r="N101" s="2">
        <f>SUMPRODUCT($CA101:$DV101,INDEX('MC MAP'!$DA$5:$EV$30,13,0))</f>
        <v>0</v>
      </c>
      <c r="O101" s="2">
        <f>SUMPRODUCT($CA101:$DV101,INDEX('MC MAP'!$DA$5:$EV$30,14,0))</f>
        <v>0</v>
      </c>
      <c r="P101" s="2">
        <f>SUMPRODUCT($CA101:$DV101,INDEX('MC MAP'!$DA$5:$EV$30,15,0))</f>
        <v>0</v>
      </c>
      <c r="Q101" s="2">
        <f>SUMPRODUCT($CA101:$DV101,INDEX('MC MAP'!$DA$5:$EV$30,16,0))</f>
        <v>0</v>
      </c>
      <c r="R101" s="2">
        <f>SUMPRODUCT($CA101:$DV101,INDEX('MC MAP'!$DA$5:$EV$30,17,0))</f>
        <v>0</v>
      </c>
      <c r="S101" s="2">
        <f>SUMPRODUCT($CA101:$DV101,INDEX('MC MAP'!$DA$5:$EV$30,18,0))</f>
        <v>0</v>
      </c>
      <c r="T101" s="2">
        <f>SUMPRODUCT($CA101:$DV101,INDEX('MC MAP'!$DA$5:$EV$30,19,0))</f>
        <v>0</v>
      </c>
      <c r="U101" s="2">
        <f>SUMPRODUCT($CA101:$DV101,INDEX('MC MAP'!$DA$5:$EV$30,20,0))</f>
        <v>0</v>
      </c>
      <c r="V101" s="2">
        <f>SUMPRODUCT($CA101:$DV101,INDEX('MC MAP'!$DA$5:$EV$30,21,0))</f>
        <v>0</v>
      </c>
      <c r="W101" s="2">
        <f>SUMPRODUCT($CA101:$DV101,INDEX('MC MAP'!$DA$5:$EV$30,22,0))</f>
        <v>0</v>
      </c>
      <c r="X101" s="2">
        <f>SUMPRODUCT($CA101:$DV101,INDEX('MC MAP'!$DA$5:$EV$30,23,0))</f>
        <v>0</v>
      </c>
      <c r="Y101" s="2">
        <f>SUMPRODUCT($CA101:$DV101,INDEX('MC MAP'!$DA$5:$EV$30,24,0))</f>
        <v>0</v>
      </c>
      <c r="Z101" s="2">
        <f>SUMPRODUCT($CA101:$DV101,INDEX('MC MAP'!$DA$5:$EV$30,25,0))</f>
        <v>0</v>
      </c>
      <c r="AA101" s="2">
        <f>SUMPRODUCT($CA101:$DV101,INDEX('MC MAP'!$DA$5:$EV$30,26,0))</f>
        <v>0</v>
      </c>
      <c r="AB101" s="2">
        <f>SUM($B101:$AA101)</f>
        <v>0</v>
      </c>
      <c r="AC101" s="2">
        <f>SUM($CA101:$DV101)+$AW101</f>
        <v>0</v>
      </c>
      <c r="AW101" s="2">
        <f>IF($A101=0,0,COUNTIF(INDEX('LINE PLAN'!$B$36:$GS$61,0,ROW()-3),"THERMAL - NOT SPECIFIED"))</f>
        <v>0</v>
      </c>
      <c r="AX101" s="506" cm="1">
        <f t="array" ref="AX101">IF(OR($AB101=0,UPPER($BS101)&lt;&gt;"Y"),0,SUMPRODUCT(--($B101:$AA101&gt;$B$205:$AA$205)))</f>
        <v>0</v>
      </c>
      <c r="AY101" s="507">
        <f>$A101</f>
        <v>46332</v>
      </c>
      <c r="AZ101" s="2">
        <f>$AB101</f>
        <v>0</v>
      </c>
      <c r="BA101" s="2">
        <f>'MC MASTER'!$C$29</f>
        <v>920</v>
      </c>
      <c r="BQ101" s="509">
        <f>$A101</f>
        <v>46332</v>
      </c>
      <c r="BR101" s="15" t="str">
        <f>TEXT($A101,"ddd")</f>
        <v>Fri</v>
      </c>
      <c r="BS101" s="547" t="s">
        <v>391</v>
      </c>
      <c r="BT101" s="15">
        <f>IF(UPPER($BS101)="Y",$AB101,0)</f>
        <v>0</v>
      </c>
      <c r="CA101" s="2">
        <f>COUNTIF(INDEX('LINE PLAN'!$B$36:$GS$61,0,ROW()-3),CA$3)</f>
        <v>0</v>
      </c>
      <c r="CB101" s="2">
        <f>COUNTIF(INDEX('LINE PLAN'!$B$36:$GS$61,0,ROW()-3),CB$3)</f>
        <v>0</v>
      </c>
      <c r="CC101" s="2">
        <f>COUNTIF(INDEX('LINE PLAN'!$B$36:$GS$61,0,ROW()-3),CC$3)</f>
        <v>0</v>
      </c>
      <c r="CD101" s="2">
        <f>COUNTIF(INDEX('LINE PLAN'!$B$36:$GS$61,0,ROW()-3),CD$3)</f>
        <v>0</v>
      </c>
      <c r="CE101" s="2">
        <f>COUNTIF(INDEX('LINE PLAN'!$B$36:$GS$61,0,ROW()-3),CE$3)</f>
        <v>0</v>
      </c>
      <c r="CF101" s="2">
        <f>COUNTIF(INDEX('LINE PLAN'!$B$36:$GS$61,0,ROW()-3),CF$3)</f>
        <v>0</v>
      </c>
      <c r="CG101" s="2">
        <f>COUNTIF(INDEX('LINE PLAN'!$B$36:$GS$61,0,ROW()-3),CG$3)</f>
        <v>0</v>
      </c>
      <c r="CH101" s="2">
        <f>COUNTIF(INDEX('LINE PLAN'!$B$36:$GS$61,0,ROW()-3),CH$3)</f>
        <v>0</v>
      </c>
      <c r="CI101" s="2">
        <f>COUNTIF(INDEX('LINE PLAN'!$B$36:$GS$61,0,ROW()-3),CI$3)</f>
        <v>0</v>
      </c>
      <c r="CJ101" s="2">
        <f>COUNTIF(INDEX('LINE PLAN'!$B$36:$GS$61,0,ROW()-3),CJ$3)</f>
        <v>0</v>
      </c>
      <c r="CK101" s="2">
        <f>COUNTIF(INDEX('LINE PLAN'!$B$36:$GS$61,0,ROW()-3),CK$3)</f>
        <v>0</v>
      </c>
      <c r="CL101" s="2">
        <f>COUNTIF(INDEX('LINE PLAN'!$B$36:$GS$61,0,ROW()-3),CL$3)</f>
        <v>0</v>
      </c>
      <c r="CM101" s="2">
        <f>COUNTIF(INDEX('LINE PLAN'!$B$36:$GS$61,0,ROW()-3),CM$3)</f>
        <v>0</v>
      </c>
      <c r="CN101" s="2">
        <f>COUNTIF(INDEX('LINE PLAN'!$B$36:$GS$61,0,ROW()-3),CN$3)</f>
        <v>0</v>
      </c>
      <c r="CO101" s="2">
        <f>COUNTIF(INDEX('LINE PLAN'!$B$36:$GS$61,0,ROW()-3),CO$3)</f>
        <v>0</v>
      </c>
      <c r="CP101" s="2">
        <f>COUNTIF(INDEX('LINE PLAN'!$B$36:$GS$61,0,ROW()-3),CP$3)</f>
        <v>0</v>
      </c>
      <c r="CQ101" s="2">
        <f>COUNTIF(INDEX('LINE PLAN'!$B$36:$GS$61,0,ROW()-3),CQ$3)</f>
        <v>0</v>
      </c>
      <c r="CR101" s="2">
        <f>COUNTIF(INDEX('LINE PLAN'!$B$36:$GS$61,0,ROW()-3),CR$3)</f>
        <v>0</v>
      </c>
      <c r="CS101" s="2">
        <f>COUNTIF(INDEX('LINE PLAN'!$B$36:$GS$61,0,ROW()-3),CS$3)</f>
        <v>0</v>
      </c>
      <c r="CT101" s="2">
        <f>COUNTIF(INDEX('LINE PLAN'!$B$36:$GS$61,0,ROW()-3),CT$3)</f>
        <v>0</v>
      </c>
      <c r="CU101" s="2">
        <f>COUNTIF(INDEX('LINE PLAN'!$B$36:$GS$61,0,ROW()-3),CU$3)</f>
        <v>0</v>
      </c>
      <c r="CV101" s="2">
        <f>COUNTIF(INDEX('LINE PLAN'!$B$36:$GS$61,0,ROW()-3),CV$3)</f>
        <v>0</v>
      </c>
      <c r="CW101" s="2">
        <f>COUNTIF(INDEX('LINE PLAN'!$B$36:$GS$61,0,ROW()-3),CW$3)</f>
        <v>0</v>
      </c>
      <c r="CX101" s="2">
        <f>COUNTIF(INDEX('LINE PLAN'!$B$36:$GS$61,0,ROW()-3),CX$3)</f>
        <v>0</v>
      </c>
      <c r="CY101" s="2">
        <f>COUNTIF(INDEX('LINE PLAN'!$B$36:$GS$61,0,ROW()-3),CY$3)</f>
        <v>0</v>
      </c>
      <c r="CZ101" s="2">
        <f>COUNTIF(INDEX('LINE PLAN'!$B$36:$GS$61,0,ROW()-3),CZ$3)</f>
        <v>0</v>
      </c>
      <c r="DA101" s="2">
        <f>COUNTIF(INDEX('LINE PLAN'!$B$36:$GS$61,0,ROW()-3),DA$3)</f>
        <v>0</v>
      </c>
      <c r="DB101" s="2">
        <f>COUNTIF(INDEX('LINE PLAN'!$B$36:$GS$61,0,ROW()-3),DB$3)</f>
        <v>0</v>
      </c>
      <c r="DC101" s="2">
        <f>COUNTIF(INDEX('LINE PLAN'!$B$36:$GS$61,0,ROW()-3),DC$3)</f>
        <v>0</v>
      </c>
      <c r="DD101" s="2">
        <f>COUNTIF(INDEX('LINE PLAN'!$B$36:$GS$61,0,ROW()-3),DD$3)</f>
        <v>0</v>
      </c>
      <c r="DE101" s="2">
        <f>COUNTIF(INDEX('LINE PLAN'!$B$36:$GS$61,0,ROW()-3),DE$3)</f>
        <v>0</v>
      </c>
      <c r="DF101" s="2">
        <f>COUNTIF(INDEX('LINE PLAN'!$B$36:$GS$61,0,ROW()-3),DF$3)</f>
        <v>0</v>
      </c>
      <c r="DG101" s="2">
        <f>COUNTIF(INDEX('LINE PLAN'!$B$36:$GS$61,0,ROW()-3),DG$3)</f>
        <v>0</v>
      </c>
      <c r="DH101" s="2">
        <f>COUNTIF(INDEX('LINE PLAN'!$B$36:$GS$61,0,ROW()-3),DH$3)</f>
        <v>0</v>
      </c>
      <c r="DI101" s="2">
        <f>COUNTIF(INDEX('LINE PLAN'!$B$36:$GS$61,0,ROW()-3),DI$3)</f>
        <v>0</v>
      </c>
      <c r="DJ101" s="2">
        <f>COUNTIF(INDEX('LINE PLAN'!$B$36:$GS$61,0,ROW()-3),DJ$3)</f>
        <v>0</v>
      </c>
      <c r="DK101" s="2">
        <f>COUNTIF(INDEX('LINE PLAN'!$B$36:$GS$61,0,ROW()-3),DK$3)</f>
        <v>0</v>
      </c>
      <c r="DL101" s="2">
        <f>COUNTIF(INDEX('LINE PLAN'!$B$36:$GS$61,0,ROW()-3),DL$3)</f>
        <v>0</v>
      </c>
      <c r="DM101" s="2">
        <f>COUNTIF(INDEX('LINE PLAN'!$B$36:$GS$61,0,ROW()-3),DM$3)</f>
        <v>0</v>
      </c>
      <c r="DN101" s="2">
        <f>COUNTIF(INDEX('LINE PLAN'!$B$36:$GS$61,0,ROW()-3),DN$3)</f>
        <v>0</v>
      </c>
      <c r="DO101" s="2">
        <f>COUNTIF(INDEX('LINE PLAN'!$B$36:$GS$61,0,ROW()-3),DO$3)</f>
        <v>0</v>
      </c>
      <c r="DP101" s="2">
        <f>COUNTIF(INDEX('LINE PLAN'!$B$36:$GS$61,0,ROW()-3),DP$3)</f>
        <v>0</v>
      </c>
      <c r="DQ101" s="2">
        <f>COUNTIF(INDEX('LINE PLAN'!$B$36:$GS$61,0,ROW()-3),DQ$3)</f>
        <v>0</v>
      </c>
      <c r="DR101" s="2">
        <f>COUNTIF(INDEX('LINE PLAN'!$B$36:$GS$61,0,ROW()-3),DR$3)</f>
        <v>0</v>
      </c>
      <c r="DS101" s="2">
        <f>COUNTIF(INDEX('LINE PLAN'!$B$36:$GS$61,0,ROW()-3),DS$3)</f>
        <v>0</v>
      </c>
      <c r="DT101" s="2">
        <f>COUNTIF(INDEX('LINE PLAN'!$B$36:$GS$61,0,ROW()-3),DT$3)</f>
        <v>0</v>
      </c>
      <c r="DU101" s="2">
        <f>COUNTIF(INDEX('LINE PLAN'!$B$36:$GS$61,0,ROW()-3),DU$3)</f>
        <v>0</v>
      </c>
      <c r="DV101" s="2">
        <f>COUNTIF(INDEX('LINE PLAN'!$B$36:$GS$61,0,ROW()-3),DV$3)</f>
        <v>0</v>
      </c>
    </row>
    <row r="102" spans="1:126">
      <c r="A102" s="505" cm="1">
        <f t="array" ref="A102">INDEX('LINE PLAN'!$B$35:$GS$35,ROW()-3)</f>
        <v>46333</v>
      </c>
      <c r="B102" s="2">
        <f>SUMPRODUCT($CA102:$DV102,INDEX('MC MAP'!$DA$5:$EV$30,1,0))</f>
        <v>0</v>
      </c>
      <c r="C102" s="2">
        <f>SUMPRODUCT($CA102:$DV102,INDEX('MC MAP'!$DA$5:$EV$30,2,0))</f>
        <v>0</v>
      </c>
      <c r="D102" s="2">
        <f>SUMPRODUCT($CA102:$DV102,INDEX('MC MAP'!$DA$5:$EV$30,3,0))</f>
        <v>0</v>
      </c>
      <c r="E102" s="2">
        <f>SUMPRODUCT($CA102:$DV102,INDEX('MC MAP'!$DA$5:$EV$30,4,0))</f>
        <v>0</v>
      </c>
      <c r="F102" s="2">
        <f>SUMPRODUCT($CA102:$DV102,INDEX('MC MAP'!$DA$5:$EV$30,5,0))</f>
        <v>0</v>
      </c>
      <c r="G102" s="2">
        <f>SUMPRODUCT($CA102:$DV102,INDEX('MC MAP'!$DA$5:$EV$30,6,0))</f>
        <v>0</v>
      </c>
      <c r="H102" s="2">
        <f>SUMPRODUCT($CA102:$DV102,INDEX('MC MAP'!$DA$5:$EV$30,7,0))</f>
        <v>0</v>
      </c>
      <c r="I102" s="2">
        <f>SUMPRODUCT($CA102:$DV102,INDEX('MC MAP'!$DA$5:$EV$30,8,0))</f>
        <v>0</v>
      </c>
      <c r="J102" s="2">
        <f>SUMPRODUCT($CA102:$DV102,INDEX('MC MAP'!$DA$5:$EV$30,9,0))</f>
        <v>0</v>
      </c>
      <c r="K102" s="2">
        <f>SUMPRODUCT($CA102:$DV102,INDEX('MC MAP'!$DA$5:$EV$30,10,0))</f>
        <v>0</v>
      </c>
      <c r="L102" s="2">
        <f>SUMPRODUCT($CA102:$DV102,INDEX('MC MAP'!$DA$5:$EV$30,11,0))</f>
        <v>0</v>
      </c>
      <c r="M102" s="2">
        <f>SUMPRODUCT($CA102:$DV102,INDEX('MC MAP'!$DA$5:$EV$30,12,0))</f>
        <v>0</v>
      </c>
      <c r="N102" s="2">
        <f>SUMPRODUCT($CA102:$DV102,INDEX('MC MAP'!$DA$5:$EV$30,13,0))</f>
        <v>0</v>
      </c>
      <c r="O102" s="2">
        <f>SUMPRODUCT($CA102:$DV102,INDEX('MC MAP'!$DA$5:$EV$30,14,0))</f>
        <v>0</v>
      </c>
      <c r="P102" s="2">
        <f>SUMPRODUCT($CA102:$DV102,INDEX('MC MAP'!$DA$5:$EV$30,15,0))</f>
        <v>0</v>
      </c>
      <c r="Q102" s="2">
        <f>SUMPRODUCT($CA102:$DV102,INDEX('MC MAP'!$DA$5:$EV$30,16,0))</f>
        <v>0</v>
      </c>
      <c r="R102" s="2">
        <f>SUMPRODUCT($CA102:$DV102,INDEX('MC MAP'!$DA$5:$EV$30,17,0))</f>
        <v>0</v>
      </c>
      <c r="S102" s="2">
        <f>SUMPRODUCT($CA102:$DV102,INDEX('MC MAP'!$DA$5:$EV$30,18,0))</f>
        <v>0</v>
      </c>
      <c r="T102" s="2">
        <f>SUMPRODUCT($CA102:$DV102,INDEX('MC MAP'!$DA$5:$EV$30,19,0))</f>
        <v>0</v>
      </c>
      <c r="U102" s="2">
        <f>SUMPRODUCT($CA102:$DV102,INDEX('MC MAP'!$DA$5:$EV$30,20,0))</f>
        <v>0</v>
      </c>
      <c r="V102" s="2">
        <f>SUMPRODUCT($CA102:$DV102,INDEX('MC MAP'!$DA$5:$EV$30,21,0))</f>
        <v>0</v>
      </c>
      <c r="W102" s="2">
        <f>SUMPRODUCT($CA102:$DV102,INDEX('MC MAP'!$DA$5:$EV$30,22,0))</f>
        <v>0</v>
      </c>
      <c r="X102" s="2">
        <f>SUMPRODUCT($CA102:$DV102,INDEX('MC MAP'!$DA$5:$EV$30,23,0))</f>
        <v>0</v>
      </c>
      <c r="Y102" s="2">
        <f>SUMPRODUCT($CA102:$DV102,INDEX('MC MAP'!$DA$5:$EV$30,24,0))</f>
        <v>0</v>
      </c>
      <c r="Z102" s="2">
        <f>SUMPRODUCT($CA102:$DV102,INDEX('MC MAP'!$DA$5:$EV$30,25,0))</f>
        <v>0</v>
      </c>
      <c r="AA102" s="2">
        <f>SUMPRODUCT($CA102:$DV102,INDEX('MC MAP'!$DA$5:$EV$30,26,0))</f>
        <v>0</v>
      </c>
      <c r="AB102" s="2">
        <f>SUM($B102:$AA102)</f>
        <v>0</v>
      </c>
      <c r="AC102" s="2">
        <f>SUM($CA102:$DV102)+$AW102</f>
        <v>0</v>
      </c>
      <c r="AW102" s="2">
        <f>IF($A102=0,0,COUNTIF(INDEX('LINE PLAN'!$B$36:$GS$61,0,ROW()-3),"THERMAL - NOT SPECIFIED"))</f>
        <v>0</v>
      </c>
      <c r="AX102" s="506" cm="1">
        <f t="array" ref="AX102">IF(OR($AB102=0,UPPER($BS102)&lt;&gt;"Y"),0,SUMPRODUCT(--($B102:$AA102&gt;$B$205:$AA$205)))</f>
        <v>0</v>
      </c>
      <c r="AY102" s="507">
        <f>$A102</f>
        <v>46333</v>
      </c>
      <c r="AZ102" s="2">
        <f>$AB102</f>
        <v>0</v>
      </c>
      <c r="BA102" s="2">
        <f>'MC MASTER'!$C$29</f>
        <v>920</v>
      </c>
      <c r="BQ102" s="509">
        <f>$A102</f>
        <v>46333</v>
      </c>
      <c r="BR102" s="15" t="str">
        <f>TEXT($A102,"ddd")</f>
        <v>Sat</v>
      </c>
      <c r="BS102" s="547" t="s">
        <v>391</v>
      </c>
      <c r="BT102" s="15">
        <f>IF(UPPER($BS102)="Y",$AB102,0)</f>
        <v>0</v>
      </c>
      <c r="CA102" s="2">
        <f>COUNTIF(INDEX('LINE PLAN'!$B$36:$GS$61,0,ROW()-3),CA$3)</f>
        <v>0</v>
      </c>
      <c r="CB102" s="2">
        <f>COUNTIF(INDEX('LINE PLAN'!$B$36:$GS$61,0,ROW()-3),CB$3)</f>
        <v>0</v>
      </c>
      <c r="CC102" s="2">
        <f>COUNTIF(INDEX('LINE PLAN'!$B$36:$GS$61,0,ROW()-3),CC$3)</f>
        <v>0</v>
      </c>
      <c r="CD102" s="2">
        <f>COUNTIF(INDEX('LINE PLAN'!$B$36:$GS$61,0,ROW()-3),CD$3)</f>
        <v>0</v>
      </c>
      <c r="CE102" s="2">
        <f>COUNTIF(INDEX('LINE PLAN'!$B$36:$GS$61,0,ROW()-3),CE$3)</f>
        <v>0</v>
      </c>
      <c r="CF102" s="2">
        <f>COUNTIF(INDEX('LINE PLAN'!$B$36:$GS$61,0,ROW()-3),CF$3)</f>
        <v>0</v>
      </c>
      <c r="CG102" s="2">
        <f>COUNTIF(INDEX('LINE PLAN'!$B$36:$GS$61,0,ROW()-3),CG$3)</f>
        <v>0</v>
      </c>
      <c r="CH102" s="2">
        <f>COUNTIF(INDEX('LINE PLAN'!$B$36:$GS$61,0,ROW()-3),CH$3)</f>
        <v>0</v>
      </c>
      <c r="CI102" s="2">
        <f>COUNTIF(INDEX('LINE PLAN'!$B$36:$GS$61,0,ROW()-3),CI$3)</f>
        <v>0</v>
      </c>
      <c r="CJ102" s="2">
        <f>COUNTIF(INDEX('LINE PLAN'!$B$36:$GS$61,0,ROW()-3),CJ$3)</f>
        <v>0</v>
      </c>
      <c r="CK102" s="2">
        <f>COUNTIF(INDEX('LINE PLAN'!$B$36:$GS$61,0,ROW()-3),CK$3)</f>
        <v>0</v>
      </c>
      <c r="CL102" s="2">
        <f>COUNTIF(INDEX('LINE PLAN'!$B$36:$GS$61,0,ROW()-3),CL$3)</f>
        <v>0</v>
      </c>
      <c r="CM102" s="2">
        <f>COUNTIF(INDEX('LINE PLAN'!$B$36:$GS$61,0,ROW()-3),CM$3)</f>
        <v>0</v>
      </c>
      <c r="CN102" s="2">
        <f>COUNTIF(INDEX('LINE PLAN'!$B$36:$GS$61,0,ROW()-3),CN$3)</f>
        <v>0</v>
      </c>
      <c r="CO102" s="2">
        <f>COUNTIF(INDEX('LINE PLAN'!$B$36:$GS$61,0,ROW()-3),CO$3)</f>
        <v>0</v>
      </c>
      <c r="CP102" s="2">
        <f>COUNTIF(INDEX('LINE PLAN'!$B$36:$GS$61,0,ROW()-3),CP$3)</f>
        <v>0</v>
      </c>
      <c r="CQ102" s="2">
        <f>COUNTIF(INDEX('LINE PLAN'!$B$36:$GS$61,0,ROW()-3),CQ$3)</f>
        <v>0</v>
      </c>
      <c r="CR102" s="2">
        <f>COUNTIF(INDEX('LINE PLAN'!$B$36:$GS$61,0,ROW()-3),CR$3)</f>
        <v>0</v>
      </c>
      <c r="CS102" s="2">
        <f>COUNTIF(INDEX('LINE PLAN'!$B$36:$GS$61,0,ROW()-3),CS$3)</f>
        <v>0</v>
      </c>
      <c r="CT102" s="2">
        <f>COUNTIF(INDEX('LINE PLAN'!$B$36:$GS$61,0,ROW()-3),CT$3)</f>
        <v>0</v>
      </c>
      <c r="CU102" s="2">
        <f>COUNTIF(INDEX('LINE PLAN'!$B$36:$GS$61,0,ROW()-3),CU$3)</f>
        <v>0</v>
      </c>
      <c r="CV102" s="2">
        <f>COUNTIF(INDEX('LINE PLAN'!$B$36:$GS$61,0,ROW()-3),CV$3)</f>
        <v>0</v>
      </c>
      <c r="CW102" s="2">
        <f>COUNTIF(INDEX('LINE PLAN'!$B$36:$GS$61,0,ROW()-3),CW$3)</f>
        <v>0</v>
      </c>
      <c r="CX102" s="2">
        <f>COUNTIF(INDEX('LINE PLAN'!$B$36:$GS$61,0,ROW()-3),CX$3)</f>
        <v>0</v>
      </c>
      <c r="CY102" s="2">
        <f>COUNTIF(INDEX('LINE PLAN'!$B$36:$GS$61,0,ROW()-3),CY$3)</f>
        <v>0</v>
      </c>
      <c r="CZ102" s="2">
        <f>COUNTIF(INDEX('LINE PLAN'!$B$36:$GS$61,0,ROW()-3),CZ$3)</f>
        <v>0</v>
      </c>
      <c r="DA102" s="2">
        <f>COUNTIF(INDEX('LINE PLAN'!$B$36:$GS$61,0,ROW()-3),DA$3)</f>
        <v>0</v>
      </c>
      <c r="DB102" s="2">
        <f>COUNTIF(INDEX('LINE PLAN'!$B$36:$GS$61,0,ROW()-3),DB$3)</f>
        <v>0</v>
      </c>
      <c r="DC102" s="2">
        <f>COUNTIF(INDEX('LINE PLAN'!$B$36:$GS$61,0,ROW()-3),DC$3)</f>
        <v>0</v>
      </c>
      <c r="DD102" s="2">
        <f>COUNTIF(INDEX('LINE PLAN'!$B$36:$GS$61,0,ROW()-3),DD$3)</f>
        <v>0</v>
      </c>
      <c r="DE102" s="2">
        <f>COUNTIF(INDEX('LINE PLAN'!$B$36:$GS$61,0,ROW()-3),DE$3)</f>
        <v>0</v>
      </c>
      <c r="DF102" s="2">
        <f>COUNTIF(INDEX('LINE PLAN'!$B$36:$GS$61,0,ROW()-3),DF$3)</f>
        <v>0</v>
      </c>
      <c r="DG102" s="2">
        <f>COUNTIF(INDEX('LINE PLAN'!$B$36:$GS$61,0,ROW()-3),DG$3)</f>
        <v>0</v>
      </c>
      <c r="DH102" s="2">
        <f>COUNTIF(INDEX('LINE PLAN'!$B$36:$GS$61,0,ROW()-3),DH$3)</f>
        <v>0</v>
      </c>
      <c r="DI102" s="2">
        <f>COUNTIF(INDEX('LINE PLAN'!$B$36:$GS$61,0,ROW()-3),DI$3)</f>
        <v>0</v>
      </c>
      <c r="DJ102" s="2">
        <f>COUNTIF(INDEX('LINE PLAN'!$B$36:$GS$61,0,ROW()-3),DJ$3)</f>
        <v>0</v>
      </c>
      <c r="DK102" s="2">
        <f>COUNTIF(INDEX('LINE PLAN'!$B$36:$GS$61,0,ROW()-3),DK$3)</f>
        <v>0</v>
      </c>
      <c r="DL102" s="2">
        <f>COUNTIF(INDEX('LINE PLAN'!$B$36:$GS$61,0,ROW()-3),DL$3)</f>
        <v>0</v>
      </c>
      <c r="DM102" s="2">
        <f>COUNTIF(INDEX('LINE PLAN'!$B$36:$GS$61,0,ROW()-3),DM$3)</f>
        <v>0</v>
      </c>
      <c r="DN102" s="2">
        <f>COUNTIF(INDEX('LINE PLAN'!$B$36:$GS$61,0,ROW()-3),DN$3)</f>
        <v>0</v>
      </c>
      <c r="DO102" s="2">
        <f>COUNTIF(INDEX('LINE PLAN'!$B$36:$GS$61,0,ROW()-3),DO$3)</f>
        <v>0</v>
      </c>
      <c r="DP102" s="2">
        <f>COUNTIF(INDEX('LINE PLAN'!$B$36:$GS$61,0,ROW()-3),DP$3)</f>
        <v>0</v>
      </c>
      <c r="DQ102" s="2">
        <f>COUNTIF(INDEX('LINE PLAN'!$B$36:$GS$61,0,ROW()-3),DQ$3)</f>
        <v>0</v>
      </c>
      <c r="DR102" s="2">
        <f>COUNTIF(INDEX('LINE PLAN'!$B$36:$GS$61,0,ROW()-3),DR$3)</f>
        <v>0</v>
      </c>
      <c r="DS102" s="2">
        <f>COUNTIF(INDEX('LINE PLAN'!$B$36:$GS$61,0,ROW()-3),DS$3)</f>
        <v>0</v>
      </c>
      <c r="DT102" s="2">
        <f>COUNTIF(INDEX('LINE PLAN'!$B$36:$GS$61,0,ROW()-3),DT$3)</f>
        <v>0</v>
      </c>
      <c r="DU102" s="2">
        <f>COUNTIF(INDEX('LINE PLAN'!$B$36:$GS$61,0,ROW()-3),DU$3)</f>
        <v>0</v>
      </c>
      <c r="DV102" s="2">
        <f>COUNTIF(INDEX('LINE PLAN'!$B$36:$GS$61,0,ROW()-3),DV$3)</f>
        <v>0</v>
      </c>
    </row>
    <row r="103" spans="1:126">
      <c r="A103" s="505" cm="1">
        <f t="array" ref="A103">INDEX('LINE PLAN'!$B$35:$GS$35,ROW()-3)</f>
        <v>46334</v>
      </c>
      <c r="B103" s="2">
        <f>SUMPRODUCT($CA103:$DV103,INDEX('MC MAP'!$DA$5:$EV$30,1,0))</f>
        <v>0</v>
      </c>
      <c r="C103" s="2">
        <f>SUMPRODUCT($CA103:$DV103,INDEX('MC MAP'!$DA$5:$EV$30,2,0))</f>
        <v>0</v>
      </c>
      <c r="D103" s="2">
        <f>SUMPRODUCT($CA103:$DV103,INDEX('MC MAP'!$DA$5:$EV$30,3,0))</f>
        <v>0</v>
      </c>
      <c r="E103" s="2">
        <f>SUMPRODUCT($CA103:$DV103,INDEX('MC MAP'!$DA$5:$EV$30,4,0))</f>
        <v>0</v>
      </c>
      <c r="F103" s="2">
        <f>SUMPRODUCT($CA103:$DV103,INDEX('MC MAP'!$DA$5:$EV$30,5,0))</f>
        <v>0</v>
      </c>
      <c r="G103" s="2">
        <f>SUMPRODUCT($CA103:$DV103,INDEX('MC MAP'!$DA$5:$EV$30,6,0))</f>
        <v>0</v>
      </c>
      <c r="H103" s="2">
        <f>SUMPRODUCT($CA103:$DV103,INDEX('MC MAP'!$DA$5:$EV$30,7,0))</f>
        <v>0</v>
      </c>
      <c r="I103" s="2">
        <f>SUMPRODUCT($CA103:$DV103,INDEX('MC MAP'!$DA$5:$EV$30,8,0))</f>
        <v>0</v>
      </c>
      <c r="J103" s="2">
        <f>SUMPRODUCT($CA103:$DV103,INDEX('MC MAP'!$DA$5:$EV$30,9,0))</f>
        <v>0</v>
      </c>
      <c r="K103" s="2">
        <f>SUMPRODUCT($CA103:$DV103,INDEX('MC MAP'!$DA$5:$EV$30,10,0))</f>
        <v>0</v>
      </c>
      <c r="L103" s="2">
        <f>SUMPRODUCT($CA103:$DV103,INDEX('MC MAP'!$DA$5:$EV$30,11,0))</f>
        <v>0</v>
      </c>
      <c r="M103" s="2">
        <f>SUMPRODUCT($CA103:$DV103,INDEX('MC MAP'!$DA$5:$EV$30,12,0))</f>
        <v>0</v>
      </c>
      <c r="N103" s="2">
        <f>SUMPRODUCT($CA103:$DV103,INDEX('MC MAP'!$DA$5:$EV$30,13,0))</f>
        <v>0</v>
      </c>
      <c r="O103" s="2">
        <f>SUMPRODUCT($CA103:$DV103,INDEX('MC MAP'!$DA$5:$EV$30,14,0))</f>
        <v>0</v>
      </c>
      <c r="P103" s="2">
        <f>SUMPRODUCT($CA103:$DV103,INDEX('MC MAP'!$DA$5:$EV$30,15,0))</f>
        <v>0</v>
      </c>
      <c r="Q103" s="2">
        <f>SUMPRODUCT($CA103:$DV103,INDEX('MC MAP'!$DA$5:$EV$30,16,0))</f>
        <v>0</v>
      </c>
      <c r="R103" s="2">
        <f>SUMPRODUCT($CA103:$DV103,INDEX('MC MAP'!$DA$5:$EV$30,17,0))</f>
        <v>0</v>
      </c>
      <c r="S103" s="2">
        <f>SUMPRODUCT($CA103:$DV103,INDEX('MC MAP'!$DA$5:$EV$30,18,0))</f>
        <v>0</v>
      </c>
      <c r="T103" s="2">
        <f>SUMPRODUCT($CA103:$DV103,INDEX('MC MAP'!$DA$5:$EV$30,19,0))</f>
        <v>0</v>
      </c>
      <c r="U103" s="2">
        <f>SUMPRODUCT($CA103:$DV103,INDEX('MC MAP'!$DA$5:$EV$30,20,0))</f>
        <v>0</v>
      </c>
      <c r="V103" s="2">
        <f>SUMPRODUCT($CA103:$DV103,INDEX('MC MAP'!$DA$5:$EV$30,21,0))</f>
        <v>0</v>
      </c>
      <c r="W103" s="2">
        <f>SUMPRODUCT($CA103:$DV103,INDEX('MC MAP'!$DA$5:$EV$30,22,0))</f>
        <v>0</v>
      </c>
      <c r="X103" s="2">
        <f>SUMPRODUCT($CA103:$DV103,INDEX('MC MAP'!$DA$5:$EV$30,23,0))</f>
        <v>0</v>
      </c>
      <c r="Y103" s="2">
        <f>SUMPRODUCT($CA103:$DV103,INDEX('MC MAP'!$DA$5:$EV$30,24,0))</f>
        <v>0</v>
      </c>
      <c r="Z103" s="2">
        <f>SUMPRODUCT($CA103:$DV103,INDEX('MC MAP'!$DA$5:$EV$30,25,0))</f>
        <v>0</v>
      </c>
      <c r="AA103" s="2">
        <f>SUMPRODUCT($CA103:$DV103,INDEX('MC MAP'!$DA$5:$EV$30,26,0))</f>
        <v>0</v>
      </c>
      <c r="AB103" s="2">
        <f>SUM($B103:$AA103)</f>
        <v>0</v>
      </c>
      <c r="AC103" s="2">
        <f>SUM($CA103:$DV103)+$AW103</f>
        <v>0</v>
      </c>
      <c r="AW103" s="2">
        <f>IF($A103=0,0,COUNTIF(INDEX('LINE PLAN'!$B$36:$GS$61,0,ROW()-3),"THERMAL - NOT SPECIFIED"))</f>
        <v>0</v>
      </c>
      <c r="AX103" s="506" cm="1">
        <f t="array" ref="AX103">IF(OR($AB103=0,UPPER($BS103)&lt;&gt;"Y"),0,SUMPRODUCT(--($B103:$AA103&gt;$B$205:$AA$205)))</f>
        <v>0</v>
      </c>
      <c r="AY103" s="507">
        <f>$A103</f>
        <v>46334</v>
      </c>
      <c r="AZ103" s="2">
        <f>$AB103</f>
        <v>0</v>
      </c>
      <c r="BA103" s="2">
        <f>'MC MASTER'!$C$29</f>
        <v>920</v>
      </c>
      <c r="BQ103" s="509">
        <f>$A103</f>
        <v>46334</v>
      </c>
      <c r="BR103" s="15" t="str">
        <f>TEXT($A103,"ddd")</f>
        <v>Sun</v>
      </c>
      <c r="BS103" s="547" t="s">
        <v>392</v>
      </c>
      <c r="BT103" s="15">
        <f>IF(UPPER($BS103)="Y",$AB103,0)</f>
        <v>0</v>
      </c>
      <c r="CA103" s="2">
        <f>COUNTIF(INDEX('LINE PLAN'!$B$36:$GS$61,0,ROW()-3),CA$3)</f>
        <v>0</v>
      </c>
      <c r="CB103" s="2">
        <f>COUNTIF(INDEX('LINE PLAN'!$B$36:$GS$61,0,ROW()-3),CB$3)</f>
        <v>0</v>
      </c>
      <c r="CC103" s="2">
        <f>COUNTIF(INDEX('LINE PLAN'!$B$36:$GS$61,0,ROW()-3),CC$3)</f>
        <v>0</v>
      </c>
      <c r="CD103" s="2">
        <f>COUNTIF(INDEX('LINE PLAN'!$B$36:$GS$61,0,ROW()-3),CD$3)</f>
        <v>0</v>
      </c>
      <c r="CE103" s="2">
        <f>COUNTIF(INDEX('LINE PLAN'!$B$36:$GS$61,0,ROW()-3),CE$3)</f>
        <v>0</v>
      </c>
      <c r="CF103" s="2">
        <f>COUNTIF(INDEX('LINE PLAN'!$B$36:$GS$61,0,ROW()-3),CF$3)</f>
        <v>0</v>
      </c>
      <c r="CG103" s="2">
        <f>COUNTIF(INDEX('LINE PLAN'!$B$36:$GS$61,0,ROW()-3),CG$3)</f>
        <v>0</v>
      </c>
      <c r="CH103" s="2">
        <f>COUNTIF(INDEX('LINE PLAN'!$B$36:$GS$61,0,ROW()-3),CH$3)</f>
        <v>0</v>
      </c>
      <c r="CI103" s="2">
        <f>COUNTIF(INDEX('LINE PLAN'!$B$36:$GS$61,0,ROW()-3),CI$3)</f>
        <v>0</v>
      </c>
      <c r="CJ103" s="2">
        <f>COUNTIF(INDEX('LINE PLAN'!$B$36:$GS$61,0,ROW()-3),CJ$3)</f>
        <v>0</v>
      </c>
      <c r="CK103" s="2">
        <f>COUNTIF(INDEX('LINE PLAN'!$B$36:$GS$61,0,ROW()-3),CK$3)</f>
        <v>0</v>
      </c>
      <c r="CL103" s="2">
        <f>COUNTIF(INDEX('LINE PLAN'!$B$36:$GS$61,0,ROW()-3),CL$3)</f>
        <v>0</v>
      </c>
      <c r="CM103" s="2">
        <f>COUNTIF(INDEX('LINE PLAN'!$B$36:$GS$61,0,ROW()-3),CM$3)</f>
        <v>0</v>
      </c>
      <c r="CN103" s="2">
        <f>COUNTIF(INDEX('LINE PLAN'!$B$36:$GS$61,0,ROW()-3),CN$3)</f>
        <v>0</v>
      </c>
      <c r="CO103" s="2">
        <f>COUNTIF(INDEX('LINE PLAN'!$B$36:$GS$61,0,ROW()-3),CO$3)</f>
        <v>0</v>
      </c>
      <c r="CP103" s="2">
        <f>COUNTIF(INDEX('LINE PLAN'!$B$36:$GS$61,0,ROW()-3),CP$3)</f>
        <v>0</v>
      </c>
      <c r="CQ103" s="2">
        <f>COUNTIF(INDEX('LINE PLAN'!$B$36:$GS$61,0,ROW()-3),CQ$3)</f>
        <v>0</v>
      </c>
      <c r="CR103" s="2">
        <f>COUNTIF(INDEX('LINE PLAN'!$B$36:$GS$61,0,ROW()-3),CR$3)</f>
        <v>0</v>
      </c>
      <c r="CS103" s="2">
        <f>COUNTIF(INDEX('LINE PLAN'!$B$36:$GS$61,0,ROW()-3),CS$3)</f>
        <v>0</v>
      </c>
      <c r="CT103" s="2">
        <f>COUNTIF(INDEX('LINE PLAN'!$B$36:$GS$61,0,ROW()-3),CT$3)</f>
        <v>0</v>
      </c>
      <c r="CU103" s="2">
        <f>COUNTIF(INDEX('LINE PLAN'!$B$36:$GS$61,0,ROW()-3),CU$3)</f>
        <v>0</v>
      </c>
      <c r="CV103" s="2">
        <f>COUNTIF(INDEX('LINE PLAN'!$B$36:$GS$61,0,ROW()-3),CV$3)</f>
        <v>0</v>
      </c>
      <c r="CW103" s="2">
        <f>COUNTIF(INDEX('LINE PLAN'!$B$36:$GS$61,0,ROW()-3),CW$3)</f>
        <v>0</v>
      </c>
      <c r="CX103" s="2">
        <f>COUNTIF(INDEX('LINE PLAN'!$B$36:$GS$61,0,ROW()-3),CX$3)</f>
        <v>0</v>
      </c>
      <c r="CY103" s="2">
        <f>COUNTIF(INDEX('LINE PLAN'!$B$36:$GS$61,0,ROW()-3),CY$3)</f>
        <v>0</v>
      </c>
      <c r="CZ103" s="2">
        <f>COUNTIF(INDEX('LINE PLAN'!$B$36:$GS$61,0,ROW()-3),CZ$3)</f>
        <v>0</v>
      </c>
      <c r="DA103" s="2">
        <f>COUNTIF(INDEX('LINE PLAN'!$B$36:$GS$61,0,ROW()-3),DA$3)</f>
        <v>0</v>
      </c>
      <c r="DB103" s="2">
        <f>COUNTIF(INDEX('LINE PLAN'!$B$36:$GS$61,0,ROW()-3),DB$3)</f>
        <v>0</v>
      </c>
      <c r="DC103" s="2">
        <f>COUNTIF(INDEX('LINE PLAN'!$B$36:$GS$61,0,ROW()-3),DC$3)</f>
        <v>0</v>
      </c>
      <c r="DD103" s="2">
        <f>COUNTIF(INDEX('LINE PLAN'!$B$36:$GS$61,0,ROW()-3),DD$3)</f>
        <v>0</v>
      </c>
      <c r="DE103" s="2">
        <f>COUNTIF(INDEX('LINE PLAN'!$B$36:$GS$61,0,ROW()-3),DE$3)</f>
        <v>0</v>
      </c>
      <c r="DF103" s="2">
        <f>COUNTIF(INDEX('LINE PLAN'!$B$36:$GS$61,0,ROW()-3),DF$3)</f>
        <v>0</v>
      </c>
      <c r="DG103" s="2">
        <f>COUNTIF(INDEX('LINE PLAN'!$B$36:$GS$61,0,ROW()-3),DG$3)</f>
        <v>0</v>
      </c>
      <c r="DH103" s="2">
        <f>COUNTIF(INDEX('LINE PLAN'!$B$36:$GS$61,0,ROW()-3),DH$3)</f>
        <v>0</v>
      </c>
      <c r="DI103" s="2">
        <f>COUNTIF(INDEX('LINE PLAN'!$B$36:$GS$61,0,ROW()-3),DI$3)</f>
        <v>0</v>
      </c>
      <c r="DJ103" s="2">
        <f>COUNTIF(INDEX('LINE PLAN'!$B$36:$GS$61,0,ROW()-3),DJ$3)</f>
        <v>0</v>
      </c>
      <c r="DK103" s="2">
        <f>COUNTIF(INDEX('LINE PLAN'!$B$36:$GS$61,0,ROW()-3),DK$3)</f>
        <v>0</v>
      </c>
      <c r="DL103" s="2">
        <f>COUNTIF(INDEX('LINE PLAN'!$B$36:$GS$61,0,ROW()-3),DL$3)</f>
        <v>0</v>
      </c>
      <c r="DM103" s="2">
        <f>COUNTIF(INDEX('LINE PLAN'!$B$36:$GS$61,0,ROW()-3),DM$3)</f>
        <v>0</v>
      </c>
      <c r="DN103" s="2">
        <f>COUNTIF(INDEX('LINE PLAN'!$B$36:$GS$61,0,ROW()-3),DN$3)</f>
        <v>0</v>
      </c>
      <c r="DO103" s="2">
        <f>COUNTIF(INDEX('LINE PLAN'!$B$36:$GS$61,0,ROW()-3),DO$3)</f>
        <v>0</v>
      </c>
      <c r="DP103" s="2">
        <f>COUNTIF(INDEX('LINE PLAN'!$B$36:$GS$61,0,ROW()-3),DP$3)</f>
        <v>0</v>
      </c>
      <c r="DQ103" s="2">
        <f>COUNTIF(INDEX('LINE PLAN'!$B$36:$GS$61,0,ROW()-3),DQ$3)</f>
        <v>0</v>
      </c>
      <c r="DR103" s="2">
        <f>COUNTIF(INDEX('LINE PLAN'!$B$36:$GS$61,0,ROW()-3),DR$3)</f>
        <v>0</v>
      </c>
      <c r="DS103" s="2">
        <f>COUNTIF(INDEX('LINE PLAN'!$B$36:$GS$61,0,ROW()-3),DS$3)</f>
        <v>0</v>
      </c>
      <c r="DT103" s="2">
        <f>COUNTIF(INDEX('LINE PLAN'!$B$36:$GS$61,0,ROW()-3),DT$3)</f>
        <v>0</v>
      </c>
      <c r="DU103" s="2">
        <f>COUNTIF(INDEX('LINE PLAN'!$B$36:$GS$61,0,ROW()-3),DU$3)</f>
        <v>0</v>
      </c>
      <c r="DV103" s="2">
        <f>COUNTIF(INDEX('LINE PLAN'!$B$36:$GS$61,0,ROW()-3),DV$3)</f>
        <v>0</v>
      </c>
    </row>
    <row r="104" spans="1:126">
      <c r="A104" s="505" cm="1">
        <f t="array" ref="A104">INDEX('LINE PLAN'!$B$35:$GS$35,ROW()-3)</f>
        <v>46335</v>
      </c>
      <c r="B104" s="2">
        <f>SUMPRODUCT($CA104:$DV104,INDEX('MC MAP'!$DA$5:$EV$30,1,0))</f>
        <v>0</v>
      </c>
      <c r="C104" s="2">
        <f>SUMPRODUCT($CA104:$DV104,INDEX('MC MAP'!$DA$5:$EV$30,2,0))</f>
        <v>0</v>
      </c>
      <c r="D104" s="2">
        <f>SUMPRODUCT($CA104:$DV104,INDEX('MC MAP'!$DA$5:$EV$30,3,0))</f>
        <v>0</v>
      </c>
      <c r="E104" s="2">
        <f>SUMPRODUCT($CA104:$DV104,INDEX('MC MAP'!$DA$5:$EV$30,4,0))</f>
        <v>0</v>
      </c>
      <c r="F104" s="2">
        <f>SUMPRODUCT($CA104:$DV104,INDEX('MC MAP'!$DA$5:$EV$30,5,0))</f>
        <v>0</v>
      </c>
      <c r="G104" s="2">
        <f>SUMPRODUCT($CA104:$DV104,INDEX('MC MAP'!$DA$5:$EV$30,6,0))</f>
        <v>0</v>
      </c>
      <c r="H104" s="2">
        <f>SUMPRODUCT($CA104:$DV104,INDEX('MC MAP'!$DA$5:$EV$30,7,0))</f>
        <v>0</v>
      </c>
      <c r="I104" s="2">
        <f>SUMPRODUCT($CA104:$DV104,INDEX('MC MAP'!$DA$5:$EV$30,8,0))</f>
        <v>0</v>
      </c>
      <c r="J104" s="2">
        <f>SUMPRODUCT($CA104:$DV104,INDEX('MC MAP'!$DA$5:$EV$30,9,0))</f>
        <v>0</v>
      </c>
      <c r="K104" s="2">
        <f>SUMPRODUCT($CA104:$DV104,INDEX('MC MAP'!$DA$5:$EV$30,10,0))</f>
        <v>0</v>
      </c>
      <c r="L104" s="2">
        <f>SUMPRODUCT($CA104:$DV104,INDEX('MC MAP'!$DA$5:$EV$30,11,0))</f>
        <v>0</v>
      </c>
      <c r="M104" s="2">
        <f>SUMPRODUCT($CA104:$DV104,INDEX('MC MAP'!$DA$5:$EV$30,12,0))</f>
        <v>0</v>
      </c>
      <c r="N104" s="2">
        <f>SUMPRODUCT($CA104:$DV104,INDEX('MC MAP'!$DA$5:$EV$30,13,0))</f>
        <v>0</v>
      </c>
      <c r="O104" s="2">
        <f>SUMPRODUCT($CA104:$DV104,INDEX('MC MAP'!$DA$5:$EV$30,14,0))</f>
        <v>0</v>
      </c>
      <c r="P104" s="2">
        <f>SUMPRODUCT($CA104:$DV104,INDEX('MC MAP'!$DA$5:$EV$30,15,0))</f>
        <v>0</v>
      </c>
      <c r="Q104" s="2">
        <f>SUMPRODUCT($CA104:$DV104,INDEX('MC MAP'!$DA$5:$EV$30,16,0))</f>
        <v>0</v>
      </c>
      <c r="R104" s="2">
        <f>SUMPRODUCT($CA104:$DV104,INDEX('MC MAP'!$DA$5:$EV$30,17,0))</f>
        <v>0</v>
      </c>
      <c r="S104" s="2">
        <f>SUMPRODUCT($CA104:$DV104,INDEX('MC MAP'!$DA$5:$EV$30,18,0))</f>
        <v>0</v>
      </c>
      <c r="T104" s="2">
        <f>SUMPRODUCT($CA104:$DV104,INDEX('MC MAP'!$DA$5:$EV$30,19,0))</f>
        <v>0</v>
      </c>
      <c r="U104" s="2">
        <f>SUMPRODUCT($CA104:$DV104,INDEX('MC MAP'!$DA$5:$EV$30,20,0))</f>
        <v>0</v>
      </c>
      <c r="V104" s="2">
        <f>SUMPRODUCT($CA104:$DV104,INDEX('MC MAP'!$DA$5:$EV$30,21,0))</f>
        <v>0</v>
      </c>
      <c r="W104" s="2">
        <f>SUMPRODUCT($CA104:$DV104,INDEX('MC MAP'!$DA$5:$EV$30,22,0))</f>
        <v>0</v>
      </c>
      <c r="X104" s="2">
        <f>SUMPRODUCT($CA104:$DV104,INDEX('MC MAP'!$DA$5:$EV$30,23,0))</f>
        <v>0</v>
      </c>
      <c r="Y104" s="2">
        <f>SUMPRODUCT($CA104:$DV104,INDEX('MC MAP'!$DA$5:$EV$30,24,0))</f>
        <v>0</v>
      </c>
      <c r="Z104" s="2">
        <f>SUMPRODUCT($CA104:$DV104,INDEX('MC MAP'!$DA$5:$EV$30,25,0))</f>
        <v>0</v>
      </c>
      <c r="AA104" s="2">
        <f>SUMPRODUCT($CA104:$DV104,INDEX('MC MAP'!$DA$5:$EV$30,26,0))</f>
        <v>0</v>
      </c>
      <c r="AB104" s="2">
        <f>SUM($B104:$AA104)</f>
        <v>0</v>
      </c>
      <c r="AC104" s="2">
        <f>SUM($CA104:$DV104)+$AW104</f>
        <v>0</v>
      </c>
      <c r="AW104" s="2">
        <f>IF($A104=0,0,COUNTIF(INDEX('LINE PLAN'!$B$36:$GS$61,0,ROW()-3),"THERMAL - NOT SPECIFIED"))</f>
        <v>0</v>
      </c>
      <c r="AX104" s="506" cm="1">
        <f t="array" ref="AX104">IF(OR($AB104=0,UPPER($BS104)&lt;&gt;"Y"),0,SUMPRODUCT(--($B104:$AA104&gt;$B$205:$AA$205)))</f>
        <v>0</v>
      </c>
      <c r="AY104" s="507">
        <f>$A104</f>
        <v>46335</v>
      </c>
      <c r="AZ104" s="2">
        <f>$AB104</f>
        <v>0</v>
      </c>
      <c r="BA104" s="2">
        <f>'MC MASTER'!$C$29</f>
        <v>920</v>
      </c>
      <c r="BQ104" s="509">
        <f>$A104</f>
        <v>46335</v>
      </c>
      <c r="BR104" s="15" t="str">
        <f>TEXT($A104,"ddd")</f>
        <v>Mon</v>
      </c>
      <c r="BS104" s="547" t="s">
        <v>391</v>
      </c>
      <c r="BT104" s="15">
        <f>IF(UPPER($BS104)="Y",$AB104,0)</f>
        <v>0</v>
      </c>
      <c r="CA104" s="2">
        <f>COUNTIF(INDEX('LINE PLAN'!$B$36:$GS$61,0,ROW()-3),CA$3)</f>
        <v>0</v>
      </c>
      <c r="CB104" s="2">
        <f>COUNTIF(INDEX('LINE PLAN'!$B$36:$GS$61,0,ROW()-3),CB$3)</f>
        <v>0</v>
      </c>
      <c r="CC104" s="2">
        <f>COUNTIF(INDEX('LINE PLAN'!$B$36:$GS$61,0,ROW()-3),CC$3)</f>
        <v>0</v>
      </c>
      <c r="CD104" s="2">
        <f>COUNTIF(INDEX('LINE PLAN'!$B$36:$GS$61,0,ROW()-3),CD$3)</f>
        <v>0</v>
      </c>
      <c r="CE104" s="2">
        <f>COUNTIF(INDEX('LINE PLAN'!$B$36:$GS$61,0,ROW()-3),CE$3)</f>
        <v>0</v>
      </c>
      <c r="CF104" s="2">
        <f>COUNTIF(INDEX('LINE PLAN'!$B$36:$GS$61,0,ROW()-3),CF$3)</f>
        <v>0</v>
      </c>
      <c r="CG104" s="2">
        <f>COUNTIF(INDEX('LINE PLAN'!$B$36:$GS$61,0,ROW()-3),CG$3)</f>
        <v>0</v>
      </c>
      <c r="CH104" s="2">
        <f>COUNTIF(INDEX('LINE PLAN'!$B$36:$GS$61,0,ROW()-3),CH$3)</f>
        <v>0</v>
      </c>
      <c r="CI104" s="2">
        <f>COUNTIF(INDEX('LINE PLAN'!$B$36:$GS$61,0,ROW()-3),CI$3)</f>
        <v>0</v>
      </c>
      <c r="CJ104" s="2">
        <f>COUNTIF(INDEX('LINE PLAN'!$B$36:$GS$61,0,ROW()-3),CJ$3)</f>
        <v>0</v>
      </c>
      <c r="CK104" s="2">
        <f>COUNTIF(INDEX('LINE PLAN'!$B$36:$GS$61,0,ROW()-3),CK$3)</f>
        <v>0</v>
      </c>
      <c r="CL104" s="2">
        <f>COUNTIF(INDEX('LINE PLAN'!$B$36:$GS$61,0,ROW()-3),CL$3)</f>
        <v>0</v>
      </c>
      <c r="CM104" s="2">
        <f>COUNTIF(INDEX('LINE PLAN'!$B$36:$GS$61,0,ROW()-3),CM$3)</f>
        <v>0</v>
      </c>
      <c r="CN104" s="2">
        <f>COUNTIF(INDEX('LINE PLAN'!$B$36:$GS$61,0,ROW()-3),CN$3)</f>
        <v>0</v>
      </c>
      <c r="CO104" s="2">
        <f>COUNTIF(INDEX('LINE PLAN'!$B$36:$GS$61,0,ROW()-3),CO$3)</f>
        <v>0</v>
      </c>
      <c r="CP104" s="2">
        <f>COUNTIF(INDEX('LINE PLAN'!$B$36:$GS$61,0,ROW()-3),CP$3)</f>
        <v>0</v>
      </c>
      <c r="CQ104" s="2">
        <f>COUNTIF(INDEX('LINE PLAN'!$B$36:$GS$61,0,ROW()-3),CQ$3)</f>
        <v>0</v>
      </c>
      <c r="CR104" s="2">
        <f>COUNTIF(INDEX('LINE PLAN'!$B$36:$GS$61,0,ROW()-3),CR$3)</f>
        <v>0</v>
      </c>
      <c r="CS104" s="2">
        <f>COUNTIF(INDEX('LINE PLAN'!$B$36:$GS$61,0,ROW()-3),CS$3)</f>
        <v>0</v>
      </c>
      <c r="CT104" s="2">
        <f>COUNTIF(INDEX('LINE PLAN'!$B$36:$GS$61,0,ROW()-3),CT$3)</f>
        <v>0</v>
      </c>
      <c r="CU104" s="2">
        <f>COUNTIF(INDEX('LINE PLAN'!$B$36:$GS$61,0,ROW()-3),CU$3)</f>
        <v>0</v>
      </c>
      <c r="CV104" s="2">
        <f>COUNTIF(INDEX('LINE PLAN'!$B$36:$GS$61,0,ROW()-3),CV$3)</f>
        <v>0</v>
      </c>
      <c r="CW104" s="2">
        <f>COUNTIF(INDEX('LINE PLAN'!$B$36:$GS$61,0,ROW()-3),CW$3)</f>
        <v>0</v>
      </c>
      <c r="CX104" s="2">
        <f>COUNTIF(INDEX('LINE PLAN'!$B$36:$GS$61,0,ROW()-3),CX$3)</f>
        <v>0</v>
      </c>
      <c r="CY104" s="2">
        <f>COUNTIF(INDEX('LINE PLAN'!$B$36:$GS$61,0,ROW()-3),CY$3)</f>
        <v>0</v>
      </c>
      <c r="CZ104" s="2">
        <f>COUNTIF(INDEX('LINE PLAN'!$B$36:$GS$61,0,ROW()-3),CZ$3)</f>
        <v>0</v>
      </c>
      <c r="DA104" s="2">
        <f>COUNTIF(INDEX('LINE PLAN'!$B$36:$GS$61,0,ROW()-3),DA$3)</f>
        <v>0</v>
      </c>
      <c r="DB104" s="2">
        <f>COUNTIF(INDEX('LINE PLAN'!$B$36:$GS$61,0,ROW()-3),DB$3)</f>
        <v>0</v>
      </c>
      <c r="DC104" s="2">
        <f>COUNTIF(INDEX('LINE PLAN'!$B$36:$GS$61,0,ROW()-3),DC$3)</f>
        <v>0</v>
      </c>
      <c r="DD104" s="2">
        <f>COUNTIF(INDEX('LINE PLAN'!$B$36:$GS$61,0,ROW()-3),DD$3)</f>
        <v>0</v>
      </c>
      <c r="DE104" s="2">
        <f>COUNTIF(INDEX('LINE PLAN'!$B$36:$GS$61,0,ROW()-3),DE$3)</f>
        <v>0</v>
      </c>
      <c r="DF104" s="2">
        <f>COUNTIF(INDEX('LINE PLAN'!$B$36:$GS$61,0,ROW()-3),DF$3)</f>
        <v>0</v>
      </c>
      <c r="DG104" s="2">
        <f>COUNTIF(INDEX('LINE PLAN'!$B$36:$GS$61,0,ROW()-3),DG$3)</f>
        <v>0</v>
      </c>
      <c r="DH104" s="2">
        <f>COUNTIF(INDEX('LINE PLAN'!$B$36:$GS$61,0,ROW()-3),DH$3)</f>
        <v>0</v>
      </c>
      <c r="DI104" s="2">
        <f>COUNTIF(INDEX('LINE PLAN'!$B$36:$GS$61,0,ROW()-3),DI$3)</f>
        <v>0</v>
      </c>
      <c r="DJ104" s="2">
        <f>COUNTIF(INDEX('LINE PLAN'!$B$36:$GS$61,0,ROW()-3),DJ$3)</f>
        <v>0</v>
      </c>
      <c r="DK104" s="2">
        <f>COUNTIF(INDEX('LINE PLAN'!$B$36:$GS$61,0,ROW()-3),DK$3)</f>
        <v>0</v>
      </c>
      <c r="DL104" s="2">
        <f>COUNTIF(INDEX('LINE PLAN'!$B$36:$GS$61,0,ROW()-3),DL$3)</f>
        <v>0</v>
      </c>
      <c r="DM104" s="2">
        <f>COUNTIF(INDEX('LINE PLAN'!$B$36:$GS$61,0,ROW()-3),DM$3)</f>
        <v>0</v>
      </c>
      <c r="DN104" s="2">
        <f>COUNTIF(INDEX('LINE PLAN'!$B$36:$GS$61,0,ROW()-3),DN$3)</f>
        <v>0</v>
      </c>
      <c r="DO104" s="2">
        <f>COUNTIF(INDEX('LINE PLAN'!$B$36:$GS$61,0,ROW()-3),DO$3)</f>
        <v>0</v>
      </c>
      <c r="DP104" s="2">
        <f>COUNTIF(INDEX('LINE PLAN'!$B$36:$GS$61,0,ROW()-3),DP$3)</f>
        <v>0</v>
      </c>
      <c r="DQ104" s="2">
        <f>COUNTIF(INDEX('LINE PLAN'!$B$36:$GS$61,0,ROW()-3),DQ$3)</f>
        <v>0</v>
      </c>
      <c r="DR104" s="2">
        <f>COUNTIF(INDEX('LINE PLAN'!$B$36:$GS$61,0,ROW()-3),DR$3)</f>
        <v>0</v>
      </c>
      <c r="DS104" s="2">
        <f>COUNTIF(INDEX('LINE PLAN'!$B$36:$GS$61,0,ROW()-3),DS$3)</f>
        <v>0</v>
      </c>
      <c r="DT104" s="2">
        <f>COUNTIF(INDEX('LINE PLAN'!$B$36:$GS$61,0,ROW()-3),DT$3)</f>
        <v>0</v>
      </c>
      <c r="DU104" s="2">
        <f>COUNTIF(INDEX('LINE PLAN'!$B$36:$GS$61,0,ROW()-3),DU$3)</f>
        <v>0</v>
      </c>
      <c r="DV104" s="2">
        <f>COUNTIF(INDEX('LINE PLAN'!$B$36:$GS$61,0,ROW()-3),DV$3)</f>
        <v>0</v>
      </c>
    </row>
    <row r="105" spans="1:126">
      <c r="A105" s="505" cm="1">
        <f t="array" ref="A105">INDEX('LINE PLAN'!$B$35:$GS$35,ROW()-3)</f>
        <v>46336</v>
      </c>
      <c r="B105" s="2">
        <f>SUMPRODUCT($CA105:$DV105,INDEX('MC MAP'!$DA$5:$EV$30,1,0))</f>
        <v>0</v>
      </c>
      <c r="C105" s="2">
        <f>SUMPRODUCT($CA105:$DV105,INDEX('MC MAP'!$DA$5:$EV$30,2,0))</f>
        <v>0</v>
      </c>
      <c r="D105" s="2">
        <f>SUMPRODUCT($CA105:$DV105,INDEX('MC MAP'!$DA$5:$EV$30,3,0))</f>
        <v>0</v>
      </c>
      <c r="E105" s="2">
        <f>SUMPRODUCT($CA105:$DV105,INDEX('MC MAP'!$DA$5:$EV$30,4,0))</f>
        <v>0</v>
      </c>
      <c r="F105" s="2">
        <f>SUMPRODUCT($CA105:$DV105,INDEX('MC MAP'!$DA$5:$EV$30,5,0))</f>
        <v>0</v>
      </c>
      <c r="G105" s="2">
        <f>SUMPRODUCT($CA105:$DV105,INDEX('MC MAP'!$DA$5:$EV$30,6,0))</f>
        <v>0</v>
      </c>
      <c r="H105" s="2">
        <f>SUMPRODUCT($CA105:$DV105,INDEX('MC MAP'!$DA$5:$EV$30,7,0))</f>
        <v>0</v>
      </c>
      <c r="I105" s="2">
        <f>SUMPRODUCT($CA105:$DV105,INDEX('MC MAP'!$DA$5:$EV$30,8,0))</f>
        <v>0</v>
      </c>
      <c r="J105" s="2">
        <f>SUMPRODUCT($CA105:$DV105,INDEX('MC MAP'!$DA$5:$EV$30,9,0))</f>
        <v>0</v>
      </c>
      <c r="K105" s="2">
        <f>SUMPRODUCT($CA105:$DV105,INDEX('MC MAP'!$DA$5:$EV$30,10,0))</f>
        <v>0</v>
      </c>
      <c r="L105" s="2">
        <f>SUMPRODUCT($CA105:$DV105,INDEX('MC MAP'!$DA$5:$EV$30,11,0))</f>
        <v>0</v>
      </c>
      <c r="M105" s="2">
        <f>SUMPRODUCT($CA105:$DV105,INDEX('MC MAP'!$DA$5:$EV$30,12,0))</f>
        <v>0</v>
      </c>
      <c r="N105" s="2">
        <f>SUMPRODUCT($CA105:$DV105,INDEX('MC MAP'!$DA$5:$EV$30,13,0))</f>
        <v>0</v>
      </c>
      <c r="O105" s="2">
        <f>SUMPRODUCT($CA105:$DV105,INDEX('MC MAP'!$DA$5:$EV$30,14,0))</f>
        <v>0</v>
      </c>
      <c r="P105" s="2">
        <f>SUMPRODUCT($CA105:$DV105,INDEX('MC MAP'!$DA$5:$EV$30,15,0))</f>
        <v>0</v>
      </c>
      <c r="Q105" s="2">
        <f>SUMPRODUCT($CA105:$DV105,INDEX('MC MAP'!$DA$5:$EV$30,16,0))</f>
        <v>0</v>
      </c>
      <c r="R105" s="2">
        <f>SUMPRODUCT($CA105:$DV105,INDEX('MC MAP'!$DA$5:$EV$30,17,0))</f>
        <v>0</v>
      </c>
      <c r="S105" s="2">
        <f>SUMPRODUCT($CA105:$DV105,INDEX('MC MAP'!$DA$5:$EV$30,18,0))</f>
        <v>0</v>
      </c>
      <c r="T105" s="2">
        <f>SUMPRODUCT($CA105:$DV105,INDEX('MC MAP'!$DA$5:$EV$30,19,0))</f>
        <v>0</v>
      </c>
      <c r="U105" s="2">
        <f>SUMPRODUCT($CA105:$DV105,INDEX('MC MAP'!$DA$5:$EV$30,20,0))</f>
        <v>0</v>
      </c>
      <c r="V105" s="2">
        <f>SUMPRODUCT($CA105:$DV105,INDEX('MC MAP'!$DA$5:$EV$30,21,0))</f>
        <v>0</v>
      </c>
      <c r="W105" s="2">
        <f>SUMPRODUCT($CA105:$DV105,INDEX('MC MAP'!$DA$5:$EV$30,22,0))</f>
        <v>0</v>
      </c>
      <c r="X105" s="2">
        <f>SUMPRODUCT($CA105:$DV105,INDEX('MC MAP'!$DA$5:$EV$30,23,0))</f>
        <v>0</v>
      </c>
      <c r="Y105" s="2">
        <f>SUMPRODUCT($CA105:$DV105,INDEX('MC MAP'!$DA$5:$EV$30,24,0))</f>
        <v>0</v>
      </c>
      <c r="Z105" s="2">
        <f>SUMPRODUCT($CA105:$DV105,INDEX('MC MAP'!$DA$5:$EV$30,25,0))</f>
        <v>0</v>
      </c>
      <c r="AA105" s="2">
        <f>SUMPRODUCT($CA105:$DV105,INDEX('MC MAP'!$DA$5:$EV$30,26,0))</f>
        <v>0</v>
      </c>
      <c r="AB105" s="2">
        <f>SUM($B105:$AA105)</f>
        <v>0</v>
      </c>
      <c r="AC105" s="2">
        <f>SUM($CA105:$DV105)+$AW105</f>
        <v>0</v>
      </c>
      <c r="AW105" s="2">
        <f>IF($A105=0,0,COUNTIF(INDEX('LINE PLAN'!$B$36:$GS$61,0,ROW()-3),"THERMAL - NOT SPECIFIED"))</f>
        <v>0</v>
      </c>
      <c r="AX105" s="506" cm="1">
        <f t="array" ref="AX105">IF(OR($AB105=0,UPPER($BS105)&lt;&gt;"Y"),0,SUMPRODUCT(--($B105:$AA105&gt;$B$205:$AA$205)))</f>
        <v>0</v>
      </c>
      <c r="AY105" s="507">
        <f>$A105</f>
        <v>46336</v>
      </c>
      <c r="AZ105" s="2">
        <f>$AB105</f>
        <v>0</v>
      </c>
      <c r="BA105" s="2">
        <f>'MC MASTER'!$C$29</f>
        <v>920</v>
      </c>
      <c r="BQ105" s="509">
        <f>$A105</f>
        <v>46336</v>
      </c>
      <c r="BR105" s="15" t="str">
        <f>TEXT($A105,"ddd")</f>
        <v>Tue</v>
      </c>
      <c r="BS105" s="547" t="s">
        <v>391</v>
      </c>
      <c r="BT105" s="15">
        <f>IF(UPPER($BS105)="Y",$AB105,0)</f>
        <v>0</v>
      </c>
      <c r="CA105" s="2">
        <f>COUNTIF(INDEX('LINE PLAN'!$B$36:$GS$61,0,ROW()-3),CA$3)</f>
        <v>0</v>
      </c>
      <c r="CB105" s="2">
        <f>COUNTIF(INDEX('LINE PLAN'!$B$36:$GS$61,0,ROW()-3),CB$3)</f>
        <v>0</v>
      </c>
      <c r="CC105" s="2">
        <f>COUNTIF(INDEX('LINE PLAN'!$B$36:$GS$61,0,ROW()-3),CC$3)</f>
        <v>0</v>
      </c>
      <c r="CD105" s="2">
        <f>COUNTIF(INDEX('LINE PLAN'!$B$36:$GS$61,0,ROW()-3),CD$3)</f>
        <v>0</v>
      </c>
      <c r="CE105" s="2">
        <f>COUNTIF(INDEX('LINE PLAN'!$B$36:$GS$61,0,ROW()-3),CE$3)</f>
        <v>0</v>
      </c>
      <c r="CF105" s="2">
        <f>COUNTIF(INDEX('LINE PLAN'!$B$36:$GS$61,0,ROW()-3),CF$3)</f>
        <v>0</v>
      </c>
      <c r="CG105" s="2">
        <f>COUNTIF(INDEX('LINE PLAN'!$B$36:$GS$61,0,ROW()-3),CG$3)</f>
        <v>0</v>
      </c>
      <c r="CH105" s="2">
        <f>COUNTIF(INDEX('LINE PLAN'!$B$36:$GS$61,0,ROW()-3),CH$3)</f>
        <v>0</v>
      </c>
      <c r="CI105" s="2">
        <f>COUNTIF(INDEX('LINE PLAN'!$B$36:$GS$61,0,ROW()-3),CI$3)</f>
        <v>0</v>
      </c>
      <c r="CJ105" s="2">
        <f>COUNTIF(INDEX('LINE PLAN'!$B$36:$GS$61,0,ROW()-3),CJ$3)</f>
        <v>0</v>
      </c>
      <c r="CK105" s="2">
        <f>COUNTIF(INDEX('LINE PLAN'!$B$36:$GS$61,0,ROW()-3),CK$3)</f>
        <v>0</v>
      </c>
      <c r="CL105" s="2">
        <f>COUNTIF(INDEX('LINE PLAN'!$B$36:$GS$61,0,ROW()-3),CL$3)</f>
        <v>0</v>
      </c>
      <c r="CM105" s="2">
        <f>COUNTIF(INDEX('LINE PLAN'!$B$36:$GS$61,0,ROW()-3),CM$3)</f>
        <v>0</v>
      </c>
      <c r="CN105" s="2">
        <f>COUNTIF(INDEX('LINE PLAN'!$B$36:$GS$61,0,ROW()-3),CN$3)</f>
        <v>0</v>
      </c>
      <c r="CO105" s="2">
        <f>COUNTIF(INDEX('LINE PLAN'!$B$36:$GS$61,0,ROW()-3),CO$3)</f>
        <v>0</v>
      </c>
      <c r="CP105" s="2">
        <f>COUNTIF(INDEX('LINE PLAN'!$B$36:$GS$61,0,ROW()-3),CP$3)</f>
        <v>0</v>
      </c>
      <c r="CQ105" s="2">
        <f>COUNTIF(INDEX('LINE PLAN'!$B$36:$GS$61,0,ROW()-3),CQ$3)</f>
        <v>0</v>
      </c>
      <c r="CR105" s="2">
        <f>COUNTIF(INDEX('LINE PLAN'!$B$36:$GS$61,0,ROW()-3),CR$3)</f>
        <v>0</v>
      </c>
      <c r="CS105" s="2">
        <f>COUNTIF(INDEX('LINE PLAN'!$B$36:$GS$61,0,ROW()-3),CS$3)</f>
        <v>0</v>
      </c>
      <c r="CT105" s="2">
        <f>COUNTIF(INDEX('LINE PLAN'!$B$36:$GS$61,0,ROW()-3),CT$3)</f>
        <v>0</v>
      </c>
      <c r="CU105" s="2">
        <f>COUNTIF(INDEX('LINE PLAN'!$B$36:$GS$61,0,ROW()-3),CU$3)</f>
        <v>0</v>
      </c>
      <c r="CV105" s="2">
        <f>COUNTIF(INDEX('LINE PLAN'!$B$36:$GS$61,0,ROW()-3),CV$3)</f>
        <v>0</v>
      </c>
      <c r="CW105" s="2">
        <f>COUNTIF(INDEX('LINE PLAN'!$B$36:$GS$61,0,ROW()-3),CW$3)</f>
        <v>0</v>
      </c>
      <c r="CX105" s="2">
        <f>COUNTIF(INDEX('LINE PLAN'!$B$36:$GS$61,0,ROW()-3),CX$3)</f>
        <v>0</v>
      </c>
      <c r="CY105" s="2">
        <f>COUNTIF(INDEX('LINE PLAN'!$B$36:$GS$61,0,ROW()-3),CY$3)</f>
        <v>0</v>
      </c>
      <c r="CZ105" s="2">
        <f>COUNTIF(INDEX('LINE PLAN'!$B$36:$GS$61,0,ROW()-3),CZ$3)</f>
        <v>0</v>
      </c>
      <c r="DA105" s="2">
        <f>COUNTIF(INDEX('LINE PLAN'!$B$36:$GS$61,0,ROW()-3),DA$3)</f>
        <v>0</v>
      </c>
      <c r="DB105" s="2">
        <f>COUNTIF(INDEX('LINE PLAN'!$B$36:$GS$61,0,ROW()-3),DB$3)</f>
        <v>0</v>
      </c>
      <c r="DC105" s="2">
        <f>COUNTIF(INDEX('LINE PLAN'!$B$36:$GS$61,0,ROW()-3),DC$3)</f>
        <v>0</v>
      </c>
      <c r="DD105" s="2">
        <f>COUNTIF(INDEX('LINE PLAN'!$B$36:$GS$61,0,ROW()-3),DD$3)</f>
        <v>0</v>
      </c>
      <c r="DE105" s="2">
        <f>COUNTIF(INDEX('LINE PLAN'!$B$36:$GS$61,0,ROW()-3),DE$3)</f>
        <v>0</v>
      </c>
      <c r="DF105" s="2">
        <f>COUNTIF(INDEX('LINE PLAN'!$B$36:$GS$61,0,ROW()-3),DF$3)</f>
        <v>0</v>
      </c>
      <c r="DG105" s="2">
        <f>COUNTIF(INDEX('LINE PLAN'!$B$36:$GS$61,0,ROW()-3),DG$3)</f>
        <v>0</v>
      </c>
      <c r="DH105" s="2">
        <f>COUNTIF(INDEX('LINE PLAN'!$B$36:$GS$61,0,ROW()-3),DH$3)</f>
        <v>0</v>
      </c>
      <c r="DI105" s="2">
        <f>COUNTIF(INDEX('LINE PLAN'!$B$36:$GS$61,0,ROW()-3),DI$3)</f>
        <v>0</v>
      </c>
      <c r="DJ105" s="2">
        <f>COUNTIF(INDEX('LINE PLAN'!$B$36:$GS$61,0,ROW()-3),DJ$3)</f>
        <v>0</v>
      </c>
      <c r="DK105" s="2">
        <f>COUNTIF(INDEX('LINE PLAN'!$B$36:$GS$61,0,ROW()-3),DK$3)</f>
        <v>0</v>
      </c>
      <c r="DL105" s="2">
        <f>COUNTIF(INDEX('LINE PLAN'!$B$36:$GS$61,0,ROW()-3),DL$3)</f>
        <v>0</v>
      </c>
      <c r="DM105" s="2">
        <f>COUNTIF(INDEX('LINE PLAN'!$B$36:$GS$61,0,ROW()-3),DM$3)</f>
        <v>0</v>
      </c>
      <c r="DN105" s="2">
        <f>COUNTIF(INDEX('LINE PLAN'!$B$36:$GS$61,0,ROW()-3),DN$3)</f>
        <v>0</v>
      </c>
      <c r="DO105" s="2">
        <f>COUNTIF(INDEX('LINE PLAN'!$B$36:$GS$61,0,ROW()-3),DO$3)</f>
        <v>0</v>
      </c>
      <c r="DP105" s="2">
        <f>COUNTIF(INDEX('LINE PLAN'!$B$36:$GS$61,0,ROW()-3),DP$3)</f>
        <v>0</v>
      </c>
      <c r="DQ105" s="2">
        <f>COUNTIF(INDEX('LINE PLAN'!$B$36:$GS$61,0,ROW()-3),DQ$3)</f>
        <v>0</v>
      </c>
      <c r="DR105" s="2">
        <f>COUNTIF(INDEX('LINE PLAN'!$B$36:$GS$61,0,ROW()-3),DR$3)</f>
        <v>0</v>
      </c>
      <c r="DS105" s="2">
        <f>COUNTIF(INDEX('LINE PLAN'!$B$36:$GS$61,0,ROW()-3),DS$3)</f>
        <v>0</v>
      </c>
      <c r="DT105" s="2">
        <f>COUNTIF(INDEX('LINE PLAN'!$B$36:$GS$61,0,ROW()-3),DT$3)</f>
        <v>0</v>
      </c>
      <c r="DU105" s="2">
        <f>COUNTIF(INDEX('LINE PLAN'!$B$36:$GS$61,0,ROW()-3),DU$3)</f>
        <v>0</v>
      </c>
      <c r="DV105" s="2">
        <f>COUNTIF(INDEX('LINE PLAN'!$B$36:$GS$61,0,ROW()-3),DV$3)</f>
        <v>0</v>
      </c>
    </row>
    <row r="106" spans="1:126">
      <c r="A106" s="505" cm="1">
        <f t="array" ref="A106">INDEX('LINE PLAN'!$B$35:$GS$35,ROW()-3)</f>
        <v>46337</v>
      </c>
      <c r="B106" s="2">
        <f>SUMPRODUCT($CA106:$DV106,INDEX('MC MAP'!$DA$5:$EV$30,1,0))</f>
        <v>0</v>
      </c>
      <c r="C106" s="2">
        <f>SUMPRODUCT($CA106:$DV106,INDEX('MC MAP'!$DA$5:$EV$30,2,0))</f>
        <v>0</v>
      </c>
      <c r="D106" s="2">
        <f>SUMPRODUCT($CA106:$DV106,INDEX('MC MAP'!$DA$5:$EV$30,3,0))</f>
        <v>0</v>
      </c>
      <c r="E106" s="2">
        <f>SUMPRODUCT($CA106:$DV106,INDEX('MC MAP'!$DA$5:$EV$30,4,0))</f>
        <v>0</v>
      </c>
      <c r="F106" s="2">
        <f>SUMPRODUCT($CA106:$DV106,INDEX('MC MAP'!$DA$5:$EV$30,5,0))</f>
        <v>0</v>
      </c>
      <c r="G106" s="2">
        <f>SUMPRODUCT($CA106:$DV106,INDEX('MC MAP'!$DA$5:$EV$30,6,0))</f>
        <v>0</v>
      </c>
      <c r="H106" s="2">
        <f>SUMPRODUCT($CA106:$DV106,INDEX('MC MAP'!$DA$5:$EV$30,7,0))</f>
        <v>0</v>
      </c>
      <c r="I106" s="2">
        <f>SUMPRODUCT($CA106:$DV106,INDEX('MC MAP'!$DA$5:$EV$30,8,0))</f>
        <v>0</v>
      </c>
      <c r="J106" s="2">
        <f>SUMPRODUCT($CA106:$DV106,INDEX('MC MAP'!$DA$5:$EV$30,9,0))</f>
        <v>0</v>
      </c>
      <c r="K106" s="2">
        <f>SUMPRODUCT($CA106:$DV106,INDEX('MC MAP'!$DA$5:$EV$30,10,0))</f>
        <v>0</v>
      </c>
      <c r="L106" s="2">
        <f>SUMPRODUCT($CA106:$DV106,INDEX('MC MAP'!$DA$5:$EV$30,11,0))</f>
        <v>0</v>
      </c>
      <c r="M106" s="2">
        <f>SUMPRODUCT($CA106:$DV106,INDEX('MC MAP'!$DA$5:$EV$30,12,0))</f>
        <v>0</v>
      </c>
      <c r="N106" s="2">
        <f>SUMPRODUCT($CA106:$DV106,INDEX('MC MAP'!$DA$5:$EV$30,13,0))</f>
        <v>0</v>
      </c>
      <c r="O106" s="2">
        <f>SUMPRODUCT($CA106:$DV106,INDEX('MC MAP'!$DA$5:$EV$30,14,0))</f>
        <v>0</v>
      </c>
      <c r="P106" s="2">
        <f>SUMPRODUCT($CA106:$DV106,INDEX('MC MAP'!$DA$5:$EV$30,15,0))</f>
        <v>0</v>
      </c>
      <c r="Q106" s="2">
        <f>SUMPRODUCT($CA106:$DV106,INDEX('MC MAP'!$DA$5:$EV$30,16,0))</f>
        <v>0</v>
      </c>
      <c r="R106" s="2">
        <f>SUMPRODUCT($CA106:$DV106,INDEX('MC MAP'!$DA$5:$EV$30,17,0))</f>
        <v>0</v>
      </c>
      <c r="S106" s="2">
        <f>SUMPRODUCT($CA106:$DV106,INDEX('MC MAP'!$DA$5:$EV$30,18,0))</f>
        <v>0</v>
      </c>
      <c r="T106" s="2">
        <f>SUMPRODUCT($CA106:$DV106,INDEX('MC MAP'!$DA$5:$EV$30,19,0))</f>
        <v>0</v>
      </c>
      <c r="U106" s="2">
        <f>SUMPRODUCT($CA106:$DV106,INDEX('MC MAP'!$DA$5:$EV$30,20,0))</f>
        <v>0</v>
      </c>
      <c r="V106" s="2">
        <f>SUMPRODUCT($CA106:$DV106,INDEX('MC MAP'!$DA$5:$EV$30,21,0))</f>
        <v>0</v>
      </c>
      <c r="W106" s="2">
        <f>SUMPRODUCT($CA106:$DV106,INDEX('MC MAP'!$DA$5:$EV$30,22,0))</f>
        <v>0</v>
      </c>
      <c r="X106" s="2">
        <f>SUMPRODUCT($CA106:$DV106,INDEX('MC MAP'!$DA$5:$EV$30,23,0))</f>
        <v>0</v>
      </c>
      <c r="Y106" s="2">
        <f>SUMPRODUCT($CA106:$DV106,INDEX('MC MAP'!$DA$5:$EV$30,24,0))</f>
        <v>0</v>
      </c>
      <c r="Z106" s="2">
        <f>SUMPRODUCT($CA106:$DV106,INDEX('MC MAP'!$DA$5:$EV$30,25,0))</f>
        <v>0</v>
      </c>
      <c r="AA106" s="2">
        <f>SUMPRODUCT($CA106:$DV106,INDEX('MC MAP'!$DA$5:$EV$30,26,0))</f>
        <v>0</v>
      </c>
      <c r="AB106" s="2">
        <f>SUM($B106:$AA106)</f>
        <v>0</v>
      </c>
      <c r="AC106" s="2">
        <f>SUM($CA106:$DV106)+$AW106</f>
        <v>0</v>
      </c>
      <c r="AW106" s="2">
        <f>IF($A106=0,0,COUNTIF(INDEX('LINE PLAN'!$B$36:$GS$61,0,ROW()-3),"THERMAL - NOT SPECIFIED"))</f>
        <v>0</v>
      </c>
      <c r="AX106" s="506" cm="1">
        <f t="array" ref="AX106">IF(OR($AB106=0,UPPER($BS106)&lt;&gt;"Y"),0,SUMPRODUCT(--($B106:$AA106&gt;$B$205:$AA$205)))</f>
        <v>0</v>
      </c>
      <c r="AY106" s="507">
        <f>$A106</f>
        <v>46337</v>
      </c>
      <c r="AZ106" s="2">
        <f>$AB106</f>
        <v>0</v>
      </c>
      <c r="BA106" s="2">
        <f>'MC MASTER'!$C$29</f>
        <v>920</v>
      </c>
      <c r="BQ106" s="509">
        <f>$A106</f>
        <v>46337</v>
      </c>
      <c r="BR106" s="15" t="str">
        <f>TEXT($A106,"ddd")</f>
        <v>Wed</v>
      </c>
      <c r="BS106" s="547" t="s">
        <v>391</v>
      </c>
      <c r="BT106" s="15">
        <f>IF(UPPER($BS106)="Y",$AB106,0)</f>
        <v>0</v>
      </c>
      <c r="CA106" s="2">
        <f>COUNTIF(INDEX('LINE PLAN'!$B$36:$GS$61,0,ROW()-3),CA$3)</f>
        <v>0</v>
      </c>
      <c r="CB106" s="2">
        <f>COUNTIF(INDEX('LINE PLAN'!$B$36:$GS$61,0,ROW()-3),CB$3)</f>
        <v>0</v>
      </c>
      <c r="CC106" s="2">
        <f>COUNTIF(INDEX('LINE PLAN'!$B$36:$GS$61,0,ROW()-3),CC$3)</f>
        <v>0</v>
      </c>
      <c r="CD106" s="2">
        <f>COUNTIF(INDEX('LINE PLAN'!$B$36:$GS$61,0,ROW()-3),CD$3)</f>
        <v>0</v>
      </c>
      <c r="CE106" s="2">
        <f>COUNTIF(INDEX('LINE PLAN'!$B$36:$GS$61,0,ROW()-3),CE$3)</f>
        <v>0</v>
      </c>
      <c r="CF106" s="2">
        <f>COUNTIF(INDEX('LINE PLAN'!$B$36:$GS$61,0,ROW()-3),CF$3)</f>
        <v>0</v>
      </c>
      <c r="CG106" s="2">
        <f>COUNTIF(INDEX('LINE PLAN'!$B$36:$GS$61,0,ROW()-3),CG$3)</f>
        <v>0</v>
      </c>
      <c r="CH106" s="2">
        <f>COUNTIF(INDEX('LINE PLAN'!$B$36:$GS$61,0,ROW()-3),CH$3)</f>
        <v>0</v>
      </c>
      <c r="CI106" s="2">
        <f>COUNTIF(INDEX('LINE PLAN'!$B$36:$GS$61,0,ROW()-3),CI$3)</f>
        <v>0</v>
      </c>
      <c r="CJ106" s="2">
        <f>COUNTIF(INDEX('LINE PLAN'!$B$36:$GS$61,0,ROW()-3),CJ$3)</f>
        <v>0</v>
      </c>
      <c r="CK106" s="2">
        <f>COUNTIF(INDEX('LINE PLAN'!$B$36:$GS$61,0,ROW()-3),CK$3)</f>
        <v>0</v>
      </c>
      <c r="CL106" s="2">
        <f>COUNTIF(INDEX('LINE PLAN'!$B$36:$GS$61,0,ROW()-3),CL$3)</f>
        <v>0</v>
      </c>
      <c r="CM106" s="2">
        <f>COUNTIF(INDEX('LINE PLAN'!$B$36:$GS$61,0,ROW()-3),CM$3)</f>
        <v>0</v>
      </c>
      <c r="CN106" s="2">
        <f>COUNTIF(INDEX('LINE PLAN'!$B$36:$GS$61,0,ROW()-3),CN$3)</f>
        <v>0</v>
      </c>
      <c r="CO106" s="2">
        <f>COUNTIF(INDEX('LINE PLAN'!$B$36:$GS$61,0,ROW()-3),CO$3)</f>
        <v>0</v>
      </c>
      <c r="CP106" s="2">
        <f>COUNTIF(INDEX('LINE PLAN'!$B$36:$GS$61,0,ROW()-3),CP$3)</f>
        <v>0</v>
      </c>
      <c r="CQ106" s="2">
        <f>COUNTIF(INDEX('LINE PLAN'!$B$36:$GS$61,0,ROW()-3),CQ$3)</f>
        <v>0</v>
      </c>
      <c r="CR106" s="2">
        <f>COUNTIF(INDEX('LINE PLAN'!$B$36:$GS$61,0,ROW()-3),CR$3)</f>
        <v>0</v>
      </c>
      <c r="CS106" s="2">
        <f>COUNTIF(INDEX('LINE PLAN'!$B$36:$GS$61,0,ROW()-3),CS$3)</f>
        <v>0</v>
      </c>
      <c r="CT106" s="2">
        <f>COUNTIF(INDEX('LINE PLAN'!$B$36:$GS$61,0,ROW()-3),CT$3)</f>
        <v>0</v>
      </c>
      <c r="CU106" s="2">
        <f>COUNTIF(INDEX('LINE PLAN'!$B$36:$GS$61,0,ROW()-3),CU$3)</f>
        <v>0</v>
      </c>
      <c r="CV106" s="2">
        <f>COUNTIF(INDEX('LINE PLAN'!$B$36:$GS$61,0,ROW()-3),CV$3)</f>
        <v>0</v>
      </c>
      <c r="CW106" s="2">
        <f>COUNTIF(INDEX('LINE PLAN'!$B$36:$GS$61,0,ROW()-3),CW$3)</f>
        <v>0</v>
      </c>
      <c r="CX106" s="2">
        <f>COUNTIF(INDEX('LINE PLAN'!$B$36:$GS$61,0,ROW()-3),CX$3)</f>
        <v>0</v>
      </c>
      <c r="CY106" s="2">
        <f>COUNTIF(INDEX('LINE PLAN'!$B$36:$GS$61,0,ROW()-3),CY$3)</f>
        <v>0</v>
      </c>
      <c r="CZ106" s="2">
        <f>COUNTIF(INDEX('LINE PLAN'!$B$36:$GS$61,0,ROW()-3),CZ$3)</f>
        <v>0</v>
      </c>
      <c r="DA106" s="2">
        <f>COUNTIF(INDEX('LINE PLAN'!$B$36:$GS$61,0,ROW()-3),DA$3)</f>
        <v>0</v>
      </c>
      <c r="DB106" s="2">
        <f>COUNTIF(INDEX('LINE PLAN'!$B$36:$GS$61,0,ROW()-3),DB$3)</f>
        <v>0</v>
      </c>
      <c r="DC106" s="2">
        <f>COUNTIF(INDEX('LINE PLAN'!$B$36:$GS$61,0,ROW()-3),DC$3)</f>
        <v>0</v>
      </c>
      <c r="DD106" s="2">
        <f>COUNTIF(INDEX('LINE PLAN'!$B$36:$GS$61,0,ROW()-3),DD$3)</f>
        <v>0</v>
      </c>
      <c r="DE106" s="2">
        <f>COUNTIF(INDEX('LINE PLAN'!$B$36:$GS$61,0,ROW()-3),DE$3)</f>
        <v>0</v>
      </c>
      <c r="DF106" s="2">
        <f>COUNTIF(INDEX('LINE PLAN'!$B$36:$GS$61,0,ROW()-3),DF$3)</f>
        <v>0</v>
      </c>
      <c r="DG106" s="2">
        <f>COUNTIF(INDEX('LINE PLAN'!$B$36:$GS$61,0,ROW()-3),DG$3)</f>
        <v>0</v>
      </c>
      <c r="DH106" s="2">
        <f>COUNTIF(INDEX('LINE PLAN'!$B$36:$GS$61,0,ROW()-3),DH$3)</f>
        <v>0</v>
      </c>
      <c r="DI106" s="2">
        <f>COUNTIF(INDEX('LINE PLAN'!$B$36:$GS$61,0,ROW()-3),DI$3)</f>
        <v>0</v>
      </c>
      <c r="DJ106" s="2">
        <f>COUNTIF(INDEX('LINE PLAN'!$B$36:$GS$61,0,ROW()-3),DJ$3)</f>
        <v>0</v>
      </c>
      <c r="DK106" s="2">
        <f>COUNTIF(INDEX('LINE PLAN'!$B$36:$GS$61,0,ROW()-3),DK$3)</f>
        <v>0</v>
      </c>
      <c r="DL106" s="2">
        <f>COUNTIF(INDEX('LINE PLAN'!$B$36:$GS$61,0,ROW()-3),DL$3)</f>
        <v>0</v>
      </c>
      <c r="DM106" s="2">
        <f>COUNTIF(INDEX('LINE PLAN'!$B$36:$GS$61,0,ROW()-3),DM$3)</f>
        <v>0</v>
      </c>
      <c r="DN106" s="2">
        <f>COUNTIF(INDEX('LINE PLAN'!$B$36:$GS$61,0,ROW()-3),DN$3)</f>
        <v>0</v>
      </c>
      <c r="DO106" s="2">
        <f>COUNTIF(INDEX('LINE PLAN'!$B$36:$GS$61,0,ROW()-3),DO$3)</f>
        <v>0</v>
      </c>
      <c r="DP106" s="2">
        <f>COUNTIF(INDEX('LINE PLAN'!$B$36:$GS$61,0,ROW()-3),DP$3)</f>
        <v>0</v>
      </c>
      <c r="DQ106" s="2">
        <f>COUNTIF(INDEX('LINE PLAN'!$B$36:$GS$61,0,ROW()-3),DQ$3)</f>
        <v>0</v>
      </c>
      <c r="DR106" s="2">
        <f>COUNTIF(INDEX('LINE PLAN'!$B$36:$GS$61,0,ROW()-3),DR$3)</f>
        <v>0</v>
      </c>
      <c r="DS106" s="2">
        <f>COUNTIF(INDEX('LINE PLAN'!$B$36:$GS$61,0,ROW()-3),DS$3)</f>
        <v>0</v>
      </c>
      <c r="DT106" s="2">
        <f>COUNTIF(INDEX('LINE PLAN'!$B$36:$GS$61,0,ROW()-3),DT$3)</f>
        <v>0</v>
      </c>
      <c r="DU106" s="2">
        <f>COUNTIF(INDEX('LINE PLAN'!$B$36:$GS$61,0,ROW()-3),DU$3)</f>
        <v>0</v>
      </c>
      <c r="DV106" s="2">
        <f>COUNTIF(INDEX('LINE PLAN'!$B$36:$GS$61,0,ROW()-3),DV$3)</f>
        <v>0</v>
      </c>
    </row>
    <row r="107" spans="1:126">
      <c r="A107" s="505" cm="1">
        <f t="array" ref="A107">INDEX('LINE PLAN'!$B$35:$GS$35,ROW()-3)</f>
        <v>46338</v>
      </c>
      <c r="B107" s="2">
        <f>SUMPRODUCT($CA107:$DV107,INDEX('MC MAP'!$DA$5:$EV$30,1,0))</f>
        <v>0</v>
      </c>
      <c r="C107" s="2">
        <f>SUMPRODUCT($CA107:$DV107,INDEX('MC MAP'!$DA$5:$EV$30,2,0))</f>
        <v>0</v>
      </c>
      <c r="D107" s="2">
        <f>SUMPRODUCT($CA107:$DV107,INDEX('MC MAP'!$DA$5:$EV$30,3,0))</f>
        <v>0</v>
      </c>
      <c r="E107" s="2">
        <f>SUMPRODUCT($CA107:$DV107,INDEX('MC MAP'!$DA$5:$EV$30,4,0))</f>
        <v>0</v>
      </c>
      <c r="F107" s="2">
        <f>SUMPRODUCT($CA107:$DV107,INDEX('MC MAP'!$DA$5:$EV$30,5,0))</f>
        <v>0</v>
      </c>
      <c r="G107" s="2">
        <f>SUMPRODUCT($CA107:$DV107,INDEX('MC MAP'!$DA$5:$EV$30,6,0))</f>
        <v>0</v>
      </c>
      <c r="H107" s="2">
        <f>SUMPRODUCT($CA107:$DV107,INDEX('MC MAP'!$DA$5:$EV$30,7,0))</f>
        <v>0</v>
      </c>
      <c r="I107" s="2">
        <f>SUMPRODUCT($CA107:$DV107,INDEX('MC MAP'!$DA$5:$EV$30,8,0))</f>
        <v>0</v>
      </c>
      <c r="J107" s="2">
        <f>SUMPRODUCT($CA107:$DV107,INDEX('MC MAP'!$DA$5:$EV$30,9,0))</f>
        <v>0</v>
      </c>
      <c r="K107" s="2">
        <f>SUMPRODUCT($CA107:$DV107,INDEX('MC MAP'!$DA$5:$EV$30,10,0))</f>
        <v>0</v>
      </c>
      <c r="L107" s="2">
        <f>SUMPRODUCT($CA107:$DV107,INDEX('MC MAP'!$DA$5:$EV$30,11,0))</f>
        <v>0</v>
      </c>
      <c r="M107" s="2">
        <f>SUMPRODUCT($CA107:$DV107,INDEX('MC MAP'!$DA$5:$EV$30,12,0))</f>
        <v>0</v>
      </c>
      <c r="N107" s="2">
        <f>SUMPRODUCT($CA107:$DV107,INDEX('MC MAP'!$DA$5:$EV$30,13,0))</f>
        <v>0</v>
      </c>
      <c r="O107" s="2">
        <f>SUMPRODUCT($CA107:$DV107,INDEX('MC MAP'!$DA$5:$EV$30,14,0))</f>
        <v>0</v>
      </c>
      <c r="P107" s="2">
        <f>SUMPRODUCT($CA107:$DV107,INDEX('MC MAP'!$DA$5:$EV$30,15,0))</f>
        <v>0</v>
      </c>
      <c r="Q107" s="2">
        <f>SUMPRODUCT($CA107:$DV107,INDEX('MC MAP'!$DA$5:$EV$30,16,0))</f>
        <v>0</v>
      </c>
      <c r="R107" s="2">
        <f>SUMPRODUCT($CA107:$DV107,INDEX('MC MAP'!$DA$5:$EV$30,17,0))</f>
        <v>0</v>
      </c>
      <c r="S107" s="2">
        <f>SUMPRODUCT($CA107:$DV107,INDEX('MC MAP'!$DA$5:$EV$30,18,0))</f>
        <v>0</v>
      </c>
      <c r="T107" s="2">
        <f>SUMPRODUCT($CA107:$DV107,INDEX('MC MAP'!$DA$5:$EV$30,19,0))</f>
        <v>0</v>
      </c>
      <c r="U107" s="2">
        <f>SUMPRODUCT($CA107:$DV107,INDEX('MC MAP'!$DA$5:$EV$30,20,0))</f>
        <v>0</v>
      </c>
      <c r="V107" s="2">
        <f>SUMPRODUCT($CA107:$DV107,INDEX('MC MAP'!$DA$5:$EV$30,21,0))</f>
        <v>0</v>
      </c>
      <c r="W107" s="2">
        <f>SUMPRODUCT($CA107:$DV107,INDEX('MC MAP'!$DA$5:$EV$30,22,0))</f>
        <v>0</v>
      </c>
      <c r="X107" s="2">
        <f>SUMPRODUCT($CA107:$DV107,INDEX('MC MAP'!$DA$5:$EV$30,23,0))</f>
        <v>0</v>
      </c>
      <c r="Y107" s="2">
        <f>SUMPRODUCT($CA107:$DV107,INDEX('MC MAP'!$DA$5:$EV$30,24,0))</f>
        <v>0</v>
      </c>
      <c r="Z107" s="2">
        <f>SUMPRODUCT($CA107:$DV107,INDEX('MC MAP'!$DA$5:$EV$30,25,0))</f>
        <v>0</v>
      </c>
      <c r="AA107" s="2">
        <f>SUMPRODUCT($CA107:$DV107,INDEX('MC MAP'!$DA$5:$EV$30,26,0))</f>
        <v>0</v>
      </c>
      <c r="AB107" s="2">
        <f>SUM($B107:$AA107)</f>
        <v>0</v>
      </c>
      <c r="AC107" s="2">
        <f>SUM($CA107:$DV107)+$AW107</f>
        <v>0</v>
      </c>
      <c r="AW107" s="2">
        <f>IF($A107=0,0,COUNTIF(INDEX('LINE PLAN'!$B$36:$GS$61,0,ROW()-3),"THERMAL - NOT SPECIFIED"))</f>
        <v>0</v>
      </c>
      <c r="AX107" s="506" cm="1">
        <f t="array" ref="AX107">IF(OR($AB107=0,UPPER($BS107)&lt;&gt;"Y"),0,SUMPRODUCT(--($B107:$AA107&gt;$B$205:$AA$205)))</f>
        <v>0</v>
      </c>
      <c r="AY107" s="507">
        <f>$A107</f>
        <v>46338</v>
      </c>
      <c r="AZ107" s="2">
        <f>$AB107</f>
        <v>0</v>
      </c>
      <c r="BA107" s="2">
        <f>'MC MASTER'!$C$29</f>
        <v>920</v>
      </c>
      <c r="BQ107" s="509">
        <f>$A107</f>
        <v>46338</v>
      </c>
      <c r="BR107" s="15" t="str">
        <f>TEXT($A107,"ddd")</f>
        <v>Thu</v>
      </c>
      <c r="BS107" s="547" t="s">
        <v>391</v>
      </c>
      <c r="BT107" s="15">
        <f>IF(UPPER($BS107)="Y",$AB107,0)</f>
        <v>0</v>
      </c>
      <c r="CA107" s="2">
        <f>COUNTIF(INDEX('LINE PLAN'!$B$36:$GS$61,0,ROW()-3),CA$3)</f>
        <v>0</v>
      </c>
      <c r="CB107" s="2">
        <f>COUNTIF(INDEX('LINE PLAN'!$B$36:$GS$61,0,ROW()-3),CB$3)</f>
        <v>0</v>
      </c>
      <c r="CC107" s="2">
        <f>COUNTIF(INDEX('LINE PLAN'!$B$36:$GS$61,0,ROW()-3),CC$3)</f>
        <v>0</v>
      </c>
      <c r="CD107" s="2">
        <f>COUNTIF(INDEX('LINE PLAN'!$B$36:$GS$61,0,ROW()-3),CD$3)</f>
        <v>0</v>
      </c>
      <c r="CE107" s="2">
        <f>COUNTIF(INDEX('LINE PLAN'!$B$36:$GS$61,0,ROW()-3),CE$3)</f>
        <v>0</v>
      </c>
      <c r="CF107" s="2">
        <f>COUNTIF(INDEX('LINE PLAN'!$B$36:$GS$61,0,ROW()-3),CF$3)</f>
        <v>0</v>
      </c>
      <c r="CG107" s="2">
        <f>COUNTIF(INDEX('LINE PLAN'!$B$36:$GS$61,0,ROW()-3),CG$3)</f>
        <v>0</v>
      </c>
      <c r="CH107" s="2">
        <f>COUNTIF(INDEX('LINE PLAN'!$B$36:$GS$61,0,ROW()-3),CH$3)</f>
        <v>0</v>
      </c>
      <c r="CI107" s="2">
        <f>COUNTIF(INDEX('LINE PLAN'!$B$36:$GS$61,0,ROW()-3),CI$3)</f>
        <v>0</v>
      </c>
      <c r="CJ107" s="2">
        <f>COUNTIF(INDEX('LINE PLAN'!$B$36:$GS$61,0,ROW()-3),CJ$3)</f>
        <v>0</v>
      </c>
      <c r="CK107" s="2">
        <f>COUNTIF(INDEX('LINE PLAN'!$B$36:$GS$61,0,ROW()-3),CK$3)</f>
        <v>0</v>
      </c>
      <c r="CL107" s="2">
        <f>COUNTIF(INDEX('LINE PLAN'!$B$36:$GS$61,0,ROW()-3),CL$3)</f>
        <v>0</v>
      </c>
      <c r="CM107" s="2">
        <f>COUNTIF(INDEX('LINE PLAN'!$B$36:$GS$61,0,ROW()-3),CM$3)</f>
        <v>0</v>
      </c>
      <c r="CN107" s="2">
        <f>COUNTIF(INDEX('LINE PLAN'!$B$36:$GS$61,0,ROW()-3),CN$3)</f>
        <v>0</v>
      </c>
      <c r="CO107" s="2">
        <f>COUNTIF(INDEX('LINE PLAN'!$B$36:$GS$61,0,ROW()-3),CO$3)</f>
        <v>0</v>
      </c>
      <c r="CP107" s="2">
        <f>COUNTIF(INDEX('LINE PLAN'!$B$36:$GS$61,0,ROW()-3),CP$3)</f>
        <v>0</v>
      </c>
      <c r="CQ107" s="2">
        <f>COUNTIF(INDEX('LINE PLAN'!$B$36:$GS$61,0,ROW()-3),CQ$3)</f>
        <v>0</v>
      </c>
      <c r="CR107" s="2">
        <f>COUNTIF(INDEX('LINE PLAN'!$B$36:$GS$61,0,ROW()-3),CR$3)</f>
        <v>0</v>
      </c>
      <c r="CS107" s="2">
        <f>COUNTIF(INDEX('LINE PLAN'!$B$36:$GS$61,0,ROW()-3),CS$3)</f>
        <v>0</v>
      </c>
      <c r="CT107" s="2">
        <f>COUNTIF(INDEX('LINE PLAN'!$B$36:$GS$61,0,ROW()-3),CT$3)</f>
        <v>0</v>
      </c>
      <c r="CU107" s="2">
        <f>COUNTIF(INDEX('LINE PLAN'!$B$36:$GS$61,0,ROW()-3),CU$3)</f>
        <v>0</v>
      </c>
      <c r="CV107" s="2">
        <f>COUNTIF(INDEX('LINE PLAN'!$B$36:$GS$61,0,ROW()-3),CV$3)</f>
        <v>0</v>
      </c>
      <c r="CW107" s="2">
        <f>COUNTIF(INDEX('LINE PLAN'!$B$36:$GS$61,0,ROW()-3),CW$3)</f>
        <v>0</v>
      </c>
      <c r="CX107" s="2">
        <f>COUNTIF(INDEX('LINE PLAN'!$B$36:$GS$61,0,ROW()-3),CX$3)</f>
        <v>0</v>
      </c>
      <c r="CY107" s="2">
        <f>COUNTIF(INDEX('LINE PLAN'!$B$36:$GS$61,0,ROW()-3),CY$3)</f>
        <v>0</v>
      </c>
      <c r="CZ107" s="2">
        <f>COUNTIF(INDEX('LINE PLAN'!$B$36:$GS$61,0,ROW()-3),CZ$3)</f>
        <v>0</v>
      </c>
      <c r="DA107" s="2">
        <f>COUNTIF(INDEX('LINE PLAN'!$B$36:$GS$61,0,ROW()-3),DA$3)</f>
        <v>0</v>
      </c>
      <c r="DB107" s="2">
        <f>COUNTIF(INDEX('LINE PLAN'!$B$36:$GS$61,0,ROW()-3),DB$3)</f>
        <v>0</v>
      </c>
      <c r="DC107" s="2">
        <f>COUNTIF(INDEX('LINE PLAN'!$B$36:$GS$61,0,ROW()-3),DC$3)</f>
        <v>0</v>
      </c>
      <c r="DD107" s="2">
        <f>COUNTIF(INDEX('LINE PLAN'!$B$36:$GS$61,0,ROW()-3),DD$3)</f>
        <v>0</v>
      </c>
      <c r="DE107" s="2">
        <f>COUNTIF(INDEX('LINE PLAN'!$B$36:$GS$61,0,ROW()-3),DE$3)</f>
        <v>0</v>
      </c>
      <c r="DF107" s="2">
        <f>COUNTIF(INDEX('LINE PLAN'!$B$36:$GS$61,0,ROW()-3),DF$3)</f>
        <v>0</v>
      </c>
      <c r="DG107" s="2">
        <f>COUNTIF(INDEX('LINE PLAN'!$B$36:$GS$61,0,ROW()-3),DG$3)</f>
        <v>0</v>
      </c>
      <c r="DH107" s="2">
        <f>COUNTIF(INDEX('LINE PLAN'!$B$36:$GS$61,0,ROW()-3),DH$3)</f>
        <v>0</v>
      </c>
      <c r="DI107" s="2">
        <f>COUNTIF(INDEX('LINE PLAN'!$B$36:$GS$61,0,ROW()-3),DI$3)</f>
        <v>0</v>
      </c>
      <c r="DJ107" s="2">
        <f>COUNTIF(INDEX('LINE PLAN'!$B$36:$GS$61,0,ROW()-3),DJ$3)</f>
        <v>0</v>
      </c>
      <c r="DK107" s="2">
        <f>COUNTIF(INDEX('LINE PLAN'!$B$36:$GS$61,0,ROW()-3),DK$3)</f>
        <v>0</v>
      </c>
      <c r="DL107" s="2">
        <f>COUNTIF(INDEX('LINE PLAN'!$B$36:$GS$61,0,ROW()-3),DL$3)</f>
        <v>0</v>
      </c>
      <c r="DM107" s="2">
        <f>COUNTIF(INDEX('LINE PLAN'!$B$36:$GS$61,0,ROW()-3),DM$3)</f>
        <v>0</v>
      </c>
      <c r="DN107" s="2">
        <f>COUNTIF(INDEX('LINE PLAN'!$B$36:$GS$61,0,ROW()-3),DN$3)</f>
        <v>0</v>
      </c>
      <c r="DO107" s="2">
        <f>COUNTIF(INDEX('LINE PLAN'!$B$36:$GS$61,0,ROW()-3),DO$3)</f>
        <v>0</v>
      </c>
      <c r="DP107" s="2">
        <f>COUNTIF(INDEX('LINE PLAN'!$B$36:$GS$61,0,ROW()-3),DP$3)</f>
        <v>0</v>
      </c>
      <c r="DQ107" s="2">
        <f>COUNTIF(INDEX('LINE PLAN'!$B$36:$GS$61,0,ROW()-3),DQ$3)</f>
        <v>0</v>
      </c>
      <c r="DR107" s="2">
        <f>COUNTIF(INDEX('LINE PLAN'!$B$36:$GS$61,0,ROW()-3),DR$3)</f>
        <v>0</v>
      </c>
      <c r="DS107" s="2">
        <f>COUNTIF(INDEX('LINE PLAN'!$B$36:$GS$61,0,ROW()-3),DS$3)</f>
        <v>0</v>
      </c>
      <c r="DT107" s="2">
        <f>COUNTIF(INDEX('LINE PLAN'!$B$36:$GS$61,0,ROW()-3),DT$3)</f>
        <v>0</v>
      </c>
      <c r="DU107" s="2">
        <f>COUNTIF(INDEX('LINE PLAN'!$B$36:$GS$61,0,ROW()-3),DU$3)</f>
        <v>0</v>
      </c>
      <c r="DV107" s="2">
        <f>COUNTIF(INDEX('LINE PLAN'!$B$36:$GS$61,0,ROW()-3),DV$3)</f>
        <v>0</v>
      </c>
    </row>
    <row r="108" spans="1:126">
      <c r="A108" s="505" cm="1">
        <f t="array" ref="A108">INDEX('LINE PLAN'!$B$35:$GS$35,ROW()-3)</f>
        <v>46339</v>
      </c>
      <c r="B108" s="2">
        <f>SUMPRODUCT($CA108:$DV108,INDEX('MC MAP'!$DA$5:$EV$30,1,0))</f>
        <v>0</v>
      </c>
      <c r="C108" s="2">
        <f>SUMPRODUCT($CA108:$DV108,INDEX('MC MAP'!$DA$5:$EV$30,2,0))</f>
        <v>0</v>
      </c>
      <c r="D108" s="2">
        <f>SUMPRODUCT($CA108:$DV108,INDEX('MC MAP'!$DA$5:$EV$30,3,0))</f>
        <v>0</v>
      </c>
      <c r="E108" s="2">
        <f>SUMPRODUCT($CA108:$DV108,INDEX('MC MAP'!$DA$5:$EV$30,4,0))</f>
        <v>0</v>
      </c>
      <c r="F108" s="2">
        <f>SUMPRODUCT($CA108:$DV108,INDEX('MC MAP'!$DA$5:$EV$30,5,0))</f>
        <v>0</v>
      </c>
      <c r="G108" s="2">
        <f>SUMPRODUCT($CA108:$DV108,INDEX('MC MAP'!$DA$5:$EV$30,6,0))</f>
        <v>0</v>
      </c>
      <c r="H108" s="2">
        <f>SUMPRODUCT($CA108:$DV108,INDEX('MC MAP'!$DA$5:$EV$30,7,0))</f>
        <v>0</v>
      </c>
      <c r="I108" s="2">
        <f>SUMPRODUCT($CA108:$DV108,INDEX('MC MAP'!$DA$5:$EV$30,8,0))</f>
        <v>0</v>
      </c>
      <c r="J108" s="2">
        <f>SUMPRODUCT($CA108:$DV108,INDEX('MC MAP'!$DA$5:$EV$30,9,0))</f>
        <v>0</v>
      </c>
      <c r="K108" s="2">
        <f>SUMPRODUCT($CA108:$DV108,INDEX('MC MAP'!$DA$5:$EV$30,10,0))</f>
        <v>0</v>
      </c>
      <c r="L108" s="2">
        <f>SUMPRODUCT($CA108:$DV108,INDEX('MC MAP'!$DA$5:$EV$30,11,0))</f>
        <v>0</v>
      </c>
      <c r="M108" s="2">
        <f>SUMPRODUCT($CA108:$DV108,INDEX('MC MAP'!$DA$5:$EV$30,12,0))</f>
        <v>0</v>
      </c>
      <c r="N108" s="2">
        <f>SUMPRODUCT($CA108:$DV108,INDEX('MC MAP'!$DA$5:$EV$30,13,0))</f>
        <v>0</v>
      </c>
      <c r="O108" s="2">
        <f>SUMPRODUCT($CA108:$DV108,INDEX('MC MAP'!$DA$5:$EV$30,14,0))</f>
        <v>0</v>
      </c>
      <c r="P108" s="2">
        <f>SUMPRODUCT($CA108:$DV108,INDEX('MC MAP'!$DA$5:$EV$30,15,0))</f>
        <v>0</v>
      </c>
      <c r="Q108" s="2">
        <f>SUMPRODUCT($CA108:$DV108,INDEX('MC MAP'!$DA$5:$EV$30,16,0))</f>
        <v>0</v>
      </c>
      <c r="R108" s="2">
        <f>SUMPRODUCT($CA108:$DV108,INDEX('MC MAP'!$DA$5:$EV$30,17,0))</f>
        <v>0</v>
      </c>
      <c r="S108" s="2">
        <f>SUMPRODUCT($CA108:$DV108,INDEX('MC MAP'!$DA$5:$EV$30,18,0))</f>
        <v>0</v>
      </c>
      <c r="T108" s="2">
        <f>SUMPRODUCT($CA108:$DV108,INDEX('MC MAP'!$DA$5:$EV$30,19,0))</f>
        <v>0</v>
      </c>
      <c r="U108" s="2">
        <f>SUMPRODUCT($CA108:$DV108,INDEX('MC MAP'!$DA$5:$EV$30,20,0))</f>
        <v>0</v>
      </c>
      <c r="V108" s="2">
        <f>SUMPRODUCT($CA108:$DV108,INDEX('MC MAP'!$DA$5:$EV$30,21,0))</f>
        <v>0</v>
      </c>
      <c r="W108" s="2">
        <f>SUMPRODUCT($CA108:$DV108,INDEX('MC MAP'!$DA$5:$EV$30,22,0))</f>
        <v>0</v>
      </c>
      <c r="X108" s="2">
        <f>SUMPRODUCT($CA108:$DV108,INDEX('MC MAP'!$DA$5:$EV$30,23,0))</f>
        <v>0</v>
      </c>
      <c r="Y108" s="2">
        <f>SUMPRODUCT($CA108:$DV108,INDEX('MC MAP'!$DA$5:$EV$30,24,0))</f>
        <v>0</v>
      </c>
      <c r="Z108" s="2">
        <f>SUMPRODUCT($CA108:$DV108,INDEX('MC MAP'!$DA$5:$EV$30,25,0))</f>
        <v>0</v>
      </c>
      <c r="AA108" s="2">
        <f>SUMPRODUCT($CA108:$DV108,INDEX('MC MAP'!$DA$5:$EV$30,26,0))</f>
        <v>0</v>
      </c>
      <c r="AB108" s="2">
        <f>SUM($B108:$AA108)</f>
        <v>0</v>
      </c>
      <c r="AC108" s="2">
        <f>SUM($CA108:$DV108)+$AW108</f>
        <v>0</v>
      </c>
      <c r="AW108" s="2">
        <f>IF($A108=0,0,COUNTIF(INDEX('LINE PLAN'!$B$36:$GS$61,0,ROW()-3),"THERMAL - NOT SPECIFIED"))</f>
        <v>0</v>
      </c>
      <c r="AX108" s="506" cm="1">
        <f t="array" ref="AX108">IF(OR($AB108=0,UPPER($BS108)&lt;&gt;"Y"),0,SUMPRODUCT(--($B108:$AA108&gt;$B$205:$AA$205)))</f>
        <v>0</v>
      </c>
      <c r="AY108" s="507">
        <f>$A108</f>
        <v>46339</v>
      </c>
      <c r="AZ108" s="2">
        <f>$AB108</f>
        <v>0</v>
      </c>
      <c r="BA108" s="2">
        <f>'MC MASTER'!$C$29</f>
        <v>920</v>
      </c>
      <c r="BQ108" s="509">
        <f>$A108</f>
        <v>46339</v>
      </c>
      <c r="BR108" s="15" t="str">
        <f>TEXT($A108,"ddd")</f>
        <v>Fri</v>
      </c>
      <c r="BS108" s="547" t="s">
        <v>391</v>
      </c>
      <c r="BT108" s="15">
        <f>IF(UPPER($BS108)="Y",$AB108,0)</f>
        <v>0</v>
      </c>
      <c r="CA108" s="2">
        <f>COUNTIF(INDEX('LINE PLAN'!$B$36:$GS$61,0,ROW()-3),CA$3)</f>
        <v>0</v>
      </c>
      <c r="CB108" s="2">
        <f>COUNTIF(INDEX('LINE PLAN'!$B$36:$GS$61,0,ROW()-3),CB$3)</f>
        <v>0</v>
      </c>
      <c r="CC108" s="2">
        <f>COUNTIF(INDEX('LINE PLAN'!$B$36:$GS$61,0,ROW()-3),CC$3)</f>
        <v>0</v>
      </c>
      <c r="CD108" s="2">
        <f>COUNTIF(INDEX('LINE PLAN'!$B$36:$GS$61,0,ROW()-3),CD$3)</f>
        <v>0</v>
      </c>
      <c r="CE108" s="2">
        <f>COUNTIF(INDEX('LINE PLAN'!$B$36:$GS$61,0,ROW()-3),CE$3)</f>
        <v>0</v>
      </c>
      <c r="CF108" s="2">
        <f>COUNTIF(INDEX('LINE PLAN'!$B$36:$GS$61,0,ROW()-3),CF$3)</f>
        <v>0</v>
      </c>
      <c r="CG108" s="2">
        <f>COUNTIF(INDEX('LINE PLAN'!$B$36:$GS$61,0,ROW()-3),CG$3)</f>
        <v>0</v>
      </c>
      <c r="CH108" s="2">
        <f>COUNTIF(INDEX('LINE PLAN'!$B$36:$GS$61,0,ROW()-3),CH$3)</f>
        <v>0</v>
      </c>
      <c r="CI108" s="2">
        <f>COUNTIF(INDEX('LINE PLAN'!$B$36:$GS$61,0,ROW()-3),CI$3)</f>
        <v>0</v>
      </c>
      <c r="CJ108" s="2">
        <f>COUNTIF(INDEX('LINE PLAN'!$B$36:$GS$61,0,ROW()-3),CJ$3)</f>
        <v>0</v>
      </c>
      <c r="CK108" s="2">
        <f>COUNTIF(INDEX('LINE PLAN'!$B$36:$GS$61,0,ROW()-3),CK$3)</f>
        <v>0</v>
      </c>
      <c r="CL108" s="2">
        <f>COUNTIF(INDEX('LINE PLAN'!$B$36:$GS$61,0,ROW()-3),CL$3)</f>
        <v>0</v>
      </c>
      <c r="CM108" s="2">
        <f>COUNTIF(INDEX('LINE PLAN'!$B$36:$GS$61,0,ROW()-3),CM$3)</f>
        <v>0</v>
      </c>
      <c r="CN108" s="2">
        <f>COUNTIF(INDEX('LINE PLAN'!$B$36:$GS$61,0,ROW()-3),CN$3)</f>
        <v>0</v>
      </c>
      <c r="CO108" s="2">
        <f>COUNTIF(INDEX('LINE PLAN'!$B$36:$GS$61,0,ROW()-3),CO$3)</f>
        <v>0</v>
      </c>
      <c r="CP108" s="2">
        <f>COUNTIF(INDEX('LINE PLAN'!$B$36:$GS$61,0,ROW()-3),CP$3)</f>
        <v>0</v>
      </c>
      <c r="CQ108" s="2">
        <f>COUNTIF(INDEX('LINE PLAN'!$B$36:$GS$61,0,ROW()-3),CQ$3)</f>
        <v>0</v>
      </c>
      <c r="CR108" s="2">
        <f>COUNTIF(INDEX('LINE PLAN'!$B$36:$GS$61,0,ROW()-3),CR$3)</f>
        <v>0</v>
      </c>
      <c r="CS108" s="2">
        <f>COUNTIF(INDEX('LINE PLAN'!$B$36:$GS$61,0,ROW()-3),CS$3)</f>
        <v>0</v>
      </c>
      <c r="CT108" s="2">
        <f>COUNTIF(INDEX('LINE PLAN'!$B$36:$GS$61,0,ROW()-3),CT$3)</f>
        <v>0</v>
      </c>
      <c r="CU108" s="2">
        <f>COUNTIF(INDEX('LINE PLAN'!$B$36:$GS$61,0,ROW()-3),CU$3)</f>
        <v>0</v>
      </c>
      <c r="CV108" s="2">
        <f>COUNTIF(INDEX('LINE PLAN'!$B$36:$GS$61,0,ROW()-3),CV$3)</f>
        <v>0</v>
      </c>
      <c r="CW108" s="2">
        <f>COUNTIF(INDEX('LINE PLAN'!$B$36:$GS$61,0,ROW()-3),CW$3)</f>
        <v>0</v>
      </c>
      <c r="CX108" s="2">
        <f>COUNTIF(INDEX('LINE PLAN'!$B$36:$GS$61,0,ROW()-3),CX$3)</f>
        <v>0</v>
      </c>
      <c r="CY108" s="2">
        <f>COUNTIF(INDEX('LINE PLAN'!$B$36:$GS$61,0,ROW()-3),CY$3)</f>
        <v>0</v>
      </c>
      <c r="CZ108" s="2">
        <f>COUNTIF(INDEX('LINE PLAN'!$B$36:$GS$61,0,ROW()-3),CZ$3)</f>
        <v>0</v>
      </c>
      <c r="DA108" s="2">
        <f>COUNTIF(INDEX('LINE PLAN'!$B$36:$GS$61,0,ROW()-3),DA$3)</f>
        <v>0</v>
      </c>
      <c r="DB108" s="2">
        <f>COUNTIF(INDEX('LINE PLAN'!$B$36:$GS$61,0,ROW()-3),DB$3)</f>
        <v>0</v>
      </c>
      <c r="DC108" s="2">
        <f>COUNTIF(INDEX('LINE PLAN'!$B$36:$GS$61,0,ROW()-3),DC$3)</f>
        <v>0</v>
      </c>
      <c r="DD108" s="2">
        <f>COUNTIF(INDEX('LINE PLAN'!$B$36:$GS$61,0,ROW()-3),DD$3)</f>
        <v>0</v>
      </c>
      <c r="DE108" s="2">
        <f>COUNTIF(INDEX('LINE PLAN'!$B$36:$GS$61,0,ROW()-3),DE$3)</f>
        <v>0</v>
      </c>
      <c r="DF108" s="2">
        <f>COUNTIF(INDEX('LINE PLAN'!$B$36:$GS$61,0,ROW()-3),DF$3)</f>
        <v>0</v>
      </c>
      <c r="DG108" s="2">
        <f>COUNTIF(INDEX('LINE PLAN'!$B$36:$GS$61,0,ROW()-3),DG$3)</f>
        <v>0</v>
      </c>
      <c r="DH108" s="2">
        <f>COUNTIF(INDEX('LINE PLAN'!$B$36:$GS$61,0,ROW()-3),DH$3)</f>
        <v>0</v>
      </c>
      <c r="DI108" s="2">
        <f>COUNTIF(INDEX('LINE PLAN'!$B$36:$GS$61,0,ROW()-3),DI$3)</f>
        <v>0</v>
      </c>
      <c r="DJ108" s="2">
        <f>COUNTIF(INDEX('LINE PLAN'!$B$36:$GS$61,0,ROW()-3),DJ$3)</f>
        <v>0</v>
      </c>
      <c r="DK108" s="2">
        <f>COUNTIF(INDEX('LINE PLAN'!$B$36:$GS$61,0,ROW()-3),DK$3)</f>
        <v>0</v>
      </c>
      <c r="DL108" s="2">
        <f>COUNTIF(INDEX('LINE PLAN'!$B$36:$GS$61,0,ROW()-3),DL$3)</f>
        <v>0</v>
      </c>
      <c r="DM108" s="2">
        <f>COUNTIF(INDEX('LINE PLAN'!$B$36:$GS$61,0,ROW()-3),DM$3)</f>
        <v>0</v>
      </c>
      <c r="DN108" s="2">
        <f>COUNTIF(INDEX('LINE PLAN'!$B$36:$GS$61,0,ROW()-3),DN$3)</f>
        <v>0</v>
      </c>
      <c r="DO108" s="2">
        <f>COUNTIF(INDEX('LINE PLAN'!$B$36:$GS$61,0,ROW()-3),DO$3)</f>
        <v>0</v>
      </c>
      <c r="DP108" s="2">
        <f>COUNTIF(INDEX('LINE PLAN'!$B$36:$GS$61,0,ROW()-3),DP$3)</f>
        <v>0</v>
      </c>
      <c r="DQ108" s="2">
        <f>COUNTIF(INDEX('LINE PLAN'!$B$36:$GS$61,0,ROW()-3),DQ$3)</f>
        <v>0</v>
      </c>
      <c r="DR108" s="2">
        <f>COUNTIF(INDEX('LINE PLAN'!$B$36:$GS$61,0,ROW()-3),DR$3)</f>
        <v>0</v>
      </c>
      <c r="DS108" s="2">
        <f>COUNTIF(INDEX('LINE PLAN'!$B$36:$GS$61,0,ROW()-3),DS$3)</f>
        <v>0</v>
      </c>
      <c r="DT108" s="2">
        <f>COUNTIF(INDEX('LINE PLAN'!$B$36:$GS$61,0,ROW()-3),DT$3)</f>
        <v>0</v>
      </c>
      <c r="DU108" s="2">
        <f>COUNTIF(INDEX('LINE PLAN'!$B$36:$GS$61,0,ROW()-3),DU$3)</f>
        <v>0</v>
      </c>
      <c r="DV108" s="2">
        <f>COUNTIF(INDEX('LINE PLAN'!$B$36:$GS$61,0,ROW()-3),DV$3)</f>
        <v>0</v>
      </c>
    </row>
    <row r="109" spans="1:126">
      <c r="A109" s="505" cm="1">
        <f t="array" ref="A109">INDEX('LINE PLAN'!$B$35:$GS$35,ROW()-3)</f>
        <v>0</v>
      </c>
      <c r="B109" s="2">
        <f>SUMPRODUCT($CA109:$DV109,INDEX('MC MAP'!$DA$5:$EV$30,1,0))</f>
        <v>0</v>
      </c>
      <c r="C109" s="2">
        <f>SUMPRODUCT($CA109:$DV109,INDEX('MC MAP'!$DA$5:$EV$30,2,0))</f>
        <v>0</v>
      </c>
      <c r="D109" s="2">
        <f>SUMPRODUCT($CA109:$DV109,INDEX('MC MAP'!$DA$5:$EV$30,3,0))</f>
        <v>0</v>
      </c>
      <c r="E109" s="2">
        <f>SUMPRODUCT($CA109:$DV109,INDEX('MC MAP'!$DA$5:$EV$30,4,0))</f>
        <v>0</v>
      </c>
      <c r="F109" s="2">
        <f>SUMPRODUCT($CA109:$DV109,INDEX('MC MAP'!$DA$5:$EV$30,5,0))</f>
        <v>0</v>
      </c>
      <c r="G109" s="2">
        <f>SUMPRODUCT($CA109:$DV109,INDEX('MC MAP'!$DA$5:$EV$30,6,0))</f>
        <v>0</v>
      </c>
      <c r="H109" s="2">
        <f>SUMPRODUCT($CA109:$DV109,INDEX('MC MAP'!$DA$5:$EV$30,7,0))</f>
        <v>0</v>
      </c>
      <c r="I109" s="2">
        <f>SUMPRODUCT($CA109:$DV109,INDEX('MC MAP'!$DA$5:$EV$30,8,0))</f>
        <v>0</v>
      </c>
      <c r="J109" s="2">
        <f>SUMPRODUCT($CA109:$DV109,INDEX('MC MAP'!$DA$5:$EV$30,9,0))</f>
        <v>0</v>
      </c>
      <c r="K109" s="2">
        <f>SUMPRODUCT($CA109:$DV109,INDEX('MC MAP'!$DA$5:$EV$30,10,0))</f>
        <v>0</v>
      </c>
      <c r="L109" s="2">
        <f>SUMPRODUCT($CA109:$DV109,INDEX('MC MAP'!$DA$5:$EV$30,11,0))</f>
        <v>0</v>
      </c>
      <c r="M109" s="2">
        <f>SUMPRODUCT($CA109:$DV109,INDEX('MC MAP'!$DA$5:$EV$30,12,0))</f>
        <v>0</v>
      </c>
      <c r="N109" s="2">
        <f>SUMPRODUCT($CA109:$DV109,INDEX('MC MAP'!$DA$5:$EV$30,13,0))</f>
        <v>0</v>
      </c>
      <c r="O109" s="2">
        <f>SUMPRODUCT($CA109:$DV109,INDEX('MC MAP'!$DA$5:$EV$30,14,0))</f>
        <v>0</v>
      </c>
      <c r="P109" s="2">
        <f>SUMPRODUCT($CA109:$DV109,INDEX('MC MAP'!$DA$5:$EV$30,15,0))</f>
        <v>0</v>
      </c>
      <c r="Q109" s="2">
        <f>SUMPRODUCT($CA109:$DV109,INDEX('MC MAP'!$DA$5:$EV$30,16,0))</f>
        <v>0</v>
      </c>
      <c r="R109" s="2">
        <f>SUMPRODUCT($CA109:$DV109,INDEX('MC MAP'!$DA$5:$EV$30,17,0))</f>
        <v>0</v>
      </c>
      <c r="S109" s="2">
        <f>SUMPRODUCT($CA109:$DV109,INDEX('MC MAP'!$DA$5:$EV$30,18,0))</f>
        <v>0</v>
      </c>
      <c r="T109" s="2">
        <f>SUMPRODUCT($CA109:$DV109,INDEX('MC MAP'!$DA$5:$EV$30,19,0))</f>
        <v>0</v>
      </c>
      <c r="U109" s="2">
        <f>SUMPRODUCT($CA109:$DV109,INDEX('MC MAP'!$DA$5:$EV$30,20,0))</f>
        <v>0</v>
      </c>
      <c r="V109" s="2">
        <f>SUMPRODUCT($CA109:$DV109,INDEX('MC MAP'!$DA$5:$EV$30,21,0))</f>
        <v>0</v>
      </c>
      <c r="W109" s="2">
        <f>SUMPRODUCT($CA109:$DV109,INDEX('MC MAP'!$DA$5:$EV$30,22,0))</f>
        <v>0</v>
      </c>
      <c r="X109" s="2">
        <f>SUMPRODUCT($CA109:$DV109,INDEX('MC MAP'!$DA$5:$EV$30,23,0))</f>
        <v>0</v>
      </c>
      <c r="Y109" s="2">
        <f>SUMPRODUCT($CA109:$DV109,INDEX('MC MAP'!$DA$5:$EV$30,24,0))</f>
        <v>0</v>
      </c>
      <c r="Z109" s="2">
        <f>SUMPRODUCT($CA109:$DV109,INDEX('MC MAP'!$DA$5:$EV$30,25,0))</f>
        <v>0</v>
      </c>
      <c r="AA109" s="2">
        <f>SUMPRODUCT($CA109:$DV109,INDEX('MC MAP'!$DA$5:$EV$30,26,0))</f>
        <v>0</v>
      </c>
      <c r="AB109" s="2">
        <f>SUM($B109:$AA109)</f>
        <v>0</v>
      </c>
      <c r="AC109" s="2">
        <f>SUM($CA109:$DV109)+$AW109</f>
        <v>0</v>
      </c>
      <c r="AW109" s="2">
        <f>IF($A109=0,0,COUNTIF(INDEX('LINE PLAN'!$B$36:$GS$61,0,ROW()-3),"THERMAL - NOT SPECIFIED"))</f>
        <v>0</v>
      </c>
      <c r="AX109" s="506" cm="1">
        <f t="array" ref="AX109">IF(OR($AB109=0,UPPER($BS109)&lt;&gt;"Y"),0,SUMPRODUCT(--($B109:$AA109&gt;$B$205:$AA$205)))</f>
        <v>0</v>
      </c>
      <c r="AY109" s="507">
        <f>$A109</f>
        <v>0</v>
      </c>
      <c r="AZ109" s="2">
        <f>$AB109</f>
        <v>0</v>
      </c>
      <c r="BA109" s="2">
        <f>'MC MASTER'!$C$29</f>
        <v>920</v>
      </c>
      <c r="BQ109" s="509">
        <f>$A109</f>
        <v>0</v>
      </c>
      <c r="BR109" s="15" t="str">
        <f>TEXT($A109,"ddd")</f>
        <v>Sat</v>
      </c>
      <c r="BS109" s="547" t="str">
        <f>IF($A109=0,"",IF(WEEKDAY($A109,2)=7,"N","Y"))</f>
        <v/>
      </c>
      <c r="BT109" s="15">
        <f>IF(UPPER($BS109)="Y",$AB109,0)</f>
        <v>0</v>
      </c>
      <c r="CA109" s="2">
        <f>COUNTIF(INDEX('LINE PLAN'!$B$36:$GS$61,0,ROW()-3),CA$3)</f>
        <v>0</v>
      </c>
      <c r="CB109" s="2">
        <f>COUNTIF(INDEX('LINE PLAN'!$B$36:$GS$61,0,ROW()-3),CB$3)</f>
        <v>0</v>
      </c>
      <c r="CC109" s="2">
        <f>COUNTIF(INDEX('LINE PLAN'!$B$36:$GS$61,0,ROW()-3),CC$3)</f>
        <v>0</v>
      </c>
      <c r="CD109" s="2">
        <f>COUNTIF(INDEX('LINE PLAN'!$B$36:$GS$61,0,ROW()-3),CD$3)</f>
        <v>0</v>
      </c>
      <c r="CE109" s="2">
        <f>COUNTIF(INDEX('LINE PLAN'!$B$36:$GS$61,0,ROW()-3),CE$3)</f>
        <v>0</v>
      </c>
      <c r="CF109" s="2">
        <f>COUNTIF(INDEX('LINE PLAN'!$B$36:$GS$61,0,ROW()-3),CF$3)</f>
        <v>0</v>
      </c>
      <c r="CG109" s="2">
        <f>COUNTIF(INDEX('LINE PLAN'!$B$36:$GS$61,0,ROW()-3),CG$3)</f>
        <v>0</v>
      </c>
      <c r="CH109" s="2">
        <f>COUNTIF(INDEX('LINE PLAN'!$B$36:$GS$61,0,ROW()-3),CH$3)</f>
        <v>0</v>
      </c>
      <c r="CI109" s="2">
        <f>COUNTIF(INDEX('LINE PLAN'!$B$36:$GS$61,0,ROW()-3),CI$3)</f>
        <v>0</v>
      </c>
      <c r="CJ109" s="2">
        <f>COUNTIF(INDEX('LINE PLAN'!$B$36:$GS$61,0,ROW()-3),CJ$3)</f>
        <v>0</v>
      </c>
      <c r="CK109" s="2">
        <f>COUNTIF(INDEX('LINE PLAN'!$B$36:$GS$61,0,ROW()-3),CK$3)</f>
        <v>0</v>
      </c>
      <c r="CL109" s="2">
        <f>COUNTIF(INDEX('LINE PLAN'!$B$36:$GS$61,0,ROW()-3),CL$3)</f>
        <v>0</v>
      </c>
      <c r="CM109" s="2">
        <f>COUNTIF(INDEX('LINE PLAN'!$B$36:$GS$61,0,ROW()-3),CM$3)</f>
        <v>0</v>
      </c>
      <c r="CN109" s="2">
        <f>COUNTIF(INDEX('LINE PLAN'!$B$36:$GS$61,0,ROW()-3),CN$3)</f>
        <v>0</v>
      </c>
      <c r="CO109" s="2">
        <f>COUNTIF(INDEX('LINE PLAN'!$B$36:$GS$61,0,ROW()-3),CO$3)</f>
        <v>0</v>
      </c>
      <c r="CP109" s="2">
        <f>COUNTIF(INDEX('LINE PLAN'!$B$36:$GS$61,0,ROW()-3),CP$3)</f>
        <v>0</v>
      </c>
      <c r="CQ109" s="2">
        <f>COUNTIF(INDEX('LINE PLAN'!$B$36:$GS$61,0,ROW()-3),CQ$3)</f>
        <v>0</v>
      </c>
      <c r="CR109" s="2">
        <f>COUNTIF(INDEX('LINE PLAN'!$B$36:$GS$61,0,ROW()-3),CR$3)</f>
        <v>0</v>
      </c>
      <c r="CS109" s="2">
        <f>COUNTIF(INDEX('LINE PLAN'!$B$36:$GS$61,0,ROW()-3),CS$3)</f>
        <v>0</v>
      </c>
      <c r="CT109" s="2">
        <f>COUNTIF(INDEX('LINE PLAN'!$B$36:$GS$61,0,ROW()-3),CT$3)</f>
        <v>0</v>
      </c>
      <c r="CU109" s="2">
        <f>COUNTIF(INDEX('LINE PLAN'!$B$36:$GS$61,0,ROW()-3),CU$3)</f>
        <v>0</v>
      </c>
      <c r="CV109" s="2">
        <f>COUNTIF(INDEX('LINE PLAN'!$B$36:$GS$61,0,ROW()-3),CV$3)</f>
        <v>0</v>
      </c>
      <c r="CW109" s="2">
        <f>COUNTIF(INDEX('LINE PLAN'!$B$36:$GS$61,0,ROW()-3),CW$3)</f>
        <v>0</v>
      </c>
      <c r="CX109" s="2">
        <f>COUNTIF(INDEX('LINE PLAN'!$B$36:$GS$61,0,ROW()-3),CX$3)</f>
        <v>0</v>
      </c>
      <c r="CY109" s="2">
        <f>COUNTIF(INDEX('LINE PLAN'!$B$36:$GS$61,0,ROW()-3),CY$3)</f>
        <v>0</v>
      </c>
      <c r="CZ109" s="2">
        <f>COUNTIF(INDEX('LINE PLAN'!$B$36:$GS$61,0,ROW()-3),CZ$3)</f>
        <v>0</v>
      </c>
      <c r="DA109" s="2">
        <f>COUNTIF(INDEX('LINE PLAN'!$B$36:$GS$61,0,ROW()-3),DA$3)</f>
        <v>0</v>
      </c>
      <c r="DB109" s="2">
        <f>COUNTIF(INDEX('LINE PLAN'!$B$36:$GS$61,0,ROW()-3),DB$3)</f>
        <v>0</v>
      </c>
      <c r="DC109" s="2">
        <f>COUNTIF(INDEX('LINE PLAN'!$B$36:$GS$61,0,ROW()-3),DC$3)</f>
        <v>0</v>
      </c>
      <c r="DD109" s="2">
        <f>COUNTIF(INDEX('LINE PLAN'!$B$36:$GS$61,0,ROW()-3),DD$3)</f>
        <v>0</v>
      </c>
      <c r="DE109" s="2">
        <f>COUNTIF(INDEX('LINE PLAN'!$B$36:$GS$61,0,ROW()-3),DE$3)</f>
        <v>0</v>
      </c>
      <c r="DF109" s="2">
        <f>COUNTIF(INDEX('LINE PLAN'!$B$36:$GS$61,0,ROW()-3),DF$3)</f>
        <v>0</v>
      </c>
      <c r="DG109" s="2">
        <f>COUNTIF(INDEX('LINE PLAN'!$B$36:$GS$61,0,ROW()-3),DG$3)</f>
        <v>0</v>
      </c>
      <c r="DH109" s="2">
        <f>COUNTIF(INDEX('LINE PLAN'!$B$36:$GS$61,0,ROW()-3),DH$3)</f>
        <v>0</v>
      </c>
      <c r="DI109" s="2">
        <f>COUNTIF(INDEX('LINE PLAN'!$B$36:$GS$61,0,ROW()-3),DI$3)</f>
        <v>0</v>
      </c>
      <c r="DJ109" s="2">
        <f>COUNTIF(INDEX('LINE PLAN'!$B$36:$GS$61,0,ROW()-3),DJ$3)</f>
        <v>0</v>
      </c>
      <c r="DK109" s="2">
        <f>COUNTIF(INDEX('LINE PLAN'!$B$36:$GS$61,0,ROW()-3),DK$3)</f>
        <v>0</v>
      </c>
      <c r="DL109" s="2">
        <f>COUNTIF(INDEX('LINE PLAN'!$B$36:$GS$61,0,ROW()-3),DL$3)</f>
        <v>0</v>
      </c>
      <c r="DM109" s="2">
        <f>COUNTIF(INDEX('LINE PLAN'!$B$36:$GS$61,0,ROW()-3),DM$3)</f>
        <v>0</v>
      </c>
      <c r="DN109" s="2">
        <f>COUNTIF(INDEX('LINE PLAN'!$B$36:$GS$61,0,ROW()-3),DN$3)</f>
        <v>0</v>
      </c>
      <c r="DO109" s="2">
        <f>COUNTIF(INDEX('LINE PLAN'!$B$36:$GS$61,0,ROW()-3),DO$3)</f>
        <v>0</v>
      </c>
      <c r="DP109" s="2">
        <f>COUNTIF(INDEX('LINE PLAN'!$B$36:$GS$61,0,ROW()-3),DP$3)</f>
        <v>0</v>
      </c>
      <c r="DQ109" s="2">
        <f>COUNTIF(INDEX('LINE PLAN'!$B$36:$GS$61,0,ROW()-3),DQ$3)</f>
        <v>0</v>
      </c>
      <c r="DR109" s="2">
        <f>COUNTIF(INDEX('LINE PLAN'!$B$36:$GS$61,0,ROW()-3),DR$3)</f>
        <v>0</v>
      </c>
      <c r="DS109" s="2">
        <f>COUNTIF(INDEX('LINE PLAN'!$B$36:$GS$61,0,ROW()-3),DS$3)</f>
        <v>0</v>
      </c>
      <c r="DT109" s="2">
        <f>COUNTIF(INDEX('LINE PLAN'!$B$36:$GS$61,0,ROW()-3),DT$3)</f>
        <v>0</v>
      </c>
      <c r="DU109" s="2">
        <f>COUNTIF(INDEX('LINE PLAN'!$B$36:$GS$61,0,ROW()-3),DU$3)</f>
        <v>0</v>
      </c>
      <c r="DV109" s="2">
        <f>COUNTIF(INDEX('LINE PLAN'!$B$36:$GS$61,0,ROW()-3),DV$3)</f>
        <v>0</v>
      </c>
    </row>
    <row r="110" spans="1:126">
      <c r="A110" s="505" cm="1">
        <f t="array" ref="A110">INDEX('LINE PLAN'!$B$35:$GS$35,ROW()-3)</f>
        <v>0</v>
      </c>
      <c r="B110" s="2">
        <f>SUMPRODUCT($CA110:$DV110,INDEX('MC MAP'!$DA$5:$EV$30,1,0))</f>
        <v>0</v>
      </c>
      <c r="C110" s="2">
        <f>SUMPRODUCT($CA110:$DV110,INDEX('MC MAP'!$DA$5:$EV$30,2,0))</f>
        <v>0</v>
      </c>
      <c r="D110" s="2">
        <f>SUMPRODUCT($CA110:$DV110,INDEX('MC MAP'!$DA$5:$EV$30,3,0))</f>
        <v>0</v>
      </c>
      <c r="E110" s="2">
        <f>SUMPRODUCT($CA110:$DV110,INDEX('MC MAP'!$DA$5:$EV$30,4,0))</f>
        <v>0</v>
      </c>
      <c r="F110" s="2">
        <f>SUMPRODUCT($CA110:$DV110,INDEX('MC MAP'!$DA$5:$EV$30,5,0))</f>
        <v>0</v>
      </c>
      <c r="G110" s="2">
        <f>SUMPRODUCT($CA110:$DV110,INDEX('MC MAP'!$DA$5:$EV$30,6,0))</f>
        <v>0</v>
      </c>
      <c r="H110" s="2">
        <f>SUMPRODUCT($CA110:$DV110,INDEX('MC MAP'!$DA$5:$EV$30,7,0))</f>
        <v>0</v>
      </c>
      <c r="I110" s="2">
        <f>SUMPRODUCT($CA110:$DV110,INDEX('MC MAP'!$DA$5:$EV$30,8,0))</f>
        <v>0</v>
      </c>
      <c r="J110" s="2">
        <f>SUMPRODUCT($CA110:$DV110,INDEX('MC MAP'!$DA$5:$EV$30,9,0))</f>
        <v>0</v>
      </c>
      <c r="K110" s="2">
        <f>SUMPRODUCT($CA110:$DV110,INDEX('MC MAP'!$DA$5:$EV$30,10,0))</f>
        <v>0</v>
      </c>
      <c r="L110" s="2">
        <f>SUMPRODUCT($CA110:$DV110,INDEX('MC MAP'!$DA$5:$EV$30,11,0))</f>
        <v>0</v>
      </c>
      <c r="M110" s="2">
        <f>SUMPRODUCT($CA110:$DV110,INDEX('MC MAP'!$DA$5:$EV$30,12,0))</f>
        <v>0</v>
      </c>
      <c r="N110" s="2">
        <f>SUMPRODUCT($CA110:$DV110,INDEX('MC MAP'!$DA$5:$EV$30,13,0))</f>
        <v>0</v>
      </c>
      <c r="O110" s="2">
        <f>SUMPRODUCT($CA110:$DV110,INDEX('MC MAP'!$DA$5:$EV$30,14,0))</f>
        <v>0</v>
      </c>
      <c r="P110" s="2">
        <f>SUMPRODUCT($CA110:$DV110,INDEX('MC MAP'!$DA$5:$EV$30,15,0))</f>
        <v>0</v>
      </c>
      <c r="Q110" s="2">
        <f>SUMPRODUCT($CA110:$DV110,INDEX('MC MAP'!$DA$5:$EV$30,16,0))</f>
        <v>0</v>
      </c>
      <c r="R110" s="2">
        <f>SUMPRODUCT($CA110:$DV110,INDEX('MC MAP'!$DA$5:$EV$30,17,0))</f>
        <v>0</v>
      </c>
      <c r="S110" s="2">
        <f>SUMPRODUCT($CA110:$DV110,INDEX('MC MAP'!$DA$5:$EV$30,18,0))</f>
        <v>0</v>
      </c>
      <c r="T110" s="2">
        <f>SUMPRODUCT($CA110:$DV110,INDEX('MC MAP'!$DA$5:$EV$30,19,0))</f>
        <v>0</v>
      </c>
      <c r="U110" s="2">
        <f>SUMPRODUCT($CA110:$DV110,INDEX('MC MAP'!$DA$5:$EV$30,20,0))</f>
        <v>0</v>
      </c>
      <c r="V110" s="2">
        <f>SUMPRODUCT($CA110:$DV110,INDEX('MC MAP'!$DA$5:$EV$30,21,0))</f>
        <v>0</v>
      </c>
      <c r="W110" s="2">
        <f>SUMPRODUCT($CA110:$DV110,INDEX('MC MAP'!$DA$5:$EV$30,22,0))</f>
        <v>0</v>
      </c>
      <c r="X110" s="2">
        <f>SUMPRODUCT($CA110:$DV110,INDEX('MC MAP'!$DA$5:$EV$30,23,0))</f>
        <v>0</v>
      </c>
      <c r="Y110" s="2">
        <f>SUMPRODUCT($CA110:$DV110,INDEX('MC MAP'!$DA$5:$EV$30,24,0))</f>
        <v>0</v>
      </c>
      <c r="Z110" s="2">
        <f>SUMPRODUCT($CA110:$DV110,INDEX('MC MAP'!$DA$5:$EV$30,25,0))</f>
        <v>0</v>
      </c>
      <c r="AA110" s="2">
        <f>SUMPRODUCT($CA110:$DV110,INDEX('MC MAP'!$DA$5:$EV$30,26,0))</f>
        <v>0</v>
      </c>
      <c r="AB110" s="2">
        <f>SUM($B110:$AA110)</f>
        <v>0</v>
      </c>
      <c r="AC110" s="2">
        <f>SUM($CA110:$DV110)+$AW110</f>
        <v>0</v>
      </c>
      <c r="AW110" s="2">
        <f>IF($A110=0,0,COUNTIF(INDEX('LINE PLAN'!$B$36:$GS$61,0,ROW()-3),"THERMAL - NOT SPECIFIED"))</f>
        <v>0</v>
      </c>
      <c r="AX110" s="506" cm="1">
        <f t="array" ref="AX110">IF(OR($AB110=0,UPPER($BS110)&lt;&gt;"Y"),0,SUMPRODUCT(--($B110:$AA110&gt;$B$205:$AA$205)))</f>
        <v>0</v>
      </c>
      <c r="AY110" s="507">
        <f>$A110</f>
        <v>0</v>
      </c>
      <c r="AZ110" s="2">
        <f>$AB110</f>
        <v>0</v>
      </c>
      <c r="BA110" s="2">
        <f>'MC MASTER'!$C$29</f>
        <v>920</v>
      </c>
      <c r="BQ110" s="509">
        <f>$A110</f>
        <v>0</v>
      </c>
      <c r="BR110" s="15" t="str">
        <f>TEXT($A110,"ddd")</f>
        <v>Sat</v>
      </c>
      <c r="BS110" s="547" t="str">
        <f>IF($A110=0,"",IF(WEEKDAY($A110,2)=7,"N","Y"))</f>
        <v/>
      </c>
      <c r="BT110" s="15">
        <f>IF(UPPER($BS110)="Y",$AB110,0)</f>
        <v>0</v>
      </c>
      <c r="CA110" s="2">
        <f>COUNTIF(INDEX('LINE PLAN'!$B$36:$GS$61,0,ROW()-3),CA$3)</f>
        <v>0</v>
      </c>
      <c r="CB110" s="2">
        <f>COUNTIF(INDEX('LINE PLAN'!$B$36:$GS$61,0,ROW()-3),CB$3)</f>
        <v>0</v>
      </c>
      <c r="CC110" s="2">
        <f>COUNTIF(INDEX('LINE PLAN'!$B$36:$GS$61,0,ROW()-3),CC$3)</f>
        <v>0</v>
      </c>
      <c r="CD110" s="2">
        <f>COUNTIF(INDEX('LINE PLAN'!$B$36:$GS$61,0,ROW()-3),CD$3)</f>
        <v>0</v>
      </c>
      <c r="CE110" s="2">
        <f>COUNTIF(INDEX('LINE PLAN'!$B$36:$GS$61,0,ROW()-3),CE$3)</f>
        <v>0</v>
      </c>
      <c r="CF110" s="2">
        <f>COUNTIF(INDEX('LINE PLAN'!$B$36:$GS$61,0,ROW()-3),CF$3)</f>
        <v>0</v>
      </c>
      <c r="CG110" s="2">
        <f>COUNTIF(INDEX('LINE PLAN'!$B$36:$GS$61,0,ROW()-3),CG$3)</f>
        <v>0</v>
      </c>
      <c r="CH110" s="2">
        <f>COUNTIF(INDEX('LINE PLAN'!$B$36:$GS$61,0,ROW()-3),CH$3)</f>
        <v>0</v>
      </c>
      <c r="CI110" s="2">
        <f>COUNTIF(INDEX('LINE PLAN'!$B$36:$GS$61,0,ROW()-3),CI$3)</f>
        <v>0</v>
      </c>
      <c r="CJ110" s="2">
        <f>COUNTIF(INDEX('LINE PLAN'!$B$36:$GS$61,0,ROW()-3),CJ$3)</f>
        <v>0</v>
      </c>
      <c r="CK110" s="2">
        <f>COUNTIF(INDEX('LINE PLAN'!$B$36:$GS$61,0,ROW()-3),CK$3)</f>
        <v>0</v>
      </c>
      <c r="CL110" s="2">
        <f>COUNTIF(INDEX('LINE PLAN'!$B$36:$GS$61,0,ROW()-3),CL$3)</f>
        <v>0</v>
      </c>
      <c r="CM110" s="2">
        <f>COUNTIF(INDEX('LINE PLAN'!$B$36:$GS$61,0,ROW()-3),CM$3)</f>
        <v>0</v>
      </c>
      <c r="CN110" s="2">
        <f>COUNTIF(INDEX('LINE PLAN'!$B$36:$GS$61,0,ROW()-3),CN$3)</f>
        <v>0</v>
      </c>
      <c r="CO110" s="2">
        <f>COUNTIF(INDEX('LINE PLAN'!$B$36:$GS$61,0,ROW()-3),CO$3)</f>
        <v>0</v>
      </c>
      <c r="CP110" s="2">
        <f>COUNTIF(INDEX('LINE PLAN'!$B$36:$GS$61,0,ROW()-3),CP$3)</f>
        <v>0</v>
      </c>
      <c r="CQ110" s="2">
        <f>COUNTIF(INDEX('LINE PLAN'!$B$36:$GS$61,0,ROW()-3),CQ$3)</f>
        <v>0</v>
      </c>
      <c r="CR110" s="2">
        <f>COUNTIF(INDEX('LINE PLAN'!$B$36:$GS$61,0,ROW()-3),CR$3)</f>
        <v>0</v>
      </c>
      <c r="CS110" s="2">
        <f>COUNTIF(INDEX('LINE PLAN'!$B$36:$GS$61,0,ROW()-3),CS$3)</f>
        <v>0</v>
      </c>
      <c r="CT110" s="2">
        <f>COUNTIF(INDEX('LINE PLAN'!$B$36:$GS$61,0,ROW()-3),CT$3)</f>
        <v>0</v>
      </c>
      <c r="CU110" s="2">
        <f>COUNTIF(INDEX('LINE PLAN'!$B$36:$GS$61,0,ROW()-3),CU$3)</f>
        <v>0</v>
      </c>
      <c r="CV110" s="2">
        <f>COUNTIF(INDEX('LINE PLAN'!$B$36:$GS$61,0,ROW()-3),CV$3)</f>
        <v>0</v>
      </c>
      <c r="CW110" s="2">
        <f>COUNTIF(INDEX('LINE PLAN'!$B$36:$GS$61,0,ROW()-3),CW$3)</f>
        <v>0</v>
      </c>
      <c r="CX110" s="2">
        <f>COUNTIF(INDEX('LINE PLAN'!$B$36:$GS$61,0,ROW()-3),CX$3)</f>
        <v>0</v>
      </c>
      <c r="CY110" s="2">
        <f>COUNTIF(INDEX('LINE PLAN'!$B$36:$GS$61,0,ROW()-3),CY$3)</f>
        <v>0</v>
      </c>
      <c r="CZ110" s="2">
        <f>COUNTIF(INDEX('LINE PLAN'!$B$36:$GS$61,0,ROW()-3),CZ$3)</f>
        <v>0</v>
      </c>
      <c r="DA110" s="2">
        <f>COUNTIF(INDEX('LINE PLAN'!$B$36:$GS$61,0,ROW()-3),DA$3)</f>
        <v>0</v>
      </c>
      <c r="DB110" s="2">
        <f>COUNTIF(INDEX('LINE PLAN'!$B$36:$GS$61,0,ROW()-3),DB$3)</f>
        <v>0</v>
      </c>
      <c r="DC110" s="2">
        <f>COUNTIF(INDEX('LINE PLAN'!$B$36:$GS$61,0,ROW()-3),DC$3)</f>
        <v>0</v>
      </c>
      <c r="DD110" s="2">
        <f>COUNTIF(INDEX('LINE PLAN'!$B$36:$GS$61,0,ROW()-3),DD$3)</f>
        <v>0</v>
      </c>
      <c r="DE110" s="2">
        <f>COUNTIF(INDEX('LINE PLAN'!$B$36:$GS$61,0,ROW()-3),DE$3)</f>
        <v>0</v>
      </c>
      <c r="DF110" s="2">
        <f>COUNTIF(INDEX('LINE PLAN'!$B$36:$GS$61,0,ROW()-3),DF$3)</f>
        <v>0</v>
      </c>
      <c r="DG110" s="2">
        <f>COUNTIF(INDEX('LINE PLAN'!$B$36:$GS$61,0,ROW()-3),DG$3)</f>
        <v>0</v>
      </c>
      <c r="DH110" s="2">
        <f>COUNTIF(INDEX('LINE PLAN'!$B$36:$GS$61,0,ROW()-3),DH$3)</f>
        <v>0</v>
      </c>
      <c r="DI110" s="2">
        <f>COUNTIF(INDEX('LINE PLAN'!$B$36:$GS$61,0,ROW()-3),DI$3)</f>
        <v>0</v>
      </c>
      <c r="DJ110" s="2">
        <f>COUNTIF(INDEX('LINE PLAN'!$B$36:$GS$61,0,ROW()-3),DJ$3)</f>
        <v>0</v>
      </c>
      <c r="DK110" s="2">
        <f>COUNTIF(INDEX('LINE PLAN'!$B$36:$GS$61,0,ROW()-3),DK$3)</f>
        <v>0</v>
      </c>
      <c r="DL110" s="2">
        <f>COUNTIF(INDEX('LINE PLAN'!$B$36:$GS$61,0,ROW()-3),DL$3)</f>
        <v>0</v>
      </c>
      <c r="DM110" s="2">
        <f>COUNTIF(INDEX('LINE PLAN'!$B$36:$GS$61,0,ROW()-3),DM$3)</f>
        <v>0</v>
      </c>
      <c r="DN110" s="2">
        <f>COUNTIF(INDEX('LINE PLAN'!$B$36:$GS$61,0,ROW()-3),DN$3)</f>
        <v>0</v>
      </c>
      <c r="DO110" s="2">
        <f>COUNTIF(INDEX('LINE PLAN'!$B$36:$GS$61,0,ROW()-3),DO$3)</f>
        <v>0</v>
      </c>
      <c r="DP110" s="2">
        <f>COUNTIF(INDEX('LINE PLAN'!$B$36:$GS$61,0,ROW()-3),DP$3)</f>
        <v>0</v>
      </c>
      <c r="DQ110" s="2">
        <f>COUNTIF(INDEX('LINE PLAN'!$B$36:$GS$61,0,ROW()-3),DQ$3)</f>
        <v>0</v>
      </c>
      <c r="DR110" s="2">
        <f>COUNTIF(INDEX('LINE PLAN'!$B$36:$GS$61,0,ROW()-3),DR$3)</f>
        <v>0</v>
      </c>
      <c r="DS110" s="2">
        <f>COUNTIF(INDEX('LINE PLAN'!$B$36:$GS$61,0,ROW()-3),DS$3)</f>
        <v>0</v>
      </c>
      <c r="DT110" s="2">
        <f>COUNTIF(INDEX('LINE PLAN'!$B$36:$GS$61,0,ROW()-3),DT$3)</f>
        <v>0</v>
      </c>
      <c r="DU110" s="2">
        <f>COUNTIF(INDEX('LINE PLAN'!$B$36:$GS$61,0,ROW()-3),DU$3)</f>
        <v>0</v>
      </c>
      <c r="DV110" s="2">
        <f>COUNTIF(INDEX('LINE PLAN'!$B$36:$GS$61,0,ROW()-3),DV$3)</f>
        <v>0</v>
      </c>
    </row>
    <row r="111" spans="1:126">
      <c r="A111" s="505" cm="1">
        <f t="array" ref="A111">INDEX('LINE PLAN'!$B$35:$GS$35,ROW()-3)</f>
        <v>0</v>
      </c>
      <c r="B111" s="2">
        <f>SUMPRODUCT($CA111:$DV111,INDEX('MC MAP'!$DA$5:$EV$30,1,0))</f>
        <v>0</v>
      </c>
      <c r="C111" s="2">
        <f>SUMPRODUCT($CA111:$DV111,INDEX('MC MAP'!$DA$5:$EV$30,2,0))</f>
        <v>0</v>
      </c>
      <c r="D111" s="2">
        <f>SUMPRODUCT($CA111:$DV111,INDEX('MC MAP'!$DA$5:$EV$30,3,0))</f>
        <v>0</v>
      </c>
      <c r="E111" s="2">
        <f>SUMPRODUCT($CA111:$DV111,INDEX('MC MAP'!$DA$5:$EV$30,4,0))</f>
        <v>0</v>
      </c>
      <c r="F111" s="2">
        <f>SUMPRODUCT($CA111:$DV111,INDEX('MC MAP'!$DA$5:$EV$30,5,0))</f>
        <v>0</v>
      </c>
      <c r="G111" s="2">
        <f>SUMPRODUCT($CA111:$DV111,INDEX('MC MAP'!$DA$5:$EV$30,6,0))</f>
        <v>0</v>
      </c>
      <c r="H111" s="2">
        <f>SUMPRODUCT($CA111:$DV111,INDEX('MC MAP'!$DA$5:$EV$30,7,0))</f>
        <v>0</v>
      </c>
      <c r="I111" s="2">
        <f>SUMPRODUCT($CA111:$DV111,INDEX('MC MAP'!$DA$5:$EV$30,8,0))</f>
        <v>0</v>
      </c>
      <c r="J111" s="2">
        <f>SUMPRODUCT($CA111:$DV111,INDEX('MC MAP'!$DA$5:$EV$30,9,0))</f>
        <v>0</v>
      </c>
      <c r="K111" s="2">
        <f>SUMPRODUCT($CA111:$DV111,INDEX('MC MAP'!$DA$5:$EV$30,10,0))</f>
        <v>0</v>
      </c>
      <c r="L111" s="2">
        <f>SUMPRODUCT($CA111:$DV111,INDEX('MC MAP'!$DA$5:$EV$30,11,0))</f>
        <v>0</v>
      </c>
      <c r="M111" s="2">
        <f>SUMPRODUCT($CA111:$DV111,INDEX('MC MAP'!$DA$5:$EV$30,12,0))</f>
        <v>0</v>
      </c>
      <c r="N111" s="2">
        <f>SUMPRODUCT($CA111:$DV111,INDEX('MC MAP'!$DA$5:$EV$30,13,0))</f>
        <v>0</v>
      </c>
      <c r="O111" s="2">
        <f>SUMPRODUCT($CA111:$DV111,INDEX('MC MAP'!$DA$5:$EV$30,14,0))</f>
        <v>0</v>
      </c>
      <c r="P111" s="2">
        <f>SUMPRODUCT($CA111:$DV111,INDEX('MC MAP'!$DA$5:$EV$30,15,0))</f>
        <v>0</v>
      </c>
      <c r="Q111" s="2">
        <f>SUMPRODUCT($CA111:$DV111,INDEX('MC MAP'!$DA$5:$EV$30,16,0))</f>
        <v>0</v>
      </c>
      <c r="R111" s="2">
        <f>SUMPRODUCT($CA111:$DV111,INDEX('MC MAP'!$DA$5:$EV$30,17,0))</f>
        <v>0</v>
      </c>
      <c r="S111" s="2">
        <f>SUMPRODUCT($CA111:$DV111,INDEX('MC MAP'!$DA$5:$EV$30,18,0))</f>
        <v>0</v>
      </c>
      <c r="T111" s="2">
        <f>SUMPRODUCT($CA111:$DV111,INDEX('MC MAP'!$DA$5:$EV$30,19,0))</f>
        <v>0</v>
      </c>
      <c r="U111" s="2">
        <f>SUMPRODUCT($CA111:$DV111,INDEX('MC MAP'!$DA$5:$EV$30,20,0))</f>
        <v>0</v>
      </c>
      <c r="V111" s="2">
        <f>SUMPRODUCT($CA111:$DV111,INDEX('MC MAP'!$DA$5:$EV$30,21,0))</f>
        <v>0</v>
      </c>
      <c r="W111" s="2">
        <f>SUMPRODUCT($CA111:$DV111,INDEX('MC MAP'!$DA$5:$EV$30,22,0))</f>
        <v>0</v>
      </c>
      <c r="X111" s="2">
        <f>SUMPRODUCT($CA111:$DV111,INDEX('MC MAP'!$DA$5:$EV$30,23,0))</f>
        <v>0</v>
      </c>
      <c r="Y111" s="2">
        <f>SUMPRODUCT($CA111:$DV111,INDEX('MC MAP'!$DA$5:$EV$30,24,0))</f>
        <v>0</v>
      </c>
      <c r="Z111" s="2">
        <f>SUMPRODUCT($CA111:$DV111,INDEX('MC MAP'!$DA$5:$EV$30,25,0))</f>
        <v>0</v>
      </c>
      <c r="AA111" s="2">
        <f>SUMPRODUCT($CA111:$DV111,INDEX('MC MAP'!$DA$5:$EV$30,26,0))</f>
        <v>0</v>
      </c>
      <c r="AB111" s="2">
        <f>SUM($B111:$AA111)</f>
        <v>0</v>
      </c>
      <c r="AC111" s="2">
        <f>SUM($CA111:$DV111)+$AW111</f>
        <v>0</v>
      </c>
      <c r="AW111" s="2">
        <f>IF($A111=0,0,COUNTIF(INDEX('LINE PLAN'!$B$36:$GS$61,0,ROW()-3),"THERMAL - NOT SPECIFIED"))</f>
        <v>0</v>
      </c>
      <c r="AX111" s="506" cm="1">
        <f t="array" ref="AX111">IF(OR($AB111=0,UPPER($BS111)&lt;&gt;"Y"),0,SUMPRODUCT(--($B111:$AA111&gt;$B$205:$AA$205)))</f>
        <v>0</v>
      </c>
      <c r="AY111" s="507">
        <f>$A111</f>
        <v>0</v>
      </c>
      <c r="AZ111" s="2">
        <f>$AB111</f>
        <v>0</v>
      </c>
      <c r="BA111" s="2">
        <f>'MC MASTER'!$C$29</f>
        <v>920</v>
      </c>
      <c r="BQ111" s="509">
        <f>$A111</f>
        <v>0</v>
      </c>
      <c r="BR111" s="15" t="str">
        <f>TEXT($A111,"ddd")</f>
        <v>Sat</v>
      </c>
      <c r="BS111" s="547" t="str">
        <f>IF($A111=0,"",IF(WEEKDAY($A111,2)=7,"N","Y"))</f>
        <v/>
      </c>
      <c r="BT111" s="15">
        <f>IF(UPPER($BS111)="Y",$AB111,0)</f>
        <v>0</v>
      </c>
      <c r="CA111" s="2">
        <f>COUNTIF(INDEX('LINE PLAN'!$B$36:$GS$61,0,ROW()-3),CA$3)</f>
        <v>0</v>
      </c>
      <c r="CB111" s="2">
        <f>COUNTIF(INDEX('LINE PLAN'!$B$36:$GS$61,0,ROW()-3),CB$3)</f>
        <v>0</v>
      </c>
      <c r="CC111" s="2">
        <f>COUNTIF(INDEX('LINE PLAN'!$B$36:$GS$61,0,ROW()-3),CC$3)</f>
        <v>0</v>
      </c>
      <c r="CD111" s="2">
        <f>COUNTIF(INDEX('LINE PLAN'!$B$36:$GS$61,0,ROW()-3),CD$3)</f>
        <v>0</v>
      </c>
      <c r="CE111" s="2">
        <f>COUNTIF(INDEX('LINE PLAN'!$B$36:$GS$61,0,ROW()-3),CE$3)</f>
        <v>0</v>
      </c>
      <c r="CF111" s="2">
        <f>COUNTIF(INDEX('LINE PLAN'!$B$36:$GS$61,0,ROW()-3),CF$3)</f>
        <v>0</v>
      </c>
      <c r="CG111" s="2">
        <f>COUNTIF(INDEX('LINE PLAN'!$B$36:$GS$61,0,ROW()-3),CG$3)</f>
        <v>0</v>
      </c>
      <c r="CH111" s="2">
        <f>COUNTIF(INDEX('LINE PLAN'!$B$36:$GS$61,0,ROW()-3),CH$3)</f>
        <v>0</v>
      </c>
      <c r="CI111" s="2">
        <f>COUNTIF(INDEX('LINE PLAN'!$B$36:$GS$61,0,ROW()-3),CI$3)</f>
        <v>0</v>
      </c>
      <c r="CJ111" s="2">
        <f>COUNTIF(INDEX('LINE PLAN'!$B$36:$GS$61,0,ROW()-3),CJ$3)</f>
        <v>0</v>
      </c>
      <c r="CK111" s="2">
        <f>COUNTIF(INDEX('LINE PLAN'!$B$36:$GS$61,0,ROW()-3),CK$3)</f>
        <v>0</v>
      </c>
      <c r="CL111" s="2">
        <f>COUNTIF(INDEX('LINE PLAN'!$B$36:$GS$61,0,ROW()-3),CL$3)</f>
        <v>0</v>
      </c>
      <c r="CM111" s="2">
        <f>COUNTIF(INDEX('LINE PLAN'!$B$36:$GS$61,0,ROW()-3),CM$3)</f>
        <v>0</v>
      </c>
      <c r="CN111" s="2">
        <f>COUNTIF(INDEX('LINE PLAN'!$B$36:$GS$61,0,ROW()-3),CN$3)</f>
        <v>0</v>
      </c>
      <c r="CO111" s="2">
        <f>COUNTIF(INDEX('LINE PLAN'!$B$36:$GS$61,0,ROW()-3),CO$3)</f>
        <v>0</v>
      </c>
      <c r="CP111" s="2">
        <f>COUNTIF(INDEX('LINE PLAN'!$B$36:$GS$61,0,ROW()-3),CP$3)</f>
        <v>0</v>
      </c>
      <c r="CQ111" s="2">
        <f>COUNTIF(INDEX('LINE PLAN'!$B$36:$GS$61,0,ROW()-3),CQ$3)</f>
        <v>0</v>
      </c>
      <c r="CR111" s="2">
        <f>COUNTIF(INDEX('LINE PLAN'!$B$36:$GS$61,0,ROW()-3),CR$3)</f>
        <v>0</v>
      </c>
      <c r="CS111" s="2">
        <f>COUNTIF(INDEX('LINE PLAN'!$B$36:$GS$61,0,ROW()-3),CS$3)</f>
        <v>0</v>
      </c>
      <c r="CT111" s="2">
        <f>COUNTIF(INDEX('LINE PLAN'!$B$36:$GS$61,0,ROW()-3),CT$3)</f>
        <v>0</v>
      </c>
      <c r="CU111" s="2">
        <f>COUNTIF(INDEX('LINE PLAN'!$B$36:$GS$61,0,ROW()-3),CU$3)</f>
        <v>0</v>
      </c>
      <c r="CV111" s="2">
        <f>COUNTIF(INDEX('LINE PLAN'!$B$36:$GS$61,0,ROW()-3),CV$3)</f>
        <v>0</v>
      </c>
      <c r="CW111" s="2">
        <f>COUNTIF(INDEX('LINE PLAN'!$B$36:$GS$61,0,ROW()-3),CW$3)</f>
        <v>0</v>
      </c>
      <c r="CX111" s="2">
        <f>COUNTIF(INDEX('LINE PLAN'!$B$36:$GS$61,0,ROW()-3),CX$3)</f>
        <v>0</v>
      </c>
      <c r="CY111" s="2">
        <f>COUNTIF(INDEX('LINE PLAN'!$B$36:$GS$61,0,ROW()-3),CY$3)</f>
        <v>0</v>
      </c>
      <c r="CZ111" s="2">
        <f>COUNTIF(INDEX('LINE PLAN'!$B$36:$GS$61,0,ROW()-3),CZ$3)</f>
        <v>0</v>
      </c>
      <c r="DA111" s="2">
        <f>COUNTIF(INDEX('LINE PLAN'!$B$36:$GS$61,0,ROW()-3),DA$3)</f>
        <v>0</v>
      </c>
      <c r="DB111" s="2">
        <f>COUNTIF(INDEX('LINE PLAN'!$B$36:$GS$61,0,ROW()-3),DB$3)</f>
        <v>0</v>
      </c>
      <c r="DC111" s="2">
        <f>COUNTIF(INDEX('LINE PLAN'!$B$36:$GS$61,0,ROW()-3),DC$3)</f>
        <v>0</v>
      </c>
      <c r="DD111" s="2">
        <f>COUNTIF(INDEX('LINE PLAN'!$B$36:$GS$61,0,ROW()-3),DD$3)</f>
        <v>0</v>
      </c>
      <c r="DE111" s="2">
        <f>COUNTIF(INDEX('LINE PLAN'!$B$36:$GS$61,0,ROW()-3),DE$3)</f>
        <v>0</v>
      </c>
      <c r="DF111" s="2">
        <f>COUNTIF(INDEX('LINE PLAN'!$B$36:$GS$61,0,ROW()-3),DF$3)</f>
        <v>0</v>
      </c>
      <c r="DG111" s="2">
        <f>COUNTIF(INDEX('LINE PLAN'!$B$36:$GS$61,0,ROW()-3),DG$3)</f>
        <v>0</v>
      </c>
      <c r="DH111" s="2">
        <f>COUNTIF(INDEX('LINE PLAN'!$B$36:$GS$61,0,ROW()-3),DH$3)</f>
        <v>0</v>
      </c>
      <c r="DI111" s="2">
        <f>COUNTIF(INDEX('LINE PLAN'!$B$36:$GS$61,0,ROW()-3),DI$3)</f>
        <v>0</v>
      </c>
      <c r="DJ111" s="2">
        <f>COUNTIF(INDEX('LINE PLAN'!$B$36:$GS$61,0,ROW()-3),DJ$3)</f>
        <v>0</v>
      </c>
      <c r="DK111" s="2">
        <f>COUNTIF(INDEX('LINE PLAN'!$B$36:$GS$61,0,ROW()-3),DK$3)</f>
        <v>0</v>
      </c>
      <c r="DL111" s="2">
        <f>COUNTIF(INDEX('LINE PLAN'!$B$36:$GS$61,0,ROW()-3),DL$3)</f>
        <v>0</v>
      </c>
      <c r="DM111" s="2">
        <f>COUNTIF(INDEX('LINE PLAN'!$B$36:$GS$61,0,ROW()-3),DM$3)</f>
        <v>0</v>
      </c>
      <c r="DN111" s="2">
        <f>COUNTIF(INDEX('LINE PLAN'!$B$36:$GS$61,0,ROW()-3),DN$3)</f>
        <v>0</v>
      </c>
      <c r="DO111" s="2">
        <f>COUNTIF(INDEX('LINE PLAN'!$B$36:$GS$61,0,ROW()-3),DO$3)</f>
        <v>0</v>
      </c>
      <c r="DP111" s="2">
        <f>COUNTIF(INDEX('LINE PLAN'!$B$36:$GS$61,0,ROW()-3),DP$3)</f>
        <v>0</v>
      </c>
      <c r="DQ111" s="2">
        <f>COUNTIF(INDEX('LINE PLAN'!$B$36:$GS$61,0,ROW()-3),DQ$3)</f>
        <v>0</v>
      </c>
      <c r="DR111" s="2">
        <f>COUNTIF(INDEX('LINE PLAN'!$B$36:$GS$61,0,ROW()-3),DR$3)</f>
        <v>0</v>
      </c>
      <c r="DS111" s="2">
        <f>COUNTIF(INDEX('LINE PLAN'!$B$36:$GS$61,0,ROW()-3),DS$3)</f>
        <v>0</v>
      </c>
      <c r="DT111" s="2">
        <f>COUNTIF(INDEX('LINE PLAN'!$B$36:$GS$61,0,ROW()-3),DT$3)</f>
        <v>0</v>
      </c>
      <c r="DU111" s="2">
        <f>COUNTIF(INDEX('LINE PLAN'!$B$36:$GS$61,0,ROW()-3),DU$3)</f>
        <v>0</v>
      </c>
      <c r="DV111" s="2">
        <f>COUNTIF(INDEX('LINE PLAN'!$B$36:$GS$61,0,ROW()-3),DV$3)</f>
        <v>0</v>
      </c>
    </row>
    <row r="112" spans="1:126">
      <c r="A112" s="505" cm="1">
        <f t="array" ref="A112">INDEX('LINE PLAN'!$B$35:$GS$35,ROW()-3)</f>
        <v>0</v>
      </c>
      <c r="B112" s="2">
        <f>SUMPRODUCT($CA112:$DV112,INDEX('MC MAP'!$DA$5:$EV$30,1,0))</f>
        <v>0</v>
      </c>
      <c r="C112" s="2">
        <f>SUMPRODUCT($CA112:$DV112,INDEX('MC MAP'!$DA$5:$EV$30,2,0))</f>
        <v>0</v>
      </c>
      <c r="D112" s="2">
        <f>SUMPRODUCT($CA112:$DV112,INDEX('MC MAP'!$DA$5:$EV$30,3,0))</f>
        <v>0</v>
      </c>
      <c r="E112" s="2">
        <f>SUMPRODUCT($CA112:$DV112,INDEX('MC MAP'!$DA$5:$EV$30,4,0))</f>
        <v>0</v>
      </c>
      <c r="F112" s="2">
        <f>SUMPRODUCT($CA112:$DV112,INDEX('MC MAP'!$DA$5:$EV$30,5,0))</f>
        <v>0</v>
      </c>
      <c r="G112" s="2">
        <f>SUMPRODUCT($CA112:$DV112,INDEX('MC MAP'!$DA$5:$EV$30,6,0))</f>
        <v>0</v>
      </c>
      <c r="H112" s="2">
        <f>SUMPRODUCT($CA112:$DV112,INDEX('MC MAP'!$DA$5:$EV$30,7,0))</f>
        <v>0</v>
      </c>
      <c r="I112" s="2">
        <f>SUMPRODUCT($CA112:$DV112,INDEX('MC MAP'!$DA$5:$EV$30,8,0))</f>
        <v>0</v>
      </c>
      <c r="J112" s="2">
        <f>SUMPRODUCT($CA112:$DV112,INDEX('MC MAP'!$DA$5:$EV$30,9,0))</f>
        <v>0</v>
      </c>
      <c r="K112" s="2">
        <f>SUMPRODUCT($CA112:$DV112,INDEX('MC MAP'!$DA$5:$EV$30,10,0))</f>
        <v>0</v>
      </c>
      <c r="L112" s="2">
        <f>SUMPRODUCT($CA112:$DV112,INDEX('MC MAP'!$DA$5:$EV$30,11,0))</f>
        <v>0</v>
      </c>
      <c r="M112" s="2">
        <f>SUMPRODUCT($CA112:$DV112,INDEX('MC MAP'!$DA$5:$EV$30,12,0))</f>
        <v>0</v>
      </c>
      <c r="N112" s="2">
        <f>SUMPRODUCT($CA112:$DV112,INDEX('MC MAP'!$DA$5:$EV$30,13,0))</f>
        <v>0</v>
      </c>
      <c r="O112" s="2">
        <f>SUMPRODUCT($CA112:$DV112,INDEX('MC MAP'!$DA$5:$EV$30,14,0))</f>
        <v>0</v>
      </c>
      <c r="P112" s="2">
        <f>SUMPRODUCT($CA112:$DV112,INDEX('MC MAP'!$DA$5:$EV$30,15,0))</f>
        <v>0</v>
      </c>
      <c r="Q112" s="2">
        <f>SUMPRODUCT($CA112:$DV112,INDEX('MC MAP'!$DA$5:$EV$30,16,0))</f>
        <v>0</v>
      </c>
      <c r="R112" s="2">
        <f>SUMPRODUCT($CA112:$DV112,INDEX('MC MAP'!$DA$5:$EV$30,17,0))</f>
        <v>0</v>
      </c>
      <c r="S112" s="2">
        <f>SUMPRODUCT($CA112:$DV112,INDEX('MC MAP'!$DA$5:$EV$30,18,0))</f>
        <v>0</v>
      </c>
      <c r="T112" s="2">
        <f>SUMPRODUCT($CA112:$DV112,INDEX('MC MAP'!$DA$5:$EV$30,19,0))</f>
        <v>0</v>
      </c>
      <c r="U112" s="2">
        <f>SUMPRODUCT($CA112:$DV112,INDEX('MC MAP'!$DA$5:$EV$30,20,0))</f>
        <v>0</v>
      </c>
      <c r="V112" s="2">
        <f>SUMPRODUCT($CA112:$DV112,INDEX('MC MAP'!$DA$5:$EV$30,21,0))</f>
        <v>0</v>
      </c>
      <c r="W112" s="2">
        <f>SUMPRODUCT($CA112:$DV112,INDEX('MC MAP'!$DA$5:$EV$30,22,0))</f>
        <v>0</v>
      </c>
      <c r="X112" s="2">
        <f>SUMPRODUCT($CA112:$DV112,INDEX('MC MAP'!$DA$5:$EV$30,23,0))</f>
        <v>0</v>
      </c>
      <c r="Y112" s="2">
        <f>SUMPRODUCT($CA112:$DV112,INDEX('MC MAP'!$DA$5:$EV$30,24,0))</f>
        <v>0</v>
      </c>
      <c r="Z112" s="2">
        <f>SUMPRODUCT($CA112:$DV112,INDEX('MC MAP'!$DA$5:$EV$30,25,0))</f>
        <v>0</v>
      </c>
      <c r="AA112" s="2">
        <f>SUMPRODUCT($CA112:$DV112,INDEX('MC MAP'!$DA$5:$EV$30,26,0))</f>
        <v>0</v>
      </c>
      <c r="AB112" s="2">
        <f>SUM($B112:$AA112)</f>
        <v>0</v>
      </c>
      <c r="AC112" s="2">
        <f>SUM($CA112:$DV112)+$AW112</f>
        <v>0</v>
      </c>
      <c r="AW112" s="2">
        <f>IF($A112=0,0,COUNTIF(INDEX('LINE PLAN'!$B$36:$GS$61,0,ROW()-3),"THERMAL - NOT SPECIFIED"))</f>
        <v>0</v>
      </c>
      <c r="AX112" s="506" cm="1">
        <f t="array" ref="AX112">IF(OR($AB112=0,UPPER($BS112)&lt;&gt;"Y"),0,SUMPRODUCT(--($B112:$AA112&gt;$B$205:$AA$205)))</f>
        <v>0</v>
      </c>
      <c r="AY112" s="507">
        <f>$A112</f>
        <v>0</v>
      </c>
      <c r="AZ112" s="2">
        <f>$AB112</f>
        <v>0</v>
      </c>
      <c r="BA112" s="2">
        <f>'MC MASTER'!$C$29</f>
        <v>920</v>
      </c>
      <c r="BQ112" s="509">
        <f>$A112</f>
        <v>0</v>
      </c>
      <c r="BR112" s="15" t="str">
        <f>TEXT($A112,"ddd")</f>
        <v>Sat</v>
      </c>
      <c r="BS112" s="547" t="str">
        <f>IF($A112=0,"",IF(WEEKDAY($A112,2)=7,"N","Y"))</f>
        <v/>
      </c>
      <c r="BT112" s="15">
        <f>IF(UPPER($BS112)="Y",$AB112,0)</f>
        <v>0</v>
      </c>
      <c r="CA112" s="2">
        <f>COUNTIF(INDEX('LINE PLAN'!$B$36:$GS$61,0,ROW()-3),CA$3)</f>
        <v>0</v>
      </c>
      <c r="CB112" s="2">
        <f>COUNTIF(INDEX('LINE PLAN'!$B$36:$GS$61,0,ROW()-3),CB$3)</f>
        <v>0</v>
      </c>
      <c r="CC112" s="2">
        <f>COUNTIF(INDEX('LINE PLAN'!$B$36:$GS$61,0,ROW()-3),CC$3)</f>
        <v>0</v>
      </c>
      <c r="CD112" s="2">
        <f>COUNTIF(INDEX('LINE PLAN'!$B$36:$GS$61,0,ROW()-3),CD$3)</f>
        <v>0</v>
      </c>
      <c r="CE112" s="2">
        <f>COUNTIF(INDEX('LINE PLAN'!$B$36:$GS$61,0,ROW()-3),CE$3)</f>
        <v>0</v>
      </c>
      <c r="CF112" s="2">
        <f>COUNTIF(INDEX('LINE PLAN'!$B$36:$GS$61,0,ROW()-3),CF$3)</f>
        <v>0</v>
      </c>
      <c r="CG112" s="2">
        <f>COUNTIF(INDEX('LINE PLAN'!$B$36:$GS$61,0,ROW()-3),CG$3)</f>
        <v>0</v>
      </c>
      <c r="CH112" s="2">
        <f>COUNTIF(INDEX('LINE PLAN'!$B$36:$GS$61,0,ROW()-3),CH$3)</f>
        <v>0</v>
      </c>
      <c r="CI112" s="2">
        <f>COUNTIF(INDEX('LINE PLAN'!$B$36:$GS$61,0,ROW()-3),CI$3)</f>
        <v>0</v>
      </c>
      <c r="CJ112" s="2">
        <f>COUNTIF(INDEX('LINE PLAN'!$B$36:$GS$61,0,ROW()-3),CJ$3)</f>
        <v>0</v>
      </c>
      <c r="CK112" s="2">
        <f>COUNTIF(INDEX('LINE PLAN'!$B$36:$GS$61,0,ROW()-3),CK$3)</f>
        <v>0</v>
      </c>
      <c r="CL112" s="2">
        <f>COUNTIF(INDEX('LINE PLAN'!$B$36:$GS$61,0,ROW()-3),CL$3)</f>
        <v>0</v>
      </c>
      <c r="CM112" s="2">
        <f>COUNTIF(INDEX('LINE PLAN'!$B$36:$GS$61,0,ROW()-3),CM$3)</f>
        <v>0</v>
      </c>
      <c r="CN112" s="2">
        <f>COUNTIF(INDEX('LINE PLAN'!$B$36:$GS$61,0,ROW()-3),CN$3)</f>
        <v>0</v>
      </c>
      <c r="CO112" s="2">
        <f>COUNTIF(INDEX('LINE PLAN'!$B$36:$GS$61,0,ROW()-3),CO$3)</f>
        <v>0</v>
      </c>
      <c r="CP112" s="2">
        <f>COUNTIF(INDEX('LINE PLAN'!$B$36:$GS$61,0,ROW()-3),CP$3)</f>
        <v>0</v>
      </c>
      <c r="CQ112" s="2">
        <f>COUNTIF(INDEX('LINE PLAN'!$B$36:$GS$61,0,ROW()-3),CQ$3)</f>
        <v>0</v>
      </c>
      <c r="CR112" s="2">
        <f>COUNTIF(INDEX('LINE PLAN'!$B$36:$GS$61,0,ROW()-3),CR$3)</f>
        <v>0</v>
      </c>
      <c r="CS112" s="2">
        <f>COUNTIF(INDEX('LINE PLAN'!$B$36:$GS$61,0,ROW()-3),CS$3)</f>
        <v>0</v>
      </c>
      <c r="CT112" s="2">
        <f>COUNTIF(INDEX('LINE PLAN'!$B$36:$GS$61,0,ROW()-3),CT$3)</f>
        <v>0</v>
      </c>
      <c r="CU112" s="2">
        <f>COUNTIF(INDEX('LINE PLAN'!$B$36:$GS$61,0,ROW()-3),CU$3)</f>
        <v>0</v>
      </c>
      <c r="CV112" s="2">
        <f>COUNTIF(INDEX('LINE PLAN'!$B$36:$GS$61,0,ROW()-3),CV$3)</f>
        <v>0</v>
      </c>
      <c r="CW112" s="2">
        <f>COUNTIF(INDEX('LINE PLAN'!$B$36:$GS$61,0,ROW()-3),CW$3)</f>
        <v>0</v>
      </c>
      <c r="CX112" s="2">
        <f>COUNTIF(INDEX('LINE PLAN'!$B$36:$GS$61,0,ROW()-3),CX$3)</f>
        <v>0</v>
      </c>
      <c r="CY112" s="2">
        <f>COUNTIF(INDEX('LINE PLAN'!$B$36:$GS$61,0,ROW()-3),CY$3)</f>
        <v>0</v>
      </c>
      <c r="CZ112" s="2">
        <f>COUNTIF(INDEX('LINE PLAN'!$B$36:$GS$61,0,ROW()-3),CZ$3)</f>
        <v>0</v>
      </c>
      <c r="DA112" s="2">
        <f>COUNTIF(INDEX('LINE PLAN'!$B$36:$GS$61,0,ROW()-3),DA$3)</f>
        <v>0</v>
      </c>
      <c r="DB112" s="2">
        <f>COUNTIF(INDEX('LINE PLAN'!$B$36:$GS$61,0,ROW()-3),DB$3)</f>
        <v>0</v>
      </c>
      <c r="DC112" s="2">
        <f>COUNTIF(INDEX('LINE PLAN'!$B$36:$GS$61,0,ROW()-3),DC$3)</f>
        <v>0</v>
      </c>
      <c r="DD112" s="2">
        <f>COUNTIF(INDEX('LINE PLAN'!$B$36:$GS$61,0,ROW()-3),DD$3)</f>
        <v>0</v>
      </c>
      <c r="DE112" s="2">
        <f>COUNTIF(INDEX('LINE PLAN'!$B$36:$GS$61,0,ROW()-3),DE$3)</f>
        <v>0</v>
      </c>
      <c r="DF112" s="2">
        <f>COUNTIF(INDEX('LINE PLAN'!$B$36:$GS$61,0,ROW()-3),DF$3)</f>
        <v>0</v>
      </c>
      <c r="DG112" s="2">
        <f>COUNTIF(INDEX('LINE PLAN'!$B$36:$GS$61,0,ROW()-3),DG$3)</f>
        <v>0</v>
      </c>
      <c r="DH112" s="2">
        <f>COUNTIF(INDEX('LINE PLAN'!$B$36:$GS$61,0,ROW()-3),DH$3)</f>
        <v>0</v>
      </c>
      <c r="DI112" s="2">
        <f>COUNTIF(INDEX('LINE PLAN'!$B$36:$GS$61,0,ROW()-3),DI$3)</f>
        <v>0</v>
      </c>
      <c r="DJ112" s="2">
        <f>COUNTIF(INDEX('LINE PLAN'!$B$36:$GS$61,0,ROW()-3),DJ$3)</f>
        <v>0</v>
      </c>
      <c r="DK112" s="2">
        <f>COUNTIF(INDEX('LINE PLAN'!$B$36:$GS$61,0,ROW()-3),DK$3)</f>
        <v>0</v>
      </c>
      <c r="DL112" s="2">
        <f>COUNTIF(INDEX('LINE PLAN'!$B$36:$GS$61,0,ROW()-3),DL$3)</f>
        <v>0</v>
      </c>
      <c r="DM112" s="2">
        <f>COUNTIF(INDEX('LINE PLAN'!$B$36:$GS$61,0,ROW()-3),DM$3)</f>
        <v>0</v>
      </c>
      <c r="DN112" s="2">
        <f>COUNTIF(INDEX('LINE PLAN'!$B$36:$GS$61,0,ROW()-3),DN$3)</f>
        <v>0</v>
      </c>
      <c r="DO112" s="2">
        <f>COUNTIF(INDEX('LINE PLAN'!$B$36:$GS$61,0,ROW()-3),DO$3)</f>
        <v>0</v>
      </c>
      <c r="DP112" s="2">
        <f>COUNTIF(INDEX('LINE PLAN'!$B$36:$GS$61,0,ROW()-3),DP$3)</f>
        <v>0</v>
      </c>
      <c r="DQ112" s="2">
        <f>COUNTIF(INDEX('LINE PLAN'!$B$36:$GS$61,0,ROW()-3),DQ$3)</f>
        <v>0</v>
      </c>
      <c r="DR112" s="2">
        <f>COUNTIF(INDEX('LINE PLAN'!$B$36:$GS$61,0,ROW()-3),DR$3)</f>
        <v>0</v>
      </c>
      <c r="DS112" s="2">
        <f>COUNTIF(INDEX('LINE PLAN'!$B$36:$GS$61,0,ROW()-3),DS$3)</f>
        <v>0</v>
      </c>
      <c r="DT112" s="2">
        <f>COUNTIF(INDEX('LINE PLAN'!$B$36:$GS$61,0,ROW()-3),DT$3)</f>
        <v>0</v>
      </c>
      <c r="DU112" s="2">
        <f>COUNTIF(INDEX('LINE PLAN'!$B$36:$GS$61,0,ROW()-3),DU$3)</f>
        <v>0</v>
      </c>
      <c r="DV112" s="2">
        <f>COUNTIF(INDEX('LINE PLAN'!$B$36:$GS$61,0,ROW()-3),DV$3)</f>
        <v>0</v>
      </c>
    </row>
    <row r="113" spans="1:126">
      <c r="A113" s="505" cm="1">
        <f t="array" ref="A113">INDEX('LINE PLAN'!$B$35:$GS$35,ROW()-3)</f>
        <v>0</v>
      </c>
      <c r="B113" s="2">
        <f>SUMPRODUCT($CA113:$DV113,INDEX('MC MAP'!$DA$5:$EV$30,1,0))</f>
        <v>0</v>
      </c>
      <c r="C113" s="2">
        <f>SUMPRODUCT($CA113:$DV113,INDEX('MC MAP'!$DA$5:$EV$30,2,0))</f>
        <v>0</v>
      </c>
      <c r="D113" s="2">
        <f>SUMPRODUCT($CA113:$DV113,INDEX('MC MAP'!$DA$5:$EV$30,3,0))</f>
        <v>0</v>
      </c>
      <c r="E113" s="2">
        <f>SUMPRODUCT($CA113:$DV113,INDEX('MC MAP'!$DA$5:$EV$30,4,0))</f>
        <v>0</v>
      </c>
      <c r="F113" s="2">
        <f>SUMPRODUCT($CA113:$DV113,INDEX('MC MAP'!$DA$5:$EV$30,5,0))</f>
        <v>0</v>
      </c>
      <c r="G113" s="2">
        <f>SUMPRODUCT($CA113:$DV113,INDEX('MC MAP'!$DA$5:$EV$30,6,0))</f>
        <v>0</v>
      </c>
      <c r="H113" s="2">
        <f>SUMPRODUCT($CA113:$DV113,INDEX('MC MAP'!$DA$5:$EV$30,7,0))</f>
        <v>0</v>
      </c>
      <c r="I113" s="2">
        <f>SUMPRODUCT($CA113:$DV113,INDEX('MC MAP'!$DA$5:$EV$30,8,0))</f>
        <v>0</v>
      </c>
      <c r="J113" s="2">
        <f>SUMPRODUCT($CA113:$DV113,INDEX('MC MAP'!$DA$5:$EV$30,9,0))</f>
        <v>0</v>
      </c>
      <c r="K113" s="2">
        <f>SUMPRODUCT($CA113:$DV113,INDEX('MC MAP'!$DA$5:$EV$30,10,0))</f>
        <v>0</v>
      </c>
      <c r="L113" s="2">
        <f>SUMPRODUCT($CA113:$DV113,INDEX('MC MAP'!$DA$5:$EV$30,11,0))</f>
        <v>0</v>
      </c>
      <c r="M113" s="2">
        <f>SUMPRODUCT($CA113:$DV113,INDEX('MC MAP'!$DA$5:$EV$30,12,0))</f>
        <v>0</v>
      </c>
      <c r="N113" s="2">
        <f>SUMPRODUCT($CA113:$DV113,INDEX('MC MAP'!$DA$5:$EV$30,13,0))</f>
        <v>0</v>
      </c>
      <c r="O113" s="2">
        <f>SUMPRODUCT($CA113:$DV113,INDEX('MC MAP'!$DA$5:$EV$30,14,0))</f>
        <v>0</v>
      </c>
      <c r="P113" s="2">
        <f>SUMPRODUCT($CA113:$DV113,INDEX('MC MAP'!$DA$5:$EV$30,15,0))</f>
        <v>0</v>
      </c>
      <c r="Q113" s="2">
        <f>SUMPRODUCT($CA113:$DV113,INDEX('MC MAP'!$DA$5:$EV$30,16,0))</f>
        <v>0</v>
      </c>
      <c r="R113" s="2">
        <f>SUMPRODUCT($CA113:$DV113,INDEX('MC MAP'!$DA$5:$EV$30,17,0))</f>
        <v>0</v>
      </c>
      <c r="S113" s="2">
        <f>SUMPRODUCT($CA113:$DV113,INDEX('MC MAP'!$DA$5:$EV$30,18,0))</f>
        <v>0</v>
      </c>
      <c r="T113" s="2">
        <f>SUMPRODUCT($CA113:$DV113,INDEX('MC MAP'!$DA$5:$EV$30,19,0))</f>
        <v>0</v>
      </c>
      <c r="U113" s="2">
        <f>SUMPRODUCT($CA113:$DV113,INDEX('MC MAP'!$DA$5:$EV$30,20,0))</f>
        <v>0</v>
      </c>
      <c r="V113" s="2">
        <f>SUMPRODUCT($CA113:$DV113,INDEX('MC MAP'!$DA$5:$EV$30,21,0))</f>
        <v>0</v>
      </c>
      <c r="W113" s="2">
        <f>SUMPRODUCT($CA113:$DV113,INDEX('MC MAP'!$DA$5:$EV$30,22,0))</f>
        <v>0</v>
      </c>
      <c r="X113" s="2">
        <f>SUMPRODUCT($CA113:$DV113,INDEX('MC MAP'!$DA$5:$EV$30,23,0))</f>
        <v>0</v>
      </c>
      <c r="Y113" s="2">
        <f>SUMPRODUCT($CA113:$DV113,INDEX('MC MAP'!$DA$5:$EV$30,24,0))</f>
        <v>0</v>
      </c>
      <c r="Z113" s="2">
        <f>SUMPRODUCT($CA113:$DV113,INDEX('MC MAP'!$DA$5:$EV$30,25,0))</f>
        <v>0</v>
      </c>
      <c r="AA113" s="2">
        <f>SUMPRODUCT($CA113:$DV113,INDEX('MC MAP'!$DA$5:$EV$30,26,0))</f>
        <v>0</v>
      </c>
      <c r="AB113" s="2">
        <f>SUM($B113:$AA113)</f>
        <v>0</v>
      </c>
      <c r="AC113" s="2">
        <f>SUM($CA113:$DV113)+$AW113</f>
        <v>0</v>
      </c>
      <c r="AW113" s="2">
        <f>IF($A113=0,0,COUNTIF(INDEX('LINE PLAN'!$B$36:$GS$61,0,ROW()-3),"THERMAL - NOT SPECIFIED"))</f>
        <v>0</v>
      </c>
      <c r="AX113" s="506" cm="1">
        <f t="array" ref="AX113">IF(OR($AB113=0,UPPER($BS113)&lt;&gt;"Y"),0,SUMPRODUCT(--($B113:$AA113&gt;$B$205:$AA$205)))</f>
        <v>0</v>
      </c>
      <c r="AY113" s="507">
        <f>$A113</f>
        <v>0</v>
      </c>
      <c r="AZ113" s="2">
        <f>$AB113</f>
        <v>0</v>
      </c>
      <c r="BA113" s="2">
        <f>'MC MASTER'!$C$29</f>
        <v>920</v>
      </c>
      <c r="BQ113" s="509">
        <f>$A113</f>
        <v>0</v>
      </c>
      <c r="BR113" s="15" t="str">
        <f>TEXT($A113,"ddd")</f>
        <v>Sat</v>
      </c>
      <c r="BS113" s="547" t="str">
        <f>IF($A113=0,"",IF(WEEKDAY($A113,2)=7,"N","Y"))</f>
        <v/>
      </c>
      <c r="BT113" s="15">
        <f>IF(UPPER($BS113)="Y",$AB113,0)</f>
        <v>0</v>
      </c>
      <c r="CA113" s="2">
        <f>COUNTIF(INDEX('LINE PLAN'!$B$36:$GS$61,0,ROW()-3),CA$3)</f>
        <v>0</v>
      </c>
      <c r="CB113" s="2">
        <f>COUNTIF(INDEX('LINE PLAN'!$B$36:$GS$61,0,ROW()-3),CB$3)</f>
        <v>0</v>
      </c>
      <c r="CC113" s="2">
        <f>COUNTIF(INDEX('LINE PLAN'!$B$36:$GS$61,0,ROW()-3),CC$3)</f>
        <v>0</v>
      </c>
      <c r="CD113" s="2">
        <f>COUNTIF(INDEX('LINE PLAN'!$B$36:$GS$61,0,ROW()-3),CD$3)</f>
        <v>0</v>
      </c>
      <c r="CE113" s="2">
        <f>COUNTIF(INDEX('LINE PLAN'!$B$36:$GS$61,0,ROW()-3),CE$3)</f>
        <v>0</v>
      </c>
      <c r="CF113" s="2">
        <f>COUNTIF(INDEX('LINE PLAN'!$B$36:$GS$61,0,ROW()-3),CF$3)</f>
        <v>0</v>
      </c>
      <c r="CG113" s="2">
        <f>COUNTIF(INDEX('LINE PLAN'!$B$36:$GS$61,0,ROW()-3),CG$3)</f>
        <v>0</v>
      </c>
      <c r="CH113" s="2">
        <f>COUNTIF(INDEX('LINE PLAN'!$B$36:$GS$61,0,ROW()-3),CH$3)</f>
        <v>0</v>
      </c>
      <c r="CI113" s="2">
        <f>COUNTIF(INDEX('LINE PLAN'!$B$36:$GS$61,0,ROW()-3),CI$3)</f>
        <v>0</v>
      </c>
      <c r="CJ113" s="2">
        <f>COUNTIF(INDEX('LINE PLAN'!$B$36:$GS$61,0,ROW()-3),CJ$3)</f>
        <v>0</v>
      </c>
      <c r="CK113" s="2">
        <f>COUNTIF(INDEX('LINE PLAN'!$B$36:$GS$61,0,ROW()-3),CK$3)</f>
        <v>0</v>
      </c>
      <c r="CL113" s="2">
        <f>COUNTIF(INDEX('LINE PLAN'!$B$36:$GS$61,0,ROW()-3),CL$3)</f>
        <v>0</v>
      </c>
      <c r="CM113" s="2">
        <f>COUNTIF(INDEX('LINE PLAN'!$B$36:$GS$61,0,ROW()-3),CM$3)</f>
        <v>0</v>
      </c>
      <c r="CN113" s="2">
        <f>COUNTIF(INDEX('LINE PLAN'!$B$36:$GS$61,0,ROW()-3),CN$3)</f>
        <v>0</v>
      </c>
      <c r="CO113" s="2">
        <f>COUNTIF(INDEX('LINE PLAN'!$B$36:$GS$61,0,ROW()-3),CO$3)</f>
        <v>0</v>
      </c>
      <c r="CP113" s="2">
        <f>COUNTIF(INDEX('LINE PLAN'!$B$36:$GS$61,0,ROW()-3),CP$3)</f>
        <v>0</v>
      </c>
      <c r="CQ113" s="2">
        <f>COUNTIF(INDEX('LINE PLAN'!$B$36:$GS$61,0,ROW()-3),CQ$3)</f>
        <v>0</v>
      </c>
      <c r="CR113" s="2">
        <f>COUNTIF(INDEX('LINE PLAN'!$B$36:$GS$61,0,ROW()-3),CR$3)</f>
        <v>0</v>
      </c>
      <c r="CS113" s="2">
        <f>COUNTIF(INDEX('LINE PLAN'!$B$36:$GS$61,0,ROW()-3),CS$3)</f>
        <v>0</v>
      </c>
      <c r="CT113" s="2">
        <f>COUNTIF(INDEX('LINE PLAN'!$B$36:$GS$61,0,ROW()-3),CT$3)</f>
        <v>0</v>
      </c>
      <c r="CU113" s="2">
        <f>COUNTIF(INDEX('LINE PLAN'!$B$36:$GS$61,0,ROW()-3),CU$3)</f>
        <v>0</v>
      </c>
      <c r="CV113" s="2">
        <f>COUNTIF(INDEX('LINE PLAN'!$B$36:$GS$61,0,ROW()-3),CV$3)</f>
        <v>0</v>
      </c>
      <c r="CW113" s="2">
        <f>COUNTIF(INDEX('LINE PLAN'!$B$36:$GS$61,0,ROW()-3),CW$3)</f>
        <v>0</v>
      </c>
      <c r="CX113" s="2">
        <f>COUNTIF(INDEX('LINE PLAN'!$B$36:$GS$61,0,ROW()-3),CX$3)</f>
        <v>0</v>
      </c>
      <c r="CY113" s="2">
        <f>COUNTIF(INDEX('LINE PLAN'!$B$36:$GS$61,0,ROW()-3),CY$3)</f>
        <v>0</v>
      </c>
      <c r="CZ113" s="2">
        <f>COUNTIF(INDEX('LINE PLAN'!$B$36:$GS$61,0,ROW()-3),CZ$3)</f>
        <v>0</v>
      </c>
      <c r="DA113" s="2">
        <f>COUNTIF(INDEX('LINE PLAN'!$B$36:$GS$61,0,ROW()-3),DA$3)</f>
        <v>0</v>
      </c>
      <c r="DB113" s="2">
        <f>COUNTIF(INDEX('LINE PLAN'!$B$36:$GS$61,0,ROW()-3),DB$3)</f>
        <v>0</v>
      </c>
      <c r="DC113" s="2">
        <f>COUNTIF(INDEX('LINE PLAN'!$B$36:$GS$61,0,ROW()-3),DC$3)</f>
        <v>0</v>
      </c>
      <c r="DD113" s="2">
        <f>COUNTIF(INDEX('LINE PLAN'!$B$36:$GS$61,0,ROW()-3),DD$3)</f>
        <v>0</v>
      </c>
      <c r="DE113" s="2">
        <f>COUNTIF(INDEX('LINE PLAN'!$B$36:$GS$61,0,ROW()-3),DE$3)</f>
        <v>0</v>
      </c>
      <c r="DF113" s="2">
        <f>COUNTIF(INDEX('LINE PLAN'!$B$36:$GS$61,0,ROW()-3),DF$3)</f>
        <v>0</v>
      </c>
      <c r="DG113" s="2">
        <f>COUNTIF(INDEX('LINE PLAN'!$B$36:$GS$61,0,ROW()-3),DG$3)</f>
        <v>0</v>
      </c>
      <c r="DH113" s="2">
        <f>COUNTIF(INDEX('LINE PLAN'!$B$36:$GS$61,0,ROW()-3),DH$3)</f>
        <v>0</v>
      </c>
      <c r="DI113" s="2">
        <f>COUNTIF(INDEX('LINE PLAN'!$B$36:$GS$61,0,ROW()-3),DI$3)</f>
        <v>0</v>
      </c>
      <c r="DJ113" s="2">
        <f>COUNTIF(INDEX('LINE PLAN'!$B$36:$GS$61,0,ROW()-3),DJ$3)</f>
        <v>0</v>
      </c>
      <c r="DK113" s="2">
        <f>COUNTIF(INDEX('LINE PLAN'!$B$36:$GS$61,0,ROW()-3),DK$3)</f>
        <v>0</v>
      </c>
      <c r="DL113" s="2">
        <f>COUNTIF(INDEX('LINE PLAN'!$B$36:$GS$61,0,ROW()-3),DL$3)</f>
        <v>0</v>
      </c>
      <c r="DM113" s="2">
        <f>COUNTIF(INDEX('LINE PLAN'!$B$36:$GS$61,0,ROW()-3),DM$3)</f>
        <v>0</v>
      </c>
      <c r="DN113" s="2">
        <f>COUNTIF(INDEX('LINE PLAN'!$B$36:$GS$61,0,ROW()-3),DN$3)</f>
        <v>0</v>
      </c>
      <c r="DO113" s="2">
        <f>COUNTIF(INDEX('LINE PLAN'!$B$36:$GS$61,0,ROW()-3),DO$3)</f>
        <v>0</v>
      </c>
      <c r="DP113" s="2">
        <f>COUNTIF(INDEX('LINE PLAN'!$B$36:$GS$61,0,ROW()-3),DP$3)</f>
        <v>0</v>
      </c>
      <c r="DQ113" s="2">
        <f>COUNTIF(INDEX('LINE PLAN'!$B$36:$GS$61,0,ROW()-3),DQ$3)</f>
        <v>0</v>
      </c>
      <c r="DR113" s="2">
        <f>COUNTIF(INDEX('LINE PLAN'!$B$36:$GS$61,0,ROW()-3),DR$3)</f>
        <v>0</v>
      </c>
      <c r="DS113" s="2">
        <f>COUNTIF(INDEX('LINE PLAN'!$B$36:$GS$61,0,ROW()-3),DS$3)</f>
        <v>0</v>
      </c>
      <c r="DT113" s="2">
        <f>COUNTIF(INDEX('LINE PLAN'!$B$36:$GS$61,0,ROW()-3),DT$3)</f>
        <v>0</v>
      </c>
      <c r="DU113" s="2">
        <f>COUNTIF(INDEX('LINE PLAN'!$B$36:$GS$61,0,ROW()-3),DU$3)</f>
        <v>0</v>
      </c>
      <c r="DV113" s="2">
        <f>COUNTIF(INDEX('LINE PLAN'!$B$36:$GS$61,0,ROW()-3),DV$3)</f>
        <v>0</v>
      </c>
    </row>
    <row r="114" spans="1:126">
      <c r="A114" s="505" cm="1">
        <f t="array" ref="A114">INDEX('LINE PLAN'!$B$35:$GS$35,ROW()-3)</f>
        <v>0</v>
      </c>
      <c r="B114" s="2">
        <f>SUMPRODUCT($CA114:$DV114,INDEX('MC MAP'!$DA$5:$EV$30,1,0))</f>
        <v>0</v>
      </c>
      <c r="C114" s="2">
        <f>SUMPRODUCT($CA114:$DV114,INDEX('MC MAP'!$DA$5:$EV$30,2,0))</f>
        <v>0</v>
      </c>
      <c r="D114" s="2">
        <f>SUMPRODUCT($CA114:$DV114,INDEX('MC MAP'!$DA$5:$EV$30,3,0))</f>
        <v>0</v>
      </c>
      <c r="E114" s="2">
        <f>SUMPRODUCT($CA114:$DV114,INDEX('MC MAP'!$DA$5:$EV$30,4,0))</f>
        <v>0</v>
      </c>
      <c r="F114" s="2">
        <f>SUMPRODUCT($CA114:$DV114,INDEX('MC MAP'!$DA$5:$EV$30,5,0))</f>
        <v>0</v>
      </c>
      <c r="G114" s="2">
        <f>SUMPRODUCT($CA114:$DV114,INDEX('MC MAP'!$DA$5:$EV$30,6,0))</f>
        <v>0</v>
      </c>
      <c r="H114" s="2">
        <f>SUMPRODUCT($CA114:$DV114,INDEX('MC MAP'!$DA$5:$EV$30,7,0))</f>
        <v>0</v>
      </c>
      <c r="I114" s="2">
        <f>SUMPRODUCT($CA114:$DV114,INDEX('MC MAP'!$DA$5:$EV$30,8,0))</f>
        <v>0</v>
      </c>
      <c r="J114" s="2">
        <f>SUMPRODUCT($CA114:$DV114,INDEX('MC MAP'!$DA$5:$EV$30,9,0))</f>
        <v>0</v>
      </c>
      <c r="K114" s="2">
        <f>SUMPRODUCT($CA114:$DV114,INDEX('MC MAP'!$DA$5:$EV$30,10,0))</f>
        <v>0</v>
      </c>
      <c r="L114" s="2">
        <f>SUMPRODUCT($CA114:$DV114,INDEX('MC MAP'!$DA$5:$EV$30,11,0))</f>
        <v>0</v>
      </c>
      <c r="M114" s="2">
        <f>SUMPRODUCT($CA114:$DV114,INDEX('MC MAP'!$DA$5:$EV$30,12,0))</f>
        <v>0</v>
      </c>
      <c r="N114" s="2">
        <f>SUMPRODUCT($CA114:$DV114,INDEX('MC MAP'!$DA$5:$EV$30,13,0))</f>
        <v>0</v>
      </c>
      <c r="O114" s="2">
        <f>SUMPRODUCT($CA114:$DV114,INDEX('MC MAP'!$DA$5:$EV$30,14,0))</f>
        <v>0</v>
      </c>
      <c r="P114" s="2">
        <f>SUMPRODUCT($CA114:$DV114,INDEX('MC MAP'!$DA$5:$EV$30,15,0))</f>
        <v>0</v>
      </c>
      <c r="Q114" s="2">
        <f>SUMPRODUCT($CA114:$DV114,INDEX('MC MAP'!$DA$5:$EV$30,16,0))</f>
        <v>0</v>
      </c>
      <c r="R114" s="2">
        <f>SUMPRODUCT($CA114:$DV114,INDEX('MC MAP'!$DA$5:$EV$30,17,0))</f>
        <v>0</v>
      </c>
      <c r="S114" s="2">
        <f>SUMPRODUCT($CA114:$DV114,INDEX('MC MAP'!$DA$5:$EV$30,18,0))</f>
        <v>0</v>
      </c>
      <c r="T114" s="2">
        <f>SUMPRODUCT($CA114:$DV114,INDEX('MC MAP'!$DA$5:$EV$30,19,0))</f>
        <v>0</v>
      </c>
      <c r="U114" s="2">
        <f>SUMPRODUCT($CA114:$DV114,INDEX('MC MAP'!$DA$5:$EV$30,20,0))</f>
        <v>0</v>
      </c>
      <c r="V114" s="2">
        <f>SUMPRODUCT($CA114:$DV114,INDEX('MC MAP'!$DA$5:$EV$30,21,0))</f>
        <v>0</v>
      </c>
      <c r="W114" s="2">
        <f>SUMPRODUCT($CA114:$DV114,INDEX('MC MAP'!$DA$5:$EV$30,22,0))</f>
        <v>0</v>
      </c>
      <c r="X114" s="2">
        <f>SUMPRODUCT($CA114:$DV114,INDEX('MC MAP'!$DA$5:$EV$30,23,0))</f>
        <v>0</v>
      </c>
      <c r="Y114" s="2">
        <f>SUMPRODUCT($CA114:$DV114,INDEX('MC MAP'!$DA$5:$EV$30,24,0))</f>
        <v>0</v>
      </c>
      <c r="Z114" s="2">
        <f>SUMPRODUCT($CA114:$DV114,INDEX('MC MAP'!$DA$5:$EV$30,25,0))</f>
        <v>0</v>
      </c>
      <c r="AA114" s="2">
        <f>SUMPRODUCT($CA114:$DV114,INDEX('MC MAP'!$DA$5:$EV$30,26,0))</f>
        <v>0</v>
      </c>
      <c r="AB114" s="2">
        <f>SUM($B114:$AA114)</f>
        <v>0</v>
      </c>
      <c r="AC114" s="2">
        <f>SUM($CA114:$DV114)+$AW114</f>
        <v>0</v>
      </c>
      <c r="AW114" s="2">
        <f>IF($A114=0,0,COUNTIF(INDEX('LINE PLAN'!$B$36:$GS$61,0,ROW()-3),"THERMAL - NOT SPECIFIED"))</f>
        <v>0</v>
      </c>
      <c r="AX114" s="506" cm="1">
        <f t="array" ref="AX114">IF(OR($AB114=0,UPPER($BS114)&lt;&gt;"Y"),0,SUMPRODUCT(--($B114:$AA114&gt;$B$205:$AA$205)))</f>
        <v>0</v>
      </c>
      <c r="AY114" s="507">
        <f>$A114</f>
        <v>0</v>
      </c>
      <c r="AZ114" s="2">
        <f>$AB114</f>
        <v>0</v>
      </c>
      <c r="BA114" s="2">
        <f>'MC MASTER'!$C$29</f>
        <v>920</v>
      </c>
      <c r="BQ114" s="509">
        <f>$A114</f>
        <v>0</v>
      </c>
      <c r="BR114" s="15" t="str">
        <f>TEXT($A114,"ddd")</f>
        <v>Sat</v>
      </c>
      <c r="BS114" s="547" t="str">
        <f>IF($A114=0,"",IF(WEEKDAY($A114,2)=7,"N","Y"))</f>
        <v/>
      </c>
      <c r="BT114" s="15">
        <f>IF(UPPER($BS114)="Y",$AB114,0)</f>
        <v>0</v>
      </c>
      <c r="CA114" s="2">
        <f>COUNTIF(INDEX('LINE PLAN'!$B$36:$GS$61,0,ROW()-3),CA$3)</f>
        <v>0</v>
      </c>
      <c r="CB114" s="2">
        <f>COUNTIF(INDEX('LINE PLAN'!$B$36:$GS$61,0,ROW()-3),CB$3)</f>
        <v>0</v>
      </c>
      <c r="CC114" s="2">
        <f>COUNTIF(INDEX('LINE PLAN'!$B$36:$GS$61,0,ROW()-3),CC$3)</f>
        <v>0</v>
      </c>
      <c r="CD114" s="2">
        <f>COUNTIF(INDEX('LINE PLAN'!$B$36:$GS$61,0,ROW()-3),CD$3)</f>
        <v>0</v>
      </c>
      <c r="CE114" s="2">
        <f>COUNTIF(INDEX('LINE PLAN'!$B$36:$GS$61,0,ROW()-3),CE$3)</f>
        <v>0</v>
      </c>
      <c r="CF114" s="2">
        <f>COUNTIF(INDEX('LINE PLAN'!$B$36:$GS$61,0,ROW()-3),CF$3)</f>
        <v>0</v>
      </c>
      <c r="CG114" s="2">
        <f>COUNTIF(INDEX('LINE PLAN'!$B$36:$GS$61,0,ROW()-3),CG$3)</f>
        <v>0</v>
      </c>
      <c r="CH114" s="2">
        <f>COUNTIF(INDEX('LINE PLAN'!$B$36:$GS$61,0,ROW()-3),CH$3)</f>
        <v>0</v>
      </c>
      <c r="CI114" s="2">
        <f>COUNTIF(INDEX('LINE PLAN'!$B$36:$GS$61,0,ROW()-3),CI$3)</f>
        <v>0</v>
      </c>
      <c r="CJ114" s="2">
        <f>COUNTIF(INDEX('LINE PLAN'!$B$36:$GS$61,0,ROW()-3),CJ$3)</f>
        <v>0</v>
      </c>
      <c r="CK114" s="2">
        <f>COUNTIF(INDEX('LINE PLAN'!$B$36:$GS$61,0,ROW()-3),CK$3)</f>
        <v>0</v>
      </c>
      <c r="CL114" s="2">
        <f>COUNTIF(INDEX('LINE PLAN'!$B$36:$GS$61,0,ROW()-3),CL$3)</f>
        <v>0</v>
      </c>
      <c r="CM114" s="2">
        <f>COUNTIF(INDEX('LINE PLAN'!$B$36:$GS$61,0,ROW()-3),CM$3)</f>
        <v>0</v>
      </c>
      <c r="CN114" s="2">
        <f>COUNTIF(INDEX('LINE PLAN'!$B$36:$GS$61,0,ROW()-3),CN$3)</f>
        <v>0</v>
      </c>
      <c r="CO114" s="2">
        <f>COUNTIF(INDEX('LINE PLAN'!$B$36:$GS$61,0,ROW()-3),CO$3)</f>
        <v>0</v>
      </c>
      <c r="CP114" s="2">
        <f>COUNTIF(INDEX('LINE PLAN'!$B$36:$GS$61,0,ROW()-3),CP$3)</f>
        <v>0</v>
      </c>
      <c r="CQ114" s="2">
        <f>COUNTIF(INDEX('LINE PLAN'!$B$36:$GS$61,0,ROW()-3),CQ$3)</f>
        <v>0</v>
      </c>
      <c r="CR114" s="2">
        <f>COUNTIF(INDEX('LINE PLAN'!$B$36:$GS$61,0,ROW()-3),CR$3)</f>
        <v>0</v>
      </c>
      <c r="CS114" s="2">
        <f>COUNTIF(INDEX('LINE PLAN'!$B$36:$GS$61,0,ROW()-3),CS$3)</f>
        <v>0</v>
      </c>
      <c r="CT114" s="2">
        <f>COUNTIF(INDEX('LINE PLAN'!$B$36:$GS$61,0,ROW()-3),CT$3)</f>
        <v>0</v>
      </c>
      <c r="CU114" s="2">
        <f>COUNTIF(INDEX('LINE PLAN'!$B$36:$GS$61,0,ROW()-3),CU$3)</f>
        <v>0</v>
      </c>
      <c r="CV114" s="2">
        <f>COUNTIF(INDEX('LINE PLAN'!$B$36:$GS$61,0,ROW()-3),CV$3)</f>
        <v>0</v>
      </c>
      <c r="CW114" s="2">
        <f>COUNTIF(INDEX('LINE PLAN'!$B$36:$GS$61,0,ROW()-3),CW$3)</f>
        <v>0</v>
      </c>
      <c r="CX114" s="2">
        <f>COUNTIF(INDEX('LINE PLAN'!$B$36:$GS$61,0,ROW()-3),CX$3)</f>
        <v>0</v>
      </c>
      <c r="CY114" s="2">
        <f>COUNTIF(INDEX('LINE PLAN'!$B$36:$GS$61,0,ROW()-3),CY$3)</f>
        <v>0</v>
      </c>
      <c r="CZ114" s="2">
        <f>COUNTIF(INDEX('LINE PLAN'!$B$36:$GS$61,0,ROW()-3),CZ$3)</f>
        <v>0</v>
      </c>
      <c r="DA114" s="2">
        <f>COUNTIF(INDEX('LINE PLAN'!$B$36:$GS$61,0,ROW()-3),DA$3)</f>
        <v>0</v>
      </c>
      <c r="DB114" s="2">
        <f>COUNTIF(INDEX('LINE PLAN'!$B$36:$GS$61,0,ROW()-3),DB$3)</f>
        <v>0</v>
      </c>
      <c r="DC114" s="2">
        <f>COUNTIF(INDEX('LINE PLAN'!$B$36:$GS$61,0,ROW()-3),DC$3)</f>
        <v>0</v>
      </c>
      <c r="DD114" s="2">
        <f>COUNTIF(INDEX('LINE PLAN'!$B$36:$GS$61,0,ROW()-3),DD$3)</f>
        <v>0</v>
      </c>
      <c r="DE114" s="2">
        <f>COUNTIF(INDEX('LINE PLAN'!$B$36:$GS$61,0,ROW()-3),DE$3)</f>
        <v>0</v>
      </c>
      <c r="DF114" s="2">
        <f>COUNTIF(INDEX('LINE PLAN'!$B$36:$GS$61,0,ROW()-3),DF$3)</f>
        <v>0</v>
      </c>
      <c r="DG114" s="2">
        <f>COUNTIF(INDEX('LINE PLAN'!$B$36:$GS$61,0,ROW()-3),DG$3)</f>
        <v>0</v>
      </c>
      <c r="DH114" s="2">
        <f>COUNTIF(INDEX('LINE PLAN'!$B$36:$GS$61,0,ROW()-3),DH$3)</f>
        <v>0</v>
      </c>
      <c r="DI114" s="2">
        <f>COUNTIF(INDEX('LINE PLAN'!$B$36:$GS$61,0,ROW()-3),DI$3)</f>
        <v>0</v>
      </c>
      <c r="DJ114" s="2">
        <f>COUNTIF(INDEX('LINE PLAN'!$B$36:$GS$61,0,ROW()-3),DJ$3)</f>
        <v>0</v>
      </c>
      <c r="DK114" s="2">
        <f>COUNTIF(INDEX('LINE PLAN'!$B$36:$GS$61,0,ROW()-3),DK$3)</f>
        <v>0</v>
      </c>
      <c r="DL114" s="2">
        <f>COUNTIF(INDEX('LINE PLAN'!$B$36:$GS$61,0,ROW()-3),DL$3)</f>
        <v>0</v>
      </c>
      <c r="DM114" s="2">
        <f>COUNTIF(INDEX('LINE PLAN'!$B$36:$GS$61,0,ROW()-3),DM$3)</f>
        <v>0</v>
      </c>
      <c r="DN114" s="2">
        <f>COUNTIF(INDEX('LINE PLAN'!$B$36:$GS$61,0,ROW()-3),DN$3)</f>
        <v>0</v>
      </c>
      <c r="DO114" s="2">
        <f>COUNTIF(INDEX('LINE PLAN'!$B$36:$GS$61,0,ROW()-3),DO$3)</f>
        <v>0</v>
      </c>
      <c r="DP114" s="2">
        <f>COUNTIF(INDEX('LINE PLAN'!$B$36:$GS$61,0,ROW()-3),DP$3)</f>
        <v>0</v>
      </c>
      <c r="DQ114" s="2">
        <f>COUNTIF(INDEX('LINE PLAN'!$B$36:$GS$61,0,ROW()-3),DQ$3)</f>
        <v>0</v>
      </c>
      <c r="DR114" s="2">
        <f>COUNTIF(INDEX('LINE PLAN'!$B$36:$GS$61,0,ROW()-3),DR$3)</f>
        <v>0</v>
      </c>
      <c r="DS114" s="2">
        <f>COUNTIF(INDEX('LINE PLAN'!$B$36:$GS$61,0,ROW()-3),DS$3)</f>
        <v>0</v>
      </c>
      <c r="DT114" s="2">
        <f>COUNTIF(INDEX('LINE PLAN'!$B$36:$GS$61,0,ROW()-3),DT$3)</f>
        <v>0</v>
      </c>
      <c r="DU114" s="2">
        <f>COUNTIF(INDEX('LINE PLAN'!$B$36:$GS$61,0,ROW()-3),DU$3)</f>
        <v>0</v>
      </c>
      <c r="DV114" s="2">
        <f>COUNTIF(INDEX('LINE PLAN'!$B$36:$GS$61,0,ROW()-3),DV$3)</f>
        <v>0</v>
      </c>
    </row>
    <row r="115" spans="1:126">
      <c r="A115" s="505" cm="1">
        <f t="array" ref="A115">INDEX('LINE PLAN'!$B$35:$GS$35,ROW()-3)</f>
        <v>0</v>
      </c>
      <c r="B115" s="2">
        <f>SUMPRODUCT($CA115:$DV115,INDEX('MC MAP'!$DA$5:$EV$30,1,0))</f>
        <v>0</v>
      </c>
      <c r="C115" s="2">
        <f>SUMPRODUCT($CA115:$DV115,INDEX('MC MAP'!$DA$5:$EV$30,2,0))</f>
        <v>0</v>
      </c>
      <c r="D115" s="2">
        <f>SUMPRODUCT($CA115:$DV115,INDEX('MC MAP'!$DA$5:$EV$30,3,0))</f>
        <v>0</v>
      </c>
      <c r="E115" s="2">
        <f>SUMPRODUCT($CA115:$DV115,INDEX('MC MAP'!$DA$5:$EV$30,4,0))</f>
        <v>0</v>
      </c>
      <c r="F115" s="2">
        <f>SUMPRODUCT($CA115:$DV115,INDEX('MC MAP'!$DA$5:$EV$30,5,0))</f>
        <v>0</v>
      </c>
      <c r="G115" s="2">
        <f>SUMPRODUCT($CA115:$DV115,INDEX('MC MAP'!$DA$5:$EV$30,6,0))</f>
        <v>0</v>
      </c>
      <c r="H115" s="2">
        <f>SUMPRODUCT($CA115:$DV115,INDEX('MC MAP'!$DA$5:$EV$30,7,0))</f>
        <v>0</v>
      </c>
      <c r="I115" s="2">
        <f>SUMPRODUCT($CA115:$DV115,INDEX('MC MAP'!$DA$5:$EV$30,8,0))</f>
        <v>0</v>
      </c>
      <c r="J115" s="2">
        <f>SUMPRODUCT($CA115:$DV115,INDEX('MC MAP'!$DA$5:$EV$30,9,0))</f>
        <v>0</v>
      </c>
      <c r="K115" s="2">
        <f>SUMPRODUCT($CA115:$DV115,INDEX('MC MAP'!$DA$5:$EV$30,10,0))</f>
        <v>0</v>
      </c>
      <c r="L115" s="2">
        <f>SUMPRODUCT($CA115:$DV115,INDEX('MC MAP'!$DA$5:$EV$30,11,0))</f>
        <v>0</v>
      </c>
      <c r="M115" s="2">
        <f>SUMPRODUCT($CA115:$DV115,INDEX('MC MAP'!$DA$5:$EV$30,12,0))</f>
        <v>0</v>
      </c>
      <c r="N115" s="2">
        <f>SUMPRODUCT($CA115:$DV115,INDEX('MC MAP'!$DA$5:$EV$30,13,0))</f>
        <v>0</v>
      </c>
      <c r="O115" s="2">
        <f>SUMPRODUCT($CA115:$DV115,INDEX('MC MAP'!$DA$5:$EV$30,14,0))</f>
        <v>0</v>
      </c>
      <c r="P115" s="2">
        <f>SUMPRODUCT($CA115:$DV115,INDEX('MC MAP'!$DA$5:$EV$30,15,0))</f>
        <v>0</v>
      </c>
      <c r="Q115" s="2">
        <f>SUMPRODUCT($CA115:$DV115,INDEX('MC MAP'!$DA$5:$EV$30,16,0))</f>
        <v>0</v>
      </c>
      <c r="R115" s="2">
        <f>SUMPRODUCT($CA115:$DV115,INDEX('MC MAP'!$DA$5:$EV$30,17,0))</f>
        <v>0</v>
      </c>
      <c r="S115" s="2">
        <f>SUMPRODUCT($CA115:$DV115,INDEX('MC MAP'!$DA$5:$EV$30,18,0))</f>
        <v>0</v>
      </c>
      <c r="T115" s="2">
        <f>SUMPRODUCT($CA115:$DV115,INDEX('MC MAP'!$DA$5:$EV$30,19,0))</f>
        <v>0</v>
      </c>
      <c r="U115" s="2">
        <f>SUMPRODUCT($CA115:$DV115,INDEX('MC MAP'!$DA$5:$EV$30,20,0))</f>
        <v>0</v>
      </c>
      <c r="V115" s="2">
        <f>SUMPRODUCT($CA115:$DV115,INDEX('MC MAP'!$DA$5:$EV$30,21,0))</f>
        <v>0</v>
      </c>
      <c r="W115" s="2">
        <f>SUMPRODUCT($CA115:$DV115,INDEX('MC MAP'!$DA$5:$EV$30,22,0))</f>
        <v>0</v>
      </c>
      <c r="X115" s="2">
        <f>SUMPRODUCT($CA115:$DV115,INDEX('MC MAP'!$DA$5:$EV$30,23,0))</f>
        <v>0</v>
      </c>
      <c r="Y115" s="2">
        <f>SUMPRODUCT($CA115:$DV115,INDEX('MC MAP'!$DA$5:$EV$30,24,0))</f>
        <v>0</v>
      </c>
      <c r="Z115" s="2">
        <f>SUMPRODUCT($CA115:$DV115,INDEX('MC MAP'!$DA$5:$EV$30,25,0))</f>
        <v>0</v>
      </c>
      <c r="AA115" s="2">
        <f>SUMPRODUCT($CA115:$DV115,INDEX('MC MAP'!$DA$5:$EV$30,26,0))</f>
        <v>0</v>
      </c>
      <c r="AB115" s="2">
        <f>SUM($B115:$AA115)</f>
        <v>0</v>
      </c>
      <c r="AC115" s="2">
        <f>SUM($CA115:$DV115)+$AW115</f>
        <v>0</v>
      </c>
      <c r="AW115" s="2">
        <f>IF($A115=0,0,COUNTIF(INDEX('LINE PLAN'!$B$36:$GS$61,0,ROW()-3),"THERMAL - NOT SPECIFIED"))</f>
        <v>0</v>
      </c>
      <c r="AX115" s="506" cm="1">
        <f t="array" ref="AX115">IF(OR($AB115=0,UPPER($BS115)&lt;&gt;"Y"),0,SUMPRODUCT(--($B115:$AA115&gt;$B$205:$AA$205)))</f>
        <v>0</v>
      </c>
      <c r="AY115" s="507">
        <f>$A115</f>
        <v>0</v>
      </c>
      <c r="AZ115" s="2">
        <f>$AB115</f>
        <v>0</v>
      </c>
      <c r="BA115" s="2">
        <f>'MC MASTER'!$C$29</f>
        <v>920</v>
      </c>
      <c r="BQ115" s="509">
        <f>$A115</f>
        <v>0</v>
      </c>
      <c r="BR115" s="15" t="str">
        <f>TEXT($A115,"ddd")</f>
        <v>Sat</v>
      </c>
      <c r="BS115" s="547" t="str">
        <f>IF($A115=0,"",IF(WEEKDAY($A115,2)=7,"N","Y"))</f>
        <v/>
      </c>
      <c r="BT115" s="15">
        <f>IF(UPPER($BS115)="Y",$AB115,0)</f>
        <v>0</v>
      </c>
      <c r="CA115" s="2">
        <f>COUNTIF(INDEX('LINE PLAN'!$B$36:$GS$61,0,ROW()-3),CA$3)</f>
        <v>0</v>
      </c>
      <c r="CB115" s="2">
        <f>COUNTIF(INDEX('LINE PLAN'!$B$36:$GS$61,0,ROW()-3),CB$3)</f>
        <v>0</v>
      </c>
      <c r="CC115" s="2">
        <f>COUNTIF(INDEX('LINE PLAN'!$B$36:$GS$61,0,ROW()-3),CC$3)</f>
        <v>0</v>
      </c>
      <c r="CD115" s="2">
        <f>COUNTIF(INDEX('LINE PLAN'!$B$36:$GS$61,0,ROW()-3),CD$3)</f>
        <v>0</v>
      </c>
      <c r="CE115" s="2">
        <f>COUNTIF(INDEX('LINE PLAN'!$B$36:$GS$61,0,ROW()-3),CE$3)</f>
        <v>0</v>
      </c>
      <c r="CF115" s="2">
        <f>COUNTIF(INDEX('LINE PLAN'!$B$36:$GS$61,0,ROW()-3),CF$3)</f>
        <v>0</v>
      </c>
      <c r="CG115" s="2">
        <f>COUNTIF(INDEX('LINE PLAN'!$B$36:$GS$61,0,ROW()-3),CG$3)</f>
        <v>0</v>
      </c>
      <c r="CH115" s="2">
        <f>COUNTIF(INDEX('LINE PLAN'!$B$36:$GS$61,0,ROW()-3),CH$3)</f>
        <v>0</v>
      </c>
      <c r="CI115" s="2">
        <f>COUNTIF(INDEX('LINE PLAN'!$B$36:$GS$61,0,ROW()-3),CI$3)</f>
        <v>0</v>
      </c>
      <c r="CJ115" s="2">
        <f>COUNTIF(INDEX('LINE PLAN'!$B$36:$GS$61,0,ROW()-3),CJ$3)</f>
        <v>0</v>
      </c>
      <c r="CK115" s="2">
        <f>COUNTIF(INDEX('LINE PLAN'!$B$36:$GS$61,0,ROW()-3),CK$3)</f>
        <v>0</v>
      </c>
      <c r="CL115" s="2">
        <f>COUNTIF(INDEX('LINE PLAN'!$B$36:$GS$61,0,ROW()-3),CL$3)</f>
        <v>0</v>
      </c>
      <c r="CM115" s="2">
        <f>COUNTIF(INDEX('LINE PLAN'!$B$36:$GS$61,0,ROW()-3),CM$3)</f>
        <v>0</v>
      </c>
      <c r="CN115" s="2">
        <f>COUNTIF(INDEX('LINE PLAN'!$B$36:$GS$61,0,ROW()-3),CN$3)</f>
        <v>0</v>
      </c>
      <c r="CO115" s="2">
        <f>COUNTIF(INDEX('LINE PLAN'!$B$36:$GS$61,0,ROW()-3),CO$3)</f>
        <v>0</v>
      </c>
      <c r="CP115" s="2">
        <f>COUNTIF(INDEX('LINE PLAN'!$B$36:$GS$61,0,ROW()-3),CP$3)</f>
        <v>0</v>
      </c>
      <c r="CQ115" s="2">
        <f>COUNTIF(INDEX('LINE PLAN'!$B$36:$GS$61,0,ROW()-3),CQ$3)</f>
        <v>0</v>
      </c>
      <c r="CR115" s="2">
        <f>COUNTIF(INDEX('LINE PLAN'!$B$36:$GS$61,0,ROW()-3),CR$3)</f>
        <v>0</v>
      </c>
      <c r="CS115" s="2">
        <f>COUNTIF(INDEX('LINE PLAN'!$B$36:$GS$61,0,ROW()-3),CS$3)</f>
        <v>0</v>
      </c>
      <c r="CT115" s="2">
        <f>COUNTIF(INDEX('LINE PLAN'!$B$36:$GS$61,0,ROW()-3),CT$3)</f>
        <v>0</v>
      </c>
      <c r="CU115" s="2">
        <f>COUNTIF(INDEX('LINE PLAN'!$B$36:$GS$61,0,ROW()-3),CU$3)</f>
        <v>0</v>
      </c>
      <c r="CV115" s="2">
        <f>COUNTIF(INDEX('LINE PLAN'!$B$36:$GS$61,0,ROW()-3),CV$3)</f>
        <v>0</v>
      </c>
      <c r="CW115" s="2">
        <f>COUNTIF(INDEX('LINE PLAN'!$B$36:$GS$61,0,ROW()-3),CW$3)</f>
        <v>0</v>
      </c>
      <c r="CX115" s="2">
        <f>COUNTIF(INDEX('LINE PLAN'!$B$36:$GS$61,0,ROW()-3),CX$3)</f>
        <v>0</v>
      </c>
      <c r="CY115" s="2">
        <f>COUNTIF(INDEX('LINE PLAN'!$B$36:$GS$61,0,ROW()-3),CY$3)</f>
        <v>0</v>
      </c>
      <c r="CZ115" s="2">
        <f>COUNTIF(INDEX('LINE PLAN'!$B$36:$GS$61,0,ROW()-3),CZ$3)</f>
        <v>0</v>
      </c>
      <c r="DA115" s="2">
        <f>COUNTIF(INDEX('LINE PLAN'!$B$36:$GS$61,0,ROW()-3),DA$3)</f>
        <v>0</v>
      </c>
      <c r="DB115" s="2">
        <f>COUNTIF(INDEX('LINE PLAN'!$B$36:$GS$61,0,ROW()-3),DB$3)</f>
        <v>0</v>
      </c>
      <c r="DC115" s="2">
        <f>COUNTIF(INDEX('LINE PLAN'!$B$36:$GS$61,0,ROW()-3),DC$3)</f>
        <v>0</v>
      </c>
      <c r="DD115" s="2">
        <f>COUNTIF(INDEX('LINE PLAN'!$B$36:$GS$61,0,ROW()-3),DD$3)</f>
        <v>0</v>
      </c>
      <c r="DE115" s="2">
        <f>COUNTIF(INDEX('LINE PLAN'!$B$36:$GS$61,0,ROW()-3),DE$3)</f>
        <v>0</v>
      </c>
      <c r="DF115" s="2">
        <f>COUNTIF(INDEX('LINE PLAN'!$B$36:$GS$61,0,ROW()-3),DF$3)</f>
        <v>0</v>
      </c>
      <c r="DG115" s="2">
        <f>COUNTIF(INDEX('LINE PLAN'!$B$36:$GS$61,0,ROW()-3),DG$3)</f>
        <v>0</v>
      </c>
      <c r="DH115" s="2">
        <f>COUNTIF(INDEX('LINE PLAN'!$B$36:$GS$61,0,ROW()-3),DH$3)</f>
        <v>0</v>
      </c>
      <c r="DI115" s="2">
        <f>COUNTIF(INDEX('LINE PLAN'!$B$36:$GS$61,0,ROW()-3),DI$3)</f>
        <v>0</v>
      </c>
      <c r="DJ115" s="2">
        <f>COUNTIF(INDEX('LINE PLAN'!$B$36:$GS$61,0,ROW()-3),DJ$3)</f>
        <v>0</v>
      </c>
      <c r="DK115" s="2">
        <f>COUNTIF(INDEX('LINE PLAN'!$B$36:$GS$61,0,ROW()-3),DK$3)</f>
        <v>0</v>
      </c>
      <c r="DL115" s="2">
        <f>COUNTIF(INDEX('LINE PLAN'!$B$36:$GS$61,0,ROW()-3),DL$3)</f>
        <v>0</v>
      </c>
      <c r="DM115" s="2">
        <f>COUNTIF(INDEX('LINE PLAN'!$B$36:$GS$61,0,ROW()-3),DM$3)</f>
        <v>0</v>
      </c>
      <c r="DN115" s="2">
        <f>COUNTIF(INDEX('LINE PLAN'!$B$36:$GS$61,0,ROW()-3),DN$3)</f>
        <v>0</v>
      </c>
      <c r="DO115" s="2">
        <f>COUNTIF(INDEX('LINE PLAN'!$B$36:$GS$61,0,ROW()-3),DO$3)</f>
        <v>0</v>
      </c>
      <c r="DP115" s="2">
        <f>COUNTIF(INDEX('LINE PLAN'!$B$36:$GS$61,0,ROW()-3),DP$3)</f>
        <v>0</v>
      </c>
      <c r="DQ115" s="2">
        <f>COUNTIF(INDEX('LINE PLAN'!$B$36:$GS$61,0,ROW()-3),DQ$3)</f>
        <v>0</v>
      </c>
      <c r="DR115" s="2">
        <f>COUNTIF(INDEX('LINE PLAN'!$B$36:$GS$61,0,ROW()-3),DR$3)</f>
        <v>0</v>
      </c>
      <c r="DS115" s="2">
        <f>COUNTIF(INDEX('LINE PLAN'!$B$36:$GS$61,0,ROW()-3),DS$3)</f>
        <v>0</v>
      </c>
      <c r="DT115" s="2">
        <f>COUNTIF(INDEX('LINE PLAN'!$B$36:$GS$61,0,ROW()-3),DT$3)</f>
        <v>0</v>
      </c>
      <c r="DU115" s="2">
        <f>COUNTIF(INDEX('LINE PLAN'!$B$36:$GS$61,0,ROW()-3),DU$3)</f>
        <v>0</v>
      </c>
      <c r="DV115" s="2">
        <f>COUNTIF(INDEX('LINE PLAN'!$B$36:$GS$61,0,ROW()-3),DV$3)</f>
        <v>0</v>
      </c>
    </row>
    <row r="116" spans="1:126">
      <c r="A116" s="505" cm="1">
        <f t="array" ref="A116">INDEX('LINE PLAN'!$B$35:$GS$35,ROW()-3)</f>
        <v>0</v>
      </c>
      <c r="B116" s="2">
        <f>SUMPRODUCT($CA116:$DV116,INDEX('MC MAP'!$DA$5:$EV$30,1,0))</f>
        <v>0</v>
      </c>
      <c r="C116" s="2">
        <f>SUMPRODUCT($CA116:$DV116,INDEX('MC MAP'!$DA$5:$EV$30,2,0))</f>
        <v>0</v>
      </c>
      <c r="D116" s="2">
        <f>SUMPRODUCT($CA116:$DV116,INDEX('MC MAP'!$DA$5:$EV$30,3,0))</f>
        <v>0</v>
      </c>
      <c r="E116" s="2">
        <f>SUMPRODUCT($CA116:$DV116,INDEX('MC MAP'!$DA$5:$EV$30,4,0))</f>
        <v>0</v>
      </c>
      <c r="F116" s="2">
        <f>SUMPRODUCT($CA116:$DV116,INDEX('MC MAP'!$DA$5:$EV$30,5,0))</f>
        <v>0</v>
      </c>
      <c r="G116" s="2">
        <f>SUMPRODUCT($CA116:$DV116,INDEX('MC MAP'!$DA$5:$EV$30,6,0))</f>
        <v>0</v>
      </c>
      <c r="H116" s="2">
        <f>SUMPRODUCT($CA116:$DV116,INDEX('MC MAP'!$DA$5:$EV$30,7,0))</f>
        <v>0</v>
      </c>
      <c r="I116" s="2">
        <f>SUMPRODUCT($CA116:$DV116,INDEX('MC MAP'!$DA$5:$EV$30,8,0))</f>
        <v>0</v>
      </c>
      <c r="J116" s="2">
        <f>SUMPRODUCT($CA116:$DV116,INDEX('MC MAP'!$DA$5:$EV$30,9,0))</f>
        <v>0</v>
      </c>
      <c r="K116" s="2">
        <f>SUMPRODUCT($CA116:$DV116,INDEX('MC MAP'!$DA$5:$EV$30,10,0))</f>
        <v>0</v>
      </c>
      <c r="L116" s="2">
        <f>SUMPRODUCT($CA116:$DV116,INDEX('MC MAP'!$DA$5:$EV$30,11,0))</f>
        <v>0</v>
      </c>
      <c r="M116" s="2">
        <f>SUMPRODUCT($CA116:$DV116,INDEX('MC MAP'!$DA$5:$EV$30,12,0))</f>
        <v>0</v>
      </c>
      <c r="N116" s="2">
        <f>SUMPRODUCT($CA116:$DV116,INDEX('MC MAP'!$DA$5:$EV$30,13,0))</f>
        <v>0</v>
      </c>
      <c r="O116" s="2">
        <f>SUMPRODUCT($CA116:$DV116,INDEX('MC MAP'!$DA$5:$EV$30,14,0))</f>
        <v>0</v>
      </c>
      <c r="P116" s="2">
        <f>SUMPRODUCT($CA116:$DV116,INDEX('MC MAP'!$DA$5:$EV$30,15,0))</f>
        <v>0</v>
      </c>
      <c r="Q116" s="2">
        <f>SUMPRODUCT($CA116:$DV116,INDEX('MC MAP'!$DA$5:$EV$30,16,0))</f>
        <v>0</v>
      </c>
      <c r="R116" s="2">
        <f>SUMPRODUCT($CA116:$DV116,INDEX('MC MAP'!$DA$5:$EV$30,17,0))</f>
        <v>0</v>
      </c>
      <c r="S116" s="2">
        <f>SUMPRODUCT($CA116:$DV116,INDEX('MC MAP'!$DA$5:$EV$30,18,0))</f>
        <v>0</v>
      </c>
      <c r="T116" s="2">
        <f>SUMPRODUCT($CA116:$DV116,INDEX('MC MAP'!$DA$5:$EV$30,19,0))</f>
        <v>0</v>
      </c>
      <c r="U116" s="2">
        <f>SUMPRODUCT($CA116:$DV116,INDEX('MC MAP'!$DA$5:$EV$30,20,0))</f>
        <v>0</v>
      </c>
      <c r="V116" s="2">
        <f>SUMPRODUCT($CA116:$DV116,INDEX('MC MAP'!$DA$5:$EV$30,21,0))</f>
        <v>0</v>
      </c>
      <c r="W116" s="2">
        <f>SUMPRODUCT($CA116:$DV116,INDEX('MC MAP'!$DA$5:$EV$30,22,0))</f>
        <v>0</v>
      </c>
      <c r="X116" s="2">
        <f>SUMPRODUCT($CA116:$DV116,INDEX('MC MAP'!$DA$5:$EV$30,23,0))</f>
        <v>0</v>
      </c>
      <c r="Y116" s="2">
        <f>SUMPRODUCT($CA116:$DV116,INDEX('MC MAP'!$DA$5:$EV$30,24,0))</f>
        <v>0</v>
      </c>
      <c r="Z116" s="2">
        <f>SUMPRODUCT($CA116:$DV116,INDEX('MC MAP'!$DA$5:$EV$30,25,0))</f>
        <v>0</v>
      </c>
      <c r="AA116" s="2">
        <f>SUMPRODUCT($CA116:$DV116,INDEX('MC MAP'!$DA$5:$EV$30,26,0))</f>
        <v>0</v>
      </c>
      <c r="AB116" s="2">
        <f>SUM($B116:$AA116)</f>
        <v>0</v>
      </c>
      <c r="AC116" s="2">
        <f>SUM($CA116:$DV116)+$AW116</f>
        <v>0</v>
      </c>
      <c r="AW116" s="2">
        <f>IF($A116=0,0,COUNTIF(INDEX('LINE PLAN'!$B$36:$GS$61,0,ROW()-3),"THERMAL - NOT SPECIFIED"))</f>
        <v>0</v>
      </c>
      <c r="AX116" s="506" cm="1">
        <f t="array" ref="AX116">IF(OR($AB116=0,UPPER($BS116)&lt;&gt;"Y"),0,SUMPRODUCT(--($B116:$AA116&gt;$B$205:$AA$205)))</f>
        <v>0</v>
      </c>
      <c r="AY116" s="507">
        <f>$A116</f>
        <v>0</v>
      </c>
      <c r="AZ116" s="2">
        <f>$AB116</f>
        <v>0</v>
      </c>
      <c r="BA116" s="2">
        <f>'MC MASTER'!$C$29</f>
        <v>920</v>
      </c>
      <c r="BQ116" s="509">
        <f>$A116</f>
        <v>0</v>
      </c>
      <c r="BR116" s="15" t="str">
        <f>TEXT($A116,"ddd")</f>
        <v>Sat</v>
      </c>
      <c r="BS116" s="547" t="str">
        <f>IF($A116=0,"",IF(WEEKDAY($A116,2)=7,"N","Y"))</f>
        <v/>
      </c>
      <c r="BT116" s="15">
        <f>IF(UPPER($BS116)="Y",$AB116,0)</f>
        <v>0</v>
      </c>
      <c r="CA116" s="2">
        <f>COUNTIF(INDEX('LINE PLAN'!$B$36:$GS$61,0,ROW()-3),CA$3)</f>
        <v>0</v>
      </c>
      <c r="CB116" s="2">
        <f>COUNTIF(INDEX('LINE PLAN'!$B$36:$GS$61,0,ROW()-3),CB$3)</f>
        <v>0</v>
      </c>
      <c r="CC116" s="2">
        <f>COUNTIF(INDEX('LINE PLAN'!$B$36:$GS$61,0,ROW()-3),CC$3)</f>
        <v>0</v>
      </c>
      <c r="CD116" s="2">
        <f>COUNTIF(INDEX('LINE PLAN'!$B$36:$GS$61,0,ROW()-3),CD$3)</f>
        <v>0</v>
      </c>
      <c r="CE116" s="2">
        <f>COUNTIF(INDEX('LINE PLAN'!$B$36:$GS$61,0,ROW()-3),CE$3)</f>
        <v>0</v>
      </c>
      <c r="CF116" s="2">
        <f>COUNTIF(INDEX('LINE PLAN'!$B$36:$GS$61,0,ROW()-3),CF$3)</f>
        <v>0</v>
      </c>
      <c r="CG116" s="2">
        <f>COUNTIF(INDEX('LINE PLAN'!$B$36:$GS$61,0,ROW()-3),CG$3)</f>
        <v>0</v>
      </c>
      <c r="CH116" s="2">
        <f>COUNTIF(INDEX('LINE PLAN'!$B$36:$GS$61,0,ROW()-3),CH$3)</f>
        <v>0</v>
      </c>
      <c r="CI116" s="2">
        <f>COUNTIF(INDEX('LINE PLAN'!$B$36:$GS$61,0,ROW()-3),CI$3)</f>
        <v>0</v>
      </c>
      <c r="CJ116" s="2">
        <f>COUNTIF(INDEX('LINE PLAN'!$B$36:$GS$61,0,ROW()-3),CJ$3)</f>
        <v>0</v>
      </c>
      <c r="CK116" s="2">
        <f>COUNTIF(INDEX('LINE PLAN'!$B$36:$GS$61,0,ROW()-3),CK$3)</f>
        <v>0</v>
      </c>
      <c r="CL116" s="2">
        <f>COUNTIF(INDEX('LINE PLAN'!$B$36:$GS$61,0,ROW()-3),CL$3)</f>
        <v>0</v>
      </c>
      <c r="CM116" s="2">
        <f>COUNTIF(INDEX('LINE PLAN'!$B$36:$GS$61,0,ROW()-3),CM$3)</f>
        <v>0</v>
      </c>
      <c r="CN116" s="2">
        <f>COUNTIF(INDEX('LINE PLAN'!$B$36:$GS$61,0,ROW()-3),CN$3)</f>
        <v>0</v>
      </c>
      <c r="CO116" s="2">
        <f>COUNTIF(INDEX('LINE PLAN'!$B$36:$GS$61,0,ROW()-3),CO$3)</f>
        <v>0</v>
      </c>
      <c r="CP116" s="2">
        <f>COUNTIF(INDEX('LINE PLAN'!$B$36:$GS$61,0,ROW()-3),CP$3)</f>
        <v>0</v>
      </c>
      <c r="CQ116" s="2">
        <f>COUNTIF(INDEX('LINE PLAN'!$B$36:$GS$61,0,ROW()-3),CQ$3)</f>
        <v>0</v>
      </c>
      <c r="CR116" s="2">
        <f>COUNTIF(INDEX('LINE PLAN'!$B$36:$GS$61,0,ROW()-3),CR$3)</f>
        <v>0</v>
      </c>
      <c r="CS116" s="2">
        <f>COUNTIF(INDEX('LINE PLAN'!$B$36:$GS$61,0,ROW()-3),CS$3)</f>
        <v>0</v>
      </c>
      <c r="CT116" s="2">
        <f>COUNTIF(INDEX('LINE PLAN'!$B$36:$GS$61,0,ROW()-3),CT$3)</f>
        <v>0</v>
      </c>
      <c r="CU116" s="2">
        <f>COUNTIF(INDEX('LINE PLAN'!$B$36:$GS$61,0,ROW()-3),CU$3)</f>
        <v>0</v>
      </c>
      <c r="CV116" s="2">
        <f>COUNTIF(INDEX('LINE PLAN'!$B$36:$GS$61,0,ROW()-3),CV$3)</f>
        <v>0</v>
      </c>
      <c r="CW116" s="2">
        <f>COUNTIF(INDEX('LINE PLAN'!$B$36:$GS$61,0,ROW()-3),CW$3)</f>
        <v>0</v>
      </c>
      <c r="CX116" s="2">
        <f>COUNTIF(INDEX('LINE PLAN'!$B$36:$GS$61,0,ROW()-3),CX$3)</f>
        <v>0</v>
      </c>
      <c r="CY116" s="2">
        <f>COUNTIF(INDEX('LINE PLAN'!$B$36:$GS$61,0,ROW()-3),CY$3)</f>
        <v>0</v>
      </c>
      <c r="CZ116" s="2">
        <f>COUNTIF(INDEX('LINE PLAN'!$B$36:$GS$61,0,ROW()-3),CZ$3)</f>
        <v>0</v>
      </c>
      <c r="DA116" s="2">
        <f>COUNTIF(INDEX('LINE PLAN'!$B$36:$GS$61,0,ROW()-3),DA$3)</f>
        <v>0</v>
      </c>
      <c r="DB116" s="2">
        <f>COUNTIF(INDEX('LINE PLAN'!$B$36:$GS$61,0,ROW()-3),DB$3)</f>
        <v>0</v>
      </c>
      <c r="DC116" s="2">
        <f>COUNTIF(INDEX('LINE PLAN'!$B$36:$GS$61,0,ROW()-3),DC$3)</f>
        <v>0</v>
      </c>
      <c r="DD116" s="2">
        <f>COUNTIF(INDEX('LINE PLAN'!$B$36:$GS$61,0,ROW()-3),DD$3)</f>
        <v>0</v>
      </c>
      <c r="DE116" s="2">
        <f>COUNTIF(INDEX('LINE PLAN'!$B$36:$GS$61,0,ROW()-3),DE$3)</f>
        <v>0</v>
      </c>
      <c r="DF116" s="2">
        <f>COUNTIF(INDEX('LINE PLAN'!$B$36:$GS$61,0,ROW()-3),DF$3)</f>
        <v>0</v>
      </c>
      <c r="DG116" s="2">
        <f>COUNTIF(INDEX('LINE PLAN'!$B$36:$GS$61,0,ROW()-3),DG$3)</f>
        <v>0</v>
      </c>
      <c r="DH116" s="2">
        <f>COUNTIF(INDEX('LINE PLAN'!$B$36:$GS$61,0,ROW()-3),DH$3)</f>
        <v>0</v>
      </c>
      <c r="DI116" s="2">
        <f>COUNTIF(INDEX('LINE PLAN'!$B$36:$GS$61,0,ROW()-3),DI$3)</f>
        <v>0</v>
      </c>
      <c r="DJ116" s="2">
        <f>COUNTIF(INDEX('LINE PLAN'!$B$36:$GS$61,0,ROW()-3),DJ$3)</f>
        <v>0</v>
      </c>
      <c r="DK116" s="2">
        <f>COUNTIF(INDEX('LINE PLAN'!$B$36:$GS$61,0,ROW()-3),DK$3)</f>
        <v>0</v>
      </c>
      <c r="DL116" s="2">
        <f>COUNTIF(INDEX('LINE PLAN'!$B$36:$GS$61,0,ROW()-3),DL$3)</f>
        <v>0</v>
      </c>
      <c r="DM116" s="2">
        <f>COUNTIF(INDEX('LINE PLAN'!$B$36:$GS$61,0,ROW()-3),DM$3)</f>
        <v>0</v>
      </c>
      <c r="DN116" s="2">
        <f>COUNTIF(INDEX('LINE PLAN'!$B$36:$GS$61,0,ROW()-3),DN$3)</f>
        <v>0</v>
      </c>
      <c r="DO116" s="2">
        <f>COUNTIF(INDEX('LINE PLAN'!$B$36:$GS$61,0,ROW()-3),DO$3)</f>
        <v>0</v>
      </c>
      <c r="DP116" s="2">
        <f>COUNTIF(INDEX('LINE PLAN'!$B$36:$GS$61,0,ROW()-3),DP$3)</f>
        <v>0</v>
      </c>
      <c r="DQ116" s="2">
        <f>COUNTIF(INDEX('LINE PLAN'!$B$36:$GS$61,0,ROW()-3),DQ$3)</f>
        <v>0</v>
      </c>
      <c r="DR116" s="2">
        <f>COUNTIF(INDEX('LINE PLAN'!$B$36:$GS$61,0,ROW()-3),DR$3)</f>
        <v>0</v>
      </c>
      <c r="DS116" s="2">
        <f>COUNTIF(INDEX('LINE PLAN'!$B$36:$GS$61,0,ROW()-3),DS$3)</f>
        <v>0</v>
      </c>
      <c r="DT116" s="2">
        <f>COUNTIF(INDEX('LINE PLAN'!$B$36:$GS$61,0,ROW()-3),DT$3)</f>
        <v>0</v>
      </c>
      <c r="DU116" s="2">
        <f>COUNTIF(INDEX('LINE PLAN'!$B$36:$GS$61,0,ROW()-3),DU$3)</f>
        <v>0</v>
      </c>
      <c r="DV116" s="2">
        <f>COUNTIF(INDEX('LINE PLAN'!$B$36:$GS$61,0,ROW()-3),DV$3)</f>
        <v>0</v>
      </c>
    </row>
    <row r="117" spans="1:126">
      <c r="A117" s="505" cm="1">
        <f t="array" ref="A117">INDEX('LINE PLAN'!$B$35:$GS$35,ROW()-3)</f>
        <v>0</v>
      </c>
      <c r="B117" s="2">
        <f>SUMPRODUCT($CA117:$DV117,INDEX('MC MAP'!$DA$5:$EV$30,1,0))</f>
        <v>0</v>
      </c>
      <c r="C117" s="2">
        <f>SUMPRODUCT($CA117:$DV117,INDEX('MC MAP'!$DA$5:$EV$30,2,0))</f>
        <v>0</v>
      </c>
      <c r="D117" s="2">
        <f>SUMPRODUCT($CA117:$DV117,INDEX('MC MAP'!$DA$5:$EV$30,3,0))</f>
        <v>0</v>
      </c>
      <c r="E117" s="2">
        <f>SUMPRODUCT($CA117:$DV117,INDEX('MC MAP'!$DA$5:$EV$30,4,0))</f>
        <v>0</v>
      </c>
      <c r="F117" s="2">
        <f>SUMPRODUCT($CA117:$DV117,INDEX('MC MAP'!$DA$5:$EV$30,5,0))</f>
        <v>0</v>
      </c>
      <c r="G117" s="2">
        <f>SUMPRODUCT($CA117:$DV117,INDEX('MC MAP'!$DA$5:$EV$30,6,0))</f>
        <v>0</v>
      </c>
      <c r="H117" s="2">
        <f>SUMPRODUCT($CA117:$DV117,INDEX('MC MAP'!$DA$5:$EV$30,7,0))</f>
        <v>0</v>
      </c>
      <c r="I117" s="2">
        <f>SUMPRODUCT($CA117:$DV117,INDEX('MC MAP'!$DA$5:$EV$30,8,0))</f>
        <v>0</v>
      </c>
      <c r="J117" s="2">
        <f>SUMPRODUCT($CA117:$DV117,INDEX('MC MAP'!$DA$5:$EV$30,9,0))</f>
        <v>0</v>
      </c>
      <c r="K117" s="2">
        <f>SUMPRODUCT($CA117:$DV117,INDEX('MC MAP'!$DA$5:$EV$30,10,0))</f>
        <v>0</v>
      </c>
      <c r="L117" s="2">
        <f>SUMPRODUCT($CA117:$DV117,INDEX('MC MAP'!$DA$5:$EV$30,11,0))</f>
        <v>0</v>
      </c>
      <c r="M117" s="2">
        <f>SUMPRODUCT($CA117:$DV117,INDEX('MC MAP'!$DA$5:$EV$30,12,0))</f>
        <v>0</v>
      </c>
      <c r="N117" s="2">
        <f>SUMPRODUCT($CA117:$DV117,INDEX('MC MAP'!$DA$5:$EV$30,13,0))</f>
        <v>0</v>
      </c>
      <c r="O117" s="2">
        <f>SUMPRODUCT($CA117:$DV117,INDEX('MC MAP'!$DA$5:$EV$30,14,0))</f>
        <v>0</v>
      </c>
      <c r="P117" s="2">
        <f>SUMPRODUCT($CA117:$DV117,INDEX('MC MAP'!$DA$5:$EV$30,15,0))</f>
        <v>0</v>
      </c>
      <c r="Q117" s="2">
        <f>SUMPRODUCT($CA117:$DV117,INDEX('MC MAP'!$DA$5:$EV$30,16,0))</f>
        <v>0</v>
      </c>
      <c r="R117" s="2">
        <f>SUMPRODUCT($CA117:$DV117,INDEX('MC MAP'!$DA$5:$EV$30,17,0))</f>
        <v>0</v>
      </c>
      <c r="S117" s="2">
        <f>SUMPRODUCT($CA117:$DV117,INDEX('MC MAP'!$DA$5:$EV$30,18,0))</f>
        <v>0</v>
      </c>
      <c r="T117" s="2">
        <f>SUMPRODUCT($CA117:$DV117,INDEX('MC MAP'!$DA$5:$EV$30,19,0))</f>
        <v>0</v>
      </c>
      <c r="U117" s="2">
        <f>SUMPRODUCT($CA117:$DV117,INDEX('MC MAP'!$DA$5:$EV$30,20,0))</f>
        <v>0</v>
      </c>
      <c r="V117" s="2">
        <f>SUMPRODUCT($CA117:$DV117,INDEX('MC MAP'!$DA$5:$EV$30,21,0))</f>
        <v>0</v>
      </c>
      <c r="W117" s="2">
        <f>SUMPRODUCT($CA117:$DV117,INDEX('MC MAP'!$DA$5:$EV$30,22,0))</f>
        <v>0</v>
      </c>
      <c r="X117" s="2">
        <f>SUMPRODUCT($CA117:$DV117,INDEX('MC MAP'!$DA$5:$EV$30,23,0))</f>
        <v>0</v>
      </c>
      <c r="Y117" s="2">
        <f>SUMPRODUCT($CA117:$DV117,INDEX('MC MAP'!$DA$5:$EV$30,24,0))</f>
        <v>0</v>
      </c>
      <c r="Z117" s="2">
        <f>SUMPRODUCT($CA117:$DV117,INDEX('MC MAP'!$DA$5:$EV$30,25,0))</f>
        <v>0</v>
      </c>
      <c r="AA117" s="2">
        <f>SUMPRODUCT($CA117:$DV117,INDEX('MC MAP'!$DA$5:$EV$30,26,0))</f>
        <v>0</v>
      </c>
      <c r="AB117" s="2">
        <f>SUM($B117:$AA117)</f>
        <v>0</v>
      </c>
      <c r="AC117" s="2">
        <f>SUM($CA117:$DV117)+$AW117</f>
        <v>0</v>
      </c>
      <c r="AW117" s="2">
        <f>IF($A117=0,0,COUNTIF(INDEX('LINE PLAN'!$B$36:$GS$61,0,ROW()-3),"THERMAL - NOT SPECIFIED"))</f>
        <v>0</v>
      </c>
      <c r="AX117" s="506" cm="1">
        <f t="array" ref="AX117">IF(OR($AB117=0,UPPER($BS117)&lt;&gt;"Y"),0,SUMPRODUCT(--($B117:$AA117&gt;$B$205:$AA$205)))</f>
        <v>0</v>
      </c>
      <c r="AY117" s="507">
        <f>$A117</f>
        <v>0</v>
      </c>
      <c r="AZ117" s="2">
        <f>$AB117</f>
        <v>0</v>
      </c>
      <c r="BA117" s="2">
        <f>'MC MASTER'!$C$29</f>
        <v>920</v>
      </c>
      <c r="BQ117" s="509">
        <f>$A117</f>
        <v>0</v>
      </c>
      <c r="BR117" s="15" t="str">
        <f>TEXT($A117,"ddd")</f>
        <v>Sat</v>
      </c>
      <c r="BS117" s="547" t="str">
        <f>IF($A117=0,"",IF(WEEKDAY($A117,2)=7,"N","Y"))</f>
        <v/>
      </c>
      <c r="BT117" s="15">
        <f>IF(UPPER($BS117)="Y",$AB117,0)</f>
        <v>0</v>
      </c>
      <c r="CA117" s="2">
        <f>COUNTIF(INDEX('LINE PLAN'!$B$36:$GS$61,0,ROW()-3),CA$3)</f>
        <v>0</v>
      </c>
      <c r="CB117" s="2">
        <f>COUNTIF(INDEX('LINE PLAN'!$B$36:$GS$61,0,ROW()-3),CB$3)</f>
        <v>0</v>
      </c>
      <c r="CC117" s="2">
        <f>COUNTIF(INDEX('LINE PLAN'!$B$36:$GS$61,0,ROW()-3),CC$3)</f>
        <v>0</v>
      </c>
      <c r="CD117" s="2">
        <f>COUNTIF(INDEX('LINE PLAN'!$B$36:$GS$61,0,ROW()-3),CD$3)</f>
        <v>0</v>
      </c>
      <c r="CE117" s="2">
        <f>COUNTIF(INDEX('LINE PLAN'!$B$36:$GS$61,0,ROW()-3),CE$3)</f>
        <v>0</v>
      </c>
      <c r="CF117" s="2">
        <f>COUNTIF(INDEX('LINE PLAN'!$B$36:$GS$61,0,ROW()-3),CF$3)</f>
        <v>0</v>
      </c>
      <c r="CG117" s="2">
        <f>COUNTIF(INDEX('LINE PLAN'!$B$36:$GS$61,0,ROW()-3),CG$3)</f>
        <v>0</v>
      </c>
      <c r="CH117" s="2">
        <f>COUNTIF(INDEX('LINE PLAN'!$B$36:$GS$61,0,ROW()-3),CH$3)</f>
        <v>0</v>
      </c>
      <c r="CI117" s="2">
        <f>COUNTIF(INDEX('LINE PLAN'!$B$36:$GS$61,0,ROW()-3),CI$3)</f>
        <v>0</v>
      </c>
      <c r="CJ117" s="2">
        <f>COUNTIF(INDEX('LINE PLAN'!$B$36:$GS$61,0,ROW()-3),CJ$3)</f>
        <v>0</v>
      </c>
      <c r="CK117" s="2">
        <f>COUNTIF(INDEX('LINE PLAN'!$B$36:$GS$61,0,ROW()-3),CK$3)</f>
        <v>0</v>
      </c>
      <c r="CL117" s="2">
        <f>COUNTIF(INDEX('LINE PLAN'!$B$36:$GS$61,0,ROW()-3),CL$3)</f>
        <v>0</v>
      </c>
      <c r="CM117" s="2">
        <f>COUNTIF(INDEX('LINE PLAN'!$B$36:$GS$61,0,ROW()-3),CM$3)</f>
        <v>0</v>
      </c>
      <c r="CN117" s="2">
        <f>COUNTIF(INDEX('LINE PLAN'!$B$36:$GS$61,0,ROW()-3),CN$3)</f>
        <v>0</v>
      </c>
      <c r="CO117" s="2">
        <f>COUNTIF(INDEX('LINE PLAN'!$B$36:$GS$61,0,ROW()-3),CO$3)</f>
        <v>0</v>
      </c>
      <c r="CP117" s="2">
        <f>COUNTIF(INDEX('LINE PLAN'!$B$36:$GS$61,0,ROW()-3),CP$3)</f>
        <v>0</v>
      </c>
      <c r="CQ117" s="2">
        <f>COUNTIF(INDEX('LINE PLAN'!$B$36:$GS$61,0,ROW()-3),CQ$3)</f>
        <v>0</v>
      </c>
      <c r="CR117" s="2">
        <f>COUNTIF(INDEX('LINE PLAN'!$B$36:$GS$61,0,ROW()-3),CR$3)</f>
        <v>0</v>
      </c>
      <c r="CS117" s="2">
        <f>COUNTIF(INDEX('LINE PLAN'!$B$36:$GS$61,0,ROW()-3),CS$3)</f>
        <v>0</v>
      </c>
      <c r="CT117" s="2">
        <f>COUNTIF(INDEX('LINE PLAN'!$B$36:$GS$61,0,ROW()-3),CT$3)</f>
        <v>0</v>
      </c>
      <c r="CU117" s="2">
        <f>COUNTIF(INDEX('LINE PLAN'!$B$36:$GS$61,0,ROW()-3),CU$3)</f>
        <v>0</v>
      </c>
      <c r="CV117" s="2">
        <f>COUNTIF(INDEX('LINE PLAN'!$B$36:$GS$61,0,ROW()-3),CV$3)</f>
        <v>0</v>
      </c>
      <c r="CW117" s="2">
        <f>COUNTIF(INDEX('LINE PLAN'!$B$36:$GS$61,0,ROW()-3),CW$3)</f>
        <v>0</v>
      </c>
      <c r="CX117" s="2">
        <f>COUNTIF(INDEX('LINE PLAN'!$B$36:$GS$61,0,ROW()-3),CX$3)</f>
        <v>0</v>
      </c>
      <c r="CY117" s="2">
        <f>COUNTIF(INDEX('LINE PLAN'!$B$36:$GS$61,0,ROW()-3),CY$3)</f>
        <v>0</v>
      </c>
      <c r="CZ117" s="2">
        <f>COUNTIF(INDEX('LINE PLAN'!$B$36:$GS$61,0,ROW()-3),CZ$3)</f>
        <v>0</v>
      </c>
      <c r="DA117" s="2">
        <f>COUNTIF(INDEX('LINE PLAN'!$B$36:$GS$61,0,ROW()-3),DA$3)</f>
        <v>0</v>
      </c>
      <c r="DB117" s="2">
        <f>COUNTIF(INDEX('LINE PLAN'!$B$36:$GS$61,0,ROW()-3),DB$3)</f>
        <v>0</v>
      </c>
      <c r="DC117" s="2">
        <f>COUNTIF(INDEX('LINE PLAN'!$B$36:$GS$61,0,ROW()-3),DC$3)</f>
        <v>0</v>
      </c>
      <c r="DD117" s="2">
        <f>COUNTIF(INDEX('LINE PLAN'!$B$36:$GS$61,0,ROW()-3),DD$3)</f>
        <v>0</v>
      </c>
      <c r="DE117" s="2">
        <f>COUNTIF(INDEX('LINE PLAN'!$B$36:$GS$61,0,ROW()-3),DE$3)</f>
        <v>0</v>
      </c>
      <c r="DF117" s="2">
        <f>COUNTIF(INDEX('LINE PLAN'!$B$36:$GS$61,0,ROW()-3),DF$3)</f>
        <v>0</v>
      </c>
      <c r="DG117" s="2">
        <f>COUNTIF(INDEX('LINE PLAN'!$B$36:$GS$61,0,ROW()-3),DG$3)</f>
        <v>0</v>
      </c>
      <c r="DH117" s="2">
        <f>COUNTIF(INDEX('LINE PLAN'!$B$36:$GS$61,0,ROW()-3),DH$3)</f>
        <v>0</v>
      </c>
      <c r="DI117" s="2">
        <f>COUNTIF(INDEX('LINE PLAN'!$B$36:$GS$61,0,ROW()-3),DI$3)</f>
        <v>0</v>
      </c>
      <c r="DJ117" s="2">
        <f>COUNTIF(INDEX('LINE PLAN'!$B$36:$GS$61,0,ROW()-3),DJ$3)</f>
        <v>0</v>
      </c>
      <c r="DK117" s="2">
        <f>COUNTIF(INDEX('LINE PLAN'!$B$36:$GS$61,0,ROW()-3),DK$3)</f>
        <v>0</v>
      </c>
      <c r="DL117" s="2">
        <f>COUNTIF(INDEX('LINE PLAN'!$B$36:$GS$61,0,ROW()-3),DL$3)</f>
        <v>0</v>
      </c>
      <c r="DM117" s="2">
        <f>COUNTIF(INDEX('LINE PLAN'!$B$36:$GS$61,0,ROW()-3),DM$3)</f>
        <v>0</v>
      </c>
      <c r="DN117" s="2">
        <f>COUNTIF(INDEX('LINE PLAN'!$B$36:$GS$61,0,ROW()-3),DN$3)</f>
        <v>0</v>
      </c>
      <c r="DO117" s="2">
        <f>COUNTIF(INDEX('LINE PLAN'!$B$36:$GS$61,0,ROW()-3),DO$3)</f>
        <v>0</v>
      </c>
      <c r="DP117" s="2">
        <f>COUNTIF(INDEX('LINE PLAN'!$B$36:$GS$61,0,ROW()-3),DP$3)</f>
        <v>0</v>
      </c>
      <c r="DQ117" s="2">
        <f>COUNTIF(INDEX('LINE PLAN'!$B$36:$GS$61,0,ROW()-3),DQ$3)</f>
        <v>0</v>
      </c>
      <c r="DR117" s="2">
        <f>COUNTIF(INDEX('LINE PLAN'!$B$36:$GS$61,0,ROW()-3),DR$3)</f>
        <v>0</v>
      </c>
      <c r="DS117" s="2">
        <f>COUNTIF(INDEX('LINE PLAN'!$B$36:$GS$61,0,ROW()-3),DS$3)</f>
        <v>0</v>
      </c>
      <c r="DT117" s="2">
        <f>COUNTIF(INDEX('LINE PLAN'!$B$36:$GS$61,0,ROW()-3),DT$3)</f>
        <v>0</v>
      </c>
      <c r="DU117" s="2">
        <f>COUNTIF(INDEX('LINE PLAN'!$B$36:$GS$61,0,ROW()-3),DU$3)</f>
        <v>0</v>
      </c>
      <c r="DV117" s="2">
        <f>COUNTIF(INDEX('LINE PLAN'!$B$36:$GS$61,0,ROW()-3),DV$3)</f>
        <v>0</v>
      </c>
    </row>
    <row r="118" spans="1:126">
      <c r="A118" s="505" cm="1">
        <f t="array" ref="A118">INDEX('LINE PLAN'!$B$35:$GS$35,ROW()-3)</f>
        <v>0</v>
      </c>
      <c r="B118" s="2">
        <f>SUMPRODUCT($CA118:$DV118,INDEX('MC MAP'!$DA$5:$EV$30,1,0))</f>
        <v>0</v>
      </c>
      <c r="C118" s="2">
        <f>SUMPRODUCT($CA118:$DV118,INDEX('MC MAP'!$DA$5:$EV$30,2,0))</f>
        <v>0</v>
      </c>
      <c r="D118" s="2">
        <f>SUMPRODUCT($CA118:$DV118,INDEX('MC MAP'!$DA$5:$EV$30,3,0))</f>
        <v>0</v>
      </c>
      <c r="E118" s="2">
        <f>SUMPRODUCT($CA118:$DV118,INDEX('MC MAP'!$DA$5:$EV$30,4,0))</f>
        <v>0</v>
      </c>
      <c r="F118" s="2">
        <f>SUMPRODUCT($CA118:$DV118,INDEX('MC MAP'!$DA$5:$EV$30,5,0))</f>
        <v>0</v>
      </c>
      <c r="G118" s="2">
        <f>SUMPRODUCT($CA118:$DV118,INDEX('MC MAP'!$DA$5:$EV$30,6,0))</f>
        <v>0</v>
      </c>
      <c r="H118" s="2">
        <f>SUMPRODUCT($CA118:$DV118,INDEX('MC MAP'!$DA$5:$EV$30,7,0))</f>
        <v>0</v>
      </c>
      <c r="I118" s="2">
        <f>SUMPRODUCT($CA118:$DV118,INDEX('MC MAP'!$DA$5:$EV$30,8,0))</f>
        <v>0</v>
      </c>
      <c r="J118" s="2">
        <f>SUMPRODUCT($CA118:$DV118,INDEX('MC MAP'!$DA$5:$EV$30,9,0))</f>
        <v>0</v>
      </c>
      <c r="K118" s="2">
        <f>SUMPRODUCT($CA118:$DV118,INDEX('MC MAP'!$DA$5:$EV$30,10,0))</f>
        <v>0</v>
      </c>
      <c r="L118" s="2">
        <f>SUMPRODUCT($CA118:$DV118,INDEX('MC MAP'!$DA$5:$EV$30,11,0))</f>
        <v>0</v>
      </c>
      <c r="M118" s="2">
        <f>SUMPRODUCT($CA118:$DV118,INDEX('MC MAP'!$DA$5:$EV$30,12,0))</f>
        <v>0</v>
      </c>
      <c r="N118" s="2">
        <f>SUMPRODUCT($CA118:$DV118,INDEX('MC MAP'!$DA$5:$EV$30,13,0))</f>
        <v>0</v>
      </c>
      <c r="O118" s="2">
        <f>SUMPRODUCT($CA118:$DV118,INDEX('MC MAP'!$DA$5:$EV$30,14,0))</f>
        <v>0</v>
      </c>
      <c r="P118" s="2">
        <f>SUMPRODUCT($CA118:$DV118,INDEX('MC MAP'!$DA$5:$EV$30,15,0))</f>
        <v>0</v>
      </c>
      <c r="Q118" s="2">
        <f>SUMPRODUCT($CA118:$DV118,INDEX('MC MAP'!$DA$5:$EV$30,16,0))</f>
        <v>0</v>
      </c>
      <c r="R118" s="2">
        <f>SUMPRODUCT($CA118:$DV118,INDEX('MC MAP'!$DA$5:$EV$30,17,0))</f>
        <v>0</v>
      </c>
      <c r="S118" s="2">
        <f>SUMPRODUCT($CA118:$DV118,INDEX('MC MAP'!$DA$5:$EV$30,18,0))</f>
        <v>0</v>
      </c>
      <c r="T118" s="2">
        <f>SUMPRODUCT($CA118:$DV118,INDEX('MC MAP'!$DA$5:$EV$30,19,0))</f>
        <v>0</v>
      </c>
      <c r="U118" s="2">
        <f>SUMPRODUCT($CA118:$DV118,INDEX('MC MAP'!$DA$5:$EV$30,20,0))</f>
        <v>0</v>
      </c>
      <c r="V118" s="2">
        <f>SUMPRODUCT($CA118:$DV118,INDEX('MC MAP'!$DA$5:$EV$30,21,0))</f>
        <v>0</v>
      </c>
      <c r="W118" s="2">
        <f>SUMPRODUCT($CA118:$DV118,INDEX('MC MAP'!$DA$5:$EV$30,22,0))</f>
        <v>0</v>
      </c>
      <c r="X118" s="2">
        <f>SUMPRODUCT($CA118:$DV118,INDEX('MC MAP'!$DA$5:$EV$30,23,0))</f>
        <v>0</v>
      </c>
      <c r="Y118" s="2">
        <f>SUMPRODUCT($CA118:$DV118,INDEX('MC MAP'!$DA$5:$EV$30,24,0))</f>
        <v>0</v>
      </c>
      <c r="Z118" s="2">
        <f>SUMPRODUCT($CA118:$DV118,INDEX('MC MAP'!$DA$5:$EV$30,25,0))</f>
        <v>0</v>
      </c>
      <c r="AA118" s="2">
        <f>SUMPRODUCT($CA118:$DV118,INDEX('MC MAP'!$DA$5:$EV$30,26,0))</f>
        <v>0</v>
      </c>
      <c r="AB118" s="2">
        <f>SUM($B118:$AA118)</f>
        <v>0</v>
      </c>
      <c r="AC118" s="2">
        <f>SUM($CA118:$DV118)+$AW118</f>
        <v>0</v>
      </c>
      <c r="AW118" s="2">
        <f>IF($A118=0,0,COUNTIF(INDEX('LINE PLAN'!$B$36:$GS$61,0,ROW()-3),"THERMAL - NOT SPECIFIED"))</f>
        <v>0</v>
      </c>
      <c r="AX118" s="506" cm="1">
        <f t="array" ref="AX118">IF(OR($AB118=0,UPPER($BS118)&lt;&gt;"Y"),0,SUMPRODUCT(--($B118:$AA118&gt;$B$205:$AA$205)))</f>
        <v>0</v>
      </c>
      <c r="AY118" s="507">
        <f>$A118</f>
        <v>0</v>
      </c>
      <c r="AZ118" s="2">
        <f>$AB118</f>
        <v>0</v>
      </c>
      <c r="BA118" s="2">
        <f>'MC MASTER'!$C$29</f>
        <v>920</v>
      </c>
      <c r="BQ118" s="509">
        <f>$A118</f>
        <v>0</v>
      </c>
      <c r="BR118" s="15" t="str">
        <f>TEXT($A118,"ddd")</f>
        <v>Sat</v>
      </c>
      <c r="BS118" s="547" t="str">
        <f>IF($A118=0,"",IF(WEEKDAY($A118,2)=7,"N","Y"))</f>
        <v/>
      </c>
      <c r="BT118" s="15">
        <f>IF(UPPER($BS118)="Y",$AB118,0)</f>
        <v>0</v>
      </c>
      <c r="CA118" s="2">
        <f>COUNTIF(INDEX('LINE PLAN'!$B$36:$GS$61,0,ROW()-3),CA$3)</f>
        <v>0</v>
      </c>
      <c r="CB118" s="2">
        <f>COUNTIF(INDEX('LINE PLAN'!$B$36:$GS$61,0,ROW()-3),CB$3)</f>
        <v>0</v>
      </c>
      <c r="CC118" s="2">
        <f>COUNTIF(INDEX('LINE PLAN'!$B$36:$GS$61,0,ROW()-3),CC$3)</f>
        <v>0</v>
      </c>
      <c r="CD118" s="2">
        <f>COUNTIF(INDEX('LINE PLAN'!$B$36:$GS$61,0,ROW()-3),CD$3)</f>
        <v>0</v>
      </c>
      <c r="CE118" s="2">
        <f>COUNTIF(INDEX('LINE PLAN'!$B$36:$GS$61,0,ROW()-3),CE$3)</f>
        <v>0</v>
      </c>
      <c r="CF118" s="2">
        <f>COUNTIF(INDEX('LINE PLAN'!$B$36:$GS$61,0,ROW()-3),CF$3)</f>
        <v>0</v>
      </c>
      <c r="CG118" s="2">
        <f>COUNTIF(INDEX('LINE PLAN'!$B$36:$GS$61,0,ROW()-3),CG$3)</f>
        <v>0</v>
      </c>
      <c r="CH118" s="2">
        <f>COUNTIF(INDEX('LINE PLAN'!$B$36:$GS$61,0,ROW()-3),CH$3)</f>
        <v>0</v>
      </c>
      <c r="CI118" s="2">
        <f>COUNTIF(INDEX('LINE PLAN'!$B$36:$GS$61,0,ROW()-3),CI$3)</f>
        <v>0</v>
      </c>
      <c r="CJ118" s="2">
        <f>COUNTIF(INDEX('LINE PLAN'!$B$36:$GS$61,0,ROW()-3),CJ$3)</f>
        <v>0</v>
      </c>
      <c r="CK118" s="2">
        <f>COUNTIF(INDEX('LINE PLAN'!$B$36:$GS$61,0,ROW()-3),CK$3)</f>
        <v>0</v>
      </c>
      <c r="CL118" s="2">
        <f>COUNTIF(INDEX('LINE PLAN'!$B$36:$GS$61,0,ROW()-3),CL$3)</f>
        <v>0</v>
      </c>
      <c r="CM118" s="2">
        <f>COUNTIF(INDEX('LINE PLAN'!$B$36:$GS$61,0,ROW()-3),CM$3)</f>
        <v>0</v>
      </c>
      <c r="CN118" s="2">
        <f>COUNTIF(INDEX('LINE PLAN'!$B$36:$GS$61,0,ROW()-3),CN$3)</f>
        <v>0</v>
      </c>
      <c r="CO118" s="2">
        <f>COUNTIF(INDEX('LINE PLAN'!$B$36:$GS$61,0,ROW()-3),CO$3)</f>
        <v>0</v>
      </c>
      <c r="CP118" s="2">
        <f>COUNTIF(INDEX('LINE PLAN'!$B$36:$GS$61,0,ROW()-3),CP$3)</f>
        <v>0</v>
      </c>
      <c r="CQ118" s="2">
        <f>COUNTIF(INDEX('LINE PLAN'!$B$36:$GS$61,0,ROW()-3),CQ$3)</f>
        <v>0</v>
      </c>
      <c r="CR118" s="2">
        <f>COUNTIF(INDEX('LINE PLAN'!$B$36:$GS$61,0,ROW()-3),CR$3)</f>
        <v>0</v>
      </c>
      <c r="CS118" s="2">
        <f>COUNTIF(INDEX('LINE PLAN'!$B$36:$GS$61,0,ROW()-3),CS$3)</f>
        <v>0</v>
      </c>
      <c r="CT118" s="2">
        <f>COUNTIF(INDEX('LINE PLAN'!$B$36:$GS$61,0,ROW()-3),CT$3)</f>
        <v>0</v>
      </c>
      <c r="CU118" s="2">
        <f>COUNTIF(INDEX('LINE PLAN'!$B$36:$GS$61,0,ROW()-3),CU$3)</f>
        <v>0</v>
      </c>
      <c r="CV118" s="2">
        <f>COUNTIF(INDEX('LINE PLAN'!$B$36:$GS$61,0,ROW()-3),CV$3)</f>
        <v>0</v>
      </c>
      <c r="CW118" s="2">
        <f>COUNTIF(INDEX('LINE PLAN'!$B$36:$GS$61,0,ROW()-3),CW$3)</f>
        <v>0</v>
      </c>
      <c r="CX118" s="2">
        <f>COUNTIF(INDEX('LINE PLAN'!$B$36:$GS$61,0,ROW()-3),CX$3)</f>
        <v>0</v>
      </c>
      <c r="CY118" s="2">
        <f>COUNTIF(INDEX('LINE PLAN'!$B$36:$GS$61,0,ROW()-3),CY$3)</f>
        <v>0</v>
      </c>
      <c r="CZ118" s="2">
        <f>COUNTIF(INDEX('LINE PLAN'!$B$36:$GS$61,0,ROW()-3),CZ$3)</f>
        <v>0</v>
      </c>
      <c r="DA118" s="2">
        <f>COUNTIF(INDEX('LINE PLAN'!$B$36:$GS$61,0,ROW()-3),DA$3)</f>
        <v>0</v>
      </c>
      <c r="DB118" s="2">
        <f>COUNTIF(INDEX('LINE PLAN'!$B$36:$GS$61,0,ROW()-3),DB$3)</f>
        <v>0</v>
      </c>
      <c r="DC118" s="2">
        <f>COUNTIF(INDEX('LINE PLAN'!$B$36:$GS$61,0,ROW()-3),DC$3)</f>
        <v>0</v>
      </c>
      <c r="DD118" s="2">
        <f>COUNTIF(INDEX('LINE PLAN'!$B$36:$GS$61,0,ROW()-3),DD$3)</f>
        <v>0</v>
      </c>
      <c r="DE118" s="2">
        <f>COUNTIF(INDEX('LINE PLAN'!$B$36:$GS$61,0,ROW()-3),DE$3)</f>
        <v>0</v>
      </c>
      <c r="DF118" s="2">
        <f>COUNTIF(INDEX('LINE PLAN'!$B$36:$GS$61,0,ROW()-3),DF$3)</f>
        <v>0</v>
      </c>
      <c r="DG118" s="2">
        <f>COUNTIF(INDEX('LINE PLAN'!$B$36:$GS$61,0,ROW()-3),DG$3)</f>
        <v>0</v>
      </c>
      <c r="DH118" s="2">
        <f>COUNTIF(INDEX('LINE PLAN'!$B$36:$GS$61,0,ROW()-3),DH$3)</f>
        <v>0</v>
      </c>
      <c r="DI118" s="2">
        <f>COUNTIF(INDEX('LINE PLAN'!$B$36:$GS$61,0,ROW()-3),DI$3)</f>
        <v>0</v>
      </c>
      <c r="DJ118" s="2">
        <f>COUNTIF(INDEX('LINE PLAN'!$B$36:$GS$61,0,ROW()-3),DJ$3)</f>
        <v>0</v>
      </c>
      <c r="DK118" s="2">
        <f>COUNTIF(INDEX('LINE PLAN'!$B$36:$GS$61,0,ROW()-3),DK$3)</f>
        <v>0</v>
      </c>
      <c r="DL118" s="2">
        <f>COUNTIF(INDEX('LINE PLAN'!$B$36:$GS$61,0,ROW()-3),DL$3)</f>
        <v>0</v>
      </c>
      <c r="DM118" s="2">
        <f>COUNTIF(INDEX('LINE PLAN'!$B$36:$GS$61,0,ROW()-3),DM$3)</f>
        <v>0</v>
      </c>
      <c r="DN118" s="2">
        <f>COUNTIF(INDEX('LINE PLAN'!$B$36:$GS$61,0,ROW()-3),DN$3)</f>
        <v>0</v>
      </c>
      <c r="DO118" s="2">
        <f>COUNTIF(INDEX('LINE PLAN'!$B$36:$GS$61,0,ROW()-3),DO$3)</f>
        <v>0</v>
      </c>
      <c r="DP118" s="2">
        <f>COUNTIF(INDEX('LINE PLAN'!$B$36:$GS$61,0,ROW()-3),DP$3)</f>
        <v>0</v>
      </c>
      <c r="DQ118" s="2">
        <f>COUNTIF(INDEX('LINE PLAN'!$B$36:$GS$61,0,ROW()-3),DQ$3)</f>
        <v>0</v>
      </c>
      <c r="DR118" s="2">
        <f>COUNTIF(INDEX('LINE PLAN'!$B$36:$GS$61,0,ROW()-3),DR$3)</f>
        <v>0</v>
      </c>
      <c r="DS118" s="2">
        <f>COUNTIF(INDEX('LINE PLAN'!$B$36:$GS$61,0,ROW()-3),DS$3)</f>
        <v>0</v>
      </c>
      <c r="DT118" s="2">
        <f>COUNTIF(INDEX('LINE PLAN'!$B$36:$GS$61,0,ROW()-3),DT$3)</f>
        <v>0</v>
      </c>
      <c r="DU118" s="2">
        <f>COUNTIF(INDEX('LINE PLAN'!$B$36:$GS$61,0,ROW()-3),DU$3)</f>
        <v>0</v>
      </c>
      <c r="DV118" s="2">
        <f>COUNTIF(INDEX('LINE PLAN'!$B$36:$GS$61,0,ROW()-3),DV$3)</f>
        <v>0</v>
      </c>
    </row>
    <row r="119" spans="1:126">
      <c r="A119" s="505" cm="1">
        <f t="array" ref="A119">INDEX('LINE PLAN'!$B$35:$GS$35,ROW()-3)</f>
        <v>0</v>
      </c>
      <c r="B119" s="2">
        <f>SUMPRODUCT($CA119:$DV119,INDEX('MC MAP'!$DA$5:$EV$30,1,0))</f>
        <v>0</v>
      </c>
      <c r="C119" s="2">
        <f>SUMPRODUCT($CA119:$DV119,INDEX('MC MAP'!$DA$5:$EV$30,2,0))</f>
        <v>0</v>
      </c>
      <c r="D119" s="2">
        <f>SUMPRODUCT($CA119:$DV119,INDEX('MC MAP'!$DA$5:$EV$30,3,0))</f>
        <v>0</v>
      </c>
      <c r="E119" s="2">
        <f>SUMPRODUCT($CA119:$DV119,INDEX('MC MAP'!$DA$5:$EV$30,4,0))</f>
        <v>0</v>
      </c>
      <c r="F119" s="2">
        <f>SUMPRODUCT($CA119:$DV119,INDEX('MC MAP'!$DA$5:$EV$30,5,0))</f>
        <v>0</v>
      </c>
      <c r="G119" s="2">
        <f>SUMPRODUCT($CA119:$DV119,INDEX('MC MAP'!$DA$5:$EV$30,6,0))</f>
        <v>0</v>
      </c>
      <c r="H119" s="2">
        <f>SUMPRODUCT($CA119:$DV119,INDEX('MC MAP'!$DA$5:$EV$30,7,0))</f>
        <v>0</v>
      </c>
      <c r="I119" s="2">
        <f>SUMPRODUCT($CA119:$DV119,INDEX('MC MAP'!$DA$5:$EV$30,8,0))</f>
        <v>0</v>
      </c>
      <c r="J119" s="2">
        <f>SUMPRODUCT($CA119:$DV119,INDEX('MC MAP'!$DA$5:$EV$30,9,0))</f>
        <v>0</v>
      </c>
      <c r="K119" s="2">
        <f>SUMPRODUCT($CA119:$DV119,INDEX('MC MAP'!$DA$5:$EV$30,10,0))</f>
        <v>0</v>
      </c>
      <c r="L119" s="2">
        <f>SUMPRODUCT($CA119:$DV119,INDEX('MC MAP'!$DA$5:$EV$30,11,0))</f>
        <v>0</v>
      </c>
      <c r="M119" s="2">
        <f>SUMPRODUCT($CA119:$DV119,INDEX('MC MAP'!$DA$5:$EV$30,12,0))</f>
        <v>0</v>
      </c>
      <c r="N119" s="2">
        <f>SUMPRODUCT($CA119:$DV119,INDEX('MC MAP'!$DA$5:$EV$30,13,0))</f>
        <v>0</v>
      </c>
      <c r="O119" s="2">
        <f>SUMPRODUCT($CA119:$DV119,INDEX('MC MAP'!$DA$5:$EV$30,14,0))</f>
        <v>0</v>
      </c>
      <c r="P119" s="2">
        <f>SUMPRODUCT($CA119:$DV119,INDEX('MC MAP'!$DA$5:$EV$30,15,0))</f>
        <v>0</v>
      </c>
      <c r="Q119" s="2">
        <f>SUMPRODUCT($CA119:$DV119,INDEX('MC MAP'!$DA$5:$EV$30,16,0))</f>
        <v>0</v>
      </c>
      <c r="R119" s="2">
        <f>SUMPRODUCT($CA119:$DV119,INDEX('MC MAP'!$DA$5:$EV$30,17,0))</f>
        <v>0</v>
      </c>
      <c r="S119" s="2">
        <f>SUMPRODUCT($CA119:$DV119,INDEX('MC MAP'!$DA$5:$EV$30,18,0))</f>
        <v>0</v>
      </c>
      <c r="T119" s="2">
        <f>SUMPRODUCT($CA119:$DV119,INDEX('MC MAP'!$DA$5:$EV$30,19,0))</f>
        <v>0</v>
      </c>
      <c r="U119" s="2">
        <f>SUMPRODUCT($CA119:$DV119,INDEX('MC MAP'!$DA$5:$EV$30,20,0))</f>
        <v>0</v>
      </c>
      <c r="V119" s="2">
        <f>SUMPRODUCT($CA119:$DV119,INDEX('MC MAP'!$DA$5:$EV$30,21,0))</f>
        <v>0</v>
      </c>
      <c r="W119" s="2">
        <f>SUMPRODUCT($CA119:$DV119,INDEX('MC MAP'!$DA$5:$EV$30,22,0))</f>
        <v>0</v>
      </c>
      <c r="X119" s="2">
        <f>SUMPRODUCT($CA119:$DV119,INDEX('MC MAP'!$DA$5:$EV$30,23,0))</f>
        <v>0</v>
      </c>
      <c r="Y119" s="2">
        <f>SUMPRODUCT($CA119:$DV119,INDEX('MC MAP'!$DA$5:$EV$30,24,0))</f>
        <v>0</v>
      </c>
      <c r="Z119" s="2">
        <f>SUMPRODUCT($CA119:$DV119,INDEX('MC MAP'!$DA$5:$EV$30,25,0))</f>
        <v>0</v>
      </c>
      <c r="AA119" s="2">
        <f>SUMPRODUCT($CA119:$DV119,INDEX('MC MAP'!$DA$5:$EV$30,26,0))</f>
        <v>0</v>
      </c>
      <c r="AB119" s="2">
        <f>SUM($B119:$AA119)</f>
        <v>0</v>
      </c>
      <c r="AC119" s="2">
        <f>SUM($CA119:$DV119)+$AW119</f>
        <v>0</v>
      </c>
      <c r="AW119" s="2">
        <f>IF($A119=0,0,COUNTIF(INDEX('LINE PLAN'!$B$36:$GS$61,0,ROW()-3),"THERMAL - NOT SPECIFIED"))</f>
        <v>0</v>
      </c>
      <c r="AX119" s="506" cm="1">
        <f t="array" ref="AX119">IF(OR($AB119=0,UPPER($BS119)&lt;&gt;"Y"),0,SUMPRODUCT(--($B119:$AA119&gt;$B$205:$AA$205)))</f>
        <v>0</v>
      </c>
      <c r="AY119" s="507">
        <f>$A119</f>
        <v>0</v>
      </c>
      <c r="AZ119" s="2">
        <f>$AB119</f>
        <v>0</v>
      </c>
      <c r="BA119" s="2">
        <f>'MC MASTER'!$C$29</f>
        <v>920</v>
      </c>
      <c r="BQ119" s="509">
        <f>$A119</f>
        <v>0</v>
      </c>
      <c r="BR119" s="15" t="str">
        <f>TEXT($A119,"ddd")</f>
        <v>Sat</v>
      </c>
      <c r="BS119" s="547" t="str">
        <f>IF($A119=0,"",IF(WEEKDAY($A119,2)=7,"N","Y"))</f>
        <v/>
      </c>
      <c r="BT119" s="15">
        <f>IF(UPPER($BS119)="Y",$AB119,0)</f>
        <v>0</v>
      </c>
      <c r="CA119" s="2">
        <f>COUNTIF(INDEX('LINE PLAN'!$B$36:$GS$61,0,ROW()-3),CA$3)</f>
        <v>0</v>
      </c>
      <c r="CB119" s="2">
        <f>COUNTIF(INDEX('LINE PLAN'!$B$36:$GS$61,0,ROW()-3),CB$3)</f>
        <v>0</v>
      </c>
      <c r="CC119" s="2">
        <f>COUNTIF(INDEX('LINE PLAN'!$B$36:$GS$61,0,ROW()-3),CC$3)</f>
        <v>0</v>
      </c>
      <c r="CD119" s="2">
        <f>COUNTIF(INDEX('LINE PLAN'!$B$36:$GS$61,0,ROW()-3),CD$3)</f>
        <v>0</v>
      </c>
      <c r="CE119" s="2">
        <f>COUNTIF(INDEX('LINE PLAN'!$B$36:$GS$61,0,ROW()-3),CE$3)</f>
        <v>0</v>
      </c>
      <c r="CF119" s="2">
        <f>COUNTIF(INDEX('LINE PLAN'!$B$36:$GS$61,0,ROW()-3),CF$3)</f>
        <v>0</v>
      </c>
      <c r="CG119" s="2">
        <f>COUNTIF(INDEX('LINE PLAN'!$B$36:$GS$61,0,ROW()-3),CG$3)</f>
        <v>0</v>
      </c>
      <c r="CH119" s="2">
        <f>COUNTIF(INDEX('LINE PLAN'!$B$36:$GS$61,0,ROW()-3),CH$3)</f>
        <v>0</v>
      </c>
      <c r="CI119" s="2">
        <f>COUNTIF(INDEX('LINE PLAN'!$B$36:$GS$61,0,ROW()-3),CI$3)</f>
        <v>0</v>
      </c>
      <c r="CJ119" s="2">
        <f>COUNTIF(INDEX('LINE PLAN'!$B$36:$GS$61,0,ROW()-3),CJ$3)</f>
        <v>0</v>
      </c>
      <c r="CK119" s="2">
        <f>COUNTIF(INDEX('LINE PLAN'!$B$36:$GS$61,0,ROW()-3),CK$3)</f>
        <v>0</v>
      </c>
      <c r="CL119" s="2">
        <f>COUNTIF(INDEX('LINE PLAN'!$B$36:$GS$61,0,ROW()-3),CL$3)</f>
        <v>0</v>
      </c>
      <c r="CM119" s="2">
        <f>COUNTIF(INDEX('LINE PLAN'!$B$36:$GS$61,0,ROW()-3),CM$3)</f>
        <v>0</v>
      </c>
      <c r="CN119" s="2">
        <f>COUNTIF(INDEX('LINE PLAN'!$B$36:$GS$61,0,ROW()-3),CN$3)</f>
        <v>0</v>
      </c>
      <c r="CO119" s="2">
        <f>COUNTIF(INDEX('LINE PLAN'!$B$36:$GS$61,0,ROW()-3),CO$3)</f>
        <v>0</v>
      </c>
      <c r="CP119" s="2">
        <f>COUNTIF(INDEX('LINE PLAN'!$B$36:$GS$61,0,ROW()-3),CP$3)</f>
        <v>0</v>
      </c>
      <c r="CQ119" s="2">
        <f>COUNTIF(INDEX('LINE PLAN'!$B$36:$GS$61,0,ROW()-3),CQ$3)</f>
        <v>0</v>
      </c>
      <c r="CR119" s="2">
        <f>COUNTIF(INDEX('LINE PLAN'!$B$36:$GS$61,0,ROW()-3),CR$3)</f>
        <v>0</v>
      </c>
      <c r="CS119" s="2">
        <f>COUNTIF(INDEX('LINE PLAN'!$B$36:$GS$61,0,ROW()-3),CS$3)</f>
        <v>0</v>
      </c>
      <c r="CT119" s="2">
        <f>COUNTIF(INDEX('LINE PLAN'!$B$36:$GS$61,0,ROW()-3),CT$3)</f>
        <v>0</v>
      </c>
      <c r="CU119" s="2">
        <f>COUNTIF(INDEX('LINE PLAN'!$B$36:$GS$61,0,ROW()-3),CU$3)</f>
        <v>0</v>
      </c>
      <c r="CV119" s="2">
        <f>COUNTIF(INDEX('LINE PLAN'!$B$36:$GS$61,0,ROW()-3),CV$3)</f>
        <v>0</v>
      </c>
      <c r="CW119" s="2">
        <f>COUNTIF(INDEX('LINE PLAN'!$B$36:$GS$61,0,ROW()-3),CW$3)</f>
        <v>0</v>
      </c>
      <c r="CX119" s="2">
        <f>COUNTIF(INDEX('LINE PLAN'!$B$36:$GS$61,0,ROW()-3),CX$3)</f>
        <v>0</v>
      </c>
      <c r="CY119" s="2">
        <f>COUNTIF(INDEX('LINE PLAN'!$B$36:$GS$61,0,ROW()-3),CY$3)</f>
        <v>0</v>
      </c>
      <c r="CZ119" s="2">
        <f>COUNTIF(INDEX('LINE PLAN'!$B$36:$GS$61,0,ROW()-3),CZ$3)</f>
        <v>0</v>
      </c>
      <c r="DA119" s="2">
        <f>COUNTIF(INDEX('LINE PLAN'!$B$36:$GS$61,0,ROW()-3),DA$3)</f>
        <v>0</v>
      </c>
      <c r="DB119" s="2">
        <f>COUNTIF(INDEX('LINE PLAN'!$B$36:$GS$61,0,ROW()-3),DB$3)</f>
        <v>0</v>
      </c>
      <c r="DC119" s="2">
        <f>COUNTIF(INDEX('LINE PLAN'!$B$36:$GS$61,0,ROW()-3),DC$3)</f>
        <v>0</v>
      </c>
      <c r="DD119" s="2">
        <f>COUNTIF(INDEX('LINE PLAN'!$B$36:$GS$61,0,ROW()-3),DD$3)</f>
        <v>0</v>
      </c>
      <c r="DE119" s="2">
        <f>COUNTIF(INDEX('LINE PLAN'!$B$36:$GS$61,0,ROW()-3),DE$3)</f>
        <v>0</v>
      </c>
      <c r="DF119" s="2">
        <f>COUNTIF(INDEX('LINE PLAN'!$B$36:$GS$61,0,ROW()-3),DF$3)</f>
        <v>0</v>
      </c>
      <c r="DG119" s="2">
        <f>COUNTIF(INDEX('LINE PLAN'!$B$36:$GS$61,0,ROW()-3),DG$3)</f>
        <v>0</v>
      </c>
      <c r="DH119" s="2">
        <f>COUNTIF(INDEX('LINE PLAN'!$B$36:$GS$61,0,ROW()-3),DH$3)</f>
        <v>0</v>
      </c>
      <c r="DI119" s="2">
        <f>COUNTIF(INDEX('LINE PLAN'!$B$36:$GS$61,0,ROW()-3),DI$3)</f>
        <v>0</v>
      </c>
      <c r="DJ119" s="2">
        <f>COUNTIF(INDEX('LINE PLAN'!$B$36:$GS$61,0,ROW()-3),DJ$3)</f>
        <v>0</v>
      </c>
      <c r="DK119" s="2">
        <f>COUNTIF(INDEX('LINE PLAN'!$B$36:$GS$61,0,ROW()-3),DK$3)</f>
        <v>0</v>
      </c>
      <c r="DL119" s="2">
        <f>COUNTIF(INDEX('LINE PLAN'!$B$36:$GS$61,0,ROW()-3),DL$3)</f>
        <v>0</v>
      </c>
      <c r="DM119" s="2">
        <f>COUNTIF(INDEX('LINE PLAN'!$B$36:$GS$61,0,ROW()-3),DM$3)</f>
        <v>0</v>
      </c>
      <c r="DN119" s="2">
        <f>COUNTIF(INDEX('LINE PLAN'!$B$36:$GS$61,0,ROW()-3),DN$3)</f>
        <v>0</v>
      </c>
      <c r="DO119" s="2">
        <f>COUNTIF(INDEX('LINE PLAN'!$B$36:$GS$61,0,ROW()-3),DO$3)</f>
        <v>0</v>
      </c>
      <c r="DP119" s="2">
        <f>COUNTIF(INDEX('LINE PLAN'!$B$36:$GS$61,0,ROW()-3),DP$3)</f>
        <v>0</v>
      </c>
      <c r="DQ119" s="2">
        <f>COUNTIF(INDEX('LINE PLAN'!$B$36:$GS$61,0,ROW()-3),DQ$3)</f>
        <v>0</v>
      </c>
      <c r="DR119" s="2">
        <f>COUNTIF(INDEX('LINE PLAN'!$B$36:$GS$61,0,ROW()-3),DR$3)</f>
        <v>0</v>
      </c>
      <c r="DS119" s="2">
        <f>COUNTIF(INDEX('LINE PLAN'!$B$36:$GS$61,0,ROW()-3),DS$3)</f>
        <v>0</v>
      </c>
      <c r="DT119" s="2">
        <f>COUNTIF(INDEX('LINE PLAN'!$B$36:$GS$61,0,ROW()-3),DT$3)</f>
        <v>0</v>
      </c>
      <c r="DU119" s="2">
        <f>COUNTIF(INDEX('LINE PLAN'!$B$36:$GS$61,0,ROW()-3),DU$3)</f>
        <v>0</v>
      </c>
      <c r="DV119" s="2">
        <f>COUNTIF(INDEX('LINE PLAN'!$B$36:$GS$61,0,ROW()-3),DV$3)</f>
        <v>0</v>
      </c>
    </row>
    <row r="120" spans="1:126">
      <c r="A120" s="505" cm="1">
        <f t="array" ref="A120">INDEX('LINE PLAN'!$B$35:$GS$35,ROW()-3)</f>
        <v>0</v>
      </c>
      <c r="B120" s="2">
        <f>SUMPRODUCT($CA120:$DV120,INDEX('MC MAP'!$DA$5:$EV$30,1,0))</f>
        <v>0</v>
      </c>
      <c r="C120" s="2">
        <f>SUMPRODUCT($CA120:$DV120,INDEX('MC MAP'!$DA$5:$EV$30,2,0))</f>
        <v>0</v>
      </c>
      <c r="D120" s="2">
        <f>SUMPRODUCT($CA120:$DV120,INDEX('MC MAP'!$DA$5:$EV$30,3,0))</f>
        <v>0</v>
      </c>
      <c r="E120" s="2">
        <f>SUMPRODUCT($CA120:$DV120,INDEX('MC MAP'!$DA$5:$EV$30,4,0))</f>
        <v>0</v>
      </c>
      <c r="F120" s="2">
        <f>SUMPRODUCT($CA120:$DV120,INDEX('MC MAP'!$DA$5:$EV$30,5,0))</f>
        <v>0</v>
      </c>
      <c r="G120" s="2">
        <f>SUMPRODUCT($CA120:$DV120,INDEX('MC MAP'!$DA$5:$EV$30,6,0))</f>
        <v>0</v>
      </c>
      <c r="H120" s="2">
        <f>SUMPRODUCT($CA120:$DV120,INDEX('MC MAP'!$DA$5:$EV$30,7,0))</f>
        <v>0</v>
      </c>
      <c r="I120" s="2">
        <f>SUMPRODUCT($CA120:$DV120,INDEX('MC MAP'!$DA$5:$EV$30,8,0))</f>
        <v>0</v>
      </c>
      <c r="J120" s="2">
        <f>SUMPRODUCT($CA120:$DV120,INDEX('MC MAP'!$DA$5:$EV$30,9,0))</f>
        <v>0</v>
      </c>
      <c r="K120" s="2">
        <f>SUMPRODUCT($CA120:$DV120,INDEX('MC MAP'!$DA$5:$EV$30,10,0))</f>
        <v>0</v>
      </c>
      <c r="L120" s="2">
        <f>SUMPRODUCT($CA120:$DV120,INDEX('MC MAP'!$DA$5:$EV$30,11,0))</f>
        <v>0</v>
      </c>
      <c r="M120" s="2">
        <f>SUMPRODUCT($CA120:$DV120,INDEX('MC MAP'!$DA$5:$EV$30,12,0))</f>
        <v>0</v>
      </c>
      <c r="N120" s="2">
        <f>SUMPRODUCT($CA120:$DV120,INDEX('MC MAP'!$DA$5:$EV$30,13,0))</f>
        <v>0</v>
      </c>
      <c r="O120" s="2">
        <f>SUMPRODUCT($CA120:$DV120,INDEX('MC MAP'!$DA$5:$EV$30,14,0))</f>
        <v>0</v>
      </c>
      <c r="P120" s="2">
        <f>SUMPRODUCT($CA120:$DV120,INDEX('MC MAP'!$DA$5:$EV$30,15,0))</f>
        <v>0</v>
      </c>
      <c r="Q120" s="2">
        <f>SUMPRODUCT($CA120:$DV120,INDEX('MC MAP'!$DA$5:$EV$30,16,0))</f>
        <v>0</v>
      </c>
      <c r="R120" s="2">
        <f>SUMPRODUCT($CA120:$DV120,INDEX('MC MAP'!$DA$5:$EV$30,17,0))</f>
        <v>0</v>
      </c>
      <c r="S120" s="2">
        <f>SUMPRODUCT($CA120:$DV120,INDEX('MC MAP'!$DA$5:$EV$30,18,0))</f>
        <v>0</v>
      </c>
      <c r="T120" s="2">
        <f>SUMPRODUCT($CA120:$DV120,INDEX('MC MAP'!$DA$5:$EV$30,19,0))</f>
        <v>0</v>
      </c>
      <c r="U120" s="2">
        <f>SUMPRODUCT($CA120:$DV120,INDEX('MC MAP'!$DA$5:$EV$30,20,0))</f>
        <v>0</v>
      </c>
      <c r="V120" s="2">
        <f>SUMPRODUCT($CA120:$DV120,INDEX('MC MAP'!$DA$5:$EV$30,21,0))</f>
        <v>0</v>
      </c>
      <c r="W120" s="2">
        <f>SUMPRODUCT($CA120:$DV120,INDEX('MC MAP'!$DA$5:$EV$30,22,0))</f>
        <v>0</v>
      </c>
      <c r="X120" s="2">
        <f>SUMPRODUCT($CA120:$DV120,INDEX('MC MAP'!$DA$5:$EV$30,23,0))</f>
        <v>0</v>
      </c>
      <c r="Y120" s="2">
        <f>SUMPRODUCT($CA120:$DV120,INDEX('MC MAP'!$DA$5:$EV$30,24,0))</f>
        <v>0</v>
      </c>
      <c r="Z120" s="2">
        <f>SUMPRODUCT($CA120:$DV120,INDEX('MC MAP'!$DA$5:$EV$30,25,0))</f>
        <v>0</v>
      </c>
      <c r="AA120" s="2">
        <f>SUMPRODUCT($CA120:$DV120,INDEX('MC MAP'!$DA$5:$EV$30,26,0))</f>
        <v>0</v>
      </c>
      <c r="AB120" s="2">
        <f>SUM($B120:$AA120)</f>
        <v>0</v>
      </c>
      <c r="AC120" s="2">
        <f>SUM($CA120:$DV120)+$AW120</f>
        <v>0</v>
      </c>
      <c r="AW120" s="2">
        <f>IF($A120=0,0,COUNTIF(INDEX('LINE PLAN'!$B$36:$GS$61,0,ROW()-3),"THERMAL - NOT SPECIFIED"))</f>
        <v>0</v>
      </c>
      <c r="AX120" s="506" cm="1">
        <f t="array" ref="AX120">IF(OR($AB120=0,UPPER($BS120)&lt;&gt;"Y"),0,SUMPRODUCT(--($B120:$AA120&gt;$B$205:$AA$205)))</f>
        <v>0</v>
      </c>
      <c r="AY120" s="507">
        <f>$A120</f>
        <v>0</v>
      </c>
      <c r="AZ120" s="2">
        <f>$AB120</f>
        <v>0</v>
      </c>
      <c r="BA120" s="2">
        <f>'MC MASTER'!$C$29</f>
        <v>920</v>
      </c>
      <c r="BQ120" s="509">
        <f>$A120</f>
        <v>0</v>
      </c>
      <c r="BR120" s="15" t="str">
        <f>TEXT($A120,"ddd")</f>
        <v>Sat</v>
      </c>
      <c r="BS120" s="547" t="str">
        <f>IF($A120=0,"",IF(WEEKDAY($A120,2)=7,"N","Y"))</f>
        <v/>
      </c>
      <c r="BT120" s="15">
        <f>IF(UPPER($BS120)="Y",$AB120,0)</f>
        <v>0</v>
      </c>
      <c r="CA120" s="2">
        <f>COUNTIF(INDEX('LINE PLAN'!$B$36:$GS$61,0,ROW()-3),CA$3)</f>
        <v>0</v>
      </c>
      <c r="CB120" s="2">
        <f>COUNTIF(INDEX('LINE PLAN'!$B$36:$GS$61,0,ROW()-3),CB$3)</f>
        <v>0</v>
      </c>
      <c r="CC120" s="2">
        <f>COUNTIF(INDEX('LINE PLAN'!$B$36:$GS$61,0,ROW()-3),CC$3)</f>
        <v>0</v>
      </c>
      <c r="CD120" s="2">
        <f>COUNTIF(INDEX('LINE PLAN'!$B$36:$GS$61,0,ROW()-3),CD$3)</f>
        <v>0</v>
      </c>
      <c r="CE120" s="2">
        <f>COUNTIF(INDEX('LINE PLAN'!$B$36:$GS$61,0,ROW()-3),CE$3)</f>
        <v>0</v>
      </c>
      <c r="CF120" s="2">
        <f>COUNTIF(INDEX('LINE PLAN'!$B$36:$GS$61,0,ROW()-3),CF$3)</f>
        <v>0</v>
      </c>
      <c r="CG120" s="2">
        <f>COUNTIF(INDEX('LINE PLAN'!$B$36:$GS$61,0,ROW()-3),CG$3)</f>
        <v>0</v>
      </c>
      <c r="CH120" s="2">
        <f>COUNTIF(INDEX('LINE PLAN'!$B$36:$GS$61,0,ROW()-3),CH$3)</f>
        <v>0</v>
      </c>
      <c r="CI120" s="2">
        <f>COUNTIF(INDEX('LINE PLAN'!$B$36:$GS$61,0,ROW()-3),CI$3)</f>
        <v>0</v>
      </c>
      <c r="CJ120" s="2">
        <f>COUNTIF(INDEX('LINE PLAN'!$B$36:$GS$61,0,ROW()-3),CJ$3)</f>
        <v>0</v>
      </c>
      <c r="CK120" s="2">
        <f>COUNTIF(INDEX('LINE PLAN'!$B$36:$GS$61,0,ROW()-3),CK$3)</f>
        <v>0</v>
      </c>
      <c r="CL120" s="2">
        <f>COUNTIF(INDEX('LINE PLAN'!$B$36:$GS$61,0,ROW()-3),CL$3)</f>
        <v>0</v>
      </c>
      <c r="CM120" s="2">
        <f>COUNTIF(INDEX('LINE PLAN'!$B$36:$GS$61,0,ROW()-3),CM$3)</f>
        <v>0</v>
      </c>
      <c r="CN120" s="2">
        <f>COUNTIF(INDEX('LINE PLAN'!$B$36:$GS$61,0,ROW()-3),CN$3)</f>
        <v>0</v>
      </c>
      <c r="CO120" s="2">
        <f>COUNTIF(INDEX('LINE PLAN'!$B$36:$GS$61,0,ROW()-3),CO$3)</f>
        <v>0</v>
      </c>
      <c r="CP120" s="2">
        <f>COUNTIF(INDEX('LINE PLAN'!$B$36:$GS$61,0,ROW()-3),CP$3)</f>
        <v>0</v>
      </c>
      <c r="CQ120" s="2">
        <f>COUNTIF(INDEX('LINE PLAN'!$B$36:$GS$61,0,ROW()-3),CQ$3)</f>
        <v>0</v>
      </c>
      <c r="CR120" s="2">
        <f>COUNTIF(INDEX('LINE PLAN'!$B$36:$GS$61,0,ROW()-3),CR$3)</f>
        <v>0</v>
      </c>
      <c r="CS120" s="2">
        <f>COUNTIF(INDEX('LINE PLAN'!$B$36:$GS$61,0,ROW()-3),CS$3)</f>
        <v>0</v>
      </c>
      <c r="CT120" s="2">
        <f>COUNTIF(INDEX('LINE PLAN'!$B$36:$GS$61,0,ROW()-3),CT$3)</f>
        <v>0</v>
      </c>
      <c r="CU120" s="2">
        <f>COUNTIF(INDEX('LINE PLAN'!$B$36:$GS$61,0,ROW()-3),CU$3)</f>
        <v>0</v>
      </c>
      <c r="CV120" s="2">
        <f>COUNTIF(INDEX('LINE PLAN'!$B$36:$GS$61,0,ROW()-3),CV$3)</f>
        <v>0</v>
      </c>
      <c r="CW120" s="2">
        <f>COUNTIF(INDEX('LINE PLAN'!$B$36:$GS$61,0,ROW()-3),CW$3)</f>
        <v>0</v>
      </c>
      <c r="CX120" s="2">
        <f>COUNTIF(INDEX('LINE PLAN'!$B$36:$GS$61,0,ROW()-3),CX$3)</f>
        <v>0</v>
      </c>
      <c r="CY120" s="2">
        <f>COUNTIF(INDEX('LINE PLAN'!$B$36:$GS$61,0,ROW()-3),CY$3)</f>
        <v>0</v>
      </c>
      <c r="CZ120" s="2">
        <f>COUNTIF(INDEX('LINE PLAN'!$B$36:$GS$61,0,ROW()-3),CZ$3)</f>
        <v>0</v>
      </c>
      <c r="DA120" s="2">
        <f>COUNTIF(INDEX('LINE PLAN'!$B$36:$GS$61,0,ROW()-3),DA$3)</f>
        <v>0</v>
      </c>
      <c r="DB120" s="2">
        <f>COUNTIF(INDEX('LINE PLAN'!$B$36:$GS$61,0,ROW()-3),DB$3)</f>
        <v>0</v>
      </c>
      <c r="DC120" s="2">
        <f>COUNTIF(INDEX('LINE PLAN'!$B$36:$GS$61,0,ROW()-3),DC$3)</f>
        <v>0</v>
      </c>
      <c r="DD120" s="2">
        <f>COUNTIF(INDEX('LINE PLAN'!$B$36:$GS$61,0,ROW()-3),DD$3)</f>
        <v>0</v>
      </c>
      <c r="DE120" s="2">
        <f>COUNTIF(INDEX('LINE PLAN'!$B$36:$GS$61,0,ROW()-3),DE$3)</f>
        <v>0</v>
      </c>
      <c r="DF120" s="2">
        <f>COUNTIF(INDEX('LINE PLAN'!$B$36:$GS$61,0,ROW()-3),DF$3)</f>
        <v>0</v>
      </c>
      <c r="DG120" s="2">
        <f>COUNTIF(INDEX('LINE PLAN'!$B$36:$GS$61,0,ROW()-3),DG$3)</f>
        <v>0</v>
      </c>
      <c r="DH120" s="2">
        <f>COUNTIF(INDEX('LINE PLAN'!$B$36:$GS$61,0,ROW()-3),DH$3)</f>
        <v>0</v>
      </c>
      <c r="DI120" s="2">
        <f>COUNTIF(INDEX('LINE PLAN'!$B$36:$GS$61,0,ROW()-3),DI$3)</f>
        <v>0</v>
      </c>
      <c r="DJ120" s="2">
        <f>COUNTIF(INDEX('LINE PLAN'!$B$36:$GS$61,0,ROW()-3),DJ$3)</f>
        <v>0</v>
      </c>
      <c r="DK120" s="2">
        <f>COUNTIF(INDEX('LINE PLAN'!$B$36:$GS$61,0,ROW()-3),DK$3)</f>
        <v>0</v>
      </c>
      <c r="DL120" s="2">
        <f>COUNTIF(INDEX('LINE PLAN'!$B$36:$GS$61,0,ROW()-3),DL$3)</f>
        <v>0</v>
      </c>
      <c r="DM120" s="2">
        <f>COUNTIF(INDEX('LINE PLAN'!$B$36:$GS$61,0,ROW()-3),DM$3)</f>
        <v>0</v>
      </c>
      <c r="DN120" s="2">
        <f>COUNTIF(INDEX('LINE PLAN'!$B$36:$GS$61,0,ROW()-3),DN$3)</f>
        <v>0</v>
      </c>
      <c r="DO120" s="2">
        <f>COUNTIF(INDEX('LINE PLAN'!$B$36:$GS$61,0,ROW()-3),DO$3)</f>
        <v>0</v>
      </c>
      <c r="DP120" s="2">
        <f>COUNTIF(INDEX('LINE PLAN'!$B$36:$GS$61,0,ROW()-3),DP$3)</f>
        <v>0</v>
      </c>
      <c r="DQ120" s="2">
        <f>COUNTIF(INDEX('LINE PLAN'!$B$36:$GS$61,0,ROW()-3),DQ$3)</f>
        <v>0</v>
      </c>
      <c r="DR120" s="2">
        <f>COUNTIF(INDEX('LINE PLAN'!$B$36:$GS$61,0,ROW()-3),DR$3)</f>
        <v>0</v>
      </c>
      <c r="DS120" s="2">
        <f>COUNTIF(INDEX('LINE PLAN'!$B$36:$GS$61,0,ROW()-3),DS$3)</f>
        <v>0</v>
      </c>
      <c r="DT120" s="2">
        <f>COUNTIF(INDEX('LINE PLAN'!$B$36:$GS$61,0,ROW()-3),DT$3)</f>
        <v>0</v>
      </c>
      <c r="DU120" s="2">
        <f>COUNTIF(INDEX('LINE PLAN'!$B$36:$GS$61,0,ROW()-3),DU$3)</f>
        <v>0</v>
      </c>
      <c r="DV120" s="2">
        <f>COUNTIF(INDEX('LINE PLAN'!$B$36:$GS$61,0,ROW()-3),DV$3)</f>
        <v>0</v>
      </c>
    </row>
    <row r="121" spans="1:126">
      <c r="A121" s="505" cm="1">
        <f t="array" ref="A121">INDEX('LINE PLAN'!$B$35:$GS$35,ROW()-3)</f>
        <v>0</v>
      </c>
      <c r="B121" s="2">
        <f>SUMPRODUCT($CA121:$DV121,INDEX('MC MAP'!$DA$5:$EV$30,1,0))</f>
        <v>0</v>
      </c>
      <c r="C121" s="2">
        <f>SUMPRODUCT($CA121:$DV121,INDEX('MC MAP'!$DA$5:$EV$30,2,0))</f>
        <v>0</v>
      </c>
      <c r="D121" s="2">
        <f>SUMPRODUCT($CA121:$DV121,INDEX('MC MAP'!$DA$5:$EV$30,3,0))</f>
        <v>0</v>
      </c>
      <c r="E121" s="2">
        <f>SUMPRODUCT($CA121:$DV121,INDEX('MC MAP'!$DA$5:$EV$30,4,0))</f>
        <v>0</v>
      </c>
      <c r="F121" s="2">
        <f>SUMPRODUCT($CA121:$DV121,INDEX('MC MAP'!$DA$5:$EV$30,5,0))</f>
        <v>0</v>
      </c>
      <c r="G121" s="2">
        <f>SUMPRODUCT($CA121:$DV121,INDEX('MC MAP'!$DA$5:$EV$30,6,0))</f>
        <v>0</v>
      </c>
      <c r="H121" s="2">
        <f>SUMPRODUCT($CA121:$DV121,INDEX('MC MAP'!$DA$5:$EV$30,7,0))</f>
        <v>0</v>
      </c>
      <c r="I121" s="2">
        <f>SUMPRODUCT($CA121:$DV121,INDEX('MC MAP'!$DA$5:$EV$30,8,0))</f>
        <v>0</v>
      </c>
      <c r="J121" s="2">
        <f>SUMPRODUCT($CA121:$DV121,INDEX('MC MAP'!$DA$5:$EV$30,9,0))</f>
        <v>0</v>
      </c>
      <c r="K121" s="2">
        <f>SUMPRODUCT($CA121:$DV121,INDEX('MC MAP'!$DA$5:$EV$30,10,0))</f>
        <v>0</v>
      </c>
      <c r="L121" s="2">
        <f>SUMPRODUCT($CA121:$DV121,INDEX('MC MAP'!$DA$5:$EV$30,11,0))</f>
        <v>0</v>
      </c>
      <c r="M121" s="2">
        <f>SUMPRODUCT($CA121:$DV121,INDEX('MC MAP'!$DA$5:$EV$30,12,0))</f>
        <v>0</v>
      </c>
      <c r="N121" s="2">
        <f>SUMPRODUCT($CA121:$DV121,INDEX('MC MAP'!$DA$5:$EV$30,13,0))</f>
        <v>0</v>
      </c>
      <c r="O121" s="2">
        <f>SUMPRODUCT($CA121:$DV121,INDEX('MC MAP'!$DA$5:$EV$30,14,0))</f>
        <v>0</v>
      </c>
      <c r="P121" s="2">
        <f>SUMPRODUCT($CA121:$DV121,INDEX('MC MAP'!$DA$5:$EV$30,15,0))</f>
        <v>0</v>
      </c>
      <c r="Q121" s="2">
        <f>SUMPRODUCT($CA121:$DV121,INDEX('MC MAP'!$DA$5:$EV$30,16,0))</f>
        <v>0</v>
      </c>
      <c r="R121" s="2">
        <f>SUMPRODUCT($CA121:$DV121,INDEX('MC MAP'!$DA$5:$EV$30,17,0))</f>
        <v>0</v>
      </c>
      <c r="S121" s="2">
        <f>SUMPRODUCT($CA121:$DV121,INDEX('MC MAP'!$DA$5:$EV$30,18,0))</f>
        <v>0</v>
      </c>
      <c r="T121" s="2">
        <f>SUMPRODUCT($CA121:$DV121,INDEX('MC MAP'!$DA$5:$EV$30,19,0))</f>
        <v>0</v>
      </c>
      <c r="U121" s="2">
        <f>SUMPRODUCT($CA121:$DV121,INDEX('MC MAP'!$DA$5:$EV$30,20,0))</f>
        <v>0</v>
      </c>
      <c r="V121" s="2">
        <f>SUMPRODUCT($CA121:$DV121,INDEX('MC MAP'!$DA$5:$EV$30,21,0))</f>
        <v>0</v>
      </c>
      <c r="W121" s="2">
        <f>SUMPRODUCT($CA121:$DV121,INDEX('MC MAP'!$DA$5:$EV$30,22,0))</f>
        <v>0</v>
      </c>
      <c r="X121" s="2">
        <f>SUMPRODUCT($CA121:$DV121,INDEX('MC MAP'!$DA$5:$EV$30,23,0))</f>
        <v>0</v>
      </c>
      <c r="Y121" s="2">
        <f>SUMPRODUCT($CA121:$DV121,INDEX('MC MAP'!$DA$5:$EV$30,24,0))</f>
        <v>0</v>
      </c>
      <c r="Z121" s="2">
        <f>SUMPRODUCT($CA121:$DV121,INDEX('MC MAP'!$DA$5:$EV$30,25,0))</f>
        <v>0</v>
      </c>
      <c r="AA121" s="2">
        <f>SUMPRODUCT($CA121:$DV121,INDEX('MC MAP'!$DA$5:$EV$30,26,0))</f>
        <v>0</v>
      </c>
      <c r="AB121" s="2">
        <f>SUM($B121:$AA121)</f>
        <v>0</v>
      </c>
      <c r="AC121" s="2">
        <f>SUM($CA121:$DV121)+$AW121</f>
        <v>0</v>
      </c>
      <c r="AW121" s="2">
        <f>IF($A121=0,0,COUNTIF(INDEX('LINE PLAN'!$B$36:$GS$61,0,ROW()-3),"THERMAL - NOT SPECIFIED"))</f>
        <v>0</v>
      </c>
      <c r="AX121" s="506" cm="1">
        <f t="array" ref="AX121">IF(OR($AB121=0,UPPER($BS121)&lt;&gt;"Y"),0,SUMPRODUCT(--($B121:$AA121&gt;$B$205:$AA$205)))</f>
        <v>0</v>
      </c>
      <c r="AY121" s="507">
        <f>$A121</f>
        <v>0</v>
      </c>
      <c r="AZ121" s="2">
        <f>$AB121</f>
        <v>0</v>
      </c>
      <c r="BA121" s="2">
        <f>'MC MASTER'!$C$29</f>
        <v>920</v>
      </c>
      <c r="BQ121" s="509">
        <f>$A121</f>
        <v>0</v>
      </c>
      <c r="BR121" s="15" t="str">
        <f>TEXT($A121,"ddd")</f>
        <v>Sat</v>
      </c>
      <c r="BS121" s="547" t="str">
        <f>IF($A121=0,"",IF(WEEKDAY($A121,2)=7,"N","Y"))</f>
        <v/>
      </c>
      <c r="BT121" s="15">
        <f>IF(UPPER($BS121)="Y",$AB121,0)</f>
        <v>0</v>
      </c>
      <c r="CA121" s="2">
        <f>COUNTIF(INDEX('LINE PLAN'!$B$36:$GS$61,0,ROW()-3),CA$3)</f>
        <v>0</v>
      </c>
      <c r="CB121" s="2">
        <f>COUNTIF(INDEX('LINE PLAN'!$B$36:$GS$61,0,ROW()-3),CB$3)</f>
        <v>0</v>
      </c>
      <c r="CC121" s="2">
        <f>COUNTIF(INDEX('LINE PLAN'!$B$36:$GS$61,0,ROW()-3),CC$3)</f>
        <v>0</v>
      </c>
      <c r="CD121" s="2">
        <f>COUNTIF(INDEX('LINE PLAN'!$B$36:$GS$61,0,ROW()-3),CD$3)</f>
        <v>0</v>
      </c>
      <c r="CE121" s="2">
        <f>COUNTIF(INDEX('LINE PLAN'!$B$36:$GS$61,0,ROW()-3),CE$3)</f>
        <v>0</v>
      </c>
      <c r="CF121" s="2">
        <f>COUNTIF(INDEX('LINE PLAN'!$B$36:$GS$61,0,ROW()-3),CF$3)</f>
        <v>0</v>
      </c>
      <c r="CG121" s="2">
        <f>COUNTIF(INDEX('LINE PLAN'!$B$36:$GS$61,0,ROW()-3),CG$3)</f>
        <v>0</v>
      </c>
      <c r="CH121" s="2">
        <f>COUNTIF(INDEX('LINE PLAN'!$B$36:$GS$61,0,ROW()-3),CH$3)</f>
        <v>0</v>
      </c>
      <c r="CI121" s="2">
        <f>COUNTIF(INDEX('LINE PLAN'!$B$36:$GS$61,0,ROW()-3),CI$3)</f>
        <v>0</v>
      </c>
      <c r="CJ121" s="2">
        <f>COUNTIF(INDEX('LINE PLAN'!$B$36:$GS$61,0,ROW()-3),CJ$3)</f>
        <v>0</v>
      </c>
      <c r="CK121" s="2">
        <f>COUNTIF(INDEX('LINE PLAN'!$B$36:$GS$61,0,ROW()-3),CK$3)</f>
        <v>0</v>
      </c>
      <c r="CL121" s="2">
        <f>COUNTIF(INDEX('LINE PLAN'!$B$36:$GS$61,0,ROW()-3),CL$3)</f>
        <v>0</v>
      </c>
      <c r="CM121" s="2">
        <f>COUNTIF(INDEX('LINE PLAN'!$B$36:$GS$61,0,ROW()-3),CM$3)</f>
        <v>0</v>
      </c>
      <c r="CN121" s="2">
        <f>COUNTIF(INDEX('LINE PLAN'!$B$36:$GS$61,0,ROW()-3),CN$3)</f>
        <v>0</v>
      </c>
      <c r="CO121" s="2">
        <f>COUNTIF(INDEX('LINE PLAN'!$B$36:$GS$61,0,ROW()-3),CO$3)</f>
        <v>0</v>
      </c>
      <c r="CP121" s="2">
        <f>COUNTIF(INDEX('LINE PLAN'!$B$36:$GS$61,0,ROW()-3),CP$3)</f>
        <v>0</v>
      </c>
      <c r="CQ121" s="2">
        <f>COUNTIF(INDEX('LINE PLAN'!$B$36:$GS$61,0,ROW()-3),CQ$3)</f>
        <v>0</v>
      </c>
      <c r="CR121" s="2">
        <f>COUNTIF(INDEX('LINE PLAN'!$B$36:$GS$61,0,ROW()-3),CR$3)</f>
        <v>0</v>
      </c>
      <c r="CS121" s="2">
        <f>COUNTIF(INDEX('LINE PLAN'!$B$36:$GS$61,0,ROW()-3),CS$3)</f>
        <v>0</v>
      </c>
      <c r="CT121" s="2">
        <f>COUNTIF(INDEX('LINE PLAN'!$B$36:$GS$61,0,ROW()-3),CT$3)</f>
        <v>0</v>
      </c>
      <c r="CU121" s="2">
        <f>COUNTIF(INDEX('LINE PLAN'!$B$36:$GS$61,0,ROW()-3),CU$3)</f>
        <v>0</v>
      </c>
      <c r="CV121" s="2">
        <f>COUNTIF(INDEX('LINE PLAN'!$B$36:$GS$61,0,ROW()-3),CV$3)</f>
        <v>0</v>
      </c>
      <c r="CW121" s="2">
        <f>COUNTIF(INDEX('LINE PLAN'!$B$36:$GS$61,0,ROW()-3),CW$3)</f>
        <v>0</v>
      </c>
      <c r="CX121" s="2">
        <f>COUNTIF(INDEX('LINE PLAN'!$B$36:$GS$61,0,ROW()-3),CX$3)</f>
        <v>0</v>
      </c>
      <c r="CY121" s="2">
        <f>COUNTIF(INDEX('LINE PLAN'!$B$36:$GS$61,0,ROW()-3),CY$3)</f>
        <v>0</v>
      </c>
      <c r="CZ121" s="2">
        <f>COUNTIF(INDEX('LINE PLAN'!$B$36:$GS$61,0,ROW()-3),CZ$3)</f>
        <v>0</v>
      </c>
      <c r="DA121" s="2">
        <f>COUNTIF(INDEX('LINE PLAN'!$B$36:$GS$61,0,ROW()-3),DA$3)</f>
        <v>0</v>
      </c>
      <c r="DB121" s="2">
        <f>COUNTIF(INDEX('LINE PLAN'!$B$36:$GS$61,0,ROW()-3),DB$3)</f>
        <v>0</v>
      </c>
      <c r="DC121" s="2">
        <f>COUNTIF(INDEX('LINE PLAN'!$B$36:$GS$61,0,ROW()-3),DC$3)</f>
        <v>0</v>
      </c>
      <c r="DD121" s="2">
        <f>COUNTIF(INDEX('LINE PLAN'!$B$36:$GS$61,0,ROW()-3),DD$3)</f>
        <v>0</v>
      </c>
      <c r="DE121" s="2">
        <f>COUNTIF(INDEX('LINE PLAN'!$B$36:$GS$61,0,ROW()-3),DE$3)</f>
        <v>0</v>
      </c>
      <c r="DF121" s="2">
        <f>COUNTIF(INDEX('LINE PLAN'!$B$36:$GS$61,0,ROW()-3),DF$3)</f>
        <v>0</v>
      </c>
      <c r="DG121" s="2">
        <f>COUNTIF(INDEX('LINE PLAN'!$B$36:$GS$61,0,ROW()-3),DG$3)</f>
        <v>0</v>
      </c>
      <c r="DH121" s="2">
        <f>COUNTIF(INDEX('LINE PLAN'!$B$36:$GS$61,0,ROW()-3),DH$3)</f>
        <v>0</v>
      </c>
      <c r="DI121" s="2">
        <f>COUNTIF(INDEX('LINE PLAN'!$B$36:$GS$61,0,ROW()-3),DI$3)</f>
        <v>0</v>
      </c>
      <c r="DJ121" s="2">
        <f>COUNTIF(INDEX('LINE PLAN'!$B$36:$GS$61,0,ROW()-3),DJ$3)</f>
        <v>0</v>
      </c>
      <c r="DK121" s="2">
        <f>COUNTIF(INDEX('LINE PLAN'!$B$36:$GS$61,0,ROW()-3),DK$3)</f>
        <v>0</v>
      </c>
      <c r="DL121" s="2">
        <f>COUNTIF(INDEX('LINE PLAN'!$B$36:$GS$61,0,ROW()-3),DL$3)</f>
        <v>0</v>
      </c>
      <c r="DM121" s="2">
        <f>COUNTIF(INDEX('LINE PLAN'!$B$36:$GS$61,0,ROW()-3),DM$3)</f>
        <v>0</v>
      </c>
      <c r="DN121" s="2">
        <f>COUNTIF(INDEX('LINE PLAN'!$B$36:$GS$61,0,ROW()-3),DN$3)</f>
        <v>0</v>
      </c>
      <c r="DO121" s="2">
        <f>COUNTIF(INDEX('LINE PLAN'!$B$36:$GS$61,0,ROW()-3),DO$3)</f>
        <v>0</v>
      </c>
      <c r="DP121" s="2">
        <f>COUNTIF(INDEX('LINE PLAN'!$B$36:$GS$61,0,ROW()-3),DP$3)</f>
        <v>0</v>
      </c>
      <c r="DQ121" s="2">
        <f>COUNTIF(INDEX('LINE PLAN'!$B$36:$GS$61,0,ROW()-3),DQ$3)</f>
        <v>0</v>
      </c>
      <c r="DR121" s="2">
        <f>COUNTIF(INDEX('LINE PLAN'!$B$36:$GS$61,0,ROW()-3),DR$3)</f>
        <v>0</v>
      </c>
      <c r="DS121" s="2">
        <f>COUNTIF(INDEX('LINE PLAN'!$B$36:$GS$61,0,ROW()-3),DS$3)</f>
        <v>0</v>
      </c>
      <c r="DT121" s="2">
        <f>COUNTIF(INDEX('LINE PLAN'!$B$36:$GS$61,0,ROW()-3),DT$3)</f>
        <v>0</v>
      </c>
      <c r="DU121" s="2">
        <f>COUNTIF(INDEX('LINE PLAN'!$B$36:$GS$61,0,ROW()-3),DU$3)</f>
        <v>0</v>
      </c>
      <c r="DV121" s="2">
        <f>COUNTIF(INDEX('LINE PLAN'!$B$36:$GS$61,0,ROW()-3),DV$3)</f>
        <v>0</v>
      </c>
    </row>
    <row r="122" spans="1:126">
      <c r="A122" s="505" cm="1">
        <f t="array" ref="A122">INDEX('LINE PLAN'!$B$35:$GS$35,ROW()-3)</f>
        <v>0</v>
      </c>
      <c r="B122" s="2">
        <f>SUMPRODUCT($CA122:$DV122,INDEX('MC MAP'!$DA$5:$EV$30,1,0))</f>
        <v>0</v>
      </c>
      <c r="C122" s="2">
        <f>SUMPRODUCT($CA122:$DV122,INDEX('MC MAP'!$DA$5:$EV$30,2,0))</f>
        <v>0</v>
      </c>
      <c r="D122" s="2">
        <f>SUMPRODUCT($CA122:$DV122,INDEX('MC MAP'!$DA$5:$EV$30,3,0))</f>
        <v>0</v>
      </c>
      <c r="E122" s="2">
        <f>SUMPRODUCT($CA122:$DV122,INDEX('MC MAP'!$DA$5:$EV$30,4,0))</f>
        <v>0</v>
      </c>
      <c r="F122" s="2">
        <f>SUMPRODUCT($CA122:$DV122,INDEX('MC MAP'!$DA$5:$EV$30,5,0))</f>
        <v>0</v>
      </c>
      <c r="G122" s="2">
        <f>SUMPRODUCT($CA122:$DV122,INDEX('MC MAP'!$DA$5:$EV$30,6,0))</f>
        <v>0</v>
      </c>
      <c r="H122" s="2">
        <f>SUMPRODUCT($CA122:$DV122,INDEX('MC MAP'!$DA$5:$EV$30,7,0))</f>
        <v>0</v>
      </c>
      <c r="I122" s="2">
        <f>SUMPRODUCT($CA122:$DV122,INDEX('MC MAP'!$DA$5:$EV$30,8,0))</f>
        <v>0</v>
      </c>
      <c r="J122" s="2">
        <f>SUMPRODUCT($CA122:$DV122,INDEX('MC MAP'!$DA$5:$EV$30,9,0))</f>
        <v>0</v>
      </c>
      <c r="K122" s="2">
        <f>SUMPRODUCT($CA122:$DV122,INDEX('MC MAP'!$DA$5:$EV$30,10,0))</f>
        <v>0</v>
      </c>
      <c r="L122" s="2">
        <f>SUMPRODUCT($CA122:$DV122,INDEX('MC MAP'!$DA$5:$EV$30,11,0))</f>
        <v>0</v>
      </c>
      <c r="M122" s="2">
        <f>SUMPRODUCT($CA122:$DV122,INDEX('MC MAP'!$DA$5:$EV$30,12,0))</f>
        <v>0</v>
      </c>
      <c r="N122" s="2">
        <f>SUMPRODUCT($CA122:$DV122,INDEX('MC MAP'!$DA$5:$EV$30,13,0))</f>
        <v>0</v>
      </c>
      <c r="O122" s="2">
        <f>SUMPRODUCT($CA122:$DV122,INDEX('MC MAP'!$DA$5:$EV$30,14,0))</f>
        <v>0</v>
      </c>
      <c r="P122" s="2">
        <f>SUMPRODUCT($CA122:$DV122,INDEX('MC MAP'!$DA$5:$EV$30,15,0))</f>
        <v>0</v>
      </c>
      <c r="Q122" s="2">
        <f>SUMPRODUCT($CA122:$DV122,INDEX('MC MAP'!$DA$5:$EV$30,16,0))</f>
        <v>0</v>
      </c>
      <c r="R122" s="2">
        <f>SUMPRODUCT($CA122:$DV122,INDEX('MC MAP'!$DA$5:$EV$30,17,0))</f>
        <v>0</v>
      </c>
      <c r="S122" s="2">
        <f>SUMPRODUCT($CA122:$DV122,INDEX('MC MAP'!$DA$5:$EV$30,18,0))</f>
        <v>0</v>
      </c>
      <c r="T122" s="2">
        <f>SUMPRODUCT($CA122:$DV122,INDEX('MC MAP'!$DA$5:$EV$30,19,0))</f>
        <v>0</v>
      </c>
      <c r="U122" s="2">
        <f>SUMPRODUCT($CA122:$DV122,INDEX('MC MAP'!$DA$5:$EV$30,20,0))</f>
        <v>0</v>
      </c>
      <c r="V122" s="2">
        <f>SUMPRODUCT($CA122:$DV122,INDEX('MC MAP'!$DA$5:$EV$30,21,0))</f>
        <v>0</v>
      </c>
      <c r="W122" s="2">
        <f>SUMPRODUCT($CA122:$DV122,INDEX('MC MAP'!$DA$5:$EV$30,22,0))</f>
        <v>0</v>
      </c>
      <c r="X122" s="2">
        <f>SUMPRODUCT($CA122:$DV122,INDEX('MC MAP'!$DA$5:$EV$30,23,0))</f>
        <v>0</v>
      </c>
      <c r="Y122" s="2">
        <f>SUMPRODUCT($CA122:$DV122,INDEX('MC MAP'!$DA$5:$EV$30,24,0))</f>
        <v>0</v>
      </c>
      <c r="Z122" s="2">
        <f>SUMPRODUCT($CA122:$DV122,INDEX('MC MAP'!$DA$5:$EV$30,25,0))</f>
        <v>0</v>
      </c>
      <c r="AA122" s="2">
        <f>SUMPRODUCT($CA122:$DV122,INDEX('MC MAP'!$DA$5:$EV$30,26,0))</f>
        <v>0</v>
      </c>
      <c r="AB122" s="2">
        <f>SUM($B122:$AA122)</f>
        <v>0</v>
      </c>
      <c r="AC122" s="2">
        <f>SUM($CA122:$DV122)+$AW122</f>
        <v>0</v>
      </c>
      <c r="AW122" s="2">
        <f>IF($A122=0,0,COUNTIF(INDEX('LINE PLAN'!$B$36:$GS$61,0,ROW()-3),"THERMAL - NOT SPECIFIED"))</f>
        <v>0</v>
      </c>
      <c r="AX122" s="506" cm="1">
        <f t="array" ref="AX122">IF(OR($AB122=0,UPPER($BS122)&lt;&gt;"Y"),0,SUMPRODUCT(--($B122:$AA122&gt;$B$205:$AA$205)))</f>
        <v>0</v>
      </c>
      <c r="AY122" s="507">
        <f>$A122</f>
        <v>0</v>
      </c>
      <c r="AZ122" s="2">
        <f>$AB122</f>
        <v>0</v>
      </c>
      <c r="BA122" s="2">
        <f>'MC MASTER'!$C$29</f>
        <v>920</v>
      </c>
      <c r="BQ122" s="509">
        <f>$A122</f>
        <v>0</v>
      </c>
      <c r="BR122" s="15" t="str">
        <f>TEXT($A122,"ddd")</f>
        <v>Sat</v>
      </c>
      <c r="BS122" s="547" t="str">
        <f>IF($A122=0,"",IF(WEEKDAY($A122,2)=7,"N","Y"))</f>
        <v/>
      </c>
      <c r="BT122" s="15">
        <f>IF(UPPER($BS122)="Y",$AB122,0)</f>
        <v>0</v>
      </c>
      <c r="CA122" s="2">
        <f>COUNTIF(INDEX('LINE PLAN'!$B$36:$GS$61,0,ROW()-3),CA$3)</f>
        <v>0</v>
      </c>
      <c r="CB122" s="2">
        <f>COUNTIF(INDEX('LINE PLAN'!$B$36:$GS$61,0,ROW()-3),CB$3)</f>
        <v>0</v>
      </c>
      <c r="CC122" s="2">
        <f>COUNTIF(INDEX('LINE PLAN'!$B$36:$GS$61,0,ROW()-3),CC$3)</f>
        <v>0</v>
      </c>
      <c r="CD122" s="2">
        <f>COUNTIF(INDEX('LINE PLAN'!$B$36:$GS$61,0,ROW()-3),CD$3)</f>
        <v>0</v>
      </c>
      <c r="CE122" s="2">
        <f>COUNTIF(INDEX('LINE PLAN'!$B$36:$GS$61,0,ROW()-3),CE$3)</f>
        <v>0</v>
      </c>
      <c r="CF122" s="2">
        <f>COUNTIF(INDEX('LINE PLAN'!$B$36:$GS$61,0,ROW()-3),CF$3)</f>
        <v>0</v>
      </c>
      <c r="CG122" s="2">
        <f>COUNTIF(INDEX('LINE PLAN'!$B$36:$GS$61,0,ROW()-3),CG$3)</f>
        <v>0</v>
      </c>
      <c r="CH122" s="2">
        <f>COUNTIF(INDEX('LINE PLAN'!$B$36:$GS$61,0,ROW()-3),CH$3)</f>
        <v>0</v>
      </c>
      <c r="CI122" s="2">
        <f>COUNTIF(INDEX('LINE PLAN'!$B$36:$GS$61,0,ROW()-3),CI$3)</f>
        <v>0</v>
      </c>
      <c r="CJ122" s="2">
        <f>COUNTIF(INDEX('LINE PLAN'!$B$36:$GS$61,0,ROW()-3),CJ$3)</f>
        <v>0</v>
      </c>
      <c r="CK122" s="2">
        <f>COUNTIF(INDEX('LINE PLAN'!$B$36:$GS$61,0,ROW()-3),CK$3)</f>
        <v>0</v>
      </c>
      <c r="CL122" s="2">
        <f>COUNTIF(INDEX('LINE PLAN'!$B$36:$GS$61,0,ROW()-3),CL$3)</f>
        <v>0</v>
      </c>
      <c r="CM122" s="2">
        <f>COUNTIF(INDEX('LINE PLAN'!$B$36:$GS$61,0,ROW()-3),CM$3)</f>
        <v>0</v>
      </c>
      <c r="CN122" s="2">
        <f>COUNTIF(INDEX('LINE PLAN'!$B$36:$GS$61,0,ROW()-3),CN$3)</f>
        <v>0</v>
      </c>
      <c r="CO122" s="2">
        <f>COUNTIF(INDEX('LINE PLAN'!$B$36:$GS$61,0,ROW()-3),CO$3)</f>
        <v>0</v>
      </c>
      <c r="CP122" s="2">
        <f>COUNTIF(INDEX('LINE PLAN'!$B$36:$GS$61,0,ROW()-3),CP$3)</f>
        <v>0</v>
      </c>
      <c r="CQ122" s="2">
        <f>COUNTIF(INDEX('LINE PLAN'!$B$36:$GS$61,0,ROW()-3),CQ$3)</f>
        <v>0</v>
      </c>
      <c r="CR122" s="2">
        <f>COUNTIF(INDEX('LINE PLAN'!$B$36:$GS$61,0,ROW()-3),CR$3)</f>
        <v>0</v>
      </c>
      <c r="CS122" s="2">
        <f>COUNTIF(INDEX('LINE PLAN'!$B$36:$GS$61,0,ROW()-3),CS$3)</f>
        <v>0</v>
      </c>
      <c r="CT122" s="2">
        <f>COUNTIF(INDEX('LINE PLAN'!$B$36:$GS$61,0,ROW()-3),CT$3)</f>
        <v>0</v>
      </c>
      <c r="CU122" s="2">
        <f>COUNTIF(INDEX('LINE PLAN'!$B$36:$GS$61,0,ROW()-3),CU$3)</f>
        <v>0</v>
      </c>
      <c r="CV122" s="2">
        <f>COUNTIF(INDEX('LINE PLAN'!$B$36:$GS$61,0,ROW()-3),CV$3)</f>
        <v>0</v>
      </c>
      <c r="CW122" s="2">
        <f>COUNTIF(INDEX('LINE PLAN'!$B$36:$GS$61,0,ROW()-3),CW$3)</f>
        <v>0</v>
      </c>
      <c r="CX122" s="2">
        <f>COUNTIF(INDEX('LINE PLAN'!$B$36:$GS$61,0,ROW()-3),CX$3)</f>
        <v>0</v>
      </c>
      <c r="CY122" s="2">
        <f>COUNTIF(INDEX('LINE PLAN'!$B$36:$GS$61,0,ROW()-3),CY$3)</f>
        <v>0</v>
      </c>
      <c r="CZ122" s="2">
        <f>COUNTIF(INDEX('LINE PLAN'!$B$36:$GS$61,0,ROW()-3),CZ$3)</f>
        <v>0</v>
      </c>
      <c r="DA122" s="2">
        <f>COUNTIF(INDEX('LINE PLAN'!$B$36:$GS$61,0,ROW()-3),DA$3)</f>
        <v>0</v>
      </c>
      <c r="DB122" s="2">
        <f>COUNTIF(INDEX('LINE PLAN'!$B$36:$GS$61,0,ROW()-3),DB$3)</f>
        <v>0</v>
      </c>
      <c r="DC122" s="2">
        <f>COUNTIF(INDEX('LINE PLAN'!$B$36:$GS$61,0,ROW()-3),DC$3)</f>
        <v>0</v>
      </c>
      <c r="DD122" s="2">
        <f>COUNTIF(INDEX('LINE PLAN'!$B$36:$GS$61,0,ROW()-3),DD$3)</f>
        <v>0</v>
      </c>
      <c r="DE122" s="2">
        <f>COUNTIF(INDEX('LINE PLAN'!$B$36:$GS$61,0,ROW()-3),DE$3)</f>
        <v>0</v>
      </c>
      <c r="DF122" s="2">
        <f>COUNTIF(INDEX('LINE PLAN'!$B$36:$GS$61,0,ROW()-3),DF$3)</f>
        <v>0</v>
      </c>
      <c r="DG122" s="2">
        <f>COUNTIF(INDEX('LINE PLAN'!$B$36:$GS$61,0,ROW()-3),DG$3)</f>
        <v>0</v>
      </c>
      <c r="DH122" s="2">
        <f>COUNTIF(INDEX('LINE PLAN'!$B$36:$GS$61,0,ROW()-3),DH$3)</f>
        <v>0</v>
      </c>
      <c r="DI122" s="2">
        <f>COUNTIF(INDEX('LINE PLAN'!$B$36:$GS$61,0,ROW()-3),DI$3)</f>
        <v>0</v>
      </c>
      <c r="DJ122" s="2">
        <f>COUNTIF(INDEX('LINE PLAN'!$B$36:$GS$61,0,ROW()-3),DJ$3)</f>
        <v>0</v>
      </c>
      <c r="DK122" s="2">
        <f>COUNTIF(INDEX('LINE PLAN'!$B$36:$GS$61,0,ROW()-3),DK$3)</f>
        <v>0</v>
      </c>
      <c r="DL122" s="2">
        <f>COUNTIF(INDEX('LINE PLAN'!$B$36:$GS$61,0,ROW()-3),DL$3)</f>
        <v>0</v>
      </c>
      <c r="DM122" s="2">
        <f>COUNTIF(INDEX('LINE PLAN'!$B$36:$GS$61,0,ROW()-3),DM$3)</f>
        <v>0</v>
      </c>
      <c r="DN122" s="2">
        <f>COUNTIF(INDEX('LINE PLAN'!$B$36:$GS$61,0,ROW()-3),DN$3)</f>
        <v>0</v>
      </c>
      <c r="DO122" s="2">
        <f>COUNTIF(INDEX('LINE PLAN'!$B$36:$GS$61,0,ROW()-3),DO$3)</f>
        <v>0</v>
      </c>
      <c r="DP122" s="2">
        <f>COUNTIF(INDEX('LINE PLAN'!$B$36:$GS$61,0,ROW()-3),DP$3)</f>
        <v>0</v>
      </c>
      <c r="DQ122" s="2">
        <f>COUNTIF(INDEX('LINE PLAN'!$B$36:$GS$61,0,ROW()-3),DQ$3)</f>
        <v>0</v>
      </c>
      <c r="DR122" s="2">
        <f>COUNTIF(INDEX('LINE PLAN'!$B$36:$GS$61,0,ROW()-3),DR$3)</f>
        <v>0</v>
      </c>
      <c r="DS122" s="2">
        <f>COUNTIF(INDEX('LINE PLAN'!$B$36:$GS$61,0,ROW()-3),DS$3)</f>
        <v>0</v>
      </c>
      <c r="DT122" s="2">
        <f>COUNTIF(INDEX('LINE PLAN'!$B$36:$GS$61,0,ROW()-3),DT$3)</f>
        <v>0</v>
      </c>
      <c r="DU122" s="2">
        <f>COUNTIF(INDEX('LINE PLAN'!$B$36:$GS$61,0,ROW()-3),DU$3)</f>
        <v>0</v>
      </c>
      <c r="DV122" s="2">
        <f>COUNTIF(INDEX('LINE PLAN'!$B$36:$GS$61,0,ROW()-3),DV$3)</f>
        <v>0</v>
      </c>
    </row>
    <row r="123" spans="1:126">
      <c r="A123" s="505" cm="1">
        <f t="array" ref="A123">INDEX('LINE PLAN'!$B$35:$GS$35,ROW()-3)</f>
        <v>0</v>
      </c>
      <c r="B123" s="2">
        <f>SUMPRODUCT($CA123:$DV123,INDEX('MC MAP'!$DA$5:$EV$30,1,0))</f>
        <v>0</v>
      </c>
      <c r="C123" s="2">
        <f>SUMPRODUCT($CA123:$DV123,INDEX('MC MAP'!$DA$5:$EV$30,2,0))</f>
        <v>0</v>
      </c>
      <c r="D123" s="2">
        <f>SUMPRODUCT($CA123:$DV123,INDEX('MC MAP'!$DA$5:$EV$30,3,0))</f>
        <v>0</v>
      </c>
      <c r="E123" s="2">
        <f>SUMPRODUCT($CA123:$DV123,INDEX('MC MAP'!$DA$5:$EV$30,4,0))</f>
        <v>0</v>
      </c>
      <c r="F123" s="2">
        <f>SUMPRODUCT($CA123:$DV123,INDEX('MC MAP'!$DA$5:$EV$30,5,0))</f>
        <v>0</v>
      </c>
      <c r="G123" s="2">
        <f>SUMPRODUCT($CA123:$DV123,INDEX('MC MAP'!$DA$5:$EV$30,6,0))</f>
        <v>0</v>
      </c>
      <c r="H123" s="2">
        <f>SUMPRODUCT($CA123:$DV123,INDEX('MC MAP'!$DA$5:$EV$30,7,0))</f>
        <v>0</v>
      </c>
      <c r="I123" s="2">
        <f>SUMPRODUCT($CA123:$DV123,INDEX('MC MAP'!$DA$5:$EV$30,8,0))</f>
        <v>0</v>
      </c>
      <c r="J123" s="2">
        <f>SUMPRODUCT($CA123:$DV123,INDEX('MC MAP'!$DA$5:$EV$30,9,0))</f>
        <v>0</v>
      </c>
      <c r="K123" s="2">
        <f>SUMPRODUCT($CA123:$DV123,INDEX('MC MAP'!$DA$5:$EV$30,10,0))</f>
        <v>0</v>
      </c>
      <c r="L123" s="2">
        <f>SUMPRODUCT($CA123:$DV123,INDEX('MC MAP'!$DA$5:$EV$30,11,0))</f>
        <v>0</v>
      </c>
      <c r="M123" s="2">
        <f>SUMPRODUCT($CA123:$DV123,INDEX('MC MAP'!$DA$5:$EV$30,12,0))</f>
        <v>0</v>
      </c>
      <c r="N123" s="2">
        <f>SUMPRODUCT($CA123:$DV123,INDEX('MC MAP'!$DA$5:$EV$30,13,0))</f>
        <v>0</v>
      </c>
      <c r="O123" s="2">
        <f>SUMPRODUCT($CA123:$DV123,INDEX('MC MAP'!$DA$5:$EV$30,14,0))</f>
        <v>0</v>
      </c>
      <c r="P123" s="2">
        <f>SUMPRODUCT($CA123:$DV123,INDEX('MC MAP'!$DA$5:$EV$30,15,0))</f>
        <v>0</v>
      </c>
      <c r="Q123" s="2">
        <f>SUMPRODUCT($CA123:$DV123,INDEX('MC MAP'!$DA$5:$EV$30,16,0))</f>
        <v>0</v>
      </c>
      <c r="R123" s="2">
        <f>SUMPRODUCT($CA123:$DV123,INDEX('MC MAP'!$DA$5:$EV$30,17,0))</f>
        <v>0</v>
      </c>
      <c r="S123" s="2">
        <f>SUMPRODUCT($CA123:$DV123,INDEX('MC MAP'!$DA$5:$EV$30,18,0))</f>
        <v>0</v>
      </c>
      <c r="T123" s="2">
        <f>SUMPRODUCT($CA123:$DV123,INDEX('MC MAP'!$DA$5:$EV$30,19,0))</f>
        <v>0</v>
      </c>
      <c r="U123" s="2">
        <f>SUMPRODUCT($CA123:$DV123,INDEX('MC MAP'!$DA$5:$EV$30,20,0))</f>
        <v>0</v>
      </c>
      <c r="V123" s="2">
        <f>SUMPRODUCT($CA123:$DV123,INDEX('MC MAP'!$DA$5:$EV$30,21,0))</f>
        <v>0</v>
      </c>
      <c r="W123" s="2">
        <f>SUMPRODUCT($CA123:$DV123,INDEX('MC MAP'!$DA$5:$EV$30,22,0))</f>
        <v>0</v>
      </c>
      <c r="X123" s="2">
        <f>SUMPRODUCT($CA123:$DV123,INDEX('MC MAP'!$DA$5:$EV$30,23,0))</f>
        <v>0</v>
      </c>
      <c r="Y123" s="2">
        <f>SUMPRODUCT($CA123:$DV123,INDEX('MC MAP'!$DA$5:$EV$30,24,0))</f>
        <v>0</v>
      </c>
      <c r="Z123" s="2">
        <f>SUMPRODUCT($CA123:$DV123,INDEX('MC MAP'!$DA$5:$EV$30,25,0))</f>
        <v>0</v>
      </c>
      <c r="AA123" s="2">
        <f>SUMPRODUCT($CA123:$DV123,INDEX('MC MAP'!$DA$5:$EV$30,26,0))</f>
        <v>0</v>
      </c>
      <c r="AB123" s="2">
        <f>SUM($B123:$AA123)</f>
        <v>0</v>
      </c>
      <c r="AC123" s="2">
        <f>SUM($CA123:$DV123)+$AW123</f>
        <v>0</v>
      </c>
      <c r="AW123" s="2">
        <f>IF($A123=0,0,COUNTIF(INDEX('LINE PLAN'!$B$36:$GS$61,0,ROW()-3),"THERMAL - NOT SPECIFIED"))</f>
        <v>0</v>
      </c>
      <c r="AX123" s="506" cm="1">
        <f t="array" ref="AX123">IF(OR($AB123=0,UPPER($BS123)&lt;&gt;"Y"),0,SUMPRODUCT(--($B123:$AA123&gt;$B$205:$AA$205)))</f>
        <v>0</v>
      </c>
      <c r="AY123" s="507">
        <f>$A123</f>
        <v>0</v>
      </c>
      <c r="AZ123" s="2">
        <f>$AB123</f>
        <v>0</v>
      </c>
      <c r="BA123" s="2">
        <f>'MC MASTER'!$C$29</f>
        <v>920</v>
      </c>
      <c r="BQ123" s="509">
        <f>$A123</f>
        <v>0</v>
      </c>
      <c r="BR123" s="15" t="str">
        <f>TEXT($A123,"ddd")</f>
        <v>Sat</v>
      </c>
      <c r="BS123" s="547" t="str">
        <f>IF($A123=0,"",IF(WEEKDAY($A123,2)=7,"N","Y"))</f>
        <v/>
      </c>
      <c r="BT123" s="15">
        <f>IF(UPPER($BS123)="Y",$AB123,0)</f>
        <v>0</v>
      </c>
      <c r="CA123" s="2">
        <f>COUNTIF(INDEX('LINE PLAN'!$B$36:$GS$61,0,ROW()-3),CA$3)</f>
        <v>0</v>
      </c>
      <c r="CB123" s="2">
        <f>COUNTIF(INDEX('LINE PLAN'!$B$36:$GS$61,0,ROW()-3),CB$3)</f>
        <v>0</v>
      </c>
      <c r="CC123" s="2">
        <f>COUNTIF(INDEX('LINE PLAN'!$B$36:$GS$61,0,ROW()-3),CC$3)</f>
        <v>0</v>
      </c>
      <c r="CD123" s="2">
        <f>COUNTIF(INDEX('LINE PLAN'!$B$36:$GS$61,0,ROW()-3),CD$3)</f>
        <v>0</v>
      </c>
      <c r="CE123" s="2">
        <f>COUNTIF(INDEX('LINE PLAN'!$B$36:$GS$61,0,ROW()-3),CE$3)</f>
        <v>0</v>
      </c>
      <c r="CF123" s="2">
        <f>COUNTIF(INDEX('LINE PLAN'!$B$36:$GS$61,0,ROW()-3),CF$3)</f>
        <v>0</v>
      </c>
      <c r="CG123" s="2">
        <f>COUNTIF(INDEX('LINE PLAN'!$B$36:$GS$61,0,ROW()-3),CG$3)</f>
        <v>0</v>
      </c>
      <c r="CH123" s="2">
        <f>COUNTIF(INDEX('LINE PLAN'!$B$36:$GS$61,0,ROW()-3),CH$3)</f>
        <v>0</v>
      </c>
      <c r="CI123" s="2">
        <f>COUNTIF(INDEX('LINE PLAN'!$B$36:$GS$61,0,ROW()-3),CI$3)</f>
        <v>0</v>
      </c>
      <c r="CJ123" s="2">
        <f>COUNTIF(INDEX('LINE PLAN'!$B$36:$GS$61,0,ROW()-3),CJ$3)</f>
        <v>0</v>
      </c>
      <c r="CK123" s="2">
        <f>COUNTIF(INDEX('LINE PLAN'!$B$36:$GS$61,0,ROW()-3),CK$3)</f>
        <v>0</v>
      </c>
      <c r="CL123" s="2">
        <f>COUNTIF(INDEX('LINE PLAN'!$B$36:$GS$61,0,ROW()-3),CL$3)</f>
        <v>0</v>
      </c>
      <c r="CM123" s="2">
        <f>COUNTIF(INDEX('LINE PLAN'!$B$36:$GS$61,0,ROW()-3),CM$3)</f>
        <v>0</v>
      </c>
      <c r="CN123" s="2">
        <f>COUNTIF(INDEX('LINE PLAN'!$B$36:$GS$61,0,ROW()-3),CN$3)</f>
        <v>0</v>
      </c>
      <c r="CO123" s="2">
        <f>COUNTIF(INDEX('LINE PLAN'!$B$36:$GS$61,0,ROW()-3),CO$3)</f>
        <v>0</v>
      </c>
      <c r="CP123" s="2">
        <f>COUNTIF(INDEX('LINE PLAN'!$B$36:$GS$61,0,ROW()-3),CP$3)</f>
        <v>0</v>
      </c>
      <c r="CQ123" s="2">
        <f>COUNTIF(INDEX('LINE PLAN'!$B$36:$GS$61,0,ROW()-3),CQ$3)</f>
        <v>0</v>
      </c>
      <c r="CR123" s="2">
        <f>COUNTIF(INDEX('LINE PLAN'!$B$36:$GS$61,0,ROW()-3),CR$3)</f>
        <v>0</v>
      </c>
      <c r="CS123" s="2">
        <f>COUNTIF(INDEX('LINE PLAN'!$B$36:$GS$61,0,ROW()-3),CS$3)</f>
        <v>0</v>
      </c>
      <c r="CT123" s="2">
        <f>COUNTIF(INDEX('LINE PLAN'!$B$36:$GS$61,0,ROW()-3),CT$3)</f>
        <v>0</v>
      </c>
      <c r="CU123" s="2">
        <f>COUNTIF(INDEX('LINE PLAN'!$B$36:$GS$61,0,ROW()-3),CU$3)</f>
        <v>0</v>
      </c>
      <c r="CV123" s="2">
        <f>COUNTIF(INDEX('LINE PLAN'!$B$36:$GS$61,0,ROW()-3),CV$3)</f>
        <v>0</v>
      </c>
      <c r="CW123" s="2">
        <f>COUNTIF(INDEX('LINE PLAN'!$B$36:$GS$61,0,ROW()-3),CW$3)</f>
        <v>0</v>
      </c>
      <c r="CX123" s="2">
        <f>COUNTIF(INDEX('LINE PLAN'!$B$36:$GS$61,0,ROW()-3),CX$3)</f>
        <v>0</v>
      </c>
      <c r="CY123" s="2">
        <f>COUNTIF(INDEX('LINE PLAN'!$B$36:$GS$61,0,ROW()-3),CY$3)</f>
        <v>0</v>
      </c>
      <c r="CZ123" s="2">
        <f>COUNTIF(INDEX('LINE PLAN'!$B$36:$GS$61,0,ROW()-3),CZ$3)</f>
        <v>0</v>
      </c>
      <c r="DA123" s="2">
        <f>COUNTIF(INDEX('LINE PLAN'!$B$36:$GS$61,0,ROW()-3),DA$3)</f>
        <v>0</v>
      </c>
      <c r="DB123" s="2">
        <f>COUNTIF(INDEX('LINE PLAN'!$B$36:$GS$61,0,ROW()-3),DB$3)</f>
        <v>0</v>
      </c>
      <c r="DC123" s="2">
        <f>COUNTIF(INDEX('LINE PLAN'!$B$36:$GS$61,0,ROW()-3),DC$3)</f>
        <v>0</v>
      </c>
      <c r="DD123" s="2">
        <f>COUNTIF(INDEX('LINE PLAN'!$B$36:$GS$61,0,ROW()-3),DD$3)</f>
        <v>0</v>
      </c>
      <c r="DE123" s="2">
        <f>COUNTIF(INDEX('LINE PLAN'!$B$36:$GS$61,0,ROW()-3),DE$3)</f>
        <v>0</v>
      </c>
      <c r="DF123" s="2">
        <f>COUNTIF(INDEX('LINE PLAN'!$B$36:$GS$61,0,ROW()-3),DF$3)</f>
        <v>0</v>
      </c>
      <c r="DG123" s="2">
        <f>COUNTIF(INDEX('LINE PLAN'!$B$36:$GS$61,0,ROW()-3),DG$3)</f>
        <v>0</v>
      </c>
      <c r="DH123" s="2">
        <f>COUNTIF(INDEX('LINE PLAN'!$B$36:$GS$61,0,ROW()-3),DH$3)</f>
        <v>0</v>
      </c>
      <c r="DI123" s="2">
        <f>COUNTIF(INDEX('LINE PLAN'!$B$36:$GS$61,0,ROW()-3),DI$3)</f>
        <v>0</v>
      </c>
      <c r="DJ123" s="2">
        <f>COUNTIF(INDEX('LINE PLAN'!$B$36:$GS$61,0,ROW()-3),DJ$3)</f>
        <v>0</v>
      </c>
      <c r="DK123" s="2">
        <f>COUNTIF(INDEX('LINE PLAN'!$B$36:$GS$61,0,ROW()-3),DK$3)</f>
        <v>0</v>
      </c>
      <c r="DL123" s="2">
        <f>COUNTIF(INDEX('LINE PLAN'!$B$36:$GS$61,0,ROW()-3),DL$3)</f>
        <v>0</v>
      </c>
      <c r="DM123" s="2">
        <f>COUNTIF(INDEX('LINE PLAN'!$B$36:$GS$61,0,ROW()-3),DM$3)</f>
        <v>0</v>
      </c>
      <c r="DN123" s="2">
        <f>COUNTIF(INDEX('LINE PLAN'!$B$36:$GS$61,0,ROW()-3),DN$3)</f>
        <v>0</v>
      </c>
      <c r="DO123" s="2">
        <f>COUNTIF(INDEX('LINE PLAN'!$B$36:$GS$61,0,ROW()-3),DO$3)</f>
        <v>0</v>
      </c>
      <c r="DP123" s="2">
        <f>COUNTIF(INDEX('LINE PLAN'!$B$36:$GS$61,0,ROW()-3),DP$3)</f>
        <v>0</v>
      </c>
      <c r="DQ123" s="2">
        <f>COUNTIF(INDEX('LINE PLAN'!$B$36:$GS$61,0,ROW()-3),DQ$3)</f>
        <v>0</v>
      </c>
      <c r="DR123" s="2">
        <f>COUNTIF(INDEX('LINE PLAN'!$B$36:$GS$61,0,ROW()-3),DR$3)</f>
        <v>0</v>
      </c>
      <c r="DS123" s="2">
        <f>COUNTIF(INDEX('LINE PLAN'!$B$36:$GS$61,0,ROW()-3),DS$3)</f>
        <v>0</v>
      </c>
      <c r="DT123" s="2">
        <f>COUNTIF(INDEX('LINE PLAN'!$B$36:$GS$61,0,ROW()-3),DT$3)</f>
        <v>0</v>
      </c>
      <c r="DU123" s="2">
        <f>COUNTIF(INDEX('LINE PLAN'!$B$36:$GS$61,0,ROW()-3),DU$3)</f>
        <v>0</v>
      </c>
      <c r="DV123" s="2">
        <f>COUNTIF(INDEX('LINE PLAN'!$B$36:$GS$61,0,ROW()-3),DV$3)</f>
        <v>0</v>
      </c>
    </row>
    <row r="124" spans="1:126">
      <c r="A124" s="505" cm="1">
        <f t="array" ref="A124">INDEX('LINE PLAN'!$B$35:$GS$35,ROW()-3)</f>
        <v>0</v>
      </c>
      <c r="B124" s="2">
        <f>SUMPRODUCT($CA124:$DV124,INDEX('MC MAP'!$DA$5:$EV$30,1,0))</f>
        <v>0</v>
      </c>
      <c r="C124" s="2">
        <f>SUMPRODUCT($CA124:$DV124,INDEX('MC MAP'!$DA$5:$EV$30,2,0))</f>
        <v>0</v>
      </c>
      <c r="D124" s="2">
        <f>SUMPRODUCT($CA124:$DV124,INDEX('MC MAP'!$DA$5:$EV$30,3,0))</f>
        <v>0</v>
      </c>
      <c r="E124" s="2">
        <f>SUMPRODUCT($CA124:$DV124,INDEX('MC MAP'!$DA$5:$EV$30,4,0))</f>
        <v>0</v>
      </c>
      <c r="F124" s="2">
        <f>SUMPRODUCT($CA124:$DV124,INDEX('MC MAP'!$DA$5:$EV$30,5,0))</f>
        <v>0</v>
      </c>
      <c r="G124" s="2">
        <f>SUMPRODUCT($CA124:$DV124,INDEX('MC MAP'!$DA$5:$EV$30,6,0))</f>
        <v>0</v>
      </c>
      <c r="H124" s="2">
        <f>SUMPRODUCT($CA124:$DV124,INDEX('MC MAP'!$DA$5:$EV$30,7,0))</f>
        <v>0</v>
      </c>
      <c r="I124" s="2">
        <f>SUMPRODUCT($CA124:$DV124,INDEX('MC MAP'!$DA$5:$EV$30,8,0))</f>
        <v>0</v>
      </c>
      <c r="J124" s="2">
        <f>SUMPRODUCT($CA124:$DV124,INDEX('MC MAP'!$DA$5:$EV$30,9,0))</f>
        <v>0</v>
      </c>
      <c r="K124" s="2">
        <f>SUMPRODUCT($CA124:$DV124,INDEX('MC MAP'!$DA$5:$EV$30,10,0))</f>
        <v>0</v>
      </c>
      <c r="L124" s="2">
        <f>SUMPRODUCT($CA124:$DV124,INDEX('MC MAP'!$DA$5:$EV$30,11,0))</f>
        <v>0</v>
      </c>
      <c r="M124" s="2">
        <f>SUMPRODUCT($CA124:$DV124,INDEX('MC MAP'!$DA$5:$EV$30,12,0))</f>
        <v>0</v>
      </c>
      <c r="N124" s="2">
        <f>SUMPRODUCT($CA124:$DV124,INDEX('MC MAP'!$DA$5:$EV$30,13,0))</f>
        <v>0</v>
      </c>
      <c r="O124" s="2">
        <f>SUMPRODUCT($CA124:$DV124,INDEX('MC MAP'!$DA$5:$EV$30,14,0))</f>
        <v>0</v>
      </c>
      <c r="P124" s="2">
        <f>SUMPRODUCT($CA124:$DV124,INDEX('MC MAP'!$DA$5:$EV$30,15,0))</f>
        <v>0</v>
      </c>
      <c r="Q124" s="2">
        <f>SUMPRODUCT($CA124:$DV124,INDEX('MC MAP'!$DA$5:$EV$30,16,0))</f>
        <v>0</v>
      </c>
      <c r="R124" s="2">
        <f>SUMPRODUCT($CA124:$DV124,INDEX('MC MAP'!$DA$5:$EV$30,17,0))</f>
        <v>0</v>
      </c>
      <c r="S124" s="2">
        <f>SUMPRODUCT($CA124:$DV124,INDEX('MC MAP'!$DA$5:$EV$30,18,0))</f>
        <v>0</v>
      </c>
      <c r="T124" s="2">
        <f>SUMPRODUCT($CA124:$DV124,INDEX('MC MAP'!$DA$5:$EV$30,19,0))</f>
        <v>0</v>
      </c>
      <c r="U124" s="2">
        <f>SUMPRODUCT($CA124:$DV124,INDEX('MC MAP'!$DA$5:$EV$30,20,0))</f>
        <v>0</v>
      </c>
      <c r="V124" s="2">
        <f>SUMPRODUCT($CA124:$DV124,INDEX('MC MAP'!$DA$5:$EV$30,21,0))</f>
        <v>0</v>
      </c>
      <c r="W124" s="2">
        <f>SUMPRODUCT($CA124:$DV124,INDEX('MC MAP'!$DA$5:$EV$30,22,0))</f>
        <v>0</v>
      </c>
      <c r="X124" s="2">
        <f>SUMPRODUCT($CA124:$DV124,INDEX('MC MAP'!$DA$5:$EV$30,23,0))</f>
        <v>0</v>
      </c>
      <c r="Y124" s="2">
        <f>SUMPRODUCT($CA124:$DV124,INDEX('MC MAP'!$DA$5:$EV$30,24,0))</f>
        <v>0</v>
      </c>
      <c r="Z124" s="2">
        <f>SUMPRODUCT($CA124:$DV124,INDEX('MC MAP'!$DA$5:$EV$30,25,0))</f>
        <v>0</v>
      </c>
      <c r="AA124" s="2">
        <f>SUMPRODUCT($CA124:$DV124,INDEX('MC MAP'!$DA$5:$EV$30,26,0))</f>
        <v>0</v>
      </c>
      <c r="AB124" s="2">
        <f>SUM($B124:$AA124)</f>
        <v>0</v>
      </c>
      <c r="AC124" s="2">
        <f>SUM($CA124:$DV124)+$AW124</f>
        <v>0</v>
      </c>
      <c r="AW124" s="2">
        <f>IF($A124=0,0,COUNTIF(INDEX('LINE PLAN'!$B$36:$GS$61,0,ROW()-3),"THERMAL - NOT SPECIFIED"))</f>
        <v>0</v>
      </c>
      <c r="AX124" s="506" cm="1">
        <f t="array" ref="AX124">IF(OR($AB124=0,UPPER($BS124)&lt;&gt;"Y"),0,SUMPRODUCT(--($B124:$AA124&gt;$B$205:$AA$205)))</f>
        <v>0</v>
      </c>
      <c r="AY124" s="507">
        <f>$A124</f>
        <v>0</v>
      </c>
      <c r="AZ124" s="2">
        <f>$AB124</f>
        <v>0</v>
      </c>
      <c r="BA124" s="2">
        <f>'MC MASTER'!$C$29</f>
        <v>920</v>
      </c>
      <c r="BQ124" s="509">
        <f>$A124</f>
        <v>0</v>
      </c>
      <c r="BR124" s="15" t="str">
        <f>TEXT($A124,"ddd")</f>
        <v>Sat</v>
      </c>
      <c r="BS124" s="547" t="str">
        <f>IF($A124=0,"",IF(WEEKDAY($A124,2)=7,"N","Y"))</f>
        <v/>
      </c>
      <c r="BT124" s="15">
        <f>IF(UPPER($BS124)="Y",$AB124,0)</f>
        <v>0</v>
      </c>
      <c r="CA124" s="2">
        <f>COUNTIF(INDEX('LINE PLAN'!$B$36:$GS$61,0,ROW()-3),CA$3)</f>
        <v>0</v>
      </c>
      <c r="CB124" s="2">
        <f>COUNTIF(INDEX('LINE PLAN'!$B$36:$GS$61,0,ROW()-3),CB$3)</f>
        <v>0</v>
      </c>
      <c r="CC124" s="2">
        <f>COUNTIF(INDEX('LINE PLAN'!$B$36:$GS$61,0,ROW()-3),CC$3)</f>
        <v>0</v>
      </c>
      <c r="CD124" s="2">
        <f>COUNTIF(INDEX('LINE PLAN'!$B$36:$GS$61,0,ROW()-3),CD$3)</f>
        <v>0</v>
      </c>
      <c r="CE124" s="2">
        <f>COUNTIF(INDEX('LINE PLAN'!$B$36:$GS$61,0,ROW()-3),CE$3)</f>
        <v>0</v>
      </c>
      <c r="CF124" s="2">
        <f>COUNTIF(INDEX('LINE PLAN'!$B$36:$GS$61,0,ROW()-3),CF$3)</f>
        <v>0</v>
      </c>
      <c r="CG124" s="2">
        <f>COUNTIF(INDEX('LINE PLAN'!$B$36:$GS$61,0,ROW()-3),CG$3)</f>
        <v>0</v>
      </c>
      <c r="CH124" s="2">
        <f>COUNTIF(INDEX('LINE PLAN'!$B$36:$GS$61,0,ROW()-3),CH$3)</f>
        <v>0</v>
      </c>
      <c r="CI124" s="2">
        <f>COUNTIF(INDEX('LINE PLAN'!$B$36:$GS$61,0,ROW()-3),CI$3)</f>
        <v>0</v>
      </c>
      <c r="CJ124" s="2">
        <f>COUNTIF(INDEX('LINE PLAN'!$B$36:$GS$61,0,ROW()-3),CJ$3)</f>
        <v>0</v>
      </c>
      <c r="CK124" s="2">
        <f>COUNTIF(INDEX('LINE PLAN'!$B$36:$GS$61,0,ROW()-3),CK$3)</f>
        <v>0</v>
      </c>
      <c r="CL124" s="2">
        <f>COUNTIF(INDEX('LINE PLAN'!$B$36:$GS$61,0,ROW()-3),CL$3)</f>
        <v>0</v>
      </c>
      <c r="CM124" s="2">
        <f>COUNTIF(INDEX('LINE PLAN'!$B$36:$GS$61,0,ROW()-3),CM$3)</f>
        <v>0</v>
      </c>
      <c r="CN124" s="2">
        <f>COUNTIF(INDEX('LINE PLAN'!$B$36:$GS$61,0,ROW()-3),CN$3)</f>
        <v>0</v>
      </c>
      <c r="CO124" s="2">
        <f>COUNTIF(INDEX('LINE PLAN'!$B$36:$GS$61,0,ROW()-3),CO$3)</f>
        <v>0</v>
      </c>
      <c r="CP124" s="2">
        <f>COUNTIF(INDEX('LINE PLAN'!$B$36:$GS$61,0,ROW()-3),CP$3)</f>
        <v>0</v>
      </c>
      <c r="CQ124" s="2">
        <f>COUNTIF(INDEX('LINE PLAN'!$B$36:$GS$61,0,ROW()-3),CQ$3)</f>
        <v>0</v>
      </c>
      <c r="CR124" s="2">
        <f>COUNTIF(INDEX('LINE PLAN'!$B$36:$GS$61,0,ROW()-3),CR$3)</f>
        <v>0</v>
      </c>
      <c r="CS124" s="2">
        <f>COUNTIF(INDEX('LINE PLAN'!$B$36:$GS$61,0,ROW()-3),CS$3)</f>
        <v>0</v>
      </c>
      <c r="CT124" s="2">
        <f>COUNTIF(INDEX('LINE PLAN'!$B$36:$GS$61,0,ROW()-3),CT$3)</f>
        <v>0</v>
      </c>
      <c r="CU124" s="2">
        <f>COUNTIF(INDEX('LINE PLAN'!$B$36:$GS$61,0,ROW()-3),CU$3)</f>
        <v>0</v>
      </c>
      <c r="CV124" s="2">
        <f>COUNTIF(INDEX('LINE PLAN'!$B$36:$GS$61,0,ROW()-3),CV$3)</f>
        <v>0</v>
      </c>
      <c r="CW124" s="2">
        <f>COUNTIF(INDEX('LINE PLAN'!$B$36:$GS$61,0,ROW()-3),CW$3)</f>
        <v>0</v>
      </c>
      <c r="CX124" s="2">
        <f>COUNTIF(INDEX('LINE PLAN'!$B$36:$GS$61,0,ROW()-3),CX$3)</f>
        <v>0</v>
      </c>
      <c r="CY124" s="2">
        <f>COUNTIF(INDEX('LINE PLAN'!$B$36:$GS$61,0,ROW()-3),CY$3)</f>
        <v>0</v>
      </c>
      <c r="CZ124" s="2">
        <f>COUNTIF(INDEX('LINE PLAN'!$B$36:$GS$61,0,ROW()-3),CZ$3)</f>
        <v>0</v>
      </c>
      <c r="DA124" s="2">
        <f>COUNTIF(INDEX('LINE PLAN'!$B$36:$GS$61,0,ROW()-3),DA$3)</f>
        <v>0</v>
      </c>
      <c r="DB124" s="2">
        <f>COUNTIF(INDEX('LINE PLAN'!$B$36:$GS$61,0,ROW()-3),DB$3)</f>
        <v>0</v>
      </c>
      <c r="DC124" s="2">
        <f>COUNTIF(INDEX('LINE PLAN'!$B$36:$GS$61,0,ROW()-3),DC$3)</f>
        <v>0</v>
      </c>
      <c r="DD124" s="2">
        <f>COUNTIF(INDEX('LINE PLAN'!$B$36:$GS$61,0,ROW()-3),DD$3)</f>
        <v>0</v>
      </c>
      <c r="DE124" s="2">
        <f>COUNTIF(INDEX('LINE PLAN'!$B$36:$GS$61,0,ROW()-3),DE$3)</f>
        <v>0</v>
      </c>
      <c r="DF124" s="2">
        <f>COUNTIF(INDEX('LINE PLAN'!$B$36:$GS$61,0,ROW()-3),DF$3)</f>
        <v>0</v>
      </c>
      <c r="DG124" s="2">
        <f>COUNTIF(INDEX('LINE PLAN'!$B$36:$GS$61,0,ROW()-3),DG$3)</f>
        <v>0</v>
      </c>
      <c r="DH124" s="2">
        <f>COUNTIF(INDEX('LINE PLAN'!$B$36:$GS$61,0,ROW()-3),DH$3)</f>
        <v>0</v>
      </c>
      <c r="DI124" s="2">
        <f>COUNTIF(INDEX('LINE PLAN'!$B$36:$GS$61,0,ROW()-3),DI$3)</f>
        <v>0</v>
      </c>
      <c r="DJ124" s="2">
        <f>COUNTIF(INDEX('LINE PLAN'!$B$36:$GS$61,0,ROW()-3),DJ$3)</f>
        <v>0</v>
      </c>
      <c r="DK124" s="2">
        <f>COUNTIF(INDEX('LINE PLAN'!$B$36:$GS$61,0,ROW()-3),DK$3)</f>
        <v>0</v>
      </c>
      <c r="DL124" s="2">
        <f>COUNTIF(INDEX('LINE PLAN'!$B$36:$GS$61,0,ROW()-3),DL$3)</f>
        <v>0</v>
      </c>
      <c r="DM124" s="2">
        <f>COUNTIF(INDEX('LINE PLAN'!$B$36:$GS$61,0,ROW()-3),DM$3)</f>
        <v>0</v>
      </c>
      <c r="DN124" s="2">
        <f>COUNTIF(INDEX('LINE PLAN'!$B$36:$GS$61,0,ROW()-3),DN$3)</f>
        <v>0</v>
      </c>
      <c r="DO124" s="2">
        <f>COUNTIF(INDEX('LINE PLAN'!$B$36:$GS$61,0,ROW()-3),DO$3)</f>
        <v>0</v>
      </c>
      <c r="DP124" s="2">
        <f>COUNTIF(INDEX('LINE PLAN'!$B$36:$GS$61,0,ROW()-3),DP$3)</f>
        <v>0</v>
      </c>
      <c r="DQ124" s="2">
        <f>COUNTIF(INDEX('LINE PLAN'!$B$36:$GS$61,0,ROW()-3),DQ$3)</f>
        <v>0</v>
      </c>
      <c r="DR124" s="2">
        <f>COUNTIF(INDEX('LINE PLAN'!$B$36:$GS$61,0,ROW()-3),DR$3)</f>
        <v>0</v>
      </c>
      <c r="DS124" s="2">
        <f>COUNTIF(INDEX('LINE PLAN'!$B$36:$GS$61,0,ROW()-3),DS$3)</f>
        <v>0</v>
      </c>
      <c r="DT124" s="2">
        <f>COUNTIF(INDEX('LINE PLAN'!$B$36:$GS$61,0,ROW()-3),DT$3)</f>
        <v>0</v>
      </c>
      <c r="DU124" s="2">
        <f>COUNTIF(INDEX('LINE PLAN'!$B$36:$GS$61,0,ROW()-3),DU$3)</f>
        <v>0</v>
      </c>
      <c r="DV124" s="2">
        <f>COUNTIF(INDEX('LINE PLAN'!$B$36:$GS$61,0,ROW()-3),DV$3)</f>
        <v>0</v>
      </c>
    </row>
    <row r="125" spans="1:126">
      <c r="A125" s="505" cm="1">
        <f t="array" ref="A125">INDEX('LINE PLAN'!$B$35:$GS$35,ROW()-3)</f>
        <v>0</v>
      </c>
      <c r="B125" s="2">
        <f>SUMPRODUCT($CA125:$DV125,INDEX('MC MAP'!$DA$5:$EV$30,1,0))</f>
        <v>0</v>
      </c>
      <c r="C125" s="2">
        <f>SUMPRODUCT($CA125:$DV125,INDEX('MC MAP'!$DA$5:$EV$30,2,0))</f>
        <v>0</v>
      </c>
      <c r="D125" s="2">
        <f>SUMPRODUCT($CA125:$DV125,INDEX('MC MAP'!$DA$5:$EV$30,3,0))</f>
        <v>0</v>
      </c>
      <c r="E125" s="2">
        <f>SUMPRODUCT($CA125:$DV125,INDEX('MC MAP'!$DA$5:$EV$30,4,0))</f>
        <v>0</v>
      </c>
      <c r="F125" s="2">
        <f>SUMPRODUCT($CA125:$DV125,INDEX('MC MAP'!$DA$5:$EV$30,5,0))</f>
        <v>0</v>
      </c>
      <c r="G125" s="2">
        <f>SUMPRODUCT($CA125:$DV125,INDEX('MC MAP'!$DA$5:$EV$30,6,0))</f>
        <v>0</v>
      </c>
      <c r="H125" s="2">
        <f>SUMPRODUCT($CA125:$DV125,INDEX('MC MAP'!$DA$5:$EV$30,7,0))</f>
        <v>0</v>
      </c>
      <c r="I125" s="2">
        <f>SUMPRODUCT($CA125:$DV125,INDEX('MC MAP'!$DA$5:$EV$30,8,0))</f>
        <v>0</v>
      </c>
      <c r="J125" s="2">
        <f>SUMPRODUCT($CA125:$DV125,INDEX('MC MAP'!$DA$5:$EV$30,9,0))</f>
        <v>0</v>
      </c>
      <c r="K125" s="2">
        <f>SUMPRODUCT($CA125:$DV125,INDEX('MC MAP'!$DA$5:$EV$30,10,0))</f>
        <v>0</v>
      </c>
      <c r="L125" s="2">
        <f>SUMPRODUCT($CA125:$DV125,INDEX('MC MAP'!$DA$5:$EV$30,11,0))</f>
        <v>0</v>
      </c>
      <c r="M125" s="2">
        <f>SUMPRODUCT($CA125:$DV125,INDEX('MC MAP'!$DA$5:$EV$30,12,0))</f>
        <v>0</v>
      </c>
      <c r="N125" s="2">
        <f>SUMPRODUCT($CA125:$DV125,INDEX('MC MAP'!$DA$5:$EV$30,13,0))</f>
        <v>0</v>
      </c>
      <c r="O125" s="2">
        <f>SUMPRODUCT($CA125:$DV125,INDEX('MC MAP'!$DA$5:$EV$30,14,0))</f>
        <v>0</v>
      </c>
      <c r="P125" s="2">
        <f>SUMPRODUCT($CA125:$DV125,INDEX('MC MAP'!$DA$5:$EV$30,15,0))</f>
        <v>0</v>
      </c>
      <c r="Q125" s="2">
        <f>SUMPRODUCT($CA125:$DV125,INDEX('MC MAP'!$DA$5:$EV$30,16,0))</f>
        <v>0</v>
      </c>
      <c r="R125" s="2">
        <f>SUMPRODUCT($CA125:$DV125,INDEX('MC MAP'!$DA$5:$EV$30,17,0))</f>
        <v>0</v>
      </c>
      <c r="S125" s="2">
        <f>SUMPRODUCT($CA125:$DV125,INDEX('MC MAP'!$DA$5:$EV$30,18,0))</f>
        <v>0</v>
      </c>
      <c r="T125" s="2">
        <f>SUMPRODUCT($CA125:$DV125,INDEX('MC MAP'!$DA$5:$EV$30,19,0))</f>
        <v>0</v>
      </c>
      <c r="U125" s="2">
        <f>SUMPRODUCT($CA125:$DV125,INDEX('MC MAP'!$DA$5:$EV$30,20,0))</f>
        <v>0</v>
      </c>
      <c r="V125" s="2">
        <f>SUMPRODUCT($CA125:$DV125,INDEX('MC MAP'!$DA$5:$EV$30,21,0))</f>
        <v>0</v>
      </c>
      <c r="W125" s="2">
        <f>SUMPRODUCT($CA125:$DV125,INDEX('MC MAP'!$DA$5:$EV$30,22,0))</f>
        <v>0</v>
      </c>
      <c r="X125" s="2">
        <f>SUMPRODUCT($CA125:$DV125,INDEX('MC MAP'!$DA$5:$EV$30,23,0))</f>
        <v>0</v>
      </c>
      <c r="Y125" s="2">
        <f>SUMPRODUCT($CA125:$DV125,INDEX('MC MAP'!$DA$5:$EV$30,24,0))</f>
        <v>0</v>
      </c>
      <c r="Z125" s="2">
        <f>SUMPRODUCT($CA125:$DV125,INDEX('MC MAP'!$DA$5:$EV$30,25,0))</f>
        <v>0</v>
      </c>
      <c r="AA125" s="2">
        <f>SUMPRODUCT($CA125:$DV125,INDEX('MC MAP'!$DA$5:$EV$30,26,0))</f>
        <v>0</v>
      </c>
      <c r="AB125" s="2">
        <f>SUM($B125:$AA125)</f>
        <v>0</v>
      </c>
      <c r="AC125" s="2">
        <f>SUM($CA125:$DV125)+$AW125</f>
        <v>0</v>
      </c>
      <c r="AW125" s="2">
        <f>IF($A125=0,0,COUNTIF(INDEX('LINE PLAN'!$B$36:$GS$61,0,ROW()-3),"THERMAL - NOT SPECIFIED"))</f>
        <v>0</v>
      </c>
      <c r="AX125" s="506" cm="1">
        <f t="array" ref="AX125">IF(OR($AB125=0,UPPER($BS125)&lt;&gt;"Y"),0,SUMPRODUCT(--($B125:$AA125&gt;$B$205:$AA$205)))</f>
        <v>0</v>
      </c>
      <c r="AY125" s="507">
        <f>$A125</f>
        <v>0</v>
      </c>
      <c r="AZ125" s="2">
        <f>$AB125</f>
        <v>0</v>
      </c>
      <c r="BA125" s="2">
        <f>'MC MASTER'!$C$29</f>
        <v>920</v>
      </c>
      <c r="BQ125" s="509">
        <f>$A125</f>
        <v>0</v>
      </c>
      <c r="BR125" s="15" t="str">
        <f>TEXT($A125,"ddd")</f>
        <v>Sat</v>
      </c>
      <c r="BS125" s="547" t="str">
        <f>IF($A125=0,"",IF(WEEKDAY($A125,2)=7,"N","Y"))</f>
        <v/>
      </c>
      <c r="BT125" s="15">
        <f>IF(UPPER($BS125)="Y",$AB125,0)</f>
        <v>0</v>
      </c>
      <c r="CA125" s="2">
        <f>COUNTIF(INDEX('LINE PLAN'!$B$36:$GS$61,0,ROW()-3),CA$3)</f>
        <v>0</v>
      </c>
      <c r="CB125" s="2">
        <f>COUNTIF(INDEX('LINE PLAN'!$B$36:$GS$61,0,ROW()-3),CB$3)</f>
        <v>0</v>
      </c>
      <c r="CC125" s="2">
        <f>COUNTIF(INDEX('LINE PLAN'!$B$36:$GS$61,0,ROW()-3),CC$3)</f>
        <v>0</v>
      </c>
      <c r="CD125" s="2">
        <f>COUNTIF(INDEX('LINE PLAN'!$B$36:$GS$61,0,ROW()-3),CD$3)</f>
        <v>0</v>
      </c>
      <c r="CE125" s="2">
        <f>COUNTIF(INDEX('LINE PLAN'!$B$36:$GS$61,0,ROW()-3),CE$3)</f>
        <v>0</v>
      </c>
      <c r="CF125" s="2">
        <f>COUNTIF(INDEX('LINE PLAN'!$B$36:$GS$61,0,ROW()-3),CF$3)</f>
        <v>0</v>
      </c>
      <c r="CG125" s="2">
        <f>COUNTIF(INDEX('LINE PLAN'!$B$36:$GS$61,0,ROW()-3),CG$3)</f>
        <v>0</v>
      </c>
      <c r="CH125" s="2">
        <f>COUNTIF(INDEX('LINE PLAN'!$B$36:$GS$61,0,ROW()-3),CH$3)</f>
        <v>0</v>
      </c>
      <c r="CI125" s="2">
        <f>COUNTIF(INDEX('LINE PLAN'!$B$36:$GS$61,0,ROW()-3),CI$3)</f>
        <v>0</v>
      </c>
      <c r="CJ125" s="2">
        <f>COUNTIF(INDEX('LINE PLAN'!$B$36:$GS$61,0,ROW()-3),CJ$3)</f>
        <v>0</v>
      </c>
      <c r="CK125" s="2">
        <f>COUNTIF(INDEX('LINE PLAN'!$B$36:$GS$61,0,ROW()-3),CK$3)</f>
        <v>0</v>
      </c>
      <c r="CL125" s="2">
        <f>COUNTIF(INDEX('LINE PLAN'!$B$36:$GS$61,0,ROW()-3),CL$3)</f>
        <v>0</v>
      </c>
      <c r="CM125" s="2">
        <f>COUNTIF(INDEX('LINE PLAN'!$B$36:$GS$61,0,ROW()-3),CM$3)</f>
        <v>0</v>
      </c>
      <c r="CN125" s="2">
        <f>COUNTIF(INDEX('LINE PLAN'!$B$36:$GS$61,0,ROW()-3),CN$3)</f>
        <v>0</v>
      </c>
      <c r="CO125" s="2">
        <f>COUNTIF(INDEX('LINE PLAN'!$B$36:$GS$61,0,ROW()-3),CO$3)</f>
        <v>0</v>
      </c>
      <c r="CP125" s="2">
        <f>COUNTIF(INDEX('LINE PLAN'!$B$36:$GS$61,0,ROW()-3),CP$3)</f>
        <v>0</v>
      </c>
      <c r="CQ125" s="2">
        <f>COUNTIF(INDEX('LINE PLAN'!$B$36:$GS$61,0,ROW()-3),CQ$3)</f>
        <v>0</v>
      </c>
      <c r="CR125" s="2">
        <f>COUNTIF(INDEX('LINE PLAN'!$B$36:$GS$61,0,ROW()-3),CR$3)</f>
        <v>0</v>
      </c>
      <c r="CS125" s="2">
        <f>COUNTIF(INDEX('LINE PLAN'!$B$36:$GS$61,0,ROW()-3),CS$3)</f>
        <v>0</v>
      </c>
      <c r="CT125" s="2">
        <f>COUNTIF(INDEX('LINE PLAN'!$B$36:$GS$61,0,ROW()-3),CT$3)</f>
        <v>0</v>
      </c>
      <c r="CU125" s="2">
        <f>COUNTIF(INDEX('LINE PLAN'!$B$36:$GS$61,0,ROW()-3),CU$3)</f>
        <v>0</v>
      </c>
      <c r="CV125" s="2">
        <f>COUNTIF(INDEX('LINE PLAN'!$B$36:$GS$61,0,ROW()-3),CV$3)</f>
        <v>0</v>
      </c>
      <c r="CW125" s="2">
        <f>COUNTIF(INDEX('LINE PLAN'!$B$36:$GS$61,0,ROW()-3),CW$3)</f>
        <v>0</v>
      </c>
      <c r="CX125" s="2">
        <f>COUNTIF(INDEX('LINE PLAN'!$B$36:$GS$61,0,ROW()-3),CX$3)</f>
        <v>0</v>
      </c>
      <c r="CY125" s="2">
        <f>COUNTIF(INDEX('LINE PLAN'!$B$36:$GS$61,0,ROW()-3),CY$3)</f>
        <v>0</v>
      </c>
      <c r="CZ125" s="2">
        <f>COUNTIF(INDEX('LINE PLAN'!$B$36:$GS$61,0,ROW()-3),CZ$3)</f>
        <v>0</v>
      </c>
      <c r="DA125" s="2">
        <f>COUNTIF(INDEX('LINE PLAN'!$B$36:$GS$61,0,ROW()-3),DA$3)</f>
        <v>0</v>
      </c>
      <c r="DB125" s="2">
        <f>COUNTIF(INDEX('LINE PLAN'!$B$36:$GS$61,0,ROW()-3),DB$3)</f>
        <v>0</v>
      </c>
      <c r="DC125" s="2">
        <f>COUNTIF(INDEX('LINE PLAN'!$B$36:$GS$61,0,ROW()-3),DC$3)</f>
        <v>0</v>
      </c>
      <c r="DD125" s="2">
        <f>COUNTIF(INDEX('LINE PLAN'!$B$36:$GS$61,0,ROW()-3),DD$3)</f>
        <v>0</v>
      </c>
      <c r="DE125" s="2">
        <f>COUNTIF(INDEX('LINE PLAN'!$B$36:$GS$61,0,ROW()-3),DE$3)</f>
        <v>0</v>
      </c>
      <c r="DF125" s="2">
        <f>COUNTIF(INDEX('LINE PLAN'!$B$36:$GS$61,0,ROW()-3),DF$3)</f>
        <v>0</v>
      </c>
      <c r="DG125" s="2">
        <f>COUNTIF(INDEX('LINE PLAN'!$B$36:$GS$61,0,ROW()-3),DG$3)</f>
        <v>0</v>
      </c>
      <c r="DH125" s="2">
        <f>COUNTIF(INDEX('LINE PLAN'!$B$36:$GS$61,0,ROW()-3),DH$3)</f>
        <v>0</v>
      </c>
      <c r="DI125" s="2">
        <f>COUNTIF(INDEX('LINE PLAN'!$B$36:$GS$61,0,ROW()-3),DI$3)</f>
        <v>0</v>
      </c>
      <c r="DJ125" s="2">
        <f>COUNTIF(INDEX('LINE PLAN'!$B$36:$GS$61,0,ROW()-3),DJ$3)</f>
        <v>0</v>
      </c>
      <c r="DK125" s="2">
        <f>COUNTIF(INDEX('LINE PLAN'!$B$36:$GS$61,0,ROW()-3),DK$3)</f>
        <v>0</v>
      </c>
      <c r="DL125" s="2">
        <f>COUNTIF(INDEX('LINE PLAN'!$B$36:$GS$61,0,ROW()-3),DL$3)</f>
        <v>0</v>
      </c>
      <c r="DM125" s="2">
        <f>COUNTIF(INDEX('LINE PLAN'!$B$36:$GS$61,0,ROW()-3),DM$3)</f>
        <v>0</v>
      </c>
      <c r="DN125" s="2">
        <f>COUNTIF(INDEX('LINE PLAN'!$B$36:$GS$61,0,ROW()-3),DN$3)</f>
        <v>0</v>
      </c>
      <c r="DO125" s="2">
        <f>COUNTIF(INDEX('LINE PLAN'!$B$36:$GS$61,0,ROW()-3),DO$3)</f>
        <v>0</v>
      </c>
      <c r="DP125" s="2">
        <f>COUNTIF(INDEX('LINE PLAN'!$B$36:$GS$61,0,ROW()-3),DP$3)</f>
        <v>0</v>
      </c>
      <c r="DQ125" s="2">
        <f>COUNTIF(INDEX('LINE PLAN'!$B$36:$GS$61,0,ROW()-3),DQ$3)</f>
        <v>0</v>
      </c>
      <c r="DR125" s="2">
        <f>COUNTIF(INDEX('LINE PLAN'!$B$36:$GS$61,0,ROW()-3),DR$3)</f>
        <v>0</v>
      </c>
      <c r="DS125" s="2">
        <f>COUNTIF(INDEX('LINE PLAN'!$B$36:$GS$61,0,ROW()-3),DS$3)</f>
        <v>0</v>
      </c>
      <c r="DT125" s="2">
        <f>COUNTIF(INDEX('LINE PLAN'!$B$36:$GS$61,0,ROW()-3),DT$3)</f>
        <v>0</v>
      </c>
      <c r="DU125" s="2">
        <f>COUNTIF(INDEX('LINE PLAN'!$B$36:$GS$61,0,ROW()-3),DU$3)</f>
        <v>0</v>
      </c>
      <c r="DV125" s="2">
        <f>COUNTIF(INDEX('LINE PLAN'!$B$36:$GS$61,0,ROW()-3),DV$3)</f>
        <v>0</v>
      </c>
    </row>
    <row r="126" spans="1:126">
      <c r="A126" s="505" cm="1">
        <f t="array" ref="A126">INDEX('LINE PLAN'!$B$35:$GS$35,ROW()-3)</f>
        <v>0</v>
      </c>
      <c r="B126" s="2">
        <f>SUMPRODUCT($CA126:$DV126,INDEX('MC MAP'!$DA$5:$EV$30,1,0))</f>
        <v>0</v>
      </c>
      <c r="C126" s="2">
        <f>SUMPRODUCT($CA126:$DV126,INDEX('MC MAP'!$DA$5:$EV$30,2,0))</f>
        <v>0</v>
      </c>
      <c r="D126" s="2">
        <f>SUMPRODUCT($CA126:$DV126,INDEX('MC MAP'!$DA$5:$EV$30,3,0))</f>
        <v>0</v>
      </c>
      <c r="E126" s="2">
        <f>SUMPRODUCT($CA126:$DV126,INDEX('MC MAP'!$DA$5:$EV$30,4,0))</f>
        <v>0</v>
      </c>
      <c r="F126" s="2">
        <f>SUMPRODUCT($CA126:$DV126,INDEX('MC MAP'!$DA$5:$EV$30,5,0))</f>
        <v>0</v>
      </c>
      <c r="G126" s="2">
        <f>SUMPRODUCT($CA126:$DV126,INDEX('MC MAP'!$DA$5:$EV$30,6,0))</f>
        <v>0</v>
      </c>
      <c r="H126" s="2">
        <f>SUMPRODUCT($CA126:$DV126,INDEX('MC MAP'!$DA$5:$EV$30,7,0))</f>
        <v>0</v>
      </c>
      <c r="I126" s="2">
        <f>SUMPRODUCT($CA126:$DV126,INDEX('MC MAP'!$DA$5:$EV$30,8,0))</f>
        <v>0</v>
      </c>
      <c r="J126" s="2">
        <f>SUMPRODUCT($CA126:$DV126,INDEX('MC MAP'!$DA$5:$EV$30,9,0))</f>
        <v>0</v>
      </c>
      <c r="K126" s="2">
        <f>SUMPRODUCT($CA126:$DV126,INDEX('MC MAP'!$DA$5:$EV$30,10,0))</f>
        <v>0</v>
      </c>
      <c r="L126" s="2">
        <f>SUMPRODUCT($CA126:$DV126,INDEX('MC MAP'!$DA$5:$EV$30,11,0))</f>
        <v>0</v>
      </c>
      <c r="M126" s="2">
        <f>SUMPRODUCT($CA126:$DV126,INDEX('MC MAP'!$DA$5:$EV$30,12,0))</f>
        <v>0</v>
      </c>
      <c r="N126" s="2">
        <f>SUMPRODUCT($CA126:$DV126,INDEX('MC MAP'!$DA$5:$EV$30,13,0))</f>
        <v>0</v>
      </c>
      <c r="O126" s="2">
        <f>SUMPRODUCT($CA126:$DV126,INDEX('MC MAP'!$DA$5:$EV$30,14,0))</f>
        <v>0</v>
      </c>
      <c r="P126" s="2">
        <f>SUMPRODUCT($CA126:$DV126,INDEX('MC MAP'!$DA$5:$EV$30,15,0))</f>
        <v>0</v>
      </c>
      <c r="Q126" s="2">
        <f>SUMPRODUCT($CA126:$DV126,INDEX('MC MAP'!$DA$5:$EV$30,16,0))</f>
        <v>0</v>
      </c>
      <c r="R126" s="2">
        <f>SUMPRODUCT($CA126:$DV126,INDEX('MC MAP'!$DA$5:$EV$30,17,0))</f>
        <v>0</v>
      </c>
      <c r="S126" s="2">
        <f>SUMPRODUCT($CA126:$DV126,INDEX('MC MAP'!$DA$5:$EV$30,18,0))</f>
        <v>0</v>
      </c>
      <c r="T126" s="2">
        <f>SUMPRODUCT($CA126:$DV126,INDEX('MC MAP'!$DA$5:$EV$30,19,0))</f>
        <v>0</v>
      </c>
      <c r="U126" s="2">
        <f>SUMPRODUCT($CA126:$DV126,INDEX('MC MAP'!$DA$5:$EV$30,20,0))</f>
        <v>0</v>
      </c>
      <c r="V126" s="2">
        <f>SUMPRODUCT($CA126:$DV126,INDEX('MC MAP'!$DA$5:$EV$30,21,0))</f>
        <v>0</v>
      </c>
      <c r="W126" s="2">
        <f>SUMPRODUCT($CA126:$DV126,INDEX('MC MAP'!$DA$5:$EV$30,22,0))</f>
        <v>0</v>
      </c>
      <c r="X126" s="2">
        <f>SUMPRODUCT($CA126:$DV126,INDEX('MC MAP'!$DA$5:$EV$30,23,0))</f>
        <v>0</v>
      </c>
      <c r="Y126" s="2">
        <f>SUMPRODUCT($CA126:$DV126,INDEX('MC MAP'!$DA$5:$EV$30,24,0))</f>
        <v>0</v>
      </c>
      <c r="Z126" s="2">
        <f>SUMPRODUCT($CA126:$DV126,INDEX('MC MAP'!$DA$5:$EV$30,25,0))</f>
        <v>0</v>
      </c>
      <c r="AA126" s="2">
        <f>SUMPRODUCT($CA126:$DV126,INDEX('MC MAP'!$DA$5:$EV$30,26,0))</f>
        <v>0</v>
      </c>
      <c r="AB126" s="2">
        <f>SUM($B126:$AA126)</f>
        <v>0</v>
      </c>
      <c r="AC126" s="2">
        <f>SUM($CA126:$DV126)+$AW126</f>
        <v>0</v>
      </c>
      <c r="AW126" s="2">
        <f>IF($A126=0,0,COUNTIF(INDEX('LINE PLAN'!$B$36:$GS$61,0,ROW()-3),"THERMAL - NOT SPECIFIED"))</f>
        <v>0</v>
      </c>
      <c r="AX126" s="506" cm="1">
        <f t="array" ref="AX126">IF(OR($AB126=0,UPPER($BS126)&lt;&gt;"Y"),0,SUMPRODUCT(--($B126:$AA126&gt;$B$205:$AA$205)))</f>
        <v>0</v>
      </c>
      <c r="AY126" s="507">
        <f>$A126</f>
        <v>0</v>
      </c>
      <c r="AZ126" s="2">
        <f>$AB126</f>
        <v>0</v>
      </c>
      <c r="BA126" s="2">
        <f>'MC MASTER'!$C$29</f>
        <v>920</v>
      </c>
      <c r="BQ126" s="509">
        <f>$A126</f>
        <v>0</v>
      </c>
      <c r="BR126" s="15" t="str">
        <f>TEXT($A126,"ddd")</f>
        <v>Sat</v>
      </c>
      <c r="BS126" s="547" t="str">
        <f>IF($A126=0,"",IF(WEEKDAY($A126,2)=7,"N","Y"))</f>
        <v/>
      </c>
      <c r="BT126" s="15">
        <f>IF(UPPER($BS126)="Y",$AB126,0)</f>
        <v>0</v>
      </c>
      <c r="CA126" s="2">
        <f>COUNTIF(INDEX('LINE PLAN'!$B$36:$GS$61,0,ROW()-3),CA$3)</f>
        <v>0</v>
      </c>
      <c r="CB126" s="2">
        <f>COUNTIF(INDEX('LINE PLAN'!$B$36:$GS$61,0,ROW()-3),CB$3)</f>
        <v>0</v>
      </c>
      <c r="CC126" s="2">
        <f>COUNTIF(INDEX('LINE PLAN'!$B$36:$GS$61,0,ROW()-3),CC$3)</f>
        <v>0</v>
      </c>
      <c r="CD126" s="2">
        <f>COUNTIF(INDEX('LINE PLAN'!$B$36:$GS$61,0,ROW()-3),CD$3)</f>
        <v>0</v>
      </c>
      <c r="CE126" s="2">
        <f>COUNTIF(INDEX('LINE PLAN'!$B$36:$GS$61,0,ROW()-3),CE$3)</f>
        <v>0</v>
      </c>
      <c r="CF126" s="2">
        <f>COUNTIF(INDEX('LINE PLAN'!$B$36:$GS$61,0,ROW()-3),CF$3)</f>
        <v>0</v>
      </c>
      <c r="CG126" s="2">
        <f>COUNTIF(INDEX('LINE PLAN'!$B$36:$GS$61,0,ROW()-3),CG$3)</f>
        <v>0</v>
      </c>
      <c r="CH126" s="2">
        <f>COUNTIF(INDEX('LINE PLAN'!$B$36:$GS$61,0,ROW()-3),CH$3)</f>
        <v>0</v>
      </c>
      <c r="CI126" s="2">
        <f>COUNTIF(INDEX('LINE PLAN'!$B$36:$GS$61,0,ROW()-3),CI$3)</f>
        <v>0</v>
      </c>
      <c r="CJ126" s="2">
        <f>COUNTIF(INDEX('LINE PLAN'!$B$36:$GS$61,0,ROW()-3),CJ$3)</f>
        <v>0</v>
      </c>
      <c r="CK126" s="2">
        <f>COUNTIF(INDEX('LINE PLAN'!$B$36:$GS$61,0,ROW()-3),CK$3)</f>
        <v>0</v>
      </c>
      <c r="CL126" s="2">
        <f>COUNTIF(INDEX('LINE PLAN'!$B$36:$GS$61,0,ROW()-3),CL$3)</f>
        <v>0</v>
      </c>
      <c r="CM126" s="2">
        <f>COUNTIF(INDEX('LINE PLAN'!$B$36:$GS$61,0,ROW()-3),CM$3)</f>
        <v>0</v>
      </c>
      <c r="CN126" s="2">
        <f>COUNTIF(INDEX('LINE PLAN'!$B$36:$GS$61,0,ROW()-3),CN$3)</f>
        <v>0</v>
      </c>
      <c r="CO126" s="2">
        <f>COUNTIF(INDEX('LINE PLAN'!$B$36:$GS$61,0,ROW()-3),CO$3)</f>
        <v>0</v>
      </c>
      <c r="CP126" s="2">
        <f>COUNTIF(INDEX('LINE PLAN'!$B$36:$GS$61,0,ROW()-3),CP$3)</f>
        <v>0</v>
      </c>
      <c r="CQ126" s="2">
        <f>COUNTIF(INDEX('LINE PLAN'!$B$36:$GS$61,0,ROW()-3),CQ$3)</f>
        <v>0</v>
      </c>
      <c r="CR126" s="2">
        <f>COUNTIF(INDEX('LINE PLAN'!$B$36:$GS$61,0,ROW()-3),CR$3)</f>
        <v>0</v>
      </c>
      <c r="CS126" s="2">
        <f>COUNTIF(INDEX('LINE PLAN'!$B$36:$GS$61,0,ROW()-3),CS$3)</f>
        <v>0</v>
      </c>
      <c r="CT126" s="2">
        <f>COUNTIF(INDEX('LINE PLAN'!$B$36:$GS$61,0,ROW()-3),CT$3)</f>
        <v>0</v>
      </c>
      <c r="CU126" s="2">
        <f>COUNTIF(INDEX('LINE PLAN'!$B$36:$GS$61,0,ROW()-3),CU$3)</f>
        <v>0</v>
      </c>
      <c r="CV126" s="2">
        <f>COUNTIF(INDEX('LINE PLAN'!$B$36:$GS$61,0,ROW()-3),CV$3)</f>
        <v>0</v>
      </c>
      <c r="CW126" s="2">
        <f>COUNTIF(INDEX('LINE PLAN'!$B$36:$GS$61,0,ROW()-3),CW$3)</f>
        <v>0</v>
      </c>
      <c r="CX126" s="2">
        <f>COUNTIF(INDEX('LINE PLAN'!$B$36:$GS$61,0,ROW()-3),CX$3)</f>
        <v>0</v>
      </c>
      <c r="CY126" s="2">
        <f>COUNTIF(INDEX('LINE PLAN'!$B$36:$GS$61,0,ROW()-3),CY$3)</f>
        <v>0</v>
      </c>
      <c r="CZ126" s="2">
        <f>COUNTIF(INDEX('LINE PLAN'!$B$36:$GS$61,0,ROW()-3),CZ$3)</f>
        <v>0</v>
      </c>
      <c r="DA126" s="2">
        <f>COUNTIF(INDEX('LINE PLAN'!$B$36:$GS$61,0,ROW()-3),DA$3)</f>
        <v>0</v>
      </c>
      <c r="DB126" s="2">
        <f>COUNTIF(INDEX('LINE PLAN'!$B$36:$GS$61,0,ROW()-3),DB$3)</f>
        <v>0</v>
      </c>
      <c r="DC126" s="2">
        <f>COUNTIF(INDEX('LINE PLAN'!$B$36:$GS$61,0,ROW()-3),DC$3)</f>
        <v>0</v>
      </c>
      <c r="DD126" s="2">
        <f>COUNTIF(INDEX('LINE PLAN'!$B$36:$GS$61,0,ROW()-3),DD$3)</f>
        <v>0</v>
      </c>
      <c r="DE126" s="2">
        <f>COUNTIF(INDEX('LINE PLAN'!$B$36:$GS$61,0,ROW()-3),DE$3)</f>
        <v>0</v>
      </c>
      <c r="DF126" s="2">
        <f>COUNTIF(INDEX('LINE PLAN'!$B$36:$GS$61,0,ROW()-3),DF$3)</f>
        <v>0</v>
      </c>
      <c r="DG126" s="2">
        <f>COUNTIF(INDEX('LINE PLAN'!$B$36:$GS$61,0,ROW()-3),DG$3)</f>
        <v>0</v>
      </c>
      <c r="DH126" s="2">
        <f>COUNTIF(INDEX('LINE PLAN'!$B$36:$GS$61,0,ROW()-3),DH$3)</f>
        <v>0</v>
      </c>
      <c r="DI126" s="2">
        <f>COUNTIF(INDEX('LINE PLAN'!$B$36:$GS$61,0,ROW()-3),DI$3)</f>
        <v>0</v>
      </c>
      <c r="DJ126" s="2">
        <f>COUNTIF(INDEX('LINE PLAN'!$B$36:$GS$61,0,ROW()-3),DJ$3)</f>
        <v>0</v>
      </c>
      <c r="DK126" s="2">
        <f>COUNTIF(INDEX('LINE PLAN'!$B$36:$GS$61,0,ROW()-3),DK$3)</f>
        <v>0</v>
      </c>
      <c r="DL126" s="2">
        <f>COUNTIF(INDEX('LINE PLAN'!$B$36:$GS$61,0,ROW()-3),DL$3)</f>
        <v>0</v>
      </c>
      <c r="DM126" s="2">
        <f>COUNTIF(INDEX('LINE PLAN'!$B$36:$GS$61,0,ROW()-3),DM$3)</f>
        <v>0</v>
      </c>
      <c r="DN126" s="2">
        <f>COUNTIF(INDEX('LINE PLAN'!$B$36:$GS$61,0,ROW()-3),DN$3)</f>
        <v>0</v>
      </c>
      <c r="DO126" s="2">
        <f>COUNTIF(INDEX('LINE PLAN'!$B$36:$GS$61,0,ROW()-3),DO$3)</f>
        <v>0</v>
      </c>
      <c r="DP126" s="2">
        <f>COUNTIF(INDEX('LINE PLAN'!$B$36:$GS$61,0,ROW()-3),DP$3)</f>
        <v>0</v>
      </c>
      <c r="DQ126" s="2">
        <f>COUNTIF(INDEX('LINE PLAN'!$B$36:$GS$61,0,ROW()-3),DQ$3)</f>
        <v>0</v>
      </c>
      <c r="DR126" s="2">
        <f>COUNTIF(INDEX('LINE PLAN'!$B$36:$GS$61,0,ROW()-3),DR$3)</f>
        <v>0</v>
      </c>
      <c r="DS126" s="2">
        <f>COUNTIF(INDEX('LINE PLAN'!$B$36:$GS$61,0,ROW()-3),DS$3)</f>
        <v>0</v>
      </c>
      <c r="DT126" s="2">
        <f>COUNTIF(INDEX('LINE PLAN'!$B$36:$GS$61,0,ROW()-3),DT$3)</f>
        <v>0</v>
      </c>
      <c r="DU126" s="2">
        <f>COUNTIF(INDEX('LINE PLAN'!$B$36:$GS$61,0,ROW()-3),DU$3)</f>
        <v>0</v>
      </c>
      <c r="DV126" s="2">
        <f>COUNTIF(INDEX('LINE PLAN'!$B$36:$GS$61,0,ROW()-3),DV$3)</f>
        <v>0</v>
      </c>
    </row>
    <row r="127" spans="1:126">
      <c r="A127" s="505" cm="1">
        <f t="array" ref="A127">INDEX('LINE PLAN'!$B$35:$GS$35,ROW()-3)</f>
        <v>0</v>
      </c>
      <c r="B127" s="2">
        <f>SUMPRODUCT($CA127:$DV127,INDEX('MC MAP'!$DA$5:$EV$30,1,0))</f>
        <v>0</v>
      </c>
      <c r="C127" s="2">
        <f>SUMPRODUCT($CA127:$DV127,INDEX('MC MAP'!$DA$5:$EV$30,2,0))</f>
        <v>0</v>
      </c>
      <c r="D127" s="2">
        <f>SUMPRODUCT($CA127:$DV127,INDEX('MC MAP'!$DA$5:$EV$30,3,0))</f>
        <v>0</v>
      </c>
      <c r="E127" s="2">
        <f>SUMPRODUCT($CA127:$DV127,INDEX('MC MAP'!$DA$5:$EV$30,4,0))</f>
        <v>0</v>
      </c>
      <c r="F127" s="2">
        <f>SUMPRODUCT($CA127:$DV127,INDEX('MC MAP'!$DA$5:$EV$30,5,0))</f>
        <v>0</v>
      </c>
      <c r="G127" s="2">
        <f>SUMPRODUCT($CA127:$DV127,INDEX('MC MAP'!$DA$5:$EV$30,6,0))</f>
        <v>0</v>
      </c>
      <c r="H127" s="2">
        <f>SUMPRODUCT($CA127:$DV127,INDEX('MC MAP'!$DA$5:$EV$30,7,0))</f>
        <v>0</v>
      </c>
      <c r="I127" s="2">
        <f>SUMPRODUCT($CA127:$DV127,INDEX('MC MAP'!$DA$5:$EV$30,8,0))</f>
        <v>0</v>
      </c>
      <c r="J127" s="2">
        <f>SUMPRODUCT($CA127:$DV127,INDEX('MC MAP'!$DA$5:$EV$30,9,0))</f>
        <v>0</v>
      </c>
      <c r="K127" s="2">
        <f>SUMPRODUCT($CA127:$DV127,INDEX('MC MAP'!$DA$5:$EV$30,10,0))</f>
        <v>0</v>
      </c>
      <c r="L127" s="2">
        <f>SUMPRODUCT($CA127:$DV127,INDEX('MC MAP'!$DA$5:$EV$30,11,0))</f>
        <v>0</v>
      </c>
      <c r="M127" s="2">
        <f>SUMPRODUCT($CA127:$DV127,INDEX('MC MAP'!$DA$5:$EV$30,12,0))</f>
        <v>0</v>
      </c>
      <c r="N127" s="2">
        <f>SUMPRODUCT($CA127:$DV127,INDEX('MC MAP'!$DA$5:$EV$30,13,0))</f>
        <v>0</v>
      </c>
      <c r="O127" s="2">
        <f>SUMPRODUCT($CA127:$DV127,INDEX('MC MAP'!$DA$5:$EV$30,14,0))</f>
        <v>0</v>
      </c>
      <c r="P127" s="2">
        <f>SUMPRODUCT($CA127:$DV127,INDEX('MC MAP'!$DA$5:$EV$30,15,0))</f>
        <v>0</v>
      </c>
      <c r="Q127" s="2">
        <f>SUMPRODUCT($CA127:$DV127,INDEX('MC MAP'!$DA$5:$EV$30,16,0))</f>
        <v>0</v>
      </c>
      <c r="R127" s="2">
        <f>SUMPRODUCT($CA127:$DV127,INDEX('MC MAP'!$DA$5:$EV$30,17,0))</f>
        <v>0</v>
      </c>
      <c r="S127" s="2">
        <f>SUMPRODUCT($CA127:$DV127,INDEX('MC MAP'!$DA$5:$EV$30,18,0))</f>
        <v>0</v>
      </c>
      <c r="T127" s="2">
        <f>SUMPRODUCT($CA127:$DV127,INDEX('MC MAP'!$DA$5:$EV$30,19,0))</f>
        <v>0</v>
      </c>
      <c r="U127" s="2">
        <f>SUMPRODUCT($CA127:$DV127,INDEX('MC MAP'!$DA$5:$EV$30,20,0))</f>
        <v>0</v>
      </c>
      <c r="V127" s="2">
        <f>SUMPRODUCT($CA127:$DV127,INDEX('MC MAP'!$DA$5:$EV$30,21,0))</f>
        <v>0</v>
      </c>
      <c r="W127" s="2">
        <f>SUMPRODUCT($CA127:$DV127,INDEX('MC MAP'!$DA$5:$EV$30,22,0))</f>
        <v>0</v>
      </c>
      <c r="X127" s="2">
        <f>SUMPRODUCT($CA127:$DV127,INDEX('MC MAP'!$DA$5:$EV$30,23,0))</f>
        <v>0</v>
      </c>
      <c r="Y127" s="2">
        <f>SUMPRODUCT($CA127:$DV127,INDEX('MC MAP'!$DA$5:$EV$30,24,0))</f>
        <v>0</v>
      </c>
      <c r="Z127" s="2">
        <f>SUMPRODUCT($CA127:$DV127,INDEX('MC MAP'!$DA$5:$EV$30,25,0))</f>
        <v>0</v>
      </c>
      <c r="AA127" s="2">
        <f>SUMPRODUCT($CA127:$DV127,INDEX('MC MAP'!$DA$5:$EV$30,26,0))</f>
        <v>0</v>
      </c>
      <c r="AB127" s="2">
        <f>SUM($B127:$AA127)</f>
        <v>0</v>
      </c>
      <c r="AC127" s="2">
        <f>SUM($CA127:$DV127)+$AW127</f>
        <v>0</v>
      </c>
      <c r="AW127" s="2">
        <f>IF($A127=0,0,COUNTIF(INDEX('LINE PLAN'!$B$36:$GS$61,0,ROW()-3),"THERMAL - NOT SPECIFIED"))</f>
        <v>0</v>
      </c>
      <c r="AX127" s="506" cm="1">
        <f t="array" ref="AX127">IF(OR($AB127=0,UPPER($BS127)&lt;&gt;"Y"),0,SUMPRODUCT(--($B127:$AA127&gt;$B$205:$AA$205)))</f>
        <v>0</v>
      </c>
      <c r="AY127" s="507">
        <f>$A127</f>
        <v>0</v>
      </c>
      <c r="AZ127" s="2">
        <f>$AB127</f>
        <v>0</v>
      </c>
      <c r="BA127" s="2">
        <f>'MC MASTER'!$C$29</f>
        <v>920</v>
      </c>
      <c r="BQ127" s="509">
        <f>$A127</f>
        <v>0</v>
      </c>
      <c r="BR127" s="15" t="str">
        <f>TEXT($A127,"ddd")</f>
        <v>Sat</v>
      </c>
      <c r="BS127" s="547" t="str">
        <f>IF($A127=0,"",IF(WEEKDAY($A127,2)=7,"N","Y"))</f>
        <v/>
      </c>
      <c r="BT127" s="15">
        <f>IF(UPPER($BS127)="Y",$AB127,0)</f>
        <v>0</v>
      </c>
      <c r="CA127" s="2">
        <f>COUNTIF(INDEX('LINE PLAN'!$B$36:$GS$61,0,ROW()-3),CA$3)</f>
        <v>0</v>
      </c>
      <c r="CB127" s="2">
        <f>COUNTIF(INDEX('LINE PLAN'!$B$36:$GS$61,0,ROW()-3),CB$3)</f>
        <v>0</v>
      </c>
      <c r="CC127" s="2">
        <f>COUNTIF(INDEX('LINE PLAN'!$B$36:$GS$61,0,ROW()-3),CC$3)</f>
        <v>0</v>
      </c>
      <c r="CD127" s="2">
        <f>COUNTIF(INDEX('LINE PLAN'!$B$36:$GS$61,0,ROW()-3),CD$3)</f>
        <v>0</v>
      </c>
      <c r="CE127" s="2">
        <f>COUNTIF(INDEX('LINE PLAN'!$B$36:$GS$61,0,ROW()-3),CE$3)</f>
        <v>0</v>
      </c>
      <c r="CF127" s="2">
        <f>COUNTIF(INDEX('LINE PLAN'!$B$36:$GS$61,0,ROW()-3),CF$3)</f>
        <v>0</v>
      </c>
      <c r="CG127" s="2">
        <f>COUNTIF(INDEX('LINE PLAN'!$B$36:$GS$61,0,ROW()-3),CG$3)</f>
        <v>0</v>
      </c>
      <c r="CH127" s="2">
        <f>COUNTIF(INDEX('LINE PLAN'!$B$36:$GS$61,0,ROW()-3),CH$3)</f>
        <v>0</v>
      </c>
      <c r="CI127" s="2">
        <f>COUNTIF(INDEX('LINE PLAN'!$B$36:$GS$61,0,ROW()-3),CI$3)</f>
        <v>0</v>
      </c>
      <c r="CJ127" s="2">
        <f>COUNTIF(INDEX('LINE PLAN'!$B$36:$GS$61,0,ROW()-3),CJ$3)</f>
        <v>0</v>
      </c>
      <c r="CK127" s="2">
        <f>COUNTIF(INDEX('LINE PLAN'!$B$36:$GS$61,0,ROW()-3),CK$3)</f>
        <v>0</v>
      </c>
      <c r="CL127" s="2">
        <f>COUNTIF(INDEX('LINE PLAN'!$B$36:$GS$61,0,ROW()-3),CL$3)</f>
        <v>0</v>
      </c>
      <c r="CM127" s="2">
        <f>COUNTIF(INDEX('LINE PLAN'!$B$36:$GS$61,0,ROW()-3),CM$3)</f>
        <v>0</v>
      </c>
      <c r="CN127" s="2">
        <f>COUNTIF(INDEX('LINE PLAN'!$B$36:$GS$61,0,ROW()-3),CN$3)</f>
        <v>0</v>
      </c>
      <c r="CO127" s="2">
        <f>COUNTIF(INDEX('LINE PLAN'!$B$36:$GS$61,0,ROW()-3),CO$3)</f>
        <v>0</v>
      </c>
      <c r="CP127" s="2">
        <f>COUNTIF(INDEX('LINE PLAN'!$B$36:$GS$61,0,ROW()-3),CP$3)</f>
        <v>0</v>
      </c>
      <c r="CQ127" s="2">
        <f>COUNTIF(INDEX('LINE PLAN'!$B$36:$GS$61,0,ROW()-3),CQ$3)</f>
        <v>0</v>
      </c>
      <c r="CR127" s="2">
        <f>COUNTIF(INDEX('LINE PLAN'!$B$36:$GS$61,0,ROW()-3),CR$3)</f>
        <v>0</v>
      </c>
      <c r="CS127" s="2">
        <f>COUNTIF(INDEX('LINE PLAN'!$B$36:$GS$61,0,ROW()-3),CS$3)</f>
        <v>0</v>
      </c>
      <c r="CT127" s="2">
        <f>COUNTIF(INDEX('LINE PLAN'!$B$36:$GS$61,0,ROW()-3),CT$3)</f>
        <v>0</v>
      </c>
      <c r="CU127" s="2">
        <f>COUNTIF(INDEX('LINE PLAN'!$B$36:$GS$61,0,ROW()-3),CU$3)</f>
        <v>0</v>
      </c>
      <c r="CV127" s="2">
        <f>COUNTIF(INDEX('LINE PLAN'!$B$36:$GS$61,0,ROW()-3),CV$3)</f>
        <v>0</v>
      </c>
      <c r="CW127" s="2">
        <f>COUNTIF(INDEX('LINE PLAN'!$B$36:$GS$61,0,ROW()-3),CW$3)</f>
        <v>0</v>
      </c>
      <c r="CX127" s="2">
        <f>COUNTIF(INDEX('LINE PLAN'!$B$36:$GS$61,0,ROW()-3),CX$3)</f>
        <v>0</v>
      </c>
      <c r="CY127" s="2">
        <f>COUNTIF(INDEX('LINE PLAN'!$B$36:$GS$61,0,ROW()-3),CY$3)</f>
        <v>0</v>
      </c>
      <c r="CZ127" s="2">
        <f>COUNTIF(INDEX('LINE PLAN'!$B$36:$GS$61,0,ROW()-3),CZ$3)</f>
        <v>0</v>
      </c>
      <c r="DA127" s="2">
        <f>COUNTIF(INDEX('LINE PLAN'!$B$36:$GS$61,0,ROW()-3),DA$3)</f>
        <v>0</v>
      </c>
      <c r="DB127" s="2">
        <f>COUNTIF(INDEX('LINE PLAN'!$B$36:$GS$61,0,ROW()-3),DB$3)</f>
        <v>0</v>
      </c>
      <c r="DC127" s="2">
        <f>COUNTIF(INDEX('LINE PLAN'!$B$36:$GS$61,0,ROW()-3),DC$3)</f>
        <v>0</v>
      </c>
      <c r="DD127" s="2">
        <f>COUNTIF(INDEX('LINE PLAN'!$B$36:$GS$61,0,ROW()-3),DD$3)</f>
        <v>0</v>
      </c>
      <c r="DE127" s="2">
        <f>COUNTIF(INDEX('LINE PLAN'!$B$36:$GS$61,0,ROW()-3),DE$3)</f>
        <v>0</v>
      </c>
      <c r="DF127" s="2">
        <f>COUNTIF(INDEX('LINE PLAN'!$B$36:$GS$61,0,ROW()-3),DF$3)</f>
        <v>0</v>
      </c>
      <c r="DG127" s="2">
        <f>COUNTIF(INDEX('LINE PLAN'!$B$36:$GS$61,0,ROW()-3),DG$3)</f>
        <v>0</v>
      </c>
      <c r="DH127" s="2">
        <f>COUNTIF(INDEX('LINE PLAN'!$B$36:$GS$61,0,ROW()-3),DH$3)</f>
        <v>0</v>
      </c>
      <c r="DI127" s="2">
        <f>COUNTIF(INDEX('LINE PLAN'!$B$36:$GS$61,0,ROW()-3),DI$3)</f>
        <v>0</v>
      </c>
      <c r="DJ127" s="2">
        <f>COUNTIF(INDEX('LINE PLAN'!$B$36:$GS$61,0,ROW()-3),DJ$3)</f>
        <v>0</v>
      </c>
      <c r="DK127" s="2">
        <f>COUNTIF(INDEX('LINE PLAN'!$B$36:$GS$61,0,ROW()-3),DK$3)</f>
        <v>0</v>
      </c>
      <c r="DL127" s="2">
        <f>COUNTIF(INDEX('LINE PLAN'!$B$36:$GS$61,0,ROW()-3),DL$3)</f>
        <v>0</v>
      </c>
      <c r="DM127" s="2">
        <f>COUNTIF(INDEX('LINE PLAN'!$B$36:$GS$61,0,ROW()-3),DM$3)</f>
        <v>0</v>
      </c>
      <c r="DN127" s="2">
        <f>COUNTIF(INDEX('LINE PLAN'!$B$36:$GS$61,0,ROW()-3),DN$3)</f>
        <v>0</v>
      </c>
      <c r="DO127" s="2">
        <f>COUNTIF(INDEX('LINE PLAN'!$B$36:$GS$61,0,ROW()-3),DO$3)</f>
        <v>0</v>
      </c>
      <c r="DP127" s="2">
        <f>COUNTIF(INDEX('LINE PLAN'!$B$36:$GS$61,0,ROW()-3),DP$3)</f>
        <v>0</v>
      </c>
      <c r="DQ127" s="2">
        <f>COUNTIF(INDEX('LINE PLAN'!$B$36:$GS$61,0,ROW()-3),DQ$3)</f>
        <v>0</v>
      </c>
      <c r="DR127" s="2">
        <f>COUNTIF(INDEX('LINE PLAN'!$B$36:$GS$61,0,ROW()-3),DR$3)</f>
        <v>0</v>
      </c>
      <c r="DS127" s="2">
        <f>COUNTIF(INDEX('LINE PLAN'!$B$36:$GS$61,0,ROW()-3),DS$3)</f>
        <v>0</v>
      </c>
      <c r="DT127" s="2">
        <f>COUNTIF(INDEX('LINE PLAN'!$B$36:$GS$61,0,ROW()-3),DT$3)</f>
        <v>0</v>
      </c>
      <c r="DU127" s="2">
        <f>COUNTIF(INDEX('LINE PLAN'!$B$36:$GS$61,0,ROW()-3),DU$3)</f>
        <v>0</v>
      </c>
      <c r="DV127" s="2">
        <f>COUNTIF(INDEX('LINE PLAN'!$B$36:$GS$61,0,ROW()-3),DV$3)</f>
        <v>0</v>
      </c>
    </row>
    <row r="128" spans="1:126">
      <c r="A128" s="505" cm="1">
        <f t="array" ref="A128">INDEX('LINE PLAN'!$B$35:$GS$35,ROW()-3)</f>
        <v>0</v>
      </c>
      <c r="B128" s="2">
        <f>SUMPRODUCT($CA128:$DV128,INDEX('MC MAP'!$DA$5:$EV$30,1,0))</f>
        <v>0</v>
      </c>
      <c r="C128" s="2">
        <f>SUMPRODUCT($CA128:$DV128,INDEX('MC MAP'!$DA$5:$EV$30,2,0))</f>
        <v>0</v>
      </c>
      <c r="D128" s="2">
        <f>SUMPRODUCT($CA128:$DV128,INDEX('MC MAP'!$DA$5:$EV$30,3,0))</f>
        <v>0</v>
      </c>
      <c r="E128" s="2">
        <f>SUMPRODUCT($CA128:$DV128,INDEX('MC MAP'!$DA$5:$EV$30,4,0))</f>
        <v>0</v>
      </c>
      <c r="F128" s="2">
        <f>SUMPRODUCT($CA128:$DV128,INDEX('MC MAP'!$DA$5:$EV$30,5,0))</f>
        <v>0</v>
      </c>
      <c r="G128" s="2">
        <f>SUMPRODUCT($CA128:$DV128,INDEX('MC MAP'!$DA$5:$EV$30,6,0))</f>
        <v>0</v>
      </c>
      <c r="H128" s="2">
        <f>SUMPRODUCT($CA128:$DV128,INDEX('MC MAP'!$DA$5:$EV$30,7,0))</f>
        <v>0</v>
      </c>
      <c r="I128" s="2">
        <f>SUMPRODUCT($CA128:$DV128,INDEX('MC MAP'!$DA$5:$EV$30,8,0))</f>
        <v>0</v>
      </c>
      <c r="J128" s="2">
        <f>SUMPRODUCT($CA128:$DV128,INDEX('MC MAP'!$DA$5:$EV$30,9,0))</f>
        <v>0</v>
      </c>
      <c r="K128" s="2">
        <f>SUMPRODUCT($CA128:$DV128,INDEX('MC MAP'!$DA$5:$EV$30,10,0))</f>
        <v>0</v>
      </c>
      <c r="L128" s="2">
        <f>SUMPRODUCT($CA128:$DV128,INDEX('MC MAP'!$DA$5:$EV$30,11,0))</f>
        <v>0</v>
      </c>
      <c r="M128" s="2">
        <f>SUMPRODUCT($CA128:$DV128,INDEX('MC MAP'!$DA$5:$EV$30,12,0))</f>
        <v>0</v>
      </c>
      <c r="N128" s="2">
        <f>SUMPRODUCT($CA128:$DV128,INDEX('MC MAP'!$DA$5:$EV$30,13,0))</f>
        <v>0</v>
      </c>
      <c r="O128" s="2">
        <f>SUMPRODUCT($CA128:$DV128,INDEX('MC MAP'!$DA$5:$EV$30,14,0))</f>
        <v>0</v>
      </c>
      <c r="P128" s="2">
        <f>SUMPRODUCT($CA128:$DV128,INDEX('MC MAP'!$DA$5:$EV$30,15,0))</f>
        <v>0</v>
      </c>
      <c r="Q128" s="2">
        <f>SUMPRODUCT($CA128:$DV128,INDEX('MC MAP'!$DA$5:$EV$30,16,0))</f>
        <v>0</v>
      </c>
      <c r="R128" s="2">
        <f>SUMPRODUCT($CA128:$DV128,INDEX('MC MAP'!$DA$5:$EV$30,17,0))</f>
        <v>0</v>
      </c>
      <c r="S128" s="2">
        <f>SUMPRODUCT($CA128:$DV128,INDEX('MC MAP'!$DA$5:$EV$30,18,0))</f>
        <v>0</v>
      </c>
      <c r="T128" s="2">
        <f>SUMPRODUCT($CA128:$DV128,INDEX('MC MAP'!$DA$5:$EV$30,19,0))</f>
        <v>0</v>
      </c>
      <c r="U128" s="2">
        <f>SUMPRODUCT($CA128:$DV128,INDEX('MC MAP'!$DA$5:$EV$30,20,0))</f>
        <v>0</v>
      </c>
      <c r="V128" s="2">
        <f>SUMPRODUCT($CA128:$DV128,INDEX('MC MAP'!$DA$5:$EV$30,21,0))</f>
        <v>0</v>
      </c>
      <c r="W128" s="2">
        <f>SUMPRODUCT($CA128:$DV128,INDEX('MC MAP'!$DA$5:$EV$30,22,0))</f>
        <v>0</v>
      </c>
      <c r="X128" s="2">
        <f>SUMPRODUCT($CA128:$DV128,INDEX('MC MAP'!$DA$5:$EV$30,23,0))</f>
        <v>0</v>
      </c>
      <c r="Y128" s="2">
        <f>SUMPRODUCT($CA128:$DV128,INDEX('MC MAP'!$DA$5:$EV$30,24,0))</f>
        <v>0</v>
      </c>
      <c r="Z128" s="2">
        <f>SUMPRODUCT($CA128:$DV128,INDEX('MC MAP'!$DA$5:$EV$30,25,0))</f>
        <v>0</v>
      </c>
      <c r="AA128" s="2">
        <f>SUMPRODUCT($CA128:$DV128,INDEX('MC MAP'!$DA$5:$EV$30,26,0))</f>
        <v>0</v>
      </c>
      <c r="AB128" s="2">
        <f>SUM($B128:$AA128)</f>
        <v>0</v>
      </c>
      <c r="AC128" s="2">
        <f>SUM($CA128:$DV128)+$AW128</f>
        <v>0</v>
      </c>
      <c r="AW128" s="2">
        <f>IF($A128=0,0,COUNTIF(INDEX('LINE PLAN'!$B$36:$GS$61,0,ROW()-3),"THERMAL - NOT SPECIFIED"))</f>
        <v>0</v>
      </c>
      <c r="AX128" s="506" cm="1">
        <f t="array" ref="AX128">IF(OR($AB128=0,UPPER($BS128)&lt;&gt;"Y"),0,SUMPRODUCT(--($B128:$AA128&gt;$B$205:$AA$205)))</f>
        <v>0</v>
      </c>
      <c r="AY128" s="507">
        <f>$A128</f>
        <v>0</v>
      </c>
      <c r="AZ128" s="2">
        <f>$AB128</f>
        <v>0</v>
      </c>
      <c r="BA128" s="2">
        <f>'MC MASTER'!$C$29</f>
        <v>920</v>
      </c>
      <c r="BQ128" s="509">
        <f>$A128</f>
        <v>0</v>
      </c>
      <c r="BR128" s="15" t="str">
        <f>TEXT($A128,"ddd")</f>
        <v>Sat</v>
      </c>
      <c r="BS128" s="547" t="str">
        <f>IF($A128=0,"",IF(WEEKDAY($A128,2)=7,"N","Y"))</f>
        <v/>
      </c>
      <c r="BT128" s="15">
        <f>IF(UPPER($BS128)="Y",$AB128,0)</f>
        <v>0</v>
      </c>
      <c r="CA128" s="2">
        <f>COUNTIF(INDEX('LINE PLAN'!$B$36:$GS$61,0,ROW()-3),CA$3)</f>
        <v>0</v>
      </c>
      <c r="CB128" s="2">
        <f>COUNTIF(INDEX('LINE PLAN'!$B$36:$GS$61,0,ROW()-3),CB$3)</f>
        <v>0</v>
      </c>
      <c r="CC128" s="2">
        <f>COUNTIF(INDEX('LINE PLAN'!$B$36:$GS$61,0,ROW()-3),CC$3)</f>
        <v>0</v>
      </c>
      <c r="CD128" s="2">
        <f>COUNTIF(INDEX('LINE PLAN'!$B$36:$GS$61,0,ROW()-3),CD$3)</f>
        <v>0</v>
      </c>
      <c r="CE128" s="2">
        <f>COUNTIF(INDEX('LINE PLAN'!$B$36:$GS$61,0,ROW()-3),CE$3)</f>
        <v>0</v>
      </c>
      <c r="CF128" s="2">
        <f>COUNTIF(INDEX('LINE PLAN'!$B$36:$GS$61,0,ROW()-3),CF$3)</f>
        <v>0</v>
      </c>
      <c r="CG128" s="2">
        <f>COUNTIF(INDEX('LINE PLAN'!$B$36:$GS$61,0,ROW()-3),CG$3)</f>
        <v>0</v>
      </c>
      <c r="CH128" s="2">
        <f>COUNTIF(INDEX('LINE PLAN'!$B$36:$GS$61,0,ROW()-3),CH$3)</f>
        <v>0</v>
      </c>
      <c r="CI128" s="2">
        <f>COUNTIF(INDEX('LINE PLAN'!$B$36:$GS$61,0,ROW()-3),CI$3)</f>
        <v>0</v>
      </c>
      <c r="CJ128" s="2">
        <f>COUNTIF(INDEX('LINE PLAN'!$B$36:$GS$61,0,ROW()-3),CJ$3)</f>
        <v>0</v>
      </c>
      <c r="CK128" s="2">
        <f>COUNTIF(INDEX('LINE PLAN'!$B$36:$GS$61,0,ROW()-3),CK$3)</f>
        <v>0</v>
      </c>
      <c r="CL128" s="2">
        <f>COUNTIF(INDEX('LINE PLAN'!$B$36:$GS$61,0,ROW()-3),CL$3)</f>
        <v>0</v>
      </c>
      <c r="CM128" s="2">
        <f>COUNTIF(INDEX('LINE PLAN'!$B$36:$GS$61,0,ROW()-3),CM$3)</f>
        <v>0</v>
      </c>
      <c r="CN128" s="2">
        <f>COUNTIF(INDEX('LINE PLAN'!$B$36:$GS$61,0,ROW()-3),CN$3)</f>
        <v>0</v>
      </c>
      <c r="CO128" s="2">
        <f>COUNTIF(INDEX('LINE PLAN'!$B$36:$GS$61,0,ROW()-3),CO$3)</f>
        <v>0</v>
      </c>
      <c r="CP128" s="2">
        <f>COUNTIF(INDEX('LINE PLAN'!$B$36:$GS$61,0,ROW()-3),CP$3)</f>
        <v>0</v>
      </c>
      <c r="CQ128" s="2">
        <f>COUNTIF(INDEX('LINE PLAN'!$B$36:$GS$61,0,ROW()-3),CQ$3)</f>
        <v>0</v>
      </c>
      <c r="CR128" s="2">
        <f>COUNTIF(INDEX('LINE PLAN'!$B$36:$GS$61,0,ROW()-3),CR$3)</f>
        <v>0</v>
      </c>
      <c r="CS128" s="2">
        <f>COUNTIF(INDEX('LINE PLAN'!$B$36:$GS$61,0,ROW()-3),CS$3)</f>
        <v>0</v>
      </c>
      <c r="CT128" s="2">
        <f>COUNTIF(INDEX('LINE PLAN'!$B$36:$GS$61,0,ROW()-3),CT$3)</f>
        <v>0</v>
      </c>
      <c r="CU128" s="2">
        <f>COUNTIF(INDEX('LINE PLAN'!$B$36:$GS$61,0,ROW()-3),CU$3)</f>
        <v>0</v>
      </c>
      <c r="CV128" s="2">
        <f>COUNTIF(INDEX('LINE PLAN'!$B$36:$GS$61,0,ROW()-3),CV$3)</f>
        <v>0</v>
      </c>
      <c r="CW128" s="2">
        <f>COUNTIF(INDEX('LINE PLAN'!$B$36:$GS$61,0,ROW()-3),CW$3)</f>
        <v>0</v>
      </c>
      <c r="CX128" s="2">
        <f>COUNTIF(INDEX('LINE PLAN'!$B$36:$GS$61,0,ROW()-3),CX$3)</f>
        <v>0</v>
      </c>
      <c r="CY128" s="2">
        <f>COUNTIF(INDEX('LINE PLAN'!$B$36:$GS$61,0,ROW()-3),CY$3)</f>
        <v>0</v>
      </c>
      <c r="CZ128" s="2">
        <f>COUNTIF(INDEX('LINE PLAN'!$B$36:$GS$61,0,ROW()-3),CZ$3)</f>
        <v>0</v>
      </c>
      <c r="DA128" s="2">
        <f>COUNTIF(INDEX('LINE PLAN'!$B$36:$GS$61,0,ROW()-3),DA$3)</f>
        <v>0</v>
      </c>
      <c r="DB128" s="2">
        <f>COUNTIF(INDEX('LINE PLAN'!$B$36:$GS$61,0,ROW()-3),DB$3)</f>
        <v>0</v>
      </c>
      <c r="DC128" s="2">
        <f>COUNTIF(INDEX('LINE PLAN'!$B$36:$GS$61,0,ROW()-3),DC$3)</f>
        <v>0</v>
      </c>
      <c r="DD128" s="2">
        <f>COUNTIF(INDEX('LINE PLAN'!$B$36:$GS$61,0,ROW()-3),DD$3)</f>
        <v>0</v>
      </c>
      <c r="DE128" s="2">
        <f>COUNTIF(INDEX('LINE PLAN'!$B$36:$GS$61,0,ROW()-3),DE$3)</f>
        <v>0</v>
      </c>
      <c r="DF128" s="2">
        <f>COUNTIF(INDEX('LINE PLAN'!$B$36:$GS$61,0,ROW()-3),DF$3)</f>
        <v>0</v>
      </c>
      <c r="DG128" s="2">
        <f>COUNTIF(INDEX('LINE PLAN'!$B$36:$GS$61,0,ROW()-3),DG$3)</f>
        <v>0</v>
      </c>
      <c r="DH128" s="2">
        <f>COUNTIF(INDEX('LINE PLAN'!$B$36:$GS$61,0,ROW()-3),DH$3)</f>
        <v>0</v>
      </c>
      <c r="DI128" s="2">
        <f>COUNTIF(INDEX('LINE PLAN'!$B$36:$GS$61,0,ROW()-3),DI$3)</f>
        <v>0</v>
      </c>
      <c r="DJ128" s="2">
        <f>COUNTIF(INDEX('LINE PLAN'!$B$36:$GS$61,0,ROW()-3),DJ$3)</f>
        <v>0</v>
      </c>
      <c r="DK128" s="2">
        <f>COUNTIF(INDEX('LINE PLAN'!$B$36:$GS$61,0,ROW()-3),DK$3)</f>
        <v>0</v>
      </c>
      <c r="DL128" s="2">
        <f>COUNTIF(INDEX('LINE PLAN'!$B$36:$GS$61,0,ROW()-3),DL$3)</f>
        <v>0</v>
      </c>
      <c r="DM128" s="2">
        <f>COUNTIF(INDEX('LINE PLAN'!$B$36:$GS$61,0,ROW()-3),DM$3)</f>
        <v>0</v>
      </c>
      <c r="DN128" s="2">
        <f>COUNTIF(INDEX('LINE PLAN'!$B$36:$GS$61,0,ROW()-3),DN$3)</f>
        <v>0</v>
      </c>
      <c r="DO128" s="2">
        <f>COUNTIF(INDEX('LINE PLAN'!$B$36:$GS$61,0,ROW()-3),DO$3)</f>
        <v>0</v>
      </c>
      <c r="DP128" s="2">
        <f>COUNTIF(INDEX('LINE PLAN'!$B$36:$GS$61,0,ROW()-3),DP$3)</f>
        <v>0</v>
      </c>
      <c r="DQ128" s="2">
        <f>COUNTIF(INDEX('LINE PLAN'!$B$36:$GS$61,0,ROW()-3),DQ$3)</f>
        <v>0</v>
      </c>
      <c r="DR128" s="2">
        <f>COUNTIF(INDEX('LINE PLAN'!$B$36:$GS$61,0,ROW()-3),DR$3)</f>
        <v>0</v>
      </c>
      <c r="DS128" s="2">
        <f>COUNTIF(INDEX('LINE PLAN'!$B$36:$GS$61,0,ROW()-3),DS$3)</f>
        <v>0</v>
      </c>
      <c r="DT128" s="2">
        <f>COUNTIF(INDEX('LINE PLAN'!$B$36:$GS$61,0,ROW()-3),DT$3)</f>
        <v>0</v>
      </c>
      <c r="DU128" s="2">
        <f>COUNTIF(INDEX('LINE PLAN'!$B$36:$GS$61,0,ROW()-3),DU$3)</f>
        <v>0</v>
      </c>
      <c r="DV128" s="2">
        <f>COUNTIF(INDEX('LINE PLAN'!$B$36:$GS$61,0,ROW()-3),DV$3)</f>
        <v>0</v>
      </c>
    </row>
    <row r="129" spans="1:126">
      <c r="A129" s="505" cm="1">
        <f t="array" ref="A129">INDEX('LINE PLAN'!$B$35:$GS$35,ROW()-3)</f>
        <v>0</v>
      </c>
      <c r="B129" s="2">
        <f>SUMPRODUCT($CA129:$DV129,INDEX('MC MAP'!$DA$5:$EV$30,1,0))</f>
        <v>0</v>
      </c>
      <c r="C129" s="2">
        <f>SUMPRODUCT($CA129:$DV129,INDEX('MC MAP'!$DA$5:$EV$30,2,0))</f>
        <v>0</v>
      </c>
      <c r="D129" s="2">
        <f>SUMPRODUCT($CA129:$DV129,INDEX('MC MAP'!$DA$5:$EV$30,3,0))</f>
        <v>0</v>
      </c>
      <c r="E129" s="2">
        <f>SUMPRODUCT($CA129:$DV129,INDEX('MC MAP'!$DA$5:$EV$30,4,0))</f>
        <v>0</v>
      </c>
      <c r="F129" s="2">
        <f>SUMPRODUCT($CA129:$DV129,INDEX('MC MAP'!$DA$5:$EV$30,5,0))</f>
        <v>0</v>
      </c>
      <c r="G129" s="2">
        <f>SUMPRODUCT($CA129:$DV129,INDEX('MC MAP'!$DA$5:$EV$30,6,0))</f>
        <v>0</v>
      </c>
      <c r="H129" s="2">
        <f>SUMPRODUCT($CA129:$DV129,INDEX('MC MAP'!$DA$5:$EV$30,7,0))</f>
        <v>0</v>
      </c>
      <c r="I129" s="2">
        <f>SUMPRODUCT($CA129:$DV129,INDEX('MC MAP'!$DA$5:$EV$30,8,0))</f>
        <v>0</v>
      </c>
      <c r="J129" s="2">
        <f>SUMPRODUCT($CA129:$DV129,INDEX('MC MAP'!$DA$5:$EV$30,9,0))</f>
        <v>0</v>
      </c>
      <c r="K129" s="2">
        <f>SUMPRODUCT($CA129:$DV129,INDEX('MC MAP'!$DA$5:$EV$30,10,0))</f>
        <v>0</v>
      </c>
      <c r="L129" s="2">
        <f>SUMPRODUCT($CA129:$DV129,INDEX('MC MAP'!$DA$5:$EV$30,11,0))</f>
        <v>0</v>
      </c>
      <c r="M129" s="2">
        <f>SUMPRODUCT($CA129:$DV129,INDEX('MC MAP'!$DA$5:$EV$30,12,0))</f>
        <v>0</v>
      </c>
      <c r="N129" s="2">
        <f>SUMPRODUCT($CA129:$DV129,INDEX('MC MAP'!$DA$5:$EV$30,13,0))</f>
        <v>0</v>
      </c>
      <c r="O129" s="2">
        <f>SUMPRODUCT($CA129:$DV129,INDEX('MC MAP'!$DA$5:$EV$30,14,0))</f>
        <v>0</v>
      </c>
      <c r="P129" s="2">
        <f>SUMPRODUCT($CA129:$DV129,INDEX('MC MAP'!$DA$5:$EV$30,15,0))</f>
        <v>0</v>
      </c>
      <c r="Q129" s="2">
        <f>SUMPRODUCT($CA129:$DV129,INDEX('MC MAP'!$DA$5:$EV$30,16,0))</f>
        <v>0</v>
      </c>
      <c r="R129" s="2">
        <f>SUMPRODUCT($CA129:$DV129,INDEX('MC MAP'!$DA$5:$EV$30,17,0))</f>
        <v>0</v>
      </c>
      <c r="S129" s="2">
        <f>SUMPRODUCT($CA129:$DV129,INDEX('MC MAP'!$DA$5:$EV$30,18,0))</f>
        <v>0</v>
      </c>
      <c r="T129" s="2">
        <f>SUMPRODUCT($CA129:$DV129,INDEX('MC MAP'!$DA$5:$EV$30,19,0))</f>
        <v>0</v>
      </c>
      <c r="U129" s="2">
        <f>SUMPRODUCT($CA129:$DV129,INDEX('MC MAP'!$DA$5:$EV$30,20,0))</f>
        <v>0</v>
      </c>
      <c r="V129" s="2">
        <f>SUMPRODUCT($CA129:$DV129,INDEX('MC MAP'!$DA$5:$EV$30,21,0))</f>
        <v>0</v>
      </c>
      <c r="W129" s="2">
        <f>SUMPRODUCT($CA129:$DV129,INDEX('MC MAP'!$DA$5:$EV$30,22,0))</f>
        <v>0</v>
      </c>
      <c r="X129" s="2">
        <f>SUMPRODUCT($CA129:$DV129,INDEX('MC MAP'!$DA$5:$EV$30,23,0))</f>
        <v>0</v>
      </c>
      <c r="Y129" s="2">
        <f>SUMPRODUCT($CA129:$DV129,INDEX('MC MAP'!$DA$5:$EV$30,24,0))</f>
        <v>0</v>
      </c>
      <c r="Z129" s="2">
        <f>SUMPRODUCT($CA129:$DV129,INDEX('MC MAP'!$DA$5:$EV$30,25,0))</f>
        <v>0</v>
      </c>
      <c r="AA129" s="2">
        <f>SUMPRODUCT($CA129:$DV129,INDEX('MC MAP'!$DA$5:$EV$30,26,0))</f>
        <v>0</v>
      </c>
      <c r="AB129" s="2">
        <f>SUM($B129:$AA129)</f>
        <v>0</v>
      </c>
      <c r="AC129" s="2">
        <f>SUM($CA129:$DV129)+$AW129</f>
        <v>0</v>
      </c>
      <c r="AW129" s="2">
        <f>IF($A129=0,0,COUNTIF(INDEX('LINE PLAN'!$B$36:$GS$61,0,ROW()-3),"THERMAL - NOT SPECIFIED"))</f>
        <v>0</v>
      </c>
      <c r="AX129" s="506" cm="1">
        <f t="array" ref="AX129">IF(OR($AB129=0,UPPER($BS129)&lt;&gt;"Y"),0,SUMPRODUCT(--($B129:$AA129&gt;$B$205:$AA$205)))</f>
        <v>0</v>
      </c>
      <c r="AY129" s="507">
        <f>$A129</f>
        <v>0</v>
      </c>
      <c r="AZ129" s="2">
        <f>$AB129</f>
        <v>0</v>
      </c>
      <c r="BA129" s="2">
        <f>'MC MASTER'!$C$29</f>
        <v>920</v>
      </c>
      <c r="BQ129" s="509">
        <f>$A129</f>
        <v>0</v>
      </c>
      <c r="BR129" s="15" t="str">
        <f>TEXT($A129,"ddd")</f>
        <v>Sat</v>
      </c>
      <c r="BS129" s="547" t="str">
        <f>IF($A129=0,"",IF(WEEKDAY($A129,2)=7,"N","Y"))</f>
        <v/>
      </c>
      <c r="BT129" s="15">
        <f>IF(UPPER($BS129)="Y",$AB129,0)</f>
        <v>0</v>
      </c>
      <c r="CA129" s="2">
        <f>COUNTIF(INDEX('LINE PLAN'!$B$36:$GS$61,0,ROW()-3),CA$3)</f>
        <v>0</v>
      </c>
      <c r="CB129" s="2">
        <f>COUNTIF(INDEX('LINE PLAN'!$B$36:$GS$61,0,ROW()-3),CB$3)</f>
        <v>0</v>
      </c>
      <c r="CC129" s="2">
        <f>COUNTIF(INDEX('LINE PLAN'!$B$36:$GS$61,0,ROW()-3),CC$3)</f>
        <v>0</v>
      </c>
      <c r="CD129" s="2">
        <f>COUNTIF(INDEX('LINE PLAN'!$B$36:$GS$61,0,ROW()-3),CD$3)</f>
        <v>0</v>
      </c>
      <c r="CE129" s="2">
        <f>COUNTIF(INDEX('LINE PLAN'!$B$36:$GS$61,0,ROW()-3),CE$3)</f>
        <v>0</v>
      </c>
      <c r="CF129" s="2">
        <f>COUNTIF(INDEX('LINE PLAN'!$B$36:$GS$61,0,ROW()-3),CF$3)</f>
        <v>0</v>
      </c>
      <c r="CG129" s="2">
        <f>COUNTIF(INDEX('LINE PLAN'!$B$36:$GS$61,0,ROW()-3),CG$3)</f>
        <v>0</v>
      </c>
      <c r="CH129" s="2">
        <f>COUNTIF(INDEX('LINE PLAN'!$B$36:$GS$61,0,ROW()-3),CH$3)</f>
        <v>0</v>
      </c>
      <c r="CI129" s="2">
        <f>COUNTIF(INDEX('LINE PLAN'!$B$36:$GS$61,0,ROW()-3),CI$3)</f>
        <v>0</v>
      </c>
      <c r="CJ129" s="2">
        <f>COUNTIF(INDEX('LINE PLAN'!$B$36:$GS$61,0,ROW()-3),CJ$3)</f>
        <v>0</v>
      </c>
      <c r="CK129" s="2">
        <f>COUNTIF(INDEX('LINE PLAN'!$B$36:$GS$61,0,ROW()-3),CK$3)</f>
        <v>0</v>
      </c>
      <c r="CL129" s="2">
        <f>COUNTIF(INDEX('LINE PLAN'!$B$36:$GS$61,0,ROW()-3),CL$3)</f>
        <v>0</v>
      </c>
      <c r="CM129" s="2">
        <f>COUNTIF(INDEX('LINE PLAN'!$B$36:$GS$61,0,ROW()-3),CM$3)</f>
        <v>0</v>
      </c>
      <c r="CN129" s="2">
        <f>COUNTIF(INDEX('LINE PLAN'!$B$36:$GS$61,0,ROW()-3),CN$3)</f>
        <v>0</v>
      </c>
      <c r="CO129" s="2">
        <f>COUNTIF(INDEX('LINE PLAN'!$B$36:$GS$61,0,ROW()-3),CO$3)</f>
        <v>0</v>
      </c>
      <c r="CP129" s="2">
        <f>COUNTIF(INDEX('LINE PLAN'!$B$36:$GS$61,0,ROW()-3),CP$3)</f>
        <v>0</v>
      </c>
      <c r="CQ129" s="2">
        <f>COUNTIF(INDEX('LINE PLAN'!$B$36:$GS$61,0,ROW()-3),CQ$3)</f>
        <v>0</v>
      </c>
      <c r="CR129" s="2">
        <f>COUNTIF(INDEX('LINE PLAN'!$B$36:$GS$61,0,ROW()-3),CR$3)</f>
        <v>0</v>
      </c>
      <c r="CS129" s="2">
        <f>COUNTIF(INDEX('LINE PLAN'!$B$36:$GS$61,0,ROW()-3),CS$3)</f>
        <v>0</v>
      </c>
      <c r="CT129" s="2">
        <f>COUNTIF(INDEX('LINE PLAN'!$B$36:$GS$61,0,ROW()-3),CT$3)</f>
        <v>0</v>
      </c>
      <c r="CU129" s="2">
        <f>COUNTIF(INDEX('LINE PLAN'!$B$36:$GS$61,0,ROW()-3),CU$3)</f>
        <v>0</v>
      </c>
      <c r="CV129" s="2">
        <f>COUNTIF(INDEX('LINE PLAN'!$B$36:$GS$61,0,ROW()-3),CV$3)</f>
        <v>0</v>
      </c>
      <c r="CW129" s="2">
        <f>COUNTIF(INDEX('LINE PLAN'!$B$36:$GS$61,0,ROW()-3),CW$3)</f>
        <v>0</v>
      </c>
      <c r="CX129" s="2">
        <f>COUNTIF(INDEX('LINE PLAN'!$B$36:$GS$61,0,ROW()-3),CX$3)</f>
        <v>0</v>
      </c>
      <c r="CY129" s="2">
        <f>COUNTIF(INDEX('LINE PLAN'!$B$36:$GS$61,0,ROW()-3),CY$3)</f>
        <v>0</v>
      </c>
      <c r="CZ129" s="2">
        <f>COUNTIF(INDEX('LINE PLAN'!$B$36:$GS$61,0,ROW()-3),CZ$3)</f>
        <v>0</v>
      </c>
      <c r="DA129" s="2">
        <f>COUNTIF(INDEX('LINE PLAN'!$B$36:$GS$61,0,ROW()-3),DA$3)</f>
        <v>0</v>
      </c>
      <c r="DB129" s="2">
        <f>COUNTIF(INDEX('LINE PLAN'!$B$36:$GS$61,0,ROW()-3),DB$3)</f>
        <v>0</v>
      </c>
      <c r="DC129" s="2">
        <f>COUNTIF(INDEX('LINE PLAN'!$B$36:$GS$61,0,ROW()-3),DC$3)</f>
        <v>0</v>
      </c>
      <c r="DD129" s="2">
        <f>COUNTIF(INDEX('LINE PLAN'!$B$36:$GS$61,0,ROW()-3),DD$3)</f>
        <v>0</v>
      </c>
      <c r="DE129" s="2">
        <f>COUNTIF(INDEX('LINE PLAN'!$B$36:$GS$61,0,ROW()-3),DE$3)</f>
        <v>0</v>
      </c>
      <c r="DF129" s="2">
        <f>COUNTIF(INDEX('LINE PLAN'!$B$36:$GS$61,0,ROW()-3),DF$3)</f>
        <v>0</v>
      </c>
      <c r="DG129" s="2">
        <f>COUNTIF(INDEX('LINE PLAN'!$B$36:$GS$61,0,ROW()-3),DG$3)</f>
        <v>0</v>
      </c>
      <c r="DH129" s="2">
        <f>COUNTIF(INDEX('LINE PLAN'!$B$36:$GS$61,0,ROW()-3),DH$3)</f>
        <v>0</v>
      </c>
      <c r="DI129" s="2">
        <f>COUNTIF(INDEX('LINE PLAN'!$B$36:$GS$61,0,ROW()-3),DI$3)</f>
        <v>0</v>
      </c>
      <c r="DJ129" s="2">
        <f>COUNTIF(INDEX('LINE PLAN'!$B$36:$GS$61,0,ROW()-3),DJ$3)</f>
        <v>0</v>
      </c>
      <c r="DK129" s="2">
        <f>COUNTIF(INDEX('LINE PLAN'!$B$36:$GS$61,0,ROW()-3),DK$3)</f>
        <v>0</v>
      </c>
      <c r="DL129" s="2">
        <f>COUNTIF(INDEX('LINE PLAN'!$B$36:$GS$61,0,ROW()-3),DL$3)</f>
        <v>0</v>
      </c>
      <c r="DM129" s="2">
        <f>COUNTIF(INDEX('LINE PLAN'!$B$36:$GS$61,0,ROW()-3),DM$3)</f>
        <v>0</v>
      </c>
      <c r="DN129" s="2">
        <f>COUNTIF(INDEX('LINE PLAN'!$B$36:$GS$61,0,ROW()-3),DN$3)</f>
        <v>0</v>
      </c>
      <c r="DO129" s="2">
        <f>COUNTIF(INDEX('LINE PLAN'!$B$36:$GS$61,0,ROW()-3),DO$3)</f>
        <v>0</v>
      </c>
      <c r="DP129" s="2">
        <f>COUNTIF(INDEX('LINE PLAN'!$B$36:$GS$61,0,ROW()-3),DP$3)</f>
        <v>0</v>
      </c>
      <c r="DQ129" s="2">
        <f>COUNTIF(INDEX('LINE PLAN'!$B$36:$GS$61,0,ROW()-3),DQ$3)</f>
        <v>0</v>
      </c>
      <c r="DR129" s="2">
        <f>COUNTIF(INDEX('LINE PLAN'!$B$36:$GS$61,0,ROW()-3),DR$3)</f>
        <v>0</v>
      </c>
      <c r="DS129" s="2">
        <f>COUNTIF(INDEX('LINE PLAN'!$B$36:$GS$61,0,ROW()-3),DS$3)</f>
        <v>0</v>
      </c>
      <c r="DT129" s="2">
        <f>COUNTIF(INDEX('LINE PLAN'!$B$36:$GS$61,0,ROW()-3),DT$3)</f>
        <v>0</v>
      </c>
      <c r="DU129" s="2">
        <f>COUNTIF(INDEX('LINE PLAN'!$B$36:$GS$61,0,ROW()-3),DU$3)</f>
        <v>0</v>
      </c>
      <c r="DV129" s="2">
        <f>COUNTIF(INDEX('LINE PLAN'!$B$36:$GS$61,0,ROW()-3),DV$3)</f>
        <v>0</v>
      </c>
    </row>
    <row r="130" spans="1:126">
      <c r="A130" s="505" cm="1">
        <f t="array" ref="A130">INDEX('LINE PLAN'!$B$35:$GS$35,ROW()-3)</f>
        <v>0</v>
      </c>
      <c r="B130" s="2">
        <f>SUMPRODUCT($CA130:$DV130,INDEX('MC MAP'!$DA$5:$EV$30,1,0))</f>
        <v>0</v>
      </c>
      <c r="C130" s="2">
        <f>SUMPRODUCT($CA130:$DV130,INDEX('MC MAP'!$DA$5:$EV$30,2,0))</f>
        <v>0</v>
      </c>
      <c r="D130" s="2">
        <f>SUMPRODUCT($CA130:$DV130,INDEX('MC MAP'!$DA$5:$EV$30,3,0))</f>
        <v>0</v>
      </c>
      <c r="E130" s="2">
        <f>SUMPRODUCT($CA130:$DV130,INDEX('MC MAP'!$DA$5:$EV$30,4,0))</f>
        <v>0</v>
      </c>
      <c r="F130" s="2">
        <f>SUMPRODUCT($CA130:$DV130,INDEX('MC MAP'!$DA$5:$EV$30,5,0))</f>
        <v>0</v>
      </c>
      <c r="G130" s="2">
        <f>SUMPRODUCT($CA130:$DV130,INDEX('MC MAP'!$DA$5:$EV$30,6,0))</f>
        <v>0</v>
      </c>
      <c r="H130" s="2">
        <f>SUMPRODUCT($CA130:$DV130,INDEX('MC MAP'!$DA$5:$EV$30,7,0))</f>
        <v>0</v>
      </c>
      <c r="I130" s="2">
        <f>SUMPRODUCT($CA130:$DV130,INDEX('MC MAP'!$DA$5:$EV$30,8,0))</f>
        <v>0</v>
      </c>
      <c r="J130" s="2">
        <f>SUMPRODUCT($CA130:$DV130,INDEX('MC MAP'!$DA$5:$EV$30,9,0))</f>
        <v>0</v>
      </c>
      <c r="K130" s="2">
        <f>SUMPRODUCT($CA130:$DV130,INDEX('MC MAP'!$DA$5:$EV$30,10,0))</f>
        <v>0</v>
      </c>
      <c r="L130" s="2">
        <f>SUMPRODUCT($CA130:$DV130,INDEX('MC MAP'!$DA$5:$EV$30,11,0))</f>
        <v>0</v>
      </c>
      <c r="M130" s="2">
        <f>SUMPRODUCT($CA130:$DV130,INDEX('MC MAP'!$DA$5:$EV$30,12,0))</f>
        <v>0</v>
      </c>
      <c r="N130" s="2">
        <f>SUMPRODUCT($CA130:$DV130,INDEX('MC MAP'!$DA$5:$EV$30,13,0))</f>
        <v>0</v>
      </c>
      <c r="O130" s="2">
        <f>SUMPRODUCT($CA130:$DV130,INDEX('MC MAP'!$DA$5:$EV$30,14,0))</f>
        <v>0</v>
      </c>
      <c r="P130" s="2">
        <f>SUMPRODUCT($CA130:$DV130,INDEX('MC MAP'!$DA$5:$EV$30,15,0))</f>
        <v>0</v>
      </c>
      <c r="Q130" s="2">
        <f>SUMPRODUCT($CA130:$DV130,INDEX('MC MAP'!$DA$5:$EV$30,16,0))</f>
        <v>0</v>
      </c>
      <c r="R130" s="2">
        <f>SUMPRODUCT($CA130:$DV130,INDEX('MC MAP'!$DA$5:$EV$30,17,0))</f>
        <v>0</v>
      </c>
      <c r="S130" s="2">
        <f>SUMPRODUCT($CA130:$DV130,INDEX('MC MAP'!$DA$5:$EV$30,18,0))</f>
        <v>0</v>
      </c>
      <c r="T130" s="2">
        <f>SUMPRODUCT($CA130:$DV130,INDEX('MC MAP'!$DA$5:$EV$30,19,0))</f>
        <v>0</v>
      </c>
      <c r="U130" s="2">
        <f>SUMPRODUCT($CA130:$DV130,INDEX('MC MAP'!$DA$5:$EV$30,20,0))</f>
        <v>0</v>
      </c>
      <c r="V130" s="2">
        <f>SUMPRODUCT($CA130:$DV130,INDEX('MC MAP'!$DA$5:$EV$30,21,0))</f>
        <v>0</v>
      </c>
      <c r="W130" s="2">
        <f>SUMPRODUCT($CA130:$DV130,INDEX('MC MAP'!$DA$5:$EV$30,22,0))</f>
        <v>0</v>
      </c>
      <c r="X130" s="2">
        <f>SUMPRODUCT($CA130:$DV130,INDEX('MC MAP'!$DA$5:$EV$30,23,0))</f>
        <v>0</v>
      </c>
      <c r="Y130" s="2">
        <f>SUMPRODUCT($CA130:$DV130,INDEX('MC MAP'!$DA$5:$EV$30,24,0))</f>
        <v>0</v>
      </c>
      <c r="Z130" s="2">
        <f>SUMPRODUCT($CA130:$DV130,INDEX('MC MAP'!$DA$5:$EV$30,25,0))</f>
        <v>0</v>
      </c>
      <c r="AA130" s="2">
        <f>SUMPRODUCT($CA130:$DV130,INDEX('MC MAP'!$DA$5:$EV$30,26,0))</f>
        <v>0</v>
      </c>
      <c r="AB130" s="2">
        <f>SUM($B130:$AA130)</f>
        <v>0</v>
      </c>
      <c r="AC130" s="2">
        <f>SUM($CA130:$DV130)+$AW130</f>
        <v>0</v>
      </c>
      <c r="AW130" s="2">
        <f>IF($A130=0,0,COUNTIF(INDEX('LINE PLAN'!$B$36:$GS$61,0,ROW()-3),"THERMAL - NOT SPECIFIED"))</f>
        <v>0</v>
      </c>
      <c r="AX130" s="506" cm="1">
        <f t="array" ref="AX130">IF(OR($AB130=0,UPPER($BS130)&lt;&gt;"Y"),0,SUMPRODUCT(--($B130:$AA130&gt;$B$205:$AA$205)))</f>
        <v>0</v>
      </c>
      <c r="AY130" s="507">
        <f>$A130</f>
        <v>0</v>
      </c>
      <c r="AZ130" s="2">
        <f>$AB130</f>
        <v>0</v>
      </c>
      <c r="BA130" s="2">
        <f>'MC MASTER'!$C$29</f>
        <v>920</v>
      </c>
      <c r="BQ130" s="509">
        <f>$A130</f>
        <v>0</v>
      </c>
      <c r="BR130" s="15" t="str">
        <f>TEXT($A130,"ddd")</f>
        <v>Sat</v>
      </c>
      <c r="BS130" s="547" t="str">
        <f>IF($A130=0,"",IF(WEEKDAY($A130,2)=7,"N","Y"))</f>
        <v/>
      </c>
      <c r="BT130" s="15">
        <f>IF(UPPER($BS130)="Y",$AB130,0)</f>
        <v>0</v>
      </c>
      <c r="CA130" s="2">
        <f>COUNTIF(INDEX('LINE PLAN'!$B$36:$GS$61,0,ROW()-3),CA$3)</f>
        <v>0</v>
      </c>
      <c r="CB130" s="2">
        <f>COUNTIF(INDEX('LINE PLAN'!$B$36:$GS$61,0,ROW()-3),CB$3)</f>
        <v>0</v>
      </c>
      <c r="CC130" s="2">
        <f>COUNTIF(INDEX('LINE PLAN'!$B$36:$GS$61,0,ROW()-3),CC$3)</f>
        <v>0</v>
      </c>
      <c r="CD130" s="2">
        <f>COUNTIF(INDEX('LINE PLAN'!$B$36:$GS$61,0,ROW()-3),CD$3)</f>
        <v>0</v>
      </c>
      <c r="CE130" s="2">
        <f>COUNTIF(INDEX('LINE PLAN'!$B$36:$GS$61,0,ROW()-3),CE$3)</f>
        <v>0</v>
      </c>
      <c r="CF130" s="2">
        <f>COUNTIF(INDEX('LINE PLAN'!$B$36:$GS$61,0,ROW()-3),CF$3)</f>
        <v>0</v>
      </c>
      <c r="CG130" s="2">
        <f>COUNTIF(INDEX('LINE PLAN'!$B$36:$GS$61,0,ROW()-3),CG$3)</f>
        <v>0</v>
      </c>
      <c r="CH130" s="2">
        <f>COUNTIF(INDEX('LINE PLAN'!$B$36:$GS$61,0,ROW()-3),CH$3)</f>
        <v>0</v>
      </c>
      <c r="CI130" s="2">
        <f>COUNTIF(INDEX('LINE PLAN'!$B$36:$GS$61,0,ROW()-3),CI$3)</f>
        <v>0</v>
      </c>
      <c r="CJ130" s="2">
        <f>COUNTIF(INDEX('LINE PLAN'!$B$36:$GS$61,0,ROW()-3),CJ$3)</f>
        <v>0</v>
      </c>
      <c r="CK130" s="2">
        <f>COUNTIF(INDEX('LINE PLAN'!$B$36:$GS$61,0,ROW()-3),CK$3)</f>
        <v>0</v>
      </c>
      <c r="CL130" s="2">
        <f>COUNTIF(INDEX('LINE PLAN'!$B$36:$GS$61,0,ROW()-3),CL$3)</f>
        <v>0</v>
      </c>
      <c r="CM130" s="2">
        <f>COUNTIF(INDEX('LINE PLAN'!$B$36:$GS$61,0,ROW()-3),CM$3)</f>
        <v>0</v>
      </c>
      <c r="CN130" s="2">
        <f>COUNTIF(INDEX('LINE PLAN'!$B$36:$GS$61,0,ROW()-3),CN$3)</f>
        <v>0</v>
      </c>
      <c r="CO130" s="2">
        <f>COUNTIF(INDEX('LINE PLAN'!$B$36:$GS$61,0,ROW()-3),CO$3)</f>
        <v>0</v>
      </c>
      <c r="CP130" s="2">
        <f>COUNTIF(INDEX('LINE PLAN'!$B$36:$GS$61,0,ROW()-3),CP$3)</f>
        <v>0</v>
      </c>
      <c r="CQ130" s="2">
        <f>COUNTIF(INDEX('LINE PLAN'!$B$36:$GS$61,0,ROW()-3),CQ$3)</f>
        <v>0</v>
      </c>
      <c r="CR130" s="2">
        <f>COUNTIF(INDEX('LINE PLAN'!$B$36:$GS$61,0,ROW()-3),CR$3)</f>
        <v>0</v>
      </c>
      <c r="CS130" s="2">
        <f>COUNTIF(INDEX('LINE PLAN'!$B$36:$GS$61,0,ROW()-3),CS$3)</f>
        <v>0</v>
      </c>
      <c r="CT130" s="2">
        <f>COUNTIF(INDEX('LINE PLAN'!$B$36:$GS$61,0,ROW()-3),CT$3)</f>
        <v>0</v>
      </c>
      <c r="CU130" s="2">
        <f>COUNTIF(INDEX('LINE PLAN'!$B$36:$GS$61,0,ROW()-3),CU$3)</f>
        <v>0</v>
      </c>
      <c r="CV130" s="2">
        <f>COUNTIF(INDEX('LINE PLAN'!$B$36:$GS$61,0,ROW()-3),CV$3)</f>
        <v>0</v>
      </c>
      <c r="CW130" s="2">
        <f>COUNTIF(INDEX('LINE PLAN'!$B$36:$GS$61,0,ROW()-3),CW$3)</f>
        <v>0</v>
      </c>
      <c r="CX130" s="2">
        <f>COUNTIF(INDEX('LINE PLAN'!$B$36:$GS$61,0,ROW()-3),CX$3)</f>
        <v>0</v>
      </c>
      <c r="CY130" s="2">
        <f>COUNTIF(INDEX('LINE PLAN'!$B$36:$GS$61,0,ROW()-3),CY$3)</f>
        <v>0</v>
      </c>
      <c r="CZ130" s="2">
        <f>COUNTIF(INDEX('LINE PLAN'!$B$36:$GS$61,0,ROW()-3),CZ$3)</f>
        <v>0</v>
      </c>
      <c r="DA130" s="2">
        <f>COUNTIF(INDEX('LINE PLAN'!$B$36:$GS$61,0,ROW()-3),DA$3)</f>
        <v>0</v>
      </c>
      <c r="DB130" s="2">
        <f>COUNTIF(INDEX('LINE PLAN'!$B$36:$GS$61,0,ROW()-3),DB$3)</f>
        <v>0</v>
      </c>
      <c r="DC130" s="2">
        <f>COUNTIF(INDEX('LINE PLAN'!$B$36:$GS$61,0,ROW()-3),DC$3)</f>
        <v>0</v>
      </c>
      <c r="DD130" s="2">
        <f>COUNTIF(INDEX('LINE PLAN'!$B$36:$GS$61,0,ROW()-3),DD$3)</f>
        <v>0</v>
      </c>
      <c r="DE130" s="2">
        <f>COUNTIF(INDEX('LINE PLAN'!$B$36:$GS$61,0,ROW()-3),DE$3)</f>
        <v>0</v>
      </c>
      <c r="DF130" s="2">
        <f>COUNTIF(INDEX('LINE PLAN'!$B$36:$GS$61,0,ROW()-3),DF$3)</f>
        <v>0</v>
      </c>
      <c r="DG130" s="2">
        <f>COUNTIF(INDEX('LINE PLAN'!$B$36:$GS$61,0,ROW()-3),DG$3)</f>
        <v>0</v>
      </c>
      <c r="DH130" s="2">
        <f>COUNTIF(INDEX('LINE PLAN'!$B$36:$GS$61,0,ROW()-3),DH$3)</f>
        <v>0</v>
      </c>
      <c r="DI130" s="2">
        <f>COUNTIF(INDEX('LINE PLAN'!$B$36:$GS$61,0,ROW()-3),DI$3)</f>
        <v>0</v>
      </c>
      <c r="DJ130" s="2">
        <f>COUNTIF(INDEX('LINE PLAN'!$B$36:$GS$61,0,ROW()-3),DJ$3)</f>
        <v>0</v>
      </c>
      <c r="DK130" s="2">
        <f>COUNTIF(INDEX('LINE PLAN'!$B$36:$GS$61,0,ROW()-3),DK$3)</f>
        <v>0</v>
      </c>
      <c r="DL130" s="2">
        <f>COUNTIF(INDEX('LINE PLAN'!$B$36:$GS$61,0,ROW()-3),DL$3)</f>
        <v>0</v>
      </c>
      <c r="DM130" s="2">
        <f>COUNTIF(INDEX('LINE PLAN'!$B$36:$GS$61,0,ROW()-3),DM$3)</f>
        <v>0</v>
      </c>
      <c r="DN130" s="2">
        <f>COUNTIF(INDEX('LINE PLAN'!$B$36:$GS$61,0,ROW()-3),DN$3)</f>
        <v>0</v>
      </c>
      <c r="DO130" s="2">
        <f>COUNTIF(INDEX('LINE PLAN'!$B$36:$GS$61,0,ROW()-3),DO$3)</f>
        <v>0</v>
      </c>
      <c r="DP130" s="2">
        <f>COUNTIF(INDEX('LINE PLAN'!$B$36:$GS$61,0,ROW()-3),DP$3)</f>
        <v>0</v>
      </c>
      <c r="DQ130" s="2">
        <f>COUNTIF(INDEX('LINE PLAN'!$B$36:$GS$61,0,ROW()-3),DQ$3)</f>
        <v>0</v>
      </c>
      <c r="DR130" s="2">
        <f>COUNTIF(INDEX('LINE PLAN'!$B$36:$GS$61,0,ROW()-3),DR$3)</f>
        <v>0</v>
      </c>
      <c r="DS130" s="2">
        <f>COUNTIF(INDEX('LINE PLAN'!$B$36:$GS$61,0,ROW()-3),DS$3)</f>
        <v>0</v>
      </c>
      <c r="DT130" s="2">
        <f>COUNTIF(INDEX('LINE PLAN'!$B$36:$GS$61,0,ROW()-3),DT$3)</f>
        <v>0</v>
      </c>
      <c r="DU130" s="2">
        <f>COUNTIF(INDEX('LINE PLAN'!$B$36:$GS$61,0,ROW()-3),DU$3)</f>
        <v>0</v>
      </c>
      <c r="DV130" s="2">
        <f>COUNTIF(INDEX('LINE PLAN'!$B$36:$GS$61,0,ROW()-3),DV$3)</f>
        <v>0</v>
      </c>
    </row>
    <row r="131" spans="1:126">
      <c r="A131" s="505" cm="1">
        <f t="array" ref="A131">INDEX('LINE PLAN'!$B$35:$GS$35,ROW()-3)</f>
        <v>0</v>
      </c>
      <c r="B131" s="2">
        <f>SUMPRODUCT($CA131:$DV131,INDEX('MC MAP'!$DA$5:$EV$30,1,0))</f>
        <v>0</v>
      </c>
      <c r="C131" s="2">
        <f>SUMPRODUCT($CA131:$DV131,INDEX('MC MAP'!$DA$5:$EV$30,2,0))</f>
        <v>0</v>
      </c>
      <c r="D131" s="2">
        <f>SUMPRODUCT($CA131:$DV131,INDEX('MC MAP'!$DA$5:$EV$30,3,0))</f>
        <v>0</v>
      </c>
      <c r="E131" s="2">
        <f>SUMPRODUCT($CA131:$DV131,INDEX('MC MAP'!$DA$5:$EV$30,4,0))</f>
        <v>0</v>
      </c>
      <c r="F131" s="2">
        <f>SUMPRODUCT($CA131:$DV131,INDEX('MC MAP'!$DA$5:$EV$30,5,0))</f>
        <v>0</v>
      </c>
      <c r="G131" s="2">
        <f>SUMPRODUCT($CA131:$DV131,INDEX('MC MAP'!$DA$5:$EV$30,6,0))</f>
        <v>0</v>
      </c>
      <c r="H131" s="2">
        <f>SUMPRODUCT($CA131:$DV131,INDEX('MC MAP'!$DA$5:$EV$30,7,0))</f>
        <v>0</v>
      </c>
      <c r="I131" s="2">
        <f>SUMPRODUCT($CA131:$DV131,INDEX('MC MAP'!$DA$5:$EV$30,8,0))</f>
        <v>0</v>
      </c>
      <c r="J131" s="2">
        <f>SUMPRODUCT($CA131:$DV131,INDEX('MC MAP'!$DA$5:$EV$30,9,0))</f>
        <v>0</v>
      </c>
      <c r="K131" s="2">
        <f>SUMPRODUCT($CA131:$DV131,INDEX('MC MAP'!$DA$5:$EV$30,10,0))</f>
        <v>0</v>
      </c>
      <c r="L131" s="2">
        <f>SUMPRODUCT($CA131:$DV131,INDEX('MC MAP'!$DA$5:$EV$30,11,0))</f>
        <v>0</v>
      </c>
      <c r="M131" s="2">
        <f>SUMPRODUCT($CA131:$DV131,INDEX('MC MAP'!$DA$5:$EV$30,12,0))</f>
        <v>0</v>
      </c>
      <c r="N131" s="2">
        <f>SUMPRODUCT($CA131:$DV131,INDEX('MC MAP'!$DA$5:$EV$30,13,0))</f>
        <v>0</v>
      </c>
      <c r="O131" s="2">
        <f>SUMPRODUCT($CA131:$DV131,INDEX('MC MAP'!$DA$5:$EV$30,14,0))</f>
        <v>0</v>
      </c>
      <c r="P131" s="2">
        <f>SUMPRODUCT($CA131:$DV131,INDEX('MC MAP'!$DA$5:$EV$30,15,0))</f>
        <v>0</v>
      </c>
      <c r="Q131" s="2">
        <f>SUMPRODUCT($CA131:$DV131,INDEX('MC MAP'!$DA$5:$EV$30,16,0))</f>
        <v>0</v>
      </c>
      <c r="R131" s="2">
        <f>SUMPRODUCT($CA131:$DV131,INDEX('MC MAP'!$DA$5:$EV$30,17,0))</f>
        <v>0</v>
      </c>
      <c r="S131" s="2">
        <f>SUMPRODUCT($CA131:$DV131,INDEX('MC MAP'!$DA$5:$EV$30,18,0))</f>
        <v>0</v>
      </c>
      <c r="T131" s="2">
        <f>SUMPRODUCT($CA131:$DV131,INDEX('MC MAP'!$DA$5:$EV$30,19,0))</f>
        <v>0</v>
      </c>
      <c r="U131" s="2">
        <f>SUMPRODUCT($CA131:$DV131,INDEX('MC MAP'!$DA$5:$EV$30,20,0))</f>
        <v>0</v>
      </c>
      <c r="V131" s="2">
        <f>SUMPRODUCT($CA131:$DV131,INDEX('MC MAP'!$DA$5:$EV$30,21,0))</f>
        <v>0</v>
      </c>
      <c r="W131" s="2">
        <f>SUMPRODUCT($CA131:$DV131,INDEX('MC MAP'!$DA$5:$EV$30,22,0))</f>
        <v>0</v>
      </c>
      <c r="X131" s="2">
        <f>SUMPRODUCT($CA131:$DV131,INDEX('MC MAP'!$DA$5:$EV$30,23,0))</f>
        <v>0</v>
      </c>
      <c r="Y131" s="2">
        <f>SUMPRODUCT($CA131:$DV131,INDEX('MC MAP'!$DA$5:$EV$30,24,0))</f>
        <v>0</v>
      </c>
      <c r="Z131" s="2">
        <f>SUMPRODUCT($CA131:$DV131,INDEX('MC MAP'!$DA$5:$EV$30,25,0))</f>
        <v>0</v>
      </c>
      <c r="AA131" s="2">
        <f>SUMPRODUCT($CA131:$DV131,INDEX('MC MAP'!$DA$5:$EV$30,26,0))</f>
        <v>0</v>
      </c>
      <c r="AB131" s="2">
        <f>SUM($B131:$AA131)</f>
        <v>0</v>
      </c>
      <c r="AC131" s="2">
        <f>SUM($CA131:$DV131)+$AW131</f>
        <v>0</v>
      </c>
      <c r="AW131" s="2">
        <f>IF($A131=0,0,COUNTIF(INDEX('LINE PLAN'!$B$36:$GS$61,0,ROW()-3),"THERMAL - NOT SPECIFIED"))</f>
        <v>0</v>
      </c>
      <c r="AX131" s="506" cm="1">
        <f t="array" ref="AX131">IF(OR($AB131=0,UPPER($BS131)&lt;&gt;"Y"),0,SUMPRODUCT(--($B131:$AA131&gt;$B$205:$AA$205)))</f>
        <v>0</v>
      </c>
      <c r="AY131" s="507">
        <f>$A131</f>
        <v>0</v>
      </c>
      <c r="AZ131" s="2">
        <f>$AB131</f>
        <v>0</v>
      </c>
      <c r="BA131" s="2">
        <f>'MC MASTER'!$C$29</f>
        <v>920</v>
      </c>
      <c r="BQ131" s="509">
        <f>$A131</f>
        <v>0</v>
      </c>
      <c r="BR131" s="15" t="str">
        <f>TEXT($A131,"ddd")</f>
        <v>Sat</v>
      </c>
      <c r="BS131" s="547" t="str">
        <f>IF($A131=0,"",IF(WEEKDAY($A131,2)=7,"N","Y"))</f>
        <v/>
      </c>
      <c r="BT131" s="15">
        <f>IF(UPPER($BS131)="Y",$AB131,0)</f>
        <v>0</v>
      </c>
      <c r="CA131" s="2">
        <f>COUNTIF(INDEX('LINE PLAN'!$B$36:$GS$61,0,ROW()-3),CA$3)</f>
        <v>0</v>
      </c>
      <c r="CB131" s="2">
        <f>COUNTIF(INDEX('LINE PLAN'!$B$36:$GS$61,0,ROW()-3),CB$3)</f>
        <v>0</v>
      </c>
      <c r="CC131" s="2">
        <f>COUNTIF(INDEX('LINE PLAN'!$B$36:$GS$61,0,ROW()-3),CC$3)</f>
        <v>0</v>
      </c>
      <c r="CD131" s="2">
        <f>COUNTIF(INDEX('LINE PLAN'!$B$36:$GS$61,0,ROW()-3),CD$3)</f>
        <v>0</v>
      </c>
      <c r="CE131" s="2">
        <f>COUNTIF(INDEX('LINE PLAN'!$B$36:$GS$61,0,ROW()-3),CE$3)</f>
        <v>0</v>
      </c>
      <c r="CF131" s="2">
        <f>COUNTIF(INDEX('LINE PLAN'!$B$36:$GS$61,0,ROW()-3),CF$3)</f>
        <v>0</v>
      </c>
      <c r="CG131" s="2">
        <f>COUNTIF(INDEX('LINE PLAN'!$B$36:$GS$61,0,ROW()-3),CG$3)</f>
        <v>0</v>
      </c>
      <c r="CH131" s="2">
        <f>COUNTIF(INDEX('LINE PLAN'!$B$36:$GS$61,0,ROW()-3),CH$3)</f>
        <v>0</v>
      </c>
      <c r="CI131" s="2">
        <f>COUNTIF(INDEX('LINE PLAN'!$B$36:$GS$61,0,ROW()-3),CI$3)</f>
        <v>0</v>
      </c>
      <c r="CJ131" s="2">
        <f>COUNTIF(INDEX('LINE PLAN'!$B$36:$GS$61,0,ROW()-3),CJ$3)</f>
        <v>0</v>
      </c>
      <c r="CK131" s="2">
        <f>COUNTIF(INDEX('LINE PLAN'!$B$36:$GS$61,0,ROW()-3),CK$3)</f>
        <v>0</v>
      </c>
      <c r="CL131" s="2">
        <f>COUNTIF(INDEX('LINE PLAN'!$B$36:$GS$61,0,ROW()-3),CL$3)</f>
        <v>0</v>
      </c>
      <c r="CM131" s="2">
        <f>COUNTIF(INDEX('LINE PLAN'!$B$36:$GS$61,0,ROW()-3),CM$3)</f>
        <v>0</v>
      </c>
      <c r="CN131" s="2">
        <f>COUNTIF(INDEX('LINE PLAN'!$B$36:$GS$61,0,ROW()-3),CN$3)</f>
        <v>0</v>
      </c>
      <c r="CO131" s="2">
        <f>COUNTIF(INDEX('LINE PLAN'!$B$36:$GS$61,0,ROW()-3),CO$3)</f>
        <v>0</v>
      </c>
      <c r="CP131" s="2">
        <f>COUNTIF(INDEX('LINE PLAN'!$B$36:$GS$61,0,ROW()-3),CP$3)</f>
        <v>0</v>
      </c>
      <c r="CQ131" s="2">
        <f>COUNTIF(INDEX('LINE PLAN'!$B$36:$GS$61,0,ROW()-3),CQ$3)</f>
        <v>0</v>
      </c>
      <c r="CR131" s="2">
        <f>COUNTIF(INDEX('LINE PLAN'!$B$36:$GS$61,0,ROW()-3),CR$3)</f>
        <v>0</v>
      </c>
      <c r="CS131" s="2">
        <f>COUNTIF(INDEX('LINE PLAN'!$B$36:$GS$61,0,ROW()-3),CS$3)</f>
        <v>0</v>
      </c>
      <c r="CT131" s="2">
        <f>COUNTIF(INDEX('LINE PLAN'!$B$36:$GS$61,0,ROW()-3),CT$3)</f>
        <v>0</v>
      </c>
      <c r="CU131" s="2">
        <f>COUNTIF(INDEX('LINE PLAN'!$B$36:$GS$61,0,ROW()-3),CU$3)</f>
        <v>0</v>
      </c>
      <c r="CV131" s="2">
        <f>COUNTIF(INDEX('LINE PLAN'!$B$36:$GS$61,0,ROW()-3),CV$3)</f>
        <v>0</v>
      </c>
      <c r="CW131" s="2">
        <f>COUNTIF(INDEX('LINE PLAN'!$B$36:$GS$61,0,ROW()-3),CW$3)</f>
        <v>0</v>
      </c>
      <c r="CX131" s="2">
        <f>COUNTIF(INDEX('LINE PLAN'!$B$36:$GS$61,0,ROW()-3),CX$3)</f>
        <v>0</v>
      </c>
      <c r="CY131" s="2">
        <f>COUNTIF(INDEX('LINE PLAN'!$B$36:$GS$61,0,ROW()-3),CY$3)</f>
        <v>0</v>
      </c>
      <c r="CZ131" s="2">
        <f>COUNTIF(INDEX('LINE PLAN'!$B$36:$GS$61,0,ROW()-3),CZ$3)</f>
        <v>0</v>
      </c>
      <c r="DA131" s="2">
        <f>COUNTIF(INDEX('LINE PLAN'!$B$36:$GS$61,0,ROW()-3),DA$3)</f>
        <v>0</v>
      </c>
      <c r="DB131" s="2">
        <f>COUNTIF(INDEX('LINE PLAN'!$B$36:$GS$61,0,ROW()-3),DB$3)</f>
        <v>0</v>
      </c>
      <c r="DC131" s="2">
        <f>COUNTIF(INDEX('LINE PLAN'!$B$36:$GS$61,0,ROW()-3),DC$3)</f>
        <v>0</v>
      </c>
      <c r="DD131" s="2">
        <f>COUNTIF(INDEX('LINE PLAN'!$B$36:$GS$61,0,ROW()-3),DD$3)</f>
        <v>0</v>
      </c>
      <c r="DE131" s="2">
        <f>COUNTIF(INDEX('LINE PLAN'!$B$36:$GS$61,0,ROW()-3),DE$3)</f>
        <v>0</v>
      </c>
      <c r="DF131" s="2">
        <f>COUNTIF(INDEX('LINE PLAN'!$B$36:$GS$61,0,ROW()-3),DF$3)</f>
        <v>0</v>
      </c>
      <c r="DG131" s="2">
        <f>COUNTIF(INDEX('LINE PLAN'!$B$36:$GS$61,0,ROW()-3),DG$3)</f>
        <v>0</v>
      </c>
      <c r="DH131" s="2">
        <f>COUNTIF(INDEX('LINE PLAN'!$B$36:$GS$61,0,ROW()-3),DH$3)</f>
        <v>0</v>
      </c>
      <c r="DI131" s="2">
        <f>COUNTIF(INDEX('LINE PLAN'!$B$36:$GS$61,0,ROW()-3),DI$3)</f>
        <v>0</v>
      </c>
      <c r="DJ131" s="2">
        <f>COUNTIF(INDEX('LINE PLAN'!$B$36:$GS$61,0,ROW()-3),DJ$3)</f>
        <v>0</v>
      </c>
      <c r="DK131" s="2">
        <f>COUNTIF(INDEX('LINE PLAN'!$B$36:$GS$61,0,ROW()-3),DK$3)</f>
        <v>0</v>
      </c>
      <c r="DL131" s="2">
        <f>COUNTIF(INDEX('LINE PLAN'!$B$36:$GS$61,0,ROW()-3),DL$3)</f>
        <v>0</v>
      </c>
      <c r="DM131" s="2">
        <f>COUNTIF(INDEX('LINE PLAN'!$B$36:$GS$61,0,ROW()-3),DM$3)</f>
        <v>0</v>
      </c>
      <c r="DN131" s="2">
        <f>COUNTIF(INDEX('LINE PLAN'!$B$36:$GS$61,0,ROW()-3),DN$3)</f>
        <v>0</v>
      </c>
      <c r="DO131" s="2">
        <f>COUNTIF(INDEX('LINE PLAN'!$B$36:$GS$61,0,ROW()-3),DO$3)</f>
        <v>0</v>
      </c>
      <c r="DP131" s="2">
        <f>COUNTIF(INDEX('LINE PLAN'!$B$36:$GS$61,0,ROW()-3),DP$3)</f>
        <v>0</v>
      </c>
      <c r="DQ131" s="2">
        <f>COUNTIF(INDEX('LINE PLAN'!$B$36:$GS$61,0,ROW()-3),DQ$3)</f>
        <v>0</v>
      </c>
      <c r="DR131" s="2">
        <f>COUNTIF(INDEX('LINE PLAN'!$B$36:$GS$61,0,ROW()-3),DR$3)</f>
        <v>0</v>
      </c>
      <c r="DS131" s="2">
        <f>COUNTIF(INDEX('LINE PLAN'!$B$36:$GS$61,0,ROW()-3),DS$3)</f>
        <v>0</v>
      </c>
      <c r="DT131" s="2">
        <f>COUNTIF(INDEX('LINE PLAN'!$B$36:$GS$61,0,ROW()-3),DT$3)</f>
        <v>0</v>
      </c>
      <c r="DU131" s="2">
        <f>COUNTIF(INDEX('LINE PLAN'!$B$36:$GS$61,0,ROW()-3),DU$3)</f>
        <v>0</v>
      </c>
      <c r="DV131" s="2">
        <f>COUNTIF(INDEX('LINE PLAN'!$B$36:$GS$61,0,ROW()-3),DV$3)</f>
        <v>0</v>
      </c>
    </row>
    <row r="132" spans="1:126">
      <c r="A132" s="505" cm="1">
        <f t="array" ref="A132">INDEX('LINE PLAN'!$B$35:$GS$35,ROW()-3)</f>
        <v>0</v>
      </c>
      <c r="B132" s="2">
        <f>SUMPRODUCT($CA132:$DV132,INDEX('MC MAP'!$DA$5:$EV$30,1,0))</f>
        <v>0</v>
      </c>
      <c r="C132" s="2">
        <f>SUMPRODUCT($CA132:$DV132,INDEX('MC MAP'!$DA$5:$EV$30,2,0))</f>
        <v>0</v>
      </c>
      <c r="D132" s="2">
        <f>SUMPRODUCT($CA132:$DV132,INDEX('MC MAP'!$DA$5:$EV$30,3,0))</f>
        <v>0</v>
      </c>
      <c r="E132" s="2">
        <f>SUMPRODUCT($CA132:$DV132,INDEX('MC MAP'!$DA$5:$EV$30,4,0))</f>
        <v>0</v>
      </c>
      <c r="F132" s="2">
        <f>SUMPRODUCT($CA132:$DV132,INDEX('MC MAP'!$DA$5:$EV$30,5,0))</f>
        <v>0</v>
      </c>
      <c r="G132" s="2">
        <f>SUMPRODUCT($CA132:$DV132,INDEX('MC MAP'!$DA$5:$EV$30,6,0))</f>
        <v>0</v>
      </c>
      <c r="H132" s="2">
        <f>SUMPRODUCT($CA132:$DV132,INDEX('MC MAP'!$DA$5:$EV$30,7,0))</f>
        <v>0</v>
      </c>
      <c r="I132" s="2">
        <f>SUMPRODUCT($CA132:$DV132,INDEX('MC MAP'!$DA$5:$EV$30,8,0))</f>
        <v>0</v>
      </c>
      <c r="J132" s="2">
        <f>SUMPRODUCT($CA132:$DV132,INDEX('MC MAP'!$DA$5:$EV$30,9,0))</f>
        <v>0</v>
      </c>
      <c r="K132" s="2">
        <f>SUMPRODUCT($CA132:$DV132,INDEX('MC MAP'!$DA$5:$EV$30,10,0))</f>
        <v>0</v>
      </c>
      <c r="L132" s="2">
        <f>SUMPRODUCT($CA132:$DV132,INDEX('MC MAP'!$DA$5:$EV$30,11,0))</f>
        <v>0</v>
      </c>
      <c r="M132" s="2">
        <f>SUMPRODUCT($CA132:$DV132,INDEX('MC MAP'!$DA$5:$EV$30,12,0))</f>
        <v>0</v>
      </c>
      <c r="N132" s="2">
        <f>SUMPRODUCT($CA132:$DV132,INDEX('MC MAP'!$DA$5:$EV$30,13,0))</f>
        <v>0</v>
      </c>
      <c r="O132" s="2">
        <f>SUMPRODUCT($CA132:$DV132,INDEX('MC MAP'!$DA$5:$EV$30,14,0))</f>
        <v>0</v>
      </c>
      <c r="P132" s="2">
        <f>SUMPRODUCT($CA132:$DV132,INDEX('MC MAP'!$DA$5:$EV$30,15,0))</f>
        <v>0</v>
      </c>
      <c r="Q132" s="2">
        <f>SUMPRODUCT($CA132:$DV132,INDEX('MC MAP'!$DA$5:$EV$30,16,0))</f>
        <v>0</v>
      </c>
      <c r="R132" s="2">
        <f>SUMPRODUCT($CA132:$DV132,INDEX('MC MAP'!$DA$5:$EV$30,17,0))</f>
        <v>0</v>
      </c>
      <c r="S132" s="2">
        <f>SUMPRODUCT($CA132:$DV132,INDEX('MC MAP'!$DA$5:$EV$30,18,0))</f>
        <v>0</v>
      </c>
      <c r="T132" s="2">
        <f>SUMPRODUCT($CA132:$DV132,INDEX('MC MAP'!$DA$5:$EV$30,19,0))</f>
        <v>0</v>
      </c>
      <c r="U132" s="2">
        <f>SUMPRODUCT($CA132:$DV132,INDEX('MC MAP'!$DA$5:$EV$30,20,0))</f>
        <v>0</v>
      </c>
      <c r="V132" s="2">
        <f>SUMPRODUCT($CA132:$DV132,INDEX('MC MAP'!$DA$5:$EV$30,21,0))</f>
        <v>0</v>
      </c>
      <c r="W132" s="2">
        <f>SUMPRODUCT($CA132:$DV132,INDEX('MC MAP'!$DA$5:$EV$30,22,0))</f>
        <v>0</v>
      </c>
      <c r="X132" s="2">
        <f>SUMPRODUCT($CA132:$DV132,INDEX('MC MAP'!$DA$5:$EV$30,23,0))</f>
        <v>0</v>
      </c>
      <c r="Y132" s="2">
        <f>SUMPRODUCT($CA132:$DV132,INDEX('MC MAP'!$DA$5:$EV$30,24,0))</f>
        <v>0</v>
      </c>
      <c r="Z132" s="2">
        <f>SUMPRODUCT($CA132:$DV132,INDEX('MC MAP'!$DA$5:$EV$30,25,0))</f>
        <v>0</v>
      </c>
      <c r="AA132" s="2">
        <f>SUMPRODUCT($CA132:$DV132,INDEX('MC MAP'!$DA$5:$EV$30,26,0))</f>
        <v>0</v>
      </c>
      <c r="AB132" s="2">
        <f>SUM($B132:$AA132)</f>
        <v>0</v>
      </c>
      <c r="AC132" s="2">
        <f>SUM($CA132:$DV132)+$AW132</f>
        <v>0</v>
      </c>
      <c r="AW132" s="2">
        <f>IF($A132=0,0,COUNTIF(INDEX('LINE PLAN'!$B$36:$GS$61,0,ROW()-3),"THERMAL - NOT SPECIFIED"))</f>
        <v>0</v>
      </c>
      <c r="AX132" s="506" cm="1">
        <f t="array" ref="AX132">IF(OR($AB132=0,UPPER($BS132)&lt;&gt;"Y"),0,SUMPRODUCT(--($B132:$AA132&gt;$B$205:$AA$205)))</f>
        <v>0</v>
      </c>
      <c r="AY132" s="507">
        <f>$A132</f>
        <v>0</v>
      </c>
      <c r="AZ132" s="2">
        <f>$AB132</f>
        <v>0</v>
      </c>
      <c r="BA132" s="2">
        <f>'MC MASTER'!$C$29</f>
        <v>920</v>
      </c>
      <c r="BQ132" s="509">
        <f>$A132</f>
        <v>0</v>
      </c>
      <c r="BR132" s="15" t="str">
        <f>TEXT($A132,"ddd")</f>
        <v>Sat</v>
      </c>
      <c r="BS132" s="547" t="str">
        <f>IF($A132=0,"",IF(WEEKDAY($A132,2)=7,"N","Y"))</f>
        <v/>
      </c>
      <c r="BT132" s="15">
        <f>IF(UPPER($BS132)="Y",$AB132,0)</f>
        <v>0</v>
      </c>
      <c r="CA132" s="2">
        <f>COUNTIF(INDEX('LINE PLAN'!$B$36:$GS$61,0,ROW()-3),CA$3)</f>
        <v>0</v>
      </c>
      <c r="CB132" s="2">
        <f>COUNTIF(INDEX('LINE PLAN'!$B$36:$GS$61,0,ROW()-3),CB$3)</f>
        <v>0</v>
      </c>
      <c r="CC132" s="2">
        <f>COUNTIF(INDEX('LINE PLAN'!$B$36:$GS$61,0,ROW()-3),CC$3)</f>
        <v>0</v>
      </c>
      <c r="CD132" s="2">
        <f>COUNTIF(INDEX('LINE PLAN'!$B$36:$GS$61,0,ROW()-3),CD$3)</f>
        <v>0</v>
      </c>
      <c r="CE132" s="2">
        <f>COUNTIF(INDEX('LINE PLAN'!$B$36:$GS$61,0,ROW()-3),CE$3)</f>
        <v>0</v>
      </c>
      <c r="CF132" s="2">
        <f>COUNTIF(INDEX('LINE PLAN'!$B$36:$GS$61,0,ROW()-3),CF$3)</f>
        <v>0</v>
      </c>
      <c r="CG132" s="2">
        <f>COUNTIF(INDEX('LINE PLAN'!$B$36:$GS$61,0,ROW()-3),CG$3)</f>
        <v>0</v>
      </c>
      <c r="CH132" s="2">
        <f>COUNTIF(INDEX('LINE PLAN'!$B$36:$GS$61,0,ROW()-3),CH$3)</f>
        <v>0</v>
      </c>
      <c r="CI132" s="2">
        <f>COUNTIF(INDEX('LINE PLAN'!$B$36:$GS$61,0,ROW()-3),CI$3)</f>
        <v>0</v>
      </c>
      <c r="CJ132" s="2">
        <f>COUNTIF(INDEX('LINE PLAN'!$B$36:$GS$61,0,ROW()-3),CJ$3)</f>
        <v>0</v>
      </c>
      <c r="CK132" s="2">
        <f>COUNTIF(INDEX('LINE PLAN'!$B$36:$GS$61,0,ROW()-3),CK$3)</f>
        <v>0</v>
      </c>
      <c r="CL132" s="2">
        <f>COUNTIF(INDEX('LINE PLAN'!$B$36:$GS$61,0,ROW()-3),CL$3)</f>
        <v>0</v>
      </c>
      <c r="CM132" s="2">
        <f>COUNTIF(INDEX('LINE PLAN'!$B$36:$GS$61,0,ROW()-3),CM$3)</f>
        <v>0</v>
      </c>
      <c r="CN132" s="2">
        <f>COUNTIF(INDEX('LINE PLAN'!$B$36:$GS$61,0,ROW()-3),CN$3)</f>
        <v>0</v>
      </c>
      <c r="CO132" s="2">
        <f>COUNTIF(INDEX('LINE PLAN'!$B$36:$GS$61,0,ROW()-3),CO$3)</f>
        <v>0</v>
      </c>
      <c r="CP132" s="2">
        <f>COUNTIF(INDEX('LINE PLAN'!$B$36:$GS$61,0,ROW()-3),CP$3)</f>
        <v>0</v>
      </c>
      <c r="CQ132" s="2">
        <f>COUNTIF(INDEX('LINE PLAN'!$B$36:$GS$61,0,ROW()-3),CQ$3)</f>
        <v>0</v>
      </c>
      <c r="CR132" s="2">
        <f>COUNTIF(INDEX('LINE PLAN'!$B$36:$GS$61,0,ROW()-3),CR$3)</f>
        <v>0</v>
      </c>
      <c r="CS132" s="2">
        <f>COUNTIF(INDEX('LINE PLAN'!$B$36:$GS$61,0,ROW()-3),CS$3)</f>
        <v>0</v>
      </c>
      <c r="CT132" s="2">
        <f>COUNTIF(INDEX('LINE PLAN'!$B$36:$GS$61,0,ROW()-3),CT$3)</f>
        <v>0</v>
      </c>
      <c r="CU132" s="2">
        <f>COUNTIF(INDEX('LINE PLAN'!$B$36:$GS$61,0,ROW()-3),CU$3)</f>
        <v>0</v>
      </c>
      <c r="CV132" s="2">
        <f>COUNTIF(INDEX('LINE PLAN'!$B$36:$GS$61,0,ROW()-3),CV$3)</f>
        <v>0</v>
      </c>
      <c r="CW132" s="2">
        <f>COUNTIF(INDEX('LINE PLAN'!$B$36:$GS$61,0,ROW()-3),CW$3)</f>
        <v>0</v>
      </c>
      <c r="CX132" s="2">
        <f>COUNTIF(INDEX('LINE PLAN'!$B$36:$GS$61,0,ROW()-3),CX$3)</f>
        <v>0</v>
      </c>
      <c r="CY132" s="2">
        <f>COUNTIF(INDEX('LINE PLAN'!$B$36:$GS$61,0,ROW()-3),CY$3)</f>
        <v>0</v>
      </c>
      <c r="CZ132" s="2">
        <f>COUNTIF(INDEX('LINE PLAN'!$B$36:$GS$61,0,ROW()-3),CZ$3)</f>
        <v>0</v>
      </c>
      <c r="DA132" s="2">
        <f>COUNTIF(INDEX('LINE PLAN'!$B$36:$GS$61,0,ROW()-3),DA$3)</f>
        <v>0</v>
      </c>
      <c r="DB132" s="2">
        <f>COUNTIF(INDEX('LINE PLAN'!$B$36:$GS$61,0,ROW()-3),DB$3)</f>
        <v>0</v>
      </c>
      <c r="DC132" s="2">
        <f>COUNTIF(INDEX('LINE PLAN'!$B$36:$GS$61,0,ROW()-3),DC$3)</f>
        <v>0</v>
      </c>
      <c r="DD132" s="2">
        <f>COUNTIF(INDEX('LINE PLAN'!$B$36:$GS$61,0,ROW()-3),DD$3)</f>
        <v>0</v>
      </c>
      <c r="DE132" s="2">
        <f>COUNTIF(INDEX('LINE PLAN'!$B$36:$GS$61,0,ROW()-3),DE$3)</f>
        <v>0</v>
      </c>
      <c r="DF132" s="2">
        <f>COUNTIF(INDEX('LINE PLAN'!$B$36:$GS$61,0,ROW()-3),DF$3)</f>
        <v>0</v>
      </c>
      <c r="DG132" s="2">
        <f>COUNTIF(INDEX('LINE PLAN'!$B$36:$GS$61,0,ROW()-3),DG$3)</f>
        <v>0</v>
      </c>
      <c r="DH132" s="2">
        <f>COUNTIF(INDEX('LINE PLAN'!$B$36:$GS$61,0,ROW()-3),DH$3)</f>
        <v>0</v>
      </c>
      <c r="DI132" s="2">
        <f>COUNTIF(INDEX('LINE PLAN'!$B$36:$GS$61,0,ROW()-3),DI$3)</f>
        <v>0</v>
      </c>
      <c r="DJ132" s="2">
        <f>COUNTIF(INDEX('LINE PLAN'!$B$36:$GS$61,0,ROW()-3),DJ$3)</f>
        <v>0</v>
      </c>
      <c r="DK132" s="2">
        <f>COUNTIF(INDEX('LINE PLAN'!$B$36:$GS$61,0,ROW()-3),DK$3)</f>
        <v>0</v>
      </c>
      <c r="DL132" s="2">
        <f>COUNTIF(INDEX('LINE PLAN'!$B$36:$GS$61,0,ROW()-3),DL$3)</f>
        <v>0</v>
      </c>
      <c r="DM132" s="2">
        <f>COUNTIF(INDEX('LINE PLAN'!$B$36:$GS$61,0,ROW()-3),DM$3)</f>
        <v>0</v>
      </c>
      <c r="DN132" s="2">
        <f>COUNTIF(INDEX('LINE PLAN'!$B$36:$GS$61,0,ROW()-3),DN$3)</f>
        <v>0</v>
      </c>
      <c r="DO132" s="2">
        <f>COUNTIF(INDEX('LINE PLAN'!$B$36:$GS$61,0,ROW()-3),DO$3)</f>
        <v>0</v>
      </c>
      <c r="DP132" s="2">
        <f>COUNTIF(INDEX('LINE PLAN'!$B$36:$GS$61,0,ROW()-3),DP$3)</f>
        <v>0</v>
      </c>
      <c r="DQ132" s="2">
        <f>COUNTIF(INDEX('LINE PLAN'!$B$36:$GS$61,0,ROW()-3),DQ$3)</f>
        <v>0</v>
      </c>
      <c r="DR132" s="2">
        <f>COUNTIF(INDEX('LINE PLAN'!$B$36:$GS$61,0,ROW()-3),DR$3)</f>
        <v>0</v>
      </c>
      <c r="DS132" s="2">
        <f>COUNTIF(INDEX('LINE PLAN'!$B$36:$GS$61,0,ROW()-3),DS$3)</f>
        <v>0</v>
      </c>
      <c r="DT132" s="2">
        <f>COUNTIF(INDEX('LINE PLAN'!$B$36:$GS$61,0,ROW()-3),DT$3)</f>
        <v>0</v>
      </c>
      <c r="DU132" s="2">
        <f>COUNTIF(INDEX('LINE PLAN'!$B$36:$GS$61,0,ROW()-3),DU$3)</f>
        <v>0</v>
      </c>
      <c r="DV132" s="2">
        <f>COUNTIF(INDEX('LINE PLAN'!$B$36:$GS$61,0,ROW()-3),DV$3)</f>
        <v>0</v>
      </c>
    </row>
    <row r="133" spans="1:126">
      <c r="A133" s="505" cm="1">
        <f t="array" ref="A133">INDEX('LINE PLAN'!$B$35:$GS$35,ROW()-3)</f>
        <v>0</v>
      </c>
      <c r="B133" s="2">
        <f>SUMPRODUCT($CA133:$DV133,INDEX('MC MAP'!$DA$5:$EV$30,1,0))</f>
        <v>0</v>
      </c>
      <c r="C133" s="2">
        <f>SUMPRODUCT($CA133:$DV133,INDEX('MC MAP'!$DA$5:$EV$30,2,0))</f>
        <v>0</v>
      </c>
      <c r="D133" s="2">
        <f>SUMPRODUCT($CA133:$DV133,INDEX('MC MAP'!$DA$5:$EV$30,3,0))</f>
        <v>0</v>
      </c>
      <c r="E133" s="2">
        <f>SUMPRODUCT($CA133:$DV133,INDEX('MC MAP'!$DA$5:$EV$30,4,0))</f>
        <v>0</v>
      </c>
      <c r="F133" s="2">
        <f>SUMPRODUCT($CA133:$DV133,INDEX('MC MAP'!$DA$5:$EV$30,5,0))</f>
        <v>0</v>
      </c>
      <c r="G133" s="2">
        <f>SUMPRODUCT($CA133:$DV133,INDEX('MC MAP'!$DA$5:$EV$30,6,0))</f>
        <v>0</v>
      </c>
      <c r="H133" s="2">
        <f>SUMPRODUCT($CA133:$DV133,INDEX('MC MAP'!$DA$5:$EV$30,7,0))</f>
        <v>0</v>
      </c>
      <c r="I133" s="2">
        <f>SUMPRODUCT($CA133:$DV133,INDEX('MC MAP'!$DA$5:$EV$30,8,0))</f>
        <v>0</v>
      </c>
      <c r="J133" s="2">
        <f>SUMPRODUCT($CA133:$DV133,INDEX('MC MAP'!$DA$5:$EV$30,9,0))</f>
        <v>0</v>
      </c>
      <c r="K133" s="2">
        <f>SUMPRODUCT($CA133:$DV133,INDEX('MC MAP'!$DA$5:$EV$30,10,0))</f>
        <v>0</v>
      </c>
      <c r="L133" s="2">
        <f>SUMPRODUCT($CA133:$DV133,INDEX('MC MAP'!$DA$5:$EV$30,11,0))</f>
        <v>0</v>
      </c>
      <c r="M133" s="2">
        <f>SUMPRODUCT($CA133:$DV133,INDEX('MC MAP'!$DA$5:$EV$30,12,0))</f>
        <v>0</v>
      </c>
      <c r="N133" s="2">
        <f>SUMPRODUCT($CA133:$DV133,INDEX('MC MAP'!$DA$5:$EV$30,13,0))</f>
        <v>0</v>
      </c>
      <c r="O133" s="2">
        <f>SUMPRODUCT($CA133:$DV133,INDEX('MC MAP'!$DA$5:$EV$30,14,0))</f>
        <v>0</v>
      </c>
      <c r="P133" s="2">
        <f>SUMPRODUCT($CA133:$DV133,INDEX('MC MAP'!$DA$5:$EV$30,15,0))</f>
        <v>0</v>
      </c>
      <c r="Q133" s="2">
        <f>SUMPRODUCT($CA133:$DV133,INDEX('MC MAP'!$DA$5:$EV$30,16,0))</f>
        <v>0</v>
      </c>
      <c r="R133" s="2">
        <f>SUMPRODUCT($CA133:$DV133,INDEX('MC MAP'!$DA$5:$EV$30,17,0))</f>
        <v>0</v>
      </c>
      <c r="S133" s="2">
        <f>SUMPRODUCT($CA133:$DV133,INDEX('MC MAP'!$DA$5:$EV$30,18,0))</f>
        <v>0</v>
      </c>
      <c r="T133" s="2">
        <f>SUMPRODUCT($CA133:$DV133,INDEX('MC MAP'!$DA$5:$EV$30,19,0))</f>
        <v>0</v>
      </c>
      <c r="U133" s="2">
        <f>SUMPRODUCT($CA133:$DV133,INDEX('MC MAP'!$DA$5:$EV$30,20,0))</f>
        <v>0</v>
      </c>
      <c r="V133" s="2">
        <f>SUMPRODUCT($CA133:$DV133,INDEX('MC MAP'!$DA$5:$EV$30,21,0))</f>
        <v>0</v>
      </c>
      <c r="W133" s="2">
        <f>SUMPRODUCT($CA133:$DV133,INDEX('MC MAP'!$DA$5:$EV$30,22,0))</f>
        <v>0</v>
      </c>
      <c r="X133" s="2">
        <f>SUMPRODUCT($CA133:$DV133,INDEX('MC MAP'!$DA$5:$EV$30,23,0))</f>
        <v>0</v>
      </c>
      <c r="Y133" s="2">
        <f>SUMPRODUCT($CA133:$DV133,INDEX('MC MAP'!$DA$5:$EV$30,24,0))</f>
        <v>0</v>
      </c>
      <c r="Z133" s="2">
        <f>SUMPRODUCT($CA133:$DV133,INDEX('MC MAP'!$DA$5:$EV$30,25,0))</f>
        <v>0</v>
      </c>
      <c r="AA133" s="2">
        <f>SUMPRODUCT($CA133:$DV133,INDEX('MC MAP'!$DA$5:$EV$30,26,0))</f>
        <v>0</v>
      </c>
      <c r="AB133" s="2">
        <f>SUM($B133:$AA133)</f>
        <v>0</v>
      </c>
      <c r="AC133" s="2">
        <f>SUM($CA133:$DV133)+$AW133</f>
        <v>0</v>
      </c>
      <c r="AW133" s="2">
        <f>IF($A133=0,0,COUNTIF(INDEX('LINE PLAN'!$B$36:$GS$61,0,ROW()-3),"THERMAL - NOT SPECIFIED"))</f>
        <v>0</v>
      </c>
      <c r="AX133" s="506" cm="1">
        <f t="array" ref="AX133">IF(OR($AB133=0,UPPER($BS133)&lt;&gt;"Y"),0,SUMPRODUCT(--($B133:$AA133&gt;$B$205:$AA$205)))</f>
        <v>0</v>
      </c>
      <c r="AY133" s="507">
        <f>$A133</f>
        <v>0</v>
      </c>
      <c r="AZ133" s="2">
        <f>$AB133</f>
        <v>0</v>
      </c>
      <c r="BA133" s="2">
        <f>'MC MASTER'!$C$29</f>
        <v>920</v>
      </c>
      <c r="BQ133" s="509">
        <f>$A133</f>
        <v>0</v>
      </c>
      <c r="BR133" s="15" t="str">
        <f>TEXT($A133,"ddd")</f>
        <v>Sat</v>
      </c>
      <c r="BS133" s="547" t="str">
        <f>IF($A133=0,"",IF(WEEKDAY($A133,2)=7,"N","Y"))</f>
        <v/>
      </c>
      <c r="BT133" s="15">
        <f>IF(UPPER($BS133)="Y",$AB133,0)</f>
        <v>0</v>
      </c>
      <c r="CA133" s="2">
        <f>COUNTIF(INDEX('LINE PLAN'!$B$36:$GS$61,0,ROW()-3),CA$3)</f>
        <v>0</v>
      </c>
      <c r="CB133" s="2">
        <f>COUNTIF(INDEX('LINE PLAN'!$B$36:$GS$61,0,ROW()-3),CB$3)</f>
        <v>0</v>
      </c>
      <c r="CC133" s="2">
        <f>COUNTIF(INDEX('LINE PLAN'!$B$36:$GS$61,0,ROW()-3),CC$3)</f>
        <v>0</v>
      </c>
      <c r="CD133" s="2">
        <f>COUNTIF(INDEX('LINE PLAN'!$B$36:$GS$61,0,ROW()-3),CD$3)</f>
        <v>0</v>
      </c>
      <c r="CE133" s="2">
        <f>COUNTIF(INDEX('LINE PLAN'!$B$36:$GS$61,0,ROW()-3),CE$3)</f>
        <v>0</v>
      </c>
      <c r="CF133" s="2">
        <f>COUNTIF(INDEX('LINE PLAN'!$B$36:$GS$61,0,ROW()-3),CF$3)</f>
        <v>0</v>
      </c>
      <c r="CG133" s="2">
        <f>COUNTIF(INDEX('LINE PLAN'!$B$36:$GS$61,0,ROW()-3),CG$3)</f>
        <v>0</v>
      </c>
      <c r="CH133" s="2">
        <f>COUNTIF(INDEX('LINE PLAN'!$B$36:$GS$61,0,ROW()-3),CH$3)</f>
        <v>0</v>
      </c>
      <c r="CI133" s="2">
        <f>COUNTIF(INDEX('LINE PLAN'!$B$36:$GS$61,0,ROW()-3),CI$3)</f>
        <v>0</v>
      </c>
      <c r="CJ133" s="2">
        <f>COUNTIF(INDEX('LINE PLAN'!$B$36:$GS$61,0,ROW()-3),CJ$3)</f>
        <v>0</v>
      </c>
      <c r="CK133" s="2">
        <f>COUNTIF(INDEX('LINE PLAN'!$B$36:$GS$61,0,ROW()-3),CK$3)</f>
        <v>0</v>
      </c>
      <c r="CL133" s="2">
        <f>COUNTIF(INDEX('LINE PLAN'!$B$36:$GS$61,0,ROW()-3),CL$3)</f>
        <v>0</v>
      </c>
      <c r="CM133" s="2">
        <f>COUNTIF(INDEX('LINE PLAN'!$B$36:$GS$61,0,ROW()-3),CM$3)</f>
        <v>0</v>
      </c>
      <c r="CN133" s="2">
        <f>COUNTIF(INDEX('LINE PLAN'!$B$36:$GS$61,0,ROW()-3),CN$3)</f>
        <v>0</v>
      </c>
      <c r="CO133" s="2">
        <f>COUNTIF(INDEX('LINE PLAN'!$B$36:$GS$61,0,ROW()-3),CO$3)</f>
        <v>0</v>
      </c>
      <c r="CP133" s="2">
        <f>COUNTIF(INDEX('LINE PLAN'!$B$36:$GS$61,0,ROW()-3),CP$3)</f>
        <v>0</v>
      </c>
      <c r="CQ133" s="2">
        <f>COUNTIF(INDEX('LINE PLAN'!$B$36:$GS$61,0,ROW()-3),CQ$3)</f>
        <v>0</v>
      </c>
      <c r="CR133" s="2">
        <f>COUNTIF(INDEX('LINE PLAN'!$B$36:$GS$61,0,ROW()-3),CR$3)</f>
        <v>0</v>
      </c>
      <c r="CS133" s="2">
        <f>COUNTIF(INDEX('LINE PLAN'!$B$36:$GS$61,0,ROW()-3),CS$3)</f>
        <v>0</v>
      </c>
      <c r="CT133" s="2">
        <f>COUNTIF(INDEX('LINE PLAN'!$B$36:$GS$61,0,ROW()-3),CT$3)</f>
        <v>0</v>
      </c>
      <c r="CU133" s="2">
        <f>COUNTIF(INDEX('LINE PLAN'!$B$36:$GS$61,0,ROW()-3),CU$3)</f>
        <v>0</v>
      </c>
      <c r="CV133" s="2">
        <f>COUNTIF(INDEX('LINE PLAN'!$B$36:$GS$61,0,ROW()-3),CV$3)</f>
        <v>0</v>
      </c>
      <c r="CW133" s="2">
        <f>COUNTIF(INDEX('LINE PLAN'!$B$36:$GS$61,0,ROW()-3),CW$3)</f>
        <v>0</v>
      </c>
      <c r="CX133" s="2">
        <f>COUNTIF(INDEX('LINE PLAN'!$B$36:$GS$61,0,ROW()-3),CX$3)</f>
        <v>0</v>
      </c>
      <c r="CY133" s="2">
        <f>COUNTIF(INDEX('LINE PLAN'!$B$36:$GS$61,0,ROW()-3),CY$3)</f>
        <v>0</v>
      </c>
      <c r="CZ133" s="2">
        <f>COUNTIF(INDEX('LINE PLAN'!$B$36:$GS$61,0,ROW()-3),CZ$3)</f>
        <v>0</v>
      </c>
      <c r="DA133" s="2">
        <f>COUNTIF(INDEX('LINE PLAN'!$B$36:$GS$61,0,ROW()-3),DA$3)</f>
        <v>0</v>
      </c>
      <c r="DB133" s="2">
        <f>COUNTIF(INDEX('LINE PLAN'!$B$36:$GS$61,0,ROW()-3),DB$3)</f>
        <v>0</v>
      </c>
      <c r="DC133" s="2">
        <f>COUNTIF(INDEX('LINE PLAN'!$B$36:$GS$61,0,ROW()-3),DC$3)</f>
        <v>0</v>
      </c>
      <c r="DD133" s="2">
        <f>COUNTIF(INDEX('LINE PLAN'!$B$36:$GS$61,0,ROW()-3),DD$3)</f>
        <v>0</v>
      </c>
      <c r="DE133" s="2">
        <f>COUNTIF(INDEX('LINE PLAN'!$B$36:$GS$61,0,ROW()-3),DE$3)</f>
        <v>0</v>
      </c>
      <c r="DF133" s="2">
        <f>COUNTIF(INDEX('LINE PLAN'!$B$36:$GS$61,0,ROW()-3),DF$3)</f>
        <v>0</v>
      </c>
      <c r="DG133" s="2">
        <f>COUNTIF(INDEX('LINE PLAN'!$B$36:$GS$61,0,ROW()-3),DG$3)</f>
        <v>0</v>
      </c>
      <c r="DH133" s="2">
        <f>COUNTIF(INDEX('LINE PLAN'!$B$36:$GS$61,0,ROW()-3),DH$3)</f>
        <v>0</v>
      </c>
      <c r="DI133" s="2">
        <f>COUNTIF(INDEX('LINE PLAN'!$B$36:$GS$61,0,ROW()-3),DI$3)</f>
        <v>0</v>
      </c>
      <c r="DJ133" s="2">
        <f>COUNTIF(INDEX('LINE PLAN'!$B$36:$GS$61,0,ROW()-3),DJ$3)</f>
        <v>0</v>
      </c>
      <c r="DK133" s="2">
        <f>COUNTIF(INDEX('LINE PLAN'!$B$36:$GS$61,0,ROW()-3),DK$3)</f>
        <v>0</v>
      </c>
      <c r="DL133" s="2">
        <f>COUNTIF(INDEX('LINE PLAN'!$B$36:$GS$61,0,ROW()-3),DL$3)</f>
        <v>0</v>
      </c>
      <c r="DM133" s="2">
        <f>COUNTIF(INDEX('LINE PLAN'!$B$36:$GS$61,0,ROW()-3),DM$3)</f>
        <v>0</v>
      </c>
      <c r="DN133" s="2">
        <f>COUNTIF(INDEX('LINE PLAN'!$B$36:$GS$61,0,ROW()-3),DN$3)</f>
        <v>0</v>
      </c>
      <c r="DO133" s="2">
        <f>COUNTIF(INDEX('LINE PLAN'!$B$36:$GS$61,0,ROW()-3),DO$3)</f>
        <v>0</v>
      </c>
      <c r="DP133" s="2">
        <f>COUNTIF(INDEX('LINE PLAN'!$B$36:$GS$61,0,ROW()-3),DP$3)</f>
        <v>0</v>
      </c>
      <c r="DQ133" s="2">
        <f>COUNTIF(INDEX('LINE PLAN'!$B$36:$GS$61,0,ROW()-3),DQ$3)</f>
        <v>0</v>
      </c>
      <c r="DR133" s="2">
        <f>COUNTIF(INDEX('LINE PLAN'!$B$36:$GS$61,0,ROW()-3),DR$3)</f>
        <v>0</v>
      </c>
      <c r="DS133" s="2">
        <f>COUNTIF(INDEX('LINE PLAN'!$B$36:$GS$61,0,ROW()-3),DS$3)</f>
        <v>0</v>
      </c>
      <c r="DT133" s="2">
        <f>COUNTIF(INDEX('LINE PLAN'!$B$36:$GS$61,0,ROW()-3),DT$3)</f>
        <v>0</v>
      </c>
      <c r="DU133" s="2">
        <f>COUNTIF(INDEX('LINE PLAN'!$B$36:$GS$61,0,ROW()-3),DU$3)</f>
        <v>0</v>
      </c>
      <c r="DV133" s="2">
        <f>COUNTIF(INDEX('LINE PLAN'!$B$36:$GS$61,0,ROW()-3),DV$3)</f>
        <v>0</v>
      </c>
    </row>
    <row r="134" spans="1:126">
      <c r="A134" s="505" cm="1">
        <f t="array" ref="A134">INDEX('LINE PLAN'!$B$35:$GS$35,ROW()-3)</f>
        <v>0</v>
      </c>
      <c r="B134" s="2">
        <f>SUMPRODUCT($CA134:$DV134,INDEX('MC MAP'!$DA$5:$EV$30,1,0))</f>
        <v>0</v>
      </c>
      <c r="C134" s="2">
        <f>SUMPRODUCT($CA134:$DV134,INDEX('MC MAP'!$DA$5:$EV$30,2,0))</f>
        <v>0</v>
      </c>
      <c r="D134" s="2">
        <f>SUMPRODUCT($CA134:$DV134,INDEX('MC MAP'!$DA$5:$EV$30,3,0))</f>
        <v>0</v>
      </c>
      <c r="E134" s="2">
        <f>SUMPRODUCT($CA134:$DV134,INDEX('MC MAP'!$DA$5:$EV$30,4,0))</f>
        <v>0</v>
      </c>
      <c r="F134" s="2">
        <f>SUMPRODUCT($CA134:$DV134,INDEX('MC MAP'!$DA$5:$EV$30,5,0))</f>
        <v>0</v>
      </c>
      <c r="G134" s="2">
        <f>SUMPRODUCT($CA134:$DV134,INDEX('MC MAP'!$DA$5:$EV$30,6,0))</f>
        <v>0</v>
      </c>
      <c r="H134" s="2">
        <f>SUMPRODUCT($CA134:$DV134,INDEX('MC MAP'!$DA$5:$EV$30,7,0))</f>
        <v>0</v>
      </c>
      <c r="I134" s="2">
        <f>SUMPRODUCT($CA134:$DV134,INDEX('MC MAP'!$DA$5:$EV$30,8,0))</f>
        <v>0</v>
      </c>
      <c r="J134" s="2">
        <f>SUMPRODUCT($CA134:$DV134,INDEX('MC MAP'!$DA$5:$EV$30,9,0))</f>
        <v>0</v>
      </c>
      <c r="K134" s="2">
        <f>SUMPRODUCT($CA134:$DV134,INDEX('MC MAP'!$DA$5:$EV$30,10,0))</f>
        <v>0</v>
      </c>
      <c r="L134" s="2">
        <f>SUMPRODUCT($CA134:$DV134,INDEX('MC MAP'!$DA$5:$EV$30,11,0))</f>
        <v>0</v>
      </c>
      <c r="M134" s="2">
        <f>SUMPRODUCT($CA134:$DV134,INDEX('MC MAP'!$DA$5:$EV$30,12,0))</f>
        <v>0</v>
      </c>
      <c r="N134" s="2">
        <f>SUMPRODUCT($CA134:$DV134,INDEX('MC MAP'!$DA$5:$EV$30,13,0))</f>
        <v>0</v>
      </c>
      <c r="O134" s="2">
        <f>SUMPRODUCT($CA134:$DV134,INDEX('MC MAP'!$DA$5:$EV$30,14,0))</f>
        <v>0</v>
      </c>
      <c r="P134" s="2">
        <f>SUMPRODUCT($CA134:$DV134,INDEX('MC MAP'!$DA$5:$EV$30,15,0))</f>
        <v>0</v>
      </c>
      <c r="Q134" s="2">
        <f>SUMPRODUCT($CA134:$DV134,INDEX('MC MAP'!$DA$5:$EV$30,16,0))</f>
        <v>0</v>
      </c>
      <c r="R134" s="2">
        <f>SUMPRODUCT($CA134:$DV134,INDEX('MC MAP'!$DA$5:$EV$30,17,0))</f>
        <v>0</v>
      </c>
      <c r="S134" s="2">
        <f>SUMPRODUCT($CA134:$DV134,INDEX('MC MAP'!$DA$5:$EV$30,18,0))</f>
        <v>0</v>
      </c>
      <c r="T134" s="2">
        <f>SUMPRODUCT($CA134:$DV134,INDEX('MC MAP'!$DA$5:$EV$30,19,0))</f>
        <v>0</v>
      </c>
      <c r="U134" s="2">
        <f>SUMPRODUCT($CA134:$DV134,INDEX('MC MAP'!$DA$5:$EV$30,20,0))</f>
        <v>0</v>
      </c>
      <c r="V134" s="2">
        <f>SUMPRODUCT($CA134:$DV134,INDEX('MC MAP'!$DA$5:$EV$30,21,0))</f>
        <v>0</v>
      </c>
      <c r="W134" s="2">
        <f>SUMPRODUCT($CA134:$DV134,INDEX('MC MAP'!$DA$5:$EV$30,22,0))</f>
        <v>0</v>
      </c>
      <c r="X134" s="2">
        <f>SUMPRODUCT($CA134:$DV134,INDEX('MC MAP'!$DA$5:$EV$30,23,0))</f>
        <v>0</v>
      </c>
      <c r="Y134" s="2">
        <f>SUMPRODUCT($CA134:$DV134,INDEX('MC MAP'!$DA$5:$EV$30,24,0))</f>
        <v>0</v>
      </c>
      <c r="Z134" s="2">
        <f>SUMPRODUCT($CA134:$DV134,INDEX('MC MAP'!$DA$5:$EV$30,25,0))</f>
        <v>0</v>
      </c>
      <c r="AA134" s="2">
        <f>SUMPRODUCT($CA134:$DV134,INDEX('MC MAP'!$DA$5:$EV$30,26,0))</f>
        <v>0</v>
      </c>
      <c r="AB134" s="2">
        <f>SUM($B134:$AA134)</f>
        <v>0</v>
      </c>
      <c r="AC134" s="2">
        <f>SUM($CA134:$DV134)+$AW134</f>
        <v>0</v>
      </c>
      <c r="AW134" s="2">
        <f>IF($A134=0,0,COUNTIF(INDEX('LINE PLAN'!$B$36:$GS$61,0,ROW()-3),"THERMAL - NOT SPECIFIED"))</f>
        <v>0</v>
      </c>
      <c r="AX134" s="506" cm="1">
        <f t="array" ref="AX134">IF(OR($AB134=0,UPPER($BS134)&lt;&gt;"Y"),0,SUMPRODUCT(--($B134:$AA134&gt;$B$205:$AA$205)))</f>
        <v>0</v>
      </c>
      <c r="AY134" s="507">
        <f>$A134</f>
        <v>0</v>
      </c>
      <c r="AZ134" s="2">
        <f>$AB134</f>
        <v>0</v>
      </c>
      <c r="BA134" s="2">
        <f>'MC MASTER'!$C$29</f>
        <v>920</v>
      </c>
      <c r="BQ134" s="509">
        <f>$A134</f>
        <v>0</v>
      </c>
      <c r="BR134" s="15" t="str">
        <f>TEXT($A134,"ddd")</f>
        <v>Sat</v>
      </c>
      <c r="BS134" s="547" t="str">
        <f>IF($A134=0,"",IF(WEEKDAY($A134,2)=7,"N","Y"))</f>
        <v/>
      </c>
      <c r="BT134" s="15">
        <f>IF(UPPER($BS134)="Y",$AB134,0)</f>
        <v>0</v>
      </c>
      <c r="CA134" s="2">
        <f>COUNTIF(INDEX('LINE PLAN'!$B$36:$GS$61,0,ROW()-3),CA$3)</f>
        <v>0</v>
      </c>
      <c r="CB134" s="2">
        <f>COUNTIF(INDEX('LINE PLAN'!$B$36:$GS$61,0,ROW()-3),CB$3)</f>
        <v>0</v>
      </c>
      <c r="CC134" s="2">
        <f>COUNTIF(INDEX('LINE PLAN'!$B$36:$GS$61,0,ROW()-3),CC$3)</f>
        <v>0</v>
      </c>
      <c r="CD134" s="2">
        <f>COUNTIF(INDEX('LINE PLAN'!$B$36:$GS$61,0,ROW()-3),CD$3)</f>
        <v>0</v>
      </c>
      <c r="CE134" s="2">
        <f>COUNTIF(INDEX('LINE PLAN'!$B$36:$GS$61,0,ROW()-3),CE$3)</f>
        <v>0</v>
      </c>
      <c r="CF134" s="2">
        <f>COUNTIF(INDEX('LINE PLAN'!$B$36:$GS$61,0,ROW()-3),CF$3)</f>
        <v>0</v>
      </c>
      <c r="CG134" s="2">
        <f>COUNTIF(INDEX('LINE PLAN'!$B$36:$GS$61,0,ROW()-3),CG$3)</f>
        <v>0</v>
      </c>
      <c r="CH134" s="2">
        <f>COUNTIF(INDEX('LINE PLAN'!$B$36:$GS$61,0,ROW()-3),CH$3)</f>
        <v>0</v>
      </c>
      <c r="CI134" s="2">
        <f>COUNTIF(INDEX('LINE PLAN'!$B$36:$GS$61,0,ROW()-3),CI$3)</f>
        <v>0</v>
      </c>
      <c r="CJ134" s="2">
        <f>COUNTIF(INDEX('LINE PLAN'!$B$36:$GS$61,0,ROW()-3),CJ$3)</f>
        <v>0</v>
      </c>
      <c r="CK134" s="2">
        <f>COUNTIF(INDEX('LINE PLAN'!$B$36:$GS$61,0,ROW()-3),CK$3)</f>
        <v>0</v>
      </c>
      <c r="CL134" s="2">
        <f>COUNTIF(INDEX('LINE PLAN'!$B$36:$GS$61,0,ROW()-3),CL$3)</f>
        <v>0</v>
      </c>
      <c r="CM134" s="2">
        <f>COUNTIF(INDEX('LINE PLAN'!$B$36:$GS$61,0,ROW()-3),CM$3)</f>
        <v>0</v>
      </c>
      <c r="CN134" s="2">
        <f>COUNTIF(INDEX('LINE PLAN'!$B$36:$GS$61,0,ROW()-3),CN$3)</f>
        <v>0</v>
      </c>
      <c r="CO134" s="2">
        <f>COUNTIF(INDEX('LINE PLAN'!$B$36:$GS$61,0,ROW()-3),CO$3)</f>
        <v>0</v>
      </c>
      <c r="CP134" s="2">
        <f>COUNTIF(INDEX('LINE PLAN'!$B$36:$GS$61,0,ROW()-3),CP$3)</f>
        <v>0</v>
      </c>
      <c r="CQ134" s="2">
        <f>COUNTIF(INDEX('LINE PLAN'!$B$36:$GS$61,0,ROW()-3),CQ$3)</f>
        <v>0</v>
      </c>
      <c r="CR134" s="2">
        <f>COUNTIF(INDEX('LINE PLAN'!$B$36:$GS$61,0,ROW()-3),CR$3)</f>
        <v>0</v>
      </c>
      <c r="CS134" s="2">
        <f>COUNTIF(INDEX('LINE PLAN'!$B$36:$GS$61,0,ROW()-3),CS$3)</f>
        <v>0</v>
      </c>
      <c r="CT134" s="2">
        <f>COUNTIF(INDEX('LINE PLAN'!$B$36:$GS$61,0,ROW()-3),CT$3)</f>
        <v>0</v>
      </c>
      <c r="CU134" s="2">
        <f>COUNTIF(INDEX('LINE PLAN'!$B$36:$GS$61,0,ROW()-3),CU$3)</f>
        <v>0</v>
      </c>
      <c r="CV134" s="2">
        <f>COUNTIF(INDEX('LINE PLAN'!$B$36:$GS$61,0,ROW()-3),CV$3)</f>
        <v>0</v>
      </c>
      <c r="CW134" s="2">
        <f>COUNTIF(INDEX('LINE PLAN'!$B$36:$GS$61,0,ROW()-3),CW$3)</f>
        <v>0</v>
      </c>
      <c r="CX134" s="2">
        <f>COUNTIF(INDEX('LINE PLAN'!$B$36:$GS$61,0,ROW()-3),CX$3)</f>
        <v>0</v>
      </c>
      <c r="CY134" s="2">
        <f>COUNTIF(INDEX('LINE PLAN'!$B$36:$GS$61,0,ROW()-3),CY$3)</f>
        <v>0</v>
      </c>
      <c r="CZ134" s="2">
        <f>COUNTIF(INDEX('LINE PLAN'!$B$36:$GS$61,0,ROW()-3),CZ$3)</f>
        <v>0</v>
      </c>
      <c r="DA134" s="2">
        <f>COUNTIF(INDEX('LINE PLAN'!$B$36:$GS$61,0,ROW()-3),DA$3)</f>
        <v>0</v>
      </c>
      <c r="DB134" s="2">
        <f>COUNTIF(INDEX('LINE PLAN'!$B$36:$GS$61,0,ROW()-3),DB$3)</f>
        <v>0</v>
      </c>
      <c r="DC134" s="2">
        <f>COUNTIF(INDEX('LINE PLAN'!$B$36:$GS$61,0,ROW()-3),DC$3)</f>
        <v>0</v>
      </c>
      <c r="DD134" s="2">
        <f>COUNTIF(INDEX('LINE PLAN'!$B$36:$GS$61,0,ROW()-3),DD$3)</f>
        <v>0</v>
      </c>
      <c r="DE134" s="2">
        <f>COUNTIF(INDEX('LINE PLAN'!$B$36:$GS$61,0,ROW()-3),DE$3)</f>
        <v>0</v>
      </c>
      <c r="DF134" s="2">
        <f>COUNTIF(INDEX('LINE PLAN'!$B$36:$GS$61,0,ROW()-3),DF$3)</f>
        <v>0</v>
      </c>
      <c r="DG134" s="2">
        <f>COUNTIF(INDEX('LINE PLAN'!$B$36:$GS$61,0,ROW()-3),DG$3)</f>
        <v>0</v>
      </c>
      <c r="DH134" s="2">
        <f>COUNTIF(INDEX('LINE PLAN'!$B$36:$GS$61,0,ROW()-3),DH$3)</f>
        <v>0</v>
      </c>
      <c r="DI134" s="2">
        <f>COUNTIF(INDEX('LINE PLAN'!$B$36:$GS$61,0,ROW()-3),DI$3)</f>
        <v>0</v>
      </c>
      <c r="DJ134" s="2">
        <f>COUNTIF(INDEX('LINE PLAN'!$B$36:$GS$61,0,ROW()-3),DJ$3)</f>
        <v>0</v>
      </c>
      <c r="DK134" s="2">
        <f>COUNTIF(INDEX('LINE PLAN'!$B$36:$GS$61,0,ROW()-3),DK$3)</f>
        <v>0</v>
      </c>
      <c r="DL134" s="2">
        <f>COUNTIF(INDEX('LINE PLAN'!$B$36:$GS$61,0,ROW()-3),DL$3)</f>
        <v>0</v>
      </c>
      <c r="DM134" s="2">
        <f>COUNTIF(INDEX('LINE PLAN'!$B$36:$GS$61,0,ROW()-3),DM$3)</f>
        <v>0</v>
      </c>
      <c r="DN134" s="2">
        <f>COUNTIF(INDEX('LINE PLAN'!$B$36:$GS$61,0,ROW()-3),DN$3)</f>
        <v>0</v>
      </c>
      <c r="DO134" s="2">
        <f>COUNTIF(INDEX('LINE PLAN'!$B$36:$GS$61,0,ROW()-3),DO$3)</f>
        <v>0</v>
      </c>
      <c r="DP134" s="2">
        <f>COUNTIF(INDEX('LINE PLAN'!$B$36:$GS$61,0,ROW()-3),DP$3)</f>
        <v>0</v>
      </c>
      <c r="DQ134" s="2">
        <f>COUNTIF(INDEX('LINE PLAN'!$B$36:$GS$61,0,ROW()-3),DQ$3)</f>
        <v>0</v>
      </c>
      <c r="DR134" s="2">
        <f>COUNTIF(INDEX('LINE PLAN'!$B$36:$GS$61,0,ROW()-3),DR$3)</f>
        <v>0</v>
      </c>
      <c r="DS134" s="2">
        <f>COUNTIF(INDEX('LINE PLAN'!$B$36:$GS$61,0,ROW()-3),DS$3)</f>
        <v>0</v>
      </c>
      <c r="DT134" s="2">
        <f>COUNTIF(INDEX('LINE PLAN'!$B$36:$GS$61,0,ROW()-3),DT$3)</f>
        <v>0</v>
      </c>
      <c r="DU134" s="2">
        <f>COUNTIF(INDEX('LINE PLAN'!$B$36:$GS$61,0,ROW()-3),DU$3)</f>
        <v>0</v>
      </c>
      <c r="DV134" s="2">
        <f>COUNTIF(INDEX('LINE PLAN'!$B$36:$GS$61,0,ROW()-3),DV$3)</f>
        <v>0</v>
      </c>
    </row>
    <row r="135" spans="1:126">
      <c r="A135" s="505" cm="1">
        <f t="array" ref="A135">INDEX('LINE PLAN'!$B$35:$GS$35,ROW()-3)</f>
        <v>0</v>
      </c>
      <c r="B135" s="2">
        <f>SUMPRODUCT($CA135:$DV135,INDEX('MC MAP'!$DA$5:$EV$30,1,0))</f>
        <v>0</v>
      </c>
      <c r="C135" s="2">
        <f>SUMPRODUCT($CA135:$DV135,INDEX('MC MAP'!$DA$5:$EV$30,2,0))</f>
        <v>0</v>
      </c>
      <c r="D135" s="2">
        <f>SUMPRODUCT($CA135:$DV135,INDEX('MC MAP'!$DA$5:$EV$30,3,0))</f>
        <v>0</v>
      </c>
      <c r="E135" s="2">
        <f>SUMPRODUCT($CA135:$DV135,INDEX('MC MAP'!$DA$5:$EV$30,4,0))</f>
        <v>0</v>
      </c>
      <c r="F135" s="2">
        <f>SUMPRODUCT($CA135:$DV135,INDEX('MC MAP'!$DA$5:$EV$30,5,0))</f>
        <v>0</v>
      </c>
      <c r="G135" s="2">
        <f>SUMPRODUCT($CA135:$DV135,INDEX('MC MAP'!$DA$5:$EV$30,6,0))</f>
        <v>0</v>
      </c>
      <c r="H135" s="2">
        <f>SUMPRODUCT($CA135:$DV135,INDEX('MC MAP'!$DA$5:$EV$30,7,0))</f>
        <v>0</v>
      </c>
      <c r="I135" s="2">
        <f>SUMPRODUCT($CA135:$DV135,INDEX('MC MAP'!$DA$5:$EV$30,8,0))</f>
        <v>0</v>
      </c>
      <c r="J135" s="2">
        <f>SUMPRODUCT($CA135:$DV135,INDEX('MC MAP'!$DA$5:$EV$30,9,0))</f>
        <v>0</v>
      </c>
      <c r="K135" s="2">
        <f>SUMPRODUCT($CA135:$DV135,INDEX('MC MAP'!$DA$5:$EV$30,10,0))</f>
        <v>0</v>
      </c>
      <c r="L135" s="2">
        <f>SUMPRODUCT($CA135:$DV135,INDEX('MC MAP'!$DA$5:$EV$30,11,0))</f>
        <v>0</v>
      </c>
      <c r="M135" s="2">
        <f>SUMPRODUCT($CA135:$DV135,INDEX('MC MAP'!$DA$5:$EV$30,12,0))</f>
        <v>0</v>
      </c>
      <c r="N135" s="2">
        <f>SUMPRODUCT($CA135:$DV135,INDEX('MC MAP'!$DA$5:$EV$30,13,0))</f>
        <v>0</v>
      </c>
      <c r="O135" s="2">
        <f>SUMPRODUCT($CA135:$DV135,INDEX('MC MAP'!$DA$5:$EV$30,14,0))</f>
        <v>0</v>
      </c>
      <c r="P135" s="2">
        <f>SUMPRODUCT($CA135:$DV135,INDEX('MC MAP'!$DA$5:$EV$30,15,0))</f>
        <v>0</v>
      </c>
      <c r="Q135" s="2">
        <f>SUMPRODUCT($CA135:$DV135,INDEX('MC MAP'!$DA$5:$EV$30,16,0))</f>
        <v>0</v>
      </c>
      <c r="R135" s="2">
        <f>SUMPRODUCT($CA135:$DV135,INDEX('MC MAP'!$DA$5:$EV$30,17,0))</f>
        <v>0</v>
      </c>
      <c r="S135" s="2">
        <f>SUMPRODUCT($CA135:$DV135,INDEX('MC MAP'!$DA$5:$EV$30,18,0))</f>
        <v>0</v>
      </c>
      <c r="T135" s="2">
        <f>SUMPRODUCT($CA135:$DV135,INDEX('MC MAP'!$DA$5:$EV$30,19,0))</f>
        <v>0</v>
      </c>
      <c r="U135" s="2">
        <f>SUMPRODUCT($CA135:$DV135,INDEX('MC MAP'!$DA$5:$EV$30,20,0))</f>
        <v>0</v>
      </c>
      <c r="V135" s="2">
        <f>SUMPRODUCT($CA135:$DV135,INDEX('MC MAP'!$DA$5:$EV$30,21,0))</f>
        <v>0</v>
      </c>
      <c r="W135" s="2">
        <f>SUMPRODUCT($CA135:$DV135,INDEX('MC MAP'!$DA$5:$EV$30,22,0))</f>
        <v>0</v>
      </c>
      <c r="X135" s="2">
        <f>SUMPRODUCT($CA135:$DV135,INDEX('MC MAP'!$DA$5:$EV$30,23,0))</f>
        <v>0</v>
      </c>
      <c r="Y135" s="2">
        <f>SUMPRODUCT($CA135:$DV135,INDEX('MC MAP'!$DA$5:$EV$30,24,0))</f>
        <v>0</v>
      </c>
      <c r="Z135" s="2">
        <f>SUMPRODUCT($CA135:$DV135,INDEX('MC MAP'!$DA$5:$EV$30,25,0))</f>
        <v>0</v>
      </c>
      <c r="AA135" s="2">
        <f>SUMPRODUCT($CA135:$DV135,INDEX('MC MAP'!$DA$5:$EV$30,26,0))</f>
        <v>0</v>
      </c>
      <c r="AB135" s="2">
        <f>SUM($B135:$AA135)</f>
        <v>0</v>
      </c>
      <c r="AC135" s="2">
        <f>SUM($CA135:$DV135)+$AW135</f>
        <v>0</v>
      </c>
      <c r="AW135" s="2">
        <f>IF($A135=0,0,COUNTIF(INDEX('LINE PLAN'!$B$36:$GS$61,0,ROW()-3),"THERMAL - NOT SPECIFIED"))</f>
        <v>0</v>
      </c>
      <c r="AX135" s="506" cm="1">
        <f t="array" ref="AX135">IF(OR($AB135=0,UPPER($BS135)&lt;&gt;"Y"),0,SUMPRODUCT(--($B135:$AA135&gt;$B$205:$AA$205)))</f>
        <v>0</v>
      </c>
      <c r="AY135" s="507">
        <f>$A135</f>
        <v>0</v>
      </c>
      <c r="AZ135" s="2">
        <f>$AB135</f>
        <v>0</v>
      </c>
      <c r="BA135" s="2">
        <f>'MC MASTER'!$C$29</f>
        <v>920</v>
      </c>
      <c r="BQ135" s="509">
        <f>$A135</f>
        <v>0</v>
      </c>
      <c r="BR135" s="15" t="str">
        <f>TEXT($A135,"ddd")</f>
        <v>Sat</v>
      </c>
      <c r="BS135" s="547" t="str">
        <f>IF($A135=0,"",IF(WEEKDAY($A135,2)=7,"N","Y"))</f>
        <v/>
      </c>
      <c r="BT135" s="15">
        <f>IF(UPPER($BS135)="Y",$AB135,0)</f>
        <v>0</v>
      </c>
      <c r="CA135" s="2">
        <f>COUNTIF(INDEX('LINE PLAN'!$B$36:$GS$61,0,ROW()-3),CA$3)</f>
        <v>0</v>
      </c>
      <c r="CB135" s="2">
        <f>COUNTIF(INDEX('LINE PLAN'!$B$36:$GS$61,0,ROW()-3),CB$3)</f>
        <v>0</v>
      </c>
      <c r="CC135" s="2">
        <f>COUNTIF(INDEX('LINE PLAN'!$B$36:$GS$61,0,ROW()-3),CC$3)</f>
        <v>0</v>
      </c>
      <c r="CD135" s="2">
        <f>COUNTIF(INDEX('LINE PLAN'!$B$36:$GS$61,0,ROW()-3),CD$3)</f>
        <v>0</v>
      </c>
      <c r="CE135" s="2">
        <f>COUNTIF(INDEX('LINE PLAN'!$B$36:$GS$61,0,ROW()-3),CE$3)</f>
        <v>0</v>
      </c>
      <c r="CF135" s="2">
        <f>COUNTIF(INDEX('LINE PLAN'!$B$36:$GS$61,0,ROW()-3),CF$3)</f>
        <v>0</v>
      </c>
      <c r="CG135" s="2">
        <f>COUNTIF(INDEX('LINE PLAN'!$B$36:$GS$61,0,ROW()-3),CG$3)</f>
        <v>0</v>
      </c>
      <c r="CH135" s="2">
        <f>COUNTIF(INDEX('LINE PLAN'!$B$36:$GS$61,0,ROW()-3),CH$3)</f>
        <v>0</v>
      </c>
      <c r="CI135" s="2">
        <f>COUNTIF(INDEX('LINE PLAN'!$B$36:$GS$61,0,ROW()-3),CI$3)</f>
        <v>0</v>
      </c>
      <c r="CJ135" s="2">
        <f>COUNTIF(INDEX('LINE PLAN'!$B$36:$GS$61,0,ROW()-3),CJ$3)</f>
        <v>0</v>
      </c>
      <c r="CK135" s="2">
        <f>COUNTIF(INDEX('LINE PLAN'!$B$36:$GS$61,0,ROW()-3),CK$3)</f>
        <v>0</v>
      </c>
      <c r="CL135" s="2">
        <f>COUNTIF(INDEX('LINE PLAN'!$B$36:$GS$61,0,ROW()-3),CL$3)</f>
        <v>0</v>
      </c>
      <c r="CM135" s="2">
        <f>COUNTIF(INDEX('LINE PLAN'!$B$36:$GS$61,0,ROW()-3),CM$3)</f>
        <v>0</v>
      </c>
      <c r="CN135" s="2">
        <f>COUNTIF(INDEX('LINE PLAN'!$B$36:$GS$61,0,ROW()-3),CN$3)</f>
        <v>0</v>
      </c>
      <c r="CO135" s="2">
        <f>COUNTIF(INDEX('LINE PLAN'!$B$36:$GS$61,0,ROW()-3),CO$3)</f>
        <v>0</v>
      </c>
      <c r="CP135" s="2">
        <f>COUNTIF(INDEX('LINE PLAN'!$B$36:$GS$61,0,ROW()-3),CP$3)</f>
        <v>0</v>
      </c>
      <c r="CQ135" s="2">
        <f>COUNTIF(INDEX('LINE PLAN'!$B$36:$GS$61,0,ROW()-3),CQ$3)</f>
        <v>0</v>
      </c>
      <c r="CR135" s="2">
        <f>COUNTIF(INDEX('LINE PLAN'!$B$36:$GS$61,0,ROW()-3),CR$3)</f>
        <v>0</v>
      </c>
      <c r="CS135" s="2">
        <f>COUNTIF(INDEX('LINE PLAN'!$B$36:$GS$61,0,ROW()-3),CS$3)</f>
        <v>0</v>
      </c>
      <c r="CT135" s="2">
        <f>COUNTIF(INDEX('LINE PLAN'!$B$36:$GS$61,0,ROW()-3),CT$3)</f>
        <v>0</v>
      </c>
      <c r="CU135" s="2">
        <f>COUNTIF(INDEX('LINE PLAN'!$B$36:$GS$61,0,ROW()-3),CU$3)</f>
        <v>0</v>
      </c>
      <c r="CV135" s="2">
        <f>COUNTIF(INDEX('LINE PLAN'!$B$36:$GS$61,0,ROW()-3),CV$3)</f>
        <v>0</v>
      </c>
      <c r="CW135" s="2">
        <f>COUNTIF(INDEX('LINE PLAN'!$B$36:$GS$61,0,ROW()-3),CW$3)</f>
        <v>0</v>
      </c>
      <c r="CX135" s="2">
        <f>COUNTIF(INDEX('LINE PLAN'!$B$36:$GS$61,0,ROW()-3),CX$3)</f>
        <v>0</v>
      </c>
      <c r="CY135" s="2">
        <f>COUNTIF(INDEX('LINE PLAN'!$B$36:$GS$61,0,ROW()-3),CY$3)</f>
        <v>0</v>
      </c>
      <c r="CZ135" s="2">
        <f>COUNTIF(INDEX('LINE PLAN'!$B$36:$GS$61,0,ROW()-3),CZ$3)</f>
        <v>0</v>
      </c>
      <c r="DA135" s="2">
        <f>COUNTIF(INDEX('LINE PLAN'!$B$36:$GS$61,0,ROW()-3),DA$3)</f>
        <v>0</v>
      </c>
      <c r="DB135" s="2">
        <f>COUNTIF(INDEX('LINE PLAN'!$B$36:$GS$61,0,ROW()-3),DB$3)</f>
        <v>0</v>
      </c>
      <c r="DC135" s="2">
        <f>COUNTIF(INDEX('LINE PLAN'!$B$36:$GS$61,0,ROW()-3),DC$3)</f>
        <v>0</v>
      </c>
      <c r="DD135" s="2">
        <f>COUNTIF(INDEX('LINE PLAN'!$B$36:$GS$61,0,ROW()-3),DD$3)</f>
        <v>0</v>
      </c>
      <c r="DE135" s="2">
        <f>COUNTIF(INDEX('LINE PLAN'!$B$36:$GS$61,0,ROW()-3),DE$3)</f>
        <v>0</v>
      </c>
      <c r="DF135" s="2">
        <f>COUNTIF(INDEX('LINE PLAN'!$B$36:$GS$61,0,ROW()-3),DF$3)</f>
        <v>0</v>
      </c>
      <c r="DG135" s="2">
        <f>COUNTIF(INDEX('LINE PLAN'!$B$36:$GS$61,0,ROW()-3),DG$3)</f>
        <v>0</v>
      </c>
      <c r="DH135" s="2">
        <f>COUNTIF(INDEX('LINE PLAN'!$B$36:$GS$61,0,ROW()-3),DH$3)</f>
        <v>0</v>
      </c>
      <c r="DI135" s="2">
        <f>COUNTIF(INDEX('LINE PLAN'!$B$36:$GS$61,0,ROW()-3),DI$3)</f>
        <v>0</v>
      </c>
      <c r="DJ135" s="2">
        <f>COUNTIF(INDEX('LINE PLAN'!$B$36:$GS$61,0,ROW()-3),DJ$3)</f>
        <v>0</v>
      </c>
      <c r="DK135" s="2">
        <f>COUNTIF(INDEX('LINE PLAN'!$B$36:$GS$61,0,ROW()-3),DK$3)</f>
        <v>0</v>
      </c>
      <c r="DL135" s="2">
        <f>COUNTIF(INDEX('LINE PLAN'!$B$36:$GS$61,0,ROW()-3),DL$3)</f>
        <v>0</v>
      </c>
      <c r="DM135" s="2">
        <f>COUNTIF(INDEX('LINE PLAN'!$B$36:$GS$61,0,ROW()-3),DM$3)</f>
        <v>0</v>
      </c>
      <c r="DN135" s="2">
        <f>COUNTIF(INDEX('LINE PLAN'!$B$36:$GS$61,0,ROW()-3),DN$3)</f>
        <v>0</v>
      </c>
      <c r="DO135" s="2">
        <f>COUNTIF(INDEX('LINE PLAN'!$B$36:$GS$61,0,ROW()-3),DO$3)</f>
        <v>0</v>
      </c>
      <c r="DP135" s="2">
        <f>COUNTIF(INDEX('LINE PLAN'!$B$36:$GS$61,0,ROW()-3),DP$3)</f>
        <v>0</v>
      </c>
      <c r="DQ135" s="2">
        <f>COUNTIF(INDEX('LINE PLAN'!$B$36:$GS$61,0,ROW()-3),DQ$3)</f>
        <v>0</v>
      </c>
      <c r="DR135" s="2">
        <f>COUNTIF(INDEX('LINE PLAN'!$B$36:$GS$61,0,ROW()-3),DR$3)</f>
        <v>0</v>
      </c>
      <c r="DS135" s="2">
        <f>COUNTIF(INDEX('LINE PLAN'!$B$36:$GS$61,0,ROW()-3),DS$3)</f>
        <v>0</v>
      </c>
      <c r="DT135" s="2">
        <f>COUNTIF(INDEX('LINE PLAN'!$B$36:$GS$61,0,ROW()-3),DT$3)</f>
        <v>0</v>
      </c>
      <c r="DU135" s="2">
        <f>COUNTIF(INDEX('LINE PLAN'!$B$36:$GS$61,0,ROW()-3),DU$3)</f>
        <v>0</v>
      </c>
      <c r="DV135" s="2">
        <f>COUNTIF(INDEX('LINE PLAN'!$B$36:$GS$61,0,ROW()-3),DV$3)</f>
        <v>0</v>
      </c>
    </row>
    <row r="136" spans="1:126">
      <c r="A136" s="505" cm="1">
        <f t="array" ref="A136">INDEX('LINE PLAN'!$B$35:$GS$35,ROW()-3)</f>
        <v>0</v>
      </c>
      <c r="B136" s="2">
        <f>SUMPRODUCT($CA136:$DV136,INDEX('MC MAP'!$DA$5:$EV$30,1,0))</f>
        <v>0</v>
      </c>
      <c r="C136" s="2">
        <f>SUMPRODUCT($CA136:$DV136,INDEX('MC MAP'!$DA$5:$EV$30,2,0))</f>
        <v>0</v>
      </c>
      <c r="D136" s="2">
        <f>SUMPRODUCT($CA136:$DV136,INDEX('MC MAP'!$DA$5:$EV$30,3,0))</f>
        <v>0</v>
      </c>
      <c r="E136" s="2">
        <f>SUMPRODUCT($CA136:$DV136,INDEX('MC MAP'!$DA$5:$EV$30,4,0))</f>
        <v>0</v>
      </c>
      <c r="F136" s="2">
        <f>SUMPRODUCT($CA136:$DV136,INDEX('MC MAP'!$DA$5:$EV$30,5,0))</f>
        <v>0</v>
      </c>
      <c r="G136" s="2">
        <f>SUMPRODUCT($CA136:$DV136,INDEX('MC MAP'!$DA$5:$EV$30,6,0))</f>
        <v>0</v>
      </c>
      <c r="H136" s="2">
        <f>SUMPRODUCT($CA136:$DV136,INDEX('MC MAP'!$DA$5:$EV$30,7,0))</f>
        <v>0</v>
      </c>
      <c r="I136" s="2">
        <f>SUMPRODUCT($CA136:$DV136,INDEX('MC MAP'!$DA$5:$EV$30,8,0))</f>
        <v>0</v>
      </c>
      <c r="J136" s="2">
        <f>SUMPRODUCT($CA136:$DV136,INDEX('MC MAP'!$DA$5:$EV$30,9,0))</f>
        <v>0</v>
      </c>
      <c r="K136" s="2">
        <f>SUMPRODUCT($CA136:$DV136,INDEX('MC MAP'!$DA$5:$EV$30,10,0))</f>
        <v>0</v>
      </c>
      <c r="L136" s="2">
        <f>SUMPRODUCT($CA136:$DV136,INDEX('MC MAP'!$DA$5:$EV$30,11,0))</f>
        <v>0</v>
      </c>
      <c r="M136" s="2">
        <f>SUMPRODUCT($CA136:$DV136,INDEX('MC MAP'!$DA$5:$EV$30,12,0))</f>
        <v>0</v>
      </c>
      <c r="N136" s="2">
        <f>SUMPRODUCT($CA136:$DV136,INDEX('MC MAP'!$DA$5:$EV$30,13,0))</f>
        <v>0</v>
      </c>
      <c r="O136" s="2">
        <f>SUMPRODUCT($CA136:$DV136,INDEX('MC MAP'!$DA$5:$EV$30,14,0))</f>
        <v>0</v>
      </c>
      <c r="P136" s="2">
        <f>SUMPRODUCT($CA136:$DV136,INDEX('MC MAP'!$DA$5:$EV$30,15,0))</f>
        <v>0</v>
      </c>
      <c r="Q136" s="2">
        <f>SUMPRODUCT($CA136:$DV136,INDEX('MC MAP'!$DA$5:$EV$30,16,0))</f>
        <v>0</v>
      </c>
      <c r="R136" s="2">
        <f>SUMPRODUCT($CA136:$DV136,INDEX('MC MAP'!$DA$5:$EV$30,17,0))</f>
        <v>0</v>
      </c>
      <c r="S136" s="2">
        <f>SUMPRODUCT($CA136:$DV136,INDEX('MC MAP'!$DA$5:$EV$30,18,0))</f>
        <v>0</v>
      </c>
      <c r="T136" s="2">
        <f>SUMPRODUCT($CA136:$DV136,INDEX('MC MAP'!$DA$5:$EV$30,19,0))</f>
        <v>0</v>
      </c>
      <c r="U136" s="2">
        <f>SUMPRODUCT($CA136:$DV136,INDEX('MC MAP'!$DA$5:$EV$30,20,0))</f>
        <v>0</v>
      </c>
      <c r="V136" s="2">
        <f>SUMPRODUCT($CA136:$DV136,INDEX('MC MAP'!$DA$5:$EV$30,21,0))</f>
        <v>0</v>
      </c>
      <c r="W136" s="2">
        <f>SUMPRODUCT($CA136:$DV136,INDEX('MC MAP'!$DA$5:$EV$30,22,0))</f>
        <v>0</v>
      </c>
      <c r="X136" s="2">
        <f>SUMPRODUCT($CA136:$DV136,INDEX('MC MAP'!$DA$5:$EV$30,23,0))</f>
        <v>0</v>
      </c>
      <c r="Y136" s="2">
        <f>SUMPRODUCT($CA136:$DV136,INDEX('MC MAP'!$DA$5:$EV$30,24,0))</f>
        <v>0</v>
      </c>
      <c r="Z136" s="2">
        <f>SUMPRODUCT($CA136:$DV136,INDEX('MC MAP'!$DA$5:$EV$30,25,0))</f>
        <v>0</v>
      </c>
      <c r="AA136" s="2">
        <f>SUMPRODUCT($CA136:$DV136,INDEX('MC MAP'!$DA$5:$EV$30,26,0))</f>
        <v>0</v>
      </c>
      <c r="AB136" s="2">
        <f>SUM($B136:$AA136)</f>
        <v>0</v>
      </c>
      <c r="AC136" s="2">
        <f>SUM($CA136:$DV136)+$AW136</f>
        <v>0</v>
      </c>
      <c r="AW136" s="2">
        <f>IF($A136=0,0,COUNTIF(INDEX('LINE PLAN'!$B$36:$GS$61,0,ROW()-3),"THERMAL - NOT SPECIFIED"))</f>
        <v>0</v>
      </c>
      <c r="AX136" s="506" cm="1">
        <f t="array" ref="AX136">IF(OR($AB136=0,UPPER($BS136)&lt;&gt;"Y"),0,SUMPRODUCT(--($B136:$AA136&gt;$B$205:$AA$205)))</f>
        <v>0</v>
      </c>
      <c r="AY136" s="507">
        <f>$A136</f>
        <v>0</v>
      </c>
      <c r="AZ136" s="2">
        <f>$AB136</f>
        <v>0</v>
      </c>
      <c r="BA136" s="2">
        <f>'MC MASTER'!$C$29</f>
        <v>920</v>
      </c>
      <c r="BQ136" s="509">
        <f>$A136</f>
        <v>0</v>
      </c>
      <c r="BR136" s="15" t="str">
        <f>TEXT($A136,"ddd")</f>
        <v>Sat</v>
      </c>
      <c r="BS136" s="547" t="str">
        <f>IF($A136=0,"",IF(WEEKDAY($A136,2)=7,"N","Y"))</f>
        <v/>
      </c>
      <c r="BT136" s="15">
        <f>IF(UPPER($BS136)="Y",$AB136,0)</f>
        <v>0</v>
      </c>
      <c r="CA136" s="2">
        <f>COUNTIF(INDEX('LINE PLAN'!$B$36:$GS$61,0,ROW()-3),CA$3)</f>
        <v>0</v>
      </c>
      <c r="CB136" s="2">
        <f>COUNTIF(INDEX('LINE PLAN'!$B$36:$GS$61,0,ROW()-3),CB$3)</f>
        <v>0</v>
      </c>
      <c r="CC136" s="2">
        <f>COUNTIF(INDEX('LINE PLAN'!$B$36:$GS$61,0,ROW()-3),CC$3)</f>
        <v>0</v>
      </c>
      <c r="CD136" s="2">
        <f>COUNTIF(INDEX('LINE PLAN'!$B$36:$GS$61,0,ROW()-3),CD$3)</f>
        <v>0</v>
      </c>
      <c r="CE136" s="2">
        <f>COUNTIF(INDEX('LINE PLAN'!$B$36:$GS$61,0,ROW()-3),CE$3)</f>
        <v>0</v>
      </c>
      <c r="CF136" s="2">
        <f>COUNTIF(INDEX('LINE PLAN'!$B$36:$GS$61,0,ROW()-3),CF$3)</f>
        <v>0</v>
      </c>
      <c r="CG136" s="2">
        <f>COUNTIF(INDEX('LINE PLAN'!$B$36:$GS$61,0,ROW()-3),CG$3)</f>
        <v>0</v>
      </c>
      <c r="CH136" s="2">
        <f>COUNTIF(INDEX('LINE PLAN'!$B$36:$GS$61,0,ROW()-3),CH$3)</f>
        <v>0</v>
      </c>
      <c r="CI136" s="2">
        <f>COUNTIF(INDEX('LINE PLAN'!$B$36:$GS$61,0,ROW()-3),CI$3)</f>
        <v>0</v>
      </c>
      <c r="CJ136" s="2">
        <f>COUNTIF(INDEX('LINE PLAN'!$B$36:$GS$61,0,ROW()-3),CJ$3)</f>
        <v>0</v>
      </c>
      <c r="CK136" s="2">
        <f>COUNTIF(INDEX('LINE PLAN'!$B$36:$GS$61,0,ROW()-3),CK$3)</f>
        <v>0</v>
      </c>
      <c r="CL136" s="2">
        <f>COUNTIF(INDEX('LINE PLAN'!$B$36:$GS$61,0,ROW()-3),CL$3)</f>
        <v>0</v>
      </c>
      <c r="CM136" s="2">
        <f>COUNTIF(INDEX('LINE PLAN'!$B$36:$GS$61,0,ROW()-3),CM$3)</f>
        <v>0</v>
      </c>
      <c r="CN136" s="2">
        <f>COUNTIF(INDEX('LINE PLAN'!$B$36:$GS$61,0,ROW()-3),CN$3)</f>
        <v>0</v>
      </c>
      <c r="CO136" s="2">
        <f>COUNTIF(INDEX('LINE PLAN'!$B$36:$GS$61,0,ROW()-3),CO$3)</f>
        <v>0</v>
      </c>
      <c r="CP136" s="2">
        <f>COUNTIF(INDEX('LINE PLAN'!$B$36:$GS$61,0,ROW()-3),CP$3)</f>
        <v>0</v>
      </c>
      <c r="CQ136" s="2">
        <f>COUNTIF(INDEX('LINE PLAN'!$B$36:$GS$61,0,ROW()-3),CQ$3)</f>
        <v>0</v>
      </c>
      <c r="CR136" s="2">
        <f>COUNTIF(INDEX('LINE PLAN'!$B$36:$GS$61,0,ROW()-3),CR$3)</f>
        <v>0</v>
      </c>
      <c r="CS136" s="2">
        <f>COUNTIF(INDEX('LINE PLAN'!$B$36:$GS$61,0,ROW()-3),CS$3)</f>
        <v>0</v>
      </c>
      <c r="CT136" s="2">
        <f>COUNTIF(INDEX('LINE PLAN'!$B$36:$GS$61,0,ROW()-3),CT$3)</f>
        <v>0</v>
      </c>
      <c r="CU136" s="2">
        <f>COUNTIF(INDEX('LINE PLAN'!$B$36:$GS$61,0,ROW()-3),CU$3)</f>
        <v>0</v>
      </c>
      <c r="CV136" s="2">
        <f>COUNTIF(INDEX('LINE PLAN'!$B$36:$GS$61,0,ROW()-3),CV$3)</f>
        <v>0</v>
      </c>
      <c r="CW136" s="2">
        <f>COUNTIF(INDEX('LINE PLAN'!$B$36:$GS$61,0,ROW()-3),CW$3)</f>
        <v>0</v>
      </c>
      <c r="CX136" s="2">
        <f>COUNTIF(INDEX('LINE PLAN'!$B$36:$GS$61,0,ROW()-3),CX$3)</f>
        <v>0</v>
      </c>
      <c r="CY136" s="2">
        <f>COUNTIF(INDEX('LINE PLAN'!$B$36:$GS$61,0,ROW()-3),CY$3)</f>
        <v>0</v>
      </c>
      <c r="CZ136" s="2">
        <f>COUNTIF(INDEX('LINE PLAN'!$B$36:$GS$61,0,ROW()-3),CZ$3)</f>
        <v>0</v>
      </c>
      <c r="DA136" s="2">
        <f>COUNTIF(INDEX('LINE PLAN'!$B$36:$GS$61,0,ROW()-3),DA$3)</f>
        <v>0</v>
      </c>
      <c r="DB136" s="2">
        <f>COUNTIF(INDEX('LINE PLAN'!$B$36:$GS$61,0,ROW()-3),DB$3)</f>
        <v>0</v>
      </c>
      <c r="DC136" s="2">
        <f>COUNTIF(INDEX('LINE PLAN'!$B$36:$GS$61,0,ROW()-3),DC$3)</f>
        <v>0</v>
      </c>
      <c r="DD136" s="2">
        <f>COUNTIF(INDEX('LINE PLAN'!$B$36:$GS$61,0,ROW()-3),DD$3)</f>
        <v>0</v>
      </c>
      <c r="DE136" s="2">
        <f>COUNTIF(INDEX('LINE PLAN'!$B$36:$GS$61,0,ROW()-3),DE$3)</f>
        <v>0</v>
      </c>
      <c r="DF136" s="2">
        <f>COUNTIF(INDEX('LINE PLAN'!$B$36:$GS$61,0,ROW()-3),DF$3)</f>
        <v>0</v>
      </c>
      <c r="DG136" s="2">
        <f>COUNTIF(INDEX('LINE PLAN'!$B$36:$GS$61,0,ROW()-3),DG$3)</f>
        <v>0</v>
      </c>
      <c r="DH136" s="2">
        <f>COUNTIF(INDEX('LINE PLAN'!$B$36:$GS$61,0,ROW()-3),DH$3)</f>
        <v>0</v>
      </c>
      <c r="DI136" s="2">
        <f>COUNTIF(INDEX('LINE PLAN'!$B$36:$GS$61,0,ROW()-3),DI$3)</f>
        <v>0</v>
      </c>
      <c r="DJ136" s="2">
        <f>COUNTIF(INDEX('LINE PLAN'!$B$36:$GS$61,0,ROW()-3),DJ$3)</f>
        <v>0</v>
      </c>
      <c r="DK136" s="2">
        <f>COUNTIF(INDEX('LINE PLAN'!$B$36:$GS$61,0,ROW()-3),DK$3)</f>
        <v>0</v>
      </c>
      <c r="DL136" s="2">
        <f>COUNTIF(INDEX('LINE PLAN'!$B$36:$GS$61,0,ROW()-3),DL$3)</f>
        <v>0</v>
      </c>
      <c r="DM136" s="2">
        <f>COUNTIF(INDEX('LINE PLAN'!$B$36:$GS$61,0,ROW()-3),DM$3)</f>
        <v>0</v>
      </c>
      <c r="DN136" s="2">
        <f>COUNTIF(INDEX('LINE PLAN'!$B$36:$GS$61,0,ROW()-3),DN$3)</f>
        <v>0</v>
      </c>
      <c r="DO136" s="2">
        <f>COUNTIF(INDEX('LINE PLAN'!$B$36:$GS$61,0,ROW()-3),DO$3)</f>
        <v>0</v>
      </c>
      <c r="DP136" s="2">
        <f>COUNTIF(INDEX('LINE PLAN'!$B$36:$GS$61,0,ROW()-3),DP$3)</f>
        <v>0</v>
      </c>
      <c r="DQ136" s="2">
        <f>COUNTIF(INDEX('LINE PLAN'!$B$36:$GS$61,0,ROW()-3),DQ$3)</f>
        <v>0</v>
      </c>
      <c r="DR136" s="2">
        <f>COUNTIF(INDEX('LINE PLAN'!$B$36:$GS$61,0,ROW()-3),DR$3)</f>
        <v>0</v>
      </c>
      <c r="DS136" s="2">
        <f>COUNTIF(INDEX('LINE PLAN'!$B$36:$GS$61,0,ROW()-3),DS$3)</f>
        <v>0</v>
      </c>
      <c r="DT136" s="2">
        <f>COUNTIF(INDEX('LINE PLAN'!$B$36:$GS$61,0,ROW()-3),DT$3)</f>
        <v>0</v>
      </c>
      <c r="DU136" s="2">
        <f>COUNTIF(INDEX('LINE PLAN'!$B$36:$GS$61,0,ROW()-3),DU$3)</f>
        <v>0</v>
      </c>
      <c r="DV136" s="2">
        <f>COUNTIF(INDEX('LINE PLAN'!$B$36:$GS$61,0,ROW()-3),DV$3)</f>
        <v>0</v>
      </c>
    </row>
    <row r="137" spans="1:126">
      <c r="A137" s="505" cm="1">
        <f t="array" ref="A137">INDEX('LINE PLAN'!$B$35:$GS$35,ROW()-3)</f>
        <v>0</v>
      </c>
      <c r="B137" s="2">
        <f>SUMPRODUCT($CA137:$DV137,INDEX('MC MAP'!$DA$5:$EV$30,1,0))</f>
        <v>0</v>
      </c>
      <c r="C137" s="2">
        <f>SUMPRODUCT($CA137:$DV137,INDEX('MC MAP'!$DA$5:$EV$30,2,0))</f>
        <v>0</v>
      </c>
      <c r="D137" s="2">
        <f>SUMPRODUCT($CA137:$DV137,INDEX('MC MAP'!$DA$5:$EV$30,3,0))</f>
        <v>0</v>
      </c>
      <c r="E137" s="2">
        <f>SUMPRODUCT($CA137:$DV137,INDEX('MC MAP'!$DA$5:$EV$30,4,0))</f>
        <v>0</v>
      </c>
      <c r="F137" s="2">
        <f>SUMPRODUCT($CA137:$DV137,INDEX('MC MAP'!$DA$5:$EV$30,5,0))</f>
        <v>0</v>
      </c>
      <c r="G137" s="2">
        <f>SUMPRODUCT($CA137:$DV137,INDEX('MC MAP'!$DA$5:$EV$30,6,0))</f>
        <v>0</v>
      </c>
      <c r="H137" s="2">
        <f>SUMPRODUCT($CA137:$DV137,INDEX('MC MAP'!$DA$5:$EV$30,7,0))</f>
        <v>0</v>
      </c>
      <c r="I137" s="2">
        <f>SUMPRODUCT($CA137:$DV137,INDEX('MC MAP'!$DA$5:$EV$30,8,0))</f>
        <v>0</v>
      </c>
      <c r="J137" s="2">
        <f>SUMPRODUCT($CA137:$DV137,INDEX('MC MAP'!$DA$5:$EV$30,9,0))</f>
        <v>0</v>
      </c>
      <c r="K137" s="2">
        <f>SUMPRODUCT($CA137:$DV137,INDEX('MC MAP'!$DA$5:$EV$30,10,0))</f>
        <v>0</v>
      </c>
      <c r="L137" s="2">
        <f>SUMPRODUCT($CA137:$DV137,INDEX('MC MAP'!$DA$5:$EV$30,11,0))</f>
        <v>0</v>
      </c>
      <c r="M137" s="2">
        <f>SUMPRODUCT($CA137:$DV137,INDEX('MC MAP'!$DA$5:$EV$30,12,0))</f>
        <v>0</v>
      </c>
      <c r="N137" s="2">
        <f>SUMPRODUCT($CA137:$DV137,INDEX('MC MAP'!$DA$5:$EV$30,13,0))</f>
        <v>0</v>
      </c>
      <c r="O137" s="2">
        <f>SUMPRODUCT($CA137:$DV137,INDEX('MC MAP'!$DA$5:$EV$30,14,0))</f>
        <v>0</v>
      </c>
      <c r="P137" s="2">
        <f>SUMPRODUCT($CA137:$DV137,INDEX('MC MAP'!$DA$5:$EV$30,15,0))</f>
        <v>0</v>
      </c>
      <c r="Q137" s="2">
        <f>SUMPRODUCT($CA137:$DV137,INDEX('MC MAP'!$DA$5:$EV$30,16,0))</f>
        <v>0</v>
      </c>
      <c r="R137" s="2">
        <f>SUMPRODUCT($CA137:$DV137,INDEX('MC MAP'!$DA$5:$EV$30,17,0))</f>
        <v>0</v>
      </c>
      <c r="S137" s="2">
        <f>SUMPRODUCT($CA137:$DV137,INDEX('MC MAP'!$DA$5:$EV$30,18,0))</f>
        <v>0</v>
      </c>
      <c r="T137" s="2">
        <f>SUMPRODUCT($CA137:$DV137,INDEX('MC MAP'!$DA$5:$EV$30,19,0))</f>
        <v>0</v>
      </c>
      <c r="U137" s="2">
        <f>SUMPRODUCT($CA137:$DV137,INDEX('MC MAP'!$DA$5:$EV$30,20,0))</f>
        <v>0</v>
      </c>
      <c r="V137" s="2">
        <f>SUMPRODUCT($CA137:$DV137,INDEX('MC MAP'!$DA$5:$EV$30,21,0))</f>
        <v>0</v>
      </c>
      <c r="W137" s="2">
        <f>SUMPRODUCT($CA137:$DV137,INDEX('MC MAP'!$DA$5:$EV$30,22,0))</f>
        <v>0</v>
      </c>
      <c r="X137" s="2">
        <f>SUMPRODUCT($CA137:$DV137,INDEX('MC MAP'!$DA$5:$EV$30,23,0))</f>
        <v>0</v>
      </c>
      <c r="Y137" s="2">
        <f>SUMPRODUCT($CA137:$DV137,INDEX('MC MAP'!$DA$5:$EV$30,24,0))</f>
        <v>0</v>
      </c>
      <c r="Z137" s="2">
        <f>SUMPRODUCT($CA137:$DV137,INDEX('MC MAP'!$DA$5:$EV$30,25,0))</f>
        <v>0</v>
      </c>
      <c r="AA137" s="2">
        <f>SUMPRODUCT($CA137:$DV137,INDEX('MC MAP'!$DA$5:$EV$30,26,0))</f>
        <v>0</v>
      </c>
      <c r="AB137" s="2">
        <f>SUM($B137:$AA137)</f>
        <v>0</v>
      </c>
      <c r="AC137" s="2">
        <f>SUM($CA137:$DV137)+$AW137</f>
        <v>0</v>
      </c>
      <c r="AW137" s="2">
        <f>IF($A137=0,0,COUNTIF(INDEX('LINE PLAN'!$B$36:$GS$61,0,ROW()-3),"THERMAL - NOT SPECIFIED"))</f>
        <v>0</v>
      </c>
      <c r="AX137" s="506" cm="1">
        <f t="array" ref="AX137">IF(OR($AB137=0,UPPER($BS137)&lt;&gt;"Y"),0,SUMPRODUCT(--($B137:$AA137&gt;$B$205:$AA$205)))</f>
        <v>0</v>
      </c>
      <c r="AY137" s="507">
        <f>$A137</f>
        <v>0</v>
      </c>
      <c r="AZ137" s="2">
        <f>$AB137</f>
        <v>0</v>
      </c>
      <c r="BA137" s="2">
        <f>'MC MASTER'!$C$29</f>
        <v>920</v>
      </c>
      <c r="BQ137" s="509">
        <f>$A137</f>
        <v>0</v>
      </c>
      <c r="BR137" s="15" t="str">
        <f>TEXT($A137,"ddd")</f>
        <v>Sat</v>
      </c>
      <c r="BS137" s="547" t="str">
        <f>IF($A137=0,"",IF(WEEKDAY($A137,2)=7,"N","Y"))</f>
        <v/>
      </c>
      <c r="BT137" s="15">
        <f>IF(UPPER($BS137)="Y",$AB137,0)</f>
        <v>0</v>
      </c>
      <c r="CA137" s="2">
        <f>COUNTIF(INDEX('LINE PLAN'!$B$36:$GS$61,0,ROW()-3),CA$3)</f>
        <v>0</v>
      </c>
      <c r="CB137" s="2">
        <f>COUNTIF(INDEX('LINE PLAN'!$B$36:$GS$61,0,ROW()-3),CB$3)</f>
        <v>0</v>
      </c>
      <c r="CC137" s="2">
        <f>COUNTIF(INDEX('LINE PLAN'!$B$36:$GS$61,0,ROW()-3),CC$3)</f>
        <v>0</v>
      </c>
      <c r="CD137" s="2">
        <f>COUNTIF(INDEX('LINE PLAN'!$B$36:$GS$61,0,ROW()-3),CD$3)</f>
        <v>0</v>
      </c>
      <c r="CE137" s="2">
        <f>COUNTIF(INDEX('LINE PLAN'!$B$36:$GS$61,0,ROW()-3),CE$3)</f>
        <v>0</v>
      </c>
      <c r="CF137" s="2">
        <f>COUNTIF(INDEX('LINE PLAN'!$B$36:$GS$61,0,ROW()-3),CF$3)</f>
        <v>0</v>
      </c>
      <c r="CG137" s="2">
        <f>COUNTIF(INDEX('LINE PLAN'!$B$36:$GS$61,0,ROW()-3),CG$3)</f>
        <v>0</v>
      </c>
      <c r="CH137" s="2">
        <f>COUNTIF(INDEX('LINE PLAN'!$B$36:$GS$61,0,ROW()-3),CH$3)</f>
        <v>0</v>
      </c>
      <c r="CI137" s="2">
        <f>COUNTIF(INDEX('LINE PLAN'!$B$36:$GS$61,0,ROW()-3),CI$3)</f>
        <v>0</v>
      </c>
      <c r="CJ137" s="2">
        <f>COUNTIF(INDEX('LINE PLAN'!$B$36:$GS$61,0,ROW()-3),CJ$3)</f>
        <v>0</v>
      </c>
      <c r="CK137" s="2">
        <f>COUNTIF(INDEX('LINE PLAN'!$B$36:$GS$61,0,ROW()-3),CK$3)</f>
        <v>0</v>
      </c>
      <c r="CL137" s="2">
        <f>COUNTIF(INDEX('LINE PLAN'!$B$36:$GS$61,0,ROW()-3),CL$3)</f>
        <v>0</v>
      </c>
      <c r="CM137" s="2">
        <f>COUNTIF(INDEX('LINE PLAN'!$B$36:$GS$61,0,ROW()-3),CM$3)</f>
        <v>0</v>
      </c>
      <c r="CN137" s="2">
        <f>COUNTIF(INDEX('LINE PLAN'!$B$36:$GS$61,0,ROW()-3),CN$3)</f>
        <v>0</v>
      </c>
      <c r="CO137" s="2">
        <f>COUNTIF(INDEX('LINE PLAN'!$B$36:$GS$61,0,ROW()-3),CO$3)</f>
        <v>0</v>
      </c>
      <c r="CP137" s="2">
        <f>COUNTIF(INDEX('LINE PLAN'!$B$36:$GS$61,0,ROW()-3),CP$3)</f>
        <v>0</v>
      </c>
      <c r="CQ137" s="2">
        <f>COUNTIF(INDEX('LINE PLAN'!$B$36:$GS$61,0,ROW()-3),CQ$3)</f>
        <v>0</v>
      </c>
      <c r="CR137" s="2">
        <f>COUNTIF(INDEX('LINE PLAN'!$B$36:$GS$61,0,ROW()-3),CR$3)</f>
        <v>0</v>
      </c>
      <c r="CS137" s="2">
        <f>COUNTIF(INDEX('LINE PLAN'!$B$36:$GS$61,0,ROW()-3),CS$3)</f>
        <v>0</v>
      </c>
      <c r="CT137" s="2">
        <f>COUNTIF(INDEX('LINE PLAN'!$B$36:$GS$61,0,ROW()-3),CT$3)</f>
        <v>0</v>
      </c>
      <c r="CU137" s="2">
        <f>COUNTIF(INDEX('LINE PLAN'!$B$36:$GS$61,0,ROW()-3),CU$3)</f>
        <v>0</v>
      </c>
      <c r="CV137" s="2">
        <f>COUNTIF(INDEX('LINE PLAN'!$B$36:$GS$61,0,ROW()-3),CV$3)</f>
        <v>0</v>
      </c>
      <c r="CW137" s="2">
        <f>COUNTIF(INDEX('LINE PLAN'!$B$36:$GS$61,0,ROW()-3),CW$3)</f>
        <v>0</v>
      </c>
      <c r="CX137" s="2">
        <f>COUNTIF(INDEX('LINE PLAN'!$B$36:$GS$61,0,ROW()-3),CX$3)</f>
        <v>0</v>
      </c>
      <c r="CY137" s="2">
        <f>COUNTIF(INDEX('LINE PLAN'!$B$36:$GS$61,0,ROW()-3),CY$3)</f>
        <v>0</v>
      </c>
      <c r="CZ137" s="2">
        <f>COUNTIF(INDEX('LINE PLAN'!$B$36:$GS$61,0,ROW()-3),CZ$3)</f>
        <v>0</v>
      </c>
      <c r="DA137" s="2">
        <f>COUNTIF(INDEX('LINE PLAN'!$B$36:$GS$61,0,ROW()-3),DA$3)</f>
        <v>0</v>
      </c>
      <c r="DB137" s="2">
        <f>COUNTIF(INDEX('LINE PLAN'!$B$36:$GS$61,0,ROW()-3),DB$3)</f>
        <v>0</v>
      </c>
      <c r="DC137" s="2">
        <f>COUNTIF(INDEX('LINE PLAN'!$B$36:$GS$61,0,ROW()-3),DC$3)</f>
        <v>0</v>
      </c>
      <c r="DD137" s="2">
        <f>COUNTIF(INDEX('LINE PLAN'!$B$36:$GS$61,0,ROW()-3),DD$3)</f>
        <v>0</v>
      </c>
      <c r="DE137" s="2">
        <f>COUNTIF(INDEX('LINE PLAN'!$B$36:$GS$61,0,ROW()-3),DE$3)</f>
        <v>0</v>
      </c>
      <c r="DF137" s="2">
        <f>COUNTIF(INDEX('LINE PLAN'!$B$36:$GS$61,0,ROW()-3),DF$3)</f>
        <v>0</v>
      </c>
      <c r="DG137" s="2">
        <f>COUNTIF(INDEX('LINE PLAN'!$B$36:$GS$61,0,ROW()-3),DG$3)</f>
        <v>0</v>
      </c>
      <c r="DH137" s="2">
        <f>COUNTIF(INDEX('LINE PLAN'!$B$36:$GS$61,0,ROW()-3),DH$3)</f>
        <v>0</v>
      </c>
      <c r="DI137" s="2">
        <f>COUNTIF(INDEX('LINE PLAN'!$B$36:$GS$61,0,ROW()-3),DI$3)</f>
        <v>0</v>
      </c>
      <c r="DJ137" s="2">
        <f>COUNTIF(INDEX('LINE PLAN'!$B$36:$GS$61,0,ROW()-3),DJ$3)</f>
        <v>0</v>
      </c>
      <c r="DK137" s="2">
        <f>COUNTIF(INDEX('LINE PLAN'!$B$36:$GS$61,0,ROW()-3),DK$3)</f>
        <v>0</v>
      </c>
      <c r="DL137" s="2">
        <f>COUNTIF(INDEX('LINE PLAN'!$B$36:$GS$61,0,ROW()-3),DL$3)</f>
        <v>0</v>
      </c>
      <c r="DM137" s="2">
        <f>COUNTIF(INDEX('LINE PLAN'!$B$36:$GS$61,0,ROW()-3),DM$3)</f>
        <v>0</v>
      </c>
      <c r="DN137" s="2">
        <f>COUNTIF(INDEX('LINE PLAN'!$B$36:$GS$61,0,ROW()-3),DN$3)</f>
        <v>0</v>
      </c>
      <c r="DO137" s="2">
        <f>COUNTIF(INDEX('LINE PLAN'!$B$36:$GS$61,0,ROW()-3),DO$3)</f>
        <v>0</v>
      </c>
      <c r="DP137" s="2">
        <f>COUNTIF(INDEX('LINE PLAN'!$B$36:$GS$61,0,ROW()-3),DP$3)</f>
        <v>0</v>
      </c>
      <c r="DQ137" s="2">
        <f>COUNTIF(INDEX('LINE PLAN'!$B$36:$GS$61,0,ROW()-3),DQ$3)</f>
        <v>0</v>
      </c>
      <c r="DR137" s="2">
        <f>COUNTIF(INDEX('LINE PLAN'!$B$36:$GS$61,0,ROW()-3),DR$3)</f>
        <v>0</v>
      </c>
      <c r="DS137" s="2">
        <f>COUNTIF(INDEX('LINE PLAN'!$B$36:$GS$61,0,ROW()-3),DS$3)</f>
        <v>0</v>
      </c>
      <c r="DT137" s="2">
        <f>COUNTIF(INDEX('LINE PLAN'!$B$36:$GS$61,0,ROW()-3),DT$3)</f>
        <v>0</v>
      </c>
      <c r="DU137" s="2">
        <f>COUNTIF(INDEX('LINE PLAN'!$B$36:$GS$61,0,ROW()-3),DU$3)</f>
        <v>0</v>
      </c>
      <c r="DV137" s="2">
        <f>COUNTIF(INDEX('LINE PLAN'!$B$36:$GS$61,0,ROW()-3),DV$3)</f>
        <v>0</v>
      </c>
    </row>
    <row r="138" spans="1:126">
      <c r="A138" s="505" cm="1">
        <f t="array" ref="A138">INDEX('LINE PLAN'!$B$35:$GS$35,ROW()-3)</f>
        <v>0</v>
      </c>
      <c r="B138" s="2">
        <f>SUMPRODUCT($CA138:$DV138,INDEX('MC MAP'!$DA$5:$EV$30,1,0))</f>
        <v>0</v>
      </c>
      <c r="C138" s="2">
        <f>SUMPRODUCT($CA138:$DV138,INDEX('MC MAP'!$DA$5:$EV$30,2,0))</f>
        <v>0</v>
      </c>
      <c r="D138" s="2">
        <f>SUMPRODUCT($CA138:$DV138,INDEX('MC MAP'!$DA$5:$EV$30,3,0))</f>
        <v>0</v>
      </c>
      <c r="E138" s="2">
        <f>SUMPRODUCT($CA138:$DV138,INDEX('MC MAP'!$DA$5:$EV$30,4,0))</f>
        <v>0</v>
      </c>
      <c r="F138" s="2">
        <f>SUMPRODUCT($CA138:$DV138,INDEX('MC MAP'!$DA$5:$EV$30,5,0))</f>
        <v>0</v>
      </c>
      <c r="G138" s="2">
        <f>SUMPRODUCT($CA138:$DV138,INDEX('MC MAP'!$DA$5:$EV$30,6,0))</f>
        <v>0</v>
      </c>
      <c r="H138" s="2">
        <f>SUMPRODUCT($CA138:$DV138,INDEX('MC MAP'!$DA$5:$EV$30,7,0))</f>
        <v>0</v>
      </c>
      <c r="I138" s="2">
        <f>SUMPRODUCT($CA138:$DV138,INDEX('MC MAP'!$DA$5:$EV$30,8,0))</f>
        <v>0</v>
      </c>
      <c r="J138" s="2">
        <f>SUMPRODUCT($CA138:$DV138,INDEX('MC MAP'!$DA$5:$EV$30,9,0))</f>
        <v>0</v>
      </c>
      <c r="K138" s="2">
        <f>SUMPRODUCT($CA138:$DV138,INDEX('MC MAP'!$DA$5:$EV$30,10,0))</f>
        <v>0</v>
      </c>
      <c r="L138" s="2">
        <f>SUMPRODUCT($CA138:$DV138,INDEX('MC MAP'!$DA$5:$EV$30,11,0))</f>
        <v>0</v>
      </c>
      <c r="M138" s="2">
        <f>SUMPRODUCT($CA138:$DV138,INDEX('MC MAP'!$DA$5:$EV$30,12,0))</f>
        <v>0</v>
      </c>
      <c r="N138" s="2">
        <f>SUMPRODUCT($CA138:$DV138,INDEX('MC MAP'!$DA$5:$EV$30,13,0))</f>
        <v>0</v>
      </c>
      <c r="O138" s="2">
        <f>SUMPRODUCT($CA138:$DV138,INDEX('MC MAP'!$DA$5:$EV$30,14,0))</f>
        <v>0</v>
      </c>
      <c r="P138" s="2">
        <f>SUMPRODUCT($CA138:$DV138,INDEX('MC MAP'!$DA$5:$EV$30,15,0))</f>
        <v>0</v>
      </c>
      <c r="Q138" s="2">
        <f>SUMPRODUCT($CA138:$DV138,INDEX('MC MAP'!$DA$5:$EV$30,16,0))</f>
        <v>0</v>
      </c>
      <c r="R138" s="2">
        <f>SUMPRODUCT($CA138:$DV138,INDEX('MC MAP'!$DA$5:$EV$30,17,0))</f>
        <v>0</v>
      </c>
      <c r="S138" s="2">
        <f>SUMPRODUCT($CA138:$DV138,INDEX('MC MAP'!$DA$5:$EV$30,18,0))</f>
        <v>0</v>
      </c>
      <c r="T138" s="2">
        <f>SUMPRODUCT($CA138:$DV138,INDEX('MC MAP'!$DA$5:$EV$30,19,0))</f>
        <v>0</v>
      </c>
      <c r="U138" s="2">
        <f>SUMPRODUCT($CA138:$DV138,INDEX('MC MAP'!$DA$5:$EV$30,20,0))</f>
        <v>0</v>
      </c>
      <c r="V138" s="2">
        <f>SUMPRODUCT($CA138:$DV138,INDEX('MC MAP'!$DA$5:$EV$30,21,0))</f>
        <v>0</v>
      </c>
      <c r="W138" s="2">
        <f>SUMPRODUCT($CA138:$DV138,INDEX('MC MAP'!$DA$5:$EV$30,22,0))</f>
        <v>0</v>
      </c>
      <c r="X138" s="2">
        <f>SUMPRODUCT($CA138:$DV138,INDEX('MC MAP'!$DA$5:$EV$30,23,0))</f>
        <v>0</v>
      </c>
      <c r="Y138" s="2">
        <f>SUMPRODUCT($CA138:$DV138,INDEX('MC MAP'!$DA$5:$EV$30,24,0))</f>
        <v>0</v>
      </c>
      <c r="Z138" s="2">
        <f>SUMPRODUCT($CA138:$DV138,INDEX('MC MAP'!$DA$5:$EV$30,25,0))</f>
        <v>0</v>
      </c>
      <c r="AA138" s="2">
        <f>SUMPRODUCT($CA138:$DV138,INDEX('MC MAP'!$DA$5:$EV$30,26,0))</f>
        <v>0</v>
      </c>
      <c r="AB138" s="2">
        <f>SUM($B138:$AA138)</f>
        <v>0</v>
      </c>
      <c r="AC138" s="2">
        <f>SUM($CA138:$DV138)+$AW138</f>
        <v>0</v>
      </c>
      <c r="AW138" s="2">
        <f>IF($A138=0,0,COUNTIF(INDEX('LINE PLAN'!$B$36:$GS$61,0,ROW()-3),"THERMAL - NOT SPECIFIED"))</f>
        <v>0</v>
      </c>
      <c r="AX138" s="506" cm="1">
        <f t="array" ref="AX138">IF(OR($AB138=0,UPPER($BS138)&lt;&gt;"Y"),0,SUMPRODUCT(--($B138:$AA138&gt;$B$205:$AA$205)))</f>
        <v>0</v>
      </c>
      <c r="AY138" s="507">
        <f>$A138</f>
        <v>0</v>
      </c>
      <c r="AZ138" s="2">
        <f>$AB138</f>
        <v>0</v>
      </c>
      <c r="BA138" s="2">
        <f>'MC MASTER'!$C$29</f>
        <v>920</v>
      </c>
      <c r="BQ138" s="509">
        <f>$A138</f>
        <v>0</v>
      </c>
      <c r="BR138" s="15" t="str">
        <f>TEXT($A138,"ddd")</f>
        <v>Sat</v>
      </c>
      <c r="BS138" s="547" t="str">
        <f>IF($A138=0,"",IF(WEEKDAY($A138,2)=7,"N","Y"))</f>
        <v/>
      </c>
      <c r="BT138" s="15">
        <f>IF(UPPER($BS138)="Y",$AB138,0)</f>
        <v>0</v>
      </c>
      <c r="CA138" s="2">
        <f>COUNTIF(INDEX('LINE PLAN'!$B$36:$GS$61,0,ROW()-3),CA$3)</f>
        <v>0</v>
      </c>
      <c r="CB138" s="2">
        <f>COUNTIF(INDEX('LINE PLAN'!$B$36:$GS$61,0,ROW()-3),CB$3)</f>
        <v>0</v>
      </c>
      <c r="CC138" s="2">
        <f>COUNTIF(INDEX('LINE PLAN'!$B$36:$GS$61,0,ROW()-3),CC$3)</f>
        <v>0</v>
      </c>
      <c r="CD138" s="2">
        <f>COUNTIF(INDEX('LINE PLAN'!$B$36:$GS$61,0,ROW()-3),CD$3)</f>
        <v>0</v>
      </c>
      <c r="CE138" s="2">
        <f>COUNTIF(INDEX('LINE PLAN'!$B$36:$GS$61,0,ROW()-3),CE$3)</f>
        <v>0</v>
      </c>
      <c r="CF138" s="2">
        <f>COUNTIF(INDEX('LINE PLAN'!$B$36:$GS$61,0,ROW()-3),CF$3)</f>
        <v>0</v>
      </c>
      <c r="CG138" s="2">
        <f>COUNTIF(INDEX('LINE PLAN'!$B$36:$GS$61,0,ROW()-3),CG$3)</f>
        <v>0</v>
      </c>
      <c r="CH138" s="2">
        <f>COUNTIF(INDEX('LINE PLAN'!$B$36:$GS$61,0,ROW()-3),CH$3)</f>
        <v>0</v>
      </c>
      <c r="CI138" s="2">
        <f>COUNTIF(INDEX('LINE PLAN'!$B$36:$GS$61,0,ROW()-3),CI$3)</f>
        <v>0</v>
      </c>
      <c r="CJ138" s="2">
        <f>COUNTIF(INDEX('LINE PLAN'!$B$36:$GS$61,0,ROW()-3),CJ$3)</f>
        <v>0</v>
      </c>
      <c r="CK138" s="2">
        <f>COUNTIF(INDEX('LINE PLAN'!$B$36:$GS$61,0,ROW()-3),CK$3)</f>
        <v>0</v>
      </c>
      <c r="CL138" s="2">
        <f>COUNTIF(INDEX('LINE PLAN'!$B$36:$GS$61,0,ROW()-3),CL$3)</f>
        <v>0</v>
      </c>
      <c r="CM138" s="2">
        <f>COUNTIF(INDEX('LINE PLAN'!$B$36:$GS$61,0,ROW()-3),CM$3)</f>
        <v>0</v>
      </c>
      <c r="CN138" s="2">
        <f>COUNTIF(INDEX('LINE PLAN'!$B$36:$GS$61,0,ROW()-3),CN$3)</f>
        <v>0</v>
      </c>
      <c r="CO138" s="2">
        <f>COUNTIF(INDEX('LINE PLAN'!$B$36:$GS$61,0,ROW()-3),CO$3)</f>
        <v>0</v>
      </c>
      <c r="CP138" s="2">
        <f>COUNTIF(INDEX('LINE PLAN'!$B$36:$GS$61,0,ROW()-3),CP$3)</f>
        <v>0</v>
      </c>
      <c r="CQ138" s="2">
        <f>COUNTIF(INDEX('LINE PLAN'!$B$36:$GS$61,0,ROW()-3),CQ$3)</f>
        <v>0</v>
      </c>
      <c r="CR138" s="2">
        <f>COUNTIF(INDEX('LINE PLAN'!$B$36:$GS$61,0,ROW()-3),CR$3)</f>
        <v>0</v>
      </c>
      <c r="CS138" s="2">
        <f>COUNTIF(INDEX('LINE PLAN'!$B$36:$GS$61,0,ROW()-3),CS$3)</f>
        <v>0</v>
      </c>
      <c r="CT138" s="2">
        <f>COUNTIF(INDEX('LINE PLAN'!$B$36:$GS$61,0,ROW()-3),CT$3)</f>
        <v>0</v>
      </c>
      <c r="CU138" s="2">
        <f>COUNTIF(INDEX('LINE PLAN'!$B$36:$GS$61,0,ROW()-3),CU$3)</f>
        <v>0</v>
      </c>
      <c r="CV138" s="2">
        <f>COUNTIF(INDEX('LINE PLAN'!$B$36:$GS$61,0,ROW()-3),CV$3)</f>
        <v>0</v>
      </c>
      <c r="CW138" s="2">
        <f>COUNTIF(INDEX('LINE PLAN'!$B$36:$GS$61,0,ROW()-3),CW$3)</f>
        <v>0</v>
      </c>
      <c r="CX138" s="2">
        <f>COUNTIF(INDEX('LINE PLAN'!$B$36:$GS$61,0,ROW()-3),CX$3)</f>
        <v>0</v>
      </c>
      <c r="CY138" s="2">
        <f>COUNTIF(INDEX('LINE PLAN'!$B$36:$GS$61,0,ROW()-3),CY$3)</f>
        <v>0</v>
      </c>
      <c r="CZ138" s="2">
        <f>COUNTIF(INDEX('LINE PLAN'!$B$36:$GS$61,0,ROW()-3),CZ$3)</f>
        <v>0</v>
      </c>
      <c r="DA138" s="2">
        <f>COUNTIF(INDEX('LINE PLAN'!$B$36:$GS$61,0,ROW()-3),DA$3)</f>
        <v>0</v>
      </c>
      <c r="DB138" s="2">
        <f>COUNTIF(INDEX('LINE PLAN'!$B$36:$GS$61,0,ROW()-3),DB$3)</f>
        <v>0</v>
      </c>
      <c r="DC138" s="2">
        <f>COUNTIF(INDEX('LINE PLAN'!$B$36:$GS$61,0,ROW()-3),DC$3)</f>
        <v>0</v>
      </c>
      <c r="DD138" s="2">
        <f>COUNTIF(INDEX('LINE PLAN'!$B$36:$GS$61,0,ROW()-3),DD$3)</f>
        <v>0</v>
      </c>
      <c r="DE138" s="2">
        <f>COUNTIF(INDEX('LINE PLAN'!$B$36:$GS$61,0,ROW()-3),DE$3)</f>
        <v>0</v>
      </c>
      <c r="DF138" s="2">
        <f>COUNTIF(INDEX('LINE PLAN'!$B$36:$GS$61,0,ROW()-3),DF$3)</f>
        <v>0</v>
      </c>
      <c r="DG138" s="2">
        <f>COUNTIF(INDEX('LINE PLAN'!$B$36:$GS$61,0,ROW()-3),DG$3)</f>
        <v>0</v>
      </c>
      <c r="DH138" s="2">
        <f>COUNTIF(INDEX('LINE PLAN'!$B$36:$GS$61,0,ROW()-3),DH$3)</f>
        <v>0</v>
      </c>
      <c r="DI138" s="2">
        <f>COUNTIF(INDEX('LINE PLAN'!$B$36:$GS$61,0,ROW()-3),DI$3)</f>
        <v>0</v>
      </c>
      <c r="DJ138" s="2">
        <f>COUNTIF(INDEX('LINE PLAN'!$B$36:$GS$61,0,ROW()-3),DJ$3)</f>
        <v>0</v>
      </c>
      <c r="DK138" s="2">
        <f>COUNTIF(INDEX('LINE PLAN'!$B$36:$GS$61,0,ROW()-3),DK$3)</f>
        <v>0</v>
      </c>
      <c r="DL138" s="2">
        <f>COUNTIF(INDEX('LINE PLAN'!$B$36:$GS$61,0,ROW()-3),DL$3)</f>
        <v>0</v>
      </c>
      <c r="DM138" s="2">
        <f>COUNTIF(INDEX('LINE PLAN'!$B$36:$GS$61,0,ROW()-3),DM$3)</f>
        <v>0</v>
      </c>
      <c r="DN138" s="2">
        <f>COUNTIF(INDEX('LINE PLAN'!$B$36:$GS$61,0,ROW()-3),DN$3)</f>
        <v>0</v>
      </c>
      <c r="DO138" s="2">
        <f>COUNTIF(INDEX('LINE PLAN'!$B$36:$GS$61,0,ROW()-3),DO$3)</f>
        <v>0</v>
      </c>
      <c r="DP138" s="2">
        <f>COUNTIF(INDEX('LINE PLAN'!$B$36:$GS$61,0,ROW()-3),DP$3)</f>
        <v>0</v>
      </c>
      <c r="DQ138" s="2">
        <f>COUNTIF(INDEX('LINE PLAN'!$B$36:$GS$61,0,ROW()-3),DQ$3)</f>
        <v>0</v>
      </c>
      <c r="DR138" s="2">
        <f>COUNTIF(INDEX('LINE PLAN'!$B$36:$GS$61,0,ROW()-3),DR$3)</f>
        <v>0</v>
      </c>
      <c r="DS138" s="2">
        <f>COUNTIF(INDEX('LINE PLAN'!$B$36:$GS$61,0,ROW()-3),DS$3)</f>
        <v>0</v>
      </c>
      <c r="DT138" s="2">
        <f>COUNTIF(INDEX('LINE PLAN'!$B$36:$GS$61,0,ROW()-3),DT$3)</f>
        <v>0</v>
      </c>
      <c r="DU138" s="2">
        <f>COUNTIF(INDEX('LINE PLAN'!$B$36:$GS$61,0,ROW()-3),DU$3)</f>
        <v>0</v>
      </c>
      <c r="DV138" s="2">
        <f>COUNTIF(INDEX('LINE PLAN'!$B$36:$GS$61,0,ROW()-3),DV$3)</f>
        <v>0</v>
      </c>
    </row>
    <row r="139" spans="1:126">
      <c r="A139" s="505" cm="1">
        <f t="array" ref="A139">INDEX('LINE PLAN'!$B$35:$GS$35,ROW()-3)</f>
        <v>0</v>
      </c>
      <c r="B139" s="2">
        <f>SUMPRODUCT($CA139:$DV139,INDEX('MC MAP'!$DA$5:$EV$30,1,0))</f>
        <v>0</v>
      </c>
      <c r="C139" s="2">
        <f>SUMPRODUCT($CA139:$DV139,INDEX('MC MAP'!$DA$5:$EV$30,2,0))</f>
        <v>0</v>
      </c>
      <c r="D139" s="2">
        <f>SUMPRODUCT($CA139:$DV139,INDEX('MC MAP'!$DA$5:$EV$30,3,0))</f>
        <v>0</v>
      </c>
      <c r="E139" s="2">
        <f>SUMPRODUCT($CA139:$DV139,INDEX('MC MAP'!$DA$5:$EV$30,4,0))</f>
        <v>0</v>
      </c>
      <c r="F139" s="2">
        <f>SUMPRODUCT($CA139:$DV139,INDEX('MC MAP'!$DA$5:$EV$30,5,0))</f>
        <v>0</v>
      </c>
      <c r="G139" s="2">
        <f>SUMPRODUCT($CA139:$DV139,INDEX('MC MAP'!$DA$5:$EV$30,6,0))</f>
        <v>0</v>
      </c>
      <c r="H139" s="2">
        <f>SUMPRODUCT($CA139:$DV139,INDEX('MC MAP'!$DA$5:$EV$30,7,0))</f>
        <v>0</v>
      </c>
      <c r="I139" s="2">
        <f>SUMPRODUCT($CA139:$DV139,INDEX('MC MAP'!$DA$5:$EV$30,8,0))</f>
        <v>0</v>
      </c>
      <c r="J139" s="2">
        <f>SUMPRODUCT($CA139:$DV139,INDEX('MC MAP'!$DA$5:$EV$30,9,0))</f>
        <v>0</v>
      </c>
      <c r="K139" s="2">
        <f>SUMPRODUCT($CA139:$DV139,INDEX('MC MAP'!$DA$5:$EV$30,10,0))</f>
        <v>0</v>
      </c>
      <c r="L139" s="2">
        <f>SUMPRODUCT($CA139:$DV139,INDEX('MC MAP'!$DA$5:$EV$30,11,0))</f>
        <v>0</v>
      </c>
      <c r="M139" s="2">
        <f>SUMPRODUCT($CA139:$DV139,INDEX('MC MAP'!$DA$5:$EV$30,12,0))</f>
        <v>0</v>
      </c>
      <c r="N139" s="2">
        <f>SUMPRODUCT($CA139:$DV139,INDEX('MC MAP'!$DA$5:$EV$30,13,0))</f>
        <v>0</v>
      </c>
      <c r="O139" s="2">
        <f>SUMPRODUCT($CA139:$DV139,INDEX('MC MAP'!$DA$5:$EV$30,14,0))</f>
        <v>0</v>
      </c>
      <c r="P139" s="2">
        <f>SUMPRODUCT($CA139:$DV139,INDEX('MC MAP'!$DA$5:$EV$30,15,0))</f>
        <v>0</v>
      </c>
      <c r="Q139" s="2">
        <f>SUMPRODUCT($CA139:$DV139,INDEX('MC MAP'!$DA$5:$EV$30,16,0))</f>
        <v>0</v>
      </c>
      <c r="R139" s="2">
        <f>SUMPRODUCT($CA139:$DV139,INDEX('MC MAP'!$DA$5:$EV$30,17,0))</f>
        <v>0</v>
      </c>
      <c r="S139" s="2">
        <f>SUMPRODUCT($CA139:$DV139,INDEX('MC MAP'!$DA$5:$EV$30,18,0))</f>
        <v>0</v>
      </c>
      <c r="T139" s="2">
        <f>SUMPRODUCT($CA139:$DV139,INDEX('MC MAP'!$DA$5:$EV$30,19,0))</f>
        <v>0</v>
      </c>
      <c r="U139" s="2">
        <f>SUMPRODUCT($CA139:$DV139,INDEX('MC MAP'!$DA$5:$EV$30,20,0))</f>
        <v>0</v>
      </c>
      <c r="V139" s="2">
        <f>SUMPRODUCT($CA139:$DV139,INDEX('MC MAP'!$DA$5:$EV$30,21,0))</f>
        <v>0</v>
      </c>
      <c r="W139" s="2">
        <f>SUMPRODUCT($CA139:$DV139,INDEX('MC MAP'!$DA$5:$EV$30,22,0))</f>
        <v>0</v>
      </c>
      <c r="X139" s="2">
        <f>SUMPRODUCT($CA139:$DV139,INDEX('MC MAP'!$DA$5:$EV$30,23,0))</f>
        <v>0</v>
      </c>
      <c r="Y139" s="2">
        <f>SUMPRODUCT($CA139:$DV139,INDEX('MC MAP'!$DA$5:$EV$30,24,0))</f>
        <v>0</v>
      </c>
      <c r="Z139" s="2">
        <f>SUMPRODUCT($CA139:$DV139,INDEX('MC MAP'!$DA$5:$EV$30,25,0))</f>
        <v>0</v>
      </c>
      <c r="AA139" s="2">
        <f>SUMPRODUCT($CA139:$DV139,INDEX('MC MAP'!$DA$5:$EV$30,26,0))</f>
        <v>0</v>
      </c>
      <c r="AB139" s="2">
        <f>SUM($B139:$AA139)</f>
        <v>0</v>
      </c>
      <c r="AC139" s="2">
        <f>SUM($CA139:$DV139)+$AW139</f>
        <v>0</v>
      </c>
      <c r="AW139" s="2">
        <f>IF($A139=0,0,COUNTIF(INDEX('LINE PLAN'!$B$36:$GS$61,0,ROW()-3),"THERMAL - NOT SPECIFIED"))</f>
        <v>0</v>
      </c>
      <c r="AX139" s="506" cm="1">
        <f t="array" ref="AX139">IF(OR($AB139=0,UPPER($BS139)&lt;&gt;"Y"),0,SUMPRODUCT(--($B139:$AA139&gt;$B$205:$AA$205)))</f>
        <v>0</v>
      </c>
      <c r="AY139" s="507">
        <f>$A139</f>
        <v>0</v>
      </c>
      <c r="AZ139" s="2">
        <f>$AB139</f>
        <v>0</v>
      </c>
      <c r="BA139" s="2">
        <f>'MC MASTER'!$C$29</f>
        <v>920</v>
      </c>
      <c r="BQ139" s="509">
        <f>$A139</f>
        <v>0</v>
      </c>
      <c r="BR139" s="15" t="str">
        <f>TEXT($A139,"ddd")</f>
        <v>Sat</v>
      </c>
      <c r="BS139" s="547" t="str">
        <f>IF($A139=0,"",IF(WEEKDAY($A139,2)=7,"N","Y"))</f>
        <v/>
      </c>
      <c r="BT139" s="15">
        <f>IF(UPPER($BS139)="Y",$AB139,0)</f>
        <v>0</v>
      </c>
      <c r="CA139" s="2">
        <f>COUNTIF(INDEX('LINE PLAN'!$B$36:$GS$61,0,ROW()-3),CA$3)</f>
        <v>0</v>
      </c>
      <c r="CB139" s="2">
        <f>COUNTIF(INDEX('LINE PLAN'!$B$36:$GS$61,0,ROW()-3),CB$3)</f>
        <v>0</v>
      </c>
      <c r="CC139" s="2">
        <f>COUNTIF(INDEX('LINE PLAN'!$B$36:$GS$61,0,ROW()-3),CC$3)</f>
        <v>0</v>
      </c>
      <c r="CD139" s="2">
        <f>COUNTIF(INDEX('LINE PLAN'!$B$36:$GS$61,0,ROW()-3),CD$3)</f>
        <v>0</v>
      </c>
      <c r="CE139" s="2">
        <f>COUNTIF(INDEX('LINE PLAN'!$B$36:$GS$61,0,ROW()-3),CE$3)</f>
        <v>0</v>
      </c>
      <c r="CF139" s="2">
        <f>COUNTIF(INDEX('LINE PLAN'!$B$36:$GS$61,0,ROW()-3),CF$3)</f>
        <v>0</v>
      </c>
      <c r="CG139" s="2">
        <f>COUNTIF(INDEX('LINE PLAN'!$B$36:$GS$61,0,ROW()-3),CG$3)</f>
        <v>0</v>
      </c>
      <c r="CH139" s="2">
        <f>COUNTIF(INDEX('LINE PLAN'!$B$36:$GS$61,0,ROW()-3),CH$3)</f>
        <v>0</v>
      </c>
      <c r="CI139" s="2">
        <f>COUNTIF(INDEX('LINE PLAN'!$B$36:$GS$61,0,ROW()-3),CI$3)</f>
        <v>0</v>
      </c>
      <c r="CJ139" s="2">
        <f>COUNTIF(INDEX('LINE PLAN'!$B$36:$GS$61,0,ROW()-3),CJ$3)</f>
        <v>0</v>
      </c>
      <c r="CK139" s="2">
        <f>COUNTIF(INDEX('LINE PLAN'!$B$36:$GS$61,0,ROW()-3),CK$3)</f>
        <v>0</v>
      </c>
      <c r="CL139" s="2">
        <f>COUNTIF(INDEX('LINE PLAN'!$B$36:$GS$61,0,ROW()-3),CL$3)</f>
        <v>0</v>
      </c>
      <c r="CM139" s="2">
        <f>COUNTIF(INDEX('LINE PLAN'!$B$36:$GS$61,0,ROW()-3),CM$3)</f>
        <v>0</v>
      </c>
      <c r="CN139" s="2">
        <f>COUNTIF(INDEX('LINE PLAN'!$B$36:$GS$61,0,ROW()-3),CN$3)</f>
        <v>0</v>
      </c>
      <c r="CO139" s="2">
        <f>COUNTIF(INDEX('LINE PLAN'!$B$36:$GS$61,0,ROW()-3),CO$3)</f>
        <v>0</v>
      </c>
      <c r="CP139" s="2">
        <f>COUNTIF(INDEX('LINE PLAN'!$B$36:$GS$61,0,ROW()-3),CP$3)</f>
        <v>0</v>
      </c>
      <c r="CQ139" s="2">
        <f>COUNTIF(INDEX('LINE PLAN'!$B$36:$GS$61,0,ROW()-3),CQ$3)</f>
        <v>0</v>
      </c>
      <c r="CR139" s="2">
        <f>COUNTIF(INDEX('LINE PLAN'!$B$36:$GS$61,0,ROW()-3),CR$3)</f>
        <v>0</v>
      </c>
      <c r="CS139" s="2">
        <f>COUNTIF(INDEX('LINE PLAN'!$B$36:$GS$61,0,ROW()-3),CS$3)</f>
        <v>0</v>
      </c>
      <c r="CT139" s="2">
        <f>COUNTIF(INDEX('LINE PLAN'!$B$36:$GS$61,0,ROW()-3),CT$3)</f>
        <v>0</v>
      </c>
      <c r="CU139" s="2">
        <f>COUNTIF(INDEX('LINE PLAN'!$B$36:$GS$61,0,ROW()-3),CU$3)</f>
        <v>0</v>
      </c>
      <c r="CV139" s="2">
        <f>COUNTIF(INDEX('LINE PLAN'!$B$36:$GS$61,0,ROW()-3),CV$3)</f>
        <v>0</v>
      </c>
      <c r="CW139" s="2">
        <f>COUNTIF(INDEX('LINE PLAN'!$B$36:$GS$61,0,ROW()-3),CW$3)</f>
        <v>0</v>
      </c>
      <c r="CX139" s="2">
        <f>COUNTIF(INDEX('LINE PLAN'!$B$36:$GS$61,0,ROW()-3),CX$3)</f>
        <v>0</v>
      </c>
      <c r="CY139" s="2">
        <f>COUNTIF(INDEX('LINE PLAN'!$B$36:$GS$61,0,ROW()-3),CY$3)</f>
        <v>0</v>
      </c>
      <c r="CZ139" s="2">
        <f>COUNTIF(INDEX('LINE PLAN'!$B$36:$GS$61,0,ROW()-3),CZ$3)</f>
        <v>0</v>
      </c>
      <c r="DA139" s="2">
        <f>COUNTIF(INDEX('LINE PLAN'!$B$36:$GS$61,0,ROW()-3),DA$3)</f>
        <v>0</v>
      </c>
      <c r="DB139" s="2">
        <f>COUNTIF(INDEX('LINE PLAN'!$B$36:$GS$61,0,ROW()-3),DB$3)</f>
        <v>0</v>
      </c>
      <c r="DC139" s="2">
        <f>COUNTIF(INDEX('LINE PLAN'!$B$36:$GS$61,0,ROW()-3),DC$3)</f>
        <v>0</v>
      </c>
      <c r="DD139" s="2">
        <f>COUNTIF(INDEX('LINE PLAN'!$B$36:$GS$61,0,ROW()-3),DD$3)</f>
        <v>0</v>
      </c>
      <c r="DE139" s="2">
        <f>COUNTIF(INDEX('LINE PLAN'!$B$36:$GS$61,0,ROW()-3),DE$3)</f>
        <v>0</v>
      </c>
      <c r="DF139" s="2">
        <f>COUNTIF(INDEX('LINE PLAN'!$B$36:$GS$61,0,ROW()-3),DF$3)</f>
        <v>0</v>
      </c>
      <c r="DG139" s="2">
        <f>COUNTIF(INDEX('LINE PLAN'!$B$36:$GS$61,0,ROW()-3),DG$3)</f>
        <v>0</v>
      </c>
      <c r="DH139" s="2">
        <f>COUNTIF(INDEX('LINE PLAN'!$B$36:$GS$61,0,ROW()-3),DH$3)</f>
        <v>0</v>
      </c>
      <c r="DI139" s="2">
        <f>COUNTIF(INDEX('LINE PLAN'!$B$36:$GS$61,0,ROW()-3),DI$3)</f>
        <v>0</v>
      </c>
      <c r="DJ139" s="2">
        <f>COUNTIF(INDEX('LINE PLAN'!$B$36:$GS$61,0,ROW()-3),DJ$3)</f>
        <v>0</v>
      </c>
      <c r="DK139" s="2">
        <f>COUNTIF(INDEX('LINE PLAN'!$B$36:$GS$61,0,ROW()-3),DK$3)</f>
        <v>0</v>
      </c>
      <c r="DL139" s="2">
        <f>COUNTIF(INDEX('LINE PLAN'!$B$36:$GS$61,0,ROW()-3),DL$3)</f>
        <v>0</v>
      </c>
      <c r="DM139" s="2">
        <f>COUNTIF(INDEX('LINE PLAN'!$B$36:$GS$61,0,ROW()-3),DM$3)</f>
        <v>0</v>
      </c>
      <c r="DN139" s="2">
        <f>COUNTIF(INDEX('LINE PLAN'!$B$36:$GS$61,0,ROW()-3),DN$3)</f>
        <v>0</v>
      </c>
      <c r="DO139" s="2">
        <f>COUNTIF(INDEX('LINE PLAN'!$B$36:$GS$61,0,ROW()-3),DO$3)</f>
        <v>0</v>
      </c>
      <c r="DP139" s="2">
        <f>COUNTIF(INDEX('LINE PLAN'!$B$36:$GS$61,0,ROW()-3),DP$3)</f>
        <v>0</v>
      </c>
      <c r="DQ139" s="2">
        <f>COUNTIF(INDEX('LINE PLAN'!$B$36:$GS$61,0,ROW()-3),DQ$3)</f>
        <v>0</v>
      </c>
      <c r="DR139" s="2">
        <f>COUNTIF(INDEX('LINE PLAN'!$B$36:$GS$61,0,ROW()-3),DR$3)</f>
        <v>0</v>
      </c>
      <c r="DS139" s="2">
        <f>COUNTIF(INDEX('LINE PLAN'!$B$36:$GS$61,0,ROW()-3),DS$3)</f>
        <v>0</v>
      </c>
      <c r="DT139" s="2">
        <f>COUNTIF(INDEX('LINE PLAN'!$B$36:$GS$61,0,ROW()-3),DT$3)</f>
        <v>0</v>
      </c>
      <c r="DU139" s="2">
        <f>COUNTIF(INDEX('LINE PLAN'!$B$36:$GS$61,0,ROW()-3),DU$3)</f>
        <v>0</v>
      </c>
      <c r="DV139" s="2">
        <f>COUNTIF(INDEX('LINE PLAN'!$B$36:$GS$61,0,ROW()-3),DV$3)</f>
        <v>0</v>
      </c>
    </row>
    <row r="140" spans="1:126">
      <c r="A140" s="505" cm="1">
        <f t="array" ref="A140">INDEX('LINE PLAN'!$B$35:$GS$35,ROW()-3)</f>
        <v>0</v>
      </c>
      <c r="B140" s="2">
        <f>SUMPRODUCT($CA140:$DV140,INDEX('MC MAP'!$DA$5:$EV$30,1,0))</f>
        <v>0</v>
      </c>
      <c r="C140" s="2">
        <f>SUMPRODUCT($CA140:$DV140,INDEX('MC MAP'!$DA$5:$EV$30,2,0))</f>
        <v>0</v>
      </c>
      <c r="D140" s="2">
        <f>SUMPRODUCT($CA140:$DV140,INDEX('MC MAP'!$DA$5:$EV$30,3,0))</f>
        <v>0</v>
      </c>
      <c r="E140" s="2">
        <f>SUMPRODUCT($CA140:$DV140,INDEX('MC MAP'!$DA$5:$EV$30,4,0))</f>
        <v>0</v>
      </c>
      <c r="F140" s="2">
        <f>SUMPRODUCT($CA140:$DV140,INDEX('MC MAP'!$DA$5:$EV$30,5,0))</f>
        <v>0</v>
      </c>
      <c r="G140" s="2">
        <f>SUMPRODUCT($CA140:$DV140,INDEX('MC MAP'!$DA$5:$EV$30,6,0))</f>
        <v>0</v>
      </c>
      <c r="H140" s="2">
        <f>SUMPRODUCT($CA140:$DV140,INDEX('MC MAP'!$DA$5:$EV$30,7,0))</f>
        <v>0</v>
      </c>
      <c r="I140" s="2">
        <f>SUMPRODUCT($CA140:$DV140,INDEX('MC MAP'!$DA$5:$EV$30,8,0))</f>
        <v>0</v>
      </c>
      <c r="J140" s="2">
        <f>SUMPRODUCT($CA140:$DV140,INDEX('MC MAP'!$DA$5:$EV$30,9,0))</f>
        <v>0</v>
      </c>
      <c r="K140" s="2">
        <f>SUMPRODUCT($CA140:$DV140,INDEX('MC MAP'!$DA$5:$EV$30,10,0))</f>
        <v>0</v>
      </c>
      <c r="L140" s="2">
        <f>SUMPRODUCT($CA140:$DV140,INDEX('MC MAP'!$DA$5:$EV$30,11,0))</f>
        <v>0</v>
      </c>
      <c r="M140" s="2">
        <f>SUMPRODUCT($CA140:$DV140,INDEX('MC MAP'!$DA$5:$EV$30,12,0))</f>
        <v>0</v>
      </c>
      <c r="N140" s="2">
        <f>SUMPRODUCT($CA140:$DV140,INDEX('MC MAP'!$DA$5:$EV$30,13,0))</f>
        <v>0</v>
      </c>
      <c r="O140" s="2">
        <f>SUMPRODUCT($CA140:$DV140,INDEX('MC MAP'!$DA$5:$EV$30,14,0))</f>
        <v>0</v>
      </c>
      <c r="P140" s="2">
        <f>SUMPRODUCT($CA140:$DV140,INDEX('MC MAP'!$DA$5:$EV$30,15,0))</f>
        <v>0</v>
      </c>
      <c r="Q140" s="2">
        <f>SUMPRODUCT($CA140:$DV140,INDEX('MC MAP'!$DA$5:$EV$30,16,0))</f>
        <v>0</v>
      </c>
      <c r="R140" s="2">
        <f>SUMPRODUCT($CA140:$DV140,INDEX('MC MAP'!$DA$5:$EV$30,17,0))</f>
        <v>0</v>
      </c>
      <c r="S140" s="2">
        <f>SUMPRODUCT($CA140:$DV140,INDEX('MC MAP'!$DA$5:$EV$30,18,0))</f>
        <v>0</v>
      </c>
      <c r="T140" s="2">
        <f>SUMPRODUCT($CA140:$DV140,INDEX('MC MAP'!$DA$5:$EV$30,19,0))</f>
        <v>0</v>
      </c>
      <c r="U140" s="2">
        <f>SUMPRODUCT($CA140:$DV140,INDEX('MC MAP'!$DA$5:$EV$30,20,0))</f>
        <v>0</v>
      </c>
      <c r="V140" s="2">
        <f>SUMPRODUCT($CA140:$DV140,INDEX('MC MAP'!$DA$5:$EV$30,21,0))</f>
        <v>0</v>
      </c>
      <c r="W140" s="2">
        <f>SUMPRODUCT($CA140:$DV140,INDEX('MC MAP'!$DA$5:$EV$30,22,0))</f>
        <v>0</v>
      </c>
      <c r="X140" s="2">
        <f>SUMPRODUCT($CA140:$DV140,INDEX('MC MAP'!$DA$5:$EV$30,23,0))</f>
        <v>0</v>
      </c>
      <c r="Y140" s="2">
        <f>SUMPRODUCT($CA140:$DV140,INDEX('MC MAP'!$DA$5:$EV$30,24,0))</f>
        <v>0</v>
      </c>
      <c r="Z140" s="2">
        <f>SUMPRODUCT($CA140:$DV140,INDEX('MC MAP'!$DA$5:$EV$30,25,0))</f>
        <v>0</v>
      </c>
      <c r="AA140" s="2">
        <f>SUMPRODUCT($CA140:$DV140,INDEX('MC MAP'!$DA$5:$EV$30,26,0))</f>
        <v>0</v>
      </c>
      <c r="AB140" s="2">
        <f>SUM($B140:$AA140)</f>
        <v>0</v>
      </c>
      <c r="AC140" s="2">
        <f>SUM($CA140:$DV140)+$AW140</f>
        <v>0</v>
      </c>
      <c r="AW140" s="2">
        <f>IF($A140=0,0,COUNTIF(INDEX('LINE PLAN'!$B$36:$GS$61,0,ROW()-3),"THERMAL - NOT SPECIFIED"))</f>
        <v>0</v>
      </c>
      <c r="AX140" s="506" cm="1">
        <f t="array" ref="AX140">IF(OR($AB140=0,UPPER($BS140)&lt;&gt;"Y"),0,SUMPRODUCT(--($B140:$AA140&gt;$B$205:$AA$205)))</f>
        <v>0</v>
      </c>
      <c r="AY140" s="507">
        <f>$A140</f>
        <v>0</v>
      </c>
      <c r="AZ140" s="2">
        <f>$AB140</f>
        <v>0</v>
      </c>
      <c r="BA140" s="2">
        <f>'MC MASTER'!$C$29</f>
        <v>920</v>
      </c>
      <c r="BQ140" s="509">
        <f>$A140</f>
        <v>0</v>
      </c>
      <c r="BR140" s="15" t="str">
        <f>TEXT($A140,"ddd")</f>
        <v>Sat</v>
      </c>
      <c r="BS140" s="547" t="str">
        <f>IF($A140=0,"",IF(WEEKDAY($A140,2)=7,"N","Y"))</f>
        <v/>
      </c>
      <c r="BT140" s="15">
        <f>IF(UPPER($BS140)="Y",$AB140,0)</f>
        <v>0</v>
      </c>
      <c r="CA140" s="2">
        <f>COUNTIF(INDEX('LINE PLAN'!$B$36:$GS$61,0,ROW()-3),CA$3)</f>
        <v>0</v>
      </c>
      <c r="CB140" s="2">
        <f>COUNTIF(INDEX('LINE PLAN'!$B$36:$GS$61,0,ROW()-3),CB$3)</f>
        <v>0</v>
      </c>
      <c r="CC140" s="2">
        <f>COUNTIF(INDEX('LINE PLAN'!$B$36:$GS$61,0,ROW()-3),CC$3)</f>
        <v>0</v>
      </c>
      <c r="CD140" s="2">
        <f>COUNTIF(INDEX('LINE PLAN'!$B$36:$GS$61,0,ROW()-3),CD$3)</f>
        <v>0</v>
      </c>
      <c r="CE140" s="2">
        <f>COUNTIF(INDEX('LINE PLAN'!$B$36:$GS$61,0,ROW()-3),CE$3)</f>
        <v>0</v>
      </c>
      <c r="CF140" s="2">
        <f>COUNTIF(INDEX('LINE PLAN'!$B$36:$GS$61,0,ROW()-3),CF$3)</f>
        <v>0</v>
      </c>
      <c r="CG140" s="2">
        <f>COUNTIF(INDEX('LINE PLAN'!$B$36:$GS$61,0,ROW()-3),CG$3)</f>
        <v>0</v>
      </c>
      <c r="CH140" s="2">
        <f>COUNTIF(INDEX('LINE PLAN'!$B$36:$GS$61,0,ROW()-3),CH$3)</f>
        <v>0</v>
      </c>
      <c r="CI140" s="2">
        <f>COUNTIF(INDEX('LINE PLAN'!$B$36:$GS$61,0,ROW()-3),CI$3)</f>
        <v>0</v>
      </c>
      <c r="CJ140" s="2">
        <f>COUNTIF(INDEX('LINE PLAN'!$B$36:$GS$61,0,ROW()-3),CJ$3)</f>
        <v>0</v>
      </c>
      <c r="CK140" s="2">
        <f>COUNTIF(INDEX('LINE PLAN'!$B$36:$GS$61,0,ROW()-3),CK$3)</f>
        <v>0</v>
      </c>
      <c r="CL140" s="2">
        <f>COUNTIF(INDEX('LINE PLAN'!$B$36:$GS$61,0,ROW()-3),CL$3)</f>
        <v>0</v>
      </c>
      <c r="CM140" s="2">
        <f>COUNTIF(INDEX('LINE PLAN'!$B$36:$GS$61,0,ROW()-3),CM$3)</f>
        <v>0</v>
      </c>
      <c r="CN140" s="2">
        <f>COUNTIF(INDEX('LINE PLAN'!$B$36:$GS$61,0,ROW()-3),CN$3)</f>
        <v>0</v>
      </c>
      <c r="CO140" s="2">
        <f>COUNTIF(INDEX('LINE PLAN'!$B$36:$GS$61,0,ROW()-3),CO$3)</f>
        <v>0</v>
      </c>
      <c r="CP140" s="2">
        <f>COUNTIF(INDEX('LINE PLAN'!$B$36:$GS$61,0,ROW()-3),CP$3)</f>
        <v>0</v>
      </c>
      <c r="CQ140" s="2">
        <f>COUNTIF(INDEX('LINE PLAN'!$B$36:$GS$61,0,ROW()-3),CQ$3)</f>
        <v>0</v>
      </c>
      <c r="CR140" s="2">
        <f>COUNTIF(INDEX('LINE PLAN'!$B$36:$GS$61,0,ROW()-3),CR$3)</f>
        <v>0</v>
      </c>
      <c r="CS140" s="2">
        <f>COUNTIF(INDEX('LINE PLAN'!$B$36:$GS$61,0,ROW()-3),CS$3)</f>
        <v>0</v>
      </c>
      <c r="CT140" s="2">
        <f>COUNTIF(INDEX('LINE PLAN'!$B$36:$GS$61,0,ROW()-3),CT$3)</f>
        <v>0</v>
      </c>
      <c r="CU140" s="2">
        <f>COUNTIF(INDEX('LINE PLAN'!$B$36:$GS$61,0,ROW()-3),CU$3)</f>
        <v>0</v>
      </c>
      <c r="CV140" s="2">
        <f>COUNTIF(INDEX('LINE PLAN'!$B$36:$GS$61,0,ROW()-3),CV$3)</f>
        <v>0</v>
      </c>
      <c r="CW140" s="2">
        <f>COUNTIF(INDEX('LINE PLAN'!$B$36:$GS$61,0,ROW()-3),CW$3)</f>
        <v>0</v>
      </c>
      <c r="CX140" s="2">
        <f>COUNTIF(INDEX('LINE PLAN'!$B$36:$GS$61,0,ROW()-3),CX$3)</f>
        <v>0</v>
      </c>
      <c r="CY140" s="2">
        <f>COUNTIF(INDEX('LINE PLAN'!$B$36:$GS$61,0,ROW()-3),CY$3)</f>
        <v>0</v>
      </c>
      <c r="CZ140" s="2">
        <f>COUNTIF(INDEX('LINE PLAN'!$B$36:$GS$61,0,ROW()-3),CZ$3)</f>
        <v>0</v>
      </c>
      <c r="DA140" s="2">
        <f>COUNTIF(INDEX('LINE PLAN'!$B$36:$GS$61,0,ROW()-3),DA$3)</f>
        <v>0</v>
      </c>
      <c r="DB140" s="2">
        <f>COUNTIF(INDEX('LINE PLAN'!$B$36:$GS$61,0,ROW()-3),DB$3)</f>
        <v>0</v>
      </c>
      <c r="DC140" s="2">
        <f>COUNTIF(INDEX('LINE PLAN'!$B$36:$GS$61,0,ROW()-3),DC$3)</f>
        <v>0</v>
      </c>
      <c r="DD140" s="2">
        <f>COUNTIF(INDEX('LINE PLAN'!$B$36:$GS$61,0,ROW()-3),DD$3)</f>
        <v>0</v>
      </c>
      <c r="DE140" s="2">
        <f>COUNTIF(INDEX('LINE PLAN'!$B$36:$GS$61,0,ROW()-3),DE$3)</f>
        <v>0</v>
      </c>
      <c r="DF140" s="2">
        <f>COUNTIF(INDEX('LINE PLAN'!$B$36:$GS$61,0,ROW()-3),DF$3)</f>
        <v>0</v>
      </c>
      <c r="DG140" s="2">
        <f>COUNTIF(INDEX('LINE PLAN'!$B$36:$GS$61,0,ROW()-3),DG$3)</f>
        <v>0</v>
      </c>
      <c r="DH140" s="2">
        <f>COUNTIF(INDEX('LINE PLAN'!$B$36:$GS$61,0,ROW()-3),DH$3)</f>
        <v>0</v>
      </c>
      <c r="DI140" s="2">
        <f>COUNTIF(INDEX('LINE PLAN'!$B$36:$GS$61,0,ROW()-3),DI$3)</f>
        <v>0</v>
      </c>
      <c r="DJ140" s="2">
        <f>COUNTIF(INDEX('LINE PLAN'!$B$36:$GS$61,0,ROW()-3),DJ$3)</f>
        <v>0</v>
      </c>
      <c r="DK140" s="2">
        <f>COUNTIF(INDEX('LINE PLAN'!$B$36:$GS$61,0,ROW()-3),DK$3)</f>
        <v>0</v>
      </c>
      <c r="DL140" s="2">
        <f>COUNTIF(INDEX('LINE PLAN'!$B$36:$GS$61,0,ROW()-3),DL$3)</f>
        <v>0</v>
      </c>
      <c r="DM140" s="2">
        <f>COUNTIF(INDEX('LINE PLAN'!$B$36:$GS$61,0,ROW()-3),DM$3)</f>
        <v>0</v>
      </c>
      <c r="DN140" s="2">
        <f>COUNTIF(INDEX('LINE PLAN'!$B$36:$GS$61,0,ROW()-3),DN$3)</f>
        <v>0</v>
      </c>
      <c r="DO140" s="2">
        <f>COUNTIF(INDEX('LINE PLAN'!$B$36:$GS$61,0,ROW()-3),DO$3)</f>
        <v>0</v>
      </c>
      <c r="DP140" s="2">
        <f>COUNTIF(INDEX('LINE PLAN'!$B$36:$GS$61,0,ROW()-3),DP$3)</f>
        <v>0</v>
      </c>
      <c r="DQ140" s="2">
        <f>COUNTIF(INDEX('LINE PLAN'!$B$36:$GS$61,0,ROW()-3),DQ$3)</f>
        <v>0</v>
      </c>
      <c r="DR140" s="2">
        <f>COUNTIF(INDEX('LINE PLAN'!$B$36:$GS$61,0,ROW()-3),DR$3)</f>
        <v>0</v>
      </c>
      <c r="DS140" s="2">
        <f>COUNTIF(INDEX('LINE PLAN'!$B$36:$GS$61,0,ROW()-3),DS$3)</f>
        <v>0</v>
      </c>
      <c r="DT140" s="2">
        <f>COUNTIF(INDEX('LINE PLAN'!$B$36:$GS$61,0,ROW()-3),DT$3)</f>
        <v>0</v>
      </c>
      <c r="DU140" s="2">
        <f>COUNTIF(INDEX('LINE PLAN'!$B$36:$GS$61,0,ROW()-3),DU$3)</f>
        <v>0</v>
      </c>
      <c r="DV140" s="2">
        <f>COUNTIF(INDEX('LINE PLAN'!$B$36:$GS$61,0,ROW()-3),DV$3)</f>
        <v>0</v>
      </c>
    </row>
    <row r="141" spans="1:126">
      <c r="A141" s="505" cm="1">
        <f t="array" ref="A141">INDEX('LINE PLAN'!$B$35:$GS$35,ROW()-3)</f>
        <v>0</v>
      </c>
      <c r="B141" s="2">
        <f>SUMPRODUCT($CA141:$DV141,INDEX('MC MAP'!$DA$5:$EV$30,1,0))</f>
        <v>0</v>
      </c>
      <c r="C141" s="2">
        <f>SUMPRODUCT($CA141:$DV141,INDEX('MC MAP'!$DA$5:$EV$30,2,0))</f>
        <v>0</v>
      </c>
      <c r="D141" s="2">
        <f>SUMPRODUCT($CA141:$DV141,INDEX('MC MAP'!$DA$5:$EV$30,3,0))</f>
        <v>0</v>
      </c>
      <c r="E141" s="2">
        <f>SUMPRODUCT($CA141:$DV141,INDEX('MC MAP'!$DA$5:$EV$30,4,0))</f>
        <v>0</v>
      </c>
      <c r="F141" s="2">
        <f>SUMPRODUCT($CA141:$DV141,INDEX('MC MAP'!$DA$5:$EV$30,5,0))</f>
        <v>0</v>
      </c>
      <c r="G141" s="2">
        <f>SUMPRODUCT($CA141:$DV141,INDEX('MC MAP'!$DA$5:$EV$30,6,0))</f>
        <v>0</v>
      </c>
      <c r="H141" s="2">
        <f>SUMPRODUCT($CA141:$DV141,INDEX('MC MAP'!$DA$5:$EV$30,7,0))</f>
        <v>0</v>
      </c>
      <c r="I141" s="2">
        <f>SUMPRODUCT($CA141:$DV141,INDEX('MC MAP'!$DA$5:$EV$30,8,0))</f>
        <v>0</v>
      </c>
      <c r="J141" s="2">
        <f>SUMPRODUCT($CA141:$DV141,INDEX('MC MAP'!$DA$5:$EV$30,9,0))</f>
        <v>0</v>
      </c>
      <c r="K141" s="2">
        <f>SUMPRODUCT($CA141:$DV141,INDEX('MC MAP'!$DA$5:$EV$30,10,0))</f>
        <v>0</v>
      </c>
      <c r="L141" s="2">
        <f>SUMPRODUCT($CA141:$DV141,INDEX('MC MAP'!$DA$5:$EV$30,11,0))</f>
        <v>0</v>
      </c>
      <c r="M141" s="2">
        <f>SUMPRODUCT($CA141:$DV141,INDEX('MC MAP'!$DA$5:$EV$30,12,0))</f>
        <v>0</v>
      </c>
      <c r="N141" s="2">
        <f>SUMPRODUCT($CA141:$DV141,INDEX('MC MAP'!$DA$5:$EV$30,13,0))</f>
        <v>0</v>
      </c>
      <c r="O141" s="2">
        <f>SUMPRODUCT($CA141:$DV141,INDEX('MC MAP'!$DA$5:$EV$30,14,0))</f>
        <v>0</v>
      </c>
      <c r="P141" s="2">
        <f>SUMPRODUCT($CA141:$DV141,INDEX('MC MAP'!$DA$5:$EV$30,15,0))</f>
        <v>0</v>
      </c>
      <c r="Q141" s="2">
        <f>SUMPRODUCT($CA141:$DV141,INDEX('MC MAP'!$DA$5:$EV$30,16,0))</f>
        <v>0</v>
      </c>
      <c r="R141" s="2">
        <f>SUMPRODUCT($CA141:$DV141,INDEX('MC MAP'!$DA$5:$EV$30,17,0))</f>
        <v>0</v>
      </c>
      <c r="S141" s="2">
        <f>SUMPRODUCT($CA141:$DV141,INDEX('MC MAP'!$DA$5:$EV$30,18,0))</f>
        <v>0</v>
      </c>
      <c r="T141" s="2">
        <f>SUMPRODUCT($CA141:$DV141,INDEX('MC MAP'!$DA$5:$EV$30,19,0))</f>
        <v>0</v>
      </c>
      <c r="U141" s="2">
        <f>SUMPRODUCT($CA141:$DV141,INDEX('MC MAP'!$DA$5:$EV$30,20,0))</f>
        <v>0</v>
      </c>
      <c r="V141" s="2">
        <f>SUMPRODUCT($CA141:$DV141,INDEX('MC MAP'!$DA$5:$EV$30,21,0))</f>
        <v>0</v>
      </c>
      <c r="W141" s="2">
        <f>SUMPRODUCT($CA141:$DV141,INDEX('MC MAP'!$DA$5:$EV$30,22,0))</f>
        <v>0</v>
      </c>
      <c r="X141" s="2">
        <f>SUMPRODUCT($CA141:$DV141,INDEX('MC MAP'!$DA$5:$EV$30,23,0))</f>
        <v>0</v>
      </c>
      <c r="Y141" s="2">
        <f>SUMPRODUCT($CA141:$DV141,INDEX('MC MAP'!$DA$5:$EV$30,24,0))</f>
        <v>0</v>
      </c>
      <c r="Z141" s="2">
        <f>SUMPRODUCT($CA141:$DV141,INDEX('MC MAP'!$DA$5:$EV$30,25,0))</f>
        <v>0</v>
      </c>
      <c r="AA141" s="2">
        <f>SUMPRODUCT($CA141:$DV141,INDEX('MC MAP'!$DA$5:$EV$30,26,0))</f>
        <v>0</v>
      </c>
      <c r="AB141" s="2">
        <f>SUM($B141:$AA141)</f>
        <v>0</v>
      </c>
      <c r="AC141" s="2">
        <f>SUM($CA141:$DV141)+$AW141</f>
        <v>0</v>
      </c>
      <c r="AW141" s="2">
        <f>IF($A141=0,0,COUNTIF(INDEX('LINE PLAN'!$B$36:$GS$61,0,ROW()-3),"THERMAL - NOT SPECIFIED"))</f>
        <v>0</v>
      </c>
      <c r="AX141" s="506" cm="1">
        <f t="array" ref="AX141">IF(OR($AB141=0,UPPER($BS141)&lt;&gt;"Y"),0,SUMPRODUCT(--($B141:$AA141&gt;$B$205:$AA$205)))</f>
        <v>0</v>
      </c>
      <c r="AY141" s="507">
        <f>$A141</f>
        <v>0</v>
      </c>
      <c r="AZ141" s="2">
        <f>$AB141</f>
        <v>0</v>
      </c>
      <c r="BA141" s="2">
        <f>'MC MASTER'!$C$29</f>
        <v>920</v>
      </c>
      <c r="BQ141" s="509">
        <f>$A141</f>
        <v>0</v>
      </c>
      <c r="BR141" s="15" t="str">
        <f>TEXT($A141,"ddd")</f>
        <v>Sat</v>
      </c>
      <c r="BS141" s="547" t="str">
        <f>IF($A141=0,"",IF(WEEKDAY($A141,2)=7,"N","Y"))</f>
        <v/>
      </c>
      <c r="BT141" s="15">
        <f>IF(UPPER($BS141)="Y",$AB141,0)</f>
        <v>0</v>
      </c>
      <c r="CA141" s="2">
        <f>COUNTIF(INDEX('LINE PLAN'!$B$36:$GS$61,0,ROW()-3),CA$3)</f>
        <v>0</v>
      </c>
      <c r="CB141" s="2">
        <f>COUNTIF(INDEX('LINE PLAN'!$B$36:$GS$61,0,ROW()-3),CB$3)</f>
        <v>0</v>
      </c>
      <c r="CC141" s="2">
        <f>COUNTIF(INDEX('LINE PLAN'!$B$36:$GS$61,0,ROW()-3),CC$3)</f>
        <v>0</v>
      </c>
      <c r="CD141" s="2">
        <f>COUNTIF(INDEX('LINE PLAN'!$B$36:$GS$61,0,ROW()-3),CD$3)</f>
        <v>0</v>
      </c>
      <c r="CE141" s="2">
        <f>COUNTIF(INDEX('LINE PLAN'!$B$36:$GS$61,0,ROW()-3),CE$3)</f>
        <v>0</v>
      </c>
      <c r="CF141" s="2">
        <f>COUNTIF(INDEX('LINE PLAN'!$B$36:$GS$61,0,ROW()-3),CF$3)</f>
        <v>0</v>
      </c>
      <c r="CG141" s="2">
        <f>COUNTIF(INDEX('LINE PLAN'!$B$36:$GS$61,0,ROW()-3),CG$3)</f>
        <v>0</v>
      </c>
      <c r="CH141" s="2">
        <f>COUNTIF(INDEX('LINE PLAN'!$B$36:$GS$61,0,ROW()-3),CH$3)</f>
        <v>0</v>
      </c>
      <c r="CI141" s="2">
        <f>COUNTIF(INDEX('LINE PLAN'!$B$36:$GS$61,0,ROW()-3),CI$3)</f>
        <v>0</v>
      </c>
      <c r="CJ141" s="2">
        <f>COUNTIF(INDEX('LINE PLAN'!$B$36:$GS$61,0,ROW()-3),CJ$3)</f>
        <v>0</v>
      </c>
      <c r="CK141" s="2">
        <f>COUNTIF(INDEX('LINE PLAN'!$B$36:$GS$61,0,ROW()-3),CK$3)</f>
        <v>0</v>
      </c>
      <c r="CL141" s="2">
        <f>COUNTIF(INDEX('LINE PLAN'!$B$36:$GS$61,0,ROW()-3),CL$3)</f>
        <v>0</v>
      </c>
      <c r="CM141" s="2">
        <f>COUNTIF(INDEX('LINE PLAN'!$B$36:$GS$61,0,ROW()-3),CM$3)</f>
        <v>0</v>
      </c>
      <c r="CN141" s="2">
        <f>COUNTIF(INDEX('LINE PLAN'!$B$36:$GS$61,0,ROW()-3),CN$3)</f>
        <v>0</v>
      </c>
      <c r="CO141" s="2">
        <f>COUNTIF(INDEX('LINE PLAN'!$B$36:$GS$61,0,ROW()-3),CO$3)</f>
        <v>0</v>
      </c>
      <c r="CP141" s="2">
        <f>COUNTIF(INDEX('LINE PLAN'!$B$36:$GS$61,0,ROW()-3),CP$3)</f>
        <v>0</v>
      </c>
      <c r="CQ141" s="2">
        <f>COUNTIF(INDEX('LINE PLAN'!$B$36:$GS$61,0,ROW()-3),CQ$3)</f>
        <v>0</v>
      </c>
      <c r="CR141" s="2">
        <f>COUNTIF(INDEX('LINE PLAN'!$B$36:$GS$61,0,ROW()-3),CR$3)</f>
        <v>0</v>
      </c>
      <c r="CS141" s="2">
        <f>COUNTIF(INDEX('LINE PLAN'!$B$36:$GS$61,0,ROW()-3),CS$3)</f>
        <v>0</v>
      </c>
      <c r="CT141" s="2">
        <f>COUNTIF(INDEX('LINE PLAN'!$B$36:$GS$61,0,ROW()-3),CT$3)</f>
        <v>0</v>
      </c>
      <c r="CU141" s="2">
        <f>COUNTIF(INDEX('LINE PLAN'!$B$36:$GS$61,0,ROW()-3),CU$3)</f>
        <v>0</v>
      </c>
      <c r="CV141" s="2">
        <f>COUNTIF(INDEX('LINE PLAN'!$B$36:$GS$61,0,ROW()-3),CV$3)</f>
        <v>0</v>
      </c>
      <c r="CW141" s="2">
        <f>COUNTIF(INDEX('LINE PLAN'!$B$36:$GS$61,0,ROW()-3),CW$3)</f>
        <v>0</v>
      </c>
      <c r="CX141" s="2">
        <f>COUNTIF(INDEX('LINE PLAN'!$B$36:$GS$61,0,ROW()-3),CX$3)</f>
        <v>0</v>
      </c>
      <c r="CY141" s="2">
        <f>COUNTIF(INDEX('LINE PLAN'!$B$36:$GS$61,0,ROW()-3),CY$3)</f>
        <v>0</v>
      </c>
      <c r="CZ141" s="2">
        <f>COUNTIF(INDEX('LINE PLAN'!$B$36:$GS$61,0,ROW()-3),CZ$3)</f>
        <v>0</v>
      </c>
      <c r="DA141" s="2">
        <f>COUNTIF(INDEX('LINE PLAN'!$B$36:$GS$61,0,ROW()-3),DA$3)</f>
        <v>0</v>
      </c>
      <c r="DB141" s="2">
        <f>COUNTIF(INDEX('LINE PLAN'!$B$36:$GS$61,0,ROW()-3),DB$3)</f>
        <v>0</v>
      </c>
      <c r="DC141" s="2">
        <f>COUNTIF(INDEX('LINE PLAN'!$B$36:$GS$61,0,ROW()-3),DC$3)</f>
        <v>0</v>
      </c>
      <c r="DD141" s="2">
        <f>COUNTIF(INDEX('LINE PLAN'!$B$36:$GS$61,0,ROW()-3),DD$3)</f>
        <v>0</v>
      </c>
      <c r="DE141" s="2">
        <f>COUNTIF(INDEX('LINE PLAN'!$B$36:$GS$61,0,ROW()-3),DE$3)</f>
        <v>0</v>
      </c>
      <c r="DF141" s="2">
        <f>COUNTIF(INDEX('LINE PLAN'!$B$36:$GS$61,0,ROW()-3),DF$3)</f>
        <v>0</v>
      </c>
      <c r="DG141" s="2">
        <f>COUNTIF(INDEX('LINE PLAN'!$B$36:$GS$61,0,ROW()-3),DG$3)</f>
        <v>0</v>
      </c>
      <c r="DH141" s="2">
        <f>COUNTIF(INDEX('LINE PLAN'!$B$36:$GS$61,0,ROW()-3),DH$3)</f>
        <v>0</v>
      </c>
      <c r="DI141" s="2">
        <f>COUNTIF(INDEX('LINE PLAN'!$B$36:$GS$61,0,ROW()-3),DI$3)</f>
        <v>0</v>
      </c>
      <c r="DJ141" s="2">
        <f>COUNTIF(INDEX('LINE PLAN'!$B$36:$GS$61,0,ROW()-3),DJ$3)</f>
        <v>0</v>
      </c>
      <c r="DK141" s="2">
        <f>COUNTIF(INDEX('LINE PLAN'!$B$36:$GS$61,0,ROW()-3),DK$3)</f>
        <v>0</v>
      </c>
      <c r="DL141" s="2">
        <f>COUNTIF(INDEX('LINE PLAN'!$B$36:$GS$61,0,ROW()-3),DL$3)</f>
        <v>0</v>
      </c>
      <c r="DM141" s="2">
        <f>COUNTIF(INDEX('LINE PLAN'!$B$36:$GS$61,0,ROW()-3),DM$3)</f>
        <v>0</v>
      </c>
      <c r="DN141" s="2">
        <f>COUNTIF(INDEX('LINE PLAN'!$B$36:$GS$61,0,ROW()-3),DN$3)</f>
        <v>0</v>
      </c>
      <c r="DO141" s="2">
        <f>COUNTIF(INDEX('LINE PLAN'!$B$36:$GS$61,0,ROW()-3),DO$3)</f>
        <v>0</v>
      </c>
      <c r="DP141" s="2">
        <f>COUNTIF(INDEX('LINE PLAN'!$B$36:$GS$61,0,ROW()-3),DP$3)</f>
        <v>0</v>
      </c>
      <c r="DQ141" s="2">
        <f>COUNTIF(INDEX('LINE PLAN'!$B$36:$GS$61,0,ROW()-3),DQ$3)</f>
        <v>0</v>
      </c>
      <c r="DR141" s="2">
        <f>COUNTIF(INDEX('LINE PLAN'!$B$36:$GS$61,0,ROW()-3),DR$3)</f>
        <v>0</v>
      </c>
      <c r="DS141" s="2">
        <f>COUNTIF(INDEX('LINE PLAN'!$B$36:$GS$61,0,ROW()-3),DS$3)</f>
        <v>0</v>
      </c>
      <c r="DT141" s="2">
        <f>COUNTIF(INDEX('LINE PLAN'!$B$36:$GS$61,0,ROW()-3),DT$3)</f>
        <v>0</v>
      </c>
      <c r="DU141" s="2">
        <f>COUNTIF(INDEX('LINE PLAN'!$B$36:$GS$61,0,ROW()-3),DU$3)</f>
        <v>0</v>
      </c>
      <c r="DV141" s="2">
        <f>COUNTIF(INDEX('LINE PLAN'!$B$36:$GS$61,0,ROW()-3),DV$3)</f>
        <v>0</v>
      </c>
    </row>
    <row r="142" spans="1:126">
      <c r="A142" s="505" cm="1">
        <f t="array" ref="A142">INDEX('LINE PLAN'!$B$35:$GS$35,ROW()-3)</f>
        <v>0</v>
      </c>
      <c r="B142" s="2">
        <f>SUMPRODUCT($CA142:$DV142,INDEX('MC MAP'!$DA$5:$EV$30,1,0))</f>
        <v>0</v>
      </c>
      <c r="C142" s="2">
        <f>SUMPRODUCT($CA142:$DV142,INDEX('MC MAP'!$DA$5:$EV$30,2,0))</f>
        <v>0</v>
      </c>
      <c r="D142" s="2">
        <f>SUMPRODUCT($CA142:$DV142,INDEX('MC MAP'!$DA$5:$EV$30,3,0))</f>
        <v>0</v>
      </c>
      <c r="E142" s="2">
        <f>SUMPRODUCT($CA142:$DV142,INDEX('MC MAP'!$DA$5:$EV$30,4,0))</f>
        <v>0</v>
      </c>
      <c r="F142" s="2">
        <f>SUMPRODUCT($CA142:$DV142,INDEX('MC MAP'!$DA$5:$EV$30,5,0))</f>
        <v>0</v>
      </c>
      <c r="G142" s="2">
        <f>SUMPRODUCT($CA142:$DV142,INDEX('MC MAP'!$DA$5:$EV$30,6,0))</f>
        <v>0</v>
      </c>
      <c r="H142" s="2">
        <f>SUMPRODUCT($CA142:$DV142,INDEX('MC MAP'!$DA$5:$EV$30,7,0))</f>
        <v>0</v>
      </c>
      <c r="I142" s="2">
        <f>SUMPRODUCT($CA142:$DV142,INDEX('MC MAP'!$DA$5:$EV$30,8,0))</f>
        <v>0</v>
      </c>
      <c r="J142" s="2">
        <f>SUMPRODUCT($CA142:$DV142,INDEX('MC MAP'!$DA$5:$EV$30,9,0))</f>
        <v>0</v>
      </c>
      <c r="K142" s="2">
        <f>SUMPRODUCT($CA142:$DV142,INDEX('MC MAP'!$DA$5:$EV$30,10,0))</f>
        <v>0</v>
      </c>
      <c r="L142" s="2">
        <f>SUMPRODUCT($CA142:$DV142,INDEX('MC MAP'!$DA$5:$EV$30,11,0))</f>
        <v>0</v>
      </c>
      <c r="M142" s="2">
        <f>SUMPRODUCT($CA142:$DV142,INDEX('MC MAP'!$DA$5:$EV$30,12,0))</f>
        <v>0</v>
      </c>
      <c r="N142" s="2">
        <f>SUMPRODUCT($CA142:$DV142,INDEX('MC MAP'!$DA$5:$EV$30,13,0))</f>
        <v>0</v>
      </c>
      <c r="O142" s="2">
        <f>SUMPRODUCT($CA142:$DV142,INDEX('MC MAP'!$DA$5:$EV$30,14,0))</f>
        <v>0</v>
      </c>
      <c r="P142" s="2">
        <f>SUMPRODUCT($CA142:$DV142,INDEX('MC MAP'!$DA$5:$EV$30,15,0))</f>
        <v>0</v>
      </c>
      <c r="Q142" s="2">
        <f>SUMPRODUCT($CA142:$DV142,INDEX('MC MAP'!$DA$5:$EV$30,16,0))</f>
        <v>0</v>
      </c>
      <c r="R142" s="2">
        <f>SUMPRODUCT($CA142:$DV142,INDEX('MC MAP'!$DA$5:$EV$30,17,0))</f>
        <v>0</v>
      </c>
      <c r="S142" s="2">
        <f>SUMPRODUCT($CA142:$DV142,INDEX('MC MAP'!$DA$5:$EV$30,18,0))</f>
        <v>0</v>
      </c>
      <c r="T142" s="2">
        <f>SUMPRODUCT($CA142:$DV142,INDEX('MC MAP'!$DA$5:$EV$30,19,0))</f>
        <v>0</v>
      </c>
      <c r="U142" s="2">
        <f>SUMPRODUCT($CA142:$DV142,INDEX('MC MAP'!$DA$5:$EV$30,20,0))</f>
        <v>0</v>
      </c>
      <c r="V142" s="2">
        <f>SUMPRODUCT($CA142:$DV142,INDEX('MC MAP'!$DA$5:$EV$30,21,0))</f>
        <v>0</v>
      </c>
      <c r="W142" s="2">
        <f>SUMPRODUCT($CA142:$DV142,INDEX('MC MAP'!$DA$5:$EV$30,22,0))</f>
        <v>0</v>
      </c>
      <c r="X142" s="2">
        <f>SUMPRODUCT($CA142:$DV142,INDEX('MC MAP'!$DA$5:$EV$30,23,0))</f>
        <v>0</v>
      </c>
      <c r="Y142" s="2">
        <f>SUMPRODUCT($CA142:$DV142,INDEX('MC MAP'!$DA$5:$EV$30,24,0))</f>
        <v>0</v>
      </c>
      <c r="Z142" s="2">
        <f>SUMPRODUCT($CA142:$DV142,INDEX('MC MAP'!$DA$5:$EV$30,25,0))</f>
        <v>0</v>
      </c>
      <c r="AA142" s="2">
        <f>SUMPRODUCT($CA142:$DV142,INDEX('MC MAP'!$DA$5:$EV$30,26,0))</f>
        <v>0</v>
      </c>
      <c r="AB142" s="2">
        <f>SUM($B142:$AA142)</f>
        <v>0</v>
      </c>
      <c r="AC142" s="2">
        <f>SUM($CA142:$DV142)+$AW142</f>
        <v>0</v>
      </c>
      <c r="AW142" s="2">
        <f>IF($A142=0,0,COUNTIF(INDEX('LINE PLAN'!$B$36:$GS$61,0,ROW()-3),"THERMAL - NOT SPECIFIED"))</f>
        <v>0</v>
      </c>
      <c r="AX142" s="506" cm="1">
        <f t="array" ref="AX142">IF(OR($AB142=0,UPPER($BS142)&lt;&gt;"Y"),0,SUMPRODUCT(--($B142:$AA142&gt;$B$205:$AA$205)))</f>
        <v>0</v>
      </c>
      <c r="AY142" s="507">
        <f>$A142</f>
        <v>0</v>
      </c>
      <c r="AZ142" s="2">
        <f>$AB142</f>
        <v>0</v>
      </c>
      <c r="BA142" s="2">
        <f>'MC MASTER'!$C$29</f>
        <v>920</v>
      </c>
      <c r="BQ142" s="509">
        <f>$A142</f>
        <v>0</v>
      </c>
      <c r="BR142" s="15" t="str">
        <f>TEXT($A142,"ddd")</f>
        <v>Sat</v>
      </c>
      <c r="BS142" s="547" t="str">
        <f>IF($A142=0,"",IF(WEEKDAY($A142,2)=7,"N","Y"))</f>
        <v/>
      </c>
      <c r="BT142" s="15">
        <f>IF(UPPER($BS142)="Y",$AB142,0)</f>
        <v>0</v>
      </c>
      <c r="CA142" s="2">
        <f>COUNTIF(INDEX('LINE PLAN'!$B$36:$GS$61,0,ROW()-3),CA$3)</f>
        <v>0</v>
      </c>
      <c r="CB142" s="2">
        <f>COUNTIF(INDEX('LINE PLAN'!$B$36:$GS$61,0,ROW()-3),CB$3)</f>
        <v>0</v>
      </c>
      <c r="CC142" s="2">
        <f>COUNTIF(INDEX('LINE PLAN'!$B$36:$GS$61,0,ROW()-3),CC$3)</f>
        <v>0</v>
      </c>
      <c r="CD142" s="2">
        <f>COUNTIF(INDEX('LINE PLAN'!$B$36:$GS$61,0,ROW()-3),CD$3)</f>
        <v>0</v>
      </c>
      <c r="CE142" s="2">
        <f>COUNTIF(INDEX('LINE PLAN'!$B$36:$GS$61,0,ROW()-3),CE$3)</f>
        <v>0</v>
      </c>
      <c r="CF142" s="2">
        <f>COUNTIF(INDEX('LINE PLAN'!$B$36:$GS$61,0,ROW()-3),CF$3)</f>
        <v>0</v>
      </c>
      <c r="CG142" s="2">
        <f>COUNTIF(INDEX('LINE PLAN'!$B$36:$GS$61,0,ROW()-3),CG$3)</f>
        <v>0</v>
      </c>
      <c r="CH142" s="2">
        <f>COUNTIF(INDEX('LINE PLAN'!$B$36:$GS$61,0,ROW()-3),CH$3)</f>
        <v>0</v>
      </c>
      <c r="CI142" s="2">
        <f>COUNTIF(INDEX('LINE PLAN'!$B$36:$GS$61,0,ROW()-3),CI$3)</f>
        <v>0</v>
      </c>
      <c r="CJ142" s="2">
        <f>COUNTIF(INDEX('LINE PLAN'!$B$36:$GS$61,0,ROW()-3),CJ$3)</f>
        <v>0</v>
      </c>
      <c r="CK142" s="2">
        <f>COUNTIF(INDEX('LINE PLAN'!$B$36:$GS$61,0,ROW()-3),CK$3)</f>
        <v>0</v>
      </c>
      <c r="CL142" s="2">
        <f>COUNTIF(INDEX('LINE PLAN'!$B$36:$GS$61,0,ROW()-3),CL$3)</f>
        <v>0</v>
      </c>
      <c r="CM142" s="2">
        <f>COUNTIF(INDEX('LINE PLAN'!$B$36:$GS$61,0,ROW()-3),CM$3)</f>
        <v>0</v>
      </c>
      <c r="CN142" s="2">
        <f>COUNTIF(INDEX('LINE PLAN'!$B$36:$GS$61,0,ROW()-3),CN$3)</f>
        <v>0</v>
      </c>
      <c r="CO142" s="2">
        <f>COUNTIF(INDEX('LINE PLAN'!$B$36:$GS$61,0,ROW()-3),CO$3)</f>
        <v>0</v>
      </c>
      <c r="CP142" s="2">
        <f>COUNTIF(INDEX('LINE PLAN'!$B$36:$GS$61,0,ROW()-3),CP$3)</f>
        <v>0</v>
      </c>
      <c r="CQ142" s="2">
        <f>COUNTIF(INDEX('LINE PLAN'!$B$36:$GS$61,0,ROW()-3),CQ$3)</f>
        <v>0</v>
      </c>
      <c r="CR142" s="2">
        <f>COUNTIF(INDEX('LINE PLAN'!$B$36:$GS$61,0,ROW()-3),CR$3)</f>
        <v>0</v>
      </c>
      <c r="CS142" s="2">
        <f>COUNTIF(INDEX('LINE PLAN'!$B$36:$GS$61,0,ROW()-3),CS$3)</f>
        <v>0</v>
      </c>
      <c r="CT142" s="2">
        <f>COUNTIF(INDEX('LINE PLAN'!$B$36:$GS$61,0,ROW()-3),CT$3)</f>
        <v>0</v>
      </c>
      <c r="CU142" s="2">
        <f>COUNTIF(INDEX('LINE PLAN'!$B$36:$GS$61,0,ROW()-3),CU$3)</f>
        <v>0</v>
      </c>
      <c r="CV142" s="2">
        <f>COUNTIF(INDEX('LINE PLAN'!$B$36:$GS$61,0,ROW()-3),CV$3)</f>
        <v>0</v>
      </c>
      <c r="CW142" s="2">
        <f>COUNTIF(INDEX('LINE PLAN'!$B$36:$GS$61,0,ROW()-3),CW$3)</f>
        <v>0</v>
      </c>
      <c r="CX142" s="2">
        <f>COUNTIF(INDEX('LINE PLAN'!$B$36:$GS$61,0,ROW()-3),CX$3)</f>
        <v>0</v>
      </c>
      <c r="CY142" s="2">
        <f>COUNTIF(INDEX('LINE PLAN'!$B$36:$GS$61,0,ROW()-3),CY$3)</f>
        <v>0</v>
      </c>
      <c r="CZ142" s="2">
        <f>COUNTIF(INDEX('LINE PLAN'!$B$36:$GS$61,0,ROW()-3),CZ$3)</f>
        <v>0</v>
      </c>
      <c r="DA142" s="2">
        <f>COUNTIF(INDEX('LINE PLAN'!$B$36:$GS$61,0,ROW()-3),DA$3)</f>
        <v>0</v>
      </c>
      <c r="DB142" s="2">
        <f>COUNTIF(INDEX('LINE PLAN'!$B$36:$GS$61,0,ROW()-3),DB$3)</f>
        <v>0</v>
      </c>
      <c r="DC142" s="2">
        <f>COUNTIF(INDEX('LINE PLAN'!$B$36:$GS$61,0,ROW()-3),DC$3)</f>
        <v>0</v>
      </c>
      <c r="DD142" s="2">
        <f>COUNTIF(INDEX('LINE PLAN'!$B$36:$GS$61,0,ROW()-3),DD$3)</f>
        <v>0</v>
      </c>
      <c r="DE142" s="2">
        <f>COUNTIF(INDEX('LINE PLAN'!$B$36:$GS$61,0,ROW()-3),DE$3)</f>
        <v>0</v>
      </c>
      <c r="DF142" s="2">
        <f>COUNTIF(INDEX('LINE PLAN'!$B$36:$GS$61,0,ROW()-3),DF$3)</f>
        <v>0</v>
      </c>
      <c r="DG142" s="2">
        <f>COUNTIF(INDEX('LINE PLAN'!$B$36:$GS$61,0,ROW()-3),DG$3)</f>
        <v>0</v>
      </c>
      <c r="DH142" s="2">
        <f>COUNTIF(INDEX('LINE PLAN'!$B$36:$GS$61,0,ROW()-3),DH$3)</f>
        <v>0</v>
      </c>
      <c r="DI142" s="2">
        <f>COUNTIF(INDEX('LINE PLAN'!$B$36:$GS$61,0,ROW()-3),DI$3)</f>
        <v>0</v>
      </c>
      <c r="DJ142" s="2">
        <f>COUNTIF(INDEX('LINE PLAN'!$B$36:$GS$61,0,ROW()-3),DJ$3)</f>
        <v>0</v>
      </c>
      <c r="DK142" s="2">
        <f>COUNTIF(INDEX('LINE PLAN'!$B$36:$GS$61,0,ROW()-3),DK$3)</f>
        <v>0</v>
      </c>
      <c r="DL142" s="2">
        <f>COUNTIF(INDEX('LINE PLAN'!$B$36:$GS$61,0,ROW()-3),DL$3)</f>
        <v>0</v>
      </c>
      <c r="DM142" s="2">
        <f>COUNTIF(INDEX('LINE PLAN'!$B$36:$GS$61,0,ROW()-3),DM$3)</f>
        <v>0</v>
      </c>
      <c r="DN142" s="2">
        <f>COUNTIF(INDEX('LINE PLAN'!$B$36:$GS$61,0,ROW()-3),DN$3)</f>
        <v>0</v>
      </c>
      <c r="DO142" s="2">
        <f>COUNTIF(INDEX('LINE PLAN'!$B$36:$GS$61,0,ROW()-3),DO$3)</f>
        <v>0</v>
      </c>
      <c r="DP142" s="2">
        <f>COUNTIF(INDEX('LINE PLAN'!$B$36:$GS$61,0,ROW()-3),DP$3)</f>
        <v>0</v>
      </c>
      <c r="DQ142" s="2">
        <f>COUNTIF(INDEX('LINE PLAN'!$B$36:$GS$61,0,ROW()-3),DQ$3)</f>
        <v>0</v>
      </c>
      <c r="DR142" s="2">
        <f>COUNTIF(INDEX('LINE PLAN'!$B$36:$GS$61,0,ROW()-3),DR$3)</f>
        <v>0</v>
      </c>
      <c r="DS142" s="2">
        <f>COUNTIF(INDEX('LINE PLAN'!$B$36:$GS$61,0,ROW()-3),DS$3)</f>
        <v>0</v>
      </c>
      <c r="DT142" s="2">
        <f>COUNTIF(INDEX('LINE PLAN'!$B$36:$GS$61,0,ROW()-3),DT$3)</f>
        <v>0</v>
      </c>
      <c r="DU142" s="2">
        <f>COUNTIF(INDEX('LINE PLAN'!$B$36:$GS$61,0,ROW()-3),DU$3)</f>
        <v>0</v>
      </c>
      <c r="DV142" s="2">
        <f>COUNTIF(INDEX('LINE PLAN'!$B$36:$GS$61,0,ROW()-3),DV$3)</f>
        <v>0</v>
      </c>
    </row>
    <row r="143" spans="1:126">
      <c r="A143" s="505" cm="1">
        <f t="array" ref="A143">INDEX('LINE PLAN'!$B$35:$GS$35,ROW()-3)</f>
        <v>0</v>
      </c>
      <c r="B143" s="2">
        <f>SUMPRODUCT($CA143:$DV143,INDEX('MC MAP'!$DA$5:$EV$30,1,0))</f>
        <v>0</v>
      </c>
      <c r="C143" s="2">
        <f>SUMPRODUCT($CA143:$DV143,INDEX('MC MAP'!$DA$5:$EV$30,2,0))</f>
        <v>0</v>
      </c>
      <c r="D143" s="2">
        <f>SUMPRODUCT($CA143:$DV143,INDEX('MC MAP'!$DA$5:$EV$30,3,0))</f>
        <v>0</v>
      </c>
      <c r="E143" s="2">
        <f>SUMPRODUCT($CA143:$DV143,INDEX('MC MAP'!$DA$5:$EV$30,4,0))</f>
        <v>0</v>
      </c>
      <c r="F143" s="2">
        <f>SUMPRODUCT($CA143:$DV143,INDEX('MC MAP'!$DA$5:$EV$30,5,0))</f>
        <v>0</v>
      </c>
      <c r="G143" s="2">
        <f>SUMPRODUCT($CA143:$DV143,INDEX('MC MAP'!$DA$5:$EV$30,6,0))</f>
        <v>0</v>
      </c>
      <c r="H143" s="2">
        <f>SUMPRODUCT($CA143:$DV143,INDEX('MC MAP'!$DA$5:$EV$30,7,0))</f>
        <v>0</v>
      </c>
      <c r="I143" s="2">
        <f>SUMPRODUCT($CA143:$DV143,INDEX('MC MAP'!$DA$5:$EV$30,8,0))</f>
        <v>0</v>
      </c>
      <c r="J143" s="2">
        <f>SUMPRODUCT($CA143:$DV143,INDEX('MC MAP'!$DA$5:$EV$30,9,0))</f>
        <v>0</v>
      </c>
      <c r="K143" s="2">
        <f>SUMPRODUCT($CA143:$DV143,INDEX('MC MAP'!$DA$5:$EV$30,10,0))</f>
        <v>0</v>
      </c>
      <c r="L143" s="2">
        <f>SUMPRODUCT($CA143:$DV143,INDEX('MC MAP'!$DA$5:$EV$30,11,0))</f>
        <v>0</v>
      </c>
      <c r="M143" s="2">
        <f>SUMPRODUCT($CA143:$DV143,INDEX('MC MAP'!$DA$5:$EV$30,12,0))</f>
        <v>0</v>
      </c>
      <c r="N143" s="2">
        <f>SUMPRODUCT($CA143:$DV143,INDEX('MC MAP'!$DA$5:$EV$30,13,0))</f>
        <v>0</v>
      </c>
      <c r="O143" s="2">
        <f>SUMPRODUCT($CA143:$DV143,INDEX('MC MAP'!$DA$5:$EV$30,14,0))</f>
        <v>0</v>
      </c>
      <c r="P143" s="2">
        <f>SUMPRODUCT($CA143:$DV143,INDEX('MC MAP'!$DA$5:$EV$30,15,0))</f>
        <v>0</v>
      </c>
      <c r="Q143" s="2">
        <f>SUMPRODUCT($CA143:$DV143,INDEX('MC MAP'!$DA$5:$EV$30,16,0))</f>
        <v>0</v>
      </c>
      <c r="R143" s="2">
        <f>SUMPRODUCT($CA143:$DV143,INDEX('MC MAP'!$DA$5:$EV$30,17,0))</f>
        <v>0</v>
      </c>
      <c r="S143" s="2">
        <f>SUMPRODUCT($CA143:$DV143,INDEX('MC MAP'!$DA$5:$EV$30,18,0))</f>
        <v>0</v>
      </c>
      <c r="T143" s="2">
        <f>SUMPRODUCT($CA143:$DV143,INDEX('MC MAP'!$DA$5:$EV$30,19,0))</f>
        <v>0</v>
      </c>
      <c r="U143" s="2">
        <f>SUMPRODUCT($CA143:$DV143,INDEX('MC MAP'!$DA$5:$EV$30,20,0))</f>
        <v>0</v>
      </c>
      <c r="V143" s="2">
        <f>SUMPRODUCT($CA143:$DV143,INDEX('MC MAP'!$DA$5:$EV$30,21,0))</f>
        <v>0</v>
      </c>
      <c r="W143" s="2">
        <f>SUMPRODUCT($CA143:$DV143,INDEX('MC MAP'!$DA$5:$EV$30,22,0))</f>
        <v>0</v>
      </c>
      <c r="X143" s="2">
        <f>SUMPRODUCT($CA143:$DV143,INDEX('MC MAP'!$DA$5:$EV$30,23,0))</f>
        <v>0</v>
      </c>
      <c r="Y143" s="2">
        <f>SUMPRODUCT($CA143:$DV143,INDEX('MC MAP'!$DA$5:$EV$30,24,0))</f>
        <v>0</v>
      </c>
      <c r="Z143" s="2">
        <f>SUMPRODUCT($CA143:$DV143,INDEX('MC MAP'!$DA$5:$EV$30,25,0))</f>
        <v>0</v>
      </c>
      <c r="AA143" s="2">
        <f>SUMPRODUCT($CA143:$DV143,INDEX('MC MAP'!$DA$5:$EV$30,26,0))</f>
        <v>0</v>
      </c>
      <c r="AB143" s="2">
        <f>SUM($B143:$AA143)</f>
        <v>0</v>
      </c>
      <c r="AC143" s="2">
        <f>SUM($CA143:$DV143)+$AW143</f>
        <v>0</v>
      </c>
      <c r="AW143" s="2">
        <f>IF($A143=0,0,COUNTIF(INDEX('LINE PLAN'!$B$36:$GS$61,0,ROW()-3),"THERMAL - NOT SPECIFIED"))</f>
        <v>0</v>
      </c>
      <c r="AX143" s="506" cm="1">
        <f t="array" ref="AX143">IF(OR($AB143=0,UPPER($BS143)&lt;&gt;"Y"),0,SUMPRODUCT(--($B143:$AA143&gt;$B$205:$AA$205)))</f>
        <v>0</v>
      </c>
      <c r="AY143" s="507">
        <f>$A143</f>
        <v>0</v>
      </c>
      <c r="AZ143" s="2">
        <f>$AB143</f>
        <v>0</v>
      </c>
      <c r="BA143" s="2">
        <f>'MC MASTER'!$C$29</f>
        <v>920</v>
      </c>
      <c r="BQ143" s="509">
        <f>$A143</f>
        <v>0</v>
      </c>
      <c r="BR143" s="15" t="str">
        <f>TEXT($A143,"ddd")</f>
        <v>Sat</v>
      </c>
      <c r="BS143" s="547" t="str">
        <f>IF($A143=0,"",IF(WEEKDAY($A143,2)=7,"N","Y"))</f>
        <v/>
      </c>
      <c r="BT143" s="15">
        <f>IF(UPPER($BS143)="Y",$AB143,0)</f>
        <v>0</v>
      </c>
      <c r="CA143" s="2">
        <f>COUNTIF(INDEX('LINE PLAN'!$B$36:$GS$61,0,ROW()-3),CA$3)</f>
        <v>0</v>
      </c>
      <c r="CB143" s="2">
        <f>COUNTIF(INDEX('LINE PLAN'!$B$36:$GS$61,0,ROW()-3),CB$3)</f>
        <v>0</v>
      </c>
      <c r="CC143" s="2">
        <f>COUNTIF(INDEX('LINE PLAN'!$B$36:$GS$61,0,ROW()-3),CC$3)</f>
        <v>0</v>
      </c>
      <c r="CD143" s="2">
        <f>COUNTIF(INDEX('LINE PLAN'!$B$36:$GS$61,0,ROW()-3),CD$3)</f>
        <v>0</v>
      </c>
      <c r="CE143" s="2">
        <f>COUNTIF(INDEX('LINE PLAN'!$B$36:$GS$61,0,ROW()-3),CE$3)</f>
        <v>0</v>
      </c>
      <c r="CF143" s="2">
        <f>COUNTIF(INDEX('LINE PLAN'!$B$36:$GS$61,0,ROW()-3),CF$3)</f>
        <v>0</v>
      </c>
      <c r="CG143" s="2">
        <f>COUNTIF(INDEX('LINE PLAN'!$B$36:$GS$61,0,ROW()-3),CG$3)</f>
        <v>0</v>
      </c>
      <c r="CH143" s="2">
        <f>COUNTIF(INDEX('LINE PLAN'!$B$36:$GS$61,0,ROW()-3),CH$3)</f>
        <v>0</v>
      </c>
      <c r="CI143" s="2">
        <f>COUNTIF(INDEX('LINE PLAN'!$B$36:$GS$61,0,ROW()-3),CI$3)</f>
        <v>0</v>
      </c>
      <c r="CJ143" s="2">
        <f>COUNTIF(INDEX('LINE PLAN'!$B$36:$GS$61,0,ROW()-3),CJ$3)</f>
        <v>0</v>
      </c>
      <c r="CK143" s="2">
        <f>COUNTIF(INDEX('LINE PLAN'!$B$36:$GS$61,0,ROW()-3),CK$3)</f>
        <v>0</v>
      </c>
      <c r="CL143" s="2">
        <f>COUNTIF(INDEX('LINE PLAN'!$B$36:$GS$61,0,ROW()-3),CL$3)</f>
        <v>0</v>
      </c>
      <c r="CM143" s="2">
        <f>COUNTIF(INDEX('LINE PLAN'!$B$36:$GS$61,0,ROW()-3),CM$3)</f>
        <v>0</v>
      </c>
      <c r="CN143" s="2">
        <f>COUNTIF(INDEX('LINE PLAN'!$B$36:$GS$61,0,ROW()-3),CN$3)</f>
        <v>0</v>
      </c>
      <c r="CO143" s="2">
        <f>COUNTIF(INDEX('LINE PLAN'!$B$36:$GS$61,0,ROW()-3),CO$3)</f>
        <v>0</v>
      </c>
      <c r="CP143" s="2">
        <f>COUNTIF(INDEX('LINE PLAN'!$B$36:$GS$61,0,ROW()-3),CP$3)</f>
        <v>0</v>
      </c>
      <c r="CQ143" s="2">
        <f>COUNTIF(INDEX('LINE PLAN'!$B$36:$GS$61,0,ROW()-3),CQ$3)</f>
        <v>0</v>
      </c>
      <c r="CR143" s="2">
        <f>COUNTIF(INDEX('LINE PLAN'!$B$36:$GS$61,0,ROW()-3),CR$3)</f>
        <v>0</v>
      </c>
      <c r="CS143" s="2">
        <f>COUNTIF(INDEX('LINE PLAN'!$B$36:$GS$61,0,ROW()-3),CS$3)</f>
        <v>0</v>
      </c>
      <c r="CT143" s="2">
        <f>COUNTIF(INDEX('LINE PLAN'!$B$36:$GS$61,0,ROW()-3),CT$3)</f>
        <v>0</v>
      </c>
      <c r="CU143" s="2">
        <f>COUNTIF(INDEX('LINE PLAN'!$B$36:$GS$61,0,ROW()-3),CU$3)</f>
        <v>0</v>
      </c>
      <c r="CV143" s="2">
        <f>COUNTIF(INDEX('LINE PLAN'!$B$36:$GS$61,0,ROW()-3),CV$3)</f>
        <v>0</v>
      </c>
      <c r="CW143" s="2">
        <f>COUNTIF(INDEX('LINE PLAN'!$B$36:$GS$61,0,ROW()-3),CW$3)</f>
        <v>0</v>
      </c>
      <c r="CX143" s="2">
        <f>COUNTIF(INDEX('LINE PLAN'!$B$36:$GS$61,0,ROW()-3),CX$3)</f>
        <v>0</v>
      </c>
      <c r="CY143" s="2">
        <f>COUNTIF(INDEX('LINE PLAN'!$B$36:$GS$61,0,ROW()-3),CY$3)</f>
        <v>0</v>
      </c>
      <c r="CZ143" s="2">
        <f>COUNTIF(INDEX('LINE PLAN'!$B$36:$GS$61,0,ROW()-3),CZ$3)</f>
        <v>0</v>
      </c>
      <c r="DA143" s="2">
        <f>COUNTIF(INDEX('LINE PLAN'!$B$36:$GS$61,0,ROW()-3),DA$3)</f>
        <v>0</v>
      </c>
      <c r="DB143" s="2">
        <f>COUNTIF(INDEX('LINE PLAN'!$B$36:$GS$61,0,ROW()-3),DB$3)</f>
        <v>0</v>
      </c>
      <c r="DC143" s="2">
        <f>COUNTIF(INDEX('LINE PLAN'!$B$36:$GS$61,0,ROW()-3),DC$3)</f>
        <v>0</v>
      </c>
      <c r="DD143" s="2">
        <f>COUNTIF(INDEX('LINE PLAN'!$B$36:$GS$61,0,ROW()-3),DD$3)</f>
        <v>0</v>
      </c>
      <c r="DE143" s="2">
        <f>COUNTIF(INDEX('LINE PLAN'!$B$36:$GS$61,0,ROW()-3),DE$3)</f>
        <v>0</v>
      </c>
      <c r="DF143" s="2">
        <f>COUNTIF(INDEX('LINE PLAN'!$B$36:$GS$61,0,ROW()-3),DF$3)</f>
        <v>0</v>
      </c>
      <c r="DG143" s="2">
        <f>COUNTIF(INDEX('LINE PLAN'!$B$36:$GS$61,0,ROW()-3),DG$3)</f>
        <v>0</v>
      </c>
      <c r="DH143" s="2">
        <f>COUNTIF(INDEX('LINE PLAN'!$B$36:$GS$61,0,ROW()-3),DH$3)</f>
        <v>0</v>
      </c>
      <c r="DI143" s="2">
        <f>COUNTIF(INDEX('LINE PLAN'!$B$36:$GS$61,0,ROW()-3),DI$3)</f>
        <v>0</v>
      </c>
      <c r="DJ143" s="2">
        <f>COUNTIF(INDEX('LINE PLAN'!$B$36:$GS$61,0,ROW()-3),DJ$3)</f>
        <v>0</v>
      </c>
      <c r="DK143" s="2">
        <f>COUNTIF(INDEX('LINE PLAN'!$B$36:$GS$61,0,ROW()-3),DK$3)</f>
        <v>0</v>
      </c>
      <c r="DL143" s="2">
        <f>COUNTIF(INDEX('LINE PLAN'!$B$36:$GS$61,0,ROW()-3),DL$3)</f>
        <v>0</v>
      </c>
      <c r="DM143" s="2">
        <f>COUNTIF(INDEX('LINE PLAN'!$B$36:$GS$61,0,ROW()-3),DM$3)</f>
        <v>0</v>
      </c>
      <c r="DN143" s="2">
        <f>COUNTIF(INDEX('LINE PLAN'!$B$36:$GS$61,0,ROW()-3),DN$3)</f>
        <v>0</v>
      </c>
      <c r="DO143" s="2">
        <f>COUNTIF(INDEX('LINE PLAN'!$B$36:$GS$61,0,ROW()-3),DO$3)</f>
        <v>0</v>
      </c>
      <c r="DP143" s="2">
        <f>COUNTIF(INDEX('LINE PLAN'!$B$36:$GS$61,0,ROW()-3),DP$3)</f>
        <v>0</v>
      </c>
      <c r="DQ143" s="2">
        <f>COUNTIF(INDEX('LINE PLAN'!$B$36:$GS$61,0,ROW()-3),DQ$3)</f>
        <v>0</v>
      </c>
      <c r="DR143" s="2">
        <f>COUNTIF(INDEX('LINE PLAN'!$B$36:$GS$61,0,ROW()-3),DR$3)</f>
        <v>0</v>
      </c>
      <c r="DS143" s="2">
        <f>COUNTIF(INDEX('LINE PLAN'!$B$36:$GS$61,0,ROW()-3),DS$3)</f>
        <v>0</v>
      </c>
      <c r="DT143" s="2">
        <f>COUNTIF(INDEX('LINE PLAN'!$B$36:$GS$61,0,ROW()-3),DT$3)</f>
        <v>0</v>
      </c>
      <c r="DU143" s="2">
        <f>COUNTIF(INDEX('LINE PLAN'!$B$36:$GS$61,0,ROW()-3),DU$3)</f>
        <v>0</v>
      </c>
      <c r="DV143" s="2">
        <f>COUNTIF(INDEX('LINE PLAN'!$B$36:$GS$61,0,ROW()-3),DV$3)</f>
        <v>0</v>
      </c>
    </row>
    <row r="144" spans="1:126">
      <c r="A144" s="505" cm="1">
        <f t="array" ref="A144">INDEX('LINE PLAN'!$B$35:$GS$35,ROW()-3)</f>
        <v>0</v>
      </c>
      <c r="B144" s="2">
        <f>SUMPRODUCT($CA144:$DV144,INDEX('MC MAP'!$DA$5:$EV$30,1,0))</f>
        <v>0</v>
      </c>
      <c r="C144" s="2">
        <f>SUMPRODUCT($CA144:$DV144,INDEX('MC MAP'!$DA$5:$EV$30,2,0))</f>
        <v>0</v>
      </c>
      <c r="D144" s="2">
        <f>SUMPRODUCT($CA144:$DV144,INDEX('MC MAP'!$DA$5:$EV$30,3,0))</f>
        <v>0</v>
      </c>
      <c r="E144" s="2">
        <f>SUMPRODUCT($CA144:$DV144,INDEX('MC MAP'!$DA$5:$EV$30,4,0))</f>
        <v>0</v>
      </c>
      <c r="F144" s="2">
        <f>SUMPRODUCT($CA144:$DV144,INDEX('MC MAP'!$DA$5:$EV$30,5,0))</f>
        <v>0</v>
      </c>
      <c r="G144" s="2">
        <f>SUMPRODUCT($CA144:$DV144,INDEX('MC MAP'!$DA$5:$EV$30,6,0))</f>
        <v>0</v>
      </c>
      <c r="H144" s="2">
        <f>SUMPRODUCT($CA144:$DV144,INDEX('MC MAP'!$DA$5:$EV$30,7,0))</f>
        <v>0</v>
      </c>
      <c r="I144" s="2">
        <f>SUMPRODUCT($CA144:$DV144,INDEX('MC MAP'!$DA$5:$EV$30,8,0))</f>
        <v>0</v>
      </c>
      <c r="J144" s="2">
        <f>SUMPRODUCT($CA144:$DV144,INDEX('MC MAP'!$DA$5:$EV$30,9,0))</f>
        <v>0</v>
      </c>
      <c r="K144" s="2">
        <f>SUMPRODUCT($CA144:$DV144,INDEX('MC MAP'!$DA$5:$EV$30,10,0))</f>
        <v>0</v>
      </c>
      <c r="L144" s="2">
        <f>SUMPRODUCT($CA144:$DV144,INDEX('MC MAP'!$DA$5:$EV$30,11,0))</f>
        <v>0</v>
      </c>
      <c r="M144" s="2">
        <f>SUMPRODUCT($CA144:$DV144,INDEX('MC MAP'!$DA$5:$EV$30,12,0))</f>
        <v>0</v>
      </c>
      <c r="N144" s="2">
        <f>SUMPRODUCT($CA144:$DV144,INDEX('MC MAP'!$DA$5:$EV$30,13,0))</f>
        <v>0</v>
      </c>
      <c r="O144" s="2">
        <f>SUMPRODUCT($CA144:$DV144,INDEX('MC MAP'!$DA$5:$EV$30,14,0))</f>
        <v>0</v>
      </c>
      <c r="P144" s="2">
        <f>SUMPRODUCT($CA144:$DV144,INDEX('MC MAP'!$DA$5:$EV$30,15,0))</f>
        <v>0</v>
      </c>
      <c r="Q144" s="2">
        <f>SUMPRODUCT($CA144:$DV144,INDEX('MC MAP'!$DA$5:$EV$30,16,0))</f>
        <v>0</v>
      </c>
      <c r="R144" s="2">
        <f>SUMPRODUCT($CA144:$DV144,INDEX('MC MAP'!$DA$5:$EV$30,17,0))</f>
        <v>0</v>
      </c>
      <c r="S144" s="2">
        <f>SUMPRODUCT($CA144:$DV144,INDEX('MC MAP'!$DA$5:$EV$30,18,0))</f>
        <v>0</v>
      </c>
      <c r="T144" s="2">
        <f>SUMPRODUCT($CA144:$DV144,INDEX('MC MAP'!$DA$5:$EV$30,19,0))</f>
        <v>0</v>
      </c>
      <c r="U144" s="2">
        <f>SUMPRODUCT($CA144:$DV144,INDEX('MC MAP'!$DA$5:$EV$30,20,0))</f>
        <v>0</v>
      </c>
      <c r="V144" s="2">
        <f>SUMPRODUCT($CA144:$DV144,INDEX('MC MAP'!$DA$5:$EV$30,21,0))</f>
        <v>0</v>
      </c>
      <c r="W144" s="2">
        <f>SUMPRODUCT($CA144:$DV144,INDEX('MC MAP'!$DA$5:$EV$30,22,0))</f>
        <v>0</v>
      </c>
      <c r="X144" s="2">
        <f>SUMPRODUCT($CA144:$DV144,INDEX('MC MAP'!$DA$5:$EV$30,23,0))</f>
        <v>0</v>
      </c>
      <c r="Y144" s="2">
        <f>SUMPRODUCT($CA144:$DV144,INDEX('MC MAP'!$DA$5:$EV$30,24,0))</f>
        <v>0</v>
      </c>
      <c r="Z144" s="2">
        <f>SUMPRODUCT($CA144:$DV144,INDEX('MC MAP'!$DA$5:$EV$30,25,0))</f>
        <v>0</v>
      </c>
      <c r="AA144" s="2">
        <f>SUMPRODUCT($CA144:$DV144,INDEX('MC MAP'!$DA$5:$EV$30,26,0))</f>
        <v>0</v>
      </c>
      <c r="AB144" s="2">
        <f>SUM($B144:$AA144)</f>
        <v>0</v>
      </c>
      <c r="AC144" s="2">
        <f>SUM($CA144:$DV144)+$AW144</f>
        <v>0</v>
      </c>
      <c r="AW144" s="2">
        <f>IF($A144=0,0,COUNTIF(INDEX('LINE PLAN'!$B$36:$GS$61,0,ROW()-3),"THERMAL - NOT SPECIFIED"))</f>
        <v>0</v>
      </c>
      <c r="AX144" s="506" cm="1">
        <f t="array" ref="AX144">IF(OR($AB144=0,UPPER($BS144)&lt;&gt;"Y"),0,SUMPRODUCT(--($B144:$AA144&gt;$B$205:$AA$205)))</f>
        <v>0</v>
      </c>
      <c r="AY144" s="507">
        <f>$A144</f>
        <v>0</v>
      </c>
      <c r="AZ144" s="2">
        <f>$AB144</f>
        <v>0</v>
      </c>
      <c r="BA144" s="2">
        <f>'MC MASTER'!$C$29</f>
        <v>920</v>
      </c>
      <c r="BQ144" s="509">
        <f>$A144</f>
        <v>0</v>
      </c>
      <c r="BR144" s="15" t="str">
        <f>TEXT($A144,"ddd")</f>
        <v>Sat</v>
      </c>
      <c r="BS144" s="547" t="str">
        <f>IF($A144=0,"",IF(WEEKDAY($A144,2)=7,"N","Y"))</f>
        <v/>
      </c>
      <c r="BT144" s="15">
        <f>IF(UPPER($BS144)="Y",$AB144,0)</f>
        <v>0</v>
      </c>
      <c r="CA144" s="2">
        <f>COUNTIF(INDEX('LINE PLAN'!$B$36:$GS$61,0,ROW()-3),CA$3)</f>
        <v>0</v>
      </c>
      <c r="CB144" s="2">
        <f>COUNTIF(INDEX('LINE PLAN'!$B$36:$GS$61,0,ROW()-3),CB$3)</f>
        <v>0</v>
      </c>
      <c r="CC144" s="2">
        <f>COUNTIF(INDEX('LINE PLAN'!$B$36:$GS$61,0,ROW()-3),CC$3)</f>
        <v>0</v>
      </c>
      <c r="CD144" s="2">
        <f>COUNTIF(INDEX('LINE PLAN'!$B$36:$GS$61,0,ROW()-3),CD$3)</f>
        <v>0</v>
      </c>
      <c r="CE144" s="2">
        <f>COUNTIF(INDEX('LINE PLAN'!$B$36:$GS$61,0,ROW()-3),CE$3)</f>
        <v>0</v>
      </c>
      <c r="CF144" s="2">
        <f>COUNTIF(INDEX('LINE PLAN'!$B$36:$GS$61,0,ROW()-3),CF$3)</f>
        <v>0</v>
      </c>
      <c r="CG144" s="2">
        <f>COUNTIF(INDEX('LINE PLAN'!$B$36:$GS$61,0,ROW()-3),CG$3)</f>
        <v>0</v>
      </c>
      <c r="CH144" s="2">
        <f>COUNTIF(INDEX('LINE PLAN'!$B$36:$GS$61,0,ROW()-3),CH$3)</f>
        <v>0</v>
      </c>
      <c r="CI144" s="2">
        <f>COUNTIF(INDEX('LINE PLAN'!$B$36:$GS$61,0,ROW()-3),CI$3)</f>
        <v>0</v>
      </c>
      <c r="CJ144" s="2">
        <f>COUNTIF(INDEX('LINE PLAN'!$B$36:$GS$61,0,ROW()-3),CJ$3)</f>
        <v>0</v>
      </c>
      <c r="CK144" s="2">
        <f>COUNTIF(INDEX('LINE PLAN'!$B$36:$GS$61,0,ROW()-3),CK$3)</f>
        <v>0</v>
      </c>
      <c r="CL144" s="2">
        <f>COUNTIF(INDEX('LINE PLAN'!$B$36:$GS$61,0,ROW()-3),CL$3)</f>
        <v>0</v>
      </c>
      <c r="CM144" s="2">
        <f>COUNTIF(INDEX('LINE PLAN'!$B$36:$GS$61,0,ROW()-3),CM$3)</f>
        <v>0</v>
      </c>
      <c r="CN144" s="2">
        <f>COUNTIF(INDEX('LINE PLAN'!$B$36:$GS$61,0,ROW()-3),CN$3)</f>
        <v>0</v>
      </c>
      <c r="CO144" s="2">
        <f>COUNTIF(INDEX('LINE PLAN'!$B$36:$GS$61,0,ROW()-3),CO$3)</f>
        <v>0</v>
      </c>
      <c r="CP144" s="2">
        <f>COUNTIF(INDEX('LINE PLAN'!$B$36:$GS$61,0,ROW()-3),CP$3)</f>
        <v>0</v>
      </c>
      <c r="CQ144" s="2">
        <f>COUNTIF(INDEX('LINE PLAN'!$B$36:$GS$61,0,ROW()-3),CQ$3)</f>
        <v>0</v>
      </c>
      <c r="CR144" s="2">
        <f>COUNTIF(INDEX('LINE PLAN'!$B$36:$GS$61,0,ROW()-3),CR$3)</f>
        <v>0</v>
      </c>
      <c r="CS144" s="2">
        <f>COUNTIF(INDEX('LINE PLAN'!$B$36:$GS$61,0,ROW()-3),CS$3)</f>
        <v>0</v>
      </c>
      <c r="CT144" s="2">
        <f>COUNTIF(INDEX('LINE PLAN'!$B$36:$GS$61,0,ROW()-3),CT$3)</f>
        <v>0</v>
      </c>
      <c r="CU144" s="2">
        <f>COUNTIF(INDEX('LINE PLAN'!$B$36:$GS$61,0,ROW()-3),CU$3)</f>
        <v>0</v>
      </c>
      <c r="CV144" s="2">
        <f>COUNTIF(INDEX('LINE PLAN'!$B$36:$GS$61,0,ROW()-3),CV$3)</f>
        <v>0</v>
      </c>
      <c r="CW144" s="2">
        <f>COUNTIF(INDEX('LINE PLAN'!$B$36:$GS$61,0,ROW()-3),CW$3)</f>
        <v>0</v>
      </c>
      <c r="CX144" s="2">
        <f>COUNTIF(INDEX('LINE PLAN'!$B$36:$GS$61,0,ROW()-3),CX$3)</f>
        <v>0</v>
      </c>
      <c r="CY144" s="2">
        <f>COUNTIF(INDEX('LINE PLAN'!$B$36:$GS$61,0,ROW()-3),CY$3)</f>
        <v>0</v>
      </c>
      <c r="CZ144" s="2">
        <f>COUNTIF(INDEX('LINE PLAN'!$B$36:$GS$61,0,ROW()-3),CZ$3)</f>
        <v>0</v>
      </c>
      <c r="DA144" s="2">
        <f>COUNTIF(INDEX('LINE PLAN'!$B$36:$GS$61,0,ROW()-3),DA$3)</f>
        <v>0</v>
      </c>
      <c r="DB144" s="2">
        <f>COUNTIF(INDEX('LINE PLAN'!$B$36:$GS$61,0,ROW()-3),DB$3)</f>
        <v>0</v>
      </c>
      <c r="DC144" s="2">
        <f>COUNTIF(INDEX('LINE PLAN'!$B$36:$GS$61,0,ROW()-3),DC$3)</f>
        <v>0</v>
      </c>
      <c r="DD144" s="2">
        <f>COUNTIF(INDEX('LINE PLAN'!$B$36:$GS$61,0,ROW()-3),DD$3)</f>
        <v>0</v>
      </c>
      <c r="DE144" s="2">
        <f>COUNTIF(INDEX('LINE PLAN'!$B$36:$GS$61,0,ROW()-3),DE$3)</f>
        <v>0</v>
      </c>
      <c r="DF144" s="2">
        <f>COUNTIF(INDEX('LINE PLAN'!$B$36:$GS$61,0,ROW()-3),DF$3)</f>
        <v>0</v>
      </c>
      <c r="DG144" s="2">
        <f>COUNTIF(INDEX('LINE PLAN'!$B$36:$GS$61,0,ROW()-3),DG$3)</f>
        <v>0</v>
      </c>
      <c r="DH144" s="2">
        <f>COUNTIF(INDEX('LINE PLAN'!$B$36:$GS$61,0,ROW()-3),DH$3)</f>
        <v>0</v>
      </c>
      <c r="DI144" s="2">
        <f>COUNTIF(INDEX('LINE PLAN'!$B$36:$GS$61,0,ROW()-3),DI$3)</f>
        <v>0</v>
      </c>
      <c r="DJ144" s="2">
        <f>COUNTIF(INDEX('LINE PLAN'!$B$36:$GS$61,0,ROW()-3),DJ$3)</f>
        <v>0</v>
      </c>
      <c r="DK144" s="2">
        <f>COUNTIF(INDEX('LINE PLAN'!$B$36:$GS$61,0,ROW()-3),DK$3)</f>
        <v>0</v>
      </c>
      <c r="DL144" s="2">
        <f>COUNTIF(INDEX('LINE PLAN'!$B$36:$GS$61,0,ROW()-3),DL$3)</f>
        <v>0</v>
      </c>
      <c r="DM144" s="2">
        <f>COUNTIF(INDEX('LINE PLAN'!$B$36:$GS$61,0,ROW()-3),DM$3)</f>
        <v>0</v>
      </c>
      <c r="DN144" s="2">
        <f>COUNTIF(INDEX('LINE PLAN'!$B$36:$GS$61,0,ROW()-3),DN$3)</f>
        <v>0</v>
      </c>
      <c r="DO144" s="2">
        <f>COUNTIF(INDEX('LINE PLAN'!$B$36:$GS$61,0,ROW()-3),DO$3)</f>
        <v>0</v>
      </c>
      <c r="DP144" s="2">
        <f>COUNTIF(INDEX('LINE PLAN'!$B$36:$GS$61,0,ROW()-3),DP$3)</f>
        <v>0</v>
      </c>
      <c r="DQ144" s="2">
        <f>COUNTIF(INDEX('LINE PLAN'!$B$36:$GS$61,0,ROW()-3),DQ$3)</f>
        <v>0</v>
      </c>
      <c r="DR144" s="2">
        <f>COUNTIF(INDEX('LINE PLAN'!$B$36:$GS$61,0,ROW()-3),DR$3)</f>
        <v>0</v>
      </c>
      <c r="DS144" s="2">
        <f>COUNTIF(INDEX('LINE PLAN'!$B$36:$GS$61,0,ROW()-3),DS$3)</f>
        <v>0</v>
      </c>
      <c r="DT144" s="2">
        <f>COUNTIF(INDEX('LINE PLAN'!$B$36:$GS$61,0,ROW()-3),DT$3)</f>
        <v>0</v>
      </c>
      <c r="DU144" s="2">
        <f>COUNTIF(INDEX('LINE PLAN'!$B$36:$GS$61,0,ROW()-3),DU$3)</f>
        <v>0</v>
      </c>
      <c r="DV144" s="2">
        <f>COUNTIF(INDEX('LINE PLAN'!$B$36:$GS$61,0,ROW()-3),DV$3)</f>
        <v>0</v>
      </c>
    </row>
    <row r="145" spans="1:126">
      <c r="A145" s="505" cm="1">
        <f t="array" ref="A145">INDEX('LINE PLAN'!$B$35:$GS$35,ROW()-3)</f>
        <v>0</v>
      </c>
      <c r="B145" s="2">
        <f>SUMPRODUCT($CA145:$DV145,INDEX('MC MAP'!$DA$5:$EV$30,1,0))</f>
        <v>0</v>
      </c>
      <c r="C145" s="2">
        <f>SUMPRODUCT($CA145:$DV145,INDEX('MC MAP'!$DA$5:$EV$30,2,0))</f>
        <v>0</v>
      </c>
      <c r="D145" s="2">
        <f>SUMPRODUCT($CA145:$DV145,INDEX('MC MAP'!$DA$5:$EV$30,3,0))</f>
        <v>0</v>
      </c>
      <c r="E145" s="2">
        <f>SUMPRODUCT($CA145:$DV145,INDEX('MC MAP'!$DA$5:$EV$30,4,0))</f>
        <v>0</v>
      </c>
      <c r="F145" s="2">
        <f>SUMPRODUCT($CA145:$DV145,INDEX('MC MAP'!$DA$5:$EV$30,5,0))</f>
        <v>0</v>
      </c>
      <c r="G145" s="2">
        <f>SUMPRODUCT($CA145:$DV145,INDEX('MC MAP'!$DA$5:$EV$30,6,0))</f>
        <v>0</v>
      </c>
      <c r="H145" s="2">
        <f>SUMPRODUCT($CA145:$DV145,INDEX('MC MAP'!$DA$5:$EV$30,7,0))</f>
        <v>0</v>
      </c>
      <c r="I145" s="2">
        <f>SUMPRODUCT($CA145:$DV145,INDEX('MC MAP'!$DA$5:$EV$30,8,0))</f>
        <v>0</v>
      </c>
      <c r="J145" s="2">
        <f>SUMPRODUCT($CA145:$DV145,INDEX('MC MAP'!$DA$5:$EV$30,9,0))</f>
        <v>0</v>
      </c>
      <c r="K145" s="2">
        <f>SUMPRODUCT($CA145:$DV145,INDEX('MC MAP'!$DA$5:$EV$30,10,0))</f>
        <v>0</v>
      </c>
      <c r="L145" s="2">
        <f>SUMPRODUCT($CA145:$DV145,INDEX('MC MAP'!$DA$5:$EV$30,11,0))</f>
        <v>0</v>
      </c>
      <c r="M145" s="2">
        <f>SUMPRODUCT($CA145:$DV145,INDEX('MC MAP'!$DA$5:$EV$30,12,0))</f>
        <v>0</v>
      </c>
      <c r="N145" s="2">
        <f>SUMPRODUCT($CA145:$DV145,INDEX('MC MAP'!$DA$5:$EV$30,13,0))</f>
        <v>0</v>
      </c>
      <c r="O145" s="2">
        <f>SUMPRODUCT($CA145:$DV145,INDEX('MC MAP'!$DA$5:$EV$30,14,0))</f>
        <v>0</v>
      </c>
      <c r="P145" s="2">
        <f>SUMPRODUCT($CA145:$DV145,INDEX('MC MAP'!$DA$5:$EV$30,15,0))</f>
        <v>0</v>
      </c>
      <c r="Q145" s="2">
        <f>SUMPRODUCT($CA145:$DV145,INDEX('MC MAP'!$DA$5:$EV$30,16,0))</f>
        <v>0</v>
      </c>
      <c r="R145" s="2">
        <f>SUMPRODUCT($CA145:$DV145,INDEX('MC MAP'!$DA$5:$EV$30,17,0))</f>
        <v>0</v>
      </c>
      <c r="S145" s="2">
        <f>SUMPRODUCT($CA145:$DV145,INDEX('MC MAP'!$DA$5:$EV$30,18,0))</f>
        <v>0</v>
      </c>
      <c r="T145" s="2">
        <f>SUMPRODUCT($CA145:$DV145,INDEX('MC MAP'!$DA$5:$EV$30,19,0))</f>
        <v>0</v>
      </c>
      <c r="U145" s="2">
        <f>SUMPRODUCT($CA145:$DV145,INDEX('MC MAP'!$DA$5:$EV$30,20,0))</f>
        <v>0</v>
      </c>
      <c r="V145" s="2">
        <f>SUMPRODUCT($CA145:$DV145,INDEX('MC MAP'!$DA$5:$EV$30,21,0))</f>
        <v>0</v>
      </c>
      <c r="W145" s="2">
        <f>SUMPRODUCT($CA145:$DV145,INDEX('MC MAP'!$DA$5:$EV$30,22,0))</f>
        <v>0</v>
      </c>
      <c r="X145" s="2">
        <f>SUMPRODUCT($CA145:$DV145,INDEX('MC MAP'!$DA$5:$EV$30,23,0))</f>
        <v>0</v>
      </c>
      <c r="Y145" s="2">
        <f>SUMPRODUCT($CA145:$DV145,INDEX('MC MAP'!$DA$5:$EV$30,24,0))</f>
        <v>0</v>
      </c>
      <c r="Z145" s="2">
        <f>SUMPRODUCT($CA145:$DV145,INDEX('MC MAP'!$DA$5:$EV$30,25,0))</f>
        <v>0</v>
      </c>
      <c r="AA145" s="2">
        <f>SUMPRODUCT($CA145:$DV145,INDEX('MC MAP'!$DA$5:$EV$30,26,0))</f>
        <v>0</v>
      </c>
      <c r="AB145" s="2">
        <f>SUM($B145:$AA145)</f>
        <v>0</v>
      </c>
      <c r="AC145" s="2">
        <f>SUM($CA145:$DV145)+$AW145</f>
        <v>0</v>
      </c>
      <c r="AW145" s="2">
        <f>IF($A145=0,0,COUNTIF(INDEX('LINE PLAN'!$B$36:$GS$61,0,ROW()-3),"THERMAL - NOT SPECIFIED"))</f>
        <v>0</v>
      </c>
      <c r="AX145" s="506" cm="1">
        <f t="array" ref="AX145">IF(OR($AB145=0,UPPER($BS145)&lt;&gt;"Y"),0,SUMPRODUCT(--($B145:$AA145&gt;$B$205:$AA$205)))</f>
        <v>0</v>
      </c>
      <c r="AY145" s="507">
        <f>$A145</f>
        <v>0</v>
      </c>
      <c r="AZ145" s="2">
        <f>$AB145</f>
        <v>0</v>
      </c>
      <c r="BA145" s="2">
        <f>'MC MASTER'!$C$29</f>
        <v>920</v>
      </c>
      <c r="BQ145" s="509">
        <f>$A145</f>
        <v>0</v>
      </c>
      <c r="BR145" s="15" t="str">
        <f>TEXT($A145,"ddd")</f>
        <v>Sat</v>
      </c>
      <c r="BS145" s="547" t="str">
        <f>IF($A145=0,"",IF(WEEKDAY($A145,2)=7,"N","Y"))</f>
        <v/>
      </c>
      <c r="BT145" s="15">
        <f>IF(UPPER($BS145)="Y",$AB145,0)</f>
        <v>0</v>
      </c>
      <c r="CA145" s="2">
        <f>COUNTIF(INDEX('LINE PLAN'!$B$36:$GS$61,0,ROW()-3),CA$3)</f>
        <v>0</v>
      </c>
      <c r="CB145" s="2">
        <f>COUNTIF(INDEX('LINE PLAN'!$B$36:$GS$61,0,ROW()-3),CB$3)</f>
        <v>0</v>
      </c>
      <c r="CC145" s="2">
        <f>COUNTIF(INDEX('LINE PLAN'!$B$36:$GS$61,0,ROW()-3),CC$3)</f>
        <v>0</v>
      </c>
      <c r="CD145" s="2">
        <f>COUNTIF(INDEX('LINE PLAN'!$B$36:$GS$61,0,ROW()-3),CD$3)</f>
        <v>0</v>
      </c>
      <c r="CE145" s="2">
        <f>COUNTIF(INDEX('LINE PLAN'!$B$36:$GS$61,0,ROW()-3),CE$3)</f>
        <v>0</v>
      </c>
      <c r="CF145" s="2">
        <f>COUNTIF(INDEX('LINE PLAN'!$B$36:$GS$61,0,ROW()-3),CF$3)</f>
        <v>0</v>
      </c>
      <c r="CG145" s="2">
        <f>COUNTIF(INDEX('LINE PLAN'!$B$36:$GS$61,0,ROW()-3),CG$3)</f>
        <v>0</v>
      </c>
      <c r="CH145" s="2">
        <f>COUNTIF(INDEX('LINE PLAN'!$B$36:$GS$61,0,ROW()-3),CH$3)</f>
        <v>0</v>
      </c>
      <c r="CI145" s="2">
        <f>COUNTIF(INDEX('LINE PLAN'!$B$36:$GS$61,0,ROW()-3),CI$3)</f>
        <v>0</v>
      </c>
      <c r="CJ145" s="2">
        <f>COUNTIF(INDEX('LINE PLAN'!$B$36:$GS$61,0,ROW()-3),CJ$3)</f>
        <v>0</v>
      </c>
      <c r="CK145" s="2">
        <f>COUNTIF(INDEX('LINE PLAN'!$B$36:$GS$61,0,ROW()-3),CK$3)</f>
        <v>0</v>
      </c>
      <c r="CL145" s="2">
        <f>COUNTIF(INDEX('LINE PLAN'!$B$36:$GS$61,0,ROW()-3),CL$3)</f>
        <v>0</v>
      </c>
      <c r="CM145" s="2">
        <f>COUNTIF(INDEX('LINE PLAN'!$B$36:$GS$61,0,ROW()-3),CM$3)</f>
        <v>0</v>
      </c>
      <c r="CN145" s="2">
        <f>COUNTIF(INDEX('LINE PLAN'!$B$36:$GS$61,0,ROW()-3),CN$3)</f>
        <v>0</v>
      </c>
      <c r="CO145" s="2">
        <f>COUNTIF(INDEX('LINE PLAN'!$B$36:$GS$61,0,ROW()-3),CO$3)</f>
        <v>0</v>
      </c>
      <c r="CP145" s="2">
        <f>COUNTIF(INDEX('LINE PLAN'!$B$36:$GS$61,0,ROW()-3),CP$3)</f>
        <v>0</v>
      </c>
      <c r="CQ145" s="2">
        <f>COUNTIF(INDEX('LINE PLAN'!$B$36:$GS$61,0,ROW()-3),CQ$3)</f>
        <v>0</v>
      </c>
      <c r="CR145" s="2">
        <f>COUNTIF(INDEX('LINE PLAN'!$B$36:$GS$61,0,ROW()-3),CR$3)</f>
        <v>0</v>
      </c>
      <c r="CS145" s="2">
        <f>COUNTIF(INDEX('LINE PLAN'!$B$36:$GS$61,0,ROW()-3),CS$3)</f>
        <v>0</v>
      </c>
      <c r="CT145" s="2">
        <f>COUNTIF(INDEX('LINE PLAN'!$B$36:$GS$61,0,ROW()-3),CT$3)</f>
        <v>0</v>
      </c>
      <c r="CU145" s="2">
        <f>COUNTIF(INDEX('LINE PLAN'!$B$36:$GS$61,0,ROW()-3),CU$3)</f>
        <v>0</v>
      </c>
      <c r="CV145" s="2">
        <f>COUNTIF(INDEX('LINE PLAN'!$B$36:$GS$61,0,ROW()-3),CV$3)</f>
        <v>0</v>
      </c>
      <c r="CW145" s="2">
        <f>COUNTIF(INDEX('LINE PLAN'!$B$36:$GS$61,0,ROW()-3),CW$3)</f>
        <v>0</v>
      </c>
      <c r="CX145" s="2">
        <f>COUNTIF(INDEX('LINE PLAN'!$B$36:$GS$61,0,ROW()-3),CX$3)</f>
        <v>0</v>
      </c>
      <c r="CY145" s="2">
        <f>COUNTIF(INDEX('LINE PLAN'!$B$36:$GS$61,0,ROW()-3),CY$3)</f>
        <v>0</v>
      </c>
      <c r="CZ145" s="2">
        <f>COUNTIF(INDEX('LINE PLAN'!$B$36:$GS$61,0,ROW()-3),CZ$3)</f>
        <v>0</v>
      </c>
      <c r="DA145" s="2">
        <f>COUNTIF(INDEX('LINE PLAN'!$B$36:$GS$61,0,ROW()-3),DA$3)</f>
        <v>0</v>
      </c>
      <c r="DB145" s="2">
        <f>COUNTIF(INDEX('LINE PLAN'!$B$36:$GS$61,0,ROW()-3),DB$3)</f>
        <v>0</v>
      </c>
      <c r="DC145" s="2">
        <f>COUNTIF(INDEX('LINE PLAN'!$B$36:$GS$61,0,ROW()-3),DC$3)</f>
        <v>0</v>
      </c>
      <c r="DD145" s="2">
        <f>COUNTIF(INDEX('LINE PLAN'!$B$36:$GS$61,0,ROW()-3),DD$3)</f>
        <v>0</v>
      </c>
      <c r="DE145" s="2">
        <f>COUNTIF(INDEX('LINE PLAN'!$B$36:$GS$61,0,ROW()-3),DE$3)</f>
        <v>0</v>
      </c>
      <c r="DF145" s="2">
        <f>COUNTIF(INDEX('LINE PLAN'!$B$36:$GS$61,0,ROW()-3),DF$3)</f>
        <v>0</v>
      </c>
      <c r="DG145" s="2">
        <f>COUNTIF(INDEX('LINE PLAN'!$B$36:$GS$61,0,ROW()-3),DG$3)</f>
        <v>0</v>
      </c>
      <c r="DH145" s="2">
        <f>COUNTIF(INDEX('LINE PLAN'!$B$36:$GS$61,0,ROW()-3),DH$3)</f>
        <v>0</v>
      </c>
      <c r="DI145" s="2">
        <f>COUNTIF(INDEX('LINE PLAN'!$B$36:$GS$61,0,ROW()-3),DI$3)</f>
        <v>0</v>
      </c>
      <c r="DJ145" s="2">
        <f>COUNTIF(INDEX('LINE PLAN'!$B$36:$GS$61,0,ROW()-3),DJ$3)</f>
        <v>0</v>
      </c>
      <c r="DK145" s="2">
        <f>COUNTIF(INDEX('LINE PLAN'!$B$36:$GS$61,0,ROW()-3),DK$3)</f>
        <v>0</v>
      </c>
      <c r="DL145" s="2">
        <f>COUNTIF(INDEX('LINE PLAN'!$B$36:$GS$61,0,ROW()-3),DL$3)</f>
        <v>0</v>
      </c>
      <c r="DM145" s="2">
        <f>COUNTIF(INDEX('LINE PLAN'!$B$36:$GS$61,0,ROW()-3),DM$3)</f>
        <v>0</v>
      </c>
      <c r="DN145" s="2">
        <f>COUNTIF(INDEX('LINE PLAN'!$B$36:$GS$61,0,ROW()-3),DN$3)</f>
        <v>0</v>
      </c>
      <c r="DO145" s="2">
        <f>COUNTIF(INDEX('LINE PLAN'!$B$36:$GS$61,0,ROW()-3),DO$3)</f>
        <v>0</v>
      </c>
      <c r="DP145" s="2">
        <f>COUNTIF(INDEX('LINE PLAN'!$B$36:$GS$61,0,ROW()-3),DP$3)</f>
        <v>0</v>
      </c>
      <c r="DQ145" s="2">
        <f>COUNTIF(INDEX('LINE PLAN'!$B$36:$GS$61,0,ROW()-3),DQ$3)</f>
        <v>0</v>
      </c>
      <c r="DR145" s="2">
        <f>COUNTIF(INDEX('LINE PLAN'!$B$36:$GS$61,0,ROW()-3),DR$3)</f>
        <v>0</v>
      </c>
      <c r="DS145" s="2">
        <f>COUNTIF(INDEX('LINE PLAN'!$B$36:$GS$61,0,ROW()-3),DS$3)</f>
        <v>0</v>
      </c>
      <c r="DT145" s="2">
        <f>COUNTIF(INDEX('LINE PLAN'!$B$36:$GS$61,0,ROW()-3),DT$3)</f>
        <v>0</v>
      </c>
      <c r="DU145" s="2">
        <f>COUNTIF(INDEX('LINE PLAN'!$B$36:$GS$61,0,ROW()-3),DU$3)</f>
        <v>0</v>
      </c>
      <c r="DV145" s="2">
        <f>COUNTIF(INDEX('LINE PLAN'!$B$36:$GS$61,0,ROW()-3),DV$3)</f>
        <v>0</v>
      </c>
    </row>
    <row r="146" spans="1:126">
      <c r="A146" s="505" cm="1">
        <f t="array" ref="A146">INDEX('LINE PLAN'!$B$35:$GS$35,ROW()-3)</f>
        <v>0</v>
      </c>
      <c r="B146" s="2">
        <f>SUMPRODUCT($CA146:$DV146,INDEX('MC MAP'!$DA$5:$EV$30,1,0))</f>
        <v>0</v>
      </c>
      <c r="C146" s="2">
        <f>SUMPRODUCT($CA146:$DV146,INDEX('MC MAP'!$DA$5:$EV$30,2,0))</f>
        <v>0</v>
      </c>
      <c r="D146" s="2">
        <f>SUMPRODUCT($CA146:$DV146,INDEX('MC MAP'!$DA$5:$EV$30,3,0))</f>
        <v>0</v>
      </c>
      <c r="E146" s="2">
        <f>SUMPRODUCT($CA146:$DV146,INDEX('MC MAP'!$DA$5:$EV$30,4,0))</f>
        <v>0</v>
      </c>
      <c r="F146" s="2">
        <f>SUMPRODUCT($CA146:$DV146,INDEX('MC MAP'!$DA$5:$EV$30,5,0))</f>
        <v>0</v>
      </c>
      <c r="G146" s="2">
        <f>SUMPRODUCT($CA146:$DV146,INDEX('MC MAP'!$DA$5:$EV$30,6,0))</f>
        <v>0</v>
      </c>
      <c r="H146" s="2">
        <f>SUMPRODUCT($CA146:$DV146,INDEX('MC MAP'!$DA$5:$EV$30,7,0))</f>
        <v>0</v>
      </c>
      <c r="I146" s="2">
        <f>SUMPRODUCT($CA146:$DV146,INDEX('MC MAP'!$DA$5:$EV$30,8,0))</f>
        <v>0</v>
      </c>
      <c r="J146" s="2">
        <f>SUMPRODUCT($CA146:$DV146,INDEX('MC MAP'!$DA$5:$EV$30,9,0))</f>
        <v>0</v>
      </c>
      <c r="K146" s="2">
        <f>SUMPRODUCT($CA146:$DV146,INDEX('MC MAP'!$DA$5:$EV$30,10,0))</f>
        <v>0</v>
      </c>
      <c r="L146" s="2">
        <f>SUMPRODUCT($CA146:$DV146,INDEX('MC MAP'!$DA$5:$EV$30,11,0))</f>
        <v>0</v>
      </c>
      <c r="M146" s="2">
        <f>SUMPRODUCT($CA146:$DV146,INDEX('MC MAP'!$DA$5:$EV$30,12,0))</f>
        <v>0</v>
      </c>
      <c r="N146" s="2">
        <f>SUMPRODUCT($CA146:$DV146,INDEX('MC MAP'!$DA$5:$EV$30,13,0))</f>
        <v>0</v>
      </c>
      <c r="O146" s="2">
        <f>SUMPRODUCT($CA146:$DV146,INDEX('MC MAP'!$DA$5:$EV$30,14,0))</f>
        <v>0</v>
      </c>
      <c r="P146" s="2">
        <f>SUMPRODUCT($CA146:$DV146,INDEX('MC MAP'!$DA$5:$EV$30,15,0))</f>
        <v>0</v>
      </c>
      <c r="Q146" s="2">
        <f>SUMPRODUCT($CA146:$DV146,INDEX('MC MAP'!$DA$5:$EV$30,16,0))</f>
        <v>0</v>
      </c>
      <c r="R146" s="2">
        <f>SUMPRODUCT($CA146:$DV146,INDEX('MC MAP'!$DA$5:$EV$30,17,0))</f>
        <v>0</v>
      </c>
      <c r="S146" s="2">
        <f>SUMPRODUCT($CA146:$DV146,INDEX('MC MAP'!$DA$5:$EV$30,18,0))</f>
        <v>0</v>
      </c>
      <c r="T146" s="2">
        <f>SUMPRODUCT($CA146:$DV146,INDEX('MC MAP'!$DA$5:$EV$30,19,0))</f>
        <v>0</v>
      </c>
      <c r="U146" s="2">
        <f>SUMPRODUCT($CA146:$DV146,INDEX('MC MAP'!$DA$5:$EV$30,20,0))</f>
        <v>0</v>
      </c>
      <c r="V146" s="2">
        <f>SUMPRODUCT($CA146:$DV146,INDEX('MC MAP'!$DA$5:$EV$30,21,0))</f>
        <v>0</v>
      </c>
      <c r="W146" s="2">
        <f>SUMPRODUCT($CA146:$DV146,INDEX('MC MAP'!$DA$5:$EV$30,22,0))</f>
        <v>0</v>
      </c>
      <c r="X146" s="2">
        <f>SUMPRODUCT($CA146:$DV146,INDEX('MC MAP'!$DA$5:$EV$30,23,0))</f>
        <v>0</v>
      </c>
      <c r="Y146" s="2">
        <f>SUMPRODUCT($CA146:$DV146,INDEX('MC MAP'!$DA$5:$EV$30,24,0))</f>
        <v>0</v>
      </c>
      <c r="Z146" s="2">
        <f>SUMPRODUCT($CA146:$DV146,INDEX('MC MAP'!$DA$5:$EV$30,25,0))</f>
        <v>0</v>
      </c>
      <c r="AA146" s="2">
        <f>SUMPRODUCT($CA146:$DV146,INDEX('MC MAP'!$DA$5:$EV$30,26,0))</f>
        <v>0</v>
      </c>
      <c r="AB146" s="2">
        <f>SUM($B146:$AA146)</f>
        <v>0</v>
      </c>
      <c r="AC146" s="2">
        <f>SUM($CA146:$DV146)+$AW146</f>
        <v>0</v>
      </c>
      <c r="AW146" s="2">
        <f>IF($A146=0,0,COUNTIF(INDEX('LINE PLAN'!$B$36:$GS$61,0,ROW()-3),"THERMAL - NOT SPECIFIED"))</f>
        <v>0</v>
      </c>
      <c r="AX146" s="506" cm="1">
        <f t="array" ref="AX146">IF(OR($AB146=0,UPPER($BS146)&lt;&gt;"Y"),0,SUMPRODUCT(--($B146:$AA146&gt;$B$205:$AA$205)))</f>
        <v>0</v>
      </c>
      <c r="AY146" s="507">
        <f>$A146</f>
        <v>0</v>
      </c>
      <c r="AZ146" s="2">
        <f>$AB146</f>
        <v>0</v>
      </c>
      <c r="BA146" s="2">
        <f>'MC MASTER'!$C$29</f>
        <v>920</v>
      </c>
      <c r="BQ146" s="509">
        <f>$A146</f>
        <v>0</v>
      </c>
      <c r="BR146" s="15" t="str">
        <f>TEXT($A146,"ddd")</f>
        <v>Sat</v>
      </c>
      <c r="BS146" s="547" t="str">
        <f>IF($A146=0,"",IF(WEEKDAY($A146,2)=7,"N","Y"))</f>
        <v/>
      </c>
      <c r="BT146" s="15">
        <f>IF(UPPER($BS146)="Y",$AB146,0)</f>
        <v>0</v>
      </c>
      <c r="CA146" s="2">
        <f>COUNTIF(INDEX('LINE PLAN'!$B$36:$GS$61,0,ROW()-3),CA$3)</f>
        <v>0</v>
      </c>
      <c r="CB146" s="2">
        <f>COUNTIF(INDEX('LINE PLAN'!$B$36:$GS$61,0,ROW()-3),CB$3)</f>
        <v>0</v>
      </c>
      <c r="CC146" s="2">
        <f>COUNTIF(INDEX('LINE PLAN'!$B$36:$GS$61,0,ROW()-3),CC$3)</f>
        <v>0</v>
      </c>
      <c r="CD146" s="2">
        <f>COUNTIF(INDEX('LINE PLAN'!$B$36:$GS$61,0,ROW()-3),CD$3)</f>
        <v>0</v>
      </c>
      <c r="CE146" s="2">
        <f>COUNTIF(INDEX('LINE PLAN'!$B$36:$GS$61,0,ROW()-3),CE$3)</f>
        <v>0</v>
      </c>
      <c r="CF146" s="2">
        <f>COUNTIF(INDEX('LINE PLAN'!$B$36:$GS$61,0,ROW()-3),CF$3)</f>
        <v>0</v>
      </c>
      <c r="CG146" s="2">
        <f>COUNTIF(INDEX('LINE PLAN'!$B$36:$GS$61,0,ROW()-3),CG$3)</f>
        <v>0</v>
      </c>
      <c r="CH146" s="2">
        <f>COUNTIF(INDEX('LINE PLAN'!$B$36:$GS$61,0,ROW()-3),CH$3)</f>
        <v>0</v>
      </c>
      <c r="CI146" s="2">
        <f>COUNTIF(INDEX('LINE PLAN'!$B$36:$GS$61,0,ROW()-3),CI$3)</f>
        <v>0</v>
      </c>
      <c r="CJ146" s="2">
        <f>COUNTIF(INDEX('LINE PLAN'!$B$36:$GS$61,0,ROW()-3),CJ$3)</f>
        <v>0</v>
      </c>
      <c r="CK146" s="2">
        <f>COUNTIF(INDEX('LINE PLAN'!$B$36:$GS$61,0,ROW()-3),CK$3)</f>
        <v>0</v>
      </c>
      <c r="CL146" s="2">
        <f>COUNTIF(INDEX('LINE PLAN'!$B$36:$GS$61,0,ROW()-3),CL$3)</f>
        <v>0</v>
      </c>
      <c r="CM146" s="2">
        <f>COUNTIF(INDEX('LINE PLAN'!$B$36:$GS$61,0,ROW()-3),CM$3)</f>
        <v>0</v>
      </c>
      <c r="CN146" s="2">
        <f>COUNTIF(INDEX('LINE PLAN'!$B$36:$GS$61,0,ROW()-3),CN$3)</f>
        <v>0</v>
      </c>
      <c r="CO146" s="2">
        <f>COUNTIF(INDEX('LINE PLAN'!$B$36:$GS$61,0,ROW()-3),CO$3)</f>
        <v>0</v>
      </c>
      <c r="CP146" s="2">
        <f>COUNTIF(INDEX('LINE PLAN'!$B$36:$GS$61,0,ROW()-3),CP$3)</f>
        <v>0</v>
      </c>
      <c r="CQ146" s="2">
        <f>COUNTIF(INDEX('LINE PLAN'!$B$36:$GS$61,0,ROW()-3),CQ$3)</f>
        <v>0</v>
      </c>
      <c r="CR146" s="2">
        <f>COUNTIF(INDEX('LINE PLAN'!$B$36:$GS$61,0,ROW()-3),CR$3)</f>
        <v>0</v>
      </c>
      <c r="CS146" s="2">
        <f>COUNTIF(INDEX('LINE PLAN'!$B$36:$GS$61,0,ROW()-3),CS$3)</f>
        <v>0</v>
      </c>
      <c r="CT146" s="2">
        <f>COUNTIF(INDEX('LINE PLAN'!$B$36:$GS$61,0,ROW()-3),CT$3)</f>
        <v>0</v>
      </c>
      <c r="CU146" s="2">
        <f>COUNTIF(INDEX('LINE PLAN'!$B$36:$GS$61,0,ROW()-3),CU$3)</f>
        <v>0</v>
      </c>
      <c r="CV146" s="2">
        <f>COUNTIF(INDEX('LINE PLAN'!$B$36:$GS$61,0,ROW()-3),CV$3)</f>
        <v>0</v>
      </c>
      <c r="CW146" s="2">
        <f>COUNTIF(INDEX('LINE PLAN'!$B$36:$GS$61,0,ROW()-3),CW$3)</f>
        <v>0</v>
      </c>
      <c r="CX146" s="2">
        <f>COUNTIF(INDEX('LINE PLAN'!$B$36:$GS$61,0,ROW()-3),CX$3)</f>
        <v>0</v>
      </c>
      <c r="CY146" s="2">
        <f>COUNTIF(INDEX('LINE PLAN'!$B$36:$GS$61,0,ROW()-3),CY$3)</f>
        <v>0</v>
      </c>
      <c r="CZ146" s="2">
        <f>COUNTIF(INDEX('LINE PLAN'!$B$36:$GS$61,0,ROW()-3),CZ$3)</f>
        <v>0</v>
      </c>
      <c r="DA146" s="2">
        <f>COUNTIF(INDEX('LINE PLAN'!$B$36:$GS$61,0,ROW()-3),DA$3)</f>
        <v>0</v>
      </c>
      <c r="DB146" s="2">
        <f>COUNTIF(INDEX('LINE PLAN'!$B$36:$GS$61,0,ROW()-3),DB$3)</f>
        <v>0</v>
      </c>
      <c r="DC146" s="2">
        <f>COUNTIF(INDEX('LINE PLAN'!$B$36:$GS$61,0,ROW()-3),DC$3)</f>
        <v>0</v>
      </c>
      <c r="DD146" s="2">
        <f>COUNTIF(INDEX('LINE PLAN'!$B$36:$GS$61,0,ROW()-3),DD$3)</f>
        <v>0</v>
      </c>
      <c r="DE146" s="2">
        <f>COUNTIF(INDEX('LINE PLAN'!$B$36:$GS$61,0,ROW()-3),DE$3)</f>
        <v>0</v>
      </c>
      <c r="DF146" s="2">
        <f>COUNTIF(INDEX('LINE PLAN'!$B$36:$GS$61,0,ROW()-3),DF$3)</f>
        <v>0</v>
      </c>
      <c r="DG146" s="2">
        <f>COUNTIF(INDEX('LINE PLAN'!$B$36:$GS$61,0,ROW()-3),DG$3)</f>
        <v>0</v>
      </c>
      <c r="DH146" s="2">
        <f>COUNTIF(INDEX('LINE PLAN'!$B$36:$GS$61,0,ROW()-3),DH$3)</f>
        <v>0</v>
      </c>
      <c r="DI146" s="2">
        <f>COUNTIF(INDEX('LINE PLAN'!$B$36:$GS$61,0,ROW()-3),DI$3)</f>
        <v>0</v>
      </c>
      <c r="DJ146" s="2">
        <f>COUNTIF(INDEX('LINE PLAN'!$B$36:$GS$61,0,ROW()-3),DJ$3)</f>
        <v>0</v>
      </c>
      <c r="DK146" s="2">
        <f>COUNTIF(INDEX('LINE PLAN'!$B$36:$GS$61,0,ROW()-3),DK$3)</f>
        <v>0</v>
      </c>
      <c r="DL146" s="2">
        <f>COUNTIF(INDEX('LINE PLAN'!$B$36:$GS$61,0,ROW()-3),DL$3)</f>
        <v>0</v>
      </c>
      <c r="DM146" s="2">
        <f>COUNTIF(INDEX('LINE PLAN'!$B$36:$GS$61,0,ROW()-3),DM$3)</f>
        <v>0</v>
      </c>
      <c r="DN146" s="2">
        <f>COUNTIF(INDEX('LINE PLAN'!$B$36:$GS$61,0,ROW()-3),DN$3)</f>
        <v>0</v>
      </c>
      <c r="DO146" s="2">
        <f>COUNTIF(INDEX('LINE PLAN'!$B$36:$GS$61,0,ROW()-3),DO$3)</f>
        <v>0</v>
      </c>
      <c r="DP146" s="2">
        <f>COUNTIF(INDEX('LINE PLAN'!$B$36:$GS$61,0,ROW()-3),DP$3)</f>
        <v>0</v>
      </c>
      <c r="DQ146" s="2">
        <f>COUNTIF(INDEX('LINE PLAN'!$B$36:$GS$61,0,ROW()-3),DQ$3)</f>
        <v>0</v>
      </c>
      <c r="DR146" s="2">
        <f>COUNTIF(INDEX('LINE PLAN'!$B$36:$GS$61,0,ROW()-3),DR$3)</f>
        <v>0</v>
      </c>
      <c r="DS146" s="2">
        <f>COUNTIF(INDEX('LINE PLAN'!$B$36:$GS$61,0,ROW()-3),DS$3)</f>
        <v>0</v>
      </c>
      <c r="DT146" s="2">
        <f>COUNTIF(INDEX('LINE PLAN'!$B$36:$GS$61,0,ROW()-3),DT$3)</f>
        <v>0</v>
      </c>
      <c r="DU146" s="2">
        <f>COUNTIF(INDEX('LINE PLAN'!$B$36:$GS$61,0,ROW()-3),DU$3)</f>
        <v>0</v>
      </c>
      <c r="DV146" s="2">
        <f>COUNTIF(INDEX('LINE PLAN'!$B$36:$GS$61,0,ROW()-3),DV$3)</f>
        <v>0</v>
      </c>
    </row>
    <row r="147" spans="1:126">
      <c r="A147" s="505" cm="1">
        <f t="array" ref="A147">INDEX('LINE PLAN'!$B$35:$GS$35,ROW()-3)</f>
        <v>0</v>
      </c>
      <c r="B147" s="2">
        <f>SUMPRODUCT($CA147:$DV147,INDEX('MC MAP'!$DA$5:$EV$30,1,0))</f>
        <v>0</v>
      </c>
      <c r="C147" s="2">
        <f>SUMPRODUCT($CA147:$DV147,INDEX('MC MAP'!$DA$5:$EV$30,2,0))</f>
        <v>0</v>
      </c>
      <c r="D147" s="2">
        <f>SUMPRODUCT($CA147:$DV147,INDEX('MC MAP'!$DA$5:$EV$30,3,0))</f>
        <v>0</v>
      </c>
      <c r="E147" s="2">
        <f>SUMPRODUCT($CA147:$DV147,INDEX('MC MAP'!$DA$5:$EV$30,4,0))</f>
        <v>0</v>
      </c>
      <c r="F147" s="2">
        <f>SUMPRODUCT($CA147:$DV147,INDEX('MC MAP'!$DA$5:$EV$30,5,0))</f>
        <v>0</v>
      </c>
      <c r="G147" s="2">
        <f>SUMPRODUCT($CA147:$DV147,INDEX('MC MAP'!$DA$5:$EV$30,6,0))</f>
        <v>0</v>
      </c>
      <c r="H147" s="2">
        <f>SUMPRODUCT($CA147:$DV147,INDEX('MC MAP'!$DA$5:$EV$30,7,0))</f>
        <v>0</v>
      </c>
      <c r="I147" s="2">
        <f>SUMPRODUCT($CA147:$DV147,INDEX('MC MAP'!$DA$5:$EV$30,8,0))</f>
        <v>0</v>
      </c>
      <c r="J147" s="2">
        <f>SUMPRODUCT($CA147:$DV147,INDEX('MC MAP'!$DA$5:$EV$30,9,0))</f>
        <v>0</v>
      </c>
      <c r="K147" s="2">
        <f>SUMPRODUCT($CA147:$DV147,INDEX('MC MAP'!$DA$5:$EV$30,10,0))</f>
        <v>0</v>
      </c>
      <c r="L147" s="2">
        <f>SUMPRODUCT($CA147:$DV147,INDEX('MC MAP'!$DA$5:$EV$30,11,0))</f>
        <v>0</v>
      </c>
      <c r="M147" s="2">
        <f>SUMPRODUCT($CA147:$DV147,INDEX('MC MAP'!$DA$5:$EV$30,12,0))</f>
        <v>0</v>
      </c>
      <c r="N147" s="2">
        <f>SUMPRODUCT($CA147:$DV147,INDEX('MC MAP'!$DA$5:$EV$30,13,0))</f>
        <v>0</v>
      </c>
      <c r="O147" s="2">
        <f>SUMPRODUCT($CA147:$DV147,INDEX('MC MAP'!$DA$5:$EV$30,14,0))</f>
        <v>0</v>
      </c>
      <c r="P147" s="2">
        <f>SUMPRODUCT($CA147:$DV147,INDEX('MC MAP'!$DA$5:$EV$30,15,0))</f>
        <v>0</v>
      </c>
      <c r="Q147" s="2">
        <f>SUMPRODUCT($CA147:$DV147,INDEX('MC MAP'!$DA$5:$EV$30,16,0))</f>
        <v>0</v>
      </c>
      <c r="R147" s="2">
        <f>SUMPRODUCT($CA147:$DV147,INDEX('MC MAP'!$DA$5:$EV$30,17,0))</f>
        <v>0</v>
      </c>
      <c r="S147" s="2">
        <f>SUMPRODUCT($CA147:$DV147,INDEX('MC MAP'!$DA$5:$EV$30,18,0))</f>
        <v>0</v>
      </c>
      <c r="T147" s="2">
        <f>SUMPRODUCT($CA147:$DV147,INDEX('MC MAP'!$DA$5:$EV$30,19,0))</f>
        <v>0</v>
      </c>
      <c r="U147" s="2">
        <f>SUMPRODUCT($CA147:$DV147,INDEX('MC MAP'!$DA$5:$EV$30,20,0))</f>
        <v>0</v>
      </c>
      <c r="V147" s="2">
        <f>SUMPRODUCT($CA147:$DV147,INDEX('MC MAP'!$DA$5:$EV$30,21,0))</f>
        <v>0</v>
      </c>
      <c r="W147" s="2">
        <f>SUMPRODUCT($CA147:$DV147,INDEX('MC MAP'!$DA$5:$EV$30,22,0))</f>
        <v>0</v>
      </c>
      <c r="X147" s="2">
        <f>SUMPRODUCT($CA147:$DV147,INDEX('MC MAP'!$DA$5:$EV$30,23,0))</f>
        <v>0</v>
      </c>
      <c r="Y147" s="2">
        <f>SUMPRODUCT($CA147:$DV147,INDEX('MC MAP'!$DA$5:$EV$30,24,0))</f>
        <v>0</v>
      </c>
      <c r="Z147" s="2">
        <f>SUMPRODUCT($CA147:$DV147,INDEX('MC MAP'!$DA$5:$EV$30,25,0))</f>
        <v>0</v>
      </c>
      <c r="AA147" s="2">
        <f>SUMPRODUCT($CA147:$DV147,INDEX('MC MAP'!$DA$5:$EV$30,26,0))</f>
        <v>0</v>
      </c>
      <c r="AB147" s="2">
        <f>SUM($B147:$AA147)</f>
        <v>0</v>
      </c>
      <c r="AC147" s="2">
        <f>SUM($CA147:$DV147)+$AW147</f>
        <v>0</v>
      </c>
      <c r="AW147" s="2">
        <f>IF($A147=0,0,COUNTIF(INDEX('LINE PLAN'!$B$36:$GS$61,0,ROW()-3),"THERMAL - NOT SPECIFIED"))</f>
        <v>0</v>
      </c>
      <c r="AX147" s="506" cm="1">
        <f t="array" ref="AX147">IF(OR($AB147=0,UPPER($BS147)&lt;&gt;"Y"),0,SUMPRODUCT(--($B147:$AA147&gt;$B$205:$AA$205)))</f>
        <v>0</v>
      </c>
      <c r="AY147" s="507">
        <f>$A147</f>
        <v>0</v>
      </c>
      <c r="AZ147" s="2">
        <f>$AB147</f>
        <v>0</v>
      </c>
      <c r="BA147" s="2">
        <f>'MC MASTER'!$C$29</f>
        <v>920</v>
      </c>
      <c r="BQ147" s="509">
        <f>$A147</f>
        <v>0</v>
      </c>
      <c r="BR147" s="15" t="str">
        <f>TEXT($A147,"ddd")</f>
        <v>Sat</v>
      </c>
      <c r="BS147" s="547" t="str">
        <f>IF($A147=0,"",IF(WEEKDAY($A147,2)=7,"N","Y"))</f>
        <v/>
      </c>
      <c r="BT147" s="15">
        <f>IF(UPPER($BS147)="Y",$AB147,0)</f>
        <v>0</v>
      </c>
      <c r="CA147" s="2">
        <f>COUNTIF(INDEX('LINE PLAN'!$B$36:$GS$61,0,ROW()-3),CA$3)</f>
        <v>0</v>
      </c>
      <c r="CB147" s="2">
        <f>COUNTIF(INDEX('LINE PLAN'!$B$36:$GS$61,0,ROW()-3),CB$3)</f>
        <v>0</v>
      </c>
      <c r="CC147" s="2">
        <f>COUNTIF(INDEX('LINE PLAN'!$B$36:$GS$61,0,ROW()-3),CC$3)</f>
        <v>0</v>
      </c>
      <c r="CD147" s="2">
        <f>COUNTIF(INDEX('LINE PLAN'!$B$36:$GS$61,0,ROW()-3),CD$3)</f>
        <v>0</v>
      </c>
      <c r="CE147" s="2">
        <f>COUNTIF(INDEX('LINE PLAN'!$B$36:$GS$61,0,ROW()-3),CE$3)</f>
        <v>0</v>
      </c>
      <c r="CF147" s="2">
        <f>COUNTIF(INDEX('LINE PLAN'!$B$36:$GS$61,0,ROW()-3),CF$3)</f>
        <v>0</v>
      </c>
      <c r="CG147" s="2">
        <f>COUNTIF(INDEX('LINE PLAN'!$B$36:$GS$61,0,ROW()-3),CG$3)</f>
        <v>0</v>
      </c>
      <c r="CH147" s="2">
        <f>COUNTIF(INDEX('LINE PLAN'!$B$36:$GS$61,0,ROW()-3),CH$3)</f>
        <v>0</v>
      </c>
      <c r="CI147" s="2">
        <f>COUNTIF(INDEX('LINE PLAN'!$B$36:$GS$61,0,ROW()-3),CI$3)</f>
        <v>0</v>
      </c>
      <c r="CJ147" s="2">
        <f>COUNTIF(INDEX('LINE PLAN'!$B$36:$GS$61,0,ROW()-3),CJ$3)</f>
        <v>0</v>
      </c>
      <c r="CK147" s="2">
        <f>COUNTIF(INDEX('LINE PLAN'!$B$36:$GS$61,0,ROW()-3),CK$3)</f>
        <v>0</v>
      </c>
      <c r="CL147" s="2">
        <f>COUNTIF(INDEX('LINE PLAN'!$B$36:$GS$61,0,ROW()-3),CL$3)</f>
        <v>0</v>
      </c>
      <c r="CM147" s="2">
        <f>COUNTIF(INDEX('LINE PLAN'!$B$36:$GS$61,0,ROW()-3),CM$3)</f>
        <v>0</v>
      </c>
      <c r="CN147" s="2">
        <f>COUNTIF(INDEX('LINE PLAN'!$B$36:$GS$61,0,ROW()-3),CN$3)</f>
        <v>0</v>
      </c>
      <c r="CO147" s="2">
        <f>COUNTIF(INDEX('LINE PLAN'!$B$36:$GS$61,0,ROW()-3),CO$3)</f>
        <v>0</v>
      </c>
      <c r="CP147" s="2">
        <f>COUNTIF(INDEX('LINE PLAN'!$B$36:$GS$61,0,ROW()-3),CP$3)</f>
        <v>0</v>
      </c>
      <c r="CQ147" s="2">
        <f>COUNTIF(INDEX('LINE PLAN'!$B$36:$GS$61,0,ROW()-3),CQ$3)</f>
        <v>0</v>
      </c>
      <c r="CR147" s="2">
        <f>COUNTIF(INDEX('LINE PLAN'!$B$36:$GS$61,0,ROW()-3),CR$3)</f>
        <v>0</v>
      </c>
      <c r="CS147" s="2">
        <f>COUNTIF(INDEX('LINE PLAN'!$B$36:$GS$61,0,ROW()-3),CS$3)</f>
        <v>0</v>
      </c>
      <c r="CT147" s="2">
        <f>COUNTIF(INDEX('LINE PLAN'!$B$36:$GS$61,0,ROW()-3),CT$3)</f>
        <v>0</v>
      </c>
      <c r="CU147" s="2">
        <f>COUNTIF(INDEX('LINE PLAN'!$B$36:$GS$61,0,ROW()-3),CU$3)</f>
        <v>0</v>
      </c>
      <c r="CV147" s="2">
        <f>COUNTIF(INDEX('LINE PLAN'!$B$36:$GS$61,0,ROW()-3),CV$3)</f>
        <v>0</v>
      </c>
      <c r="CW147" s="2">
        <f>COUNTIF(INDEX('LINE PLAN'!$B$36:$GS$61,0,ROW()-3),CW$3)</f>
        <v>0</v>
      </c>
      <c r="CX147" s="2">
        <f>COUNTIF(INDEX('LINE PLAN'!$B$36:$GS$61,0,ROW()-3),CX$3)</f>
        <v>0</v>
      </c>
      <c r="CY147" s="2">
        <f>COUNTIF(INDEX('LINE PLAN'!$B$36:$GS$61,0,ROW()-3),CY$3)</f>
        <v>0</v>
      </c>
      <c r="CZ147" s="2">
        <f>COUNTIF(INDEX('LINE PLAN'!$B$36:$GS$61,0,ROW()-3),CZ$3)</f>
        <v>0</v>
      </c>
      <c r="DA147" s="2">
        <f>COUNTIF(INDEX('LINE PLAN'!$B$36:$GS$61,0,ROW()-3),DA$3)</f>
        <v>0</v>
      </c>
      <c r="DB147" s="2">
        <f>COUNTIF(INDEX('LINE PLAN'!$B$36:$GS$61,0,ROW()-3),DB$3)</f>
        <v>0</v>
      </c>
      <c r="DC147" s="2">
        <f>COUNTIF(INDEX('LINE PLAN'!$B$36:$GS$61,0,ROW()-3),DC$3)</f>
        <v>0</v>
      </c>
      <c r="DD147" s="2">
        <f>COUNTIF(INDEX('LINE PLAN'!$B$36:$GS$61,0,ROW()-3),DD$3)</f>
        <v>0</v>
      </c>
      <c r="DE147" s="2">
        <f>COUNTIF(INDEX('LINE PLAN'!$B$36:$GS$61,0,ROW()-3),DE$3)</f>
        <v>0</v>
      </c>
      <c r="DF147" s="2">
        <f>COUNTIF(INDEX('LINE PLAN'!$B$36:$GS$61,0,ROW()-3),DF$3)</f>
        <v>0</v>
      </c>
      <c r="DG147" s="2">
        <f>COUNTIF(INDEX('LINE PLAN'!$B$36:$GS$61,0,ROW()-3),DG$3)</f>
        <v>0</v>
      </c>
      <c r="DH147" s="2">
        <f>COUNTIF(INDEX('LINE PLAN'!$B$36:$GS$61,0,ROW()-3),DH$3)</f>
        <v>0</v>
      </c>
      <c r="DI147" s="2">
        <f>COUNTIF(INDEX('LINE PLAN'!$B$36:$GS$61,0,ROW()-3),DI$3)</f>
        <v>0</v>
      </c>
      <c r="DJ147" s="2">
        <f>COUNTIF(INDEX('LINE PLAN'!$B$36:$GS$61,0,ROW()-3),DJ$3)</f>
        <v>0</v>
      </c>
      <c r="DK147" s="2">
        <f>COUNTIF(INDEX('LINE PLAN'!$B$36:$GS$61,0,ROW()-3),DK$3)</f>
        <v>0</v>
      </c>
      <c r="DL147" s="2">
        <f>COUNTIF(INDEX('LINE PLAN'!$B$36:$GS$61,0,ROW()-3),DL$3)</f>
        <v>0</v>
      </c>
      <c r="DM147" s="2">
        <f>COUNTIF(INDEX('LINE PLAN'!$B$36:$GS$61,0,ROW()-3),DM$3)</f>
        <v>0</v>
      </c>
      <c r="DN147" s="2">
        <f>COUNTIF(INDEX('LINE PLAN'!$B$36:$GS$61,0,ROW()-3),DN$3)</f>
        <v>0</v>
      </c>
      <c r="DO147" s="2">
        <f>COUNTIF(INDEX('LINE PLAN'!$B$36:$GS$61,0,ROW()-3),DO$3)</f>
        <v>0</v>
      </c>
      <c r="DP147" s="2">
        <f>COUNTIF(INDEX('LINE PLAN'!$B$36:$GS$61,0,ROW()-3),DP$3)</f>
        <v>0</v>
      </c>
      <c r="DQ147" s="2">
        <f>COUNTIF(INDEX('LINE PLAN'!$B$36:$GS$61,0,ROW()-3),DQ$3)</f>
        <v>0</v>
      </c>
      <c r="DR147" s="2">
        <f>COUNTIF(INDEX('LINE PLAN'!$B$36:$GS$61,0,ROW()-3),DR$3)</f>
        <v>0</v>
      </c>
      <c r="DS147" s="2">
        <f>COUNTIF(INDEX('LINE PLAN'!$B$36:$GS$61,0,ROW()-3),DS$3)</f>
        <v>0</v>
      </c>
      <c r="DT147" s="2">
        <f>COUNTIF(INDEX('LINE PLAN'!$B$36:$GS$61,0,ROW()-3),DT$3)</f>
        <v>0</v>
      </c>
      <c r="DU147" s="2">
        <f>COUNTIF(INDEX('LINE PLAN'!$B$36:$GS$61,0,ROW()-3),DU$3)</f>
        <v>0</v>
      </c>
      <c r="DV147" s="2">
        <f>COUNTIF(INDEX('LINE PLAN'!$B$36:$GS$61,0,ROW()-3),DV$3)</f>
        <v>0</v>
      </c>
    </row>
    <row r="148" spans="1:126">
      <c r="A148" s="505" cm="1">
        <f t="array" ref="A148">INDEX('LINE PLAN'!$B$35:$GS$35,ROW()-3)</f>
        <v>0</v>
      </c>
      <c r="B148" s="2">
        <f>SUMPRODUCT($CA148:$DV148,INDEX('MC MAP'!$DA$5:$EV$30,1,0))</f>
        <v>0</v>
      </c>
      <c r="C148" s="2">
        <f>SUMPRODUCT($CA148:$DV148,INDEX('MC MAP'!$DA$5:$EV$30,2,0))</f>
        <v>0</v>
      </c>
      <c r="D148" s="2">
        <f>SUMPRODUCT($CA148:$DV148,INDEX('MC MAP'!$DA$5:$EV$30,3,0))</f>
        <v>0</v>
      </c>
      <c r="E148" s="2">
        <f>SUMPRODUCT($CA148:$DV148,INDEX('MC MAP'!$DA$5:$EV$30,4,0))</f>
        <v>0</v>
      </c>
      <c r="F148" s="2">
        <f>SUMPRODUCT($CA148:$DV148,INDEX('MC MAP'!$DA$5:$EV$30,5,0))</f>
        <v>0</v>
      </c>
      <c r="G148" s="2">
        <f>SUMPRODUCT($CA148:$DV148,INDEX('MC MAP'!$DA$5:$EV$30,6,0))</f>
        <v>0</v>
      </c>
      <c r="H148" s="2">
        <f>SUMPRODUCT($CA148:$DV148,INDEX('MC MAP'!$DA$5:$EV$30,7,0))</f>
        <v>0</v>
      </c>
      <c r="I148" s="2">
        <f>SUMPRODUCT($CA148:$DV148,INDEX('MC MAP'!$DA$5:$EV$30,8,0))</f>
        <v>0</v>
      </c>
      <c r="J148" s="2">
        <f>SUMPRODUCT($CA148:$DV148,INDEX('MC MAP'!$DA$5:$EV$30,9,0))</f>
        <v>0</v>
      </c>
      <c r="K148" s="2">
        <f>SUMPRODUCT($CA148:$DV148,INDEX('MC MAP'!$DA$5:$EV$30,10,0))</f>
        <v>0</v>
      </c>
      <c r="L148" s="2">
        <f>SUMPRODUCT($CA148:$DV148,INDEX('MC MAP'!$DA$5:$EV$30,11,0))</f>
        <v>0</v>
      </c>
      <c r="M148" s="2">
        <f>SUMPRODUCT($CA148:$DV148,INDEX('MC MAP'!$DA$5:$EV$30,12,0))</f>
        <v>0</v>
      </c>
      <c r="N148" s="2">
        <f>SUMPRODUCT($CA148:$DV148,INDEX('MC MAP'!$DA$5:$EV$30,13,0))</f>
        <v>0</v>
      </c>
      <c r="O148" s="2">
        <f>SUMPRODUCT($CA148:$DV148,INDEX('MC MAP'!$DA$5:$EV$30,14,0))</f>
        <v>0</v>
      </c>
      <c r="P148" s="2">
        <f>SUMPRODUCT($CA148:$DV148,INDEX('MC MAP'!$DA$5:$EV$30,15,0))</f>
        <v>0</v>
      </c>
      <c r="Q148" s="2">
        <f>SUMPRODUCT($CA148:$DV148,INDEX('MC MAP'!$DA$5:$EV$30,16,0))</f>
        <v>0</v>
      </c>
      <c r="R148" s="2">
        <f>SUMPRODUCT($CA148:$DV148,INDEX('MC MAP'!$DA$5:$EV$30,17,0))</f>
        <v>0</v>
      </c>
      <c r="S148" s="2">
        <f>SUMPRODUCT($CA148:$DV148,INDEX('MC MAP'!$DA$5:$EV$30,18,0))</f>
        <v>0</v>
      </c>
      <c r="T148" s="2">
        <f>SUMPRODUCT($CA148:$DV148,INDEX('MC MAP'!$DA$5:$EV$30,19,0))</f>
        <v>0</v>
      </c>
      <c r="U148" s="2">
        <f>SUMPRODUCT($CA148:$DV148,INDEX('MC MAP'!$DA$5:$EV$30,20,0))</f>
        <v>0</v>
      </c>
      <c r="V148" s="2">
        <f>SUMPRODUCT($CA148:$DV148,INDEX('MC MAP'!$DA$5:$EV$30,21,0))</f>
        <v>0</v>
      </c>
      <c r="W148" s="2">
        <f>SUMPRODUCT($CA148:$DV148,INDEX('MC MAP'!$DA$5:$EV$30,22,0))</f>
        <v>0</v>
      </c>
      <c r="X148" s="2">
        <f>SUMPRODUCT($CA148:$DV148,INDEX('MC MAP'!$DA$5:$EV$30,23,0))</f>
        <v>0</v>
      </c>
      <c r="Y148" s="2">
        <f>SUMPRODUCT($CA148:$DV148,INDEX('MC MAP'!$DA$5:$EV$30,24,0))</f>
        <v>0</v>
      </c>
      <c r="Z148" s="2">
        <f>SUMPRODUCT($CA148:$DV148,INDEX('MC MAP'!$DA$5:$EV$30,25,0))</f>
        <v>0</v>
      </c>
      <c r="AA148" s="2">
        <f>SUMPRODUCT($CA148:$DV148,INDEX('MC MAP'!$DA$5:$EV$30,26,0))</f>
        <v>0</v>
      </c>
      <c r="AB148" s="2">
        <f>SUM($B148:$AA148)</f>
        <v>0</v>
      </c>
      <c r="AC148" s="2">
        <f>SUM($CA148:$DV148)+$AW148</f>
        <v>0</v>
      </c>
      <c r="AW148" s="2">
        <f>IF($A148=0,0,COUNTIF(INDEX('LINE PLAN'!$B$36:$GS$61,0,ROW()-3),"THERMAL - NOT SPECIFIED"))</f>
        <v>0</v>
      </c>
      <c r="AX148" s="506" cm="1">
        <f t="array" ref="AX148">IF(OR($AB148=0,UPPER($BS148)&lt;&gt;"Y"),0,SUMPRODUCT(--($B148:$AA148&gt;$B$205:$AA$205)))</f>
        <v>0</v>
      </c>
      <c r="AY148" s="507">
        <f>$A148</f>
        <v>0</v>
      </c>
      <c r="AZ148" s="2">
        <f>$AB148</f>
        <v>0</v>
      </c>
      <c r="BA148" s="2">
        <f>'MC MASTER'!$C$29</f>
        <v>920</v>
      </c>
      <c r="BQ148" s="509">
        <f>$A148</f>
        <v>0</v>
      </c>
      <c r="BR148" s="15" t="str">
        <f>TEXT($A148,"ddd")</f>
        <v>Sat</v>
      </c>
      <c r="BS148" s="547" t="str">
        <f>IF($A148=0,"",IF(WEEKDAY($A148,2)=7,"N","Y"))</f>
        <v/>
      </c>
      <c r="BT148" s="15">
        <f>IF(UPPER($BS148)="Y",$AB148,0)</f>
        <v>0</v>
      </c>
      <c r="CA148" s="2">
        <f>COUNTIF(INDEX('LINE PLAN'!$B$36:$GS$61,0,ROW()-3),CA$3)</f>
        <v>0</v>
      </c>
      <c r="CB148" s="2">
        <f>COUNTIF(INDEX('LINE PLAN'!$B$36:$GS$61,0,ROW()-3),CB$3)</f>
        <v>0</v>
      </c>
      <c r="CC148" s="2">
        <f>COUNTIF(INDEX('LINE PLAN'!$B$36:$GS$61,0,ROW()-3),CC$3)</f>
        <v>0</v>
      </c>
      <c r="CD148" s="2">
        <f>COUNTIF(INDEX('LINE PLAN'!$B$36:$GS$61,0,ROW()-3),CD$3)</f>
        <v>0</v>
      </c>
      <c r="CE148" s="2">
        <f>COUNTIF(INDEX('LINE PLAN'!$B$36:$GS$61,0,ROW()-3),CE$3)</f>
        <v>0</v>
      </c>
      <c r="CF148" s="2">
        <f>COUNTIF(INDEX('LINE PLAN'!$B$36:$GS$61,0,ROW()-3),CF$3)</f>
        <v>0</v>
      </c>
      <c r="CG148" s="2">
        <f>COUNTIF(INDEX('LINE PLAN'!$B$36:$GS$61,0,ROW()-3),CG$3)</f>
        <v>0</v>
      </c>
      <c r="CH148" s="2">
        <f>COUNTIF(INDEX('LINE PLAN'!$B$36:$GS$61,0,ROW()-3),CH$3)</f>
        <v>0</v>
      </c>
      <c r="CI148" s="2">
        <f>COUNTIF(INDEX('LINE PLAN'!$B$36:$GS$61,0,ROW()-3),CI$3)</f>
        <v>0</v>
      </c>
      <c r="CJ148" s="2">
        <f>COUNTIF(INDEX('LINE PLAN'!$B$36:$GS$61,0,ROW()-3),CJ$3)</f>
        <v>0</v>
      </c>
      <c r="CK148" s="2">
        <f>COUNTIF(INDEX('LINE PLAN'!$B$36:$GS$61,0,ROW()-3),CK$3)</f>
        <v>0</v>
      </c>
      <c r="CL148" s="2">
        <f>COUNTIF(INDEX('LINE PLAN'!$B$36:$GS$61,0,ROW()-3),CL$3)</f>
        <v>0</v>
      </c>
      <c r="CM148" s="2">
        <f>COUNTIF(INDEX('LINE PLAN'!$B$36:$GS$61,0,ROW()-3),CM$3)</f>
        <v>0</v>
      </c>
      <c r="CN148" s="2">
        <f>COUNTIF(INDEX('LINE PLAN'!$B$36:$GS$61,0,ROW()-3),CN$3)</f>
        <v>0</v>
      </c>
      <c r="CO148" s="2">
        <f>COUNTIF(INDEX('LINE PLAN'!$B$36:$GS$61,0,ROW()-3),CO$3)</f>
        <v>0</v>
      </c>
      <c r="CP148" s="2">
        <f>COUNTIF(INDEX('LINE PLAN'!$B$36:$GS$61,0,ROW()-3),CP$3)</f>
        <v>0</v>
      </c>
      <c r="CQ148" s="2">
        <f>COUNTIF(INDEX('LINE PLAN'!$B$36:$GS$61,0,ROW()-3),CQ$3)</f>
        <v>0</v>
      </c>
      <c r="CR148" s="2">
        <f>COUNTIF(INDEX('LINE PLAN'!$B$36:$GS$61,0,ROW()-3),CR$3)</f>
        <v>0</v>
      </c>
      <c r="CS148" s="2">
        <f>COUNTIF(INDEX('LINE PLAN'!$B$36:$GS$61,0,ROW()-3),CS$3)</f>
        <v>0</v>
      </c>
      <c r="CT148" s="2">
        <f>COUNTIF(INDEX('LINE PLAN'!$B$36:$GS$61,0,ROW()-3),CT$3)</f>
        <v>0</v>
      </c>
      <c r="CU148" s="2">
        <f>COUNTIF(INDEX('LINE PLAN'!$B$36:$GS$61,0,ROW()-3),CU$3)</f>
        <v>0</v>
      </c>
      <c r="CV148" s="2">
        <f>COUNTIF(INDEX('LINE PLAN'!$B$36:$GS$61,0,ROW()-3),CV$3)</f>
        <v>0</v>
      </c>
      <c r="CW148" s="2">
        <f>COUNTIF(INDEX('LINE PLAN'!$B$36:$GS$61,0,ROW()-3),CW$3)</f>
        <v>0</v>
      </c>
      <c r="CX148" s="2">
        <f>COUNTIF(INDEX('LINE PLAN'!$B$36:$GS$61,0,ROW()-3),CX$3)</f>
        <v>0</v>
      </c>
      <c r="CY148" s="2">
        <f>COUNTIF(INDEX('LINE PLAN'!$B$36:$GS$61,0,ROW()-3),CY$3)</f>
        <v>0</v>
      </c>
      <c r="CZ148" s="2">
        <f>COUNTIF(INDEX('LINE PLAN'!$B$36:$GS$61,0,ROW()-3),CZ$3)</f>
        <v>0</v>
      </c>
      <c r="DA148" s="2">
        <f>COUNTIF(INDEX('LINE PLAN'!$B$36:$GS$61,0,ROW()-3),DA$3)</f>
        <v>0</v>
      </c>
      <c r="DB148" s="2">
        <f>COUNTIF(INDEX('LINE PLAN'!$B$36:$GS$61,0,ROW()-3),DB$3)</f>
        <v>0</v>
      </c>
      <c r="DC148" s="2">
        <f>COUNTIF(INDEX('LINE PLAN'!$B$36:$GS$61,0,ROW()-3),DC$3)</f>
        <v>0</v>
      </c>
      <c r="DD148" s="2">
        <f>COUNTIF(INDEX('LINE PLAN'!$B$36:$GS$61,0,ROW()-3),DD$3)</f>
        <v>0</v>
      </c>
      <c r="DE148" s="2">
        <f>COUNTIF(INDEX('LINE PLAN'!$B$36:$GS$61,0,ROW()-3),DE$3)</f>
        <v>0</v>
      </c>
      <c r="DF148" s="2">
        <f>COUNTIF(INDEX('LINE PLAN'!$B$36:$GS$61,0,ROW()-3),DF$3)</f>
        <v>0</v>
      </c>
      <c r="DG148" s="2">
        <f>COUNTIF(INDEX('LINE PLAN'!$B$36:$GS$61,0,ROW()-3),DG$3)</f>
        <v>0</v>
      </c>
      <c r="DH148" s="2">
        <f>COUNTIF(INDEX('LINE PLAN'!$B$36:$GS$61,0,ROW()-3),DH$3)</f>
        <v>0</v>
      </c>
      <c r="DI148" s="2">
        <f>COUNTIF(INDEX('LINE PLAN'!$B$36:$GS$61,0,ROW()-3),DI$3)</f>
        <v>0</v>
      </c>
      <c r="DJ148" s="2">
        <f>COUNTIF(INDEX('LINE PLAN'!$B$36:$GS$61,0,ROW()-3),DJ$3)</f>
        <v>0</v>
      </c>
      <c r="DK148" s="2">
        <f>COUNTIF(INDEX('LINE PLAN'!$B$36:$GS$61,0,ROW()-3),DK$3)</f>
        <v>0</v>
      </c>
      <c r="DL148" s="2">
        <f>COUNTIF(INDEX('LINE PLAN'!$B$36:$GS$61,0,ROW()-3),DL$3)</f>
        <v>0</v>
      </c>
      <c r="DM148" s="2">
        <f>COUNTIF(INDEX('LINE PLAN'!$B$36:$GS$61,0,ROW()-3),DM$3)</f>
        <v>0</v>
      </c>
      <c r="DN148" s="2">
        <f>COUNTIF(INDEX('LINE PLAN'!$B$36:$GS$61,0,ROW()-3),DN$3)</f>
        <v>0</v>
      </c>
      <c r="DO148" s="2">
        <f>COUNTIF(INDEX('LINE PLAN'!$B$36:$GS$61,0,ROW()-3),DO$3)</f>
        <v>0</v>
      </c>
      <c r="DP148" s="2">
        <f>COUNTIF(INDEX('LINE PLAN'!$B$36:$GS$61,0,ROW()-3),DP$3)</f>
        <v>0</v>
      </c>
      <c r="DQ148" s="2">
        <f>COUNTIF(INDEX('LINE PLAN'!$B$36:$GS$61,0,ROW()-3),DQ$3)</f>
        <v>0</v>
      </c>
      <c r="DR148" s="2">
        <f>COUNTIF(INDEX('LINE PLAN'!$B$36:$GS$61,0,ROW()-3),DR$3)</f>
        <v>0</v>
      </c>
      <c r="DS148" s="2">
        <f>COUNTIF(INDEX('LINE PLAN'!$B$36:$GS$61,0,ROW()-3),DS$3)</f>
        <v>0</v>
      </c>
      <c r="DT148" s="2">
        <f>COUNTIF(INDEX('LINE PLAN'!$B$36:$GS$61,0,ROW()-3),DT$3)</f>
        <v>0</v>
      </c>
      <c r="DU148" s="2">
        <f>COUNTIF(INDEX('LINE PLAN'!$B$36:$GS$61,0,ROW()-3),DU$3)</f>
        <v>0</v>
      </c>
      <c r="DV148" s="2">
        <f>COUNTIF(INDEX('LINE PLAN'!$B$36:$GS$61,0,ROW()-3),DV$3)</f>
        <v>0</v>
      </c>
    </row>
    <row r="149" spans="1:126">
      <c r="A149" s="505" cm="1">
        <f t="array" ref="A149">INDEX('LINE PLAN'!$B$35:$GS$35,ROW()-3)</f>
        <v>0</v>
      </c>
      <c r="B149" s="2">
        <f>SUMPRODUCT($CA149:$DV149,INDEX('MC MAP'!$DA$5:$EV$30,1,0))</f>
        <v>0</v>
      </c>
      <c r="C149" s="2">
        <f>SUMPRODUCT($CA149:$DV149,INDEX('MC MAP'!$DA$5:$EV$30,2,0))</f>
        <v>0</v>
      </c>
      <c r="D149" s="2">
        <f>SUMPRODUCT($CA149:$DV149,INDEX('MC MAP'!$DA$5:$EV$30,3,0))</f>
        <v>0</v>
      </c>
      <c r="E149" s="2">
        <f>SUMPRODUCT($CA149:$DV149,INDEX('MC MAP'!$DA$5:$EV$30,4,0))</f>
        <v>0</v>
      </c>
      <c r="F149" s="2">
        <f>SUMPRODUCT($CA149:$DV149,INDEX('MC MAP'!$DA$5:$EV$30,5,0))</f>
        <v>0</v>
      </c>
      <c r="G149" s="2">
        <f>SUMPRODUCT($CA149:$DV149,INDEX('MC MAP'!$DA$5:$EV$30,6,0))</f>
        <v>0</v>
      </c>
      <c r="H149" s="2">
        <f>SUMPRODUCT($CA149:$DV149,INDEX('MC MAP'!$DA$5:$EV$30,7,0))</f>
        <v>0</v>
      </c>
      <c r="I149" s="2">
        <f>SUMPRODUCT($CA149:$DV149,INDEX('MC MAP'!$DA$5:$EV$30,8,0))</f>
        <v>0</v>
      </c>
      <c r="J149" s="2">
        <f>SUMPRODUCT($CA149:$DV149,INDEX('MC MAP'!$DA$5:$EV$30,9,0))</f>
        <v>0</v>
      </c>
      <c r="K149" s="2">
        <f>SUMPRODUCT($CA149:$DV149,INDEX('MC MAP'!$DA$5:$EV$30,10,0))</f>
        <v>0</v>
      </c>
      <c r="L149" s="2">
        <f>SUMPRODUCT($CA149:$DV149,INDEX('MC MAP'!$DA$5:$EV$30,11,0))</f>
        <v>0</v>
      </c>
      <c r="M149" s="2">
        <f>SUMPRODUCT($CA149:$DV149,INDEX('MC MAP'!$DA$5:$EV$30,12,0))</f>
        <v>0</v>
      </c>
      <c r="N149" s="2">
        <f>SUMPRODUCT($CA149:$DV149,INDEX('MC MAP'!$DA$5:$EV$30,13,0))</f>
        <v>0</v>
      </c>
      <c r="O149" s="2">
        <f>SUMPRODUCT($CA149:$DV149,INDEX('MC MAP'!$DA$5:$EV$30,14,0))</f>
        <v>0</v>
      </c>
      <c r="P149" s="2">
        <f>SUMPRODUCT($CA149:$DV149,INDEX('MC MAP'!$DA$5:$EV$30,15,0))</f>
        <v>0</v>
      </c>
      <c r="Q149" s="2">
        <f>SUMPRODUCT($CA149:$DV149,INDEX('MC MAP'!$DA$5:$EV$30,16,0))</f>
        <v>0</v>
      </c>
      <c r="R149" s="2">
        <f>SUMPRODUCT($CA149:$DV149,INDEX('MC MAP'!$DA$5:$EV$30,17,0))</f>
        <v>0</v>
      </c>
      <c r="S149" s="2">
        <f>SUMPRODUCT($CA149:$DV149,INDEX('MC MAP'!$DA$5:$EV$30,18,0))</f>
        <v>0</v>
      </c>
      <c r="T149" s="2">
        <f>SUMPRODUCT($CA149:$DV149,INDEX('MC MAP'!$DA$5:$EV$30,19,0))</f>
        <v>0</v>
      </c>
      <c r="U149" s="2">
        <f>SUMPRODUCT($CA149:$DV149,INDEX('MC MAP'!$DA$5:$EV$30,20,0))</f>
        <v>0</v>
      </c>
      <c r="V149" s="2">
        <f>SUMPRODUCT($CA149:$DV149,INDEX('MC MAP'!$DA$5:$EV$30,21,0))</f>
        <v>0</v>
      </c>
      <c r="W149" s="2">
        <f>SUMPRODUCT($CA149:$DV149,INDEX('MC MAP'!$DA$5:$EV$30,22,0))</f>
        <v>0</v>
      </c>
      <c r="X149" s="2">
        <f>SUMPRODUCT($CA149:$DV149,INDEX('MC MAP'!$DA$5:$EV$30,23,0))</f>
        <v>0</v>
      </c>
      <c r="Y149" s="2">
        <f>SUMPRODUCT($CA149:$DV149,INDEX('MC MAP'!$DA$5:$EV$30,24,0))</f>
        <v>0</v>
      </c>
      <c r="Z149" s="2">
        <f>SUMPRODUCT($CA149:$DV149,INDEX('MC MAP'!$DA$5:$EV$30,25,0))</f>
        <v>0</v>
      </c>
      <c r="AA149" s="2">
        <f>SUMPRODUCT($CA149:$DV149,INDEX('MC MAP'!$DA$5:$EV$30,26,0))</f>
        <v>0</v>
      </c>
      <c r="AB149" s="2">
        <f>SUM($B149:$AA149)</f>
        <v>0</v>
      </c>
      <c r="AC149" s="2">
        <f>SUM($CA149:$DV149)+$AW149</f>
        <v>0</v>
      </c>
      <c r="AW149" s="2">
        <f>IF($A149=0,0,COUNTIF(INDEX('LINE PLAN'!$B$36:$GS$61,0,ROW()-3),"THERMAL - NOT SPECIFIED"))</f>
        <v>0</v>
      </c>
      <c r="AX149" s="506" cm="1">
        <f t="array" ref="AX149">IF(OR($AB149=0,UPPER($BS149)&lt;&gt;"Y"),0,SUMPRODUCT(--($B149:$AA149&gt;$B$205:$AA$205)))</f>
        <v>0</v>
      </c>
      <c r="AY149" s="507">
        <f>$A149</f>
        <v>0</v>
      </c>
      <c r="AZ149" s="2">
        <f>$AB149</f>
        <v>0</v>
      </c>
      <c r="BA149" s="2">
        <f>'MC MASTER'!$C$29</f>
        <v>920</v>
      </c>
      <c r="BQ149" s="509">
        <f>$A149</f>
        <v>0</v>
      </c>
      <c r="BR149" s="15" t="str">
        <f>TEXT($A149,"ddd")</f>
        <v>Sat</v>
      </c>
      <c r="BS149" s="547" t="str">
        <f>IF($A149=0,"",IF(WEEKDAY($A149,2)=7,"N","Y"))</f>
        <v/>
      </c>
      <c r="BT149" s="15">
        <f>IF(UPPER($BS149)="Y",$AB149,0)</f>
        <v>0</v>
      </c>
      <c r="CA149" s="2">
        <f>COUNTIF(INDEX('LINE PLAN'!$B$36:$GS$61,0,ROW()-3),CA$3)</f>
        <v>0</v>
      </c>
      <c r="CB149" s="2">
        <f>COUNTIF(INDEX('LINE PLAN'!$B$36:$GS$61,0,ROW()-3),CB$3)</f>
        <v>0</v>
      </c>
      <c r="CC149" s="2">
        <f>COUNTIF(INDEX('LINE PLAN'!$B$36:$GS$61,0,ROW()-3),CC$3)</f>
        <v>0</v>
      </c>
      <c r="CD149" s="2">
        <f>COUNTIF(INDEX('LINE PLAN'!$B$36:$GS$61,0,ROW()-3),CD$3)</f>
        <v>0</v>
      </c>
      <c r="CE149" s="2">
        <f>COUNTIF(INDEX('LINE PLAN'!$B$36:$GS$61,0,ROW()-3),CE$3)</f>
        <v>0</v>
      </c>
      <c r="CF149" s="2">
        <f>COUNTIF(INDEX('LINE PLAN'!$B$36:$GS$61,0,ROW()-3),CF$3)</f>
        <v>0</v>
      </c>
      <c r="CG149" s="2">
        <f>COUNTIF(INDEX('LINE PLAN'!$B$36:$GS$61,0,ROW()-3),CG$3)</f>
        <v>0</v>
      </c>
      <c r="CH149" s="2">
        <f>COUNTIF(INDEX('LINE PLAN'!$B$36:$GS$61,0,ROW()-3),CH$3)</f>
        <v>0</v>
      </c>
      <c r="CI149" s="2">
        <f>COUNTIF(INDEX('LINE PLAN'!$B$36:$GS$61,0,ROW()-3),CI$3)</f>
        <v>0</v>
      </c>
      <c r="CJ149" s="2">
        <f>COUNTIF(INDEX('LINE PLAN'!$B$36:$GS$61,0,ROW()-3),CJ$3)</f>
        <v>0</v>
      </c>
      <c r="CK149" s="2">
        <f>COUNTIF(INDEX('LINE PLAN'!$B$36:$GS$61,0,ROW()-3),CK$3)</f>
        <v>0</v>
      </c>
      <c r="CL149" s="2">
        <f>COUNTIF(INDEX('LINE PLAN'!$B$36:$GS$61,0,ROW()-3),CL$3)</f>
        <v>0</v>
      </c>
      <c r="CM149" s="2">
        <f>COUNTIF(INDEX('LINE PLAN'!$B$36:$GS$61,0,ROW()-3),CM$3)</f>
        <v>0</v>
      </c>
      <c r="CN149" s="2">
        <f>COUNTIF(INDEX('LINE PLAN'!$B$36:$GS$61,0,ROW()-3),CN$3)</f>
        <v>0</v>
      </c>
      <c r="CO149" s="2">
        <f>COUNTIF(INDEX('LINE PLAN'!$B$36:$GS$61,0,ROW()-3),CO$3)</f>
        <v>0</v>
      </c>
      <c r="CP149" s="2">
        <f>COUNTIF(INDEX('LINE PLAN'!$B$36:$GS$61,0,ROW()-3),CP$3)</f>
        <v>0</v>
      </c>
      <c r="CQ149" s="2">
        <f>COUNTIF(INDEX('LINE PLAN'!$B$36:$GS$61,0,ROW()-3),CQ$3)</f>
        <v>0</v>
      </c>
      <c r="CR149" s="2">
        <f>COUNTIF(INDEX('LINE PLAN'!$B$36:$GS$61,0,ROW()-3),CR$3)</f>
        <v>0</v>
      </c>
      <c r="CS149" s="2">
        <f>COUNTIF(INDEX('LINE PLAN'!$B$36:$GS$61,0,ROW()-3),CS$3)</f>
        <v>0</v>
      </c>
      <c r="CT149" s="2">
        <f>COUNTIF(INDEX('LINE PLAN'!$B$36:$GS$61,0,ROW()-3),CT$3)</f>
        <v>0</v>
      </c>
      <c r="CU149" s="2">
        <f>COUNTIF(INDEX('LINE PLAN'!$B$36:$GS$61,0,ROW()-3),CU$3)</f>
        <v>0</v>
      </c>
      <c r="CV149" s="2">
        <f>COUNTIF(INDEX('LINE PLAN'!$B$36:$GS$61,0,ROW()-3),CV$3)</f>
        <v>0</v>
      </c>
      <c r="CW149" s="2">
        <f>COUNTIF(INDEX('LINE PLAN'!$B$36:$GS$61,0,ROW()-3),CW$3)</f>
        <v>0</v>
      </c>
      <c r="CX149" s="2">
        <f>COUNTIF(INDEX('LINE PLAN'!$B$36:$GS$61,0,ROW()-3),CX$3)</f>
        <v>0</v>
      </c>
      <c r="CY149" s="2">
        <f>COUNTIF(INDEX('LINE PLAN'!$B$36:$GS$61,0,ROW()-3),CY$3)</f>
        <v>0</v>
      </c>
      <c r="CZ149" s="2">
        <f>COUNTIF(INDEX('LINE PLAN'!$B$36:$GS$61,0,ROW()-3),CZ$3)</f>
        <v>0</v>
      </c>
      <c r="DA149" s="2">
        <f>COUNTIF(INDEX('LINE PLAN'!$B$36:$GS$61,0,ROW()-3),DA$3)</f>
        <v>0</v>
      </c>
      <c r="DB149" s="2">
        <f>COUNTIF(INDEX('LINE PLAN'!$B$36:$GS$61,0,ROW()-3),DB$3)</f>
        <v>0</v>
      </c>
      <c r="DC149" s="2">
        <f>COUNTIF(INDEX('LINE PLAN'!$B$36:$GS$61,0,ROW()-3),DC$3)</f>
        <v>0</v>
      </c>
      <c r="DD149" s="2">
        <f>COUNTIF(INDEX('LINE PLAN'!$B$36:$GS$61,0,ROW()-3),DD$3)</f>
        <v>0</v>
      </c>
      <c r="DE149" s="2">
        <f>COUNTIF(INDEX('LINE PLAN'!$B$36:$GS$61,0,ROW()-3),DE$3)</f>
        <v>0</v>
      </c>
      <c r="DF149" s="2">
        <f>COUNTIF(INDEX('LINE PLAN'!$B$36:$GS$61,0,ROW()-3),DF$3)</f>
        <v>0</v>
      </c>
      <c r="DG149" s="2">
        <f>COUNTIF(INDEX('LINE PLAN'!$B$36:$GS$61,0,ROW()-3),DG$3)</f>
        <v>0</v>
      </c>
      <c r="DH149" s="2">
        <f>COUNTIF(INDEX('LINE PLAN'!$B$36:$GS$61,0,ROW()-3),DH$3)</f>
        <v>0</v>
      </c>
      <c r="DI149" s="2">
        <f>COUNTIF(INDEX('LINE PLAN'!$B$36:$GS$61,0,ROW()-3),DI$3)</f>
        <v>0</v>
      </c>
      <c r="DJ149" s="2">
        <f>COUNTIF(INDEX('LINE PLAN'!$B$36:$GS$61,0,ROW()-3),DJ$3)</f>
        <v>0</v>
      </c>
      <c r="DK149" s="2">
        <f>COUNTIF(INDEX('LINE PLAN'!$B$36:$GS$61,0,ROW()-3),DK$3)</f>
        <v>0</v>
      </c>
      <c r="DL149" s="2">
        <f>COUNTIF(INDEX('LINE PLAN'!$B$36:$GS$61,0,ROW()-3),DL$3)</f>
        <v>0</v>
      </c>
      <c r="DM149" s="2">
        <f>COUNTIF(INDEX('LINE PLAN'!$B$36:$GS$61,0,ROW()-3),DM$3)</f>
        <v>0</v>
      </c>
      <c r="DN149" s="2">
        <f>COUNTIF(INDEX('LINE PLAN'!$B$36:$GS$61,0,ROW()-3),DN$3)</f>
        <v>0</v>
      </c>
      <c r="DO149" s="2">
        <f>COUNTIF(INDEX('LINE PLAN'!$B$36:$GS$61,0,ROW()-3),DO$3)</f>
        <v>0</v>
      </c>
      <c r="DP149" s="2">
        <f>COUNTIF(INDEX('LINE PLAN'!$B$36:$GS$61,0,ROW()-3),DP$3)</f>
        <v>0</v>
      </c>
      <c r="DQ149" s="2">
        <f>COUNTIF(INDEX('LINE PLAN'!$B$36:$GS$61,0,ROW()-3),DQ$3)</f>
        <v>0</v>
      </c>
      <c r="DR149" s="2">
        <f>COUNTIF(INDEX('LINE PLAN'!$B$36:$GS$61,0,ROW()-3),DR$3)</f>
        <v>0</v>
      </c>
      <c r="DS149" s="2">
        <f>COUNTIF(INDEX('LINE PLAN'!$B$36:$GS$61,0,ROW()-3),DS$3)</f>
        <v>0</v>
      </c>
      <c r="DT149" s="2">
        <f>COUNTIF(INDEX('LINE PLAN'!$B$36:$GS$61,0,ROW()-3),DT$3)</f>
        <v>0</v>
      </c>
      <c r="DU149" s="2">
        <f>COUNTIF(INDEX('LINE PLAN'!$B$36:$GS$61,0,ROW()-3),DU$3)</f>
        <v>0</v>
      </c>
      <c r="DV149" s="2">
        <f>COUNTIF(INDEX('LINE PLAN'!$B$36:$GS$61,0,ROW()-3),DV$3)</f>
        <v>0</v>
      </c>
    </row>
    <row r="150" spans="1:126">
      <c r="A150" s="505" cm="1">
        <f t="array" ref="A150">INDEX('LINE PLAN'!$B$35:$GS$35,ROW()-3)</f>
        <v>0</v>
      </c>
      <c r="B150" s="2">
        <f>SUMPRODUCT($CA150:$DV150,INDEX('MC MAP'!$DA$5:$EV$30,1,0))</f>
        <v>0</v>
      </c>
      <c r="C150" s="2">
        <f>SUMPRODUCT($CA150:$DV150,INDEX('MC MAP'!$DA$5:$EV$30,2,0))</f>
        <v>0</v>
      </c>
      <c r="D150" s="2">
        <f>SUMPRODUCT($CA150:$DV150,INDEX('MC MAP'!$DA$5:$EV$30,3,0))</f>
        <v>0</v>
      </c>
      <c r="E150" s="2">
        <f>SUMPRODUCT($CA150:$DV150,INDEX('MC MAP'!$DA$5:$EV$30,4,0))</f>
        <v>0</v>
      </c>
      <c r="F150" s="2">
        <f>SUMPRODUCT($CA150:$DV150,INDEX('MC MAP'!$DA$5:$EV$30,5,0))</f>
        <v>0</v>
      </c>
      <c r="G150" s="2">
        <f>SUMPRODUCT($CA150:$DV150,INDEX('MC MAP'!$DA$5:$EV$30,6,0))</f>
        <v>0</v>
      </c>
      <c r="H150" s="2">
        <f>SUMPRODUCT($CA150:$DV150,INDEX('MC MAP'!$DA$5:$EV$30,7,0))</f>
        <v>0</v>
      </c>
      <c r="I150" s="2">
        <f>SUMPRODUCT($CA150:$DV150,INDEX('MC MAP'!$DA$5:$EV$30,8,0))</f>
        <v>0</v>
      </c>
      <c r="J150" s="2">
        <f>SUMPRODUCT($CA150:$DV150,INDEX('MC MAP'!$DA$5:$EV$30,9,0))</f>
        <v>0</v>
      </c>
      <c r="K150" s="2">
        <f>SUMPRODUCT($CA150:$DV150,INDEX('MC MAP'!$DA$5:$EV$30,10,0))</f>
        <v>0</v>
      </c>
      <c r="L150" s="2">
        <f>SUMPRODUCT($CA150:$DV150,INDEX('MC MAP'!$DA$5:$EV$30,11,0))</f>
        <v>0</v>
      </c>
      <c r="M150" s="2">
        <f>SUMPRODUCT($CA150:$DV150,INDEX('MC MAP'!$DA$5:$EV$30,12,0))</f>
        <v>0</v>
      </c>
      <c r="N150" s="2">
        <f>SUMPRODUCT($CA150:$DV150,INDEX('MC MAP'!$DA$5:$EV$30,13,0))</f>
        <v>0</v>
      </c>
      <c r="O150" s="2">
        <f>SUMPRODUCT($CA150:$DV150,INDEX('MC MAP'!$DA$5:$EV$30,14,0))</f>
        <v>0</v>
      </c>
      <c r="P150" s="2">
        <f>SUMPRODUCT($CA150:$DV150,INDEX('MC MAP'!$DA$5:$EV$30,15,0))</f>
        <v>0</v>
      </c>
      <c r="Q150" s="2">
        <f>SUMPRODUCT($CA150:$DV150,INDEX('MC MAP'!$DA$5:$EV$30,16,0))</f>
        <v>0</v>
      </c>
      <c r="R150" s="2">
        <f>SUMPRODUCT($CA150:$DV150,INDEX('MC MAP'!$DA$5:$EV$30,17,0))</f>
        <v>0</v>
      </c>
      <c r="S150" s="2">
        <f>SUMPRODUCT($CA150:$DV150,INDEX('MC MAP'!$DA$5:$EV$30,18,0))</f>
        <v>0</v>
      </c>
      <c r="T150" s="2">
        <f>SUMPRODUCT($CA150:$DV150,INDEX('MC MAP'!$DA$5:$EV$30,19,0))</f>
        <v>0</v>
      </c>
      <c r="U150" s="2">
        <f>SUMPRODUCT($CA150:$DV150,INDEX('MC MAP'!$DA$5:$EV$30,20,0))</f>
        <v>0</v>
      </c>
      <c r="V150" s="2">
        <f>SUMPRODUCT($CA150:$DV150,INDEX('MC MAP'!$DA$5:$EV$30,21,0))</f>
        <v>0</v>
      </c>
      <c r="W150" s="2">
        <f>SUMPRODUCT($CA150:$DV150,INDEX('MC MAP'!$DA$5:$EV$30,22,0))</f>
        <v>0</v>
      </c>
      <c r="X150" s="2">
        <f>SUMPRODUCT($CA150:$DV150,INDEX('MC MAP'!$DA$5:$EV$30,23,0))</f>
        <v>0</v>
      </c>
      <c r="Y150" s="2">
        <f>SUMPRODUCT($CA150:$DV150,INDEX('MC MAP'!$DA$5:$EV$30,24,0))</f>
        <v>0</v>
      </c>
      <c r="Z150" s="2">
        <f>SUMPRODUCT($CA150:$DV150,INDEX('MC MAP'!$DA$5:$EV$30,25,0))</f>
        <v>0</v>
      </c>
      <c r="AA150" s="2">
        <f>SUMPRODUCT($CA150:$DV150,INDEX('MC MAP'!$DA$5:$EV$30,26,0))</f>
        <v>0</v>
      </c>
      <c r="AB150" s="2">
        <f>SUM($B150:$AA150)</f>
        <v>0</v>
      </c>
      <c r="AC150" s="2">
        <f>SUM($CA150:$DV150)+$AW150</f>
        <v>0</v>
      </c>
      <c r="AW150" s="2">
        <f>IF($A150=0,0,COUNTIF(INDEX('LINE PLAN'!$B$36:$GS$61,0,ROW()-3),"THERMAL - NOT SPECIFIED"))</f>
        <v>0</v>
      </c>
      <c r="AX150" s="506" cm="1">
        <f t="array" ref="AX150">IF(OR($AB150=0,UPPER($BS150)&lt;&gt;"Y"),0,SUMPRODUCT(--($B150:$AA150&gt;$B$205:$AA$205)))</f>
        <v>0</v>
      </c>
      <c r="AY150" s="507">
        <f>$A150</f>
        <v>0</v>
      </c>
      <c r="AZ150" s="2">
        <f>$AB150</f>
        <v>0</v>
      </c>
      <c r="BA150" s="2">
        <f>'MC MASTER'!$C$29</f>
        <v>920</v>
      </c>
      <c r="BQ150" s="509">
        <f>$A150</f>
        <v>0</v>
      </c>
      <c r="BR150" s="15" t="str">
        <f>TEXT($A150,"ddd")</f>
        <v>Sat</v>
      </c>
      <c r="BS150" s="547" t="str">
        <f>IF($A150=0,"",IF(WEEKDAY($A150,2)=7,"N","Y"))</f>
        <v/>
      </c>
      <c r="BT150" s="15">
        <f>IF(UPPER($BS150)="Y",$AB150,0)</f>
        <v>0</v>
      </c>
      <c r="CA150" s="2">
        <f>COUNTIF(INDEX('LINE PLAN'!$B$36:$GS$61,0,ROW()-3),CA$3)</f>
        <v>0</v>
      </c>
      <c r="CB150" s="2">
        <f>COUNTIF(INDEX('LINE PLAN'!$B$36:$GS$61,0,ROW()-3),CB$3)</f>
        <v>0</v>
      </c>
      <c r="CC150" s="2">
        <f>COUNTIF(INDEX('LINE PLAN'!$B$36:$GS$61,0,ROW()-3),CC$3)</f>
        <v>0</v>
      </c>
      <c r="CD150" s="2">
        <f>COUNTIF(INDEX('LINE PLAN'!$B$36:$GS$61,0,ROW()-3),CD$3)</f>
        <v>0</v>
      </c>
      <c r="CE150" s="2">
        <f>COUNTIF(INDEX('LINE PLAN'!$B$36:$GS$61,0,ROW()-3),CE$3)</f>
        <v>0</v>
      </c>
      <c r="CF150" s="2">
        <f>COUNTIF(INDEX('LINE PLAN'!$B$36:$GS$61,0,ROW()-3),CF$3)</f>
        <v>0</v>
      </c>
      <c r="CG150" s="2">
        <f>COUNTIF(INDEX('LINE PLAN'!$B$36:$GS$61,0,ROW()-3),CG$3)</f>
        <v>0</v>
      </c>
      <c r="CH150" s="2">
        <f>COUNTIF(INDEX('LINE PLAN'!$B$36:$GS$61,0,ROW()-3),CH$3)</f>
        <v>0</v>
      </c>
      <c r="CI150" s="2">
        <f>COUNTIF(INDEX('LINE PLAN'!$B$36:$GS$61,0,ROW()-3),CI$3)</f>
        <v>0</v>
      </c>
      <c r="CJ150" s="2">
        <f>COUNTIF(INDEX('LINE PLAN'!$B$36:$GS$61,0,ROW()-3),CJ$3)</f>
        <v>0</v>
      </c>
      <c r="CK150" s="2">
        <f>COUNTIF(INDEX('LINE PLAN'!$B$36:$GS$61,0,ROW()-3),CK$3)</f>
        <v>0</v>
      </c>
      <c r="CL150" s="2">
        <f>COUNTIF(INDEX('LINE PLAN'!$B$36:$GS$61,0,ROW()-3),CL$3)</f>
        <v>0</v>
      </c>
      <c r="CM150" s="2">
        <f>COUNTIF(INDEX('LINE PLAN'!$B$36:$GS$61,0,ROW()-3),CM$3)</f>
        <v>0</v>
      </c>
      <c r="CN150" s="2">
        <f>COUNTIF(INDEX('LINE PLAN'!$B$36:$GS$61,0,ROW()-3),CN$3)</f>
        <v>0</v>
      </c>
      <c r="CO150" s="2">
        <f>COUNTIF(INDEX('LINE PLAN'!$B$36:$GS$61,0,ROW()-3),CO$3)</f>
        <v>0</v>
      </c>
      <c r="CP150" s="2">
        <f>COUNTIF(INDEX('LINE PLAN'!$B$36:$GS$61,0,ROW()-3),CP$3)</f>
        <v>0</v>
      </c>
      <c r="CQ150" s="2">
        <f>COUNTIF(INDEX('LINE PLAN'!$B$36:$GS$61,0,ROW()-3),CQ$3)</f>
        <v>0</v>
      </c>
      <c r="CR150" s="2">
        <f>COUNTIF(INDEX('LINE PLAN'!$B$36:$GS$61,0,ROW()-3),CR$3)</f>
        <v>0</v>
      </c>
      <c r="CS150" s="2">
        <f>COUNTIF(INDEX('LINE PLAN'!$B$36:$GS$61,0,ROW()-3),CS$3)</f>
        <v>0</v>
      </c>
      <c r="CT150" s="2">
        <f>COUNTIF(INDEX('LINE PLAN'!$B$36:$GS$61,0,ROW()-3),CT$3)</f>
        <v>0</v>
      </c>
      <c r="CU150" s="2">
        <f>COUNTIF(INDEX('LINE PLAN'!$B$36:$GS$61,0,ROW()-3),CU$3)</f>
        <v>0</v>
      </c>
      <c r="CV150" s="2">
        <f>COUNTIF(INDEX('LINE PLAN'!$B$36:$GS$61,0,ROW()-3),CV$3)</f>
        <v>0</v>
      </c>
      <c r="CW150" s="2">
        <f>COUNTIF(INDEX('LINE PLAN'!$B$36:$GS$61,0,ROW()-3),CW$3)</f>
        <v>0</v>
      </c>
      <c r="CX150" s="2">
        <f>COUNTIF(INDEX('LINE PLAN'!$B$36:$GS$61,0,ROW()-3),CX$3)</f>
        <v>0</v>
      </c>
      <c r="CY150" s="2">
        <f>COUNTIF(INDEX('LINE PLAN'!$B$36:$GS$61,0,ROW()-3),CY$3)</f>
        <v>0</v>
      </c>
      <c r="CZ150" s="2">
        <f>COUNTIF(INDEX('LINE PLAN'!$B$36:$GS$61,0,ROW()-3),CZ$3)</f>
        <v>0</v>
      </c>
      <c r="DA150" s="2">
        <f>COUNTIF(INDEX('LINE PLAN'!$B$36:$GS$61,0,ROW()-3),DA$3)</f>
        <v>0</v>
      </c>
      <c r="DB150" s="2">
        <f>COUNTIF(INDEX('LINE PLAN'!$B$36:$GS$61,0,ROW()-3),DB$3)</f>
        <v>0</v>
      </c>
      <c r="DC150" s="2">
        <f>COUNTIF(INDEX('LINE PLAN'!$B$36:$GS$61,0,ROW()-3),DC$3)</f>
        <v>0</v>
      </c>
      <c r="DD150" s="2">
        <f>COUNTIF(INDEX('LINE PLAN'!$B$36:$GS$61,0,ROW()-3),DD$3)</f>
        <v>0</v>
      </c>
      <c r="DE150" s="2">
        <f>COUNTIF(INDEX('LINE PLAN'!$B$36:$GS$61,0,ROW()-3),DE$3)</f>
        <v>0</v>
      </c>
      <c r="DF150" s="2">
        <f>COUNTIF(INDEX('LINE PLAN'!$B$36:$GS$61,0,ROW()-3),DF$3)</f>
        <v>0</v>
      </c>
      <c r="DG150" s="2">
        <f>COUNTIF(INDEX('LINE PLAN'!$B$36:$GS$61,0,ROW()-3),DG$3)</f>
        <v>0</v>
      </c>
      <c r="DH150" s="2">
        <f>COUNTIF(INDEX('LINE PLAN'!$B$36:$GS$61,0,ROW()-3),DH$3)</f>
        <v>0</v>
      </c>
      <c r="DI150" s="2">
        <f>COUNTIF(INDEX('LINE PLAN'!$B$36:$GS$61,0,ROW()-3),DI$3)</f>
        <v>0</v>
      </c>
      <c r="DJ150" s="2">
        <f>COUNTIF(INDEX('LINE PLAN'!$B$36:$GS$61,0,ROW()-3),DJ$3)</f>
        <v>0</v>
      </c>
      <c r="DK150" s="2">
        <f>COUNTIF(INDEX('LINE PLAN'!$B$36:$GS$61,0,ROW()-3),DK$3)</f>
        <v>0</v>
      </c>
      <c r="DL150" s="2">
        <f>COUNTIF(INDEX('LINE PLAN'!$B$36:$GS$61,0,ROW()-3),DL$3)</f>
        <v>0</v>
      </c>
      <c r="DM150" s="2">
        <f>COUNTIF(INDEX('LINE PLAN'!$B$36:$GS$61,0,ROW()-3),DM$3)</f>
        <v>0</v>
      </c>
      <c r="DN150" s="2">
        <f>COUNTIF(INDEX('LINE PLAN'!$B$36:$GS$61,0,ROW()-3),DN$3)</f>
        <v>0</v>
      </c>
      <c r="DO150" s="2">
        <f>COUNTIF(INDEX('LINE PLAN'!$B$36:$GS$61,0,ROW()-3),DO$3)</f>
        <v>0</v>
      </c>
      <c r="DP150" s="2">
        <f>COUNTIF(INDEX('LINE PLAN'!$B$36:$GS$61,0,ROW()-3),DP$3)</f>
        <v>0</v>
      </c>
      <c r="DQ150" s="2">
        <f>COUNTIF(INDEX('LINE PLAN'!$B$36:$GS$61,0,ROW()-3),DQ$3)</f>
        <v>0</v>
      </c>
      <c r="DR150" s="2">
        <f>COUNTIF(INDEX('LINE PLAN'!$B$36:$GS$61,0,ROW()-3),DR$3)</f>
        <v>0</v>
      </c>
      <c r="DS150" s="2">
        <f>COUNTIF(INDEX('LINE PLAN'!$B$36:$GS$61,0,ROW()-3),DS$3)</f>
        <v>0</v>
      </c>
      <c r="DT150" s="2">
        <f>COUNTIF(INDEX('LINE PLAN'!$B$36:$GS$61,0,ROW()-3),DT$3)</f>
        <v>0</v>
      </c>
      <c r="DU150" s="2">
        <f>COUNTIF(INDEX('LINE PLAN'!$B$36:$GS$61,0,ROW()-3),DU$3)</f>
        <v>0</v>
      </c>
      <c r="DV150" s="2">
        <f>COUNTIF(INDEX('LINE PLAN'!$B$36:$GS$61,0,ROW()-3),DV$3)</f>
        <v>0</v>
      </c>
    </row>
    <row r="151" spans="1:126">
      <c r="A151" s="505" cm="1">
        <f t="array" ref="A151">INDEX('LINE PLAN'!$B$35:$GS$35,ROW()-3)</f>
        <v>0</v>
      </c>
      <c r="B151" s="2">
        <f>SUMPRODUCT($CA151:$DV151,INDEX('MC MAP'!$DA$5:$EV$30,1,0))</f>
        <v>0</v>
      </c>
      <c r="C151" s="2">
        <f>SUMPRODUCT($CA151:$DV151,INDEX('MC MAP'!$DA$5:$EV$30,2,0))</f>
        <v>0</v>
      </c>
      <c r="D151" s="2">
        <f>SUMPRODUCT($CA151:$DV151,INDEX('MC MAP'!$DA$5:$EV$30,3,0))</f>
        <v>0</v>
      </c>
      <c r="E151" s="2">
        <f>SUMPRODUCT($CA151:$DV151,INDEX('MC MAP'!$DA$5:$EV$30,4,0))</f>
        <v>0</v>
      </c>
      <c r="F151" s="2">
        <f>SUMPRODUCT($CA151:$DV151,INDEX('MC MAP'!$DA$5:$EV$30,5,0))</f>
        <v>0</v>
      </c>
      <c r="G151" s="2">
        <f>SUMPRODUCT($CA151:$DV151,INDEX('MC MAP'!$DA$5:$EV$30,6,0))</f>
        <v>0</v>
      </c>
      <c r="H151" s="2">
        <f>SUMPRODUCT($CA151:$DV151,INDEX('MC MAP'!$DA$5:$EV$30,7,0))</f>
        <v>0</v>
      </c>
      <c r="I151" s="2">
        <f>SUMPRODUCT($CA151:$DV151,INDEX('MC MAP'!$DA$5:$EV$30,8,0))</f>
        <v>0</v>
      </c>
      <c r="J151" s="2">
        <f>SUMPRODUCT($CA151:$DV151,INDEX('MC MAP'!$DA$5:$EV$30,9,0))</f>
        <v>0</v>
      </c>
      <c r="K151" s="2">
        <f>SUMPRODUCT($CA151:$DV151,INDEX('MC MAP'!$DA$5:$EV$30,10,0))</f>
        <v>0</v>
      </c>
      <c r="L151" s="2">
        <f>SUMPRODUCT($CA151:$DV151,INDEX('MC MAP'!$DA$5:$EV$30,11,0))</f>
        <v>0</v>
      </c>
      <c r="M151" s="2">
        <f>SUMPRODUCT($CA151:$DV151,INDEX('MC MAP'!$DA$5:$EV$30,12,0))</f>
        <v>0</v>
      </c>
      <c r="N151" s="2">
        <f>SUMPRODUCT($CA151:$DV151,INDEX('MC MAP'!$DA$5:$EV$30,13,0))</f>
        <v>0</v>
      </c>
      <c r="O151" s="2">
        <f>SUMPRODUCT($CA151:$DV151,INDEX('MC MAP'!$DA$5:$EV$30,14,0))</f>
        <v>0</v>
      </c>
      <c r="P151" s="2">
        <f>SUMPRODUCT($CA151:$DV151,INDEX('MC MAP'!$DA$5:$EV$30,15,0))</f>
        <v>0</v>
      </c>
      <c r="Q151" s="2">
        <f>SUMPRODUCT($CA151:$DV151,INDEX('MC MAP'!$DA$5:$EV$30,16,0))</f>
        <v>0</v>
      </c>
      <c r="R151" s="2">
        <f>SUMPRODUCT($CA151:$DV151,INDEX('MC MAP'!$DA$5:$EV$30,17,0))</f>
        <v>0</v>
      </c>
      <c r="S151" s="2">
        <f>SUMPRODUCT($CA151:$DV151,INDEX('MC MAP'!$DA$5:$EV$30,18,0))</f>
        <v>0</v>
      </c>
      <c r="T151" s="2">
        <f>SUMPRODUCT($CA151:$DV151,INDEX('MC MAP'!$DA$5:$EV$30,19,0))</f>
        <v>0</v>
      </c>
      <c r="U151" s="2">
        <f>SUMPRODUCT($CA151:$DV151,INDEX('MC MAP'!$DA$5:$EV$30,20,0))</f>
        <v>0</v>
      </c>
      <c r="V151" s="2">
        <f>SUMPRODUCT($CA151:$DV151,INDEX('MC MAP'!$DA$5:$EV$30,21,0))</f>
        <v>0</v>
      </c>
      <c r="W151" s="2">
        <f>SUMPRODUCT($CA151:$DV151,INDEX('MC MAP'!$DA$5:$EV$30,22,0))</f>
        <v>0</v>
      </c>
      <c r="X151" s="2">
        <f>SUMPRODUCT($CA151:$DV151,INDEX('MC MAP'!$DA$5:$EV$30,23,0))</f>
        <v>0</v>
      </c>
      <c r="Y151" s="2">
        <f>SUMPRODUCT($CA151:$DV151,INDEX('MC MAP'!$DA$5:$EV$30,24,0))</f>
        <v>0</v>
      </c>
      <c r="Z151" s="2">
        <f>SUMPRODUCT($CA151:$DV151,INDEX('MC MAP'!$DA$5:$EV$30,25,0))</f>
        <v>0</v>
      </c>
      <c r="AA151" s="2">
        <f>SUMPRODUCT($CA151:$DV151,INDEX('MC MAP'!$DA$5:$EV$30,26,0))</f>
        <v>0</v>
      </c>
      <c r="AB151" s="2">
        <f>SUM($B151:$AA151)</f>
        <v>0</v>
      </c>
      <c r="AC151" s="2">
        <f>SUM($CA151:$DV151)+$AW151</f>
        <v>0</v>
      </c>
      <c r="AW151" s="2">
        <f>IF($A151=0,0,COUNTIF(INDEX('LINE PLAN'!$B$36:$GS$61,0,ROW()-3),"THERMAL - NOT SPECIFIED"))</f>
        <v>0</v>
      </c>
      <c r="AX151" s="506" cm="1">
        <f t="array" ref="AX151">IF(OR($AB151=0,UPPER($BS151)&lt;&gt;"Y"),0,SUMPRODUCT(--($B151:$AA151&gt;$B$205:$AA$205)))</f>
        <v>0</v>
      </c>
      <c r="AY151" s="507">
        <f>$A151</f>
        <v>0</v>
      </c>
      <c r="AZ151" s="2">
        <f>$AB151</f>
        <v>0</v>
      </c>
      <c r="BA151" s="2">
        <f>'MC MASTER'!$C$29</f>
        <v>920</v>
      </c>
      <c r="BQ151" s="509">
        <f>$A151</f>
        <v>0</v>
      </c>
      <c r="BR151" s="15" t="str">
        <f>TEXT($A151,"ddd")</f>
        <v>Sat</v>
      </c>
      <c r="BS151" s="547" t="str">
        <f>IF($A151=0,"",IF(WEEKDAY($A151,2)=7,"N","Y"))</f>
        <v/>
      </c>
      <c r="BT151" s="15">
        <f>IF(UPPER($BS151)="Y",$AB151,0)</f>
        <v>0</v>
      </c>
      <c r="CA151" s="2">
        <f>COUNTIF(INDEX('LINE PLAN'!$B$36:$GS$61,0,ROW()-3),CA$3)</f>
        <v>0</v>
      </c>
      <c r="CB151" s="2">
        <f>COUNTIF(INDEX('LINE PLAN'!$B$36:$GS$61,0,ROW()-3),CB$3)</f>
        <v>0</v>
      </c>
      <c r="CC151" s="2">
        <f>COUNTIF(INDEX('LINE PLAN'!$B$36:$GS$61,0,ROW()-3),CC$3)</f>
        <v>0</v>
      </c>
      <c r="CD151" s="2">
        <f>COUNTIF(INDEX('LINE PLAN'!$B$36:$GS$61,0,ROW()-3),CD$3)</f>
        <v>0</v>
      </c>
      <c r="CE151" s="2">
        <f>COUNTIF(INDEX('LINE PLAN'!$B$36:$GS$61,0,ROW()-3),CE$3)</f>
        <v>0</v>
      </c>
      <c r="CF151" s="2">
        <f>COUNTIF(INDEX('LINE PLAN'!$B$36:$GS$61,0,ROW()-3),CF$3)</f>
        <v>0</v>
      </c>
      <c r="CG151" s="2">
        <f>COUNTIF(INDEX('LINE PLAN'!$B$36:$GS$61,0,ROW()-3),CG$3)</f>
        <v>0</v>
      </c>
      <c r="CH151" s="2">
        <f>COUNTIF(INDEX('LINE PLAN'!$B$36:$GS$61,0,ROW()-3),CH$3)</f>
        <v>0</v>
      </c>
      <c r="CI151" s="2">
        <f>COUNTIF(INDEX('LINE PLAN'!$B$36:$GS$61,0,ROW()-3),CI$3)</f>
        <v>0</v>
      </c>
      <c r="CJ151" s="2">
        <f>COUNTIF(INDEX('LINE PLAN'!$B$36:$GS$61,0,ROW()-3),CJ$3)</f>
        <v>0</v>
      </c>
      <c r="CK151" s="2">
        <f>COUNTIF(INDEX('LINE PLAN'!$B$36:$GS$61,0,ROW()-3),CK$3)</f>
        <v>0</v>
      </c>
      <c r="CL151" s="2">
        <f>COUNTIF(INDEX('LINE PLAN'!$B$36:$GS$61,0,ROW()-3),CL$3)</f>
        <v>0</v>
      </c>
      <c r="CM151" s="2">
        <f>COUNTIF(INDEX('LINE PLAN'!$B$36:$GS$61,0,ROW()-3),CM$3)</f>
        <v>0</v>
      </c>
      <c r="CN151" s="2">
        <f>COUNTIF(INDEX('LINE PLAN'!$B$36:$GS$61,0,ROW()-3),CN$3)</f>
        <v>0</v>
      </c>
      <c r="CO151" s="2">
        <f>COUNTIF(INDEX('LINE PLAN'!$B$36:$GS$61,0,ROW()-3),CO$3)</f>
        <v>0</v>
      </c>
      <c r="CP151" s="2">
        <f>COUNTIF(INDEX('LINE PLAN'!$B$36:$GS$61,0,ROW()-3),CP$3)</f>
        <v>0</v>
      </c>
      <c r="CQ151" s="2">
        <f>COUNTIF(INDEX('LINE PLAN'!$B$36:$GS$61,0,ROW()-3),CQ$3)</f>
        <v>0</v>
      </c>
      <c r="CR151" s="2">
        <f>COUNTIF(INDEX('LINE PLAN'!$B$36:$GS$61,0,ROW()-3),CR$3)</f>
        <v>0</v>
      </c>
      <c r="CS151" s="2">
        <f>COUNTIF(INDEX('LINE PLAN'!$B$36:$GS$61,0,ROW()-3),CS$3)</f>
        <v>0</v>
      </c>
      <c r="CT151" s="2">
        <f>COUNTIF(INDEX('LINE PLAN'!$B$36:$GS$61,0,ROW()-3),CT$3)</f>
        <v>0</v>
      </c>
      <c r="CU151" s="2">
        <f>COUNTIF(INDEX('LINE PLAN'!$B$36:$GS$61,0,ROW()-3),CU$3)</f>
        <v>0</v>
      </c>
      <c r="CV151" s="2">
        <f>COUNTIF(INDEX('LINE PLAN'!$B$36:$GS$61,0,ROW()-3),CV$3)</f>
        <v>0</v>
      </c>
      <c r="CW151" s="2">
        <f>COUNTIF(INDEX('LINE PLAN'!$B$36:$GS$61,0,ROW()-3),CW$3)</f>
        <v>0</v>
      </c>
      <c r="CX151" s="2">
        <f>COUNTIF(INDEX('LINE PLAN'!$B$36:$GS$61,0,ROW()-3),CX$3)</f>
        <v>0</v>
      </c>
      <c r="CY151" s="2">
        <f>COUNTIF(INDEX('LINE PLAN'!$B$36:$GS$61,0,ROW()-3),CY$3)</f>
        <v>0</v>
      </c>
      <c r="CZ151" s="2">
        <f>COUNTIF(INDEX('LINE PLAN'!$B$36:$GS$61,0,ROW()-3),CZ$3)</f>
        <v>0</v>
      </c>
      <c r="DA151" s="2">
        <f>COUNTIF(INDEX('LINE PLAN'!$B$36:$GS$61,0,ROW()-3),DA$3)</f>
        <v>0</v>
      </c>
      <c r="DB151" s="2">
        <f>COUNTIF(INDEX('LINE PLAN'!$B$36:$GS$61,0,ROW()-3),DB$3)</f>
        <v>0</v>
      </c>
      <c r="DC151" s="2">
        <f>COUNTIF(INDEX('LINE PLAN'!$B$36:$GS$61,0,ROW()-3),DC$3)</f>
        <v>0</v>
      </c>
      <c r="DD151" s="2">
        <f>COUNTIF(INDEX('LINE PLAN'!$B$36:$GS$61,0,ROW()-3),DD$3)</f>
        <v>0</v>
      </c>
      <c r="DE151" s="2">
        <f>COUNTIF(INDEX('LINE PLAN'!$B$36:$GS$61,0,ROW()-3),DE$3)</f>
        <v>0</v>
      </c>
      <c r="DF151" s="2">
        <f>COUNTIF(INDEX('LINE PLAN'!$B$36:$GS$61,0,ROW()-3),DF$3)</f>
        <v>0</v>
      </c>
      <c r="DG151" s="2">
        <f>COUNTIF(INDEX('LINE PLAN'!$B$36:$GS$61,0,ROW()-3),DG$3)</f>
        <v>0</v>
      </c>
      <c r="DH151" s="2">
        <f>COUNTIF(INDEX('LINE PLAN'!$B$36:$GS$61,0,ROW()-3),DH$3)</f>
        <v>0</v>
      </c>
      <c r="DI151" s="2">
        <f>COUNTIF(INDEX('LINE PLAN'!$B$36:$GS$61,0,ROW()-3),DI$3)</f>
        <v>0</v>
      </c>
      <c r="DJ151" s="2">
        <f>COUNTIF(INDEX('LINE PLAN'!$B$36:$GS$61,0,ROW()-3),DJ$3)</f>
        <v>0</v>
      </c>
      <c r="DK151" s="2">
        <f>COUNTIF(INDEX('LINE PLAN'!$B$36:$GS$61,0,ROW()-3),DK$3)</f>
        <v>0</v>
      </c>
      <c r="DL151" s="2">
        <f>COUNTIF(INDEX('LINE PLAN'!$B$36:$GS$61,0,ROW()-3),DL$3)</f>
        <v>0</v>
      </c>
      <c r="DM151" s="2">
        <f>COUNTIF(INDEX('LINE PLAN'!$B$36:$GS$61,0,ROW()-3),DM$3)</f>
        <v>0</v>
      </c>
      <c r="DN151" s="2">
        <f>COUNTIF(INDEX('LINE PLAN'!$B$36:$GS$61,0,ROW()-3),DN$3)</f>
        <v>0</v>
      </c>
      <c r="DO151" s="2">
        <f>COUNTIF(INDEX('LINE PLAN'!$B$36:$GS$61,0,ROW()-3),DO$3)</f>
        <v>0</v>
      </c>
      <c r="DP151" s="2">
        <f>COUNTIF(INDEX('LINE PLAN'!$B$36:$GS$61,0,ROW()-3),DP$3)</f>
        <v>0</v>
      </c>
      <c r="DQ151" s="2">
        <f>COUNTIF(INDEX('LINE PLAN'!$B$36:$GS$61,0,ROW()-3),DQ$3)</f>
        <v>0</v>
      </c>
      <c r="DR151" s="2">
        <f>COUNTIF(INDEX('LINE PLAN'!$B$36:$GS$61,0,ROW()-3),DR$3)</f>
        <v>0</v>
      </c>
      <c r="DS151" s="2">
        <f>COUNTIF(INDEX('LINE PLAN'!$B$36:$GS$61,0,ROW()-3),DS$3)</f>
        <v>0</v>
      </c>
      <c r="DT151" s="2">
        <f>COUNTIF(INDEX('LINE PLAN'!$B$36:$GS$61,0,ROW()-3),DT$3)</f>
        <v>0</v>
      </c>
      <c r="DU151" s="2">
        <f>COUNTIF(INDEX('LINE PLAN'!$B$36:$GS$61,0,ROW()-3),DU$3)</f>
        <v>0</v>
      </c>
      <c r="DV151" s="2">
        <f>COUNTIF(INDEX('LINE PLAN'!$B$36:$GS$61,0,ROW()-3),DV$3)</f>
        <v>0</v>
      </c>
    </row>
    <row r="152" spans="1:126">
      <c r="A152" s="505" cm="1">
        <f t="array" ref="A152">INDEX('LINE PLAN'!$B$35:$GS$35,ROW()-3)</f>
        <v>0</v>
      </c>
      <c r="B152" s="2">
        <f>SUMPRODUCT($CA152:$DV152,INDEX('MC MAP'!$DA$5:$EV$30,1,0))</f>
        <v>0</v>
      </c>
      <c r="C152" s="2">
        <f>SUMPRODUCT($CA152:$DV152,INDEX('MC MAP'!$DA$5:$EV$30,2,0))</f>
        <v>0</v>
      </c>
      <c r="D152" s="2">
        <f>SUMPRODUCT($CA152:$DV152,INDEX('MC MAP'!$DA$5:$EV$30,3,0))</f>
        <v>0</v>
      </c>
      <c r="E152" s="2">
        <f>SUMPRODUCT($CA152:$DV152,INDEX('MC MAP'!$DA$5:$EV$30,4,0))</f>
        <v>0</v>
      </c>
      <c r="F152" s="2">
        <f>SUMPRODUCT($CA152:$DV152,INDEX('MC MAP'!$DA$5:$EV$30,5,0))</f>
        <v>0</v>
      </c>
      <c r="G152" s="2">
        <f>SUMPRODUCT($CA152:$DV152,INDEX('MC MAP'!$DA$5:$EV$30,6,0))</f>
        <v>0</v>
      </c>
      <c r="H152" s="2">
        <f>SUMPRODUCT($CA152:$DV152,INDEX('MC MAP'!$DA$5:$EV$30,7,0))</f>
        <v>0</v>
      </c>
      <c r="I152" s="2">
        <f>SUMPRODUCT($CA152:$DV152,INDEX('MC MAP'!$DA$5:$EV$30,8,0))</f>
        <v>0</v>
      </c>
      <c r="J152" s="2">
        <f>SUMPRODUCT($CA152:$DV152,INDEX('MC MAP'!$DA$5:$EV$30,9,0))</f>
        <v>0</v>
      </c>
      <c r="K152" s="2">
        <f>SUMPRODUCT($CA152:$DV152,INDEX('MC MAP'!$DA$5:$EV$30,10,0))</f>
        <v>0</v>
      </c>
      <c r="L152" s="2">
        <f>SUMPRODUCT($CA152:$DV152,INDEX('MC MAP'!$DA$5:$EV$30,11,0))</f>
        <v>0</v>
      </c>
      <c r="M152" s="2">
        <f>SUMPRODUCT($CA152:$DV152,INDEX('MC MAP'!$DA$5:$EV$30,12,0))</f>
        <v>0</v>
      </c>
      <c r="N152" s="2">
        <f>SUMPRODUCT($CA152:$DV152,INDEX('MC MAP'!$DA$5:$EV$30,13,0))</f>
        <v>0</v>
      </c>
      <c r="O152" s="2">
        <f>SUMPRODUCT($CA152:$DV152,INDEX('MC MAP'!$DA$5:$EV$30,14,0))</f>
        <v>0</v>
      </c>
      <c r="P152" s="2">
        <f>SUMPRODUCT($CA152:$DV152,INDEX('MC MAP'!$DA$5:$EV$30,15,0))</f>
        <v>0</v>
      </c>
      <c r="Q152" s="2">
        <f>SUMPRODUCT($CA152:$DV152,INDEX('MC MAP'!$DA$5:$EV$30,16,0))</f>
        <v>0</v>
      </c>
      <c r="R152" s="2">
        <f>SUMPRODUCT($CA152:$DV152,INDEX('MC MAP'!$DA$5:$EV$30,17,0))</f>
        <v>0</v>
      </c>
      <c r="S152" s="2">
        <f>SUMPRODUCT($CA152:$DV152,INDEX('MC MAP'!$DA$5:$EV$30,18,0))</f>
        <v>0</v>
      </c>
      <c r="T152" s="2">
        <f>SUMPRODUCT($CA152:$DV152,INDEX('MC MAP'!$DA$5:$EV$30,19,0))</f>
        <v>0</v>
      </c>
      <c r="U152" s="2">
        <f>SUMPRODUCT($CA152:$DV152,INDEX('MC MAP'!$DA$5:$EV$30,20,0))</f>
        <v>0</v>
      </c>
      <c r="V152" s="2">
        <f>SUMPRODUCT($CA152:$DV152,INDEX('MC MAP'!$DA$5:$EV$30,21,0))</f>
        <v>0</v>
      </c>
      <c r="W152" s="2">
        <f>SUMPRODUCT($CA152:$DV152,INDEX('MC MAP'!$DA$5:$EV$30,22,0))</f>
        <v>0</v>
      </c>
      <c r="X152" s="2">
        <f>SUMPRODUCT($CA152:$DV152,INDEX('MC MAP'!$DA$5:$EV$30,23,0))</f>
        <v>0</v>
      </c>
      <c r="Y152" s="2">
        <f>SUMPRODUCT($CA152:$DV152,INDEX('MC MAP'!$DA$5:$EV$30,24,0))</f>
        <v>0</v>
      </c>
      <c r="Z152" s="2">
        <f>SUMPRODUCT($CA152:$DV152,INDEX('MC MAP'!$DA$5:$EV$30,25,0))</f>
        <v>0</v>
      </c>
      <c r="AA152" s="2">
        <f>SUMPRODUCT($CA152:$DV152,INDEX('MC MAP'!$DA$5:$EV$30,26,0))</f>
        <v>0</v>
      </c>
      <c r="AB152" s="2">
        <f>SUM($B152:$AA152)</f>
        <v>0</v>
      </c>
      <c r="AC152" s="2">
        <f>SUM($CA152:$DV152)+$AW152</f>
        <v>0</v>
      </c>
      <c r="AW152" s="2">
        <f>IF($A152=0,0,COUNTIF(INDEX('LINE PLAN'!$B$36:$GS$61,0,ROW()-3),"THERMAL - NOT SPECIFIED"))</f>
        <v>0</v>
      </c>
      <c r="AX152" s="506" cm="1">
        <f t="array" ref="AX152">IF(OR($AB152=0,UPPER($BS152)&lt;&gt;"Y"),0,SUMPRODUCT(--($B152:$AA152&gt;$B$205:$AA$205)))</f>
        <v>0</v>
      </c>
      <c r="AY152" s="507">
        <f>$A152</f>
        <v>0</v>
      </c>
      <c r="AZ152" s="2">
        <f>$AB152</f>
        <v>0</v>
      </c>
      <c r="BA152" s="2">
        <f>'MC MASTER'!$C$29</f>
        <v>920</v>
      </c>
      <c r="BQ152" s="509">
        <f>$A152</f>
        <v>0</v>
      </c>
      <c r="BR152" s="15" t="str">
        <f>TEXT($A152,"ddd")</f>
        <v>Sat</v>
      </c>
      <c r="BS152" s="547" t="str">
        <f>IF($A152=0,"",IF(WEEKDAY($A152,2)=7,"N","Y"))</f>
        <v/>
      </c>
      <c r="BT152" s="15">
        <f>IF(UPPER($BS152)="Y",$AB152,0)</f>
        <v>0</v>
      </c>
      <c r="CA152" s="2">
        <f>COUNTIF(INDEX('LINE PLAN'!$B$36:$GS$61,0,ROW()-3),CA$3)</f>
        <v>0</v>
      </c>
      <c r="CB152" s="2">
        <f>COUNTIF(INDEX('LINE PLAN'!$B$36:$GS$61,0,ROW()-3),CB$3)</f>
        <v>0</v>
      </c>
      <c r="CC152" s="2">
        <f>COUNTIF(INDEX('LINE PLAN'!$B$36:$GS$61,0,ROW()-3),CC$3)</f>
        <v>0</v>
      </c>
      <c r="CD152" s="2">
        <f>COUNTIF(INDEX('LINE PLAN'!$B$36:$GS$61,0,ROW()-3),CD$3)</f>
        <v>0</v>
      </c>
      <c r="CE152" s="2">
        <f>COUNTIF(INDEX('LINE PLAN'!$B$36:$GS$61,0,ROW()-3),CE$3)</f>
        <v>0</v>
      </c>
      <c r="CF152" s="2">
        <f>COUNTIF(INDEX('LINE PLAN'!$B$36:$GS$61,0,ROW()-3),CF$3)</f>
        <v>0</v>
      </c>
      <c r="CG152" s="2">
        <f>COUNTIF(INDEX('LINE PLAN'!$B$36:$GS$61,0,ROW()-3),CG$3)</f>
        <v>0</v>
      </c>
      <c r="CH152" s="2">
        <f>COUNTIF(INDEX('LINE PLAN'!$B$36:$GS$61,0,ROW()-3),CH$3)</f>
        <v>0</v>
      </c>
      <c r="CI152" s="2">
        <f>COUNTIF(INDEX('LINE PLAN'!$B$36:$GS$61,0,ROW()-3),CI$3)</f>
        <v>0</v>
      </c>
      <c r="CJ152" s="2">
        <f>COUNTIF(INDEX('LINE PLAN'!$B$36:$GS$61,0,ROW()-3),CJ$3)</f>
        <v>0</v>
      </c>
      <c r="CK152" s="2">
        <f>COUNTIF(INDEX('LINE PLAN'!$B$36:$GS$61,0,ROW()-3),CK$3)</f>
        <v>0</v>
      </c>
      <c r="CL152" s="2">
        <f>COUNTIF(INDEX('LINE PLAN'!$B$36:$GS$61,0,ROW()-3),CL$3)</f>
        <v>0</v>
      </c>
      <c r="CM152" s="2">
        <f>COUNTIF(INDEX('LINE PLAN'!$B$36:$GS$61,0,ROW()-3),CM$3)</f>
        <v>0</v>
      </c>
      <c r="CN152" s="2">
        <f>COUNTIF(INDEX('LINE PLAN'!$B$36:$GS$61,0,ROW()-3),CN$3)</f>
        <v>0</v>
      </c>
      <c r="CO152" s="2">
        <f>COUNTIF(INDEX('LINE PLAN'!$B$36:$GS$61,0,ROW()-3),CO$3)</f>
        <v>0</v>
      </c>
      <c r="CP152" s="2">
        <f>COUNTIF(INDEX('LINE PLAN'!$B$36:$GS$61,0,ROW()-3),CP$3)</f>
        <v>0</v>
      </c>
      <c r="CQ152" s="2">
        <f>COUNTIF(INDEX('LINE PLAN'!$B$36:$GS$61,0,ROW()-3),CQ$3)</f>
        <v>0</v>
      </c>
      <c r="CR152" s="2">
        <f>COUNTIF(INDEX('LINE PLAN'!$B$36:$GS$61,0,ROW()-3),CR$3)</f>
        <v>0</v>
      </c>
      <c r="CS152" s="2">
        <f>COUNTIF(INDEX('LINE PLAN'!$B$36:$GS$61,0,ROW()-3),CS$3)</f>
        <v>0</v>
      </c>
      <c r="CT152" s="2">
        <f>COUNTIF(INDEX('LINE PLAN'!$B$36:$GS$61,0,ROW()-3),CT$3)</f>
        <v>0</v>
      </c>
      <c r="CU152" s="2">
        <f>COUNTIF(INDEX('LINE PLAN'!$B$36:$GS$61,0,ROW()-3),CU$3)</f>
        <v>0</v>
      </c>
      <c r="CV152" s="2">
        <f>COUNTIF(INDEX('LINE PLAN'!$B$36:$GS$61,0,ROW()-3),CV$3)</f>
        <v>0</v>
      </c>
      <c r="CW152" s="2">
        <f>COUNTIF(INDEX('LINE PLAN'!$B$36:$GS$61,0,ROW()-3),CW$3)</f>
        <v>0</v>
      </c>
      <c r="CX152" s="2">
        <f>COUNTIF(INDEX('LINE PLAN'!$B$36:$GS$61,0,ROW()-3),CX$3)</f>
        <v>0</v>
      </c>
      <c r="CY152" s="2">
        <f>COUNTIF(INDEX('LINE PLAN'!$B$36:$GS$61,0,ROW()-3),CY$3)</f>
        <v>0</v>
      </c>
      <c r="CZ152" s="2">
        <f>COUNTIF(INDEX('LINE PLAN'!$B$36:$GS$61,0,ROW()-3),CZ$3)</f>
        <v>0</v>
      </c>
      <c r="DA152" s="2">
        <f>COUNTIF(INDEX('LINE PLAN'!$B$36:$GS$61,0,ROW()-3),DA$3)</f>
        <v>0</v>
      </c>
      <c r="DB152" s="2">
        <f>COUNTIF(INDEX('LINE PLAN'!$B$36:$GS$61,0,ROW()-3),DB$3)</f>
        <v>0</v>
      </c>
      <c r="DC152" s="2">
        <f>COUNTIF(INDEX('LINE PLAN'!$B$36:$GS$61,0,ROW()-3),DC$3)</f>
        <v>0</v>
      </c>
      <c r="DD152" s="2">
        <f>COUNTIF(INDEX('LINE PLAN'!$B$36:$GS$61,0,ROW()-3),DD$3)</f>
        <v>0</v>
      </c>
      <c r="DE152" s="2">
        <f>COUNTIF(INDEX('LINE PLAN'!$B$36:$GS$61,0,ROW()-3),DE$3)</f>
        <v>0</v>
      </c>
      <c r="DF152" s="2">
        <f>COUNTIF(INDEX('LINE PLAN'!$B$36:$GS$61,0,ROW()-3),DF$3)</f>
        <v>0</v>
      </c>
      <c r="DG152" s="2">
        <f>COUNTIF(INDEX('LINE PLAN'!$B$36:$GS$61,0,ROW()-3),DG$3)</f>
        <v>0</v>
      </c>
      <c r="DH152" s="2">
        <f>COUNTIF(INDEX('LINE PLAN'!$B$36:$GS$61,0,ROW()-3),DH$3)</f>
        <v>0</v>
      </c>
      <c r="DI152" s="2">
        <f>COUNTIF(INDEX('LINE PLAN'!$B$36:$GS$61,0,ROW()-3),DI$3)</f>
        <v>0</v>
      </c>
      <c r="DJ152" s="2">
        <f>COUNTIF(INDEX('LINE PLAN'!$B$36:$GS$61,0,ROW()-3),DJ$3)</f>
        <v>0</v>
      </c>
      <c r="DK152" s="2">
        <f>COUNTIF(INDEX('LINE PLAN'!$B$36:$GS$61,0,ROW()-3),DK$3)</f>
        <v>0</v>
      </c>
      <c r="DL152" s="2">
        <f>COUNTIF(INDEX('LINE PLAN'!$B$36:$GS$61,0,ROW()-3),DL$3)</f>
        <v>0</v>
      </c>
      <c r="DM152" s="2">
        <f>COUNTIF(INDEX('LINE PLAN'!$B$36:$GS$61,0,ROW()-3),DM$3)</f>
        <v>0</v>
      </c>
      <c r="DN152" s="2">
        <f>COUNTIF(INDEX('LINE PLAN'!$B$36:$GS$61,0,ROW()-3),DN$3)</f>
        <v>0</v>
      </c>
      <c r="DO152" s="2">
        <f>COUNTIF(INDEX('LINE PLAN'!$B$36:$GS$61,0,ROW()-3),DO$3)</f>
        <v>0</v>
      </c>
      <c r="DP152" s="2">
        <f>COUNTIF(INDEX('LINE PLAN'!$B$36:$GS$61,0,ROW()-3),DP$3)</f>
        <v>0</v>
      </c>
      <c r="DQ152" s="2">
        <f>COUNTIF(INDEX('LINE PLAN'!$B$36:$GS$61,0,ROW()-3),DQ$3)</f>
        <v>0</v>
      </c>
      <c r="DR152" s="2">
        <f>COUNTIF(INDEX('LINE PLAN'!$B$36:$GS$61,0,ROW()-3),DR$3)</f>
        <v>0</v>
      </c>
      <c r="DS152" s="2">
        <f>COUNTIF(INDEX('LINE PLAN'!$B$36:$GS$61,0,ROW()-3),DS$3)</f>
        <v>0</v>
      </c>
      <c r="DT152" s="2">
        <f>COUNTIF(INDEX('LINE PLAN'!$B$36:$GS$61,0,ROW()-3),DT$3)</f>
        <v>0</v>
      </c>
      <c r="DU152" s="2">
        <f>COUNTIF(INDEX('LINE PLAN'!$B$36:$GS$61,0,ROW()-3),DU$3)</f>
        <v>0</v>
      </c>
      <c r="DV152" s="2">
        <f>COUNTIF(INDEX('LINE PLAN'!$B$36:$GS$61,0,ROW()-3),DV$3)</f>
        <v>0</v>
      </c>
    </row>
    <row r="153" spans="1:126">
      <c r="A153" s="505" cm="1">
        <f t="array" ref="A153">INDEX('LINE PLAN'!$B$35:$GS$35,ROW()-3)</f>
        <v>0</v>
      </c>
      <c r="B153" s="2">
        <f>SUMPRODUCT($CA153:$DV153,INDEX('MC MAP'!$DA$5:$EV$30,1,0))</f>
        <v>0</v>
      </c>
      <c r="C153" s="2">
        <f>SUMPRODUCT($CA153:$DV153,INDEX('MC MAP'!$DA$5:$EV$30,2,0))</f>
        <v>0</v>
      </c>
      <c r="D153" s="2">
        <f>SUMPRODUCT($CA153:$DV153,INDEX('MC MAP'!$DA$5:$EV$30,3,0))</f>
        <v>0</v>
      </c>
      <c r="E153" s="2">
        <f>SUMPRODUCT($CA153:$DV153,INDEX('MC MAP'!$DA$5:$EV$30,4,0))</f>
        <v>0</v>
      </c>
      <c r="F153" s="2">
        <f>SUMPRODUCT($CA153:$DV153,INDEX('MC MAP'!$DA$5:$EV$30,5,0))</f>
        <v>0</v>
      </c>
      <c r="G153" s="2">
        <f>SUMPRODUCT($CA153:$DV153,INDEX('MC MAP'!$DA$5:$EV$30,6,0))</f>
        <v>0</v>
      </c>
      <c r="H153" s="2">
        <f>SUMPRODUCT($CA153:$DV153,INDEX('MC MAP'!$DA$5:$EV$30,7,0))</f>
        <v>0</v>
      </c>
      <c r="I153" s="2">
        <f>SUMPRODUCT($CA153:$DV153,INDEX('MC MAP'!$DA$5:$EV$30,8,0))</f>
        <v>0</v>
      </c>
      <c r="J153" s="2">
        <f>SUMPRODUCT($CA153:$DV153,INDEX('MC MAP'!$DA$5:$EV$30,9,0))</f>
        <v>0</v>
      </c>
      <c r="K153" s="2">
        <f>SUMPRODUCT($CA153:$DV153,INDEX('MC MAP'!$DA$5:$EV$30,10,0))</f>
        <v>0</v>
      </c>
      <c r="L153" s="2">
        <f>SUMPRODUCT($CA153:$DV153,INDEX('MC MAP'!$DA$5:$EV$30,11,0))</f>
        <v>0</v>
      </c>
      <c r="M153" s="2">
        <f>SUMPRODUCT($CA153:$DV153,INDEX('MC MAP'!$DA$5:$EV$30,12,0))</f>
        <v>0</v>
      </c>
      <c r="N153" s="2">
        <f>SUMPRODUCT($CA153:$DV153,INDEX('MC MAP'!$DA$5:$EV$30,13,0))</f>
        <v>0</v>
      </c>
      <c r="O153" s="2">
        <f>SUMPRODUCT($CA153:$DV153,INDEX('MC MAP'!$DA$5:$EV$30,14,0))</f>
        <v>0</v>
      </c>
      <c r="P153" s="2">
        <f>SUMPRODUCT($CA153:$DV153,INDEX('MC MAP'!$DA$5:$EV$30,15,0))</f>
        <v>0</v>
      </c>
      <c r="Q153" s="2">
        <f>SUMPRODUCT($CA153:$DV153,INDEX('MC MAP'!$DA$5:$EV$30,16,0))</f>
        <v>0</v>
      </c>
      <c r="R153" s="2">
        <f>SUMPRODUCT($CA153:$DV153,INDEX('MC MAP'!$DA$5:$EV$30,17,0))</f>
        <v>0</v>
      </c>
      <c r="S153" s="2">
        <f>SUMPRODUCT($CA153:$DV153,INDEX('MC MAP'!$DA$5:$EV$30,18,0))</f>
        <v>0</v>
      </c>
      <c r="T153" s="2">
        <f>SUMPRODUCT($CA153:$DV153,INDEX('MC MAP'!$DA$5:$EV$30,19,0))</f>
        <v>0</v>
      </c>
      <c r="U153" s="2">
        <f>SUMPRODUCT($CA153:$DV153,INDEX('MC MAP'!$DA$5:$EV$30,20,0))</f>
        <v>0</v>
      </c>
      <c r="V153" s="2">
        <f>SUMPRODUCT($CA153:$DV153,INDEX('MC MAP'!$DA$5:$EV$30,21,0))</f>
        <v>0</v>
      </c>
      <c r="W153" s="2">
        <f>SUMPRODUCT($CA153:$DV153,INDEX('MC MAP'!$DA$5:$EV$30,22,0))</f>
        <v>0</v>
      </c>
      <c r="X153" s="2">
        <f>SUMPRODUCT($CA153:$DV153,INDEX('MC MAP'!$DA$5:$EV$30,23,0))</f>
        <v>0</v>
      </c>
      <c r="Y153" s="2">
        <f>SUMPRODUCT($CA153:$DV153,INDEX('MC MAP'!$DA$5:$EV$30,24,0))</f>
        <v>0</v>
      </c>
      <c r="Z153" s="2">
        <f>SUMPRODUCT($CA153:$DV153,INDEX('MC MAP'!$DA$5:$EV$30,25,0))</f>
        <v>0</v>
      </c>
      <c r="AA153" s="2">
        <f>SUMPRODUCT($CA153:$DV153,INDEX('MC MAP'!$DA$5:$EV$30,26,0))</f>
        <v>0</v>
      </c>
      <c r="AB153" s="2">
        <f>SUM($B153:$AA153)</f>
        <v>0</v>
      </c>
      <c r="AC153" s="2">
        <f>SUM($CA153:$DV153)+$AW153</f>
        <v>0</v>
      </c>
      <c r="AW153" s="2">
        <f>IF($A153=0,0,COUNTIF(INDEX('LINE PLAN'!$B$36:$GS$61,0,ROW()-3),"THERMAL - NOT SPECIFIED"))</f>
        <v>0</v>
      </c>
      <c r="AX153" s="506" cm="1">
        <f t="array" ref="AX153">IF(OR($AB153=0,UPPER($BS153)&lt;&gt;"Y"),0,SUMPRODUCT(--($B153:$AA153&gt;$B$205:$AA$205)))</f>
        <v>0</v>
      </c>
      <c r="AY153" s="507">
        <f>$A153</f>
        <v>0</v>
      </c>
      <c r="AZ153" s="2">
        <f>$AB153</f>
        <v>0</v>
      </c>
      <c r="BA153" s="2">
        <f>'MC MASTER'!$C$29</f>
        <v>920</v>
      </c>
      <c r="BQ153" s="509">
        <f>$A153</f>
        <v>0</v>
      </c>
      <c r="BR153" s="15" t="str">
        <f>TEXT($A153,"ddd")</f>
        <v>Sat</v>
      </c>
      <c r="BS153" s="547" t="str">
        <f>IF($A153=0,"",IF(WEEKDAY($A153,2)=7,"N","Y"))</f>
        <v/>
      </c>
      <c r="BT153" s="15">
        <f>IF(UPPER($BS153)="Y",$AB153,0)</f>
        <v>0</v>
      </c>
      <c r="CA153" s="2">
        <f>COUNTIF(INDEX('LINE PLAN'!$B$36:$GS$61,0,ROW()-3),CA$3)</f>
        <v>0</v>
      </c>
      <c r="CB153" s="2">
        <f>COUNTIF(INDEX('LINE PLAN'!$B$36:$GS$61,0,ROW()-3),CB$3)</f>
        <v>0</v>
      </c>
      <c r="CC153" s="2">
        <f>COUNTIF(INDEX('LINE PLAN'!$B$36:$GS$61,0,ROW()-3),CC$3)</f>
        <v>0</v>
      </c>
      <c r="CD153" s="2">
        <f>COUNTIF(INDEX('LINE PLAN'!$B$36:$GS$61,0,ROW()-3),CD$3)</f>
        <v>0</v>
      </c>
      <c r="CE153" s="2">
        <f>COUNTIF(INDEX('LINE PLAN'!$B$36:$GS$61,0,ROW()-3),CE$3)</f>
        <v>0</v>
      </c>
      <c r="CF153" s="2">
        <f>COUNTIF(INDEX('LINE PLAN'!$B$36:$GS$61,0,ROW()-3),CF$3)</f>
        <v>0</v>
      </c>
      <c r="CG153" s="2">
        <f>COUNTIF(INDEX('LINE PLAN'!$B$36:$GS$61,0,ROW()-3),CG$3)</f>
        <v>0</v>
      </c>
      <c r="CH153" s="2">
        <f>COUNTIF(INDEX('LINE PLAN'!$B$36:$GS$61,0,ROW()-3),CH$3)</f>
        <v>0</v>
      </c>
      <c r="CI153" s="2">
        <f>COUNTIF(INDEX('LINE PLAN'!$B$36:$GS$61,0,ROW()-3),CI$3)</f>
        <v>0</v>
      </c>
      <c r="CJ153" s="2">
        <f>COUNTIF(INDEX('LINE PLAN'!$B$36:$GS$61,0,ROW()-3),CJ$3)</f>
        <v>0</v>
      </c>
      <c r="CK153" s="2">
        <f>COUNTIF(INDEX('LINE PLAN'!$B$36:$GS$61,0,ROW()-3),CK$3)</f>
        <v>0</v>
      </c>
      <c r="CL153" s="2">
        <f>COUNTIF(INDEX('LINE PLAN'!$B$36:$GS$61,0,ROW()-3),CL$3)</f>
        <v>0</v>
      </c>
      <c r="CM153" s="2">
        <f>COUNTIF(INDEX('LINE PLAN'!$B$36:$GS$61,0,ROW()-3),CM$3)</f>
        <v>0</v>
      </c>
      <c r="CN153" s="2">
        <f>COUNTIF(INDEX('LINE PLAN'!$B$36:$GS$61,0,ROW()-3),CN$3)</f>
        <v>0</v>
      </c>
      <c r="CO153" s="2">
        <f>COUNTIF(INDEX('LINE PLAN'!$B$36:$GS$61,0,ROW()-3),CO$3)</f>
        <v>0</v>
      </c>
      <c r="CP153" s="2">
        <f>COUNTIF(INDEX('LINE PLAN'!$B$36:$GS$61,0,ROW()-3),CP$3)</f>
        <v>0</v>
      </c>
      <c r="CQ153" s="2">
        <f>COUNTIF(INDEX('LINE PLAN'!$B$36:$GS$61,0,ROW()-3),CQ$3)</f>
        <v>0</v>
      </c>
      <c r="CR153" s="2">
        <f>COUNTIF(INDEX('LINE PLAN'!$B$36:$GS$61,0,ROW()-3),CR$3)</f>
        <v>0</v>
      </c>
      <c r="CS153" s="2">
        <f>COUNTIF(INDEX('LINE PLAN'!$B$36:$GS$61,0,ROW()-3),CS$3)</f>
        <v>0</v>
      </c>
      <c r="CT153" s="2">
        <f>COUNTIF(INDEX('LINE PLAN'!$B$36:$GS$61,0,ROW()-3),CT$3)</f>
        <v>0</v>
      </c>
      <c r="CU153" s="2">
        <f>COUNTIF(INDEX('LINE PLAN'!$B$36:$GS$61,0,ROW()-3),CU$3)</f>
        <v>0</v>
      </c>
      <c r="CV153" s="2">
        <f>COUNTIF(INDEX('LINE PLAN'!$B$36:$GS$61,0,ROW()-3),CV$3)</f>
        <v>0</v>
      </c>
      <c r="CW153" s="2">
        <f>COUNTIF(INDEX('LINE PLAN'!$B$36:$GS$61,0,ROW()-3),CW$3)</f>
        <v>0</v>
      </c>
      <c r="CX153" s="2">
        <f>COUNTIF(INDEX('LINE PLAN'!$B$36:$GS$61,0,ROW()-3),CX$3)</f>
        <v>0</v>
      </c>
      <c r="CY153" s="2">
        <f>COUNTIF(INDEX('LINE PLAN'!$B$36:$GS$61,0,ROW()-3),CY$3)</f>
        <v>0</v>
      </c>
      <c r="CZ153" s="2">
        <f>COUNTIF(INDEX('LINE PLAN'!$B$36:$GS$61,0,ROW()-3),CZ$3)</f>
        <v>0</v>
      </c>
      <c r="DA153" s="2">
        <f>COUNTIF(INDEX('LINE PLAN'!$B$36:$GS$61,0,ROW()-3),DA$3)</f>
        <v>0</v>
      </c>
      <c r="DB153" s="2">
        <f>COUNTIF(INDEX('LINE PLAN'!$B$36:$GS$61,0,ROW()-3),DB$3)</f>
        <v>0</v>
      </c>
      <c r="DC153" s="2">
        <f>COUNTIF(INDEX('LINE PLAN'!$B$36:$GS$61,0,ROW()-3),DC$3)</f>
        <v>0</v>
      </c>
      <c r="DD153" s="2">
        <f>COUNTIF(INDEX('LINE PLAN'!$B$36:$GS$61,0,ROW()-3),DD$3)</f>
        <v>0</v>
      </c>
      <c r="DE153" s="2">
        <f>COUNTIF(INDEX('LINE PLAN'!$B$36:$GS$61,0,ROW()-3),DE$3)</f>
        <v>0</v>
      </c>
      <c r="DF153" s="2">
        <f>COUNTIF(INDEX('LINE PLAN'!$B$36:$GS$61,0,ROW()-3),DF$3)</f>
        <v>0</v>
      </c>
      <c r="DG153" s="2">
        <f>COUNTIF(INDEX('LINE PLAN'!$B$36:$GS$61,0,ROW()-3),DG$3)</f>
        <v>0</v>
      </c>
      <c r="DH153" s="2">
        <f>COUNTIF(INDEX('LINE PLAN'!$B$36:$GS$61,0,ROW()-3),DH$3)</f>
        <v>0</v>
      </c>
      <c r="DI153" s="2">
        <f>COUNTIF(INDEX('LINE PLAN'!$B$36:$GS$61,0,ROW()-3),DI$3)</f>
        <v>0</v>
      </c>
      <c r="DJ153" s="2">
        <f>COUNTIF(INDEX('LINE PLAN'!$B$36:$GS$61,0,ROW()-3),DJ$3)</f>
        <v>0</v>
      </c>
      <c r="DK153" s="2">
        <f>COUNTIF(INDEX('LINE PLAN'!$B$36:$GS$61,0,ROW()-3),DK$3)</f>
        <v>0</v>
      </c>
      <c r="DL153" s="2">
        <f>COUNTIF(INDEX('LINE PLAN'!$B$36:$GS$61,0,ROW()-3),DL$3)</f>
        <v>0</v>
      </c>
      <c r="DM153" s="2">
        <f>COUNTIF(INDEX('LINE PLAN'!$B$36:$GS$61,0,ROW()-3),DM$3)</f>
        <v>0</v>
      </c>
      <c r="DN153" s="2">
        <f>COUNTIF(INDEX('LINE PLAN'!$B$36:$GS$61,0,ROW()-3),DN$3)</f>
        <v>0</v>
      </c>
      <c r="DO153" s="2">
        <f>COUNTIF(INDEX('LINE PLAN'!$B$36:$GS$61,0,ROW()-3),DO$3)</f>
        <v>0</v>
      </c>
      <c r="DP153" s="2">
        <f>COUNTIF(INDEX('LINE PLAN'!$B$36:$GS$61,0,ROW()-3),DP$3)</f>
        <v>0</v>
      </c>
      <c r="DQ153" s="2">
        <f>COUNTIF(INDEX('LINE PLAN'!$B$36:$GS$61,0,ROW()-3),DQ$3)</f>
        <v>0</v>
      </c>
      <c r="DR153" s="2">
        <f>COUNTIF(INDEX('LINE PLAN'!$B$36:$GS$61,0,ROW()-3),DR$3)</f>
        <v>0</v>
      </c>
      <c r="DS153" s="2">
        <f>COUNTIF(INDEX('LINE PLAN'!$B$36:$GS$61,0,ROW()-3),DS$3)</f>
        <v>0</v>
      </c>
      <c r="DT153" s="2">
        <f>COUNTIF(INDEX('LINE PLAN'!$B$36:$GS$61,0,ROW()-3),DT$3)</f>
        <v>0</v>
      </c>
      <c r="DU153" s="2">
        <f>COUNTIF(INDEX('LINE PLAN'!$B$36:$GS$61,0,ROW()-3),DU$3)</f>
        <v>0</v>
      </c>
      <c r="DV153" s="2">
        <f>COUNTIF(INDEX('LINE PLAN'!$B$36:$GS$61,0,ROW()-3),DV$3)</f>
        <v>0</v>
      </c>
    </row>
    <row r="154" spans="1:126">
      <c r="A154" s="505" cm="1">
        <f t="array" ref="A154">INDEX('LINE PLAN'!$B$35:$GS$35,ROW()-3)</f>
        <v>0</v>
      </c>
      <c r="B154" s="2">
        <f>SUMPRODUCT($CA154:$DV154,INDEX('MC MAP'!$DA$5:$EV$30,1,0))</f>
        <v>0</v>
      </c>
      <c r="C154" s="2">
        <f>SUMPRODUCT($CA154:$DV154,INDEX('MC MAP'!$DA$5:$EV$30,2,0))</f>
        <v>0</v>
      </c>
      <c r="D154" s="2">
        <f>SUMPRODUCT($CA154:$DV154,INDEX('MC MAP'!$DA$5:$EV$30,3,0))</f>
        <v>0</v>
      </c>
      <c r="E154" s="2">
        <f>SUMPRODUCT($CA154:$DV154,INDEX('MC MAP'!$DA$5:$EV$30,4,0))</f>
        <v>0</v>
      </c>
      <c r="F154" s="2">
        <f>SUMPRODUCT($CA154:$DV154,INDEX('MC MAP'!$DA$5:$EV$30,5,0))</f>
        <v>0</v>
      </c>
      <c r="G154" s="2">
        <f>SUMPRODUCT($CA154:$DV154,INDEX('MC MAP'!$DA$5:$EV$30,6,0))</f>
        <v>0</v>
      </c>
      <c r="H154" s="2">
        <f>SUMPRODUCT($CA154:$DV154,INDEX('MC MAP'!$DA$5:$EV$30,7,0))</f>
        <v>0</v>
      </c>
      <c r="I154" s="2">
        <f>SUMPRODUCT($CA154:$DV154,INDEX('MC MAP'!$DA$5:$EV$30,8,0))</f>
        <v>0</v>
      </c>
      <c r="J154" s="2">
        <f>SUMPRODUCT($CA154:$DV154,INDEX('MC MAP'!$DA$5:$EV$30,9,0))</f>
        <v>0</v>
      </c>
      <c r="K154" s="2">
        <f>SUMPRODUCT($CA154:$DV154,INDEX('MC MAP'!$DA$5:$EV$30,10,0))</f>
        <v>0</v>
      </c>
      <c r="L154" s="2">
        <f>SUMPRODUCT($CA154:$DV154,INDEX('MC MAP'!$DA$5:$EV$30,11,0))</f>
        <v>0</v>
      </c>
      <c r="M154" s="2">
        <f>SUMPRODUCT($CA154:$DV154,INDEX('MC MAP'!$DA$5:$EV$30,12,0))</f>
        <v>0</v>
      </c>
      <c r="N154" s="2">
        <f>SUMPRODUCT($CA154:$DV154,INDEX('MC MAP'!$DA$5:$EV$30,13,0))</f>
        <v>0</v>
      </c>
      <c r="O154" s="2">
        <f>SUMPRODUCT($CA154:$DV154,INDEX('MC MAP'!$DA$5:$EV$30,14,0))</f>
        <v>0</v>
      </c>
      <c r="P154" s="2">
        <f>SUMPRODUCT($CA154:$DV154,INDEX('MC MAP'!$DA$5:$EV$30,15,0))</f>
        <v>0</v>
      </c>
      <c r="Q154" s="2">
        <f>SUMPRODUCT($CA154:$DV154,INDEX('MC MAP'!$DA$5:$EV$30,16,0))</f>
        <v>0</v>
      </c>
      <c r="R154" s="2">
        <f>SUMPRODUCT($CA154:$DV154,INDEX('MC MAP'!$DA$5:$EV$30,17,0))</f>
        <v>0</v>
      </c>
      <c r="S154" s="2">
        <f>SUMPRODUCT($CA154:$DV154,INDEX('MC MAP'!$DA$5:$EV$30,18,0))</f>
        <v>0</v>
      </c>
      <c r="T154" s="2">
        <f>SUMPRODUCT($CA154:$DV154,INDEX('MC MAP'!$DA$5:$EV$30,19,0))</f>
        <v>0</v>
      </c>
      <c r="U154" s="2">
        <f>SUMPRODUCT($CA154:$DV154,INDEX('MC MAP'!$DA$5:$EV$30,20,0))</f>
        <v>0</v>
      </c>
      <c r="V154" s="2">
        <f>SUMPRODUCT($CA154:$DV154,INDEX('MC MAP'!$DA$5:$EV$30,21,0))</f>
        <v>0</v>
      </c>
      <c r="W154" s="2">
        <f>SUMPRODUCT($CA154:$DV154,INDEX('MC MAP'!$DA$5:$EV$30,22,0))</f>
        <v>0</v>
      </c>
      <c r="X154" s="2">
        <f>SUMPRODUCT($CA154:$DV154,INDEX('MC MAP'!$DA$5:$EV$30,23,0))</f>
        <v>0</v>
      </c>
      <c r="Y154" s="2">
        <f>SUMPRODUCT($CA154:$DV154,INDEX('MC MAP'!$DA$5:$EV$30,24,0))</f>
        <v>0</v>
      </c>
      <c r="Z154" s="2">
        <f>SUMPRODUCT($CA154:$DV154,INDEX('MC MAP'!$DA$5:$EV$30,25,0))</f>
        <v>0</v>
      </c>
      <c r="AA154" s="2">
        <f>SUMPRODUCT($CA154:$DV154,INDEX('MC MAP'!$DA$5:$EV$30,26,0))</f>
        <v>0</v>
      </c>
      <c r="AB154" s="2">
        <f>SUM($B154:$AA154)</f>
        <v>0</v>
      </c>
      <c r="AC154" s="2">
        <f>SUM($CA154:$DV154)+$AW154</f>
        <v>0</v>
      </c>
      <c r="AW154" s="2">
        <f>IF($A154=0,0,COUNTIF(INDEX('LINE PLAN'!$B$36:$GS$61,0,ROW()-3),"THERMAL - NOT SPECIFIED"))</f>
        <v>0</v>
      </c>
      <c r="AX154" s="506" cm="1">
        <f t="array" ref="AX154">IF(OR($AB154=0,UPPER($BS154)&lt;&gt;"Y"),0,SUMPRODUCT(--($B154:$AA154&gt;$B$205:$AA$205)))</f>
        <v>0</v>
      </c>
      <c r="AY154" s="507">
        <f>$A154</f>
        <v>0</v>
      </c>
      <c r="AZ154" s="2">
        <f>$AB154</f>
        <v>0</v>
      </c>
      <c r="BA154" s="2">
        <f>'MC MASTER'!$C$29</f>
        <v>920</v>
      </c>
      <c r="BQ154" s="509">
        <f>$A154</f>
        <v>0</v>
      </c>
      <c r="BR154" s="15" t="str">
        <f>TEXT($A154,"ddd")</f>
        <v>Sat</v>
      </c>
      <c r="BS154" s="547" t="str">
        <f>IF($A154=0,"",IF(WEEKDAY($A154,2)=7,"N","Y"))</f>
        <v/>
      </c>
      <c r="BT154" s="15">
        <f>IF(UPPER($BS154)="Y",$AB154,0)</f>
        <v>0</v>
      </c>
      <c r="CA154" s="2">
        <f>COUNTIF(INDEX('LINE PLAN'!$B$36:$GS$61,0,ROW()-3),CA$3)</f>
        <v>0</v>
      </c>
      <c r="CB154" s="2">
        <f>COUNTIF(INDEX('LINE PLAN'!$B$36:$GS$61,0,ROW()-3),CB$3)</f>
        <v>0</v>
      </c>
      <c r="CC154" s="2">
        <f>COUNTIF(INDEX('LINE PLAN'!$B$36:$GS$61,0,ROW()-3),CC$3)</f>
        <v>0</v>
      </c>
      <c r="CD154" s="2">
        <f>COUNTIF(INDEX('LINE PLAN'!$B$36:$GS$61,0,ROW()-3),CD$3)</f>
        <v>0</v>
      </c>
      <c r="CE154" s="2">
        <f>COUNTIF(INDEX('LINE PLAN'!$B$36:$GS$61,0,ROW()-3),CE$3)</f>
        <v>0</v>
      </c>
      <c r="CF154" s="2">
        <f>COUNTIF(INDEX('LINE PLAN'!$B$36:$GS$61,0,ROW()-3),CF$3)</f>
        <v>0</v>
      </c>
      <c r="CG154" s="2">
        <f>COUNTIF(INDEX('LINE PLAN'!$B$36:$GS$61,0,ROW()-3),CG$3)</f>
        <v>0</v>
      </c>
      <c r="CH154" s="2">
        <f>COUNTIF(INDEX('LINE PLAN'!$B$36:$GS$61,0,ROW()-3),CH$3)</f>
        <v>0</v>
      </c>
      <c r="CI154" s="2">
        <f>COUNTIF(INDEX('LINE PLAN'!$B$36:$GS$61,0,ROW()-3),CI$3)</f>
        <v>0</v>
      </c>
      <c r="CJ154" s="2">
        <f>COUNTIF(INDEX('LINE PLAN'!$B$36:$GS$61,0,ROW()-3),CJ$3)</f>
        <v>0</v>
      </c>
      <c r="CK154" s="2">
        <f>COUNTIF(INDEX('LINE PLAN'!$B$36:$GS$61,0,ROW()-3),CK$3)</f>
        <v>0</v>
      </c>
      <c r="CL154" s="2">
        <f>COUNTIF(INDEX('LINE PLAN'!$B$36:$GS$61,0,ROW()-3),CL$3)</f>
        <v>0</v>
      </c>
      <c r="CM154" s="2">
        <f>COUNTIF(INDEX('LINE PLAN'!$B$36:$GS$61,0,ROW()-3),CM$3)</f>
        <v>0</v>
      </c>
      <c r="CN154" s="2">
        <f>COUNTIF(INDEX('LINE PLAN'!$B$36:$GS$61,0,ROW()-3),CN$3)</f>
        <v>0</v>
      </c>
      <c r="CO154" s="2">
        <f>COUNTIF(INDEX('LINE PLAN'!$B$36:$GS$61,0,ROW()-3),CO$3)</f>
        <v>0</v>
      </c>
      <c r="CP154" s="2">
        <f>COUNTIF(INDEX('LINE PLAN'!$B$36:$GS$61,0,ROW()-3),CP$3)</f>
        <v>0</v>
      </c>
      <c r="CQ154" s="2">
        <f>COUNTIF(INDEX('LINE PLAN'!$B$36:$GS$61,0,ROW()-3),CQ$3)</f>
        <v>0</v>
      </c>
      <c r="CR154" s="2">
        <f>COUNTIF(INDEX('LINE PLAN'!$B$36:$GS$61,0,ROW()-3),CR$3)</f>
        <v>0</v>
      </c>
      <c r="CS154" s="2">
        <f>COUNTIF(INDEX('LINE PLAN'!$B$36:$GS$61,0,ROW()-3),CS$3)</f>
        <v>0</v>
      </c>
      <c r="CT154" s="2">
        <f>COUNTIF(INDEX('LINE PLAN'!$B$36:$GS$61,0,ROW()-3),CT$3)</f>
        <v>0</v>
      </c>
      <c r="CU154" s="2">
        <f>COUNTIF(INDEX('LINE PLAN'!$B$36:$GS$61,0,ROW()-3),CU$3)</f>
        <v>0</v>
      </c>
      <c r="CV154" s="2">
        <f>COUNTIF(INDEX('LINE PLAN'!$B$36:$GS$61,0,ROW()-3),CV$3)</f>
        <v>0</v>
      </c>
      <c r="CW154" s="2">
        <f>COUNTIF(INDEX('LINE PLAN'!$B$36:$GS$61,0,ROW()-3),CW$3)</f>
        <v>0</v>
      </c>
      <c r="CX154" s="2">
        <f>COUNTIF(INDEX('LINE PLAN'!$B$36:$GS$61,0,ROW()-3),CX$3)</f>
        <v>0</v>
      </c>
      <c r="CY154" s="2">
        <f>COUNTIF(INDEX('LINE PLAN'!$B$36:$GS$61,0,ROW()-3),CY$3)</f>
        <v>0</v>
      </c>
      <c r="CZ154" s="2">
        <f>COUNTIF(INDEX('LINE PLAN'!$B$36:$GS$61,0,ROW()-3),CZ$3)</f>
        <v>0</v>
      </c>
      <c r="DA154" s="2">
        <f>COUNTIF(INDEX('LINE PLAN'!$B$36:$GS$61,0,ROW()-3),DA$3)</f>
        <v>0</v>
      </c>
      <c r="DB154" s="2">
        <f>COUNTIF(INDEX('LINE PLAN'!$B$36:$GS$61,0,ROW()-3),DB$3)</f>
        <v>0</v>
      </c>
      <c r="DC154" s="2">
        <f>COUNTIF(INDEX('LINE PLAN'!$B$36:$GS$61,0,ROW()-3),DC$3)</f>
        <v>0</v>
      </c>
      <c r="DD154" s="2">
        <f>COUNTIF(INDEX('LINE PLAN'!$B$36:$GS$61,0,ROW()-3),DD$3)</f>
        <v>0</v>
      </c>
      <c r="DE154" s="2">
        <f>COUNTIF(INDEX('LINE PLAN'!$B$36:$GS$61,0,ROW()-3),DE$3)</f>
        <v>0</v>
      </c>
      <c r="DF154" s="2">
        <f>COUNTIF(INDEX('LINE PLAN'!$B$36:$GS$61,0,ROW()-3),DF$3)</f>
        <v>0</v>
      </c>
      <c r="DG154" s="2">
        <f>COUNTIF(INDEX('LINE PLAN'!$B$36:$GS$61,0,ROW()-3),DG$3)</f>
        <v>0</v>
      </c>
      <c r="DH154" s="2">
        <f>COUNTIF(INDEX('LINE PLAN'!$B$36:$GS$61,0,ROW()-3),DH$3)</f>
        <v>0</v>
      </c>
      <c r="DI154" s="2">
        <f>COUNTIF(INDEX('LINE PLAN'!$B$36:$GS$61,0,ROW()-3),DI$3)</f>
        <v>0</v>
      </c>
      <c r="DJ154" s="2">
        <f>COUNTIF(INDEX('LINE PLAN'!$B$36:$GS$61,0,ROW()-3),DJ$3)</f>
        <v>0</v>
      </c>
      <c r="DK154" s="2">
        <f>COUNTIF(INDEX('LINE PLAN'!$B$36:$GS$61,0,ROW()-3),DK$3)</f>
        <v>0</v>
      </c>
      <c r="DL154" s="2">
        <f>COUNTIF(INDEX('LINE PLAN'!$B$36:$GS$61,0,ROW()-3),DL$3)</f>
        <v>0</v>
      </c>
      <c r="DM154" s="2">
        <f>COUNTIF(INDEX('LINE PLAN'!$B$36:$GS$61,0,ROW()-3),DM$3)</f>
        <v>0</v>
      </c>
      <c r="DN154" s="2">
        <f>COUNTIF(INDEX('LINE PLAN'!$B$36:$GS$61,0,ROW()-3),DN$3)</f>
        <v>0</v>
      </c>
      <c r="DO154" s="2">
        <f>COUNTIF(INDEX('LINE PLAN'!$B$36:$GS$61,0,ROW()-3),DO$3)</f>
        <v>0</v>
      </c>
      <c r="DP154" s="2">
        <f>COUNTIF(INDEX('LINE PLAN'!$B$36:$GS$61,0,ROW()-3),DP$3)</f>
        <v>0</v>
      </c>
      <c r="DQ154" s="2">
        <f>COUNTIF(INDEX('LINE PLAN'!$B$36:$GS$61,0,ROW()-3),DQ$3)</f>
        <v>0</v>
      </c>
      <c r="DR154" s="2">
        <f>COUNTIF(INDEX('LINE PLAN'!$B$36:$GS$61,0,ROW()-3),DR$3)</f>
        <v>0</v>
      </c>
      <c r="DS154" s="2">
        <f>COUNTIF(INDEX('LINE PLAN'!$B$36:$GS$61,0,ROW()-3),DS$3)</f>
        <v>0</v>
      </c>
      <c r="DT154" s="2">
        <f>COUNTIF(INDEX('LINE PLAN'!$B$36:$GS$61,0,ROW()-3),DT$3)</f>
        <v>0</v>
      </c>
      <c r="DU154" s="2">
        <f>COUNTIF(INDEX('LINE PLAN'!$B$36:$GS$61,0,ROW()-3),DU$3)</f>
        <v>0</v>
      </c>
      <c r="DV154" s="2">
        <f>COUNTIF(INDEX('LINE PLAN'!$B$36:$GS$61,0,ROW()-3),DV$3)</f>
        <v>0</v>
      </c>
    </row>
    <row r="155" spans="1:126">
      <c r="A155" s="505" cm="1">
        <f t="array" ref="A155">INDEX('LINE PLAN'!$B$35:$GS$35,ROW()-3)</f>
        <v>0</v>
      </c>
      <c r="B155" s="2">
        <f>SUMPRODUCT($CA155:$DV155,INDEX('MC MAP'!$DA$5:$EV$30,1,0))</f>
        <v>0</v>
      </c>
      <c r="C155" s="2">
        <f>SUMPRODUCT($CA155:$DV155,INDEX('MC MAP'!$DA$5:$EV$30,2,0))</f>
        <v>0</v>
      </c>
      <c r="D155" s="2">
        <f>SUMPRODUCT($CA155:$DV155,INDEX('MC MAP'!$DA$5:$EV$30,3,0))</f>
        <v>0</v>
      </c>
      <c r="E155" s="2">
        <f>SUMPRODUCT($CA155:$DV155,INDEX('MC MAP'!$DA$5:$EV$30,4,0))</f>
        <v>0</v>
      </c>
      <c r="F155" s="2">
        <f>SUMPRODUCT($CA155:$DV155,INDEX('MC MAP'!$DA$5:$EV$30,5,0))</f>
        <v>0</v>
      </c>
      <c r="G155" s="2">
        <f>SUMPRODUCT($CA155:$DV155,INDEX('MC MAP'!$DA$5:$EV$30,6,0))</f>
        <v>0</v>
      </c>
      <c r="H155" s="2">
        <f>SUMPRODUCT($CA155:$DV155,INDEX('MC MAP'!$DA$5:$EV$30,7,0))</f>
        <v>0</v>
      </c>
      <c r="I155" s="2">
        <f>SUMPRODUCT($CA155:$DV155,INDEX('MC MAP'!$DA$5:$EV$30,8,0))</f>
        <v>0</v>
      </c>
      <c r="J155" s="2">
        <f>SUMPRODUCT($CA155:$DV155,INDEX('MC MAP'!$DA$5:$EV$30,9,0))</f>
        <v>0</v>
      </c>
      <c r="K155" s="2">
        <f>SUMPRODUCT($CA155:$DV155,INDEX('MC MAP'!$DA$5:$EV$30,10,0))</f>
        <v>0</v>
      </c>
      <c r="L155" s="2">
        <f>SUMPRODUCT($CA155:$DV155,INDEX('MC MAP'!$DA$5:$EV$30,11,0))</f>
        <v>0</v>
      </c>
      <c r="M155" s="2">
        <f>SUMPRODUCT($CA155:$DV155,INDEX('MC MAP'!$DA$5:$EV$30,12,0))</f>
        <v>0</v>
      </c>
      <c r="N155" s="2">
        <f>SUMPRODUCT($CA155:$DV155,INDEX('MC MAP'!$DA$5:$EV$30,13,0))</f>
        <v>0</v>
      </c>
      <c r="O155" s="2">
        <f>SUMPRODUCT($CA155:$DV155,INDEX('MC MAP'!$DA$5:$EV$30,14,0))</f>
        <v>0</v>
      </c>
      <c r="P155" s="2">
        <f>SUMPRODUCT($CA155:$DV155,INDEX('MC MAP'!$DA$5:$EV$30,15,0))</f>
        <v>0</v>
      </c>
      <c r="Q155" s="2">
        <f>SUMPRODUCT($CA155:$DV155,INDEX('MC MAP'!$DA$5:$EV$30,16,0))</f>
        <v>0</v>
      </c>
      <c r="R155" s="2">
        <f>SUMPRODUCT($CA155:$DV155,INDEX('MC MAP'!$DA$5:$EV$30,17,0))</f>
        <v>0</v>
      </c>
      <c r="S155" s="2">
        <f>SUMPRODUCT($CA155:$DV155,INDEX('MC MAP'!$DA$5:$EV$30,18,0))</f>
        <v>0</v>
      </c>
      <c r="T155" s="2">
        <f>SUMPRODUCT($CA155:$DV155,INDEX('MC MAP'!$DA$5:$EV$30,19,0))</f>
        <v>0</v>
      </c>
      <c r="U155" s="2">
        <f>SUMPRODUCT($CA155:$DV155,INDEX('MC MAP'!$DA$5:$EV$30,20,0))</f>
        <v>0</v>
      </c>
      <c r="V155" s="2">
        <f>SUMPRODUCT($CA155:$DV155,INDEX('MC MAP'!$DA$5:$EV$30,21,0))</f>
        <v>0</v>
      </c>
      <c r="W155" s="2">
        <f>SUMPRODUCT($CA155:$DV155,INDEX('MC MAP'!$DA$5:$EV$30,22,0))</f>
        <v>0</v>
      </c>
      <c r="X155" s="2">
        <f>SUMPRODUCT($CA155:$DV155,INDEX('MC MAP'!$DA$5:$EV$30,23,0))</f>
        <v>0</v>
      </c>
      <c r="Y155" s="2">
        <f>SUMPRODUCT($CA155:$DV155,INDEX('MC MAP'!$DA$5:$EV$30,24,0))</f>
        <v>0</v>
      </c>
      <c r="Z155" s="2">
        <f>SUMPRODUCT($CA155:$DV155,INDEX('MC MAP'!$DA$5:$EV$30,25,0))</f>
        <v>0</v>
      </c>
      <c r="AA155" s="2">
        <f>SUMPRODUCT($CA155:$DV155,INDEX('MC MAP'!$DA$5:$EV$30,26,0))</f>
        <v>0</v>
      </c>
      <c r="AB155" s="2">
        <f>SUM($B155:$AA155)</f>
        <v>0</v>
      </c>
      <c r="AC155" s="2">
        <f>SUM($CA155:$DV155)+$AW155</f>
        <v>0</v>
      </c>
      <c r="AW155" s="2">
        <f>IF($A155=0,0,COUNTIF(INDEX('LINE PLAN'!$B$36:$GS$61,0,ROW()-3),"THERMAL - NOT SPECIFIED"))</f>
        <v>0</v>
      </c>
      <c r="AX155" s="506" cm="1">
        <f t="array" ref="AX155">IF(OR($AB155=0,UPPER($BS155)&lt;&gt;"Y"),0,SUMPRODUCT(--($B155:$AA155&gt;$B$205:$AA$205)))</f>
        <v>0</v>
      </c>
      <c r="AY155" s="507">
        <f>$A155</f>
        <v>0</v>
      </c>
      <c r="AZ155" s="2">
        <f>$AB155</f>
        <v>0</v>
      </c>
      <c r="BA155" s="2">
        <f>'MC MASTER'!$C$29</f>
        <v>920</v>
      </c>
      <c r="BQ155" s="509">
        <f>$A155</f>
        <v>0</v>
      </c>
      <c r="BR155" s="15" t="str">
        <f>TEXT($A155,"ddd")</f>
        <v>Sat</v>
      </c>
      <c r="BS155" s="547" t="str">
        <f>IF($A155=0,"",IF(WEEKDAY($A155,2)=7,"N","Y"))</f>
        <v/>
      </c>
      <c r="BT155" s="15">
        <f>IF(UPPER($BS155)="Y",$AB155,0)</f>
        <v>0</v>
      </c>
      <c r="CA155" s="2">
        <f>COUNTIF(INDEX('LINE PLAN'!$B$36:$GS$61,0,ROW()-3),CA$3)</f>
        <v>0</v>
      </c>
      <c r="CB155" s="2">
        <f>COUNTIF(INDEX('LINE PLAN'!$B$36:$GS$61,0,ROW()-3),CB$3)</f>
        <v>0</v>
      </c>
      <c r="CC155" s="2">
        <f>COUNTIF(INDEX('LINE PLAN'!$B$36:$GS$61,0,ROW()-3),CC$3)</f>
        <v>0</v>
      </c>
      <c r="CD155" s="2">
        <f>COUNTIF(INDEX('LINE PLAN'!$B$36:$GS$61,0,ROW()-3),CD$3)</f>
        <v>0</v>
      </c>
      <c r="CE155" s="2">
        <f>COUNTIF(INDEX('LINE PLAN'!$B$36:$GS$61,0,ROW()-3),CE$3)</f>
        <v>0</v>
      </c>
      <c r="CF155" s="2">
        <f>COUNTIF(INDEX('LINE PLAN'!$B$36:$GS$61,0,ROW()-3),CF$3)</f>
        <v>0</v>
      </c>
      <c r="CG155" s="2">
        <f>COUNTIF(INDEX('LINE PLAN'!$B$36:$GS$61,0,ROW()-3),CG$3)</f>
        <v>0</v>
      </c>
      <c r="CH155" s="2">
        <f>COUNTIF(INDEX('LINE PLAN'!$B$36:$GS$61,0,ROW()-3),CH$3)</f>
        <v>0</v>
      </c>
      <c r="CI155" s="2">
        <f>COUNTIF(INDEX('LINE PLAN'!$B$36:$GS$61,0,ROW()-3),CI$3)</f>
        <v>0</v>
      </c>
      <c r="CJ155" s="2">
        <f>COUNTIF(INDEX('LINE PLAN'!$B$36:$GS$61,0,ROW()-3),CJ$3)</f>
        <v>0</v>
      </c>
      <c r="CK155" s="2">
        <f>COUNTIF(INDEX('LINE PLAN'!$B$36:$GS$61,0,ROW()-3),CK$3)</f>
        <v>0</v>
      </c>
      <c r="CL155" s="2">
        <f>COUNTIF(INDEX('LINE PLAN'!$B$36:$GS$61,0,ROW()-3),CL$3)</f>
        <v>0</v>
      </c>
      <c r="CM155" s="2">
        <f>COUNTIF(INDEX('LINE PLAN'!$B$36:$GS$61,0,ROW()-3),CM$3)</f>
        <v>0</v>
      </c>
      <c r="CN155" s="2">
        <f>COUNTIF(INDEX('LINE PLAN'!$B$36:$GS$61,0,ROW()-3),CN$3)</f>
        <v>0</v>
      </c>
      <c r="CO155" s="2">
        <f>COUNTIF(INDEX('LINE PLAN'!$B$36:$GS$61,0,ROW()-3),CO$3)</f>
        <v>0</v>
      </c>
      <c r="CP155" s="2">
        <f>COUNTIF(INDEX('LINE PLAN'!$B$36:$GS$61,0,ROW()-3),CP$3)</f>
        <v>0</v>
      </c>
      <c r="CQ155" s="2">
        <f>COUNTIF(INDEX('LINE PLAN'!$B$36:$GS$61,0,ROW()-3),CQ$3)</f>
        <v>0</v>
      </c>
      <c r="CR155" s="2">
        <f>COUNTIF(INDEX('LINE PLAN'!$B$36:$GS$61,0,ROW()-3),CR$3)</f>
        <v>0</v>
      </c>
      <c r="CS155" s="2">
        <f>COUNTIF(INDEX('LINE PLAN'!$B$36:$GS$61,0,ROW()-3),CS$3)</f>
        <v>0</v>
      </c>
      <c r="CT155" s="2">
        <f>COUNTIF(INDEX('LINE PLAN'!$B$36:$GS$61,0,ROW()-3),CT$3)</f>
        <v>0</v>
      </c>
      <c r="CU155" s="2">
        <f>COUNTIF(INDEX('LINE PLAN'!$B$36:$GS$61,0,ROW()-3),CU$3)</f>
        <v>0</v>
      </c>
      <c r="CV155" s="2">
        <f>COUNTIF(INDEX('LINE PLAN'!$B$36:$GS$61,0,ROW()-3),CV$3)</f>
        <v>0</v>
      </c>
      <c r="CW155" s="2">
        <f>COUNTIF(INDEX('LINE PLAN'!$B$36:$GS$61,0,ROW()-3),CW$3)</f>
        <v>0</v>
      </c>
      <c r="CX155" s="2">
        <f>COUNTIF(INDEX('LINE PLAN'!$B$36:$GS$61,0,ROW()-3),CX$3)</f>
        <v>0</v>
      </c>
      <c r="CY155" s="2">
        <f>COUNTIF(INDEX('LINE PLAN'!$B$36:$GS$61,0,ROW()-3),CY$3)</f>
        <v>0</v>
      </c>
      <c r="CZ155" s="2">
        <f>COUNTIF(INDEX('LINE PLAN'!$B$36:$GS$61,0,ROW()-3),CZ$3)</f>
        <v>0</v>
      </c>
      <c r="DA155" s="2">
        <f>COUNTIF(INDEX('LINE PLAN'!$B$36:$GS$61,0,ROW()-3),DA$3)</f>
        <v>0</v>
      </c>
      <c r="DB155" s="2">
        <f>COUNTIF(INDEX('LINE PLAN'!$B$36:$GS$61,0,ROW()-3),DB$3)</f>
        <v>0</v>
      </c>
      <c r="DC155" s="2">
        <f>COUNTIF(INDEX('LINE PLAN'!$B$36:$GS$61,0,ROW()-3),DC$3)</f>
        <v>0</v>
      </c>
      <c r="DD155" s="2">
        <f>COUNTIF(INDEX('LINE PLAN'!$B$36:$GS$61,0,ROW()-3),DD$3)</f>
        <v>0</v>
      </c>
      <c r="DE155" s="2">
        <f>COUNTIF(INDEX('LINE PLAN'!$B$36:$GS$61,0,ROW()-3),DE$3)</f>
        <v>0</v>
      </c>
      <c r="DF155" s="2">
        <f>COUNTIF(INDEX('LINE PLAN'!$B$36:$GS$61,0,ROW()-3),DF$3)</f>
        <v>0</v>
      </c>
      <c r="DG155" s="2">
        <f>COUNTIF(INDEX('LINE PLAN'!$B$36:$GS$61,0,ROW()-3),DG$3)</f>
        <v>0</v>
      </c>
      <c r="DH155" s="2">
        <f>COUNTIF(INDEX('LINE PLAN'!$B$36:$GS$61,0,ROW()-3),DH$3)</f>
        <v>0</v>
      </c>
      <c r="DI155" s="2">
        <f>COUNTIF(INDEX('LINE PLAN'!$B$36:$GS$61,0,ROW()-3),DI$3)</f>
        <v>0</v>
      </c>
      <c r="DJ155" s="2">
        <f>COUNTIF(INDEX('LINE PLAN'!$B$36:$GS$61,0,ROW()-3),DJ$3)</f>
        <v>0</v>
      </c>
      <c r="DK155" s="2">
        <f>COUNTIF(INDEX('LINE PLAN'!$B$36:$GS$61,0,ROW()-3),DK$3)</f>
        <v>0</v>
      </c>
      <c r="DL155" s="2">
        <f>COUNTIF(INDEX('LINE PLAN'!$B$36:$GS$61,0,ROW()-3),DL$3)</f>
        <v>0</v>
      </c>
      <c r="DM155" s="2">
        <f>COUNTIF(INDEX('LINE PLAN'!$B$36:$GS$61,0,ROW()-3),DM$3)</f>
        <v>0</v>
      </c>
      <c r="DN155" s="2">
        <f>COUNTIF(INDEX('LINE PLAN'!$B$36:$GS$61,0,ROW()-3),DN$3)</f>
        <v>0</v>
      </c>
      <c r="DO155" s="2">
        <f>COUNTIF(INDEX('LINE PLAN'!$B$36:$GS$61,0,ROW()-3),DO$3)</f>
        <v>0</v>
      </c>
      <c r="DP155" s="2">
        <f>COUNTIF(INDEX('LINE PLAN'!$B$36:$GS$61,0,ROW()-3),DP$3)</f>
        <v>0</v>
      </c>
      <c r="DQ155" s="2">
        <f>COUNTIF(INDEX('LINE PLAN'!$B$36:$GS$61,0,ROW()-3),DQ$3)</f>
        <v>0</v>
      </c>
      <c r="DR155" s="2">
        <f>COUNTIF(INDEX('LINE PLAN'!$B$36:$GS$61,0,ROW()-3),DR$3)</f>
        <v>0</v>
      </c>
      <c r="DS155" s="2">
        <f>COUNTIF(INDEX('LINE PLAN'!$B$36:$GS$61,0,ROW()-3),DS$3)</f>
        <v>0</v>
      </c>
      <c r="DT155" s="2">
        <f>COUNTIF(INDEX('LINE PLAN'!$B$36:$GS$61,0,ROW()-3),DT$3)</f>
        <v>0</v>
      </c>
      <c r="DU155" s="2">
        <f>COUNTIF(INDEX('LINE PLAN'!$B$36:$GS$61,0,ROW()-3),DU$3)</f>
        <v>0</v>
      </c>
      <c r="DV155" s="2">
        <f>COUNTIF(INDEX('LINE PLAN'!$B$36:$GS$61,0,ROW()-3),DV$3)</f>
        <v>0</v>
      </c>
    </row>
    <row r="156" spans="1:126">
      <c r="A156" s="505" cm="1">
        <f t="array" ref="A156">INDEX('LINE PLAN'!$B$35:$GS$35,ROW()-3)</f>
        <v>0</v>
      </c>
      <c r="B156" s="2">
        <f>SUMPRODUCT($CA156:$DV156,INDEX('MC MAP'!$DA$5:$EV$30,1,0))</f>
        <v>0</v>
      </c>
      <c r="C156" s="2">
        <f>SUMPRODUCT($CA156:$DV156,INDEX('MC MAP'!$DA$5:$EV$30,2,0))</f>
        <v>0</v>
      </c>
      <c r="D156" s="2">
        <f>SUMPRODUCT($CA156:$DV156,INDEX('MC MAP'!$DA$5:$EV$30,3,0))</f>
        <v>0</v>
      </c>
      <c r="E156" s="2">
        <f>SUMPRODUCT($CA156:$DV156,INDEX('MC MAP'!$DA$5:$EV$30,4,0))</f>
        <v>0</v>
      </c>
      <c r="F156" s="2">
        <f>SUMPRODUCT($CA156:$DV156,INDEX('MC MAP'!$DA$5:$EV$30,5,0))</f>
        <v>0</v>
      </c>
      <c r="G156" s="2">
        <f>SUMPRODUCT($CA156:$DV156,INDEX('MC MAP'!$DA$5:$EV$30,6,0))</f>
        <v>0</v>
      </c>
      <c r="H156" s="2">
        <f>SUMPRODUCT($CA156:$DV156,INDEX('MC MAP'!$DA$5:$EV$30,7,0))</f>
        <v>0</v>
      </c>
      <c r="I156" s="2">
        <f>SUMPRODUCT($CA156:$DV156,INDEX('MC MAP'!$DA$5:$EV$30,8,0))</f>
        <v>0</v>
      </c>
      <c r="J156" s="2">
        <f>SUMPRODUCT($CA156:$DV156,INDEX('MC MAP'!$DA$5:$EV$30,9,0))</f>
        <v>0</v>
      </c>
      <c r="K156" s="2">
        <f>SUMPRODUCT($CA156:$DV156,INDEX('MC MAP'!$DA$5:$EV$30,10,0))</f>
        <v>0</v>
      </c>
      <c r="L156" s="2">
        <f>SUMPRODUCT($CA156:$DV156,INDEX('MC MAP'!$DA$5:$EV$30,11,0))</f>
        <v>0</v>
      </c>
      <c r="M156" s="2">
        <f>SUMPRODUCT($CA156:$DV156,INDEX('MC MAP'!$DA$5:$EV$30,12,0))</f>
        <v>0</v>
      </c>
      <c r="N156" s="2">
        <f>SUMPRODUCT($CA156:$DV156,INDEX('MC MAP'!$DA$5:$EV$30,13,0))</f>
        <v>0</v>
      </c>
      <c r="O156" s="2">
        <f>SUMPRODUCT($CA156:$DV156,INDEX('MC MAP'!$DA$5:$EV$30,14,0))</f>
        <v>0</v>
      </c>
      <c r="P156" s="2">
        <f>SUMPRODUCT($CA156:$DV156,INDEX('MC MAP'!$DA$5:$EV$30,15,0))</f>
        <v>0</v>
      </c>
      <c r="Q156" s="2">
        <f>SUMPRODUCT($CA156:$DV156,INDEX('MC MAP'!$DA$5:$EV$30,16,0))</f>
        <v>0</v>
      </c>
      <c r="R156" s="2">
        <f>SUMPRODUCT($CA156:$DV156,INDEX('MC MAP'!$DA$5:$EV$30,17,0))</f>
        <v>0</v>
      </c>
      <c r="S156" s="2">
        <f>SUMPRODUCT($CA156:$DV156,INDEX('MC MAP'!$DA$5:$EV$30,18,0))</f>
        <v>0</v>
      </c>
      <c r="T156" s="2">
        <f>SUMPRODUCT($CA156:$DV156,INDEX('MC MAP'!$DA$5:$EV$30,19,0))</f>
        <v>0</v>
      </c>
      <c r="U156" s="2">
        <f>SUMPRODUCT($CA156:$DV156,INDEX('MC MAP'!$DA$5:$EV$30,20,0))</f>
        <v>0</v>
      </c>
      <c r="V156" s="2">
        <f>SUMPRODUCT($CA156:$DV156,INDEX('MC MAP'!$DA$5:$EV$30,21,0))</f>
        <v>0</v>
      </c>
      <c r="W156" s="2">
        <f>SUMPRODUCT($CA156:$DV156,INDEX('MC MAP'!$DA$5:$EV$30,22,0))</f>
        <v>0</v>
      </c>
      <c r="X156" s="2">
        <f>SUMPRODUCT($CA156:$DV156,INDEX('MC MAP'!$DA$5:$EV$30,23,0))</f>
        <v>0</v>
      </c>
      <c r="Y156" s="2">
        <f>SUMPRODUCT($CA156:$DV156,INDEX('MC MAP'!$DA$5:$EV$30,24,0))</f>
        <v>0</v>
      </c>
      <c r="Z156" s="2">
        <f>SUMPRODUCT($CA156:$DV156,INDEX('MC MAP'!$DA$5:$EV$30,25,0))</f>
        <v>0</v>
      </c>
      <c r="AA156" s="2">
        <f>SUMPRODUCT($CA156:$DV156,INDEX('MC MAP'!$DA$5:$EV$30,26,0))</f>
        <v>0</v>
      </c>
      <c r="AB156" s="2">
        <f>SUM($B156:$AA156)</f>
        <v>0</v>
      </c>
      <c r="AC156" s="2">
        <f>SUM($CA156:$DV156)+$AW156</f>
        <v>0</v>
      </c>
      <c r="AW156" s="2">
        <f>IF($A156=0,0,COUNTIF(INDEX('LINE PLAN'!$B$36:$GS$61,0,ROW()-3),"THERMAL - NOT SPECIFIED"))</f>
        <v>0</v>
      </c>
      <c r="AX156" s="506" cm="1">
        <f t="array" ref="AX156">IF(OR($AB156=0,UPPER($BS156)&lt;&gt;"Y"),0,SUMPRODUCT(--($B156:$AA156&gt;$B$205:$AA$205)))</f>
        <v>0</v>
      </c>
      <c r="AY156" s="507">
        <f>$A156</f>
        <v>0</v>
      </c>
      <c r="AZ156" s="2">
        <f>$AB156</f>
        <v>0</v>
      </c>
      <c r="BA156" s="2">
        <f>'MC MASTER'!$C$29</f>
        <v>920</v>
      </c>
      <c r="BQ156" s="509">
        <f>$A156</f>
        <v>0</v>
      </c>
      <c r="BR156" s="15" t="str">
        <f>TEXT($A156,"ddd")</f>
        <v>Sat</v>
      </c>
      <c r="BS156" s="547" t="str">
        <f>IF($A156=0,"",IF(WEEKDAY($A156,2)=7,"N","Y"))</f>
        <v/>
      </c>
      <c r="BT156" s="15">
        <f>IF(UPPER($BS156)="Y",$AB156,0)</f>
        <v>0</v>
      </c>
      <c r="CA156" s="2">
        <f>COUNTIF(INDEX('LINE PLAN'!$B$36:$GS$61,0,ROW()-3),CA$3)</f>
        <v>0</v>
      </c>
      <c r="CB156" s="2">
        <f>COUNTIF(INDEX('LINE PLAN'!$B$36:$GS$61,0,ROW()-3),CB$3)</f>
        <v>0</v>
      </c>
      <c r="CC156" s="2">
        <f>COUNTIF(INDEX('LINE PLAN'!$B$36:$GS$61,0,ROW()-3),CC$3)</f>
        <v>0</v>
      </c>
      <c r="CD156" s="2">
        <f>COUNTIF(INDEX('LINE PLAN'!$B$36:$GS$61,0,ROW()-3),CD$3)</f>
        <v>0</v>
      </c>
      <c r="CE156" s="2">
        <f>COUNTIF(INDEX('LINE PLAN'!$B$36:$GS$61,0,ROW()-3),CE$3)</f>
        <v>0</v>
      </c>
      <c r="CF156" s="2">
        <f>COUNTIF(INDEX('LINE PLAN'!$B$36:$GS$61,0,ROW()-3),CF$3)</f>
        <v>0</v>
      </c>
      <c r="CG156" s="2">
        <f>COUNTIF(INDEX('LINE PLAN'!$B$36:$GS$61,0,ROW()-3),CG$3)</f>
        <v>0</v>
      </c>
      <c r="CH156" s="2">
        <f>COUNTIF(INDEX('LINE PLAN'!$B$36:$GS$61,0,ROW()-3),CH$3)</f>
        <v>0</v>
      </c>
      <c r="CI156" s="2">
        <f>COUNTIF(INDEX('LINE PLAN'!$B$36:$GS$61,0,ROW()-3),CI$3)</f>
        <v>0</v>
      </c>
      <c r="CJ156" s="2">
        <f>COUNTIF(INDEX('LINE PLAN'!$B$36:$GS$61,0,ROW()-3),CJ$3)</f>
        <v>0</v>
      </c>
      <c r="CK156" s="2">
        <f>COUNTIF(INDEX('LINE PLAN'!$B$36:$GS$61,0,ROW()-3),CK$3)</f>
        <v>0</v>
      </c>
      <c r="CL156" s="2">
        <f>COUNTIF(INDEX('LINE PLAN'!$B$36:$GS$61,0,ROW()-3),CL$3)</f>
        <v>0</v>
      </c>
      <c r="CM156" s="2">
        <f>COUNTIF(INDEX('LINE PLAN'!$B$36:$GS$61,0,ROW()-3),CM$3)</f>
        <v>0</v>
      </c>
      <c r="CN156" s="2">
        <f>COUNTIF(INDEX('LINE PLAN'!$B$36:$GS$61,0,ROW()-3),CN$3)</f>
        <v>0</v>
      </c>
      <c r="CO156" s="2">
        <f>COUNTIF(INDEX('LINE PLAN'!$B$36:$GS$61,0,ROW()-3),CO$3)</f>
        <v>0</v>
      </c>
      <c r="CP156" s="2">
        <f>COUNTIF(INDEX('LINE PLAN'!$B$36:$GS$61,0,ROW()-3),CP$3)</f>
        <v>0</v>
      </c>
      <c r="CQ156" s="2">
        <f>COUNTIF(INDEX('LINE PLAN'!$B$36:$GS$61,0,ROW()-3),CQ$3)</f>
        <v>0</v>
      </c>
      <c r="CR156" s="2">
        <f>COUNTIF(INDEX('LINE PLAN'!$B$36:$GS$61,0,ROW()-3),CR$3)</f>
        <v>0</v>
      </c>
      <c r="CS156" s="2">
        <f>COUNTIF(INDEX('LINE PLAN'!$B$36:$GS$61,0,ROW()-3),CS$3)</f>
        <v>0</v>
      </c>
      <c r="CT156" s="2">
        <f>COUNTIF(INDEX('LINE PLAN'!$B$36:$GS$61,0,ROW()-3),CT$3)</f>
        <v>0</v>
      </c>
      <c r="CU156" s="2">
        <f>COUNTIF(INDEX('LINE PLAN'!$B$36:$GS$61,0,ROW()-3),CU$3)</f>
        <v>0</v>
      </c>
      <c r="CV156" s="2">
        <f>COUNTIF(INDEX('LINE PLAN'!$B$36:$GS$61,0,ROW()-3),CV$3)</f>
        <v>0</v>
      </c>
      <c r="CW156" s="2">
        <f>COUNTIF(INDEX('LINE PLAN'!$B$36:$GS$61,0,ROW()-3),CW$3)</f>
        <v>0</v>
      </c>
      <c r="CX156" s="2">
        <f>COUNTIF(INDEX('LINE PLAN'!$B$36:$GS$61,0,ROW()-3),CX$3)</f>
        <v>0</v>
      </c>
      <c r="CY156" s="2">
        <f>COUNTIF(INDEX('LINE PLAN'!$B$36:$GS$61,0,ROW()-3),CY$3)</f>
        <v>0</v>
      </c>
      <c r="CZ156" s="2">
        <f>COUNTIF(INDEX('LINE PLAN'!$B$36:$GS$61,0,ROW()-3),CZ$3)</f>
        <v>0</v>
      </c>
      <c r="DA156" s="2">
        <f>COUNTIF(INDEX('LINE PLAN'!$B$36:$GS$61,0,ROW()-3),DA$3)</f>
        <v>0</v>
      </c>
      <c r="DB156" s="2">
        <f>COUNTIF(INDEX('LINE PLAN'!$B$36:$GS$61,0,ROW()-3),DB$3)</f>
        <v>0</v>
      </c>
      <c r="DC156" s="2">
        <f>COUNTIF(INDEX('LINE PLAN'!$B$36:$GS$61,0,ROW()-3),DC$3)</f>
        <v>0</v>
      </c>
      <c r="DD156" s="2">
        <f>COUNTIF(INDEX('LINE PLAN'!$B$36:$GS$61,0,ROW()-3),DD$3)</f>
        <v>0</v>
      </c>
      <c r="DE156" s="2">
        <f>COUNTIF(INDEX('LINE PLAN'!$B$36:$GS$61,0,ROW()-3),DE$3)</f>
        <v>0</v>
      </c>
      <c r="DF156" s="2">
        <f>COUNTIF(INDEX('LINE PLAN'!$B$36:$GS$61,0,ROW()-3),DF$3)</f>
        <v>0</v>
      </c>
      <c r="DG156" s="2">
        <f>COUNTIF(INDEX('LINE PLAN'!$B$36:$GS$61,0,ROW()-3),DG$3)</f>
        <v>0</v>
      </c>
      <c r="DH156" s="2">
        <f>COUNTIF(INDEX('LINE PLAN'!$B$36:$GS$61,0,ROW()-3),DH$3)</f>
        <v>0</v>
      </c>
      <c r="DI156" s="2">
        <f>COUNTIF(INDEX('LINE PLAN'!$B$36:$GS$61,0,ROW()-3),DI$3)</f>
        <v>0</v>
      </c>
      <c r="DJ156" s="2">
        <f>COUNTIF(INDEX('LINE PLAN'!$B$36:$GS$61,0,ROW()-3),DJ$3)</f>
        <v>0</v>
      </c>
      <c r="DK156" s="2">
        <f>COUNTIF(INDEX('LINE PLAN'!$B$36:$GS$61,0,ROW()-3),DK$3)</f>
        <v>0</v>
      </c>
      <c r="DL156" s="2">
        <f>COUNTIF(INDEX('LINE PLAN'!$B$36:$GS$61,0,ROW()-3),DL$3)</f>
        <v>0</v>
      </c>
      <c r="DM156" s="2">
        <f>COUNTIF(INDEX('LINE PLAN'!$B$36:$GS$61,0,ROW()-3),DM$3)</f>
        <v>0</v>
      </c>
      <c r="DN156" s="2">
        <f>COUNTIF(INDEX('LINE PLAN'!$B$36:$GS$61,0,ROW()-3),DN$3)</f>
        <v>0</v>
      </c>
      <c r="DO156" s="2">
        <f>COUNTIF(INDEX('LINE PLAN'!$B$36:$GS$61,0,ROW()-3),DO$3)</f>
        <v>0</v>
      </c>
      <c r="DP156" s="2">
        <f>COUNTIF(INDEX('LINE PLAN'!$B$36:$GS$61,0,ROW()-3),DP$3)</f>
        <v>0</v>
      </c>
      <c r="DQ156" s="2">
        <f>COUNTIF(INDEX('LINE PLAN'!$B$36:$GS$61,0,ROW()-3),DQ$3)</f>
        <v>0</v>
      </c>
      <c r="DR156" s="2">
        <f>COUNTIF(INDEX('LINE PLAN'!$B$36:$GS$61,0,ROW()-3),DR$3)</f>
        <v>0</v>
      </c>
      <c r="DS156" s="2">
        <f>COUNTIF(INDEX('LINE PLAN'!$B$36:$GS$61,0,ROW()-3),DS$3)</f>
        <v>0</v>
      </c>
      <c r="DT156" s="2">
        <f>COUNTIF(INDEX('LINE PLAN'!$B$36:$GS$61,0,ROW()-3),DT$3)</f>
        <v>0</v>
      </c>
      <c r="DU156" s="2">
        <f>COUNTIF(INDEX('LINE PLAN'!$B$36:$GS$61,0,ROW()-3),DU$3)</f>
        <v>0</v>
      </c>
      <c r="DV156" s="2">
        <f>COUNTIF(INDEX('LINE PLAN'!$B$36:$GS$61,0,ROW()-3),DV$3)</f>
        <v>0</v>
      </c>
    </row>
    <row r="157" spans="1:126">
      <c r="A157" s="505" cm="1">
        <f t="array" ref="A157">INDEX('LINE PLAN'!$B$35:$GS$35,ROW()-3)</f>
        <v>0</v>
      </c>
      <c r="B157" s="2">
        <f>SUMPRODUCT($CA157:$DV157,INDEX('MC MAP'!$DA$5:$EV$30,1,0))</f>
        <v>0</v>
      </c>
      <c r="C157" s="2">
        <f>SUMPRODUCT($CA157:$DV157,INDEX('MC MAP'!$DA$5:$EV$30,2,0))</f>
        <v>0</v>
      </c>
      <c r="D157" s="2">
        <f>SUMPRODUCT($CA157:$DV157,INDEX('MC MAP'!$DA$5:$EV$30,3,0))</f>
        <v>0</v>
      </c>
      <c r="E157" s="2">
        <f>SUMPRODUCT($CA157:$DV157,INDEX('MC MAP'!$DA$5:$EV$30,4,0))</f>
        <v>0</v>
      </c>
      <c r="F157" s="2">
        <f>SUMPRODUCT($CA157:$DV157,INDEX('MC MAP'!$DA$5:$EV$30,5,0))</f>
        <v>0</v>
      </c>
      <c r="G157" s="2">
        <f>SUMPRODUCT($CA157:$DV157,INDEX('MC MAP'!$DA$5:$EV$30,6,0))</f>
        <v>0</v>
      </c>
      <c r="H157" s="2">
        <f>SUMPRODUCT($CA157:$DV157,INDEX('MC MAP'!$DA$5:$EV$30,7,0))</f>
        <v>0</v>
      </c>
      <c r="I157" s="2">
        <f>SUMPRODUCT($CA157:$DV157,INDEX('MC MAP'!$DA$5:$EV$30,8,0))</f>
        <v>0</v>
      </c>
      <c r="J157" s="2">
        <f>SUMPRODUCT($CA157:$DV157,INDEX('MC MAP'!$DA$5:$EV$30,9,0))</f>
        <v>0</v>
      </c>
      <c r="K157" s="2">
        <f>SUMPRODUCT($CA157:$DV157,INDEX('MC MAP'!$DA$5:$EV$30,10,0))</f>
        <v>0</v>
      </c>
      <c r="L157" s="2">
        <f>SUMPRODUCT($CA157:$DV157,INDEX('MC MAP'!$DA$5:$EV$30,11,0))</f>
        <v>0</v>
      </c>
      <c r="M157" s="2">
        <f>SUMPRODUCT($CA157:$DV157,INDEX('MC MAP'!$DA$5:$EV$30,12,0))</f>
        <v>0</v>
      </c>
      <c r="N157" s="2">
        <f>SUMPRODUCT($CA157:$DV157,INDEX('MC MAP'!$DA$5:$EV$30,13,0))</f>
        <v>0</v>
      </c>
      <c r="O157" s="2">
        <f>SUMPRODUCT($CA157:$DV157,INDEX('MC MAP'!$DA$5:$EV$30,14,0))</f>
        <v>0</v>
      </c>
      <c r="P157" s="2">
        <f>SUMPRODUCT($CA157:$DV157,INDEX('MC MAP'!$DA$5:$EV$30,15,0))</f>
        <v>0</v>
      </c>
      <c r="Q157" s="2">
        <f>SUMPRODUCT($CA157:$DV157,INDEX('MC MAP'!$DA$5:$EV$30,16,0))</f>
        <v>0</v>
      </c>
      <c r="R157" s="2">
        <f>SUMPRODUCT($CA157:$DV157,INDEX('MC MAP'!$DA$5:$EV$30,17,0))</f>
        <v>0</v>
      </c>
      <c r="S157" s="2">
        <f>SUMPRODUCT($CA157:$DV157,INDEX('MC MAP'!$DA$5:$EV$30,18,0))</f>
        <v>0</v>
      </c>
      <c r="T157" s="2">
        <f>SUMPRODUCT($CA157:$DV157,INDEX('MC MAP'!$DA$5:$EV$30,19,0))</f>
        <v>0</v>
      </c>
      <c r="U157" s="2">
        <f>SUMPRODUCT($CA157:$DV157,INDEX('MC MAP'!$DA$5:$EV$30,20,0))</f>
        <v>0</v>
      </c>
      <c r="V157" s="2">
        <f>SUMPRODUCT($CA157:$DV157,INDEX('MC MAP'!$DA$5:$EV$30,21,0))</f>
        <v>0</v>
      </c>
      <c r="W157" s="2">
        <f>SUMPRODUCT($CA157:$DV157,INDEX('MC MAP'!$DA$5:$EV$30,22,0))</f>
        <v>0</v>
      </c>
      <c r="X157" s="2">
        <f>SUMPRODUCT($CA157:$DV157,INDEX('MC MAP'!$DA$5:$EV$30,23,0))</f>
        <v>0</v>
      </c>
      <c r="Y157" s="2">
        <f>SUMPRODUCT($CA157:$DV157,INDEX('MC MAP'!$DA$5:$EV$30,24,0))</f>
        <v>0</v>
      </c>
      <c r="Z157" s="2">
        <f>SUMPRODUCT($CA157:$DV157,INDEX('MC MAP'!$DA$5:$EV$30,25,0))</f>
        <v>0</v>
      </c>
      <c r="AA157" s="2">
        <f>SUMPRODUCT($CA157:$DV157,INDEX('MC MAP'!$DA$5:$EV$30,26,0))</f>
        <v>0</v>
      </c>
      <c r="AB157" s="2">
        <f>SUM($B157:$AA157)</f>
        <v>0</v>
      </c>
      <c r="AC157" s="2">
        <f>SUM($CA157:$DV157)+$AW157</f>
        <v>0</v>
      </c>
      <c r="AW157" s="2">
        <f>IF($A157=0,0,COUNTIF(INDEX('LINE PLAN'!$B$36:$GS$61,0,ROW()-3),"THERMAL - NOT SPECIFIED"))</f>
        <v>0</v>
      </c>
      <c r="AX157" s="506" cm="1">
        <f t="array" ref="AX157">IF(OR($AB157=0,UPPER($BS157)&lt;&gt;"Y"),0,SUMPRODUCT(--($B157:$AA157&gt;$B$205:$AA$205)))</f>
        <v>0</v>
      </c>
      <c r="AY157" s="507">
        <f>$A157</f>
        <v>0</v>
      </c>
      <c r="AZ157" s="2">
        <f>$AB157</f>
        <v>0</v>
      </c>
      <c r="BA157" s="2">
        <f>'MC MASTER'!$C$29</f>
        <v>920</v>
      </c>
      <c r="BQ157" s="509">
        <f>$A157</f>
        <v>0</v>
      </c>
      <c r="BR157" s="15" t="str">
        <f>TEXT($A157,"ddd")</f>
        <v>Sat</v>
      </c>
      <c r="BS157" s="547" t="str">
        <f>IF($A157=0,"",IF(WEEKDAY($A157,2)=7,"N","Y"))</f>
        <v/>
      </c>
      <c r="BT157" s="15">
        <f>IF(UPPER($BS157)="Y",$AB157,0)</f>
        <v>0</v>
      </c>
      <c r="CA157" s="2">
        <f>COUNTIF(INDEX('LINE PLAN'!$B$36:$GS$61,0,ROW()-3),CA$3)</f>
        <v>0</v>
      </c>
      <c r="CB157" s="2">
        <f>COUNTIF(INDEX('LINE PLAN'!$B$36:$GS$61,0,ROW()-3),CB$3)</f>
        <v>0</v>
      </c>
      <c r="CC157" s="2">
        <f>COUNTIF(INDEX('LINE PLAN'!$B$36:$GS$61,0,ROW()-3),CC$3)</f>
        <v>0</v>
      </c>
      <c r="CD157" s="2">
        <f>COUNTIF(INDEX('LINE PLAN'!$B$36:$GS$61,0,ROW()-3),CD$3)</f>
        <v>0</v>
      </c>
      <c r="CE157" s="2">
        <f>COUNTIF(INDEX('LINE PLAN'!$B$36:$GS$61,0,ROW()-3),CE$3)</f>
        <v>0</v>
      </c>
      <c r="CF157" s="2">
        <f>COUNTIF(INDEX('LINE PLAN'!$B$36:$GS$61,0,ROW()-3),CF$3)</f>
        <v>0</v>
      </c>
      <c r="CG157" s="2">
        <f>COUNTIF(INDEX('LINE PLAN'!$B$36:$GS$61,0,ROW()-3),CG$3)</f>
        <v>0</v>
      </c>
      <c r="CH157" s="2">
        <f>COUNTIF(INDEX('LINE PLAN'!$B$36:$GS$61,0,ROW()-3),CH$3)</f>
        <v>0</v>
      </c>
      <c r="CI157" s="2">
        <f>COUNTIF(INDEX('LINE PLAN'!$B$36:$GS$61,0,ROW()-3),CI$3)</f>
        <v>0</v>
      </c>
      <c r="CJ157" s="2">
        <f>COUNTIF(INDEX('LINE PLAN'!$B$36:$GS$61,0,ROW()-3),CJ$3)</f>
        <v>0</v>
      </c>
      <c r="CK157" s="2">
        <f>COUNTIF(INDEX('LINE PLAN'!$B$36:$GS$61,0,ROW()-3),CK$3)</f>
        <v>0</v>
      </c>
      <c r="CL157" s="2">
        <f>COUNTIF(INDEX('LINE PLAN'!$B$36:$GS$61,0,ROW()-3),CL$3)</f>
        <v>0</v>
      </c>
      <c r="CM157" s="2">
        <f>COUNTIF(INDEX('LINE PLAN'!$B$36:$GS$61,0,ROW()-3),CM$3)</f>
        <v>0</v>
      </c>
      <c r="CN157" s="2">
        <f>COUNTIF(INDEX('LINE PLAN'!$B$36:$GS$61,0,ROW()-3),CN$3)</f>
        <v>0</v>
      </c>
      <c r="CO157" s="2">
        <f>COUNTIF(INDEX('LINE PLAN'!$B$36:$GS$61,0,ROW()-3),CO$3)</f>
        <v>0</v>
      </c>
      <c r="CP157" s="2">
        <f>COUNTIF(INDEX('LINE PLAN'!$B$36:$GS$61,0,ROW()-3),CP$3)</f>
        <v>0</v>
      </c>
      <c r="CQ157" s="2">
        <f>COUNTIF(INDEX('LINE PLAN'!$B$36:$GS$61,0,ROW()-3),CQ$3)</f>
        <v>0</v>
      </c>
      <c r="CR157" s="2">
        <f>COUNTIF(INDEX('LINE PLAN'!$B$36:$GS$61,0,ROW()-3),CR$3)</f>
        <v>0</v>
      </c>
      <c r="CS157" s="2">
        <f>COUNTIF(INDEX('LINE PLAN'!$B$36:$GS$61,0,ROW()-3),CS$3)</f>
        <v>0</v>
      </c>
      <c r="CT157" s="2">
        <f>COUNTIF(INDEX('LINE PLAN'!$B$36:$GS$61,0,ROW()-3),CT$3)</f>
        <v>0</v>
      </c>
      <c r="CU157" s="2">
        <f>COUNTIF(INDEX('LINE PLAN'!$B$36:$GS$61,0,ROW()-3),CU$3)</f>
        <v>0</v>
      </c>
      <c r="CV157" s="2">
        <f>COUNTIF(INDEX('LINE PLAN'!$B$36:$GS$61,0,ROW()-3),CV$3)</f>
        <v>0</v>
      </c>
      <c r="CW157" s="2">
        <f>COUNTIF(INDEX('LINE PLAN'!$B$36:$GS$61,0,ROW()-3),CW$3)</f>
        <v>0</v>
      </c>
      <c r="CX157" s="2">
        <f>COUNTIF(INDEX('LINE PLAN'!$B$36:$GS$61,0,ROW()-3),CX$3)</f>
        <v>0</v>
      </c>
      <c r="CY157" s="2">
        <f>COUNTIF(INDEX('LINE PLAN'!$B$36:$GS$61,0,ROW()-3),CY$3)</f>
        <v>0</v>
      </c>
      <c r="CZ157" s="2">
        <f>COUNTIF(INDEX('LINE PLAN'!$B$36:$GS$61,0,ROW()-3),CZ$3)</f>
        <v>0</v>
      </c>
      <c r="DA157" s="2">
        <f>COUNTIF(INDEX('LINE PLAN'!$B$36:$GS$61,0,ROW()-3),DA$3)</f>
        <v>0</v>
      </c>
      <c r="DB157" s="2">
        <f>COUNTIF(INDEX('LINE PLAN'!$B$36:$GS$61,0,ROW()-3),DB$3)</f>
        <v>0</v>
      </c>
      <c r="DC157" s="2">
        <f>COUNTIF(INDEX('LINE PLAN'!$B$36:$GS$61,0,ROW()-3),DC$3)</f>
        <v>0</v>
      </c>
      <c r="DD157" s="2">
        <f>COUNTIF(INDEX('LINE PLAN'!$B$36:$GS$61,0,ROW()-3),DD$3)</f>
        <v>0</v>
      </c>
      <c r="DE157" s="2">
        <f>COUNTIF(INDEX('LINE PLAN'!$B$36:$GS$61,0,ROW()-3),DE$3)</f>
        <v>0</v>
      </c>
      <c r="DF157" s="2">
        <f>COUNTIF(INDEX('LINE PLAN'!$B$36:$GS$61,0,ROW()-3),DF$3)</f>
        <v>0</v>
      </c>
      <c r="DG157" s="2">
        <f>COUNTIF(INDEX('LINE PLAN'!$B$36:$GS$61,0,ROW()-3),DG$3)</f>
        <v>0</v>
      </c>
      <c r="DH157" s="2">
        <f>COUNTIF(INDEX('LINE PLAN'!$B$36:$GS$61,0,ROW()-3),DH$3)</f>
        <v>0</v>
      </c>
      <c r="DI157" s="2">
        <f>COUNTIF(INDEX('LINE PLAN'!$B$36:$GS$61,0,ROW()-3),DI$3)</f>
        <v>0</v>
      </c>
      <c r="DJ157" s="2">
        <f>COUNTIF(INDEX('LINE PLAN'!$B$36:$GS$61,0,ROW()-3),DJ$3)</f>
        <v>0</v>
      </c>
      <c r="DK157" s="2">
        <f>COUNTIF(INDEX('LINE PLAN'!$B$36:$GS$61,0,ROW()-3),DK$3)</f>
        <v>0</v>
      </c>
      <c r="DL157" s="2">
        <f>COUNTIF(INDEX('LINE PLAN'!$B$36:$GS$61,0,ROW()-3),DL$3)</f>
        <v>0</v>
      </c>
      <c r="DM157" s="2">
        <f>COUNTIF(INDEX('LINE PLAN'!$B$36:$GS$61,0,ROW()-3),DM$3)</f>
        <v>0</v>
      </c>
      <c r="DN157" s="2">
        <f>COUNTIF(INDEX('LINE PLAN'!$B$36:$GS$61,0,ROW()-3),DN$3)</f>
        <v>0</v>
      </c>
      <c r="DO157" s="2">
        <f>COUNTIF(INDEX('LINE PLAN'!$B$36:$GS$61,0,ROW()-3),DO$3)</f>
        <v>0</v>
      </c>
      <c r="DP157" s="2">
        <f>COUNTIF(INDEX('LINE PLAN'!$B$36:$GS$61,0,ROW()-3),DP$3)</f>
        <v>0</v>
      </c>
      <c r="DQ157" s="2">
        <f>COUNTIF(INDEX('LINE PLAN'!$B$36:$GS$61,0,ROW()-3),DQ$3)</f>
        <v>0</v>
      </c>
      <c r="DR157" s="2">
        <f>COUNTIF(INDEX('LINE PLAN'!$B$36:$GS$61,0,ROW()-3),DR$3)</f>
        <v>0</v>
      </c>
      <c r="DS157" s="2">
        <f>COUNTIF(INDEX('LINE PLAN'!$B$36:$GS$61,0,ROW()-3),DS$3)</f>
        <v>0</v>
      </c>
      <c r="DT157" s="2">
        <f>COUNTIF(INDEX('LINE PLAN'!$B$36:$GS$61,0,ROW()-3),DT$3)</f>
        <v>0</v>
      </c>
      <c r="DU157" s="2">
        <f>COUNTIF(INDEX('LINE PLAN'!$B$36:$GS$61,0,ROW()-3),DU$3)</f>
        <v>0</v>
      </c>
      <c r="DV157" s="2">
        <f>COUNTIF(INDEX('LINE PLAN'!$B$36:$GS$61,0,ROW()-3),DV$3)</f>
        <v>0</v>
      </c>
    </row>
    <row r="158" spans="1:126">
      <c r="A158" s="505" cm="1">
        <f t="array" ref="A158">INDEX('LINE PLAN'!$B$35:$GS$35,ROW()-3)</f>
        <v>0</v>
      </c>
      <c r="B158" s="2">
        <f>SUMPRODUCT($CA158:$DV158,INDEX('MC MAP'!$DA$5:$EV$30,1,0))</f>
        <v>0</v>
      </c>
      <c r="C158" s="2">
        <f>SUMPRODUCT($CA158:$DV158,INDEX('MC MAP'!$DA$5:$EV$30,2,0))</f>
        <v>0</v>
      </c>
      <c r="D158" s="2">
        <f>SUMPRODUCT($CA158:$DV158,INDEX('MC MAP'!$DA$5:$EV$30,3,0))</f>
        <v>0</v>
      </c>
      <c r="E158" s="2">
        <f>SUMPRODUCT($CA158:$DV158,INDEX('MC MAP'!$DA$5:$EV$30,4,0))</f>
        <v>0</v>
      </c>
      <c r="F158" s="2">
        <f>SUMPRODUCT($CA158:$DV158,INDEX('MC MAP'!$DA$5:$EV$30,5,0))</f>
        <v>0</v>
      </c>
      <c r="G158" s="2">
        <f>SUMPRODUCT($CA158:$DV158,INDEX('MC MAP'!$DA$5:$EV$30,6,0))</f>
        <v>0</v>
      </c>
      <c r="H158" s="2">
        <f>SUMPRODUCT($CA158:$DV158,INDEX('MC MAP'!$DA$5:$EV$30,7,0))</f>
        <v>0</v>
      </c>
      <c r="I158" s="2">
        <f>SUMPRODUCT($CA158:$DV158,INDEX('MC MAP'!$DA$5:$EV$30,8,0))</f>
        <v>0</v>
      </c>
      <c r="J158" s="2">
        <f>SUMPRODUCT($CA158:$DV158,INDEX('MC MAP'!$DA$5:$EV$30,9,0))</f>
        <v>0</v>
      </c>
      <c r="K158" s="2">
        <f>SUMPRODUCT($CA158:$DV158,INDEX('MC MAP'!$DA$5:$EV$30,10,0))</f>
        <v>0</v>
      </c>
      <c r="L158" s="2">
        <f>SUMPRODUCT($CA158:$DV158,INDEX('MC MAP'!$DA$5:$EV$30,11,0))</f>
        <v>0</v>
      </c>
      <c r="M158" s="2">
        <f>SUMPRODUCT($CA158:$DV158,INDEX('MC MAP'!$DA$5:$EV$30,12,0))</f>
        <v>0</v>
      </c>
      <c r="N158" s="2">
        <f>SUMPRODUCT($CA158:$DV158,INDEX('MC MAP'!$DA$5:$EV$30,13,0))</f>
        <v>0</v>
      </c>
      <c r="O158" s="2">
        <f>SUMPRODUCT($CA158:$DV158,INDEX('MC MAP'!$DA$5:$EV$30,14,0))</f>
        <v>0</v>
      </c>
      <c r="P158" s="2">
        <f>SUMPRODUCT($CA158:$DV158,INDEX('MC MAP'!$DA$5:$EV$30,15,0))</f>
        <v>0</v>
      </c>
      <c r="Q158" s="2">
        <f>SUMPRODUCT($CA158:$DV158,INDEX('MC MAP'!$DA$5:$EV$30,16,0))</f>
        <v>0</v>
      </c>
      <c r="R158" s="2">
        <f>SUMPRODUCT($CA158:$DV158,INDEX('MC MAP'!$DA$5:$EV$30,17,0))</f>
        <v>0</v>
      </c>
      <c r="S158" s="2">
        <f>SUMPRODUCT($CA158:$DV158,INDEX('MC MAP'!$DA$5:$EV$30,18,0))</f>
        <v>0</v>
      </c>
      <c r="T158" s="2">
        <f>SUMPRODUCT($CA158:$DV158,INDEX('MC MAP'!$DA$5:$EV$30,19,0))</f>
        <v>0</v>
      </c>
      <c r="U158" s="2">
        <f>SUMPRODUCT($CA158:$DV158,INDEX('MC MAP'!$DA$5:$EV$30,20,0))</f>
        <v>0</v>
      </c>
      <c r="V158" s="2">
        <f>SUMPRODUCT($CA158:$DV158,INDEX('MC MAP'!$DA$5:$EV$30,21,0))</f>
        <v>0</v>
      </c>
      <c r="W158" s="2">
        <f>SUMPRODUCT($CA158:$DV158,INDEX('MC MAP'!$DA$5:$EV$30,22,0))</f>
        <v>0</v>
      </c>
      <c r="X158" s="2">
        <f>SUMPRODUCT($CA158:$DV158,INDEX('MC MAP'!$DA$5:$EV$30,23,0))</f>
        <v>0</v>
      </c>
      <c r="Y158" s="2">
        <f>SUMPRODUCT($CA158:$DV158,INDEX('MC MAP'!$DA$5:$EV$30,24,0))</f>
        <v>0</v>
      </c>
      <c r="Z158" s="2">
        <f>SUMPRODUCT($CA158:$DV158,INDEX('MC MAP'!$DA$5:$EV$30,25,0))</f>
        <v>0</v>
      </c>
      <c r="AA158" s="2">
        <f>SUMPRODUCT($CA158:$DV158,INDEX('MC MAP'!$DA$5:$EV$30,26,0))</f>
        <v>0</v>
      </c>
      <c r="AB158" s="2">
        <f>SUM($B158:$AA158)</f>
        <v>0</v>
      </c>
      <c r="AC158" s="2">
        <f>SUM($CA158:$DV158)+$AW158</f>
        <v>0</v>
      </c>
      <c r="AW158" s="2">
        <f>IF($A158=0,0,COUNTIF(INDEX('LINE PLAN'!$B$36:$GS$61,0,ROW()-3),"THERMAL - NOT SPECIFIED"))</f>
        <v>0</v>
      </c>
      <c r="AX158" s="506" cm="1">
        <f t="array" ref="AX158">IF(OR($AB158=0,UPPER($BS158)&lt;&gt;"Y"),0,SUMPRODUCT(--($B158:$AA158&gt;$B$205:$AA$205)))</f>
        <v>0</v>
      </c>
      <c r="AY158" s="507">
        <f>$A158</f>
        <v>0</v>
      </c>
      <c r="AZ158" s="2">
        <f>$AB158</f>
        <v>0</v>
      </c>
      <c r="BA158" s="2">
        <f>'MC MASTER'!$C$29</f>
        <v>920</v>
      </c>
      <c r="BQ158" s="509">
        <f>$A158</f>
        <v>0</v>
      </c>
      <c r="BR158" s="15" t="str">
        <f>TEXT($A158,"ddd")</f>
        <v>Sat</v>
      </c>
      <c r="BS158" s="547" t="str">
        <f>IF($A158=0,"",IF(WEEKDAY($A158,2)=7,"N","Y"))</f>
        <v/>
      </c>
      <c r="BT158" s="15">
        <f>IF(UPPER($BS158)="Y",$AB158,0)</f>
        <v>0</v>
      </c>
      <c r="CA158" s="2">
        <f>COUNTIF(INDEX('LINE PLAN'!$B$36:$GS$61,0,ROW()-3),CA$3)</f>
        <v>0</v>
      </c>
      <c r="CB158" s="2">
        <f>COUNTIF(INDEX('LINE PLAN'!$B$36:$GS$61,0,ROW()-3),CB$3)</f>
        <v>0</v>
      </c>
      <c r="CC158" s="2">
        <f>COUNTIF(INDEX('LINE PLAN'!$B$36:$GS$61,0,ROW()-3),CC$3)</f>
        <v>0</v>
      </c>
      <c r="CD158" s="2">
        <f>COUNTIF(INDEX('LINE PLAN'!$B$36:$GS$61,0,ROW()-3),CD$3)</f>
        <v>0</v>
      </c>
      <c r="CE158" s="2">
        <f>COUNTIF(INDEX('LINE PLAN'!$B$36:$GS$61,0,ROW()-3),CE$3)</f>
        <v>0</v>
      </c>
      <c r="CF158" s="2">
        <f>COUNTIF(INDEX('LINE PLAN'!$B$36:$GS$61,0,ROW()-3),CF$3)</f>
        <v>0</v>
      </c>
      <c r="CG158" s="2">
        <f>COUNTIF(INDEX('LINE PLAN'!$B$36:$GS$61,0,ROW()-3),CG$3)</f>
        <v>0</v>
      </c>
      <c r="CH158" s="2">
        <f>COUNTIF(INDEX('LINE PLAN'!$B$36:$GS$61,0,ROW()-3),CH$3)</f>
        <v>0</v>
      </c>
      <c r="CI158" s="2">
        <f>COUNTIF(INDEX('LINE PLAN'!$B$36:$GS$61,0,ROW()-3),CI$3)</f>
        <v>0</v>
      </c>
      <c r="CJ158" s="2">
        <f>COUNTIF(INDEX('LINE PLAN'!$B$36:$GS$61,0,ROW()-3),CJ$3)</f>
        <v>0</v>
      </c>
      <c r="CK158" s="2">
        <f>COUNTIF(INDEX('LINE PLAN'!$B$36:$GS$61,0,ROW()-3),CK$3)</f>
        <v>0</v>
      </c>
      <c r="CL158" s="2">
        <f>COUNTIF(INDEX('LINE PLAN'!$B$36:$GS$61,0,ROW()-3),CL$3)</f>
        <v>0</v>
      </c>
      <c r="CM158" s="2">
        <f>COUNTIF(INDEX('LINE PLAN'!$B$36:$GS$61,0,ROW()-3),CM$3)</f>
        <v>0</v>
      </c>
      <c r="CN158" s="2">
        <f>COUNTIF(INDEX('LINE PLAN'!$B$36:$GS$61,0,ROW()-3),CN$3)</f>
        <v>0</v>
      </c>
      <c r="CO158" s="2">
        <f>COUNTIF(INDEX('LINE PLAN'!$B$36:$GS$61,0,ROW()-3),CO$3)</f>
        <v>0</v>
      </c>
      <c r="CP158" s="2">
        <f>COUNTIF(INDEX('LINE PLAN'!$B$36:$GS$61,0,ROW()-3),CP$3)</f>
        <v>0</v>
      </c>
      <c r="CQ158" s="2">
        <f>COUNTIF(INDEX('LINE PLAN'!$B$36:$GS$61,0,ROW()-3),CQ$3)</f>
        <v>0</v>
      </c>
      <c r="CR158" s="2">
        <f>COUNTIF(INDEX('LINE PLAN'!$B$36:$GS$61,0,ROW()-3),CR$3)</f>
        <v>0</v>
      </c>
      <c r="CS158" s="2">
        <f>COUNTIF(INDEX('LINE PLAN'!$B$36:$GS$61,0,ROW()-3),CS$3)</f>
        <v>0</v>
      </c>
      <c r="CT158" s="2">
        <f>COUNTIF(INDEX('LINE PLAN'!$B$36:$GS$61,0,ROW()-3),CT$3)</f>
        <v>0</v>
      </c>
      <c r="CU158" s="2">
        <f>COUNTIF(INDEX('LINE PLAN'!$B$36:$GS$61,0,ROW()-3),CU$3)</f>
        <v>0</v>
      </c>
      <c r="CV158" s="2">
        <f>COUNTIF(INDEX('LINE PLAN'!$B$36:$GS$61,0,ROW()-3),CV$3)</f>
        <v>0</v>
      </c>
      <c r="CW158" s="2">
        <f>COUNTIF(INDEX('LINE PLAN'!$B$36:$GS$61,0,ROW()-3),CW$3)</f>
        <v>0</v>
      </c>
      <c r="CX158" s="2">
        <f>COUNTIF(INDEX('LINE PLAN'!$B$36:$GS$61,0,ROW()-3),CX$3)</f>
        <v>0</v>
      </c>
      <c r="CY158" s="2">
        <f>COUNTIF(INDEX('LINE PLAN'!$B$36:$GS$61,0,ROW()-3),CY$3)</f>
        <v>0</v>
      </c>
      <c r="CZ158" s="2">
        <f>COUNTIF(INDEX('LINE PLAN'!$B$36:$GS$61,0,ROW()-3),CZ$3)</f>
        <v>0</v>
      </c>
      <c r="DA158" s="2">
        <f>COUNTIF(INDEX('LINE PLAN'!$B$36:$GS$61,0,ROW()-3),DA$3)</f>
        <v>0</v>
      </c>
      <c r="DB158" s="2">
        <f>COUNTIF(INDEX('LINE PLAN'!$B$36:$GS$61,0,ROW()-3),DB$3)</f>
        <v>0</v>
      </c>
      <c r="DC158" s="2">
        <f>COUNTIF(INDEX('LINE PLAN'!$B$36:$GS$61,0,ROW()-3),DC$3)</f>
        <v>0</v>
      </c>
      <c r="DD158" s="2">
        <f>COUNTIF(INDEX('LINE PLAN'!$B$36:$GS$61,0,ROW()-3),DD$3)</f>
        <v>0</v>
      </c>
      <c r="DE158" s="2">
        <f>COUNTIF(INDEX('LINE PLAN'!$B$36:$GS$61,0,ROW()-3),DE$3)</f>
        <v>0</v>
      </c>
      <c r="DF158" s="2">
        <f>COUNTIF(INDEX('LINE PLAN'!$B$36:$GS$61,0,ROW()-3),DF$3)</f>
        <v>0</v>
      </c>
      <c r="DG158" s="2">
        <f>COUNTIF(INDEX('LINE PLAN'!$B$36:$GS$61,0,ROW()-3),DG$3)</f>
        <v>0</v>
      </c>
      <c r="DH158" s="2">
        <f>COUNTIF(INDEX('LINE PLAN'!$B$36:$GS$61,0,ROW()-3),DH$3)</f>
        <v>0</v>
      </c>
      <c r="DI158" s="2">
        <f>COUNTIF(INDEX('LINE PLAN'!$B$36:$GS$61,0,ROW()-3),DI$3)</f>
        <v>0</v>
      </c>
      <c r="DJ158" s="2">
        <f>COUNTIF(INDEX('LINE PLAN'!$B$36:$GS$61,0,ROW()-3),DJ$3)</f>
        <v>0</v>
      </c>
      <c r="DK158" s="2">
        <f>COUNTIF(INDEX('LINE PLAN'!$B$36:$GS$61,0,ROW()-3),DK$3)</f>
        <v>0</v>
      </c>
      <c r="DL158" s="2">
        <f>COUNTIF(INDEX('LINE PLAN'!$B$36:$GS$61,0,ROW()-3),DL$3)</f>
        <v>0</v>
      </c>
      <c r="DM158" s="2">
        <f>COUNTIF(INDEX('LINE PLAN'!$B$36:$GS$61,0,ROW()-3),DM$3)</f>
        <v>0</v>
      </c>
      <c r="DN158" s="2">
        <f>COUNTIF(INDEX('LINE PLAN'!$B$36:$GS$61,0,ROW()-3),DN$3)</f>
        <v>0</v>
      </c>
      <c r="DO158" s="2">
        <f>COUNTIF(INDEX('LINE PLAN'!$B$36:$GS$61,0,ROW()-3),DO$3)</f>
        <v>0</v>
      </c>
      <c r="DP158" s="2">
        <f>COUNTIF(INDEX('LINE PLAN'!$B$36:$GS$61,0,ROW()-3),DP$3)</f>
        <v>0</v>
      </c>
      <c r="DQ158" s="2">
        <f>COUNTIF(INDEX('LINE PLAN'!$B$36:$GS$61,0,ROW()-3),DQ$3)</f>
        <v>0</v>
      </c>
      <c r="DR158" s="2">
        <f>COUNTIF(INDEX('LINE PLAN'!$B$36:$GS$61,0,ROW()-3),DR$3)</f>
        <v>0</v>
      </c>
      <c r="DS158" s="2">
        <f>COUNTIF(INDEX('LINE PLAN'!$B$36:$GS$61,0,ROW()-3),DS$3)</f>
        <v>0</v>
      </c>
      <c r="DT158" s="2">
        <f>COUNTIF(INDEX('LINE PLAN'!$B$36:$GS$61,0,ROW()-3),DT$3)</f>
        <v>0</v>
      </c>
      <c r="DU158" s="2">
        <f>COUNTIF(INDEX('LINE PLAN'!$B$36:$GS$61,0,ROW()-3),DU$3)</f>
        <v>0</v>
      </c>
      <c r="DV158" s="2">
        <f>COUNTIF(INDEX('LINE PLAN'!$B$36:$GS$61,0,ROW()-3),DV$3)</f>
        <v>0</v>
      </c>
    </row>
    <row r="159" spans="1:126">
      <c r="A159" s="505" cm="1">
        <f t="array" ref="A159">INDEX('LINE PLAN'!$B$35:$GS$35,ROW()-3)</f>
        <v>0</v>
      </c>
      <c r="B159" s="2">
        <f>SUMPRODUCT($CA159:$DV159,INDEX('MC MAP'!$DA$5:$EV$30,1,0))</f>
        <v>0</v>
      </c>
      <c r="C159" s="2">
        <f>SUMPRODUCT($CA159:$DV159,INDEX('MC MAP'!$DA$5:$EV$30,2,0))</f>
        <v>0</v>
      </c>
      <c r="D159" s="2">
        <f>SUMPRODUCT($CA159:$DV159,INDEX('MC MAP'!$DA$5:$EV$30,3,0))</f>
        <v>0</v>
      </c>
      <c r="E159" s="2">
        <f>SUMPRODUCT($CA159:$DV159,INDEX('MC MAP'!$DA$5:$EV$30,4,0))</f>
        <v>0</v>
      </c>
      <c r="F159" s="2">
        <f>SUMPRODUCT($CA159:$DV159,INDEX('MC MAP'!$DA$5:$EV$30,5,0))</f>
        <v>0</v>
      </c>
      <c r="G159" s="2">
        <f>SUMPRODUCT($CA159:$DV159,INDEX('MC MAP'!$DA$5:$EV$30,6,0))</f>
        <v>0</v>
      </c>
      <c r="H159" s="2">
        <f>SUMPRODUCT($CA159:$DV159,INDEX('MC MAP'!$DA$5:$EV$30,7,0))</f>
        <v>0</v>
      </c>
      <c r="I159" s="2">
        <f>SUMPRODUCT($CA159:$DV159,INDEX('MC MAP'!$DA$5:$EV$30,8,0))</f>
        <v>0</v>
      </c>
      <c r="J159" s="2">
        <f>SUMPRODUCT($CA159:$DV159,INDEX('MC MAP'!$DA$5:$EV$30,9,0))</f>
        <v>0</v>
      </c>
      <c r="K159" s="2">
        <f>SUMPRODUCT($CA159:$DV159,INDEX('MC MAP'!$DA$5:$EV$30,10,0))</f>
        <v>0</v>
      </c>
      <c r="L159" s="2">
        <f>SUMPRODUCT($CA159:$DV159,INDEX('MC MAP'!$DA$5:$EV$30,11,0))</f>
        <v>0</v>
      </c>
      <c r="M159" s="2">
        <f>SUMPRODUCT($CA159:$DV159,INDEX('MC MAP'!$DA$5:$EV$30,12,0))</f>
        <v>0</v>
      </c>
      <c r="N159" s="2">
        <f>SUMPRODUCT($CA159:$DV159,INDEX('MC MAP'!$DA$5:$EV$30,13,0))</f>
        <v>0</v>
      </c>
      <c r="O159" s="2">
        <f>SUMPRODUCT($CA159:$DV159,INDEX('MC MAP'!$DA$5:$EV$30,14,0))</f>
        <v>0</v>
      </c>
      <c r="P159" s="2">
        <f>SUMPRODUCT($CA159:$DV159,INDEX('MC MAP'!$DA$5:$EV$30,15,0))</f>
        <v>0</v>
      </c>
      <c r="Q159" s="2">
        <f>SUMPRODUCT($CA159:$DV159,INDEX('MC MAP'!$DA$5:$EV$30,16,0))</f>
        <v>0</v>
      </c>
      <c r="R159" s="2">
        <f>SUMPRODUCT($CA159:$DV159,INDEX('MC MAP'!$DA$5:$EV$30,17,0))</f>
        <v>0</v>
      </c>
      <c r="S159" s="2">
        <f>SUMPRODUCT($CA159:$DV159,INDEX('MC MAP'!$DA$5:$EV$30,18,0))</f>
        <v>0</v>
      </c>
      <c r="T159" s="2">
        <f>SUMPRODUCT($CA159:$DV159,INDEX('MC MAP'!$DA$5:$EV$30,19,0))</f>
        <v>0</v>
      </c>
      <c r="U159" s="2">
        <f>SUMPRODUCT($CA159:$DV159,INDEX('MC MAP'!$DA$5:$EV$30,20,0))</f>
        <v>0</v>
      </c>
      <c r="V159" s="2">
        <f>SUMPRODUCT($CA159:$DV159,INDEX('MC MAP'!$DA$5:$EV$30,21,0))</f>
        <v>0</v>
      </c>
      <c r="W159" s="2">
        <f>SUMPRODUCT($CA159:$DV159,INDEX('MC MAP'!$DA$5:$EV$30,22,0))</f>
        <v>0</v>
      </c>
      <c r="X159" s="2">
        <f>SUMPRODUCT($CA159:$DV159,INDEX('MC MAP'!$DA$5:$EV$30,23,0))</f>
        <v>0</v>
      </c>
      <c r="Y159" s="2">
        <f>SUMPRODUCT($CA159:$DV159,INDEX('MC MAP'!$DA$5:$EV$30,24,0))</f>
        <v>0</v>
      </c>
      <c r="Z159" s="2">
        <f>SUMPRODUCT($CA159:$DV159,INDEX('MC MAP'!$DA$5:$EV$30,25,0))</f>
        <v>0</v>
      </c>
      <c r="AA159" s="2">
        <f>SUMPRODUCT($CA159:$DV159,INDEX('MC MAP'!$DA$5:$EV$30,26,0))</f>
        <v>0</v>
      </c>
      <c r="AB159" s="2">
        <f>SUM($B159:$AA159)</f>
        <v>0</v>
      </c>
      <c r="AC159" s="2">
        <f>SUM($CA159:$DV159)+$AW159</f>
        <v>0</v>
      </c>
      <c r="AW159" s="2">
        <f>IF($A159=0,0,COUNTIF(INDEX('LINE PLAN'!$B$36:$GS$61,0,ROW()-3),"THERMAL - NOT SPECIFIED"))</f>
        <v>0</v>
      </c>
      <c r="AX159" s="506" cm="1">
        <f t="array" ref="AX159">IF(OR($AB159=0,UPPER($BS159)&lt;&gt;"Y"),0,SUMPRODUCT(--($B159:$AA159&gt;$B$205:$AA$205)))</f>
        <v>0</v>
      </c>
      <c r="AY159" s="507">
        <f>$A159</f>
        <v>0</v>
      </c>
      <c r="AZ159" s="2">
        <f>$AB159</f>
        <v>0</v>
      </c>
      <c r="BA159" s="2">
        <f>'MC MASTER'!$C$29</f>
        <v>920</v>
      </c>
      <c r="BQ159" s="509">
        <f>$A159</f>
        <v>0</v>
      </c>
      <c r="BR159" s="15" t="str">
        <f>TEXT($A159,"ddd")</f>
        <v>Sat</v>
      </c>
      <c r="BS159" s="547" t="str">
        <f>IF($A159=0,"",IF(WEEKDAY($A159,2)=7,"N","Y"))</f>
        <v/>
      </c>
      <c r="BT159" s="15">
        <f>IF(UPPER($BS159)="Y",$AB159,0)</f>
        <v>0</v>
      </c>
      <c r="CA159" s="2">
        <f>COUNTIF(INDEX('LINE PLAN'!$B$36:$GS$61,0,ROW()-3),CA$3)</f>
        <v>0</v>
      </c>
      <c r="CB159" s="2">
        <f>COUNTIF(INDEX('LINE PLAN'!$B$36:$GS$61,0,ROW()-3),CB$3)</f>
        <v>0</v>
      </c>
      <c r="CC159" s="2">
        <f>COUNTIF(INDEX('LINE PLAN'!$B$36:$GS$61,0,ROW()-3),CC$3)</f>
        <v>0</v>
      </c>
      <c r="CD159" s="2">
        <f>COUNTIF(INDEX('LINE PLAN'!$B$36:$GS$61,0,ROW()-3),CD$3)</f>
        <v>0</v>
      </c>
      <c r="CE159" s="2">
        <f>COUNTIF(INDEX('LINE PLAN'!$B$36:$GS$61,0,ROW()-3),CE$3)</f>
        <v>0</v>
      </c>
      <c r="CF159" s="2">
        <f>COUNTIF(INDEX('LINE PLAN'!$B$36:$GS$61,0,ROW()-3),CF$3)</f>
        <v>0</v>
      </c>
      <c r="CG159" s="2">
        <f>COUNTIF(INDEX('LINE PLAN'!$B$36:$GS$61,0,ROW()-3),CG$3)</f>
        <v>0</v>
      </c>
      <c r="CH159" s="2">
        <f>COUNTIF(INDEX('LINE PLAN'!$B$36:$GS$61,0,ROW()-3),CH$3)</f>
        <v>0</v>
      </c>
      <c r="CI159" s="2">
        <f>COUNTIF(INDEX('LINE PLAN'!$B$36:$GS$61,0,ROW()-3),CI$3)</f>
        <v>0</v>
      </c>
      <c r="CJ159" s="2">
        <f>COUNTIF(INDEX('LINE PLAN'!$B$36:$GS$61,0,ROW()-3),CJ$3)</f>
        <v>0</v>
      </c>
      <c r="CK159" s="2">
        <f>COUNTIF(INDEX('LINE PLAN'!$B$36:$GS$61,0,ROW()-3),CK$3)</f>
        <v>0</v>
      </c>
      <c r="CL159" s="2">
        <f>COUNTIF(INDEX('LINE PLAN'!$B$36:$GS$61,0,ROW()-3),CL$3)</f>
        <v>0</v>
      </c>
      <c r="CM159" s="2">
        <f>COUNTIF(INDEX('LINE PLAN'!$B$36:$GS$61,0,ROW()-3),CM$3)</f>
        <v>0</v>
      </c>
      <c r="CN159" s="2">
        <f>COUNTIF(INDEX('LINE PLAN'!$B$36:$GS$61,0,ROW()-3),CN$3)</f>
        <v>0</v>
      </c>
      <c r="CO159" s="2">
        <f>COUNTIF(INDEX('LINE PLAN'!$B$36:$GS$61,0,ROW()-3),CO$3)</f>
        <v>0</v>
      </c>
      <c r="CP159" s="2">
        <f>COUNTIF(INDEX('LINE PLAN'!$B$36:$GS$61,0,ROW()-3),CP$3)</f>
        <v>0</v>
      </c>
      <c r="CQ159" s="2">
        <f>COUNTIF(INDEX('LINE PLAN'!$B$36:$GS$61,0,ROW()-3),CQ$3)</f>
        <v>0</v>
      </c>
      <c r="CR159" s="2">
        <f>COUNTIF(INDEX('LINE PLAN'!$B$36:$GS$61,0,ROW()-3),CR$3)</f>
        <v>0</v>
      </c>
      <c r="CS159" s="2">
        <f>COUNTIF(INDEX('LINE PLAN'!$B$36:$GS$61,0,ROW()-3),CS$3)</f>
        <v>0</v>
      </c>
      <c r="CT159" s="2">
        <f>COUNTIF(INDEX('LINE PLAN'!$B$36:$GS$61,0,ROW()-3),CT$3)</f>
        <v>0</v>
      </c>
      <c r="CU159" s="2">
        <f>COUNTIF(INDEX('LINE PLAN'!$B$36:$GS$61,0,ROW()-3),CU$3)</f>
        <v>0</v>
      </c>
      <c r="CV159" s="2">
        <f>COUNTIF(INDEX('LINE PLAN'!$B$36:$GS$61,0,ROW()-3),CV$3)</f>
        <v>0</v>
      </c>
      <c r="CW159" s="2">
        <f>COUNTIF(INDEX('LINE PLAN'!$B$36:$GS$61,0,ROW()-3),CW$3)</f>
        <v>0</v>
      </c>
      <c r="CX159" s="2">
        <f>COUNTIF(INDEX('LINE PLAN'!$B$36:$GS$61,0,ROW()-3),CX$3)</f>
        <v>0</v>
      </c>
      <c r="CY159" s="2">
        <f>COUNTIF(INDEX('LINE PLAN'!$B$36:$GS$61,0,ROW()-3),CY$3)</f>
        <v>0</v>
      </c>
      <c r="CZ159" s="2">
        <f>COUNTIF(INDEX('LINE PLAN'!$B$36:$GS$61,0,ROW()-3),CZ$3)</f>
        <v>0</v>
      </c>
      <c r="DA159" s="2">
        <f>COUNTIF(INDEX('LINE PLAN'!$B$36:$GS$61,0,ROW()-3),DA$3)</f>
        <v>0</v>
      </c>
      <c r="DB159" s="2">
        <f>COUNTIF(INDEX('LINE PLAN'!$B$36:$GS$61,0,ROW()-3),DB$3)</f>
        <v>0</v>
      </c>
      <c r="DC159" s="2">
        <f>COUNTIF(INDEX('LINE PLAN'!$B$36:$GS$61,0,ROW()-3),DC$3)</f>
        <v>0</v>
      </c>
      <c r="DD159" s="2">
        <f>COUNTIF(INDEX('LINE PLAN'!$B$36:$GS$61,0,ROW()-3),DD$3)</f>
        <v>0</v>
      </c>
      <c r="DE159" s="2">
        <f>COUNTIF(INDEX('LINE PLAN'!$B$36:$GS$61,0,ROW()-3),DE$3)</f>
        <v>0</v>
      </c>
      <c r="DF159" s="2">
        <f>COUNTIF(INDEX('LINE PLAN'!$B$36:$GS$61,0,ROW()-3),DF$3)</f>
        <v>0</v>
      </c>
      <c r="DG159" s="2">
        <f>COUNTIF(INDEX('LINE PLAN'!$B$36:$GS$61,0,ROW()-3),DG$3)</f>
        <v>0</v>
      </c>
      <c r="DH159" s="2">
        <f>COUNTIF(INDEX('LINE PLAN'!$B$36:$GS$61,0,ROW()-3),DH$3)</f>
        <v>0</v>
      </c>
      <c r="DI159" s="2">
        <f>COUNTIF(INDEX('LINE PLAN'!$B$36:$GS$61,0,ROW()-3),DI$3)</f>
        <v>0</v>
      </c>
      <c r="DJ159" s="2">
        <f>COUNTIF(INDEX('LINE PLAN'!$B$36:$GS$61,0,ROW()-3),DJ$3)</f>
        <v>0</v>
      </c>
      <c r="DK159" s="2">
        <f>COUNTIF(INDEX('LINE PLAN'!$B$36:$GS$61,0,ROW()-3),DK$3)</f>
        <v>0</v>
      </c>
      <c r="DL159" s="2">
        <f>COUNTIF(INDEX('LINE PLAN'!$B$36:$GS$61,0,ROW()-3),DL$3)</f>
        <v>0</v>
      </c>
      <c r="DM159" s="2">
        <f>COUNTIF(INDEX('LINE PLAN'!$B$36:$GS$61,0,ROW()-3),DM$3)</f>
        <v>0</v>
      </c>
      <c r="DN159" s="2">
        <f>COUNTIF(INDEX('LINE PLAN'!$B$36:$GS$61,0,ROW()-3),DN$3)</f>
        <v>0</v>
      </c>
      <c r="DO159" s="2">
        <f>COUNTIF(INDEX('LINE PLAN'!$B$36:$GS$61,0,ROW()-3),DO$3)</f>
        <v>0</v>
      </c>
      <c r="DP159" s="2">
        <f>COUNTIF(INDEX('LINE PLAN'!$B$36:$GS$61,0,ROW()-3),DP$3)</f>
        <v>0</v>
      </c>
      <c r="DQ159" s="2">
        <f>COUNTIF(INDEX('LINE PLAN'!$B$36:$GS$61,0,ROW()-3),DQ$3)</f>
        <v>0</v>
      </c>
      <c r="DR159" s="2">
        <f>COUNTIF(INDEX('LINE PLAN'!$B$36:$GS$61,0,ROW()-3),DR$3)</f>
        <v>0</v>
      </c>
      <c r="DS159" s="2">
        <f>COUNTIF(INDEX('LINE PLAN'!$B$36:$GS$61,0,ROW()-3),DS$3)</f>
        <v>0</v>
      </c>
      <c r="DT159" s="2">
        <f>COUNTIF(INDEX('LINE PLAN'!$B$36:$GS$61,0,ROW()-3),DT$3)</f>
        <v>0</v>
      </c>
      <c r="DU159" s="2">
        <f>COUNTIF(INDEX('LINE PLAN'!$B$36:$GS$61,0,ROW()-3),DU$3)</f>
        <v>0</v>
      </c>
      <c r="DV159" s="2">
        <f>COUNTIF(INDEX('LINE PLAN'!$B$36:$GS$61,0,ROW()-3),DV$3)</f>
        <v>0</v>
      </c>
    </row>
    <row r="160" spans="1:126">
      <c r="A160" s="505" cm="1">
        <f t="array" ref="A160">INDEX('LINE PLAN'!$B$35:$GS$35,ROW()-3)</f>
        <v>0</v>
      </c>
      <c r="B160" s="2">
        <f>SUMPRODUCT($CA160:$DV160,INDEX('MC MAP'!$DA$5:$EV$30,1,0))</f>
        <v>0</v>
      </c>
      <c r="C160" s="2">
        <f>SUMPRODUCT($CA160:$DV160,INDEX('MC MAP'!$DA$5:$EV$30,2,0))</f>
        <v>0</v>
      </c>
      <c r="D160" s="2">
        <f>SUMPRODUCT($CA160:$DV160,INDEX('MC MAP'!$DA$5:$EV$30,3,0))</f>
        <v>0</v>
      </c>
      <c r="E160" s="2">
        <f>SUMPRODUCT($CA160:$DV160,INDEX('MC MAP'!$DA$5:$EV$30,4,0))</f>
        <v>0</v>
      </c>
      <c r="F160" s="2">
        <f>SUMPRODUCT($CA160:$DV160,INDEX('MC MAP'!$DA$5:$EV$30,5,0))</f>
        <v>0</v>
      </c>
      <c r="G160" s="2">
        <f>SUMPRODUCT($CA160:$DV160,INDEX('MC MAP'!$DA$5:$EV$30,6,0))</f>
        <v>0</v>
      </c>
      <c r="H160" s="2">
        <f>SUMPRODUCT($CA160:$DV160,INDEX('MC MAP'!$DA$5:$EV$30,7,0))</f>
        <v>0</v>
      </c>
      <c r="I160" s="2">
        <f>SUMPRODUCT($CA160:$DV160,INDEX('MC MAP'!$DA$5:$EV$30,8,0))</f>
        <v>0</v>
      </c>
      <c r="J160" s="2">
        <f>SUMPRODUCT($CA160:$DV160,INDEX('MC MAP'!$DA$5:$EV$30,9,0))</f>
        <v>0</v>
      </c>
      <c r="K160" s="2">
        <f>SUMPRODUCT($CA160:$DV160,INDEX('MC MAP'!$DA$5:$EV$30,10,0))</f>
        <v>0</v>
      </c>
      <c r="L160" s="2">
        <f>SUMPRODUCT($CA160:$DV160,INDEX('MC MAP'!$DA$5:$EV$30,11,0))</f>
        <v>0</v>
      </c>
      <c r="M160" s="2">
        <f>SUMPRODUCT($CA160:$DV160,INDEX('MC MAP'!$DA$5:$EV$30,12,0))</f>
        <v>0</v>
      </c>
      <c r="N160" s="2">
        <f>SUMPRODUCT($CA160:$DV160,INDEX('MC MAP'!$DA$5:$EV$30,13,0))</f>
        <v>0</v>
      </c>
      <c r="O160" s="2">
        <f>SUMPRODUCT($CA160:$DV160,INDEX('MC MAP'!$DA$5:$EV$30,14,0))</f>
        <v>0</v>
      </c>
      <c r="P160" s="2">
        <f>SUMPRODUCT($CA160:$DV160,INDEX('MC MAP'!$DA$5:$EV$30,15,0))</f>
        <v>0</v>
      </c>
      <c r="Q160" s="2">
        <f>SUMPRODUCT($CA160:$DV160,INDEX('MC MAP'!$DA$5:$EV$30,16,0))</f>
        <v>0</v>
      </c>
      <c r="R160" s="2">
        <f>SUMPRODUCT($CA160:$DV160,INDEX('MC MAP'!$DA$5:$EV$30,17,0))</f>
        <v>0</v>
      </c>
      <c r="S160" s="2">
        <f>SUMPRODUCT($CA160:$DV160,INDEX('MC MAP'!$DA$5:$EV$30,18,0))</f>
        <v>0</v>
      </c>
      <c r="T160" s="2">
        <f>SUMPRODUCT($CA160:$DV160,INDEX('MC MAP'!$DA$5:$EV$30,19,0))</f>
        <v>0</v>
      </c>
      <c r="U160" s="2">
        <f>SUMPRODUCT($CA160:$DV160,INDEX('MC MAP'!$DA$5:$EV$30,20,0))</f>
        <v>0</v>
      </c>
      <c r="V160" s="2">
        <f>SUMPRODUCT($CA160:$DV160,INDEX('MC MAP'!$DA$5:$EV$30,21,0))</f>
        <v>0</v>
      </c>
      <c r="W160" s="2">
        <f>SUMPRODUCT($CA160:$DV160,INDEX('MC MAP'!$DA$5:$EV$30,22,0))</f>
        <v>0</v>
      </c>
      <c r="X160" s="2">
        <f>SUMPRODUCT($CA160:$DV160,INDEX('MC MAP'!$DA$5:$EV$30,23,0))</f>
        <v>0</v>
      </c>
      <c r="Y160" s="2">
        <f>SUMPRODUCT($CA160:$DV160,INDEX('MC MAP'!$DA$5:$EV$30,24,0))</f>
        <v>0</v>
      </c>
      <c r="Z160" s="2">
        <f>SUMPRODUCT($CA160:$DV160,INDEX('MC MAP'!$DA$5:$EV$30,25,0))</f>
        <v>0</v>
      </c>
      <c r="AA160" s="2">
        <f>SUMPRODUCT($CA160:$DV160,INDEX('MC MAP'!$DA$5:$EV$30,26,0))</f>
        <v>0</v>
      </c>
      <c r="AB160" s="2">
        <f>SUM($B160:$AA160)</f>
        <v>0</v>
      </c>
      <c r="AC160" s="2">
        <f>SUM($CA160:$DV160)+$AW160</f>
        <v>0</v>
      </c>
      <c r="AW160" s="2">
        <f>IF($A160=0,0,COUNTIF(INDEX('LINE PLAN'!$B$36:$GS$61,0,ROW()-3),"THERMAL - NOT SPECIFIED"))</f>
        <v>0</v>
      </c>
      <c r="AX160" s="506" cm="1">
        <f t="array" ref="AX160">IF(OR($AB160=0,UPPER($BS160)&lt;&gt;"Y"),0,SUMPRODUCT(--($B160:$AA160&gt;$B$205:$AA$205)))</f>
        <v>0</v>
      </c>
      <c r="AY160" s="507">
        <f>$A160</f>
        <v>0</v>
      </c>
      <c r="AZ160" s="2">
        <f>$AB160</f>
        <v>0</v>
      </c>
      <c r="BA160" s="2">
        <f>'MC MASTER'!$C$29</f>
        <v>920</v>
      </c>
      <c r="BQ160" s="509">
        <f>$A160</f>
        <v>0</v>
      </c>
      <c r="BR160" s="15" t="str">
        <f>TEXT($A160,"ddd")</f>
        <v>Sat</v>
      </c>
      <c r="BS160" s="547" t="str">
        <f>IF($A160=0,"",IF(WEEKDAY($A160,2)=7,"N","Y"))</f>
        <v/>
      </c>
      <c r="BT160" s="15">
        <f>IF(UPPER($BS160)="Y",$AB160,0)</f>
        <v>0</v>
      </c>
      <c r="CA160" s="2">
        <f>COUNTIF(INDEX('LINE PLAN'!$B$36:$GS$61,0,ROW()-3),CA$3)</f>
        <v>0</v>
      </c>
      <c r="CB160" s="2">
        <f>COUNTIF(INDEX('LINE PLAN'!$B$36:$GS$61,0,ROW()-3),CB$3)</f>
        <v>0</v>
      </c>
      <c r="CC160" s="2">
        <f>COUNTIF(INDEX('LINE PLAN'!$B$36:$GS$61,0,ROW()-3),CC$3)</f>
        <v>0</v>
      </c>
      <c r="CD160" s="2">
        <f>COUNTIF(INDEX('LINE PLAN'!$B$36:$GS$61,0,ROW()-3),CD$3)</f>
        <v>0</v>
      </c>
      <c r="CE160" s="2">
        <f>COUNTIF(INDEX('LINE PLAN'!$B$36:$GS$61,0,ROW()-3),CE$3)</f>
        <v>0</v>
      </c>
      <c r="CF160" s="2">
        <f>COUNTIF(INDEX('LINE PLAN'!$B$36:$GS$61,0,ROW()-3),CF$3)</f>
        <v>0</v>
      </c>
      <c r="CG160" s="2">
        <f>COUNTIF(INDEX('LINE PLAN'!$B$36:$GS$61,0,ROW()-3),CG$3)</f>
        <v>0</v>
      </c>
      <c r="CH160" s="2">
        <f>COUNTIF(INDEX('LINE PLAN'!$B$36:$GS$61,0,ROW()-3),CH$3)</f>
        <v>0</v>
      </c>
      <c r="CI160" s="2">
        <f>COUNTIF(INDEX('LINE PLAN'!$B$36:$GS$61,0,ROW()-3),CI$3)</f>
        <v>0</v>
      </c>
      <c r="CJ160" s="2">
        <f>COUNTIF(INDEX('LINE PLAN'!$B$36:$GS$61,0,ROW()-3),CJ$3)</f>
        <v>0</v>
      </c>
      <c r="CK160" s="2">
        <f>COUNTIF(INDEX('LINE PLAN'!$B$36:$GS$61,0,ROW()-3),CK$3)</f>
        <v>0</v>
      </c>
      <c r="CL160" s="2">
        <f>COUNTIF(INDEX('LINE PLAN'!$B$36:$GS$61,0,ROW()-3),CL$3)</f>
        <v>0</v>
      </c>
      <c r="CM160" s="2">
        <f>COUNTIF(INDEX('LINE PLAN'!$B$36:$GS$61,0,ROW()-3),CM$3)</f>
        <v>0</v>
      </c>
      <c r="CN160" s="2">
        <f>COUNTIF(INDEX('LINE PLAN'!$B$36:$GS$61,0,ROW()-3),CN$3)</f>
        <v>0</v>
      </c>
      <c r="CO160" s="2">
        <f>COUNTIF(INDEX('LINE PLAN'!$B$36:$GS$61,0,ROW()-3),CO$3)</f>
        <v>0</v>
      </c>
      <c r="CP160" s="2">
        <f>COUNTIF(INDEX('LINE PLAN'!$B$36:$GS$61,0,ROW()-3),CP$3)</f>
        <v>0</v>
      </c>
      <c r="CQ160" s="2">
        <f>COUNTIF(INDEX('LINE PLAN'!$B$36:$GS$61,0,ROW()-3),CQ$3)</f>
        <v>0</v>
      </c>
      <c r="CR160" s="2">
        <f>COUNTIF(INDEX('LINE PLAN'!$B$36:$GS$61,0,ROW()-3),CR$3)</f>
        <v>0</v>
      </c>
      <c r="CS160" s="2">
        <f>COUNTIF(INDEX('LINE PLAN'!$B$36:$GS$61,0,ROW()-3),CS$3)</f>
        <v>0</v>
      </c>
      <c r="CT160" s="2">
        <f>COUNTIF(INDEX('LINE PLAN'!$B$36:$GS$61,0,ROW()-3),CT$3)</f>
        <v>0</v>
      </c>
      <c r="CU160" s="2">
        <f>COUNTIF(INDEX('LINE PLAN'!$B$36:$GS$61,0,ROW()-3),CU$3)</f>
        <v>0</v>
      </c>
      <c r="CV160" s="2">
        <f>COUNTIF(INDEX('LINE PLAN'!$B$36:$GS$61,0,ROW()-3),CV$3)</f>
        <v>0</v>
      </c>
      <c r="CW160" s="2">
        <f>COUNTIF(INDEX('LINE PLAN'!$B$36:$GS$61,0,ROW()-3),CW$3)</f>
        <v>0</v>
      </c>
      <c r="CX160" s="2">
        <f>COUNTIF(INDEX('LINE PLAN'!$B$36:$GS$61,0,ROW()-3),CX$3)</f>
        <v>0</v>
      </c>
      <c r="CY160" s="2">
        <f>COUNTIF(INDEX('LINE PLAN'!$B$36:$GS$61,0,ROW()-3),CY$3)</f>
        <v>0</v>
      </c>
      <c r="CZ160" s="2">
        <f>COUNTIF(INDEX('LINE PLAN'!$B$36:$GS$61,0,ROW()-3),CZ$3)</f>
        <v>0</v>
      </c>
      <c r="DA160" s="2">
        <f>COUNTIF(INDEX('LINE PLAN'!$B$36:$GS$61,0,ROW()-3),DA$3)</f>
        <v>0</v>
      </c>
      <c r="DB160" s="2">
        <f>COUNTIF(INDEX('LINE PLAN'!$B$36:$GS$61,0,ROW()-3),DB$3)</f>
        <v>0</v>
      </c>
      <c r="DC160" s="2">
        <f>COUNTIF(INDEX('LINE PLAN'!$B$36:$GS$61,0,ROW()-3),DC$3)</f>
        <v>0</v>
      </c>
      <c r="DD160" s="2">
        <f>COUNTIF(INDEX('LINE PLAN'!$B$36:$GS$61,0,ROW()-3),DD$3)</f>
        <v>0</v>
      </c>
      <c r="DE160" s="2">
        <f>COUNTIF(INDEX('LINE PLAN'!$B$36:$GS$61,0,ROW()-3),DE$3)</f>
        <v>0</v>
      </c>
      <c r="DF160" s="2">
        <f>COUNTIF(INDEX('LINE PLAN'!$B$36:$GS$61,0,ROW()-3),DF$3)</f>
        <v>0</v>
      </c>
      <c r="DG160" s="2">
        <f>COUNTIF(INDEX('LINE PLAN'!$B$36:$GS$61,0,ROW()-3),DG$3)</f>
        <v>0</v>
      </c>
      <c r="DH160" s="2">
        <f>COUNTIF(INDEX('LINE PLAN'!$B$36:$GS$61,0,ROW()-3),DH$3)</f>
        <v>0</v>
      </c>
      <c r="DI160" s="2">
        <f>COUNTIF(INDEX('LINE PLAN'!$B$36:$GS$61,0,ROW()-3),DI$3)</f>
        <v>0</v>
      </c>
      <c r="DJ160" s="2">
        <f>COUNTIF(INDEX('LINE PLAN'!$B$36:$GS$61,0,ROW()-3),DJ$3)</f>
        <v>0</v>
      </c>
      <c r="DK160" s="2">
        <f>COUNTIF(INDEX('LINE PLAN'!$B$36:$GS$61,0,ROW()-3),DK$3)</f>
        <v>0</v>
      </c>
      <c r="DL160" s="2">
        <f>COUNTIF(INDEX('LINE PLAN'!$B$36:$GS$61,0,ROW()-3),DL$3)</f>
        <v>0</v>
      </c>
      <c r="DM160" s="2">
        <f>COUNTIF(INDEX('LINE PLAN'!$B$36:$GS$61,0,ROW()-3),DM$3)</f>
        <v>0</v>
      </c>
      <c r="DN160" s="2">
        <f>COUNTIF(INDEX('LINE PLAN'!$B$36:$GS$61,0,ROW()-3),DN$3)</f>
        <v>0</v>
      </c>
      <c r="DO160" s="2">
        <f>COUNTIF(INDEX('LINE PLAN'!$B$36:$GS$61,0,ROW()-3),DO$3)</f>
        <v>0</v>
      </c>
      <c r="DP160" s="2">
        <f>COUNTIF(INDEX('LINE PLAN'!$B$36:$GS$61,0,ROW()-3),DP$3)</f>
        <v>0</v>
      </c>
      <c r="DQ160" s="2">
        <f>COUNTIF(INDEX('LINE PLAN'!$B$36:$GS$61,0,ROW()-3),DQ$3)</f>
        <v>0</v>
      </c>
      <c r="DR160" s="2">
        <f>COUNTIF(INDEX('LINE PLAN'!$B$36:$GS$61,0,ROW()-3),DR$3)</f>
        <v>0</v>
      </c>
      <c r="DS160" s="2">
        <f>COUNTIF(INDEX('LINE PLAN'!$B$36:$GS$61,0,ROW()-3),DS$3)</f>
        <v>0</v>
      </c>
      <c r="DT160" s="2">
        <f>COUNTIF(INDEX('LINE PLAN'!$B$36:$GS$61,0,ROW()-3),DT$3)</f>
        <v>0</v>
      </c>
      <c r="DU160" s="2">
        <f>COUNTIF(INDEX('LINE PLAN'!$B$36:$GS$61,0,ROW()-3),DU$3)</f>
        <v>0</v>
      </c>
      <c r="DV160" s="2">
        <f>COUNTIF(INDEX('LINE PLAN'!$B$36:$GS$61,0,ROW()-3),DV$3)</f>
        <v>0</v>
      </c>
    </row>
    <row r="161" spans="1:126">
      <c r="A161" s="505" cm="1">
        <f t="array" ref="A161">INDEX('LINE PLAN'!$B$35:$GS$35,ROW()-3)</f>
        <v>0</v>
      </c>
      <c r="B161" s="2">
        <f>SUMPRODUCT($CA161:$DV161,INDEX('MC MAP'!$DA$5:$EV$30,1,0))</f>
        <v>0</v>
      </c>
      <c r="C161" s="2">
        <f>SUMPRODUCT($CA161:$DV161,INDEX('MC MAP'!$DA$5:$EV$30,2,0))</f>
        <v>0</v>
      </c>
      <c r="D161" s="2">
        <f>SUMPRODUCT($CA161:$DV161,INDEX('MC MAP'!$DA$5:$EV$30,3,0))</f>
        <v>0</v>
      </c>
      <c r="E161" s="2">
        <f>SUMPRODUCT($CA161:$DV161,INDEX('MC MAP'!$DA$5:$EV$30,4,0))</f>
        <v>0</v>
      </c>
      <c r="F161" s="2">
        <f>SUMPRODUCT($CA161:$DV161,INDEX('MC MAP'!$DA$5:$EV$30,5,0))</f>
        <v>0</v>
      </c>
      <c r="G161" s="2">
        <f>SUMPRODUCT($CA161:$DV161,INDEX('MC MAP'!$DA$5:$EV$30,6,0))</f>
        <v>0</v>
      </c>
      <c r="H161" s="2">
        <f>SUMPRODUCT($CA161:$DV161,INDEX('MC MAP'!$DA$5:$EV$30,7,0))</f>
        <v>0</v>
      </c>
      <c r="I161" s="2">
        <f>SUMPRODUCT($CA161:$DV161,INDEX('MC MAP'!$DA$5:$EV$30,8,0))</f>
        <v>0</v>
      </c>
      <c r="J161" s="2">
        <f>SUMPRODUCT($CA161:$DV161,INDEX('MC MAP'!$DA$5:$EV$30,9,0))</f>
        <v>0</v>
      </c>
      <c r="K161" s="2">
        <f>SUMPRODUCT($CA161:$DV161,INDEX('MC MAP'!$DA$5:$EV$30,10,0))</f>
        <v>0</v>
      </c>
      <c r="L161" s="2">
        <f>SUMPRODUCT($CA161:$DV161,INDEX('MC MAP'!$DA$5:$EV$30,11,0))</f>
        <v>0</v>
      </c>
      <c r="M161" s="2">
        <f>SUMPRODUCT($CA161:$DV161,INDEX('MC MAP'!$DA$5:$EV$30,12,0))</f>
        <v>0</v>
      </c>
      <c r="N161" s="2">
        <f>SUMPRODUCT($CA161:$DV161,INDEX('MC MAP'!$DA$5:$EV$30,13,0))</f>
        <v>0</v>
      </c>
      <c r="O161" s="2">
        <f>SUMPRODUCT($CA161:$DV161,INDEX('MC MAP'!$DA$5:$EV$30,14,0))</f>
        <v>0</v>
      </c>
      <c r="P161" s="2">
        <f>SUMPRODUCT($CA161:$DV161,INDEX('MC MAP'!$DA$5:$EV$30,15,0))</f>
        <v>0</v>
      </c>
      <c r="Q161" s="2">
        <f>SUMPRODUCT($CA161:$DV161,INDEX('MC MAP'!$DA$5:$EV$30,16,0))</f>
        <v>0</v>
      </c>
      <c r="R161" s="2">
        <f>SUMPRODUCT($CA161:$DV161,INDEX('MC MAP'!$DA$5:$EV$30,17,0))</f>
        <v>0</v>
      </c>
      <c r="S161" s="2">
        <f>SUMPRODUCT($CA161:$DV161,INDEX('MC MAP'!$DA$5:$EV$30,18,0))</f>
        <v>0</v>
      </c>
      <c r="T161" s="2">
        <f>SUMPRODUCT($CA161:$DV161,INDEX('MC MAP'!$DA$5:$EV$30,19,0))</f>
        <v>0</v>
      </c>
      <c r="U161" s="2">
        <f>SUMPRODUCT($CA161:$DV161,INDEX('MC MAP'!$DA$5:$EV$30,20,0))</f>
        <v>0</v>
      </c>
      <c r="V161" s="2">
        <f>SUMPRODUCT($CA161:$DV161,INDEX('MC MAP'!$DA$5:$EV$30,21,0))</f>
        <v>0</v>
      </c>
      <c r="W161" s="2">
        <f>SUMPRODUCT($CA161:$DV161,INDEX('MC MAP'!$DA$5:$EV$30,22,0))</f>
        <v>0</v>
      </c>
      <c r="X161" s="2">
        <f>SUMPRODUCT($CA161:$DV161,INDEX('MC MAP'!$DA$5:$EV$30,23,0))</f>
        <v>0</v>
      </c>
      <c r="Y161" s="2">
        <f>SUMPRODUCT($CA161:$DV161,INDEX('MC MAP'!$DA$5:$EV$30,24,0))</f>
        <v>0</v>
      </c>
      <c r="Z161" s="2">
        <f>SUMPRODUCT($CA161:$DV161,INDEX('MC MAP'!$DA$5:$EV$30,25,0))</f>
        <v>0</v>
      </c>
      <c r="AA161" s="2">
        <f>SUMPRODUCT($CA161:$DV161,INDEX('MC MAP'!$DA$5:$EV$30,26,0))</f>
        <v>0</v>
      </c>
      <c r="AB161" s="2">
        <f>SUM($B161:$AA161)</f>
        <v>0</v>
      </c>
      <c r="AC161" s="2">
        <f>SUM($CA161:$DV161)+$AW161</f>
        <v>0</v>
      </c>
      <c r="AW161" s="2">
        <f>IF($A161=0,0,COUNTIF(INDEX('LINE PLAN'!$B$36:$GS$61,0,ROW()-3),"THERMAL - NOT SPECIFIED"))</f>
        <v>0</v>
      </c>
      <c r="AX161" s="506" cm="1">
        <f t="array" ref="AX161">IF(OR($AB161=0,UPPER($BS161)&lt;&gt;"Y"),0,SUMPRODUCT(--($B161:$AA161&gt;$B$205:$AA$205)))</f>
        <v>0</v>
      </c>
      <c r="AY161" s="507">
        <f>$A161</f>
        <v>0</v>
      </c>
      <c r="AZ161" s="2">
        <f>$AB161</f>
        <v>0</v>
      </c>
      <c r="BA161" s="2">
        <f>'MC MASTER'!$C$29</f>
        <v>920</v>
      </c>
      <c r="BQ161" s="509">
        <f>$A161</f>
        <v>0</v>
      </c>
      <c r="BR161" s="15" t="str">
        <f>TEXT($A161,"ddd")</f>
        <v>Sat</v>
      </c>
      <c r="BS161" s="547" t="str">
        <f>IF($A161=0,"",IF(WEEKDAY($A161,2)=7,"N","Y"))</f>
        <v/>
      </c>
      <c r="BT161" s="15">
        <f>IF(UPPER($BS161)="Y",$AB161,0)</f>
        <v>0</v>
      </c>
      <c r="CA161" s="2">
        <f>COUNTIF(INDEX('LINE PLAN'!$B$36:$GS$61,0,ROW()-3),CA$3)</f>
        <v>0</v>
      </c>
      <c r="CB161" s="2">
        <f>COUNTIF(INDEX('LINE PLAN'!$B$36:$GS$61,0,ROW()-3),CB$3)</f>
        <v>0</v>
      </c>
      <c r="CC161" s="2">
        <f>COUNTIF(INDEX('LINE PLAN'!$B$36:$GS$61,0,ROW()-3),CC$3)</f>
        <v>0</v>
      </c>
      <c r="CD161" s="2">
        <f>COUNTIF(INDEX('LINE PLAN'!$B$36:$GS$61,0,ROW()-3),CD$3)</f>
        <v>0</v>
      </c>
      <c r="CE161" s="2">
        <f>COUNTIF(INDEX('LINE PLAN'!$B$36:$GS$61,0,ROW()-3),CE$3)</f>
        <v>0</v>
      </c>
      <c r="CF161" s="2">
        <f>COUNTIF(INDEX('LINE PLAN'!$B$36:$GS$61,0,ROW()-3),CF$3)</f>
        <v>0</v>
      </c>
      <c r="CG161" s="2">
        <f>COUNTIF(INDEX('LINE PLAN'!$B$36:$GS$61,0,ROW()-3),CG$3)</f>
        <v>0</v>
      </c>
      <c r="CH161" s="2">
        <f>COUNTIF(INDEX('LINE PLAN'!$B$36:$GS$61,0,ROW()-3),CH$3)</f>
        <v>0</v>
      </c>
      <c r="CI161" s="2">
        <f>COUNTIF(INDEX('LINE PLAN'!$B$36:$GS$61,0,ROW()-3),CI$3)</f>
        <v>0</v>
      </c>
      <c r="CJ161" s="2">
        <f>COUNTIF(INDEX('LINE PLAN'!$B$36:$GS$61,0,ROW()-3),CJ$3)</f>
        <v>0</v>
      </c>
      <c r="CK161" s="2">
        <f>COUNTIF(INDEX('LINE PLAN'!$B$36:$GS$61,0,ROW()-3),CK$3)</f>
        <v>0</v>
      </c>
      <c r="CL161" s="2">
        <f>COUNTIF(INDEX('LINE PLAN'!$B$36:$GS$61,0,ROW()-3),CL$3)</f>
        <v>0</v>
      </c>
      <c r="CM161" s="2">
        <f>COUNTIF(INDEX('LINE PLAN'!$B$36:$GS$61,0,ROW()-3),CM$3)</f>
        <v>0</v>
      </c>
      <c r="CN161" s="2">
        <f>COUNTIF(INDEX('LINE PLAN'!$B$36:$GS$61,0,ROW()-3),CN$3)</f>
        <v>0</v>
      </c>
      <c r="CO161" s="2">
        <f>COUNTIF(INDEX('LINE PLAN'!$B$36:$GS$61,0,ROW()-3),CO$3)</f>
        <v>0</v>
      </c>
      <c r="CP161" s="2">
        <f>COUNTIF(INDEX('LINE PLAN'!$B$36:$GS$61,0,ROW()-3),CP$3)</f>
        <v>0</v>
      </c>
      <c r="CQ161" s="2">
        <f>COUNTIF(INDEX('LINE PLAN'!$B$36:$GS$61,0,ROW()-3),CQ$3)</f>
        <v>0</v>
      </c>
      <c r="CR161" s="2">
        <f>COUNTIF(INDEX('LINE PLAN'!$B$36:$GS$61,0,ROW()-3),CR$3)</f>
        <v>0</v>
      </c>
      <c r="CS161" s="2">
        <f>COUNTIF(INDEX('LINE PLAN'!$B$36:$GS$61,0,ROW()-3),CS$3)</f>
        <v>0</v>
      </c>
      <c r="CT161" s="2">
        <f>COUNTIF(INDEX('LINE PLAN'!$B$36:$GS$61,0,ROW()-3),CT$3)</f>
        <v>0</v>
      </c>
      <c r="CU161" s="2">
        <f>COUNTIF(INDEX('LINE PLAN'!$B$36:$GS$61,0,ROW()-3),CU$3)</f>
        <v>0</v>
      </c>
      <c r="CV161" s="2">
        <f>COUNTIF(INDEX('LINE PLAN'!$B$36:$GS$61,0,ROW()-3),CV$3)</f>
        <v>0</v>
      </c>
      <c r="CW161" s="2">
        <f>COUNTIF(INDEX('LINE PLAN'!$B$36:$GS$61,0,ROW()-3),CW$3)</f>
        <v>0</v>
      </c>
      <c r="CX161" s="2">
        <f>COUNTIF(INDEX('LINE PLAN'!$B$36:$GS$61,0,ROW()-3),CX$3)</f>
        <v>0</v>
      </c>
      <c r="CY161" s="2">
        <f>COUNTIF(INDEX('LINE PLAN'!$B$36:$GS$61,0,ROW()-3),CY$3)</f>
        <v>0</v>
      </c>
      <c r="CZ161" s="2">
        <f>COUNTIF(INDEX('LINE PLAN'!$B$36:$GS$61,0,ROW()-3),CZ$3)</f>
        <v>0</v>
      </c>
      <c r="DA161" s="2">
        <f>COUNTIF(INDEX('LINE PLAN'!$B$36:$GS$61,0,ROW()-3),DA$3)</f>
        <v>0</v>
      </c>
      <c r="DB161" s="2">
        <f>COUNTIF(INDEX('LINE PLAN'!$B$36:$GS$61,0,ROW()-3),DB$3)</f>
        <v>0</v>
      </c>
      <c r="DC161" s="2">
        <f>COUNTIF(INDEX('LINE PLAN'!$B$36:$GS$61,0,ROW()-3),DC$3)</f>
        <v>0</v>
      </c>
      <c r="DD161" s="2">
        <f>COUNTIF(INDEX('LINE PLAN'!$B$36:$GS$61,0,ROW()-3),DD$3)</f>
        <v>0</v>
      </c>
      <c r="DE161" s="2">
        <f>COUNTIF(INDEX('LINE PLAN'!$B$36:$GS$61,0,ROW()-3),DE$3)</f>
        <v>0</v>
      </c>
      <c r="DF161" s="2">
        <f>COUNTIF(INDEX('LINE PLAN'!$B$36:$GS$61,0,ROW()-3),DF$3)</f>
        <v>0</v>
      </c>
      <c r="DG161" s="2">
        <f>COUNTIF(INDEX('LINE PLAN'!$B$36:$GS$61,0,ROW()-3),DG$3)</f>
        <v>0</v>
      </c>
      <c r="DH161" s="2">
        <f>COUNTIF(INDEX('LINE PLAN'!$B$36:$GS$61,0,ROW()-3),DH$3)</f>
        <v>0</v>
      </c>
      <c r="DI161" s="2">
        <f>COUNTIF(INDEX('LINE PLAN'!$B$36:$GS$61,0,ROW()-3),DI$3)</f>
        <v>0</v>
      </c>
      <c r="DJ161" s="2">
        <f>COUNTIF(INDEX('LINE PLAN'!$B$36:$GS$61,0,ROW()-3),DJ$3)</f>
        <v>0</v>
      </c>
      <c r="DK161" s="2">
        <f>COUNTIF(INDEX('LINE PLAN'!$B$36:$GS$61,0,ROW()-3),DK$3)</f>
        <v>0</v>
      </c>
      <c r="DL161" s="2">
        <f>COUNTIF(INDEX('LINE PLAN'!$B$36:$GS$61,0,ROW()-3),DL$3)</f>
        <v>0</v>
      </c>
      <c r="DM161" s="2">
        <f>COUNTIF(INDEX('LINE PLAN'!$B$36:$GS$61,0,ROW()-3),DM$3)</f>
        <v>0</v>
      </c>
      <c r="DN161" s="2">
        <f>COUNTIF(INDEX('LINE PLAN'!$B$36:$GS$61,0,ROW()-3),DN$3)</f>
        <v>0</v>
      </c>
      <c r="DO161" s="2">
        <f>COUNTIF(INDEX('LINE PLAN'!$B$36:$GS$61,0,ROW()-3),DO$3)</f>
        <v>0</v>
      </c>
      <c r="DP161" s="2">
        <f>COUNTIF(INDEX('LINE PLAN'!$B$36:$GS$61,0,ROW()-3),DP$3)</f>
        <v>0</v>
      </c>
      <c r="DQ161" s="2">
        <f>COUNTIF(INDEX('LINE PLAN'!$B$36:$GS$61,0,ROW()-3),DQ$3)</f>
        <v>0</v>
      </c>
      <c r="DR161" s="2">
        <f>COUNTIF(INDEX('LINE PLAN'!$B$36:$GS$61,0,ROW()-3),DR$3)</f>
        <v>0</v>
      </c>
      <c r="DS161" s="2">
        <f>COUNTIF(INDEX('LINE PLAN'!$B$36:$GS$61,0,ROW()-3),DS$3)</f>
        <v>0</v>
      </c>
      <c r="DT161" s="2">
        <f>COUNTIF(INDEX('LINE PLAN'!$B$36:$GS$61,0,ROW()-3),DT$3)</f>
        <v>0</v>
      </c>
      <c r="DU161" s="2">
        <f>COUNTIF(INDEX('LINE PLAN'!$B$36:$GS$61,0,ROW()-3),DU$3)</f>
        <v>0</v>
      </c>
      <c r="DV161" s="2">
        <f>COUNTIF(INDEX('LINE PLAN'!$B$36:$GS$61,0,ROW()-3),DV$3)</f>
        <v>0</v>
      </c>
    </row>
    <row r="162" spans="1:126">
      <c r="A162" s="505" cm="1">
        <f t="array" ref="A162">INDEX('LINE PLAN'!$B$35:$GS$35,ROW()-3)</f>
        <v>0</v>
      </c>
      <c r="B162" s="2">
        <f>SUMPRODUCT($CA162:$DV162,INDEX('MC MAP'!$DA$5:$EV$30,1,0))</f>
        <v>0</v>
      </c>
      <c r="C162" s="2">
        <f>SUMPRODUCT($CA162:$DV162,INDEX('MC MAP'!$DA$5:$EV$30,2,0))</f>
        <v>0</v>
      </c>
      <c r="D162" s="2">
        <f>SUMPRODUCT($CA162:$DV162,INDEX('MC MAP'!$DA$5:$EV$30,3,0))</f>
        <v>0</v>
      </c>
      <c r="E162" s="2">
        <f>SUMPRODUCT($CA162:$DV162,INDEX('MC MAP'!$DA$5:$EV$30,4,0))</f>
        <v>0</v>
      </c>
      <c r="F162" s="2">
        <f>SUMPRODUCT($CA162:$DV162,INDEX('MC MAP'!$DA$5:$EV$30,5,0))</f>
        <v>0</v>
      </c>
      <c r="G162" s="2">
        <f>SUMPRODUCT($CA162:$DV162,INDEX('MC MAP'!$DA$5:$EV$30,6,0))</f>
        <v>0</v>
      </c>
      <c r="H162" s="2">
        <f>SUMPRODUCT($CA162:$DV162,INDEX('MC MAP'!$DA$5:$EV$30,7,0))</f>
        <v>0</v>
      </c>
      <c r="I162" s="2">
        <f>SUMPRODUCT($CA162:$DV162,INDEX('MC MAP'!$DA$5:$EV$30,8,0))</f>
        <v>0</v>
      </c>
      <c r="J162" s="2">
        <f>SUMPRODUCT($CA162:$DV162,INDEX('MC MAP'!$DA$5:$EV$30,9,0))</f>
        <v>0</v>
      </c>
      <c r="K162" s="2">
        <f>SUMPRODUCT($CA162:$DV162,INDEX('MC MAP'!$DA$5:$EV$30,10,0))</f>
        <v>0</v>
      </c>
      <c r="L162" s="2">
        <f>SUMPRODUCT($CA162:$DV162,INDEX('MC MAP'!$DA$5:$EV$30,11,0))</f>
        <v>0</v>
      </c>
      <c r="M162" s="2">
        <f>SUMPRODUCT($CA162:$DV162,INDEX('MC MAP'!$DA$5:$EV$30,12,0))</f>
        <v>0</v>
      </c>
      <c r="N162" s="2">
        <f>SUMPRODUCT($CA162:$DV162,INDEX('MC MAP'!$DA$5:$EV$30,13,0))</f>
        <v>0</v>
      </c>
      <c r="O162" s="2">
        <f>SUMPRODUCT($CA162:$DV162,INDEX('MC MAP'!$DA$5:$EV$30,14,0))</f>
        <v>0</v>
      </c>
      <c r="P162" s="2">
        <f>SUMPRODUCT($CA162:$DV162,INDEX('MC MAP'!$DA$5:$EV$30,15,0))</f>
        <v>0</v>
      </c>
      <c r="Q162" s="2">
        <f>SUMPRODUCT($CA162:$DV162,INDEX('MC MAP'!$DA$5:$EV$30,16,0))</f>
        <v>0</v>
      </c>
      <c r="R162" s="2">
        <f>SUMPRODUCT($CA162:$DV162,INDEX('MC MAP'!$DA$5:$EV$30,17,0))</f>
        <v>0</v>
      </c>
      <c r="S162" s="2">
        <f>SUMPRODUCT($CA162:$DV162,INDEX('MC MAP'!$DA$5:$EV$30,18,0))</f>
        <v>0</v>
      </c>
      <c r="T162" s="2">
        <f>SUMPRODUCT($CA162:$DV162,INDEX('MC MAP'!$DA$5:$EV$30,19,0))</f>
        <v>0</v>
      </c>
      <c r="U162" s="2">
        <f>SUMPRODUCT($CA162:$DV162,INDEX('MC MAP'!$DA$5:$EV$30,20,0))</f>
        <v>0</v>
      </c>
      <c r="V162" s="2">
        <f>SUMPRODUCT($CA162:$DV162,INDEX('MC MAP'!$DA$5:$EV$30,21,0))</f>
        <v>0</v>
      </c>
      <c r="W162" s="2">
        <f>SUMPRODUCT($CA162:$DV162,INDEX('MC MAP'!$DA$5:$EV$30,22,0))</f>
        <v>0</v>
      </c>
      <c r="X162" s="2">
        <f>SUMPRODUCT($CA162:$DV162,INDEX('MC MAP'!$DA$5:$EV$30,23,0))</f>
        <v>0</v>
      </c>
      <c r="Y162" s="2">
        <f>SUMPRODUCT($CA162:$DV162,INDEX('MC MAP'!$DA$5:$EV$30,24,0))</f>
        <v>0</v>
      </c>
      <c r="Z162" s="2">
        <f>SUMPRODUCT($CA162:$DV162,INDEX('MC MAP'!$DA$5:$EV$30,25,0))</f>
        <v>0</v>
      </c>
      <c r="AA162" s="2">
        <f>SUMPRODUCT($CA162:$DV162,INDEX('MC MAP'!$DA$5:$EV$30,26,0))</f>
        <v>0</v>
      </c>
      <c r="AB162" s="2">
        <f>SUM($B162:$AA162)</f>
        <v>0</v>
      </c>
      <c r="AC162" s="2">
        <f>SUM($CA162:$DV162)+$AW162</f>
        <v>0</v>
      </c>
      <c r="AW162" s="2">
        <f>IF($A162=0,0,COUNTIF(INDEX('LINE PLAN'!$B$36:$GS$61,0,ROW()-3),"THERMAL - NOT SPECIFIED"))</f>
        <v>0</v>
      </c>
      <c r="AX162" s="506" cm="1">
        <f t="array" ref="AX162">IF(OR($AB162=0,UPPER($BS162)&lt;&gt;"Y"),0,SUMPRODUCT(--($B162:$AA162&gt;$B$205:$AA$205)))</f>
        <v>0</v>
      </c>
      <c r="AY162" s="507">
        <f>$A162</f>
        <v>0</v>
      </c>
      <c r="AZ162" s="2">
        <f>$AB162</f>
        <v>0</v>
      </c>
      <c r="BA162" s="2">
        <f>'MC MASTER'!$C$29</f>
        <v>920</v>
      </c>
      <c r="BQ162" s="509">
        <f>$A162</f>
        <v>0</v>
      </c>
      <c r="BR162" s="15" t="str">
        <f>TEXT($A162,"ddd")</f>
        <v>Sat</v>
      </c>
      <c r="BS162" s="547" t="str">
        <f>IF($A162=0,"",IF(WEEKDAY($A162,2)=7,"N","Y"))</f>
        <v/>
      </c>
      <c r="BT162" s="15">
        <f>IF(UPPER($BS162)="Y",$AB162,0)</f>
        <v>0</v>
      </c>
      <c r="CA162" s="2">
        <f>COUNTIF(INDEX('LINE PLAN'!$B$36:$GS$61,0,ROW()-3),CA$3)</f>
        <v>0</v>
      </c>
      <c r="CB162" s="2">
        <f>COUNTIF(INDEX('LINE PLAN'!$B$36:$GS$61,0,ROW()-3),CB$3)</f>
        <v>0</v>
      </c>
      <c r="CC162" s="2">
        <f>COUNTIF(INDEX('LINE PLAN'!$B$36:$GS$61,0,ROW()-3),CC$3)</f>
        <v>0</v>
      </c>
      <c r="CD162" s="2">
        <f>COUNTIF(INDEX('LINE PLAN'!$B$36:$GS$61,0,ROW()-3),CD$3)</f>
        <v>0</v>
      </c>
      <c r="CE162" s="2">
        <f>COUNTIF(INDEX('LINE PLAN'!$B$36:$GS$61,0,ROW()-3),CE$3)</f>
        <v>0</v>
      </c>
      <c r="CF162" s="2">
        <f>COUNTIF(INDEX('LINE PLAN'!$B$36:$GS$61,0,ROW()-3),CF$3)</f>
        <v>0</v>
      </c>
      <c r="CG162" s="2">
        <f>COUNTIF(INDEX('LINE PLAN'!$B$36:$GS$61,0,ROW()-3),CG$3)</f>
        <v>0</v>
      </c>
      <c r="CH162" s="2">
        <f>COUNTIF(INDEX('LINE PLAN'!$B$36:$GS$61,0,ROW()-3),CH$3)</f>
        <v>0</v>
      </c>
      <c r="CI162" s="2">
        <f>COUNTIF(INDEX('LINE PLAN'!$B$36:$GS$61,0,ROW()-3),CI$3)</f>
        <v>0</v>
      </c>
      <c r="CJ162" s="2">
        <f>COUNTIF(INDEX('LINE PLAN'!$B$36:$GS$61,0,ROW()-3),CJ$3)</f>
        <v>0</v>
      </c>
      <c r="CK162" s="2">
        <f>COUNTIF(INDEX('LINE PLAN'!$B$36:$GS$61,0,ROW()-3),CK$3)</f>
        <v>0</v>
      </c>
      <c r="CL162" s="2">
        <f>COUNTIF(INDEX('LINE PLAN'!$B$36:$GS$61,0,ROW()-3),CL$3)</f>
        <v>0</v>
      </c>
      <c r="CM162" s="2">
        <f>COUNTIF(INDEX('LINE PLAN'!$B$36:$GS$61,0,ROW()-3),CM$3)</f>
        <v>0</v>
      </c>
      <c r="CN162" s="2">
        <f>COUNTIF(INDEX('LINE PLAN'!$B$36:$GS$61,0,ROW()-3),CN$3)</f>
        <v>0</v>
      </c>
      <c r="CO162" s="2">
        <f>COUNTIF(INDEX('LINE PLAN'!$B$36:$GS$61,0,ROW()-3),CO$3)</f>
        <v>0</v>
      </c>
      <c r="CP162" s="2">
        <f>COUNTIF(INDEX('LINE PLAN'!$B$36:$GS$61,0,ROW()-3),CP$3)</f>
        <v>0</v>
      </c>
      <c r="CQ162" s="2">
        <f>COUNTIF(INDEX('LINE PLAN'!$B$36:$GS$61,0,ROW()-3),CQ$3)</f>
        <v>0</v>
      </c>
      <c r="CR162" s="2">
        <f>COUNTIF(INDEX('LINE PLAN'!$B$36:$GS$61,0,ROW()-3),CR$3)</f>
        <v>0</v>
      </c>
      <c r="CS162" s="2">
        <f>COUNTIF(INDEX('LINE PLAN'!$B$36:$GS$61,0,ROW()-3),CS$3)</f>
        <v>0</v>
      </c>
      <c r="CT162" s="2">
        <f>COUNTIF(INDEX('LINE PLAN'!$B$36:$GS$61,0,ROW()-3),CT$3)</f>
        <v>0</v>
      </c>
      <c r="CU162" s="2">
        <f>COUNTIF(INDEX('LINE PLAN'!$B$36:$GS$61,0,ROW()-3),CU$3)</f>
        <v>0</v>
      </c>
      <c r="CV162" s="2">
        <f>COUNTIF(INDEX('LINE PLAN'!$B$36:$GS$61,0,ROW()-3),CV$3)</f>
        <v>0</v>
      </c>
      <c r="CW162" s="2">
        <f>COUNTIF(INDEX('LINE PLAN'!$B$36:$GS$61,0,ROW()-3),CW$3)</f>
        <v>0</v>
      </c>
      <c r="CX162" s="2">
        <f>COUNTIF(INDEX('LINE PLAN'!$B$36:$GS$61,0,ROW()-3),CX$3)</f>
        <v>0</v>
      </c>
      <c r="CY162" s="2">
        <f>COUNTIF(INDEX('LINE PLAN'!$B$36:$GS$61,0,ROW()-3),CY$3)</f>
        <v>0</v>
      </c>
      <c r="CZ162" s="2">
        <f>COUNTIF(INDEX('LINE PLAN'!$B$36:$GS$61,0,ROW()-3),CZ$3)</f>
        <v>0</v>
      </c>
      <c r="DA162" s="2">
        <f>COUNTIF(INDEX('LINE PLAN'!$B$36:$GS$61,0,ROW()-3),DA$3)</f>
        <v>0</v>
      </c>
      <c r="DB162" s="2">
        <f>COUNTIF(INDEX('LINE PLAN'!$B$36:$GS$61,0,ROW()-3),DB$3)</f>
        <v>0</v>
      </c>
      <c r="DC162" s="2">
        <f>COUNTIF(INDEX('LINE PLAN'!$B$36:$GS$61,0,ROW()-3),DC$3)</f>
        <v>0</v>
      </c>
      <c r="DD162" s="2">
        <f>COUNTIF(INDEX('LINE PLAN'!$B$36:$GS$61,0,ROW()-3),DD$3)</f>
        <v>0</v>
      </c>
      <c r="DE162" s="2">
        <f>COUNTIF(INDEX('LINE PLAN'!$B$36:$GS$61,0,ROW()-3),DE$3)</f>
        <v>0</v>
      </c>
      <c r="DF162" s="2">
        <f>COUNTIF(INDEX('LINE PLAN'!$B$36:$GS$61,0,ROW()-3),DF$3)</f>
        <v>0</v>
      </c>
      <c r="DG162" s="2">
        <f>COUNTIF(INDEX('LINE PLAN'!$B$36:$GS$61,0,ROW()-3),DG$3)</f>
        <v>0</v>
      </c>
      <c r="DH162" s="2">
        <f>COUNTIF(INDEX('LINE PLAN'!$B$36:$GS$61,0,ROW()-3),DH$3)</f>
        <v>0</v>
      </c>
      <c r="DI162" s="2">
        <f>COUNTIF(INDEX('LINE PLAN'!$B$36:$GS$61,0,ROW()-3),DI$3)</f>
        <v>0</v>
      </c>
      <c r="DJ162" s="2">
        <f>COUNTIF(INDEX('LINE PLAN'!$B$36:$GS$61,0,ROW()-3),DJ$3)</f>
        <v>0</v>
      </c>
      <c r="DK162" s="2">
        <f>COUNTIF(INDEX('LINE PLAN'!$B$36:$GS$61,0,ROW()-3),DK$3)</f>
        <v>0</v>
      </c>
      <c r="DL162" s="2">
        <f>COUNTIF(INDEX('LINE PLAN'!$B$36:$GS$61,0,ROW()-3),DL$3)</f>
        <v>0</v>
      </c>
      <c r="DM162" s="2">
        <f>COUNTIF(INDEX('LINE PLAN'!$B$36:$GS$61,0,ROW()-3),DM$3)</f>
        <v>0</v>
      </c>
      <c r="DN162" s="2">
        <f>COUNTIF(INDEX('LINE PLAN'!$B$36:$GS$61,0,ROW()-3),DN$3)</f>
        <v>0</v>
      </c>
      <c r="DO162" s="2">
        <f>COUNTIF(INDEX('LINE PLAN'!$B$36:$GS$61,0,ROW()-3),DO$3)</f>
        <v>0</v>
      </c>
      <c r="DP162" s="2">
        <f>COUNTIF(INDEX('LINE PLAN'!$B$36:$GS$61,0,ROW()-3),DP$3)</f>
        <v>0</v>
      </c>
      <c r="DQ162" s="2">
        <f>COUNTIF(INDEX('LINE PLAN'!$B$36:$GS$61,0,ROW()-3),DQ$3)</f>
        <v>0</v>
      </c>
      <c r="DR162" s="2">
        <f>COUNTIF(INDEX('LINE PLAN'!$B$36:$GS$61,0,ROW()-3),DR$3)</f>
        <v>0</v>
      </c>
      <c r="DS162" s="2">
        <f>COUNTIF(INDEX('LINE PLAN'!$B$36:$GS$61,0,ROW()-3),DS$3)</f>
        <v>0</v>
      </c>
      <c r="DT162" s="2">
        <f>COUNTIF(INDEX('LINE PLAN'!$B$36:$GS$61,0,ROW()-3),DT$3)</f>
        <v>0</v>
      </c>
      <c r="DU162" s="2">
        <f>COUNTIF(INDEX('LINE PLAN'!$B$36:$GS$61,0,ROW()-3),DU$3)</f>
        <v>0</v>
      </c>
      <c r="DV162" s="2">
        <f>COUNTIF(INDEX('LINE PLAN'!$B$36:$GS$61,0,ROW()-3),DV$3)</f>
        <v>0</v>
      </c>
    </row>
    <row r="163" spans="1:126">
      <c r="A163" s="505" cm="1">
        <f t="array" ref="A163">INDEX('LINE PLAN'!$B$35:$GS$35,ROW()-3)</f>
        <v>0</v>
      </c>
      <c r="B163" s="2">
        <f>SUMPRODUCT($CA163:$DV163,INDEX('MC MAP'!$DA$5:$EV$30,1,0))</f>
        <v>0</v>
      </c>
      <c r="C163" s="2">
        <f>SUMPRODUCT($CA163:$DV163,INDEX('MC MAP'!$DA$5:$EV$30,2,0))</f>
        <v>0</v>
      </c>
      <c r="D163" s="2">
        <f>SUMPRODUCT($CA163:$DV163,INDEX('MC MAP'!$DA$5:$EV$30,3,0))</f>
        <v>0</v>
      </c>
      <c r="E163" s="2">
        <f>SUMPRODUCT($CA163:$DV163,INDEX('MC MAP'!$DA$5:$EV$30,4,0))</f>
        <v>0</v>
      </c>
      <c r="F163" s="2">
        <f>SUMPRODUCT($CA163:$DV163,INDEX('MC MAP'!$DA$5:$EV$30,5,0))</f>
        <v>0</v>
      </c>
      <c r="G163" s="2">
        <f>SUMPRODUCT($CA163:$DV163,INDEX('MC MAP'!$DA$5:$EV$30,6,0))</f>
        <v>0</v>
      </c>
      <c r="H163" s="2">
        <f>SUMPRODUCT($CA163:$DV163,INDEX('MC MAP'!$DA$5:$EV$30,7,0))</f>
        <v>0</v>
      </c>
      <c r="I163" s="2">
        <f>SUMPRODUCT($CA163:$DV163,INDEX('MC MAP'!$DA$5:$EV$30,8,0))</f>
        <v>0</v>
      </c>
      <c r="J163" s="2">
        <f>SUMPRODUCT($CA163:$DV163,INDEX('MC MAP'!$DA$5:$EV$30,9,0))</f>
        <v>0</v>
      </c>
      <c r="K163" s="2">
        <f>SUMPRODUCT($CA163:$DV163,INDEX('MC MAP'!$DA$5:$EV$30,10,0))</f>
        <v>0</v>
      </c>
      <c r="L163" s="2">
        <f>SUMPRODUCT($CA163:$DV163,INDEX('MC MAP'!$DA$5:$EV$30,11,0))</f>
        <v>0</v>
      </c>
      <c r="M163" s="2">
        <f>SUMPRODUCT($CA163:$DV163,INDEX('MC MAP'!$DA$5:$EV$30,12,0))</f>
        <v>0</v>
      </c>
      <c r="N163" s="2">
        <f>SUMPRODUCT($CA163:$DV163,INDEX('MC MAP'!$DA$5:$EV$30,13,0))</f>
        <v>0</v>
      </c>
      <c r="O163" s="2">
        <f>SUMPRODUCT($CA163:$DV163,INDEX('MC MAP'!$DA$5:$EV$30,14,0))</f>
        <v>0</v>
      </c>
      <c r="P163" s="2">
        <f>SUMPRODUCT($CA163:$DV163,INDEX('MC MAP'!$DA$5:$EV$30,15,0))</f>
        <v>0</v>
      </c>
      <c r="Q163" s="2">
        <f>SUMPRODUCT($CA163:$DV163,INDEX('MC MAP'!$DA$5:$EV$30,16,0))</f>
        <v>0</v>
      </c>
      <c r="R163" s="2">
        <f>SUMPRODUCT($CA163:$DV163,INDEX('MC MAP'!$DA$5:$EV$30,17,0))</f>
        <v>0</v>
      </c>
      <c r="S163" s="2">
        <f>SUMPRODUCT($CA163:$DV163,INDEX('MC MAP'!$DA$5:$EV$30,18,0))</f>
        <v>0</v>
      </c>
      <c r="T163" s="2">
        <f>SUMPRODUCT($CA163:$DV163,INDEX('MC MAP'!$DA$5:$EV$30,19,0))</f>
        <v>0</v>
      </c>
      <c r="U163" s="2">
        <f>SUMPRODUCT($CA163:$DV163,INDEX('MC MAP'!$DA$5:$EV$30,20,0))</f>
        <v>0</v>
      </c>
      <c r="V163" s="2">
        <f>SUMPRODUCT($CA163:$DV163,INDEX('MC MAP'!$DA$5:$EV$30,21,0))</f>
        <v>0</v>
      </c>
      <c r="W163" s="2">
        <f>SUMPRODUCT($CA163:$DV163,INDEX('MC MAP'!$DA$5:$EV$30,22,0))</f>
        <v>0</v>
      </c>
      <c r="X163" s="2">
        <f>SUMPRODUCT($CA163:$DV163,INDEX('MC MAP'!$DA$5:$EV$30,23,0))</f>
        <v>0</v>
      </c>
      <c r="Y163" s="2">
        <f>SUMPRODUCT($CA163:$DV163,INDEX('MC MAP'!$DA$5:$EV$30,24,0))</f>
        <v>0</v>
      </c>
      <c r="Z163" s="2">
        <f>SUMPRODUCT($CA163:$DV163,INDEX('MC MAP'!$DA$5:$EV$30,25,0))</f>
        <v>0</v>
      </c>
      <c r="AA163" s="2">
        <f>SUMPRODUCT($CA163:$DV163,INDEX('MC MAP'!$DA$5:$EV$30,26,0))</f>
        <v>0</v>
      </c>
      <c r="AB163" s="2">
        <f>SUM($B163:$AA163)</f>
        <v>0</v>
      </c>
      <c r="AC163" s="2">
        <f>SUM($CA163:$DV163)+$AW163</f>
        <v>0</v>
      </c>
      <c r="AW163" s="2">
        <f>IF($A163=0,0,COUNTIF(INDEX('LINE PLAN'!$B$36:$GS$61,0,ROW()-3),"THERMAL - NOT SPECIFIED"))</f>
        <v>0</v>
      </c>
      <c r="AX163" s="506" cm="1">
        <f t="array" ref="AX163">IF(OR($AB163=0,UPPER($BS163)&lt;&gt;"Y"),0,SUMPRODUCT(--($B163:$AA163&gt;$B$205:$AA$205)))</f>
        <v>0</v>
      </c>
      <c r="AY163" s="507">
        <f>$A163</f>
        <v>0</v>
      </c>
      <c r="AZ163" s="2">
        <f>$AB163</f>
        <v>0</v>
      </c>
      <c r="BA163" s="2">
        <f>'MC MASTER'!$C$29</f>
        <v>920</v>
      </c>
      <c r="BQ163" s="509">
        <f>$A163</f>
        <v>0</v>
      </c>
      <c r="BR163" s="15" t="str">
        <f>TEXT($A163,"ddd")</f>
        <v>Sat</v>
      </c>
      <c r="BS163" s="547" t="str">
        <f>IF($A163=0,"",IF(WEEKDAY($A163,2)=7,"N","Y"))</f>
        <v/>
      </c>
      <c r="BT163" s="15">
        <f>IF(UPPER($BS163)="Y",$AB163,0)</f>
        <v>0</v>
      </c>
      <c r="CA163" s="2">
        <f>COUNTIF(INDEX('LINE PLAN'!$B$36:$GS$61,0,ROW()-3),CA$3)</f>
        <v>0</v>
      </c>
      <c r="CB163" s="2">
        <f>COUNTIF(INDEX('LINE PLAN'!$B$36:$GS$61,0,ROW()-3),CB$3)</f>
        <v>0</v>
      </c>
      <c r="CC163" s="2">
        <f>COUNTIF(INDEX('LINE PLAN'!$B$36:$GS$61,0,ROW()-3),CC$3)</f>
        <v>0</v>
      </c>
      <c r="CD163" s="2">
        <f>COUNTIF(INDEX('LINE PLAN'!$B$36:$GS$61,0,ROW()-3),CD$3)</f>
        <v>0</v>
      </c>
      <c r="CE163" s="2">
        <f>COUNTIF(INDEX('LINE PLAN'!$B$36:$GS$61,0,ROW()-3),CE$3)</f>
        <v>0</v>
      </c>
      <c r="CF163" s="2">
        <f>COUNTIF(INDEX('LINE PLAN'!$B$36:$GS$61,0,ROW()-3),CF$3)</f>
        <v>0</v>
      </c>
      <c r="CG163" s="2">
        <f>COUNTIF(INDEX('LINE PLAN'!$B$36:$GS$61,0,ROW()-3),CG$3)</f>
        <v>0</v>
      </c>
      <c r="CH163" s="2">
        <f>COUNTIF(INDEX('LINE PLAN'!$B$36:$GS$61,0,ROW()-3),CH$3)</f>
        <v>0</v>
      </c>
      <c r="CI163" s="2">
        <f>COUNTIF(INDEX('LINE PLAN'!$B$36:$GS$61,0,ROW()-3),CI$3)</f>
        <v>0</v>
      </c>
      <c r="CJ163" s="2">
        <f>COUNTIF(INDEX('LINE PLAN'!$B$36:$GS$61,0,ROW()-3),CJ$3)</f>
        <v>0</v>
      </c>
      <c r="CK163" s="2">
        <f>COUNTIF(INDEX('LINE PLAN'!$B$36:$GS$61,0,ROW()-3),CK$3)</f>
        <v>0</v>
      </c>
      <c r="CL163" s="2">
        <f>COUNTIF(INDEX('LINE PLAN'!$B$36:$GS$61,0,ROW()-3),CL$3)</f>
        <v>0</v>
      </c>
      <c r="CM163" s="2">
        <f>COUNTIF(INDEX('LINE PLAN'!$B$36:$GS$61,0,ROW()-3),CM$3)</f>
        <v>0</v>
      </c>
      <c r="CN163" s="2">
        <f>COUNTIF(INDEX('LINE PLAN'!$B$36:$GS$61,0,ROW()-3),CN$3)</f>
        <v>0</v>
      </c>
      <c r="CO163" s="2">
        <f>COUNTIF(INDEX('LINE PLAN'!$B$36:$GS$61,0,ROW()-3),CO$3)</f>
        <v>0</v>
      </c>
      <c r="CP163" s="2">
        <f>COUNTIF(INDEX('LINE PLAN'!$B$36:$GS$61,0,ROW()-3),CP$3)</f>
        <v>0</v>
      </c>
      <c r="CQ163" s="2">
        <f>COUNTIF(INDEX('LINE PLAN'!$B$36:$GS$61,0,ROW()-3),CQ$3)</f>
        <v>0</v>
      </c>
      <c r="CR163" s="2">
        <f>COUNTIF(INDEX('LINE PLAN'!$B$36:$GS$61,0,ROW()-3),CR$3)</f>
        <v>0</v>
      </c>
      <c r="CS163" s="2">
        <f>COUNTIF(INDEX('LINE PLAN'!$B$36:$GS$61,0,ROW()-3),CS$3)</f>
        <v>0</v>
      </c>
      <c r="CT163" s="2">
        <f>COUNTIF(INDEX('LINE PLAN'!$B$36:$GS$61,0,ROW()-3),CT$3)</f>
        <v>0</v>
      </c>
      <c r="CU163" s="2">
        <f>COUNTIF(INDEX('LINE PLAN'!$B$36:$GS$61,0,ROW()-3),CU$3)</f>
        <v>0</v>
      </c>
      <c r="CV163" s="2">
        <f>COUNTIF(INDEX('LINE PLAN'!$B$36:$GS$61,0,ROW()-3),CV$3)</f>
        <v>0</v>
      </c>
      <c r="CW163" s="2">
        <f>COUNTIF(INDEX('LINE PLAN'!$B$36:$GS$61,0,ROW()-3),CW$3)</f>
        <v>0</v>
      </c>
      <c r="CX163" s="2">
        <f>COUNTIF(INDEX('LINE PLAN'!$B$36:$GS$61,0,ROW()-3),CX$3)</f>
        <v>0</v>
      </c>
      <c r="CY163" s="2">
        <f>COUNTIF(INDEX('LINE PLAN'!$B$36:$GS$61,0,ROW()-3),CY$3)</f>
        <v>0</v>
      </c>
      <c r="CZ163" s="2">
        <f>COUNTIF(INDEX('LINE PLAN'!$B$36:$GS$61,0,ROW()-3),CZ$3)</f>
        <v>0</v>
      </c>
      <c r="DA163" s="2">
        <f>COUNTIF(INDEX('LINE PLAN'!$B$36:$GS$61,0,ROW()-3),DA$3)</f>
        <v>0</v>
      </c>
      <c r="DB163" s="2">
        <f>COUNTIF(INDEX('LINE PLAN'!$B$36:$GS$61,0,ROW()-3),DB$3)</f>
        <v>0</v>
      </c>
      <c r="DC163" s="2">
        <f>COUNTIF(INDEX('LINE PLAN'!$B$36:$GS$61,0,ROW()-3),DC$3)</f>
        <v>0</v>
      </c>
      <c r="DD163" s="2">
        <f>COUNTIF(INDEX('LINE PLAN'!$B$36:$GS$61,0,ROW()-3),DD$3)</f>
        <v>0</v>
      </c>
      <c r="DE163" s="2">
        <f>COUNTIF(INDEX('LINE PLAN'!$B$36:$GS$61,0,ROW()-3),DE$3)</f>
        <v>0</v>
      </c>
      <c r="DF163" s="2">
        <f>COUNTIF(INDEX('LINE PLAN'!$B$36:$GS$61,0,ROW()-3),DF$3)</f>
        <v>0</v>
      </c>
      <c r="DG163" s="2">
        <f>COUNTIF(INDEX('LINE PLAN'!$B$36:$GS$61,0,ROW()-3),DG$3)</f>
        <v>0</v>
      </c>
      <c r="DH163" s="2">
        <f>COUNTIF(INDEX('LINE PLAN'!$B$36:$GS$61,0,ROW()-3),DH$3)</f>
        <v>0</v>
      </c>
      <c r="DI163" s="2">
        <f>COUNTIF(INDEX('LINE PLAN'!$B$36:$GS$61,0,ROW()-3),DI$3)</f>
        <v>0</v>
      </c>
      <c r="DJ163" s="2">
        <f>COUNTIF(INDEX('LINE PLAN'!$B$36:$GS$61,0,ROW()-3),DJ$3)</f>
        <v>0</v>
      </c>
      <c r="DK163" s="2">
        <f>COUNTIF(INDEX('LINE PLAN'!$B$36:$GS$61,0,ROW()-3),DK$3)</f>
        <v>0</v>
      </c>
      <c r="DL163" s="2">
        <f>COUNTIF(INDEX('LINE PLAN'!$B$36:$GS$61,0,ROW()-3),DL$3)</f>
        <v>0</v>
      </c>
      <c r="DM163" s="2">
        <f>COUNTIF(INDEX('LINE PLAN'!$B$36:$GS$61,0,ROW()-3),DM$3)</f>
        <v>0</v>
      </c>
      <c r="DN163" s="2">
        <f>COUNTIF(INDEX('LINE PLAN'!$B$36:$GS$61,0,ROW()-3),DN$3)</f>
        <v>0</v>
      </c>
      <c r="DO163" s="2">
        <f>COUNTIF(INDEX('LINE PLAN'!$B$36:$GS$61,0,ROW()-3),DO$3)</f>
        <v>0</v>
      </c>
      <c r="DP163" s="2">
        <f>COUNTIF(INDEX('LINE PLAN'!$B$36:$GS$61,0,ROW()-3),DP$3)</f>
        <v>0</v>
      </c>
      <c r="DQ163" s="2">
        <f>COUNTIF(INDEX('LINE PLAN'!$B$36:$GS$61,0,ROW()-3),DQ$3)</f>
        <v>0</v>
      </c>
      <c r="DR163" s="2">
        <f>COUNTIF(INDEX('LINE PLAN'!$B$36:$GS$61,0,ROW()-3),DR$3)</f>
        <v>0</v>
      </c>
      <c r="DS163" s="2">
        <f>COUNTIF(INDEX('LINE PLAN'!$B$36:$GS$61,0,ROW()-3),DS$3)</f>
        <v>0</v>
      </c>
      <c r="DT163" s="2">
        <f>COUNTIF(INDEX('LINE PLAN'!$B$36:$GS$61,0,ROW()-3),DT$3)</f>
        <v>0</v>
      </c>
      <c r="DU163" s="2">
        <f>COUNTIF(INDEX('LINE PLAN'!$B$36:$GS$61,0,ROW()-3),DU$3)</f>
        <v>0</v>
      </c>
      <c r="DV163" s="2">
        <f>COUNTIF(INDEX('LINE PLAN'!$B$36:$GS$61,0,ROW()-3),DV$3)</f>
        <v>0</v>
      </c>
    </row>
    <row r="164" spans="1:126">
      <c r="A164" s="505" cm="1">
        <f t="array" ref="A164">INDEX('LINE PLAN'!$B$35:$GS$35,ROW()-3)</f>
        <v>0</v>
      </c>
      <c r="B164" s="2">
        <f>SUMPRODUCT($CA164:$DV164,INDEX('MC MAP'!$DA$5:$EV$30,1,0))</f>
        <v>0</v>
      </c>
      <c r="C164" s="2">
        <f>SUMPRODUCT($CA164:$DV164,INDEX('MC MAP'!$DA$5:$EV$30,2,0))</f>
        <v>0</v>
      </c>
      <c r="D164" s="2">
        <f>SUMPRODUCT($CA164:$DV164,INDEX('MC MAP'!$DA$5:$EV$30,3,0))</f>
        <v>0</v>
      </c>
      <c r="E164" s="2">
        <f>SUMPRODUCT($CA164:$DV164,INDEX('MC MAP'!$DA$5:$EV$30,4,0))</f>
        <v>0</v>
      </c>
      <c r="F164" s="2">
        <f>SUMPRODUCT($CA164:$DV164,INDEX('MC MAP'!$DA$5:$EV$30,5,0))</f>
        <v>0</v>
      </c>
      <c r="G164" s="2">
        <f>SUMPRODUCT($CA164:$DV164,INDEX('MC MAP'!$DA$5:$EV$30,6,0))</f>
        <v>0</v>
      </c>
      <c r="H164" s="2">
        <f>SUMPRODUCT($CA164:$DV164,INDEX('MC MAP'!$DA$5:$EV$30,7,0))</f>
        <v>0</v>
      </c>
      <c r="I164" s="2">
        <f>SUMPRODUCT($CA164:$DV164,INDEX('MC MAP'!$DA$5:$EV$30,8,0))</f>
        <v>0</v>
      </c>
      <c r="J164" s="2">
        <f>SUMPRODUCT($CA164:$DV164,INDEX('MC MAP'!$DA$5:$EV$30,9,0))</f>
        <v>0</v>
      </c>
      <c r="K164" s="2">
        <f>SUMPRODUCT($CA164:$DV164,INDEX('MC MAP'!$DA$5:$EV$30,10,0))</f>
        <v>0</v>
      </c>
      <c r="L164" s="2">
        <f>SUMPRODUCT($CA164:$DV164,INDEX('MC MAP'!$DA$5:$EV$30,11,0))</f>
        <v>0</v>
      </c>
      <c r="M164" s="2">
        <f>SUMPRODUCT($CA164:$DV164,INDEX('MC MAP'!$DA$5:$EV$30,12,0))</f>
        <v>0</v>
      </c>
      <c r="N164" s="2">
        <f>SUMPRODUCT($CA164:$DV164,INDEX('MC MAP'!$DA$5:$EV$30,13,0))</f>
        <v>0</v>
      </c>
      <c r="O164" s="2">
        <f>SUMPRODUCT($CA164:$DV164,INDEX('MC MAP'!$DA$5:$EV$30,14,0))</f>
        <v>0</v>
      </c>
      <c r="P164" s="2">
        <f>SUMPRODUCT($CA164:$DV164,INDEX('MC MAP'!$DA$5:$EV$30,15,0))</f>
        <v>0</v>
      </c>
      <c r="Q164" s="2">
        <f>SUMPRODUCT($CA164:$DV164,INDEX('MC MAP'!$DA$5:$EV$30,16,0))</f>
        <v>0</v>
      </c>
      <c r="R164" s="2">
        <f>SUMPRODUCT($CA164:$DV164,INDEX('MC MAP'!$DA$5:$EV$30,17,0))</f>
        <v>0</v>
      </c>
      <c r="S164" s="2">
        <f>SUMPRODUCT($CA164:$DV164,INDEX('MC MAP'!$DA$5:$EV$30,18,0))</f>
        <v>0</v>
      </c>
      <c r="T164" s="2">
        <f>SUMPRODUCT($CA164:$DV164,INDEX('MC MAP'!$DA$5:$EV$30,19,0))</f>
        <v>0</v>
      </c>
      <c r="U164" s="2">
        <f>SUMPRODUCT($CA164:$DV164,INDEX('MC MAP'!$DA$5:$EV$30,20,0))</f>
        <v>0</v>
      </c>
      <c r="V164" s="2">
        <f>SUMPRODUCT($CA164:$DV164,INDEX('MC MAP'!$DA$5:$EV$30,21,0))</f>
        <v>0</v>
      </c>
      <c r="W164" s="2">
        <f>SUMPRODUCT($CA164:$DV164,INDEX('MC MAP'!$DA$5:$EV$30,22,0))</f>
        <v>0</v>
      </c>
      <c r="X164" s="2">
        <f>SUMPRODUCT($CA164:$DV164,INDEX('MC MAP'!$DA$5:$EV$30,23,0))</f>
        <v>0</v>
      </c>
      <c r="Y164" s="2">
        <f>SUMPRODUCT($CA164:$DV164,INDEX('MC MAP'!$DA$5:$EV$30,24,0))</f>
        <v>0</v>
      </c>
      <c r="Z164" s="2">
        <f>SUMPRODUCT($CA164:$DV164,INDEX('MC MAP'!$DA$5:$EV$30,25,0))</f>
        <v>0</v>
      </c>
      <c r="AA164" s="2">
        <f>SUMPRODUCT($CA164:$DV164,INDEX('MC MAP'!$DA$5:$EV$30,26,0))</f>
        <v>0</v>
      </c>
      <c r="AB164" s="2">
        <f>SUM($B164:$AA164)</f>
        <v>0</v>
      </c>
      <c r="AC164" s="2">
        <f>SUM($CA164:$DV164)+$AW164</f>
        <v>0</v>
      </c>
      <c r="AW164" s="2">
        <f>IF($A164=0,0,COUNTIF(INDEX('LINE PLAN'!$B$36:$GS$61,0,ROW()-3),"THERMAL - NOT SPECIFIED"))</f>
        <v>0</v>
      </c>
      <c r="AX164" s="506" cm="1">
        <f t="array" ref="AX164">IF(OR($AB164=0,UPPER($BS164)&lt;&gt;"Y"),0,SUMPRODUCT(--($B164:$AA164&gt;$B$205:$AA$205)))</f>
        <v>0</v>
      </c>
      <c r="AY164" s="507">
        <f>$A164</f>
        <v>0</v>
      </c>
      <c r="AZ164" s="2">
        <f>$AB164</f>
        <v>0</v>
      </c>
      <c r="BA164" s="2">
        <f>'MC MASTER'!$C$29</f>
        <v>920</v>
      </c>
      <c r="BQ164" s="509">
        <f>$A164</f>
        <v>0</v>
      </c>
      <c r="BR164" s="15" t="str">
        <f>TEXT($A164,"ddd")</f>
        <v>Sat</v>
      </c>
      <c r="BS164" s="547" t="str">
        <f>IF($A164=0,"",IF(WEEKDAY($A164,2)=7,"N","Y"))</f>
        <v/>
      </c>
      <c r="BT164" s="15">
        <f>IF(UPPER($BS164)="Y",$AB164,0)</f>
        <v>0</v>
      </c>
      <c r="CA164" s="2">
        <f>COUNTIF(INDEX('LINE PLAN'!$B$36:$GS$61,0,ROW()-3),CA$3)</f>
        <v>0</v>
      </c>
      <c r="CB164" s="2">
        <f>COUNTIF(INDEX('LINE PLAN'!$B$36:$GS$61,0,ROW()-3),CB$3)</f>
        <v>0</v>
      </c>
      <c r="CC164" s="2">
        <f>COUNTIF(INDEX('LINE PLAN'!$B$36:$GS$61,0,ROW()-3),CC$3)</f>
        <v>0</v>
      </c>
      <c r="CD164" s="2">
        <f>COUNTIF(INDEX('LINE PLAN'!$B$36:$GS$61,0,ROW()-3),CD$3)</f>
        <v>0</v>
      </c>
      <c r="CE164" s="2">
        <f>COUNTIF(INDEX('LINE PLAN'!$B$36:$GS$61,0,ROW()-3),CE$3)</f>
        <v>0</v>
      </c>
      <c r="CF164" s="2">
        <f>COUNTIF(INDEX('LINE PLAN'!$B$36:$GS$61,0,ROW()-3),CF$3)</f>
        <v>0</v>
      </c>
      <c r="CG164" s="2">
        <f>COUNTIF(INDEX('LINE PLAN'!$B$36:$GS$61,0,ROW()-3),CG$3)</f>
        <v>0</v>
      </c>
      <c r="CH164" s="2">
        <f>COUNTIF(INDEX('LINE PLAN'!$B$36:$GS$61,0,ROW()-3),CH$3)</f>
        <v>0</v>
      </c>
      <c r="CI164" s="2">
        <f>COUNTIF(INDEX('LINE PLAN'!$B$36:$GS$61,0,ROW()-3),CI$3)</f>
        <v>0</v>
      </c>
      <c r="CJ164" s="2">
        <f>COUNTIF(INDEX('LINE PLAN'!$B$36:$GS$61,0,ROW()-3),CJ$3)</f>
        <v>0</v>
      </c>
      <c r="CK164" s="2">
        <f>COUNTIF(INDEX('LINE PLAN'!$B$36:$GS$61,0,ROW()-3),CK$3)</f>
        <v>0</v>
      </c>
      <c r="CL164" s="2">
        <f>COUNTIF(INDEX('LINE PLAN'!$B$36:$GS$61,0,ROW()-3),CL$3)</f>
        <v>0</v>
      </c>
      <c r="CM164" s="2">
        <f>COUNTIF(INDEX('LINE PLAN'!$B$36:$GS$61,0,ROW()-3),CM$3)</f>
        <v>0</v>
      </c>
      <c r="CN164" s="2">
        <f>COUNTIF(INDEX('LINE PLAN'!$B$36:$GS$61,0,ROW()-3),CN$3)</f>
        <v>0</v>
      </c>
      <c r="CO164" s="2">
        <f>COUNTIF(INDEX('LINE PLAN'!$B$36:$GS$61,0,ROW()-3),CO$3)</f>
        <v>0</v>
      </c>
      <c r="CP164" s="2">
        <f>COUNTIF(INDEX('LINE PLAN'!$B$36:$GS$61,0,ROW()-3),CP$3)</f>
        <v>0</v>
      </c>
      <c r="CQ164" s="2">
        <f>COUNTIF(INDEX('LINE PLAN'!$B$36:$GS$61,0,ROW()-3),CQ$3)</f>
        <v>0</v>
      </c>
      <c r="CR164" s="2">
        <f>COUNTIF(INDEX('LINE PLAN'!$B$36:$GS$61,0,ROW()-3),CR$3)</f>
        <v>0</v>
      </c>
      <c r="CS164" s="2">
        <f>COUNTIF(INDEX('LINE PLAN'!$B$36:$GS$61,0,ROW()-3),CS$3)</f>
        <v>0</v>
      </c>
      <c r="CT164" s="2">
        <f>COUNTIF(INDEX('LINE PLAN'!$B$36:$GS$61,0,ROW()-3),CT$3)</f>
        <v>0</v>
      </c>
      <c r="CU164" s="2">
        <f>COUNTIF(INDEX('LINE PLAN'!$B$36:$GS$61,0,ROW()-3),CU$3)</f>
        <v>0</v>
      </c>
      <c r="CV164" s="2">
        <f>COUNTIF(INDEX('LINE PLAN'!$B$36:$GS$61,0,ROW()-3),CV$3)</f>
        <v>0</v>
      </c>
      <c r="CW164" s="2">
        <f>COUNTIF(INDEX('LINE PLAN'!$B$36:$GS$61,0,ROW()-3),CW$3)</f>
        <v>0</v>
      </c>
      <c r="CX164" s="2">
        <f>COUNTIF(INDEX('LINE PLAN'!$B$36:$GS$61,0,ROW()-3),CX$3)</f>
        <v>0</v>
      </c>
      <c r="CY164" s="2">
        <f>COUNTIF(INDEX('LINE PLAN'!$B$36:$GS$61,0,ROW()-3),CY$3)</f>
        <v>0</v>
      </c>
      <c r="CZ164" s="2">
        <f>COUNTIF(INDEX('LINE PLAN'!$B$36:$GS$61,0,ROW()-3),CZ$3)</f>
        <v>0</v>
      </c>
      <c r="DA164" s="2">
        <f>COUNTIF(INDEX('LINE PLAN'!$B$36:$GS$61,0,ROW()-3),DA$3)</f>
        <v>0</v>
      </c>
      <c r="DB164" s="2">
        <f>COUNTIF(INDEX('LINE PLAN'!$B$36:$GS$61,0,ROW()-3),DB$3)</f>
        <v>0</v>
      </c>
      <c r="DC164" s="2">
        <f>COUNTIF(INDEX('LINE PLAN'!$B$36:$GS$61,0,ROW()-3),DC$3)</f>
        <v>0</v>
      </c>
      <c r="DD164" s="2">
        <f>COUNTIF(INDEX('LINE PLAN'!$B$36:$GS$61,0,ROW()-3),DD$3)</f>
        <v>0</v>
      </c>
      <c r="DE164" s="2">
        <f>COUNTIF(INDEX('LINE PLAN'!$B$36:$GS$61,0,ROW()-3),DE$3)</f>
        <v>0</v>
      </c>
      <c r="DF164" s="2">
        <f>COUNTIF(INDEX('LINE PLAN'!$B$36:$GS$61,0,ROW()-3),DF$3)</f>
        <v>0</v>
      </c>
      <c r="DG164" s="2">
        <f>COUNTIF(INDEX('LINE PLAN'!$B$36:$GS$61,0,ROW()-3),DG$3)</f>
        <v>0</v>
      </c>
      <c r="DH164" s="2">
        <f>COUNTIF(INDEX('LINE PLAN'!$B$36:$GS$61,0,ROW()-3),DH$3)</f>
        <v>0</v>
      </c>
      <c r="DI164" s="2">
        <f>COUNTIF(INDEX('LINE PLAN'!$B$36:$GS$61,0,ROW()-3),DI$3)</f>
        <v>0</v>
      </c>
      <c r="DJ164" s="2">
        <f>COUNTIF(INDEX('LINE PLAN'!$B$36:$GS$61,0,ROW()-3),DJ$3)</f>
        <v>0</v>
      </c>
      <c r="DK164" s="2">
        <f>COUNTIF(INDEX('LINE PLAN'!$B$36:$GS$61,0,ROW()-3),DK$3)</f>
        <v>0</v>
      </c>
      <c r="DL164" s="2">
        <f>COUNTIF(INDEX('LINE PLAN'!$B$36:$GS$61,0,ROW()-3),DL$3)</f>
        <v>0</v>
      </c>
      <c r="DM164" s="2">
        <f>COUNTIF(INDEX('LINE PLAN'!$B$36:$GS$61,0,ROW()-3),DM$3)</f>
        <v>0</v>
      </c>
      <c r="DN164" s="2">
        <f>COUNTIF(INDEX('LINE PLAN'!$B$36:$GS$61,0,ROW()-3),DN$3)</f>
        <v>0</v>
      </c>
      <c r="DO164" s="2">
        <f>COUNTIF(INDEX('LINE PLAN'!$B$36:$GS$61,0,ROW()-3),DO$3)</f>
        <v>0</v>
      </c>
      <c r="DP164" s="2">
        <f>COUNTIF(INDEX('LINE PLAN'!$B$36:$GS$61,0,ROW()-3),DP$3)</f>
        <v>0</v>
      </c>
      <c r="DQ164" s="2">
        <f>COUNTIF(INDEX('LINE PLAN'!$B$36:$GS$61,0,ROW()-3),DQ$3)</f>
        <v>0</v>
      </c>
      <c r="DR164" s="2">
        <f>COUNTIF(INDEX('LINE PLAN'!$B$36:$GS$61,0,ROW()-3),DR$3)</f>
        <v>0</v>
      </c>
      <c r="DS164" s="2">
        <f>COUNTIF(INDEX('LINE PLAN'!$B$36:$GS$61,0,ROW()-3),DS$3)</f>
        <v>0</v>
      </c>
      <c r="DT164" s="2">
        <f>COUNTIF(INDEX('LINE PLAN'!$B$36:$GS$61,0,ROW()-3),DT$3)</f>
        <v>0</v>
      </c>
      <c r="DU164" s="2">
        <f>COUNTIF(INDEX('LINE PLAN'!$B$36:$GS$61,0,ROW()-3),DU$3)</f>
        <v>0</v>
      </c>
      <c r="DV164" s="2">
        <f>COUNTIF(INDEX('LINE PLAN'!$B$36:$GS$61,0,ROW()-3),DV$3)</f>
        <v>0</v>
      </c>
    </row>
    <row r="165" spans="1:126">
      <c r="A165" s="505" cm="1">
        <f t="array" ref="A165">INDEX('LINE PLAN'!$B$35:$GS$35,ROW()-3)</f>
        <v>0</v>
      </c>
      <c r="B165" s="2">
        <f>SUMPRODUCT($CA165:$DV165,INDEX('MC MAP'!$DA$5:$EV$30,1,0))</f>
        <v>0</v>
      </c>
      <c r="C165" s="2">
        <f>SUMPRODUCT($CA165:$DV165,INDEX('MC MAP'!$DA$5:$EV$30,2,0))</f>
        <v>0</v>
      </c>
      <c r="D165" s="2">
        <f>SUMPRODUCT($CA165:$DV165,INDEX('MC MAP'!$DA$5:$EV$30,3,0))</f>
        <v>0</v>
      </c>
      <c r="E165" s="2">
        <f>SUMPRODUCT($CA165:$DV165,INDEX('MC MAP'!$DA$5:$EV$30,4,0))</f>
        <v>0</v>
      </c>
      <c r="F165" s="2">
        <f>SUMPRODUCT($CA165:$DV165,INDEX('MC MAP'!$DA$5:$EV$30,5,0))</f>
        <v>0</v>
      </c>
      <c r="G165" s="2">
        <f>SUMPRODUCT($CA165:$DV165,INDEX('MC MAP'!$DA$5:$EV$30,6,0))</f>
        <v>0</v>
      </c>
      <c r="H165" s="2">
        <f>SUMPRODUCT($CA165:$DV165,INDEX('MC MAP'!$DA$5:$EV$30,7,0))</f>
        <v>0</v>
      </c>
      <c r="I165" s="2">
        <f>SUMPRODUCT($CA165:$DV165,INDEX('MC MAP'!$DA$5:$EV$30,8,0))</f>
        <v>0</v>
      </c>
      <c r="J165" s="2">
        <f>SUMPRODUCT($CA165:$DV165,INDEX('MC MAP'!$DA$5:$EV$30,9,0))</f>
        <v>0</v>
      </c>
      <c r="K165" s="2">
        <f>SUMPRODUCT($CA165:$DV165,INDEX('MC MAP'!$DA$5:$EV$30,10,0))</f>
        <v>0</v>
      </c>
      <c r="L165" s="2">
        <f>SUMPRODUCT($CA165:$DV165,INDEX('MC MAP'!$DA$5:$EV$30,11,0))</f>
        <v>0</v>
      </c>
      <c r="M165" s="2">
        <f>SUMPRODUCT($CA165:$DV165,INDEX('MC MAP'!$DA$5:$EV$30,12,0))</f>
        <v>0</v>
      </c>
      <c r="N165" s="2">
        <f>SUMPRODUCT($CA165:$DV165,INDEX('MC MAP'!$DA$5:$EV$30,13,0))</f>
        <v>0</v>
      </c>
      <c r="O165" s="2">
        <f>SUMPRODUCT($CA165:$DV165,INDEX('MC MAP'!$DA$5:$EV$30,14,0))</f>
        <v>0</v>
      </c>
      <c r="P165" s="2">
        <f>SUMPRODUCT($CA165:$DV165,INDEX('MC MAP'!$DA$5:$EV$30,15,0))</f>
        <v>0</v>
      </c>
      <c r="Q165" s="2">
        <f>SUMPRODUCT($CA165:$DV165,INDEX('MC MAP'!$DA$5:$EV$30,16,0))</f>
        <v>0</v>
      </c>
      <c r="R165" s="2">
        <f>SUMPRODUCT($CA165:$DV165,INDEX('MC MAP'!$DA$5:$EV$30,17,0))</f>
        <v>0</v>
      </c>
      <c r="S165" s="2">
        <f>SUMPRODUCT($CA165:$DV165,INDEX('MC MAP'!$DA$5:$EV$30,18,0))</f>
        <v>0</v>
      </c>
      <c r="T165" s="2">
        <f>SUMPRODUCT($CA165:$DV165,INDEX('MC MAP'!$DA$5:$EV$30,19,0))</f>
        <v>0</v>
      </c>
      <c r="U165" s="2">
        <f>SUMPRODUCT($CA165:$DV165,INDEX('MC MAP'!$DA$5:$EV$30,20,0))</f>
        <v>0</v>
      </c>
      <c r="V165" s="2">
        <f>SUMPRODUCT($CA165:$DV165,INDEX('MC MAP'!$DA$5:$EV$30,21,0))</f>
        <v>0</v>
      </c>
      <c r="W165" s="2">
        <f>SUMPRODUCT($CA165:$DV165,INDEX('MC MAP'!$DA$5:$EV$30,22,0))</f>
        <v>0</v>
      </c>
      <c r="X165" s="2">
        <f>SUMPRODUCT($CA165:$DV165,INDEX('MC MAP'!$DA$5:$EV$30,23,0))</f>
        <v>0</v>
      </c>
      <c r="Y165" s="2">
        <f>SUMPRODUCT($CA165:$DV165,INDEX('MC MAP'!$DA$5:$EV$30,24,0))</f>
        <v>0</v>
      </c>
      <c r="Z165" s="2">
        <f>SUMPRODUCT($CA165:$DV165,INDEX('MC MAP'!$DA$5:$EV$30,25,0))</f>
        <v>0</v>
      </c>
      <c r="AA165" s="2">
        <f>SUMPRODUCT($CA165:$DV165,INDEX('MC MAP'!$DA$5:$EV$30,26,0))</f>
        <v>0</v>
      </c>
      <c r="AB165" s="2">
        <f>SUM($B165:$AA165)</f>
        <v>0</v>
      </c>
      <c r="AC165" s="2">
        <f>SUM($CA165:$DV165)+$AW165</f>
        <v>0</v>
      </c>
      <c r="AW165" s="2">
        <f>IF($A165=0,0,COUNTIF(INDEX('LINE PLAN'!$B$36:$GS$61,0,ROW()-3),"THERMAL - NOT SPECIFIED"))</f>
        <v>0</v>
      </c>
      <c r="AX165" s="506" cm="1">
        <f t="array" ref="AX165">IF(OR($AB165=0,UPPER($BS165)&lt;&gt;"Y"),0,SUMPRODUCT(--($B165:$AA165&gt;$B$205:$AA$205)))</f>
        <v>0</v>
      </c>
      <c r="AY165" s="507">
        <f>$A165</f>
        <v>0</v>
      </c>
      <c r="AZ165" s="2">
        <f>$AB165</f>
        <v>0</v>
      </c>
      <c r="BA165" s="2">
        <f>'MC MASTER'!$C$29</f>
        <v>920</v>
      </c>
      <c r="BQ165" s="509">
        <f>$A165</f>
        <v>0</v>
      </c>
      <c r="BR165" s="15" t="str">
        <f>TEXT($A165,"ddd")</f>
        <v>Sat</v>
      </c>
      <c r="BS165" s="547" t="str">
        <f>IF($A165=0,"",IF(WEEKDAY($A165,2)=7,"N","Y"))</f>
        <v/>
      </c>
      <c r="BT165" s="15">
        <f>IF(UPPER($BS165)="Y",$AB165,0)</f>
        <v>0</v>
      </c>
      <c r="CA165" s="2">
        <f>COUNTIF(INDEX('LINE PLAN'!$B$36:$GS$61,0,ROW()-3),CA$3)</f>
        <v>0</v>
      </c>
      <c r="CB165" s="2">
        <f>COUNTIF(INDEX('LINE PLAN'!$B$36:$GS$61,0,ROW()-3),CB$3)</f>
        <v>0</v>
      </c>
      <c r="CC165" s="2">
        <f>COUNTIF(INDEX('LINE PLAN'!$B$36:$GS$61,0,ROW()-3),CC$3)</f>
        <v>0</v>
      </c>
      <c r="CD165" s="2">
        <f>COUNTIF(INDEX('LINE PLAN'!$B$36:$GS$61,0,ROW()-3),CD$3)</f>
        <v>0</v>
      </c>
      <c r="CE165" s="2">
        <f>COUNTIF(INDEX('LINE PLAN'!$B$36:$GS$61,0,ROW()-3),CE$3)</f>
        <v>0</v>
      </c>
      <c r="CF165" s="2">
        <f>COUNTIF(INDEX('LINE PLAN'!$B$36:$GS$61,0,ROW()-3),CF$3)</f>
        <v>0</v>
      </c>
      <c r="CG165" s="2">
        <f>COUNTIF(INDEX('LINE PLAN'!$B$36:$GS$61,0,ROW()-3),CG$3)</f>
        <v>0</v>
      </c>
      <c r="CH165" s="2">
        <f>COUNTIF(INDEX('LINE PLAN'!$B$36:$GS$61,0,ROW()-3),CH$3)</f>
        <v>0</v>
      </c>
      <c r="CI165" s="2">
        <f>COUNTIF(INDEX('LINE PLAN'!$B$36:$GS$61,0,ROW()-3),CI$3)</f>
        <v>0</v>
      </c>
      <c r="CJ165" s="2">
        <f>COUNTIF(INDEX('LINE PLAN'!$B$36:$GS$61,0,ROW()-3),CJ$3)</f>
        <v>0</v>
      </c>
      <c r="CK165" s="2">
        <f>COUNTIF(INDEX('LINE PLAN'!$B$36:$GS$61,0,ROW()-3),CK$3)</f>
        <v>0</v>
      </c>
      <c r="CL165" s="2">
        <f>COUNTIF(INDEX('LINE PLAN'!$B$36:$GS$61,0,ROW()-3),CL$3)</f>
        <v>0</v>
      </c>
      <c r="CM165" s="2">
        <f>COUNTIF(INDEX('LINE PLAN'!$B$36:$GS$61,0,ROW()-3),CM$3)</f>
        <v>0</v>
      </c>
      <c r="CN165" s="2">
        <f>COUNTIF(INDEX('LINE PLAN'!$B$36:$GS$61,0,ROW()-3),CN$3)</f>
        <v>0</v>
      </c>
      <c r="CO165" s="2">
        <f>COUNTIF(INDEX('LINE PLAN'!$B$36:$GS$61,0,ROW()-3),CO$3)</f>
        <v>0</v>
      </c>
      <c r="CP165" s="2">
        <f>COUNTIF(INDEX('LINE PLAN'!$B$36:$GS$61,0,ROW()-3),CP$3)</f>
        <v>0</v>
      </c>
      <c r="CQ165" s="2">
        <f>COUNTIF(INDEX('LINE PLAN'!$B$36:$GS$61,0,ROW()-3),CQ$3)</f>
        <v>0</v>
      </c>
      <c r="CR165" s="2">
        <f>COUNTIF(INDEX('LINE PLAN'!$B$36:$GS$61,0,ROW()-3),CR$3)</f>
        <v>0</v>
      </c>
      <c r="CS165" s="2">
        <f>COUNTIF(INDEX('LINE PLAN'!$B$36:$GS$61,0,ROW()-3),CS$3)</f>
        <v>0</v>
      </c>
      <c r="CT165" s="2">
        <f>COUNTIF(INDEX('LINE PLAN'!$B$36:$GS$61,0,ROW()-3),CT$3)</f>
        <v>0</v>
      </c>
      <c r="CU165" s="2">
        <f>COUNTIF(INDEX('LINE PLAN'!$B$36:$GS$61,0,ROW()-3),CU$3)</f>
        <v>0</v>
      </c>
      <c r="CV165" s="2">
        <f>COUNTIF(INDEX('LINE PLAN'!$B$36:$GS$61,0,ROW()-3),CV$3)</f>
        <v>0</v>
      </c>
      <c r="CW165" s="2">
        <f>COUNTIF(INDEX('LINE PLAN'!$B$36:$GS$61,0,ROW()-3),CW$3)</f>
        <v>0</v>
      </c>
      <c r="CX165" s="2">
        <f>COUNTIF(INDEX('LINE PLAN'!$B$36:$GS$61,0,ROW()-3),CX$3)</f>
        <v>0</v>
      </c>
      <c r="CY165" s="2">
        <f>COUNTIF(INDEX('LINE PLAN'!$B$36:$GS$61,0,ROW()-3),CY$3)</f>
        <v>0</v>
      </c>
      <c r="CZ165" s="2">
        <f>COUNTIF(INDEX('LINE PLAN'!$B$36:$GS$61,0,ROW()-3),CZ$3)</f>
        <v>0</v>
      </c>
      <c r="DA165" s="2">
        <f>COUNTIF(INDEX('LINE PLAN'!$B$36:$GS$61,0,ROW()-3),DA$3)</f>
        <v>0</v>
      </c>
      <c r="DB165" s="2">
        <f>COUNTIF(INDEX('LINE PLAN'!$B$36:$GS$61,0,ROW()-3),DB$3)</f>
        <v>0</v>
      </c>
      <c r="DC165" s="2">
        <f>COUNTIF(INDEX('LINE PLAN'!$B$36:$GS$61,0,ROW()-3),DC$3)</f>
        <v>0</v>
      </c>
      <c r="DD165" s="2">
        <f>COUNTIF(INDEX('LINE PLAN'!$B$36:$GS$61,0,ROW()-3),DD$3)</f>
        <v>0</v>
      </c>
      <c r="DE165" s="2">
        <f>COUNTIF(INDEX('LINE PLAN'!$B$36:$GS$61,0,ROW()-3),DE$3)</f>
        <v>0</v>
      </c>
      <c r="DF165" s="2">
        <f>COUNTIF(INDEX('LINE PLAN'!$B$36:$GS$61,0,ROW()-3),DF$3)</f>
        <v>0</v>
      </c>
      <c r="DG165" s="2">
        <f>COUNTIF(INDEX('LINE PLAN'!$B$36:$GS$61,0,ROW()-3),DG$3)</f>
        <v>0</v>
      </c>
      <c r="DH165" s="2">
        <f>COUNTIF(INDEX('LINE PLAN'!$B$36:$GS$61,0,ROW()-3),DH$3)</f>
        <v>0</v>
      </c>
      <c r="DI165" s="2">
        <f>COUNTIF(INDEX('LINE PLAN'!$B$36:$GS$61,0,ROW()-3),DI$3)</f>
        <v>0</v>
      </c>
      <c r="DJ165" s="2">
        <f>COUNTIF(INDEX('LINE PLAN'!$B$36:$GS$61,0,ROW()-3),DJ$3)</f>
        <v>0</v>
      </c>
      <c r="DK165" s="2">
        <f>COUNTIF(INDEX('LINE PLAN'!$B$36:$GS$61,0,ROW()-3),DK$3)</f>
        <v>0</v>
      </c>
      <c r="DL165" s="2">
        <f>COUNTIF(INDEX('LINE PLAN'!$B$36:$GS$61,0,ROW()-3),DL$3)</f>
        <v>0</v>
      </c>
      <c r="DM165" s="2">
        <f>COUNTIF(INDEX('LINE PLAN'!$B$36:$GS$61,0,ROW()-3),DM$3)</f>
        <v>0</v>
      </c>
      <c r="DN165" s="2">
        <f>COUNTIF(INDEX('LINE PLAN'!$B$36:$GS$61,0,ROW()-3),DN$3)</f>
        <v>0</v>
      </c>
      <c r="DO165" s="2">
        <f>COUNTIF(INDEX('LINE PLAN'!$B$36:$GS$61,0,ROW()-3),DO$3)</f>
        <v>0</v>
      </c>
      <c r="DP165" s="2">
        <f>COUNTIF(INDEX('LINE PLAN'!$B$36:$GS$61,0,ROW()-3),DP$3)</f>
        <v>0</v>
      </c>
      <c r="DQ165" s="2">
        <f>COUNTIF(INDEX('LINE PLAN'!$B$36:$GS$61,0,ROW()-3),DQ$3)</f>
        <v>0</v>
      </c>
      <c r="DR165" s="2">
        <f>COUNTIF(INDEX('LINE PLAN'!$B$36:$GS$61,0,ROW()-3),DR$3)</f>
        <v>0</v>
      </c>
      <c r="DS165" s="2">
        <f>COUNTIF(INDEX('LINE PLAN'!$B$36:$GS$61,0,ROW()-3),DS$3)</f>
        <v>0</v>
      </c>
      <c r="DT165" s="2">
        <f>COUNTIF(INDEX('LINE PLAN'!$B$36:$GS$61,0,ROW()-3),DT$3)</f>
        <v>0</v>
      </c>
      <c r="DU165" s="2">
        <f>COUNTIF(INDEX('LINE PLAN'!$B$36:$GS$61,0,ROW()-3),DU$3)</f>
        <v>0</v>
      </c>
      <c r="DV165" s="2">
        <f>COUNTIF(INDEX('LINE PLAN'!$B$36:$GS$61,0,ROW()-3),DV$3)</f>
        <v>0</v>
      </c>
    </row>
    <row r="166" spans="1:126">
      <c r="A166" s="505" cm="1">
        <f t="array" ref="A166">INDEX('LINE PLAN'!$B$35:$GS$35,ROW()-3)</f>
        <v>0</v>
      </c>
      <c r="B166" s="2">
        <f>SUMPRODUCT($CA166:$DV166,INDEX('MC MAP'!$DA$5:$EV$30,1,0))</f>
        <v>0</v>
      </c>
      <c r="C166" s="2">
        <f>SUMPRODUCT($CA166:$DV166,INDEX('MC MAP'!$DA$5:$EV$30,2,0))</f>
        <v>0</v>
      </c>
      <c r="D166" s="2">
        <f>SUMPRODUCT($CA166:$DV166,INDEX('MC MAP'!$DA$5:$EV$30,3,0))</f>
        <v>0</v>
      </c>
      <c r="E166" s="2">
        <f>SUMPRODUCT($CA166:$DV166,INDEX('MC MAP'!$DA$5:$EV$30,4,0))</f>
        <v>0</v>
      </c>
      <c r="F166" s="2">
        <f>SUMPRODUCT($CA166:$DV166,INDEX('MC MAP'!$DA$5:$EV$30,5,0))</f>
        <v>0</v>
      </c>
      <c r="G166" s="2">
        <f>SUMPRODUCT($CA166:$DV166,INDEX('MC MAP'!$DA$5:$EV$30,6,0))</f>
        <v>0</v>
      </c>
      <c r="H166" s="2">
        <f>SUMPRODUCT($CA166:$DV166,INDEX('MC MAP'!$DA$5:$EV$30,7,0))</f>
        <v>0</v>
      </c>
      <c r="I166" s="2">
        <f>SUMPRODUCT($CA166:$DV166,INDEX('MC MAP'!$DA$5:$EV$30,8,0))</f>
        <v>0</v>
      </c>
      <c r="J166" s="2">
        <f>SUMPRODUCT($CA166:$DV166,INDEX('MC MAP'!$DA$5:$EV$30,9,0))</f>
        <v>0</v>
      </c>
      <c r="K166" s="2">
        <f>SUMPRODUCT($CA166:$DV166,INDEX('MC MAP'!$DA$5:$EV$30,10,0))</f>
        <v>0</v>
      </c>
      <c r="L166" s="2">
        <f>SUMPRODUCT($CA166:$DV166,INDEX('MC MAP'!$DA$5:$EV$30,11,0))</f>
        <v>0</v>
      </c>
      <c r="M166" s="2">
        <f>SUMPRODUCT($CA166:$DV166,INDEX('MC MAP'!$DA$5:$EV$30,12,0))</f>
        <v>0</v>
      </c>
      <c r="N166" s="2">
        <f>SUMPRODUCT($CA166:$DV166,INDEX('MC MAP'!$DA$5:$EV$30,13,0))</f>
        <v>0</v>
      </c>
      <c r="O166" s="2">
        <f>SUMPRODUCT($CA166:$DV166,INDEX('MC MAP'!$DA$5:$EV$30,14,0))</f>
        <v>0</v>
      </c>
      <c r="P166" s="2">
        <f>SUMPRODUCT($CA166:$DV166,INDEX('MC MAP'!$DA$5:$EV$30,15,0))</f>
        <v>0</v>
      </c>
      <c r="Q166" s="2">
        <f>SUMPRODUCT($CA166:$DV166,INDEX('MC MAP'!$DA$5:$EV$30,16,0))</f>
        <v>0</v>
      </c>
      <c r="R166" s="2">
        <f>SUMPRODUCT($CA166:$DV166,INDEX('MC MAP'!$DA$5:$EV$30,17,0))</f>
        <v>0</v>
      </c>
      <c r="S166" s="2">
        <f>SUMPRODUCT($CA166:$DV166,INDEX('MC MAP'!$DA$5:$EV$30,18,0))</f>
        <v>0</v>
      </c>
      <c r="T166" s="2">
        <f>SUMPRODUCT($CA166:$DV166,INDEX('MC MAP'!$DA$5:$EV$30,19,0))</f>
        <v>0</v>
      </c>
      <c r="U166" s="2">
        <f>SUMPRODUCT($CA166:$DV166,INDEX('MC MAP'!$DA$5:$EV$30,20,0))</f>
        <v>0</v>
      </c>
      <c r="V166" s="2">
        <f>SUMPRODUCT($CA166:$DV166,INDEX('MC MAP'!$DA$5:$EV$30,21,0))</f>
        <v>0</v>
      </c>
      <c r="W166" s="2">
        <f>SUMPRODUCT($CA166:$DV166,INDEX('MC MAP'!$DA$5:$EV$30,22,0))</f>
        <v>0</v>
      </c>
      <c r="X166" s="2">
        <f>SUMPRODUCT($CA166:$DV166,INDEX('MC MAP'!$DA$5:$EV$30,23,0))</f>
        <v>0</v>
      </c>
      <c r="Y166" s="2">
        <f>SUMPRODUCT($CA166:$DV166,INDEX('MC MAP'!$DA$5:$EV$30,24,0))</f>
        <v>0</v>
      </c>
      <c r="Z166" s="2">
        <f>SUMPRODUCT($CA166:$DV166,INDEX('MC MAP'!$DA$5:$EV$30,25,0))</f>
        <v>0</v>
      </c>
      <c r="AA166" s="2">
        <f>SUMPRODUCT($CA166:$DV166,INDEX('MC MAP'!$DA$5:$EV$30,26,0))</f>
        <v>0</v>
      </c>
      <c r="AB166" s="2">
        <f>SUM($B166:$AA166)</f>
        <v>0</v>
      </c>
      <c r="AC166" s="2">
        <f>SUM($CA166:$DV166)+$AW166</f>
        <v>0</v>
      </c>
      <c r="AW166" s="2">
        <f>IF($A166=0,0,COUNTIF(INDEX('LINE PLAN'!$B$36:$GS$61,0,ROW()-3),"THERMAL - NOT SPECIFIED"))</f>
        <v>0</v>
      </c>
      <c r="AX166" s="506" cm="1">
        <f t="array" ref="AX166">IF(OR($AB166=0,UPPER($BS166)&lt;&gt;"Y"),0,SUMPRODUCT(--($B166:$AA166&gt;$B$205:$AA$205)))</f>
        <v>0</v>
      </c>
      <c r="AY166" s="507">
        <f>$A166</f>
        <v>0</v>
      </c>
      <c r="AZ166" s="2">
        <f>$AB166</f>
        <v>0</v>
      </c>
      <c r="BA166" s="2">
        <f>'MC MASTER'!$C$29</f>
        <v>920</v>
      </c>
      <c r="BQ166" s="509">
        <f>$A166</f>
        <v>0</v>
      </c>
      <c r="BR166" s="15" t="str">
        <f>TEXT($A166,"ddd")</f>
        <v>Sat</v>
      </c>
      <c r="BS166" s="547" t="str">
        <f>IF($A166=0,"",IF(WEEKDAY($A166,2)=7,"N","Y"))</f>
        <v/>
      </c>
      <c r="BT166" s="15">
        <f>IF(UPPER($BS166)="Y",$AB166,0)</f>
        <v>0</v>
      </c>
      <c r="CA166" s="2">
        <f>COUNTIF(INDEX('LINE PLAN'!$B$36:$GS$61,0,ROW()-3),CA$3)</f>
        <v>0</v>
      </c>
      <c r="CB166" s="2">
        <f>COUNTIF(INDEX('LINE PLAN'!$B$36:$GS$61,0,ROW()-3),CB$3)</f>
        <v>0</v>
      </c>
      <c r="CC166" s="2">
        <f>COUNTIF(INDEX('LINE PLAN'!$B$36:$GS$61,0,ROW()-3),CC$3)</f>
        <v>0</v>
      </c>
      <c r="CD166" s="2">
        <f>COUNTIF(INDEX('LINE PLAN'!$B$36:$GS$61,0,ROW()-3),CD$3)</f>
        <v>0</v>
      </c>
      <c r="CE166" s="2">
        <f>COUNTIF(INDEX('LINE PLAN'!$B$36:$GS$61,0,ROW()-3),CE$3)</f>
        <v>0</v>
      </c>
      <c r="CF166" s="2">
        <f>COUNTIF(INDEX('LINE PLAN'!$B$36:$GS$61,0,ROW()-3),CF$3)</f>
        <v>0</v>
      </c>
      <c r="CG166" s="2">
        <f>COUNTIF(INDEX('LINE PLAN'!$B$36:$GS$61,0,ROW()-3),CG$3)</f>
        <v>0</v>
      </c>
      <c r="CH166" s="2">
        <f>COUNTIF(INDEX('LINE PLAN'!$B$36:$GS$61,0,ROW()-3),CH$3)</f>
        <v>0</v>
      </c>
      <c r="CI166" s="2">
        <f>COUNTIF(INDEX('LINE PLAN'!$B$36:$GS$61,0,ROW()-3),CI$3)</f>
        <v>0</v>
      </c>
      <c r="CJ166" s="2">
        <f>COUNTIF(INDEX('LINE PLAN'!$B$36:$GS$61,0,ROW()-3),CJ$3)</f>
        <v>0</v>
      </c>
      <c r="CK166" s="2">
        <f>COUNTIF(INDEX('LINE PLAN'!$B$36:$GS$61,0,ROW()-3),CK$3)</f>
        <v>0</v>
      </c>
      <c r="CL166" s="2">
        <f>COUNTIF(INDEX('LINE PLAN'!$B$36:$GS$61,0,ROW()-3),CL$3)</f>
        <v>0</v>
      </c>
      <c r="CM166" s="2">
        <f>COUNTIF(INDEX('LINE PLAN'!$B$36:$GS$61,0,ROW()-3),CM$3)</f>
        <v>0</v>
      </c>
      <c r="CN166" s="2">
        <f>COUNTIF(INDEX('LINE PLAN'!$B$36:$GS$61,0,ROW()-3),CN$3)</f>
        <v>0</v>
      </c>
      <c r="CO166" s="2">
        <f>COUNTIF(INDEX('LINE PLAN'!$B$36:$GS$61,0,ROW()-3),CO$3)</f>
        <v>0</v>
      </c>
      <c r="CP166" s="2">
        <f>COUNTIF(INDEX('LINE PLAN'!$B$36:$GS$61,0,ROW()-3),CP$3)</f>
        <v>0</v>
      </c>
      <c r="CQ166" s="2">
        <f>COUNTIF(INDEX('LINE PLAN'!$B$36:$GS$61,0,ROW()-3),CQ$3)</f>
        <v>0</v>
      </c>
      <c r="CR166" s="2">
        <f>COUNTIF(INDEX('LINE PLAN'!$B$36:$GS$61,0,ROW()-3),CR$3)</f>
        <v>0</v>
      </c>
      <c r="CS166" s="2">
        <f>COUNTIF(INDEX('LINE PLAN'!$B$36:$GS$61,0,ROW()-3),CS$3)</f>
        <v>0</v>
      </c>
      <c r="CT166" s="2">
        <f>COUNTIF(INDEX('LINE PLAN'!$B$36:$GS$61,0,ROW()-3),CT$3)</f>
        <v>0</v>
      </c>
      <c r="CU166" s="2">
        <f>COUNTIF(INDEX('LINE PLAN'!$B$36:$GS$61,0,ROW()-3),CU$3)</f>
        <v>0</v>
      </c>
      <c r="CV166" s="2">
        <f>COUNTIF(INDEX('LINE PLAN'!$B$36:$GS$61,0,ROW()-3),CV$3)</f>
        <v>0</v>
      </c>
      <c r="CW166" s="2">
        <f>COUNTIF(INDEX('LINE PLAN'!$B$36:$GS$61,0,ROW()-3),CW$3)</f>
        <v>0</v>
      </c>
      <c r="CX166" s="2">
        <f>COUNTIF(INDEX('LINE PLAN'!$B$36:$GS$61,0,ROW()-3),CX$3)</f>
        <v>0</v>
      </c>
      <c r="CY166" s="2">
        <f>COUNTIF(INDEX('LINE PLAN'!$B$36:$GS$61,0,ROW()-3),CY$3)</f>
        <v>0</v>
      </c>
      <c r="CZ166" s="2">
        <f>COUNTIF(INDEX('LINE PLAN'!$B$36:$GS$61,0,ROW()-3),CZ$3)</f>
        <v>0</v>
      </c>
      <c r="DA166" s="2">
        <f>COUNTIF(INDEX('LINE PLAN'!$B$36:$GS$61,0,ROW()-3),DA$3)</f>
        <v>0</v>
      </c>
      <c r="DB166" s="2">
        <f>COUNTIF(INDEX('LINE PLAN'!$B$36:$GS$61,0,ROW()-3),DB$3)</f>
        <v>0</v>
      </c>
      <c r="DC166" s="2">
        <f>COUNTIF(INDEX('LINE PLAN'!$B$36:$GS$61,0,ROW()-3),DC$3)</f>
        <v>0</v>
      </c>
      <c r="DD166" s="2">
        <f>COUNTIF(INDEX('LINE PLAN'!$B$36:$GS$61,0,ROW()-3),DD$3)</f>
        <v>0</v>
      </c>
      <c r="DE166" s="2">
        <f>COUNTIF(INDEX('LINE PLAN'!$B$36:$GS$61,0,ROW()-3),DE$3)</f>
        <v>0</v>
      </c>
      <c r="DF166" s="2">
        <f>COUNTIF(INDEX('LINE PLAN'!$B$36:$GS$61,0,ROW()-3),DF$3)</f>
        <v>0</v>
      </c>
      <c r="DG166" s="2">
        <f>COUNTIF(INDEX('LINE PLAN'!$B$36:$GS$61,0,ROW()-3),DG$3)</f>
        <v>0</v>
      </c>
      <c r="DH166" s="2">
        <f>COUNTIF(INDEX('LINE PLAN'!$B$36:$GS$61,0,ROW()-3),DH$3)</f>
        <v>0</v>
      </c>
      <c r="DI166" s="2">
        <f>COUNTIF(INDEX('LINE PLAN'!$B$36:$GS$61,0,ROW()-3),DI$3)</f>
        <v>0</v>
      </c>
      <c r="DJ166" s="2">
        <f>COUNTIF(INDEX('LINE PLAN'!$B$36:$GS$61,0,ROW()-3),DJ$3)</f>
        <v>0</v>
      </c>
      <c r="DK166" s="2">
        <f>COUNTIF(INDEX('LINE PLAN'!$B$36:$GS$61,0,ROW()-3),DK$3)</f>
        <v>0</v>
      </c>
      <c r="DL166" s="2">
        <f>COUNTIF(INDEX('LINE PLAN'!$B$36:$GS$61,0,ROW()-3),DL$3)</f>
        <v>0</v>
      </c>
      <c r="DM166" s="2">
        <f>COUNTIF(INDEX('LINE PLAN'!$B$36:$GS$61,0,ROW()-3),DM$3)</f>
        <v>0</v>
      </c>
      <c r="DN166" s="2">
        <f>COUNTIF(INDEX('LINE PLAN'!$B$36:$GS$61,0,ROW()-3),DN$3)</f>
        <v>0</v>
      </c>
      <c r="DO166" s="2">
        <f>COUNTIF(INDEX('LINE PLAN'!$B$36:$GS$61,0,ROW()-3),DO$3)</f>
        <v>0</v>
      </c>
      <c r="DP166" s="2">
        <f>COUNTIF(INDEX('LINE PLAN'!$B$36:$GS$61,0,ROW()-3),DP$3)</f>
        <v>0</v>
      </c>
      <c r="DQ166" s="2">
        <f>COUNTIF(INDEX('LINE PLAN'!$B$36:$GS$61,0,ROW()-3),DQ$3)</f>
        <v>0</v>
      </c>
      <c r="DR166" s="2">
        <f>COUNTIF(INDEX('LINE PLAN'!$B$36:$GS$61,0,ROW()-3),DR$3)</f>
        <v>0</v>
      </c>
      <c r="DS166" s="2">
        <f>COUNTIF(INDEX('LINE PLAN'!$B$36:$GS$61,0,ROW()-3),DS$3)</f>
        <v>0</v>
      </c>
      <c r="DT166" s="2">
        <f>COUNTIF(INDEX('LINE PLAN'!$B$36:$GS$61,0,ROW()-3),DT$3)</f>
        <v>0</v>
      </c>
      <c r="DU166" s="2">
        <f>COUNTIF(INDEX('LINE PLAN'!$B$36:$GS$61,0,ROW()-3),DU$3)</f>
        <v>0</v>
      </c>
      <c r="DV166" s="2">
        <f>COUNTIF(INDEX('LINE PLAN'!$B$36:$GS$61,0,ROW()-3),DV$3)</f>
        <v>0</v>
      </c>
    </row>
    <row r="167" spans="1:126">
      <c r="A167" s="505" cm="1">
        <f t="array" ref="A167">INDEX('LINE PLAN'!$B$35:$GS$35,ROW()-3)</f>
        <v>0</v>
      </c>
      <c r="B167" s="2">
        <f>SUMPRODUCT($CA167:$DV167,INDEX('MC MAP'!$DA$5:$EV$30,1,0))</f>
        <v>0</v>
      </c>
      <c r="C167" s="2">
        <f>SUMPRODUCT($CA167:$DV167,INDEX('MC MAP'!$DA$5:$EV$30,2,0))</f>
        <v>0</v>
      </c>
      <c r="D167" s="2">
        <f>SUMPRODUCT($CA167:$DV167,INDEX('MC MAP'!$DA$5:$EV$30,3,0))</f>
        <v>0</v>
      </c>
      <c r="E167" s="2">
        <f>SUMPRODUCT($CA167:$DV167,INDEX('MC MAP'!$DA$5:$EV$30,4,0))</f>
        <v>0</v>
      </c>
      <c r="F167" s="2">
        <f>SUMPRODUCT($CA167:$DV167,INDEX('MC MAP'!$DA$5:$EV$30,5,0))</f>
        <v>0</v>
      </c>
      <c r="G167" s="2">
        <f>SUMPRODUCT($CA167:$DV167,INDEX('MC MAP'!$DA$5:$EV$30,6,0))</f>
        <v>0</v>
      </c>
      <c r="H167" s="2">
        <f>SUMPRODUCT($CA167:$DV167,INDEX('MC MAP'!$DA$5:$EV$30,7,0))</f>
        <v>0</v>
      </c>
      <c r="I167" s="2">
        <f>SUMPRODUCT($CA167:$DV167,INDEX('MC MAP'!$DA$5:$EV$30,8,0))</f>
        <v>0</v>
      </c>
      <c r="J167" s="2">
        <f>SUMPRODUCT($CA167:$DV167,INDEX('MC MAP'!$DA$5:$EV$30,9,0))</f>
        <v>0</v>
      </c>
      <c r="K167" s="2">
        <f>SUMPRODUCT($CA167:$DV167,INDEX('MC MAP'!$DA$5:$EV$30,10,0))</f>
        <v>0</v>
      </c>
      <c r="L167" s="2">
        <f>SUMPRODUCT($CA167:$DV167,INDEX('MC MAP'!$DA$5:$EV$30,11,0))</f>
        <v>0</v>
      </c>
      <c r="M167" s="2">
        <f>SUMPRODUCT($CA167:$DV167,INDEX('MC MAP'!$DA$5:$EV$30,12,0))</f>
        <v>0</v>
      </c>
      <c r="N167" s="2">
        <f>SUMPRODUCT($CA167:$DV167,INDEX('MC MAP'!$DA$5:$EV$30,13,0))</f>
        <v>0</v>
      </c>
      <c r="O167" s="2">
        <f>SUMPRODUCT($CA167:$DV167,INDEX('MC MAP'!$DA$5:$EV$30,14,0))</f>
        <v>0</v>
      </c>
      <c r="P167" s="2">
        <f>SUMPRODUCT($CA167:$DV167,INDEX('MC MAP'!$DA$5:$EV$30,15,0))</f>
        <v>0</v>
      </c>
      <c r="Q167" s="2">
        <f>SUMPRODUCT($CA167:$DV167,INDEX('MC MAP'!$DA$5:$EV$30,16,0))</f>
        <v>0</v>
      </c>
      <c r="R167" s="2">
        <f>SUMPRODUCT($CA167:$DV167,INDEX('MC MAP'!$DA$5:$EV$30,17,0))</f>
        <v>0</v>
      </c>
      <c r="S167" s="2">
        <f>SUMPRODUCT($CA167:$DV167,INDEX('MC MAP'!$DA$5:$EV$30,18,0))</f>
        <v>0</v>
      </c>
      <c r="T167" s="2">
        <f>SUMPRODUCT($CA167:$DV167,INDEX('MC MAP'!$DA$5:$EV$30,19,0))</f>
        <v>0</v>
      </c>
      <c r="U167" s="2">
        <f>SUMPRODUCT($CA167:$DV167,INDEX('MC MAP'!$DA$5:$EV$30,20,0))</f>
        <v>0</v>
      </c>
      <c r="V167" s="2">
        <f>SUMPRODUCT($CA167:$DV167,INDEX('MC MAP'!$DA$5:$EV$30,21,0))</f>
        <v>0</v>
      </c>
      <c r="W167" s="2">
        <f>SUMPRODUCT($CA167:$DV167,INDEX('MC MAP'!$DA$5:$EV$30,22,0))</f>
        <v>0</v>
      </c>
      <c r="X167" s="2">
        <f>SUMPRODUCT($CA167:$DV167,INDEX('MC MAP'!$DA$5:$EV$30,23,0))</f>
        <v>0</v>
      </c>
      <c r="Y167" s="2">
        <f>SUMPRODUCT($CA167:$DV167,INDEX('MC MAP'!$DA$5:$EV$30,24,0))</f>
        <v>0</v>
      </c>
      <c r="Z167" s="2">
        <f>SUMPRODUCT($CA167:$DV167,INDEX('MC MAP'!$DA$5:$EV$30,25,0))</f>
        <v>0</v>
      </c>
      <c r="AA167" s="2">
        <f>SUMPRODUCT($CA167:$DV167,INDEX('MC MAP'!$DA$5:$EV$30,26,0))</f>
        <v>0</v>
      </c>
      <c r="AB167" s="2">
        <f>SUM($B167:$AA167)</f>
        <v>0</v>
      </c>
      <c r="AC167" s="2">
        <f>SUM($CA167:$DV167)+$AW167</f>
        <v>0</v>
      </c>
      <c r="AW167" s="2">
        <f>IF($A167=0,0,COUNTIF(INDEX('LINE PLAN'!$B$36:$GS$61,0,ROW()-3),"THERMAL - NOT SPECIFIED"))</f>
        <v>0</v>
      </c>
      <c r="AX167" s="506" cm="1">
        <f t="array" ref="AX167">IF(OR($AB167=0,UPPER($BS167)&lt;&gt;"Y"),0,SUMPRODUCT(--($B167:$AA167&gt;$B$205:$AA$205)))</f>
        <v>0</v>
      </c>
      <c r="AY167" s="507">
        <f>$A167</f>
        <v>0</v>
      </c>
      <c r="AZ167" s="2">
        <f>$AB167</f>
        <v>0</v>
      </c>
      <c r="BA167" s="2">
        <f>'MC MASTER'!$C$29</f>
        <v>920</v>
      </c>
      <c r="BQ167" s="509">
        <f>$A167</f>
        <v>0</v>
      </c>
      <c r="BR167" s="15" t="str">
        <f>TEXT($A167,"ddd")</f>
        <v>Sat</v>
      </c>
      <c r="BS167" s="547" t="str">
        <f>IF($A167=0,"",IF(WEEKDAY($A167,2)=7,"N","Y"))</f>
        <v/>
      </c>
      <c r="BT167" s="15">
        <f>IF(UPPER($BS167)="Y",$AB167,0)</f>
        <v>0</v>
      </c>
      <c r="CA167" s="2">
        <f>COUNTIF(INDEX('LINE PLAN'!$B$36:$GS$61,0,ROW()-3),CA$3)</f>
        <v>0</v>
      </c>
      <c r="CB167" s="2">
        <f>COUNTIF(INDEX('LINE PLAN'!$B$36:$GS$61,0,ROW()-3),CB$3)</f>
        <v>0</v>
      </c>
      <c r="CC167" s="2">
        <f>COUNTIF(INDEX('LINE PLAN'!$B$36:$GS$61,0,ROW()-3),CC$3)</f>
        <v>0</v>
      </c>
      <c r="CD167" s="2">
        <f>COUNTIF(INDEX('LINE PLAN'!$B$36:$GS$61,0,ROW()-3),CD$3)</f>
        <v>0</v>
      </c>
      <c r="CE167" s="2">
        <f>COUNTIF(INDEX('LINE PLAN'!$B$36:$GS$61,0,ROW()-3),CE$3)</f>
        <v>0</v>
      </c>
      <c r="CF167" s="2">
        <f>COUNTIF(INDEX('LINE PLAN'!$B$36:$GS$61,0,ROW()-3),CF$3)</f>
        <v>0</v>
      </c>
      <c r="CG167" s="2">
        <f>COUNTIF(INDEX('LINE PLAN'!$B$36:$GS$61,0,ROW()-3),CG$3)</f>
        <v>0</v>
      </c>
      <c r="CH167" s="2">
        <f>COUNTIF(INDEX('LINE PLAN'!$B$36:$GS$61,0,ROW()-3),CH$3)</f>
        <v>0</v>
      </c>
      <c r="CI167" s="2">
        <f>COUNTIF(INDEX('LINE PLAN'!$B$36:$GS$61,0,ROW()-3),CI$3)</f>
        <v>0</v>
      </c>
      <c r="CJ167" s="2">
        <f>COUNTIF(INDEX('LINE PLAN'!$B$36:$GS$61,0,ROW()-3),CJ$3)</f>
        <v>0</v>
      </c>
      <c r="CK167" s="2">
        <f>COUNTIF(INDEX('LINE PLAN'!$B$36:$GS$61,0,ROW()-3),CK$3)</f>
        <v>0</v>
      </c>
      <c r="CL167" s="2">
        <f>COUNTIF(INDEX('LINE PLAN'!$B$36:$GS$61,0,ROW()-3),CL$3)</f>
        <v>0</v>
      </c>
      <c r="CM167" s="2">
        <f>COUNTIF(INDEX('LINE PLAN'!$B$36:$GS$61,0,ROW()-3),CM$3)</f>
        <v>0</v>
      </c>
      <c r="CN167" s="2">
        <f>COUNTIF(INDEX('LINE PLAN'!$B$36:$GS$61,0,ROW()-3),CN$3)</f>
        <v>0</v>
      </c>
      <c r="CO167" s="2">
        <f>COUNTIF(INDEX('LINE PLAN'!$B$36:$GS$61,0,ROW()-3),CO$3)</f>
        <v>0</v>
      </c>
      <c r="CP167" s="2">
        <f>COUNTIF(INDEX('LINE PLAN'!$B$36:$GS$61,0,ROW()-3),CP$3)</f>
        <v>0</v>
      </c>
      <c r="CQ167" s="2">
        <f>COUNTIF(INDEX('LINE PLAN'!$B$36:$GS$61,0,ROW()-3),CQ$3)</f>
        <v>0</v>
      </c>
      <c r="CR167" s="2">
        <f>COUNTIF(INDEX('LINE PLAN'!$B$36:$GS$61,0,ROW()-3),CR$3)</f>
        <v>0</v>
      </c>
      <c r="CS167" s="2">
        <f>COUNTIF(INDEX('LINE PLAN'!$B$36:$GS$61,0,ROW()-3),CS$3)</f>
        <v>0</v>
      </c>
      <c r="CT167" s="2">
        <f>COUNTIF(INDEX('LINE PLAN'!$B$36:$GS$61,0,ROW()-3),CT$3)</f>
        <v>0</v>
      </c>
      <c r="CU167" s="2">
        <f>COUNTIF(INDEX('LINE PLAN'!$B$36:$GS$61,0,ROW()-3),CU$3)</f>
        <v>0</v>
      </c>
      <c r="CV167" s="2">
        <f>COUNTIF(INDEX('LINE PLAN'!$B$36:$GS$61,0,ROW()-3),CV$3)</f>
        <v>0</v>
      </c>
      <c r="CW167" s="2">
        <f>COUNTIF(INDEX('LINE PLAN'!$B$36:$GS$61,0,ROW()-3),CW$3)</f>
        <v>0</v>
      </c>
      <c r="CX167" s="2">
        <f>COUNTIF(INDEX('LINE PLAN'!$B$36:$GS$61,0,ROW()-3),CX$3)</f>
        <v>0</v>
      </c>
      <c r="CY167" s="2">
        <f>COUNTIF(INDEX('LINE PLAN'!$B$36:$GS$61,0,ROW()-3),CY$3)</f>
        <v>0</v>
      </c>
      <c r="CZ167" s="2">
        <f>COUNTIF(INDEX('LINE PLAN'!$B$36:$GS$61,0,ROW()-3),CZ$3)</f>
        <v>0</v>
      </c>
      <c r="DA167" s="2">
        <f>COUNTIF(INDEX('LINE PLAN'!$B$36:$GS$61,0,ROW()-3),DA$3)</f>
        <v>0</v>
      </c>
      <c r="DB167" s="2">
        <f>COUNTIF(INDEX('LINE PLAN'!$B$36:$GS$61,0,ROW()-3),DB$3)</f>
        <v>0</v>
      </c>
      <c r="DC167" s="2">
        <f>COUNTIF(INDEX('LINE PLAN'!$B$36:$GS$61,0,ROW()-3),DC$3)</f>
        <v>0</v>
      </c>
      <c r="DD167" s="2">
        <f>COUNTIF(INDEX('LINE PLAN'!$B$36:$GS$61,0,ROW()-3),DD$3)</f>
        <v>0</v>
      </c>
      <c r="DE167" s="2">
        <f>COUNTIF(INDEX('LINE PLAN'!$B$36:$GS$61,0,ROW()-3),DE$3)</f>
        <v>0</v>
      </c>
      <c r="DF167" s="2">
        <f>COUNTIF(INDEX('LINE PLAN'!$B$36:$GS$61,0,ROW()-3),DF$3)</f>
        <v>0</v>
      </c>
      <c r="DG167" s="2">
        <f>COUNTIF(INDEX('LINE PLAN'!$B$36:$GS$61,0,ROW()-3),DG$3)</f>
        <v>0</v>
      </c>
      <c r="DH167" s="2">
        <f>COUNTIF(INDEX('LINE PLAN'!$B$36:$GS$61,0,ROW()-3),DH$3)</f>
        <v>0</v>
      </c>
      <c r="DI167" s="2">
        <f>COUNTIF(INDEX('LINE PLAN'!$B$36:$GS$61,0,ROW()-3),DI$3)</f>
        <v>0</v>
      </c>
      <c r="DJ167" s="2">
        <f>COUNTIF(INDEX('LINE PLAN'!$B$36:$GS$61,0,ROW()-3),DJ$3)</f>
        <v>0</v>
      </c>
      <c r="DK167" s="2">
        <f>COUNTIF(INDEX('LINE PLAN'!$B$36:$GS$61,0,ROW()-3),DK$3)</f>
        <v>0</v>
      </c>
      <c r="DL167" s="2">
        <f>COUNTIF(INDEX('LINE PLAN'!$B$36:$GS$61,0,ROW()-3),DL$3)</f>
        <v>0</v>
      </c>
      <c r="DM167" s="2">
        <f>COUNTIF(INDEX('LINE PLAN'!$B$36:$GS$61,0,ROW()-3),DM$3)</f>
        <v>0</v>
      </c>
      <c r="DN167" s="2">
        <f>COUNTIF(INDEX('LINE PLAN'!$B$36:$GS$61,0,ROW()-3),DN$3)</f>
        <v>0</v>
      </c>
      <c r="DO167" s="2">
        <f>COUNTIF(INDEX('LINE PLAN'!$B$36:$GS$61,0,ROW()-3),DO$3)</f>
        <v>0</v>
      </c>
      <c r="DP167" s="2">
        <f>COUNTIF(INDEX('LINE PLAN'!$B$36:$GS$61,0,ROW()-3),DP$3)</f>
        <v>0</v>
      </c>
      <c r="DQ167" s="2">
        <f>COUNTIF(INDEX('LINE PLAN'!$B$36:$GS$61,0,ROW()-3),DQ$3)</f>
        <v>0</v>
      </c>
      <c r="DR167" s="2">
        <f>COUNTIF(INDEX('LINE PLAN'!$B$36:$GS$61,0,ROW()-3),DR$3)</f>
        <v>0</v>
      </c>
      <c r="DS167" s="2">
        <f>COUNTIF(INDEX('LINE PLAN'!$B$36:$GS$61,0,ROW()-3),DS$3)</f>
        <v>0</v>
      </c>
      <c r="DT167" s="2">
        <f>COUNTIF(INDEX('LINE PLAN'!$B$36:$GS$61,0,ROW()-3),DT$3)</f>
        <v>0</v>
      </c>
      <c r="DU167" s="2">
        <f>COUNTIF(INDEX('LINE PLAN'!$B$36:$GS$61,0,ROW()-3),DU$3)</f>
        <v>0</v>
      </c>
      <c r="DV167" s="2">
        <f>COUNTIF(INDEX('LINE PLAN'!$B$36:$GS$61,0,ROW()-3),DV$3)</f>
        <v>0</v>
      </c>
    </row>
    <row r="168" spans="1:126">
      <c r="A168" s="505" cm="1">
        <f t="array" ref="A168">INDEX('LINE PLAN'!$B$35:$GS$35,ROW()-3)</f>
        <v>0</v>
      </c>
      <c r="B168" s="2">
        <f>SUMPRODUCT($CA168:$DV168,INDEX('MC MAP'!$DA$5:$EV$30,1,0))</f>
        <v>0</v>
      </c>
      <c r="C168" s="2">
        <f>SUMPRODUCT($CA168:$DV168,INDEX('MC MAP'!$DA$5:$EV$30,2,0))</f>
        <v>0</v>
      </c>
      <c r="D168" s="2">
        <f>SUMPRODUCT($CA168:$DV168,INDEX('MC MAP'!$DA$5:$EV$30,3,0))</f>
        <v>0</v>
      </c>
      <c r="E168" s="2">
        <f>SUMPRODUCT($CA168:$DV168,INDEX('MC MAP'!$DA$5:$EV$30,4,0))</f>
        <v>0</v>
      </c>
      <c r="F168" s="2">
        <f>SUMPRODUCT($CA168:$DV168,INDEX('MC MAP'!$DA$5:$EV$30,5,0))</f>
        <v>0</v>
      </c>
      <c r="G168" s="2">
        <f>SUMPRODUCT($CA168:$DV168,INDEX('MC MAP'!$DA$5:$EV$30,6,0))</f>
        <v>0</v>
      </c>
      <c r="H168" s="2">
        <f>SUMPRODUCT($CA168:$DV168,INDEX('MC MAP'!$DA$5:$EV$30,7,0))</f>
        <v>0</v>
      </c>
      <c r="I168" s="2">
        <f>SUMPRODUCT($CA168:$DV168,INDEX('MC MAP'!$DA$5:$EV$30,8,0))</f>
        <v>0</v>
      </c>
      <c r="J168" s="2">
        <f>SUMPRODUCT($CA168:$DV168,INDEX('MC MAP'!$DA$5:$EV$30,9,0))</f>
        <v>0</v>
      </c>
      <c r="K168" s="2">
        <f>SUMPRODUCT($CA168:$DV168,INDEX('MC MAP'!$DA$5:$EV$30,10,0))</f>
        <v>0</v>
      </c>
      <c r="L168" s="2">
        <f>SUMPRODUCT($CA168:$DV168,INDEX('MC MAP'!$DA$5:$EV$30,11,0))</f>
        <v>0</v>
      </c>
      <c r="M168" s="2">
        <f>SUMPRODUCT($CA168:$DV168,INDEX('MC MAP'!$DA$5:$EV$30,12,0))</f>
        <v>0</v>
      </c>
      <c r="N168" s="2">
        <f>SUMPRODUCT($CA168:$DV168,INDEX('MC MAP'!$DA$5:$EV$30,13,0))</f>
        <v>0</v>
      </c>
      <c r="O168" s="2">
        <f>SUMPRODUCT($CA168:$DV168,INDEX('MC MAP'!$DA$5:$EV$30,14,0))</f>
        <v>0</v>
      </c>
      <c r="P168" s="2">
        <f>SUMPRODUCT($CA168:$DV168,INDEX('MC MAP'!$DA$5:$EV$30,15,0))</f>
        <v>0</v>
      </c>
      <c r="Q168" s="2">
        <f>SUMPRODUCT($CA168:$DV168,INDEX('MC MAP'!$DA$5:$EV$30,16,0))</f>
        <v>0</v>
      </c>
      <c r="R168" s="2">
        <f>SUMPRODUCT($CA168:$DV168,INDEX('MC MAP'!$DA$5:$EV$30,17,0))</f>
        <v>0</v>
      </c>
      <c r="S168" s="2">
        <f>SUMPRODUCT($CA168:$DV168,INDEX('MC MAP'!$DA$5:$EV$30,18,0))</f>
        <v>0</v>
      </c>
      <c r="T168" s="2">
        <f>SUMPRODUCT($CA168:$DV168,INDEX('MC MAP'!$DA$5:$EV$30,19,0))</f>
        <v>0</v>
      </c>
      <c r="U168" s="2">
        <f>SUMPRODUCT($CA168:$DV168,INDEX('MC MAP'!$DA$5:$EV$30,20,0))</f>
        <v>0</v>
      </c>
      <c r="V168" s="2">
        <f>SUMPRODUCT($CA168:$DV168,INDEX('MC MAP'!$DA$5:$EV$30,21,0))</f>
        <v>0</v>
      </c>
      <c r="W168" s="2">
        <f>SUMPRODUCT($CA168:$DV168,INDEX('MC MAP'!$DA$5:$EV$30,22,0))</f>
        <v>0</v>
      </c>
      <c r="X168" s="2">
        <f>SUMPRODUCT($CA168:$DV168,INDEX('MC MAP'!$DA$5:$EV$30,23,0))</f>
        <v>0</v>
      </c>
      <c r="Y168" s="2">
        <f>SUMPRODUCT($CA168:$DV168,INDEX('MC MAP'!$DA$5:$EV$30,24,0))</f>
        <v>0</v>
      </c>
      <c r="Z168" s="2">
        <f>SUMPRODUCT($CA168:$DV168,INDEX('MC MAP'!$DA$5:$EV$30,25,0))</f>
        <v>0</v>
      </c>
      <c r="AA168" s="2">
        <f>SUMPRODUCT($CA168:$DV168,INDEX('MC MAP'!$DA$5:$EV$30,26,0))</f>
        <v>0</v>
      </c>
      <c r="AB168" s="2">
        <f>SUM($B168:$AA168)</f>
        <v>0</v>
      </c>
      <c r="AC168" s="2">
        <f>SUM($CA168:$DV168)+$AW168</f>
        <v>0</v>
      </c>
      <c r="AW168" s="2">
        <f>IF($A168=0,0,COUNTIF(INDEX('LINE PLAN'!$B$36:$GS$61,0,ROW()-3),"THERMAL - NOT SPECIFIED"))</f>
        <v>0</v>
      </c>
      <c r="AX168" s="506" cm="1">
        <f t="array" ref="AX168">IF(OR($AB168=0,UPPER($BS168)&lt;&gt;"Y"),0,SUMPRODUCT(--($B168:$AA168&gt;$B$205:$AA$205)))</f>
        <v>0</v>
      </c>
      <c r="AY168" s="507">
        <f>$A168</f>
        <v>0</v>
      </c>
      <c r="AZ168" s="2">
        <f>$AB168</f>
        <v>0</v>
      </c>
      <c r="BA168" s="2">
        <f>'MC MASTER'!$C$29</f>
        <v>920</v>
      </c>
      <c r="BQ168" s="509">
        <f>$A168</f>
        <v>0</v>
      </c>
      <c r="BR168" s="15" t="str">
        <f>TEXT($A168,"ddd")</f>
        <v>Sat</v>
      </c>
      <c r="BS168" s="547" t="str">
        <f>IF($A168=0,"",IF(WEEKDAY($A168,2)=7,"N","Y"))</f>
        <v/>
      </c>
      <c r="BT168" s="15">
        <f>IF(UPPER($BS168)="Y",$AB168,0)</f>
        <v>0</v>
      </c>
      <c r="CA168" s="2">
        <f>COUNTIF(INDEX('LINE PLAN'!$B$36:$GS$61,0,ROW()-3),CA$3)</f>
        <v>0</v>
      </c>
      <c r="CB168" s="2">
        <f>COUNTIF(INDEX('LINE PLAN'!$B$36:$GS$61,0,ROW()-3),CB$3)</f>
        <v>0</v>
      </c>
      <c r="CC168" s="2">
        <f>COUNTIF(INDEX('LINE PLAN'!$B$36:$GS$61,0,ROW()-3),CC$3)</f>
        <v>0</v>
      </c>
      <c r="CD168" s="2">
        <f>COUNTIF(INDEX('LINE PLAN'!$B$36:$GS$61,0,ROW()-3),CD$3)</f>
        <v>0</v>
      </c>
      <c r="CE168" s="2">
        <f>COUNTIF(INDEX('LINE PLAN'!$B$36:$GS$61,0,ROW()-3),CE$3)</f>
        <v>0</v>
      </c>
      <c r="CF168" s="2">
        <f>COUNTIF(INDEX('LINE PLAN'!$B$36:$GS$61,0,ROW()-3),CF$3)</f>
        <v>0</v>
      </c>
      <c r="CG168" s="2">
        <f>COUNTIF(INDEX('LINE PLAN'!$B$36:$GS$61,0,ROW()-3),CG$3)</f>
        <v>0</v>
      </c>
      <c r="CH168" s="2">
        <f>COUNTIF(INDEX('LINE PLAN'!$B$36:$GS$61,0,ROW()-3),CH$3)</f>
        <v>0</v>
      </c>
      <c r="CI168" s="2">
        <f>COUNTIF(INDEX('LINE PLAN'!$B$36:$GS$61,0,ROW()-3),CI$3)</f>
        <v>0</v>
      </c>
      <c r="CJ168" s="2">
        <f>COUNTIF(INDEX('LINE PLAN'!$B$36:$GS$61,0,ROW()-3),CJ$3)</f>
        <v>0</v>
      </c>
      <c r="CK168" s="2">
        <f>COUNTIF(INDEX('LINE PLAN'!$B$36:$GS$61,0,ROW()-3),CK$3)</f>
        <v>0</v>
      </c>
      <c r="CL168" s="2">
        <f>COUNTIF(INDEX('LINE PLAN'!$B$36:$GS$61,0,ROW()-3),CL$3)</f>
        <v>0</v>
      </c>
      <c r="CM168" s="2">
        <f>COUNTIF(INDEX('LINE PLAN'!$B$36:$GS$61,0,ROW()-3),CM$3)</f>
        <v>0</v>
      </c>
      <c r="CN168" s="2">
        <f>COUNTIF(INDEX('LINE PLAN'!$B$36:$GS$61,0,ROW()-3),CN$3)</f>
        <v>0</v>
      </c>
      <c r="CO168" s="2">
        <f>COUNTIF(INDEX('LINE PLAN'!$B$36:$GS$61,0,ROW()-3),CO$3)</f>
        <v>0</v>
      </c>
      <c r="CP168" s="2">
        <f>COUNTIF(INDEX('LINE PLAN'!$B$36:$GS$61,0,ROW()-3),CP$3)</f>
        <v>0</v>
      </c>
      <c r="CQ168" s="2">
        <f>COUNTIF(INDEX('LINE PLAN'!$B$36:$GS$61,0,ROW()-3),CQ$3)</f>
        <v>0</v>
      </c>
      <c r="CR168" s="2">
        <f>COUNTIF(INDEX('LINE PLAN'!$B$36:$GS$61,0,ROW()-3),CR$3)</f>
        <v>0</v>
      </c>
      <c r="CS168" s="2">
        <f>COUNTIF(INDEX('LINE PLAN'!$B$36:$GS$61,0,ROW()-3),CS$3)</f>
        <v>0</v>
      </c>
      <c r="CT168" s="2">
        <f>COUNTIF(INDEX('LINE PLAN'!$B$36:$GS$61,0,ROW()-3),CT$3)</f>
        <v>0</v>
      </c>
      <c r="CU168" s="2">
        <f>COUNTIF(INDEX('LINE PLAN'!$B$36:$GS$61,0,ROW()-3),CU$3)</f>
        <v>0</v>
      </c>
      <c r="CV168" s="2">
        <f>COUNTIF(INDEX('LINE PLAN'!$B$36:$GS$61,0,ROW()-3),CV$3)</f>
        <v>0</v>
      </c>
      <c r="CW168" s="2">
        <f>COUNTIF(INDEX('LINE PLAN'!$B$36:$GS$61,0,ROW()-3),CW$3)</f>
        <v>0</v>
      </c>
      <c r="CX168" s="2">
        <f>COUNTIF(INDEX('LINE PLAN'!$B$36:$GS$61,0,ROW()-3),CX$3)</f>
        <v>0</v>
      </c>
      <c r="CY168" s="2">
        <f>COUNTIF(INDEX('LINE PLAN'!$B$36:$GS$61,0,ROW()-3),CY$3)</f>
        <v>0</v>
      </c>
      <c r="CZ168" s="2">
        <f>COUNTIF(INDEX('LINE PLAN'!$B$36:$GS$61,0,ROW()-3),CZ$3)</f>
        <v>0</v>
      </c>
      <c r="DA168" s="2">
        <f>COUNTIF(INDEX('LINE PLAN'!$B$36:$GS$61,0,ROW()-3),DA$3)</f>
        <v>0</v>
      </c>
      <c r="DB168" s="2">
        <f>COUNTIF(INDEX('LINE PLAN'!$B$36:$GS$61,0,ROW()-3),DB$3)</f>
        <v>0</v>
      </c>
      <c r="DC168" s="2">
        <f>COUNTIF(INDEX('LINE PLAN'!$B$36:$GS$61,0,ROW()-3),DC$3)</f>
        <v>0</v>
      </c>
      <c r="DD168" s="2">
        <f>COUNTIF(INDEX('LINE PLAN'!$B$36:$GS$61,0,ROW()-3),DD$3)</f>
        <v>0</v>
      </c>
      <c r="DE168" s="2">
        <f>COUNTIF(INDEX('LINE PLAN'!$B$36:$GS$61,0,ROW()-3),DE$3)</f>
        <v>0</v>
      </c>
      <c r="DF168" s="2">
        <f>COUNTIF(INDEX('LINE PLAN'!$B$36:$GS$61,0,ROW()-3),DF$3)</f>
        <v>0</v>
      </c>
      <c r="DG168" s="2">
        <f>COUNTIF(INDEX('LINE PLAN'!$B$36:$GS$61,0,ROW()-3),DG$3)</f>
        <v>0</v>
      </c>
      <c r="DH168" s="2">
        <f>COUNTIF(INDEX('LINE PLAN'!$B$36:$GS$61,0,ROW()-3),DH$3)</f>
        <v>0</v>
      </c>
      <c r="DI168" s="2">
        <f>COUNTIF(INDEX('LINE PLAN'!$B$36:$GS$61,0,ROW()-3),DI$3)</f>
        <v>0</v>
      </c>
      <c r="DJ168" s="2">
        <f>COUNTIF(INDEX('LINE PLAN'!$B$36:$GS$61,0,ROW()-3),DJ$3)</f>
        <v>0</v>
      </c>
      <c r="DK168" s="2">
        <f>COUNTIF(INDEX('LINE PLAN'!$B$36:$GS$61,0,ROW()-3),DK$3)</f>
        <v>0</v>
      </c>
      <c r="DL168" s="2">
        <f>COUNTIF(INDEX('LINE PLAN'!$B$36:$GS$61,0,ROW()-3),DL$3)</f>
        <v>0</v>
      </c>
      <c r="DM168" s="2">
        <f>COUNTIF(INDEX('LINE PLAN'!$B$36:$GS$61,0,ROW()-3),DM$3)</f>
        <v>0</v>
      </c>
      <c r="DN168" s="2">
        <f>COUNTIF(INDEX('LINE PLAN'!$B$36:$GS$61,0,ROW()-3),DN$3)</f>
        <v>0</v>
      </c>
      <c r="DO168" s="2">
        <f>COUNTIF(INDEX('LINE PLAN'!$B$36:$GS$61,0,ROW()-3),DO$3)</f>
        <v>0</v>
      </c>
      <c r="DP168" s="2">
        <f>COUNTIF(INDEX('LINE PLAN'!$B$36:$GS$61,0,ROW()-3),DP$3)</f>
        <v>0</v>
      </c>
      <c r="DQ168" s="2">
        <f>COUNTIF(INDEX('LINE PLAN'!$B$36:$GS$61,0,ROW()-3),DQ$3)</f>
        <v>0</v>
      </c>
      <c r="DR168" s="2">
        <f>COUNTIF(INDEX('LINE PLAN'!$B$36:$GS$61,0,ROW()-3),DR$3)</f>
        <v>0</v>
      </c>
      <c r="DS168" s="2">
        <f>COUNTIF(INDEX('LINE PLAN'!$B$36:$GS$61,0,ROW()-3),DS$3)</f>
        <v>0</v>
      </c>
      <c r="DT168" s="2">
        <f>COUNTIF(INDEX('LINE PLAN'!$B$36:$GS$61,0,ROW()-3),DT$3)</f>
        <v>0</v>
      </c>
      <c r="DU168" s="2">
        <f>COUNTIF(INDEX('LINE PLAN'!$B$36:$GS$61,0,ROW()-3),DU$3)</f>
        <v>0</v>
      </c>
      <c r="DV168" s="2">
        <f>COUNTIF(INDEX('LINE PLAN'!$B$36:$GS$61,0,ROW()-3),DV$3)</f>
        <v>0</v>
      </c>
    </row>
    <row r="169" spans="1:126">
      <c r="A169" s="505" cm="1">
        <f t="array" ref="A169">INDEX('LINE PLAN'!$B$35:$GS$35,ROW()-3)</f>
        <v>0</v>
      </c>
      <c r="B169" s="2">
        <f>SUMPRODUCT($CA169:$DV169,INDEX('MC MAP'!$DA$5:$EV$30,1,0))</f>
        <v>0</v>
      </c>
      <c r="C169" s="2">
        <f>SUMPRODUCT($CA169:$DV169,INDEX('MC MAP'!$DA$5:$EV$30,2,0))</f>
        <v>0</v>
      </c>
      <c r="D169" s="2">
        <f>SUMPRODUCT($CA169:$DV169,INDEX('MC MAP'!$DA$5:$EV$30,3,0))</f>
        <v>0</v>
      </c>
      <c r="E169" s="2">
        <f>SUMPRODUCT($CA169:$DV169,INDEX('MC MAP'!$DA$5:$EV$30,4,0))</f>
        <v>0</v>
      </c>
      <c r="F169" s="2">
        <f>SUMPRODUCT($CA169:$DV169,INDEX('MC MAP'!$DA$5:$EV$30,5,0))</f>
        <v>0</v>
      </c>
      <c r="G169" s="2">
        <f>SUMPRODUCT($CA169:$DV169,INDEX('MC MAP'!$DA$5:$EV$30,6,0))</f>
        <v>0</v>
      </c>
      <c r="H169" s="2">
        <f>SUMPRODUCT($CA169:$DV169,INDEX('MC MAP'!$DA$5:$EV$30,7,0))</f>
        <v>0</v>
      </c>
      <c r="I169" s="2">
        <f>SUMPRODUCT($CA169:$DV169,INDEX('MC MAP'!$DA$5:$EV$30,8,0))</f>
        <v>0</v>
      </c>
      <c r="J169" s="2">
        <f>SUMPRODUCT($CA169:$DV169,INDEX('MC MAP'!$DA$5:$EV$30,9,0))</f>
        <v>0</v>
      </c>
      <c r="K169" s="2">
        <f>SUMPRODUCT($CA169:$DV169,INDEX('MC MAP'!$DA$5:$EV$30,10,0))</f>
        <v>0</v>
      </c>
      <c r="L169" s="2">
        <f>SUMPRODUCT($CA169:$DV169,INDEX('MC MAP'!$DA$5:$EV$30,11,0))</f>
        <v>0</v>
      </c>
      <c r="M169" s="2">
        <f>SUMPRODUCT($CA169:$DV169,INDEX('MC MAP'!$DA$5:$EV$30,12,0))</f>
        <v>0</v>
      </c>
      <c r="N169" s="2">
        <f>SUMPRODUCT($CA169:$DV169,INDEX('MC MAP'!$DA$5:$EV$30,13,0))</f>
        <v>0</v>
      </c>
      <c r="O169" s="2">
        <f>SUMPRODUCT($CA169:$DV169,INDEX('MC MAP'!$DA$5:$EV$30,14,0))</f>
        <v>0</v>
      </c>
      <c r="P169" s="2">
        <f>SUMPRODUCT($CA169:$DV169,INDEX('MC MAP'!$DA$5:$EV$30,15,0))</f>
        <v>0</v>
      </c>
      <c r="Q169" s="2">
        <f>SUMPRODUCT($CA169:$DV169,INDEX('MC MAP'!$DA$5:$EV$30,16,0))</f>
        <v>0</v>
      </c>
      <c r="R169" s="2">
        <f>SUMPRODUCT($CA169:$DV169,INDEX('MC MAP'!$DA$5:$EV$30,17,0))</f>
        <v>0</v>
      </c>
      <c r="S169" s="2">
        <f>SUMPRODUCT($CA169:$DV169,INDEX('MC MAP'!$DA$5:$EV$30,18,0))</f>
        <v>0</v>
      </c>
      <c r="T169" s="2">
        <f>SUMPRODUCT($CA169:$DV169,INDEX('MC MAP'!$DA$5:$EV$30,19,0))</f>
        <v>0</v>
      </c>
      <c r="U169" s="2">
        <f>SUMPRODUCT($CA169:$DV169,INDEX('MC MAP'!$DA$5:$EV$30,20,0))</f>
        <v>0</v>
      </c>
      <c r="V169" s="2">
        <f>SUMPRODUCT($CA169:$DV169,INDEX('MC MAP'!$DA$5:$EV$30,21,0))</f>
        <v>0</v>
      </c>
      <c r="W169" s="2">
        <f>SUMPRODUCT($CA169:$DV169,INDEX('MC MAP'!$DA$5:$EV$30,22,0))</f>
        <v>0</v>
      </c>
      <c r="X169" s="2">
        <f>SUMPRODUCT($CA169:$DV169,INDEX('MC MAP'!$DA$5:$EV$30,23,0))</f>
        <v>0</v>
      </c>
      <c r="Y169" s="2">
        <f>SUMPRODUCT($CA169:$DV169,INDEX('MC MAP'!$DA$5:$EV$30,24,0))</f>
        <v>0</v>
      </c>
      <c r="Z169" s="2">
        <f>SUMPRODUCT($CA169:$DV169,INDEX('MC MAP'!$DA$5:$EV$30,25,0))</f>
        <v>0</v>
      </c>
      <c r="AA169" s="2">
        <f>SUMPRODUCT($CA169:$DV169,INDEX('MC MAP'!$DA$5:$EV$30,26,0))</f>
        <v>0</v>
      </c>
      <c r="AB169" s="2">
        <f>SUM($B169:$AA169)</f>
        <v>0</v>
      </c>
      <c r="AC169" s="2">
        <f>SUM($CA169:$DV169)+$AW169</f>
        <v>0</v>
      </c>
      <c r="AW169" s="2">
        <f>IF($A169=0,0,COUNTIF(INDEX('LINE PLAN'!$B$36:$GS$61,0,ROW()-3),"THERMAL - NOT SPECIFIED"))</f>
        <v>0</v>
      </c>
      <c r="AX169" s="506" cm="1">
        <f t="array" ref="AX169">IF(OR($AB169=0,UPPER($BS169)&lt;&gt;"Y"),0,SUMPRODUCT(--($B169:$AA169&gt;$B$205:$AA$205)))</f>
        <v>0</v>
      </c>
      <c r="AY169" s="507">
        <f>$A169</f>
        <v>0</v>
      </c>
      <c r="AZ169" s="2">
        <f>$AB169</f>
        <v>0</v>
      </c>
      <c r="BA169" s="2">
        <f>'MC MASTER'!$C$29</f>
        <v>920</v>
      </c>
      <c r="BQ169" s="509">
        <f>$A169</f>
        <v>0</v>
      </c>
      <c r="BR169" s="15" t="str">
        <f>TEXT($A169,"ddd")</f>
        <v>Sat</v>
      </c>
      <c r="BS169" s="547" t="str">
        <f>IF($A169=0,"",IF(WEEKDAY($A169,2)=7,"N","Y"))</f>
        <v/>
      </c>
      <c r="BT169" s="15">
        <f>IF(UPPER($BS169)="Y",$AB169,0)</f>
        <v>0</v>
      </c>
      <c r="CA169" s="2">
        <f>COUNTIF(INDEX('LINE PLAN'!$B$36:$GS$61,0,ROW()-3),CA$3)</f>
        <v>0</v>
      </c>
      <c r="CB169" s="2">
        <f>COUNTIF(INDEX('LINE PLAN'!$B$36:$GS$61,0,ROW()-3),CB$3)</f>
        <v>0</v>
      </c>
      <c r="CC169" s="2">
        <f>COUNTIF(INDEX('LINE PLAN'!$B$36:$GS$61,0,ROW()-3),CC$3)</f>
        <v>0</v>
      </c>
      <c r="CD169" s="2">
        <f>COUNTIF(INDEX('LINE PLAN'!$B$36:$GS$61,0,ROW()-3),CD$3)</f>
        <v>0</v>
      </c>
      <c r="CE169" s="2">
        <f>COUNTIF(INDEX('LINE PLAN'!$B$36:$GS$61,0,ROW()-3),CE$3)</f>
        <v>0</v>
      </c>
      <c r="CF169" s="2">
        <f>COUNTIF(INDEX('LINE PLAN'!$B$36:$GS$61,0,ROW()-3),CF$3)</f>
        <v>0</v>
      </c>
      <c r="CG169" s="2">
        <f>COUNTIF(INDEX('LINE PLAN'!$B$36:$GS$61,0,ROW()-3),CG$3)</f>
        <v>0</v>
      </c>
      <c r="CH169" s="2">
        <f>COUNTIF(INDEX('LINE PLAN'!$B$36:$GS$61,0,ROW()-3),CH$3)</f>
        <v>0</v>
      </c>
      <c r="CI169" s="2">
        <f>COUNTIF(INDEX('LINE PLAN'!$B$36:$GS$61,0,ROW()-3),CI$3)</f>
        <v>0</v>
      </c>
      <c r="CJ169" s="2">
        <f>COUNTIF(INDEX('LINE PLAN'!$B$36:$GS$61,0,ROW()-3),CJ$3)</f>
        <v>0</v>
      </c>
      <c r="CK169" s="2">
        <f>COUNTIF(INDEX('LINE PLAN'!$B$36:$GS$61,0,ROW()-3),CK$3)</f>
        <v>0</v>
      </c>
      <c r="CL169" s="2">
        <f>COUNTIF(INDEX('LINE PLAN'!$B$36:$GS$61,0,ROW()-3),CL$3)</f>
        <v>0</v>
      </c>
      <c r="CM169" s="2">
        <f>COUNTIF(INDEX('LINE PLAN'!$B$36:$GS$61,0,ROW()-3),CM$3)</f>
        <v>0</v>
      </c>
      <c r="CN169" s="2">
        <f>COUNTIF(INDEX('LINE PLAN'!$B$36:$GS$61,0,ROW()-3),CN$3)</f>
        <v>0</v>
      </c>
      <c r="CO169" s="2">
        <f>COUNTIF(INDEX('LINE PLAN'!$B$36:$GS$61,0,ROW()-3),CO$3)</f>
        <v>0</v>
      </c>
      <c r="CP169" s="2">
        <f>COUNTIF(INDEX('LINE PLAN'!$B$36:$GS$61,0,ROW()-3),CP$3)</f>
        <v>0</v>
      </c>
      <c r="CQ169" s="2">
        <f>COUNTIF(INDEX('LINE PLAN'!$B$36:$GS$61,0,ROW()-3),CQ$3)</f>
        <v>0</v>
      </c>
      <c r="CR169" s="2">
        <f>COUNTIF(INDEX('LINE PLAN'!$B$36:$GS$61,0,ROW()-3),CR$3)</f>
        <v>0</v>
      </c>
      <c r="CS169" s="2">
        <f>COUNTIF(INDEX('LINE PLAN'!$B$36:$GS$61,0,ROW()-3),CS$3)</f>
        <v>0</v>
      </c>
      <c r="CT169" s="2">
        <f>COUNTIF(INDEX('LINE PLAN'!$B$36:$GS$61,0,ROW()-3),CT$3)</f>
        <v>0</v>
      </c>
      <c r="CU169" s="2">
        <f>COUNTIF(INDEX('LINE PLAN'!$B$36:$GS$61,0,ROW()-3),CU$3)</f>
        <v>0</v>
      </c>
      <c r="CV169" s="2">
        <f>COUNTIF(INDEX('LINE PLAN'!$B$36:$GS$61,0,ROW()-3),CV$3)</f>
        <v>0</v>
      </c>
      <c r="CW169" s="2">
        <f>COUNTIF(INDEX('LINE PLAN'!$B$36:$GS$61,0,ROW()-3),CW$3)</f>
        <v>0</v>
      </c>
      <c r="CX169" s="2">
        <f>COUNTIF(INDEX('LINE PLAN'!$B$36:$GS$61,0,ROW()-3),CX$3)</f>
        <v>0</v>
      </c>
      <c r="CY169" s="2">
        <f>COUNTIF(INDEX('LINE PLAN'!$B$36:$GS$61,0,ROW()-3),CY$3)</f>
        <v>0</v>
      </c>
      <c r="CZ169" s="2">
        <f>COUNTIF(INDEX('LINE PLAN'!$B$36:$GS$61,0,ROW()-3),CZ$3)</f>
        <v>0</v>
      </c>
      <c r="DA169" s="2">
        <f>COUNTIF(INDEX('LINE PLAN'!$B$36:$GS$61,0,ROW()-3),DA$3)</f>
        <v>0</v>
      </c>
      <c r="DB169" s="2">
        <f>COUNTIF(INDEX('LINE PLAN'!$B$36:$GS$61,0,ROW()-3),DB$3)</f>
        <v>0</v>
      </c>
      <c r="DC169" s="2">
        <f>COUNTIF(INDEX('LINE PLAN'!$B$36:$GS$61,0,ROW()-3),DC$3)</f>
        <v>0</v>
      </c>
      <c r="DD169" s="2">
        <f>COUNTIF(INDEX('LINE PLAN'!$B$36:$GS$61,0,ROW()-3),DD$3)</f>
        <v>0</v>
      </c>
      <c r="DE169" s="2">
        <f>COUNTIF(INDEX('LINE PLAN'!$B$36:$GS$61,0,ROW()-3),DE$3)</f>
        <v>0</v>
      </c>
      <c r="DF169" s="2">
        <f>COUNTIF(INDEX('LINE PLAN'!$B$36:$GS$61,0,ROW()-3),DF$3)</f>
        <v>0</v>
      </c>
      <c r="DG169" s="2">
        <f>COUNTIF(INDEX('LINE PLAN'!$B$36:$GS$61,0,ROW()-3),DG$3)</f>
        <v>0</v>
      </c>
      <c r="DH169" s="2">
        <f>COUNTIF(INDEX('LINE PLAN'!$B$36:$GS$61,0,ROW()-3),DH$3)</f>
        <v>0</v>
      </c>
      <c r="DI169" s="2">
        <f>COUNTIF(INDEX('LINE PLAN'!$B$36:$GS$61,0,ROW()-3),DI$3)</f>
        <v>0</v>
      </c>
      <c r="DJ169" s="2">
        <f>COUNTIF(INDEX('LINE PLAN'!$B$36:$GS$61,0,ROW()-3),DJ$3)</f>
        <v>0</v>
      </c>
      <c r="DK169" s="2">
        <f>COUNTIF(INDEX('LINE PLAN'!$B$36:$GS$61,0,ROW()-3),DK$3)</f>
        <v>0</v>
      </c>
      <c r="DL169" s="2">
        <f>COUNTIF(INDEX('LINE PLAN'!$B$36:$GS$61,0,ROW()-3),DL$3)</f>
        <v>0</v>
      </c>
      <c r="DM169" s="2">
        <f>COUNTIF(INDEX('LINE PLAN'!$B$36:$GS$61,0,ROW()-3),DM$3)</f>
        <v>0</v>
      </c>
      <c r="DN169" s="2">
        <f>COUNTIF(INDEX('LINE PLAN'!$B$36:$GS$61,0,ROW()-3),DN$3)</f>
        <v>0</v>
      </c>
      <c r="DO169" s="2">
        <f>COUNTIF(INDEX('LINE PLAN'!$B$36:$GS$61,0,ROW()-3),DO$3)</f>
        <v>0</v>
      </c>
      <c r="DP169" s="2">
        <f>COUNTIF(INDEX('LINE PLAN'!$B$36:$GS$61,0,ROW()-3),DP$3)</f>
        <v>0</v>
      </c>
      <c r="DQ169" s="2">
        <f>COUNTIF(INDEX('LINE PLAN'!$B$36:$GS$61,0,ROW()-3),DQ$3)</f>
        <v>0</v>
      </c>
      <c r="DR169" s="2">
        <f>COUNTIF(INDEX('LINE PLAN'!$B$36:$GS$61,0,ROW()-3),DR$3)</f>
        <v>0</v>
      </c>
      <c r="DS169" s="2">
        <f>COUNTIF(INDEX('LINE PLAN'!$B$36:$GS$61,0,ROW()-3),DS$3)</f>
        <v>0</v>
      </c>
      <c r="DT169" s="2">
        <f>COUNTIF(INDEX('LINE PLAN'!$B$36:$GS$61,0,ROW()-3),DT$3)</f>
        <v>0</v>
      </c>
      <c r="DU169" s="2">
        <f>COUNTIF(INDEX('LINE PLAN'!$B$36:$GS$61,0,ROW()-3),DU$3)</f>
        <v>0</v>
      </c>
      <c r="DV169" s="2">
        <f>COUNTIF(INDEX('LINE PLAN'!$B$36:$GS$61,0,ROW()-3),DV$3)</f>
        <v>0</v>
      </c>
    </row>
    <row r="170" spans="1:126">
      <c r="A170" s="505" cm="1">
        <f t="array" ref="A170">INDEX('LINE PLAN'!$B$35:$GS$35,ROW()-3)</f>
        <v>0</v>
      </c>
      <c r="B170" s="2">
        <f>SUMPRODUCT($CA170:$DV170,INDEX('MC MAP'!$DA$5:$EV$30,1,0))</f>
        <v>0</v>
      </c>
      <c r="C170" s="2">
        <f>SUMPRODUCT($CA170:$DV170,INDEX('MC MAP'!$DA$5:$EV$30,2,0))</f>
        <v>0</v>
      </c>
      <c r="D170" s="2">
        <f>SUMPRODUCT($CA170:$DV170,INDEX('MC MAP'!$DA$5:$EV$30,3,0))</f>
        <v>0</v>
      </c>
      <c r="E170" s="2">
        <f>SUMPRODUCT($CA170:$DV170,INDEX('MC MAP'!$DA$5:$EV$30,4,0))</f>
        <v>0</v>
      </c>
      <c r="F170" s="2">
        <f>SUMPRODUCT($CA170:$DV170,INDEX('MC MAP'!$DA$5:$EV$30,5,0))</f>
        <v>0</v>
      </c>
      <c r="G170" s="2">
        <f>SUMPRODUCT($CA170:$DV170,INDEX('MC MAP'!$DA$5:$EV$30,6,0))</f>
        <v>0</v>
      </c>
      <c r="H170" s="2">
        <f>SUMPRODUCT($CA170:$DV170,INDEX('MC MAP'!$DA$5:$EV$30,7,0))</f>
        <v>0</v>
      </c>
      <c r="I170" s="2">
        <f>SUMPRODUCT($CA170:$DV170,INDEX('MC MAP'!$DA$5:$EV$30,8,0))</f>
        <v>0</v>
      </c>
      <c r="J170" s="2">
        <f>SUMPRODUCT($CA170:$DV170,INDEX('MC MAP'!$DA$5:$EV$30,9,0))</f>
        <v>0</v>
      </c>
      <c r="K170" s="2">
        <f>SUMPRODUCT($CA170:$DV170,INDEX('MC MAP'!$DA$5:$EV$30,10,0))</f>
        <v>0</v>
      </c>
      <c r="L170" s="2">
        <f>SUMPRODUCT($CA170:$DV170,INDEX('MC MAP'!$DA$5:$EV$30,11,0))</f>
        <v>0</v>
      </c>
      <c r="M170" s="2">
        <f>SUMPRODUCT($CA170:$DV170,INDEX('MC MAP'!$DA$5:$EV$30,12,0))</f>
        <v>0</v>
      </c>
      <c r="N170" s="2">
        <f>SUMPRODUCT($CA170:$DV170,INDEX('MC MAP'!$DA$5:$EV$30,13,0))</f>
        <v>0</v>
      </c>
      <c r="O170" s="2">
        <f>SUMPRODUCT($CA170:$DV170,INDEX('MC MAP'!$DA$5:$EV$30,14,0))</f>
        <v>0</v>
      </c>
      <c r="P170" s="2">
        <f>SUMPRODUCT($CA170:$DV170,INDEX('MC MAP'!$DA$5:$EV$30,15,0))</f>
        <v>0</v>
      </c>
      <c r="Q170" s="2">
        <f>SUMPRODUCT($CA170:$DV170,INDEX('MC MAP'!$DA$5:$EV$30,16,0))</f>
        <v>0</v>
      </c>
      <c r="R170" s="2">
        <f>SUMPRODUCT($CA170:$DV170,INDEX('MC MAP'!$DA$5:$EV$30,17,0))</f>
        <v>0</v>
      </c>
      <c r="S170" s="2">
        <f>SUMPRODUCT($CA170:$DV170,INDEX('MC MAP'!$DA$5:$EV$30,18,0))</f>
        <v>0</v>
      </c>
      <c r="T170" s="2">
        <f>SUMPRODUCT($CA170:$DV170,INDEX('MC MAP'!$DA$5:$EV$30,19,0))</f>
        <v>0</v>
      </c>
      <c r="U170" s="2">
        <f>SUMPRODUCT($CA170:$DV170,INDEX('MC MAP'!$DA$5:$EV$30,20,0))</f>
        <v>0</v>
      </c>
      <c r="V170" s="2">
        <f>SUMPRODUCT($CA170:$DV170,INDEX('MC MAP'!$DA$5:$EV$30,21,0))</f>
        <v>0</v>
      </c>
      <c r="W170" s="2">
        <f>SUMPRODUCT($CA170:$DV170,INDEX('MC MAP'!$DA$5:$EV$30,22,0))</f>
        <v>0</v>
      </c>
      <c r="X170" s="2">
        <f>SUMPRODUCT($CA170:$DV170,INDEX('MC MAP'!$DA$5:$EV$30,23,0))</f>
        <v>0</v>
      </c>
      <c r="Y170" s="2">
        <f>SUMPRODUCT($CA170:$DV170,INDEX('MC MAP'!$DA$5:$EV$30,24,0))</f>
        <v>0</v>
      </c>
      <c r="Z170" s="2">
        <f>SUMPRODUCT($CA170:$DV170,INDEX('MC MAP'!$DA$5:$EV$30,25,0))</f>
        <v>0</v>
      </c>
      <c r="AA170" s="2">
        <f>SUMPRODUCT($CA170:$DV170,INDEX('MC MAP'!$DA$5:$EV$30,26,0))</f>
        <v>0</v>
      </c>
      <c r="AB170" s="2">
        <f>SUM($B170:$AA170)</f>
        <v>0</v>
      </c>
      <c r="AC170" s="2">
        <f>SUM($CA170:$DV170)+$AW170</f>
        <v>0</v>
      </c>
      <c r="AW170" s="2">
        <f>IF($A170=0,0,COUNTIF(INDEX('LINE PLAN'!$B$36:$GS$61,0,ROW()-3),"THERMAL - NOT SPECIFIED"))</f>
        <v>0</v>
      </c>
      <c r="AX170" s="506" cm="1">
        <f t="array" ref="AX170">IF(OR($AB170=0,UPPER($BS170)&lt;&gt;"Y"),0,SUMPRODUCT(--($B170:$AA170&gt;$B$205:$AA$205)))</f>
        <v>0</v>
      </c>
      <c r="AY170" s="507">
        <f>$A170</f>
        <v>0</v>
      </c>
      <c r="AZ170" s="2">
        <f>$AB170</f>
        <v>0</v>
      </c>
      <c r="BA170" s="2">
        <f>'MC MASTER'!$C$29</f>
        <v>920</v>
      </c>
      <c r="BQ170" s="509">
        <f>$A170</f>
        <v>0</v>
      </c>
      <c r="BR170" s="15" t="str">
        <f>TEXT($A170,"ddd")</f>
        <v>Sat</v>
      </c>
      <c r="BS170" s="547" t="str">
        <f>IF($A170=0,"",IF(WEEKDAY($A170,2)=7,"N","Y"))</f>
        <v/>
      </c>
      <c r="BT170" s="15">
        <f>IF(UPPER($BS170)="Y",$AB170,0)</f>
        <v>0</v>
      </c>
      <c r="CA170" s="2">
        <f>COUNTIF(INDEX('LINE PLAN'!$B$36:$GS$61,0,ROW()-3),CA$3)</f>
        <v>0</v>
      </c>
      <c r="CB170" s="2">
        <f>COUNTIF(INDEX('LINE PLAN'!$B$36:$GS$61,0,ROW()-3),CB$3)</f>
        <v>0</v>
      </c>
      <c r="CC170" s="2">
        <f>COUNTIF(INDEX('LINE PLAN'!$B$36:$GS$61,0,ROW()-3),CC$3)</f>
        <v>0</v>
      </c>
      <c r="CD170" s="2">
        <f>COUNTIF(INDEX('LINE PLAN'!$B$36:$GS$61,0,ROW()-3),CD$3)</f>
        <v>0</v>
      </c>
      <c r="CE170" s="2">
        <f>COUNTIF(INDEX('LINE PLAN'!$B$36:$GS$61,0,ROW()-3),CE$3)</f>
        <v>0</v>
      </c>
      <c r="CF170" s="2">
        <f>COUNTIF(INDEX('LINE PLAN'!$B$36:$GS$61,0,ROW()-3),CF$3)</f>
        <v>0</v>
      </c>
      <c r="CG170" s="2">
        <f>COUNTIF(INDEX('LINE PLAN'!$B$36:$GS$61,0,ROW()-3),CG$3)</f>
        <v>0</v>
      </c>
      <c r="CH170" s="2">
        <f>COUNTIF(INDEX('LINE PLAN'!$B$36:$GS$61,0,ROW()-3),CH$3)</f>
        <v>0</v>
      </c>
      <c r="CI170" s="2">
        <f>COUNTIF(INDEX('LINE PLAN'!$B$36:$GS$61,0,ROW()-3),CI$3)</f>
        <v>0</v>
      </c>
      <c r="CJ170" s="2">
        <f>COUNTIF(INDEX('LINE PLAN'!$B$36:$GS$61,0,ROW()-3),CJ$3)</f>
        <v>0</v>
      </c>
      <c r="CK170" s="2">
        <f>COUNTIF(INDEX('LINE PLAN'!$B$36:$GS$61,0,ROW()-3),CK$3)</f>
        <v>0</v>
      </c>
      <c r="CL170" s="2">
        <f>COUNTIF(INDEX('LINE PLAN'!$B$36:$GS$61,0,ROW()-3),CL$3)</f>
        <v>0</v>
      </c>
      <c r="CM170" s="2">
        <f>COUNTIF(INDEX('LINE PLAN'!$B$36:$GS$61,0,ROW()-3),CM$3)</f>
        <v>0</v>
      </c>
      <c r="CN170" s="2">
        <f>COUNTIF(INDEX('LINE PLAN'!$B$36:$GS$61,0,ROW()-3),CN$3)</f>
        <v>0</v>
      </c>
      <c r="CO170" s="2">
        <f>COUNTIF(INDEX('LINE PLAN'!$B$36:$GS$61,0,ROW()-3),CO$3)</f>
        <v>0</v>
      </c>
      <c r="CP170" s="2">
        <f>COUNTIF(INDEX('LINE PLAN'!$B$36:$GS$61,0,ROW()-3),CP$3)</f>
        <v>0</v>
      </c>
      <c r="CQ170" s="2">
        <f>COUNTIF(INDEX('LINE PLAN'!$B$36:$GS$61,0,ROW()-3),CQ$3)</f>
        <v>0</v>
      </c>
      <c r="CR170" s="2">
        <f>COUNTIF(INDEX('LINE PLAN'!$B$36:$GS$61,0,ROW()-3),CR$3)</f>
        <v>0</v>
      </c>
      <c r="CS170" s="2">
        <f>COUNTIF(INDEX('LINE PLAN'!$B$36:$GS$61,0,ROW()-3),CS$3)</f>
        <v>0</v>
      </c>
      <c r="CT170" s="2">
        <f>COUNTIF(INDEX('LINE PLAN'!$B$36:$GS$61,0,ROW()-3),CT$3)</f>
        <v>0</v>
      </c>
      <c r="CU170" s="2">
        <f>COUNTIF(INDEX('LINE PLAN'!$B$36:$GS$61,0,ROW()-3),CU$3)</f>
        <v>0</v>
      </c>
      <c r="CV170" s="2">
        <f>COUNTIF(INDEX('LINE PLAN'!$B$36:$GS$61,0,ROW()-3),CV$3)</f>
        <v>0</v>
      </c>
      <c r="CW170" s="2">
        <f>COUNTIF(INDEX('LINE PLAN'!$B$36:$GS$61,0,ROW()-3),CW$3)</f>
        <v>0</v>
      </c>
      <c r="CX170" s="2">
        <f>COUNTIF(INDEX('LINE PLAN'!$B$36:$GS$61,0,ROW()-3),CX$3)</f>
        <v>0</v>
      </c>
      <c r="CY170" s="2">
        <f>COUNTIF(INDEX('LINE PLAN'!$B$36:$GS$61,0,ROW()-3),CY$3)</f>
        <v>0</v>
      </c>
      <c r="CZ170" s="2">
        <f>COUNTIF(INDEX('LINE PLAN'!$B$36:$GS$61,0,ROW()-3),CZ$3)</f>
        <v>0</v>
      </c>
      <c r="DA170" s="2">
        <f>COUNTIF(INDEX('LINE PLAN'!$B$36:$GS$61,0,ROW()-3),DA$3)</f>
        <v>0</v>
      </c>
      <c r="DB170" s="2">
        <f>COUNTIF(INDEX('LINE PLAN'!$B$36:$GS$61,0,ROW()-3),DB$3)</f>
        <v>0</v>
      </c>
      <c r="DC170" s="2">
        <f>COUNTIF(INDEX('LINE PLAN'!$B$36:$GS$61,0,ROW()-3),DC$3)</f>
        <v>0</v>
      </c>
      <c r="DD170" s="2">
        <f>COUNTIF(INDEX('LINE PLAN'!$B$36:$GS$61,0,ROW()-3),DD$3)</f>
        <v>0</v>
      </c>
      <c r="DE170" s="2">
        <f>COUNTIF(INDEX('LINE PLAN'!$B$36:$GS$61,0,ROW()-3),DE$3)</f>
        <v>0</v>
      </c>
      <c r="DF170" s="2">
        <f>COUNTIF(INDEX('LINE PLAN'!$B$36:$GS$61,0,ROW()-3),DF$3)</f>
        <v>0</v>
      </c>
      <c r="DG170" s="2">
        <f>COUNTIF(INDEX('LINE PLAN'!$B$36:$GS$61,0,ROW()-3),DG$3)</f>
        <v>0</v>
      </c>
      <c r="DH170" s="2">
        <f>COUNTIF(INDEX('LINE PLAN'!$B$36:$GS$61,0,ROW()-3),DH$3)</f>
        <v>0</v>
      </c>
      <c r="DI170" s="2">
        <f>COUNTIF(INDEX('LINE PLAN'!$B$36:$GS$61,0,ROW()-3),DI$3)</f>
        <v>0</v>
      </c>
      <c r="DJ170" s="2">
        <f>COUNTIF(INDEX('LINE PLAN'!$B$36:$GS$61,0,ROW()-3),DJ$3)</f>
        <v>0</v>
      </c>
      <c r="DK170" s="2">
        <f>COUNTIF(INDEX('LINE PLAN'!$B$36:$GS$61,0,ROW()-3),DK$3)</f>
        <v>0</v>
      </c>
      <c r="DL170" s="2">
        <f>COUNTIF(INDEX('LINE PLAN'!$B$36:$GS$61,0,ROW()-3),DL$3)</f>
        <v>0</v>
      </c>
      <c r="DM170" s="2">
        <f>COUNTIF(INDEX('LINE PLAN'!$B$36:$GS$61,0,ROW()-3),DM$3)</f>
        <v>0</v>
      </c>
      <c r="DN170" s="2">
        <f>COUNTIF(INDEX('LINE PLAN'!$B$36:$GS$61,0,ROW()-3),DN$3)</f>
        <v>0</v>
      </c>
      <c r="DO170" s="2">
        <f>COUNTIF(INDEX('LINE PLAN'!$B$36:$GS$61,0,ROW()-3),DO$3)</f>
        <v>0</v>
      </c>
      <c r="DP170" s="2">
        <f>COUNTIF(INDEX('LINE PLAN'!$B$36:$GS$61,0,ROW()-3),DP$3)</f>
        <v>0</v>
      </c>
      <c r="DQ170" s="2">
        <f>COUNTIF(INDEX('LINE PLAN'!$B$36:$GS$61,0,ROW()-3),DQ$3)</f>
        <v>0</v>
      </c>
      <c r="DR170" s="2">
        <f>COUNTIF(INDEX('LINE PLAN'!$B$36:$GS$61,0,ROW()-3),DR$3)</f>
        <v>0</v>
      </c>
      <c r="DS170" s="2">
        <f>COUNTIF(INDEX('LINE PLAN'!$B$36:$GS$61,0,ROW()-3),DS$3)</f>
        <v>0</v>
      </c>
      <c r="DT170" s="2">
        <f>COUNTIF(INDEX('LINE PLAN'!$B$36:$GS$61,0,ROW()-3),DT$3)</f>
        <v>0</v>
      </c>
      <c r="DU170" s="2">
        <f>COUNTIF(INDEX('LINE PLAN'!$B$36:$GS$61,0,ROW()-3),DU$3)</f>
        <v>0</v>
      </c>
      <c r="DV170" s="2">
        <f>COUNTIF(INDEX('LINE PLAN'!$B$36:$GS$61,0,ROW()-3),DV$3)</f>
        <v>0</v>
      </c>
    </row>
    <row r="171" spans="1:126">
      <c r="A171" s="505" cm="1">
        <f t="array" ref="A171">INDEX('LINE PLAN'!$B$35:$GS$35,ROW()-3)</f>
        <v>0</v>
      </c>
      <c r="B171" s="2">
        <f>SUMPRODUCT($CA171:$DV171,INDEX('MC MAP'!$DA$5:$EV$30,1,0))</f>
        <v>0</v>
      </c>
      <c r="C171" s="2">
        <f>SUMPRODUCT($CA171:$DV171,INDEX('MC MAP'!$DA$5:$EV$30,2,0))</f>
        <v>0</v>
      </c>
      <c r="D171" s="2">
        <f>SUMPRODUCT($CA171:$DV171,INDEX('MC MAP'!$DA$5:$EV$30,3,0))</f>
        <v>0</v>
      </c>
      <c r="E171" s="2">
        <f>SUMPRODUCT($CA171:$DV171,INDEX('MC MAP'!$DA$5:$EV$30,4,0))</f>
        <v>0</v>
      </c>
      <c r="F171" s="2">
        <f>SUMPRODUCT($CA171:$DV171,INDEX('MC MAP'!$DA$5:$EV$30,5,0))</f>
        <v>0</v>
      </c>
      <c r="G171" s="2">
        <f>SUMPRODUCT($CA171:$DV171,INDEX('MC MAP'!$DA$5:$EV$30,6,0))</f>
        <v>0</v>
      </c>
      <c r="H171" s="2">
        <f>SUMPRODUCT($CA171:$DV171,INDEX('MC MAP'!$DA$5:$EV$30,7,0))</f>
        <v>0</v>
      </c>
      <c r="I171" s="2">
        <f>SUMPRODUCT($CA171:$DV171,INDEX('MC MAP'!$DA$5:$EV$30,8,0))</f>
        <v>0</v>
      </c>
      <c r="J171" s="2">
        <f>SUMPRODUCT($CA171:$DV171,INDEX('MC MAP'!$DA$5:$EV$30,9,0))</f>
        <v>0</v>
      </c>
      <c r="K171" s="2">
        <f>SUMPRODUCT($CA171:$DV171,INDEX('MC MAP'!$DA$5:$EV$30,10,0))</f>
        <v>0</v>
      </c>
      <c r="L171" s="2">
        <f>SUMPRODUCT($CA171:$DV171,INDEX('MC MAP'!$DA$5:$EV$30,11,0))</f>
        <v>0</v>
      </c>
      <c r="M171" s="2">
        <f>SUMPRODUCT($CA171:$DV171,INDEX('MC MAP'!$DA$5:$EV$30,12,0))</f>
        <v>0</v>
      </c>
      <c r="N171" s="2">
        <f>SUMPRODUCT($CA171:$DV171,INDEX('MC MAP'!$DA$5:$EV$30,13,0))</f>
        <v>0</v>
      </c>
      <c r="O171" s="2">
        <f>SUMPRODUCT($CA171:$DV171,INDEX('MC MAP'!$DA$5:$EV$30,14,0))</f>
        <v>0</v>
      </c>
      <c r="P171" s="2">
        <f>SUMPRODUCT($CA171:$DV171,INDEX('MC MAP'!$DA$5:$EV$30,15,0))</f>
        <v>0</v>
      </c>
      <c r="Q171" s="2">
        <f>SUMPRODUCT($CA171:$DV171,INDEX('MC MAP'!$DA$5:$EV$30,16,0))</f>
        <v>0</v>
      </c>
      <c r="R171" s="2">
        <f>SUMPRODUCT($CA171:$DV171,INDEX('MC MAP'!$DA$5:$EV$30,17,0))</f>
        <v>0</v>
      </c>
      <c r="S171" s="2">
        <f>SUMPRODUCT($CA171:$DV171,INDEX('MC MAP'!$DA$5:$EV$30,18,0))</f>
        <v>0</v>
      </c>
      <c r="T171" s="2">
        <f>SUMPRODUCT($CA171:$DV171,INDEX('MC MAP'!$DA$5:$EV$30,19,0))</f>
        <v>0</v>
      </c>
      <c r="U171" s="2">
        <f>SUMPRODUCT($CA171:$DV171,INDEX('MC MAP'!$DA$5:$EV$30,20,0))</f>
        <v>0</v>
      </c>
      <c r="V171" s="2">
        <f>SUMPRODUCT($CA171:$DV171,INDEX('MC MAP'!$DA$5:$EV$30,21,0))</f>
        <v>0</v>
      </c>
      <c r="W171" s="2">
        <f>SUMPRODUCT($CA171:$DV171,INDEX('MC MAP'!$DA$5:$EV$30,22,0))</f>
        <v>0</v>
      </c>
      <c r="X171" s="2">
        <f>SUMPRODUCT($CA171:$DV171,INDEX('MC MAP'!$DA$5:$EV$30,23,0))</f>
        <v>0</v>
      </c>
      <c r="Y171" s="2">
        <f>SUMPRODUCT($CA171:$DV171,INDEX('MC MAP'!$DA$5:$EV$30,24,0))</f>
        <v>0</v>
      </c>
      <c r="Z171" s="2">
        <f>SUMPRODUCT($CA171:$DV171,INDEX('MC MAP'!$DA$5:$EV$30,25,0))</f>
        <v>0</v>
      </c>
      <c r="AA171" s="2">
        <f>SUMPRODUCT($CA171:$DV171,INDEX('MC MAP'!$DA$5:$EV$30,26,0))</f>
        <v>0</v>
      </c>
      <c r="AB171" s="2">
        <f>SUM($B171:$AA171)</f>
        <v>0</v>
      </c>
      <c r="AC171" s="2">
        <f>SUM($CA171:$DV171)+$AW171</f>
        <v>0</v>
      </c>
      <c r="AW171" s="2">
        <f>IF($A171=0,0,COUNTIF(INDEX('LINE PLAN'!$B$36:$GS$61,0,ROW()-3),"THERMAL - NOT SPECIFIED"))</f>
        <v>0</v>
      </c>
      <c r="AX171" s="506" cm="1">
        <f t="array" ref="AX171">IF(OR($AB171=0,UPPER($BS171)&lt;&gt;"Y"),0,SUMPRODUCT(--($B171:$AA171&gt;$B$205:$AA$205)))</f>
        <v>0</v>
      </c>
      <c r="AY171" s="507">
        <f>$A171</f>
        <v>0</v>
      </c>
      <c r="AZ171" s="2">
        <f>$AB171</f>
        <v>0</v>
      </c>
      <c r="BA171" s="2">
        <f>'MC MASTER'!$C$29</f>
        <v>920</v>
      </c>
      <c r="BQ171" s="509">
        <f>$A171</f>
        <v>0</v>
      </c>
      <c r="BR171" s="15" t="str">
        <f>TEXT($A171,"ddd")</f>
        <v>Sat</v>
      </c>
      <c r="BS171" s="547" t="str">
        <f>IF($A171=0,"",IF(WEEKDAY($A171,2)=7,"N","Y"))</f>
        <v/>
      </c>
      <c r="BT171" s="15">
        <f>IF(UPPER($BS171)="Y",$AB171,0)</f>
        <v>0</v>
      </c>
      <c r="CA171" s="2">
        <f>COUNTIF(INDEX('LINE PLAN'!$B$36:$GS$61,0,ROW()-3),CA$3)</f>
        <v>0</v>
      </c>
      <c r="CB171" s="2">
        <f>COUNTIF(INDEX('LINE PLAN'!$B$36:$GS$61,0,ROW()-3),CB$3)</f>
        <v>0</v>
      </c>
      <c r="CC171" s="2">
        <f>COUNTIF(INDEX('LINE PLAN'!$B$36:$GS$61,0,ROW()-3),CC$3)</f>
        <v>0</v>
      </c>
      <c r="CD171" s="2">
        <f>COUNTIF(INDEX('LINE PLAN'!$B$36:$GS$61,0,ROW()-3),CD$3)</f>
        <v>0</v>
      </c>
      <c r="CE171" s="2">
        <f>COUNTIF(INDEX('LINE PLAN'!$B$36:$GS$61,0,ROW()-3),CE$3)</f>
        <v>0</v>
      </c>
      <c r="CF171" s="2">
        <f>COUNTIF(INDEX('LINE PLAN'!$B$36:$GS$61,0,ROW()-3),CF$3)</f>
        <v>0</v>
      </c>
      <c r="CG171" s="2">
        <f>COUNTIF(INDEX('LINE PLAN'!$B$36:$GS$61,0,ROW()-3),CG$3)</f>
        <v>0</v>
      </c>
      <c r="CH171" s="2">
        <f>COUNTIF(INDEX('LINE PLAN'!$B$36:$GS$61,0,ROW()-3),CH$3)</f>
        <v>0</v>
      </c>
      <c r="CI171" s="2">
        <f>COUNTIF(INDEX('LINE PLAN'!$B$36:$GS$61,0,ROW()-3),CI$3)</f>
        <v>0</v>
      </c>
      <c r="CJ171" s="2">
        <f>COUNTIF(INDEX('LINE PLAN'!$B$36:$GS$61,0,ROW()-3),CJ$3)</f>
        <v>0</v>
      </c>
      <c r="CK171" s="2">
        <f>COUNTIF(INDEX('LINE PLAN'!$B$36:$GS$61,0,ROW()-3),CK$3)</f>
        <v>0</v>
      </c>
      <c r="CL171" s="2">
        <f>COUNTIF(INDEX('LINE PLAN'!$B$36:$GS$61,0,ROW()-3),CL$3)</f>
        <v>0</v>
      </c>
      <c r="CM171" s="2">
        <f>COUNTIF(INDEX('LINE PLAN'!$B$36:$GS$61,0,ROW()-3),CM$3)</f>
        <v>0</v>
      </c>
      <c r="CN171" s="2">
        <f>COUNTIF(INDEX('LINE PLAN'!$B$36:$GS$61,0,ROW()-3),CN$3)</f>
        <v>0</v>
      </c>
      <c r="CO171" s="2">
        <f>COUNTIF(INDEX('LINE PLAN'!$B$36:$GS$61,0,ROW()-3),CO$3)</f>
        <v>0</v>
      </c>
      <c r="CP171" s="2">
        <f>COUNTIF(INDEX('LINE PLAN'!$B$36:$GS$61,0,ROW()-3),CP$3)</f>
        <v>0</v>
      </c>
      <c r="CQ171" s="2">
        <f>COUNTIF(INDEX('LINE PLAN'!$B$36:$GS$61,0,ROW()-3),CQ$3)</f>
        <v>0</v>
      </c>
      <c r="CR171" s="2">
        <f>COUNTIF(INDEX('LINE PLAN'!$B$36:$GS$61,0,ROW()-3),CR$3)</f>
        <v>0</v>
      </c>
      <c r="CS171" s="2">
        <f>COUNTIF(INDEX('LINE PLAN'!$B$36:$GS$61,0,ROW()-3),CS$3)</f>
        <v>0</v>
      </c>
      <c r="CT171" s="2">
        <f>COUNTIF(INDEX('LINE PLAN'!$B$36:$GS$61,0,ROW()-3),CT$3)</f>
        <v>0</v>
      </c>
      <c r="CU171" s="2">
        <f>COUNTIF(INDEX('LINE PLAN'!$B$36:$GS$61,0,ROW()-3),CU$3)</f>
        <v>0</v>
      </c>
      <c r="CV171" s="2">
        <f>COUNTIF(INDEX('LINE PLAN'!$B$36:$GS$61,0,ROW()-3),CV$3)</f>
        <v>0</v>
      </c>
      <c r="CW171" s="2">
        <f>COUNTIF(INDEX('LINE PLAN'!$B$36:$GS$61,0,ROW()-3),CW$3)</f>
        <v>0</v>
      </c>
      <c r="CX171" s="2">
        <f>COUNTIF(INDEX('LINE PLAN'!$B$36:$GS$61,0,ROW()-3),CX$3)</f>
        <v>0</v>
      </c>
      <c r="CY171" s="2">
        <f>COUNTIF(INDEX('LINE PLAN'!$B$36:$GS$61,0,ROW()-3),CY$3)</f>
        <v>0</v>
      </c>
      <c r="CZ171" s="2">
        <f>COUNTIF(INDEX('LINE PLAN'!$B$36:$GS$61,0,ROW()-3),CZ$3)</f>
        <v>0</v>
      </c>
      <c r="DA171" s="2">
        <f>COUNTIF(INDEX('LINE PLAN'!$B$36:$GS$61,0,ROW()-3),DA$3)</f>
        <v>0</v>
      </c>
      <c r="DB171" s="2">
        <f>COUNTIF(INDEX('LINE PLAN'!$B$36:$GS$61,0,ROW()-3),DB$3)</f>
        <v>0</v>
      </c>
      <c r="DC171" s="2">
        <f>COUNTIF(INDEX('LINE PLAN'!$B$36:$GS$61,0,ROW()-3),DC$3)</f>
        <v>0</v>
      </c>
      <c r="DD171" s="2">
        <f>COUNTIF(INDEX('LINE PLAN'!$B$36:$GS$61,0,ROW()-3),DD$3)</f>
        <v>0</v>
      </c>
      <c r="DE171" s="2">
        <f>COUNTIF(INDEX('LINE PLAN'!$B$36:$GS$61,0,ROW()-3),DE$3)</f>
        <v>0</v>
      </c>
      <c r="DF171" s="2">
        <f>COUNTIF(INDEX('LINE PLAN'!$B$36:$GS$61,0,ROW()-3),DF$3)</f>
        <v>0</v>
      </c>
      <c r="DG171" s="2">
        <f>COUNTIF(INDEX('LINE PLAN'!$B$36:$GS$61,0,ROW()-3),DG$3)</f>
        <v>0</v>
      </c>
      <c r="DH171" s="2">
        <f>COUNTIF(INDEX('LINE PLAN'!$B$36:$GS$61,0,ROW()-3),DH$3)</f>
        <v>0</v>
      </c>
      <c r="DI171" s="2">
        <f>COUNTIF(INDEX('LINE PLAN'!$B$36:$GS$61,0,ROW()-3),DI$3)</f>
        <v>0</v>
      </c>
      <c r="DJ171" s="2">
        <f>COUNTIF(INDEX('LINE PLAN'!$B$36:$GS$61,0,ROW()-3),DJ$3)</f>
        <v>0</v>
      </c>
      <c r="DK171" s="2">
        <f>COUNTIF(INDEX('LINE PLAN'!$B$36:$GS$61,0,ROW()-3),DK$3)</f>
        <v>0</v>
      </c>
      <c r="DL171" s="2">
        <f>COUNTIF(INDEX('LINE PLAN'!$B$36:$GS$61,0,ROW()-3),DL$3)</f>
        <v>0</v>
      </c>
      <c r="DM171" s="2">
        <f>COUNTIF(INDEX('LINE PLAN'!$B$36:$GS$61,0,ROW()-3),DM$3)</f>
        <v>0</v>
      </c>
      <c r="DN171" s="2">
        <f>COUNTIF(INDEX('LINE PLAN'!$B$36:$GS$61,0,ROW()-3),DN$3)</f>
        <v>0</v>
      </c>
      <c r="DO171" s="2">
        <f>COUNTIF(INDEX('LINE PLAN'!$B$36:$GS$61,0,ROW()-3),DO$3)</f>
        <v>0</v>
      </c>
      <c r="DP171" s="2">
        <f>COUNTIF(INDEX('LINE PLAN'!$B$36:$GS$61,0,ROW()-3),DP$3)</f>
        <v>0</v>
      </c>
      <c r="DQ171" s="2">
        <f>COUNTIF(INDEX('LINE PLAN'!$B$36:$GS$61,0,ROW()-3),DQ$3)</f>
        <v>0</v>
      </c>
      <c r="DR171" s="2">
        <f>COUNTIF(INDEX('LINE PLAN'!$B$36:$GS$61,0,ROW()-3),DR$3)</f>
        <v>0</v>
      </c>
      <c r="DS171" s="2">
        <f>COUNTIF(INDEX('LINE PLAN'!$B$36:$GS$61,0,ROW()-3),DS$3)</f>
        <v>0</v>
      </c>
      <c r="DT171" s="2">
        <f>COUNTIF(INDEX('LINE PLAN'!$B$36:$GS$61,0,ROW()-3),DT$3)</f>
        <v>0</v>
      </c>
      <c r="DU171" s="2">
        <f>COUNTIF(INDEX('LINE PLAN'!$B$36:$GS$61,0,ROW()-3),DU$3)</f>
        <v>0</v>
      </c>
      <c r="DV171" s="2">
        <f>COUNTIF(INDEX('LINE PLAN'!$B$36:$GS$61,0,ROW()-3),DV$3)</f>
        <v>0</v>
      </c>
    </row>
    <row r="172" spans="1:126">
      <c r="A172" s="505" cm="1">
        <f t="array" ref="A172">INDEX('LINE PLAN'!$B$35:$GS$35,ROW()-3)</f>
        <v>0</v>
      </c>
      <c r="B172" s="2">
        <f>SUMPRODUCT($CA172:$DV172,INDEX('MC MAP'!$DA$5:$EV$30,1,0))</f>
        <v>0</v>
      </c>
      <c r="C172" s="2">
        <f>SUMPRODUCT($CA172:$DV172,INDEX('MC MAP'!$DA$5:$EV$30,2,0))</f>
        <v>0</v>
      </c>
      <c r="D172" s="2">
        <f>SUMPRODUCT($CA172:$DV172,INDEX('MC MAP'!$DA$5:$EV$30,3,0))</f>
        <v>0</v>
      </c>
      <c r="E172" s="2">
        <f>SUMPRODUCT($CA172:$DV172,INDEX('MC MAP'!$DA$5:$EV$30,4,0))</f>
        <v>0</v>
      </c>
      <c r="F172" s="2">
        <f>SUMPRODUCT($CA172:$DV172,INDEX('MC MAP'!$DA$5:$EV$30,5,0))</f>
        <v>0</v>
      </c>
      <c r="G172" s="2">
        <f>SUMPRODUCT($CA172:$DV172,INDEX('MC MAP'!$DA$5:$EV$30,6,0))</f>
        <v>0</v>
      </c>
      <c r="H172" s="2">
        <f>SUMPRODUCT($CA172:$DV172,INDEX('MC MAP'!$DA$5:$EV$30,7,0))</f>
        <v>0</v>
      </c>
      <c r="I172" s="2">
        <f>SUMPRODUCT($CA172:$DV172,INDEX('MC MAP'!$DA$5:$EV$30,8,0))</f>
        <v>0</v>
      </c>
      <c r="J172" s="2">
        <f>SUMPRODUCT($CA172:$DV172,INDEX('MC MAP'!$DA$5:$EV$30,9,0))</f>
        <v>0</v>
      </c>
      <c r="K172" s="2">
        <f>SUMPRODUCT($CA172:$DV172,INDEX('MC MAP'!$DA$5:$EV$30,10,0))</f>
        <v>0</v>
      </c>
      <c r="L172" s="2">
        <f>SUMPRODUCT($CA172:$DV172,INDEX('MC MAP'!$DA$5:$EV$30,11,0))</f>
        <v>0</v>
      </c>
      <c r="M172" s="2">
        <f>SUMPRODUCT($CA172:$DV172,INDEX('MC MAP'!$DA$5:$EV$30,12,0))</f>
        <v>0</v>
      </c>
      <c r="N172" s="2">
        <f>SUMPRODUCT($CA172:$DV172,INDEX('MC MAP'!$DA$5:$EV$30,13,0))</f>
        <v>0</v>
      </c>
      <c r="O172" s="2">
        <f>SUMPRODUCT($CA172:$DV172,INDEX('MC MAP'!$DA$5:$EV$30,14,0))</f>
        <v>0</v>
      </c>
      <c r="P172" s="2">
        <f>SUMPRODUCT($CA172:$DV172,INDEX('MC MAP'!$DA$5:$EV$30,15,0))</f>
        <v>0</v>
      </c>
      <c r="Q172" s="2">
        <f>SUMPRODUCT($CA172:$DV172,INDEX('MC MAP'!$DA$5:$EV$30,16,0))</f>
        <v>0</v>
      </c>
      <c r="R172" s="2">
        <f>SUMPRODUCT($CA172:$DV172,INDEX('MC MAP'!$DA$5:$EV$30,17,0))</f>
        <v>0</v>
      </c>
      <c r="S172" s="2">
        <f>SUMPRODUCT($CA172:$DV172,INDEX('MC MAP'!$DA$5:$EV$30,18,0))</f>
        <v>0</v>
      </c>
      <c r="T172" s="2">
        <f>SUMPRODUCT($CA172:$DV172,INDEX('MC MAP'!$DA$5:$EV$30,19,0))</f>
        <v>0</v>
      </c>
      <c r="U172" s="2">
        <f>SUMPRODUCT($CA172:$DV172,INDEX('MC MAP'!$DA$5:$EV$30,20,0))</f>
        <v>0</v>
      </c>
      <c r="V172" s="2">
        <f>SUMPRODUCT($CA172:$DV172,INDEX('MC MAP'!$DA$5:$EV$30,21,0))</f>
        <v>0</v>
      </c>
      <c r="W172" s="2">
        <f>SUMPRODUCT($CA172:$DV172,INDEX('MC MAP'!$DA$5:$EV$30,22,0))</f>
        <v>0</v>
      </c>
      <c r="X172" s="2">
        <f>SUMPRODUCT($CA172:$DV172,INDEX('MC MAP'!$DA$5:$EV$30,23,0))</f>
        <v>0</v>
      </c>
      <c r="Y172" s="2">
        <f>SUMPRODUCT($CA172:$DV172,INDEX('MC MAP'!$DA$5:$EV$30,24,0))</f>
        <v>0</v>
      </c>
      <c r="Z172" s="2">
        <f>SUMPRODUCT($CA172:$DV172,INDEX('MC MAP'!$DA$5:$EV$30,25,0))</f>
        <v>0</v>
      </c>
      <c r="AA172" s="2">
        <f>SUMPRODUCT($CA172:$DV172,INDEX('MC MAP'!$DA$5:$EV$30,26,0))</f>
        <v>0</v>
      </c>
      <c r="AB172" s="2">
        <f>SUM($B172:$AA172)</f>
        <v>0</v>
      </c>
      <c r="AC172" s="2">
        <f>SUM($CA172:$DV172)+$AW172</f>
        <v>0</v>
      </c>
      <c r="AW172" s="2">
        <f>IF($A172=0,0,COUNTIF(INDEX('LINE PLAN'!$B$36:$GS$61,0,ROW()-3),"THERMAL - NOT SPECIFIED"))</f>
        <v>0</v>
      </c>
      <c r="AX172" s="506" cm="1">
        <f t="array" ref="AX172">IF(OR($AB172=0,UPPER($BS172)&lt;&gt;"Y"),0,SUMPRODUCT(--($B172:$AA172&gt;$B$205:$AA$205)))</f>
        <v>0</v>
      </c>
      <c r="AY172" s="507">
        <f>$A172</f>
        <v>0</v>
      </c>
      <c r="AZ172" s="2">
        <f>$AB172</f>
        <v>0</v>
      </c>
      <c r="BA172" s="2">
        <f>'MC MASTER'!$C$29</f>
        <v>920</v>
      </c>
      <c r="BQ172" s="509">
        <f>$A172</f>
        <v>0</v>
      </c>
      <c r="BR172" s="15" t="str">
        <f>TEXT($A172,"ddd")</f>
        <v>Sat</v>
      </c>
      <c r="BS172" s="547" t="str">
        <f>IF($A172=0,"",IF(WEEKDAY($A172,2)=7,"N","Y"))</f>
        <v/>
      </c>
      <c r="BT172" s="15">
        <f>IF(UPPER($BS172)="Y",$AB172,0)</f>
        <v>0</v>
      </c>
      <c r="CA172" s="2">
        <f>COUNTIF(INDEX('LINE PLAN'!$B$36:$GS$61,0,ROW()-3),CA$3)</f>
        <v>0</v>
      </c>
      <c r="CB172" s="2">
        <f>COUNTIF(INDEX('LINE PLAN'!$B$36:$GS$61,0,ROW()-3),CB$3)</f>
        <v>0</v>
      </c>
      <c r="CC172" s="2">
        <f>COUNTIF(INDEX('LINE PLAN'!$B$36:$GS$61,0,ROW()-3),CC$3)</f>
        <v>0</v>
      </c>
      <c r="CD172" s="2">
        <f>COUNTIF(INDEX('LINE PLAN'!$B$36:$GS$61,0,ROW()-3),CD$3)</f>
        <v>0</v>
      </c>
      <c r="CE172" s="2">
        <f>COUNTIF(INDEX('LINE PLAN'!$B$36:$GS$61,0,ROW()-3),CE$3)</f>
        <v>0</v>
      </c>
      <c r="CF172" s="2">
        <f>COUNTIF(INDEX('LINE PLAN'!$B$36:$GS$61,0,ROW()-3),CF$3)</f>
        <v>0</v>
      </c>
      <c r="CG172" s="2">
        <f>COUNTIF(INDEX('LINE PLAN'!$B$36:$GS$61,0,ROW()-3),CG$3)</f>
        <v>0</v>
      </c>
      <c r="CH172" s="2">
        <f>COUNTIF(INDEX('LINE PLAN'!$B$36:$GS$61,0,ROW()-3),CH$3)</f>
        <v>0</v>
      </c>
      <c r="CI172" s="2">
        <f>COUNTIF(INDEX('LINE PLAN'!$B$36:$GS$61,0,ROW()-3),CI$3)</f>
        <v>0</v>
      </c>
      <c r="CJ172" s="2">
        <f>COUNTIF(INDEX('LINE PLAN'!$B$36:$GS$61,0,ROW()-3),CJ$3)</f>
        <v>0</v>
      </c>
      <c r="CK172" s="2">
        <f>COUNTIF(INDEX('LINE PLAN'!$B$36:$GS$61,0,ROW()-3),CK$3)</f>
        <v>0</v>
      </c>
      <c r="CL172" s="2">
        <f>COUNTIF(INDEX('LINE PLAN'!$B$36:$GS$61,0,ROW()-3),CL$3)</f>
        <v>0</v>
      </c>
      <c r="CM172" s="2">
        <f>COUNTIF(INDEX('LINE PLAN'!$B$36:$GS$61,0,ROW()-3),CM$3)</f>
        <v>0</v>
      </c>
      <c r="CN172" s="2">
        <f>COUNTIF(INDEX('LINE PLAN'!$B$36:$GS$61,0,ROW()-3),CN$3)</f>
        <v>0</v>
      </c>
      <c r="CO172" s="2">
        <f>COUNTIF(INDEX('LINE PLAN'!$B$36:$GS$61,0,ROW()-3),CO$3)</f>
        <v>0</v>
      </c>
      <c r="CP172" s="2">
        <f>COUNTIF(INDEX('LINE PLAN'!$B$36:$GS$61,0,ROW()-3),CP$3)</f>
        <v>0</v>
      </c>
      <c r="CQ172" s="2">
        <f>COUNTIF(INDEX('LINE PLAN'!$B$36:$GS$61,0,ROW()-3),CQ$3)</f>
        <v>0</v>
      </c>
      <c r="CR172" s="2">
        <f>COUNTIF(INDEX('LINE PLAN'!$B$36:$GS$61,0,ROW()-3),CR$3)</f>
        <v>0</v>
      </c>
      <c r="CS172" s="2">
        <f>COUNTIF(INDEX('LINE PLAN'!$B$36:$GS$61,0,ROW()-3),CS$3)</f>
        <v>0</v>
      </c>
      <c r="CT172" s="2">
        <f>COUNTIF(INDEX('LINE PLAN'!$B$36:$GS$61,0,ROW()-3),CT$3)</f>
        <v>0</v>
      </c>
      <c r="CU172" s="2">
        <f>COUNTIF(INDEX('LINE PLAN'!$B$36:$GS$61,0,ROW()-3),CU$3)</f>
        <v>0</v>
      </c>
      <c r="CV172" s="2">
        <f>COUNTIF(INDEX('LINE PLAN'!$B$36:$GS$61,0,ROW()-3),CV$3)</f>
        <v>0</v>
      </c>
      <c r="CW172" s="2">
        <f>COUNTIF(INDEX('LINE PLAN'!$B$36:$GS$61,0,ROW()-3),CW$3)</f>
        <v>0</v>
      </c>
      <c r="CX172" s="2">
        <f>COUNTIF(INDEX('LINE PLAN'!$B$36:$GS$61,0,ROW()-3),CX$3)</f>
        <v>0</v>
      </c>
      <c r="CY172" s="2">
        <f>COUNTIF(INDEX('LINE PLAN'!$B$36:$GS$61,0,ROW()-3),CY$3)</f>
        <v>0</v>
      </c>
      <c r="CZ172" s="2">
        <f>COUNTIF(INDEX('LINE PLAN'!$B$36:$GS$61,0,ROW()-3),CZ$3)</f>
        <v>0</v>
      </c>
      <c r="DA172" s="2">
        <f>COUNTIF(INDEX('LINE PLAN'!$B$36:$GS$61,0,ROW()-3),DA$3)</f>
        <v>0</v>
      </c>
      <c r="DB172" s="2">
        <f>COUNTIF(INDEX('LINE PLAN'!$B$36:$GS$61,0,ROW()-3),DB$3)</f>
        <v>0</v>
      </c>
      <c r="DC172" s="2">
        <f>COUNTIF(INDEX('LINE PLAN'!$B$36:$GS$61,0,ROW()-3),DC$3)</f>
        <v>0</v>
      </c>
      <c r="DD172" s="2">
        <f>COUNTIF(INDEX('LINE PLAN'!$B$36:$GS$61,0,ROW()-3),DD$3)</f>
        <v>0</v>
      </c>
      <c r="DE172" s="2">
        <f>COUNTIF(INDEX('LINE PLAN'!$B$36:$GS$61,0,ROW()-3),DE$3)</f>
        <v>0</v>
      </c>
      <c r="DF172" s="2">
        <f>COUNTIF(INDEX('LINE PLAN'!$B$36:$GS$61,0,ROW()-3),DF$3)</f>
        <v>0</v>
      </c>
      <c r="DG172" s="2">
        <f>COUNTIF(INDEX('LINE PLAN'!$B$36:$GS$61,0,ROW()-3),DG$3)</f>
        <v>0</v>
      </c>
      <c r="DH172" s="2">
        <f>COUNTIF(INDEX('LINE PLAN'!$B$36:$GS$61,0,ROW()-3),DH$3)</f>
        <v>0</v>
      </c>
      <c r="DI172" s="2">
        <f>COUNTIF(INDEX('LINE PLAN'!$B$36:$GS$61,0,ROW()-3),DI$3)</f>
        <v>0</v>
      </c>
      <c r="DJ172" s="2">
        <f>COUNTIF(INDEX('LINE PLAN'!$B$36:$GS$61,0,ROW()-3),DJ$3)</f>
        <v>0</v>
      </c>
      <c r="DK172" s="2">
        <f>COUNTIF(INDEX('LINE PLAN'!$B$36:$GS$61,0,ROW()-3),DK$3)</f>
        <v>0</v>
      </c>
      <c r="DL172" s="2">
        <f>COUNTIF(INDEX('LINE PLAN'!$B$36:$GS$61,0,ROW()-3),DL$3)</f>
        <v>0</v>
      </c>
      <c r="DM172" s="2">
        <f>COUNTIF(INDEX('LINE PLAN'!$B$36:$GS$61,0,ROW()-3),DM$3)</f>
        <v>0</v>
      </c>
      <c r="DN172" s="2">
        <f>COUNTIF(INDEX('LINE PLAN'!$B$36:$GS$61,0,ROW()-3),DN$3)</f>
        <v>0</v>
      </c>
      <c r="DO172" s="2">
        <f>COUNTIF(INDEX('LINE PLAN'!$B$36:$GS$61,0,ROW()-3),DO$3)</f>
        <v>0</v>
      </c>
      <c r="DP172" s="2">
        <f>COUNTIF(INDEX('LINE PLAN'!$B$36:$GS$61,0,ROW()-3),DP$3)</f>
        <v>0</v>
      </c>
      <c r="DQ172" s="2">
        <f>COUNTIF(INDEX('LINE PLAN'!$B$36:$GS$61,0,ROW()-3),DQ$3)</f>
        <v>0</v>
      </c>
      <c r="DR172" s="2">
        <f>COUNTIF(INDEX('LINE PLAN'!$B$36:$GS$61,0,ROW()-3),DR$3)</f>
        <v>0</v>
      </c>
      <c r="DS172" s="2">
        <f>COUNTIF(INDEX('LINE PLAN'!$B$36:$GS$61,0,ROW()-3),DS$3)</f>
        <v>0</v>
      </c>
      <c r="DT172" s="2">
        <f>COUNTIF(INDEX('LINE PLAN'!$B$36:$GS$61,0,ROW()-3),DT$3)</f>
        <v>0</v>
      </c>
      <c r="DU172" s="2">
        <f>COUNTIF(INDEX('LINE PLAN'!$B$36:$GS$61,0,ROW()-3),DU$3)</f>
        <v>0</v>
      </c>
      <c r="DV172" s="2">
        <f>COUNTIF(INDEX('LINE PLAN'!$B$36:$GS$61,0,ROW()-3),DV$3)</f>
        <v>0</v>
      </c>
    </row>
    <row r="173" spans="1:126">
      <c r="A173" s="505" cm="1">
        <f t="array" ref="A173">INDEX('LINE PLAN'!$B$35:$GS$35,ROW()-3)</f>
        <v>0</v>
      </c>
      <c r="B173" s="2">
        <f>SUMPRODUCT($CA173:$DV173,INDEX('MC MAP'!$DA$5:$EV$30,1,0))</f>
        <v>0</v>
      </c>
      <c r="C173" s="2">
        <f>SUMPRODUCT($CA173:$DV173,INDEX('MC MAP'!$DA$5:$EV$30,2,0))</f>
        <v>0</v>
      </c>
      <c r="D173" s="2">
        <f>SUMPRODUCT($CA173:$DV173,INDEX('MC MAP'!$DA$5:$EV$30,3,0))</f>
        <v>0</v>
      </c>
      <c r="E173" s="2">
        <f>SUMPRODUCT($CA173:$DV173,INDEX('MC MAP'!$DA$5:$EV$30,4,0))</f>
        <v>0</v>
      </c>
      <c r="F173" s="2">
        <f>SUMPRODUCT($CA173:$DV173,INDEX('MC MAP'!$DA$5:$EV$30,5,0))</f>
        <v>0</v>
      </c>
      <c r="G173" s="2">
        <f>SUMPRODUCT($CA173:$DV173,INDEX('MC MAP'!$DA$5:$EV$30,6,0))</f>
        <v>0</v>
      </c>
      <c r="H173" s="2">
        <f>SUMPRODUCT($CA173:$DV173,INDEX('MC MAP'!$DA$5:$EV$30,7,0))</f>
        <v>0</v>
      </c>
      <c r="I173" s="2">
        <f>SUMPRODUCT($CA173:$DV173,INDEX('MC MAP'!$DA$5:$EV$30,8,0))</f>
        <v>0</v>
      </c>
      <c r="J173" s="2">
        <f>SUMPRODUCT($CA173:$DV173,INDEX('MC MAP'!$DA$5:$EV$30,9,0))</f>
        <v>0</v>
      </c>
      <c r="K173" s="2">
        <f>SUMPRODUCT($CA173:$DV173,INDEX('MC MAP'!$DA$5:$EV$30,10,0))</f>
        <v>0</v>
      </c>
      <c r="L173" s="2">
        <f>SUMPRODUCT($CA173:$DV173,INDEX('MC MAP'!$DA$5:$EV$30,11,0))</f>
        <v>0</v>
      </c>
      <c r="M173" s="2">
        <f>SUMPRODUCT($CA173:$DV173,INDEX('MC MAP'!$DA$5:$EV$30,12,0))</f>
        <v>0</v>
      </c>
      <c r="N173" s="2">
        <f>SUMPRODUCT($CA173:$DV173,INDEX('MC MAP'!$DA$5:$EV$30,13,0))</f>
        <v>0</v>
      </c>
      <c r="O173" s="2">
        <f>SUMPRODUCT($CA173:$DV173,INDEX('MC MAP'!$DA$5:$EV$30,14,0))</f>
        <v>0</v>
      </c>
      <c r="P173" s="2">
        <f>SUMPRODUCT($CA173:$DV173,INDEX('MC MAP'!$DA$5:$EV$30,15,0))</f>
        <v>0</v>
      </c>
      <c r="Q173" s="2">
        <f>SUMPRODUCT($CA173:$DV173,INDEX('MC MAP'!$DA$5:$EV$30,16,0))</f>
        <v>0</v>
      </c>
      <c r="R173" s="2">
        <f>SUMPRODUCT($CA173:$DV173,INDEX('MC MAP'!$DA$5:$EV$30,17,0))</f>
        <v>0</v>
      </c>
      <c r="S173" s="2">
        <f>SUMPRODUCT($CA173:$DV173,INDEX('MC MAP'!$DA$5:$EV$30,18,0))</f>
        <v>0</v>
      </c>
      <c r="T173" s="2">
        <f>SUMPRODUCT($CA173:$DV173,INDEX('MC MAP'!$DA$5:$EV$30,19,0))</f>
        <v>0</v>
      </c>
      <c r="U173" s="2">
        <f>SUMPRODUCT($CA173:$DV173,INDEX('MC MAP'!$DA$5:$EV$30,20,0))</f>
        <v>0</v>
      </c>
      <c r="V173" s="2">
        <f>SUMPRODUCT($CA173:$DV173,INDEX('MC MAP'!$DA$5:$EV$30,21,0))</f>
        <v>0</v>
      </c>
      <c r="W173" s="2">
        <f>SUMPRODUCT($CA173:$DV173,INDEX('MC MAP'!$DA$5:$EV$30,22,0))</f>
        <v>0</v>
      </c>
      <c r="X173" s="2">
        <f>SUMPRODUCT($CA173:$DV173,INDEX('MC MAP'!$DA$5:$EV$30,23,0))</f>
        <v>0</v>
      </c>
      <c r="Y173" s="2">
        <f>SUMPRODUCT($CA173:$DV173,INDEX('MC MAP'!$DA$5:$EV$30,24,0))</f>
        <v>0</v>
      </c>
      <c r="Z173" s="2">
        <f>SUMPRODUCT($CA173:$DV173,INDEX('MC MAP'!$DA$5:$EV$30,25,0))</f>
        <v>0</v>
      </c>
      <c r="AA173" s="2">
        <f>SUMPRODUCT($CA173:$DV173,INDEX('MC MAP'!$DA$5:$EV$30,26,0))</f>
        <v>0</v>
      </c>
      <c r="AB173" s="2">
        <f>SUM($B173:$AA173)</f>
        <v>0</v>
      </c>
      <c r="AC173" s="2">
        <f>SUM($CA173:$DV173)+$AW173</f>
        <v>0</v>
      </c>
      <c r="AW173" s="2">
        <f>IF($A173=0,0,COUNTIF(INDEX('LINE PLAN'!$B$36:$GS$61,0,ROW()-3),"THERMAL - NOT SPECIFIED"))</f>
        <v>0</v>
      </c>
      <c r="AX173" s="506" cm="1">
        <f t="array" ref="AX173">IF(OR($AB173=0,UPPER($BS173)&lt;&gt;"Y"),0,SUMPRODUCT(--($B173:$AA173&gt;$B$205:$AA$205)))</f>
        <v>0</v>
      </c>
      <c r="AY173" s="507">
        <f>$A173</f>
        <v>0</v>
      </c>
      <c r="AZ173" s="2">
        <f>$AB173</f>
        <v>0</v>
      </c>
      <c r="BA173" s="2">
        <f>'MC MASTER'!$C$29</f>
        <v>920</v>
      </c>
      <c r="BQ173" s="509">
        <f>$A173</f>
        <v>0</v>
      </c>
      <c r="BR173" s="15" t="str">
        <f>TEXT($A173,"ddd")</f>
        <v>Sat</v>
      </c>
      <c r="BS173" s="547" t="str">
        <f>IF($A173=0,"",IF(WEEKDAY($A173,2)=7,"N","Y"))</f>
        <v/>
      </c>
      <c r="BT173" s="15">
        <f>IF(UPPER($BS173)="Y",$AB173,0)</f>
        <v>0</v>
      </c>
      <c r="CA173" s="2">
        <f>COUNTIF(INDEX('LINE PLAN'!$B$36:$GS$61,0,ROW()-3),CA$3)</f>
        <v>0</v>
      </c>
      <c r="CB173" s="2">
        <f>COUNTIF(INDEX('LINE PLAN'!$B$36:$GS$61,0,ROW()-3),CB$3)</f>
        <v>0</v>
      </c>
      <c r="CC173" s="2">
        <f>COUNTIF(INDEX('LINE PLAN'!$B$36:$GS$61,0,ROW()-3),CC$3)</f>
        <v>0</v>
      </c>
      <c r="CD173" s="2">
        <f>COUNTIF(INDEX('LINE PLAN'!$B$36:$GS$61,0,ROW()-3),CD$3)</f>
        <v>0</v>
      </c>
      <c r="CE173" s="2">
        <f>COUNTIF(INDEX('LINE PLAN'!$B$36:$GS$61,0,ROW()-3),CE$3)</f>
        <v>0</v>
      </c>
      <c r="CF173" s="2">
        <f>COUNTIF(INDEX('LINE PLAN'!$B$36:$GS$61,0,ROW()-3),CF$3)</f>
        <v>0</v>
      </c>
      <c r="CG173" s="2">
        <f>COUNTIF(INDEX('LINE PLAN'!$B$36:$GS$61,0,ROW()-3),CG$3)</f>
        <v>0</v>
      </c>
      <c r="CH173" s="2">
        <f>COUNTIF(INDEX('LINE PLAN'!$B$36:$GS$61,0,ROW()-3),CH$3)</f>
        <v>0</v>
      </c>
      <c r="CI173" s="2">
        <f>COUNTIF(INDEX('LINE PLAN'!$B$36:$GS$61,0,ROW()-3),CI$3)</f>
        <v>0</v>
      </c>
      <c r="CJ173" s="2">
        <f>COUNTIF(INDEX('LINE PLAN'!$B$36:$GS$61,0,ROW()-3),CJ$3)</f>
        <v>0</v>
      </c>
      <c r="CK173" s="2">
        <f>COUNTIF(INDEX('LINE PLAN'!$B$36:$GS$61,0,ROW()-3),CK$3)</f>
        <v>0</v>
      </c>
      <c r="CL173" s="2">
        <f>COUNTIF(INDEX('LINE PLAN'!$B$36:$GS$61,0,ROW()-3),CL$3)</f>
        <v>0</v>
      </c>
      <c r="CM173" s="2">
        <f>COUNTIF(INDEX('LINE PLAN'!$B$36:$GS$61,0,ROW()-3),CM$3)</f>
        <v>0</v>
      </c>
      <c r="CN173" s="2">
        <f>COUNTIF(INDEX('LINE PLAN'!$B$36:$GS$61,0,ROW()-3),CN$3)</f>
        <v>0</v>
      </c>
      <c r="CO173" s="2">
        <f>COUNTIF(INDEX('LINE PLAN'!$B$36:$GS$61,0,ROW()-3),CO$3)</f>
        <v>0</v>
      </c>
      <c r="CP173" s="2">
        <f>COUNTIF(INDEX('LINE PLAN'!$B$36:$GS$61,0,ROW()-3),CP$3)</f>
        <v>0</v>
      </c>
      <c r="CQ173" s="2">
        <f>COUNTIF(INDEX('LINE PLAN'!$B$36:$GS$61,0,ROW()-3),CQ$3)</f>
        <v>0</v>
      </c>
      <c r="CR173" s="2">
        <f>COUNTIF(INDEX('LINE PLAN'!$B$36:$GS$61,0,ROW()-3),CR$3)</f>
        <v>0</v>
      </c>
      <c r="CS173" s="2">
        <f>COUNTIF(INDEX('LINE PLAN'!$B$36:$GS$61,0,ROW()-3),CS$3)</f>
        <v>0</v>
      </c>
      <c r="CT173" s="2">
        <f>COUNTIF(INDEX('LINE PLAN'!$B$36:$GS$61,0,ROW()-3),CT$3)</f>
        <v>0</v>
      </c>
      <c r="CU173" s="2">
        <f>COUNTIF(INDEX('LINE PLAN'!$B$36:$GS$61,0,ROW()-3),CU$3)</f>
        <v>0</v>
      </c>
      <c r="CV173" s="2">
        <f>COUNTIF(INDEX('LINE PLAN'!$B$36:$GS$61,0,ROW()-3),CV$3)</f>
        <v>0</v>
      </c>
      <c r="CW173" s="2">
        <f>COUNTIF(INDEX('LINE PLAN'!$B$36:$GS$61,0,ROW()-3),CW$3)</f>
        <v>0</v>
      </c>
      <c r="CX173" s="2">
        <f>COUNTIF(INDEX('LINE PLAN'!$B$36:$GS$61,0,ROW()-3),CX$3)</f>
        <v>0</v>
      </c>
      <c r="CY173" s="2">
        <f>COUNTIF(INDEX('LINE PLAN'!$B$36:$GS$61,0,ROW()-3),CY$3)</f>
        <v>0</v>
      </c>
      <c r="CZ173" s="2">
        <f>COUNTIF(INDEX('LINE PLAN'!$B$36:$GS$61,0,ROW()-3),CZ$3)</f>
        <v>0</v>
      </c>
      <c r="DA173" s="2">
        <f>COUNTIF(INDEX('LINE PLAN'!$B$36:$GS$61,0,ROW()-3),DA$3)</f>
        <v>0</v>
      </c>
      <c r="DB173" s="2">
        <f>COUNTIF(INDEX('LINE PLAN'!$B$36:$GS$61,0,ROW()-3),DB$3)</f>
        <v>0</v>
      </c>
      <c r="DC173" s="2">
        <f>COUNTIF(INDEX('LINE PLAN'!$B$36:$GS$61,0,ROW()-3),DC$3)</f>
        <v>0</v>
      </c>
      <c r="DD173" s="2">
        <f>COUNTIF(INDEX('LINE PLAN'!$B$36:$GS$61,0,ROW()-3),DD$3)</f>
        <v>0</v>
      </c>
      <c r="DE173" s="2">
        <f>COUNTIF(INDEX('LINE PLAN'!$B$36:$GS$61,0,ROW()-3),DE$3)</f>
        <v>0</v>
      </c>
      <c r="DF173" s="2">
        <f>COUNTIF(INDEX('LINE PLAN'!$B$36:$GS$61,0,ROW()-3),DF$3)</f>
        <v>0</v>
      </c>
      <c r="DG173" s="2">
        <f>COUNTIF(INDEX('LINE PLAN'!$B$36:$GS$61,0,ROW()-3),DG$3)</f>
        <v>0</v>
      </c>
      <c r="DH173" s="2">
        <f>COUNTIF(INDEX('LINE PLAN'!$B$36:$GS$61,0,ROW()-3),DH$3)</f>
        <v>0</v>
      </c>
      <c r="DI173" s="2">
        <f>COUNTIF(INDEX('LINE PLAN'!$B$36:$GS$61,0,ROW()-3),DI$3)</f>
        <v>0</v>
      </c>
      <c r="DJ173" s="2">
        <f>COUNTIF(INDEX('LINE PLAN'!$B$36:$GS$61,0,ROW()-3),DJ$3)</f>
        <v>0</v>
      </c>
      <c r="DK173" s="2">
        <f>COUNTIF(INDEX('LINE PLAN'!$B$36:$GS$61,0,ROW()-3),DK$3)</f>
        <v>0</v>
      </c>
      <c r="DL173" s="2">
        <f>COUNTIF(INDEX('LINE PLAN'!$B$36:$GS$61,0,ROW()-3),DL$3)</f>
        <v>0</v>
      </c>
      <c r="DM173" s="2">
        <f>COUNTIF(INDEX('LINE PLAN'!$B$36:$GS$61,0,ROW()-3),DM$3)</f>
        <v>0</v>
      </c>
      <c r="DN173" s="2">
        <f>COUNTIF(INDEX('LINE PLAN'!$B$36:$GS$61,0,ROW()-3),DN$3)</f>
        <v>0</v>
      </c>
      <c r="DO173" s="2">
        <f>COUNTIF(INDEX('LINE PLAN'!$B$36:$GS$61,0,ROW()-3),DO$3)</f>
        <v>0</v>
      </c>
      <c r="DP173" s="2">
        <f>COUNTIF(INDEX('LINE PLAN'!$B$36:$GS$61,0,ROW()-3),DP$3)</f>
        <v>0</v>
      </c>
      <c r="DQ173" s="2">
        <f>COUNTIF(INDEX('LINE PLAN'!$B$36:$GS$61,0,ROW()-3),DQ$3)</f>
        <v>0</v>
      </c>
      <c r="DR173" s="2">
        <f>COUNTIF(INDEX('LINE PLAN'!$B$36:$GS$61,0,ROW()-3),DR$3)</f>
        <v>0</v>
      </c>
      <c r="DS173" s="2">
        <f>COUNTIF(INDEX('LINE PLAN'!$B$36:$GS$61,0,ROW()-3),DS$3)</f>
        <v>0</v>
      </c>
      <c r="DT173" s="2">
        <f>COUNTIF(INDEX('LINE PLAN'!$B$36:$GS$61,0,ROW()-3),DT$3)</f>
        <v>0</v>
      </c>
      <c r="DU173" s="2">
        <f>COUNTIF(INDEX('LINE PLAN'!$B$36:$GS$61,0,ROW()-3),DU$3)</f>
        <v>0</v>
      </c>
      <c r="DV173" s="2">
        <f>COUNTIF(INDEX('LINE PLAN'!$B$36:$GS$61,0,ROW()-3),DV$3)</f>
        <v>0</v>
      </c>
    </row>
    <row r="174" spans="1:126">
      <c r="A174" s="505" cm="1">
        <f t="array" ref="A174">INDEX('LINE PLAN'!$B$35:$GS$35,ROW()-3)</f>
        <v>0</v>
      </c>
      <c r="B174" s="2">
        <f>SUMPRODUCT($CA174:$DV174,INDEX('MC MAP'!$DA$5:$EV$30,1,0))</f>
        <v>0</v>
      </c>
      <c r="C174" s="2">
        <f>SUMPRODUCT($CA174:$DV174,INDEX('MC MAP'!$DA$5:$EV$30,2,0))</f>
        <v>0</v>
      </c>
      <c r="D174" s="2">
        <f>SUMPRODUCT($CA174:$DV174,INDEX('MC MAP'!$DA$5:$EV$30,3,0))</f>
        <v>0</v>
      </c>
      <c r="E174" s="2">
        <f>SUMPRODUCT($CA174:$DV174,INDEX('MC MAP'!$DA$5:$EV$30,4,0))</f>
        <v>0</v>
      </c>
      <c r="F174" s="2">
        <f>SUMPRODUCT($CA174:$DV174,INDEX('MC MAP'!$DA$5:$EV$30,5,0))</f>
        <v>0</v>
      </c>
      <c r="G174" s="2">
        <f>SUMPRODUCT($CA174:$DV174,INDEX('MC MAP'!$DA$5:$EV$30,6,0))</f>
        <v>0</v>
      </c>
      <c r="H174" s="2">
        <f>SUMPRODUCT($CA174:$DV174,INDEX('MC MAP'!$DA$5:$EV$30,7,0))</f>
        <v>0</v>
      </c>
      <c r="I174" s="2">
        <f>SUMPRODUCT($CA174:$DV174,INDEX('MC MAP'!$DA$5:$EV$30,8,0))</f>
        <v>0</v>
      </c>
      <c r="J174" s="2">
        <f>SUMPRODUCT($CA174:$DV174,INDEX('MC MAP'!$DA$5:$EV$30,9,0))</f>
        <v>0</v>
      </c>
      <c r="K174" s="2">
        <f>SUMPRODUCT($CA174:$DV174,INDEX('MC MAP'!$DA$5:$EV$30,10,0))</f>
        <v>0</v>
      </c>
      <c r="L174" s="2">
        <f>SUMPRODUCT($CA174:$DV174,INDEX('MC MAP'!$DA$5:$EV$30,11,0))</f>
        <v>0</v>
      </c>
      <c r="M174" s="2">
        <f>SUMPRODUCT($CA174:$DV174,INDEX('MC MAP'!$DA$5:$EV$30,12,0))</f>
        <v>0</v>
      </c>
      <c r="N174" s="2">
        <f>SUMPRODUCT($CA174:$DV174,INDEX('MC MAP'!$DA$5:$EV$30,13,0))</f>
        <v>0</v>
      </c>
      <c r="O174" s="2">
        <f>SUMPRODUCT($CA174:$DV174,INDEX('MC MAP'!$DA$5:$EV$30,14,0))</f>
        <v>0</v>
      </c>
      <c r="P174" s="2">
        <f>SUMPRODUCT($CA174:$DV174,INDEX('MC MAP'!$DA$5:$EV$30,15,0))</f>
        <v>0</v>
      </c>
      <c r="Q174" s="2">
        <f>SUMPRODUCT($CA174:$DV174,INDEX('MC MAP'!$DA$5:$EV$30,16,0))</f>
        <v>0</v>
      </c>
      <c r="R174" s="2">
        <f>SUMPRODUCT($CA174:$DV174,INDEX('MC MAP'!$DA$5:$EV$30,17,0))</f>
        <v>0</v>
      </c>
      <c r="S174" s="2">
        <f>SUMPRODUCT($CA174:$DV174,INDEX('MC MAP'!$DA$5:$EV$30,18,0))</f>
        <v>0</v>
      </c>
      <c r="T174" s="2">
        <f>SUMPRODUCT($CA174:$DV174,INDEX('MC MAP'!$DA$5:$EV$30,19,0))</f>
        <v>0</v>
      </c>
      <c r="U174" s="2">
        <f>SUMPRODUCT($CA174:$DV174,INDEX('MC MAP'!$DA$5:$EV$30,20,0))</f>
        <v>0</v>
      </c>
      <c r="V174" s="2">
        <f>SUMPRODUCT($CA174:$DV174,INDEX('MC MAP'!$DA$5:$EV$30,21,0))</f>
        <v>0</v>
      </c>
      <c r="W174" s="2">
        <f>SUMPRODUCT($CA174:$DV174,INDEX('MC MAP'!$DA$5:$EV$30,22,0))</f>
        <v>0</v>
      </c>
      <c r="X174" s="2">
        <f>SUMPRODUCT($CA174:$DV174,INDEX('MC MAP'!$DA$5:$EV$30,23,0))</f>
        <v>0</v>
      </c>
      <c r="Y174" s="2">
        <f>SUMPRODUCT($CA174:$DV174,INDEX('MC MAP'!$DA$5:$EV$30,24,0))</f>
        <v>0</v>
      </c>
      <c r="Z174" s="2">
        <f>SUMPRODUCT($CA174:$DV174,INDEX('MC MAP'!$DA$5:$EV$30,25,0))</f>
        <v>0</v>
      </c>
      <c r="AA174" s="2">
        <f>SUMPRODUCT($CA174:$DV174,INDEX('MC MAP'!$DA$5:$EV$30,26,0))</f>
        <v>0</v>
      </c>
      <c r="AB174" s="2">
        <f>SUM($B174:$AA174)</f>
        <v>0</v>
      </c>
      <c r="AC174" s="2">
        <f>SUM($CA174:$DV174)+$AW174</f>
        <v>0</v>
      </c>
      <c r="AW174" s="2">
        <f>IF($A174=0,0,COUNTIF(INDEX('LINE PLAN'!$B$36:$GS$61,0,ROW()-3),"THERMAL - NOT SPECIFIED"))</f>
        <v>0</v>
      </c>
      <c r="AX174" s="506" cm="1">
        <f t="array" ref="AX174">IF(OR($AB174=0,UPPER($BS174)&lt;&gt;"Y"),0,SUMPRODUCT(--($B174:$AA174&gt;$B$205:$AA$205)))</f>
        <v>0</v>
      </c>
      <c r="AY174" s="507">
        <f>$A174</f>
        <v>0</v>
      </c>
      <c r="AZ174" s="2">
        <f>$AB174</f>
        <v>0</v>
      </c>
      <c r="BA174" s="2">
        <f>'MC MASTER'!$C$29</f>
        <v>920</v>
      </c>
      <c r="BQ174" s="509">
        <f>$A174</f>
        <v>0</v>
      </c>
      <c r="BR174" s="15" t="str">
        <f>TEXT($A174,"ddd")</f>
        <v>Sat</v>
      </c>
      <c r="BS174" s="547" t="str">
        <f>IF($A174=0,"",IF(WEEKDAY($A174,2)=7,"N","Y"))</f>
        <v/>
      </c>
      <c r="BT174" s="15">
        <f>IF(UPPER($BS174)="Y",$AB174,0)</f>
        <v>0</v>
      </c>
      <c r="CA174" s="2">
        <f>COUNTIF(INDEX('LINE PLAN'!$B$36:$GS$61,0,ROW()-3),CA$3)</f>
        <v>0</v>
      </c>
      <c r="CB174" s="2">
        <f>COUNTIF(INDEX('LINE PLAN'!$B$36:$GS$61,0,ROW()-3),CB$3)</f>
        <v>0</v>
      </c>
      <c r="CC174" s="2">
        <f>COUNTIF(INDEX('LINE PLAN'!$B$36:$GS$61,0,ROW()-3),CC$3)</f>
        <v>0</v>
      </c>
      <c r="CD174" s="2">
        <f>COUNTIF(INDEX('LINE PLAN'!$B$36:$GS$61,0,ROW()-3),CD$3)</f>
        <v>0</v>
      </c>
      <c r="CE174" s="2">
        <f>COUNTIF(INDEX('LINE PLAN'!$B$36:$GS$61,0,ROW()-3),CE$3)</f>
        <v>0</v>
      </c>
      <c r="CF174" s="2">
        <f>COUNTIF(INDEX('LINE PLAN'!$B$36:$GS$61,0,ROW()-3),CF$3)</f>
        <v>0</v>
      </c>
      <c r="CG174" s="2">
        <f>COUNTIF(INDEX('LINE PLAN'!$B$36:$GS$61,0,ROW()-3),CG$3)</f>
        <v>0</v>
      </c>
      <c r="CH174" s="2">
        <f>COUNTIF(INDEX('LINE PLAN'!$B$36:$GS$61,0,ROW()-3),CH$3)</f>
        <v>0</v>
      </c>
      <c r="CI174" s="2">
        <f>COUNTIF(INDEX('LINE PLAN'!$B$36:$GS$61,0,ROW()-3),CI$3)</f>
        <v>0</v>
      </c>
      <c r="CJ174" s="2">
        <f>COUNTIF(INDEX('LINE PLAN'!$B$36:$GS$61,0,ROW()-3),CJ$3)</f>
        <v>0</v>
      </c>
      <c r="CK174" s="2">
        <f>COUNTIF(INDEX('LINE PLAN'!$B$36:$GS$61,0,ROW()-3),CK$3)</f>
        <v>0</v>
      </c>
      <c r="CL174" s="2">
        <f>COUNTIF(INDEX('LINE PLAN'!$B$36:$GS$61,0,ROW()-3),CL$3)</f>
        <v>0</v>
      </c>
      <c r="CM174" s="2">
        <f>COUNTIF(INDEX('LINE PLAN'!$B$36:$GS$61,0,ROW()-3),CM$3)</f>
        <v>0</v>
      </c>
      <c r="CN174" s="2">
        <f>COUNTIF(INDEX('LINE PLAN'!$B$36:$GS$61,0,ROW()-3),CN$3)</f>
        <v>0</v>
      </c>
      <c r="CO174" s="2">
        <f>COUNTIF(INDEX('LINE PLAN'!$B$36:$GS$61,0,ROW()-3),CO$3)</f>
        <v>0</v>
      </c>
      <c r="CP174" s="2">
        <f>COUNTIF(INDEX('LINE PLAN'!$B$36:$GS$61,0,ROW()-3),CP$3)</f>
        <v>0</v>
      </c>
      <c r="CQ174" s="2">
        <f>COUNTIF(INDEX('LINE PLAN'!$B$36:$GS$61,0,ROW()-3),CQ$3)</f>
        <v>0</v>
      </c>
      <c r="CR174" s="2">
        <f>COUNTIF(INDEX('LINE PLAN'!$B$36:$GS$61,0,ROW()-3),CR$3)</f>
        <v>0</v>
      </c>
      <c r="CS174" s="2">
        <f>COUNTIF(INDEX('LINE PLAN'!$B$36:$GS$61,0,ROW()-3),CS$3)</f>
        <v>0</v>
      </c>
      <c r="CT174" s="2">
        <f>COUNTIF(INDEX('LINE PLAN'!$B$36:$GS$61,0,ROW()-3),CT$3)</f>
        <v>0</v>
      </c>
      <c r="CU174" s="2">
        <f>COUNTIF(INDEX('LINE PLAN'!$B$36:$GS$61,0,ROW()-3),CU$3)</f>
        <v>0</v>
      </c>
      <c r="CV174" s="2">
        <f>COUNTIF(INDEX('LINE PLAN'!$B$36:$GS$61,0,ROW()-3),CV$3)</f>
        <v>0</v>
      </c>
      <c r="CW174" s="2">
        <f>COUNTIF(INDEX('LINE PLAN'!$B$36:$GS$61,0,ROW()-3),CW$3)</f>
        <v>0</v>
      </c>
      <c r="CX174" s="2">
        <f>COUNTIF(INDEX('LINE PLAN'!$B$36:$GS$61,0,ROW()-3),CX$3)</f>
        <v>0</v>
      </c>
      <c r="CY174" s="2">
        <f>COUNTIF(INDEX('LINE PLAN'!$B$36:$GS$61,0,ROW()-3),CY$3)</f>
        <v>0</v>
      </c>
      <c r="CZ174" s="2">
        <f>COUNTIF(INDEX('LINE PLAN'!$B$36:$GS$61,0,ROW()-3),CZ$3)</f>
        <v>0</v>
      </c>
      <c r="DA174" s="2">
        <f>COUNTIF(INDEX('LINE PLAN'!$B$36:$GS$61,0,ROW()-3),DA$3)</f>
        <v>0</v>
      </c>
      <c r="DB174" s="2">
        <f>COUNTIF(INDEX('LINE PLAN'!$B$36:$GS$61,0,ROW()-3),DB$3)</f>
        <v>0</v>
      </c>
      <c r="DC174" s="2">
        <f>COUNTIF(INDEX('LINE PLAN'!$B$36:$GS$61,0,ROW()-3),DC$3)</f>
        <v>0</v>
      </c>
      <c r="DD174" s="2">
        <f>COUNTIF(INDEX('LINE PLAN'!$B$36:$GS$61,0,ROW()-3),DD$3)</f>
        <v>0</v>
      </c>
      <c r="DE174" s="2">
        <f>COUNTIF(INDEX('LINE PLAN'!$B$36:$GS$61,0,ROW()-3),DE$3)</f>
        <v>0</v>
      </c>
      <c r="DF174" s="2">
        <f>COUNTIF(INDEX('LINE PLAN'!$B$36:$GS$61,0,ROW()-3),DF$3)</f>
        <v>0</v>
      </c>
      <c r="DG174" s="2">
        <f>COUNTIF(INDEX('LINE PLAN'!$B$36:$GS$61,0,ROW()-3),DG$3)</f>
        <v>0</v>
      </c>
      <c r="DH174" s="2">
        <f>COUNTIF(INDEX('LINE PLAN'!$B$36:$GS$61,0,ROW()-3),DH$3)</f>
        <v>0</v>
      </c>
      <c r="DI174" s="2">
        <f>COUNTIF(INDEX('LINE PLAN'!$B$36:$GS$61,0,ROW()-3),DI$3)</f>
        <v>0</v>
      </c>
      <c r="DJ174" s="2">
        <f>COUNTIF(INDEX('LINE PLAN'!$B$36:$GS$61,0,ROW()-3),DJ$3)</f>
        <v>0</v>
      </c>
      <c r="DK174" s="2">
        <f>COUNTIF(INDEX('LINE PLAN'!$B$36:$GS$61,0,ROW()-3),DK$3)</f>
        <v>0</v>
      </c>
      <c r="DL174" s="2">
        <f>COUNTIF(INDEX('LINE PLAN'!$B$36:$GS$61,0,ROW()-3),DL$3)</f>
        <v>0</v>
      </c>
      <c r="DM174" s="2">
        <f>COUNTIF(INDEX('LINE PLAN'!$B$36:$GS$61,0,ROW()-3),DM$3)</f>
        <v>0</v>
      </c>
      <c r="DN174" s="2">
        <f>COUNTIF(INDEX('LINE PLAN'!$B$36:$GS$61,0,ROW()-3),DN$3)</f>
        <v>0</v>
      </c>
      <c r="DO174" s="2">
        <f>COUNTIF(INDEX('LINE PLAN'!$B$36:$GS$61,0,ROW()-3),DO$3)</f>
        <v>0</v>
      </c>
      <c r="DP174" s="2">
        <f>COUNTIF(INDEX('LINE PLAN'!$B$36:$GS$61,0,ROW()-3),DP$3)</f>
        <v>0</v>
      </c>
      <c r="DQ174" s="2">
        <f>COUNTIF(INDEX('LINE PLAN'!$B$36:$GS$61,0,ROW()-3),DQ$3)</f>
        <v>0</v>
      </c>
      <c r="DR174" s="2">
        <f>COUNTIF(INDEX('LINE PLAN'!$B$36:$GS$61,0,ROW()-3),DR$3)</f>
        <v>0</v>
      </c>
      <c r="DS174" s="2">
        <f>COUNTIF(INDEX('LINE PLAN'!$B$36:$GS$61,0,ROW()-3),DS$3)</f>
        <v>0</v>
      </c>
      <c r="DT174" s="2">
        <f>COUNTIF(INDEX('LINE PLAN'!$B$36:$GS$61,0,ROW()-3),DT$3)</f>
        <v>0</v>
      </c>
      <c r="DU174" s="2">
        <f>COUNTIF(INDEX('LINE PLAN'!$B$36:$GS$61,0,ROW()-3),DU$3)</f>
        <v>0</v>
      </c>
      <c r="DV174" s="2">
        <f>COUNTIF(INDEX('LINE PLAN'!$B$36:$GS$61,0,ROW()-3),DV$3)</f>
        <v>0</v>
      </c>
    </row>
    <row r="175" spans="1:126">
      <c r="A175" s="505" cm="1">
        <f t="array" ref="A175">INDEX('LINE PLAN'!$B$35:$GS$35,ROW()-3)</f>
        <v>0</v>
      </c>
      <c r="B175" s="2">
        <f>SUMPRODUCT($CA175:$DV175,INDEX('MC MAP'!$DA$5:$EV$30,1,0))</f>
        <v>0</v>
      </c>
      <c r="C175" s="2">
        <f>SUMPRODUCT($CA175:$DV175,INDEX('MC MAP'!$DA$5:$EV$30,2,0))</f>
        <v>0</v>
      </c>
      <c r="D175" s="2">
        <f>SUMPRODUCT($CA175:$DV175,INDEX('MC MAP'!$DA$5:$EV$30,3,0))</f>
        <v>0</v>
      </c>
      <c r="E175" s="2">
        <f>SUMPRODUCT($CA175:$DV175,INDEX('MC MAP'!$DA$5:$EV$30,4,0))</f>
        <v>0</v>
      </c>
      <c r="F175" s="2">
        <f>SUMPRODUCT($CA175:$DV175,INDEX('MC MAP'!$DA$5:$EV$30,5,0))</f>
        <v>0</v>
      </c>
      <c r="G175" s="2">
        <f>SUMPRODUCT($CA175:$DV175,INDEX('MC MAP'!$DA$5:$EV$30,6,0))</f>
        <v>0</v>
      </c>
      <c r="H175" s="2">
        <f>SUMPRODUCT($CA175:$DV175,INDEX('MC MAP'!$DA$5:$EV$30,7,0))</f>
        <v>0</v>
      </c>
      <c r="I175" s="2">
        <f>SUMPRODUCT($CA175:$DV175,INDEX('MC MAP'!$DA$5:$EV$30,8,0))</f>
        <v>0</v>
      </c>
      <c r="J175" s="2">
        <f>SUMPRODUCT($CA175:$DV175,INDEX('MC MAP'!$DA$5:$EV$30,9,0))</f>
        <v>0</v>
      </c>
      <c r="K175" s="2">
        <f>SUMPRODUCT($CA175:$DV175,INDEX('MC MAP'!$DA$5:$EV$30,10,0))</f>
        <v>0</v>
      </c>
      <c r="L175" s="2">
        <f>SUMPRODUCT($CA175:$DV175,INDEX('MC MAP'!$DA$5:$EV$30,11,0))</f>
        <v>0</v>
      </c>
      <c r="M175" s="2">
        <f>SUMPRODUCT($CA175:$DV175,INDEX('MC MAP'!$DA$5:$EV$30,12,0))</f>
        <v>0</v>
      </c>
      <c r="N175" s="2">
        <f>SUMPRODUCT($CA175:$DV175,INDEX('MC MAP'!$DA$5:$EV$30,13,0))</f>
        <v>0</v>
      </c>
      <c r="O175" s="2">
        <f>SUMPRODUCT($CA175:$DV175,INDEX('MC MAP'!$DA$5:$EV$30,14,0))</f>
        <v>0</v>
      </c>
      <c r="P175" s="2">
        <f>SUMPRODUCT($CA175:$DV175,INDEX('MC MAP'!$DA$5:$EV$30,15,0))</f>
        <v>0</v>
      </c>
      <c r="Q175" s="2">
        <f>SUMPRODUCT($CA175:$DV175,INDEX('MC MAP'!$DA$5:$EV$30,16,0))</f>
        <v>0</v>
      </c>
      <c r="R175" s="2">
        <f>SUMPRODUCT($CA175:$DV175,INDEX('MC MAP'!$DA$5:$EV$30,17,0))</f>
        <v>0</v>
      </c>
      <c r="S175" s="2">
        <f>SUMPRODUCT($CA175:$DV175,INDEX('MC MAP'!$DA$5:$EV$30,18,0))</f>
        <v>0</v>
      </c>
      <c r="T175" s="2">
        <f>SUMPRODUCT($CA175:$DV175,INDEX('MC MAP'!$DA$5:$EV$30,19,0))</f>
        <v>0</v>
      </c>
      <c r="U175" s="2">
        <f>SUMPRODUCT($CA175:$DV175,INDEX('MC MAP'!$DA$5:$EV$30,20,0))</f>
        <v>0</v>
      </c>
      <c r="V175" s="2">
        <f>SUMPRODUCT($CA175:$DV175,INDEX('MC MAP'!$DA$5:$EV$30,21,0))</f>
        <v>0</v>
      </c>
      <c r="W175" s="2">
        <f>SUMPRODUCT($CA175:$DV175,INDEX('MC MAP'!$DA$5:$EV$30,22,0))</f>
        <v>0</v>
      </c>
      <c r="X175" s="2">
        <f>SUMPRODUCT($CA175:$DV175,INDEX('MC MAP'!$DA$5:$EV$30,23,0))</f>
        <v>0</v>
      </c>
      <c r="Y175" s="2">
        <f>SUMPRODUCT($CA175:$DV175,INDEX('MC MAP'!$DA$5:$EV$30,24,0))</f>
        <v>0</v>
      </c>
      <c r="Z175" s="2">
        <f>SUMPRODUCT($CA175:$DV175,INDEX('MC MAP'!$DA$5:$EV$30,25,0))</f>
        <v>0</v>
      </c>
      <c r="AA175" s="2">
        <f>SUMPRODUCT($CA175:$DV175,INDEX('MC MAP'!$DA$5:$EV$30,26,0))</f>
        <v>0</v>
      </c>
      <c r="AB175" s="2">
        <f>SUM($B175:$AA175)</f>
        <v>0</v>
      </c>
      <c r="AC175" s="2">
        <f>SUM($CA175:$DV175)+$AW175</f>
        <v>0</v>
      </c>
      <c r="AW175" s="2">
        <f>IF($A175=0,0,COUNTIF(INDEX('LINE PLAN'!$B$36:$GS$61,0,ROW()-3),"THERMAL - NOT SPECIFIED"))</f>
        <v>0</v>
      </c>
      <c r="AX175" s="506" cm="1">
        <f t="array" ref="AX175">IF(OR($AB175=0,UPPER($BS175)&lt;&gt;"Y"),0,SUMPRODUCT(--($B175:$AA175&gt;$B$205:$AA$205)))</f>
        <v>0</v>
      </c>
      <c r="AY175" s="507">
        <f>$A175</f>
        <v>0</v>
      </c>
      <c r="AZ175" s="2">
        <f>$AB175</f>
        <v>0</v>
      </c>
      <c r="BA175" s="2">
        <f>'MC MASTER'!$C$29</f>
        <v>920</v>
      </c>
      <c r="BQ175" s="509">
        <f>$A175</f>
        <v>0</v>
      </c>
      <c r="BR175" s="15" t="str">
        <f>TEXT($A175,"ddd")</f>
        <v>Sat</v>
      </c>
      <c r="BS175" s="547" t="str">
        <f>IF($A175=0,"",IF(WEEKDAY($A175,2)=7,"N","Y"))</f>
        <v/>
      </c>
      <c r="BT175" s="15">
        <f>IF(UPPER($BS175)="Y",$AB175,0)</f>
        <v>0</v>
      </c>
      <c r="CA175" s="2">
        <f>COUNTIF(INDEX('LINE PLAN'!$B$36:$GS$61,0,ROW()-3),CA$3)</f>
        <v>0</v>
      </c>
      <c r="CB175" s="2">
        <f>COUNTIF(INDEX('LINE PLAN'!$B$36:$GS$61,0,ROW()-3),CB$3)</f>
        <v>0</v>
      </c>
      <c r="CC175" s="2">
        <f>COUNTIF(INDEX('LINE PLAN'!$B$36:$GS$61,0,ROW()-3),CC$3)</f>
        <v>0</v>
      </c>
      <c r="CD175" s="2">
        <f>COUNTIF(INDEX('LINE PLAN'!$B$36:$GS$61,0,ROW()-3),CD$3)</f>
        <v>0</v>
      </c>
      <c r="CE175" s="2">
        <f>COUNTIF(INDEX('LINE PLAN'!$B$36:$GS$61,0,ROW()-3),CE$3)</f>
        <v>0</v>
      </c>
      <c r="CF175" s="2">
        <f>COUNTIF(INDEX('LINE PLAN'!$B$36:$GS$61,0,ROW()-3),CF$3)</f>
        <v>0</v>
      </c>
      <c r="CG175" s="2">
        <f>COUNTIF(INDEX('LINE PLAN'!$B$36:$GS$61,0,ROW()-3),CG$3)</f>
        <v>0</v>
      </c>
      <c r="CH175" s="2">
        <f>COUNTIF(INDEX('LINE PLAN'!$B$36:$GS$61,0,ROW()-3),CH$3)</f>
        <v>0</v>
      </c>
      <c r="CI175" s="2">
        <f>COUNTIF(INDEX('LINE PLAN'!$B$36:$GS$61,0,ROW()-3),CI$3)</f>
        <v>0</v>
      </c>
      <c r="CJ175" s="2">
        <f>COUNTIF(INDEX('LINE PLAN'!$B$36:$GS$61,0,ROW()-3),CJ$3)</f>
        <v>0</v>
      </c>
      <c r="CK175" s="2">
        <f>COUNTIF(INDEX('LINE PLAN'!$B$36:$GS$61,0,ROW()-3),CK$3)</f>
        <v>0</v>
      </c>
      <c r="CL175" s="2">
        <f>COUNTIF(INDEX('LINE PLAN'!$B$36:$GS$61,0,ROW()-3),CL$3)</f>
        <v>0</v>
      </c>
      <c r="CM175" s="2">
        <f>COUNTIF(INDEX('LINE PLAN'!$B$36:$GS$61,0,ROW()-3),CM$3)</f>
        <v>0</v>
      </c>
      <c r="CN175" s="2">
        <f>COUNTIF(INDEX('LINE PLAN'!$B$36:$GS$61,0,ROW()-3),CN$3)</f>
        <v>0</v>
      </c>
      <c r="CO175" s="2">
        <f>COUNTIF(INDEX('LINE PLAN'!$B$36:$GS$61,0,ROW()-3),CO$3)</f>
        <v>0</v>
      </c>
      <c r="CP175" s="2">
        <f>COUNTIF(INDEX('LINE PLAN'!$B$36:$GS$61,0,ROW()-3),CP$3)</f>
        <v>0</v>
      </c>
      <c r="CQ175" s="2">
        <f>COUNTIF(INDEX('LINE PLAN'!$B$36:$GS$61,0,ROW()-3),CQ$3)</f>
        <v>0</v>
      </c>
      <c r="CR175" s="2">
        <f>COUNTIF(INDEX('LINE PLAN'!$B$36:$GS$61,0,ROW()-3),CR$3)</f>
        <v>0</v>
      </c>
      <c r="CS175" s="2">
        <f>COUNTIF(INDEX('LINE PLAN'!$B$36:$GS$61,0,ROW()-3),CS$3)</f>
        <v>0</v>
      </c>
      <c r="CT175" s="2">
        <f>COUNTIF(INDEX('LINE PLAN'!$B$36:$GS$61,0,ROW()-3),CT$3)</f>
        <v>0</v>
      </c>
      <c r="CU175" s="2">
        <f>COUNTIF(INDEX('LINE PLAN'!$B$36:$GS$61,0,ROW()-3),CU$3)</f>
        <v>0</v>
      </c>
      <c r="CV175" s="2">
        <f>COUNTIF(INDEX('LINE PLAN'!$B$36:$GS$61,0,ROW()-3),CV$3)</f>
        <v>0</v>
      </c>
      <c r="CW175" s="2">
        <f>COUNTIF(INDEX('LINE PLAN'!$B$36:$GS$61,0,ROW()-3),CW$3)</f>
        <v>0</v>
      </c>
      <c r="CX175" s="2">
        <f>COUNTIF(INDEX('LINE PLAN'!$B$36:$GS$61,0,ROW()-3),CX$3)</f>
        <v>0</v>
      </c>
      <c r="CY175" s="2">
        <f>COUNTIF(INDEX('LINE PLAN'!$B$36:$GS$61,0,ROW()-3),CY$3)</f>
        <v>0</v>
      </c>
      <c r="CZ175" s="2">
        <f>COUNTIF(INDEX('LINE PLAN'!$B$36:$GS$61,0,ROW()-3),CZ$3)</f>
        <v>0</v>
      </c>
      <c r="DA175" s="2">
        <f>COUNTIF(INDEX('LINE PLAN'!$B$36:$GS$61,0,ROW()-3),DA$3)</f>
        <v>0</v>
      </c>
      <c r="DB175" s="2">
        <f>COUNTIF(INDEX('LINE PLAN'!$B$36:$GS$61,0,ROW()-3),DB$3)</f>
        <v>0</v>
      </c>
      <c r="DC175" s="2">
        <f>COUNTIF(INDEX('LINE PLAN'!$B$36:$GS$61,0,ROW()-3),DC$3)</f>
        <v>0</v>
      </c>
      <c r="DD175" s="2">
        <f>COUNTIF(INDEX('LINE PLAN'!$B$36:$GS$61,0,ROW()-3),DD$3)</f>
        <v>0</v>
      </c>
      <c r="DE175" s="2">
        <f>COUNTIF(INDEX('LINE PLAN'!$B$36:$GS$61,0,ROW()-3),DE$3)</f>
        <v>0</v>
      </c>
      <c r="DF175" s="2">
        <f>COUNTIF(INDEX('LINE PLAN'!$B$36:$GS$61,0,ROW()-3),DF$3)</f>
        <v>0</v>
      </c>
      <c r="DG175" s="2">
        <f>COUNTIF(INDEX('LINE PLAN'!$B$36:$GS$61,0,ROW()-3),DG$3)</f>
        <v>0</v>
      </c>
      <c r="DH175" s="2">
        <f>COUNTIF(INDEX('LINE PLAN'!$B$36:$GS$61,0,ROW()-3),DH$3)</f>
        <v>0</v>
      </c>
      <c r="DI175" s="2">
        <f>COUNTIF(INDEX('LINE PLAN'!$B$36:$GS$61,0,ROW()-3),DI$3)</f>
        <v>0</v>
      </c>
      <c r="DJ175" s="2">
        <f>COUNTIF(INDEX('LINE PLAN'!$B$36:$GS$61,0,ROW()-3),DJ$3)</f>
        <v>0</v>
      </c>
      <c r="DK175" s="2">
        <f>COUNTIF(INDEX('LINE PLAN'!$B$36:$GS$61,0,ROW()-3),DK$3)</f>
        <v>0</v>
      </c>
      <c r="DL175" s="2">
        <f>COUNTIF(INDEX('LINE PLAN'!$B$36:$GS$61,0,ROW()-3),DL$3)</f>
        <v>0</v>
      </c>
      <c r="DM175" s="2">
        <f>COUNTIF(INDEX('LINE PLAN'!$B$36:$GS$61,0,ROW()-3),DM$3)</f>
        <v>0</v>
      </c>
      <c r="DN175" s="2">
        <f>COUNTIF(INDEX('LINE PLAN'!$B$36:$GS$61,0,ROW()-3),DN$3)</f>
        <v>0</v>
      </c>
      <c r="DO175" s="2">
        <f>COUNTIF(INDEX('LINE PLAN'!$B$36:$GS$61,0,ROW()-3),DO$3)</f>
        <v>0</v>
      </c>
      <c r="DP175" s="2">
        <f>COUNTIF(INDEX('LINE PLAN'!$B$36:$GS$61,0,ROW()-3),DP$3)</f>
        <v>0</v>
      </c>
      <c r="DQ175" s="2">
        <f>COUNTIF(INDEX('LINE PLAN'!$B$36:$GS$61,0,ROW()-3),DQ$3)</f>
        <v>0</v>
      </c>
      <c r="DR175" s="2">
        <f>COUNTIF(INDEX('LINE PLAN'!$B$36:$GS$61,0,ROW()-3),DR$3)</f>
        <v>0</v>
      </c>
      <c r="DS175" s="2">
        <f>COUNTIF(INDEX('LINE PLAN'!$B$36:$GS$61,0,ROW()-3),DS$3)</f>
        <v>0</v>
      </c>
      <c r="DT175" s="2">
        <f>COUNTIF(INDEX('LINE PLAN'!$B$36:$GS$61,0,ROW()-3),DT$3)</f>
        <v>0</v>
      </c>
      <c r="DU175" s="2">
        <f>COUNTIF(INDEX('LINE PLAN'!$B$36:$GS$61,0,ROW()-3),DU$3)</f>
        <v>0</v>
      </c>
      <c r="DV175" s="2">
        <f>COUNTIF(INDEX('LINE PLAN'!$B$36:$GS$61,0,ROW()-3),DV$3)</f>
        <v>0</v>
      </c>
    </row>
    <row r="176" spans="1:126">
      <c r="A176" s="505" cm="1">
        <f t="array" ref="A176">INDEX('LINE PLAN'!$B$35:$GS$35,ROW()-3)</f>
        <v>0</v>
      </c>
      <c r="B176" s="2">
        <f>SUMPRODUCT($CA176:$DV176,INDEX('MC MAP'!$DA$5:$EV$30,1,0))</f>
        <v>0</v>
      </c>
      <c r="C176" s="2">
        <f>SUMPRODUCT($CA176:$DV176,INDEX('MC MAP'!$DA$5:$EV$30,2,0))</f>
        <v>0</v>
      </c>
      <c r="D176" s="2">
        <f>SUMPRODUCT($CA176:$DV176,INDEX('MC MAP'!$DA$5:$EV$30,3,0))</f>
        <v>0</v>
      </c>
      <c r="E176" s="2">
        <f>SUMPRODUCT($CA176:$DV176,INDEX('MC MAP'!$DA$5:$EV$30,4,0))</f>
        <v>0</v>
      </c>
      <c r="F176" s="2">
        <f>SUMPRODUCT($CA176:$DV176,INDEX('MC MAP'!$DA$5:$EV$30,5,0))</f>
        <v>0</v>
      </c>
      <c r="G176" s="2">
        <f>SUMPRODUCT($CA176:$DV176,INDEX('MC MAP'!$DA$5:$EV$30,6,0))</f>
        <v>0</v>
      </c>
      <c r="H176" s="2">
        <f>SUMPRODUCT($CA176:$DV176,INDEX('MC MAP'!$DA$5:$EV$30,7,0))</f>
        <v>0</v>
      </c>
      <c r="I176" s="2">
        <f>SUMPRODUCT($CA176:$DV176,INDEX('MC MAP'!$DA$5:$EV$30,8,0))</f>
        <v>0</v>
      </c>
      <c r="J176" s="2">
        <f>SUMPRODUCT($CA176:$DV176,INDEX('MC MAP'!$DA$5:$EV$30,9,0))</f>
        <v>0</v>
      </c>
      <c r="K176" s="2">
        <f>SUMPRODUCT($CA176:$DV176,INDEX('MC MAP'!$DA$5:$EV$30,10,0))</f>
        <v>0</v>
      </c>
      <c r="L176" s="2">
        <f>SUMPRODUCT($CA176:$DV176,INDEX('MC MAP'!$DA$5:$EV$30,11,0))</f>
        <v>0</v>
      </c>
      <c r="M176" s="2">
        <f>SUMPRODUCT($CA176:$DV176,INDEX('MC MAP'!$DA$5:$EV$30,12,0))</f>
        <v>0</v>
      </c>
      <c r="N176" s="2">
        <f>SUMPRODUCT($CA176:$DV176,INDEX('MC MAP'!$DA$5:$EV$30,13,0))</f>
        <v>0</v>
      </c>
      <c r="O176" s="2">
        <f>SUMPRODUCT($CA176:$DV176,INDEX('MC MAP'!$DA$5:$EV$30,14,0))</f>
        <v>0</v>
      </c>
      <c r="P176" s="2">
        <f>SUMPRODUCT($CA176:$DV176,INDEX('MC MAP'!$DA$5:$EV$30,15,0))</f>
        <v>0</v>
      </c>
      <c r="Q176" s="2">
        <f>SUMPRODUCT($CA176:$DV176,INDEX('MC MAP'!$DA$5:$EV$30,16,0))</f>
        <v>0</v>
      </c>
      <c r="R176" s="2">
        <f>SUMPRODUCT($CA176:$DV176,INDEX('MC MAP'!$DA$5:$EV$30,17,0))</f>
        <v>0</v>
      </c>
      <c r="S176" s="2">
        <f>SUMPRODUCT($CA176:$DV176,INDEX('MC MAP'!$DA$5:$EV$30,18,0))</f>
        <v>0</v>
      </c>
      <c r="T176" s="2">
        <f>SUMPRODUCT($CA176:$DV176,INDEX('MC MAP'!$DA$5:$EV$30,19,0))</f>
        <v>0</v>
      </c>
      <c r="U176" s="2">
        <f>SUMPRODUCT($CA176:$DV176,INDEX('MC MAP'!$DA$5:$EV$30,20,0))</f>
        <v>0</v>
      </c>
      <c r="V176" s="2">
        <f>SUMPRODUCT($CA176:$DV176,INDEX('MC MAP'!$DA$5:$EV$30,21,0))</f>
        <v>0</v>
      </c>
      <c r="W176" s="2">
        <f>SUMPRODUCT($CA176:$DV176,INDEX('MC MAP'!$DA$5:$EV$30,22,0))</f>
        <v>0</v>
      </c>
      <c r="X176" s="2">
        <f>SUMPRODUCT($CA176:$DV176,INDEX('MC MAP'!$DA$5:$EV$30,23,0))</f>
        <v>0</v>
      </c>
      <c r="Y176" s="2">
        <f>SUMPRODUCT($CA176:$DV176,INDEX('MC MAP'!$DA$5:$EV$30,24,0))</f>
        <v>0</v>
      </c>
      <c r="Z176" s="2">
        <f>SUMPRODUCT($CA176:$DV176,INDEX('MC MAP'!$DA$5:$EV$30,25,0))</f>
        <v>0</v>
      </c>
      <c r="AA176" s="2">
        <f>SUMPRODUCT($CA176:$DV176,INDEX('MC MAP'!$DA$5:$EV$30,26,0))</f>
        <v>0</v>
      </c>
      <c r="AB176" s="2">
        <f>SUM($B176:$AA176)</f>
        <v>0</v>
      </c>
      <c r="AC176" s="2">
        <f>SUM($CA176:$DV176)+$AW176</f>
        <v>0</v>
      </c>
      <c r="AW176" s="2">
        <f>IF($A176=0,0,COUNTIF(INDEX('LINE PLAN'!$B$36:$GS$61,0,ROW()-3),"THERMAL - NOT SPECIFIED"))</f>
        <v>0</v>
      </c>
      <c r="AX176" s="506" cm="1">
        <f t="array" ref="AX176">IF(OR($AB176=0,UPPER($BS176)&lt;&gt;"Y"),0,SUMPRODUCT(--($B176:$AA176&gt;$B$205:$AA$205)))</f>
        <v>0</v>
      </c>
      <c r="AY176" s="507">
        <f>$A176</f>
        <v>0</v>
      </c>
      <c r="AZ176" s="2">
        <f>$AB176</f>
        <v>0</v>
      </c>
      <c r="BA176" s="2">
        <f>'MC MASTER'!$C$29</f>
        <v>920</v>
      </c>
      <c r="BQ176" s="509">
        <f>$A176</f>
        <v>0</v>
      </c>
      <c r="BR176" s="15" t="str">
        <f>TEXT($A176,"ddd")</f>
        <v>Sat</v>
      </c>
      <c r="BS176" s="547" t="str">
        <f>IF($A176=0,"",IF(WEEKDAY($A176,2)=7,"N","Y"))</f>
        <v/>
      </c>
      <c r="BT176" s="15">
        <f>IF(UPPER($BS176)="Y",$AB176,0)</f>
        <v>0</v>
      </c>
      <c r="CA176" s="2">
        <f>COUNTIF(INDEX('LINE PLAN'!$B$36:$GS$61,0,ROW()-3),CA$3)</f>
        <v>0</v>
      </c>
      <c r="CB176" s="2">
        <f>COUNTIF(INDEX('LINE PLAN'!$B$36:$GS$61,0,ROW()-3),CB$3)</f>
        <v>0</v>
      </c>
      <c r="CC176" s="2">
        <f>COUNTIF(INDEX('LINE PLAN'!$B$36:$GS$61,0,ROW()-3),CC$3)</f>
        <v>0</v>
      </c>
      <c r="CD176" s="2">
        <f>COUNTIF(INDEX('LINE PLAN'!$B$36:$GS$61,0,ROW()-3),CD$3)</f>
        <v>0</v>
      </c>
      <c r="CE176" s="2">
        <f>COUNTIF(INDEX('LINE PLAN'!$B$36:$GS$61,0,ROW()-3),CE$3)</f>
        <v>0</v>
      </c>
      <c r="CF176" s="2">
        <f>COUNTIF(INDEX('LINE PLAN'!$B$36:$GS$61,0,ROW()-3),CF$3)</f>
        <v>0</v>
      </c>
      <c r="CG176" s="2">
        <f>COUNTIF(INDEX('LINE PLAN'!$B$36:$GS$61,0,ROW()-3),CG$3)</f>
        <v>0</v>
      </c>
      <c r="CH176" s="2">
        <f>COUNTIF(INDEX('LINE PLAN'!$B$36:$GS$61,0,ROW()-3),CH$3)</f>
        <v>0</v>
      </c>
      <c r="CI176" s="2">
        <f>COUNTIF(INDEX('LINE PLAN'!$B$36:$GS$61,0,ROW()-3),CI$3)</f>
        <v>0</v>
      </c>
      <c r="CJ176" s="2">
        <f>COUNTIF(INDEX('LINE PLAN'!$B$36:$GS$61,0,ROW()-3),CJ$3)</f>
        <v>0</v>
      </c>
      <c r="CK176" s="2">
        <f>COUNTIF(INDEX('LINE PLAN'!$B$36:$GS$61,0,ROW()-3),CK$3)</f>
        <v>0</v>
      </c>
      <c r="CL176" s="2">
        <f>COUNTIF(INDEX('LINE PLAN'!$B$36:$GS$61,0,ROW()-3),CL$3)</f>
        <v>0</v>
      </c>
      <c r="CM176" s="2">
        <f>COUNTIF(INDEX('LINE PLAN'!$B$36:$GS$61,0,ROW()-3),CM$3)</f>
        <v>0</v>
      </c>
      <c r="CN176" s="2">
        <f>COUNTIF(INDEX('LINE PLAN'!$B$36:$GS$61,0,ROW()-3),CN$3)</f>
        <v>0</v>
      </c>
      <c r="CO176" s="2">
        <f>COUNTIF(INDEX('LINE PLAN'!$B$36:$GS$61,0,ROW()-3),CO$3)</f>
        <v>0</v>
      </c>
      <c r="CP176" s="2">
        <f>COUNTIF(INDEX('LINE PLAN'!$B$36:$GS$61,0,ROW()-3),CP$3)</f>
        <v>0</v>
      </c>
      <c r="CQ176" s="2">
        <f>COUNTIF(INDEX('LINE PLAN'!$B$36:$GS$61,0,ROW()-3),CQ$3)</f>
        <v>0</v>
      </c>
      <c r="CR176" s="2">
        <f>COUNTIF(INDEX('LINE PLAN'!$B$36:$GS$61,0,ROW()-3),CR$3)</f>
        <v>0</v>
      </c>
      <c r="CS176" s="2">
        <f>COUNTIF(INDEX('LINE PLAN'!$B$36:$GS$61,0,ROW()-3),CS$3)</f>
        <v>0</v>
      </c>
      <c r="CT176" s="2">
        <f>COUNTIF(INDEX('LINE PLAN'!$B$36:$GS$61,0,ROW()-3),CT$3)</f>
        <v>0</v>
      </c>
      <c r="CU176" s="2">
        <f>COUNTIF(INDEX('LINE PLAN'!$B$36:$GS$61,0,ROW()-3),CU$3)</f>
        <v>0</v>
      </c>
      <c r="CV176" s="2">
        <f>COUNTIF(INDEX('LINE PLAN'!$B$36:$GS$61,0,ROW()-3),CV$3)</f>
        <v>0</v>
      </c>
      <c r="CW176" s="2">
        <f>COUNTIF(INDEX('LINE PLAN'!$B$36:$GS$61,0,ROW()-3),CW$3)</f>
        <v>0</v>
      </c>
      <c r="CX176" s="2">
        <f>COUNTIF(INDEX('LINE PLAN'!$B$36:$GS$61,0,ROW()-3),CX$3)</f>
        <v>0</v>
      </c>
      <c r="CY176" s="2">
        <f>COUNTIF(INDEX('LINE PLAN'!$B$36:$GS$61,0,ROW()-3),CY$3)</f>
        <v>0</v>
      </c>
      <c r="CZ176" s="2">
        <f>COUNTIF(INDEX('LINE PLAN'!$B$36:$GS$61,0,ROW()-3),CZ$3)</f>
        <v>0</v>
      </c>
      <c r="DA176" s="2">
        <f>COUNTIF(INDEX('LINE PLAN'!$B$36:$GS$61,0,ROW()-3),DA$3)</f>
        <v>0</v>
      </c>
      <c r="DB176" s="2">
        <f>COUNTIF(INDEX('LINE PLAN'!$B$36:$GS$61,0,ROW()-3),DB$3)</f>
        <v>0</v>
      </c>
      <c r="DC176" s="2">
        <f>COUNTIF(INDEX('LINE PLAN'!$B$36:$GS$61,0,ROW()-3),DC$3)</f>
        <v>0</v>
      </c>
      <c r="DD176" s="2">
        <f>COUNTIF(INDEX('LINE PLAN'!$B$36:$GS$61,0,ROW()-3),DD$3)</f>
        <v>0</v>
      </c>
      <c r="DE176" s="2">
        <f>COUNTIF(INDEX('LINE PLAN'!$B$36:$GS$61,0,ROW()-3),DE$3)</f>
        <v>0</v>
      </c>
      <c r="DF176" s="2">
        <f>COUNTIF(INDEX('LINE PLAN'!$B$36:$GS$61,0,ROW()-3),DF$3)</f>
        <v>0</v>
      </c>
      <c r="DG176" s="2">
        <f>COUNTIF(INDEX('LINE PLAN'!$B$36:$GS$61,0,ROW()-3),DG$3)</f>
        <v>0</v>
      </c>
      <c r="DH176" s="2">
        <f>COUNTIF(INDEX('LINE PLAN'!$B$36:$GS$61,0,ROW()-3),DH$3)</f>
        <v>0</v>
      </c>
      <c r="DI176" s="2">
        <f>COUNTIF(INDEX('LINE PLAN'!$B$36:$GS$61,0,ROW()-3),DI$3)</f>
        <v>0</v>
      </c>
      <c r="DJ176" s="2">
        <f>COUNTIF(INDEX('LINE PLAN'!$B$36:$GS$61,0,ROW()-3),DJ$3)</f>
        <v>0</v>
      </c>
      <c r="DK176" s="2">
        <f>COUNTIF(INDEX('LINE PLAN'!$B$36:$GS$61,0,ROW()-3),DK$3)</f>
        <v>0</v>
      </c>
      <c r="DL176" s="2">
        <f>COUNTIF(INDEX('LINE PLAN'!$B$36:$GS$61,0,ROW()-3),DL$3)</f>
        <v>0</v>
      </c>
      <c r="DM176" s="2">
        <f>COUNTIF(INDEX('LINE PLAN'!$B$36:$GS$61,0,ROW()-3),DM$3)</f>
        <v>0</v>
      </c>
      <c r="DN176" s="2">
        <f>COUNTIF(INDEX('LINE PLAN'!$B$36:$GS$61,0,ROW()-3),DN$3)</f>
        <v>0</v>
      </c>
      <c r="DO176" s="2">
        <f>COUNTIF(INDEX('LINE PLAN'!$B$36:$GS$61,0,ROW()-3),DO$3)</f>
        <v>0</v>
      </c>
      <c r="DP176" s="2">
        <f>COUNTIF(INDEX('LINE PLAN'!$B$36:$GS$61,0,ROW()-3),DP$3)</f>
        <v>0</v>
      </c>
      <c r="DQ176" s="2">
        <f>COUNTIF(INDEX('LINE PLAN'!$B$36:$GS$61,0,ROW()-3),DQ$3)</f>
        <v>0</v>
      </c>
      <c r="DR176" s="2">
        <f>COUNTIF(INDEX('LINE PLAN'!$B$36:$GS$61,0,ROW()-3),DR$3)</f>
        <v>0</v>
      </c>
      <c r="DS176" s="2">
        <f>COUNTIF(INDEX('LINE PLAN'!$B$36:$GS$61,0,ROW()-3),DS$3)</f>
        <v>0</v>
      </c>
      <c r="DT176" s="2">
        <f>COUNTIF(INDEX('LINE PLAN'!$B$36:$GS$61,0,ROW()-3),DT$3)</f>
        <v>0</v>
      </c>
      <c r="DU176" s="2">
        <f>COUNTIF(INDEX('LINE PLAN'!$B$36:$GS$61,0,ROW()-3),DU$3)</f>
        <v>0</v>
      </c>
      <c r="DV176" s="2">
        <f>COUNTIF(INDEX('LINE PLAN'!$B$36:$GS$61,0,ROW()-3),DV$3)</f>
        <v>0</v>
      </c>
    </row>
    <row r="177" spans="1:126">
      <c r="A177" s="505" cm="1">
        <f t="array" ref="A177">INDEX('LINE PLAN'!$B$35:$GS$35,ROW()-3)</f>
        <v>0</v>
      </c>
      <c r="B177" s="2">
        <f>SUMPRODUCT($CA177:$DV177,INDEX('MC MAP'!$DA$5:$EV$30,1,0))</f>
        <v>0</v>
      </c>
      <c r="C177" s="2">
        <f>SUMPRODUCT($CA177:$DV177,INDEX('MC MAP'!$DA$5:$EV$30,2,0))</f>
        <v>0</v>
      </c>
      <c r="D177" s="2">
        <f>SUMPRODUCT($CA177:$DV177,INDEX('MC MAP'!$DA$5:$EV$30,3,0))</f>
        <v>0</v>
      </c>
      <c r="E177" s="2">
        <f>SUMPRODUCT($CA177:$DV177,INDEX('MC MAP'!$DA$5:$EV$30,4,0))</f>
        <v>0</v>
      </c>
      <c r="F177" s="2">
        <f>SUMPRODUCT($CA177:$DV177,INDEX('MC MAP'!$DA$5:$EV$30,5,0))</f>
        <v>0</v>
      </c>
      <c r="G177" s="2">
        <f>SUMPRODUCT($CA177:$DV177,INDEX('MC MAP'!$DA$5:$EV$30,6,0))</f>
        <v>0</v>
      </c>
      <c r="H177" s="2">
        <f>SUMPRODUCT($CA177:$DV177,INDEX('MC MAP'!$DA$5:$EV$30,7,0))</f>
        <v>0</v>
      </c>
      <c r="I177" s="2">
        <f>SUMPRODUCT($CA177:$DV177,INDEX('MC MAP'!$DA$5:$EV$30,8,0))</f>
        <v>0</v>
      </c>
      <c r="J177" s="2">
        <f>SUMPRODUCT($CA177:$DV177,INDEX('MC MAP'!$DA$5:$EV$30,9,0))</f>
        <v>0</v>
      </c>
      <c r="K177" s="2">
        <f>SUMPRODUCT($CA177:$DV177,INDEX('MC MAP'!$DA$5:$EV$30,10,0))</f>
        <v>0</v>
      </c>
      <c r="L177" s="2">
        <f>SUMPRODUCT($CA177:$DV177,INDEX('MC MAP'!$DA$5:$EV$30,11,0))</f>
        <v>0</v>
      </c>
      <c r="M177" s="2">
        <f>SUMPRODUCT($CA177:$DV177,INDEX('MC MAP'!$DA$5:$EV$30,12,0))</f>
        <v>0</v>
      </c>
      <c r="N177" s="2">
        <f>SUMPRODUCT($CA177:$DV177,INDEX('MC MAP'!$DA$5:$EV$30,13,0))</f>
        <v>0</v>
      </c>
      <c r="O177" s="2">
        <f>SUMPRODUCT($CA177:$DV177,INDEX('MC MAP'!$DA$5:$EV$30,14,0))</f>
        <v>0</v>
      </c>
      <c r="P177" s="2">
        <f>SUMPRODUCT($CA177:$DV177,INDEX('MC MAP'!$DA$5:$EV$30,15,0))</f>
        <v>0</v>
      </c>
      <c r="Q177" s="2">
        <f>SUMPRODUCT($CA177:$DV177,INDEX('MC MAP'!$DA$5:$EV$30,16,0))</f>
        <v>0</v>
      </c>
      <c r="R177" s="2">
        <f>SUMPRODUCT($CA177:$DV177,INDEX('MC MAP'!$DA$5:$EV$30,17,0))</f>
        <v>0</v>
      </c>
      <c r="S177" s="2">
        <f>SUMPRODUCT($CA177:$DV177,INDEX('MC MAP'!$DA$5:$EV$30,18,0))</f>
        <v>0</v>
      </c>
      <c r="T177" s="2">
        <f>SUMPRODUCT($CA177:$DV177,INDEX('MC MAP'!$DA$5:$EV$30,19,0))</f>
        <v>0</v>
      </c>
      <c r="U177" s="2">
        <f>SUMPRODUCT($CA177:$DV177,INDEX('MC MAP'!$DA$5:$EV$30,20,0))</f>
        <v>0</v>
      </c>
      <c r="V177" s="2">
        <f>SUMPRODUCT($CA177:$DV177,INDEX('MC MAP'!$DA$5:$EV$30,21,0))</f>
        <v>0</v>
      </c>
      <c r="W177" s="2">
        <f>SUMPRODUCT($CA177:$DV177,INDEX('MC MAP'!$DA$5:$EV$30,22,0))</f>
        <v>0</v>
      </c>
      <c r="X177" s="2">
        <f>SUMPRODUCT($CA177:$DV177,INDEX('MC MAP'!$DA$5:$EV$30,23,0))</f>
        <v>0</v>
      </c>
      <c r="Y177" s="2">
        <f>SUMPRODUCT($CA177:$DV177,INDEX('MC MAP'!$DA$5:$EV$30,24,0))</f>
        <v>0</v>
      </c>
      <c r="Z177" s="2">
        <f>SUMPRODUCT($CA177:$DV177,INDEX('MC MAP'!$DA$5:$EV$30,25,0))</f>
        <v>0</v>
      </c>
      <c r="AA177" s="2">
        <f>SUMPRODUCT($CA177:$DV177,INDEX('MC MAP'!$DA$5:$EV$30,26,0))</f>
        <v>0</v>
      </c>
      <c r="AB177" s="2">
        <f>SUM($B177:$AA177)</f>
        <v>0</v>
      </c>
      <c r="AC177" s="2">
        <f>SUM($CA177:$DV177)+$AW177</f>
        <v>0</v>
      </c>
      <c r="AW177" s="2">
        <f>IF($A177=0,0,COUNTIF(INDEX('LINE PLAN'!$B$36:$GS$61,0,ROW()-3),"THERMAL - NOT SPECIFIED"))</f>
        <v>0</v>
      </c>
      <c r="AX177" s="506" cm="1">
        <f t="array" ref="AX177">IF(OR($AB177=0,UPPER($BS177)&lt;&gt;"Y"),0,SUMPRODUCT(--($B177:$AA177&gt;$B$205:$AA$205)))</f>
        <v>0</v>
      </c>
      <c r="AY177" s="507">
        <f>$A177</f>
        <v>0</v>
      </c>
      <c r="AZ177" s="2">
        <f>$AB177</f>
        <v>0</v>
      </c>
      <c r="BA177" s="2">
        <f>'MC MASTER'!$C$29</f>
        <v>920</v>
      </c>
      <c r="BQ177" s="509">
        <f>$A177</f>
        <v>0</v>
      </c>
      <c r="BR177" s="15" t="str">
        <f>TEXT($A177,"ddd")</f>
        <v>Sat</v>
      </c>
      <c r="BS177" s="547" t="str">
        <f>IF($A177=0,"",IF(WEEKDAY($A177,2)=7,"N","Y"))</f>
        <v/>
      </c>
      <c r="BT177" s="15">
        <f>IF(UPPER($BS177)="Y",$AB177,0)</f>
        <v>0</v>
      </c>
      <c r="CA177" s="2">
        <f>COUNTIF(INDEX('LINE PLAN'!$B$36:$GS$61,0,ROW()-3),CA$3)</f>
        <v>0</v>
      </c>
      <c r="CB177" s="2">
        <f>COUNTIF(INDEX('LINE PLAN'!$B$36:$GS$61,0,ROW()-3),CB$3)</f>
        <v>0</v>
      </c>
      <c r="CC177" s="2">
        <f>COUNTIF(INDEX('LINE PLAN'!$B$36:$GS$61,0,ROW()-3),CC$3)</f>
        <v>0</v>
      </c>
      <c r="CD177" s="2">
        <f>COUNTIF(INDEX('LINE PLAN'!$B$36:$GS$61,0,ROW()-3),CD$3)</f>
        <v>0</v>
      </c>
      <c r="CE177" s="2">
        <f>COUNTIF(INDEX('LINE PLAN'!$B$36:$GS$61,0,ROW()-3),CE$3)</f>
        <v>0</v>
      </c>
      <c r="CF177" s="2">
        <f>COUNTIF(INDEX('LINE PLAN'!$B$36:$GS$61,0,ROW()-3),CF$3)</f>
        <v>0</v>
      </c>
      <c r="CG177" s="2">
        <f>COUNTIF(INDEX('LINE PLAN'!$B$36:$GS$61,0,ROW()-3),CG$3)</f>
        <v>0</v>
      </c>
      <c r="CH177" s="2">
        <f>COUNTIF(INDEX('LINE PLAN'!$B$36:$GS$61,0,ROW()-3),CH$3)</f>
        <v>0</v>
      </c>
      <c r="CI177" s="2">
        <f>COUNTIF(INDEX('LINE PLAN'!$B$36:$GS$61,0,ROW()-3),CI$3)</f>
        <v>0</v>
      </c>
      <c r="CJ177" s="2">
        <f>COUNTIF(INDEX('LINE PLAN'!$B$36:$GS$61,0,ROW()-3),CJ$3)</f>
        <v>0</v>
      </c>
      <c r="CK177" s="2">
        <f>COUNTIF(INDEX('LINE PLAN'!$B$36:$GS$61,0,ROW()-3),CK$3)</f>
        <v>0</v>
      </c>
      <c r="CL177" s="2">
        <f>COUNTIF(INDEX('LINE PLAN'!$B$36:$GS$61,0,ROW()-3),CL$3)</f>
        <v>0</v>
      </c>
      <c r="CM177" s="2">
        <f>COUNTIF(INDEX('LINE PLAN'!$B$36:$GS$61,0,ROW()-3),CM$3)</f>
        <v>0</v>
      </c>
      <c r="CN177" s="2">
        <f>COUNTIF(INDEX('LINE PLAN'!$B$36:$GS$61,0,ROW()-3),CN$3)</f>
        <v>0</v>
      </c>
      <c r="CO177" s="2">
        <f>COUNTIF(INDEX('LINE PLAN'!$B$36:$GS$61,0,ROW()-3),CO$3)</f>
        <v>0</v>
      </c>
      <c r="CP177" s="2">
        <f>COUNTIF(INDEX('LINE PLAN'!$B$36:$GS$61,0,ROW()-3),CP$3)</f>
        <v>0</v>
      </c>
      <c r="CQ177" s="2">
        <f>COUNTIF(INDEX('LINE PLAN'!$B$36:$GS$61,0,ROW()-3),CQ$3)</f>
        <v>0</v>
      </c>
      <c r="CR177" s="2">
        <f>COUNTIF(INDEX('LINE PLAN'!$B$36:$GS$61,0,ROW()-3),CR$3)</f>
        <v>0</v>
      </c>
      <c r="CS177" s="2">
        <f>COUNTIF(INDEX('LINE PLAN'!$B$36:$GS$61,0,ROW()-3),CS$3)</f>
        <v>0</v>
      </c>
      <c r="CT177" s="2">
        <f>COUNTIF(INDEX('LINE PLAN'!$B$36:$GS$61,0,ROW()-3),CT$3)</f>
        <v>0</v>
      </c>
      <c r="CU177" s="2">
        <f>COUNTIF(INDEX('LINE PLAN'!$B$36:$GS$61,0,ROW()-3),CU$3)</f>
        <v>0</v>
      </c>
      <c r="CV177" s="2">
        <f>COUNTIF(INDEX('LINE PLAN'!$B$36:$GS$61,0,ROW()-3),CV$3)</f>
        <v>0</v>
      </c>
      <c r="CW177" s="2">
        <f>COUNTIF(INDEX('LINE PLAN'!$B$36:$GS$61,0,ROW()-3),CW$3)</f>
        <v>0</v>
      </c>
      <c r="CX177" s="2">
        <f>COUNTIF(INDEX('LINE PLAN'!$B$36:$GS$61,0,ROW()-3),CX$3)</f>
        <v>0</v>
      </c>
      <c r="CY177" s="2">
        <f>COUNTIF(INDEX('LINE PLAN'!$B$36:$GS$61,0,ROW()-3),CY$3)</f>
        <v>0</v>
      </c>
      <c r="CZ177" s="2">
        <f>COUNTIF(INDEX('LINE PLAN'!$B$36:$GS$61,0,ROW()-3),CZ$3)</f>
        <v>0</v>
      </c>
      <c r="DA177" s="2">
        <f>COUNTIF(INDEX('LINE PLAN'!$B$36:$GS$61,0,ROW()-3),DA$3)</f>
        <v>0</v>
      </c>
      <c r="DB177" s="2">
        <f>COUNTIF(INDEX('LINE PLAN'!$B$36:$GS$61,0,ROW()-3),DB$3)</f>
        <v>0</v>
      </c>
      <c r="DC177" s="2">
        <f>COUNTIF(INDEX('LINE PLAN'!$B$36:$GS$61,0,ROW()-3),DC$3)</f>
        <v>0</v>
      </c>
      <c r="DD177" s="2">
        <f>COUNTIF(INDEX('LINE PLAN'!$B$36:$GS$61,0,ROW()-3),DD$3)</f>
        <v>0</v>
      </c>
      <c r="DE177" s="2">
        <f>COUNTIF(INDEX('LINE PLAN'!$B$36:$GS$61,0,ROW()-3),DE$3)</f>
        <v>0</v>
      </c>
      <c r="DF177" s="2">
        <f>COUNTIF(INDEX('LINE PLAN'!$B$36:$GS$61,0,ROW()-3),DF$3)</f>
        <v>0</v>
      </c>
      <c r="DG177" s="2">
        <f>COUNTIF(INDEX('LINE PLAN'!$B$36:$GS$61,0,ROW()-3),DG$3)</f>
        <v>0</v>
      </c>
      <c r="DH177" s="2">
        <f>COUNTIF(INDEX('LINE PLAN'!$B$36:$GS$61,0,ROW()-3),DH$3)</f>
        <v>0</v>
      </c>
      <c r="DI177" s="2">
        <f>COUNTIF(INDEX('LINE PLAN'!$B$36:$GS$61,0,ROW()-3),DI$3)</f>
        <v>0</v>
      </c>
      <c r="DJ177" s="2">
        <f>COUNTIF(INDEX('LINE PLAN'!$B$36:$GS$61,0,ROW()-3),DJ$3)</f>
        <v>0</v>
      </c>
      <c r="DK177" s="2">
        <f>COUNTIF(INDEX('LINE PLAN'!$B$36:$GS$61,0,ROW()-3),DK$3)</f>
        <v>0</v>
      </c>
      <c r="DL177" s="2">
        <f>COUNTIF(INDEX('LINE PLAN'!$B$36:$GS$61,0,ROW()-3),DL$3)</f>
        <v>0</v>
      </c>
      <c r="DM177" s="2">
        <f>COUNTIF(INDEX('LINE PLAN'!$B$36:$GS$61,0,ROW()-3),DM$3)</f>
        <v>0</v>
      </c>
      <c r="DN177" s="2">
        <f>COUNTIF(INDEX('LINE PLAN'!$B$36:$GS$61,0,ROW()-3),DN$3)</f>
        <v>0</v>
      </c>
      <c r="DO177" s="2">
        <f>COUNTIF(INDEX('LINE PLAN'!$B$36:$GS$61,0,ROW()-3),DO$3)</f>
        <v>0</v>
      </c>
      <c r="DP177" s="2">
        <f>COUNTIF(INDEX('LINE PLAN'!$B$36:$GS$61,0,ROW()-3),DP$3)</f>
        <v>0</v>
      </c>
      <c r="DQ177" s="2">
        <f>COUNTIF(INDEX('LINE PLAN'!$B$36:$GS$61,0,ROW()-3),DQ$3)</f>
        <v>0</v>
      </c>
      <c r="DR177" s="2">
        <f>COUNTIF(INDEX('LINE PLAN'!$B$36:$GS$61,0,ROW()-3),DR$3)</f>
        <v>0</v>
      </c>
      <c r="DS177" s="2">
        <f>COUNTIF(INDEX('LINE PLAN'!$B$36:$GS$61,0,ROW()-3),DS$3)</f>
        <v>0</v>
      </c>
      <c r="DT177" s="2">
        <f>COUNTIF(INDEX('LINE PLAN'!$B$36:$GS$61,0,ROW()-3),DT$3)</f>
        <v>0</v>
      </c>
      <c r="DU177" s="2">
        <f>COUNTIF(INDEX('LINE PLAN'!$B$36:$GS$61,0,ROW()-3),DU$3)</f>
        <v>0</v>
      </c>
      <c r="DV177" s="2">
        <f>COUNTIF(INDEX('LINE PLAN'!$B$36:$GS$61,0,ROW()-3),DV$3)</f>
        <v>0</v>
      </c>
    </row>
    <row r="178" spans="1:126">
      <c r="A178" s="505" cm="1">
        <f t="array" ref="A178">INDEX('LINE PLAN'!$B$35:$GS$35,ROW()-3)</f>
        <v>0</v>
      </c>
      <c r="B178" s="2">
        <f>SUMPRODUCT($CA178:$DV178,INDEX('MC MAP'!$DA$5:$EV$30,1,0))</f>
        <v>0</v>
      </c>
      <c r="C178" s="2">
        <f>SUMPRODUCT($CA178:$DV178,INDEX('MC MAP'!$DA$5:$EV$30,2,0))</f>
        <v>0</v>
      </c>
      <c r="D178" s="2">
        <f>SUMPRODUCT($CA178:$DV178,INDEX('MC MAP'!$DA$5:$EV$30,3,0))</f>
        <v>0</v>
      </c>
      <c r="E178" s="2">
        <f>SUMPRODUCT($CA178:$DV178,INDEX('MC MAP'!$DA$5:$EV$30,4,0))</f>
        <v>0</v>
      </c>
      <c r="F178" s="2">
        <f>SUMPRODUCT($CA178:$DV178,INDEX('MC MAP'!$DA$5:$EV$30,5,0))</f>
        <v>0</v>
      </c>
      <c r="G178" s="2">
        <f>SUMPRODUCT($CA178:$DV178,INDEX('MC MAP'!$DA$5:$EV$30,6,0))</f>
        <v>0</v>
      </c>
      <c r="H178" s="2">
        <f>SUMPRODUCT($CA178:$DV178,INDEX('MC MAP'!$DA$5:$EV$30,7,0))</f>
        <v>0</v>
      </c>
      <c r="I178" s="2">
        <f>SUMPRODUCT($CA178:$DV178,INDEX('MC MAP'!$DA$5:$EV$30,8,0))</f>
        <v>0</v>
      </c>
      <c r="J178" s="2">
        <f>SUMPRODUCT($CA178:$DV178,INDEX('MC MAP'!$DA$5:$EV$30,9,0))</f>
        <v>0</v>
      </c>
      <c r="K178" s="2">
        <f>SUMPRODUCT($CA178:$DV178,INDEX('MC MAP'!$DA$5:$EV$30,10,0))</f>
        <v>0</v>
      </c>
      <c r="L178" s="2">
        <f>SUMPRODUCT($CA178:$DV178,INDEX('MC MAP'!$DA$5:$EV$30,11,0))</f>
        <v>0</v>
      </c>
      <c r="M178" s="2">
        <f>SUMPRODUCT($CA178:$DV178,INDEX('MC MAP'!$DA$5:$EV$30,12,0))</f>
        <v>0</v>
      </c>
      <c r="N178" s="2">
        <f>SUMPRODUCT($CA178:$DV178,INDEX('MC MAP'!$DA$5:$EV$30,13,0))</f>
        <v>0</v>
      </c>
      <c r="O178" s="2">
        <f>SUMPRODUCT($CA178:$DV178,INDEX('MC MAP'!$DA$5:$EV$30,14,0))</f>
        <v>0</v>
      </c>
      <c r="P178" s="2">
        <f>SUMPRODUCT($CA178:$DV178,INDEX('MC MAP'!$DA$5:$EV$30,15,0))</f>
        <v>0</v>
      </c>
      <c r="Q178" s="2">
        <f>SUMPRODUCT($CA178:$DV178,INDEX('MC MAP'!$DA$5:$EV$30,16,0))</f>
        <v>0</v>
      </c>
      <c r="R178" s="2">
        <f>SUMPRODUCT($CA178:$DV178,INDEX('MC MAP'!$DA$5:$EV$30,17,0))</f>
        <v>0</v>
      </c>
      <c r="S178" s="2">
        <f>SUMPRODUCT($CA178:$DV178,INDEX('MC MAP'!$DA$5:$EV$30,18,0))</f>
        <v>0</v>
      </c>
      <c r="T178" s="2">
        <f>SUMPRODUCT($CA178:$DV178,INDEX('MC MAP'!$DA$5:$EV$30,19,0))</f>
        <v>0</v>
      </c>
      <c r="U178" s="2">
        <f>SUMPRODUCT($CA178:$DV178,INDEX('MC MAP'!$DA$5:$EV$30,20,0))</f>
        <v>0</v>
      </c>
      <c r="V178" s="2">
        <f>SUMPRODUCT($CA178:$DV178,INDEX('MC MAP'!$DA$5:$EV$30,21,0))</f>
        <v>0</v>
      </c>
      <c r="W178" s="2">
        <f>SUMPRODUCT($CA178:$DV178,INDEX('MC MAP'!$DA$5:$EV$30,22,0))</f>
        <v>0</v>
      </c>
      <c r="X178" s="2">
        <f>SUMPRODUCT($CA178:$DV178,INDEX('MC MAP'!$DA$5:$EV$30,23,0))</f>
        <v>0</v>
      </c>
      <c r="Y178" s="2">
        <f>SUMPRODUCT($CA178:$DV178,INDEX('MC MAP'!$DA$5:$EV$30,24,0))</f>
        <v>0</v>
      </c>
      <c r="Z178" s="2">
        <f>SUMPRODUCT($CA178:$DV178,INDEX('MC MAP'!$DA$5:$EV$30,25,0))</f>
        <v>0</v>
      </c>
      <c r="AA178" s="2">
        <f>SUMPRODUCT($CA178:$DV178,INDEX('MC MAP'!$DA$5:$EV$30,26,0))</f>
        <v>0</v>
      </c>
      <c r="AB178" s="2">
        <f>SUM($B178:$AA178)</f>
        <v>0</v>
      </c>
      <c r="AC178" s="2">
        <f>SUM($CA178:$DV178)+$AW178</f>
        <v>0</v>
      </c>
      <c r="AW178" s="2">
        <f>IF($A178=0,0,COUNTIF(INDEX('LINE PLAN'!$B$36:$GS$61,0,ROW()-3),"THERMAL - NOT SPECIFIED"))</f>
        <v>0</v>
      </c>
      <c r="AX178" s="506" cm="1">
        <f t="array" ref="AX178">IF(OR($AB178=0,UPPER($BS178)&lt;&gt;"Y"),0,SUMPRODUCT(--($B178:$AA178&gt;$B$205:$AA$205)))</f>
        <v>0</v>
      </c>
      <c r="AY178" s="507">
        <f>$A178</f>
        <v>0</v>
      </c>
      <c r="AZ178" s="2">
        <f>$AB178</f>
        <v>0</v>
      </c>
      <c r="BA178" s="2">
        <f>'MC MASTER'!$C$29</f>
        <v>920</v>
      </c>
      <c r="BQ178" s="509">
        <f>$A178</f>
        <v>0</v>
      </c>
      <c r="BR178" s="15" t="str">
        <f>TEXT($A178,"ddd")</f>
        <v>Sat</v>
      </c>
      <c r="BS178" s="547" t="str">
        <f>IF($A178=0,"",IF(WEEKDAY($A178,2)=7,"N","Y"))</f>
        <v/>
      </c>
      <c r="BT178" s="15">
        <f>IF(UPPER($BS178)="Y",$AB178,0)</f>
        <v>0</v>
      </c>
      <c r="CA178" s="2">
        <f>COUNTIF(INDEX('LINE PLAN'!$B$36:$GS$61,0,ROW()-3),CA$3)</f>
        <v>0</v>
      </c>
      <c r="CB178" s="2">
        <f>COUNTIF(INDEX('LINE PLAN'!$B$36:$GS$61,0,ROW()-3),CB$3)</f>
        <v>0</v>
      </c>
      <c r="CC178" s="2">
        <f>COUNTIF(INDEX('LINE PLAN'!$B$36:$GS$61,0,ROW()-3),CC$3)</f>
        <v>0</v>
      </c>
      <c r="CD178" s="2">
        <f>COUNTIF(INDEX('LINE PLAN'!$B$36:$GS$61,0,ROW()-3),CD$3)</f>
        <v>0</v>
      </c>
      <c r="CE178" s="2">
        <f>COUNTIF(INDEX('LINE PLAN'!$B$36:$GS$61,0,ROW()-3),CE$3)</f>
        <v>0</v>
      </c>
      <c r="CF178" s="2">
        <f>COUNTIF(INDEX('LINE PLAN'!$B$36:$GS$61,0,ROW()-3),CF$3)</f>
        <v>0</v>
      </c>
      <c r="CG178" s="2">
        <f>COUNTIF(INDEX('LINE PLAN'!$B$36:$GS$61,0,ROW()-3),CG$3)</f>
        <v>0</v>
      </c>
      <c r="CH178" s="2">
        <f>COUNTIF(INDEX('LINE PLAN'!$B$36:$GS$61,0,ROW()-3),CH$3)</f>
        <v>0</v>
      </c>
      <c r="CI178" s="2">
        <f>COUNTIF(INDEX('LINE PLAN'!$B$36:$GS$61,0,ROW()-3),CI$3)</f>
        <v>0</v>
      </c>
      <c r="CJ178" s="2">
        <f>COUNTIF(INDEX('LINE PLAN'!$B$36:$GS$61,0,ROW()-3),CJ$3)</f>
        <v>0</v>
      </c>
      <c r="CK178" s="2">
        <f>COUNTIF(INDEX('LINE PLAN'!$B$36:$GS$61,0,ROW()-3),CK$3)</f>
        <v>0</v>
      </c>
      <c r="CL178" s="2">
        <f>COUNTIF(INDEX('LINE PLAN'!$B$36:$GS$61,0,ROW()-3),CL$3)</f>
        <v>0</v>
      </c>
      <c r="CM178" s="2">
        <f>COUNTIF(INDEX('LINE PLAN'!$B$36:$GS$61,0,ROW()-3),CM$3)</f>
        <v>0</v>
      </c>
      <c r="CN178" s="2">
        <f>COUNTIF(INDEX('LINE PLAN'!$B$36:$GS$61,0,ROW()-3),CN$3)</f>
        <v>0</v>
      </c>
      <c r="CO178" s="2">
        <f>COUNTIF(INDEX('LINE PLAN'!$B$36:$GS$61,0,ROW()-3),CO$3)</f>
        <v>0</v>
      </c>
      <c r="CP178" s="2">
        <f>COUNTIF(INDEX('LINE PLAN'!$B$36:$GS$61,0,ROW()-3),CP$3)</f>
        <v>0</v>
      </c>
      <c r="CQ178" s="2">
        <f>COUNTIF(INDEX('LINE PLAN'!$B$36:$GS$61,0,ROW()-3),CQ$3)</f>
        <v>0</v>
      </c>
      <c r="CR178" s="2">
        <f>COUNTIF(INDEX('LINE PLAN'!$B$36:$GS$61,0,ROW()-3),CR$3)</f>
        <v>0</v>
      </c>
      <c r="CS178" s="2">
        <f>COUNTIF(INDEX('LINE PLAN'!$B$36:$GS$61,0,ROW()-3),CS$3)</f>
        <v>0</v>
      </c>
      <c r="CT178" s="2">
        <f>COUNTIF(INDEX('LINE PLAN'!$B$36:$GS$61,0,ROW()-3),CT$3)</f>
        <v>0</v>
      </c>
      <c r="CU178" s="2">
        <f>COUNTIF(INDEX('LINE PLAN'!$B$36:$GS$61,0,ROW()-3),CU$3)</f>
        <v>0</v>
      </c>
      <c r="CV178" s="2">
        <f>COUNTIF(INDEX('LINE PLAN'!$B$36:$GS$61,0,ROW()-3),CV$3)</f>
        <v>0</v>
      </c>
      <c r="CW178" s="2">
        <f>COUNTIF(INDEX('LINE PLAN'!$B$36:$GS$61,0,ROW()-3),CW$3)</f>
        <v>0</v>
      </c>
      <c r="CX178" s="2">
        <f>COUNTIF(INDEX('LINE PLAN'!$B$36:$GS$61,0,ROW()-3),CX$3)</f>
        <v>0</v>
      </c>
      <c r="CY178" s="2">
        <f>COUNTIF(INDEX('LINE PLAN'!$B$36:$GS$61,0,ROW()-3),CY$3)</f>
        <v>0</v>
      </c>
      <c r="CZ178" s="2">
        <f>COUNTIF(INDEX('LINE PLAN'!$B$36:$GS$61,0,ROW()-3),CZ$3)</f>
        <v>0</v>
      </c>
      <c r="DA178" s="2">
        <f>COUNTIF(INDEX('LINE PLAN'!$B$36:$GS$61,0,ROW()-3),DA$3)</f>
        <v>0</v>
      </c>
      <c r="DB178" s="2">
        <f>COUNTIF(INDEX('LINE PLAN'!$B$36:$GS$61,0,ROW()-3),DB$3)</f>
        <v>0</v>
      </c>
      <c r="DC178" s="2">
        <f>COUNTIF(INDEX('LINE PLAN'!$B$36:$GS$61,0,ROW()-3),DC$3)</f>
        <v>0</v>
      </c>
      <c r="DD178" s="2">
        <f>COUNTIF(INDEX('LINE PLAN'!$B$36:$GS$61,0,ROW()-3),DD$3)</f>
        <v>0</v>
      </c>
      <c r="DE178" s="2">
        <f>COUNTIF(INDEX('LINE PLAN'!$B$36:$GS$61,0,ROW()-3),DE$3)</f>
        <v>0</v>
      </c>
      <c r="DF178" s="2">
        <f>COUNTIF(INDEX('LINE PLAN'!$B$36:$GS$61,0,ROW()-3),DF$3)</f>
        <v>0</v>
      </c>
      <c r="DG178" s="2">
        <f>COUNTIF(INDEX('LINE PLAN'!$B$36:$GS$61,0,ROW()-3),DG$3)</f>
        <v>0</v>
      </c>
      <c r="DH178" s="2">
        <f>COUNTIF(INDEX('LINE PLAN'!$B$36:$GS$61,0,ROW()-3),DH$3)</f>
        <v>0</v>
      </c>
      <c r="DI178" s="2">
        <f>COUNTIF(INDEX('LINE PLAN'!$B$36:$GS$61,0,ROW()-3),DI$3)</f>
        <v>0</v>
      </c>
      <c r="DJ178" s="2">
        <f>COUNTIF(INDEX('LINE PLAN'!$B$36:$GS$61,0,ROW()-3),DJ$3)</f>
        <v>0</v>
      </c>
      <c r="DK178" s="2">
        <f>COUNTIF(INDEX('LINE PLAN'!$B$36:$GS$61,0,ROW()-3),DK$3)</f>
        <v>0</v>
      </c>
      <c r="DL178" s="2">
        <f>COUNTIF(INDEX('LINE PLAN'!$B$36:$GS$61,0,ROW()-3),DL$3)</f>
        <v>0</v>
      </c>
      <c r="DM178" s="2">
        <f>COUNTIF(INDEX('LINE PLAN'!$B$36:$GS$61,0,ROW()-3),DM$3)</f>
        <v>0</v>
      </c>
      <c r="DN178" s="2">
        <f>COUNTIF(INDEX('LINE PLAN'!$B$36:$GS$61,0,ROW()-3),DN$3)</f>
        <v>0</v>
      </c>
      <c r="DO178" s="2">
        <f>COUNTIF(INDEX('LINE PLAN'!$B$36:$GS$61,0,ROW()-3),DO$3)</f>
        <v>0</v>
      </c>
      <c r="DP178" s="2">
        <f>COUNTIF(INDEX('LINE PLAN'!$B$36:$GS$61,0,ROW()-3),DP$3)</f>
        <v>0</v>
      </c>
      <c r="DQ178" s="2">
        <f>COUNTIF(INDEX('LINE PLAN'!$B$36:$GS$61,0,ROW()-3),DQ$3)</f>
        <v>0</v>
      </c>
      <c r="DR178" s="2">
        <f>COUNTIF(INDEX('LINE PLAN'!$B$36:$GS$61,0,ROW()-3),DR$3)</f>
        <v>0</v>
      </c>
      <c r="DS178" s="2">
        <f>COUNTIF(INDEX('LINE PLAN'!$B$36:$GS$61,0,ROW()-3),DS$3)</f>
        <v>0</v>
      </c>
      <c r="DT178" s="2">
        <f>COUNTIF(INDEX('LINE PLAN'!$B$36:$GS$61,0,ROW()-3),DT$3)</f>
        <v>0</v>
      </c>
      <c r="DU178" s="2">
        <f>COUNTIF(INDEX('LINE PLAN'!$B$36:$GS$61,0,ROW()-3),DU$3)</f>
        <v>0</v>
      </c>
      <c r="DV178" s="2">
        <f>COUNTIF(INDEX('LINE PLAN'!$B$36:$GS$61,0,ROW()-3),DV$3)</f>
        <v>0</v>
      </c>
    </row>
    <row r="179" spans="1:126">
      <c r="A179" s="505" cm="1">
        <f t="array" ref="A179">INDEX('LINE PLAN'!$B$35:$GS$35,ROW()-3)</f>
        <v>0</v>
      </c>
      <c r="B179" s="2">
        <f>SUMPRODUCT($CA179:$DV179,INDEX('MC MAP'!$DA$5:$EV$30,1,0))</f>
        <v>0</v>
      </c>
      <c r="C179" s="2">
        <f>SUMPRODUCT($CA179:$DV179,INDEX('MC MAP'!$DA$5:$EV$30,2,0))</f>
        <v>0</v>
      </c>
      <c r="D179" s="2">
        <f>SUMPRODUCT($CA179:$DV179,INDEX('MC MAP'!$DA$5:$EV$30,3,0))</f>
        <v>0</v>
      </c>
      <c r="E179" s="2">
        <f>SUMPRODUCT($CA179:$DV179,INDEX('MC MAP'!$DA$5:$EV$30,4,0))</f>
        <v>0</v>
      </c>
      <c r="F179" s="2">
        <f>SUMPRODUCT($CA179:$DV179,INDEX('MC MAP'!$DA$5:$EV$30,5,0))</f>
        <v>0</v>
      </c>
      <c r="G179" s="2">
        <f>SUMPRODUCT($CA179:$DV179,INDEX('MC MAP'!$DA$5:$EV$30,6,0))</f>
        <v>0</v>
      </c>
      <c r="H179" s="2">
        <f>SUMPRODUCT($CA179:$DV179,INDEX('MC MAP'!$DA$5:$EV$30,7,0))</f>
        <v>0</v>
      </c>
      <c r="I179" s="2">
        <f>SUMPRODUCT($CA179:$DV179,INDEX('MC MAP'!$DA$5:$EV$30,8,0))</f>
        <v>0</v>
      </c>
      <c r="J179" s="2">
        <f>SUMPRODUCT($CA179:$DV179,INDEX('MC MAP'!$DA$5:$EV$30,9,0))</f>
        <v>0</v>
      </c>
      <c r="K179" s="2">
        <f>SUMPRODUCT($CA179:$DV179,INDEX('MC MAP'!$DA$5:$EV$30,10,0))</f>
        <v>0</v>
      </c>
      <c r="L179" s="2">
        <f>SUMPRODUCT($CA179:$DV179,INDEX('MC MAP'!$DA$5:$EV$30,11,0))</f>
        <v>0</v>
      </c>
      <c r="M179" s="2">
        <f>SUMPRODUCT($CA179:$DV179,INDEX('MC MAP'!$DA$5:$EV$30,12,0))</f>
        <v>0</v>
      </c>
      <c r="N179" s="2">
        <f>SUMPRODUCT($CA179:$DV179,INDEX('MC MAP'!$DA$5:$EV$30,13,0))</f>
        <v>0</v>
      </c>
      <c r="O179" s="2">
        <f>SUMPRODUCT($CA179:$DV179,INDEX('MC MAP'!$DA$5:$EV$30,14,0))</f>
        <v>0</v>
      </c>
      <c r="P179" s="2">
        <f>SUMPRODUCT($CA179:$DV179,INDEX('MC MAP'!$DA$5:$EV$30,15,0))</f>
        <v>0</v>
      </c>
      <c r="Q179" s="2">
        <f>SUMPRODUCT($CA179:$DV179,INDEX('MC MAP'!$DA$5:$EV$30,16,0))</f>
        <v>0</v>
      </c>
      <c r="R179" s="2">
        <f>SUMPRODUCT($CA179:$DV179,INDEX('MC MAP'!$DA$5:$EV$30,17,0))</f>
        <v>0</v>
      </c>
      <c r="S179" s="2">
        <f>SUMPRODUCT($CA179:$DV179,INDEX('MC MAP'!$DA$5:$EV$30,18,0))</f>
        <v>0</v>
      </c>
      <c r="T179" s="2">
        <f>SUMPRODUCT($CA179:$DV179,INDEX('MC MAP'!$DA$5:$EV$30,19,0))</f>
        <v>0</v>
      </c>
      <c r="U179" s="2">
        <f>SUMPRODUCT($CA179:$DV179,INDEX('MC MAP'!$DA$5:$EV$30,20,0))</f>
        <v>0</v>
      </c>
      <c r="V179" s="2">
        <f>SUMPRODUCT($CA179:$DV179,INDEX('MC MAP'!$DA$5:$EV$30,21,0))</f>
        <v>0</v>
      </c>
      <c r="W179" s="2">
        <f>SUMPRODUCT($CA179:$DV179,INDEX('MC MAP'!$DA$5:$EV$30,22,0))</f>
        <v>0</v>
      </c>
      <c r="X179" s="2">
        <f>SUMPRODUCT($CA179:$DV179,INDEX('MC MAP'!$DA$5:$EV$30,23,0))</f>
        <v>0</v>
      </c>
      <c r="Y179" s="2">
        <f>SUMPRODUCT($CA179:$DV179,INDEX('MC MAP'!$DA$5:$EV$30,24,0))</f>
        <v>0</v>
      </c>
      <c r="Z179" s="2">
        <f>SUMPRODUCT($CA179:$DV179,INDEX('MC MAP'!$DA$5:$EV$30,25,0))</f>
        <v>0</v>
      </c>
      <c r="AA179" s="2">
        <f>SUMPRODUCT($CA179:$DV179,INDEX('MC MAP'!$DA$5:$EV$30,26,0))</f>
        <v>0</v>
      </c>
      <c r="AB179" s="2">
        <f>SUM($B179:$AA179)</f>
        <v>0</v>
      </c>
      <c r="AC179" s="2">
        <f>SUM($CA179:$DV179)+$AW179</f>
        <v>0</v>
      </c>
      <c r="AW179" s="2">
        <f>IF($A179=0,0,COUNTIF(INDEX('LINE PLAN'!$B$36:$GS$61,0,ROW()-3),"THERMAL - NOT SPECIFIED"))</f>
        <v>0</v>
      </c>
      <c r="AX179" s="506" cm="1">
        <f t="array" ref="AX179">IF(OR($AB179=0,UPPER($BS179)&lt;&gt;"Y"),0,SUMPRODUCT(--($B179:$AA179&gt;$B$205:$AA$205)))</f>
        <v>0</v>
      </c>
      <c r="AY179" s="507">
        <f>$A179</f>
        <v>0</v>
      </c>
      <c r="AZ179" s="2">
        <f>$AB179</f>
        <v>0</v>
      </c>
      <c r="BA179" s="2">
        <f>'MC MASTER'!$C$29</f>
        <v>920</v>
      </c>
      <c r="BQ179" s="509">
        <f>$A179</f>
        <v>0</v>
      </c>
      <c r="BR179" s="15" t="str">
        <f>TEXT($A179,"ddd")</f>
        <v>Sat</v>
      </c>
      <c r="BS179" s="547" t="str">
        <f>IF($A179=0,"",IF(WEEKDAY($A179,2)=7,"N","Y"))</f>
        <v/>
      </c>
      <c r="BT179" s="15">
        <f>IF(UPPER($BS179)="Y",$AB179,0)</f>
        <v>0</v>
      </c>
      <c r="CA179" s="2">
        <f>COUNTIF(INDEX('LINE PLAN'!$B$36:$GS$61,0,ROW()-3),CA$3)</f>
        <v>0</v>
      </c>
      <c r="CB179" s="2">
        <f>COUNTIF(INDEX('LINE PLAN'!$B$36:$GS$61,0,ROW()-3),CB$3)</f>
        <v>0</v>
      </c>
      <c r="CC179" s="2">
        <f>COUNTIF(INDEX('LINE PLAN'!$B$36:$GS$61,0,ROW()-3),CC$3)</f>
        <v>0</v>
      </c>
      <c r="CD179" s="2">
        <f>COUNTIF(INDEX('LINE PLAN'!$B$36:$GS$61,0,ROW()-3),CD$3)</f>
        <v>0</v>
      </c>
      <c r="CE179" s="2">
        <f>COUNTIF(INDEX('LINE PLAN'!$B$36:$GS$61,0,ROW()-3),CE$3)</f>
        <v>0</v>
      </c>
      <c r="CF179" s="2">
        <f>COUNTIF(INDEX('LINE PLAN'!$B$36:$GS$61,0,ROW()-3),CF$3)</f>
        <v>0</v>
      </c>
      <c r="CG179" s="2">
        <f>COUNTIF(INDEX('LINE PLAN'!$B$36:$GS$61,0,ROW()-3),CG$3)</f>
        <v>0</v>
      </c>
      <c r="CH179" s="2">
        <f>COUNTIF(INDEX('LINE PLAN'!$B$36:$GS$61,0,ROW()-3),CH$3)</f>
        <v>0</v>
      </c>
      <c r="CI179" s="2">
        <f>COUNTIF(INDEX('LINE PLAN'!$B$36:$GS$61,0,ROW()-3),CI$3)</f>
        <v>0</v>
      </c>
      <c r="CJ179" s="2">
        <f>COUNTIF(INDEX('LINE PLAN'!$B$36:$GS$61,0,ROW()-3),CJ$3)</f>
        <v>0</v>
      </c>
      <c r="CK179" s="2">
        <f>COUNTIF(INDEX('LINE PLAN'!$B$36:$GS$61,0,ROW()-3),CK$3)</f>
        <v>0</v>
      </c>
      <c r="CL179" s="2">
        <f>COUNTIF(INDEX('LINE PLAN'!$B$36:$GS$61,0,ROW()-3),CL$3)</f>
        <v>0</v>
      </c>
      <c r="CM179" s="2">
        <f>COUNTIF(INDEX('LINE PLAN'!$B$36:$GS$61,0,ROW()-3),CM$3)</f>
        <v>0</v>
      </c>
      <c r="CN179" s="2">
        <f>COUNTIF(INDEX('LINE PLAN'!$B$36:$GS$61,0,ROW()-3),CN$3)</f>
        <v>0</v>
      </c>
      <c r="CO179" s="2">
        <f>COUNTIF(INDEX('LINE PLAN'!$B$36:$GS$61,0,ROW()-3),CO$3)</f>
        <v>0</v>
      </c>
      <c r="CP179" s="2">
        <f>COUNTIF(INDEX('LINE PLAN'!$B$36:$GS$61,0,ROW()-3),CP$3)</f>
        <v>0</v>
      </c>
      <c r="CQ179" s="2">
        <f>COUNTIF(INDEX('LINE PLAN'!$B$36:$GS$61,0,ROW()-3),CQ$3)</f>
        <v>0</v>
      </c>
      <c r="CR179" s="2">
        <f>COUNTIF(INDEX('LINE PLAN'!$B$36:$GS$61,0,ROW()-3),CR$3)</f>
        <v>0</v>
      </c>
      <c r="CS179" s="2">
        <f>COUNTIF(INDEX('LINE PLAN'!$B$36:$GS$61,0,ROW()-3),CS$3)</f>
        <v>0</v>
      </c>
      <c r="CT179" s="2">
        <f>COUNTIF(INDEX('LINE PLAN'!$B$36:$GS$61,0,ROW()-3),CT$3)</f>
        <v>0</v>
      </c>
      <c r="CU179" s="2">
        <f>COUNTIF(INDEX('LINE PLAN'!$B$36:$GS$61,0,ROW()-3),CU$3)</f>
        <v>0</v>
      </c>
      <c r="CV179" s="2">
        <f>COUNTIF(INDEX('LINE PLAN'!$B$36:$GS$61,0,ROW()-3),CV$3)</f>
        <v>0</v>
      </c>
      <c r="CW179" s="2">
        <f>COUNTIF(INDEX('LINE PLAN'!$B$36:$GS$61,0,ROW()-3),CW$3)</f>
        <v>0</v>
      </c>
      <c r="CX179" s="2">
        <f>COUNTIF(INDEX('LINE PLAN'!$B$36:$GS$61,0,ROW()-3),CX$3)</f>
        <v>0</v>
      </c>
      <c r="CY179" s="2">
        <f>COUNTIF(INDEX('LINE PLAN'!$B$36:$GS$61,0,ROW()-3),CY$3)</f>
        <v>0</v>
      </c>
      <c r="CZ179" s="2">
        <f>COUNTIF(INDEX('LINE PLAN'!$B$36:$GS$61,0,ROW()-3),CZ$3)</f>
        <v>0</v>
      </c>
      <c r="DA179" s="2">
        <f>COUNTIF(INDEX('LINE PLAN'!$B$36:$GS$61,0,ROW()-3),DA$3)</f>
        <v>0</v>
      </c>
      <c r="DB179" s="2">
        <f>COUNTIF(INDEX('LINE PLAN'!$B$36:$GS$61,0,ROW()-3),DB$3)</f>
        <v>0</v>
      </c>
      <c r="DC179" s="2">
        <f>COUNTIF(INDEX('LINE PLAN'!$B$36:$GS$61,0,ROW()-3),DC$3)</f>
        <v>0</v>
      </c>
      <c r="DD179" s="2">
        <f>COUNTIF(INDEX('LINE PLAN'!$B$36:$GS$61,0,ROW()-3),DD$3)</f>
        <v>0</v>
      </c>
      <c r="DE179" s="2">
        <f>COUNTIF(INDEX('LINE PLAN'!$B$36:$GS$61,0,ROW()-3),DE$3)</f>
        <v>0</v>
      </c>
      <c r="DF179" s="2">
        <f>COUNTIF(INDEX('LINE PLAN'!$B$36:$GS$61,0,ROW()-3),DF$3)</f>
        <v>0</v>
      </c>
      <c r="DG179" s="2">
        <f>COUNTIF(INDEX('LINE PLAN'!$B$36:$GS$61,0,ROW()-3),DG$3)</f>
        <v>0</v>
      </c>
      <c r="DH179" s="2">
        <f>COUNTIF(INDEX('LINE PLAN'!$B$36:$GS$61,0,ROW()-3),DH$3)</f>
        <v>0</v>
      </c>
      <c r="DI179" s="2">
        <f>COUNTIF(INDEX('LINE PLAN'!$B$36:$GS$61,0,ROW()-3),DI$3)</f>
        <v>0</v>
      </c>
      <c r="DJ179" s="2">
        <f>COUNTIF(INDEX('LINE PLAN'!$B$36:$GS$61,0,ROW()-3),DJ$3)</f>
        <v>0</v>
      </c>
      <c r="DK179" s="2">
        <f>COUNTIF(INDEX('LINE PLAN'!$B$36:$GS$61,0,ROW()-3),DK$3)</f>
        <v>0</v>
      </c>
      <c r="DL179" s="2">
        <f>COUNTIF(INDEX('LINE PLAN'!$B$36:$GS$61,0,ROW()-3),DL$3)</f>
        <v>0</v>
      </c>
      <c r="DM179" s="2">
        <f>COUNTIF(INDEX('LINE PLAN'!$B$36:$GS$61,0,ROW()-3),DM$3)</f>
        <v>0</v>
      </c>
      <c r="DN179" s="2">
        <f>COUNTIF(INDEX('LINE PLAN'!$B$36:$GS$61,0,ROW()-3),DN$3)</f>
        <v>0</v>
      </c>
      <c r="DO179" s="2">
        <f>COUNTIF(INDEX('LINE PLAN'!$B$36:$GS$61,0,ROW()-3),DO$3)</f>
        <v>0</v>
      </c>
      <c r="DP179" s="2">
        <f>COUNTIF(INDEX('LINE PLAN'!$B$36:$GS$61,0,ROW()-3),DP$3)</f>
        <v>0</v>
      </c>
      <c r="DQ179" s="2">
        <f>COUNTIF(INDEX('LINE PLAN'!$B$36:$GS$61,0,ROW()-3),DQ$3)</f>
        <v>0</v>
      </c>
      <c r="DR179" s="2">
        <f>COUNTIF(INDEX('LINE PLAN'!$B$36:$GS$61,0,ROW()-3),DR$3)</f>
        <v>0</v>
      </c>
      <c r="DS179" s="2">
        <f>COUNTIF(INDEX('LINE PLAN'!$B$36:$GS$61,0,ROW()-3),DS$3)</f>
        <v>0</v>
      </c>
      <c r="DT179" s="2">
        <f>COUNTIF(INDEX('LINE PLAN'!$B$36:$GS$61,0,ROW()-3),DT$3)</f>
        <v>0</v>
      </c>
      <c r="DU179" s="2">
        <f>COUNTIF(INDEX('LINE PLAN'!$B$36:$GS$61,0,ROW()-3),DU$3)</f>
        <v>0</v>
      </c>
      <c r="DV179" s="2">
        <f>COUNTIF(INDEX('LINE PLAN'!$B$36:$GS$61,0,ROW()-3),DV$3)</f>
        <v>0</v>
      </c>
    </row>
    <row r="180" spans="1:126">
      <c r="A180" s="505" cm="1">
        <f t="array" ref="A180">INDEX('LINE PLAN'!$B$35:$GS$35,ROW()-3)</f>
        <v>0</v>
      </c>
      <c r="B180" s="2">
        <f>SUMPRODUCT($CA180:$DV180,INDEX('MC MAP'!$DA$5:$EV$30,1,0))</f>
        <v>0</v>
      </c>
      <c r="C180" s="2">
        <f>SUMPRODUCT($CA180:$DV180,INDEX('MC MAP'!$DA$5:$EV$30,2,0))</f>
        <v>0</v>
      </c>
      <c r="D180" s="2">
        <f>SUMPRODUCT($CA180:$DV180,INDEX('MC MAP'!$DA$5:$EV$30,3,0))</f>
        <v>0</v>
      </c>
      <c r="E180" s="2">
        <f>SUMPRODUCT($CA180:$DV180,INDEX('MC MAP'!$DA$5:$EV$30,4,0))</f>
        <v>0</v>
      </c>
      <c r="F180" s="2">
        <f>SUMPRODUCT($CA180:$DV180,INDEX('MC MAP'!$DA$5:$EV$30,5,0))</f>
        <v>0</v>
      </c>
      <c r="G180" s="2">
        <f>SUMPRODUCT($CA180:$DV180,INDEX('MC MAP'!$DA$5:$EV$30,6,0))</f>
        <v>0</v>
      </c>
      <c r="H180" s="2">
        <f>SUMPRODUCT($CA180:$DV180,INDEX('MC MAP'!$DA$5:$EV$30,7,0))</f>
        <v>0</v>
      </c>
      <c r="I180" s="2">
        <f>SUMPRODUCT($CA180:$DV180,INDEX('MC MAP'!$DA$5:$EV$30,8,0))</f>
        <v>0</v>
      </c>
      <c r="J180" s="2">
        <f>SUMPRODUCT($CA180:$DV180,INDEX('MC MAP'!$DA$5:$EV$30,9,0))</f>
        <v>0</v>
      </c>
      <c r="K180" s="2">
        <f>SUMPRODUCT($CA180:$DV180,INDEX('MC MAP'!$DA$5:$EV$30,10,0))</f>
        <v>0</v>
      </c>
      <c r="L180" s="2">
        <f>SUMPRODUCT($CA180:$DV180,INDEX('MC MAP'!$DA$5:$EV$30,11,0))</f>
        <v>0</v>
      </c>
      <c r="M180" s="2">
        <f>SUMPRODUCT($CA180:$DV180,INDEX('MC MAP'!$DA$5:$EV$30,12,0))</f>
        <v>0</v>
      </c>
      <c r="N180" s="2">
        <f>SUMPRODUCT($CA180:$DV180,INDEX('MC MAP'!$DA$5:$EV$30,13,0))</f>
        <v>0</v>
      </c>
      <c r="O180" s="2">
        <f>SUMPRODUCT($CA180:$DV180,INDEX('MC MAP'!$DA$5:$EV$30,14,0))</f>
        <v>0</v>
      </c>
      <c r="P180" s="2">
        <f>SUMPRODUCT($CA180:$DV180,INDEX('MC MAP'!$DA$5:$EV$30,15,0))</f>
        <v>0</v>
      </c>
      <c r="Q180" s="2">
        <f>SUMPRODUCT($CA180:$DV180,INDEX('MC MAP'!$DA$5:$EV$30,16,0))</f>
        <v>0</v>
      </c>
      <c r="R180" s="2">
        <f>SUMPRODUCT($CA180:$DV180,INDEX('MC MAP'!$DA$5:$EV$30,17,0))</f>
        <v>0</v>
      </c>
      <c r="S180" s="2">
        <f>SUMPRODUCT($CA180:$DV180,INDEX('MC MAP'!$DA$5:$EV$30,18,0))</f>
        <v>0</v>
      </c>
      <c r="T180" s="2">
        <f>SUMPRODUCT($CA180:$DV180,INDEX('MC MAP'!$DA$5:$EV$30,19,0))</f>
        <v>0</v>
      </c>
      <c r="U180" s="2">
        <f>SUMPRODUCT($CA180:$DV180,INDEX('MC MAP'!$DA$5:$EV$30,20,0))</f>
        <v>0</v>
      </c>
      <c r="V180" s="2">
        <f>SUMPRODUCT($CA180:$DV180,INDEX('MC MAP'!$DA$5:$EV$30,21,0))</f>
        <v>0</v>
      </c>
      <c r="W180" s="2">
        <f>SUMPRODUCT($CA180:$DV180,INDEX('MC MAP'!$DA$5:$EV$30,22,0))</f>
        <v>0</v>
      </c>
      <c r="X180" s="2">
        <f>SUMPRODUCT($CA180:$DV180,INDEX('MC MAP'!$DA$5:$EV$30,23,0))</f>
        <v>0</v>
      </c>
      <c r="Y180" s="2">
        <f>SUMPRODUCT($CA180:$DV180,INDEX('MC MAP'!$DA$5:$EV$30,24,0))</f>
        <v>0</v>
      </c>
      <c r="Z180" s="2">
        <f>SUMPRODUCT($CA180:$DV180,INDEX('MC MAP'!$DA$5:$EV$30,25,0))</f>
        <v>0</v>
      </c>
      <c r="AA180" s="2">
        <f>SUMPRODUCT($CA180:$DV180,INDEX('MC MAP'!$DA$5:$EV$30,26,0))</f>
        <v>0</v>
      </c>
      <c r="AB180" s="2">
        <f>SUM($B180:$AA180)</f>
        <v>0</v>
      </c>
      <c r="AC180" s="2">
        <f>SUM($CA180:$DV180)+$AW180</f>
        <v>0</v>
      </c>
      <c r="AW180" s="2">
        <f>IF($A180=0,0,COUNTIF(INDEX('LINE PLAN'!$B$36:$GS$61,0,ROW()-3),"THERMAL - NOT SPECIFIED"))</f>
        <v>0</v>
      </c>
      <c r="AX180" s="506" cm="1">
        <f t="array" ref="AX180">IF(OR($AB180=0,UPPER($BS180)&lt;&gt;"Y"),0,SUMPRODUCT(--($B180:$AA180&gt;$B$205:$AA$205)))</f>
        <v>0</v>
      </c>
      <c r="AY180" s="507">
        <f>$A180</f>
        <v>0</v>
      </c>
      <c r="AZ180" s="2">
        <f>$AB180</f>
        <v>0</v>
      </c>
      <c r="BA180" s="2">
        <f>'MC MASTER'!$C$29</f>
        <v>920</v>
      </c>
      <c r="BQ180" s="509">
        <f>$A180</f>
        <v>0</v>
      </c>
      <c r="BR180" s="15" t="str">
        <f>TEXT($A180,"ddd")</f>
        <v>Sat</v>
      </c>
      <c r="BS180" s="547" t="str">
        <f>IF($A180=0,"",IF(WEEKDAY($A180,2)=7,"N","Y"))</f>
        <v/>
      </c>
      <c r="BT180" s="15">
        <f>IF(UPPER($BS180)="Y",$AB180,0)</f>
        <v>0</v>
      </c>
      <c r="CA180" s="2">
        <f>COUNTIF(INDEX('LINE PLAN'!$B$36:$GS$61,0,ROW()-3),CA$3)</f>
        <v>0</v>
      </c>
      <c r="CB180" s="2">
        <f>COUNTIF(INDEX('LINE PLAN'!$B$36:$GS$61,0,ROW()-3),CB$3)</f>
        <v>0</v>
      </c>
      <c r="CC180" s="2">
        <f>COUNTIF(INDEX('LINE PLAN'!$B$36:$GS$61,0,ROW()-3),CC$3)</f>
        <v>0</v>
      </c>
      <c r="CD180" s="2">
        <f>COUNTIF(INDEX('LINE PLAN'!$B$36:$GS$61,0,ROW()-3),CD$3)</f>
        <v>0</v>
      </c>
      <c r="CE180" s="2">
        <f>COUNTIF(INDEX('LINE PLAN'!$B$36:$GS$61,0,ROW()-3),CE$3)</f>
        <v>0</v>
      </c>
      <c r="CF180" s="2">
        <f>COUNTIF(INDEX('LINE PLAN'!$B$36:$GS$61,0,ROW()-3),CF$3)</f>
        <v>0</v>
      </c>
      <c r="CG180" s="2">
        <f>COUNTIF(INDEX('LINE PLAN'!$B$36:$GS$61,0,ROW()-3),CG$3)</f>
        <v>0</v>
      </c>
      <c r="CH180" s="2">
        <f>COUNTIF(INDEX('LINE PLAN'!$B$36:$GS$61,0,ROW()-3),CH$3)</f>
        <v>0</v>
      </c>
      <c r="CI180" s="2">
        <f>COUNTIF(INDEX('LINE PLAN'!$B$36:$GS$61,0,ROW()-3),CI$3)</f>
        <v>0</v>
      </c>
      <c r="CJ180" s="2">
        <f>COUNTIF(INDEX('LINE PLAN'!$B$36:$GS$61,0,ROW()-3),CJ$3)</f>
        <v>0</v>
      </c>
      <c r="CK180" s="2">
        <f>COUNTIF(INDEX('LINE PLAN'!$B$36:$GS$61,0,ROW()-3),CK$3)</f>
        <v>0</v>
      </c>
      <c r="CL180" s="2">
        <f>COUNTIF(INDEX('LINE PLAN'!$B$36:$GS$61,0,ROW()-3),CL$3)</f>
        <v>0</v>
      </c>
      <c r="CM180" s="2">
        <f>COUNTIF(INDEX('LINE PLAN'!$B$36:$GS$61,0,ROW()-3),CM$3)</f>
        <v>0</v>
      </c>
      <c r="CN180" s="2">
        <f>COUNTIF(INDEX('LINE PLAN'!$B$36:$GS$61,0,ROW()-3),CN$3)</f>
        <v>0</v>
      </c>
      <c r="CO180" s="2">
        <f>COUNTIF(INDEX('LINE PLAN'!$B$36:$GS$61,0,ROW()-3),CO$3)</f>
        <v>0</v>
      </c>
      <c r="CP180" s="2">
        <f>COUNTIF(INDEX('LINE PLAN'!$B$36:$GS$61,0,ROW()-3),CP$3)</f>
        <v>0</v>
      </c>
      <c r="CQ180" s="2">
        <f>COUNTIF(INDEX('LINE PLAN'!$B$36:$GS$61,0,ROW()-3),CQ$3)</f>
        <v>0</v>
      </c>
      <c r="CR180" s="2">
        <f>COUNTIF(INDEX('LINE PLAN'!$B$36:$GS$61,0,ROW()-3),CR$3)</f>
        <v>0</v>
      </c>
      <c r="CS180" s="2">
        <f>COUNTIF(INDEX('LINE PLAN'!$B$36:$GS$61,0,ROW()-3),CS$3)</f>
        <v>0</v>
      </c>
      <c r="CT180" s="2">
        <f>COUNTIF(INDEX('LINE PLAN'!$B$36:$GS$61,0,ROW()-3),CT$3)</f>
        <v>0</v>
      </c>
      <c r="CU180" s="2">
        <f>COUNTIF(INDEX('LINE PLAN'!$B$36:$GS$61,0,ROW()-3),CU$3)</f>
        <v>0</v>
      </c>
      <c r="CV180" s="2">
        <f>COUNTIF(INDEX('LINE PLAN'!$B$36:$GS$61,0,ROW()-3),CV$3)</f>
        <v>0</v>
      </c>
      <c r="CW180" s="2">
        <f>COUNTIF(INDEX('LINE PLAN'!$B$36:$GS$61,0,ROW()-3),CW$3)</f>
        <v>0</v>
      </c>
      <c r="CX180" s="2">
        <f>COUNTIF(INDEX('LINE PLAN'!$B$36:$GS$61,0,ROW()-3),CX$3)</f>
        <v>0</v>
      </c>
      <c r="CY180" s="2">
        <f>COUNTIF(INDEX('LINE PLAN'!$B$36:$GS$61,0,ROW()-3),CY$3)</f>
        <v>0</v>
      </c>
      <c r="CZ180" s="2">
        <f>COUNTIF(INDEX('LINE PLAN'!$B$36:$GS$61,0,ROW()-3),CZ$3)</f>
        <v>0</v>
      </c>
      <c r="DA180" s="2">
        <f>COUNTIF(INDEX('LINE PLAN'!$B$36:$GS$61,0,ROW()-3),DA$3)</f>
        <v>0</v>
      </c>
      <c r="DB180" s="2">
        <f>COUNTIF(INDEX('LINE PLAN'!$B$36:$GS$61,0,ROW()-3),DB$3)</f>
        <v>0</v>
      </c>
      <c r="DC180" s="2">
        <f>COUNTIF(INDEX('LINE PLAN'!$B$36:$GS$61,0,ROW()-3),DC$3)</f>
        <v>0</v>
      </c>
      <c r="DD180" s="2">
        <f>COUNTIF(INDEX('LINE PLAN'!$B$36:$GS$61,0,ROW()-3),DD$3)</f>
        <v>0</v>
      </c>
      <c r="DE180" s="2">
        <f>COUNTIF(INDEX('LINE PLAN'!$B$36:$GS$61,0,ROW()-3),DE$3)</f>
        <v>0</v>
      </c>
      <c r="DF180" s="2">
        <f>COUNTIF(INDEX('LINE PLAN'!$B$36:$GS$61,0,ROW()-3),DF$3)</f>
        <v>0</v>
      </c>
      <c r="DG180" s="2">
        <f>COUNTIF(INDEX('LINE PLAN'!$B$36:$GS$61,0,ROW()-3),DG$3)</f>
        <v>0</v>
      </c>
      <c r="DH180" s="2">
        <f>COUNTIF(INDEX('LINE PLAN'!$B$36:$GS$61,0,ROW()-3),DH$3)</f>
        <v>0</v>
      </c>
      <c r="DI180" s="2">
        <f>COUNTIF(INDEX('LINE PLAN'!$B$36:$GS$61,0,ROW()-3),DI$3)</f>
        <v>0</v>
      </c>
      <c r="DJ180" s="2">
        <f>COUNTIF(INDEX('LINE PLAN'!$B$36:$GS$61,0,ROW()-3),DJ$3)</f>
        <v>0</v>
      </c>
      <c r="DK180" s="2">
        <f>COUNTIF(INDEX('LINE PLAN'!$B$36:$GS$61,0,ROW()-3),DK$3)</f>
        <v>0</v>
      </c>
      <c r="DL180" s="2">
        <f>COUNTIF(INDEX('LINE PLAN'!$B$36:$GS$61,0,ROW()-3),DL$3)</f>
        <v>0</v>
      </c>
      <c r="DM180" s="2">
        <f>COUNTIF(INDEX('LINE PLAN'!$B$36:$GS$61,0,ROW()-3),DM$3)</f>
        <v>0</v>
      </c>
      <c r="DN180" s="2">
        <f>COUNTIF(INDEX('LINE PLAN'!$B$36:$GS$61,0,ROW()-3),DN$3)</f>
        <v>0</v>
      </c>
      <c r="DO180" s="2">
        <f>COUNTIF(INDEX('LINE PLAN'!$B$36:$GS$61,0,ROW()-3),DO$3)</f>
        <v>0</v>
      </c>
      <c r="DP180" s="2">
        <f>COUNTIF(INDEX('LINE PLAN'!$B$36:$GS$61,0,ROW()-3),DP$3)</f>
        <v>0</v>
      </c>
      <c r="DQ180" s="2">
        <f>COUNTIF(INDEX('LINE PLAN'!$B$36:$GS$61,0,ROW()-3),DQ$3)</f>
        <v>0</v>
      </c>
      <c r="DR180" s="2">
        <f>COUNTIF(INDEX('LINE PLAN'!$B$36:$GS$61,0,ROW()-3),DR$3)</f>
        <v>0</v>
      </c>
      <c r="DS180" s="2">
        <f>COUNTIF(INDEX('LINE PLAN'!$B$36:$GS$61,0,ROW()-3),DS$3)</f>
        <v>0</v>
      </c>
      <c r="DT180" s="2">
        <f>COUNTIF(INDEX('LINE PLAN'!$B$36:$GS$61,0,ROW()-3),DT$3)</f>
        <v>0</v>
      </c>
      <c r="DU180" s="2">
        <f>COUNTIF(INDEX('LINE PLAN'!$B$36:$GS$61,0,ROW()-3),DU$3)</f>
        <v>0</v>
      </c>
      <c r="DV180" s="2">
        <f>COUNTIF(INDEX('LINE PLAN'!$B$36:$GS$61,0,ROW()-3),DV$3)</f>
        <v>0</v>
      </c>
    </row>
    <row r="181" spans="1:126">
      <c r="A181" s="505" cm="1">
        <f t="array" ref="A181">INDEX('LINE PLAN'!$B$35:$GS$35,ROW()-3)</f>
        <v>0</v>
      </c>
      <c r="B181" s="2">
        <f>SUMPRODUCT($CA181:$DV181,INDEX('MC MAP'!$DA$5:$EV$30,1,0))</f>
        <v>0</v>
      </c>
      <c r="C181" s="2">
        <f>SUMPRODUCT($CA181:$DV181,INDEX('MC MAP'!$DA$5:$EV$30,2,0))</f>
        <v>0</v>
      </c>
      <c r="D181" s="2">
        <f>SUMPRODUCT($CA181:$DV181,INDEX('MC MAP'!$DA$5:$EV$30,3,0))</f>
        <v>0</v>
      </c>
      <c r="E181" s="2">
        <f>SUMPRODUCT($CA181:$DV181,INDEX('MC MAP'!$DA$5:$EV$30,4,0))</f>
        <v>0</v>
      </c>
      <c r="F181" s="2">
        <f>SUMPRODUCT($CA181:$DV181,INDEX('MC MAP'!$DA$5:$EV$30,5,0))</f>
        <v>0</v>
      </c>
      <c r="G181" s="2">
        <f>SUMPRODUCT($CA181:$DV181,INDEX('MC MAP'!$DA$5:$EV$30,6,0))</f>
        <v>0</v>
      </c>
      <c r="H181" s="2">
        <f>SUMPRODUCT($CA181:$DV181,INDEX('MC MAP'!$DA$5:$EV$30,7,0))</f>
        <v>0</v>
      </c>
      <c r="I181" s="2">
        <f>SUMPRODUCT($CA181:$DV181,INDEX('MC MAP'!$DA$5:$EV$30,8,0))</f>
        <v>0</v>
      </c>
      <c r="J181" s="2">
        <f>SUMPRODUCT($CA181:$DV181,INDEX('MC MAP'!$DA$5:$EV$30,9,0))</f>
        <v>0</v>
      </c>
      <c r="K181" s="2">
        <f>SUMPRODUCT($CA181:$DV181,INDEX('MC MAP'!$DA$5:$EV$30,10,0))</f>
        <v>0</v>
      </c>
      <c r="L181" s="2">
        <f>SUMPRODUCT($CA181:$DV181,INDEX('MC MAP'!$DA$5:$EV$30,11,0))</f>
        <v>0</v>
      </c>
      <c r="M181" s="2">
        <f>SUMPRODUCT($CA181:$DV181,INDEX('MC MAP'!$DA$5:$EV$30,12,0))</f>
        <v>0</v>
      </c>
      <c r="N181" s="2">
        <f>SUMPRODUCT($CA181:$DV181,INDEX('MC MAP'!$DA$5:$EV$30,13,0))</f>
        <v>0</v>
      </c>
      <c r="O181" s="2">
        <f>SUMPRODUCT($CA181:$DV181,INDEX('MC MAP'!$DA$5:$EV$30,14,0))</f>
        <v>0</v>
      </c>
      <c r="P181" s="2">
        <f>SUMPRODUCT($CA181:$DV181,INDEX('MC MAP'!$DA$5:$EV$30,15,0))</f>
        <v>0</v>
      </c>
      <c r="Q181" s="2">
        <f>SUMPRODUCT($CA181:$DV181,INDEX('MC MAP'!$DA$5:$EV$30,16,0))</f>
        <v>0</v>
      </c>
      <c r="R181" s="2">
        <f>SUMPRODUCT($CA181:$DV181,INDEX('MC MAP'!$DA$5:$EV$30,17,0))</f>
        <v>0</v>
      </c>
      <c r="S181" s="2">
        <f>SUMPRODUCT($CA181:$DV181,INDEX('MC MAP'!$DA$5:$EV$30,18,0))</f>
        <v>0</v>
      </c>
      <c r="T181" s="2">
        <f>SUMPRODUCT($CA181:$DV181,INDEX('MC MAP'!$DA$5:$EV$30,19,0))</f>
        <v>0</v>
      </c>
      <c r="U181" s="2">
        <f>SUMPRODUCT($CA181:$DV181,INDEX('MC MAP'!$DA$5:$EV$30,20,0))</f>
        <v>0</v>
      </c>
      <c r="V181" s="2">
        <f>SUMPRODUCT($CA181:$DV181,INDEX('MC MAP'!$DA$5:$EV$30,21,0))</f>
        <v>0</v>
      </c>
      <c r="W181" s="2">
        <f>SUMPRODUCT($CA181:$DV181,INDEX('MC MAP'!$DA$5:$EV$30,22,0))</f>
        <v>0</v>
      </c>
      <c r="X181" s="2">
        <f>SUMPRODUCT($CA181:$DV181,INDEX('MC MAP'!$DA$5:$EV$30,23,0))</f>
        <v>0</v>
      </c>
      <c r="Y181" s="2">
        <f>SUMPRODUCT($CA181:$DV181,INDEX('MC MAP'!$DA$5:$EV$30,24,0))</f>
        <v>0</v>
      </c>
      <c r="Z181" s="2">
        <f>SUMPRODUCT($CA181:$DV181,INDEX('MC MAP'!$DA$5:$EV$30,25,0))</f>
        <v>0</v>
      </c>
      <c r="AA181" s="2">
        <f>SUMPRODUCT($CA181:$DV181,INDEX('MC MAP'!$DA$5:$EV$30,26,0))</f>
        <v>0</v>
      </c>
      <c r="AB181" s="2">
        <f>SUM($B181:$AA181)</f>
        <v>0</v>
      </c>
      <c r="AC181" s="2">
        <f>SUM($CA181:$DV181)+$AW181</f>
        <v>0</v>
      </c>
      <c r="AW181" s="2">
        <f>IF($A181=0,0,COUNTIF(INDEX('LINE PLAN'!$B$36:$GS$61,0,ROW()-3),"THERMAL - NOT SPECIFIED"))</f>
        <v>0</v>
      </c>
      <c r="AX181" s="506" cm="1">
        <f t="array" ref="AX181">IF(OR($AB181=0,UPPER($BS181)&lt;&gt;"Y"),0,SUMPRODUCT(--($B181:$AA181&gt;$B$205:$AA$205)))</f>
        <v>0</v>
      </c>
      <c r="AY181" s="507">
        <f>$A181</f>
        <v>0</v>
      </c>
      <c r="AZ181" s="2">
        <f>$AB181</f>
        <v>0</v>
      </c>
      <c r="BA181" s="2">
        <f>'MC MASTER'!$C$29</f>
        <v>920</v>
      </c>
      <c r="BQ181" s="509">
        <f>$A181</f>
        <v>0</v>
      </c>
      <c r="BR181" s="15" t="str">
        <f>TEXT($A181,"ddd")</f>
        <v>Sat</v>
      </c>
      <c r="BS181" s="547" t="str">
        <f>IF($A181=0,"",IF(WEEKDAY($A181,2)=7,"N","Y"))</f>
        <v/>
      </c>
      <c r="BT181" s="15">
        <f>IF(UPPER($BS181)="Y",$AB181,0)</f>
        <v>0</v>
      </c>
      <c r="CA181" s="2">
        <f>COUNTIF(INDEX('LINE PLAN'!$B$36:$GS$61,0,ROW()-3),CA$3)</f>
        <v>0</v>
      </c>
      <c r="CB181" s="2">
        <f>COUNTIF(INDEX('LINE PLAN'!$B$36:$GS$61,0,ROW()-3),CB$3)</f>
        <v>0</v>
      </c>
      <c r="CC181" s="2">
        <f>COUNTIF(INDEX('LINE PLAN'!$B$36:$GS$61,0,ROW()-3),CC$3)</f>
        <v>0</v>
      </c>
      <c r="CD181" s="2">
        <f>COUNTIF(INDEX('LINE PLAN'!$B$36:$GS$61,0,ROW()-3),CD$3)</f>
        <v>0</v>
      </c>
      <c r="CE181" s="2">
        <f>COUNTIF(INDEX('LINE PLAN'!$B$36:$GS$61,0,ROW()-3),CE$3)</f>
        <v>0</v>
      </c>
      <c r="CF181" s="2">
        <f>COUNTIF(INDEX('LINE PLAN'!$B$36:$GS$61,0,ROW()-3),CF$3)</f>
        <v>0</v>
      </c>
      <c r="CG181" s="2">
        <f>COUNTIF(INDEX('LINE PLAN'!$B$36:$GS$61,0,ROW()-3),CG$3)</f>
        <v>0</v>
      </c>
      <c r="CH181" s="2">
        <f>COUNTIF(INDEX('LINE PLAN'!$B$36:$GS$61,0,ROW()-3),CH$3)</f>
        <v>0</v>
      </c>
      <c r="CI181" s="2">
        <f>COUNTIF(INDEX('LINE PLAN'!$B$36:$GS$61,0,ROW()-3),CI$3)</f>
        <v>0</v>
      </c>
      <c r="CJ181" s="2">
        <f>COUNTIF(INDEX('LINE PLAN'!$B$36:$GS$61,0,ROW()-3),CJ$3)</f>
        <v>0</v>
      </c>
      <c r="CK181" s="2">
        <f>COUNTIF(INDEX('LINE PLAN'!$B$36:$GS$61,0,ROW()-3),CK$3)</f>
        <v>0</v>
      </c>
      <c r="CL181" s="2">
        <f>COUNTIF(INDEX('LINE PLAN'!$B$36:$GS$61,0,ROW()-3),CL$3)</f>
        <v>0</v>
      </c>
      <c r="CM181" s="2">
        <f>COUNTIF(INDEX('LINE PLAN'!$B$36:$GS$61,0,ROW()-3),CM$3)</f>
        <v>0</v>
      </c>
      <c r="CN181" s="2">
        <f>COUNTIF(INDEX('LINE PLAN'!$B$36:$GS$61,0,ROW()-3),CN$3)</f>
        <v>0</v>
      </c>
      <c r="CO181" s="2">
        <f>COUNTIF(INDEX('LINE PLAN'!$B$36:$GS$61,0,ROW()-3),CO$3)</f>
        <v>0</v>
      </c>
      <c r="CP181" s="2">
        <f>COUNTIF(INDEX('LINE PLAN'!$B$36:$GS$61,0,ROW()-3),CP$3)</f>
        <v>0</v>
      </c>
      <c r="CQ181" s="2">
        <f>COUNTIF(INDEX('LINE PLAN'!$B$36:$GS$61,0,ROW()-3),CQ$3)</f>
        <v>0</v>
      </c>
      <c r="CR181" s="2">
        <f>COUNTIF(INDEX('LINE PLAN'!$B$36:$GS$61,0,ROW()-3),CR$3)</f>
        <v>0</v>
      </c>
      <c r="CS181" s="2">
        <f>COUNTIF(INDEX('LINE PLAN'!$B$36:$GS$61,0,ROW()-3),CS$3)</f>
        <v>0</v>
      </c>
      <c r="CT181" s="2">
        <f>COUNTIF(INDEX('LINE PLAN'!$B$36:$GS$61,0,ROW()-3),CT$3)</f>
        <v>0</v>
      </c>
      <c r="CU181" s="2">
        <f>COUNTIF(INDEX('LINE PLAN'!$B$36:$GS$61,0,ROW()-3),CU$3)</f>
        <v>0</v>
      </c>
      <c r="CV181" s="2">
        <f>COUNTIF(INDEX('LINE PLAN'!$B$36:$GS$61,0,ROW()-3),CV$3)</f>
        <v>0</v>
      </c>
      <c r="CW181" s="2">
        <f>COUNTIF(INDEX('LINE PLAN'!$B$36:$GS$61,0,ROW()-3),CW$3)</f>
        <v>0</v>
      </c>
      <c r="CX181" s="2">
        <f>COUNTIF(INDEX('LINE PLAN'!$B$36:$GS$61,0,ROW()-3),CX$3)</f>
        <v>0</v>
      </c>
      <c r="CY181" s="2">
        <f>COUNTIF(INDEX('LINE PLAN'!$B$36:$GS$61,0,ROW()-3),CY$3)</f>
        <v>0</v>
      </c>
      <c r="CZ181" s="2">
        <f>COUNTIF(INDEX('LINE PLAN'!$B$36:$GS$61,0,ROW()-3),CZ$3)</f>
        <v>0</v>
      </c>
      <c r="DA181" s="2">
        <f>COUNTIF(INDEX('LINE PLAN'!$B$36:$GS$61,0,ROW()-3),DA$3)</f>
        <v>0</v>
      </c>
      <c r="DB181" s="2">
        <f>COUNTIF(INDEX('LINE PLAN'!$B$36:$GS$61,0,ROW()-3),DB$3)</f>
        <v>0</v>
      </c>
      <c r="DC181" s="2">
        <f>COUNTIF(INDEX('LINE PLAN'!$B$36:$GS$61,0,ROW()-3),DC$3)</f>
        <v>0</v>
      </c>
      <c r="DD181" s="2">
        <f>COUNTIF(INDEX('LINE PLAN'!$B$36:$GS$61,0,ROW()-3),DD$3)</f>
        <v>0</v>
      </c>
      <c r="DE181" s="2">
        <f>COUNTIF(INDEX('LINE PLAN'!$B$36:$GS$61,0,ROW()-3),DE$3)</f>
        <v>0</v>
      </c>
      <c r="DF181" s="2">
        <f>COUNTIF(INDEX('LINE PLAN'!$B$36:$GS$61,0,ROW()-3),DF$3)</f>
        <v>0</v>
      </c>
      <c r="DG181" s="2">
        <f>COUNTIF(INDEX('LINE PLAN'!$B$36:$GS$61,0,ROW()-3),DG$3)</f>
        <v>0</v>
      </c>
      <c r="DH181" s="2">
        <f>COUNTIF(INDEX('LINE PLAN'!$B$36:$GS$61,0,ROW()-3),DH$3)</f>
        <v>0</v>
      </c>
      <c r="DI181" s="2">
        <f>COUNTIF(INDEX('LINE PLAN'!$B$36:$GS$61,0,ROW()-3),DI$3)</f>
        <v>0</v>
      </c>
      <c r="DJ181" s="2">
        <f>COUNTIF(INDEX('LINE PLAN'!$B$36:$GS$61,0,ROW()-3),DJ$3)</f>
        <v>0</v>
      </c>
      <c r="DK181" s="2">
        <f>COUNTIF(INDEX('LINE PLAN'!$B$36:$GS$61,0,ROW()-3),DK$3)</f>
        <v>0</v>
      </c>
      <c r="DL181" s="2">
        <f>COUNTIF(INDEX('LINE PLAN'!$B$36:$GS$61,0,ROW()-3),DL$3)</f>
        <v>0</v>
      </c>
      <c r="DM181" s="2">
        <f>COUNTIF(INDEX('LINE PLAN'!$B$36:$GS$61,0,ROW()-3),DM$3)</f>
        <v>0</v>
      </c>
      <c r="DN181" s="2">
        <f>COUNTIF(INDEX('LINE PLAN'!$B$36:$GS$61,0,ROW()-3),DN$3)</f>
        <v>0</v>
      </c>
      <c r="DO181" s="2">
        <f>COUNTIF(INDEX('LINE PLAN'!$B$36:$GS$61,0,ROW()-3),DO$3)</f>
        <v>0</v>
      </c>
      <c r="DP181" s="2">
        <f>COUNTIF(INDEX('LINE PLAN'!$B$36:$GS$61,0,ROW()-3),DP$3)</f>
        <v>0</v>
      </c>
      <c r="DQ181" s="2">
        <f>COUNTIF(INDEX('LINE PLAN'!$B$36:$GS$61,0,ROW()-3),DQ$3)</f>
        <v>0</v>
      </c>
      <c r="DR181" s="2">
        <f>COUNTIF(INDEX('LINE PLAN'!$B$36:$GS$61,0,ROW()-3),DR$3)</f>
        <v>0</v>
      </c>
      <c r="DS181" s="2">
        <f>COUNTIF(INDEX('LINE PLAN'!$B$36:$GS$61,0,ROW()-3),DS$3)</f>
        <v>0</v>
      </c>
      <c r="DT181" s="2">
        <f>COUNTIF(INDEX('LINE PLAN'!$B$36:$GS$61,0,ROW()-3),DT$3)</f>
        <v>0</v>
      </c>
      <c r="DU181" s="2">
        <f>COUNTIF(INDEX('LINE PLAN'!$B$36:$GS$61,0,ROW()-3),DU$3)</f>
        <v>0</v>
      </c>
      <c r="DV181" s="2">
        <f>COUNTIF(INDEX('LINE PLAN'!$B$36:$GS$61,0,ROW()-3),DV$3)</f>
        <v>0</v>
      </c>
    </row>
    <row r="182" spans="1:126">
      <c r="A182" s="505" cm="1">
        <f t="array" ref="A182">INDEX('LINE PLAN'!$B$35:$GS$35,ROW()-3)</f>
        <v>0</v>
      </c>
      <c r="B182" s="2">
        <f>SUMPRODUCT($CA182:$DV182,INDEX('MC MAP'!$DA$5:$EV$30,1,0))</f>
        <v>0</v>
      </c>
      <c r="C182" s="2">
        <f>SUMPRODUCT($CA182:$DV182,INDEX('MC MAP'!$DA$5:$EV$30,2,0))</f>
        <v>0</v>
      </c>
      <c r="D182" s="2">
        <f>SUMPRODUCT($CA182:$DV182,INDEX('MC MAP'!$DA$5:$EV$30,3,0))</f>
        <v>0</v>
      </c>
      <c r="E182" s="2">
        <f>SUMPRODUCT($CA182:$DV182,INDEX('MC MAP'!$DA$5:$EV$30,4,0))</f>
        <v>0</v>
      </c>
      <c r="F182" s="2">
        <f>SUMPRODUCT($CA182:$DV182,INDEX('MC MAP'!$DA$5:$EV$30,5,0))</f>
        <v>0</v>
      </c>
      <c r="G182" s="2">
        <f>SUMPRODUCT($CA182:$DV182,INDEX('MC MAP'!$DA$5:$EV$30,6,0))</f>
        <v>0</v>
      </c>
      <c r="H182" s="2">
        <f>SUMPRODUCT($CA182:$DV182,INDEX('MC MAP'!$DA$5:$EV$30,7,0))</f>
        <v>0</v>
      </c>
      <c r="I182" s="2">
        <f>SUMPRODUCT($CA182:$DV182,INDEX('MC MAP'!$DA$5:$EV$30,8,0))</f>
        <v>0</v>
      </c>
      <c r="J182" s="2">
        <f>SUMPRODUCT($CA182:$DV182,INDEX('MC MAP'!$DA$5:$EV$30,9,0))</f>
        <v>0</v>
      </c>
      <c r="K182" s="2">
        <f>SUMPRODUCT($CA182:$DV182,INDEX('MC MAP'!$DA$5:$EV$30,10,0))</f>
        <v>0</v>
      </c>
      <c r="L182" s="2">
        <f>SUMPRODUCT($CA182:$DV182,INDEX('MC MAP'!$DA$5:$EV$30,11,0))</f>
        <v>0</v>
      </c>
      <c r="M182" s="2">
        <f>SUMPRODUCT($CA182:$DV182,INDEX('MC MAP'!$DA$5:$EV$30,12,0))</f>
        <v>0</v>
      </c>
      <c r="N182" s="2">
        <f>SUMPRODUCT($CA182:$DV182,INDEX('MC MAP'!$DA$5:$EV$30,13,0))</f>
        <v>0</v>
      </c>
      <c r="O182" s="2">
        <f>SUMPRODUCT($CA182:$DV182,INDEX('MC MAP'!$DA$5:$EV$30,14,0))</f>
        <v>0</v>
      </c>
      <c r="P182" s="2">
        <f>SUMPRODUCT($CA182:$DV182,INDEX('MC MAP'!$DA$5:$EV$30,15,0))</f>
        <v>0</v>
      </c>
      <c r="Q182" s="2">
        <f>SUMPRODUCT($CA182:$DV182,INDEX('MC MAP'!$DA$5:$EV$30,16,0))</f>
        <v>0</v>
      </c>
      <c r="R182" s="2">
        <f>SUMPRODUCT($CA182:$DV182,INDEX('MC MAP'!$DA$5:$EV$30,17,0))</f>
        <v>0</v>
      </c>
      <c r="S182" s="2">
        <f>SUMPRODUCT($CA182:$DV182,INDEX('MC MAP'!$DA$5:$EV$30,18,0))</f>
        <v>0</v>
      </c>
      <c r="T182" s="2">
        <f>SUMPRODUCT($CA182:$DV182,INDEX('MC MAP'!$DA$5:$EV$30,19,0))</f>
        <v>0</v>
      </c>
      <c r="U182" s="2">
        <f>SUMPRODUCT($CA182:$DV182,INDEX('MC MAP'!$DA$5:$EV$30,20,0))</f>
        <v>0</v>
      </c>
      <c r="V182" s="2">
        <f>SUMPRODUCT($CA182:$DV182,INDEX('MC MAP'!$DA$5:$EV$30,21,0))</f>
        <v>0</v>
      </c>
      <c r="W182" s="2">
        <f>SUMPRODUCT($CA182:$DV182,INDEX('MC MAP'!$DA$5:$EV$30,22,0))</f>
        <v>0</v>
      </c>
      <c r="X182" s="2">
        <f>SUMPRODUCT($CA182:$DV182,INDEX('MC MAP'!$DA$5:$EV$30,23,0))</f>
        <v>0</v>
      </c>
      <c r="Y182" s="2">
        <f>SUMPRODUCT($CA182:$DV182,INDEX('MC MAP'!$DA$5:$EV$30,24,0))</f>
        <v>0</v>
      </c>
      <c r="Z182" s="2">
        <f>SUMPRODUCT($CA182:$DV182,INDEX('MC MAP'!$DA$5:$EV$30,25,0))</f>
        <v>0</v>
      </c>
      <c r="AA182" s="2">
        <f>SUMPRODUCT($CA182:$DV182,INDEX('MC MAP'!$DA$5:$EV$30,26,0))</f>
        <v>0</v>
      </c>
      <c r="AB182" s="2">
        <f>SUM($B182:$AA182)</f>
        <v>0</v>
      </c>
      <c r="AC182" s="2">
        <f>SUM($CA182:$DV182)+$AW182</f>
        <v>0</v>
      </c>
      <c r="AW182" s="2">
        <f>IF($A182=0,0,COUNTIF(INDEX('LINE PLAN'!$B$36:$GS$61,0,ROW()-3),"THERMAL - NOT SPECIFIED"))</f>
        <v>0</v>
      </c>
      <c r="AX182" s="506" cm="1">
        <f t="array" ref="AX182">IF(OR($AB182=0,UPPER($BS182)&lt;&gt;"Y"),0,SUMPRODUCT(--($B182:$AA182&gt;$B$205:$AA$205)))</f>
        <v>0</v>
      </c>
      <c r="AY182" s="507">
        <f>$A182</f>
        <v>0</v>
      </c>
      <c r="AZ182" s="2">
        <f>$AB182</f>
        <v>0</v>
      </c>
      <c r="BA182" s="2">
        <f>'MC MASTER'!$C$29</f>
        <v>920</v>
      </c>
      <c r="BQ182" s="509">
        <f>$A182</f>
        <v>0</v>
      </c>
      <c r="BR182" s="15" t="str">
        <f>TEXT($A182,"ddd")</f>
        <v>Sat</v>
      </c>
      <c r="BS182" s="547" t="str">
        <f>IF($A182=0,"",IF(WEEKDAY($A182,2)=7,"N","Y"))</f>
        <v/>
      </c>
      <c r="BT182" s="15">
        <f>IF(UPPER($BS182)="Y",$AB182,0)</f>
        <v>0</v>
      </c>
      <c r="CA182" s="2">
        <f>COUNTIF(INDEX('LINE PLAN'!$B$36:$GS$61,0,ROW()-3),CA$3)</f>
        <v>0</v>
      </c>
      <c r="CB182" s="2">
        <f>COUNTIF(INDEX('LINE PLAN'!$B$36:$GS$61,0,ROW()-3),CB$3)</f>
        <v>0</v>
      </c>
      <c r="CC182" s="2">
        <f>COUNTIF(INDEX('LINE PLAN'!$B$36:$GS$61,0,ROW()-3),CC$3)</f>
        <v>0</v>
      </c>
      <c r="CD182" s="2">
        <f>COUNTIF(INDEX('LINE PLAN'!$B$36:$GS$61,0,ROW()-3),CD$3)</f>
        <v>0</v>
      </c>
      <c r="CE182" s="2">
        <f>COUNTIF(INDEX('LINE PLAN'!$B$36:$GS$61,0,ROW()-3),CE$3)</f>
        <v>0</v>
      </c>
      <c r="CF182" s="2">
        <f>COUNTIF(INDEX('LINE PLAN'!$B$36:$GS$61,0,ROW()-3),CF$3)</f>
        <v>0</v>
      </c>
      <c r="CG182" s="2">
        <f>COUNTIF(INDEX('LINE PLAN'!$B$36:$GS$61,0,ROW()-3),CG$3)</f>
        <v>0</v>
      </c>
      <c r="CH182" s="2">
        <f>COUNTIF(INDEX('LINE PLAN'!$B$36:$GS$61,0,ROW()-3),CH$3)</f>
        <v>0</v>
      </c>
      <c r="CI182" s="2">
        <f>COUNTIF(INDEX('LINE PLAN'!$B$36:$GS$61,0,ROW()-3),CI$3)</f>
        <v>0</v>
      </c>
      <c r="CJ182" s="2">
        <f>COUNTIF(INDEX('LINE PLAN'!$B$36:$GS$61,0,ROW()-3),CJ$3)</f>
        <v>0</v>
      </c>
      <c r="CK182" s="2">
        <f>COUNTIF(INDEX('LINE PLAN'!$B$36:$GS$61,0,ROW()-3),CK$3)</f>
        <v>0</v>
      </c>
      <c r="CL182" s="2">
        <f>COUNTIF(INDEX('LINE PLAN'!$B$36:$GS$61,0,ROW()-3),CL$3)</f>
        <v>0</v>
      </c>
      <c r="CM182" s="2">
        <f>COUNTIF(INDEX('LINE PLAN'!$B$36:$GS$61,0,ROW()-3),CM$3)</f>
        <v>0</v>
      </c>
      <c r="CN182" s="2">
        <f>COUNTIF(INDEX('LINE PLAN'!$B$36:$GS$61,0,ROW()-3),CN$3)</f>
        <v>0</v>
      </c>
      <c r="CO182" s="2">
        <f>COUNTIF(INDEX('LINE PLAN'!$B$36:$GS$61,0,ROW()-3),CO$3)</f>
        <v>0</v>
      </c>
      <c r="CP182" s="2">
        <f>COUNTIF(INDEX('LINE PLAN'!$B$36:$GS$61,0,ROW()-3),CP$3)</f>
        <v>0</v>
      </c>
      <c r="CQ182" s="2">
        <f>COUNTIF(INDEX('LINE PLAN'!$B$36:$GS$61,0,ROW()-3),CQ$3)</f>
        <v>0</v>
      </c>
      <c r="CR182" s="2">
        <f>COUNTIF(INDEX('LINE PLAN'!$B$36:$GS$61,0,ROW()-3),CR$3)</f>
        <v>0</v>
      </c>
      <c r="CS182" s="2">
        <f>COUNTIF(INDEX('LINE PLAN'!$B$36:$GS$61,0,ROW()-3),CS$3)</f>
        <v>0</v>
      </c>
      <c r="CT182" s="2">
        <f>COUNTIF(INDEX('LINE PLAN'!$B$36:$GS$61,0,ROW()-3),CT$3)</f>
        <v>0</v>
      </c>
      <c r="CU182" s="2">
        <f>COUNTIF(INDEX('LINE PLAN'!$B$36:$GS$61,0,ROW()-3),CU$3)</f>
        <v>0</v>
      </c>
      <c r="CV182" s="2">
        <f>COUNTIF(INDEX('LINE PLAN'!$B$36:$GS$61,0,ROW()-3),CV$3)</f>
        <v>0</v>
      </c>
      <c r="CW182" s="2">
        <f>COUNTIF(INDEX('LINE PLAN'!$B$36:$GS$61,0,ROW()-3),CW$3)</f>
        <v>0</v>
      </c>
      <c r="CX182" s="2">
        <f>COUNTIF(INDEX('LINE PLAN'!$B$36:$GS$61,0,ROW()-3),CX$3)</f>
        <v>0</v>
      </c>
      <c r="CY182" s="2">
        <f>COUNTIF(INDEX('LINE PLAN'!$B$36:$GS$61,0,ROW()-3),CY$3)</f>
        <v>0</v>
      </c>
      <c r="CZ182" s="2">
        <f>COUNTIF(INDEX('LINE PLAN'!$B$36:$GS$61,0,ROW()-3),CZ$3)</f>
        <v>0</v>
      </c>
      <c r="DA182" s="2">
        <f>COUNTIF(INDEX('LINE PLAN'!$B$36:$GS$61,0,ROW()-3),DA$3)</f>
        <v>0</v>
      </c>
      <c r="DB182" s="2">
        <f>COUNTIF(INDEX('LINE PLAN'!$B$36:$GS$61,0,ROW()-3),DB$3)</f>
        <v>0</v>
      </c>
      <c r="DC182" s="2">
        <f>COUNTIF(INDEX('LINE PLAN'!$B$36:$GS$61,0,ROW()-3),DC$3)</f>
        <v>0</v>
      </c>
      <c r="DD182" s="2">
        <f>COUNTIF(INDEX('LINE PLAN'!$B$36:$GS$61,0,ROW()-3),DD$3)</f>
        <v>0</v>
      </c>
      <c r="DE182" s="2">
        <f>COUNTIF(INDEX('LINE PLAN'!$B$36:$GS$61,0,ROW()-3),DE$3)</f>
        <v>0</v>
      </c>
      <c r="DF182" s="2">
        <f>COUNTIF(INDEX('LINE PLAN'!$B$36:$GS$61,0,ROW()-3),DF$3)</f>
        <v>0</v>
      </c>
      <c r="DG182" s="2">
        <f>COUNTIF(INDEX('LINE PLAN'!$B$36:$GS$61,0,ROW()-3),DG$3)</f>
        <v>0</v>
      </c>
      <c r="DH182" s="2">
        <f>COUNTIF(INDEX('LINE PLAN'!$B$36:$GS$61,0,ROW()-3),DH$3)</f>
        <v>0</v>
      </c>
      <c r="DI182" s="2">
        <f>COUNTIF(INDEX('LINE PLAN'!$B$36:$GS$61,0,ROW()-3),DI$3)</f>
        <v>0</v>
      </c>
      <c r="DJ182" s="2">
        <f>COUNTIF(INDEX('LINE PLAN'!$B$36:$GS$61,0,ROW()-3),DJ$3)</f>
        <v>0</v>
      </c>
      <c r="DK182" s="2">
        <f>COUNTIF(INDEX('LINE PLAN'!$B$36:$GS$61,0,ROW()-3),DK$3)</f>
        <v>0</v>
      </c>
      <c r="DL182" s="2">
        <f>COUNTIF(INDEX('LINE PLAN'!$B$36:$GS$61,0,ROW()-3),DL$3)</f>
        <v>0</v>
      </c>
      <c r="DM182" s="2">
        <f>COUNTIF(INDEX('LINE PLAN'!$B$36:$GS$61,0,ROW()-3),DM$3)</f>
        <v>0</v>
      </c>
      <c r="DN182" s="2">
        <f>COUNTIF(INDEX('LINE PLAN'!$B$36:$GS$61,0,ROW()-3),DN$3)</f>
        <v>0</v>
      </c>
      <c r="DO182" s="2">
        <f>COUNTIF(INDEX('LINE PLAN'!$B$36:$GS$61,0,ROW()-3),DO$3)</f>
        <v>0</v>
      </c>
      <c r="DP182" s="2">
        <f>COUNTIF(INDEX('LINE PLAN'!$B$36:$GS$61,0,ROW()-3),DP$3)</f>
        <v>0</v>
      </c>
      <c r="DQ182" s="2">
        <f>COUNTIF(INDEX('LINE PLAN'!$B$36:$GS$61,0,ROW()-3),DQ$3)</f>
        <v>0</v>
      </c>
      <c r="DR182" s="2">
        <f>COUNTIF(INDEX('LINE PLAN'!$B$36:$GS$61,0,ROW()-3),DR$3)</f>
        <v>0</v>
      </c>
      <c r="DS182" s="2">
        <f>COUNTIF(INDEX('LINE PLAN'!$B$36:$GS$61,0,ROW()-3),DS$3)</f>
        <v>0</v>
      </c>
      <c r="DT182" s="2">
        <f>COUNTIF(INDEX('LINE PLAN'!$B$36:$GS$61,0,ROW()-3),DT$3)</f>
        <v>0</v>
      </c>
      <c r="DU182" s="2">
        <f>COUNTIF(INDEX('LINE PLAN'!$B$36:$GS$61,0,ROW()-3),DU$3)</f>
        <v>0</v>
      </c>
      <c r="DV182" s="2">
        <f>COUNTIF(INDEX('LINE PLAN'!$B$36:$GS$61,0,ROW()-3),DV$3)</f>
        <v>0</v>
      </c>
    </row>
    <row r="183" spans="1:126">
      <c r="A183" s="505" cm="1">
        <f t="array" ref="A183">INDEX('LINE PLAN'!$B$35:$GS$35,ROW()-3)</f>
        <v>0</v>
      </c>
      <c r="B183" s="2">
        <f>SUMPRODUCT($CA183:$DV183,INDEX('MC MAP'!$DA$5:$EV$30,1,0))</f>
        <v>0</v>
      </c>
      <c r="C183" s="2">
        <f>SUMPRODUCT($CA183:$DV183,INDEX('MC MAP'!$DA$5:$EV$30,2,0))</f>
        <v>0</v>
      </c>
      <c r="D183" s="2">
        <f>SUMPRODUCT($CA183:$DV183,INDEX('MC MAP'!$DA$5:$EV$30,3,0))</f>
        <v>0</v>
      </c>
      <c r="E183" s="2">
        <f>SUMPRODUCT($CA183:$DV183,INDEX('MC MAP'!$DA$5:$EV$30,4,0))</f>
        <v>0</v>
      </c>
      <c r="F183" s="2">
        <f>SUMPRODUCT($CA183:$DV183,INDEX('MC MAP'!$DA$5:$EV$30,5,0))</f>
        <v>0</v>
      </c>
      <c r="G183" s="2">
        <f>SUMPRODUCT($CA183:$DV183,INDEX('MC MAP'!$DA$5:$EV$30,6,0))</f>
        <v>0</v>
      </c>
      <c r="H183" s="2">
        <f>SUMPRODUCT($CA183:$DV183,INDEX('MC MAP'!$DA$5:$EV$30,7,0))</f>
        <v>0</v>
      </c>
      <c r="I183" s="2">
        <f>SUMPRODUCT($CA183:$DV183,INDEX('MC MAP'!$DA$5:$EV$30,8,0))</f>
        <v>0</v>
      </c>
      <c r="J183" s="2">
        <f>SUMPRODUCT($CA183:$DV183,INDEX('MC MAP'!$DA$5:$EV$30,9,0))</f>
        <v>0</v>
      </c>
      <c r="K183" s="2">
        <f>SUMPRODUCT($CA183:$DV183,INDEX('MC MAP'!$DA$5:$EV$30,10,0))</f>
        <v>0</v>
      </c>
      <c r="L183" s="2">
        <f>SUMPRODUCT($CA183:$DV183,INDEX('MC MAP'!$DA$5:$EV$30,11,0))</f>
        <v>0</v>
      </c>
      <c r="M183" s="2">
        <f>SUMPRODUCT($CA183:$DV183,INDEX('MC MAP'!$DA$5:$EV$30,12,0))</f>
        <v>0</v>
      </c>
      <c r="N183" s="2">
        <f>SUMPRODUCT($CA183:$DV183,INDEX('MC MAP'!$DA$5:$EV$30,13,0))</f>
        <v>0</v>
      </c>
      <c r="O183" s="2">
        <f>SUMPRODUCT($CA183:$DV183,INDEX('MC MAP'!$DA$5:$EV$30,14,0))</f>
        <v>0</v>
      </c>
      <c r="P183" s="2">
        <f>SUMPRODUCT($CA183:$DV183,INDEX('MC MAP'!$DA$5:$EV$30,15,0))</f>
        <v>0</v>
      </c>
      <c r="Q183" s="2">
        <f>SUMPRODUCT($CA183:$DV183,INDEX('MC MAP'!$DA$5:$EV$30,16,0))</f>
        <v>0</v>
      </c>
      <c r="R183" s="2">
        <f>SUMPRODUCT($CA183:$DV183,INDEX('MC MAP'!$DA$5:$EV$30,17,0))</f>
        <v>0</v>
      </c>
      <c r="S183" s="2">
        <f>SUMPRODUCT($CA183:$DV183,INDEX('MC MAP'!$DA$5:$EV$30,18,0))</f>
        <v>0</v>
      </c>
      <c r="T183" s="2">
        <f>SUMPRODUCT($CA183:$DV183,INDEX('MC MAP'!$DA$5:$EV$30,19,0))</f>
        <v>0</v>
      </c>
      <c r="U183" s="2">
        <f>SUMPRODUCT($CA183:$DV183,INDEX('MC MAP'!$DA$5:$EV$30,20,0))</f>
        <v>0</v>
      </c>
      <c r="V183" s="2">
        <f>SUMPRODUCT($CA183:$DV183,INDEX('MC MAP'!$DA$5:$EV$30,21,0))</f>
        <v>0</v>
      </c>
      <c r="W183" s="2">
        <f>SUMPRODUCT($CA183:$DV183,INDEX('MC MAP'!$DA$5:$EV$30,22,0))</f>
        <v>0</v>
      </c>
      <c r="X183" s="2">
        <f>SUMPRODUCT($CA183:$DV183,INDEX('MC MAP'!$DA$5:$EV$30,23,0))</f>
        <v>0</v>
      </c>
      <c r="Y183" s="2">
        <f>SUMPRODUCT($CA183:$DV183,INDEX('MC MAP'!$DA$5:$EV$30,24,0))</f>
        <v>0</v>
      </c>
      <c r="Z183" s="2">
        <f>SUMPRODUCT($CA183:$DV183,INDEX('MC MAP'!$DA$5:$EV$30,25,0))</f>
        <v>0</v>
      </c>
      <c r="AA183" s="2">
        <f>SUMPRODUCT($CA183:$DV183,INDEX('MC MAP'!$DA$5:$EV$30,26,0))</f>
        <v>0</v>
      </c>
      <c r="AB183" s="2">
        <f>SUM($B183:$AA183)</f>
        <v>0</v>
      </c>
      <c r="AC183" s="2">
        <f>SUM($CA183:$DV183)+$AW183</f>
        <v>0</v>
      </c>
      <c r="AW183" s="2">
        <f>IF($A183=0,0,COUNTIF(INDEX('LINE PLAN'!$B$36:$GS$61,0,ROW()-3),"THERMAL - NOT SPECIFIED"))</f>
        <v>0</v>
      </c>
      <c r="AX183" s="506" cm="1">
        <f t="array" ref="AX183">IF(OR($AB183=0,UPPER($BS183)&lt;&gt;"Y"),0,SUMPRODUCT(--($B183:$AA183&gt;$B$205:$AA$205)))</f>
        <v>0</v>
      </c>
      <c r="AY183" s="507">
        <f>$A183</f>
        <v>0</v>
      </c>
      <c r="AZ183" s="2">
        <f>$AB183</f>
        <v>0</v>
      </c>
      <c r="BA183" s="2">
        <f>'MC MASTER'!$C$29</f>
        <v>920</v>
      </c>
      <c r="BQ183" s="509">
        <f>$A183</f>
        <v>0</v>
      </c>
      <c r="BR183" s="15" t="str">
        <f>TEXT($A183,"ddd")</f>
        <v>Sat</v>
      </c>
      <c r="BS183" s="547" t="str">
        <f>IF($A183=0,"",IF(WEEKDAY($A183,2)=7,"N","Y"))</f>
        <v/>
      </c>
      <c r="BT183" s="15">
        <f>IF(UPPER($BS183)="Y",$AB183,0)</f>
        <v>0</v>
      </c>
      <c r="CA183" s="2">
        <f>COUNTIF(INDEX('LINE PLAN'!$B$36:$GS$61,0,ROW()-3),CA$3)</f>
        <v>0</v>
      </c>
      <c r="CB183" s="2">
        <f>COUNTIF(INDEX('LINE PLAN'!$B$36:$GS$61,0,ROW()-3),CB$3)</f>
        <v>0</v>
      </c>
      <c r="CC183" s="2">
        <f>COUNTIF(INDEX('LINE PLAN'!$B$36:$GS$61,0,ROW()-3),CC$3)</f>
        <v>0</v>
      </c>
      <c r="CD183" s="2">
        <f>COUNTIF(INDEX('LINE PLAN'!$B$36:$GS$61,0,ROW()-3),CD$3)</f>
        <v>0</v>
      </c>
      <c r="CE183" s="2">
        <f>COUNTIF(INDEX('LINE PLAN'!$B$36:$GS$61,0,ROW()-3),CE$3)</f>
        <v>0</v>
      </c>
      <c r="CF183" s="2">
        <f>COUNTIF(INDEX('LINE PLAN'!$B$36:$GS$61,0,ROW()-3),CF$3)</f>
        <v>0</v>
      </c>
      <c r="CG183" s="2">
        <f>COUNTIF(INDEX('LINE PLAN'!$B$36:$GS$61,0,ROW()-3),CG$3)</f>
        <v>0</v>
      </c>
      <c r="CH183" s="2">
        <f>COUNTIF(INDEX('LINE PLAN'!$B$36:$GS$61,0,ROW()-3),CH$3)</f>
        <v>0</v>
      </c>
      <c r="CI183" s="2">
        <f>COUNTIF(INDEX('LINE PLAN'!$B$36:$GS$61,0,ROW()-3),CI$3)</f>
        <v>0</v>
      </c>
      <c r="CJ183" s="2">
        <f>COUNTIF(INDEX('LINE PLAN'!$B$36:$GS$61,0,ROW()-3),CJ$3)</f>
        <v>0</v>
      </c>
      <c r="CK183" s="2">
        <f>COUNTIF(INDEX('LINE PLAN'!$B$36:$GS$61,0,ROW()-3),CK$3)</f>
        <v>0</v>
      </c>
      <c r="CL183" s="2">
        <f>COUNTIF(INDEX('LINE PLAN'!$B$36:$GS$61,0,ROW()-3),CL$3)</f>
        <v>0</v>
      </c>
      <c r="CM183" s="2">
        <f>COUNTIF(INDEX('LINE PLAN'!$B$36:$GS$61,0,ROW()-3),CM$3)</f>
        <v>0</v>
      </c>
      <c r="CN183" s="2">
        <f>COUNTIF(INDEX('LINE PLAN'!$B$36:$GS$61,0,ROW()-3),CN$3)</f>
        <v>0</v>
      </c>
      <c r="CO183" s="2">
        <f>COUNTIF(INDEX('LINE PLAN'!$B$36:$GS$61,0,ROW()-3),CO$3)</f>
        <v>0</v>
      </c>
      <c r="CP183" s="2">
        <f>COUNTIF(INDEX('LINE PLAN'!$B$36:$GS$61,0,ROW()-3),CP$3)</f>
        <v>0</v>
      </c>
      <c r="CQ183" s="2">
        <f>COUNTIF(INDEX('LINE PLAN'!$B$36:$GS$61,0,ROW()-3),CQ$3)</f>
        <v>0</v>
      </c>
      <c r="CR183" s="2">
        <f>COUNTIF(INDEX('LINE PLAN'!$B$36:$GS$61,0,ROW()-3),CR$3)</f>
        <v>0</v>
      </c>
      <c r="CS183" s="2">
        <f>COUNTIF(INDEX('LINE PLAN'!$B$36:$GS$61,0,ROW()-3),CS$3)</f>
        <v>0</v>
      </c>
      <c r="CT183" s="2">
        <f>COUNTIF(INDEX('LINE PLAN'!$B$36:$GS$61,0,ROW()-3),CT$3)</f>
        <v>0</v>
      </c>
      <c r="CU183" s="2">
        <f>COUNTIF(INDEX('LINE PLAN'!$B$36:$GS$61,0,ROW()-3),CU$3)</f>
        <v>0</v>
      </c>
      <c r="CV183" s="2">
        <f>COUNTIF(INDEX('LINE PLAN'!$B$36:$GS$61,0,ROW()-3),CV$3)</f>
        <v>0</v>
      </c>
      <c r="CW183" s="2">
        <f>COUNTIF(INDEX('LINE PLAN'!$B$36:$GS$61,0,ROW()-3),CW$3)</f>
        <v>0</v>
      </c>
      <c r="CX183" s="2">
        <f>COUNTIF(INDEX('LINE PLAN'!$B$36:$GS$61,0,ROW()-3),CX$3)</f>
        <v>0</v>
      </c>
      <c r="CY183" s="2">
        <f>COUNTIF(INDEX('LINE PLAN'!$B$36:$GS$61,0,ROW()-3),CY$3)</f>
        <v>0</v>
      </c>
      <c r="CZ183" s="2">
        <f>COUNTIF(INDEX('LINE PLAN'!$B$36:$GS$61,0,ROW()-3),CZ$3)</f>
        <v>0</v>
      </c>
      <c r="DA183" s="2">
        <f>COUNTIF(INDEX('LINE PLAN'!$B$36:$GS$61,0,ROW()-3),DA$3)</f>
        <v>0</v>
      </c>
      <c r="DB183" s="2">
        <f>COUNTIF(INDEX('LINE PLAN'!$B$36:$GS$61,0,ROW()-3),DB$3)</f>
        <v>0</v>
      </c>
      <c r="DC183" s="2">
        <f>COUNTIF(INDEX('LINE PLAN'!$B$36:$GS$61,0,ROW()-3),DC$3)</f>
        <v>0</v>
      </c>
      <c r="DD183" s="2">
        <f>COUNTIF(INDEX('LINE PLAN'!$B$36:$GS$61,0,ROW()-3),DD$3)</f>
        <v>0</v>
      </c>
      <c r="DE183" s="2">
        <f>COUNTIF(INDEX('LINE PLAN'!$B$36:$GS$61,0,ROW()-3),DE$3)</f>
        <v>0</v>
      </c>
      <c r="DF183" s="2">
        <f>COUNTIF(INDEX('LINE PLAN'!$B$36:$GS$61,0,ROW()-3),DF$3)</f>
        <v>0</v>
      </c>
      <c r="DG183" s="2">
        <f>COUNTIF(INDEX('LINE PLAN'!$B$36:$GS$61,0,ROW()-3),DG$3)</f>
        <v>0</v>
      </c>
      <c r="DH183" s="2">
        <f>COUNTIF(INDEX('LINE PLAN'!$B$36:$GS$61,0,ROW()-3),DH$3)</f>
        <v>0</v>
      </c>
      <c r="DI183" s="2">
        <f>COUNTIF(INDEX('LINE PLAN'!$B$36:$GS$61,0,ROW()-3),DI$3)</f>
        <v>0</v>
      </c>
      <c r="DJ183" s="2">
        <f>COUNTIF(INDEX('LINE PLAN'!$B$36:$GS$61,0,ROW()-3),DJ$3)</f>
        <v>0</v>
      </c>
      <c r="DK183" s="2">
        <f>COUNTIF(INDEX('LINE PLAN'!$B$36:$GS$61,0,ROW()-3),DK$3)</f>
        <v>0</v>
      </c>
      <c r="DL183" s="2">
        <f>COUNTIF(INDEX('LINE PLAN'!$B$36:$GS$61,0,ROW()-3),DL$3)</f>
        <v>0</v>
      </c>
      <c r="DM183" s="2">
        <f>COUNTIF(INDEX('LINE PLAN'!$B$36:$GS$61,0,ROW()-3),DM$3)</f>
        <v>0</v>
      </c>
      <c r="DN183" s="2">
        <f>COUNTIF(INDEX('LINE PLAN'!$B$36:$GS$61,0,ROW()-3),DN$3)</f>
        <v>0</v>
      </c>
      <c r="DO183" s="2">
        <f>COUNTIF(INDEX('LINE PLAN'!$B$36:$GS$61,0,ROW()-3),DO$3)</f>
        <v>0</v>
      </c>
      <c r="DP183" s="2">
        <f>COUNTIF(INDEX('LINE PLAN'!$B$36:$GS$61,0,ROW()-3),DP$3)</f>
        <v>0</v>
      </c>
      <c r="DQ183" s="2">
        <f>COUNTIF(INDEX('LINE PLAN'!$B$36:$GS$61,0,ROW()-3),DQ$3)</f>
        <v>0</v>
      </c>
      <c r="DR183" s="2">
        <f>COUNTIF(INDEX('LINE PLAN'!$B$36:$GS$61,0,ROW()-3),DR$3)</f>
        <v>0</v>
      </c>
      <c r="DS183" s="2">
        <f>COUNTIF(INDEX('LINE PLAN'!$B$36:$GS$61,0,ROW()-3),DS$3)</f>
        <v>0</v>
      </c>
      <c r="DT183" s="2">
        <f>COUNTIF(INDEX('LINE PLAN'!$B$36:$GS$61,0,ROW()-3),DT$3)</f>
        <v>0</v>
      </c>
      <c r="DU183" s="2">
        <f>COUNTIF(INDEX('LINE PLAN'!$B$36:$GS$61,0,ROW()-3),DU$3)</f>
        <v>0</v>
      </c>
      <c r="DV183" s="2">
        <f>COUNTIF(INDEX('LINE PLAN'!$B$36:$GS$61,0,ROW()-3),DV$3)</f>
        <v>0</v>
      </c>
    </row>
    <row r="184" spans="1:126">
      <c r="A184" s="505" cm="1">
        <f t="array" ref="A184">INDEX('LINE PLAN'!$B$35:$GS$35,ROW()-3)</f>
        <v>0</v>
      </c>
      <c r="B184" s="2">
        <f>SUMPRODUCT($CA184:$DV184,INDEX('MC MAP'!$DA$5:$EV$30,1,0))</f>
        <v>0</v>
      </c>
      <c r="C184" s="2">
        <f>SUMPRODUCT($CA184:$DV184,INDEX('MC MAP'!$DA$5:$EV$30,2,0))</f>
        <v>0</v>
      </c>
      <c r="D184" s="2">
        <f>SUMPRODUCT($CA184:$DV184,INDEX('MC MAP'!$DA$5:$EV$30,3,0))</f>
        <v>0</v>
      </c>
      <c r="E184" s="2">
        <f>SUMPRODUCT($CA184:$DV184,INDEX('MC MAP'!$DA$5:$EV$30,4,0))</f>
        <v>0</v>
      </c>
      <c r="F184" s="2">
        <f>SUMPRODUCT($CA184:$DV184,INDEX('MC MAP'!$DA$5:$EV$30,5,0))</f>
        <v>0</v>
      </c>
      <c r="G184" s="2">
        <f>SUMPRODUCT($CA184:$DV184,INDEX('MC MAP'!$DA$5:$EV$30,6,0))</f>
        <v>0</v>
      </c>
      <c r="H184" s="2">
        <f>SUMPRODUCT($CA184:$DV184,INDEX('MC MAP'!$DA$5:$EV$30,7,0))</f>
        <v>0</v>
      </c>
      <c r="I184" s="2">
        <f>SUMPRODUCT($CA184:$DV184,INDEX('MC MAP'!$DA$5:$EV$30,8,0))</f>
        <v>0</v>
      </c>
      <c r="J184" s="2">
        <f>SUMPRODUCT($CA184:$DV184,INDEX('MC MAP'!$DA$5:$EV$30,9,0))</f>
        <v>0</v>
      </c>
      <c r="K184" s="2">
        <f>SUMPRODUCT($CA184:$DV184,INDEX('MC MAP'!$DA$5:$EV$30,10,0))</f>
        <v>0</v>
      </c>
      <c r="L184" s="2">
        <f>SUMPRODUCT($CA184:$DV184,INDEX('MC MAP'!$DA$5:$EV$30,11,0))</f>
        <v>0</v>
      </c>
      <c r="M184" s="2">
        <f>SUMPRODUCT($CA184:$DV184,INDEX('MC MAP'!$DA$5:$EV$30,12,0))</f>
        <v>0</v>
      </c>
      <c r="N184" s="2">
        <f>SUMPRODUCT($CA184:$DV184,INDEX('MC MAP'!$DA$5:$EV$30,13,0))</f>
        <v>0</v>
      </c>
      <c r="O184" s="2">
        <f>SUMPRODUCT($CA184:$DV184,INDEX('MC MAP'!$DA$5:$EV$30,14,0))</f>
        <v>0</v>
      </c>
      <c r="P184" s="2">
        <f>SUMPRODUCT($CA184:$DV184,INDEX('MC MAP'!$DA$5:$EV$30,15,0))</f>
        <v>0</v>
      </c>
      <c r="Q184" s="2">
        <f>SUMPRODUCT($CA184:$DV184,INDEX('MC MAP'!$DA$5:$EV$30,16,0))</f>
        <v>0</v>
      </c>
      <c r="R184" s="2">
        <f>SUMPRODUCT($CA184:$DV184,INDEX('MC MAP'!$DA$5:$EV$30,17,0))</f>
        <v>0</v>
      </c>
      <c r="S184" s="2">
        <f>SUMPRODUCT($CA184:$DV184,INDEX('MC MAP'!$DA$5:$EV$30,18,0))</f>
        <v>0</v>
      </c>
      <c r="T184" s="2">
        <f>SUMPRODUCT($CA184:$DV184,INDEX('MC MAP'!$DA$5:$EV$30,19,0))</f>
        <v>0</v>
      </c>
      <c r="U184" s="2">
        <f>SUMPRODUCT($CA184:$DV184,INDEX('MC MAP'!$DA$5:$EV$30,20,0))</f>
        <v>0</v>
      </c>
      <c r="V184" s="2">
        <f>SUMPRODUCT($CA184:$DV184,INDEX('MC MAP'!$DA$5:$EV$30,21,0))</f>
        <v>0</v>
      </c>
      <c r="W184" s="2">
        <f>SUMPRODUCT($CA184:$DV184,INDEX('MC MAP'!$DA$5:$EV$30,22,0))</f>
        <v>0</v>
      </c>
      <c r="X184" s="2">
        <f>SUMPRODUCT($CA184:$DV184,INDEX('MC MAP'!$DA$5:$EV$30,23,0))</f>
        <v>0</v>
      </c>
      <c r="Y184" s="2">
        <f>SUMPRODUCT($CA184:$DV184,INDEX('MC MAP'!$DA$5:$EV$30,24,0))</f>
        <v>0</v>
      </c>
      <c r="Z184" s="2">
        <f>SUMPRODUCT($CA184:$DV184,INDEX('MC MAP'!$DA$5:$EV$30,25,0))</f>
        <v>0</v>
      </c>
      <c r="AA184" s="2">
        <f>SUMPRODUCT($CA184:$DV184,INDEX('MC MAP'!$DA$5:$EV$30,26,0))</f>
        <v>0</v>
      </c>
      <c r="AB184" s="2">
        <f>SUM($B184:$AA184)</f>
        <v>0</v>
      </c>
      <c r="AC184" s="2">
        <f>SUM($CA184:$DV184)+$AW184</f>
        <v>0</v>
      </c>
      <c r="AW184" s="2">
        <f>IF($A184=0,0,COUNTIF(INDEX('LINE PLAN'!$B$36:$GS$61,0,ROW()-3),"THERMAL - NOT SPECIFIED"))</f>
        <v>0</v>
      </c>
      <c r="AX184" s="506" cm="1">
        <f t="array" ref="AX184">IF(OR($AB184=0,UPPER($BS184)&lt;&gt;"Y"),0,SUMPRODUCT(--($B184:$AA184&gt;$B$205:$AA$205)))</f>
        <v>0</v>
      </c>
      <c r="AY184" s="507">
        <f>$A184</f>
        <v>0</v>
      </c>
      <c r="AZ184" s="2">
        <f>$AB184</f>
        <v>0</v>
      </c>
      <c r="BA184" s="2">
        <f>'MC MASTER'!$C$29</f>
        <v>920</v>
      </c>
      <c r="BQ184" s="509">
        <f>$A184</f>
        <v>0</v>
      </c>
      <c r="BR184" s="15" t="str">
        <f>TEXT($A184,"ddd")</f>
        <v>Sat</v>
      </c>
      <c r="BS184" s="547" t="str">
        <f>IF($A184=0,"",IF(WEEKDAY($A184,2)=7,"N","Y"))</f>
        <v/>
      </c>
      <c r="BT184" s="15">
        <f>IF(UPPER($BS184)="Y",$AB184,0)</f>
        <v>0</v>
      </c>
      <c r="CA184" s="2">
        <f>COUNTIF(INDEX('LINE PLAN'!$B$36:$GS$61,0,ROW()-3),CA$3)</f>
        <v>0</v>
      </c>
      <c r="CB184" s="2">
        <f>COUNTIF(INDEX('LINE PLAN'!$B$36:$GS$61,0,ROW()-3),CB$3)</f>
        <v>0</v>
      </c>
      <c r="CC184" s="2">
        <f>COUNTIF(INDEX('LINE PLAN'!$B$36:$GS$61,0,ROW()-3),CC$3)</f>
        <v>0</v>
      </c>
      <c r="CD184" s="2">
        <f>COUNTIF(INDEX('LINE PLAN'!$B$36:$GS$61,0,ROW()-3),CD$3)</f>
        <v>0</v>
      </c>
      <c r="CE184" s="2">
        <f>COUNTIF(INDEX('LINE PLAN'!$B$36:$GS$61,0,ROW()-3),CE$3)</f>
        <v>0</v>
      </c>
      <c r="CF184" s="2">
        <f>COUNTIF(INDEX('LINE PLAN'!$B$36:$GS$61,0,ROW()-3),CF$3)</f>
        <v>0</v>
      </c>
      <c r="CG184" s="2">
        <f>COUNTIF(INDEX('LINE PLAN'!$B$36:$GS$61,0,ROW()-3),CG$3)</f>
        <v>0</v>
      </c>
      <c r="CH184" s="2">
        <f>COUNTIF(INDEX('LINE PLAN'!$B$36:$GS$61,0,ROW()-3),CH$3)</f>
        <v>0</v>
      </c>
      <c r="CI184" s="2">
        <f>COUNTIF(INDEX('LINE PLAN'!$B$36:$GS$61,0,ROW()-3),CI$3)</f>
        <v>0</v>
      </c>
      <c r="CJ184" s="2">
        <f>COUNTIF(INDEX('LINE PLAN'!$B$36:$GS$61,0,ROW()-3),CJ$3)</f>
        <v>0</v>
      </c>
      <c r="CK184" s="2">
        <f>COUNTIF(INDEX('LINE PLAN'!$B$36:$GS$61,0,ROW()-3),CK$3)</f>
        <v>0</v>
      </c>
      <c r="CL184" s="2">
        <f>COUNTIF(INDEX('LINE PLAN'!$B$36:$GS$61,0,ROW()-3),CL$3)</f>
        <v>0</v>
      </c>
      <c r="CM184" s="2">
        <f>COUNTIF(INDEX('LINE PLAN'!$B$36:$GS$61,0,ROW()-3),CM$3)</f>
        <v>0</v>
      </c>
      <c r="CN184" s="2">
        <f>COUNTIF(INDEX('LINE PLAN'!$B$36:$GS$61,0,ROW()-3),CN$3)</f>
        <v>0</v>
      </c>
      <c r="CO184" s="2">
        <f>COUNTIF(INDEX('LINE PLAN'!$B$36:$GS$61,0,ROW()-3),CO$3)</f>
        <v>0</v>
      </c>
      <c r="CP184" s="2">
        <f>COUNTIF(INDEX('LINE PLAN'!$B$36:$GS$61,0,ROW()-3),CP$3)</f>
        <v>0</v>
      </c>
      <c r="CQ184" s="2">
        <f>COUNTIF(INDEX('LINE PLAN'!$B$36:$GS$61,0,ROW()-3),CQ$3)</f>
        <v>0</v>
      </c>
      <c r="CR184" s="2">
        <f>COUNTIF(INDEX('LINE PLAN'!$B$36:$GS$61,0,ROW()-3),CR$3)</f>
        <v>0</v>
      </c>
      <c r="CS184" s="2">
        <f>COUNTIF(INDEX('LINE PLAN'!$B$36:$GS$61,0,ROW()-3),CS$3)</f>
        <v>0</v>
      </c>
      <c r="CT184" s="2">
        <f>COUNTIF(INDEX('LINE PLAN'!$B$36:$GS$61,0,ROW()-3),CT$3)</f>
        <v>0</v>
      </c>
      <c r="CU184" s="2">
        <f>COUNTIF(INDEX('LINE PLAN'!$B$36:$GS$61,0,ROW()-3),CU$3)</f>
        <v>0</v>
      </c>
      <c r="CV184" s="2">
        <f>COUNTIF(INDEX('LINE PLAN'!$B$36:$GS$61,0,ROW()-3),CV$3)</f>
        <v>0</v>
      </c>
      <c r="CW184" s="2">
        <f>COUNTIF(INDEX('LINE PLAN'!$B$36:$GS$61,0,ROW()-3),CW$3)</f>
        <v>0</v>
      </c>
      <c r="CX184" s="2">
        <f>COUNTIF(INDEX('LINE PLAN'!$B$36:$GS$61,0,ROW()-3),CX$3)</f>
        <v>0</v>
      </c>
      <c r="CY184" s="2">
        <f>COUNTIF(INDEX('LINE PLAN'!$B$36:$GS$61,0,ROW()-3),CY$3)</f>
        <v>0</v>
      </c>
      <c r="CZ184" s="2">
        <f>COUNTIF(INDEX('LINE PLAN'!$B$36:$GS$61,0,ROW()-3),CZ$3)</f>
        <v>0</v>
      </c>
      <c r="DA184" s="2">
        <f>COUNTIF(INDEX('LINE PLAN'!$B$36:$GS$61,0,ROW()-3),DA$3)</f>
        <v>0</v>
      </c>
      <c r="DB184" s="2">
        <f>COUNTIF(INDEX('LINE PLAN'!$B$36:$GS$61,0,ROW()-3),DB$3)</f>
        <v>0</v>
      </c>
      <c r="DC184" s="2">
        <f>COUNTIF(INDEX('LINE PLAN'!$B$36:$GS$61,0,ROW()-3),DC$3)</f>
        <v>0</v>
      </c>
      <c r="DD184" s="2">
        <f>COUNTIF(INDEX('LINE PLAN'!$B$36:$GS$61,0,ROW()-3),DD$3)</f>
        <v>0</v>
      </c>
      <c r="DE184" s="2">
        <f>COUNTIF(INDEX('LINE PLAN'!$B$36:$GS$61,0,ROW()-3),DE$3)</f>
        <v>0</v>
      </c>
      <c r="DF184" s="2">
        <f>COUNTIF(INDEX('LINE PLAN'!$B$36:$GS$61,0,ROW()-3),DF$3)</f>
        <v>0</v>
      </c>
      <c r="DG184" s="2">
        <f>COUNTIF(INDEX('LINE PLAN'!$B$36:$GS$61,0,ROW()-3),DG$3)</f>
        <v>0</v>
      </c>
      <c r="DH184" s="2">
        <f>COUNTIF(INDEX('LINE PLAN'!$B$36:$GS$61,0,ROW()-3),DH$3)</f>
        <v>0</v>
      </c>
      <c r="DI184" s="2">
        <f>COUNTIF(INDEX('LINE PLAN'!$B$36:$GS$61,0,ROW()-3),DI$3)</f>
        <v>0</v>
      </c>
      <c r="DJ184" s="2">
        <f>COUNTIF(INDEX('LINE PLAN'!$B$36:$GS$61,0,ROW()-3),DJ$3)</f>
        <v>0</v>
      </c>
      <c r="DK184" s="2">
        <f>COUNTIF(INDEX('LINE PLAN'!$B$36:$GS$61,0,ROW()-3),DK$3)</f>
        <v>0</v>
      </c>
      <c r="DL184" s="2">
        <f>COUNTIF(INDEX('LINE PLAN'!$B$36:$GS$61,0,ROW()-3),DL$3)</f>
        <v>0</v>
      </c>
      <c r="DM184" s="2">
        <f>COUNTIF(INDEX('LINE PLAN'!$B$36:$GS$61,0,ROW()-3),DM$3)</f>
        <v>0</v>
      </c>
      <c r="DN184" s="2">
        <f>COUNTIF(INDEX('LINE PLAN'!$B$36:$GS$61,0,ROW()-3),DN$3)</f>
        <v>0</v>
      </c>
      <c r="DO184" s="2">
        <f>COUNTIF(INDEX('LINE PLAN'!$B$36:$GS$61,0,ROW()-3),DO$3)</f>
        <v>0</v>
      </c>
      <c r="DP184" s="2">
        <f>COUNTIF(INDEX('LINE PLAN'!$B$36:$GS$61,0,ROW()-3),DP$3)</f>
        <v>0</v>
      </c>
      <c r="DQ184" s="2">
        <f>COUNTIF(INDEX('LINE PLAN'!$B$36:$GS$61,0,ROW()-3),DQ$3)</f>
        <v>0</v>
      </c>
      <c r="DR184" s="2">
        <f>COUNTIF(INDEX('LINE PLAN'!$B$36:$GS$61,0,ROW()-3),DR$3)</f>
        <v>0</v>
      </c>
      <c r="DS184" s="2">
        <f>COUNTIF(INDEX('LINE PLAN'!$B$36:$GS$61,0,ROW()-3),DS$3)</f>
        <v>0</v>
      </c>
      <c r="DT184" s="2">
        <f>COUNTIF(INDEX('LINE PLAN'!$B$36:$GS$61,0,ROW()-3),DT$3)</f>
        <v>0</v>
      </c>
      <c r="DU184" s="2">
        <f>COUNTIF(INDEX('LINE PLAN'!$B$36:$GS$61,0,ROW()-3),DU$3)</f>
        <v>0</v>
      </c>
      <c r="DV184" s="2">
        <f>COUNTIF(INDEX('LINE PLAN'!$B$36:$GS$61,0,ROW()-3),DV$3)</f>
        <v>0</v>
      </c>
    </row>
    <row r="185" spans="1:126">
      <c r="A185" s="505" cm="1">
        <f t="array" ref="A185">INDEX('LINE PLAN'!$B$35:$GS$35,ROW()-3)</f>
        <v>0</v>
      </c>
      <c r="B185" s="2">
        <f>SUMPRODUCT($CA185:$DV185,INDEX('MC MAP'!$DA$5:$EV$30,1,0))</f>
        <v>0</v>
      </c>
      <c r="C185" s="2">
        <f>SUMPRODUCT($CA185:$DV185,INDEX('MC MAP'!$DA$5:$EV$30,2,0))</f>
        <v>0</v>
      </c>
      <c r="D185" s="2">
        <f>SUMPRODUCT($CA185:$DV185,INDEX('MC MAP'!$DA$5:$EV$30,3,0))</f>
        <v>0</v>
      </c>
      <c r="E185" s="2">
        <f>SUMPRODUCT($CA185:$DV185,INDEX('MC MAP'!$DA$5:$EV$30,4,0))</f>
        <v>0</v>
      </c>
      <c r="F185" s="2">
        <f>SUMPRODUCT($CA185:$DV185,INDEX('MC MAP'!$DA$5:$EV$30,5,0))</f>
        <v>0</v>
      </c>
      <c r="G185" s="2">
        <f>SUMPRODUCT($CA185:$DV185,INDEX('MC MAP'!$DA$5:$EV$30,6,0))</f>
        <v>0</v>
      </c>
      <c r="H185" s="2">
        <f>SUMPRODUCT($CA185:$DV185,INDEX('MC MAP'!$DA$5:$EV$30,7,0))</f>
        <v>0</v>
      </c>
      <c r="I185" s="2">
        <f>SUMPRODUCT($CA185:$DV185,INDEX('MC MAP'!$DA$5:$EV$30,8,0))</f>
        <v>0</v>
      </c>
      <c r="J185" s="2">
        <f>SUMPRODUCT($CA185:$DV185,INDEX('MC MAP'!$DA$5:$EV$30,9,0))</f>
        <v>0</v>
      </c>
      <c r="K185" s="2">
        <f>SUMPRODUCT($CA185:$DV185,INDEX('MC MAP'!$DA$5:$EV$30,10,0))</f>
        <v>0</v>
      </c>
      <c r="L185" s="2">
        <f>SUMPRODUCT($CA185:$DV185,INDEX('MC MAP'!$DA$5:$EV$30,11,0))</f>
        <v>0</v>
      </c>
      <c r="M185" s="2">
        <f>SUMPRODUCT($CA185:$DV185,INDEX('MC MAP'!$DA$5:$EV$30,12,0))</f>
        <v>0</v>
      </c>
      <c r="N185" s="2">
        <f>SUMPRODUCT($CA185:$DV185,INDEX('MC MAP'!$DA$5:$EV$30,13,0))</f>
        <v>0</v>
      </c>
      <c r="O185" s="2">
        <f>SUMPRODUCT($CA185:$DV185,INDEX('MC MAP'!$DA$5:$EV$30,14,0))</f>
        <v>0</v>
      </c>
      <c r="P185" s="2">
        <f>SUMPRODUCT($CA185:$DV185,INDEX('MC MAP'!$DA$5:$EV$30,15,0))</f>
        <v>0</v>
      </c>
      <c r="Q185" s="2">
        <f>SUMPRODUCT($CA185:$DV185,INDEX('MC MAP'!$DA$5:$EV$30,16,0))</f>
        <v>0</v>
      </c>
      <c r="R185" s="2">
        <f>SUMPRODUCT($CA185:$DV185,INDEX('MC MAP'!$DA$5:$EV$30,17,0))</f>
        <v>0</v>
      </c>
      <c r="S185" s="2">
        <f>SUMPRODUCT($CA185:$DV185,INDEX('MC MAP'!$DA$5:$EV$30,18,0))</f>
        <v>0</v>
      </c>
      <c r="T185" s="2">
        <f>SUMPRODUCT($CA185:$DV185,INDEX('MC MAP'!$DA$5:$EV$30,19,0))</f>
        <v>0</v>
      </c>
      <c r="U185" s="2">
        <f>SUMPRODUCT($CA185:$DV185,INDEX('MC MAP'!$DA$5:$EV$30,20,0))</f>
        <v>0</v>
      </c>
      <c r="V185" s="2">
        <f>SUMPRODUCT($CA185:$DV185,INDEX('MC MAP'!$DA$5:$EV$30,21,0))</f>
        <v>0</v>
      </c>
      <c r="W185" s="2">
        <f>SUMPRODUCT($CA185:$DV185,INDEX('MC MAP'!$DA$5:$EV$30,22,0))</f>
        <v>0</v>
      </c>
      <c r="X185" s="2">
        <f>SUMPRODUCT($CA185:$DV185,INDEX('MC MAP'!$DA$5:$EV$30,23,0))</f>
        <v>0</v>
      </c>
      <c r="Y185" s="2">
        <f>SUMPRODUCT($CA185:$DV185,INDEX('MC MAP'!$DA$5:$EV$30,24,0))</f>
        <v>0</v>
      </c>
      <c r="Z185" s="2">
        <f>SUMPRODUCT($CA185:$DV185,INDEX('MC MAP'!$DA$5:$EV$30,25,0))</f>
        <v>0</v>
      </c>
      <c r="AA185" s="2">
        <f>SUMPRODUCT($CA185:$DV185,INDEX('MC MAP'!$DA$5:$EV$30,26,0))</f>
        <v>0</v>
      </c>
      <c r="AB185" s="2">
        <f>SUM($B185:$AA185)</f>
        <v>0</v>
      </c>
      <c r="AC185" s="2">
        <f>SUM($CA185:$DV185)+$AW185</f>
        <v>0</v>
      </c>
      <c r="AW185" s="2">
        <f>IF($A185=0,0,COUNTIF(INDEX('LINE PLAN'!$B$36:$GS$61,0,ROW()-3),"THERMAL - NOT SPECIFIED"))</f>
        <v>0</v>
      </c>
      <c r="AX185" s="506" cm="1">
        <f t="array" ref="AX185">IF(OR($AB185=0,UPPER($BS185)&lt;&gt;"Y"),0,SUMPRODUCT(--($B185:$AA185&gt;$B$205:$AA$205)))</f>
        <v>0</v>
      </c>
      <c r="AY185" s="507">
        <f>$A185</f>
        <v>0</v>
      </c>
      <c r="AZ185" s="2">
        <f>$AB185</f>
        <v>0</v>
      </c>
      <c r="BA185" s="2">
        <f>'MC MASTER'!$C$29</f>
        <v>920</v>
      </c>
      <c r="BQ185" s="509">
        <f>$A185</f>
        <v>0</v>
      </c>
      <c r="BR185" s="15" t="str">
        <f>TEXT($A185,"ddd")</f>
        <v>Sat</v>
      </c>
      <c r="BS185" s="547" t="str">
        <f>IF($A185=0,"",IF(WEEKDAY($A185,2)=7,"N","Y"))</f>
        <v/>
      </c>
      <c r="BT185" s="15">
        <f>IF(UPPER($BS185)="Y",$AB185,0)</f>
        <v>0</v>
      </c>
      <c r="CA185" s="2">
        <f>COUNTIF(INDEX('LINE PLAN'!$B$36:$GS$61,0,ROW()-3),CA$3)</f>
        <v>0</v>
      </c>
      <c r="CB185" s="2">
        <f>COUNTIF(INDEX('LINE PLAN'!$B$36:$GS$61,0,ROW()-3),CB$3)</f>
        <v>0</v>
      </c>
      <c r="CC185" s="2">
        <f>COUNTIF(INDEX('LINE PLAN'!$B$36:$GS$61,0,ROW()-3),CC$3)</f>
        <v>0</v>
      </c>
      <c r="CD185" s="2">
        <f>COUNTIF(INDEX('LINE PLAN'!$B$36:$GS$61,0,ROW()-3),CD$3)</f>
        <v>0</v>
      </c>
      <c r="CE185" s="2">
        <f>COUNTIF(INDEX('LINE PLAN'!$B$36:$GS$61,0,ROW()-3),CE$3)</f>
        <v>0</v>
      </c>
      <c r="CF185" s="2">
        <f>COUNTIF(INDEX('LINE PLAN'!$B$36:$GS$61,0,ROW()-3),CF$3)</f>
        <v>0</v>
      </c>
      <c r="CG185" s="2">
        <f>COUNTIF(INDEX('LINE PLAN'!$B$36:$GS$61,0,ROW()-3),CG$3)</f>
        <v>0</v>
      </c>
      <c r="CH185" s="2">
        <f>COUNTIF(INDEX('LINE PLAN'!$B$36:$GS$61,0,ROW()-3),CH$3)</f>
        <v>0</v>
      </c>
      <c r="CI185" s="2">
        <f>COUNTIF(INDEX('LINE PLAN'!$B$36:$GS$61,0,ROW()-3),CI$3)</f>
        <v>0</v>
      </c>
      <c r="CJ185" s="2">
        <f>COUNTIF(INDEX('LINE PLAN'!$B$36:$GS$61,0,ROW()-3),CJ$3)</f>
        <v>0</v>
      </c>
      <c r="CK185" s="2">
        <f>COUNTIF(INDEX('LINE PLAN'!$B$36:$GS$61,0,ROW()-3),CK$3)</f>
        <v>0</v>
      </c>
      <c r="CL185" s="2">
        <f>COUNTIF(INDEX('LINE PLAN'!$B$36:$GS$61,0,ROW()-3),CL$3)</f>
        <v>0</v>
      </c>
      <c r="CM185" s="2">
        <f>COUNTIF(INDEX('LINE PLAN'!$B$36:$GS$61,0,ROW()-3),CM$3)</f>
        <v>0</v>
      </c>
      <c r="CN185" s="2">
        <f>COUNTIF(INDEX('LINE PLAN'!$B$36:$GS$61,0,ROW()-3),CN$3)</f>
        <v>0</v>
      </c>
      <c r="CO185" s="2">
        <f>COUNTIF(INDEX('LINE PLAN'!$B$36:$GS$61,0,ROW()-3),CO$3)</f>
        <v>0</v>
      </c>
      <c r="CP185" s="2">
        <f>COUNTIF(INDEX('LINE PLAN'!$B$36:$GS$61,0,ROW()-3),CP$3)</f>
        <v>0</v>
      </c>
      <c r="CQ185" s="2">
        <f>COUNTIF(INDEX('LINE PLAN'!$B$36:$GS$61,0,ROW()-3),CQ$3)</f>
        <v>0</v>
      </c>
      <c r="CR185" s="2">
        <f>COUNTIF(INDEX('LINE PLAN'!$B$36:$GS$61,0,ROW()-3),CR$3)</f>
        <v>0</v>
      </c>
      <c r="CS185" s="2">
        <f>COUNTIF(INDEX('LINE PLAN'!$B$36:$GS$61,0,ROW()-3),CS$3)</f>
        <v>0</v>
      </c>
      <c r="CT185" s="2">
        <f>COUNTIF(INDEX('LINE PLAN'!$B$36:$GS$61,0,ROW()-3),CT$3)</f>
        <v>0</v>
      </c>
      <c r="CU185" s="2">
        <f>COUNTIF(INDEX('LINE PLAN'!$B$36:$GS$61,0,ROW()-3),CU$3)</f>
        <v>0</v>
      </c>
      <c r="CV185" s="2">
        <f>COUNTIF(INDEX('LINE PLAN'!$B$36:$GS$61,0,ROW()-3),CV$3)</f>
        <v>0</v>
      </c>
      <c r="CW185" s="2">
        <f>COUNTIF(INDEX('LINE PLAN'!$B$36:$GS$61,0,ROW()-3),CW$3)</f>
        <v>0</v>
      </c>
      <c r="CX185" s="2">
        <f>COUNTIF(INDEX('LINE PLAN'!$B$36:$GS$61,0,ROW()-3),CX$3)</f>
        <v>0</v>
      </c>
      <c r="CY185" s="2">
        <f>COUNTIF(INDEX('LINE PLAN'!$B$36:$GS$61,0,ROW()-3),CY$3)</f>
        <v>0</v>
      </c>
      <c r="CZ185" s="2">
        <f>COUNTIF(INDEX('LINE PLAN'!$B$36:$GS$61,0,ROW()-3),CZ$3)</f>
        <v>0</v>
      </c>
      <c r="DA185" s="2">
        <f>COUNTIF(INDEX('LINE PLAN'!$B$36:$GS$61,0,ROW()-3),DA$3)</f>
        <v>0</v>
      </c>
      <c r="DB185" s="2">
        <f>COUNTIF(INDEX('LINE PLAN'!$B$36:$GS$61,0,ROW()-3),DB$3)</f>
        <v>0</v>
      </c>
      <c r="DC185" s="2">
        <f>COUNTIF(INDEX('LINE PLAN'!$B$36:$GS$61,0,ROW()-3),DC$3)</f>
        <v>0</v>
      </c>
      <c r="DD185" s="2">
        <f>COUNTIF(INDEX('LINE PLAN'!$B$36:$GS$61,0,ROW()-3),DD$3)</f>
        <v>0</v>
      </c>
      <c r="DE185" s="2">
        <f>COUNTIF(INDEX('LINE PLAN'!$B$36:$GS$61,0,ROW()-3),DE$3)</f>
        <v>0</v>
      </c>
      <c r="DF185" s="2">
        <f>COUNTIF(INDEX('LINE PLAN'!$B$36:$GS$61,0,ROW()-3),DF$3)</f>
        <v>0</v>
      </c>
      <c r="DG185" s="2">
        <f>COUNTIF(INDEX('LINE PLAN'!$B$36:$GS$61,0,ROW()-3),DG$3)</f>
        <v>0</v>
      </c>
      <c r="DH185" s="2">
        <f>COUNTIF(INDEX('LINE PLAN'!$B$36:$GS$61,0,ROW()-3),DH$3)</f>
        <v>0</v>
      </c>
      <c r="DI185" s="2">
        <f>COUNTIF(INDEX('LINE PLAN'!$B$36:$GS$61,0,ROW()-3),DI$3)</f>
        <v>0</v>
      </c>
      <c r="DJ185" s="2">
        <f>COUNTIF(INDEX('LINE PLAN'!$B$36:$GS$61,0,ROW()-3),DJ$3)</f>
        <v>0</v>
      </c>
      <c r="DK185" s="2">
        <f>COUNTIF(INDEX('LINE PLAN'!$B$36:$GS$61,0,ROW()-3),DK$3)</f>
        <v>0</v>
      </c>
      <c r="DL185" s="2">
        <f>COUNTIF(INDEX('LINE PLAN'!$B$36:$GS$61,0,ROW()-3),DL$3)</f>
        <v>0</v>
      </c>
      <c r="DM185" s="2">
        <f>COUNTIF(INDEX('LINE PLAN'!$B$36:$GS$61,0,ROW()-3),DM$3)</f>
        <v>0</v>
      </c>
      <c r="DN185" s="2">
        <f>COUNTIF(INDEX('LINE PLAN'!$B$36:$GS$61,0,ROW()-3),DN$3)</f>
        <v>0</v>
      </c>
      <c r="DO185" s="2">
        <f>COUNTIF(INDEX('LINE PLAN'!$B$36:$GS$61,0,ROW()-3),DO$3)</f>
        <v>0</v>
      </c>
      <c r="DP185" s="2">
        <f>COUNTIF(INDEX('LINE PLAN'!$B$36:$GS$61,0,ROW()-3),DP$3)</f>
        <v>0</v>
      </c>
      <c r="DQ185" s="2">
        <f>COUNTIF(INDEX('LINE PLAN'!$B$36:$GS$61,0,ROW()-3),DQ$3)</f>
        <v>0</v>
      </c>
      <c r="DR185" s="2">
        <f>COUNTIF(INDEX('LINE PLAN'!$B$36:$GS$61,0,ROW()-3),DR$3)</f>
        <v>0</v>
      </c>
      <c r="DS185" s="2">
        <f>COUNTIF(INDEX('LINE PLAN'!$B$36:$GS$61,0,ROW()-3),DS$3)</f>
        <v>0</v>
      </c>
      <c r="DT185" s="2">
        <f>COUNTIF(INDEX('LINE PLAN'!$B$36:$GS$61,0,ROW()-3),DT$3)</f>
        <v>0</v>
      </c>
      <c r="DU185" s="2">
        <f>COUNTIF(INDEX('LINE PLAN'!$B$36:$GS$61,0,ROW()-3),DU$3)</f>
        <v>0</v>
      </c>
      <c r="DV185" s="2">
        <f>COUNTIF(INDEX('LINE PLAN'!$B$36:$GS$61,0,ROW()-3),DV$3)</f>
        <v>0</v>
      </c>
    </row>
    <row r="186" spans="1:126">
      <c r="A186" s="505" cm="1">
        <f t="array" ref="A186">INDEX('LINE PLAN'!$B$35:$GS$35,ROW()-3)</f>
        <v>0</v>
      </c>
      <c r="B186" s="2">
        <f>SUMPRODUCT($CA186:$DV186,INDEX('MC MAP'!$DA$5:$EV$30,1,0))</f>
        <v>0</v>
      </c>
      <c r="C186" s="2">
        <f>SUMPRODUCT($CA186:$DV186,INDEX('MC MAP'!$DA$5:$EV$30,2,0))</f>
        <v>0</v>
      </c>
      <c r="D186" s="2">
        <f>SUMPRODUCT($CA186:$DV186,INDEX('MC MAP'!$DA$5:$EV$30,3,0))</f>
        <v>0</v>
      </c>
      <c r="E186" s="2">
        <f>SUMPRODUCT($CA186:$DV186,INDEX('MC MAP'!$DA$5:$EV$30,4,0))</f>
        <v>0</v>
      </c>
      <c r="F186" s="2">
        <f>SUMPRODUCT($CA186:$DV186,INDEX('MC MAP'!$DA$5:$EV$30,5,0))</f>
        <v>0</v>
      </c>
      <c r="G186" s="2">
        <f>SUMPRODUCT($CA186:$DV186,INDEX('MC MAP'!$DA$5:$EV$30,6,0))</f>
        <v>0</v>
      </c>
      <c r="H186" s="2">
        <f>SUMPRODUCT($CA186:$DV186,INDEX('MC MAP'!$DA$5:$EV$30,7,0))</f>
        <v>0</v>
      </c>
      <c r="I186" s="2">
        <f>SUMPRODUCT($CA186:$DV186,INDEX('MC MAP'!$DA$5:$EV$30,8,0))</f>
        <v>0</v>
      </c>
      <c r="J186" s="2">
        <f>SUMPRODUCT($CA186:$DV186,INDEX('MC MAP'!$DA$5:$EV$30,9,0))</f>
        <v>0</v>
      </c>
      <c r="K186" s="2">
        <f>SUMPRODUCT($CA186:$DV186,INDEX('MC MAP'!$DA$5:$EV$30,10,0))</f>
        <v>0</v>
      </c>
      <c r="L186" s="2">
        <f>SUMPRODUCT($CA186:$DV186,INDEX('MC MAP'!$DA$5:$EV$30,11,0))</f>
        <v>0</v>
      </c>
      <c r="M186" s="2">
        <f>SUMPRODUCT($CA186:$DV186,INDEX('MC MAP'!$DA$5:$EV$30,12,0))</f>
        <v>0</v>
      </c>
      <c r="N186" s="2">
        <f>SUMPRODUCT($CA186:$DV186,INDEX('MC MAP'!$DA$5:$EV$30,13,0))</f>
        <v>0</v>
      </c>
      <c r="O186" s="2">
        <f>SUMPRODUCT($CA186:$DV186,INDEX('MC MAP'!$DA$5:$EV$30,14,0))</f>
        <v>0</v>
      </c>
      <c r="P186" s="2">
        <f>SUMPRODUCT($CA186:$DV186,INDEX('MC MAP'!$DA$5:$EV$30,15,0))</f>
        <v>0</v>
      </c>
      <c r="Q186" s="2">
        <f>SUMPRODUCT($CA186:$DV186,INDEX('MC MAP'!$DA$5:$EV$30,16,0))</f>
        <v>0</v>
      </c>
      <c r="R186" s="2">
        <f>SUMPRODUCT($CA186:$DV186,INDEX('MC MAP'!$DA$5:$EV$30,17,0))</f>
        <v>0</v>
      </c>
      <c r="S186" s="2">
        <f>SUMPRODUCT($CA186:$DV186,INDEX('MC MAP'!$DA$5:$EV$30,18,0))</f>
        <v>0</v>
      </c>
      <c r="T186" s="2">
        <f>SUMPRODUCT($CA186:$DV186,INDEX('MC MAP'!$DA$5:$EV$30,19,0))</f>
        <v>0</v>
      </c>
      <c r="U186" s="2">
        <f>SUMPRODUCT($CA186:$DV186,INDEX('MC MAP'!$DA$5:$EV$30,20,0))</f>
        <v>0</v>
      </c>
      <c r="V186" s="2">
        <f>SUMPRODUCT($CA186:$DV186,INDEX('MC MAP'!$DA$5:$EV$30,21,0))</f>
        <v>0</v>
      </c>
      <c r="W186" s="2">
        <f>SUMPRODUCT($CA186:$DV186,INDEX('MC MAP'!$DA$5:$EV$30,22,0))</f>
        <v>0</v>
      </c>
      <c r="X186" s="2">
        <f>SUMPRODUCT($CA186:$DV186,INDEX('MC MAP'!$DA$5:$EV$30,23,0))</f>
        <v>0</v>
      </c>
      <c r="Y186" s="2">
        <f>SUMPRODUCT($CA186:$DV186,INDEX('MC MAP'!$DA$5:$EV$30,24,0))</f>
        <v>0</v>
      </c>
      <c r="Z186" s="2">
        <f>SUMPRODUCT($CA186:$DV186,INDEX('MC MAP'!$DA$5:$EV$30,25,0))</f>
        <v>0</v>
      </c>
      <c r="AA186" s="2">
        <f>SUMPRODUCT($CA186:$DV186,INDEX('MC MAP'!$DA$5:$EV$30,26,0))</f>
        <v>0</v>
      </c>
      <c r="AB186" s="2">
        <f>SUM($B186:$AA186)</f>
        <v>0</v>
      </c>
      <c r="AC186" s="2">
        <f>SUM($CA186:$DV186)+$AW186</f>
        <v>0</v>
      </c>
      <c r="AW186" s="2">
        <f>IF($A186=0,0,COUNTIF(INDEX('LINE PLAN'!$B$36:$GS$61,0,ROW()-3),"THERMAL - NOT SPECIFIED"))</f>
        <v>0</v>
      </c>
      <c r="AX186" s="506" cm="1">
        <f t="array" ref="AX186">IF(OR($AB186=0,UPPER($BS186)&lt;&gt;"Y"),0,SUMPRODUCT(--($B186:$AA186&gt;$B$205:$AA$205)))</f>
        <v>0</v>
      </c>
      <c r="AY186" s="507">
        <f>$A186</f>
        <v>0</v>
      </c>
      <c r="AZ186" s="2">
        <f>$AB186</f>
        <v>0</v>
      </c>
      <c r="BA186" s="2">
        <f>'MC MASTER'!$C$29</f>
        <v>920</v>
      </c>
      <c r="BQ186" s="509">
        <f>$A186</f>
        <v>0</v>
      </c>
      <c r="BR186" s="15" t="str">
        <f>TEXT($A186,"ddd")</f>
        <v>Sat</v>
      </c>
      <c r="BS186" s="547" t="str">
        <f>IF($A186=0,"",IF(WEEKDAY($A186,2)=7,"N","Y"))</f>
        <v/>
      </c>
      <c r="BT186" s="15">
        <f>IF(UPPER($BS186)="Y",$AB186,0)</f>
        <v>0</v>
      </c>
      <c r="CA186" s="2">
        <f>COUNTIF(INDEX('LINE PLAN'!$B$36:$GS$61,0,ROW()-3),CA$3)</f>
        <v>0</v>
      </c>
      <c r="CB186" s="2">
        <f>COUNTIF(INDEX('LINE PLAN'!$B$36:$GS$61,0,ROW()-3),CB$3)</f>
        <v>0</v>
      </c>
      <c r="CC186" s="2">
        <f>COUNTIF(INDEX('LINE PLAN'!$B$36:$GS$61,0,ROW()-3),CC$3)</f>
        <v>0</v>
      </c>
      <c r="CD186" s="2">
        <f>COUNTIF(INDEX('LINE PLAN'!$B$36:$GS$61,0,ROW()-3),CD$3)</f>
        <v>0</v>
      </c>
      <c r="CE186" s="2">
        <f>COUNTIF(INDEX('LINE PLAN'!$B$36:$GS$61,0,ROW()-3),CE$3)</f>
        <v>0</v>
      </c>
      <c r="CF186" s="2">
        <f>COUNTIF(INDEX('LINE PLAN'!$B$36:$GS$61,0,ROW()-3),CF$3)</f>
        <v>0</v>
      </c>
      <c r="CG186" s="2">
        <f>COUNTIF(INDEX('LINE PLAN'!$B$36:$GS$61,0,ROW()-3),CG$3)</f>
        <v>0</v>
      </c>
      <c r="CH186" s="2">
        <f>COUNTIF(INDEX('LINE PLAN'!$B$36:$GS$61,0,ROW()-3),CH$3)</f>
        <v>0</v>
      </c>
      <c r="CI186" s="2">
        <f>COUNTIF(INDEX('LINE PLAN'!$B$36:$GS$61,0,ROW()-3),CI$3)</f>
        <v>0</v>
      </c>
      <c r="CJ186" s="2">
        <f>COUNTIF(INDEX('LINE PLAN'!$B$36:$GS$61,0,ROW()-3),CJ$3)</f>
        <v>0</v>
      </c>
      <c r="CK186" s="2">
        <f>COUNTIF(INDEX('LINE PLAN'!$B$36:$GS$61,0,ROW()-3),CK$3)</f>
        <v>0</v>
      </c>
      <c r="CL186" s="2">
        <f>COUNTIF(INDEX('LINE PLAN'!$B$36:$GS$61,0,ROW()-3),CL$3)</f>
        <v>0</v>
      </c>
      <c r="CM186" s="2">
        <f>COUNTIF(INDEX('LINE PLAN'!$B$36:$GS$61,0,ROW()-3),CM$3)</f>
        <v>0</v>
      </c>
      <c r="CN186" s="2">
        <f>COUNTIF(INDEX('LINE PLAN'!$B$36:$GS$61,0,ROW()-3),CN$3)</f>
        <v>0</v>
      </c>
      <c r="CO186" s="2">
        <f>COUNTIF(INDEX('LINE PLAN'!$B$36:$GS$61,0,ROW()-3),CO$3)</f>
        <v>0</v>
      </c>
      <c r="CP186" s="2">
        <f>COUNTIF(INDEX('LINE PLAN'!$B$36:$GS$61,0,ROW()-3),CP$3)</f>
        <v>0</v>
      </c>
      <c r="CQ186" s="2">
        <f>COUNTIF(INDEX('LINE PLAN'!$B$36:$GS$61,0,ROW()-3),CQ$3)</f>
        <v>0</v>
      </c>
      <c r="CR186" s="2">
        <f>COUNTIF(INDEX('LINE PLAN'!$B$36:$GS$61,0,ROW()-3),CR$3)</f>
        <v>0</v>
      </c>
      <c r="CS186" s="2">
        <f>COUNTIF(INDEX('LINE PLAN'!$B$36:$GS$61,0,ROW()-3),CS$3)</f>
        <v>0</v>
      </c>
      <c r="CT186" s="2">
        <f>COUNTIF(INDEX('LINE PLAN'!$B$36:$GS$61,0,ROW()-3),CT$3)</f>
        <v>0</v>
      </c>
      <c r="CU186" s="2">
        <f>COUNTIF(INDEX('LINE PLAN'!$B$36:$GS$61,0,ROW()-3),CU$3)</f>
        <v>0</v>
      </c>
      <c r="CV186" s="2">
        <f>COUNTIF(INDEX('LINE PLAN'!$B$36:$GS$61,0,ROW()-3),CV$3)</f>
        <v>0</v>
      </c>
      <c r="CW186" s="2">
        <f>COUNTIF(INDEX('LINE PLAN'!$B$36:$GS$61,0,ROW()-3),CW$3)</f>
        <v>0</v>
      </c>
      <c r="CX186" s="2">
        <f>COUNTIF(INDEX('LINE PLAN'!$B$36:$GS$61,0,ROW()-3),CX$3)</f>
        <v>0</v>
      </c>
      <c r="CY186" s="2">
        <f>COUNTIF(INDEX('LINE PLAN'!$B$36:$GS$61,0,ROW()-3),CY$3)</f>
        <v>0</v>
      </c>
      <c r="CZ186" s="2">
        <f>COUNTIF(INDEX('LINE PLAN'!$B$36:$GS$61,0,ROW()-3),CZ$3)</f>
        <v>0</v>
      </c>
      <c r="DA186" s="2">
        <f>COUNTIF(INDEX('LINE PLAN'!$B$36:$GS$61,0,ROW()-3),DA$3)</f>
        <v>0</v>
      </c>
      <c r="DB186" s="2">
        <f>COUNTIF(INDEX('LINE PLAN'!$B$36:$GS$61,0,ROW()-3),DB$3)</f>
        <v>0</v>
      </c>
      <c r="DC186" s="2">
        <f>COUNTIF(INDEX('LINE PLAN'!$B$36:$GS$61,0,ROW()-3),DC$3)</f>
        <v>0</v>
      </c>
      <c r="DD186" s="2">
        <f>COUNTIF(INDEX('LINE PLAN'!$B$36:$GS$61,0,ROW()-3),DD$3)</f>
        <v>0</v>
      </c>
      <c r="DE186" s="2">
        <f>COUNTIF(INDEX('LINE PLAN'!$B$36:$GS$61,0,ROW()-3),DE$3)</f>
        <v>0</v>
      </c>
      <c r="DF186" s="2">
        <f>COUNTIF(INDEX('LINE PLAN'!$B$36:$GS$61,0,ROW()-3),DF$3)</f>
        <v>0</v>
      </c>
      <c r="DG186" s="2">
        <f>COUNTIF(INDEX('LINE PLAN'!$B$36:$GS$61,0,ROW()-3),DG$3)</f>
        <v>0</v>
      </c>
      <c r="DH186" s="2">
        <f>COUNTIF(INDEX('LINE PLAN'!$B$36:$GS$61,0,ROW()-3),DH$3)</f>
        <v>0</v>
      </c>
      <c r="DI186" s="2">
        <f>COUNTIF(INDEX('LINE PLAN'!$B$36:$GS$61,0,ROW()-3),DI$3)</f>
        <v>0</v>
      </c>
      <c r="DJ186" s="2">
        <f>COUNTIF(INDEX('LINE PLAN'!$B$36:$GS$61,0,ROW()-3),DJ$3)</f>
        <v>0</v>
      </c>
      <c r="DK186" s="2">
        <f>COUNTIF(INDEX('LINE PLAN'!$B$36:$GS$61,0,ROW()-3),DK$3)</f>
        <v>0</v>
      </c>
      <c r="DL186" s="2">
        <f>COUNTIF(INDEX('LINE PLAN'!$B$36:$GS$61,0,ROW()-3),DL$3)</f>
        <v>0</v>
      </c>
      <c r="DM186" s="2">
        <f>COUNTIF(INDEX('LINE PLAN'!$B$36:$GS$61,0,ROW()-3),DM$3)</f>
        <v>0</v>
      </c>
      <c r="DN186" s="2">
        <f>COUNTIF(INDEX('LINE PLAN'!$B$36:$GS$61,0,ROW()-3),DN$3)</f>
        <v>0</v>
      </c>
      <c r="DO186" s="2">
        <f>COUNTIF(INDEX('LINE PLAN'!$B$36:$GS$61,0,ROW()-3),DO$3)</f>
        <v>0</v>
      </c>
      <c r="DP186" s="2">
        <f>COUNTIF(INDEX('LINE PLAN'!$B$36:$GS$61,0,ROW()-3),DP$3)</f>
        <v>0</v>
      </c>
      <c r="DQ186" s="2">
        <f>COUNTIF(INDEX('LINE PLAN'!$B$36:$GS$61,0,ROW()-3),DQ$3)</f>
        <v>0</v>
      </c>
      <c r="DR186" s="2">
        <f>COUNTIF(INDEX('LINE PLAN'!$B$36:$GS$61,0,ROW()-3),DR$3)</f>
        <v>0</v>
      </c>
      <c r="DS186" s="2">
        <f>COUNTIF(INDEX('LINE PLAN'!$B$36:$GS$61,0,ROW()-3),DS$3)</f>
        <v>0</v>
      </c>
      <c r="DT186" s="2">
        <f>COUNTIF(INDEX('LINE PLAN'!$B$36:$GS$61,0,ROW()-3),DT$3)</f>
        <v>0</v>
      </c>
      <c r="DU186" s="2">
        <f>COUNTIF(INDEX('LINE PLAN'!$B$36:$GS$61,0,ROW()-3),DU$3)</f>
        <v>0</v>
      </c>
      <c r="DV186" s="2">
        <f>COUNTIF(INDEX('LINE PLAN'!$B$36:$GS$61,0,ROW()-3),DV$3)</f>
        <v>0</v>
      </c>
    </row>
    <row r="187" spans="1:126">
      <c r="A187" s="505" cm="1">
        <f t="array" ref="A187">INDEX('LINE PLAN'!$B$35:$GS$35,ROW()-3)</f>
        <v>0</v>
      </c>
      <c r="B187" s="2">
        <f>SUMPRODUCT($CA187:$DV187,INDEX('MC MAP'!$DA$5:$EV$30,1,0))</f>
        <v>0</v>
      </c>
      <c r="C187" s="2">
        <f>SUMPRODUCT($CA187:$DV187,INDEX('MC MAP'!$DA$5:$EV$30,2,0))</f>
        <v>0</v>
      </c>
      <c r="D187" s="2">
        <f>SUMPRODUCT($CA187:$DV187,INDEX('MC MAP'!$DA$5:$EV$30,3,0))</f>
        <v>0</v>
      </c>
      <c r="E187" s="2">
        <f>SUMPRODUCT($CA187:$DV187,INDEX('MC MAP'!$DA$5:$EV$30,4,0))</f>
        <v>0</v>
      </c>
      <c r="F187" s="2">
        <f>SUMPRODUCT($CA187:$DV187,INDEX('MC MAP'!$DA$5:$EV$30,5,0))</f>
        <v>0</v>
      </c>
      <c r="G187" s="2">
        <f>SUMPRODUCT($CA187:$DV187,INDEX('MC MAP'!$DA$5:$EV$30,6,0))</f>
        <v>0</v>
      </c>
      <c r="H187" s="2">
        <f>SUMPRODUCT($CA187:$DV187,INDEX('MC MAP'!$DA$5:$EV$30,7,0))</f>
        <v>0</v>
      </c>
      <c r="I187" s="2">
        <f>SUMPRODUCT($CA187:$DV187,INDEX('MC MAP'!$DA$5:$EV$30,8,0))</f>
        <v>0</v>
      </c>
      <c r="J187" s="2">
        <f>SUMPRODUCT($CA187:$DV187,INDEX('MC MAP'!$DA$5:$EV$30,9,0))</f>
        <v>0</v>
      </c>
      <c r="K187" s="2">
        <f>SUMPRODUCT($CA187:$DV187,INDEX('MC MAP'!$DA$5:$EV$30,10,0))</f>
        <v>0</v>
      </c>
      <c r="L187" s="2">
        <f>SUMPRODUCT($CA187:$DV187,INDEX('MC MAP'!$DA$5:$EV$30,11,0))</f>
        <v>0</v>
      </c>
      <c r="M187" s="2">
        <f>SUMPRODUCT($CA187:$DV187,INDEX('MC MAP'!$DA$5:$EV$30,12,0))</f>
        <v>0</v>
      </c>
      <c r="N187" s="2">
        <f>SUMPRODUCT($CA187:$DV187,INDEX('MC MAP'!$DA$5:$EV$30,13,0))</f>
        <v>0</v>
      </c>
      <c r="O187" s="2">
        <f>SUMPRODUCT($CA187:$DV187,INDEX('MC MAP'!$DA$5:$EV$30,14,0))</f>
        <v>0</v>
      </c>
      <c r="P187" s="2">
        <f>SUMPRODUCT($CA187:$DV187,INDEX('MC MAP'!$DA$5:$EV$30,15,0))</f>
        <v>0</v>
      </c>
      <c r="Q187" s="2">
        <f>SUMPRODUCT($CA187:$DV187,INDEX('MC MAP'!$DA$5:$EV$30,16,0))</f>
        <v>0</v>
      </c>
      <c r="R187" s="2">
        <f>SUMPRODUCT($CA187:$DV187,INDEX('MC MAP'!$DA$5:$EV$30,17,0))</f>
        <v>0</v>
      </c>
      <c r="S187" s="2">
        <f>SUMPRODUCT($CA187:$DV187,INDEX('MC MAP'!$DA$5:$EV$30,18,0))</f>
        <v>0</v>
      </c>
      <c r="T187" s="2">
        <f>SUMPRODUCT($CA187:$DV187,INDEX('MC MAP'!$DA$5:$EV$30,19,0))</f>
        <v>0</v>
      </c>
      <c r="U187" s="2">
        <f>SUMPRODUCT($CA187:$DV187,INDEX('MC MAP'!$DA$5:$EV$30,20,0))</f>
        <v>0</v>
      </c>
      <c r="V187" s="2">
        <f>SUMPRODUCT($CA187:$DV187,INDEX('MC MAP'!$DA$5:$EV$30,21,0))</f>
        <v>0</v>
      </c>
      <c r="W187" s="2">
        <f>SUMPRODUCT($CA187:$DV187,INDEX('MC MAP'!$DA$5:$EV$30,22,0))</f>
        <v>0</v>
      </c>
      <c r="X187" s="2">
        <f>SUMPRODUCT($CA187:$DV187,INDEX('MC MAP'!$DA$5:$EV$30,23,0))</f>
        <v>0</v>
      </c>
      <c r="Y187" s="2">
        <f>SUMPRODUCT($CA187:$DV187,INDEX('MC MAP'!$DA$5:$EV$30,24,0))</f>
        <v>0</v>
      </c>
      <c r="Z187" s="2">
        <f>SUMPRODUCT($CA187:$DV187,INDEX('MC MAP'!$DA$5:$EV$30,25,0))</f>
        <v>0</v>
      </c>
      <c r="AA187" s="2">
        <f>SUMPRODUCT($CA187:$DV187,INDEX('MC MAP'!$DA$5:$EV$30,26,0))</f>
        <v>0</v>
      </c>
      <c r="AB187" s="2">
        <f>SUM($B187:$AA187)</f>
        <v>0</v>
      </c>
      <c r="AC187" s="2">
        <f>SUM($CA187:$DV187)+$AW187</f>
        <v>0</v>
      </c>
      <c r="AW187" s="2">
        <f>IF($A187=0,0,COUNTIF(INDEX('LINE PLAN'!$B$36:$GS$61,0,ROW()-3),"THERMAL - NOT SPECIFIED"))</f>
        <v>0</v>
      </c>
      <c r="AX187" s="506" cm="1">
        <f t="array" ref="AX187">IF(OR($AB187=0,UPPER($BS187)&lt;&gt;"Y"),0,SUMPRODUCT(--($B187:$AA187&gt;$B$205:$AA$205)))</f>
        <v>0</v>
      </c>
      <c r="AY187" s="507">
        <f>$A187</f>
        <v>0</v>
      </c>
      <c r="AZ187" s="2">
        <f>$AB187</f>
        <v>0</v>
      </c>
      <c r="BA187" s="2">
        <f>'MC MASTER'!$C$29</f>
        <v>920</v>
      </c>
      <c r="BQ187" s="509">
        <f>$A187</f>
        <v>0</v>
      </c>
      <c r="BR187" s="15" t="str">
        <f>TEXT($A187,"ddd")</f>
        <v>Sat</v>
      </c>
      <c r="BS187" s="547" t="str">
        <f>IF($A187=0,"",IF(WEEKDAY($A187,2)=7,"N","Y"))</f>
        <v/>
      </c>
      <c r="BT187" s="15">
        <f>IF(UPPER($BS187)="Y",$AB187,0)</f>
        <v>0</v>
      </c>
      <c r="CA187" s="2">
        <f>COUNTIF(INDEX('LINE PLAN'!$B$36:$GS$61,0,ROW()-3),CA$3)</f>
        <v>0</v>
      </c>
      <c r="CB187" s="2">
        <f>COUNTIF(INDEX('LINE PLAN'!$B$36:$GS$61,0,ROW()-3),CB$3)</f>
        <v>0</v>
      </c>
      <c r="CC187" s="2">
        <f>COUNTIF(INDEX('LINE PLAN'!$B$36:$GS$61,0,ROW()-3),CC$3)</f>
        <v>0</v>
      </c>
      <c r="CD187" s="2">
        <f>COUNTIF(INDEX('LINE PLAN'!$B$36:$GS$61,0,ROW()-3),CD$3)</f>
        <v>0</v>
      </c>
      <c r="CE187" s="2">
        <f>COUNTIF(INDEX('LINE PLAN'!$B$36:$GS$61,0,ROW()-3),CE$3)</f>
        <v>0</v>
      </c>
      <c r="CF187" s="2">
        <f>COUNTIF(INDEX('LINE PLAN'!$B$36:$GS$61,0,ROW()-3),CF$3)</f>
        <v>0</v>
      </c>
      <c r="CG187" s="2">
        <f>COUNTIF(INDEX('LINE PLAN'!$B$36:$GS$61,0,ROW()-3),CG$3)</f>
        <v>0</v>
      </c>
      <c r="CH187" s="2">
        <f>COUNTIF(INDEX('LINE PLAN'!$B$36:$GS$61,0,ROW()-3),CH$3)</f>
        <v>0</v>
      </c>
      <c r="CI187" s="2">
        <f>COUNTIF(INDEX('LINE PLAN'!$B$36:$GS$61,0,ROW()-3),CI$3)</f>
        <v>0</v>
      </c>
      <c r="CJ187" s="2">
        <f>COUNTIF(INDEX('LINE PLAN'!$B$36:$GS$61,0,ROW()-3),CJ$3)</f>
        <v>0</v>
      </c>
      <c r="CK187" s="2">
        <f>COUNTIF(INDEX('LINE PLAN'!$B$36:$GS$61,0,ROW()-3),CK$3)</f>
        <v>0</v>
      </c>
      <c r="CL187" s="2">
        <f>COUNTIF(INDEX('LINE PLAN'!$B$36:$GS$61,0,ROW()-3),CL$3)</f>
        <v>0</v>
      </c>
      <c r="CM187" s="2">
        <f>COUNTIF(INDEX('LINE PLAN'!$B$36:$GS$61,0,ROW()-3),CM$3)</f>
        <v>0</v>
      </c>
      <c r="CN187" s="2">
        <f>COUNTIF(INDEX('LINE PLAN'!$B$36:$GS$61,0,ROW()-3),CN$3)</f>
        <v>0</v>
      </c>
      <c r="CO187" s="2">
        <f>COUNTIF(INDEX('LINE PLAN'!$B$36:$GS$61,0,ROW()-3),CO$3)</f>
        <v>0</v>
      </c>
      <c r="CP187" s="2">
        <f>COUNTIF(INDEX('LINE PLAN'!$B$36:$GS$61,0,ROW()-3),CP$3)</f>
        <v>0</v>
      </c>
      <c r="CQ187" s="2">
        <f>COUNTIF(INDEX('LINE PLAN'!$B$36:$GS$61,0,ROW()-3),CQ$3)</f>
        <v>0</v>
      </c>
      <c r="CR187" s="2">
        <f>COUNTIF(INDEX('LINE PLAN'!$B$36:$GS$61,0,ROW()-3),CR$3)</f>
        <v>0</v>
      </c>
      <c r="CS187" s="2">
        <f>COUNTIF(INDEX('LINE PLAN'!$B$36:$GS$61,0,ROW()-3),CS$3)</f>
        <v>0</v>
      </c>
      <c r="CT187" s="2">
        <f>COUNTIF(INDEX('LINE PLAN'!$B$36:$GS$61,0,ROW()-3),CT$3)</f>
        <v>0</v>
      </c>
      <c r="CU187" s="2">
        <f>COUNTIF(INDEX('LINE PLAN'!$B$36:$GS$61,0,ROW()-3),CU$3)</f>
        <v>0</v>
      </c>
      <c r="CV187" s="2">
        <f>COUNTIF(INDEX('LINE PLAN'!$B$36:$GS$61,0,ROW()-3),CV$3)</f>
        <v>0</v>
      </c>
      <c r="CW187" s="2">
        <f>COUNTIF(INDEX('LINE PLAN'!$B$36:$GS$61,0,ROW()-3),CW$3)</f>
        <v>0</v>
      </c>
      <c r="CX187" s="2">
        <f>COUNTIF(INDEX('LINE PLAN'!$B$36:$GS$61,0,ROW()-3),CX$3)</f>
        <v>0</v>
      </c>
      <c r="CY187" s="2">
        <f>COUNTIF(INDEX('LINE PLAN'!$B$36:$GS$61,0,ROW()-3),CY$3)</f>
        <v>0</v>
      </c>
      <c r="CZ187" s="2">
        <f>COUNTIF(INDEX('LINE PLAN'!$B$36:$GS$61,0,ROW()-3),CZ$3)</f>
        <v>0</v>
      </c>
      <c r="DA187" s="2">
        <f>COUNTIF(INDEX('LINE PLAN'!$B$36:$GS$61,0,ROW()-3),DA$3)</f>
        <v>0</v>
      </c>
      <c r="DB187" s="2">
        <f>COUNTIF(INDEX('LINE PLAN'!$B$36:$GS$61,0,ROW()-3),DB$3)</f>
        <v>0</v>
      </c>
      <c r="DC187" s="2">
        <f>COUNTIF(INDEX('LINE PLAN'!$B$36:$GS$61,0,ROW()-3),DC$3)</f>
        <v>0</v>
      </c>
      <c r="DD187" s="2">
        <f>COUNTIF(INDEX('LINE PLAN'!$B$36:$GS$61,0,ROW()-3),DD$3)</f>
        <v>0</v>
      </c>
      <c r="DE187" s="2">
        <f>COUNTIF(INDEX('LINE PLAN'!$B$36:$GS$61,0,ROW()-3),DE$3)</f>
        <v>0</v>
      </c>
      <c r="DF187" s="2">
        <f>COUNTIF(INDEX('LINE PLAN'!$B$36:$GS$61,0,ROW()-3),DF$3)</f>
        <v>0</v>
      </c>
      <c r="DG187" s="2">
        <f>COUNTIF(INDEX('LINE PLAN'!$B$36:$GS$61,0,ROW()-3),DG$3)</f>
        <v>0</v>
      </c>
      <c r="DH187" s="2">
        <f>COUNTIF(INDEX('LINE PLAN'!$B$36:$GS$61,0,ROW()-3),DH$3)</f>
        <v>0</v>
      </c>
      <c r="DI187" s="2">
        <f>COUNTIF(INDEX('LINE PLAN'!$B$36:$GS$61,0,ROW()-3),DI$3)</f>
        <v>0</v>
      </c>
      <c r="DJ187" s="2">
        <f>COUNTIF(INDEX('LINE PLAN'!$B$36:$GS$61,0,ROW()-3),DJ$3)</f>
        <v>0</v>
      </c>
      <c r="DK187" s="2">
        <f>COUNTIF(INDEX('LINE PLAN'!$B$36:$GS$61,0,ROW()-3),DK$3)</f>
        <v>0</v>
      </c>
      <c r="DL187" s="2">
        <f>COUNTIF(INDEX('LINE PLAN'!$B$36:$GS$61,0,ROW()-3),DL$3)</f>
        <v>0</v>
      </c>
      <c r="DM187" s="2">
        <f>COUNTIF(INDEX('LINE PLAN'!$B$36:$GS$61,0,ROW()-3),DM$3)</f>
        <v>0</v>
      </c>
      <c r="DN187" s="2">
        <f>COUNTIF(INDEX('LINE PLAN'!$B$36:$GS$61,0,ROW()-3),DN$3)</f>
        <v>0</v>
      </c>
      <c r="DO187" s="2">
        <f>COUNTIF(INDEX('LINE PLAN'!$B$36:$GS$61,0,ROW()-3),DO$3)</f>
        <v>0</v>
      </c>
      <c r="DP187" s="2">
        <f>COUNTIF(INDEX('LINE PLAN'!$B$36:$GS$61,0,ROW()-3),DP$3)</f>
        <v>0</v>
      </c>
      <c r="DQ187" s="2">
        <f>COUNTIF(INDEX('LINE PLAN'!$B$36:$GS$61,0,ROW()-3),DQ$3)</f>
        <v>0</v>
      </c>
      <c r="DR187" s="2">
        <f>COUNTIF(INDEX('LINE PLAN'!$B$36:$GS$61,0,ROW()-3),DR$3)</f>
        <v>0</v>
      </c>
      <c r="DS187" s="2">
        <f>COUNTIF(INDEX('LINE PLAN'!$B$36:$GS$61,0,ROW()-3),DS$3)</f>
        <v>0</v>
      </c>
      <c r="DT187" s="2">
        <f>COUNTIF(INDEX('LINE PLAN'!$B$36:$GS$61,0,ROW()-3),DT$3)</f>
        <v>0</v>
      </c>
      <c r="DU187" s="2">
        <f>COUNTIF(INDEX('LINE PLAN'!$B$36:$GS$61,0,ROW()-3),DU$3)</f>
        <v>0</v>
      </c>
      <c r="DV187" s="2">
        <f>COUNTIF(INDEX('LINE PLAN'!$B$36:$GS$61,0,ROW()-3),DV$3)</f>
        <v>0</v>
      </c>
    </row>
    <row r="188" spans="1:126">
      <c r="A188" s="505" cm="1">
        <f t="array" ref="A188">INDEX('LINE PLAN'!$B$35:$GS$35,ROW()-3)</f>
        <v>0</v>
      </c>
      <c r="B188" s="2">
        <f>SUMPRODUCT($CA188:$DV188,INDEX('MC MAP'!$DA$5:$EV$30,1,0))</f>
        <v>0</v>
      </c>
      <c r="C188" s="2">
        <f>SUMPRODUCT($CA188:$DV188,INDEX('MC MAP'!$DA$5:$EV$30,2,0))</f>
        <v>0</v>
      </c>
      <c r="D188" s="2">
        <f>SUMPRODUCT($CA188:$DV188,INDEX('MC MAP'!$DA$5:$EV$30,3,0))</f>
        <v>0</v>
      </c>
      <c r="E188" s="2">
        <f>SUMPRODUCT($CA188:$DV188,INDEX('MC MAP'!$DA$5:$EV$30,4,0))</f>
        <v>0</v>
      </c>
      <c r="F188" s="2">
        <f>SUMPRODUCT($CA188:$DV188,INDEX('MC MAP'!$DA$5:$EV$30,5,0))</f>
        <v>0</v>
      </c>
      <c r="G188" s="2">
        <f>SUMPRODUCT($CA188:$DV188,INDEX('MC MAP'!$DA$5:$EV$30,6,0))</f>
        <v>0</v>
      </c>
      <c r="H188" s="2">
        <f>SUMPRODUCT($CA188:$DV188,INDEX('MC MAP'!$DA$5:$EV$30,7,0))</f>
        <v>0</v>
      </c>
      <c r="I188" s="2">
        <f>SUMPRODUCT($CA188:$DV188,INDEX('MC MAP'!$DA$5:$EV$30,8,0))</f>
        <v>0</v>
      </c>
      <c r="J188" s="2">
        <f>SUMPRODUCT($CA188:$DV188,INDEX('MC MAP'!$DA$5:$EV$30,9,0))</f>
        <v>0</v>
      </c>
      <c r="K188" s="2">
        <f>SUMPRODUCT($CA188:$DV188,INDEX('MC MAP'!$DA$5:$EV$30,10,0))</f>
        <v>0</v>
      </c>
      <c r="L188" s="2">
        <f>SUMPRODUCT($CA188:$DV188,INDEX('MC MAP'!$DA$5:$EV$30,11,0))</f>
        <v>0</v>
      </c>
      <c r="M188" s="2">
        <f>SUMPRODUCT($CA188:$DV188,INDEX('MC MAP'!$DA$5:$EV$30,12,0))</f>
        <v>0</v>
      </c>
      <c r="N188" s="2">
        <f>SUMPRODUCT($CA188:$DV188,INDEX('MC MAP'!$DA$5:$EV$30,13,0))</f>
        <v>0</v>
      </c>
      <c r="O188" s="2">
        <f>SUMPRODUCT($CA188:$DV188,INDEX('MC MAP'!$DA$5:$EV$30,14,0))</f>
        <v>0</v>
      </c>
      <c r="P188" s="2">
        <f>SUMPRODUCT($CA188:$DV188,INDEX('MC MAP'!$DA$5:$EV$30,15,0))</f>
        <v>0</v>
      </c>
      <c r="Q188" s="2">
        <f>SUMPRODUCT($CA188:$DV188,INDEX('MC MAP'!$DA$5:$EV$30,16,0))</f>
        <v>0</v>
      </c>
      <c r="R188" s="2">
        <f>SUMPRODUCT($CA188:$DV188,INDEX('MC MAP'!$DA$5:$EV$30,17,0))</f>
        <v>0</v>
      </c>
      <c r="S188" s="2">
        <f>SUMPRODUCT($CA188:$DV188,INDEX('MC MAP'!$DA$5:$EV$30,18,0))</f>
        <v>0</v>
      </c>
      <c r="T188" s="2">
        <f>SUMPRODUCT($CA188:$DV188,INDEX('MC MAP'!$DA$5:$EV$30,19,0))</f>
        <v>0</v>
      </c>
      <c r="U188" s="2">
        <f>SUMPRODUCT($CA188:$DV188,INDEX('MC MAP'!$DA$5:$EV$30,20,0))</f>
        <v>0</v>
      </c>
      <c r="V188" s="2">
        <f>SUMPRODUCT($CA188:$DV188,INDEX('MC MAP'!$DA$5:$EV$30,21,0))</f>
        <v>0</v>
      </c>
      <c r="W188" s="2">
        <f>SUMPRODUCT($CA188:$DV188,INDEX('MC MAP'!$DA$5:$EV$30,22,0))</f>
        <v>0</v>
      </c>
      <c r="X188" s="2">
        <f>SUMPRODUCT($CA188:$DV188,INDEX('MC MAP'!$DA$5:$EV$30,23,0))</f>
        <v>0</v>
      </c>
      <c r="Y188" s="2">
        <f>SUMPRODUCT($CA188:$DV188,INDEX('MC MAP'!$DA$5:$EV$30,24,0))</f>
        <v>0</v>
      </c>
      <c r="Z188" s="2">
        <f>SUMPRODUCT($CA188:$DV188,INDEX('MC MAP'!$DA$5:$EV$30,25,0))</f>
        <v>0</v>
      </c>
      <c r="AA188" s="2">
        <f>SUMPRODUCT($CA188:$DV188,INDEX('MC MAP'!$DA$5:$EV$30,26,0))</f>
        <v>0</v>
      </c>
      <c r="AB188" s="2">
        <f>SUM($B188:$AA188)</f>
        <v>0</v>
      </c>
      <c r="AC188" s="2">
        <f>SUM($CA188:$DV188)+$AW188</f>
        <v>0</v>
      </c>
      <c r="AW188" s="2">
        <f>IF($A188=0,0,COUNTIF(INDEX('LINE PLAN'!$B$36:$GS$61,0,ROW()-3),"THERMAL - NOT SPECIFIED"))</f>
        <v>0</v>
      </c>
      <c r="AX188" s="506" cm="1">
        <f t="array" ref="AX188">IF(OR($AB188=0,UPPER($BS188)&lt;&gt;"Y"),0,SUMPRODUCT(--($B188:$AA188&gt;$B$205:$AA$205)))</f>
        <v>0</v>
      </c>
      <c r="AY188" s="507">
        <f>$A188</f>
        <v>0</v>
      </c>
      <c r="AZ188" s="2">
        <f>$AB188</f>
        <v>0</v>
      </c>
      <c r="BA188" s="2">
        <f>'MC MASTER'!$C$29</f>
        <v>920</v>
      </c>
      <c r="BQ188" s="509">
        <f>$A188</f>
        <v>0</v>
      </c>
      <c r="BR188" s="15" t="str">
        <f>TEXT($A188,"ddd")</f>
        <v>Sat</v>
      </c>
      <c r="BS188" s="547" t="str">
        <f>IF($A188=0,"",IF(WEEKDAY($A188,2)=7,"N","Y"))</f>
        <v/>
      </c>
      <c r="BT188" s="15">
        <f>IF(UPPER($BS188)="Y",$AB188,0)</f>
        <v>0</v>
      </c>
      <c r="CA188" s="2">
        <f>COUNTIF(INDEX('LINE PLAN'!$B$36:$GS$61,0,ROW()-3),CA$3)</f>
        <v>0</v>
      </c>
      <c r="CB188" s="2">
        <f>COUNTIF(INDEX('LINE PLAN'!$B$36:$GS$61,0,ROW()-3),CB$3)</f>
        <v>0</v>
      </c>
      <c r="CC188" s="2">
        <f>COUNTIF(INDEX('LINE PLAN'!$B$36:$GS$61,0,ROW()-3),CC$3)</f>
        <v>0</v>
      </c>
      <c r="CD188" s="2">
        <f>COUNTIF(INDEX('LINE PLAN'!$B$36:$GS$61,0,ROW()-3),CD$3)</f>
        <v>0</v>
      </c>
      <c r="CE188" s="2">
        <f>COUNTIF(INDEX('LINE PLAN'!$B$36:$GS$61,0,ROW()-3),CE$3)</f>
        <v>0</v>
      </c>
      <c r="CF188" s="2">
        <f>COUNTIF(INDEX('LINE PLAN'!$B$36:$GS$61,0,ROW()-3),CF$3)</f>
        <v>0</v>
      </c>
      <c r="CG188" s="2">
        <f>COUNTIF(INDEX('LINE PLAN'!$B$36:$GS$61,0,ROW()-3),CG$3)</f>
        <v>0</v>
      </c>
      <c r="CH188" s="2">
        <f>COUNTIF(INDEX('LINE PLAN'!$B$36:$GS$61,0,ROW()-3),CH$3)</f>
        <v>0</v>
      </c>
      <c r="CI188" s="2">
        <f>COUNTIF(INDEX('LINE PLAN'!$B$36:$GS$61,0,ROW()-3),CI$3)</f>
        <v>0</v>
      </c>
      <c r="CJ188" s="2">
        <f>COUNTIF(INDEX('LINE PLAN'!$B$36:$GS$61,0,ROW()-3),CJ$3)</f>
        <v>0</v>
      </c>
      <c r="CK188" s="2">
        <f>COUNTIF(INDEX('LINE PLAN'!$B$36:$GS$61,0,ROW()-3),CK$3)</f>
        <v>0</v>
      </c>
      <c r="CL188" s="2">
        <f>COUNTIF(INDEX('LINE PLAN'!$B$36:$GS$61,0,ROW()-3),CL$3)</f>
        <v>0</v>
      </c>
      <c r="CM188" s="2">
        <f>COUNTIF(INDEX('LINE PLAN'!$B$36:$GS$61,0,ROW()-3),CM$3)</f>
        <v>0</v>
      </c>
      <c r="CN188" s="2">
        <f>COUNTIF(INDEX('LINE PLAN'!$B$36:$GS$61,0,ROW()-3),CN$3)</f>
        <v>0</v>
      </c>
      <c r="CO188" s="2">
        <f>COUNTIF(INDEX('LINE PLAN'!$B$36:$GS$61,0,ROW()-3),CO$3)</f>
        <v>0</v>
      </c>
      <c r="CP188" s="2">
        <f>COUNTIF(INDEX('LINE PLAN'!$B$36:$GS$61,0,ROW()-3),CP$3)</f>
        <v>0</v>
      </c>
      <c r="CQ188" s="2">
        <f>COUNTIF(INDEX('LINE PLAN'!$B$36:$GS$61,0,ROW()-3),CQ$3)</f>
        <v>0</v>
      </c>
      <c r="CR188" s="2">
        <f>COUNTIF(INDEX('LINE PLAN'!$B$36:$GS$61,0,ROW()-3),CR$3)</f>
        <v>0</v>
      </c>
      <c r="CS188" s="2">
        <f>COUNTIF(INDEX('LINE PLAN'!$B$36:$GS$61,0,ROW()-3),CS$3)</f>
        <v>0</v>
      </c>
      <c r="CT188" s="2">
        <f>COUNTIF(INDEX('LINE PLAN'!$B$36:$GS$61,0,ROW()-3),CT$3)</f>
        <v>0</v>
      </c>
      <c r="CU188" s="2">
        <f>COUNTIF(INDEX('LINE PLAN'!$B$36:$GS$61,0,ROW()-3),CU$3)</f>
        <v>0</v>
      </c>
      <c r="CV188" s="2">
        <f>COUNTIF(INDEX('LINE PLAN'!$B$36:$GS$61,0,ROW()-3),CV$3)</f>
        <v>0</v>
      </c>
      <c r="CW188" s="2">
        <f>COUNTIF(INDEX('LINE PLAN'!$B$36:$GS$61,0,ROW()-3),CW$3)</f>
        <v>0</v>
      </c>
      <c r="CX188" s="2">
        <f>COUNTIF(INDEX('LINE PLAN'!$B$36:$GS$61,0,ROW()-3),CX$3)</f>
        <v>0</v>
      </c>
      <c r="CY188" s="2">
        <f>COUNTIF(INDEX('LINE PLAN'!$B$36:$GS$61,0,ROW()-3),CY$3)</f>
        <v>0</v>
      </c>
      <c r="CZ188" s="2">
        <f>COUNTIF(INDEX('LINE PLAN'!$B$36:$GS$61,0,ROW()-3),CZ$3)</f>
        <v>0</v>
      </c>
      <c r="DA188" s="2">
        <f>COUNTIF(INDEX('LINE PLAN'!$B$36:$GS$61,0,ROW()-3),DA$3)</f>
        <v>0</v>
      </c>
      <c r="DB188" s="2">
        <f>COUNTIF(INDEX('LINE PLAN'!$B$36:$GS$61,0,ROW()-3),DB$3)</f>
        <v>0</v>
      </c>
      <c r="DC188" s="2">
        <f>COUNTIF(INDEX('LINE PLAN'!$B$36:$GS$61,0,ROW()-3),DC$3)</f>
        <v>0</v>
      </c>
      <c r="DD188" s="2">
        <f>COUNTIF(INDEX('LINE PLAN'!$B$36:$GS$61,0,ROW()-3),DD$3)</f>
        <v>0</v>
      </c>
      <c r="DE188" s="2">
        <f>COUNTIF(INDEX('LINE PLAN'!$B$36:$GS$61,0,ROW()-3),DE$3)</f>
        <v>0</v>
      </c>
      <c r="DF188" s="2">
        <f>COUNTIF(INDEX('LINE PLAN'!$B$36:$GS$61,0,ROW()-3),DF$3)</f>
        <v>0</v>
      </c>
      <c r="DG188" s="2">
        <f>COUNTIF(INDEX('LINE PLAN'!$B$36:$GS$61,0,ROW()-3),DG$3)</f>
        <v>0</v>
      </c>
      <c r="DH188" s="2">
        <f>COUNTIF(INDEX('LINE PLAN'!$B$36:$GS$61,0,ROW()-3),DH$3)</f>
        <v>0</v>
      </c>
      <c r="DI188" s="2">
        <f>COUNTIF(INDEX('LINE PLAN'!$B$36:$GS$61,0,ROW()-3),DI$3)</f>
        <v>0</v>
      </c>
      <c r="DJ188" s="2">
        <f>COUNTIF(INDEX('LINE PLAN'!$B$36:$GS$61,0,ROW()-3),DJ$3)</f>
        <v>0</v>
      </c>
      <c r="DK188" s="2">
        <f>COUNTIF(INDEX('LINE PLAN'!$B$36:$GS$61,0,ROW()-3),DK$3)</f>
        <v>0</v>
      </c>
      <c r="DL188" s="2">
        <f>COUNTIF(INDEX('LINE PLAN'!$B$36:$GS$61,0,ROW()-3),DL$3)</f>
        <v>0</v>
      </c>
      <c r="DM188" s="2">
        <f>COUNTIF(INDEX('LINE PLAN'!$B$36:$GS$61,0,ROW()-3),DM$3)</f>
        <v>0</v>
      </c>
      <c r="DN188" s="2">
        <f>COUNTIF(INDEX('LINE PLAN'!$B$36:$GS$61,0,ROW()-3),DN$3)</f>
        <v>0</v>
      </c>
      <c r="DO188" s="2">
        <f>COUNTIF(INDEX('LINE PLAN'!$B$36:$GS$61,0,ROW()-3),DO$3)</f>
        <v>0</v>
      </c>
      <c r="DP188" s="2">
        <f>COUNTIF(INDEX('LINE PLAN'!$B$36:$GS$61,0,ROW()-3),DP$3)</f>
        <v>0</v>
      </c>
      <c r="DQ188" s="2">
        <f>COUNTIF(INDEX('LINE PLAN'!$B$36:$GS$61,0,ROW()-3),DQ$3)</f>
        <v>0</v>
      </c>
      <c r="DR188" s="2">
        <f>COUNTIF(INDEX('LINE PLAN'!$B$36:$GS$61,0,ROW()-3),DR$3)</f>
        <v>0</v>
      </c>
      <c r="DS188" s="2">
        <f>COUNTIF(INDEX('LINE PLAN'!$B$36:$GS$61,0,ROW()-3),DS$3)</f>
        <v>0</v>
      </c>
      <c r="DT188" s="2">
        <f>COUNTIF(INDEX('LINE PLAN'!$B$36:$GS$61,0,ROW()-3),DT$3)</f>
        <v>0</v>
      </c>
      <c r="DU188" s="2">
        <f>COUNTIF(INDEX('LINE PLAN'!$B$36:$GS$61,0,ROW()-3),DU$3)</f>
        <v>0</v>
      </c>
      <c r="DV188" s="2">
        <f>COUNTIF(INDEX('LINE PLAN'!$B$36:$GS$61,0,ROW()-3),DV$3)</f>
        <v>0</v>
      </c>
    </row>
    <row r="189" spans="1:126">
      <c r="A189" s="505" cm="1">
        <f t="array" ref="A189">INDEX('LINE PLAN'!$B$35:$GS$35,ROW()-3)</f>
        <v>0</v>
      </c>
      <c r="B189" s="2">
        <f>SUMPRODUCT($CA189:$DV189,INDEX('MC MAP'!$DA$5:$EV$30,1,0))</f>
        <v>0</v>
      </c>
      <c r="C189" s="2">
        <f>SUMPRODUCT($CA189:$DV189,INDEX('MC MAP'!$DA$5:$EV$30,2,0))</f>
        <v>0</v>
      </c>
      <c r="D189" s="2">
        <f>SUMPRODUCT($CA189:$DV189,INDEX('MC MAP'!$DA$5:$EV$30,3,0))</f>
        <v>0</v>
      </c>
      <c r="E189" s="2">
        <f>SUMPRODUCT($CA189:$DV189,INDEX('MC MAP'!$DA$5:$EV$30,4,0))</f>
        <v>0</v>
      </c>
      <c r="F189" s="2">
        <f>SUMPRODUCT($CA189:$DV189,INDEX('MC MAP'!$DA$5:$EV$30,5,0))</f>
        <v>0</v>
      </c>
      <c r="G189" s="2">
        <f>SUMPRODUCT($CA189:$DV189,INDEX('MC MAP'!$DA$5:$EV$30,6,0))</f>
        <v>0</v>
      </c>
      <c r="H189" s="2">
        <f>SUMPRODUCT($CA189:$DV189,INDEX('MC MAP'!$DA$5:$EV$30,7,0))</f>
        <v>0</v>
      </c>
      <c r="I189" s="2">
        <f>SUMPRODUCT($CA189:$DV189,INDEX('MC MAP'!$DA$5:$EV$30,8,0))</f>
        <v>0</v>
      </c>
      <c r="J189" s="2">
        <f>SUMPRODUCT($CA189:$DV189,INDEX('MC MAP'!$DA$5:$EV$30,9,0))</f>
        <v>0</v>
      </c>
      <c r="K189" s="2">
        <f>SUMPRODUCT($CA189:$DV189,INDEX('MC MAP'!$DA$5:$EV$30,10,0))</f>
        <v>0</v>
      </c>
      <c r="L189" s="2">
        <f>SUMPRODUCT($CA189:$DV189,INDEX('MC MAP'!$DA$5:$EV$30,11,0))</f>
        <v>0</v>
      </c>
      <c r="M189" s="2">
        <f>SUMPRODUCT($CA189:$DV189,INDEX('MC MAP'!$DA$5:$EV$30,12,0))</f>
        <v>0</v>
      </c>
      <c r="N189" s="2">
        <f>SUMPRODUCT($CA189:$DV189,INDEX('MC MAP'!$DA$5:$EV$30,13,0))</f>
        <v>0</v>
      </c>
      <c r="O189" s="2">
        <f>SUMPRODUCT($CA189:$DV189,INDEX('MC MAP'!$DA$5:$EV$30,14,0))</f>
        <v>0</v>
      </c>
      <c r="P189" s="2">
        <f>SUMPRODUCT($CA189:$DV189,INDEX('MC MAP'!$DA$5:$EV$30,15,0))</f>
        <v>0</v>
      </c>
      <c r="Q189" s="2">
        <f>SUMPRODUCT($CA189:$DV189,INDEX('MC MAP'!$DA$5:$EV$30,16,0))</f>
        <v>0</v>
      </c>
      <c r="R189" s="2">
        <f>SUMPRODUCT($CA189:$DV189,INDEX('MC MAP'!$DA$5:$EV$30,17,0))</f>
        <v>0</v>
      </c>
      <c r="S189" s="2">
        <f>SUMPRODUCT($CA189:$DV189,INDEX('MC MAP'!$DA$5:$EV$30,18,0))</f>
        <v>0</v>
      </c>
      <c r="T189" s="2">
        <f>SUMPRODUCT($CA189:$DV189,INDEX('MC MAP'!$DA$5:$EV$30,19,0))</f>
        <v>0</v>
      </c>
      <c r="U189" s="2">
        <f>SUMPRODUCT($CA189:$DV189,INDEX('MC MAP'!$DA$5:$EV$30,20,0))</f>
        <v>0</v>
      </c>
      <c r="V189" s="2">
        <f>SUMPRODUCT($CA189:$DV189,INDEX('MC MAP'!$DA$5:$EV$30,21,0))</f>
        <v>0</v>
      </c>
      <c r="W189" s="2">
        <f>SUMPRODUCT($CA189:$DV189,INDEX('MC MAP'!$DA$5:$EV$30,22,0))</f>
        <v>0</v>
      </c>
      <c r="X189" s="2">
        <f>SUMPRODUCT($CA189:$DV189,INDEX('MC MAP'!$DA$5:$EV$30,23,0))</f>
        <v>0</v>
      </c>
      <c r="Y189" s="2">
        <f>SUMPRODUCT($CA189:$DV189,INDEX('MC MAP'!$DA$5:$EV$30,24,0))</f>
        <v>0</v>
      </c>
      <c r="Z189" s="2">
        <f>SUMPRODUCT($CA189:$DV189,INDEX('MC MAP'!$DA$5:$EV$30,25,0))</f>
        <v>0</v>
      </c>
      <c r="AA189" s="2">
        <f>SUMPRODUCT($CA189:$DV189,INDEX('MC MAP'!$DA$5:$EV$30,26,0))</f>
        <v>0</v>
      </c>
      <c r="AB189" s="2">
        <f>SUM($B189:$AA189)</f>
        <v>0</v>
      </c>
      <c r="AC189" s="2">
        <f>SUM($CA189:$DV189)+$AW189</f>
        <v>0</v>
      </c>
      <c r="AW189" s="2">
        <f>IF($A189=0,0,COUNTIF(INDEX('LINE PLAN'!$B$36:$GS$61,0,ROW()-3),"THERMAL - NOT SPECIFIED"))</f>
        <v>0</v>
      </c>
      <c r="AX189" s="506" cm="1">
        <f t="array" ref="AX189">IF(OR($AB189=0,UPPER($BS189)&lt;&gt;"Y"),0,SUMPRODUCT(--($B189:$AA189&gt;$B$205:$AA$205)))</f>
        <v>0</v>
      </c>
      <c r="AY189" s="507">
        <f>$A189</f>
        <v>0</v>
      </c>
      <c r="AZ189" s="2">
        <f>$AB189</f>
        <v>0</v>
      </c>
      <c r="BA189" s="2">
        <f>'MC MASTER'!$C$29</f>
        <v>920</v>
      </c>
      <c r="BQ189" s="509">
        <f>$A189</f>
        <v>0</v>
      </c>
      <c r="BR189" s="15" t="str">
        <f>TEXT($A189,"ddd")</f>
        <v>Sat</v>
      </c>
      <c r="BS189" s="547" t="str">
        <f>IF($A189=0,"",IF(WEEKDAY($A189,2)=7,"N","Y"))</f>
        <v/>
      </c>
      <c r="BT189" s="15">
        <f>IF(UPPER($BS189)="Y",$AB189,0)</f>
        <v>0</v>
      </c>
      <c r="CA189" s="2">
        <f>COUNTIF(INDEX('LINE PLAN'!$B$36:$GS$61,0,ROW()-3),CA$3)</f>
        <v>0</v>
      </c>
      <c r="CB189" s="2">
        <f>COUNTIF(INDEX('LINE PLAN'!$B$36:$GS$61,0,ROW()-3),CB$3)</f>
        <v>0</v>
      </c>
      <c r="CC189" s="2">
        <f>COUNTIF(INDEX('LINE PLAN'!$B$36:$GS$61,0,ROW()-3),CC$3)</f>
        <v>0</v>
      </c>
      <c r="CD189" s="2">
        <f>COUNTIF(INDEX('LINE PLAN'!$B$36:$GS$61,0,ROW()-3),CD$3)</f>
        <v>0</v>
      </c>
      <c r="CE189" s="2">
        <f>COUNTIF(INDEX('LINE PLAN'!$B$36:$GS$61,0,ROW()-3),CE$3)</f>
        <v>0</v>
      </c>
      <c r="CF189" s="2">
        <f>COUNTIF(INDEX('LINE PLAN'!$B$36:$GS$61,0,ROW()-3),CF$3)</f>
        <v>0</v>
      </c>
      <c r="CG189" s="2">
        <f>COUNTIF(INDEX('LINE PLAN'!$B$36:$GS$61,0,ROW()-3),CG$3)</f>
        <v>0</v>
      </c>
      <c r="CH189" s="2">
        <f>COUNTIF(INDEX('LINE PLAN'!$B$36:$GS$61,0,ROW()-3),CH$3)</f>
        <v>0</v>
      </c>
      <c r="CI189" s="2">
        <f>COUNTIF(INDEX('LINE PLAN'!$B$36:$GS$61,0,ROW()-3),CI$3)</f>
        <v>0</v>
      </c>
      <c r="CJ189" s="2">
        <f>COUNTIF(INDEX('LINE PLAN'!$B$36:$GS$61,0,ROW()-3),CJ$3)</f>
        <v>0</v>
      </c>
      <c r="CK189" s="2">
        <f>COUNTIF(INDEX('LINE PLAN'!$B$36:$GS$61,0,ROW()-3),CK$3)</f>
        <v>0</v>
      </c>
      <c r="CL189" s="2">
        <f>COUNTIF(INDEX('LINE PLAN'!$B$36:$GS$61,0,ROW()-3),CL$3)</f>
        <v>0</v>
      </c>
      <c r="CM189" s="2">
        <f>COUNTIF(INDEX('LINE PLAN'!$B$36:$GS$61,0,ROW()-3),CM$3)</f>
        <v>0</v>
      </c>
      <c r="CN189" s="2">
        <f>COUNTIF(INDEX('LINE PLAN'!$B$36:$GS$61,0,ROW()-3),CN$3)</f>
        <v>0</v>
      </c>
      <c r="CO189" s="2">
        <f>COUNTIF(INDEX('LINE PLAN'!$B$36:$GS$61,0,ROW()-3),CO$3)</f>
        <v>0</v>
      </c>
      <c r="CP189" s="2">
        <f>COUNTIF(INDEX('LINE PLAN'!$B$36:$GS$61,0,ROW()-3),CP$3)</f>
        <v>0</v>
      </c>
      <c r="CQ189" s="2">
        <f>COUNTIF(INDEX('LINE PLAN'!$B$36:$GS$61,0,ROW()-3),CQ$3)</f>
        <v>0</v>
      </c>
      <c r="CR189" s="2">
        <f>COUNTIF(INDEX('LINE PLAN'!$B$36:$GS$61,0,ROW()-3),CR$3)</f>
        <v>0</v>
      </c>
      <c r="CS189" s="2">
        <f>COUNTIF(INDEX('LINE PLAN'!$B$36:$GS$61,0,ROW()-3),CS$3)</f>
        <v>0</v>
      </c>
      <c r="CT189" s="2">
        <f>COUNTIF(INDEX('LINE PLAN'!$B$36:$GS$61,0,ROW()-3),CT$3)</f>
        <v>0</v>
      </c>
      <c r="CU189" s="2">
        <f>COUNTIF(INDEX('LINE PLAN'!$B$36:$GS$61,0,ROW()-3),CU$3)</f>
        <v>0</v>
      </c>
      <c r="CV189" s="2">
        <f>COUNTIF(INDEX('LINE PLAN'!$B$36:$GS$61,0,ROW()-3),CV$3)</f>
        <v>0</v>
      </c>
      <c r="CW189" s="2">
        <f>COUNTIF(INDEX('LINE PLAN'!$B$36:$GS$61,0,ROW()-3),CW$3)</f>
        <v>0</v>
      </c>
      <c r="CX189" s="2">
        <f>COUNTIF(INDEX('LINE PLAN'!$B$36:$GS$61,0,ROW()-3),CX$3)</f>
        <v>0</v>
      </c>
      <c r="CY189" s="2">
        <f>COUNTIF(INDEX('LINE PLAN'!$B$36:$GS$61,0,ROW()-3),CY$3)</f>
        <v>0</v>
      </c>
      <c r="CZ189" s="2">
        <f>COUNTIF(INDEX('LINE PLAN'!$B$36:$GS$61,0,ROW()-3),CZ$3)</f>
        <v>0</v>
      </c>
      <c r="DA189" s="2">
        <f>COUNTIF(INDEX('LINE PLAN'!$B$36:$GS$61,0,ROW()-3),DA$3)</f>
        <v>0</v>
      </c>
      <c r="DB189" s="2">
        <f>COUNTIF(INDEX('LINE PLAN'!$B$36:$GS$61,0,ROW()-3),DB$3)</f>
        <v>0</v>
      </c>
      <c r="DC189" s="2">
        <f>COUNTIF(INDEX('LINE PLAN'!$B$36:$GS$61,0,ROW()-3),DC$3)</f>
        <v>0</v>
      </c>
      <c r="DD189" s="2">
        <f>COUNTIF(INDEX('LINE PLAN'!$B$36:$GS$61,0,ROW()-3),DD$3)</f>
        <v>0</v>
      </c>
      <c r="DE189" s="2">
        <f>COUNTIF(INDEX('LINE PLAN'!$B$36:$GS$61,0,ROW()-3),DE$3)</f>
        <v>0</v>
      </c>
      <c r="DF189" s="2">
        <f>COUNTIF(INDEX('LINE PLAN'!$B$36:$GS$61,0,ROW()-3),DF$3)</f>
        <v>0</v>
      </c>
      <c r="DG189" s="2">
        <f>COUNTIF(INDEX('LINE PLAN'!$B$36:$GS$61,0,ROW()-3),DG$3)</f>
        <v>0</v>
      </c>
      <c r="DH189" s="2">
        <f>COUNTIF(INDEX('LINE PLAN'!$B$36:$GS$61,0,ROW()-3),DH$3)</f>
        <v>0</v>
      </c>
      <c r="DI189" s="2">
        <f>COUNTIF(INDEX('LINE PLAN'!$B$36:$GS$61,0,ROW()-3),DI$3)</f>
        <v>0</v>
      </c>
      <c r="DJ189" s="2">
        <f>COUNTIF(INDEX('LINE PLAN'!$B$36:$GS$61,0,ROW()-3),DJ$3)</f>
        <v>0</v>
      </c>
      <c r="DK189" s="2">
        <f>COUNTIF(INDEX('LINE PLAN'!$B$36:$GS$61,0,ROW()-3),DK$3)</f>
        <v>0</v>
      </c>
      <c r="DL189" s="2">
        <f>COUNTIF(INDEX('LINE PLAN'!$B$36:$GS$61,0,ROW()-3),DL$3)</f>
        <v>0</v>
      </c>
      <c r="DM189" s="2">
        <f>COUNTIF(INDEX('LINE PLAN'!$B$36:$GS$61,0,ROW()-3),DM$3)</f>
        <v>0</v>
      </c>
      <c r="DN189" s="2">
        <f>COUNTIF(INDEX('LINE PLAN'!$B$36:$GS$61,0,ROW()-3),DN$3)</f>
        <v>0</v>
      </c>
      <c r="DO189" s="2">
        <f>COUNTIF(INDEX('LINE PLAN'!$B$36:$GS$61,0,ROW()-3),DO$3)</f>
        <v>0</v>
      </c>
      <c r="DP189" s="2">
        <f>COUNTIF(INDEX('LINE PLAN'!$B$36:$GS$61,0,ROW()-3),DP$3)</f>
        <v>0</v>
      </c>
      <c r="DQ189" s="2">
        <f>COUNTIF(INDEX('LINE PLAN'!$B$36:$GS$61,0,ROW()-3),DQ$3)</f>
        <v>0</v>
      </c>
      <c r="DR189" s="2">
        <f>COUNTIF(INDEX('LINE PLAN'!$B$36:$GS$61,0,ROW()-3),DR$3)</f>
        <v>0</v>
      </c>
      <c r="DS189" s="2">
        <f>COUNTIF(INDEX('LINE PLAN'!$B$36:$GS$61,0,ROW()-3),DS$3)</f>
        <v>0</v>
      </c>
      <c r="DT189" s="2">
        <f>COUNTIF(INDEX('LINE PLAN'!$B$36:$GS$61,0,ROW()-3),DT$3)</f>
        <v>0</v>
      </c>
      <c r="DU189" s="2">
        <f>COUNTIF(INDEX('LINE PLAN'!$B$36:$GS$61,0,ROW()-3),DU$3)</f>
        <v>0</v>
      </c>
      <c r="DV189" s="2">
        <f>COUNTIF(INDEX('LINE PLAN'!$B$36:$GS$61,0,ROW()-3),DV$3)</f>
        <v>0</v>
      </c>
    </row>
    <row r="190" spans="1:126">
      <c r="A190" s="505" cm="1">
        <f t="array" ref="A190">INDEX('LINE PLAN'!$B$35:$GS$35,ROW()-3)</f>
        <v>0</v>
      </c>
      <c r="B190" s="2">
        <f>SUMPRODUCT($CA190:$DV190,INDEX('MC MAP'!$DA$5:$EV$30,1,0))</f>
        <v>0</v>
      </c>
      <c r="C190" s="2">
        <f>SUMPRODUCT($CA190:$DV190,INDEX('MC MAP'!$DA$5:$EV$30,2,0))</f>
        <v>0</v>
      </c>
      <c r="D190" s="2">
        <f>SUMPRODUCT($CA190:$DV190,INDEX('MC MAP'!$DA$5:$EV$30,3,0))</f>
        <v>0</v>
      </c>
      <c r="E190" s="2">
        <f>SUMPRODUCT($CA190:$DV190,INDEX('MC MAP'!$DA$5:$EV$30,4,0))</f>
        <v>0</v>
      </c>
      <c r="F190" s="2">
        <f>SUMPRODUCT($CA190:$DV190,INDEX('MC MAP'!$DA$5:$EV$30,5,0))</f>
        <v>0</v>
      </c>
      <c r="G190" s="2">
        <f>SUMPRODUCT($CA190:$DV190,INDEX('MC MAP'!$DA$5:$EV$30,6,0))</f>
        <v>0</v>
      </c>
      <c r="H190" s="2">
        <f>SUMPRODUCT($CA190:$DV190,INDEX('MC MAP'!$DA$5:$EV$30,7,0))</f>
        <v>0</v>
      </c>
      <c r="I190" s="2">
        <f>SUMPRODUCT($CA190:$DV190,INDEX('MC MAP'!$DA$5:$EV$30,8,0))</f>
        <v>0</v>
      </c>
      <c r="J190" s="2">
        <f>SUMPRODUCT($CA190:$DV190,INDEX('MC MAP'!$DA$5:$EV$30,9,0))</f>
        <v>0</v>
      </c>
      <c r="K190" s="2">
        <f>SUMPRODUCT($CA190:$DV190,INDEX('MC MAP'!$DA$5:$EV$30,10,0))</f>
        <v>0</v>
      </c>
      <c r="L190" s="2">
        <f>SUMPRODUCT($CA190:$DV190,INDEX('MC MAP'!$DA$5:$EV$30,11,0))</f>
        <v>0</v>
      </c>
      <c r="M190" s="2">
        <f>SUMPRODUCT($CA190:$DV190,INDEX('MC MAP'!$DA$5:$EV$30,12,0))</f>
        <v>0</v>
      </c>
      <c r="N190" s="2">
        <f>SUMPRODUCT($CA190:$DV190,INDEX('MC MAP'!$DA$5:$EV$30,13,0))</f>
        <v>0</v>
      </c>
      <c r="O190" s="2">
        <f>SUMPRODUCT($CA190:$DV190,INDEX('MC MAP'!$DA$5:$EV$30,14,0))</f>
        <v>0</v>
      </c>
      <c r="P190" s="2">
        <f>SUMPRODUCT($CA190:$DV190,INDEX('MC MAP'!$DA$5:$EV$30,15,0))</f>
        <v>0</v>
      </c>
      <c r="Q190" s="2">
        <f>SUMPRODUCT($CA190:$DV190,INDEX('MC MAP'!$DA$5:$EV$30,16,0))</f>
        <v>0</v>
      </c>
      <c r="R190" s="2">
        <f>SUMPRODUCT($CA190:$DV190,INDEX('MC MAP'!$DA$5:$EV$30,17,0))</f>
        <v>0</v>
      </c>
      <c r="S190" s="2">
        <f>SUMPRODUCT($CA190:$DV190,INDEX('MC MAP'!$DA$5:$EV$30,18,0))</f>
        <v>0</v>
      </c>
      <c r="T190" s="2">
        <f>SUMPRODUCT($CA190:$DV190,INDEX('MC MAP'!$DA$5:$EV$30,19,0))</f>
        <v>0</v>
      </c>
      <c r="U190" s="2">
        <f>SUMPRODUCT($CA190:$DV190,INDEX('MC MAP'!$DA$5:$EV$30,20,0))</f>
        <v>0</v>
      </c>
      <c r="V190" s="2">
        <f>SUMPRODUCT($CA190:$DV190,INDEX('MC MAP'!$DA$5:$EV$30,21,0))</f>
        <v>0</v>
      </c>
      <c r="W190" s="2">
        <f>SUMPRODUCT($CA190:$DV190,INDEX('MC MAP'!$DA$5:$EV$30,22,0))</f>
        <v>0</v>
      </c>
      <c r="X190" s="2">
        <f>SUMPRODUCT($CA190:$DV190,INDEX('MC MAP'!$DA$5:$EV$30,23,0))</f>
        <v>0</v>
      </c>
      <c r="Y190" s="2">
        <f>SUMPRODUCT($CA190:$DV190,INDEX('MC MAP'!$DA$5:$EV$30,24,0))</f>
        <v>0</v>
      </c>
      <c r="Z190" s="2">
        <f>SUMPRODUCT($CA190:$DV190,INDEX('MC MAP'!$DA$5:$EV$30,25,0))</f>
        <v>0</v>
      </c>
      <c r="AA190" s="2">
        <f>SUMPRODUCT($CA190:$DV190,INDEX('MC MAP'!$DA$5:$EV$30,26,0))</f>
        <v>0</v>
      </c>
      <c r="AB190" s="2">
        <f>SUM($B190:$AA190)</f>
        <v>0</v>
      </c>
      <c r="AC190" s="2">
        <f>SUM($CA190:$DV190)+$AW190</f>
        <v>0</v>
      </c>
      <c r="AW190" s="2">
        <f>IF($A190=0,0,COUNTIF(INDEX('LINE PLAN'!$B$36:$GS$61,0,ROW()-3),"THERMAL - NOT SPECIFIED"))</f>
        <v>0</v>
      </c>
      <c r="AX190" s="506" cm="1">
        <f t="array" ref="AX190">IF(OR($AB190=0,UPPER($BS190)&lt;&gt;"Y"),0,SUMPRODUCT(--($B190:$AA190&gt;$B$205:$AA$205)))</f>
        <v>0</v>
      </c>
      <c r="AY190" s="507">
        <f>$A190</f>
        <v>0</v>
      </c>
      <c r="AZ190" s="2">
        <f>$AB190</f>
        <v>0</v>
      </c>
      <c r="BA190" s="2">
        <f>'MC MASTER'!$C$29</f>
        <v>920</v>
      </c>
      <c r="BQ190" s="509">
        <f>$A190</f>
        <v>0</v>
      </c>
      <c r="BR190" s="15" t="str">
        <f>TEXT($A190,"ddd")</f>
        <v>Sat</v>
      </c>
      <c r="BS190" s="547" t="str">
        <f>IF($A190=0,"",IF(WEEKDAY($A190,2)=7,"N","Y"))</f>
        <v/>
      </c>
      <c r="BT190" s="15">
        <f>IF(UPPER($BS190)="Y",$AB190,0)</f>
        <v>0</v>
      </c>
      <c r="CA190" s="2">
        <f>COUNTIF(INDEX('LINE PLAN'!$B$36:$GS$61,0,ROW()-3),CA$3)</f>
        <v>0</v>
      </c>
      <c r="CB190" s="2">
        <f>COUNTIF(INDEX('LINE PLAN'!$B$36:$GS$61,0,ROW()-3),CB$3)</f>
        <v>0</v>
      </c>
      <c r="CC190" s="2">
        <f>COUNTIF(INDEX('LINE PLAN'!$B$36:$GS$61,0,ROW()-3),CC$3)</f>
        <v>0</v>
      </c>
      <c r="CD190" s="2">
        <f>COUNTIF(INDEX('LINE PLAN'!$B$36:$GS$61,0,ROW()-3),CD$3)</f>
        <v>0</v>
      </c>
      <c r="CE190" s="2">
        <f>COUNTIF(INDEX('LINE PLAN'!$B$36:$GS$61,0,ROW()-3),CE$3)</f>
        <v>0</v>
      </c>
      <c r="CF190" s="2">
        <f>COUNTIF(INDEX('LINE PLAN'!$B$36:$GS$61,0,ROW()-3),CF$3)</f>
        <v>0</v>
      </c>
      <c r="CG190" s="2">
        <f>COUNTIF(INDEX('LINE PLAN'!$B$36:$GS$61,0,ROW()-3),CG$3)</f>
        <v>0</v>
      </c>
      <c r="CH190" s="2">
        <f>COUNTIF(INDEX('LINE PLAN'!$B$36:$GS$61,0,ROW()-3),CH$3)</f>
        <v>0</v>
      </c>
      <c r="CI190" s="2">
        <f>COUNTIF(INDEX('LINE PLAN'!$B$36:$GS$61,0,ROW()-3),CI$3)</f>
        <v>0</v>
      </c>
      <c r="CJ190" s="2">
        <f>COUNTIF(INDEX('LINE PLAN'!$B$36:$GS$61,0,ROW()-3),CJ$3)</f>
        <v>0</v>
      </c>
      <c r="CK190" s="2">
        <f>COUNTIF(INDEX('LINE PLAN'!$B$36:$GS$61,0,ROW()-3),CK$3)</f>
        <v>0</v>
      </c>
      <c r="CL190" s="2">
        <f>COUNTIF(INDEX('LINE PLAN'!$B$36:$GS$61,0,ROW()-3),CL$3)</f>
        <v>0</v>
      </c>
      <c r="CM190" s="2">
        <f>COUNTIF(INDEX('LINE PLAN'!$B$36:$GS$61,0,ROW()-3),CM$3)</f>
        <v>0</v>
      </c>
      <c r="CN190" s="2">
        <f>COUNTIF(INDEX('LINE PLAN'!$B$36:$GS$61,0,ROW()-3),CN$3)</f>
        <v>0</v>
      </c>
      <c r="CO190" s="2">
        <f>COUNTIF(INDEX('LINE PLAN'!$B$36:$GS$61,0,ROW()-3),CO$3)</f>
        <v>0</v>
      </c>
      <c r="CP190" s="2">
        <f>COUNTIF(INDEX('LINE PLAN'!$B$36:$GS$61,0,ROW()-3),CP$3)</f>
        <v>0</v>
      </c>
      <c r="CQ190" s="2">
        <f>COUNTIF(INDEX('LINE PLAN'!$B$36:$GS$61,0,ROW()-3),CQ$3)</f>
        <v>0</v>
      </c>
      <c r="CR190" s="2">
        <f>COUNTIF(INDEX('LINE PLAN'!$B$36:$GS$61,0,ROW()-3),CR$3)</f>
        <v>0</v>
      </c>
      <c r="CS190" s="2">
        <f>COUNTIF(INDEX('LINE PLAN'!$B$36:$GS$61,0,ROW()-3),CS$3)</f>
        <v>0</v>
      </c>
      <c r="CT190" s="2">
        <f>COUNTIF(INDEX('LINE PLAN'!$B$36:$GS$61,0,ROW()-3),CT$3)</f>
        <v>0</v>
      </c>
      <c r="CU190" s="2">
        <f>COUNTIF(INDEX('LINE PLAN'!$B$36:$GS$61,0,ROW()-3),CU$3)</f>
        <v>0</v>
      </c>
      <c r="CV190" s="2">
        <f>COUNTIF(INDEX('LINE PLAN'!$B$36:$GS$61,0,ROW()-3),CV$3)</f>
        <v>0</v>
      </c>
      <c r="CW190" s="2">
        <f>COUNTIF(INDEX('LINE PLAN'!$B$36:$GS$61,0,ROW()-3),CW$3)</f>
        <v>0</v>
      </c>
      <c r="CX190" s="2">
        <f>COUNTIF(INDEX('LINE PLAN'!$B$36:$GS$61,0,ROW()-3),CX$3)</f>
        <v>0</v>
      </c>
      <c r="CY190" s="2">
        <f>COUNTIF(INDEX('LINE PLAN'!$B$36:$GS$61,0,ROW()-3),CY$3)</f>
        <v>0</v>
      </c>
      <c r="CZ190" s="2">
        <f>COUNTIF(INDEX('LINE PLAN'!$B$36:$GS$61,0,ROW()-3),CZ$3)</f>
        <v>0</v>
      </c>
      <c r="DA190" s="2">
        <f>COUNTIF(INDEX('LINE PLAN'!$B$36:$GS$61,0,ROW()-3),DA$3)</f>
        <v>0</v>
      </c>
      <c r="DB190" s="2">
        <f>COUNTIF(INDEX('LINE PLAN'!$B$36:$GS$61,0,ROW()-3),DB$3)</f>
        <v>0</v>
      </c>
      <c r="DC190" s="2">
        <f>COUNTIF(INDEX('LINE PLAN'!$B$36:$GS$61,0,ROW()-3),DC$3)</f>
        <v>0</v>
      </c>
      <c r="DD190" s="2">
        <f>COUNTIF(INDEX('LINE PLAN'!$B$36:$GS$61,0,ROW()-3),DD$3)</f>
        <v>0</v>
      </c>
      <c r="DE190" s="2">
        <f>COUNTIF(INDEX('LINE PLAN'!$B$36:$GS$61,0,ROW()-3),DE$3)</f>
        <v>0</v>
      </c>
      <c r="DF190" s="2">
        <f>COUNTIF(INDEX('LINE PLAN'!$B$36:$GS$61,0,ROW()-3),DF$3)</f>
        <v>0</v>
      </c>
      <c r="DG190" s="2">
        <f>COUNTIF(INDEX('LINE PLAN'!$B$36:$GS$61,0,ROW()-3),DG$3)</f>
        <v>0</v>
      </c>
      <c r="DH190" s="2">
        <f>COUNTIF(INDEX('LINE PLAN'!$B$36:$GS$61,0,ROW()-3),DH$3)</f>
        <v>0</v>
      </c>
      <c r="DI190" s="2">
        <f>COUNTIF(INDEX('LINE PLAN'!$B$36:$GS$61,0,ROW()-3),DI$3)</f>
        <v>0</v>
      </c>
      <c r="DJ190" s="2">
        <f>COUNTIF(INDEX('LINE PLAN'!$B$36:$GS$61,0,ROW()-3),DJ$3)</f>
        <v>0</v>
      </c>
      <c r="DK190" s="2">
        <f>COUNTIF(INDEX('LINE PLAN'!$B$36:$GS$61,0,ROW()-3),DK$3)</f>
        <v>0</v>
      </c>
      <c r="DL190" s="2">
        <f>COUNTIF(INDEX('LINE PLAN'!$B$36:$GS$61,0,ROW()-3),DL$3)</f>
        <v>0</v>
      </c>
      <c r="DM190" s="2">
        <f>COUNTIF(INDEX('LINE PLAN'!$B$36:$GS$61,0,ROW()-3),DM$3)</f>
        <v>0</v>
      </c>
      <c r="DN190" s="2">
        <f>COUNTIF(INDEX('LINE PLAN'!$B$36:$GS$61,0,ROW()-3),DN$3)</f>
        <v>0</v>
      </c>
      <c r="DO190" s="2">
        <f>COUNTIF(INDEX('LINE PLAN'!$B$36:$GS$61,0,ROW()-3),DO$3)</f>
        <v>0</v>
      </c>
      <c r="DP190" s="2">
        <f>COUNTIF(INDEX('LINE PLAN'!$B$36:$GS$61,0,ROW()-3),DP$3)</f>
        <v>0</v>
      </c>
      <c r="DQ190" s="2">
        <f>COUNTIF(INDEX('LINE PLAN'!$B$36:$GS$61,0,ROW()-3),DQ$3)</f>
        <v>0</v>
      </c>
      <c r="DR190" s="2">
        <f>COUNTIF(INDEX('LINE PLAN'!$B$36:$GS$61,0,ROW()-3),DR$3)</f>
        <v>0</v>
      </c>
      <c r="DS190" s="2">
        <f>COUNTIF(INDEX('LINE PLAN'!$B$36:$GS$61,0,ROW()-3),DS$3)</f>
        <v>0</v>
      </c>
      <c r="DT190" s="2">
        <f>COUNTIF(INDEX('LINE PLAN'!$B$36:$GS$61,0,ROW()-3),DT$3)</f>
        <v>0</v>
      </c>
      <c r="DU190" s="2">
        <f>COUNTIF(INDEX('LINE PLAN'!$B$36:$GS$61,0,ROW()-3),DU$3)</f>
        <v>0</v>
      </c>
      <c r="DV190" s="2">
        <f>COUNTIF(INDEX('LINE PLAN'!$B$36:$GS$61,0,ROW()-3),DV$3)</f>
        <v>0</v>
      </c>
    </row>
    <row r="191" spans="1:126">
      <c r="A191" s="505" cm="1">
        <f t="array" ref="A191">INDEX('LINE PLAN'!$B$35:$GS$35,ROW()-3)</f>
        <v>0</v>
      </c>
      <c r="B191" s="2">
        <f>SUMPRODUCT($CA191:$DV191,INDEX('MC MAP'!$DA$5:$EV$30,1,0))</f>
        <v>0</v>
      </c>
      <c r="C191" s="2">
        <f>SUMPRODUCT($CA191:$DV191,INDEX('MC MAP'!$DA$5:$EV$30,2,0))</f>
        <v>0</v>
      </c>
      <c r="D191" s="2">
        <f>SUMPRODUCT($CA191:$DV191,INDEX('MC MAP'!$DA$5:$EV$30,3,0))</f>
        <v>0</v>
      </c>
      <c r="E191" s="2">
        <f>SUMPRODUCT($CA191:$DV191,INDEX('MC MAP'!$DA$5:$EV$30,4,0))</f>
        <v>0</v>
      </c>
      <c r="F191" s="2">
        <f>SUMPRODUCT($CA191:$DV191,INDEX('MC MAP'!$DA$5:$EV$30,5,0))</f>
        <v>0</v>
      </c>
      <c r="G191" s="2">
        <f>SUMPRODUCT($CA191:$DV191,INDEX('MC MAP'!$DA$5:$EV$30,6,0))</f>
        <v>0</v>
      </c>
      <c r="H191" s="2">
        <f>SUMPRODUCT($CA191:$DV191,INDEX('MC MAP'!$DA$5:$EV$30,7,0))</f>
        <v>0</v>
      </c>
      <c r="I191" s="2">
        <f>SUMPRODUCT($CA191:$DV191,INDEX('MC MAP'!$DA$5:$EV$30,8,0))</f>
        <v>0</v>
      </c>
      <c r="J191" s="2">
        <f>SUMPRODUCT($CA191:$DV191,INDEX('MC MAP'!$DA$5:$EV$30,9,0))</f>
        <v>0</v>
      </c>
      <c r="K191" s="2">
        <f>SUMPRODUCT($CA191:$DV191,INDEX('MC MAP'!$DA$5:$EV$30,10,0))</f>
        <v>0</v>
      </c>
      <c r="L191" s="2">
        <f>SUMPRODUCT($CA191:$DV191,INDEX('MC MAP'!$DA$5:$EV$30,11,0))</f>
        <v>0</v>
      </c>
      <c r="M191" s="2">
        <f>SUMPRODUCT($CA191:$DV191,INDEX('MC MAP'!$DA$5:$EV$30,12,0))</f>
        <v>0</v>
      </c>
      <c r="N191" s="2">
        <f>SUMPRODUCT($CA191:$DV191,INDEX('MC MAP'!$DA$5:$EV$30,13,0))</f>
        <v>0</v>
      </c>
      <c r="O191" s="2">
        <f>SUMPRODUCT($CA191:$DV191,INDEX('MC MAP'!$DA$5:$EV$30,14,0))</f>
        <v>0</v>
      </c>
      <c r="P191" s="2">
        <f>SUMPRODUCT($CA191:$DV191,INDEX('MC MAP'!$DA$5:$EV$30,15,0))</f>
        <v>0</v>
      </c>
      <c r="Q191" s="2">
        <f>SUMPRODUCT($CA191:$DV191,INDEX('MC MAP'!$DA$5:$EV$30,16,0))</f>
        <v>0</v>
      </c>
      <c r="R191" s="2">
        <f>SUMPRODUCT($CA191:$DV191,INDEX('MC MAP'!$DA$5:$EV$30,17,0))</f>
        <v>0</v>
      </c>
      <c r="S191" s="2">
        <f>SUMPRODUCT($CA191:$DV191,INDEX('MC MAP'!$DA$5:$EV$30,18,0))</f>
        <v>0</v>
      </c>
      <c r="T191" s="2">
        <f>SUMPRODUCT($CA191:$DV191,INDEX('MC MAP'!$DA$5:$EV$30,19,0))</f>
        <v>0</v>
      </c>
      <c r="U191" s="2">
        <f>SUMPRODUCT($CA191:$DV191,INDEX('MC MAP'!$DA$5:$EV$30,20,0))</f>
        <v>0</v>
      </c>
      <c r="V191" s="2">
        <f>SUMPRODUCT($CA191:$DV191,INDEX('MC MAP'!$DA$5:$EV$30,21,0))</f>
        <v>0</v>
      </c>
      <c r="W191" s="2">
        <f>SUMPRODUCT($CA191:$DV191,INDEX('MC MAP'!$DA$5:$EV$30,22,0))</f>
        <v>0</v>
      </c>
      <c r="X191" s="2">
        <f>SUMPRODUCT($CA191:$DV191,INDEX('MC MAP'!$DA$5:$EV$30,23,0))</f>
        <v>0</v>
      </c>
      <c r="Y191" s="2">
        <f>SUMPRODUCT($CA191:$DV191,INDEX('MC MAP'!$DA$5:$EV$30,24,0))</f>
        <v>0</v>
      </c>
      <c r="Z191" s="2">
        <f>SUMPRODUCT($CA191:$DV191,INDEX('MC MAP'!$DA$5:$EV$30,25,0))</f>
        <v>0</v>
      </c>
      <c r="AA191" s="2">
        <f>SUMPRODUCT($CA191:$DV191,INDEX('MC MAP'!$DA$5:$EV$30,26,0))</f>
        <v>0</v>
      </c>
      <c r="AB191" s="2">
        <f>SUM($B191:$AA191)</f>
        <v>0</v>
      </c>
      <c r="AC191" s="2">
        <f>SUM($CA191:$DV191)+$AW191</f>
        <v>0</v>
      </c>
      <c r="AW191" s="2">
        <f>IF($A191=0,0,COUNTIF(INDEX('LINE PLAN'!$B$36:$GS$61,0,ROW()-3),"THERMAL - NOT SPECIFIED"))</f>
        <v>0</v>
      </c>
      <c r="AX191" s="506" cm="1">
        <f t="array" ref="AX191">IF(OR($AB191=0,UPPER($BS191)&lt;&gt;"Y"),0,SUMPRODUCT(--($B191:$AA191&gt;$B$205:$AA$205)))</f>
        <v>0</v>
      </c>
      <c r="AY191" s="507">
        <f>$A191</f>
        <v>0</v>
      </c>
      <c r="AZ191" s="2">
        <f>$AB191</f>
        <v>0</v>
      </c>
      <c r="BA191" s="2">
        <f>'MC MASTER'!$C$29</f>
        <v>920</v>
      </c>
      <c r="BQ191" s="509">
        <f>$A191</f>
        <v>0</v>
      </c>
      <c r="BR191" s="15" t="str">
        <f>TEXT($A191,"ddd")</f>
        <v>Sat</v>
      </c>
      <c r="BS191" s="547" t="str">
        <f>IF($A191=0,"",IF(WEEKDAY($A191,2)=7,"N","Y"))</f>
        <v/>
      </c>
      <c r="BT191" s="15">
        <f>IF(UPPER($BS191)="Y",$AB191,0)</f>
        <v>0</v>
      </c>
      <c r="CA191" s="2">
        <f>COUNTIF(INDEX('LINE PLAN'!$B$36:$GS$61,0,ROW()-3),CA$3)</f>
        <v>0</v>
      </c>
      <c r="CB191" s="2">
        <f>COUNTIF(INDEX('LINE PLAN'!$B$36:$GS$61,0,ROW()-3),CB$3)</f>
        <v>0</v>
      </c>
      <c r="CC191" s="2">
        <f>COUNTIF(INDEX('LINE PLAN'!$B$36:$GS$61,0,ROW()-3),CC$3)</f>
        <v>0</v>
      </c>
      <c r="CD191" s="2">
        <f>COUNTIF(INDEX('LINE PLAN'!$B$36:$GS$61,0,ROW()-3),CD$3)</f>
        <v>0</v>
      </c>
      <c r="CE191" s="2">
        <f>COUNTIF(INDEX('LINE PLAN'!$B$36:$GS$61,0,ROW()-3),CE$3)</f>
        <v>0</v>
      </c>
      <c r="CF191" s="2">
        <f>COUNTIF(INDEX('LINE PLAN'!$B$36:$GS$61,0,ROW()-3),CF$3)</f>
        <v>0</v>
      </c>
      <c r="CG191" s="2">
        <f>COUNTIF(INDEX('LINE PLAN'!$B$36:$GS$61,0,ROW()-3),CG$3)</f>
        <v>0</v>
      </c>
      <c r="CH191" s="2">
        <f>COUNTIF(INDEX('LINE PLAN'!$B$36:$GS$61,0,ROW()-3),CH$3)</f>
        <v>0</v>
      </c>
      <c r="CI191" s="2">
        <f>COUNTIF(INDEX('LINE PLAN'!$B$36:$GS$61,0,ROW()-3),CI$3)</f>
        <v>0</v>
      </c>
      <c r="CJ191" s="2">
        <f>COUNTIF(INDEX('LINE PLAN'!$B$36:$GS$61,0,ROW()-3),CJ$3)</f>
        <v>0</v>
      </c>
      <c r="CK191" s="2">
        <f>COUNTIF(INDEX('LINE PLAN'!$B$36:$GS$61,0,ROW()-3),CK$3)</f>
        <v>0</v>
      </c>
      <c r="CL191" s="2">
        <f>COUNTIF(INDEX('LINE PLAN'!$B$36:$GS$61,0,ROW()-3),CL$3)</f>
        <v>0</v>
      </c>
      <c r="CM191" s="2">
        <f>COUNTIF(INDEX('LINE PLAN'!$B$36:$GS$61,0,ROW()-3),CM$3)</f>
        <v>0</v>
      </c>
      <c r="CN191" s="2">
        <f>COUNTIF(INDEX('LINE PLAN'!$B$36:$GS$61,0,ROW()-3),CN$3)</f>
        <v>0</v>
      </c>
      <c r="CO191" s="2">
        <f>COUNTIF(INDEX('LINE PLAN'!$B$36:$GS$61,0,ROW()-3),CO$3)</f>
        <v>0</v>
      </c>
      <c r="CP191" s="2">
        <f>COUNTIF(INDEX('LINE PLAN'!$B$36:$GS$61,0,ROW()-3),CP$3)</f>
        <v>0</v>
      </c>
      <c r="CQ191" s="2">
        <f>COUNTIF(INDEX('LINE PLAN'!$B$36:$GS$61,0,ROW()-3),CQ$3)</f>
        <v>0</v>
      </c>
      <c r="CR191" s="2">
        <f>COUNTIF(INDEX('LINE PLAN'!$B$36:$GS$61,0,ROW()-3),CR$3)</f>
        <v>0</v>
      </c>
      <c r="CS191" s="2">
        <f>COUNTIF(INDEX('LINE PLAN'!$B$36:$GS$61,0,ROW()-3),CS$3)</f>
        <v>0</v>
      </c>
      <c r="CT191" s="2">
        <f>COUNTIF(INDEX('LINE PLAN'!$B$36:$GS$61,0,ROW()-3),CT$3)</f>
        <v>0</v>
      </c>
      <c r="CU191" s="2">
        <f>COUNTIF(INDEX('LINE PLAN'!$B$36:$GS$61,0,ROW()-3),CU$3)</f>
        <v>0</v>
      </c>
      <c r="CV191" s="2">
        <f>COUNTIF(INDEX('LINE PLAN'!$B$36:$GS$61,0,ROW()-3),CV$3)</f>
        <v>0</v>
      </c>
      <c r="CW191" s="2">
        <f>COUNTIF(INDEX('LINE PLAN'!$B$36:$GS$61,0,ROW()-3),CW$3)</f>
        <v>0</v>
      </c>
      <c r="CX191" s="2">
        <f>COUNTIF(INDEX('LINE PLAN'!$B$36:$GS$61,0,ROW()-3),CX$3)</f>
        <v>0</v>
      </c>
      <c r="CY191" s="2">
        <f>COUNTIF(INDEX('LINE PLAN'!$B$36:$GS$61,0,ROW()-3),CY$3)</f>
        <v>0</v>
      </c>
      <c r="CZ191" s="2">
        <f>COUNTIF(INDEX('LINE PLAN'!$B$36:$GS$61,0,ROW()-3),CZ$3)</f>
        <v>0</v>
      </c>
      <c r="DA191" s="2">
        <f>COUNTIF(INDEX('LINE PLAN'!$B$36:$GS$61,0,ROW()-3),DA$3)</f>
        <v>0</v>
      </c>
      <c r="DB191" s="2">
        <f>COUNTIF(INDEX('LINE PLAN'!$B$36:$GS$61,0,ROW()-3),DB$3)</f>
        <v>0</v>
      </c>
      <c r="DC191" s="2">
        <f>COUNTIF(INDEX('LINE PLAN'!$B$36:$GS$61,0,ROW()-3),DC$3)</f>
        <v>0</v>
      </c>
      <c r="DD191" s="2">
        <f>COUNTIF(INDEX('LINE PLAN'!$B$36:$GS$61,0,ROW()-3),DD$3)</f>
        <v>0</v>
      </c>
      <c r="DE191" s="2">
        <f>COUNTIF(INDEX('LINE PLAN'!$B$36:$GS$61,0,ROW()-3),DE$3)</f>
        <v>0</v>
      </c>
      <c r="DF191" s="2">
        <f>COUNTIF(INDEX('LINE PLAN'!$B$36:$GS$61,0,ROW()-3),DF$3)</f>
        <v>0</v>
      </c>
      <c r="DG191" s="2">
        <f>COUNTIF(INDEX('LINE PLAN'!$B$36:$GS$61,0,ROW()-3),DG$3)</f>
        <v>0</v>
      </c>
      <c r="DH191" s="2">
        <f>COUNTIF(INDEX('LINE PLAN'!$B$36:$GS$61,0,ROW()-3),DH$3)</f>
        <v>0</v>
      </c>
      <c r="DI191" s="2">
        <f>COUNTIF(INDEX('LINE PLAN'!$B$36:$GS$61,0,ROW()-3),DI$3)</f>
        <v>0</v>
      </c>
      <c r="DJ191" s="2">
        <f>COUNTIF(INDEX('LINE PLAN'!$B$36:$GS$61,0,ROW()-3),DJ$3)</f>
        <v>0</v>
      </c>
      <c r="DK191" s="2">
        <f>COUNTIF(INDEX('LINE PLAN'!$B$36:$GS$61,0,ROW()-3),DK$3)</f>
        <v>0</v>
      </c>
      <c r="DL191" s="2">
        <f>COUNTIF(INDEX('LINE PLAN'!$B$36:$GS$61,0,ROW()-3),DL$3)</f>
        <v>0</v>
      </c>
      <c r="DM191" s="2">
        <f>COUNTIF(INDEX('LINE PLAN'!$B$36:$GS$61,0,ROW()-3),DM$3)</f>
        <v>0</v>
      </c>
      <c r="DN191" s="2">
        <f>COUNTIF(INDEX('LINE PLAN'!$B$36:$GS$61,0,ROW()-3),DN$3)</f>
        <v>0</v>
      </c>
      <c r="DO191" s="2">
        <f>COUNTIF(INDEX('LINE PLAN'!$B$36:$GS$61,0,ROW()-3),DO$3)</f>
        <v>0</v>
      </c>
      <c r="DP191" s="2">
        <f>COUNTIF(INDEX('LINE PLAN'!$B$36:$GS$61,0,ROW()-3),DP$3)</f>
        <v>0</v>
      </c>
      <c r="DQ191" s="2">
        <f>COUNTIF(INDEX('LINE PLAN'!$B$36:$GS$61,0,ROW()-3),DQ$3)</f>
        <v>0</v>
      </c>
      <c r="DR191" s="2">
        <f>COUNTIF(INDEX('LINE PLAN'!$B$36:$GS$61,0,ROW()-3),DR$3)</f>
        <v>0</v>
      </c>
      <c r="DS191" s="2">
        <f>COUNTIF(INDEX('LINE PLAN'!$B$36:$GS$61,0,ROW()-3),DS$3)</f>
        <v>0</v>
      </c>
      <c r="DT191" s="2">
        <f>COUNTIF(INDEX('LINE PLAN'!$B$36:$GS$61,0,ROW()-3),DT$3)</f>
        <v>0</v>
      </c>
      <c r="DU191" s="2">
        <f>COUNTIF(INDEX('LINE PLAN'!$B$36:$GS$61,0,ROW()-3),DU$3)</f>
        <v>0</v>
      </c>
      <c r="DV191" s="2">
        <f>COUNTIF(INDEX('LINE PLAN'!$B$36:$GS$61,0,ROW()-3),DV$3)</f>
        <v>0</v>
      </c>
    </row>
    <row r="192" spans="1:126">
      <c r="A192" s="505" cm="1">
        <f t="array" ref="A192">INDEX('LINE PLAN'!$B$35:$GS$35,ROW()-3)</f>
        <v>0</v>
      </c>
      <c r="B192" s="2">
        <f>SUMPRODUCT($CA192:$DV192,INDEX('MC MAP'!$DA$5:$EV$30,1,0))</f>
        <v>0</v>
      </c>
      <c r="C192" s="2">
        <f>SUMPRODUCT($CA192:$DV192,INDEX('MC MAP'!$DA$5:$EV$30,2,0))</f>
        <v>0</v>
      </c>
      <c r="D192" s="2">
        <f>SUMPRODUCT($CA192:$DV192,INDEX('MC MAP'!$DA$5:$EV$30,3,0))</f>
        <v>0</v>
      </c>
      <c r="E192" s="2">
        <f>SUMPRODUCT($CA192:$DV192,INDEX('MC MAP'!$DA$5:$EV$30,4,0))</f>
        <v>0</v>
      </c>
      <c r="F192" s="2">
        <f>SUMPRODUCT($CA192:$DV192,INDEX('MC MAP'!$DA$5:$EV$30,5,0))</f>
        <v>0</v>
      </c>
      <c r="G192" s="2">
        <f>SUMPRODUCT($CA192:$DV192,INDEX('MC MAP'!$DA$5:$EV$30,6,0))</f>
        <v>0</v>
      </c>
      <c r="H192" s="2">
        <f>SUMPRODUCT($CA192:$DV192,INDEX('MC MAP'!$DA$5:$EV$30,7,0))</f>
        <v>0</v>
      </c>
      <c r="I192" s="2">
        <f>SUMPRODUCT($CA192:$DV192,INDEX('MC MAP'!$DA$5:$EV$30,8,0))</f>
        <v>0</v>
      </c>
      <c r="J192" s="2">
        <f>SUMPRODUCT($CA192:$DV192,INDEX('MC MAP'!$DA$5:$EV$30,9,0))</f>
        <v>0</v>
      </c>
      <c r="K192" s="2">
        <f>SUMPRODUCT($CA192:$DV192,INDEX('MC MAP'!$DA$5:$EV$30,10,0))</f>
        <v>0</v>
      </c>
      <c r="L192" s="2">
        <f>SUMPRODUCT($CA192:$DV192,INDEX('MC MAP'!$DA$5:$EV$30,11,0))</f>
        <v>0</v>
      </c>
      <c r="M192" s="2">
        <f>SUMPRODUCT($CA192:$DV192,INDEX('MC MAP'!$DA$5:$EV$30,12,0))</f>
        <v>0</v>
      </c>
      <c r="N192" s="2">
        <f>SUMPRODUCT($CA192:$DV192,INDEX('MC MAP'!$DA$5:$EV$30,13,0))</f>
        <v>0</v>
      </c>
      <c r="O192" s="2">
        <f>SUMPRODUCT($CA192:$DV192,INDEX('MC MAP'!$DA$5:$EV$30,14,0))</f>
        <v>0</v>
      </c>
      <c r="P192" s="2">
        <f>SUMPRODUCT($CA192:$DV192,INDEX('MC MAP'!$DA$5:$EV$30,15,0))</f>
        <v>0</v>
      </c>
      <c r="Q192" s="2">
        <f>SUMPRODUCT($CA192:$DV192,INDEX('MC MAP'!$DA$5:$EV$30,16,0))</f>
        <v>0</v>
      </c>
      <c r="R192" s="2">
        <f>SUMPRODUCT($CA192:$DV192,INDEX('MC MAP'!$DA$5:$EV$30,17,0))</f>
        <v>0</v>
      </c>
      <c r="S192" s="2">
        <f>SUMPRODUCT($CA192:$DV192,INDEX('MC MAP'!$DA$5:$EV$30,18,0))</f>
        <v>0</v>
      </c>
      <c r="T192" s="2">
        <f>SUMPRODUCT($CA192:$DV192,INDEX('MC MAP'!$DA$5:$EV$30,19,0))</f>
        <v>0</v>
      </c>
      <c r="U192" s="2">
        <f>SUMPRODUCT($CA192:$DV192,INDEX('MC MAP'!$DA$5:$EV$30,20,0))</f>
        <v>0</v>
      </c>
      <c r="V192" s="2">
        <f>SUMPRODUCT($CA192:$DV192,INDEX('MC MAP'!$DA$5:$EV$30,21,0))</f>
        <v>0</v>
      </c>
      <c r="W192" s="2">
        <f>SUMPRODUCT($CA192:$DV192,INDEX('MC MAP'!$DA$5:$EV$30,22,0))</f>
        <v>0</v>
      </c>
      <c r="X192" s="2">
        <f>SUMPRODUCT($CA192:$DV192,INDEX('MC MAP'!$DA$5:$EV$30,23,0))</f>
        <v>0</v>
      </c>
      <c r="Y192" s="2">
        <f>SUMPRODUCT($CA192:$DV192,INDEX('MC MAP'!$DA$5:$EV$30,24,0))</f>
        <v>0</v>
      </c>
      <c r="Z192" s="2">
        <f>SUMPRODUCT($CA192:$DV192,INDEX('MC MAP'!$DA$5:$EV$30,25,0))</f>
        <v>0</v>
      </c>
      <c r="AA192" s="2">
        <f>SUMPRODUCT($CA192:$DV192,INDEX('MC MAP'!$DA$5:$EV$30,26,0))</f>
        <v>0</v>
      </c>
      <c r="AB192" s="2">
        <f>SUM($B192:$AA192)</f>
        <v>0</v>
      </c>
      <c r="AC192" s="2">
        <f>SUM($CA192:$DV192)+$AW192</f>
        <v>0</v>
      </c>
      <c r="AW192" s="2">
        <f>IF($A192=0,0,COUNTIF(INDEX('LINE PLAN'!$B$36:$GS$61,0,ROW()-3),"THERMAL - NOT SPECIFIED"))</f>
        <v>0</v>
      </c>
      <c r="AX192" s="506" cm="1">
        <f t="array" ref="AX192">IF(OR($AB192=0,UPPER($BS192)&lt;&gt;"Y"),0,SUMPRODUCT(--($B192:$AA192&gt;$B$205:$AA$205)))</f>
        <v>0</v>
      </c>
      <c r="AY192" s="507">
        <f>$A192</f>
        <v>0</v>
      </c>
      <c r="AZ192" s="2">
        <f>$AB192</f>
        <v>0</v>
      </c>
      <c r="BA192" s="2">
        <f>'MC MASTER'!$C$29</f>
        <v>920</v>
      </c>
      <c r="BQ192" s="509">
        <f>$A192</f>
        <v>0</v>
      </c>
      <c r="BR192" s="15" t="str">
        <f>TEXT($A192,"ddd")</f>
        <v>Sat</v>
      </c>
      <c r="BS192" s="547" t="str">
        <f>IF($A192=0,"",IF(WEEKDAY($A192,2)=7,"N","Y"))</f>
        <v/>
      </c>
      <c r="BT192" s="15">
        <f>IF(UPPER($BS192)="Y",$AB192,0)</f>
        <v>0</v>
      </c>
      <c r="CA192" s="2">
        <f>COUNTIF(INDEX('LINE PLAN'!$B$36:$GS$61,0,ROW()-3),CA$3)</f>
        <v>0</v>
      </c>
      <c r="CB192" s="2">
        <f>COUNTIF(INDEX('LINE PLAN'!$B$36:$GS$61,0,ROW()-3),CB$3)</f>
        <v>0</v>
      </c>
      <c r="CC192" s="2">
        <f>COUNTIF(INDEX('LINE PLAN'!$B$36:$GS$61,0,ROW()-3),CC$3)</f>
        <v>0</v>
      </c>
      <c r="CD192" s="2">
        <f>COUNTIF(INDEX('LINE PLAN'!$B$36:$GS$61,0,ROW()-3),CD$3)</f>
        <v>0</v>
      </c>
      <c r="CE192" s="2">
        <f>COUNTIF(INDEX('LINE PLAN'!$B$36:$GS$61,0,ROW()-3),CE$3)</f>
        <v>0</v>
      </c>
      <c r="CF192" s="2">
        <f>COUNTIF(INDEX('LINE PLAN'!$B$36:$GS$61,0,ROW()-3),CF$3)</f>
        <v>0</v>
      </c>
      <c r="CG192" s="2">
        <f>COUNTIF(INDEX('LINE PLAN'!$B$36:$GS$61,0,ROW()-3),CG$3)</f>
        <v>0</v>
      </c>
      <c r="CH192" s="2">
        <f>COUNTIF(INDEX('LINE PLAN'!$B$36:$GS$61,0,ROW()-3),CH$3)</f>
        <v>0</v>
      </c>
      <c r="CI192" s="2">
        <f>COUNTIF(INDEX('LINE PLAN'!$B$36:$GS$61,0,ROW()-3),CI$3)</f>
        <v>0</v>
      </c>
      <c r="CJ192" s="2">
        <f>COUNTIF(INDEX('LINE PLAN'!$B$36:$GS$61,0,ROW()-3),CJ$3)</f>
        <v>0</v>
      </c>
      <c r="CK192" s="2">
        <f>COUNTIF(INDEX('LINE PLAN'!$B$36:$GS$61,0,ROW()-3),CK$3)</f>
        <v>0</v>
      </c>
      <c r="CL192" s="2">
        <f>COUNTIF(INDEX('LINE PLAN'!$B$36:$GS$61,0,ROW()-3),CL$3)</f>
        <v>0</v>
      </c>
      <c r="CM192" s="2">
        <f>COUNTIF(INDEX('LINE PLAN'!$B$36:$GS$61,0,ROW()-3),CM$3)</f>
        <v>0</v>
      </c>
      <c r="CN192" s="2">
        <f>COUNTIF(INDEX('LINE PLAN'!$B$36:$GS$61,0,ROW()-3),CN$3)</f>
        <v>0</v>
      </c>
      <c r="CO192" s="2">
        <f>COUNTIF(INDEX('LINE PLAN'!$B$36:$GS$61,0,ROW()-3),CO$3)</f>
        <v>0</v>
      </c>
      <c r="CP192" s="2">
        <f>COUNTIF(INDEX('LINE PLAN'!$B$36:$GS$61,0,ROW()-3),CP$3)</f>
        <v>0</v>
      </c>
      <c r="CQ192" s="2">
        <f>COUNTIF(INDEX('LINE PLAN'!$B$36:$GS$61,0,ROW()-3),CQ$3)</f>
        <v>0</v>
      </c>
      <c r="CR192" s="2">
        <f>COUNTIF(INDEX('LINE PLAN'!$B$36:$GS$61,0,ROW()-3),CR$3)</f>
        <v>0</v>
      </c>
      <c r="CS192" s="2">
        <f>COUNTIF(INDEX('LINE PLAN'!$B$36:$GS$61,0,ROW()-3),CS$3)</f>
        <v>0</v>
      </c>
      <c r="CT192" s="2">
        <f>COUNTIF(INDEX('LINE PLAN'!$B$36:$GS$61,0,ROW()-3),CT$3)</f>
        <v>0</v>
      </c>
      <c r="CU192" s="2">
        <f>COUNTIF(INDEX('LINE PLAN'!$B$36:$GS$61,0,ROW()-3),CU$3)</f>
        <v>0</v>
      </c>
      <c r="CV192" s="2">
        <f>COUNTIF(INDEX('LINE PLAN'!$B$36:$GS$61,0,ROW()-3),CV$3)</f>
        <v>0</v>
      </c>
      <c r="CW192" s="2">
        <f>COUNTIF(INDEX('LINE PLAN'!$B$36:$GS$61,0,ROW()-3),CW$3)</f>
        <v>0</v>
      </c>
      <c r="CX192" s="2">
        <f>COUNTIF(INDEX('LINE PLAN'!$B$36:$GS$61,0,ROW()-3),CX$3)</f>
        <v>0</v>
      </c>
      <c r="CY192" s="2">
        <f>COUNTIF(INDEX('LINE PLAN'!$B$36:$GS$61,0,ROW()-3),CY$3)</f>
        <v>0</v>
      </c>
      <c r="CZ192" s="2">
        <f>COUNTIF(INDEX('LINE PLAN'!$B$36:$GS$61,0,ROW()-3),CZ$3)</f>
        <v>0</v>
      </c>
      <c r="DA192" s="2">
        <f>COUNTIF(INDEX('LINE PLAN'!$B$36:$GS$61,0,ROW()-3),DA$3)</f>
        <v>0</v>
      </c>
      <c r="DB192" s="2">
        <f>COUNTIF(INDEX('LINE PLAN'!$B$36:$GS$61,0,ROW()-3),DB$3)</f>
        <v>0</v>
      </c>
      <c r="DC192" s="2">
        <f>COUNTIF(INDEX('LINE PLAN'!$B$36:$GS$61,0,ROW()-3),DC$3)</f>
        <v>0</v>
      </c>
      <c r="DD192" s="2">
        <f>COUNTIF(INDEX('LINE PLAN'!$B$36:$GS$61,0,ROW()-3),DD$3)</f>
        <v>0</v>
      </c>
      <c r="DE192" s="2">
        <f>COUNTIF(INDEX('LINE PLAN'!$B$36:$GS$61,0,ROW()-3),DE$3)</f>
        <v>0</v>
      </c>
      <c r="DF192" s="2">
        <f>COUNTIF(INDEX('LINE PLAN'!$B$36:$GS$61,0,ROW()-3),DF$3)</f>
        <v>0</v>
      </c>
      <c r="DG192" s="2">
        <f>COUNTIF(INDEX('LINE PLAN'!$B$36:$GS$61,0,ROW()-3),DG$3)</f>
        <v>0</v>
      </c>
      <c r="DH192" s="2">
        <f>COUNTIF(INDEX('LINE PLAN'!$B$36:$GS$61,0,ROW()-3),DH$3)</f>
        <v>0</v>
      </c>
      <c r="DI192" s="2">
        <f>COUNTIF(INDEX('LINE PLAN'!$B$36:$GS$61,0,ROW()-3),DI$3)</f>
        <v>0</v>
      </c>
      <c r="DJ192" s="2">
        <f>COUNTIF(INDEX('LINE PLAN'!$B$36:$GS$61,0,ROW()-3),DJ$3)</f>
        <v>0</v>
      </c>
      <c r="DK192" s="2">
        <f>COUNTIF(INDEX('LINE PLAN'!$B$36:$GS$61,0,ROW()-3),DK$3)</f>
        <v>0</v>
      </c>
      <c r="DL192" s="2">
        <f>COUNTIF(INDEX('LINE PLAN'!$B$36:$GS$61,0,ROW()-3),DL$3)</f>
        <v>0</v>
      </c>
      <c r="DM192" s="2">
        <f>COUNTIF(INDEX('LINE PLAN'!$B$36:$GS$61,0,ROW()-3),DM$3)</f>
        <v>0</v>
      </c>
      <c r="DN192" s="2">
        <f>COUNTIF(INDEX('LINE PLAN'!$B$36:$GS$61,0,ROW()-3),DN$3)</f>
        <v>0</v>
      </c>
      <c r="DO192" s="2">
        <f>COUNTIF(INDEX('LINE PLAN'!$B$36:$GS$61,0,ROW()-3),DO$3)</f>
        <v>0</v>
      </c>
      <c r="DP192" s="2">
        <f>COUNTIF(INDEX('LINE PLAN'!$B$36:$GS$61,0,ROW()-3),DP$3)</f>
        <v>0</v>
      </c>
      <c r="DQ192" s="2">
        <f>COUNTIF(INDEX('LINE PLAN'!$B$36:$GS$61,0,ROW()-3),DQ$3)</f>
        <v>0</v>
      </c>
      <c r="DR192" s="2">
        <f>COUNTIF(INDEX('LINE PLAN'!$B$36:$GS$61,0,ROW()-3),DR$3)</f>
        <v>0</v>
      </c>
      <c r="DS192" s="2">
        <f>COUNTIF(INDEX('LINE PLAN'!$B$36:$GS$61,0,ROW()-3),DS$3)</f>
        <v>0</v>
      </c>
      <c r="DT192" s="2">
        <f>COUNTIF(INDEX('LINE PLAN'!$B$36:$GS$61,0,ROW()-3),DT$3)</f>
        <v>0</v>
      </c>
      <c r="DU192" s="2">
        <f>COUNTIF(INDEX('LINE PLAN'!$B$36:$GS$61,0,ROW()-3),DU$3)</f>
        <v>0</v>
      </c>
      <c r="DV192" s="2">
        <f>COUNTIF(INDEX('LINE PLAN'!$B$36:$GS$61,0,ROW()-3),DV$3)</f>
        <v>0</v>
      </c>
    </row>
    <row r="193" spans="1:126">
      <c r="A193" s="505" cm="1">
        <f t="array" ref="A193">INDEX('LINE PLAN'!$B$35:$GS$35,ROW()-3)</f>
        <v>0</v>
      </c>
      <c r="B193" s="2">
        <f>SUMPRODUCT($CA193:$DV193,INDEX('MC MAP'!$DA$5:$EV$30,1,0))</f>
        <v>0</v>
      </c>
      <c r="C193" s="2">
        <f>SUMPRODUCT($CA193:$DV193,INDEX('MC MAP'!$DA$5:$EV$30,2,0))</f>
        <v>0</v>
      </c>
      <c r="D193" s="2">
        <f>SUMPRODUCT($CA193:$DV193,INDEX('MC MAP'!$DA$5:$EV$30,3,0))</f>
        <v>0</v>
      </c>
      <c r="E193" s="2">
        <f>SUMPRODUCT($CA193:$DV193,INDEX('MC MAP'!$DA$5:$EV$30,4,0))</f>
        <v>0</v>
      </c>
      <c r="F193" s="2">
        <f>SUMPRODUCT($CA193:$DV193,INDEX('MC MAP'!$DA$5:$EV$30,5,0))</f>
        <v>0</v>
      </c>
      <c r="G193" s="2">
        <f>SUMPRODUCT($CA193:$DV193,INDEX('MC MAP'!$DA$5:$EV$30,6,0))</f>
        <v>0</v>
      </c>
      <c r="H193" s="2">
        <f>SUMPRODUCT($CA193:$DV193,INDEX('MC MAP'!$DA$5:$EV$30,7,0))</f>
        <v>0</v>
      </c>
      <c r="I193" s="2">
        <f>SUMPRODUCT($CA193:$DV193,INDEX('MC MAP'!$DA$5:$EV$30,8,0))</f>
        <v>0</v>
      </c>
      <c r="J193" s="2">
        <f>SUMPRODUCT($CA193:$DV193,INDEX('MC MAP'!$DA$5:$EV$30,9,0))</f>
        <v>0</v>
      </c>
      <c r="K193" s="2">
        <f>SUMPRODUCT($CA193:$DV193,INDEX('MC MAP'!$DA$5:$EV$30,10,0))</f>
        <v>0</v>
      </c>
      <c r="L193" s="2">
        <f>SUMPRODUCT($CA193:$DV193,INDEX('MC MAP'!$DA$5:$EV$30,11,0))</f>
        <v>0</v>
      </c>
      <c r="M193" s="2">
        <f>SUMPRODUCT($CA193:$DV193,INDEX('MC MAP'!$DA$5:$EV$30,12,0))</f>
        <v>0</v>
      </c>
      <c r="N193" s="2">
        <f>SUMPRODUCT($CA193:$DV193,INDEX('MC MAP'!$DA$5:$EV$30,13,0))</f>
        <v>0</v>
      </c>
      <c r="O193" s="2">
        <f>SUMPRODUCT($CA193:$DV193,INDEX('MC MAP'!$DA$5:$EV$30,14,0))</f>
        <v>0</v>
      </c>
      <c r="P193" s="2">
        <f>SUMPRODUCT($CA193:$DV193,INDEX('MC MAP'!$DA$5:$EV$30,15,0))</f>
        <v>0</v>
      </c>
      <c r="Q193" s="2">
        <f>SUMPRODUCT($CA193:$DV193,INDEX('MC MAP'!$DA$5:$EV$30,16,0))</f>
        <v>0</v>
      </c>
      <c r="R193" s="2">
        <f>SUMPRODUCT($CA193:$DV193,INDEX('MC MAP'!$DA$5:$EV$30,17,0))</f>
        <v>0</v>
      </c>
      <c r="S193" s="2">
        <f>SUMPRODUCT($CA193:$DV193,INDEX('MC MAP'!$DA$5:$EV$30,18,0))</f>
        <v>0</v>
      </c>
      <c r="T193" s="2">
        <f>SUMPRODUCT($CA193:$DV193,INDEX('MC MAP'!$DA$5:$EV$30,19,0))</f>
        <v>0</v>
      </c>
      <c r="U193" s="2">
        <f>SUMPRODUCT($CA193:$DV193,INDEX('MC MAP'!$DA$5:$EV$30,20,0))</f>
        <v>0</v>
      </c>
      <c r="V193" s="2">
        <f>SUMPRODUCT($CA193:$DV193,INDEX('MC MAP'!$DA$5:$EV$30,21,0))</f>
        <v>0</v>
      </c>
      <c r="W193" s="2">
        <f>SUMPRODUCT($CA193:$DV193,INDEX('MC MAP'!$DA$5:$EV$30,22,0))</f>
        <v>0</v>
      </c>
      <c r="X193" s="2">
        <f>SUMPRODUCT($CA193:$DV193,INDEX('MC MAP'!$DA$5:$EV$30,23,0))</f>
        <v>0</v>
      </c>
      <c r="Y193" s="2">
        <f>SUMPRODUCT($CA193:$DV193,INDEX('MC MAP'!$DA$5:$EV$30,24,0))</f>
        <v>0</v>
      </c>
      <c r="Z193" s="2">
        <f>SUMPRODUCT($CA193:$DV193,INDEX('MC MAP'!$DA$5:$EV$30,25,0))</f>
        <v>0</v>
      </c>
      <c r="AA193" s="2">
        <f>SUMPRODUCT($CA193:$DV193,INDEX('MC MAP'!$DA$5:$EV$30,26,0))</f>
        <v>0</v>
      </c>
      <c r="AB193" s="2">
        <f>SUM($B193:$AA193)</f>
        <v>0</v>
      </c>
      <c r="AC193" s="2">
        <f>SUM($CA193:$DV193)+$AW193</f>
        <v>0</v>
      </c>
      <c r="AW193" s="2">
        <f>IF($A193=0,0,COUNTIF(INDEX('LINE PLAN'!$B$36:$GS$61,0,ROW()-3),"THERMAL - NOT SPECIFIED"))</f>
        <v>0</v>
      </c>
      <c r="AX193" s="506" cm="1">
        <f t="array" ref="AX193">IF(OR($AB193=0,UPPER($BS193)&lt;&gt;"Y"),0,SUMPRODUCT(--($B193:$AA193&gt;$B$205:$AA$205)))</f>
        <v>0</v>
      </c>
      <c r="AY193" s="507">
        <f>$A193</f>
        <v>0</v>
      </c>
      <c r="AZ193" s="2">
        <f>$AB193</f>
        <v>0</v>
      </c>
      <c r="BA193" s="2">
        <f>'MC MASTER'!$C$29</f>
        <v>920</v>
      </c>
      <c r="BQ193" s="509">
        <f>$A193</f>
        <v>0</v>
      </c>
      <c r="BR193" s="15" t="str">
        <f>TEXT($A193,"ddd")</f>
        <v>Sat</v>
      </c>
      <c r="BS193" s="547" t="str">
        <f>IF($A193=0,"",IF(WEEKDAY($A193,2)=7,"N","Y"))</f>
        <v/>
      </c>
      <c r="BT193" s="15">
        <f>IF(UPPER($BS193)="Y",$AB193,0)</f>
        <v>0</v>
      </c>
      <c r="CA193" s="2">
        <f>COUNTIF(INDEX('LINE PLAN'!$B$36:$GS$61,0,ROW()-3),CA$3)</f>
        <v>0</v>
      </c>
      <c r="CB193" s="2">
        <f>COUNTIF(INDEX('LINE PLAN'!$B$36:$GS$61,0,ROW()-3),CB$3)</f>
        <v>0</v>
      </c>
      <c r="CC193" s="2">
        <f>COUNTIF(INDEX('LINE PLAN'!$B$36:$GS$61,0,ROW()-3),CC$3)</f>
        <v>0</v>
      </c>
      <c r="CD193" s="2">
        <f>COUNTIF(INDEX('LINE PLAN'!$B$36:$GS$61,0,ROW()-3),CD$3)</f>
        <v>0</v>
      </c>
      <c r="CE193" s="2">
        <f>COUNTIF(INDEX('LINE PLAN'!$B$36:$GS$61,0,ROW()-3),CE$3)</f>
        <v>0</v>
      </c>
      <c r="CF193" s="2">
        <f>COUNTIF(INDEX('LINE PLAN'!$B$36:$GS$61,0,ROW()-3),CF$3)</f>
        <v>0</v>
      </c>
      <c r="CG193" s="2">
        <f>COUNTIF(INDEX('LINE PLAN'!$B$36:$GS$61,0,ROW()-3),CG$3)</f>
        <v>0</v>
      </c>
      <c r="CH193" s="2">
        <f>COUNTIF(INDEX('LINE PLAN'!$B$36:$GS$61,0,ROW()-3),CH$3)</f>
        <v>0</v>
      </c>
      <c r="CI193" s="2">
        <f>COUNTIF(INDEX('LINE PLAN'!$B$36:$GS$61,0,ROW()-3),CI$3)</f>
        <v>0</v>
      </c>
      <c r="CJ193" s="2">
        <f>COUNTIF(INDEX('LINE PLAN'!$B$36:$GS$61,0,ROW()-3),CJ$3)</f>
        <v>0</v>
      </c>
      <c r="CK193" s="2">
        <f>COUNTIF(INDEX('LINE PLAN'!$B$36:$GS$61,0,ROW()-3),CK$3)</f>
        <v>0</v>
      </c>
      <c r="CL193" s="2">
        <f>COUNTIF(INDEX('LINE PLAN'!$B$36:$GS$61,0,ROW()-3),CL$3)</f>
        <v>0</v>
      </c>
      <c r="CM193" s="2">
        <f>COUNTIF(INDEX('LINE PLAN'!$B$36:$GS$61,0,ROW()-3),CM$3)</f>
        <v>0</v>
      </c>
      <c r="CN193" s="2">
        <f>COUNTIF(INDEX('LINE PLAN'!$B$36:$GS$61,0,ROW()-3),CN$3)</f>
        <v>0</v>
      </c>
      <c r="CO193" s="2">
        <f>COUNTIF(INDEX('LINE PLAN'!$B$36:$GS$61,0,ROW()-3),CO$3)</f>
        <v>0</v>
      </c>
      <c r="CP193" s="2">
        <f>COUNTIF(INDEX('LINE PLAN'!$B$36:$GS$61,0,ROW()-3),CP$3)</f>
        <v>0</v>
      </c>
      <c r="CQ193" s="2">
        <f>COUNTIF(INDEX('LINE PLAN'!$B$36:$GS$61,0,ROW()-3),CQ$3)</f>
        <v>0</v>
      </c>
      <c r="CR193" s="2">
        <f>COUNTIF(INDEX('LINE PLAN'!$B$36:$GS$61,0,ROW()-3),CR$3)</f>
        <v>0</v>
      </c>
      <c r="CS193" s="2">
        <f>COUNTIF(INDEX('LINE PLAN'!$B$36:$GS$61,0,ROW()-3),CS$3)</f>
        <v>0</v>
      </c>
      <c r="CT193" s="2">
        <f>COUNTIF(INDEX('LINE PLAN'!$B$36:$GS$61,0,ROW()-3),CT$3)</f>
        <v>0</v>
      </c>
      <c r="CU193" s="2">
        <f>COUNTIF(INDEX('LINE PLAN'!$B$36:$GS$61,0,ROW()-3),CU$3)</f>
        <v>0</v>
      </c>
      <c r="CV193" s="2">
        <f>COUNTIF(INDEX('LINE PLAN'!$B$36:$GS$61,0,ROW()-3),CV$3)</f>
        <v>0</v>
      </c>
      <c r="CW193" s="2">
        <f>COUNTIF(INDEX('LINE PLAN'!$B$36:$GS$61,0,ROW()-3),CW$3)</f>
        <v>0</v>
      </c>
      <c r="CX193" s="2">
        <f>COUNTIF(INDEX('LINE PLAN'!$B$36:$GS$61,0,ROW()-3),CX$3)</f>
        <v>0</v>
      </c>
      <c r="CY193" s="2">
        <f>COUNTIF(INDEX('LINE PLAN'!$B$36:$GS$61,0,ROW()-3),CY$3)</f>
        <v>0</v>
      </c>
      <c r="CZ193" s="2">
        <f>COUNTIF(INDEX('LINE PLAN'!$B$36:$GS$61,0,ROW()-3),CZ$3)</f>
        <v>0</v>
      </c>
      <c r="DA193" s="2">
        <f>COUNTIF(INDEX('LINE PLAN'!$B$36:$GS$61,0,ROW()-3),DA$3)</f>
        <v>0</v>
      </c>
      <c r="DB193" s="2">
        <f>COUNTIF(INDEX('LINE PLAN'!$B$36:$GS$61,0,ROW()-3),DB$3)</f>
        <v>0</v>
      </c>
      <c r="DC193" s="2">
        <f>COUNTIF(INDEX('LINE PLAN'!$B$36:$GS$61,0,ROW()-3),DC$3)</f>
        <v>0</v>
      </c>
      <c r="DD193" s="2">
        <f>COUNTIF(INDEX('LINE PLAN'!$B$36:$GS$61,0,ROW()-3),DD$3)</f>
        <v>0</v>
      </c>
      <c r="DE193" s="2">
        <f>COUNTIF(INDEX('LINE PLAN'!$B$36:$GS$61,0,ROW()-3),DE$3)</f>
        <v>0</v>
      </c>
      <c r="DF193" s="2">
        <f>COUNTIF(INDEX('LINE PLAN'!$B$36:$GS$61,0,ROW()-3),DF$3)</f>
        <v>0</v>
      </c>
      <c r="DG193" s="2">
        <f>COUNTIF(INDEX('LINE PLAN'!$B$36:$GS$61,0,ROW()-3),DG$3)</f>
        <v>0</v>
      </c>
      <c r="DH193" s="2">
        <f>COUNTIF(INDEX('LINE PLAN'!$B$36:$GS$61,0,ROW()-3),DH$3)</f>
        <v>0</v>
      </c>
      <c r="DI193" s="2">
        <f>COUNTIF(INDEX('LINE PLAN'!$B$36:$GS$61,0,ROW()-3),DI$3)</f>
        <v>0</v>
      </c>
      <c r="DJ193" s="2">
        <f>COUNTIF(INDEX('LINE PLAN'!$B$36:$GS$61,0,ROW()-3),DJ$3)</f>
        <v>0</v>
      </c>
      <c r="DK193" s="2">
        <f>COUNTIF(INDEX('LINE PLAN'!$B$36:$GS$61,0,ROW()-3),DK$3)</f>
        <v>0</v>
      </c>
      <c r="DL193" s="2">
        <f>COUNTIF(INDEX('LINE PLAN'!$B$36:$GS$61,0,ROW()-3),DL$3)</f>
        <v>0</v>
      </c>
      <c r="DM193" s="2">
        <f>COUNTIF(INDEX('LINE PLAN'!$B$36:$GS$61,0,ROW()-3),DM$3)</f>
        <v>0</v>
      </c>
      <c r="DN193" s="2">
        <f>COUNTIF(INDEX('LINE PLAN'!$B$36:$GS$61,0,ROW()-3),DN$3)</f>
        <v>0</v>
      </c>
      <c r="DO193" s="2">
        <f>COUNTIF(INDEX('LINE PLAN'!$B$36:$GS$61,0,ROW()-3),DO$3)</f>
        <v>0</v>
      </c>
      <c r="DP193" s="2">
        <f>COUNTIF(INDEX('LINE PLAN'!$B$36:$GS$61,0,ROW()-3),DP$3)</f>
        <v>0</v>
      </c>
      <c r="DQ193" s="2">
        <f>COUNTIF(INDEX('LINE PLAN'!$B$36:$GS$61,0,ROW()-3),DQ$3)</f>
        <v>0</v>
      </c>
      <c r="DR193" s="2">
        <f>COUNTIF(INDEX('LINE PLAN'!$B$36:$GS$61,0,ROW()-3),DR$3)</f>
        <v>0</v>
      </c>
      <c r="DS193" s="2">
        <f>COUNTIF(INDEX('LINE PLAN'!$B$36:$GS$61,0,ROW()-3),DS$3)</f>
        <v>0</v>
      </c>
      <c r="DT193" s="2">
        <f>COUNTIF(INDEX('LINE PLAN'!$B$36:$GS$61,0,ROW()-3),DT$3)</f>
        <v>0</v>
      </c>
      <c r="DU193" s="2">
        <f>COUNTIF(INDEX('LINE PLAN'!$B$36:$GS$61,0,ROW()-3),DU$3)</f>
        <v>0</v>
      </c>
      <c r="DV193" s="2">
        <f>COUNTIF(INDEX('LINE PLAN'!$B$36:$GS$61,0,ROW()-3),DV$3)</f>
        <v>0</v>
      </c>
    </row>
    <row r="194" spans="1:126">
      <c r="A194" s="505" cm="1">
        <f t="array" ref="A194">INDEX('LINE PLAN'!$B$35:$GS$35,ROW()-3)</f>
        <v>0</v>
      </c>
      <c r="B194" s="2">
        <f>SUMPRODUCT($CA194:$DV194,INDEX('MC MAP'!$DA$5:$EV$30,1,0))</f>
        <v>0</v>
      </c>
      <c r="C194" s="2">
        <f>SUMPRODUCT($CA194:$DV194,INDEX('MC MAP'!$DA$5:$EV$30,2,0))</f>
        <v>0</v>
      </c>
      <c r="D194" s="2">
        <f>SUMPRODUCT($CA194:$DV194,INDEX('MC MAP'!$DA$5:$EV$30,3,0))</f>
        <v>0</v>
      </c>
      <c r="E194" s="2">
        <f>SUMPRODUCT($CA194:$DV194,INDEX('MC MAP'!$DA$5:$EV$30,4,0))</f>
        <v>0</v>
      </c>
      <c r="F194" s="2">
        <f>SUMPRODUCT($CA194:$DV194,INDEX('MC MAP'!$DA$5:$EV$30,5,0))</f>
        <v>0</v>
      </c>
      <c r="G194" s="2">
        <f>SUMPRODUCT($CA194:$DV194,INDEX('MC MAP'!$DA$5:$EV$30,6,0))</f>
        <v>0</v>
      </c>
      <c r="H194" s="2">
        <f>SUMPRODUCT($CA194:$DV194,INDEX('MC MAP'!$DA$5:$EV$30,7,0))</f>
        <v>0</v>
      </c>
      <c r="I194" s="2">
        <f>SUMPRODUCT($CA194:$DV194,INDEX('MC MAP'!$DA$5:$EV$30,8,0))</f>
        <v>0</v>
      </c>
      <c r="J194" s="2">
        <f>SUMPRODUCT($CA194:$DV194,INDEX('MC MAP'!$DA$5:$EV$30,9,0))</f>
        <v>0</v>
      </c>
      <c r="K194" s="2">
        <f>SUMPRODUCT($CA194:$DV194,INDEX('MC MAP'!$DA$5:$EV$30,10,0))</f>
        <v>0</v>
      </c>
      <c r="L194" s="2">
        <f>SUMPRODUCT($CA194:$DV194,INDEX('MC MAP'!$DA$5:$EV$30,11,0))</f>
        <v>0</v>
      </c>
      <c r="M194" s="2">
        <f>SUMPRODUCT($CA194:$DV194,INDEX('MC MAP'!$DA$5:$EV$30,12,0))</f>
        <v>0</v>
      </c>
      <c r="N194" s="2">
        <f>SUMPRODUCT($CA194:$DV194,INDEX('MC MAP'!$DA$5:$EV$30,13,0))</f>
        <v>0</v>
      </c>
      <c r="O194" s="2">
        <f>SUMPRODUCT($CA194:$DV194,INDEX('MC MAP'!$DA$5:$EV$30,14,0))</f>
        <v>0</v>
      </c>
      <c r="P194" s="2">
        <f>SUMPRODUCT($CA194:$DV194,INDEX('MC MAP'!$DA$5:$EV$30,15,0))</f>
        <v>0</v>
      </c>
      <c r="Q194" s="2">
        <f>SUMPRODUCT($CA194:$DV194,INDEX('MC MAP'!$DA$5:$EV$30,16,0))</f>
        <v>0</v>
      </c>
      <c r="R194" s="2">
        <f>SUMPRODUCT($CA194:$DV194,INDEX('MC MAP'!$DA$5:$EV$30,17,0))</f>
        <v>0</v>
      </c>
      <c r="S194" s="2">
        <f>SUMPRODUCT($CA194:$DV194,INDEX('MC MAP'!$DA$5:$EV$30,18,0))</f>
        <v>0</v>
      </c>
      <c r="T194" s="2">
        <f>SUMPRODUCT($CA194:$DV194,INDEX('MC MAP'!$DA$5:$EV$30,19,0))</f>
        <v>0</v>
      </c>
      <c r="U194" s="2">
        <f>SUMPRODUCT($CA194:$DV194,INDEX('MC MAP'!$DA$5:$EV$30,20,0))</f>
        <v>0</v>
      </c>
      <c r="V194" s="2">
        <f>SUMPRODUCT($CA194:$DV194,INDEX('MC MAP'!$DA$5:$EV$30,21,0))</f>
        <v>0</v>
      </c>
      <c r="W194" s="2">
        <f>SUMPRODUCT($CA194:$DV194,INDEX('MC MAP'!$DA$5:$EV$30,22,0))</f>
        <v>0</v>
      </c>
      <c r="X194" s="2">
        <f>SUMPRODUCT($CA194:$DV194,INDEX('MC MAP'!$DA$5:$EV$30,23,0))</f>
        <v>0</v>
      </c>
      <c r="Y194" s="2">
        <f>SUMPRODUCT($CA194:$DV194,INDEX('MC MAP'!$DA$5:$EV$30,24,0))</f>
        <v>0</v>
      </c>
      <c r="Z194" s="2">
        <f>SUMPRODUCT($CA194:$DV194,INDEX('MC MAP'!$DA$5:$EV$30,25,0))</f>
        <v>0</v>
      </c>
      <c r="AA194" s="2">
        <f>SUMPRODUCT($CA194:$DV194,INDEX('MC MAP'!$DA$5:$EV$30,26,0))</f>
        <v>0</v>
      </c>
      <c r="AB194" s="2">
        <f>SUM($B194:$AA194)</f>
        <v>0</v>
      </c>
      <c r="AC194" s="2">
        <f>SUM($CA194:$DV194)+$AW194</f>
        <v>0</v>
      </c>
      <c r="AW194" s="2">
        <f>IF($A194=0,0,COUNTIF(INDEX('LINE PLAN'!$B$36:$GS$61,0,ROW()-3),"THERMAL - NOT SPECIFIED"))</f>
        <v>0</v>
      </c>
      <c r="AX194" s="506" cm="1">
        <f t="array" ref="AX194">IF(OR($AB194=0,UPPER($BS194)&lt;&gt;"Y"),0,SUMPRODUCT(--($B194:$AA194&gt;$B$205:$AA$205)))</f>
        <v>0</v>
      </c>
      <c r="AY194" s="507">
        <f>$A194</f>
        <v>0</v>
      </c>
      <c r="AZ194" s="2">
        <f>$AB194</f>
        <v>0</v>
      </c>
      <c r="BA194" s="2">
        <f>'MC MASTER'!$C$29</f>
        <v>920</v>
      </c>
      <c r="BQ194" s="509">
        <f>$A194</f>
        <v>0</v>
      </c>
      <c r="BR194" s="15" t="str">
        <f>TEXT($A194,"ddd")</f>
        <v>Sat</v>
      </c>
      <c r="BS194" s="547" t="str">
        <f>IF($A194=0,"",IF(WEEKDAY($A194,2)=7,"N","Y"))</f>
        <v/>
      </c>
      <c r="BT194" s="15">
        <f>IF(UPPER($BS194)="Y",$AB194,0)</f>
        <v>0</v>
      </c>
      <c r="CA194" s="2">
        <f>COUNTIF(INDEX('LINE PLAN'!$B$36:$GS$61,0,ROW()-3),CA$3)</f>
        <v>0</v>
      </c>
      <c r="CB194" s="2">
        <f>COUNTIF(INDEX('LINE PLAN'!$B$36:$GS$61,0,ROW()-3),CB$3)</f>
        <v>0</v>
      </c>
      <c r="CC194" s="2">
        <f>COUNTIF(INDEX('LINE PLAN'!$B$36:$GS$61,0,ROW()-3),CC$3)</f>
        <v>0</v>
      </c>
      <c r="CD194" s="2">
        <f>COUNTIF(INDEX('LINE PLAN'!$B$36:$GS$61,0,ROW()-3),CD$3)</f>
        <v>0</v>
      </c>
      <c r="CE194" s="2">
        <f>COUNTIF(INDEX('LINE PLAN'!$B$36:$GS$61,0,ROW()-3),CE$3)</f>
        <v>0</v>
      </c>
      <c r="CF194" s="2">
        <f>COUNTIF(INDEX('LINE PLAN'!$B$36:$GS$61,0,ROW()-3),CF$3)</f>
        <v>0</v>
      </c>
      <c r="CG194" s="2">
        <f>COUNTIF(INDEX('LINE PLAN'!$B$36:$GS$61,0,ROW()-3),CG$3)</f>
        <v>0</v>
      </c>
      <c r="CH194" s="2">
        <f>COUNTIF(INDEX('LINE PLAN'!$B$36:$GS$61,0,ROW()-3),CH$3)</f>
        <v>0</v>
      </c>
      <c r="CI194" s="2">
        <f>COUNTIF(INDEX('LINE PLAN'!$B$36:$GS$61,0,ROW()-3),CI$3)</f>
        <v>0</v>
      </c>
      <c r="CJ194" s="2">
        <f>COUNTIF(INDEX('LINE PLAN'!$B$36:$GS$61,0,ROW()-3),CJ$3)</f>
        <v>0</v>
      </c>
      <c r="CK194" s="2">
        <f>COUNTIF(INDEX('LINE PLAN'!$B$36:$GS$61,0,ROW()-3),CK$3)</f>
        <v>0</v>
      </c>
      <c r="CL194" s="2">
        <f>COUNTIF(INDEX('LINE PLAN'!$B$36:$GS$61,0,ROW()-3),CL$3)</f>
        <v>0</v>
      </c>
      <c r="CM194" s="2">
        <f>COUNTIF(INDEX('LINE PLAN'!$B$36:$GS$61,0,ROW()-3),CM$3)</f>
        <v>0</v>
      </c>
      <c r="CN194" s="2">
        <f>COUNTIF(INDEX('LINE PLAN'!$B$36:$GS$61,0,ROW()-3),CN$3)</f>
        <v>0</v>
      </c>
      <c r="CO194" s="2">
        <f>COUNTIF(INDEX('LINE PLAN'!$B$36:$GS$61,0,ROW()-3),CO$3)</f>
        <v>0</v>
      </c>
      <c r="CP194" s="2">
        <f>COUNTIF(INDEX('LINE PLAN'!$B$36:$GS$61,0,ROW()-3),CP$3)</f>
        <v>0</v>
      </c>
      <c r="CQ194" s="2">
        <f>COUNTIF(INDEX('LINE PLAN'!$B$36:$GS$61,0,ROW()-3),CQ$3)</f>
        <v>0</v>
      </c>
      <c r="CR194" s="2">
        <f>COUNTIF(INDEX('LINE PLAN'!$B$36:$GS$61,0,ROW()-3),CR$3)</f>
        <v>0</v>
      </c>
      <c r="CS194" s="2">
        <f>COUNTIF(INDEX('LINE PLAN'!$B$36:$GS$61,0,ROW()-3),CS$3)</f>
        <v>0</v>
      </c>
      <c r="CT194" s="2">
        <f>COUNTIF(INDEX('LINE PLAN'!$B$36:$GS$61,0,ROW()-3),CT$3)</f>
        <v>0</v>
      </c>
      <c r="CU194" s="2">
        <f>COUNTIF(INDEX('LINE PLAN'!$B$36:$GS$61,0,ROW()-3),CU$3)</f>
        <v>0</v>
      </c>
      <c r="CV194" s="2">
        <f>COUNTIF(INDEX('LINE PLAN'!$B$36:$GS$61,0,ROW()-3),CV$3)</f>
        <v>0</v>
      </c>
      <c r="CW194" s="2">
        <f>COUNTIF(INDEX('LINE PLAN'!$B$36:$GS$61,0,ROW()-3),CW$3)</f>
        <v>0</v>
      </c>
      <c r="CX194" s="2">
        <f>COUNTIF(INDEX('LINE PLAN'!$B$36:$GS$61,0,ROW()-3),CX$3)</f>
        <v>0</v>
      </c>
      <c r="CY194" s="2">
        <f>COUNTIF(INDEX('LINE PLAN'!$B$36:$GS$61,0,ROW()-3),CY$3)</f>
        <v>0</v>
      </c>
      <c r="CZ194" s="2">
        <f>COUNTIF(INDEX('LINE PLAN'!$B$36:$GS$61,0,ROW()-3),CZ$3)</f>
        <v>0</v>
      </c>
      <c r="DA194" s="2">
        <f>COUNTIF(INDEX('LINE PLAN'!$B$36:$GS$61,0,ROW()-3),DA$3)</f>
        <v>0</v>
      </c>
      <c r="DB194" s="2">
        <f>COUNTIF(INDEX('LINE PLAN'!$B$36:$GS$61,0,ROW()-3),DB$3)</f>
        <v>0</v>
      </c>
      <c r="DC194" s="2">
        <f>COUNTIF(INDEX('LINE PLAN'!$B$36:$GS$61,0,ROW()-3),DC$3)</f>
        <v>0</v>
      </c>
      <c r="DD194" s="2">
        <f>COUNTIF(INDEX('LINE PLAN'!$B$36:$GS$61,0,ROW()-3),DD$3)</f>
        <v>0</v>
      </c>
      <c r="DE194" s="2">
        <f>COUNTIF(INDEX('LINE PLAN'!$B$36:$GS$61,0,ROW()-3),DE$3)</f>
        <v>0</v>
      </c>
      <c r="DF194" s="2">
        <f>COUNTIF(INDEX('LINE PLAN'!$B$36:$GS$61,0,ROW()-3),DF$3)</f>
        <v>0</v>
      </c>
      <c r="DG194" s="2">
        <f>COUNTIF(INDEX('LINE PLAN'!$B$36:$GS$61,0,ROW()-3),DG$3)</f>
        <v>0</v>
      </c>
      <c r="DH194" s="2">
        <f>COUNTIF(INDEX('LINE PLAN'!$B$36:$GS$61,0,ROW()-3),DH$3)</f>
        <v>0</v>
      </c>
      <c r="DI194" s="2">
        <f>COUNTIF(INDEX('LINE PLAN'!$B$36:$GS$61,0,ROW()-3),DI$3)</f>
        <v>0</v>
      </c>
      <c r="DJ194" s="2">
        <f>COUNTIF(INDEX('LINE PLAN'!$B$36:$GS$61,0,ROW()-3),DJ$3)</f>
        <v>0</v>
      </c>
      <c r="DK194" s="2">
        <f>COUNTIF(INDEX('LINE PLAN'!$B$36:$GS$61,0,ROW()-3),DK$3)</f>
        <v>0</v>
      </c>
      <c r="DL194" s="2">
        <f>COUNTIF(INDEX('LINE PLAN'!$B$36:$GS$61,0,ROW()-3),DL$3)</f>
        <v>0</v>
      </c>
      <c r="DM194" s="2">
        <f>COUNTIF(INDEX('LINE PLAN'!$B$36:$GS$61,0,ROW()-3),DM$3)</f>
        <v>0</v>
      </c>
      <c r="DN194" s="2">
        <f>COUNTIF(INDEX('LINE PLAN'!$B$36:$GS$61,0,ROW()-3),DN$3)</f>
        <v>0</v>
      </c>
      <c r="DO194" s="2">
        <f>COUNTIF(INDEX('LINE PLAN'!$B$36:$GS$61,0,ROW()-3),DO$3)</f>
        <v>0</v>
      </c>
      <c r="DP194" s="2">
        <f>COUNTIF(INDEX('LINE PLAN'!$B$36:$GS$61,0,ROW()-3),DP$3)</f>
        <v>0</v>
      </c>
      <c r="DQ194" s="2">
        <f>COUNTIF(INDEX('LINE PLAN'!$B$36:$GS$61,0,ROW()-3),DQ$3)</f>
        <v>0</v>
      </c>
      <c r="DR194" s="2">
        <f>COUNTIF(INDEX('LINE PLAN'!$B$36:$GS$61,0,ROW()-3),DR$3)</f>
        <v>0</v>
      </c>
      <c r="DS194" s="2">
        <f>COUNTIF(INDEX('LINE PLAN'!$B$36:$GS$61,0,ROW()-3),DS$3)</f>
        <v>0</v>
      </c>
      <c r="DT194" s="2">
        <f>COUNTIF(INDEX('LINE PLAN'!$B$36:$GS$61,0,ROW()-3),DT$3)</f>
        <v>0</v>
      </c>
      <c r="DU194" s="2">
        <f>COUNTIF(INDEX('LINE PLAN'!$B$36:$GS$61,0,ROW()-3),DU$3)</f>
        <v>0</v>
      </c>
      <c r="DV194" s="2">
        <f>COUNTIF(INDEX('LINE PLAN'!$B$36:$GS$61,0,ROW()-3),DV$3)</f>
        <v>0</v>
      </c>
    </row>
    <row r="195" spans="1:126">
      <c r="A195" s="505" cm="1">
        <f t="array" ref="A195">INDEX('LINE PLAN'!$B$35:$GS$35,ROW()-3)</f>
        <v>0</v>
      </c>
      <c r="B195" s="2">
        <f>SUMPRODUCT($CA195:$DV195,INDEX('MC MAP'!$DA$5:$EV$30,1,0))</f>
        <v>0</v>
      </c>
      <c r="C195" s="2">
        <f>SUMPRODUCT($CA195:$DV195,INDEX('MC MAP'!$DA$5:$EV$30,2,0))</f>
        <v>0</v>
      </c>
      <c r="D195" s="2">
        <f>SUMPRODUCT($CA195:$DV195,INDEX('MC MAP'!$DA$5:$EV$30,3,0))</f>
        <v>0</v>
      </c>
      <c r="E195" s="2">
        <f>SUMPRODUCT($CA195:$DV195,INDEX('MC MAP'!$DA$5:$EV$30,4,0))</f>
        <v>0</v>
      </c>
      <c r="F195" s="2">
        <f>SUMPRODUCT($CA195:$DV195,INDEX('MC MAP'!$DA$5:$EV$30,5,0))</f>
        <v>0</v>
      </c>
      <c r="G195" s="2">
        <f>SUMPRODUCT($CA195:$DV195,INDEX('MC MAP'!$DA$5:$EV$30,6,0))</f>
        <v>0</v>
      </c>
      <c r="H195" s="2">
        <f>SUMPRODUCT($CA195:$DV195,INDEX('MC MAP'!$DA$5:$EV$30,7,0))</f>
        <v>0</v>
      </c>
      <c r="I195" s="2">
        <f>SUMPRODUCT($CA195:$DV195,INDEX('MC MAP'!$DA$5:$EV$30,8,0))</f>
        <v>0</v>
      </c>
      <c r="J195" s="2">
        <f>SUMPRODUCT($CA195:$DV195,INDEX('MC MAP'!$DA$5:$EV$30,9,0))</f>
        <v>0</v>
      </c>
      <c r="K195" s="2">
        <f>SUMPRODUCT($CA195:$DV195,INDEX('MC MAP'!$DA$5:$EV$30,10,0))</f>
        <v>0</v>
      </c>
      <c r="L195" s="2">
        <f>SUMPRODUCT($CA195:$DV195,INDEX('MC MAP'!$DA$5:$EV$30,11,0))</f>
        <v>0</v>
      </c>
      <c r="M195" s="2">
        <f>SUMPRODUCT($CA195:$DV195,INDEX('MC MAP'!$DA$5:$EV$30,12,0))</f>
        <v>0</v>
      </c>
      <c r="N195" s="2">
        <f>SUMPRODUCT($CA195:$DV195,INDEX('MC MAP'!$DA$5:$EV$30,13,0))</f>
        <v>0</v>
      </c>
      <c r="O195" s="2">
        <f>SUMPRODUCT($CA195:$DV195,INDEX('MC MAP'!$DA$5:$EV$30,14,0))</f>
        <v>0</v>
      </c>
      <c r="P195" s="2">
        <f>SUMPRODUCT($CA195:$DV195,INDEX('MC MAP'!$DA$5:$EV$30,15,0))</f>
        <v>0</v>
      </c>
      <c r="Q195" s="2">
        <f>SUMPRODUCT($CA195:$DV195,INDEX('MC MAP'!$DA$5:$EV$30,16,0))</f>
        <v>0</v>
      </c>
      <c r="R195" s="2">
        <f>SUMPRODUCT($CA195:$DV195,INDEX('MC MAP'!$DA$5:$EV$30,17,0))</f>
        <v>0</v>
      </c>
      <c r="S195" s="2">
        <f>SUMPRODUCT($CA195:$DV195,INDEX('MC MAP'!$DA$5:$EV$30,18,0))</f>
        <v>0</v>
      </c>
      <c r="T195" s="2">
        <f>SUMPRODUCT($CA195:$DV195,INDEX('MC MAP'!$DA$5:$EV$30,19,0))</f>
        <v>0</v>
      </c>
      <c r="U195" s="2">
        <f>SUMPRODUCT($CA195:$DV195,INDEX('MC MAP'!$DA$5:$EV$30,20,0))</f>
        <v>0</v>
      </c>
      <c r="V195" s="2">
        <f>SUMPRODUCT($CA195:$DV195,INDEX('MC MAP'!$DA$5:$EV$30,21,0))</f>
        <v>0</v>
      </c>
      <c r="W195" s="2">
        <f>SUMPRODUCT($CA195:$DV195,INDEX('MC MAP'!$DA$5:$EV$30,22,0))</f>
        <v>0</v>
      </c>
      <c r="X195" s="2">
        <f>SUMPRODUCT($CA195:$DV195,INDEX('MC MAP'!$DA$5:$EV$30,23,0))</f>
        <v>0</v>
      </c>
      <c r="Y195" s="2">
        <f>SUMPRODUCT($CA195:$DV195,INDEX('MC MAP'!$DA$5:$EV$30,24,0))</f>
        <v>0</v>
      </c>
      <c r="Z195" s="2">
        <f>SUMPRODUCT($CA195:$DV195,INDEX('MC MAP'!$DA$5:$EV$30,25,0))</f>
        <v>0</v>
      </c>
      <c r="AA195" s="2">
        <f>SUMPRODUCT($CA195:$DV195,INDEX('MC MAP'!$DA$5:$EV$30,26,0))</f>
        <v>0</v>
      </c>
      <c r="AB195" s="2">
        <f>SUM($B195:$AA195)</f>
        <v>0</v>
      </c>
      <c r="AC195" s="2">
        <f>SUM($CA195:$DV195)+$AW195</f>
        <v>0</v>
      </c>
      <c r="AW195" s="2">
        <f>IF($A195=0,0,COUNTIF(INDEX('LINE PLAN'!$B$36:$GS$61,0,ROW()-3),"THERMAL - NOT SPECIFIED"))</f>
        <v>0</v>
      </c>
      <c r="AX195" s="506" cm="1">
        <f t="array" ref="AX195">IF(OR($AB195=0,UPPER($BS195)&lt;&gt;"Y"),0,SUMPRODUCT(--($B195:$AA195&gt;$B$205:$AA$205)))</f>
        <v>0</v>
      </c>
      <c r="AY195" s="507">
        <f>$A195</f>
        <v>0</v>
      </c>
      <c r="AZ195" s="2">
        <f>$AB195</f>
        <v>0</v>
      </c>
      <c r="BA195" s="2">
        <f>'MC MASTER'!$C$29</f>
        <v>920</v>
      </c>
      <c r="BQ195" s="509">
        <f>$A195</f>
        <v>0</v>
      </c>
      <c r="BR195" s="15" t="str">
        <f>TEXT($A195,"ddd")</f>
        <v>Sat</v>
      </c>
      <c r="BS195" s="547" t="str">
        <f>IF($A195=0,"",IF(WEEKDAY($A195,2)=7,"N","Y"))</f>
        <v/>
      </c>
      <c r="BT195" s="15">
        <f>IF(UPPER($BS195)="Y",$AB195,0)</f>
        <v>0</v>
      </c>
      <c r="CA195" s="2">
        <f>COUNTIF(INDEX('LINE PLAN'!$B$36:$GS$61,0,ROW()-3),CA$3)</f>
        <v>0</v>
      </c>
      <c r="CB195" s="2">
        <f>COUNTIF(INDEX('LINE PLAN'!$B$36:$GS$61,0,ROW()-3),CB$3)</f>
        <v>0</v>
      </c>
      <c r="CC195" s="2">
        <f>COUNTIF(INDEX('LINE PLAN'!$B$36:$GS$61,0,ROW()-3),CC$3)</f>
        <v>0</v>
      </c>
      <c r="CD195" s="2">
        <f>COUNTIF(INDEX('LINE PLAN'!$B$36:$GS$61,0,ROW()-3),CD$3)</f>
        <v>0</v>
      </c>
      <c r="CE195" s="2">
        <f>COUNTIF(INDEX('LINE PLAN'!$B$36:$GS$61,0,ROW()-3),CE$3)</f>
        <v>0</v>
      </c>
      <c r="CF195" s="2">
        <f>COUNTIF(INDEX('LINE PLAN'!$B$36:$GS$61,0,ROW()-3),CF$3)</f>
        <v>0</v>
      </c>
      <c r="CG195" s="2">
        <f>COUNTIF(INDEX('LINE PLAN'!$B$36:$GS$61,0,ROW()-3),CG$3)</f>
        <v>0</v>
      </c>
      <c r="CH195" s="2">
        <f>COUNTIF(INDEX('LINE PLAN'!$B$36:$GS$61,0,ROW()-3),CH$3)</f>
        <v>0</v>
      </c>
      <c r="CI195" s="2">
        <f>COUNTIF(INDEX('LINE PLAN'!$B$36:$GS$61,0,ROW()-3),CI$3)</f>
        <v>0</v>
      </c>
      <c r="CJ195" s="2">
        <f>COUNTIF(INDEX('LINE PLAN'!$B$36:$GS$61,0,ROW()-3),CJ$3)</f>
        <v>0</v>
      </c>
      <c r="CK195" s="2">
        <f>COUNTIF(INDEX('LINE PLAN'!$B$36:$GS$61,0,ROW()-3),CK$3)</f>
        <v>0</v>
      </c>
      <c r="CL195" s="2">
        <f>COUNTIF(INDEX('LINE PLAN'!$B$36:$GS$61,0,ROW()-3),CL$3)</f>
        <v>0</v>
      </c>
      <c r="CM195" s="2">
        <f>COUNTIF(INDEX('LINE PLAN'!$B$36:$GS$61,0,ROW()-3),CM$3)</f>
        <v>0</v>
      </c>
      <c r="CN195" s="2">
        <f>COUNTIF(INDEX('LINE PLAN'!$B$36:$GS$61,0,ROW()-3),CN$3)</f>
        <v>0</v>
      </c>
      <c r="CO195" s="2">
        <f>COUNTIF(INDEX('LINE PLAN'!$B$36:$GS$61,0,ROW()-3),CO$3)</f>
        <v>0</v>
      </c>
      <c r="CP195" s="2">
        <f>COUNTIF(INDEX('LINE PLAN'!$B$36:$GS$61,0,ROW()-3),CP$3)</f>
        <v>0</v>
      </c>
      <c r="CQ195" s="2">
        <f>COUNTIF(INDEX('LINE PLAN'!$B$36:$GS$61,0,ROW()-3),CQ$3)</f>
        <v>0</v>
      </c>
      <c r="CR195" s="2">
        <f>COUNTIF(INDEX('LINE PLAN'!$B$36:$GS$61,0,ROW()-3),CR$3)</f>
        <v>0</v>
      </c>
      <c r="CS195" s="2">
        <f>COUNTIF(INDEX('LINE PLAN'!$B$36:$GS$61,0,ROW()-3),CS$3)</f>
        <v>0</v>
      </c>
      <c r="CT195" s="2">
        <f>COUNTIF(INDEX('LINE PLAN'!$B$36:$GS$61,0,ROW()-3),CT$3)</f>
        <v>0</v>
      </c>
      <c r="CU195" s="2">
        <f>COUNTIF(INDEX('LINE PLAN'!$B$36:$GS$61,0,ROW()-3),CU$3)</f>
        <v>0</v>
      </c>
      <c r="CV195" s="2">
        <f>COUNTIF(INDEX('LINE PLAN'!$B$36:$GS$61,0,ROW()-3),CV$3)</f>
        <v>0</v>
      </c>
      <c r="CW195" s="2">
        <f>COUNTIF(INDEX('LINE PLAN'!$B$36:$GS$61,0,ROW()-3),CW$3)</f>
        <v>0</v>
      </c>
      <c r="CX195" s="2">
        <f>COUNTIF(INDEX('LINE PLAN'!$B$36:$GS$61,0,ROW()-3),CX$3)</f>
        <v>0</v>
      </c>
      <c r="CY195" s="2">
        <f>COUNTIF(INDEX('LINE PLAN'!$B$36:$GS$61,0,ROW()-3),CY$3)</f>
        <v>0</v>
      </c>
      <c r="CZ195" s="2">
        <f>COUNTIF(INDEX('LINE PLAN'!$B$36:$GS$61,0,ROW()-3),CZ$3)</f>
        <v>0</v>
      </c>
      <c r="DA195" s="2">
        <f>COUNTIF(INDEX('LINE PLAN'!$B$36:$GS$61,0,ROW()-3),DA$3)</f>
        <v>0</v>
      </c>
      <c r="DB195" s="2">
        <f>COUNTIF(INDEX('LINE PLAN'!$B$36:$GS$61,0,ROW()-3),DB$3)</f>
        <v>0</v>
      </c>
      <c r="DC195" s="2">
        <f>COUNTIF(INDEX('LINE PLAN'!$B$36:$GS$61,0,ROW()-3),DC$3)</f>
        <v>0</v>
      </c>
      <c r="DD195" s="2">
        <f>COUNTIF(INDEX('LINE PLAN'!$B$36:$GS$61,0,ROW()-3),DD$3)</f>
        <v>0</v>
      </c>
      <c r="DE195" s="2">
        <f>COUNTIF(INDEX('LINE PLAN'!$B$36:$GS$61,0,ROW()-3),DE$3)</f>
        <v>0</v>
      </c>
      <c r="DF195" s="2">
        <f>COUNTIF(INDEX('LINE PLAN'!$B$36:$GS$61,0,ROW()-3),DF$3)</f>
        <v>0</v>
      </c>
      <c r="DG195" s="2">
        <f>COUNTIF(INDEX('LINE PLAN'!$B$36:$GS$61,0,ROW()-3),DG$3)</f>
        <v>0</v>
      </c>
      <c r="DH195" s="2">
        <f>COUNTIF(INDEX('LINE PLAN'!$B$36:$GS$61,0,ROW()-3),DH$3)</f>
        <v>0</v>
      </c>
      <c r="DI195" s="2">
        <f>COUNTIF(INDEX('LINE PLAN'!$B$36:$GS$61,0,ROW()-3),DI$3)</f>
        <v>0</v>
      </c>
      <c r="DJ195" s="2">
        <f>COUNTIF(INDEX('LINE PLAN'!$B$36:$GS$61,0,ROW()-3),DJ$3)</f>
        <v>0</v>
      </c>
      <c r="DK195" s="2">
        <f>COUNTIF(INDEX('LINE PLAN'!$B$36:$GS$61,0,ROW()-3),DK$3)</f>
        <v>0</v>
      </c>
      <c r="DL195" s="2">
        <f>COUNTIF(INDEX('LINE PLAN'!$B$36:$GS$61,0,ROW()-3),DL$3)</f>
        <v>0</v>
      </c>
      <c r="DM195" s="2">
        <f>COUNTIF(INDEX('LINE PLAN'!$B$36:$GS$61,0,ROW()-3),DM$3)</f>
        <v>0</v>
      </c>
      <c r="DN195" s="2">
        <f>COUNTIF(INDEX('LINE PLAN'!$B$36:$GS$61,0,ROW()-3),DN$3)</f>
        <v>0</v>
      </c>
      <c r="DO195" s="2">
        <f>COUNTIF(INDEX('LINE PLAN'!$B$36:$GS$61,0,ROW()-3),DO$3)</f>
        <v>0</v>
      </c>
      <c r="DP195" s="2">
        <f>COUNTIF(INDEX('LINE PLAN'!$B$36:$GS$61,0,ROW()-3),DP$3)</f>
        <v>0</v>
      </c>
      <c r="DQ195" s="2">
        <f>COUNTIF(INDEX('LINE PLAN'!$B$36:$GS$61,0,ROW()-3),DQ$3)</f>
        <v>0</v>
      </c>
      <c r="DR195" s="2">
        <f>COUNTIF(INDEX('LINE PLAN'!$B$36:$GS$61,0,ROW()-3),DR$3)</f>
        <v>0</v>
      </c>
      <c r="DS195" s="2">
        <f>COUNTIF(INDEX('LINE PLAN'!$B$36:$GS$61,0,ROW()-3),DS$3)</f>
        <v>0</v>
      </c>
      <c r="DT195" s="2">
        <f>COUNTIF(INDEX('LINE PLAN'!$B$36:$GS$61,0,ROW()-3),DT$3)</f>
        <v>0</v>
      </c>
      <c r="DU195" s="2">
        <f>COUNTIF(INDEX('LINE PLAN'!$B$36:$GS$61,0,ROW()-3),DU$3)</f>
        <v>0</v>
      </c>
      <c r="DV195" s="2">
        <f>COUNTIF(INDEX('LINE PLAN'!$B$36:$GS$61,0,ROW()-3),DV$3)</f>
        <v>0</v>
      </c>
    </row>
    <row r="196" spans="1:126">
      <c r="A196" s="505" cm="1">
        <f t="array" ref="A196">INDEX('LINE PLAN'!$B$35:$GS$35,ROW()-3)</f>
        <v>0</v>
      </c>
      <c r="B196" s="2">
        <f>SUMPRODUCT($CA196:$DV196,INDEX('MC MAP'!$DA$5:$EV$30,1,0))</f>
        <v>0</v>
      </c>
      <c r="C196" s="2">
        <f>SUMPRODUCT($CA196:$DV196,INDEX('MC MAP'!$DA$5:$EV$30,2,0))</f>
        <v>0</v>
      </c>
      <c r="D196" s="2">
        <f>SUMPRODUCT($CA196:$DV196,INDEX('MC MAP'!$DA$5:$EV$30,3,0))</f>
        <v>0</v>
      </c>
      <c r="E196" s="2">
        <f>SUMPRODUCT($CA196:$DV196,INDEX('MC MAP'!$DA$5:$EV$30,4,0))</f>
        <v>0</v>
      </c>
      <c r="F196" s="2">
        <f>SUMPRODUCT($CA196:$DV196,INDEX('MC MAP'!$DA$5:$EV$30,5,0))</f>
        <v>0</v>
      </c>
      <c r="G196" s="2">
        <f>SUMPRODUCT($CA196:$DV196,INDEX('MC MAP'!$DA$5:$EV$30,6,0))</f>
        <v>0</v>
      </c>
      <c r="H196" s="2">
        <f>SUMPRODUCT($CA196:$DV196,INDEX('MC MAP'!$DA$5:$EV$30,7,0))</f>
        <v>0</v>
      </c>
      <c r="I196" s="2">
        <f>SUMPRODUCT($CA196:$DV196,INDEX('MC MAP'!$DA$5:$EV$30,8,0))</f>
        <v>0</v>
      </c>
      <c r="J196" s="2">
        <f>SUMPRODUCT($CA196:$DV196,INDEX('MC MAP'!$DA$5:$EV$30,9,0))</f>
        <v>0</v>
      </c>
      <c r="K196" s="2">
        <f>SUMPRODUCT($CA196:$DV196,INDEX('MC MAP'!$DA$5:$EV$30,10,0))</f>
        <v>0</v>
      </c>
      <c r="L196" s="2">
        <f>SUMPRODUCT($CA196:$DV196,INDEX('MC MAP'!$DA$5:$EV$30,11,0))</f>
        <v>0</v>
      </c>
      <c r="M196" s="2">
        <f>SUMPRODUCT($CA196:$DV196,INDEX('MC MAP'!$DA$5:$EV$30,12,0))</f>
        <v>0</v>
      </c>
      <c r="N196" s="2">
        <f>SUMPRODUCT($CA196:$DV196,INDEX('MC MAP'!$DA$5:$EV$30,13,0))</f>
        <v>0</v>
      </c>
      <c r="O196" s="2">
        <f>SUMPRODUCT($CA196:$DV196,INDEX('MC MAP'!$DA$5:$EV$30,14,0))</f>
        <v>0</v>
      </c>
      <c r="P196" s="2">
        <f>SUMPRODUCT($CA196:$DV196,INDEX('MC MAP'!$DA$5:$EV$30,15,0))</f>
        <v>0</v>
      </c>
      <c r="Q196" s="2">
        <f>SUMPRODUCT($CA196:$DV196,INDEX('MC MAP'!$DA$5:$EV$30,16,0))</f>
        <v>0</v>
      </c>
      <c r="R196" s="2">
        <f>SUMPRODUCT($CA196:$DV196,INDEX('MC MAP'!$DA$5:$EV$30,17,0))</f>
        <v>0</v>
      </c>
      <c r="S196" s="2">
        <f>SUMPRODUCT($CA196:$DV196,INDEX('MC MAP'!$DA$5:$EV$30,18,0))</f>
        <v>0</v>
      </c>
      <c r="T196" s="2">
        <f>SUMPRODUCT($CA196:$DV196,INDEX('MC MAP'!$DA$5:$EV$30,19,0))</f>
        <v>0</v>
      </c>
      <c r="U196" s="2">
        <f>SUMPRODUCT($CA196:$DV196,INDEX('MC MAP'!$DA$5:$EV$30,20,0))</f>
        <v>0</v>
      </c>
      <c r="V196" s="2">
        <f>SUMPRODUCT($CA196:$DV196,INDEX('MC MAP'!$DA$5:$EV$30,21,0))</f>
        <v>0</v>
      </c>
      <c r="W196" s="2">
        <f>SUMPRODUCT($CA196:$DV196,INDEX('MC MAP'!$DA$5:$EV$30,22,0))</f>
        <v>0</v>
      </c>
      <c r="X196" s="2">
        <f>SUMPRODUCT($CA196:$DV196,INDEX('MC MAP'!$DA$5:$EV$30,23,0))</f>
        <v>0</v>
      </c>
      <c r="Y196" s="2">
        <f>SUMPRODUCT($CA196:$DV196,INDEX('MC MAP'!$DA$5:$EV$30,24,0))</f>
        <v>0</v>
      </c>
      <c r="Z196" s="2">
        <f>SUMPRODUCT($CA196:$DV196,INDEX('MC MAP'!$DA$5:$EV$30,25,0))</f>
        <v>0</v>
      </c>
      <c r="AA196" s="2">
        <f>SUMPRODUCT($CA196:$DV196,INDEX('MC MAP'!$DA$5:$EV$30,26,0))</f>
        <v>0</v>
      </c>
      <c r="AB196" s="2">
        <f>SUM($B196:$AA196)</f>
        <v>0</v>
      </c>
      <c r="AC196" s="2">
        <f>SUM($CA196:$DV196)+$AW196</f>
        <v>0</v>
      </c>
      <c r="AW196" s="2">
        <f>IF($A196=0,0,COUNTIF(INDEX('LINE PLAN'!$B$36:$GS$61,0,ROW()-3),"THERMAL - NOT SPECIFIED"))</f>
        <v>0</v>
      </c>
      <c r="AX196" s="506" cm="1">
        <f t="array" ref="AX196">IF(OR($AB196=0,UPPER($BS196)&lt;&gt;"Y"),0,SUMPRODUCT(--($B196:$AA196&gt;$B$205:$AA$205)))</f>
        <v>0</v>
      </c>
      <c r="AY196" s="507">
        <f>$A196</f>
        <v>0</v>
      </c>
      <c r="AZ196" s="2">
        <f>$AB196</f>
        <v>0</v>
      </c>
      <c r="BA196" s="2">
        <f>'MC MASTER'!$C$29</f>
        <v>920</v>
      </c>
      <c r="BQ196" s="509">
        <f>$A196</f>
        <v>0</v>
      </c>
      <c r="BR196" s="15" t="str">
        <f>TEXT($A196,"ddd")</f>
        <v>Sat</v>
      </c>
      <c r="BS196" s="547" t="str">
        <f>IF($A196=0,"",IF(WEEKDAY($A196,2)=7,"N","Y"))</f>
        <v/>
      </c>
      <c r="BT196" s="15">
        <f>IF(UPPER($BS196)="Y",$AB196,0)</f>
        <v>0</v>
      </c>
      <c r="CA196" s="2">
        <f>COUNTIF(INDEX('LINE PLAN'!$B$36:$GS$61,0,ROW()-3),CA$3)</f>
        <v>0</v>
      </c>
      <c r="CB196" s="2">
        <f>COUNTIF(INDEX('LINE PLAN'!$B$36:$GS$61,0,ROW()-3),CB$3)</f>
        <v>0</v>
      </c>
      <c r="CC196" s="2">
        <f>COUNTIF(INDEX('LINE PLAN'!$B$36:$GS$61,0,ROW()-3),CC$3)</f>
        <v>0</v>
      </c>
      <c r="CD196" s="2">
        <f>COUNTIF(INDEX('LINE PLAN'!$B$36:$GS$61,0,ROW()-3),CD$3)</f>
        <v>0</v>
      </c>
      <c r="CE196" s="2">
        <f>COUNTIF(INDEX('LINE PLAN'!$B$36:$GS$61,0,ROW()-3),CE$3)</f>
        <v>0</v>
      </c>
      <c r="CF196" s="2">
        <f>COUNTIF(INDEX('LINE PLAN'!$B$36:$GS$61,0,ROW()-3),CF$3)</f>
        <v>0</v>
      </c>
      <c r="CG196" s="2">
        <f>COUNTIF(INDEX('LINE PLAN'!$B$36:$GS$61,0,ROW()-3),CG$3)</f>
        <v>0</v>
      </c>
      <c r="CH196" s="2">
        <f>COUNTIF(INDEX('LINE PLAN'!$B$36:$GS$61,0,ROW()-3),CH$3)</f>
        <v>0</v>
      </c>
      <c r="CI196" s="2">
        <f>COUNTIF(INDEX('LINE PLAN'!$B$36:$GS$61,0,ROW()-3),CI$3)</f>
        <v>0</v>
      </c>
      <c r="CJ196" s="2">
        <f>COUNTIF(INDEX('LINE PLAN'!$B$36:$GS$61,0,ROW()-3),CJ$3)</f>
        <v>0</v>
      </c>
      <c r="CK196" s="2">
        <f>COUNTIF(INDEX('LINE PLAN'!$B$36:$GS$61,0,ROW()-3),CK$3)</f>
        <v>0</v>
      </c>
      <c r="CL196" s="2">
        <f>COUNTIF(INDEX('LINE PLAN'!$B$36:$GS$61,0,ROW()-3),CL$3)</f>
        <v>0</v>
      </c>
      <c r="CM196" s="2">
        <f>COUNTIF(INDEX('LINE PLAN'!$B$36:$GS$61,0,ROW()-3),CM$3)</f>
        <v>0</v>
      </c>
      <c r="CN196" s="2">
        <f>COUNTIF(INDEX('LINE PLAN'!$B$36:$GS$61,0,ROW()-3),CN$3)</f>
        <v>0</v>
      </c>
      <c r="CO196" s="2">
        <f>COUNTIF(INDEX('LINE PLAN'!$B$36:$GS$61,0,ROW()-3),CO$3)</f>
        <v>0</v>
      </c>
      <c r="CP196" s="2">
        <f>COUNTIF(INDEX('LINE PLAN'!$B$36:$GS$61,0,ROW()-3),CP$3)</f>
        <v>0</v>
      </c>
      <c r="CQ196" s="2">
        <f>COUNTIF(INDEX('LINE PLAN'!$B$36:$GS$61,0,ROW()-3),CQ$3)</f>
        <v>0</v>
      </c>
      <c r="CR196" s="2">
        <f>COUNTIF(INDEX('LINE PLAN'!$B$36:$GS$61,0,ROW()-3),CR$3)</f>
        <v>0</v>
      </c>
      <c r="CS196" s="2">
        <f>COUNTIF(INDEX('LINE PLAN'!$B$36:$GS$61,0,ROW()-3),CS$3)</f>
        <v>0</v>
      </c>
      <c r="CT196" s="2">
        <f>COUNTIF(INDEX('LINE PLAN'!$B$36:$GS$61,0,ROW()-3),CT$3)</f>
        <v>0</v>
      </c>
      <c r="CU196" s="2">
        <f>COUNTIF(INDEX('LINE PLAN'!$B$36:$GS$61,0,ROW()-3),CU$3)</f>
        <v>0</v>
      </c>
      <c r="CV196" s="2">
        <f>COUNTIF(INDEX('LINE PLAN'!$B$36:$GS$61,0,ROW()-3),CV$3)</f>
        <v>0</v>
      </c>
      <c r="CW196" s="2">
        <f>COUNTIF(INDEX('LINE PLAN'!$B$36:$GS$61,0,ROW()-3),CW$3)</f>
        <v>0</v>
      </c>
      <c r="CX196" s="2">
        <f>COUNTIF(INDEX('LINE PLAN'!$B$36:$GS$61,0,ROW()-3),CX$3)</f>
        <v>0</v>
      </c>
      <c r="CY196" s="2">
        <f>COUNTIF(INDEX('LINE PLAN'!$B$36:$GS$61,0,ROW()-3),CY$3)</f>
        <v>0</v>
      </c>
      <c r="CZ196" s="2">
        <f>COUNTIF(INDEX('LINE PLAN'!$B$36:$GS$61,0,ROW()-3),CZ$3)</f>
        <v>0</v>
      </c>
      <c r="DA196" s="2">
        <f>COUNTIF(INDEX('LINE PLAN'!$B$36:$GS$61,0,ROW()-3),DA$3)</f>
        <v>0</v>
      </c>
      <c r="DB196" s="2">
        <f>COUNTIF(INDEX('LINE PLAN'!$B$36:$GS$61,0,ROW()-3),DB$3)</f>
        <v>0</v>
      </c>
      <c r="DC196" s="2">
        <f>COUNTIF(INDEX('LINE PLAN'!$B$36:$GS$61,0,ROW()-3),DC$3)</f>
        <v>0</v>
      </c>
      <c r="DD196" s="2">
        <f>COUNTIF(INDEX('LINE PLAN'!$B$36:$GS$61,0,ROW()-3),DD$3)</f>
        <v>0</v>
      </c>
      <c r="DE196" s="2">
        <f>COUNTIF(INDEX('LINE PLAN'!$B$36:$GS$61,0,ROW()-3),DE$3)</f>
        <v>0</v>
      </c>
      <c r="DF196" s="2">
        <f>COUNTIF(INDEX('LINE PLAN'!$B$36:$GS$61,0,ROW()-3),DF$3)</f>
        <v>0</v>
      </c>
      <c r="DG196" s="2">
        <f>COUNTIF(INDEX('LINE PLAN'!$B$36:$GS$61,0,ROW()-3),DG$3)</f>
        <v>0</v>
      </c>
      <c r="DH196" s="2">
        <f>COUNTIF(INDEX('LINE PLAN'!$B$36:$GS$61,0,ROW()-3),DH$3)</f>
        <v>0</v>
      </c>
      <c r="DI196" s="2">
        <f>COUNTIF(INDEX('LINE PLAN'!$B$36:$GS$61,0,ROW()-3),DI$3)</f>
        <v>0</v>
      </c>
      <c r="DJ196" s="2">
        <f>COUNTIF(INDEX('LINE PLAN'!$B$36:$GS$61,0,ROW()-3),DJ$3)</f>
        <v>0</v>
      </c>
      <c r="DK196" s="2">
        <f>COUNTIF(INDEX('LINE PLAN'!$B$36:$GS$61,0,ROW()-3),DK$3)</f>
        <v>0</v>
      </c>
      <c r="DL196" s="2">
        <f>COUNTIF(INDEX('LINE PLAN'!$B$36:$GS$61,0,ROW()-3),DL$3)</f>
        <v>0</v>
      </c>
      <c r="DM196" s="2">
        <f>COUNTIF(INDEX('LINE PLAN'!$B$36:$GS$61,0,ROW()-3),DM$3)</f>
        <v>0</v>
      </c>
      <c r="DN196" s="2">
        <f>COUNTIF(INDEX('LINE PLAN'!$B$36:$GS$61,0,ROW()-3),DN$3)</f>
        <v>0</v>
      </c>
      <c r="DO196" s="2">
        <f>COUNTIF(INDEX('LINE PLAN'!$B$36:$GS$61,0,ROW()-3),DO$3)</f>
        <v>0</v>
      </c>
      <c r="DP196" s="2">
        <f>COUNTIF(INDEX('LINE PLAN'!$B$36:$GS$61,0,ROW()-3),DP$3)</f>
        <v>0</v>
      </c>
      <c r="DQ196" s="2">
        <f>COUNTIF(INDEX('LINE PLAN'!$B$36:$GS$61,0,ROW()-3),DQ$3)</f>
        <v>0</v>
      </c>
      <c r="DR196" s="2">
        <f>COUNTIF(INDEX('LINE PLAN'!$B$36:$GS$61,0,ROW()-3),DR$3)</f>
        <v>0</v>
      </c>
      <c r="DS196" s="2">
        <f>COUNTIF(INDEX('LINE PLAN'!$B$36:$GS$61,0,ROW()-3),DS$3)</f>
        <v>0</v>
      </c>
      <c r="DT196" s="2">
        <f>COUNTIF(INDEX('LINE PLAN'!$B$36:$GS$61,0,ROW()-3),DT$3)</f>
        <v>0</v>
      </c>
      <c r="DU196" s="2">
        <f>COUNTIF(INDEX('LINE PLAN'!$B$36:$GS$61,0,ROW()-3),DU$3)</f>
        <v>0</v>
      </c>
      <c r="DV196" s="2">
        <f>COUNTIF(INDEX('LINE PLAN'!$B$36:$GS$61,0,ROW()-3),DV$3)</f>
        <v>0</v>
      </c>
    </row>
    <row r="197" spans="1:126">
      <c r="A197" s="505" cm="1">
        <f t="array" ref="A197">INDEX('LINE PLAN'!$B$35:$GS$35,ROW()-3)</f>
        <v>0</v>
      </c>
      <c r="B197" s="2">
        <f>SUMPRODUCT($CA197:$DV197,INDEX('MC MAP'!$DA$5:$EV$30,1,0))</f>
        <v>0</v>
      </c>
      <c r="C197" s="2">
        <f>SUMPRODUCT($CA197:$DV197,INDEX('MC MAP'!$DA$5:$EV$30,2,0))</f>
        <v>0</v>
      </c>
      <c r="D197" s="2">
        <f>SUMPRODUCT($CA197:$DV197,INDEX('MC MAP'!$DA$5:$EV$30,3,0))</f>
        <v>0</v>
      </c>
      <c r="E197" s="2">
        <f>SUMPRODUCT($CA197:$DV197,INDEX('MC MAP'!$DA$5:$EV$30,4,0))</f>
        <v>0</v>
      </c>
      <c r="F197" s="2">
        <f>SUMPRODUCT($CA197:$DV197,INDEX('MC MAP'!$DA$5:$EV$30,5,0))</f>
        <v>0</v>
      </c>
      <c r="G197" s="2">
        <f>SUMPRODUCT($CA197:$DV197,INDEX('MC MAP'!$DA$5:$EV$30,6,0))</f>
        <v>0</v>
      </c>
      <c r="H197" s="2">
        <f>SUMPRODUCT($CA197:$DV197,INDEX('MC MAP'!$DA$5:$EV$30,7,0))</f>
        <v>0</v>
      </c>
      <c r="I197" s="2">
        <f>SUMPRODUCT($CA197:$DV197,INDEX('MC MAP'!$DA$5:$EV$30,8,0))</f>
        <v>0</v>
      </c>
      <c r="J197" s="2">
        <f>SUMPRODUCT($CA197:$DV197,INDEX('MC MAP'!$DA$5:$EV$30,9,0))</f>
        <v>0</v>
      </c>
      <c r="K197" s="2">
        <f>SUMPRODUCT($CA197:$DV197,INDEX('MC MAP'!$DA$5:$EV$30,10,0))</f>
        <v>0</v>
      </c>
      <c r="L197" s="2">
        <f>SUMPRODUCT($CA197:$DV197,INDEX('MC MAP'!$DA$5:$EV$30,11,0))</f>
        <v>0</v>
      </c>
      <c r="M197" s="2">
        <f>SUMPRODUCT($CA197:$DV197,INDEX('MC MAP'!$DA$5:$EV$30,12,0))</f>
        <v>0</v>
      </c>
      <c r="N197" s="2">
        <f>SUMPRODUCT($CA197:$DV197,INDEX('MC MAP'!$DA$5:$EV$30,13,0))</f>
        <v>0</v>
      </c>
      <c r="O197" s="2">
        <f>SUMPRODUCT($CA197:$DV197,INDEX('MC MAP'!$DA$5:$EV$30,14,0))</f>
        <v>0</v>
      </c>
      <c r="P197" s="2">
        <f>SUMPRODUCT($CA197:$DV197,INDEX('MC MAP'!$DA$5:$EV$30,15,0))</f>
        <v>0</v>
      </c>
      <c r="Q197" s="2">
        <f>SUMPRODUCT($CA197:$DV197,INDEX('MC MAP'!$DA$5:$EV$30,16,0))</f>
        <v>0</v>
      </c>
      <c r="R197" s="2">
        <f>SUMPRODUCT($CA197:$DV197,INDEX('MC MAP'!$DA$5:$EV$30,17,0))</f>
        <v>0</v>
      </c>
      <c r="S197" s="2">
        <f>SUMPRODUCT($CA197:$DV197,INDEX('MC MAP'!$DA$5:$EV$30,18,0))</f>
        <v>0</v>
      </c>
      <c r="T197" s="2">
        <f>SUMPRODUCT($CA197:$DV197,INDEX('MC MAP'!$DA$5:$EV$30,19,0))</f>
        <v>0</v>
      </c>
      <c r="U197" s="2">
        <f>SUMPRODUCT($CA197:$DV197,INDEX('MC MAP'!$DA$5:$EV$30,20,0))</f>
        <v>0</v>
      </c>
      <c r="V197" s="2">
        <f>SUMPRODUCT($CA197:$DV197,INDEX('MC MAP'!$DA$5:$EV$30,21,0))</f>
        <v>0</v>
      </c>
      <c r="W197" s="2">
        <f>SUMPRODUCT($CA197:$DV197,INDEX('MC MAP'!$DA$5:$EV$30,22,0))</f>
        <v>0</v>
      </c>
      <c r="X197" s="2">
        <f>SUMPRODUCT($CA197:$DV197,INDEX('MC MAP'!$DA$5:$EV$30,23,0))</f>
        <v>0</v>
      </c>
      <c r="Y197" s="2">
        <f>SUMPRODUCT($CA197:$DV197,INDEX('MC MAP'!$DA$5:$EV$30,24,0))</f>
        <v>0</v>
      </c>
      <c r="Z197" s="2">
        <f>SUMPRODUCT($CA197:$DV197,INDEX('MC MAP'!$DA$5:$EV$30,25,0))</f>
        <v>0</v>
      </c>
      <c r="AA197" s="2">
        <f>SUMPRODUCT($CA197:$DV197,INDEX('MC MAP'!$DA$5:$EV$30,26,0))</f>
        <v>0</v>
      </c>
      <c r="AB197" s="2">
        <f>SUM($B197:$AA197)</f>
        <v>0</v>
      </c>
      <c r="AC197" s="2">
        <f>SUM($CA197:$DV197)+$AW197</f>
        <v>0</v>
      </c>
      <c r="AW197" s="2">
        <f>IF($A197=0,0,COUNTIF(INDEX('LINE PLAN'!$B$36:$GS$61,0,ROW()-3),"THERMAL - NOT SPECIFIED"))</f>
        <v>0</v>
      </c>
      <c r="AX197" s="506" cm="1">
        <f t="array" ref="AX197">IF(OR($AB197=0,UPPER($BS197)&lt;&gt;"Y"),0,SUMPRODUCT(--($B197:$AA197&gt;$B$205:$AA$205)))</f>
        <v>0</v>
      </c>
      <c r="AY197" s="507">
        <f>$A197</f>
        <v>0</v>
      </c>
      <c r="AZ197" s="2">
        <f>$AB197</f>
        <v>0</v>
      </c>
      <c r="BA197" s="2">
        <f>'MC MASTER'!$C$29</f>
        <v>920</v>
      </c>
      <c r="BQ197" s="509">
        <f>$A197</f>
        <v>0</v>
      </c>
      <c r="BR197" s="15" t="str">
        <f>TEXT($A197,"ddd")</f>
        <v>Sat</v>
      </c>
      <c r="BS197" s="547" t="str">
        <f>IF($A197=0,"",IF(WEEKDAY($A197,2)=7,"N","Y"))</f>
        <v/>
      </c>
      <c r="BT197" s="15">
        <f>IF(UPPER($BS197)="Y",$AB197,0)</f>
        <v>0</v>
      </c>
      <c r="CA197" s="2">
        <f>COUNTIF(INDEX('LINE PLAN'!$B$36:$GS$61,0,ROW()-3),CA$3)</f>
        <v>0</v>
      </c>
      <c r="CB197" s="2">
        <f>COUNTIF(INDEX('LINE PLAN'!$B$36:$GS$61,0,ROW()-3),CB$3)</f>
        <v>0</v>
      </c>
      <c r="CC197" s="2">
        <f>COUNTIF(INDEX('LINE PLAN'!$B$36:$GS$61,0,ROW()-3),CC$3)</f>
        <v>0</v>
      </c>
      <c r="CD197" s="2">
        <f>COUNTIF(INDEX('LINE PLAN'!$B$36:$GS$61,0,ROW()-3),CD$3)</f>
        <v>0</v>
      </c>
      <c r="CE197" s="2">
        <f>COUNTIF(INDEX('LINE PLAN'!$B$36:$GS$61,0,ROW()-3),CE$3)</f>
        <v>0</v>
      </c>
      <c r="CF197" s="2">
        <f>COUNTIF(INDEX('LINE PLAN'!$B$36:$GS$61,0,ROW()-3),CF$3)</f>
        <v>0</v>
      </c>
      <c r="CG197" s="2">
        <f>COUNTIF(INDEX('LINE PLAN'!$B$36:$GS$61,0,ROW()-3),CG$3)</f>
        <v>0</v>
      </c>
      <c r="CH197" s="2">
        <f>COUNTIF(INDEX('LINE PLAN'!$B$36:$GS$61,0,ROW()-3),CH$3)</f>
        <v>0</v>
      </c>
      <c r="CI197" s="2">
        <f>COUNTIF(INDEX('LINE PLAN'!$B$36:$GS$61,0,ROW()-3),CI$3)</f>
        <v>0</v>
      </c>
      <c r="CJ197" s="2">
        <f>COUNTIF(INDEX('LINE PLAN'!$B$36:$GS$61,0,ROW()-3),CJ$3)</f>
        <v>0</v>
      </c>
      <c r="CK197" s="2">
        <f>COUNTIF(INDEX('LINE PLAN'!$B$36:$GS$61,0,ROW()-3),CK$3)</f>
        <v>0</v>
      </c>
      <c r="CL197" s="2">
        <f>COUNTIF(INDEX('LINE PLAN'!$B$36:$GS$61,0,ROW()-3),CL$3)</f>
        <v>0</v>
      </c>
      <c r="CM197" s="2">
        <f>COUNTIF(INDEX('LINE PLAN'!$B$36:$GS$61,0,ROW()-3),CM$3)</f>
        <v>0</v>
      </c>
      <c r="CN197" s="2">
        <f>COUNTIF(INDEX('LINE PLAN'!$B$36:$GS$61,0,ROW()-3),CN$3)</f>
        <v>0</v>
      </c>
      <c r="CO197" s="2">
        <f>COUNTIF(INDEX('LINE PLAN'!$B$36:$GS$61,0,ROW()-3),CO$3)</f>
        <v>0</v>
      </c>
      <c r="CP197" s="2">
        <f>COUNTIF(INDEX('LINE PLAN'!$B$36:$GS$61,0,ROW()-3),CP$3)</f>
        <v>0</v>
      </c>
      <c r="CQ197" s="2">
        <f>COUNTIF(INDEX('LINE PLAN'!$B$36:$GS$61,0,ROW()-3),CQ$3)</f>
        <v>0</v>
      </c>
      <c r="CR197" s="2">
        <f>COUNTIF(INDEX('LINE PLAN'!$B$36:$GS$61,0,ROW()-3),CR$3)</f>
        <v>0</v>
      </c>
      <c r="CS197" s="2">
        <f>COUNTIF(INDEX('LINE PLAN'!$B$36:$GS$61,0,ROW()-3),CS$3)</f>
        <v>0</v>
      </c>
      <c r="CT197" s="2">
        <f>COUNTIF(INDEX('LINE PLAN'!$B$36:$GS$61,0,ROW()-3),CT$3)</f>
        <v>0</v>
      </c>
      <c r="CU197" s="2">
        <f>COUNTIF(INDEX('LINE PLAN'!$B$36:$GS$61,0,ROW()-3),CU$3)</f>
        <v>0</v>
      </c>
      <c r="CV197" s="2">
        <f>COUNTIF(INDEX('LINE PLAN'!$B$36:$GS$61,0,ROW()-3),CV$3)</f>
        <v>0</v>
      </c>
      <c r="CW197" s="2">
        <f>COUNTIF(INDEX('LINE PLAN'!$B$36:$GS$61,0,ROW()-3),CW$3)</f>
        <v>0</v>
      </c>
      <c r="CX197" s="2">
        <f>COUNTIF(INDEX('LINE PLAN'!$B$36:$GS$61,0,ROW()-3),CX$3)</f>
        <v>0</v>
      </c>
      <c r="CY197" s="2">
        <f>COUNTIF(INDEX('LINE PLAN'!$B$36:$GS$61,0,ROW()-3),CY$3)</f>
        <v>0</v>
      </c>
      <c r="CZ197" s="2">
        <f>COUNTIF(INDEX('LINE PLAN'!$B$36:$GS$61,0,ROW()-3),CZ$3)</f>
        <v>0</v>
      </c>
      <c r="DA197" s="2">
        <f>COUNTIF(INDEX('LINE PLAN'!$B$36:$GS$61,0,ROW()-3),DA$3)</f>
        <v>0</v>
      </c>
      <c r="DB197" s="2">
        <f>COUNTIF(INDEX('LINE PLAN'!$B$36:$GS$61,0,ROW()-3),DB$3)</f>
        <v>0</v>
      </c>
      <c r="DC197" s="2">
        <f>COUNTIF(INDEX('LINE PLAN'!$B$36:$GS$61,0,ROW()-3),DC$3)</f>
        <v>0</v>
      </c>
      <c r="DD197" s="2">
        <f>COUNTIF(INDEX('LINE PLAN'!$B$36:$GS$61,0,ROW()-3),DD$3)</f>
        <v>0</v>
      </c>
      <c r="DE197" s="2">
        <f>COUNTIF(INDEX('LINE PLAN'!$B$36:$GS$61,0,ROW()-3),DE$3)</f>
        <v>0</v>
      </c>
      <c r="DF197" s="2">
        <f>COUNTIF(INDEX('LINE PLAN'!$B$36:$GS$61,0,ROW()-3),DF$3)</f>
        <v>0</v>
      </c>
      <c r="DG197" s="2">
        <f>COUNTIF(INDEX('LINE PLAN'!$B$36:$GS$61,0,ROW()-3),DG$3)</f>
        <v>0</v>
      </c>
      <c r="DH197" s="2">
        <f>COUNTIF(INDEX('LINE PLAN'!$B$36:$GS$61,0,ROW()-3),DH$3)</f>
        <v>0</v>
      </c>
      <c r="DI197" s="2">
        <f>COUNTIF(INDEX('LINE PLAN'!$B$36:$GS$61,0,ROW()-3),DI$3)</f>
        <v>0</v>
      </c>
      <c r="DJ197" s="2">
        <f>COUNTIF(INDEX('LINE PLAN'!$B$36:$GS$61,0,ROW()-3),DJ$3)</f>
        <v>0</v>
      </c>
      <c r="DK197" s="2">
        <f>COUNTIF(INDEX('LINE PLAN'!$B$36:$GS$61,0,ROW()-3),DK$3)</f>
        <v>0</v>
      </c>
      <c r="DL197" s="2">
        <f>COUNTIF(INDEX('LINE PLAN'!$B$36:$GS$61,0,ROW()-3),DL$3)</f>
        <v>0</v>
      </c>
      <c r="DM197" s="2">
        <f>COUNTIF(INDEX('LINE PLAN'!$B$36:$GS$61,0,ROW()-3),DM$3)</f>
        <v>0</v>
      </c>
      <c r="DN197" s="2">
        <f>COUNTIF(INDEX('LINE PLAN'!$B$36:$GS$61,0,ROW()-3),DN$3)</f>
        <v>0</v>
      </c>
      <c r="DO197" s="2">
        <f>COUNTIF(INDEX('LINE PLAN'!$B$36:$GS$61,0,ROW()-3),DO$3)</f>
        <v>0</v>
      </c>
      <c r="DP197" s="2">
        <f>COUNTIF(INDEX('LINE PLAN'!$B$36:$GS$61,0,ROW()-3),DP$3)</f>
        <v>0</v>
      </c>
      <c r="DQ197" s="2">
        <f>COUNTIF(INDEX('LINE PLAN'!$B$36:$GS$61,0,ROW()-3),DQ$3)</f>
        <v>0</v>
      </c>
      <c r="DR197" s="2">
        <f>COUNTIF(INDEX('LINE PLAN'!$B$36:$GS$61,0,ROW()-3),DR$3)</f>
        <v>0</v>
      </c>
      <c r="DS197" s="2">
        <f>COUNTIF(INDEX('LINE PLAN'!$B$36:$GS$61,0,ROW()-3),DS$3)</f>
        <v>0</v>
      </c>
      <c r="DT197" s="2">
        <f>COUNTIF(INDEX('LINE PLAN'!$B$36:$GS$61,0,ROW()-3),DT$3)</f>
        <v>0</v>
      </c>
      <c r="DU197" s="2">
        <f>COUNTIF(INDEX('LINE PLAN'!$B$36:$GS$61,0,ROW()-3),DU$3)</f>
        <v>0</v>
      </c>
      <c r="DV197" s="2">
        <f>COUNTIF(INDEX('LINE PLAN'!$B$36:$GS$61,0,ROW()-3),DV$3)</f>
        <v>0</v>
      </c>
    </row>
    <row r="198" spans="1:126">
      <c r="A198" s="505" cm="1">
        <f t="array" ref="A198">INDEX('LINE PLAN'!$B$35:$GS$35,ROW()-3)</f>
        <v>0</v>
      </c>
      <c r="B198" s="2">
        <f>SUMPRODUCT($CA198:$DV198,INDEX('MC MAP'!$DA$5:$EV$30,1,0))</f>
        <v>0</v>
      </c>
      <c r="C198" s="2">
        <f>SUMPRODUCT($CA198:$DV198,INDEX('MC MAP'!$DA$5:$EV$30,2,0))</f>
        <v>0</v>
      </c>
      <c r="D198" s="2">
        <f>SUMPRODUCT($CA198:$DV198,INDEX('MC MAP'!$DA$5:$EV$30,3,0))</f>
        <v>0</v>
      </c>
      <c r="E198" s="2">
        <f>SUMPRODUCT($CA198:$DV198,INDEX('MC MAP'!$DA$5:$EV$30,4,0))</f>
        <v>0</v>
      </c>
      <c r="F198" s="2">
        <f>SUMPRODUCT($CA198:$DV198,INDEX('MC MAP'!$DA$5:$EV$30,5,0))</f>
        <v>0</v>
      </c>
      <c r="G198" s="2">
        <f>SUMPRODUCT($CA198:$DV198,INDEX('MC MAP'!$DA$5:$EV$30,6,0))</f>
        <v>0</v>
      </c>
      <c r="H198" s="2">
        <f>SUMPRODUCT($CA198:$DV198,INDEX('MC MAP'!$DA$5:$EV$30,7,0))</f>
        <v>0</v>
      </c>
      <c r="I198" s="2">
        <f>SUMPRODUCT($CA198:$DV198,INDEX('MC MAP'!$DA$5:$EV$30,8,0))</f>
        <v>0</v>
      </c>
      <c r="J198" s="2">
        <f>SUMPRODUCT($CA198:$DV198,INDEX('MC MAP'!$DA$5:$EV$30,9,0))</f>
        <v>0</v>
      </c>
      <c r="K198" s="2">
        <f>SUMPRODUCT($CA198:$DV198,INDEX('MC MAP'!$DA$5:$EV$30,10,0))</f>
        <v>0</v>
      </c>
      <c r="L198" s="2">
        <f>SUMPRODUCT($CA198:$DV198,INDEX('MC MAP'!$DA$5:$EV$30,11,0))</f>
        <v>0</v>
      </c>
      <c r="M198" s="2">
        <f>SUMPRODUCT($CA198:$DV198,INDEX('MC MAP'!$DA$5:$EV$30,12,0))</f>
        <v>0</v>
      </c>
      <c r="N198" s="2">
        <f>SUMPRODUCT($CA198:$DV198,INDEX('MC MAP'!$DA$5:$EV$30,13,0))</f>
        <v>0</v>
      </c>
      <c r="O198" s="2">
        <f>SUMPRODUCT($CA198:$DV198,INDEX('MC MAP'!$DA$5:$EV$30,14,0))</f>
        <v>0</v>
      </c>
      <c r="P198" s="2">
        <f>SUMPRODUCT($CA198:$DV198,INDEX('MC MAP'!$DA$5:$EV$30,15,0))</f>
        <v>0</v>
      </c>
      <c r="Q198" s="2">
        <f>SUMPRODUCT($CA198:$DV198,INDEX('MC MAP'!$DA$5:$EV$30,16,0))</f>
        <v>0</v>
      </c>
      <c r="R198" s="2">
        <f>SUMPRODUCT($CA198:$DV198,INDEX('MC MAP'!$DA$5:$EV$30,17,0))</f>
        <v>0</v>
      </c>
      <c r="S198" s="2">
        <f>SUMPRODUCT($CA198:$DV198,INDEX('MC MAP'!$DA$5:$EV$30,18,0))</f>
        <v>0</v>
      </c>
      <c r="T198" s="2">
        <f>SUMPRODUCT($CA198:$DV198,INDEX('MC MAP'!$DA$5:$EV$30,19,0))</f>
        <v>0</v>
      </c>
      <c r="U198" s="2">
        <f>SUMPRODUCT($CA198:$DV198,INDEX('MC MAP'!$DA$5:$EV$30,20,0))</f>
        <v>0</v>
      </c>
      <c r="V198" s="2">
        <f>SUMPRODUCT($CA198:$DV198,INDEX('MC MAP'!$DA$5:$EV$30,21,0))</f>
        <v>0</v>
      </c>
      <c r="W198" s="2">
        <f>SUMPRODUCT($CA198:$DV198,INDEX('MC MAP'!$DA$5:$EV$30,22,0))</f>
        <v>0</v>
      </c>
      <c r="X198" s="2">
        <f>SUMPRODUCT($CA198:$DV198,INDEX('MC MAP'!$DA$5:$EV$30,23,0))</f>
        <v>0</v>
      </c>
      <c r="Y198" s="2">
        <f>SUMPRODUCT($CA198:$DV198,INDEX('MC MAP'!$DA$5:$EV$30,24,0))</f>
        <v>0</v>
      </c>
      <c r="Z198" s="2">
        <f>SUMPRODUCT($CA198:$DV198,INDEX('MC MAP'!$DA$5:$EV$30,25,0))</f>
        <v>0</v>
      </c>
      <c r="AA198" s="2">
        <f>SUMPRODUCT($CA198:$DV198,INDEX('MC MAP'!$DA$5:$EV$30,26,0))</f>
        <v>0</v>
      </c>
      <c r="AB198" s="2">
        <f>SUM($B198:$AA198)</f>
        <v>0</v>
      </c>
      <c r="AC198" s="2">
        <f>SUM($CA198:$DV198)+$AW198</f>
        <v>0</v>
      </c>
      <c r="AW198" s="2">
        <f>IF($A198=0,0,COUNTIF(INDEX('LINE PLAN'!$B$36:$GS$61,0,ROW()-3),"THERMAL - NOT SPECIFIED"))</f>
        <v>0</v>
      </c>
      <c r="AX198" s="506" cm="1">
        <f t="array" ref="AX198">IF(OR($AB198=0,UPPER($BS198)&lt;&gt;"Y"),0,SUMPRODUCT(--($B198:$AA198&gt;$B$205:$AA$205)))</f>
        <v>0</v>
      </c>
      <c r="AY198" s="507">
        <f>$A198</f>
        <v>0</v>
      </c>
      <c r="AZ198" s="2">
        <f>$AB198</f>
        <v>0</v>
      </c>
      <c r="BA198" s="2">
        <f>'MC MASTER'!$C$29</f>
        <v>920</v>
      </c>
      <c r="BQ198" s="509">
        <f>$A198</f>
        <v>0</v>
      </c>
      <c r="BR198" s="15" t="str">
        <f>TEXT($A198,"ddd")</f>
        <v>Sat</v>
      </c>
      <c r="BS198" s="547" t="str">
        <f>IF($A198=0,"",IF(WEEKDAY($A198,2)=7,"N","Y"))</f>
        <v/>
      </c>
      <c r="BT198" s="15">
        <f>IF(UPPER($BS198)="Y",$AB198,0)</f>
        <v>0</v>
      </c>
      <c r="CA198" s="2">
        <f>COUNTIF(INDEX('LINE PLAN'!$B$36:$GS$61,0,ROW()-3),CA$3)</f>
        <v>0</v>
      </c>
      <c r="CB198" s="2">
        <f>COUNTIF(INDEX('LINE PLAN'!$B$36:$GS$61,0,ROW()-3),CB$3)</f>
        <v>0</v>
      </c>
      <c r="CC198" s="2">
        <f>COUNTIF(INDEX('LINE PLAN'!$B$36:$GS$61,0,ROW()-3),CC$3)</f>
        <v>0</v>
      </c>
      <c r="CD198" s="2">
        <f>COUNTIF(INDEX('LINE PLAN'!$B$36:$GS$61,0,ROW()-3),CD$3)</f>
        <v>0</v>
      </c>
      <c r="CE198" s="2">
        <f>COUNTIF(INDEX('LINE PLAN'!$B$36:$GS$61,0,ROW()-3),CE$3)</f>
        <v>0</v>
      </c>
      <c r="CF198" s="2">
        <f>COUNTIF(INDEX('LINE PLAN'!$B$36:$GS$61,0,ROW()-3),CF$3)</f>
        <v>0</v>
      </c>
      <c r="CG198" s="2">
        <f>COUNTIF(INDEX('LINE PLAN'!$B$36:$GS$61,0,ROW()-3),CG$3)</f>
        <v>0</v>
      </c>
      <c r="CH198" s="2">
        <f>COUNTIF(INDEX('LINE PLAN'!$B$36:$GS$61,0,ROW()-3),CH$3)</f>
        <v>0</v>
      </c>
      <c r="CI198" s="2">
        <f>COUNTIF(INDEX('LINE PLAN'!$B$36:$GS$61,0,ROW()-3),CI$3)</f>
        <v>0</v>
      </c>
      <c r="CJ198" s="2">
        <f>COUNTIF(INDEX('LINE PLAN'!$B$36:$GS$61,0,ROW()-3),CJ$3)</f>
        <v>0</v>
      </c>
      <c r="CK198" s="2">
        <f>COUNTIF(INDEX('LINE PLAN'!$B$36:$GS$61,0,ROW()-3),CK$3)</f>
        <v>0</v>
      </c>
      <c r="CL198" s="2">
        <f>COUNTIF(INDEX('LINE PLAN'!$B$36:$GS$61,0,ROW()-3),CL$3)</f>
        <v>0</v>
      </c>
      <c r="CM198" s="2">
        <f>COUNTIF(INDEX('LINE PLAN'!$B$36:$GS$61,0,ROW()-3),CM$3)</f>
        <v>0</v>
      </c>
      <c r="CN198" s="2">
        <f>COUNTIF(INDEX('LINE PLAN'!$B$36:$GS$61,0,ROW()-3),CN$3)</f>
        <v>0</v>
      </c>
      <c r="CO198" s="2">
        <f>COUNTIF(INDEX('LINE PLAN'!$B$36:$GS$61,0,ROW()-3),CO$3)</f>
        <v>0</v>
      </c>
      <c r="CP198" s="2">
        <f>COUNTIF(INDEX('LINE PLAN'!$B$36:$GS$61,0,ROW()-3),CP$3)</f>
        <v>0</v>
      </c>
      <c r="CQ198" s="2">
        <f>COUNTIF(INDEX('LINE PLAN'!$B$36:$GS$61,0,ROW()-3),CQ$3)</f>
        <v>0</v>
      </c>
      <c r="CR198" s="2">
        <f>COUNTIF(INDEX('LINE PLAN'!$B$36:$GS$61,0,ROW()-3),CR$3)</f>
        <v>0</v>
      </c>
      <c r="CS198" s="2">
        <f>COUNTIF(INDEX('LINE PLAN'!$B$36:$GS$61,0,ROW()-3),CS$3)</f>
        <v>0</v>
      </c>
      <c r="CT198" s="2">
        <f>COUNTIF(INDEX('LINE PLAN'!$B$36:$GS$61,0,ROW()-3),CT$3)</f>
        <v>0</v>
      </c>
      <c r="CU198" s="2">
        <f>COUNTIF(INDEX('LINE PLAN'!$B$36:$GS$61,0,ROW()-3),CU$3)</f>
        <v>0</v>
      </c>
      <c r="CV198" s="2">
        <f>COUNTIF(INDEX('LINE PLAN'!$B$36:$GS$61,0,ROW()-3),CV$3)</f>
        <v>0</v>
      </c>
      <c r="CW198" s="2">
        <f>COUNTIF(INDEX('LINE PLAN'!$B$36:$GS$61,0,ROW()-3),CW$3)</f>
        <v>0</v>
      </c>
      <c r="CX198" s="2">
        <f>COUNTIF(INDEX('LINE PLAN'!$B$36:$GS$61,0,ROW()-3),CX$3)</f>
        <v>0</v>
      </c>
      <c r="CY198" s="2">
        <f>COUNTIF(INDEX('LINE PLAN'!$B$36:$GS$61,0,ROW()-3),CY$3)</f>
        <v>0</v>
      </c>
      <c r="CZ198" s="2">
        <f>COUNTIF(INDEX('LINE PLAN'!$B$36:$GS$61,0,ROW()-3),CZ$3)</f>
        <v>0</v>
      </c>
      <c r="DA198" s="2">
        <f>COUNTIF(INDEX('LINE PLAN'!$B$36:$GS$61,0,ROW()-3),DA$3)</f>
        <v>0</v>
      </c>
      <c r="DB198" s="2">
        <f>COUNTIF(INDEX('LINE PLAN'!$B$36:$GS$61,0,ROW()-3),DB$3)</f>
        <v>0</v>
      </c>
      <c r="DC198" s="2">
        <f>COUNTIF(INDEX('LINE PLAN'!$B$36:$GS$61,0,ROW()-3),DC$3)</f>
        <v>0</v>
      </c>
      <c r="DD198" s="2">
        <f>COUNTIF(INDEX('LINE PLAN'!$B$36:$GS$61,0,ROW()-3),DD$3)</f>
        <v>0</v>
      </c>
      <c r="DE198" s="2">
        <f>COUNTIF(INDEX('LINE PLAN'!$B$36:$GS$61,0,ROW()-3),DE$3)</f>
        <v>0</v>
      </c>
      <c r="DF198" s="2">
        <f>COUNTIF(INDEX('LINE PLAN'!$B$36:$GS$61,0,ROW()-3),DF$3)</f>
        <v>0</v>
      </c>
      <c r="DG198" s="2">
        <f>COUNTIF(INDEX('LINE PLAN'!$B$36:$GS$61,0,ROW()-3),DG$3)</f>
        <v>0</v>
      </c>
      <c r="DH198" s="2">
        <f>COUNTIF(INDEX('LINE PLAN'!$B$36:$GS$61,0,ROW()-3),DH$3)</f>
        <v>0</v>
      </c>
      <c r="DI198" s="2">
        <f>COUNTIF(INDEX('LINE PLAN'!$B$36:$GS$61,0,ROW()-3),DI$3)</f>
        <v>0</v>
      </c>
      <c r="DJ198" s="2">
        <f>COUNTIF(INDEX('LINE PLAN'!$B$36:$GS$61,0,ROW()-3),DJ$3)</f>
        <v>0</v>
      </c>
      <c r="DK198" s="2">
        <f>COUNTIF(INDEX('LINE PLAN'!$B$36:$GS$61,0,ROW()-3),DK$3)</f>
        <v>0</v>
      </c>
      <c r="DL198" s="2">
        <f>COUNTIF(INDEX('LINE PLAN'!$B$36:$GS$61,0,ROW()-3),DL$3)</f>
        <v>0</v>
      </c>
      <c r="DM198" s="2">
        <f>COUNTIF(INDEX('LINE PLAN'!$B$36:$GS$61,0,ROW()-3),DM$3)</f>
        <v>0</v>
      </c>
      <c r="DN198" s="2">
        <f>COUNTIF(INDEX('LINE PLAN'!$B$36:$GS$61,0,ROW()-3),DN$3)</f>
        <v>0</v>
      </c>
      <c r="DO198" s="2">
        <f>COUNTIF(INDEX('LINE PLAN'!$B$36:$GS$61,0,ROW()-3),DO$3)</f>
        <v>0</v>
      </c>
      <c r="DP198" s="2">
        <f>COUNTIF(INDEX('LINE PLAN'!$B$36:$GS$61,0,ROW()-3),DP$3)</f>
        <v>0</v>
      </c>
      <c r="DQ198" s="2">
        <f>COUNTIF(INDEX('LINE PLAN'!$B$36:$GS$61,0,ROW()-3),DQ$3)</f>
        <v>0</v>
      </c>
      <c r="DR198" s="2">
        <f>COUNTIF(INDEX('LINE PLAN'!$B$36:$GS$61,0,ROW()-3),DR$3)</f>
        <v>0</v>
      </c>
      <c r="DS198" s="2">
        <f>COUNTIF(INDEX('LINE PLAN'!$B$36:$GS$61,0,ROW()-3),DS$3)</f>
        <v>0</v>
      </c>
      <c r="DT198" s="2">
        <f>COUNTIF(INDEX('LINE PLAN'!$B$36:$GS$61,0,ROW()-3),DT$3)</f>
        <v>0</v>
      </c>
      <c r="DU198" s="2">
        <f>COUNTIF(INDEX('LINE PLAN'!$B$36:$GS$61,0,ROW()-3),DU$3)</f>
        <v>0</v>
      </c>
      <c r="DV198" s="2">
        <f>COUNTIF(INDEX('LINE PLAN'!$B$36:$GS$61,0,ROW()-3),DV$3)</f>
        <v>0</v>
      </c>
    </row>
    <row r="199" spans="1:126">
      <c r="A199" s="505" cm="1">
        <f t="array" ref="A199">INDEX('LINE PLAN'!$B$35:$GS$35,ROW()-3)</f>
        <v>0</v>
      </c>
      <c r="B199" s="2">
        <f>SUMPRODUCT($CA199:$DV199,INDEX('MC MAP'!$DA$5:$EV$30,1,0))</f>
        <v>0</v>
      </c>
      <c r="C199" s="2">
        <f>SUMPRODUCT($CA199:$DV199,INDEX('MC MAP'!$DA$5:$EV$30,2,0))</f>
        <v>0</v>
      </c>
      <c r="D199" s="2">
        <f>SUMPRODUCT($CA199:$DV199,INDEX('MC MAP'!$DA$5:$EV$30,3,0))</f>
        <v>0</v>
      </c>
      <c r="E199" s="2">
        <f>SUMPRODUCT($CA199:$DV199,INDEX('MC MAP'!$DA$5:$EV$30,4,0))</f>
        <v>0</v>
      </c>
      <c r="F199" s="2">
        <f>SUMPRODUCT($CA199:$DV199,INDEX('MC MAP'!$DA$5:$EV$30,5,0))</f>
        <v>0</v>
      </c>
      <c r="G199" s="2">
        <f>SUMPRODUCT($CA199:$DV199,INDEX('MC MAP'!$DA$5:$EV$30,6,0))</f>
        <v>0</v>
      </c>
      <c r="H199" s="2">
        <f>SUMPRODUCT($CA199:$DV199,INDEX('MC MAP'!$DA$5:$EV$30,7,0))</f>
        <v>0</v>
      </c>
      <c r="I199" s="2">
        <f>SUMPRODUCT($CA199:$DV199,INDEX('MC MAP'!$DA$5:$EV$30,8,0))</f>
        <v>0</v>
      </c>
      <c r="J199" s="2">
        <f>SUMPRODUCT($CA199:$DV199,INDEX('MC MAP'!$DA$5:$EV$30,9,0))</f>
        <v>0</v>
      </c>
      <c r="K199" s="2">
        <f>SUMPRODUCT($CA199:$DV199,INDEX('MC MAP'!$DA$5:$EV$30,10,0))</f>
        <v>0</v>
      </c>
      <c r="L199" s="2">
        <f>SUMPRODUCT($CA199:$DV199,INDEX('MC MAP'!$DA$5:$EV$30,11,0))</f>
        <v>0</v>
      </c>
      <c r="M199" s="2">
        <f>SUMPRODUCT($CA199:$DV199,INDEX('MC MAP'!$DA$5:$EV$30,12,0))</f>
        <v>0</v>
      </c>
      <c r="N199" s="2">
        <f>SUMPRODUCT($CA199:$DV199,INDEX('MC MAP'!$DA$5:$EV$30,13,0))</f>
        <v>0</v>
      </c>
      <c r="O199" s="2">
        <f>SUMPRODUCT($CA199:$DV199,INDEX('MC MAP'!$DA$5:$EV$30,14,0))</f>
        <v>0</v>
      </c>
      <c r="P199" s="2">
        <f>SUMPRODUCT($CA199:$DV199,INDEX('MC MAP'!$DA$5:$EV$30,15,0))</f>
        <v>0</v>
      </c>
      <c r="Q199" s="2">
        <f>SUMPRODUCT($CA199:$DV199,INDEX('MC MAP'!$DA$5:$EV$30,16,0))</f>
        <v>0</v>
      </c>
      <c r="R199" s="2">
        <f>SUMPRODUCT($CA199:$DV199,INDEX('MC MAP'!$DA$5:$EV$30,17,0))</f>
        <v>0</v>
      </c>
      <c r="S199" s="2">
        <f>SUMPRODUCT($CA199:$DV199,INDEX('MC MAP'!$DA$5:$EV$30,18,0))</f>
        <v>0</v>
      </c>
      <c r="T199" s="2">
        <f>SUMPRODUCT($CA199:$DV199,INDEX('MC MAP'!$DA$5:$EV$30,19,0))</f>
        <v>0</v>
      </c>
      <c r="U199" s="2">
        <f>SUMPRODUCT($CA199:$DV199,INDEX('MC MAP'!$DA$5:$EV$30,20,0))</f>
        <v>0</v>
      </c>
      <c r="V199" s="2">
        <f>SUMPRODUCT($CA199:$DV199,INDEX('MC MAP'!$DA$5:$EV$30,21,0))</f>
        <v>0</v>
      </c>
      <c r="W199" s="2">
        <f>SUMPRODUCT($CA199:$DV199,INDEX('MC MAP'!$DA$5:$EV$30,22,0))</f>
        <v>0</v>
      </c>
      <c r="X199" s="2">
        <f>SUMPRODUCT($CA199:$DV199,INDEX('MC MAP'!$DA$5:$EV$30,23,0))</f>
        <v>0</v>
      </c>
      <c r="Y199" s="2">
        <f>SUMPRODUCT($CA199:$DV199,INDEX('MC MAP'!$DA$5:$EV$30,24,0))</f>
        <v>0</v>
      </c>
      <c r="Z199" s="2">
        <f>SUMPRODUCT($CA199:$DV199,INDEX('MC MAP'!$DA$5:$EV$30,25,0))</f>
        <v>0</v>
      </c>
      <c r="AA199" s="2">
        <f>SUMPRODUCT($CA199:$DV199,INDEX('MC MAP'!$DA$5:$EV$30,26,0))</f>
        <v>0</v>
      </c>
      <c r="AB199" s="2">
        <f>SUM($B199:$AA199)</f>
        <v>0</v>
      </c>
      <c r="AC199" s="2">
        <f>SUM($CA199:$DV199)+$AW199</f>
        <v>0</v>
      </c>
      <c r="AW199" s="2">
        <f>IF($A199=0,0,COUNTIF(INDEX('LINE PLAN'!$B$36:$GS$61,0,ROW()-3),"THERMAL - NOT SPECIFIED"))</f>
        <v>0</v>
      </c>
      <c r="AX199" s="506" cm="1">
        <f t="array" ref="AX199">IF(OR($AB199=0,UPPER($BS199)&lt;&gt;"Y"),0,SUMPRODUCT(--($B199:$AA199&gt;$B$205:$AA$205)))</f>
        <v>0</v>
      </c>
      <c r="AY199" s="507">
        <f>$A199</f>
        <v>0</v>
      </c>
      <c r="AZ199" s="2">
        <f>$AB199</f>
        <v>0</v>
      </c>
      <c r="BA199" s="2">
        <f>'MC MASTER'!$C$29</f>
        <v>920</v>
      </c>
      <c r="BQ199" s="509">
        <f>$A199</f>
        <v>0</v>
      </c>
      <c r="BR199" s="15" t="str">
        <f>TEXT($A199,"ddd")</f>
        <v>Sat</v>
      </c>
      <c r="BS199" s="547" t="str">
        <f>IF($A199=0,"",IF(WEEKDAY($A199,2)=7,"N","Y"))</f>
        <v/>
      </c>
      <c r="BT199" s="15">
        <f>IF(UPPER($BS199)="Y",$AB199,0)</f>
        <v>0</v>
      </c>
      <c r="CA199" s="2">
        <f>COUNTIF(INDEX('LINE PLAN'!$B$36:$GS$61,0,ROW()-3),CA$3)</f>
        <v>0</v>
      </c>
      <c r="CB199" s="2">
        <f>COUNTIF(INDEX('LINE PLAN'!$B$36:$GS$61,0,ROW()-3),CB$3)</f>
        <v>0</v>
      </c>
      <c r="CC199" s="2">
        <f>COUNTIF(INDEX('LINE PLAN'!$B$36:$GS$61,0,ROW()-3),CC$3)</f>
        <v>0</v>
      </c>
      <c r="CD199" s="2">
        <f>COUNTIF(INDEX('LINE PLAN'!$B$36:$GS$61,0,ROW()-3),CD$3)</f>
        <v>0</v>
      </c>
      <c r="CE199" s="2">
        <f>COUNTIF(INDEX('LINE PLAN'!$B$36:$GS$61,0,ROW()-3),CE$3)</f>
        <v>0</v>
      </c>
      <c r="CF199" s="2">
        <f>COUNTIF(INDEX('LINE PLAN'!$B$36:$GS$61,0,ROW()-3),CF$3)</f>
        <v>0</v>
      </c>
      <c r="CG199" s="2">
        <f>COUNTIF(INDEX('LINE PLAN'!$B$36:$GS$61,0,ROW()-3),CG$3)</f>
        <v>0</v>
      </c>
      <c r="CH199" s="2">
        <f>COUNTIF(INDEX('LINE PLAN'!$B$36:$GS$61,0,ROW()-3),CH$3)</f>
        <v>0</v>
      </c>
      <c r="CI199" s="2">
        <f>COUNTIF(INDEX('LINE PLAN'!$B$36:$GS$61,0,ROW()-3),CI$3)</f>
        <v>0</v>
      </c>
      <c r="CJ199" s="2">
        <f>COUNTIF(INDEX('LINE PLAN'!$B$36:$GS$61,0,ROW()-3),CJ$3)</f>
        <v>0</v>
      </c>
      <c r="CK199" s="2">
        <f>COUNTIF(INDEX('LINE PLAN'!$B$36:$GS$61,0,ROW()-3),CK$3)</f>
        <v>0</v>
      </c>
      <c r="CL199" s="2">
        <f>COUNTIF(INDEX('LINE PLAN'!$B$36:$GS$61,0,ROW()-3),CL$3)</f>
        <v>0</v>
      </c>
      <c r="CM199" s="2">
        <f>COUNTIF(INDEX('LINE PLAN'!$B$36:$GS$61,0,ROW()-3),CM$3)</f>
        <v>0</v>
      </c>
      <c r="CN199" s="2">
        <f>COUNTIF(INDEX('LINE PLAN'!$B$36:$GS$61,0,ROW()-3),CN$3)</f>
        <v>0</v>
      </c>
      <c r="CO199" s="2">
        <f>COUNTIF(INDEX('LINE PLAN'!$B$36:$GS$61,0,ROW()-3),CO$3)</f>
        <v>0</v>
      </c>
      <c r="CP199" s="2">
        <f>COUNTIF(INDEX('LINE PLAN'!$B$36:$GS$61,0,ROW()-3),CP$3)</f>
        <v>0</v>
      </c>
      <c r="CQ199" s="2">
        <f>COUNTIF(INDEX('LINE PLAN'!$B$36:$GS$61,0,ROW()-3),CQ$3)</f>
        <v>0</v>
      </c>
      <c r="CR199" s="2">
        <f>COUNTIF(INDEX('LINE PLAN'!$B$36:$GS$61,0,ROW()-3),CR$3)</f>
        <v>0</v>
      </c>
      <c r="CS199" s="2">
        <f>COUNTIF(INDEX('LINE PLAN'!$B$36:$GS$61,0,ROW()-3),CS$3)</f>
        <v>0</v>
      </c>
      <c r="CT199" s="2">
        <f>COUNTIF(INDEX('LINE PLAN'!$B$36:$GS$61,0,ROW()-3),CT$3)</f>
        <v>0</v>
      </c>
      <c r="CU199" s="2">
        <f>COUNTIF(INDEX('LINE PLAN'!$B$36:$GS$61,0,ROW()-3),CU$3)</f>
        <v>0</v>
      </c>
      <c r="CV199" s="2">
        <f>COUNTIF(INDEX('LINE PLAN'!$B$36:$GS$61,0,ROW()-3),CV$3)</f>
        <v>0</v>
      </c>
      <c r="CW199" s="2">
        <f>COUNTIF(INDEX('LINE PLAN'!$B$36:$GS$61,0,ROW()-3),CW$3)</f>
        <v>0</v>
      </c>
      <c r="CX199" s="2">
        <f>COUNTIF(INDEX('LINE PLAN'!$B$36:$GS$61,0,ROW()-3),CX$3)</f>
        <v>0</v>
      </c>
      <c r="CY199" s="2">
        <f>COUNTIF(INDEX('LINE PLAN'!$B$36:$GS$61,0,ROW()-3),CY$3)</f>
        <v>0</v>
      </c>
      <c r="CZ199" s="2">
        <f>COUNTIF(INDEX('LINE PLAN'!$B$36:$GS$61,0,ROW()-3),CZ$3)</f>
        <v>0</v>
      </c>
      <c r="DA199" s="2">
        <f>COUNTIF(INDEX('LINE PLAN'!$B$36:$GS$61,0,ROW()-3),DA$3)</f>
        <v>0</v>
      </c>
      <c r="DB199" s="2">
        <f>COUNTIF(INDEX('LINE PLAN'!$B$36:$GS$61,0,ROW()-3),DB$3)</f>
        <v>0</v>
      </c>
      <c r="DC199" s="2">
        <f>COUNTIF(INDEX('LINE PLAN'!$B$36:$GS$61,0,ROW()-3),DC$3)</f>
        <v>0</v>
      </c>
      <c r="DD199" s="2">
        <f>COUNTIF(INDEX('LINE PLAN'!$B$36:$GS$61,0,ROW()-3),DD$3)</f>
        <v>0</v>
      </c>
      <c r="DE199" s="2">
        <f>COUNTIF(INDEX('LINE PLAN'!$B$36:$GS$61,0,ROW()-3),DE$3)</f>
        <v>0</v>
      </c>
      <c r="DF199" s="2">
        <f>COUNTIF(INDEX('LINE PLAN'!$B$36:$GS$61,0,ROW()-3),DF$3)</f>
        <v>0</v>
      </c>
      <c r="DG199" s="2">
        <f>COUNTIF(INDEX('LINE PLAN'!$B$36:$GS$61,0,ROW()-3),DG$3)</f>
        <v>0</v>
      </c>
      <c r="DH199" s="2">
        <f>COUNTIF(INDEX('LINE PLAN'!$B$36:$GS$61,0,ROW()-3),DH$3)</f>
        <v>0</v>
      </c>
      <c r="DI199" s="2">
        <f>COUNTIF(INDEX('LINE PLAN'!$B$36:$GS$61,0,ROW()-3),DI$3)</f>
        <v>0</v>
      </c>
      <c r="DJ199" s="2">
        <f>COUNTIF(INDEX('LINE PLAN'!$B$36:$GS$61,0,ROW()-3),DJ$3)</f>
        <v>0</v>
      </c>
      <c r="DK199" s="2">
        <f>COUNTIF(INDEX('LINE PLAN'!$B$36:$GS$61,0,ROW()-3),DK$3)</f>
        <v>0</v>
      </c>
      <c r="DL199" s="2">
        <f>COUNTIF(INDEX('LINE PLAN'!$B$36:$GS$61,0,ROW()-3),DL$3)</f>
        <v>0</v>
      </c>
      <c r="DM199" s="2">
        <f>COUNTIF(INDEX('LINE PLAN'!$B$36:$GS$61,0,ROW()-3),DM$3)</f>
        <v>0</v>
      </c>
      <c r="DN199" s="2">
        <f>COUNTIF(INDEX('LINE PLAN'!$B$36:$GS$61,0,ROW()-3),DN$3)</f>
        <v>0</v>
      </c>
      <c r="DO199" s="2">
        <f>COUNTIF(INDEX('LINE PLAN'!$B$36:$GS$61,0,ROW()-3),DO$3)</f>
        <v>0</v>
      </c>
      <c r="DP199" s="2">
        <f>COUNTIF(INDEX('LINE PLAN'!$B$36:$GS$61,0,ROW()-3),DP$3)</f>
        <v>0</v>
      </c>
      <c r="DQ199" s="2">
        <f>COUNTIF(INDEX('LINE PLAN'!$B$36:$GS$61,0,ROW()-3),DQ$3)</f>
        <v>0</v>
      </c>
      <c r="DR199" s="2">
        <f>COUNTIF(INDEX('LINE PLAN'!$B$36:$GS$61,0,ROW()-3),DR$3)</f>
        <v>0</v>
      </c>
      <c r="DS199" s="2">
        <f>COUNTIF(INDEX('LINE PLAN'!$B$36:$GS$61,0,ROW()-3),DS$3)</f>
        <v>0</v>
      </c>
      <c r="DT199" s="2">
        <f>COUNTIF(INDEX('LINE PLAN'!$B$36:$GS$61,0,ROW()-3),DT$3)</f>
        <v>0</v>
      </c>
      <c r="DU199" s="2">
        <f>COUNTIF(INDEX('LINE PLAN'!$B$36:$GS$61,0,ROW()-3),DU$3)</f>
        <v>0</v>
      </c>
      <c r="DV199" s="2">
        <f>COUNTIF(INDEX('LINE PLAN'!$B$36:$GS$61,0,ROW()-3),DV$3)</f>
        <v>0</v>
      </c>
    </row>
    <row r="200" spans="1:126">
      <c r="A200" s="505" cm="1">
        <f t="array" ref="A200">INDEX('LINE PLAN'!$B$35:$GS$35,ROW()-3)</f>
        <v>0</v>
      </c>
      <c r="B200" s="2">
        <f>SUMPRODUCT($CA200:$DV200,INDEX('MC MAP'!$DA$5:$EV$30,1,0))</f>
        <v>0</v>
      </c>
      <c r="C200" s="2">
        <f>SUMPRODUCT($CA200:$DV200,INDEX('MC MAP'!$DA$5:$EV$30,2,0))</f>
        <v>0</v>
      </c>
      <c r="D200" s="2">
        <f>SUMPRODUCT($CA200:$DV200,INDEX('MC MAP'!$DA$5:$EV$30,3,0))</f>
        <v>0</v>
      </c>
      <c r="E200" s="2">
        <f>SUMPRODUCT($CA200:$DV200,INDEX('MC MAP'!$DA$5:$EV$30,4,0))</f>
        <v>0</v>
      </c>
      <c r="F200" s="2">
        <f>SUMPRODUCT($CA200:$DV200,INDEX('MC MAP'!$DA$5:$EV$30,5,0))</f>
        <v>0</v>
      </c>
      <c r="G200" s="2">
        <f>SUMPRODUCT($CA200:$DV200,INDEX('MC MAP'!$DA$5:$EV$30,6,0))</f>
        <v>0</v>
      </c>
      <c r="H200" s="2">
        <f>SUMPRODUCT($CA200:$DV200,INDEX('MC MAP'!$DA$5:$EV$30,7,0))</f>
        <v>0</v>
      </c>
      <c r="I200" s="2">
        <f>SUMPRODUCT($CA200:$DV200,INDEX('MC MAP'!$DA$5:$EV$30,8,0))</f>
        <v>0</v>
      </c>
      <c r="J200" s="2">
        <f>SUMPRODUCT($CA200:$DV200,INDEX('MC MAP'!$DA$5:$EV$30,9,0))</f>
        <v>0</v>
      </c>
      <c r="K200" s="2">
        <f>SUMPRODUCT($CA200:$DV200,INDEX('MC MAP'!$DA$5:$EV$30,10,0))</f>
        <v>0</v>
      </c>
      <c r="L200" s="2">
        <f>SUMPRODUCT($CA200:$DV200,INDEX('MC MAP'!$DA$5:$EV$30,11,0))</f>
        <v>0</v>
      </c>
      <c r="M200" s="2">
        <f>SUMPRODUCT($CA200:$DV200,INDEX('MC MAP'!$DA$5:$EV$30,12,0))</f>
        <v>0</v>
      </c>
      <c r="N200" s="2">
        <f>SUMPRODUCT($CA200:$DV200,INDEX('MC MAP'!$DA$5:$EV$30,13,0))</f>
        <v>0</v>
      </c>
      <c r="O200" s="2">
        <f>SUMPRODUCT($CA200:$DV200,INDEX('MC MAP'!$DA$5:$EV$30,14,0))</f>
        <v>0</v>
      </c>
      <c r="P200" s="2">
        <f>SUMPRODUCT($CA200:$DV200,INDEX('MC MAP'!$DA$5:$EV$30,15,0))</f>
        <v>0</v>
      </c>
      <c r="Q200" s="2">
        <f>SUMPRODUCT($CA200:$DV200,INDEX('MC MAP'!$DA$5:$EV$30,16,0))</f>
        <v>0</v>
      </c>
      <c r="R200" s="2">
        <f>SUMPRODUCT($CA200:$DV200,INDEX('MC MAP'!$DA$5:$EV$30,17,0))</f>
        <v>0</v>
      </c>
      <c r="S200" s="2">
        <f>SUMPRODUCT($CA200:$DV200,INDEX('MC MAP'!$DA$5:$EV$30,18,0))</f>
        <v>0</v>
      </c>
      <c r="T200" s="2">
        <f>SUMPRODUCT($CA200:$DV200,INDEX('MC MAP'!$DA$5:$EV$30,19,0))</f>
        <v>0</v>
      </c>
      <c r="U200" s="2">
        <f>SUMPRODUCT($CA200:$DV200,INDEX('MC MAP'!$DA$5:$EV$30,20,0))</f>
        <v>0</v>
      </c>
      <c r="V200" s="2">
        <f>SUMPRODUCT($CA200:$DV200,INDEX('MC MAP'!$DA$5:$EV$30,21,0))</f>
        <v>0</v>
      </c>
      <c r="W200" s="2">
        <f>SUMPRODUCT($CA200:$DV200,INDEX('MC MAP'!$DA$5:$EV$30,22,0))</f>
        <v>0</v>
      </c>
      <c r="X200" s="2">
        <f>SUMPRODUCT($CA200:$DV200,INDEX('MC MAP'!$DA$5:$EV$30,23,0))</f>
        <v>0</v>
      </c>
      <c r="Y200" s="2">
        <f>SUMPRODUCT($CA200:$DV200,INDEX('MC MAP'!$DA$5:$EV$30,24,0))</f>
        <v>0</v>
      </c>
      <c r="Z200" s="2">
        <f>SUMPRODUCT($CA200:$DV200,INDEX('MC MAP'!$DA$5:$EV$30,25,0))</f>
        <v>0</v>
      </c>
      <c r="AA200" s="2">
        <f>SUMPRODUCT($CA200:$DV200,INDEX('MC MAP'!$DA$5:$EV$30,26,0))</f>
        <v>0</v>
      </c>
      <c r="AB200" s="2">
        <f>SUM($B200:$AA200)</f>
        <v>0</v>
      </c>
      <c r="AC200" s="2">
        <f>SUM($CA200:$DV200)+$AW200</f>
        <v>0</v>
      </c>
      <c r="AW200" s="2">
        <f>IF($A200=0,0,COUNTIF(INDEX('LINE PLAN'!$B$36:$GS$61,0,ROW()-3),"THERMAL - NOT SPECIFIED"))</f>
        <v>0</v>
      </c>
      <c r="AX200" s="506" cm="1">
        <f t="array" ref="AX200">IF(OR($AB200=0,UPPER($BS200)&lt;&gt;"Y"),0,SUMPRODUCT(--($B200:$AA200&gt;$B$205:$AA$205)))</f>
        <v>0</v>
      </c>
      <c r="AY200" s="507">
        <f>$A200</f>
        <v>0</v>
      </c>
      <c r="AZ200" s="2">
        <f>$AB200</f>
        <v>0</v>
      </c>
      <c r="BA200" s="2">
        <f>'MC MASTER'!$C$29</f>
        <v>920</v>
      </c>
      <c r="BQ200" s="509">
        <f>$A200</f>
        <v>0</v>
      </c>
      <c r="BR200" s="15" t="str">
        <f>TEXT($A200,"ddd")</f>
        <v>Sat</v>
      </c>
      <c r="BS200" s="547" t="str">
        <f>IF($A200=0,"",IF(WEEKDAY($A200,2)=7,"N","Y"))</f>
        <v/>
      </c>
      <c r="BT200" s="15">
        <f>IF(UPPER($BS200)="Y",$AB200,0)</f>
        <v>0</v>
      </c>
      <c r="CA200" s="2">
        <f>COUNTIF(INDEX('LINE PLAN'!$B$36:$GS$61,0,ROW()-3),CA$3)</f>
        <v>0</v>
      </c>
      <c r="CB200" s="2">
        <f>COUNTIF(INDEX('LINE PLAN'!$B$36:$GS$61,0,ROW()-3),CB$3)</f>
        <v>0</v>
      </c>
      <c r="CC200" s="2">
        <f>COUNTIF(INDEX('LINE PLAN'!$B$36:$GS$61,0,ROW()-3),CC$3)</f>
        <v>0</v>
      </c>
      <c r="CD200" s="2">
        <f>COUNTIF(INDEX('LINE PLAN'!$B$36:$GS$61,0,ROW()-3),CD$3)</f>
        <v>0</v>
      </c>
      <c r="CE200" s="2">
        <f>COUNTIF(INDEX('LINE PLAN'!$B$36:$GS$61,0,ROW()-3),CE$3)</f>
        <v>0</v>
      </c>
      <c r="CF200" s="2">
        <f>COUNTIF(INDEX('LINE PLAN'!$B$36:$GS$61,0,ROW()-3),CF$3)</f>
        <v>0</v>
      </c>
      <c r="CG200" s="2">
        <f>COUNTIF(INDEX('LINE PLAN'!$B$36:$GS$61,0,ROW()-3),CG$3)</f>
        <v>0</v>
      </c>
      <c r="CH200" s="2">
        <f>COUNTIF(INDEX('LINE PLAN'!$B$36:$GS$61,0,ROW()-3),CH$3)</f>
        <v>0</v>
      </c>
      <c r="CI200" s="2">
        <f>COUNTIF(INDEX('LINE PLAN'!$B$36:$GS$61,0,ROW()-3),CI$3)</f>
        <v>0</v>
      </c>
      <c r="CJ200" s="2">
        <f>COUNTIF(INDEX('LINE PLAN'!$B$36:$GS$61,0,ROW()-3),CJ$3)</f>
        <v>0</v>
      </c>
      <c r="CK200" s="2">
        <f>COUNTIF(INDEX('LINE PLAN'!$B$36:$GS$61,0,ROW()-3),CK$3)</f>
        <v>0</v>
      </c>
      <c r="CL200" s="2">
        <f>COUNTIF(INDEX('LINE PLAN'!$B$36:$GS$61,0,ROW()-3),CL$3)</f>
        <v>0</v>
      </c>
      <c r="CM200" s="2">
        <f>COUNTIF(INDEX('LINE PLAN'!$B$36:$GS$61,0,ROW()-3),CM$3)</f>
        <v>0</v>
      </c>
      <c r="CN200" s="2">
        <f>COUNTIF(INDEX('LINE PLAN'!$B$36:$GS$61,0,ROW()-3),CN$3)</f>
        <v>0</v>
      </c>
      <c r="CO200" s="2">
        <f>COUNTIF(INDEX('LINE PLAN'!$B$36:$GS$61,0,ROW()-3),CO$3)</f>
        <v>0</v>
      </c>
      <c r="CP200" s="2">
        <f>COUNTIF(INDEX('LINE PLAN'!$B$36:$GS$61,0,ROW()-3),CP$3)</f>
        <v>0</v>
      </c>
      <c r="CQ200" s="2">
        <f>COUNTIF(INDEX('LINE PLAN'!$B$36:$GS$61,0,ROW()-3),CQ$3)</f>
        <v>0</v>
      </c>
      <c r="CR200" s="2">
        <f>COUNTIF(INDEX('LINE PLAN'!$B$36:$GS$61,0,ROW()-3),CR$3)</f>
        <v>0</v>
      </c>
      <c r="CS200" s="2">
        <f>COUNTIF(INDEX('LINE PLAN'!$B$36:$GS$61,0,ROW()-3),CS$3)</f>
        <v>0</v>
      </c>
      <c r="CT200" s="2">
        <f>COUNTIF(INDEX('LINE PLAN'!$B$36:$GS$61,0,ROW()-3),CT$3)</f>
        <v>0</v>
      </c>
      <c r="CU200" s="2">
        <f>COUNTIF(INDEX('LINE PLAN'!$B$36:$GS$61,0,ROW()-3),CU$3)</f>
        <v>0</v>
      </c>
      <c r="CV200" s="2">
        <f>COUNTIF(INDEX('LINE PLAN'!$B$36:$GS$61,0,ROW()-3),CV$3)</f>
        <v>0</v>
      </c>
      <c r="CW200" s="2">
        <f>COUNTIF(INDEX('LINE PLAN'!$B$36:$GS$61,0,ROW()-3),CW$3)</f>
        <v>0</v>
      </c>
      <c r="CX200" s="2">
        <f>COUNTIF(INDEX('LINE PLAN'!$B$36:$GS$61,0,ROW()-3),CX$3)</f>
        <v>0</v>
      </c>
      <c r="CY200" s="2">
        <f>COUNTIF(INDEX('LINE PLAN'!$B$36:$GS$61,0,ROW()-3),CY$3)</f>
        <v>0</v>
      </c>
      <c r="CZ200" s="2">
        <f>COUNTIF(INDEX('LINE PLAN'!$B$36:$GS$61,0,ROW()-3),CZ$3)</f>
        <v>0</v>
      </c>
      <c r="DA200" s="2">
        <f>COUNTIF(INDEX('LINE PLAN'!$B$36:$GS$61,0,ROW()-3),DA$3)</f>
        <v>0</v>
      </c>
      <c r="DB200" s="2">
        <f>COUNTIF(INDEX('LINE PLAN'!$B$36:$GS$61,0,ROW()-3),DB$3)</f>
        <v>0</v>
      </c>
      <c r="DC200" s="2">
        <f>COUNTIF(INDEX('LINE PLAN'!$B$36:$GS$61,0,ROW()-3),DC$3)</f>
        <v>0</v>
      </c>
      <c r="DD200" s="2">
        <f>COUNTIF(INDEX('LINE PLAN'!$B$36:$GS$61,0,ROW()-3),DD$3)</f>
        <v>0</v>
      </c>
      <c r="DE200" s="2">
        <f>COUNTIF(INDEX('LINE PLAN'!$B$36:$GS$61,0,ROW()-3),DE$3)</f>
        <v>0</v>
      </c>
      <c r="DF200" s="2">
        <f>COUNTIF(INDEX('LINE PLAN'!$B$36:$GS$61,0,ROW()-3),DF$3)</f>
        <v>0</v>
      </c>
      <c r="DG200" s="2">
        <f>COUNTIF(INDEX('LINE PLAN'!$B$36:$GS$61,0,ROW()-3),DG$3)</f>
        <v>0</v>
      </c>
      <c r="DH200" s="2">
        <f>COUNTIF(INDEX('LINE PLAN'!$B$36:$GS$61,0,ROW()-3),DH$3)</f>
        <v>0</v>
      </c>
      <c r="DI200" s="2">
        <f>COUNTIF(INDEX('LINE PLAN'!$B$36:$GS$61,0,ROW()-3),DI$3)</f>
        <v>0</v>
      </c>
      <c r="DJ200" s="2">
        <f>COUNTIF(INDEX('LINE PLAN'!$B$36:$GS$61,0,ROW()-3),DJ$3)</f>
        <v>0</v>
      </c>
      <c r="DK200" s="2">
        <f>COUNTIF(INDEX('LINE PLAN'!$B$36:$GS$61,0,ROW()-3),DK$3)</f>
        <v>0</v>
      </c>
      <c r="DL200" s="2">
        <f>COUNTIF(INDEX('LINE PLAN'!$B$36:$GS$61,0,ROW()-3),DL$3)</f>
        <v>0</v>
      </c>
      <c r="DM200" s="2">
        <f>COUNTIF(INDEX('LINE PLAN'!$B$36:$GS$61,0,ROW()-3),DM$3)</f>
        <v>0</v>
      </c>
      <c r="DN200" s="2">
        <f>COUNTIF(INDEX('LINE PLAN'!$B$36:$GS$61,0,ROW()-3),DN$3)</f>
        <v>0</v>
      </c>
      <c r="DO200" s="2">
        <f>COUNTIF(INDEX('LINE PLAN'!$B$36:$GS$61,0,ROW()-3),DO$3)</f>
        <v>0</v>
      </c>
      <c r="DP200" s="2">
        <f>COUNTIF(INDEX('LINE PLAN'!$B$36:$GS$61,0,ROW()-3),DP$3)</f>
        <v>0</v>
      </c>
      <c r="DQ200" s="2">
        <f>COUNTIF(INDEX('LINE PLAN'!$B$36:$GS$61,0,ROW()-3),DQ$3)</f>
        <v>0</v>
      </c>
      <c r="DR200" s="2">
        <f>COUNTIF(INDEX('LINE PLAN'!$B$36:$GS$61,0,ROW()-3),DR$3)</f>
        <v>0</v>
      </c>
      <c r="DS200" s="2">
        <f>COUNTIF(INDEX('LINE PLAN'!$B$36:$GS$61,0,ROW()-3),DS$3)</f>
        <v>0</v>
      </c>
      <c r="DT200" s="2">
        <f>COUNTIF(INDEX('LINE PLAN'!$B$36:$GS$61,0,ROW()-3),DT$3)</f>
        <v>0</v>
      </c>
      <c r="DU200" s="2">
        <f>COUNTIF(INDEX('LINE PLAN'!$B$36:$GS$61,0,ROW()-3),DU$3)</f>
        <v>0</v>
      </c>
      <c r="DV200" s="2">
        <f>COUNTIF(INDEX('LINE PLAN'!$B$36:$GS$61,0,ROW()-3),DV$3)</f>
        <v>0</v>
      </c>
    </row>
    <row r="201" spans="1:126">
      <c r="A201" s="505" cm="1">
        <f t="array" ref="A201">INDEX('LINE PLAN'!$B$35:$GS$35,ROW()-3)</f>
        <v>0</v>
      </c>
      <c r="B201" s="2">
        <f>SUMPRODUCT($CA201:$DV201,INDEX('MC MAP'!$DA$5:$EV$30,1,0))</f>
        <v>0</v>
      </c>
      <c r="C201" s="2">
        <f>SUMPRODUCT($CA201:$DV201,INDEX('MC MAP'!$DA$5:$EV$30,2,0))</f>
        <v>0</v>
      </c>
      <c r="D201" s="2">
        <f>SUMPRODUCT($CA201:$DV201,INDEX('MC MAP'!$DA$5:$EV$30,3,0))</f>
        <v>0</v>
      </c>
      <c r="E201" s="2">
        <f>SUMPRODUCT($CA201:$DV201,INDEX('MC MAP'!$DA$5:$EV$30,4,0))</f>
        <v>0</v>
      </c>
      <c r="F201" s="2">
        <f>SUMPRODUCT($CA201:$DV201,INDEX('MC MAP'!$DA$5:$EV$30,5,0))</f>
        <v>0</v>
      </c>
      <c r="G201" s="2">
        <f>SUMPRODUCT($CA201:$DV201,INDEX('MC MAP'!$DA$5:$EV$30,6,0))</f>
        <v>0</v>
      </c>
      <c r="H201" s="2">
        <f>SUMPRODUCT($CA201:$DV201,INDEX('MC MAP'!$DA$5:$EV$30,7,0))</f>
        <v>0</v>
      </c>
      <c r="I201" s="2">
        <f>SUMPRODUCT($CA201:$DV201,INDEX('MC MAP'!$DA$5:$EV$30,8,0))</f>
        <v>0</v>
      </c>
      <c r="J201" s="2">
        <f>SUMPRODUCT($CA201:$DV201,INDEX('MC MAP'!$DA$5:$EV$30,9,0))</f>
        <v>0</v>
      </c>
      <c r="K201" s="2">
        <f>SUMPRODUCT($CA201:$DV201,INDEX('MC MAP'!$DA$5:$EV$30,10,0))</f>
        <v>0</v>
      </c>
      <c r="L201" s="2">
        <f>SUMPRODUCT($CA201:$DV201,INDEX('MC MAP'!$DA$5:$EV$30,11,0))</f>
        <v>0</v>
      </c>
      <c r="M201" s="2">
        <f>SUMPRODUCT($CA201:$DV201,INDEX('MC MAP'!$DA$5:$EV$30,12,0))</f>
        <v>0</v>
      </c>
      <c r="N201" s="2">
        <f>SUMPRODUCT($CA201:$DV201,INDEX('MC MAP'!$DA$5:$EV$30,13,0))</f>
        <v>0</v>
      </c>
      <c r="O201" s="2">
        <f>SUMPRODUCT($CA201:$DV201,INDEX('MC MAP'!$DA$5:$EV$30,14,0))</f>
        <v>0</v>
      </c>
      <c r="P201" s="2">
        <f>SUMPRODUCT($CA201:$DV201,INDEX('MC MAP'!$DA$5:$EV$30,15,0))</f>
        <v>0</v>
      </c>
      <c r="Q201" s="2">
        <f>SUMPRODUCT($CA201:$DV201,INDEX('MC MAP'!$DA$5:$EV$30,16,0))</f>
        <v>0</v>
      </c>
      <c r="R201" s="2">
        <f>SUMPRODUCT($CA201:$DV201,INDEX('MC MAP'!$DA$5:$EV$30,17,0))</f>
        <v>0</v>
      </c>
      <c r="S201" s="2">
        <f>SUMPRODUCT($CA201:$DV201,INDEX('MC MAP'!$DA$5:$EV$30,18,0))</f>
        <v>0</v>
      </c>
      <c r="T201" s="2">
        <f>SUMPRODUCT($CA201:$DV201,INDEX('MC MAP'!$DA$5:$EV$30,19,0))</f>
        <v>0</v>
      </c>
      <c r="U201" s="2">
        <f>SUMPRODUCT($CA201:$DV201,INDEX('MC MAP'!$DA$5:$EV$30,20,0))</f>
        <v>0</v>
      </c>
      <c r="V201" s="2">
        <f>SUMPRODUCT($CA201:$DV201,INDEX('MC MAP'!$DA$5:$EV$30,21,0))</f>
        <v>0</v>
      </c>
      <c r="W201" s="2">
        <f>SUMPRODUCT($CA201:$DV201,INDEX('MC MAP'!$DA$5:$EV$30,22,0))</f>
        <v>0</v>
      </c>
      <c r="X201" s="2">
        <f>SUMPRODUCT($CA201:$DV201,INDEX('MC MAP'!$DA$5:$EV$30,23,0))</f>
        <v>0</v>
      </c>
      <c r="Y201" s="2">
        <f>SUMPRODUCT($CA201:$DV201,INDEX('MC MAP'!$DA$5:$EV$30,24,0))</f>
        <v>0</v>
      </c>
      <c r="Z201" s="2">
        <f>SUMPRODUCT($CA201:$DV201,INDEX('MC MAP'!$DA$5:$EV$30,25,0))</f>
        <v>0</v>
      </c>
      <c r="AA201" s="2">
        <f>SUMPRODUCT($CA201:$DV201,INDEX('MC MAP'!$DA$5:$EV$30,26,0))</f>
        <v>0</v>
      </c>
      <c r="AB201" s="2">
        <f>SUM($B201:$AA201)</f>
        <v>0</v>
      </c>
      <c r="AC201" s="2">
        <f>SUM($CA201:$DV201)+$AW201</f>
        <v>0</v>
      </c>
      <c r="AW201" s="2">
        <f>IF($A201=0,0,COUNTIF(INDEX('LINE PLAN'!$B$36:$GS$61,0,ROW()-3),"THERMAL - NOT SPECIFIED"))</f>
        <v>0</v>
      </c>
      <c r="AX201" s="506" cm="1">
        <f t="array" ref="AX201">IF(OR($AB201=0,UPPER($BS201)&lt;&gt;"Y"),0,SUMPRODUCT(--($B201:$AA201&gt;$B$205:$AA$205)))</f>
        <v>0</v>
      </c>
      <c r="AY201" s="507">
        <f>$A201</f>
        <v>0</v>
      </c>
      <c r="AZ201" s="2">
        <f>$AB201</f>
        <v>0</v>
      </c>
      <c r="BA201" s="2">
        <f>'MC MASTER'!$C$29</f>
        <v>920</v>
      </c>
      <c r="BQ201" s="509">
        <f>$A201</f>
        <v>0</v>
      </c>
      <c r="BR201" s="15" t="str">
        <f>TEXT($A201,"ddd")</f>
        <v>Sat</v>
      </c>
      <c r="BS201" s="547" t="str">
        <f>IF($A201=0,"",IF(WEEKDAY($A201,2)=7,"N","Y"))</f>
        <v/>
      </c>
      <c r="BT201" s="15">
        <f>IF(UPPER($BS201)="Y",$AB201,0)</f>
        <v>0</v>
      </c>
      <c r="CA201" s="2">
        <f>COUNTIF(INDEX('LINE PLAN'!$B$36:$GS$61,0,ROW()-3),CA$3)</f>
        <v>0</v>
      </c>
      <c r="CB201" s="2">
        <f>COUNTIF(INDEX('LINE PLAN'!$B$36:$GS$61,0,ROW()-3),CB$3)</f>
        <v>0</v>
      </c>
      <c r="CC201" s="2">
        <f>COUNTIF(INDEX('LINE PLAN'!$B$36:$GS$61,0,ROW()-3),CC$3)</f>
        <v>0</v>
      </c>
      <c r="CD201" s="2">
        <f>COUNTIF(INDEX('LINE PLAN'!$B$36:$GS$61,0,ROW()-3),CD$3)</f>
        <v>0</v>
      </c>
      <c r="CE201" s="2">
        <f>COUNTIF(INDEX('LINE PLAN'!$B$36:$GS$61,0,ROW()-3),CE$3)</f>
        <v>0</v>
      </c>
      <c r="CF201" s="2">
        <f>COUNTIF(INDEX('LINE PLAN'!$B$36:$GS$61,0,ROW()-3),CF$3)</f>
        <v>0</v>
      </c>
      <c r="CG201" s="2">
        <f>COUNTIF(INDEX('LINE PLAN'!$B$36:$GS$61,0,ROW()-3),CG$3)</f>
        <v>0</v>
      </c>
      <c r="CH201" s="2">
        <f>COUNTIF(INDEX('LINE PLAN'!$B$36:$GS$61,0,ROW()-3),CH$3)</f>
        <v>0</v>
      </c>
      <c r="CI201" s="2">
        <f>COUNTIF(INDEX('LINE PLAN'!$B$36:$GS$61,0,ROW()-3),CI$3)</f>
        <v>0</v>
      </c>
      <c r="CJ201" s="2">
        <f>COUNTIF(INDEX('LINE PLAN'!$B$36:$GS$61,0,ROW()-3),CJ$3)</f>
        <v>0</v>
      </c>
      <c r="CK201" s="2">
        <f>COUNTIF(INDEX('LINE PLAN'!$B$36:$GS$61,0,ROW()-3),CK$3)</f>
        <v>0</v>
      </c>
      <c r="CL201" s="2">
        <f>COUNTIF(INDEX('LINE PLAN'!$B$36:$GS$61,0,ROW()-3),CL$3)</f>
        <v>0</v>
      </c>
      <c r="CM201" s="2">
        <f>COUNTIF(INDEX('LINE PLAN'!$B$36:$GS$61,0,ROW()-3),CM$3)</f>
        <v>0</v>
      </c>
      <c r="CN201" s="2">
        <f>COUNTIF(INDEX('LINE PLAN'!$B$36:$GS$61,0,ROW()-3),CN$3)</f>
        <v>0</v>
      </c>
      <c r="CO201" s="2">
        <f>COUNTIF(INDEX('LINE PLAN'!$B$36:$GS$61,0,ROW()-3),CO$3)</f>
        <v>0</v>
      </c>
      <c r="CP201" s="2">
        <f>COUNTIF(INDEX('LINE PLAN'!$B$36:$GS$61,0,ROW()-3),CP$3)</f>
        <v>0</v>
      </c>
      <c r="CQ201" s="2">
        <f>COUNTIF(INDEX('LINE PLAN'!$B$36:$GS$61,0,ROW()-3),CQ$3)</f>
        <v>0</v>
      </c>
      <c r="CR201" s="2">
        <f>COUNTIF(INDEX('LINE PLAN'!$B$36:$GS$61,0,ROW()-3),CR$3)</f>
        <v>0</v>
      </c>
      <c r="CS201" s="2">
        <f>COUNTIF(INDEX('LINE PLAN'!$B$36:$GS$61,0,ROW()-3),CS$3)</f>
        <v>0</v>
      </c>
      <c r="CT201" s="2">
        <f>COUNTIF(INDEX('LINE PLAN'!$B$36:$GS$61,0,ROW()-3),CT$3)</f>
        <v>0</v>
      </c>
      <c r="CU201" s="2">
        <f>COUNTIF(INDEX('LINE PLAN'!$B$36:$GS$61,0,ROW()-3),CU$3)</f>
        <v>0</v>
      </c>
      <c r="CV201" s="2">
        <f>COUNTIF(INDEX('LINE PLAN'!$B$36:$GS$61,0,ROW()-3),CV$3)</f>
        <v>0</v>
      </c>
      <c r="CW201" s="2">
        <f>COUNTIF(INDEX('LINE PLAN'!$B$36:$GS$61,0,ROW()-3),CW$3)</f>
        <v>0</v>
      </c>
      <c r="CX201" s="2">
        <f>COUNTIF(INDEX('LINE PLAN'!$B$36:$GS$61,0,ROW()-3),CX$3)</f>
        <v>0</v>
      </c>
      <c r="CY201" s="2">
        <f>COUNTIF(INDEX('LINE PLAN'!$B$36:$GS$61,0,ROW()-3),CY$3)</f>
        <v>0</v>
      </c>
      <c r="CZ201" s="2">
        <f>COUNTIF(INDEX('LINE PLAN'!$B$36:$GS$61,0,ROW()-3),CZ$3)</f>
        <v>0</v>
      </c>
      <c r="DA201" s="2">
        <f>COUNTIF(INDEX('LINE PLAN'!$B$36:$GS$61,0,ROW()-3),DA$3)</f>
        <v>0</v>
      </c>
      <c r="DB201" s="2">
        <f>COUNTIF(INDEX('LINE PLAN'!$B$36:$GS$61,0,ROW()-3),DB$3)</f>
        <v>0</v>
      </c>
      <c r="DC201" s="2">
        <f>COUNTIF(INDEX('LINE PLAN'!$B$36:$GS$61,0,ROW()-3),DC$3)</f>
        <v>0</v>
      </c>
      <c r="DD201" s="2">
        <f>COUNTIF(INDEX('LINE PLAN'!$B$36:$GS$61,0,ROW()-3),DD$3)</f>
        <v>0</v>
      </c>
      <c r="DE201" s="2">
        <f>COUNTIF(INDEX('LINE PLAN'!$B$36:$GS$61,0,ROW()-3),DE$3)</f>
        <v>0</v>
      </c>
      <c r="DF201" s="2">
        <f>COUNTIF(INDEX('LINE PLAN'!$B$36:$GS$61,0,ROW()-3),DF$3)</f>
        <v>0</v>
      </c>
      <c r="DG201" s="2">
        <f>COUNTIF(INDEX('LINE PLAN'!$B$36:$GS$61,0,ROW()-3),DG$3)</f>
        <v>0</v>
      </c>
      <c r="DH201" s="2">
        <f>COUNTIF(INDEX('LINE PLAN'!$B$36:$GS$61,0,ROW()-3),DH$3)</f>
        <v>0</v>
      </c>
      <c r="DI201" s="2">
        <f>COUNTIF(INDEX('LINE PLAN'!$B$36:$GS$61,0,ROW()-3),DI$3)</f>
        <v>0</v>
      </c>
      <c r="DJ201" s="2">
        <f>COUNTIF(INDEX('LINE PLAN'!$B$36:$GS$61,0,ROW()-3),DJ$3)</f>
        <v>0</v>
      </c>
      <c r="DK201" s="2">
        <f>COUNTIF(INDEX('LINE PLAN'!$B$36:$GS$61,0,ROW()-3),DK$3)</f>
        <v>0</v>
      </c>
      <c r="DL201" s="2">
        <f>COUNTIF(INDEX('LINE PLAN'!$B$36:$GS$61,0,ROW()-3),DL$3)</f>
        <v>0</v>
      </c>
      <c r="DM201" s="2">
        <f>COUNTIF(INDEX('LINE PLAN'!$B$36:$GS$61,0,ROW()-3),DM$3)</f>
        <v>0</v>
      </c>
      <c r="DN201" s="2">
        <f>COUNTIF(INDEX('LINE PLAN'!$B$36:$GS$61,0,ROW()-3),DN$3)</f>
        <v>0</v>
      </c>
      <c r="DO201" s="2">
        <f>COUNTIF(INDEX('LINE PLAN'!$B$36:$GS$61,0,ROW()-3),DO$3)</f>
        <v>0</v>
      </c>
      <c r="DP201" s="2">
        <f>COUNTIF(INDEX('LINE PLAN'!$B$36:$GS$61,0,ROW()-3),DP$3)</f>
        <v>0</v>
      </c>
      <c r="DQ201" s="2">
        <f>COUNTIF(INDEX('LINE PLAN'!$B$36:$GS$61,0,ROW()-3),DQ$3)</f>
        <v>0</v>
      </c>
      <c r="DR201" s="2">
        <f>COUNTIF(INDEX('LINE PLAN'!$B$36:$GS$61,0,ROW()-3),DR$3)</f>
        <v>0</v>
      </c>
      <c r="DS201" s="2">
        <f>COUNTIF(INDEX('LINE PLAN'!$B$36:$GS$61,0,ROW()-3),DS$3)</f>
        <v>0</v>
      </c>
      <c r="DT201" s="2">
        <f>COUNTIF(INDEX('LINE PLAN'!$B$36:$GS$61,0,ROW()-3),DT$3)</f>
        <v>0</v>
      </c>
      <c r="DU201" s="2">
        <f>COUNTIF(INDEX('LINE PLAN'!$B$36:$GS$61,0,ROW()-3),DU$3)</f>
        <v>0</v>
      </c>
      <c r="DV201" s="2">
        <f>COUNTIF(INDEX('LINE PLAN'!$B$36:$GS$61,0,ROW()-3),DV$3)</f>
        <v>0</v>
      </c>
    </row>
    <row r="202" spans="1:126">
      <c r="A202" s="505" cm="1">
        <f t="array" ref="A202">INDEX('LINE PLAN'!$B$35:$GS$35,ROW()-3)</f>
        <v>0</v>
      </c>
      <c r="B202" s="2">
        <f>SUMPRODUCT($CA202:$DV202,INDEX('MC MAP'!$DA$5:$EV$30,1,0))</f>
        <v>0</v>
      </c>
      <c r="C202" s="2">
        <f>SUMPRODUCT($CA202:$DV202,INDEX('MC MAP'!$DA$5:$EV$30,2,0))</f>
        <v>0</v>
      </c>
      <c r="D202" s="2">
        <f>SUMPRODUCT($CA202:$DV202,INDEX('MC MAP'!$DA$5:$EV$30,3,0))</f>
        <v>0</v>
      </c>
      <c r="E202" s="2">
        <f>SUMPRODUCT($CA202:$DV202,INDEX('MC MAP'!$DA$5:$EV$30,4,0))</f>
        <v>0</v>
      </c>
      <c r="F202" s="2">
        <f>SUMPRODUCT($CA202:$DV202,INDEX('MC MAP'!$DA$5:$EV$30,5,0))</f>
        <v>0</v>
      </c>
      <c r="G202" s="2">
        <f>SUMPRODUCT($CA202:$DV202,INDEX('MC MAP'!$DA$5:$EV$30,6,0))</f>
        <v>0</v>
      </c>
      <c r="H202" s="2">
        <f>SUMPRODUCT($CA202:$DV202,INDEX('MC MAP'!$DA$5:$EV$30,7,0))</f>
        <v>0</v>
      </c>
      <c r="I202" s="2">
        <f>SUMPRODUCT($CA202:$DV202,INDEX('MC MAP'!$DA$5:$EV$30,8,0))</f>
        <v>0</v>
      </c>
      <c r="J202" s="2">
        <f>SUMPRODUCT($CA202:$DV202,INDEX('MC MAP'!$DA$5:$EV$30,9,0))</f>
        <v>0</v>
      </c>
      <c r="K202" s="2">
        <f>SUMPRODUCT($CA202:$DV202,INDEX('MC MAP'!$DA$5:$EV$30,10,0))</f>
        <v>0</v>
      </c>
      <c r="L202" s="2">
        <f>SUMPRODUCT($CA202:$DV202,INDEX('MC MAP'!$DA$5:$EV$30,11,0))</f>
        <v>0</v>
      </c>
      <c r="M202" s="2">
        <f>SUMPRODUCT($CA202:$DV202,INDEX('MC MAP'!$DA$5:$EV$30,12,0))</f>
        <v>0</v>
      </c>
      <c r="N202" s="2">
        <f>SUMPRODUCT($CA202:$DV202,INDEX('MC MAP'!$DA$5:$EV$30,13,0))</f>
        <v>0</v>
      </c>
      <c r="O202" s="2">
        <f>SUMPRODUCT($CA202:$DV202,INDEX('MC MAP'!$DA$5:$EV$30,14,0))</f>
        <v>0</v>
      </c>
      <c r="P202" s="2">
        <f>SUMPRODUCT($CA202:$DV202,INDEX('MC MAP'!$DA$5:$EV$30,15,0))</f>
        <v>0</v>
      </c>
      <c r="Q202" s="2">
        <f>SUMPRODUCT($CA202:$DV202,INDEX('MC MAP'!$DA$5:$EV$30,16,0))</f>
        <v>0</v>
      </c>
      <c r="R202" s="2">
        <f>SUMPRODUCT($CA202:$DV202,INDEX('MC MAP'!$DA$5:$EV$30,17,0))</f>
        <v>0</v>
      </c>
      <c r="S202" s="2">
        <f>SUMPRODUCT($CA202:$DV202,INDEX('MC MAP'!$DA$5:$EV$30,18,0))</f>
        <v>0</v>
      </c>
      <c r="T202" s="2">
        <f>SUMPRODUCT($CA202:$DV202,INDEX('MC MAP'!$DA$5:$EV$30,19,0))</f>
        <v>0</v>
      </c>
      <c r="U202" s="2">
        <f>SUMPRODUCT($CA202:$DV202,INDEX('MC MAP'!$DA$5:$EV$30,20,0))</f>
        <v>0</v>
      </c>
      <c r="V202" s="2">
        <f>SUMPRODUCT($CA202:$DV202,INDEX('MC MAP'!$DA$5:$EV$30,21,0))</f>
        <v>0</v>
      </c>
      <c r="W202" s="2">
        <f>SUMPRODUCT($CA202:$DV202,INDEX('MC MAP'!$DA$5:$EV$30,22,0))</f>
        <v>0</v>
      </c>
      <c r="X202" s="2">
        <f>SUMPRODUCT($CA202:$DV202,INDEX('MC MAP'!$DA$5:$EV$30,23,0))</f>
        <v>0</v>
      </c>
      <c r="Y202" s="2">
        <f>SUMPRODUCT($CA202:$DV202,INDEX('MC MAP'!$DA$5:$EV$30,24,0))</f>
        <v>0</v>
      </c>
      <c r="Z202" s="2">
        <f>SUMPRODUCT($CA202:$DV202,INDEX('MC MAP'!$DA$5:$EV$30,25,0))</f>
        <v>0</v>
      </c>
      <c r="AA202" s="2">
        <f>SUMPRODUCT($CA202:$DV202,INDEX('MC MAP'!$DA$5:$EV$30,26,0))</f>
        <v>0</v>
      </c>
      <c r="AB202" s="2">
        <f>SUM($B202:$AA202)</f>
        <v>0</v>
      </c>
      <c r="AC202" s="2">
        <f>SUM($CA202:$DV202)+$AW202</f>
        <v>0</v>
      </c>
      <c r="AW202" s="2">
        <f>IF($A202=0,0,COUNTIF(INDEX('LINE PLAN'!$B$36:$GS$61,0,ROW()-3),"THERMAL - NOT SPECIFIED"))</f>
        <v>0</v>
      </c>
      <c r="AX202" s="506" cm="1">
        <f t="array" ref="AX202">IF(OR($AB202=0,UPPER($BS202)&lt;&gt;"Y"),0,SUMPRODUCT(--($B202:$AA202&gt;$B$205:$AA$205)))</f>
        <v>0</v>
      </c>
      <c r="AY202" s="507">
        <f>$A202</f>
        <v>0</v>
      </c>
      <c r="AZ202" s="2">
        <f>$AB202</f>
        <v>0</v>
      </c>
      <c r="BA202" s="2">
        <f>'MC MASTER'!$C$29</f>
        <v>920</v>
      </c>
      <c r="BQ202" s="509">
        <f>$A202</f>
        <v>0</v>
      </c>
      <c r="BR202" s="15" t="str">
        <f>TEXT($A202,"ddd")</f>
        <v>Sat</v>
      </c>
      <c r="BS202" s="547" t="str">
        <f>IF($A202=0,"",IF(WEEKDAY($A202,2)=7,"N","Y"))</f>
        <v/>
      </c>
      <c r="BT202" s="15">
        <f>IF(UPPER($BS202)="Y",$AB202,0)</f>
        <v>0</v>
      </c>
      <c r="CA202" s="2">
        <f>COUNTIF(INDEX('LINE PLAN'!$B$36:$GS$61,0,ROW()-3),CA$3)</f>
        <v>0</v>
      </c>
      <c r="CB202" s="2">
        <f>COUNTIF(INDEX('LINE PLAN'!$B$36:$GS$61,0,ROW()-3),CB$3)</f>
        <v>0</v>
      </c>
      <c r="CC202" s="2">
        <f>COUNTIF(INDEX('LINE PLAN'!$B$36:$GS$61,0,ROW()-3),CC$3)</f>
        <v>0</v>
      </c>
      <c r="CD202" s="2">
        <f>COUNTIF(INDEX('LINE PLAN'!$B$36:$GS$61,0,ROW()-3),CD$3)</f>
        <v>0</v>
      </c>
      <c r="CE202" s="2">
        <f>COUNTIF(INDEX('LINE PLAN'!$B$36:$GS$61,0,ROW()-3),CE$3)</f>
        <v>0</v>
      </c>
      <c r="CF202" s="2">
        <f>COUNTIF(INDEX('LINE PLAN'!$B$36:$GS$61,0,ROW()-3),CF$3)</f>
        <v>0</v>
      </c>
      <c r="CG202" s="2">
        <f>COUNTIF(INDEX('LINE PLAN'!$B$36:$GS$61,0,ROW()-3),CG$3)</f>
        <v>0</v>
      </c>
      <c r="CH202" s="2">
        <f>COUNTIF(INDEX('LINE PLAN'!$B$36:$GS$61,0,ROW()-3),CH$3)</f>
        <v>0</v>
      </c>
      <c r="CI202" s="2">
        <f>COUNTIF(INDEX('LINE PLAN'!$B$36:$GS$61,0,ROW()-3),CI$3)</f>
        <v>0</v>
      </c>
      <c r="CJ202" s="2">
        <f>COUNTIF(INDEX('LINE PLAN'!$B$36:$GS$61,0,ROW()-3),CJ$3)</f>
        <v>0</v>
      </c>
      <c r="CK202" s="2">
        <f>COUNTIF(INDEX('LINE PLAN'!$B$36:$GS$61,0,ROW()-3),CK$3)</f>
        <v>0</v>
      </c>
      <c r="CL202" s="2">
        <f>COUNTIF(INDEX('LINE PLAN'!$B$36:$GS$61,0,ROW()-3),CL$3)</f>
        <v>0</v>
      </c>
      <c r="CM202" s="2">
        <f>COUNTIF(INDEX('LINE PLAN'!$B$36:$GS$61,0,ROW()-3),CM$3)</f>
        <v>0</v>
      </c>
      <c r="CN202" s="2">
        <f>COUNTIF(INDEX('LINE PLAN'!$B$36:$GS$61,0,ROW()-3),CN$3)</f>
        <v>0</v>
      </c>
      <c r="CO202" s="2">
        <f>COUNTIF(INDEX('LINE PLAN'!$B$36:$GS$61,0,ROW()-3),CO$3)</f>
        <v>0</v>
      </c>
      <c r="CP202" s="2">
        <f>COUNTIF(INDEX('LINE PLAN'!$B$36:$GS$61,0,ROW()-3),CP$3)</f>
        <v>0</v>
      </c>
      <c r="CQ202" s="2">
        <f>COUNTIF(INDEX('LINE PLAN'!$B$36:$GS$61,0,ROW()-3),CQ$3)</f>
        <v>0</v>
      </c>
      <c r="CR202" s="2">
        <f>COUNTIF(INDEX('LINE PLAN'!$B$36:$GS$61,0,ROW()-3),CR$3)</f>
        <v>0</v>
      </c>
      <c r="CS202" s="2">
        <f>COUNTIF(INDEX('LINE PLAN'!$B$36:$GS$61,0,ROW()-3),CS$3)</f>
        <v>0</v>
      </c>
      <c r="CT202" s="2">
        <f>COUNTIF(INDEX('LINE PLAN'!$B$36:$GS$61,0,ROW()-3),CT$3)</f>
        <v>0</v>
      </c>
      <c r="CU202" s="2">
        <f>COUNTIF(INDEX('LINE PLAN'!$B$36:$GS$61,0,ROW()-3),CU$3)</f>
        <v>0</v>
      </c>
      <c r="CV202" s="2">
        <f>COUNTIF(INDEX('LINE PLAN'!$B$36:$GS$61,0,ROW()-3),CV$3)</f>
        <v>0</v>
      </c>
      <c r="CW202" s="2">
        <f>COUNTIF(INDEX('LINE PLAN'!$B$36:$GS$61,0,ROW()-3),CW$3)</f>
        <v>0</v>
      </c>
      <c r="CX202" s="2">
        <f>COUNTIF(INDEX('LINE PLAN'!$B$36:$GS$61,0,ROW()-3),CX$3)</f>
        <v>0</v>
      </c>
      <c r="CY202" s="2">
        <f>COUNTIF(INDEX('LINE PLAN'!$B$36:$GS$61,0,ROW()-3),CY$3)</f>
        <v>0</v>
      </c>
      <c r="CZ202" s="2">
        <f>COUNTIF(INDEX('LINE PLAN'!$B$36:$GS$61,0,ROW()-3),CZ$3)</f>
        <v>0</v>
      </c>
      <c r="DA202" s="2">
        <f>COUNTIF(INDEX('LINE PLAN'!$B$36:$GS$61,0,ROW()-3),DA$3)</f>
        <v>0</v>
      </c>
      <c r="DB202" s="2">
        <f>COUNTIF(INDEX('LINE PLAN'!$B$36:$GS$61,0,ROW()-3),DB$3)</f>
        <v>0</v>
      </c>
      <c r="DC202" s="2">
        <f>COUNTIF(INDEX('LINE PLAN'!$B$36:$GS$61,0,ROW()-3),DC$3)</f>
        <v>0</v>
      </c>
      <c r="DD202" s="2">
        <f>COUNTIF(INDEX('LINE PLAN'!$B$36:$GS$61,0,ROW()-3),DD$3)</f>
        <v>0</v>
      </c>
      <c r="DE202" s="2">
        <f>COUNTIF(INDEX('LINE PLAN'!$B$36:$GS$61,0,ROW()-3),DE$3)</f>
        <v>0</v>
      </c>
      <c r="DF202" s="2">
        <f>COUNTIF(INDEX('LINE PLAN'!$B$36:$GS$61,0,ROW()-3),DF$3)</f>
        <v>0</v>
      </c>
      <c r="DG202" s="2">
        <f>COUNTIF(INDEX('LINE PLAN'!$B$36:$GS$61,0,ROW()-3),DG$3)</f>
        <v>0</v>
      </c>
      <c r="DH202" s="2">
        <f>COUNTIF(INDEX('LINE PLAN'!$B$36:$GS$61,0,ROW()-3),DH$3)</f>
        <v>0</v>
      </c>
      <c r="DI202" s="2">
        <f>COUNTIF(INDEX('LINE PLAN'!$B$36:$GS$61,0,ROW()-3),DI$3)</f>
        <v>0</v>
      </c>
      <c r="DJ202" s="2">
        <f>COUNTIF(INDEX('LINE PLAN'!$B$36:$GS$61,0,ROW()-3),DJ$3)</f>
        <v>0</v>
      </c>
      <c r="DK202" s="2">
        <f>COUNTIF(INDEX('LINE PLAN'!$B$36:$GS$61,0,ROW()-3),DK$3)</f>
        <v>0</v>
      </c>
      <c r="DL202" s="2">
        <f>COUNTIF(INDEX('LINE PLAN'!$B$36:$GS$61,0,ROW()-3),DL$3)</f>
        <v>0</v>
      </c>
      <c r="DM202" s="2">
        <f>COUNTIF(INDEX('LINE PLAN'!$B$36:$GS$61,0,ROW()-3),DM$3)</f>
        <v>0</v>
      </c>
      <c r="DN202" s="2">
        <f>COUNTIF(INDEX('LINE PLAN'!$B$36:$GS$61,0,ROW()-3),DN$3)</f>
        <v>0</v>
      </c>
      <c r="DO202" s="2">
        <f>COUNTIF(INDEX('LINE PLAN'!$B$36:$GS$61,0,ROW()-3),DO$3)</f>
        <v>0</v>
      </c>
      <c r="DP202" s="2">
        <f>COUNTIF(INDEX('LINE PLAN'!$B$36:$GS$61,0,ROW()-3),DP$3)</f>
        <v>0</v>
      </c>
      <c r="DQ202" s="2">
        <f>COUNTIF(INDEX('LINE PLAN'!$B$36:$GS$61,0,ROW()-3),DQ$3)</f>
        <v>0</v>
      </c>
      <c r="DR202" s="2">
        <f>COUNTIF(INDEX('LINE PLAN'!$B$36:$GS$61,0,ROW()-3),DR$3)</f>
        <v>0</v>
      </c>
      <c r="DS202" s="2">
        <f>COUNTIF(INDEX('LINE PLAN'!$B$36:$GS$61,0,ROW()-3),DS$3)</f>
        <v>0</v>
      </c>
      <c r="DT202" s="2">
        <f>COUNTIF(INDEX('LINE PLAN'!$B$36:$GS$61,0,ROW()-3),DT$3)</f>
        <v>0</v>
      </c>
      <c r="DU202" s="2">
        <f>COUNTIF(INDEX('LINE PLAN'!$B$36:$GS$61,0,ROW()-3),DU$3)</f>
        <v>0</v>
      </c>
      <c r="DV202" s="2">
        <f>COUNTIF(INDEX('LINE PLAN'!$B$36:$GS$61,0,ROW()-3),DV$3)</f>
        <v>0</v>
      </c>
    </row>
    <row r="203" spans="1:126">
      <c r="A203" s="505" cm="1">
        <f t="array" ref="A203">INDEX('LINE PLAN'!$B$35:$GS$35,ROW()-3)</f>
        <v>0</v>
      </c>
      <c r="B203" s="2">
        <f>SUMPRODUCT($CA203:$DV203,INDEX('MC MAP'!$DA$5:$EV$30,1,0))</f>
        <v>0</v>
      </c>
      <c r="C203" s="2">
        <f>SUMPRODUCT($CA203:$DV203,INDEX('MC MAP'!$DA$5:$EV$30,2,0))</f>
        <v>0</v>
      </c>
      <c r="D203" s="2">
        <f>SUMPRODUCT($CA203:$DV203,INDEX('MC MAP'!$DA$5:$EV$30,3,0))</f>
        <v>0</v>
      </c>
      <c r="E203" s="2">
        <f>SUMPRODUCT($CA203:$DV203,INDEX('MC MAP'!$DA$5:$EV$30,4,0))</f>
        <v>0</v>
      </c>
      <c r="F203" s="2">
        <f>SUMPRODUCT($CA203:$DV203,INDEX('MC MAP'!$DA$5:$EV$30,5,0))</f>
        <v>0</v>
      </c>
      <c r="G203" s="2">
        <f>SUMPRODUCT($CA203:$DV203,INDEX('MC MAP'!$DA$5:$EV$30,6,0))</f>
        <v>0</v>
      </c>
      <c r="H203" s="2">
        <f>SUMPRODUCT($CA203:$DV203,INDEX('MC MAP'!$DA$5:$EV$30,7,0))</f>
        <v>0</v>
      </c>
      <c r="I203" s="2">
        <f>SUMPRODUCT($CA203:$DV203,INDEX('MC MAP'!$DA$5:$EV$30,8,0))</f>
        <v>0</v>
      </c>
      <c r="J203" s="2">
        <f>SUMPRODUCT($CA203:$DV203,INDEX('MC MAP'!$DA$5:$EV$30,9,0))</f>
        <v>0</v>
      </c>
      <c r="K203" s="2">
        <f>SUMPRODUCT($CA203:$DV203,INDEX('MC MAP'!$DA$5:$EV$30,10,0))</f>
        <v>0</v>
      </c>
      <c r="L203" s="2">
        <f>SUMPRODUCT($CA203:$DV203,INDEX('MC MAP'!$DA$5:$EV$30,11,0))</f>
        <v>0</v>
      </c>
      <c r="M203" s="2">
        <f>SUMPRODUCT($CA203:$DV203,INDEX('MC MAP'!$DA$5:$EV$30,12,0))</f>
        <v>0</v>
      </c>
      <c r="N203" s="2">
        <f>SUMPRODUCT($CA203:$DV203,INDEX('MC MAP'!$DA$5:$EV$30,13,0))</f>
        <v>0</v>
      </c>
      <c r="O203" s="2">
        <f>SUMPRODUCT($CA203:$DV203,INDEX('MC MAP'!$DA$5:$EV$30,14,0))</f>
        <v>0</v>
      </c>
      <c r="P203" s="2">
        <f>SUMPRODUCT($CA203:$DV203,INDEX('MC MAP'!$DA$5:$EV$30,15,0))</f>
        <v>0</v>
      </c>
      <c r="Q203" s="2">
        <f>SUMPRODUCT($CA203:$DV203,INDEX('MC MAP'!$DA$5:$EV$30,16,0))</f>
        <v>0</v>
      </c>
      <c r="R203" s="2">
        <f>SUMPRODUCT($CA203:$DV203,INDEX('MC MAP'!$DA$5:$EV$30,17,0))</f>
        <v>0</v>
      </c>
      <c r="S203" s="2">
        <f>SUMPRODUCT($CA203:$DV203,INDEX('MC MAP'!$DA$5:$EV$30,18,0))</f>
        <v>0</v>
      </c>
      <c r="T203" s="2">
        <f>SUMPRODUCT($CA203:$DV203,INDEX('MC MAP'!$DA$5:$EV$30,19,0))</f>
        <v>0</v>
      </c>
      <c r="U203" s="2">
        <f>SUMPRODUCT($CA203:$DV203,INDEX('MC MAP'!$DA$5:$EV$30,20,0))</f>
        <v>0</v>
      </c>
      <c r="V203" s="2">
        <f>SUMPRODUCT($CA203:$DV203,INDEX('MC MAP'!$DA$5:$EV$30,21,0))</f>
        <v>0</v>
      </c>
      <c r="W203" s="2">
        <f>SUMPRODUCT($CA203:$DV203,INDEX('MC MAP'!$DA$5:$EV$30,22,0))</f>
        <v>0</v>
      </c>
      <c r="X203" s="2">
        <f>SUMPRODUCT($CA203:$DV203,INDEX('MC MAP'!$DA$5:$EV$30,23,0))</f>
        <v>0</v>
      </c>
      <c r="Y203" s="2">
        <f>SUMPRODUCT($CA203:$DV203,INDEX('MC MAP'!$DA$5:$EV$30,24,0))</f>
        <v>0</v>
      </c>
      <c r="Z203" s="2">
        <f>SUMPRODUCT($CA203:$DV203,INDEX('MC MAP'!$DA$5:$EV$30,25,0))</f>
        <v>0</v>
      </c>
      <c r="AA203" s="2">
        <f>SUMPRODUCT($CA203:$DV203,INDEX('MC MAP'!$DA$5:$EV$30,26,0))</f>
        <v>0</v>
      </c>
      <c r="AB203" s="2">
        <f>SUM($B203:$AA203)</f>
        <v>0</v>
      </c>
      <c r="AC203" s="2">
        <f>SUM($CA203:$DV203)+$AW203</f>
        <v>0</v>
      </c>
      <c r="AW203" s="2">
        <f>IF($A203=0,0,COUNTIF(INDEX('LINE PLAN'!$B$36:$GS$61,0,ROW()-3),"THERMAL - NOT SPECIFIED"))</f>
        <v>0</v>
      </c>
      <c r="AX203" s="506" cm="1">
        <f t="array" ref="AX203">IF(OR($AB203=0,UPPER($BS203)&lt;&gt;"Y"),0,SUMPRODUCT(--($B203:$AA203&gt;$B$205:$AA$205)))</f>
        <v>0</v>
      </c>
      <c r="AY203" s="507">
        <f>$A203</f>
        <v>0</v>
      </c>
      <c r="AZ203" s="2">
        <f>$AB203</f>
        <v>0</v>
      </c>
      <c r="BA203" s="2">
        <f>'MC MASTER'!$C$29</f>
        <v>920</v>
      </c>
      <c r="BQ203" s="509">
        <f>$A203</f>
        <v>0</v>
      </c>
      <c r="BR203" s="15" t="str">
        <f>TEXT($A203,"ddd")</f>
        <v>Sat</v>
      </c>
      <c r="BS203" s="547" t="str">
        <f>IF($A203=0,"",IF(WEEKDAY($A203,2)=7,"N","Y"))</f>
        <v/>
      </c>
      <c r="BT203" s="15">
        <f>IF(UPPER($BS203)="Y",$AB203,0)</f>
        <v>0</v>
      </c>
      <c r="CA203" s="2">
        <f>COUNTIF(INDEX('LINE PLAN'!$B$36:$GS$61,0,ROW()-3),CA$3)</f>
        <v>0</v>
      </c>
      <c r="CB203" s="2">
        <f>COUNTIF(INDEX('LINE PLAN'!$B$36:$GS$61,0,ROW()-3),CB$3)</f>
        <v>0</v>
      </c>
      <c r="CC203" s="2">
        <f>COUNTIF(INDEX('LINE PLAN'!$B$36:$GS$61,0,ROW()-3),CC$3)</f>
        <v>0</v>
      </c>
      <c r="CD203" s="2">
        <f>COUNTIF(INDEX('LINE PLAN'!$B$36:$GS$61,0,ROW()-3),CD$3)</f>
        <v>0</v>
      </c>
      <c r="CE203" s="2">
        <f>COUNTIF(INDEX('LINE PLAN'!$B$36:$GS$61,0,ROW()-3),CE$3)</f>
        <v>0</v>
      </c>
      <c r="CF203" s="2">
        <f>COUNTIF(INDEX('LINE PLAN'!$B$36:$GS$61,0,ROW()-3),CF$3)</f>
        <v>0</v>
      </c>
      <c r="CG203" s="2">
        <f>COUNTIF(INDEX('LINE PLAN'!$B$36:$GS$61,0,ROW()-3),CG$3)</f>
        <v>0</v>
      </c>
      <c r="CH203" s="2">
        <f>COUNTIF(INDEX('LINE PLAN'!$B$36:$GS$61,0,ROW()-3),CH$3)</f>
        <v>0</v>
      </c>
      <c r="CI203" s="2">
        <f>COUNTIF(INDEX('LINE PLAN'!$B$36:$GS$61,0,ROW()-3),CI$3)</f>
        <v>0</v>
      </c>
      <c r="CJ203" s="2">
        <f>COUNTIF(INDEX('LINE PLAN'!$B$36:$GS$61,0,ROW()-3),CJ$3)</f>
        <v>0</v>
      </c>
      <c r="CK203" s="2">
        <f>COUNTIF(INDEX('LINE PLAN'!$B$36:$GS$61,0,ROW()-3),CK$3)</f>
        <v>0</v>
      </c>
      <c r="CL203" s="2">
        <f>COUNTIF(INDEX('LINE PLAN'!$B$36:$GS$61,0,ROW()-3),CL$3)</f>
        <v>0</v>
      </c>
      <c r="CM203" s="2">
        <f>COUNTIF(INDEX('LINE PLAN'!$B$36:$GS$61,0,ROW()-3),CM$3)</f>
        <v>0</v>
      </c>
      <c r="CN203" s="2">
        <f>COUNTIF(INDEX('LINE PLAN'!$B$36:$GS$61,0,ROW()-3),CN$3)</f>
        <v>0</v>
      </c>
      <c r="CO203" s="2">
        <f>COUNTIF(INDEX('LINE PLAN'!$B$36:$GS$61,0,ROW()-3),CO$3)</f>
        <v>0</v>
      </c>
      <c r="CP203" s="2">
        <f>COUNTIF(INDEX('LINE PLAN'!$B$36:$GS$61,0,ROW()-3),CP$3)</f>
        <v>0</v>
      </c>
      <c r="CQ203" s="2">
        <f>COUNTIF(INDEX('LINE PLAN'!$B$36:$GS$61,0,ROW()-3),CQ$3)</f>
        <v>0</v>
      </c>
      <c r="CR203" s="2">
        <f>COUNTIF(INDEX('LINE PLAN'!$B$36:$GS$61,0,ROW()-3),CR$3)</f>
        <v>0</v>
      </c>
      <c r="CS203" s="2">
        <f>COUNTIF(INDEX('LINE PLAN'!$B$36:$GS$61,0,ROW()-3),CS$3)</f>
        <v>0</v>
      </c>
      <c r="CT203" s="2">
        <f>COUNTIF(INDEX('LINE PLAN'!$B$36:$GS$61,0,ROW()-3),CT$3)</f>
        <v>0</v>
      </c>
      <c r="CU203" s="2">
        <f>COUNTIF(INDEX('LINE PLAN'!$B$36:$GS$61,0,ROW()-3),CU$3)</f>
        <v>0</v>
      </c>
      <c r="CV203" s="2">
        <f>COUNTIF(INDEX('LINE PLAN'!$B$36:$GS$61,0,ROW()-3),CV$3)</f>
        <v>0</v>
      </c>
      <c r="CW203" s="2">
        <f>COUNTIF(INDEX('LINE PLAN'!$B$36:$GS$61,0,ROW()-3),CW$3)</f>
        <v>0</v>
      </c>
      <c r="CX203" s="2">
        <f>COUNTIF(INDEX('LINE PLAN'!$B$36:$GS$61,0,ROW()-3),CX$3)</f>
        <v>0</v>
      </c>
      <c r="CY203" s="2">
        <f>COUNTIF(INDEX('LINE PLAN'!$B$36:$GS$61,0,ROW()-3),CY$3)</f>
        <v>0</v>
      </c>
      <c r="CZ203" s="2">
        <f>COUNTIF(INDEX('LINE PLAN'!$B$36:$GS$61,0,ROW()-3),CZ$3)</f>
        <v>0</v>
      </c>
      <c r="DA203" s="2">
        <f>COUNTIF(INDEX('LINE PLAN'!$B$36:$GS$61,0,ROW()-3),DA$3)</f>
        <v>0</v>
      </c>
      <c r="DB203" s="2">
        <f>COUNTIF(INDEX('LINE PLAN'!$B$36:$GS$61,0,ROW()-3),DB$3)</f>
        <v>0</v>
      </c>
      <c r="DC203" s="2">
        <f>COUNTIF(INDEX('LINE PLAN'!$B$36:$GS$61,0,ROW()-3),DC$3)</f>
        <v>0</v>
      </c>
      <c r="DD203" s="2">
        <f>COUNTIF(INDEX('LINE PLAN'!$B$36:$GS$61,0,ROW()-3),DD$3)</f>
        <v>0</v>
      </c>
      <c r="DE203" s="2">
        <f>COUNTIF(INDEX('LINE PLAN'!$B$36:$GS$61,0,ROW()-3),DE$3)</f>
        <v>0</v>
      </c>
      <c r="DF203" s="2">
        <f>COUNTIF(INDEX('LINE PLAN'!$B$36:$GS$61,0,ROW()-3),DF$3)</f>
        <v>0</v>
      </c>
      <c r="DG203" s="2">
        <f>COUNTIF(INDEX('LINE PLAN'!$B$36:$GS$61,0,ROW()-3),DG$3)</f>
        <v>0</v>
      </c>
      <c r="DH203" s="2">
        <f>COUNTIF(INDEX('LINE PLAN'!$B$36:$GS$61,0,ROW()-3),DH$3)</f>
        <v>0</v>
      </c>
      <c r="DI203" s="2">
        <f>COUNTIF(INDEX('LINE PLAN'!$B$36:$GS$61,0,ROW()-3),DI$3)</f>
        <v>0</v>
      </c>
      <c r="DJ203" s="2">
        <f>COUNTIF(INDEX('LINE PLAN'!$B$36:$GS$61,0,ROW()-3),DJ$3)</f>
        <v>0</v>
      </c>
      <c r="DK203" s="2">
        <f>COUNTIF(INDEX('LINE PLAN'!$B$36:$GS$61,0,ROW()-3),DK$3)</f>
        <v>0</v>
      </c>
      <c r="DL203" s="2">
        <f>COUNTIF(INDEX('LINE PLAN'!$B$36:$GS$61,0,ROW()-3),DL$3)</f>
        <v>0</v>
      </c>
      <c r="DM203" s="2">
        <f>COUNTIF(INDEX('LINE PLAN'!$B$36:$GS$61,0,ROW()-3),DM$3)</f>
        <v>0</v>
      </c>
      <c r="DN203" s="2">
        <f>COUNTIF(INDEX('LINE PLAN'!$B$36:$GS$61,0,ROW()-3),DN$3)</f>
        <v>0</v>
      </c>
      <c r="DO203" s="2">
        <f>COUNTIF(INDEX('LINE PLAN'!$B$36:$GS$61,0,ROW()-3),DO$3)</f>
        <v>0</v>
      </c>
      <c r="DP203" s="2">
        <f>COUNTIF(INDEX('LINE PLAN'!$B$36:$GS$61,0,ROW()-3),DP$3)</f>
        <v>0</v>
      </c>
      <c r="DQ203" s="2">
        <f>COUNTIF(INDEX('LINE PLAN'!$B$36:$GS$61,0,ROW()-3),DQ$3)</f>
        <v>0</v>
      </c>
      <c r="DR203" s="2">
        <f>COUNTIF(INDEX('LINE PLAN'!$B$36:$GS$61,0,ROW()-3),DR$3)</f>
        <v>0</v>
      </c>
      <c r="DS203" s="2">
        <f>COUNTIF(INDEX('LINE PLAN'!$B$36:$GS$61,0,ROW()-3),DS$3)</f>
        <v>0</v>
      </c>
      <c r="DT203" s="2">
        <f>COUNTIF(INDEX('LINE PLAN'!$B$36:$GS$61,0,ROW()-3),DT$3)</f>
        <v>0</v>
      </c>
      <c r="DU203" s="2">
        <f>COUNTIF(INDEX('LINE PLAN'!$B$36:$GS$61,0,ROW()-3),DU$3)</f>
        <v>0</v>
      </c>
      <c r="DV203" s="2">
        <f>COUNTIF(INDEX('LINE PLAN'!$B$36:$GS$61,0,ROW()-3),DV$3)</f>
        <v>0</v>
      </c>
    </row>
    <row r="205" spans="1:126">
      <c r="A205" s="516" t="s">
        <v>345</v>
      </c>
      <c r="B205" s="52">
        <f>INDEX('MC MASTER'!$C$3:$C$28,COLUMN()-1)</f>
        <v>185</v>
      </c>
      <c r="C205" s="52">
        <f>INDEX('MC MASTER'!$C$3:$C$28,COLUMN()-1)</f>
        <v>8</v>
      </c>
      <c r="D205" s="52">
        <f>INDEX('MC MASTER'!$C$3:$C$28,COLUMN()-1)</f>
        <v>2</v>
      </c>
      <c r="E205" s="52">
        <f>INDEX('MC MASTER'!$C$3:$C$28,COLUMN()-1)</f>
        <v>8</v>
      </c>
      <c r="F205" s="52">
        <f>INDEX('MC MASTER'!$C$3:$C$28,COLUMN()-1)</f>
        <v>279</v>
      </c>
      <c r="G205" s="52">
        <f>INDEX('MC MASTER'!$C$3:$C$28,COLUMN()-1)</f>
        <v>30</v>
      </c>
      <c r="H205" s="52">
        <f>INDEX('MC MASTER'!$C$3:$C$28,COLUMN()-1)</f>
        <v>5</v>
      </c>
      <c r="I205" s="52">
        <f>INDEX('MC MASTER'!$C$3:$C$28,COLUMN()-1)</f>
        <v>29</v>
      </c>
      <c r="J205" s="52">
        <f>INDEX('MC MASTER'!$C$3:$C$28,COLUMN()-1)</f>
        <v>34</v>
      </c>
      <c r="K205" s="52">
        <f>INDEX('MC MASTER'!$C$3:$C$28,COLUMN()-1)</f>
        <v>13</v>
      </c>
      <c r="L205" s="52">
        <f>INDEX('MC MASTER'!$C$3:$C$28,COLUMN()-1)</f>
        <v>37</v>
      </c>
      <c r="M205" s="52">
        <f>INDEX('MC MASTER'!$C$3:$C$28,COLUMN()-1)</f>
        <v>6</v>
      </c>
      <c r="N205" s="52">
        <f>INDEX('MC MASTER'!$C$3:$C$28,COLUMN()-1)</f>
        <v>42</v>
      </c>
      <c r="O205" s="52">
        <f>INDEX('MC MASTER'!$C$3:$C$28,COLUMN()-1)</f>
        <v>58</v>
      </c>
      <c r="P205" s="52">
        <f>INDEX('MC MASTER'!$C$3:$C$28,COLUMN()-1)</f>
        <v>54</v>
      </c>
      <c r="Q205" s="52">
        <f>INDEX('MC MASTER'!$C$3:$C$28,COLUMN()-1)</f>
        <v>8</v>
      </c>
      <c r="R205" s="52">
        <f>INDEX('MC MASTER'!$C$3:$C$28,COLUMN()-1)</f>
        <v>8</v>
      </c>
      <c r="S205" s="52">
        <f>INDEX('MC MASTER'!$C$3:$C$28,COLUMN()-1)</f>
        <v>2</v>
      </c>
      <c r="T205" s="52">
        <f>INDEX('MC MASTER'!$C$3:$C$28,COLUMN()-1)</f>
        <v>21</v>
      </c>
      <c r="U205" s="52">
        <f>INDEX('MC MASTER'!$C$3:$C$28,COLUMN()-1)</f>
        <v>35</v>
      </c>
      <c r="V205" s="52">
        <f>INDEX('MC MASTER'!$C$3:$C$28,COLUMN()-1)</f>
        <v>2</v>
      </c>
      <c r="W205" s="52">
        <f>INDEX('MC MASTER'!$C$3:$C$28,COLUMN()-1)</f>
        <v>3</v>
      </c>
      <c r="X205" s="52">
        <f>INDEX('MC MASTER'!$C$3:$C$28,COLUMN()-1)</f>
        <v>1</v>
      </c>
      <c r="Y205" s="52">
        <f>INDEX('MC MASTER'!$C$3:$C$28,COLUMN()-1)</f>
        <v>13</v>
      </c>
      <c r="Z205" s="52">
        <f>INDEX('MC MASTER'!$C$3:$C$28,COLUMN()-1)</f>
        <v>2</v>
      </c>
      <c r="AA205" s="52">
        <f>INDEX('MC MASTER'!$C$3:$C$28,COLUMN()-1)</f>
        <v>35</v>
      </c>
    </row>
  </sheetData>
  <sheetProtection sheet="1" objects="1" scenarios="1" formatCells="0" formatColumns="0" formatRows="0"/>
  <conditionalFormatting sqref="AX4:AX203">
    <cfRule type="cellIs" dxfId="12" priority="4" operator="greaterThan">
      <formula>0</formula>
    </cfRule>
  </conditionalFormatting>
  <conditionalFormatting sqref="BJ9:BJ23">
    <cfRule type="cellIs" dxfId="11" priority="3" operator="greaterThan">
      <formula>0.95</formula>
    </cfRule>
  </conditionalFormatting>
  <conditionalFormatting sqref="BK8:BK23">
    <cfRule type="containsText" dxfId="10" priority="1" operator="containsText" text="OVER">
      <formula>NOT(ISERROR(SEARCH("OVER",BK8)))</formula>
    </cfRule>
  </conditionalFormatting>
  <conditionalFormatting sqref="BK35:BK60">
    <cfRule type="cellIs" dxfId="9" priority="2" operator="lessThan">
      <formula>0</formula>
    </cfRule>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28AC3-5F48-48E5-A79E-336996723805}">
  <sheetPr>
    <tabColor rgb="FF8FAADC"/>
  </sheetPr>
  <dimension ref="A1:EV203"/>
  <sheetViews>
    <sheetView topLeftCell="N31" zoomScale="107" workbookViewId="0">
      <selection activeCell="AJ33" sqref="AJ33:AJ43"/>
    </sheetView>
    <sheetView workbookViewId="1"/>
  </sheetViews>
  <sheetFormatPr defaultRowHeight="15"/>
  <cols>
    <col min="1" max="1" width="20" style="2" customWidth="1"/>
    <col min="2" max="2" width="33.28515625" style="2" customWidth="1"/>
    <col min="3" max="3" width="9.140625" style="2" customWidth="1"/>
    <col min="4" max="4" width="12.28515625" style="2" customWidth="1"/>
    <col min="5" max="6" width="9.140625" style="2" customWidth="1"/>
    <col min="7" max="27" width="5" style="2" customWidth="1"/>
    <col min="28" max="28" width="12.5703125" style="2" customWidth="1"/>
    <col min="29" max="30" width="5" style="2" customWidth="1"/>
    <col min="31" max="31" width="14.28515625" style="2" bestFit="1" customWidth="1"/>
    <col min="32" max="32" width="11.28515625" style="2" bestFit="1" customWidth="1"/>
    <col min="33" max="35" width="5" style="2" customWidth="1"/>
    <col min="36" max="36" width="22.7109375" style="2" customWidth="1"/>
    <col min="37" max="37" width="5" style="2" customWidth="1"/>
    <col min="38" max="16384" width="9.140625" style="2"/>
  </cols>
  <sheetData>
    <row r="1" spans="1:152" ht="18.75">
      <c r="A1" s="263" t="s">
        <v>205</v>
      </c>
    </row>
    <row r="2" spans="1:152">
      <c r="A2" s="4" t="s">
        <v>470</v>
      </c>
      <c r="BA2" s="9" t="s">
        <v>282</v>
      </c>
      <c r="BB2" s="10"/>
      <c r="BC2" s="10"/>
    </row>
    <row r="3" spans="1:152">
      <c r="A3" s="9" t="s">
        <v>206</v>
      </c>
      <c r="B3" s="264" t="s">
        <v>466</v>
      </c>
      <c r="C3" s="264"/>
      <c r="E3" s="9" t="s">
        <v>210</v>
      </c>
      <c r="F3" s="264"/>
      <c r="G3" s="264"/>
      <c r="H3" s="264"/>
      <c r="I3" s="264"/>
      <c r="K3" s="9" t="s">
        <v>244</v>
      </c>
      <c r="L3" s="264"/>
      <c r="M3" s="264"/>
      <c r="BW3" s="7" t="s">
        <v>468</v>
      </c>
      <c r="BX3" s="8"/>
      <c r="BY3" s="10"/>
      <c r="BZ3" s="10"/>
      <c r="CZ3" s="6" t="s">
        <v>495</v>
      </c>
    </row>
    <row r="4" spans="1:152" ht="75">
      <c r="A4" s="12" t="s">
        <v>207</v>
      </c>
      <c r="B4" s="12" t="s">
        <v>208</v>
      </c>
      <c r="C4" s="265" t="s">
        <v>209</v>
      </c>
      <c r="E4" s="12" t="s">
        <v>211</v>
      </c>
      <c r="F4" s="12" t="s">
        <v>252</v>
      </c>
      <c r="G4" s="265" t="s">
        <v>212</v>
      </c>
      <c r="H4" s="265" t="s">
        <v>213</v>
      </c>
      <c r="I4" s="265" t="s">
        <v>214</v>
      </c>
      <c r="K4" s="265" t="s">
        <v>245</v>
      </c>
      <c r="L4" s="265" t="s">
        <v>246</v>
      </c>
      <c r="M4" s="265" t="s">
        <v>247</v>
      </c>
      <c r="BA4" s="12" t="s">
        <v>228</v>
      </c>
      <c r="BU4" s="266" t="s">
        <v>347</v>
      </c>
      <c r="BV4" s="12" t="s">
        <v>348</v>
      </c>
      <c r="BW4" s="11" t="s">
        <v>147</v>
      </c>
      <c r="BX4" s="11" t="s">
        <v>255</v>
      </c>
      <c r="CZ4" s="267" t="s">
        <v>228</v>
      </c>
      <c r="DA4" s="267" cm="1">
        <f t="array" ref="DA4">INDEX($A$33:$A$80,COLUMN()-104)</f>
        <v>7926</v>
      </c>
      <c r="DB4" s="267" cm="1" t="str">
        <f t="array" ref="DB4">INDEX($A$33:$A$80,COLUMN()-104)</f>
        <v>4300/4301</v>
      </c>
      <c r="DC4" s="267" cm="1" t="str">
        <f t="array" ref="DC4">INDEX($A$33:$A$80,COLUMN()-104)</f>
        <v>RS 26/27</v>
      </c>
      <c r="DD4" s="267" cm="1">
        <f t="array" ref="DD4">INDEX($A$33:$A$80,COLUMN()-104)</f>
        <v>6820</v>
      </c>
      <c r="DE4" s="267" cm="1">
        <f t="array" ref="DE4">INDEX($A$33:$A$80,COLUMN()-104)</f>
        <v>6108</v>
      </c>
      <c r="DF4" s="267" cm="1">
        <f t="array" ref="DF4">INDEX($A$33:$A$80,COLUMN()-104)</f>
        <v>6109</v>
      </c>
      <c r="DG4" s="267" cm="1">
        <f t="array" ref="DG4">INDEX($A$33:$A$80,COLUMN()-104)</f>
        <v>4117</v>
      </c>
      <c r="DH4" s="267" cm="1" t="str">
        <f t="array" ref="DH4">INDEX($A$33:$A$80,COLUMN()-104)</f>
        <v>4406/10</v>
      </c>
      <c r="DI4" s="267" cm="1">
        <f t="array" ref="DI4">INDEX($A$33:$A$80,COLUMN()-104)</f>
        <v>4115</v>
      </c>
      <c r="DJ4" s="267" cm="1" t="str">
        <f t="array" ref="DJ4">INDEX($A$33:$A$80,COLUMN()-104)</f>
        <v>RS17</v>
      </c>
      <c r="DK4" s="267" cm="1">
        <f t="array" ref="DK4">INDEX($A$33:$A$80,COLUMN()-104)</f>
        <v>6135</v>
      </c>
      <c r="DL4" s="267" cm="1" t="str">
        <f t="array" ref="DL4">INDEX($A$33:$A$80,COLUMN()-104)</f>
        <v>THERMAL</v>
      </c>
      <c r="DM4" s="267" cm="1" t="str">
        <f t="array" ref="DM4">INDEX($A$33:$A$80,COLUMN()-104)</f>
        <v>VACCANT</v>
      </c>
      <c r="DN4" s="267" cm="1">
        <f t="array" ref="DN4">INDEX($A$33:$A$80,COLUMN()-104)</f>
        <v>6137</v>
      </c>
      <c r="DO4" s="267" cm="1">
        <f t="array" ref="DO4">INDEX($A$33:$A$80,COLUMN()-104)</f>
        <v>4110</v>
      </c>
      <c r="DP4" s="267" cm="1">
        <f t="array" ref="DP4">INDEX($A$33:$A$80,COLUMN()-104)</f>
        <v>5520</v>
      </c>
      <c r="DQ4" s="267" cm="1" t="str">
        <f t="array" ref="DQ4">INDEX($A$33:$A$80,COLUMN()-104)</f>
        <v>TH-01</v>
      </c>
      <c r="DR4" s="267" cm="1" t="str">
        <f t="array" ref="DR4">INDEX($A$33:$A$80,COLUMN()-104)</f>
        <v>TH-02</v>
      </c>
      <c r="DS4" s="267" cm="1" t="str">
        <f t="array" ref="DS4">INDEX($A$33:$A$80,COLUMN()-104)</f>
        <v>TH-04</v>
      </c>
      <c r="DT4" s="267" cm="1" t="str">
        <f t="array" ref="DT4">INDEX($A$33:$A$80,COLUMN()-104)</f>
        <v>RS-17</v>
      </c>
      <c r="DU4" s="267" cm="1" t="str">
        <f t="array" ref="DU4">INDEX($A$33:$A$80,COLUMN()-104)</f>
        <v>RS-52</v>
      </c>
      <c r="DV4" s="267" cm="1" t="str">
        <f t="array" ref="DV4">INDEX($A$33:$A$80,COLUMN()-104)</f>
        <v>6109-T</v>
      </c>
      <c r="DW4" s="267" cm="1" t="str">
        <f t="array" ref="DW4">INDEX($A$33:$A$80,COLUMN()-104)</f>
        <v>4117-T</v>
      </c>
      <c r="DX4" s="267" cm="1" t="str">
        <f t="array" ref="DX4">INDEX($A$33:$A$80,COLUMN()-104)</f>
        <v>RS-60</v>
      </c>
      <c r="DY4" s="267" cm="1" t="str">
        <f t="array" ref="DY4">INDEX($A$33:$A$80,COLUMN()-104)</f>
        <v>RS-63</v>
      </c>
      <c r="DZ4" s="267" cm="1">
        <f t="array" ref="DZ4">INDEX($A$33:$A$80,COLUMN()-104)</f>
        <v>4523</v>
      </c>
      <c r="EA4" s="267" cm="1">
        <f t="array" ref="EA4">INDEX($A$33:$A$80,COLUMN()-104)</f>
        <v>4525</v>
      </c>
      <c r="EB4" s="267" cm="1" t="str">
        <f t="array" ref="EB4">INDEX($A$33:$A$80,COLUMN()-104)</f>
        <v>Panty</v>
      </c>
      <c r="EC4" s="267" cm="1" t="str">
        <f t="array" ref="EC4">INDEX($A$33:$A$80,COLUMN()-104)</f>
        <v>T Shirt</v>
      </c>
      <c r="ED4" s="267" cm="1" t="str">
        <f t="array" ref="ED4">INDEX($A$33:$A$80,COLUMN()-104)</f>
        <v>RS-27</v>
      </c>
      <c r="EE4" s="267" cm="1">
        <f t="array" ref="EE4">INDEX($A$33:$A$80,COLUMN()-104)</f>
        <v>5201</v>
      </c>
      <c r="EF4" s="267" cm="1">
        <f t="array" ref="EF4">INDEX($A$33:$A$80,COLUMN()-104)</f>
        <v>4223</v>
      </c>
      <c r="EG4" s="267" cm="1">
        <f t="array" ref="EG4">INDEX($A$33:$A$80,COLUMN()-104)</f>
        <v>4222</v>
      </c>
      <c r="EH4" s="267" cm="1">
        <f t="array" ref="EH4">INDEX($A$33:$A$80,COLUMN()-104)</f>
        <v>4300</v>
      </c>
      <c r="EI4" s="267" cm="1">
        <f t="array" ref="EI4">INDEX($A$33:$A$80,COLUMN()-104)</f>
        <v>4359</v>
      </c>
      <c r="EJ4" s="267" cm="1">
        <f t="array" ref="EJ4">INDEX($A$33:$A$80,COLUMN()-104)</f>
        <v>4301</v>
      </c>
      <c r="EK4" s="267" cm="1" t="str">
        <f t="array" ref="EK4">INDEX($A$33:$A$80,COLUMN()-104)</f>
        <v>RS-92</v>
      </c>
      <c r="EL4" s="267" cm="1" t="str">
        <f t="array" ref="EL4">INDEX($A$33:$A$80,COLUMN()-104)</f>
        <v>BW-30</v>
      </c>
      <c r="EM4" s="267" cm="1">
        <f t="array" ref="EM4">INDEX($A$33:$A$80,COLUMN()-104)</f>
        <v>5200</v>
      </c>
      <c r="EN4" s="267" cm="1">
        <f t="array" ref="EN4">INDEX($A$33:$A$80,COLUMN()-104)</f>
        <v>5220</v>
      </c>
      <c r="EO4" s="267" cm="1">
        <f t="array" ref="EO4">INDEX($A$33:$A$80,COLUMN()-104)</f>
        <v>5500</v>
      </c>
      <c r="EP4" s="267" cm="1">
        <f t="array" ref="EP4">INDEX($A$33:$A$80,COLUMN()-104)</f>
        <v>5501</v>
      </c>
      <c r="EQ4" s="267" cm="1" t="str">
        <f t="array" ref="EQ4">INDEX($A$33:$A$80,COLUMN()-104)</f>
        <v>POLO</v>
      </c>
      <c r="ER4" s="267" cm="1">
        <f t="array" ref="ER4">INDEX($A$33:$A$80,COLUMN()-104)</f>
        <v>5503</v>
      </c>
      <c r="ES4" s="267" cm="1" t="str">
        <f t="array" ref="ES4">INDEX($A$33:$A$80,COLUMN()-104)</f>
        <v>TH-05</v>
      </c>
      <c r="ET4" s="267" cm="1" t="str">
        <f t="array" ref="ET4">INDEX($A$33:$A$80,COLUMN()-104)</f>
        <v>TH-06</v>
      </c>
      <c r="EU4" s="267" cm="1">
        <f t="array" ref="EU4">INDEX($A$33:$A$80,COLUMN()-104)</f>
        <v>5544</v>
      </c>
      <c r="EV4" s="267" cm="1">
        <f t="array" ref="EV4">INDEX($A$33:$A$80,COLUMN()-104)</f>
        <v>5543</v>
      </c>
    </row>
    <row r="5" spans="1:152">
      <c r="A5" s="2" t="str">
        <f>EMBELISHMENT!A3</f>
        <v>SNLS</v>
      </c>
      <c r="B5" s="293" t="s">
        <v>178</v>
      </c>
      <c r="C5" s="2">
        <f>IFERROR(INDEX('MC MASTER'!$C$3:$C$28,MATCH($B5,'MC MASTER'!$B$3:$B$28,0)),"** NOT A GROUP **")</f>
        <v>185</v>
      </c>
      <c r="E5" s="2">
        <f>'LINE PLAN'!$HA$5</f>
        <v>7926</v>
      </c>
      <c r="F5" s="268">
        <f>IFERROR(INDEX($L$5:$L$28,MATCH($E5,$K$5:$K$28,0)),$E5)</f>
        <v>7926</v>
      </c>
      <c r="G5" s="2">
        <f>IFERROR(INDEX(EMBELISHMENT!$B$28:$AQ$28,MATCH($F5,EMBELISHMENT!$B$1:$AQ$1,0)),"-")</f>
        <v>37</v>
      </c>
      <c r="H5" s="2">
        <f>IFERROR(INDEX(EMBELISHMENT!$B$29:$AQ$29,MATCH($F5,EMBELISHMENT!$B$1:$AQ$1,0)),"-")</f>
        <v>1000</v>
      </c>
      <c r="I5" s="2" t="str">
        <f>IF($F5="","No embl. data",IF(ISNA(MATCH($F5,EMBELISHMENT!$B$1:$AQ$1,0)),"ALIAS NOT FOUND","OK"))</f>
        <v>OK</v>
      </c>
      <c r="K5" s="293" t="s">
        <v>11</v>
      </c>
      <c r="L5" s="293" t="s">
        <v>20</v>
      </c>
      <c r="M5" s="293" t="s">
        <v>248</v>
      </c>
      <c r="BA5" s="268" t="str">
        <f>INDEX('MC MASTER'!$B$3:$B$28,1)</f>
        <v>SNLS</v>
      </c>
      <c r="BU5" s="2">
        <f>SUM($DA5:$EV5)</f>
        <v>287.5</v>
      </c>
      <c r="BV5" s="2" t="str">
        <f>IF($BU5=0,"NEVER USED BY ANY STYLE","used")</f>
        <v>used</v>
      </c>
      <c r="BW5" s="269" t="str">
        <f>'MC MASTER'!$B3</f>
        <v>SNLS</v>
      </c>
      <c r="BX5" s="269" t="str">
        <f>'MC MASTER'!$A3</f>
        <v>LOCK-STITCH</v>
      </c>
      <c r="CZ5" s="2" cm="1" t="str">
        <f t="array" ref="CZ5">INDEX('MC MASTER'!$B$3:$B$28,ROW()-4)</f>
        <v>SNLS</v>
      </c>
      <c r="DA5" s="2">
        <f>INDEX($B$33:$AA$80,MATCH(DA$4,$A$33:$A$80,0),MATCH($CZ5,$B$32:$AA$32,0))</f>
        <v>13</v>
      </c>
      <c r="DB5" s="2">
        <f>INDEX($B$33:$AA$80,MATCH(DB$4,$A$33:$A$80,0),MATCH($CZ5,$B$32:$AA$32,0))</f>
        <v>21</v>
      </c>
      <c r="DC5" s="2">
        <f>INDEX($B$33:$AA$80,MATCH(DC$4,$A$33:$A$80,0),MATCH($CZ5,$B$32:$AA$32,0))</f>
        <v>5</v>
      </c>
      <c r="DD5" s="2">
        <f>INDEX($B$33:$AA$80,MATCH(DD$4,$A$33:$A$80,0),MATCH($CZ5,$B$32:$AA$32,0))</f>
        <v>6.5</v>
      </c>
      <c r="DE5" s="2">
        <f>INDEX($B$33:$AA$80,MATCH(DE$4,$A$33:$A$80,0),MATCH($CZ5,$B$32:$AA$32,0))</f>
        <v>6</v>
      </c>
      <c r="DF5" s="2">
        <f>INDEX($B$33:$AA$80,MATCH(DF$4,$A$33:$A$80,0),MATCH($CZ5,$B$32:$AA$32,0))</f>
        <v>6</v>
      </c>
      <c r="DG5" s="2">
        <f>INDEX($B$33:$AA$80,MATCH(DG$4,$A$33:$A$80,0),MATCH($CZ5,$B$32:$AA$32,0))</f>
        <v>6</v>
      </c>
      <c r="DH5" s="2">
        <f>INDEX($B$33:$AA$80,MATCH(DH$4,$A$33:$A$80,0),MATCH($CZ5,$B$32:$AA$32,0))</f>
        <v>4</v>
      </c>
      <c r="DI5" s="2">
        <f>INDEX($B$33:$AA$80,MATCH(DI$4,$A$33:$A$80,0),MATCH($CZ5,$B$32:$AA$32,0))</f>
        <v>5</v>
      </c>
      <c r="DJ5" s="2">
        <f>INDEX($B$33:$AA$80,MATCH(DJ$4,$A$33:$A$80,0),MATCH($CZ5,$B$32:$AA$32,0))</f>
        <v>2</v>
      </c>
      <c r="DK5" s="2">
        <f>INDEX($B$33:$AA$80,MATCH(DK$4,$A$33:$A$80,0),MATCH($CZ5,$B$32:$AA$32,0))</f>
        <v>6</v>
      </c>
      <c r="DL5" s="2">
        <f>INDEX($B$33:$AA$80,MATCH(DL$4,$A$33:$A$80,0),MATCH($CZ5,$B$32:$AA$32,0))</f>
        <v>0</v>
      </c>
      <c r="DM5" s="2">
        <f>INDEX($B$33:$AA$80,MATCH(DM$4,$A$33:$A$80,0),MATCH($CZ5,$B$32:$AA$32,0))</f>
        <v>0</v>
      </c>
      <c r="DN5" s="2">
        <f>INDEX($B$33:$AA$80,MATCH(DN$4,$A$33:$A$80,0),MATCH($CZ5,$B$32:$AA$32,0))</f>
        <v>4</v>
      </c>
      <c r="DO5" s="2">
        <f>INDEX($B$33:$AA$80,MATCH(DO$4,$A$33:$A$80,0),MATCH($CZ5,$B$32:$AA$32,0))</f>
        <v>2</v>
      </c>
      <c r="DP5" s="2">
        <f>INDEX($B$33:$AA$80,MATCH(DP$4,$A$33:$A$80,0),MATCH($CZ5,$B$32:$AA$32,0))</f>
        <v>2</v>
      </c>
      <c r="DQ5" s="2">
        <f>INDEX($B$33:$AA$80,MATCH(DQ$4,$A$33:$A$80,0),MATCH($CZ5,$B$32:$AA$32,0))</f>
        <v>3</v>
      </c>
      <c r="DR5" s="2">
        <f>INDEX($B$33:$AA$80,MATCH(DR$4,$A$33:$A$80,0),MATCH($CZ5,$B$32:$AA$32,0))</f>
        <v>5</v>
      </c>
      <c r="DS5" s="2">
        <f>INDEX($B$33:$AA$80,MATCH(DS$4,$A$33:$A$80,0),MATCH($CZ5,$B$32:$AA$32,0))</f>
        <v>4</v>
      </c>
      <c r="DT5" s="2">
        <f>INDEX($B$33:$AA$80,MATCH(DT$4,$A$33:$A$80,0),MATCH($CZ5,$B$32:$AA$32,0))</f>
        <v>2</v>
      </c>
      <c r="DU5" s="2">
        <f>INDEX($B$33:$AA$80,MATCH(DU$4,$A$33:$A$80,0),MATCH($CZ5,$B$32:$AA$32,0))</f>
        <v>2</v>
      </c>
      <c r="DV5" s="2">
        <f>INDEX($B$33:$AA$80,MATCH(DV$4,$A$33:$A$80,0),MATCH($CZ5,$B$32:$AA$32,0))</f>
        <v>5</v>
      </c>
      <c r="DW5" s="2">
        <f>INDEX($B$33:$AA$80,MATCH(DW$4,$A$33:$A$80,0),MATCH($CZ5,$B$32:$AA$32,0))</f>
        <v>6</v>
      </c>
      <c r="DX5" s="2">
        <f>INDEX($B$33:$AA$80,MATCH(DX$4,$A$33:$A$80,0),MATCH($CZ5,$B$32:$AA$32,0))</f>
        <v>6</v>
      </c>
      <c r="DY5" s="2">
        <f>INDEX($B$33:$AA$80,MATCH(DY$4,$A$33:$A$80,0),MATCH($CZ5,$B$32:$AA$32,0))</f>
        <v>2</v>
      </c>
      <c r="DZ5" s="2">
        <f>INDEX($B$33:$AA$80,MATCH(DZ$4,$A$33:$A$80,0),MATCH($CZ5,$B$32:$AA$32,0))</f>
        <v>3</v>
      </c>
      <c r="EA5" s="2">
        <f>INDEX($B$33:$AA$80,MATCH(EA$4,$A$33:$A$80,0),MATCH($CZ5,$B$32:$AA$32,0))</f>
        <v>3</v>
      </c>
      <c r="EB5" s="2">
        <f>INDEX($B$33:$AA$80,MATCH(EB$4,$A$33:$A$80,0),MATCH($CZ5,$B$32:$AA$32,0))</f>
        <v>4</v>
      </c>
      <c r="EC5" s="2">
        <f>INDEX($B$33:$AA$80,MATCH(EC$4,$A$33:$A$80,0),MATCH($CZ5,$B$32:$AA$32,0))</f>
        <v>4</v>
      </c>
      <c r="ED5" s="2">
        <f>INDEX($B$33:$AA$80,MATCH(ED$4,$A$33:$A$80,0),MATCH($CZ5,$B$32:$AA$32,0))</f>
        <v>5</v>
      </c>
      <c r="EE5" s="2">
        <f>INDEX($B$33:$AA$80,MATCH(EE$4,$A$33:$A$80,0),MATCH($CZ5,$B$32:$AA$32,0))</f>
        <v>0</v>
      </c>
      <c r="EF5" s="2">
        <f>INDEX($B$33:$AA$80,MATCH(EF$4,$A$33:$A$80,0),MATCH($CZ5,$B$32:$AA$32,0))</f>
        <v>16</v>
      </c>
      <c r="EG5" s="2">
        <f>INDEX($B$33:$AA$80,MATCH(EG$4,$A$33:$A$80,0),MATCH($CZ5,$B$32:$AA$32,0))</f>
        <v>12</v>
      </c>
      <c r="EH5" s="2">
        <f>INDEX($B$33:$AA$80,MATCH(EH$4,$A$33:$A$80,0),MATCH($CZ5,$B$32:$AA$32,0))</f>
        <v>21</v>
      </c>
      <c r="EI5" s="2">
        <f>INDEX($B$33:$AA$80,MATCH(EI$4,$A$33:$A$80,0),MATCH($CZ5,$B$32:$AA$32,0))</f>
        <v>9</v>
      </c>
      <c r="EJ5" s="2">
        <f>INDEX($B$33:$AA$80,MATCH(EJ$4,$A$33:$A$80,0),MATCH($CZ5,$B$32:$AA$32,0))</f>
        <v>20</v>
      </c>
      <c r="EK5" s="2">
        <f>INDEX($B$33:$AA$80,MATCH(EK$4,$A$33:$A$80,0),MATCH($CZ5,$B$32:$AA$32,0))</f>
        <v>9</v>
      </c>
      <c r="EL5" s="2">
        <f>INDEX($B$33:$AA$80,MATCH(EL$4,$A$33:$A$80,0),MATCH($CZ5,$B$32:$AA$32,0))</f>
        <v>17</v>
      </c>
      <c r="EM5" s="2">
        <f>INDEX($B$33:$AA$80,MATCH(EM$4,$A$33:$A$80,0),MATCH($CZ5,$B$32:$AA$32,0))</f>
        <v>2</v>
      </c>
      <c r="EN5" s="2">
        <f>INDEX($B$33:$AA$80,MATCH(EN$4,$A$33:$A$80,0),MATCH($CZ5,$B$32:$AA$32,0))</f>
        <v>4</v>
      </c>
      <c r="EO5" s="2">
        <f>INDEX($B$33:$AA$80,MATCH(EO$4,$A$33:$A$80,0),MATCH($CZ5,$B$32:$AA$32,0))</f>
        <v>4</v>
      </c>
      <c r="EP5" s="2">
        <f>INDEX($B$33:$AA$80,MATCH(EP$4,$A$33:$A$80,0),MATCH($CZ5,$B$32:$AA$32,0))</f>
        <v>4</v>
      </c>
      <c r="EQ5" s="2">
        <f>INDEX($B$33:$AA$80,MATCH(EQ$4,$A$33:$A$80,0),MATCH($CZ5,$B$32:$AA$32,0))</f>
        <v>8</v>
      </c>
      <c r="ER5" s="2">
        <f>INDEX($B$33:$AA$80,MATCH(ER$4,$A$33:$A$80,0),MATCH($CZ5,$B$32:$AA$32,0))</f>
        <v>2</v>
      </c>
      <c r="ES5" s="2">
        <f>INDEX($B$33:$AA$80,MATCH(ES$4,$A$33:$A$80,0),MATCH($CZ5,$B$32:$AA$32,0))</f>
        <v>5</v>
      </c>
      <c r="ET5" s="2">
        <f>INDEX($B$33:$AA$80,MATCH(ET$4,$A$33:$A$80,0),MATCH($CZ5,$B$32:$AA$32,0))</f>
        <v>3</v>
      </c>
      <c r="EU5" s="2">
        <f>INDEX($B$33:$AA$80,MATCH(EU$4,$A$33:$A$80,0),MATCH($CZ5,$B$32:$AA$32,0))</f>
        <v>6</v>
      </c>
      <c r="EV5" s="2">
        <f>INDEX($B$33:$AA$80,MATCH(EV$4,$A$33:$A$80,0),MATCH($CZ5,$B$32:$AA$32,0))</f>
        <v>3</v>
      </c>
    </row>
    <row r="6" spans="1:152">
      <c r="A6" s="2" t="str">
        <f>EMBELISHMENT!A4</f>
        <v>DNLS</v>
      </c>
      <c r="B6" s="293" t="s">
        <v>158</v>
      </c>
      <c r="C6" s="2">
        <f>IFERROR(INDEX('MC MASTER'!$C$3:$C$28,MATCH($B6,'MC MASTER'!$B$3:$B$28,0)),"** NOT A GROUP **")</f>
        <v>8</v>
      </c>
      <c r="E6" s="2" t="str">
        <f>'LINE PLAN'!$HA$6</f>
        <v>4300/4301</v>
      </c>
      <c r="F6" s="268">
        <f>IFERROR(INDEX($L$5:$L$28,MATCH($E6,$K$5:$K$28,0)),$E6)</f>
        <v>4300</v>
      </c>
      <c r="G6" s="2">
        <f>IFERROR(INDEX(EMBELISHMENT!$B$28:$AQ$28,MATCH($F6,EMBELISHMENT!$B$1:$AQ$1,0)),"-")</f>
        <v>37.5</v>
      </c>
      <c r="H6" s="2">
        <f>IFERROR(INDEX(EMBELISHMENT!$B$29:$AQ$29,MATCH($F6,EMBELISHMENT!$B$1:$AQ$1,0)),"-")</f>
        <v>1000</v>
      </c>
      <c r="I6" s="2" t="str">
        <f>IF($F6="","No embl. data",IF(ISNA(MATCH($F6,EMBELISHMENT!$B$1:$AQ$1,0)),"ALIAS NOT FOUND","OK"))</f>
        <v>OK</v>
      </c>
      <c r="K6" s="293" t="s">
        <v>10</v>
      </c>
      <c r="L6" s="293" t="s">
        <v>20</v>
      </c>
      <c r="M6" s="293" t="s">
        <v>248</v>
      </c>
      <c r="BA6" s="268" t="str">
        <f>INDEX('MC MASTER'!$B$3:$B$28,2)</f>
        <v>DNLS</v>
      </c>
      <c r="BU6" s="2">
        <f>SUM($DA6:$EV6)</f>
        <v>7</v>
      </c>
      <c r="BV6" s="2" t="str">
        <f>IF($BU6=0,"NEVER USED BY ANY STYLE","used")</f>
        <v>used</v>
      </c>
      <c r="BW6" s="269" t="str">
        <f>'MC MASTER'!$B4</f>
        <v>DNLS</v>
      </c>
      <c r="BX6" s="269" t="str">
        <f>'MC MASTER'!$A4</f>
        <v>LOCK-STITCH</v>
      </c>
      <c r="CZ6" s="2" cm="1" t="str">
        <f t="array" ref="CZ6">INDEX('MC MASTER'!$B$3:$B$28,ROW()-4)</f>
        <v>DNLS</v>
      </c>
      <c r="DA6" s="2">
        <f>INDEX($B$33:$AA$80,MATCH(DA$4,$A$33:$A$80,0),MATCH($CZ6,$B$32:$AA$32,0))</f>
        <v>1</v>
      </c>
      <c r="DB6" s="2">
        <f>INDEX($B$33:$AA$80,MATCH(DB$4,$A$33:$A$80,0),MATCH($CZ6,$B$32:$AA$32,0))</f>
        <v>0</v>
      </c>
      <c r="DC6" s="2">
        <f>INDEX($B$33:$AA$80,MATCH(DC$4,$A$33:$A$80,0),MATCH($CZ6,$B$32:$AA$32,0))</f>
        <v>0</v>
      </c>
      <c r="DD6" s="2">
        <f>INDEX($B$33:$AA$80,MATCH(DD$4,$A$33:$A$80,0),MATCH($CZ6,$B$32:$AA$32,0))</f>
        <v>0</v>
      </c>
      <c r="DE6" s="2">
        <f>INDEX($B$33:$AA$80,MATCH(DE$4,$A$33:$A$80,0),MATCH($CZ6,$B$32:$AA$32,0))</f>
        <v>0</v>
      </c>
      <c r="DF6" s="2">
        <f>INDEX($B$33:$AA$80,MATCH(DF$4,$A$33:$A$80,0),MATCH($CZ6,$B$32:$AA$32,0))</f>
        <v>0</v>
      </c>
      <c r="DG6" s="2">
        <f>INDEX($B$33:$AA$80,MATCH(DG$4,$A$33:$A$80,0),MATCH($CZ6,$B$32:$AA$32,0))</f>
        <v>0</v>
      </c>
      <c r="DH6" s="2">
        <f>INDEX($B$33:$AA$80,MATCH(DH$4,$A$33:$A$80,0),MATCH($CZ6,$B$32:$AA$32,0))</f>
        <v>0</v>
      </c>
      <c r="DI6" s="2">
        <f>INDEX($B$33:$AA$80,MATCH(DI$4,$A$33:$A$80,0),MATCH($CZ6,$B$32:$AA$32,0))</f>
        <v>0</v>
      </c>
      <c r="DJ6" s="2">
        <f>INDEX($B$33:$AA$80,MATCH(DJ$4,$A$33:$A$80,0),MATCH($CZ6,$B$32:$AA$32,0))</f>
        <v>0</v>
      </c>
      <c r="DK6" s="2">
        <f>INDEX($B$33:$AA$80,MATCH(DK$4,$A$33:$A$80,0),MATCH($CZ6,$B$32:$AA$32,0))</f>
        <v>0</v>
      </c>
      <c r="DL6" s="2">
        <f>INDEX($B$33:$AA$80,MATCH(DL$4,$A$33:$A$80,0),MATCH($CZ6,$B$32:$AA$32,0))</f>
        <v>0</v>
      </c>
      <c r="DM6" s="2">
        <f>INDEX($B$33:$AA$80,MATCH(DM$4,$A$33:$A$80,0),MATCH($CZ6,$B$32:$AA$32,0))</f>
        <v>0</v>
      </c>
      <c r="DN6" s="2">
        <f>INDEX($B$33:$AA$80,MATCH(DN$4,$A$33:$A$80,0),MATCH($CZ6,$B$32:$AA$32,0))</f>
        <v>0</v>
      </c>
      <c r="DO6" s="2">
        <f>INDEX($B$33:$AA$80,MATCH(DO$4,$A$33:$A$80,0),MATCH($CZ6,$B$32:$AA$32,0))</f>
        <v>0</v>
      </c>
      <c r="DP6" s="2">
        <f>INDEX($B$33:$AA$80,MATCH(DP$4,$A$33:$A$80,0),MATCH($CZ6,$B$32:$AA$32,0))</f>
        <v>0</v>
      </c>
      <c r="DQ6" s="2">
        <f>INDEX($B$33:$AA$80,MATCH(DQ$4,$A$33:$A$80,0),MATCH($CZ6,$B$32:$AA$32,0))</f>
        <v>0</v>
      </c>
      <c r="DR6" s="2">
        <f>INDEX($B$33:$AA$80,MATCH(DR$4,$A$33:$A$80,0),MATCH($CZ6,$B$32:$AA$32,0))</f>
        <v>0</v>
      </c>
      <c r="DS6" s="2">
        <f>INDEX($B$33:$AA$80,MATCH(DS$4,$A$33:$A$80,0),MATCH($CZ6,$B$32:$AA$32,0))</f>
        <v>0</v>
      </c>
      <c r="DT6" s="2">
        <f>INDEX($B$33:$AA$80,MATCH(DT$4,$A$33:$A$80,0),MATCH($CZ6,$B$32:$AA$32,0))</f>
        <v>0</v>
      </c>
      <c r="DU6" s="2">
        <f>INDEX($B$33:$AA$80,MATCH(DU$4,$A$33:$A$80,0),MATCH($CZ6,$B$32:$AA$32,0))</f>
        <v>0</v>
      </c>
      <c r="DV6" s="2">
        <f>INDEX($B$33:$AA$80,MATCH(DV$4,$A$33:$A$80,0),MATCH($CZ6,$B$32:$AA$32,0))</f>
        <v>0</v>
      </c>
      <c r="DW6" s="2">
        <f>INDEX($B$33:$AA$80,MATCH(DW$4,$A$33:$A$80,0),MATCH($CZ6,$B$32:$AA$32,0))</f>
        <v>0</v>
      </c>
      <c r="DX6" s="2">
        <f>INDEX($B$33:$AA$80,MATCH(DX$4,$A$33:$A$80,0),MATCH($CZ6,$B$32:$AA$32,0))</f>
        <v>0</v>
      </c>
      <c r="DY6" s="2">
        <f>INDEX($B$33:$AA$80,MATCH(DY$4,$A$33:$A$80,0),MATCH($CZ6,$B$32:$AA$32,0))</f>
        <v>0</v>
      </c>
      <c r="DZ6" s="2">
        <f>INDEX($B$33:$AA$80,MATCH(DZ$4,$A$33:$A$80,0),MATCH($CZ6,$B$32:$AA$32,0))</f>
        <v>0</v>
      </c>
      <c r="EA6" s="2">
        <f>INDEX($B$33:$AA$80,MATCH(EA$4,$A$33:$A$80,0),MATCH($CZ6,$B$32:$AA$32,0))</f>
        <v>0</v>
      </c>
      <c r="EB6" s="2">
        <f>INDEX($B$33:$AA$80,MATCH(EB$4,$A$33:$A$80,0),MATCH($CZ6,$B$32:$AA$32,0))</f>
        <v>0</v>
      </c>
      <c r="EC6" s="2">
        <f>INDEX($B$33:$AA$80,MATCH(EC$4,$A$33:$A$80,0),MATCH($CZ6,$B$32:$AA$32,0))</f>
        <v>0</v>
      </c>
      <c r="ED6" s="2">
        <f>INDEX($B$33:$AA$80,MATCH(ED$4,$A$33:$A$80,0),MATCH($CZ6,$B$32:$AA$32,0))</f>
        <v>0</v>
      </c>
      <c r="EE6" s="2">
        <f>INDEX($B$33:$AA$80,MATCH(EE$4,$A$33:$A$80,0),MATCH($CZ6,$B$32:$AA$32,0))</f>
        <v>0</v>
      </c>
      <c r="EF6" s="2">
        <f>INDEX($B$33:$AA$80,MATCH(EF$4,$A$33:$A$80,0),MATCH($CZ6,$B$32:$AA$32,0))</f>
        <v>2</v>
      </c>
      <c r="EG6" s="2">
        <f>INDEX($B$33:$AA$80,MATCH(EG$4,$A$33:$A$80,0),MATCH($CZ6,$B$32:$AA$32,0))</f>
        <v>0</v>
      </c>
      <c r="EH6" s="2">
        <f>INDEX($B$33:$AA$80,MATCH(EH$4,$A$33:$A$80,0),MATCH($CZ6,$B$32:$AA$32,0))</f>
        <v>0</v>
      </c>
      <c r="EI6" s="2">
        <f>INDEX($B$33:$AA$80,MATCH(EI$4,$A$33:$A$80,0),MATCH($CZ6,$B$32:$AA$32,0))</f>
        <v>0</v>
      </c>
      <c r="EJ6" s="2">
        <f>INDEX($B$33:$AA$80,MATCH(EJ$4,$A$33:$A$80,0),MATCH($CZ6,$B$32:$AA$32,0))</f>
        <v>0</v>
      </c>
      <c r="EK6" s="2">
        <f>INDEX($B$33:$AA$80,MATCH(EK$4,$A$33:$A$80,0),MATCH($CZ6,$B$32:$AA$32,0))</f>
        <v>0</v>
      </c>
      <c r="EL6" s="2">
        <f>INDEX($B$33:$AA$80,MATCH(EL$4,$A$33:$A$80,0),MATCH($CZ6,$B$32:$AA$32,0))</f>
        <v>4</v>
      </c>
      <c r="EM6" s="2">
        <f>INDEX($B$33:$AA$80,MATCH(EM$4,$A$33:$A$80,0),MATCH($CZ6,$B$32:$AA$32,0))</f>
        <v>0</v>
      </c>
      <c r="EN6" s="2">
        <f>INDEX($B$33:$AA$80,MATCH(EN$4,$A$33:$A$80,0),MATCH($CZ6,$B$32:$AA$32,0))</f>
        <v>0</v>
      </c>
      <c r="EO6" s="2">
        <f>INDEX($B$33:$AA$80,MATCH(EO$4,$A$33:$A$80,0),MATCH($CZ6,$B$32:$AA$32,0))</f>
        <v>0</v>
      </c>
      <c r="EP6" s="2">
        <f>INDEX($B$33:$AA$80,MATCH(EP$4,$A$33:$A$80,0),MATCH($CZ6,$B$32:$AA$32,0))</f>
        <v>0</v>
      </c>
      <c r="EQ6" s="2">
        <f>INDEX($B$33:$AA$80,MATCH(EQ$4,$A$33:$A$80,0),MATCH($CZ6,$B$32:$AA$32,0))</f>
        <v>0</v>
      </c>
      <c r="ER6" s="2">
        <f>INDEX($B$33:$AA$80,MATCH(ER$4,$A$33:$A$80,0),MATCH($CZ6,$B$32:$AA$32,0))</f>
        <v>0</v>
      </c>
      <c r="ES6" s="2">
        <f>INDEX($B$33:$AA$80,MATCH(ES$4,$A$33:$A$80,0),MATCH($CZ6,$B$32:$AA$32,0))</f>
        <v>0</v>
      </c>
      <c r="ET6" s="2">
        <f>INDEX($B$33:$AA$80,MATCH(ET$4,$A$33:$A$80,0),MATCH($CZ6,$B$32:$AA$32,0))</f>
        <v>0</v>
      </c>
      <c r="EU6" s="2">
        <f>INDEX($B$33:$AA$80,MATCH(EU$4,$A$33:$A$80,0),MATCH($CZ6,$B$32:$AA$32,0))</f>
        <v>0</v>
      </c>
      <c r="EV6" s="2">
        <f>INDEX($B$33:$AA$80,MATCH(EV$4,$A$33:$A$80,0),MATCH($CZ6,$B$32:$AA$32,0))</f>
        <v>0</v>
      </c>
    </row>
    <row r="7" spans="1:152">
      <c r="A7" s="2" t="str">
        <f>EMBELISHMENT!A5</f>
        <v>SNLS - Edge cutter</v>
      </c>
      <c r="B7" s="293" t="s">
        <v>159</v>
      </c>
      <c r="C7" s="2">
        <f>IFERROR(INDEX('MC MASTER'!$C$3:$C$28,MATCH($B7,'MC MASTER'!$B$3:$B$28,0)),"** NOT A GROUP **")</f>
        <v>2</v>
      </c>
      <c r="E7" s="2" t="str">
        <f>'LINE PLAN'!$HA$7</f>
        <v>RS 26/27</v>
      </c>
      <c r="F7" s="268" t="str">
        <f>IFERROR(INDEX($L$5:$L$28,MATCH($E7,$K$5:$K$28,0)),$E7)</f>
        <v>RS-27</v>
      </c>
      <c r="G7" s="2">
        <f>IFERROR(INDEX(EMBELISHMENT!$B$28:$AQ$28,MATCH($F7,EMBELISHMENT!$B$1:$AQ$1,0)),"-")</f>
        <v>25</v>
      </c>
      <c r="H7" s="2">
        <f>IFERROR(INDEX(EMBELISHMENT!$B$29:$AQ$29,MATCH($F7,EMBELISHMENT!$B$1:$AQ$1,0)),"-")</f>
        <v>3000</v>
      </c>
      <c r="I7" s="2" t="str">
        <f>IF($F7="","No embl. data",IF(ISNA(MATCH($F7,EMBELISHMENT!$B$1:$AQ$1,0)),"ALIAS NOT FOUND","OK"))</f>
        <v>OK</v>
      </c>
      <c r="K7" s="293" t="s">
        <v>12</v>
      </c>
      <c r="L7" s="293" t="s">
        <v>23</v>
      </c>
      <c r="M7" s="293" t="s">
        <v>248</v>
      </c>
      <c r="BA7" s="268" t="str">
        <f>INDEX('MC MASTER'!$B$3:$B$28,3)</f>
        <v>SNLS - Edge cutter</v>
      </c>
      <c r="BU7" s="2">
        <f>SUM($DA7:$EV7)</f>
        <v>0</v>
      </c>
      <c r="BV7" s="2" t="str">
        <f>IF($BU7=0,"NEVER USED BY ANY STYLE","used")</f>
        <v>NEVER USED BY ANY STYLE</v>
      </c>
      <c r="BW7" s="269" t="str">
        <f>'MC MASTER'!$B5</f>
        <v>SNLS - Edge cutter</v>
      </c>
      <c r="BX7" s="269" t="str">
        <f>'MC MASTER'!$A5</f>
        <v>LOCK-STITCH</v>
      </c>
      <c r="CZ7" s="2" cm="1" t="str">
        <f t="array" ref="CZ7">INDEX('MC MASTER'!$B$3:$B$28,ROW()-4)</f>
        <v>SNLS - Edge cutter</v>
      </c>
      <c r="DA7" s="2">
        <f>INDEX($B$33:$AA$80,MATCH(DA$4,$A$33:$A$80,0),MATCH($CZ7,$B$32:$AA$32,0))</f>
        <v>0</v>
      </c>
      <c r="DB7" s="2">
        <f>INDEX($B$33:$AA$80,MATCH(DB$4,$A$33:$A$80,0),MATCH($CZ7,$B$32:$AA$32,0))</f>
        <v>0</v>
      </c>
      <c r="DC7" s="2">
        <f>INDEX($B$33:$AA$80,MATCH(DC$4,$A$33:$A$80,0),MATCH($CZ7,$B$32:$AA$32,0))</f>
        <v>0</v>
      </c>
      <c r="DD7" s="2">
        <f>INDEX($B$33:$AA$80,MATCH(DD$4,$A$33:$A$80,0),MATCH($CZ7,$B$32:$AA$32,0))</f>
        <v>0</v>
      </c>
      <c r="DE7" s="2">
        <f>INDEX($B$33:$AA$80,MATCH(DE$4,$A$33:$A$80,0),MATCH($CZ7,$B$32:$AA$32,0))</f>
        <v>0</v>
      </c>
      <c r="DF7" s="2">
        <f>INDEX($B$33:$AA$80,MATCH(DF$4,$A$33:$A$80,0),MATCH($CZ7,$B$32:$AA$32,0))</f>
        <v>0</v>
      </c>
      <c r="DG7" s="2">
        <f>INDEX($B$33:$AA$80,MATCH(DG$4,$A$33:$A$80,0),MATCH($CZ7,$B$32:$AA$32,0))</f>
        <v>0</v>
      </c>
      <c r="DH7" s="2">
        <f>INDEX($B$33:$AA$80,MATCH(DH$4,$A$33:$A$80,0),MATCH($CZ7,$B$32:$AA$32,0))</f>
        <v>0</v>
      </c>
      <c r="DI7" s="2">
        <f>INDEX($B$33:$AA$80,MATCH(DI$4,$A$33:$A$80,0),MATCH($CZ7,$B$32:$AA$32,0))</f>
        <v>0</v>
      </c>
      <c r="DJ7" s="2">
        <f>INDEX($B$33:$AA$80,MATCH(DJ$4,$A$33:$A$80,0),MATCH($CZ7,$B$32:$AA$32,0))</f>
        <v>0</v>
      </c>
      <c r="DK7" s="2">
        <f>INDEX($B$33:$AA$80,MATCH(DK$4,$A$33:$A$80,0),MATCH($CZ7,$B$32:$AA$32,0))</f>
        <v>0</v>
      </c>
      <c r="DL7" s="2">
        <f>INDEX($B$33:$AA$80,MATCH(DL$4,$A$33:$A$80,0),MATCH($CZ7,$B$32:$AA$32,0))</f>
        <v>0</v>
      </c>
      <c r="DM7" s="2">
        <f>INDEX($B$33:$AA$80,MATCH(DM$4,$A$33:$A$80,0),MATCH($CZ7,$B$32:$AA$32,0))</f>
        <v>0</v>
      </c>
      <c r="DN7" s="2">
        <f>INDEX($B$33:$AA$80,MATCH(DN$4,$A$33:$A$80,0),MATCH($CZ7,$B$32:$AA$32,0))</f>
        <v>0</v>
      </c>
      <c r="DO7" s="2">
        <f>INDEX($B$33:$AA$80,MATCH(DO$4,$A$33:$A$80,0),MATCH($CZ7,$B$32:$AA$32,0))</f>
        <v>0</v>
      </c>
      <c r="DP7" s="2">
        <f>INDEX($B$33:$AA$80,MATCH(DP$4,$A$33:$A$80,0),MATCH($CZ7,$B$32:$AA$32,0))</f>
        <v>0</v>
      </c>
      <c r="DQ7" s="2">
        <f>INDEX($B$33:$AA$80,MATCH(DQ$4,$A$33:$A$80,0),MATCH($CZ7,$B$32:$AA$32,0))</f>
        <v>0</v>
      </c>
      <c r="DR7" s="2">
        <f>INDEX($B$33:$AA$80,MATCH(DR$4,$A$33:$A$80,0),MATCH($CZ7,$B$32:$AA$32,0))</f>
        <v>0</v>
      </c>
      <c r="DS7" s="2">
        <f>INDEX($B$33:$AA$80,MATCH(DS$4,$A$33:$A$80,0),MATCH($CZ7,$B$32:$AA$32,0))</f>
        <v>0</v>
      </c>
      <c r="DT7" s="2">
        <f>INDEX($B$33:$AA$80,MATCH(DT$4,$A$33:$A$80,0),MATCH($CZ7,$B$32:$AA$32,0))</f>
        <v>0</v>
      </c>
      <c r="DU7" s="2">
        <f>INDEX($B$33:$AA$80,MATCH(DU$4,$A$33:$A$80,0),MATCH($CZ7,$B$32:$AA$32,0))</f>
        <v>0</v>
      </c>
      <c r="DV7" s="2">
        <f>INDEX($B$33:$AA$80,MATCH(DV$4,$A$33:$A$80,0),MATCH($CZ7,$B$32:$AA$32,0))</f>
        <v>0</v>
      </c>
      <c r="DW7" s="2">
        <f>INDEX($B$33:$AA$80,MATCH(DW$4,$A$33:$A$80,0),MATCH($CZ7,$B$32:$AA$32,0))</f>
        <v>0</v>
      </c>
      <c r="DX7" s="2">
        <f>INDEX($B$33:$AA$80,MATCH(DX$4,$A$33:$A$80,0),MATCH($CZ7,$B$32:$AA$32,0))</f>
        <v>0</v>
      </c>
      <c r="DY7" s="2">
        <f>INDEX($B$33:$AA$80,MATCH(DY$4,$A$33:$A$80,0),MATCH($CZ7,$B$32:$AA$32,0))</f>
        <v>0</v>
      </c>
      <c r="DZ7" s="2">
        <f>INDEX($B$33:$AA$80,MATCH(DZ$4,$A$33:$A$80,0),MATCH($CZ7,$B$32:$AA$32,0))</f>
        <v>0</v>
      </c>
      <c r="EA7" s="2">
        <f>INDEX($B$33:$AA$80,MATCH(EA$4,$A$33:$A$80,0),MATCH($CZ7,$B$32:$AA$32,0))</f>
        <v>0</v>
      </c>
      <c r="EB7" s="2">
        <f>INDEX($B$33:$AA$80,MATCH(EB$4,$A$33:$A$80,0),MATCH($CZ7,$B$32:$AA$32,0))</f>
        <v>0</v>
      </c>
      <c r="EC7" s="2">
        <f>INDEX($B$33:$AA$80,MATCH(EC$4,$A$33:$A$80,0),MATCH($CZ7,$B$32:$AA$32,0))</f>
        <v>0</v>
      </c>
      <c r="ED7" s="2">
        <f>INDEX($B$33:$AA$80,MATCH(ED$4,$A$33:$A$80,0),MATCH($CZ7,$B$32:$AA$32,0))</f>
        <v>0</v>
      </c>
      <c r="EE7" s="2">
        <f>INDEX($B$33:$AA$80,MATCH(EE$4,$A$33:$A$80,0),MATCH($CZ7,$B$32:$AA$32,0))</f>
        <v>0</v>
      </c>
      <c r="EF7" s="2">
        <f>INDEX($B$33:$AA$80,MATCH(EF$4,$A$33:$A$80,0),MATCH($CZ7,$B$32:$AA$32,0))</f>
        <v>0</v>
      </c>
      <c r="EG7" s="2">
        <f>INDEX($B$33:$AA$80,MATCH(EG$4,$A$33:$A$80,0),MATCH($CZ7,$B$32:$AA$32,0))</f>
        <v>0</v>
      </c>
      <c r="EH7" s="2">
        <f>INDEX($B$33:$AA$80,MATCH(EH$4,$A$33:$A$80,0),MATCH($CZ7,$B$32:$AA$32,0))</f>
        <v>0</v>
      </c>
      <c r="EI7" s="2">
        <f>INDEX($B$33:$AA$80,MATCH(EI$4,$A$33:$A$80,0),MATCH($CZ7,$B$32:$AA$32,0))</f>
        <v>0</v>
      </c>
      <c r="EJ7" s="2">
        <f>INDEX($B$33:$AA$80,MATCH(EJ$4,$A$33:$A$80,0),MATCH($CZ7,$B$32:$AA$32,0))</f>
        <v>0</v>
      </c>
      <c r="EK7" s="2">
        <f>INDEX($B$33:$AA$80,MATCH(EK$4,$A$33:$A$80,0),MATCH($CZ7,$B$32:$AA$32,0))</f>
        <v>0</v>
      </c>
      <c r="EL7" s="2">
        <f>INDEX($B$33:$AA$80,MATCH(EL$4,$A$33:$A$80,0),MATCH($CZ7,$B$32:$AA$32,0))</f>
        <v>0</v>
      </c>
      <c r="EM7" s="2">
        <f>INDEX($B$33:$AA$80,MATCH(EM$4,$A$33:$A$80,0),MATCH($CZ7,$B$32:$AA$32,0))</f>
        <v>0</v>
      </c>
      <c r="EN7" s="2">
        <f>INDEX($B$33:$AA$80,MATCH(EN$4,$A$33:$A$80,0),MATCH($CZ7,$B$32:$AA$32,0))</f>
        <v>0</v>
      </c>
      <c r="EO7" s="2">
        <f>INDEX($B$33:$AA$80,MATCH(EO$4,$A$33:$A$80,0),MATCH($CZ7,$B$32:$AA$32,0))</f>
        <v>0</v>
      </c>
      <c r="EP7" s="2">
        <f>INDEX($B$33:$AA$80,MATCH(EP$4,$A$33:$A$80,0),MATCH($CZ7,$B$32:$AA$32,0))</f>
        <v>0</v>
      </c>
      <c r="EQ7" s="2">
        <f>INDEX($B$33:$AA$80,MATCH(EQ$4,$A$33:$A$80,0),MATCH($CZ7,$B$32:$AA$32,0))</f>
        <v>0</v>
      </c>
      <c r="ER7" s="2">
        <f>INDEX($B$33:$AA$80,MATCH(ER$4,$A$33:$A$80,0),MATCH($CZ7,$B$32:$AA$32,0))</f>
        <v>0</v>
      </c>
      <c r="ES7" s="2">
        <f>INDEX($B$33:$AA$80,MATCH(ES$4,$A$33:$A$80,0),MATCH($CZ7,$B$32:$AA$32,0))</f>
        <v>0</v>
      </c>
      <c r="ET7" s="2">
        <f>INDEX($B$33:$AA$80,MATCH(ET$4,$A$33:$A$80,0),MATCH($CZ7,$B$32:$AA$32,0))</f>
        <v>0</v>
      </c>
      <c r="EU7" s="2">
        <f>INDEX($B$33:$AA$80,MATCH(EU$4,$A$33:$A$80,0),MATCH($CZ7,$B$32:$AA$32,0))</f>
        <v>0</v>
      </c>
      <c r="EV7" s="2">
        <f>INDEX($B$33:$AA$80,MATCH(EV$4,$A$33:$A$80,0),MATCH($CZ7,$B$32:$AA$32,0))</f>
        <v>0</v>
      </c>
    </row>
    <row r="8" spans="1:152">
      <c r="A8" s="2" t="str">
        <f>EMBELISHMENT!A6</f>
        <v>Zig - Zag</v>
      </c>
      <c r="B8" s="293" t="s">
        <v>160</v>
      </c>
      <c r="C8" s="2">
        <f>IFERROR(INDEX('MC MASTER'!$C$3:$C$28,MATCH($B8,'MC MASTER'!$B$3:$B$28,0)),"** NOT A GROUP **")</f>
        <v>8</v>
      </c>
      <c r="E8" s="2">
        <f>'LINE PLAN'!$HA$8</f>
        <v>6820</v>
      </c>
      <c r="F8" s="268">
        <f>IFERROR(INDEX($L$5:$L$28,MATCH($E8,$K$5:$K$28,0)),$E8)</f>
        <v>6820</v>
      </c>
      <c r="G8" s="2">
        <f>IFERROR(INDEX(EMBELISHMENT!$B$28:$AQ$28,MATCH($F8,EMBELISHMENT!$B$1:$AQ$1,0)),"-")</f>
        <v>32</v>
      </c>
      <c r="H8" s="2">
        <f>IFERROR(INDEX(EMBELISHMENT!$B$29:$AQ$29,MATCH($F8,EMBELISHMENT!$B$1:$AQ$1,0)),"-")</f>
        <v>5000</v>
      </c>
      <c r="I8" s="2" t="str">
        <f>IF($F8="","No embl. data",IF(ISNA(MATCH($F8,EMBELISHMENT!$B$1:$AQ$1,0)),"ALIAS NOT FOUND","OK"))</f>
        <v>OK</v>
      </c>
      <c r="K8" s="293" t="s">
        <v>14</v>
      </c>
      <c r="L8" s="293" t="s">
        <v>23</v>
      </c>
      <c r="M8" s="293" t="s">
        <v>248</v>
      </c>
      <c r="BA8" s="268" t="str">
        <f>INDEX('MC MASTER'!$B$3:$B$28,4)</f>
        <v>Zig - Zag</v>
      </c>
      <c r="BU8" s="2">
        <f>SUM($DA8:$EV8)</f>
        <v>10</v>
      </c>
      <c r="BV8" s="2" t="str">
        <f>IF($BU8=0,"NEVER USED BY ANY STYLE","used")</f>
        <v>used</v>
      </c>
      <c r="BW8" s="269" t="str">
        <f>'MC MASTER'!$B6</f>
        <v>Zig - Zag</v>
      </c>
      <c r="BX8" s="269" t="str">
        <f>'MC MASTER'!$A6</f>
        <v>LOCK-STITCH</v>
      </c>
      <c r="CZ8" s="2" cm="1" t="str">
        <f t="array" ref="CZ8">INDEX('MC MASTER'!$B$3:$B$28,ROW()-4)</f>
        <v>Zig - Zag</v>
      </c>
      <c r="DA8" s="2">
        <f>INDEX($B$33:$AA$80,MATCH(DA$4,$A$33:$A$80,0),MATCH($CZ8,$B$32:$AA$32,0))</f>
        <v>1</v>
      </c>
      <c r="DB8" s="2">
        <f>INDEX($B$33:$AA$80,MATCH(DB$4,$A$33:$A$80,0),MATCH($CZ8,$B$32:$AA$32,0))</f>
        <v>1</v>
      </c>
      <c r="DC8" s="2">
        <f>INDEX($B$33:$AA$80,MATCH(DC$4,$A$33:$A$80,0),MATCH($CZ8,$B$32:$AA$32,0))</f>
        <v>0</v>
      </c>
      <c r="DD8" s="2">
        <f>INDEX($B$33:$AA$80,MATCH(DD$4,$A$33:$A$80,0),MATCH($CZ8,$B$32:$AA$32,0))</f>
        <v>0</v>
      </c>
      <c r="DE8" s="2">
        <f>INDEX($B$33:$AA$80,MATCH(DE$4,$A$33:$A$80,0),MATCH($CZ8,$B$32:$AA$32,0))</f>
        <v>0</v>
      </c>
      <c r="DF8" s="2">
        <f>INDEX($B$33:$AA$80,MATCH(DF$4,$A$33:$A$80,0),MATCH($CZ8,$B$32:$AA$32,0))</f>
        <v>0</v>
      </c>
      <c r="DG8" s="2">
        <f>INDEX($B$33:$AA$80,MATCH(DG$4,$A$33:$A$80,0),MATCH($CZ8,$B$32:$AA$32,0))</f>
        <v>0</v>
      </c>
      <c r="DH8" s="2">
        <f>INDEX($B$33:$AA$80,MATCH(DH$4,$A$33:$A$80,0),MATCH($CZ8,$B$32:$AA$32,0))</f>
        <v>0</v>
      </c>
      <c r="DI8" s="2">
        <f>INDEX($B$33:$AA$80,MATCH(DI$4,$A$33:$A$80,0),MATCH($CZ8,$B$32:$AA$32,0))</f>
        <v>0</v>
      </c>
      <c r="DJ8" s="2">
        <f>INDEX($B$33:$AA$80,MATCH(DJ$4,$A$33:$A$80,0),MATCH($CZ8,$B$32:$AA$32,0))</f>
        <v>0</v>
      </c>
      <c r="DK8" s="2">
        <f>INDEX($B$33:$AA$80,MATCH(DK$4,$A$33:$A$80,0),MATCH($CZ8,$B$32:$AA$32,0))</f>
        <v>0</v>
      </c>
      <c r="DL8" s="2">
        <f>INDEX($B$33:$AA$80,MATCH(DL$4,$A$33:$A$80,0),MATCH($CZ8,$B$32:$AA$32,0))</f>
        <v>0</v>
      </c>
      <c r="DM8" s="2">
        <f>INDEX($B$33:$AA$80,MATCH(DM$4,$A$33:$A$80,0),MATCH($CZ8,$B$32:$AA$32,0))</f>
        <v>0</v>
      </c>
      <c r="DN8" s="2">
        <f>INDEX($B$33:$AA$80,MATCH(DN$4,$A$33:$A$80,0),MATCH($CZ8,$B$32:$AA$32,0))</f>
        <v>0</v>
      </c>
      <c r="DO8" s="2">
        <f>INDEX($B$33:$AA$80,MATCH(DO$4,$A$33:$A$80,0),MATCH($CZ8,$B$32:$AA$32,0))</f>
        <v>0</v>
      </c>
      <c r="DP8" s="2">
        <f>INDEX($B$33:$AA$80,MATCH(DP$4,$A$33:$A$80,0),MATCH($CZ8,$B$32:$AA$32,0))</f>
        <v>1</v>
      </c>
      <c r="DQ8" s="2">
        <f>INDEX($B$33:$AA$80,MATCH(DQ$4,$A$33:$A$80,0),MATCH($CZ8,$B$32:$AA$32,0))</f>
        <v>1</v>
      </c>
      <c r="DR8" s="2">
        <f>INDEX($B$33:$AA$80,MATCH(DR$4,$A$33:$A$80,0),MATCH($CZ8,$B$32:$AA$32,0))</f>
        <v>0</v>
      </c>
      <c r="DS8" s="2">
        <f>INDEX($B$33:$AA$80,MATCH(DS$4,$A$33:$A$80,0),MATCH($CZ8,$B$32:$AA$32,0))</f>
        <v>0</v>
      </c>
      <c r="DT8" s="2">
        <f>INDEX($B$33:$AA$80,MATCH(DT$4,$A$33:$A$80,0),MATCH($CZ8,$B$32:$AA$32,0))</f>
        <v>0</v>
      </c>
      <c r="DU8" s="2">
        <f>INDEX($B$33:$AA$80,MATCH(DU$4,$A$33:$A$80,0),MATCH($CZ8,$B$32:$AA$32,0))</f>
        <v>0</v>
      </c>
      <c r="DV8" s="2">
        <f>INDEX($B$33:$AA$80,MATCH(DV$4,$A$33:$A$80,0),MATCH($CZ8,$B$32:$AA$32,0))</f>
        <v>0</v>
      </c>
      <c r="DW8" s="2">
        <f>INDEX($B$33:$AA$80,MATCH(DW$4,$A$33:$A$80,0),MATCH($CZ8,$B$32:$AA$32,0))</f>
        <v>0</v>
      </c>
      <c r="DX8" s="2">
        <f>INDEX($B$33:$AA$80,MATCH(DX$4,$A$33:$A$80,0),MATCH($CZ8,$B$32:$AA$32,0))</f>
        <v>0</v>
      </c>
      <c r="DY8" s="2">
        <f>INDEX($B$33:$AA$80,MATCH(DY$4,$A$33:$A$80,0),MATCH($CZ8,$B$32:$AA$32,0))</f>
        <v>0</v>
      </c>
      <c r="DZ8" s="2">
        <f>INDEX($B$33:$AA$80,MATCH(DZ$4,$A$33:$A$80,0),MATCH($CZ8,$B$32:$AA$32,0))</f>
        <v>0</v>
      </c>
      <c r="EA8" s="2">
        <f>INDEX($B$33:$AA$80,MATCH(EA$4,$A$33:$A$80,0),MATCH($CZ8,$B$32:$AA$32,0))</f>
        <v>0</v>
      </c>
      <c r="EB8" s="2">
        <f>INDEX($B$33:$AA$80,MATCH(EB$4,$A$33:$A$80,0),MATCH($CZ8,$B$32:$AA$32,0))</f>
        <v>0</v>
      </c>
      <c r="EC8" s="2">
        <f>INDEX($B$33:$AA$80,MATCH(EC$4,$A$33:$A$80,0),MATCH($CZ8,$B$32:$AA$32,0))</f>
        <v>0</v>
      </c>
      <c r="ED8" s="2">
        <f>INDEX($B$33:$AA$80,MATCH(ED$4,$A$33:$A$80,0),MATCH($CZ8,$B$32:$AA$32,0))</f>
        <v>0</v>
      </c>
      <c r="EE8" s="2">
        <f>INDEX($B$33:$AA$80,MATCH(EE$4,$A$33:$A$80,0),MATCH($CZ8,$B$32:$AA$32,0))</f>
        <v>0</v>
      </c>
      <c r="EF8" s="2">
        <f>INDEX($B$33:$AA$80,MATCH(EF$4,$A$33:$A$80,0),MATCH($CZ8,$B$32:$AA$32,0))</f>
        <v>0</v>
      </c>
      <c r="EG8" s="2">
        <f>INDEX($B$33:$AA$80,MATCH(EG$4,$A$33:$A$80,0),MATCH($CZ8,$B$32:$AA$32,0))</f>
        <v>1</v>
      </c>
      <c r="EH8" s="2">
        <f>INDEX($B$33:$AA$80,MATCH(EH$4,$A$33:$A$80,0),MATCH($CZ8,$B$32:$AA$32,0))</f>
        <v>1</v>
      </c>
      <c r="EI8" s="2">
        <f>INDEX($B$33:$AA$80,MATCH(EI$4,$A$33:$A$80,0),MATCH($CZ8,$B$32:$AA$32,0))</f>
        <v>0</v>
      </c>
      <c r="EJ8" s="2">
        <f>INDEX($B$33:$AA$80,MATCH(EJ$4,$A$33:$A$80,0),MATCH($CZ8,$B$32:$AA$32,0))</f>
        <v>1</v>
      </c>
      <c r="EK8" s="2">
        <f>INDEX($B$33:$AA$80,MATCH(EK$4,$A$33:$A$80,0),MATCH($CZ8,$B$32:$AA$32,0))</f>
        <v>0</v>
      </c>
      <c r="EL8" s="2">
        <f>INDEX($B$33:$AA$80,MATCH(EL$4,$A$33:$A$80,0),MATCH($CZ8,$B$32:$AA$32,0))</f>
        <v>0</v>
      </c>
      <c r="EM8" s="2">
        <f>INDEX($B$33:$AA$80,MATCH(EM$4,$A$33:$A$80,0),MATCH($CZ8,$B$32:$AA$32,0))</f>
        <v>0</v>
      </c>
      <c r="EN8" s="2">
        <f>INDEX($B$33:$AA$80,MATCH(EN$4,$A$33:$A$80,0),MATCH($CZ8,$B$32:$AA$32,0))</f>
        <v>1</v>
      </c>
      <c r="EO8" s="2">
        <f>INDEX($B$33:$AA$80,MATCH(EO$4,$A$33:$A$80,0),MATCH($CZ8,$B$32:$AA$32,0))</f>
        <v>0</v>
      </c>
      <c r="EP8" s="2">
        <f>INDEX($B$33:$AA$80,MATCH(EP$4,$A$33:$A$80,0),MATCH($CZ8,$B$32:$AA$32,0))</f>
        <v>0</v>
      </c>
      <c r="EQ8" s="2">
        <f>INDEX($B$33:$AA$80,MATCH(EQ$4,$A$33:$A$80,0),MATCH($CZ8,$B$32:$AA$32,0))</f>
        <v>0</v>
      </c>
      <c r="ER8" s="2">
        <f>INDEX($B$33:$AA$80,MATCH(ER$4,$A$33:$A$80,0),MATCH($CZ8,$B$32:$AA$32,0))</f>
        <v>0</v>
      </c>
      <c r="ES8" s="2">
        <f>INDEX($B$33:$AA$80,MATCH(ES$4,$A$33:$A$80,0),MATCH($CZ8,$B$32:$AA$32,0))</f>
        <v>1</v>
      </c>
      <c r="ET8" s="2">
        <f>INDEX($B$33:$AA$80,MATCH(ET$4,$A$33:$A$80,0),MATCH($CZ8,$B$32:$AA$32,0))</f>
        <v>0</v>
      </c>
      <c r="EU8" s="2">
        <f>INDEX($B$33:$AA$80,MATCH(EU$4,$A$33:$A$80,0),MATCH($CZ8,$B$32:$AA$32,0))</f>
        <v>1</v>
      </c>
      <c r="EV8" s="2">
        <f>INDEX($B$33:$AA$80,MATCH(EV$4,$A$33:$A$80,0),MATCH($CZ8,$B$32:$AA$32,0))</f>
        <v>0</v>
      </c>
    </row>
    <row r="9" spans="1:152">
      <c r="A9" s="2" t="str">
        <f>EMBELISHMENT!A7</f>
        <v>4th Overlock</v>
      </c>
      <c r="B9" s="293" t="s">
        <v>161</v>
      </c>
      <c r="C9" s="2">
        <f>IFERROR(INDEX('MC MASTER'!$C$3:$C$28,MATCH($B9,'MC MASTER'!$B$3:$B$28,0)),"** NOT A GROUP **")</f>
        <v>279</v>
      </c>
      <c r="E9" s="2">
        <f>'LINE PLAN'!$HA$9</f>
        <v>6108</v>
      </c>
      <c r="F9" s="268">
        <f>IFERROR(INDEX($L$5:$L$28,MATCH($E9,$K$5:$K$28,0)),$E9)</f>
        <v>6108</v>
      </c>
      <c r="G9" s="2">
        <f>IFERROR(INDEX(EMBELISHMENT!$B$28:$AQ$28,MATCH($F9,EMBELISHMENT!$B$1:$AQ$1,0)),"-")</f>
        <v>31.5</v>
      </c>
      <c r="H9" s="2">
        <f>IFERROR(INDEX(EMBELISHMENT!$B$29:$AQ$29,MATCH($F9,EMBELISHMENT!$B$1:$AQ$1,0)),"-")</f>
        <v>3500</v>
      </c>
      <c r="I9" s="2" t="str">
        <f>IF($F9="","No embl. data",IF(ISNA(MATCH($F9,EMBELISHMENT!$B$1:$AQ$1,0)),"ALIAS NOT FOUND","OK"))</f>
        <v>OK</v>
      </c>
      <c r="K9" s="293" t="s">
        <v>9</v>
      </c>
      <c r="L9" s="293">
        <v>4300</v>
      </c>
      <c r="M9" s="293" t="s">
        <v>248</v>
      </c>
      <c r="BA9" s="268" t="str">
        <f>INDEX('MC MASTER'!$B$3:$B$28,5)</f>
        <v>4th Overlock</v>
      </c>
      <c r="BU9" s="2">
        <f>SUM($DA9:$EV9)</f>
        <v>389</v>
      </c>
      <c r="BV9" s="2" t="str">
        <f>IF($BU9=0,"NEVER USED BY ANY STYLE","used")</f>
        <v>used</v>
      </c>
      <c r="BW9" s="269" t="str">
        <f>'MC MASTER'!$B7</f>
        <v>4th Overlock</v>
      </c>
      <c r="BX9" s="269" t="str">
        <f>'MC MASTER'!$A7</f>
        <v>OVER-LOCK</v>
      </c>
      <c r="CZ9" s="2" cm="1" t="str">
        <f t="array" ref="CZ9">INDEX('MC MASTER'!$B$3:$B$28,ROW()-4)</f>
        <v>4th Overlock</v>
      </c>
      <c r="DA9" s="2">
        <f>INDEX($B$33:$AA$80,MATCH(DA$4,$A$33:$A$80,0),MATCH($CZ9,$B$32:$AA$32,0))</f>
        <v>8</v>
      </c>
      <c r="DB9" s="2">
        <f>INDEX($B$33:$AA$80,MATCH(DB$4,$A$33:$A$80,0),MATCH($CZ9,$B$32:$AA$32,0))</f>
        <v>9</v>
      </c>
      <c r="DC9" s="2">
        <f>INDEX($B$33:$AA$80,MATCH(DC$4,$A$33:$A$80,0),MATCH($CZ9,$B$32:$AA$32,0))</f>
        <v>8</v>
      </c>
      <c r="DD9" s="2">
        <f>INDEX($B$33:$AA$80,MATCH(DD$4,$A$33:$A$80,0),MATCH($CZ9,$B$32:$AA$32,0))</f>
        <v>16</v>
      </c>
      <c r="DE9" s="2">
        <f>INDEX($B$33:$AA$80,MATCH(DE$4,$A$33:$A$80,0),MATCH($CZ9,$B$32:$AA$32,0))</f>
        <v>10</v>
      </c>
      <c r="DF9" s="2">
        <f>INDEX($B$33:$AA$80,MATCH(DF$4,$A$33:$A$80,0),MATCH($CZ9,$B$32:$AA$32,0))</f>
        <v>10</v>
      </c>
      <c r="DG9" s="2">
        <f>INDEX($B$33:$AA$80,MATCH(DG$4,$A$33:$A$80,0),MATCH($CZ9,$B$32:$AA$32,0))</f>
        <v>8</v>
      </c>
      <c r="DH9" s="2">
        <f>INDEX($B$33:$AA$80,MATCH(DH$4,$A$33:$A$80,0),MATCH($CZ9,$B$32:$AA$32,0))</f>
        <v>10</v>
      </c>
      <c r="DI9" s="2">
        <f>INDEX($B$33:$AA$80,MATCH(DI$4,$A$33:$A$80,0),MATCH($CZ9,$B$32:$AA$32,0))</f>
        <v>10</v>
      </c>
      <c r="DJ9" s="2">
        <f>INDEX($B$33:$AA$80,MATCH(DJ$4,$A$33:$A$80,0),MATCH($CZ9,$B$32:$AA$32,0))</f>
        <v>10</v>
      </c>
      <c r="DK9" s="2">
        <f>INDEX($B$33:$AA$80,MATCH(DK$4,$A$33:$A$80,0),MATCH($CZ9,$B$32:$AA$32,0))</f>
        <v>14</v>
      </c>
      <c r="DL9" s="2">
        <f>INDEX($B$33:$AA$80,MATCH(DL$4,$A$33:$A$80,0),MATCH($CZ9,$B$32:$AA$32,0))</f>
        <v>0</v>
      </c>
      <c r="DM9" s="2">
        <f>INDEX($B$33:$AA$80,MATCH(DM$4,$A$33:$A$80,0),MATCH($CZ9,$B$32:$AA$32,0))</f>
        <v>0</v>
      </c>
      <c r="DN9" s="2">
        <f>INDEX($B$33:$AA$80,MATCH(DN$4,$A$33:$A$80,0),MATCH($CZ9,$B$32:$AA$32,0))</f>
        <v>13</v>
      </c>
      <c r="DO9" s="2">
        <f>INDEX($B$33:$AA$80,MATCH(DO$4,$A$33:$A$80,0),MATCH($CZ9,$B$32:$AA$32,0))</f>
        <v>12</v>
      </c>
      <c r="DP9" s="2">
        <f>INDEX($B$33:$AA$80,MATCH(DP$4,$A$33:$A$80,0),MATCH($CZ9,$B$32:$AA$32,0))</f>
        <v>10</v>
      </c>
      <c r="DQ9" s="2">
        <f>INDEX($B$33:$AA$80,MATCH(DQ$4,$A$33:$A$80,0),MATCH($CZ9,$B$32:$AA$32,0))</f>
        <v>8</v>
      </c>
      <c r="DR9" s="2">
        <f>INDEX($B$33:$AA$80,MATCH(DR$4,$A$33:$A$80,0),MATCH($CZ9,$B$32:$AA$32,0))</f>
        <v>11</v>
      </c>
      <c r="DS9" s="2">
        <f>INDEX($B$33:$AA$80,MATCH(DS$4,$A$33:$A$80,0),MATCH($CZ9,$B$32:$AA$32,0))</f>
        <v>6</v>
      </c>
      <c r="DT9" s="2">
        <f>INDEX($B$33:$AA$80,MATCH(DT$4,$A$33:$A$80,0),MATCH($CZ9,$B$32:$AA$32,0))</f>
        <v>10</v>
      </c>
      <c r="DU9" s="2">
        <f>INDEX($B$33:$AA$80,MATCH(DU$4,$A$33:$A$80,0),MATCH($CZ9,$B$32:$AA$32,0))</f>
        <v>12</v>
      </c>
      <c r="DV9" s="2">
        <f>INDEX($B$33:$AA$80,MATCH(DV$4,$A$33:$A$80,0),MATCH($CZ9,$B$32:$AA$32,0))</f>
        <v>7</v>
      </c>
      <c r="DW9" s="2">
        <f>INDEX($B$33:$AA$80,MATCH(DW$4,$A$33:$A$80,0),MATCH($CZ9,$B$32:$AA$32,0))</f>
        <v>7</v>
      </c>
      <c r="DX9" s="2">
        <f>INDEX($B$33:$AA$80,MATCH(DX$4,$A$33:$A$80,0),MATCH($CZ9,$B$32:$AA$32,0))</f>
        <v>9</v>
      </c>
      <c r="DY9" s="2">
        <f>INDEX($B$33:$AA$80,MATCH(DY$4,$A$33:$A$80,0),MATCH($CZ9,$B$32:$AA$32,0))</f>
        <v>8</v>
      </c>
      <c r="DZ9" s="2">
        <f>INDEX($B$33:$AA$80,MATCH(DZ$4,$A$33:$A$80,0),MATCH($CZ9,$B$32:$AA$32,0))</f>
        <v>11</v>
      </c>
      <c r="EA9" s="2">
        <f>INDEX($B$33:$AA$80,MATCH(EA$4,$A$33:$A$80,0),MATCH($CZ9,$B$32:$AA$32,0))</f>
        <v>11</v>
      </c>
      <c r="EB9" s="2">
        <f>INDEX($B$33:$AA$80,MATCH(EB$4,$A$33:$A$80,0),MATCH($CZ9,$B$32:$AA$32,0))</f>
        <v>10</v>
      </c>
      <c r="EC9" s="2">
        <f>INDEX($B$33:$AA$80,MATCH(EC$4,$A$33:$A$80,0),MATCH($CZ9,$B$32:$AA$32,0))</f>
        <v>7</v>
      </c>
      <c r="ED9" s="2">
        <f>INDEX($B$33:$AA$80,MATCH(ED$4,$A$33:$A$80,0),MATCH($CZ9,$B$32:$AA$32,0))</f>
        <v>8</v>
      </c>
      <c r="EE9" s="2">
        <f>INDEX($B$33:$AA$80,MATCH(EE$4,$A$33:$A$80,0),MATCH($CZ9,$B$32:$AA$32,0))</f>
        <v>10</v>
      </c>
      <c r="EF9" s="2">
        <f>INDEX($B$33:$AA$80,MATCH(EF$4,$A$33:$A$80,0),MATCH($CZ9,$B$32:$AA$32,0))</f>
        <v>0</v>
      </c>
      <c r="EG9" s="2">
        <f>INDEX($B$33:$AA$80,MATCH(EG$4,$A$33:$A$80,0),MATCH($CZ9,$B$32:$AA$32,0))</f>
        <v>0</v>
      </c>
      <c r="EH9" s="2">
        <f>INDEX($B$33:$AA$80,MATCH(EH$4,$A$33:$A$80,0),MATCH($CZ9,$B$32:$AA$32,0))</f>
        <v>9</v>
      </c>
      <c r="EI9" s="2">
        <f>INDEX($B$33:$AA$80,MATCH(EI$4,$A$33:$A$80,0),MATCH($CZ9,$B$32:$AA$32,0))</f>
        <v>7</v>
      </c>
      <c r="EJ9" s="2">
        <f>INDEX($B$33:$AA$80,MATCH(EJ$4,$A$33:$A$80,0),MATCH($CZ9,$B$32:$AA$32,0))</f>
        <v>9</v>
      </c>
      <c r="EK9" s="2">
        <f>INDEX($B$33:$AA$80,MATCH(EK$4,$A$33:$A$80,0),MATCH($CZ9,$B$32:$AA$32,0))</f>
        <v>10</v>
      </c>
      <c r="EL9" s="2">
        <f>INDEX($B$33:$AA$80,MATCH(EL$4,$A$33:$A$80,0),MATCH($CZ9,$B$32:$AA$32,0))</f>
        <v>10</v>
      </c>
      <c r="EM9" s="2">
        <f>INDEX($B$33:$AA$80,MATCH(EM$4,$A$33:$A$80,0),MATCH($CZ9,$B$32:$AA$32,0))</f>
        <v>7</v>
      </c>
      <c r="EN9" s="2">
        <f>INDEX($B$33:$AA$80,MATCH(EN$4,$A$33:$A$80,0),MATCH($CZ9,$B$32:$AA$32,0))</f>
        <v>11</v>
      </c>
      <c r="EO9" s="2">
        <f>INDEX($B$33:$AA$80,MATCH(EO$4,$A$33:$A$80,0),MATCH($CZ9,$B$32:$AA$32,0))</f>
        <v>4</v>
      </c>
      <c r="EP9" s="2">
        <f>INDEX($B$33:$AA$80,MATCH(EP$4,$A$33:$A$80,0),MATCH($CZ9,$B$32:$AA$32,0))</f>
        <v>4</v>
      </c>
      <c r="EQ9" s="2">
        <f>INDEX($B$33:$AA$80,MATCH(EQ$4,$A$33:$A$80,0),MATCH($CZ9,$B$32:$AA$32,0))</f>
        <v>6</v>
      </c>
      <c r="ER9" s="2">
        <f>INDEX($B$33:$AA$80,MATCH(ER$4,$A$33:$A$80,0),MATCH($CZ9,$B$32:$AA$32,0))</f>
        <v>8</v>
      </c>
      <c r="ES9" s="2">
        <f>INDEX($B$33:$AA$80,MATCH(ES$4,$A$33:$A$80,0),MATCH($CZ9,$B$32:$AA$32,0))</f>
        <v>2</v>
      </c>
      <c r="ET9" s="2">
        <f>INDEX($B$33:$AA$80,MATCH(ET$4,$A$33:$A$80,0),MATCH($CZ9,$B$32:$AA$32,0))</f>
        <v>10</v>
      </c>
      <c r="EU9" s="2">
        <f>INDEX($B$33:$AA$80,MATCH(EU$4,$A$33:$A$80,0),MATCH($CZ9,$B$32:$AA$32,0))</f>
        <v>2</v>
      </c>
      <c r="EV9" s="2">
        <f>INDEX($B$33:$AA$80,MATCH(EV$4,$A$33:$A$80,0),MATCH($CZ9,$B$32:$AA$32,0))</f>
        <v>7</v>
      </c>
    </row>
    <row r="10" spans="1:152">
      <c r="A10" s="2" t="str">
        <f>EMBELISHMENT!A8</f>
        <v>3th Overlock  (Leg elastic)</v>
      </c>
      <c r="B10" s="293" t="s">
        <v>452</v>
      </c>
      <c r="C10" s="2">
        <f>IFERROR(INDEX('MC MASTER'!$C$3:$C$28,MATCH($B10,'MC MASTER'!$B$3:$B$28,0)),"** NOT A GROUP **")</f>
        <v>30</v>
      </c>
      <c r="E10" s="2">
        <f>'LINE PLAN'!$HA$10</f>
        <v>6109</v>
      </c>
      <c r="F10" s="268">
        <f>IFERROR(INDEX($L$5:$L$28,MATCH($E10,$K$5:$K$28,0)),$E10)</f>
        <v>6109</v>
      </c>
      <c r="G10" s="2">
        <f>IFERROR(INDEX(EMBELISHMENT!$B$28:$AQ$28,MATCH($F10,EMBELISHMENT!$B$1:$AQ$1,0)),"-")</f>
        <v>30</v>
      </c>
      <c r="H10" s="2">
        <f>IFERROR(INDEX(EMBELISHMENT!$B$29:$AQ$29,MATCH($F10,EMBELISHMENT!$B$1:$AQ$1,0)),"-")</f>
        <v>3500</v>
      </c>
      <c r="I10" s="2" t="str">
        <f>IF($F10="","No embl. data",IF(ISNA(MATCH($F10,EMBELISHMENT!$B$1:$AQ$1,0)),"ALIAS NOT FOUND","OK"))</f>
        <v>OK</v>
      </c>
      <c r="K10" s="293" t="s">
        <v>17</v>
      </c>
      <c r="L10" s="293" t="s">
        <v>153</v>
      </c>
      <c r="M10" s="293" t="s">
        <v>248</v>
      </c>
      <c r="BA10" s="268" t="str">
        <f>INDEX('MC MASTER'!$B$3:$B$28,6)</f>
        <v>3th Overlock (Leg elastic)</v>
      </c>
      <c r="BU10" s="2">
        <f>SUM($DA10:$EV10)</f>
        <v>34</v>
      </c>
      <c r="BV10" s="2" t="str">
        <f>IF($BU10=0,"NEVER USED BY ANY STYLE","used")</f>
        <v>used</v>
      </c>
      <c r="BW10" s="269" t="str">
        <f>'MC MASTER'!$B8</f>
        <v>3th Overlock (Leg elastic)</v>
      </c>
      <c r="BX10" s="269" t="str">
        <f>'MC MASTER'!$A8</f>
        <v>OVER-LOCK</v>
      </c>
      <c r="CZ10" s="2" cm="1" t="str">
        <f t="array" ref="CZ10">INDEX('MC MASTER'!$B$3:$B$28,ROW()-4)</f>
        <v>3th Overlock (Leg elastic)</v>
      </c>
      <c r="DA10" s="2">
        <f>INDEX($B$33:$AA$80,MATCH(DA$4,$A$33:$A$80,0),MATCH($CZ10,$B$32:$AA$32,0))</f>
        <v>0</v>
      </c>
      <c r="DB10" s="2">
        <f>INDEX($B$33:$AA$80,MATCH(DB$4,$A$33:$A$80,0),MATCH($CZ10,$B$32:$AA$32,0))</f>
        <v>0</v>
      </c>
      <c r="DC10" s="2">
        <f>INDEX($B$33:$AA$80,MATCH(DC$4,$A$33:$A$80,0),MATCH($CZ10,$B$32:$AA$32,0))</f>
        <v>0</v>
      </c>
      <c r="DD10" s="2">
        <f>INDEX($B$33:$AA$80,MATCH(DD$4,$A$33:$A$80,0),MATCH($CZ10,$B$32:$AA$32,0))</f>
        <v>0</v>
      </c>
      <c r="DE10" s="2">
        <f>INDEX($B$33:$AA$80,MATCH(DE$4,$A$33:$A$80,0),MATCH($CZ10,$B$32:$AA$32,0))</f>
        <v>0</v>
      </c>
      <c r="DF10" s="2">
        <f>INDEX($B$33:$AA$80,MATCH(DF$4,$A$33:$A$80,0),MATCH($CZ10,$B$32:$AA$32,0))</f>
        <v>0</v>
      </c>
      <c r="DG10" s="2">
        <f>INDEX($B$33:$AA$80,MATCH(DG$4,$A$33:$A$80,0),MATCH($CZ10,$B$32:$AA$32,0))</f>
        <v>0</v>
      </c>
      <c r="DH10" s="2">
        <f>INDEX($B$33:$AA$80,MATCH(DH$4,$A$33:$A$80,0),MATCH($CZ10,$B$32:$AA$32,0))</f>
        <v>4</v>
      </c>
      <c r="DI10" s="2">
        <f>INDEX($B$33:$AA$80,MATCH(DI$4,$A$33:$A$80,0),MATCH($CZ10,$B$32:$AA$32,0))</f>
        <v>0</v>
      </c>
      <c r="DJ10" s="2">
        <f>INDEX($B$33:$AA$80,MATCH(DJ$4,$A$33:$A$80,0),MATCH($CZ10,$B$32:$AA$32,0))</f>
        <v>3</v>
      </c>
      <c r="DK10" s="2">
        <f>INDEX($B$33:$AA$80,MATCH(DK$4,$A$33:$A$80,0),MATCH($CZ10,$B$32:$AA$32,0))</f>
        <v>3</v>
      </c>
      <c r="DL10" s="2">
        <f>INDEX($B$33:$AA$80,MATCH(DL$4,$A$33:$A$80,0),MATCH($CZ10,$B$32:$AA$32,0))</f>
        <v>0</v>
      </c>
      <c r="DM10" s="2">
        <f>INDEX($B$33:$AA$80,MATCH(DM$4,$A$33:$A$80,0),MATCH($CZ10,$B$32:$AA$32,0))</f>
        <v>0</v>
      </c>
      <c r="DN10" s="2">
        <f>INDEX($B$33:$AA$80,MATCH(DN$4,$A$33:$A$80,0),MATCH($CZ10,$B$32:$AA$32,0))</f>
        <v>3</v>
      </c>
      <c r="DO10" s="2">
        <f>INDEX($B$33:$AA$80,MATCH(DO$4,$A$33:$A$80,0),MATCH($CZ10,$B$32:$AA$32,0))</f>
        <v>3</v>
      </c>
      <c r="DP10" s="2">
        <f>INDEX($B$33:$AA$80,MATCH(DP$4,$A$33:$A$80,0),MATCH($CZ10,$B$32:$AA$32,0))</f>
        <v>0</v>
      </c>
      <c r="DQ10" s="2">
        <f>INDEX($B$33:$AA$80,MATCH(DQ$4,$A$33:$A$80,0),MATCH($CZ10,$B$32:$AA$32,0))</f>
        <v>0</v>
      </c>
      <c r="DR10" s="2">
        <f>INDEX($B$33:$AA$80,MATCH(DR$4,$A$33:$A$80,0),MATCH($CZ10,$B$32:$AA$32,0))</f>
        <v>0</v>
      </c>
      <c r="DS10" s="2">
        <f>INDEX($B$33:$AA$80,MATCH(DS$4,$A$33:$A$80,0),MATCH($CZ10,$B$32:$AA$32,0))</f>
        <v>0</v>
      </c>
      <c r="DT10" s="2">
        <f>INDEX($B$33:$AA$80,MATCH(DT$4,$A$33:$A$80,0),MATCH($CZ10,$B$32:$AA$32,0))</f>
        <v>3</v>
      </c>
      <c r="DU10" s="2">
        <f>INDEX($B$33:$AA$80,MATCH(DU$4,$A$33:$A$80,0),MATCH($CZ10,$B$32:$AA$32,0))</f>
        <v>3</v>
      </c>
      <c r="DV10" s="2">
        <f>INDEX($B$33:$AA$80,MATCH(DV$4,$A$33:$A$80,0),MATCH($CZ10,$B$32:$AA$32,0))</f>
        <v>0</v>
      </c>
      <c r="DW10" s="2">
        <f>INDEX($B$33:$AA$80,MATCH(DW$4,$A$33:$A$80,0),MATCH($CZ10,$B$32:$AA$32,0))</f>
        <v>0</v>
      </c>
      <c r="DX10" s="2">
        <f>INDEX($B$33:$AA$80,MATCH(DX$4,$A$33:$A$80,0),MATCH($CZ10,$B$32:$AA$32,0))</f>
        <v>0</v>
      </c>
      <c r="DY10" s="2">
        <f>INDEX($B$33:$AA$80,MATCH(DY$4,$A$33:$A$80,0),MATCH($CZ10,$B$32:$AA$32,0))</f>
        <v>0</v>
      </c>
      <c r="DZ10" s="2">
        <f>INDEX($B$33:$AA$80,MATCH(DZ$4,$A$33:$A$80,0),MATCH($CZ10,$B$32:$AA$32,0))</f>
        <v>4</v>
      </c>
      <c r="EA10" s="2">
        <f>INDEX($B$33:$AA$80,MATCH(EA$4,$A$33:$A$80,0),MATCH($CZ10,$B$32:$AA$32,0))</f>
        <v>4</v>
      </c>
      <c r="EB10" s="2">
        <f>INDEX($B$33:$AA$80,MATCH(EB$4,$A$33:$A$80,0),MATCH($CZ10,$B$32:$AA$32,0))</f>
        <v>4</v>
      </c>
      <c r="EC10" s="2">
        <f>INDEX($B$33:$AA$80,MATCH(EC$4,$A$33:$A$80,0),MATCH($CZ10,$B$32:$AA$32,0))</f>
        <v>0</v>
      </c>
      <c r="ED10" s="2">
        <f>INDEX($B$33:$AA$80,MATCH(ED$4,$A$33:$A$80,0),MATCH($CZ10,$B$32:$AA$32,0))</f>
        <v>0</v>
      </c>
      <c r="EE10" s="2">
        <f>INDEX($B$33:$AA$80,MATCH(EE$4,$A$33:$A$80,0),MATCH($CZ10,$B$32:$AA$32,0))</f>
        <v>0</v>
      </c>
      <c r="EF10" s="2">
        <f>INDEX($B$33:$AA$80,MATCH(EF$4,$A$33:$A$80,0),MATCH($CZ10,$B$32:$AA$32,0))</f>
        <v>0</v>
      </c>
      <c r="EG10" s="2">
        <f>INDEX($B$33:$AA$80,MATCH(EG$4,$A$33:$A$80,0),MATCH($CZ10,$B$32:$AA$32,0))</f>
        <v>0</v>
      </c>
      <c r="EH10" s="2">
        <f>INDEX($B$33:$AA$80,MATCH(EH$4,$A$33:$A$80,0),MATCH($CZ10,$B$32:$AA$32,0))</f>
        <v>0</v>
      </c>
      <c r="EI10" s="2">
        <f>INDEX($B$33:$AA$80,MATCH(EI$4,$A$33:$A$80,0),MATCH($CZ10,$B$32:$AA$32,0))</f>
        <v>0</v>
      </c>
      <c r="EJ10" s="2">
        <f>INDEX($B$33:$AA$80,MATCH(EJ$4,$A$33:$A$80,0),MATCH($CZ10,$B$32:$AA$32,0))</f>
        <v>0</v>
      </c>
      <c r="EK10" s="2">
        <f>INDEX($B$33:$AA$80,MATCH(EK$4,$A$33:$A$80,0),MATCH($CZ10,$B$32:$AA$32,0))</f>
        <v>0</v>
      </c>
      <c r="EL10" s="2">
        <f>INDEX($B$33:$AA$80,MATCH(EL$4,$A$33:$A$80,0),MATCH($CZ10,$B$32:$AA$32,0))</f>
        <v>0</v>
      </c>
      <c r="EM10" s="2">
        <f>INDEX($B$33:$AA$80,MATCH(EM$4,$A$33:$A$80,0),MATCH($CZ10,$B$32:$AA$32,0))</f>
        <v>0</v>
      </c>
      <c r="EN10" s="2">
        <f>INDEX($B$33:$AA$80,MATCH(EN$4,$A$33:$A$80,0),MATCH($CZ10,$B$32:$AA$32,0))</f>
        <v>0</v>
      </c>
      <c r="EO10" s="2">
        <f>INDEX($B$33:$AA$80,MATCH(EO$4,$A$33:$A$80,0),MATCH($CZ10,$B$32:$AA$32,0))</f>
        <v>0</v>
      </c>
      <c r="EP10" s="2">
        <f>INDEX($B$33:$AA$80,MATCH(EP$4,$A$33:$A$80,0),MATCH($CZ10,$B$32:$AA$32,0))</f>
        <v>0</v>
      </c>
      <c r="EQ10" s="2">
        <f>INDEX($B$33:$AA$80,MATCH(EQ$4,$A$33:$A$80,0),MATCH($CZ10,$B$32:$AA$32,0))</f>
        <v>0</v>
      </c>
      <c r="ER10" s="2">
        <f>INDEX($B$33:$AA$80,MATCH(ER$4,$A$33:$A$80,0),MATCH($CZ10,$B$32:$AA$32,0))</f>
        <v>0</v>
      </c>
      <c r="ES10" s="2">
        <f>INDEX($B$33:$AA$80,MATCH(ES$4,$A$33:$A$80,0),MATCH($CZ10,$B$32:$AA$32,0))</f>
        <v>0</v>
      </c>
      <c r="ET10" s="2">
        <f>INDEX($B$33:$AA$80,MATCH(ET$4,$A$33:$A$80,0),MATCH($CZ10,$B$32:$AA$32,0))</f>
        <v>0</v>
      </c>
      <c r="EU10" s="2">
        <f>INDEX($B$33:$AA$80,MATCH(EU$4,$A$33:$A$80,0),MATCH($CZ10,$B$32:$AA$32,0))</f>
        <v>0</v>
      </c>
      <c r="EV10" s="2">
        <f>INDEX($B$33:$AA$80,MATCH(EV$4,$A$33:$A$80,0),MATCH($CZ10,$B$32:$AA$32,0))</f>
        <v>0</v>
      </c>
    </row>
    <row r="11" spans="1:152">
      <c r="A11" s="2" t="str">
        <f>EMBELISHMENT!A9</f>
        <v>5th Overlock</v>
      </c>
      <c r="B11" s="293" t="s">
        <v>163</v>
      </c>
      <c r="C11" s="2">
        <f>IFERROR(INDEX('MC MASTER'!$C$3:$C$28,MATCH($B11,'MC MASTER'!$B$3:$B$28,0)),"** NOT A GROUP **")</f>
        <v>5</v>
      </c>
      <c r="E11" s="2">
        <f>'LINE PLAN'!$HA$11</f>
        <v>4117</v>
      </c>
      <c r="F11" s="268">
        <f>IFERROR(INDEX($L$5:$L$28,MATCH($E11,$K$5:$K$28,0)),$E11)</f>
        <v>4117</v>
      </c>
      <c r="G11" s="2">
        <f>IFERROR(INDEX(EMBELISHMENT!$B$28:$AQ$28,MATCH($F11,EMBELISHMENT!$B$1:$AQ$1,0)),"-")</f>
        <v>30.5</v>
      </c>
      <c r="H11" s="2">
        <f>IFERROR(INDEX(EMBELISHMENT!$B$29:$AQ$29,MATCH($F11,EMBELISHMENT!$B$1:$AQ$1,0)),"-")</f>
        <v>3000</v>
      </c>
      <c r="I11" s="2" t="str">
        <f>IF($F11="","No embl. data",IF(ISNA(MATCH($F11,EMBELISHMENT!$B$1:$AQ$1,0)),"ALIAS NOT FOUND","OK"))</f>
        <v>OK</v>
      </c>
      <c r="K11" s="293" t="s">
        <v>13</v>
      </c>
      <c r="L11" s="293" t="s">
        <v>153</v>
      </c>
      <c r="M11" s="293" t="s">
        <v>248</v>
      </c>
      <c r="BA11" s="268" t="str">
        <f>INDEX('MC MASTER'!$B$3:$B$28,7)</f>
        <v>5th Overlock</v>
      </c>
      <c r="BU11" s="2">
        <f>SUM($DA11:$EV11)</f>
        <v>7</v>
      </c>
      <c r="BV11" s="2" t="str">
        <f>IF($BU11=0,"NEVER USED BY ANY STYLE","used")</f>
        <v>used</v>
      </c>
      <c r="BW11" s="269" t="str">
        <f>'MC MASTER'!$B9</f>
        <v>5th Overlock</v>
      </c>
      <c r="BX11" s="269" t="str">
        <f>'MC MASTER'!$A9</f>
        <v>OVER-LOCK</v>
      </c>
      <c r="CZ11" s="2" cm="1" t="str">
        <f t="array" ref="CZ11">INDEX('MC MASTER'!$B$3:$B$28,ROW()-4)</f>
        <v>5th Overlock</v>
      </c>
      <c r="DA11" s="2">
        <f>INDEX($B$33:$AA$80,MATCH(DA$4,$A$33:$A$80,0),MATCH($CZ11,$B$32:$AA$32,0))</f>
        <v>0</v>
      </c>
      <c r="DB11" s="2">
        <f>INDEX($B$33:$AA$80,MATCH(DB$4,$A$33:$A$80,0),MATCH($CZ11,$B$32:$AA$32,0))</f>
        <v>0</v>
      </c>
      <c r="DC11" s="2">
        <f>INDEX($B$33:$AA$80,MATCH(DC$4,$A$33:$A$80,0),MATCH($CZ11,$B$32:$AA$32,0))</f>
        <v>0</v>
      </c>
      <c r="DD11" s="2">
        <f>INDEX($B$33:$AA$80,MATCH(DD$4,$A$33:$A$80,0),MATCH($CZ11,$B$32:$AA$32,0))</f>
        <v>0</v>
      </c>
      <c r="DE11" s="2">
        <f>INDEX($B$33:$AA$80,MATCH(DE$4,$A$33:$A$80,0),MATCH($CZ11,$B$32:$AA$32,0))</f>
        <v>0</v>
      </c>
      <c r="DF11" s="2">
        <f>INDEX($B$33:$AA$80,MATCH(DF$4,$A$33:$A$80,0),MATCH($CZ11,$B$32:$AA$32,0))</f>
        <v>0</v>
      </c>
      <c r="DG11" s="2">
        <f>INDEX($B$33:$AA$80,MATCH(DG$4,$A$33:$A$80,0),MATCH($CZ11,$B$32:$AA$32,0))</f>
        <v>0</v>
      </c>
      <c r="DH11" s="2">
        <f>INDEX($B$33:$AA$80,MATCH(DH$4,$A$33:$A$80,0),MATCH($CZ11,$B$32:$AA$32,0))</f>
        <v>0</v>
      </c>
      <c r="DI11" s="2">
        <f>INDEX($B$33:$AA$80,MATCH(DI$4,$A$33:$A$80,0),MATCH($CZ11,$B$32:$AA$32,0))</f>
        <v>0</v>
      </c>
      <c r="DJ11" s="2">
        <f>INDEX($B$33:$AA$80,MATCH(DJ$4,$A$33:$A$80,0),MATCH($CZ11,$B$32:$AA$32,0))</f>
        <v>0</v>
      </c>
      <c r="DK11" s="2">
        <f>INDEX($B$33:$AA$80,MATCH(DK$4,$A$33:$A$80,0),MATCH($CZ11,$B$32:$AA$32,0))</f>
        <v>0</v>
      </c>
      <c r="DL11" s="2">
        <f>INDEX($B$33:$AA$80,MATCH(DL$4,$A$33:$A$80,0),MATCH($CZ11,$B$32:$AA$32,0))</f>
        <v>0</v>
      </c>
      <c r="DM11" s="2">
        <f>INDEX($B$33:$AA$80,MATCH(DM$4,$A$33:$A$80,0),MATCH($CZ11,$B$32:$AA$32,0))</f>
        <v>0</v>
      </c>
      <c r="DN11" s="2">
        <f>INDEX($B$33:$AA$80,MATCH(DN$4,$A$33:$A$80,0),MATCH($CZ11,$B$32:$AA$32,0))</f>
        <v>0</v>
      </c>
      <c r="DO11" s="2">
        <f>INDEX($B$33:$AA$80,MATCH(DO$4,$A$33:$A$80,0),MATCH($CZ11,$B$32:$AA$32,0))</f>
        <v>0</v>
      </c>
      <c r="DP11" s="2">
        <f>INDEX($B$33:$AA$80,MATCH(DP$4,$A$33:$A$80,0),MATCH($CZ11,$B$32:$AA$32,0))</f>
        <v>0</v>
      </c>
      <c r="DQ11" s="2">
        <f>INDEX($B$33:$AA$80,MATCH(DQ$4,$A$33:$A$80,0),MATCH($CZ11,$B$32:$AA$32,0))</f>
        <v>0</v>
      </c>
      <c r="DR11" s="2">
        <f>INDEX($B$33:$AA$80,MATCH(DR$4,$A$33:$A$80,0),MATCH($CZ11,$B$32:$AA$32,0))</f>
        <v>0</v>
      </c>
      <c r="DS11" s="2">
        <f>INDEX($B$33:$AA$80,MATCH(DS$4,$A$33:$A$80,0),MATCH($CZ11,$B$32:$AA$32,0))</f>
        <v>0</v>
      </c>
      <c r="DT11" s="2">
        <f>INDEX($B$33:$AA$80,MATCH(DT$4,$A$33:$A$80,0),MATCH($CZ11,$B$32:$AA$32,0))</f>
        <v>0</v>
      </c>
      <c r="DU11" s="2">
        <f>INDEX($B$33:$AA$80,MATCH(DU$4,$A$33:$A$80,0),MATCH($CZ11,$B$32:$AA$32,0))</f>
        <v>0</v>
      </c>
      <c r="DV11" s="2">
        <f>INDEX($B$33:$AA$80,MATCH(DV$4,$A$33:$A$80,0),MATCH($CZ11,$B$32:$AA$32,0))</f>
        <v>0</v>
      </c>
      <c r="DW11" s="2">
        <f>INDEX($B$33:$AA$80,MATCH(DW$4,$A$33:$A$80,0),MATCH($CZ11,$B$32:$AA$32,0))</f>
        <v>0</v>
      </c>
      <c r="DX11" s="2">
        <f>INDEX($B$33:$AA$80,MATCH(DX$4,$A$33:$A$80,0),MATCH($CZ11,$B$32:$AA$32,0))</f>
        <v>0</v>
      </c>
      <c r="DY11" s="2">
        <f>INDEX($B$33:$AA$80,MATCH(DY$4,$A$33:$A$80,0),MATCH($CZ11,$B$32:$AA$32,0))</f>
        <v>0</v>
      </c>
      <c r="DZ11" s="2">
        <f>INDEX($B$33:$AA$80,MATCH(DZ$4,$A$33:$A$80,0),MATCH($CZ11,$B$32:$AA$32,0))</f>
        <v>0</v>
      </c>
      <c r="EA11" s="2">
        <f>INDEX($B$33:$AA$80,MATCH(EA$4,$A$33:$A$80,0),MATCH($CZ11,$B$32:$AA$32,0))</f>
        <v>0</v>
      </c>
      <c r="EB11" s="2">
        <f>INDEX($B$33:$AA$80,MATCH(EB$4,$A$33:$A$80,0),MATCH($CZ11,$B$32:$AA$32,0))</f>
        <v>0</v>
      </c>
      <c r="EC11" s="2">
        <f>INDEX($B$33:$AA$80,MATCH(EC$4,$A$33:$A$80,0),MATCH($CZ11,$B$32:$AA$32,0))</f>
        <v>0</v>
      </c>
      <c r="ED11" s="2">
        <f>INDEX($B$33:$AA$80,MATCH(ED$4,$A$33:$A$80,0),MATCH($CZ11,$B$32:$AA$32,0))</f>
        <v>0</v>
      </c>
      <c r="EE11" s="2">
        <f>INDEX($B$33:$AA$80,MATCH(EE$4,$A$33:$A$80,0),MATCH($CZ11,$B$32:$AA$32,0))</f>
        <v>0</v>
      </c>
      <c r="EF11" s="2">
        <f>INDEX($B$33:$AA$80,MATCH(EF$4,$A$33:$A$80,0),MATCH($CZ11,$B$32:$AA$32,0))</f>
        <v>5</v>
      </c>
      <c r="EG11" s="2">
        <f>INDEX($B$33:$AA$80,MATCH(EG$4,$A$33:$A$80,0),MATCH($CZ11,$B$32:$AA$32,0))</f>
        <v>2</v>
      </c>
      <c r="EH11" s="2">
        <f>INDEX($B$33:$AA$80,MATCH(EH$4,$A$33:$A$80,0),MATCH($CZ11,$B$32:$AA$32,0))</f>
        <v>0</v>
      </c>
      <c r="EI11" s="2">
        <f>INDEX($B$33:$AA$80,MATCH(EI$4,$A$33:$A$80,0),MATCH($CZ11,$B$32:$AA$32,0))</f>
        <v>0</v>
      </c>
      <c r="EJ11" s="2">
        <f>INDEX($B$33:$AA$80,MATCH(EJ$4,$A$33:$A$80,0),MATCH($CZ11,$B$32:$AA$32,0))</f>
        <v>0</v>
      </c>
      <c r="EK11" s="2">
        <f>INDEX($B$33:$AA$80,MATCH(EK$4,$A$33:$A$80,0),MATCH($CZ11,$B$32:$AA$32,0))</f>
        <v>0</v>
      </c>
      <c r="EL11" s="2">
        <f>INDEX($B$33:$AA$80,MATCH(EL$4,$A$33:$A$80,0),MATCH($CZ11,$B$32:$AA$32,0))</f>
        <v>0</v>
      </c>
      <c r="EM11" s="2">
        <f>INDEX($B$33:$AA$80,MATCH(EM$4,$A$33:$A$80,0),MATCH($CZ11,$B$32:$AA$32,0))</f>
        <v>0</v>
      </c>
      <c r="EN11" s="2">
        <f>INDEX($B$33:$AA$80,MATCH(EN$4,$A$33:$A$80,0),MATCH($CZ11,$B$32:$AA$32,0))</f>
        <v>0</v>
      </c>
      <c r="EO11" s="2">
        <f>INDEX($B$33:$AA$80,MATCH(EO$4,$A$33:$A$80,0),MATCH($CZ11,$B$32:$AA$32,0))</f>
        <v>0</v>
      </c>
      <c r="EP11" s="2">
        <f>INDEX($B$33:$AA$80,MATCH(EP$4,$A$33:$A$80,0),MATCH($CZ11,$B$32:$AA$32,0))</f>
        <v>0</v>
      </c>
      <c r="EQ11" s="2">
        <f>INDEX($B$33:$AA$80,MATCH(EQ$4,$A$33:$A$80,0),MATCH($CZ11,$B$32:$AA$32,0))</f>
        <v>0</v>
      </c>
      <c r="ER11" s="2">
        <f>INDEX($B$33:$AA$80,MATCH(ER$4,$A$33:$A$80,0),MATCH($CZ11,$B$32:$AA$32,0))</f>
        <v>0</v>
      </c>
      <c r="ES11" s="2">
        <f>INDEX($B$33:$AA$80,MATCH(ES$4,$A$33:$A$80,0),MATCH($CZ11,$B$32:$AA$32,0))</f>
        <v>0</v>
      </c>
      <c r="ET11" s="2">
        <f>INDEX($B$33:$AA$80,MATCH(ET$4,$A$33:$A$80,0),MATCH($CZ11,$B$32:$AA$32,0))</f>
        <v>0</v>
      </c>
      <c r="EU11" s="2">
        <f>INDEX($B$33:$AA$80,MATCH(EU$4,$A$33:$A$80,0),MATCH($CZ11,$B$32:$AA$32,0))</f>
        <v>0</v>
      </c>
      <c r="EV11" s="2">
        <f>INDEX($B$33:$AA$80,MATCH(EV$4,$A$33:$A$80,0),MATCH($CZ11,$B$32:$AA$32,0))</f>
        <v>0</v>
      </c>
    </row>
    <row r="12" spans="1:152">
      <c r="A12" s="2" t="str">
        <f>EMBELISHMENT!A10</f>
        <v>Overlock (Ring Elastic Attach)</v>
      </c>
      <c r="B12" s="293" t="s">
        <v>164</v>
      </c>
      <c r="C12" s="2">
        <f>IFERROR(INDEX('MC MASTER'!$C$3:$C$28,MATCH($B12,'MC MASTER'!$B$3:$B$28,0)),"** NOT A GROUP **")</f>
        <v>29</v>
      </c>
      <c r="E12" s="2" t="str">
        <f>'LINE PLAN'!$HA$12</f>
        <v>4406/10</v>
      </c>
      <c r="F12" s="268" t="str">
        <f>IFERROR(INDEX($L$5:$L$28,MATCH($E12,$K$5:$K$28,0)),$E12)</f>
        <v>Panty</v>
      </c>
      <c r="G12" s="2">
        <f>IFERROR(INDEX(EMBELISHMENT!$B$28:$AQ$28,MATCH($F12,EMBELISHMENT!$B$1:$AQ$1,0)),"-")</f>
        <v>29.5</v>
      </c>
      <c r="H12" s="2">
        <f>IFERROR(INDEX(EMBELISHMENT!$B$29:$AQ$29,MATCH($F12,EMBELISHMENT!$B$1:$AQ$1,0)),"-")</f>
        <v>5000</v>
      </c>
      <c r="I12" s="2" t="str">
        <f>IF($F12="","No embl. data",IF(ISNA(MATCH($F12,EMBELISHMENT!$B$1:$AQ$1,0)),"ALIAS NOT FOUND","OK"))</f>
        <v>OK</v>
      </c>
      <c r="K12" s="293">
        <v>5520</v>
      </c>
      <c r="L12" s="293">
        <v>5520</v>
      </c>
      <c r="M12" s="293" t="s">
        <v>15</v>
      </c>
      <c r="BA12" s="268" t="str">
        <f>INDEX('MC MASTER'!$B$3:$B$28,8)</f>
        <v>Overlock (Ring Elastic Attach)</v>
      </c>
      <c r="BU12" s="2">
        <f>SUM($DA12:$EV12)</f>
        <v>34</v>
      </c>
      <c r="BV12" s="2" t="str">
        <f>IF($BU12=0,"NEVER USED BY ANY STYLE","used")</f>
        <v>used</v>
      </c>
      <c r="BW12" s="269" t="str">
        <f>'MC MASTER'!$B10</f>
        <v>Overlock (Ring Elastic Attach)</v>
      </c>
      <c r="BX12" s="269" t="str">
        <f>'MC MASTER'!$A10</f>
        <v>OVER-LOCK</v>
      </c>
      <c r="CZ12" s="2" cm="1" t="str">
        <f t="array" ref="CZ12">INDEX('MC MASTER'!$B$3:$B$28,ROW()-4)</f>
        <v>Overlock (Ring Elastic Attach)</v>
      </c>
      <c r="DA12" s="2">
        <f>INDEX($B$33:$AA$80,MATCH(DA$4,$A$33:$A$80,0),MATCH($CZ12,$B$32:$AA$32,0))</f>
        <v>1</v>
      </c>
      <c r="DB12" s="2">
        <f>INDEX($B$33:$AA$80,MATCH(DB$4,$A$33:$A$80,0),MATCH($CZ12,$B$32:$AA$32,0))</f>
        <v>0</v>
      </c>
      <c r="DC12" s="2">
        <f>INDEX($B$33:$AA$80,MATCH(DC$4,$A$33:$A$80,0),MATCH($CZ12,$B$32:$AA$32,0))</f>
        <v>0</v>
      </c>
      <c r="DD12" s="2">
        <f>INDEX($B$33:$AA$80,MATCH(DD$4,$A$33:$A$80,0),MATCH($CZ12,$B$32:$AA$32,0))</f>
        <v>0</v>
      </c>
      <c r="DE12" s="2">
        <f>INDEX($B$33:$AA$80,MATCH(DE$4,$A$33:$A$80,0),MATCH($CZ12,$B$32:$AA$32,0))</f>
        <v>3</v>
      </c>
      <c r="DF12" s="2">
        <f>INDEX($B$33:$AA$80,MATCH(DF$4,$A$33:$A$80,0),MATCH($CZ12,$B$32:$AA$32,0))</f>
        <v>0</v>
      </c>
      <c r="DG12" s="2">
        <f>INDEX($B$33:$AA$80,MATCH(DG$4,$A$33:$A$80,0),MATCH($CZ12,$B$32:$AA$32,0))</f>
        <v>4</v>
      </c>
      <c r="DH12" s="2">
        <f>INDEX($B$33:$AA$80,MATCH(DH$4,$A$33:$A$80,0),MATCH($CZ12,$B$32:$AA$32,0))</f>
        <v>0</v>
      </c>
      <c r="DI12" s="2">
        <f>INDEX($B$33:$AA$80,MATCH(DI$4,$A$33:$A$80,0),MATCH($CZ12,$B$32:$AA$32,0))</f>
        <v>4</v>
      </c>
      <c r="DJ12" s="2">
        <f>INDEX($B$33:$AA$80,MATCH(DJ$4,$A$33:$A$80,0),MATCH($CZ12,$B$32:$AA$32,0))</f>
        <v>0</v>
      </c>
      <c r="DK12" s="2">
        <f>INDEX($B$33:$AA$80,MATCH(DK$4,$A$33:$A$80,0),MATCH($CZ12,$B$32:$AA$32,0))</f>
        <v>3</v>
      </c>
      <c r="DL12" s="2">
        <f>INDEX($B$33:$AA$80,MATCH(DL$4,$A$33:$A$80,0),MATCH($CZ12,$B$32:$AA$32,0))</f>
        <v>0</v>
      </c>
      <c r="DM12" s="2">
        <f>INDEX($B$33:$AA$80,MATCH(DM$4,$A$33:$A$80,0),MATCH($CZ12,$B$32:$AA$32,0))</f>
        <v>0</v>
      </c>
      <c r="DN12" s="2">
        <f>INDEX($B$33:$AA$80,MATCH(DN$4,$A$33:$A$80,0),MATCH($CZ12,$B$32:$AA$32,0))</f>
        <v>0</v>
      </c>
      <c r="DO12" s="2">
        <f>INDEX($B$33:$AA$80,MATCH(DO$4,$A$33:$A$80,0),MATCH($CZ12,$B$32:$AA$32,0))</f>
        <v>0</v>
      </c>
      <c r="DP12" s="2">
        <f>INDEX($B$33:$AA$80,MATCH(DP$4,$A$33:$A$80,0),MATCH($CZ12,$B$32:$AA$32,0))</f>
        <v>4</v>
      </c>
      <c r="DQ12" s="2">
        <f>INDEX($B$33:$AA$80,MATCH(DQ$4,$A$33:$A$80,0),MATCH($CZ12,$B$32:$AA$32,0))</f>
        <v>1</v>
      </c>
      <c r="DR12" s="2">
        <f>INDEX($B$33:$AA$80,MATCH(DR$4,$A$33:$A$80,0),MATCH($CZ12,$B$32:$AA$32,0))</f>
        <v>0</v>
      </c>
      <c r="DS12" s="2">
        <f>INDEX($B$33:$AA$80,MATCH(DS$4,$A$33:$A$80,0),MATCH($CZ12,$B$32:$AA$32,0))</f>
        <v>0</v>
      </c>
      <c r="DT12" s="2">
        <f>INDEX($B$33:$AA$80,MATCH(DT$4,$A$33:$A$80,0),MATCH($CZ12,$B$32:$AA$32,0))</f>
        <v>0</v>
      </c>
      <c r="DU12" s="2">
        <f>INDEX($B$33:$AA$80,MATCH(DU$4,$A$33:$A$80,0),MATCH($CZ12,$B$32:$AA$32,0))</f>
        <v>0</v>
      </c>
      <c r="DV12" s="2">
        <f>INDEX($B$33:$AA$80,MATCH(DV$4,$A$33:$A$80,0),MATCH($CZ12,$B$32:$AA$32,0))</f>
        <v>0</v>
      </c>
      <c r="DW12" s="2">
        <f>INDEX($B$33:$AA$80,MATCH(DW$4,$A$33:$A$80,0),MATCH($CZ12,$B$32:$AA$32,0))</f>
        <v>3</v>
      </c>
      <c r="DX12" s="2">
        <f>INDEX($B$33:$AA$80,MATCH(DX$4,$A$33:$A$80,0),MATCH($CZ12,$B$32:$AA$32,0))</f>
        <v>4</v>
      </c>
      <c r="DY12" s="2">
        <f>INDEX($B$33:$AA$80,MATCH(DY$4,$A$33:$A$80,0),MATCH($CZ12,$B$32:$AA$32,0))</f>
        <v>0</v>
      </c>
      <c r="DZ12" s="2">
        <f>INDEX($B$33:$AA$80,MATCH(DZ$4,$A$33:$A$80,0),MATCH($CZ12,$B$32:$AA$32,0))</f>
        <v>0</v>
      </c>
      <c r="EA12" s="2">
        <f>INDEX($B$33:$AA$80,MATCH(EA$4,$A$33:$A$80,0),MATCH($CZ12,$B$32:$AA$32,0))</f>
        <v>0</v>
      </c>
      <c r="EB12" s="2">
        <f>INDEX($B$33:$AA$80,MATCH(EB$4,$A$33:$A$80,0),MATCH($CZ12,$B$32:$AA$32,0))</f>
        <v>0</v>
      </c>
      <c r="EC12" s="2">
        <f>INDEX($B$33:$AA$80,MATCH(EC$4,$A$33:$A$80,0),MATCH($CZ12,$B$32:$AA$32,0))</f>
        <v>0</v>
      </c>
      <c r="ED12" s="2">
        <f>INDEX($B$33:$AA$80,MATCH(ED$4,$A$33:$A$80,0),MATCH($CZ12,$B$32:$AA$32,0))</f>
        <v>0</v>
      </c>
      <c r="EE12" s="2">
        <f>INDEX($B$33:$AA$80,MATCH(EE$4,$A$33:$A$80,0),MATCH($CZ12,$B$32:$AA$32,0))</f>
        <v>0</v>
      </c>
      <c r="EF12" s="2">
        <f>INDEX($B$33:$AA$80,MATCH(EF$4,$A$33:$A$80,0),MATCH($CZ12,$B$32:$AA$32,0))</f>
        <v>2</v>
      </c>
      <c r="EG12" s="2">
        <f>INDEX($B$33:$AA$80,MATCH(EG$4,$A$33:$A$80,0),MATCH($CZ12,$B$32:$AA$32,0))</f>
        <v>2</v>
      </c>
      <c r="EH12" s="2">
        <f>INDEX($B$33:$AA$80,MATCH(EH$4,$A$33:$A$80,0),MATCH($CZ12,$B$32:$AA$32,0))</f>
        <v>0</v>
      </c>
      <c r="EI12" s="2">
        <f>INDEX($B$33:$AA$80,MATCH(EI$4,$A$33:$A$80,0),MATCH($CZ12,$B$32:$AA$32,0))</f>
        <v>0</v>
      </c>
      <c r="EJ12" s="2">
        <f>INDEX($B$33:$AA$80,MATCH(EJ$4,$A$33:$A$80,0),MATCH($CZ12,$B$32:$AA$32,0))</f>
        <v>0</v>
      </c>
      <c r="EK12" s="2">
        <f>INDEX($B$33:$AA$80,MATCH(EK$4,$A$33:$A$80,0),MATCH($CZ12,$B$32:$AA$32,0))</f>
        <v>0</v>
      </c>
      <c r="EL12" s="2">
        <f>INDEX($B$33:$AA$80,MATCH(EL$4,$A$33:$A$80,0),MATCH($CZ12,$B$32:$AA$32,0))</f>
        <v>0</v>
      </c>
      <c r="EM12" s="2">
        <f>INDEX($B$33:$AA$80,MATCH(EM$4,$A$33:$A$80,0),MATCH($CZ12,$B$32:$AA$32,0))</f>
        <v>0</v>
      </c>
      <c r="EN12" s="2">
        <f>INDEX($B$33:$AA$80,MATCH(EN$4,$A$33:$A$80,0),MATCH($CZ12,$B$32:$AA$32,0))</f>
        <v>0</v>
      </c>
      <c r="EO12" s="2">
        <f>INDEX($B$33:$AA$80,MATCH(EO$4,$A$33:$A$80,0),MATCH($CZ12,$B$32:$AA$32,0))</f>
        <v>0</v>
      </c>
      <c r="EP12" s="2">
        <f>INDEX($B$33:$AA$80,MATCH(EP$4,$A$33:$A$80,0),MATCH($CZ12,$B$32:$AA$32,0))</f>
        <v>0</v>
      </c>
      <c r="EQ12" s="2">
        <f>INDEX($B$33:$AA$80,MATCH(EQ$4,$A$33:$A$80,0),MATCH($CZ12,$B$32:$AA$32,0))</f>
        <v>0</v>
      </c>
      <c r="ER12" s="2">
        <f>INDEX($B$33:$AA$80,MATCH(ER$4,$A$33:$A$80,0),MATCH($CZ12,$B$32:$AA$32,0))</f>
        <v>0</v>
      </c>
      <c r="ES12" s="2">
        <f>INDEX($B$33:$AA$80,MATCH(ES$4,$A$33:$A$80,0),MATCH($CZ12,$B$32:$AA$32,0))</f>
        <v>1</v>
      </c>
      <c r="ET12" s="2">
        <f>INDEX($B$33:$AA$80,MATCH(ET$4,$A$33:$A$80,0),MATCH($CZ12,$B$32:$AA$32,0))</f>
        <v>1</v>
      </c>
      <c r="EU12" s="2">
        <f>INDEX($B$33:$AA$80,MATCH(EU$4,$A$33:$A$80,0),MATCH($CZ12,$B$32:$AA$32,0))</f>
        <v>1</v>
      </c>
      <c r="EV12" s="2">
        <f>INDEX($B$33:$AA$80,MATCH(EV$4,$A$33:$A$80,0),MATCH($CZ12,$B$32:$AA$32,0))</f>
        <v>0</v>
      </c>
    </row>
    <row r="13" spans="1:152">
      <c r="A13" s="2" t="str">
        <f>EMBELISHMENT!A11</f>
        <v>Flatlock Hem</v>
      </c>
      <c r="B13" s="293" t="s">
        <v>165</v>
      </c>
      <c r="C13" s="2">
        <f>IFERROR(INDEX('MC MASTER'!$C$3:$C$28,MATCH($B13,'MC MASTER'!$B$3:$B$28,0)),"** NOT A GROUP **")</f>
        <v>34</v>
      </c>
      <c r="E13" s="2">
        <f>'LINE PLAN'!$HA$13</f>
        <v>4115</v>
      </c>
      <c r="F13" s="268">
        <f>IFERROR(INDEX($L$5:$L$28,MATCH($E13,$K$5:$K$28,0)),$E13)</f>
        <v>4115</v>
      </c>
      <c r="G13" s="2">
        <f>IFERROR(INDEX(EMBELISHMENT!$B$28:$AQ$28,MATCH($F13,EMBELISHMENT!$B$1:$AQ$1,0)),"-")</f>
        <v>33.5</v>
      </c>
      <c r="H13" s="2">
        <f>IFERROR(INDEX(EMBELISHMENT!$B$29:$AQ$29,MATCH($F13,EMBELISHMENT!$B$1:$AQ$1,0)),"-")</f>
        <v>3000</v>
      </c>
      <c r="I13" s="2" t="str">
        <f>IF($F13="","No embl. data",IF(ISNA(MATCH($F13,EMBELISHMENT!$B$1:$AQ$1,0)),"ALIAS NOT FOUND","OK"))</f>
        <v>OK</v>
      </c>
      <c r="K13" s="293" t="s">
        <v>18</v>
      </c>
      <c r="L13" s="293" t="s">
        <v>25</v>
      </c>
      <c r="M13" s="293" t="s">
        <v>15</v>
      </c>
      <c r="BA13" s="268" t="str">
        <f>INDEX('MC MASTER'!$B$3:$B$28,9)</f>
        <v>Flatlock Hem</v>
      </c>
      <c r="BU13" s="2">
        <f>SUM($DA13:$EV13)</f>
        <v>59.5</v>
      </c>
      <c r="BV13" s="2" t="str">
        <f>IF($BU13=0,"NEVER USED BY ANY STYLE","used")</f>
        <v>used</v>
      </c>
      <c r="BW13" s="269" t="str">
        <f>'MC MASTER'!$B11</f>
        <v>Flatlock Hem</v>
      </c>
      <c r="BX13" s="269" t="str">
        <f>'MC MASTER'!$A11</f>
        <v>FLAT-LOCK</v>
      </c>
      <c r="CZ13" s="2" cm="1" t="str">
        <f t="array" ref="CZ13">INDEX('MC MASTER'!$B$3:$B$28,ROW()-4)</f>
        <v>Flatlock Hem</v>
      </c>
      <c r="DA13" s="2">
        <f>INDEX($B$33:$AA$80,MATCH(DA$4,$A$33:$A$80,0),MATCH($CZ13,$B$32:$AA$32,0))</f>
        <v>2</v>
      </c>
      <c r="DB13" s="2">
        <f>INDEX($B$33:$AA$80,MATCH(DB$4,$A$33:$A$80,0),MATCH($CZ13,$B$32:$AA$32,0))</f>
        <v>1.5</v>
      </c>
      <c r="DC13" s="2">
        <f>INDEX($B$33:$AA$80,MATCH(DC$4,$A$33:$A$80,0),MATCH($CZ13,$B$32:$AA$32,0))</f>
        <v>4</v>
      </c>
      <c r="DD13" s="2">
        <f>INDEX($B$33:$AA$80,MATCH(DD$4,$A$33:$A$80,0),MATCH($CZ13,$B$32:$AA$32,0))</f>
        <v>0</v>
      </c>
      <c r="DE13" s="2">
        <f>INDEX($B$33:$AA$80,MATCH(DE$4,$A$33:$A$80,0),MATCH($CZ13,$B$32:$AA$32,0))</f>
        <v>1</v>
      </c>
      <c r="DF13" s="2">
        <f>INDEX($B$33:$AA$80,MATCH(DF$4,$A$33:$A$80,0),MATCH($CZ13,$B$32:$AA$32,0))</f>
        <v>1</v>
      </c>
      <c r="DG13" s="2">
        <f>INDEX($B$33:$AA$80,MATCH(DG$4,$A$33:$A$80,0),MATCH($CZ13,$B$32:$AA$32,0))</f>
        <v>1</v>
      </c>
      <c r="DH13" s="2">
        <f>INDEX($B$33:$AA$80,MATCH(DH$4,$A$33:$A$80,0),MATCH($CZ13,$B$32:$AA$32,0))</f>
        <v>0</v>
      </c>
      <c r="DI13" s="2">
        <f>INDEX($B$33:$AA$80,MATCH(DI$4,$A$33:$A$80,0),MATCH($CZ13,$B$32:$AA$32,0))</f>
        <v>0</v>
      </c>
      <c r="DJ13" s="2">
        <f>INDEX($B$33:$AA$80,MATCH(DJ$4,$A$33:$A$80,0),MATCH($CZ13,$B$32:$AA$32,0))</f>
        <v>0</v>
      </c>
      <c r="DK13" s="2">
        <f>INDEX($B$33:$AA$80,MATCH(DK$4,$A$33:$A$80,0),MATCH($CZ13,$B$32:$AA$32,0))</f>
        <v>0</v>
      </c>
      <c r="DL13" s="2">
        <f>INDEX($B$33:$AA$80,MATCH(DL$4,$A$33:$A$80,0),MATCH($CZ13,$B$32:$AA$32,0))</f>
        <v>0</v>
      </c>
      <c r="DM13" s="2">
        <f>INDEX($B$33:$AA$80,MATCH(DM$4,$A$33:$A$80,0),MATCH($CZ13,$B$32:$AA$32,0))</f>
        <v>0</v>
      </c>
      <c r="DN13" s="2">
        <f>INDEX($B$33:$AA$80,MATCH(DN$4,$A$33:$A$80,0),MATCH($CZ13,$B$32:$AA$32,0))</f>
        <v>0</v>
      </c>
      <c r="DO13" s="2">
        <f>INDEX($B$33:$AA$80,MATCH(DO$4,$A$33:$A$80,0),MATCH($CZ13,$B$32:$AA$32,0))</f>
        <v>0</v>
      </c>
      <c r="DP13" s="2">
        <f>INDEX($B$33:$AA$80,MATCH(DP$4,$A$33:$A$80,0),MATCH($CZ13,$B$32:$AA$32,0))</f>
        <v>3</v>
      </c>
      <c r="DQ13" s="2">
        <f>INDEX($B$33:$AA$80,MATCH(DQ$4,$A$33:$A$80,0),MATCH($CZ13,$B$32:$AA$32,0))</f>
        <v>0</v>
      </c>
      <c r="DR13" s="2">
        <f>INDEX($B$33:$AA$80,MATCH(DR$4,$A$33:$A$80,0),MATCH($CZ13,$B$32:$AA$32,0))</f>
        <v>2</v>
      </c>
      <c r="DS13" s="2">
        <f>INDEX($B$33:$AA$80,MATCH(DS$4,$A$33:$A$80,0),MATCH($CZ13,$B$32:$AA$32,0))</f>
        <v>1</v>
      </c>
      <c r="DT13" s="2">
        <f>INDEX($B$33:$AA$80,MATCH(DT$4,$A$33:$A$80,0),MATCH($CZ13,$B$32:$AA$32,0))</f>
        <v>0</v>
      </c>
      <c r="DU13" s="2">
        <f>INDEX($B$33:$AA$80,MATCH(DU$4,$A$33:$A$80,0),MATCH($CZ13,$B$32:$AA$32,0))</f>
        <v>0</v>
      </c>
      <c r="DV13" s="2">
        <f>INDEX($B$33:$AA$80,MATCH(DV$4,$A$33:$A$80,0),MATCH($CZ13,$B$32:$AA$32,0))</f>
        <v>1</v>
      </c>
      <c r="DW13" s="2">
        <f>INDEX($B$33:$AA$80,MATCH(DW$4,$A$33:$A$80,0),MATCH($CZ13,$B$32:$AA$32,0))</f>
        <v>1</v>
      </c>
      <c r="DX13" s="2">
        <f>INDEX($B$33:$AA$80,MATCH(DX$4,$A$33:$A$80,0),MATCH($CZ13,$B$32:$AA$32,0))</f>
        <v>0</v>
      </c>
      <c r="DY13" s="2">
        <f>INDEX($B$33:$AA$80,MATCH(DY$4,$A$33:$A$80,0),MATCH($CZ13,$B$32:$AA$32,0))</f>
        <v>2</v>
      </c>
      <c r="DZ13" s="2">
        <f>INDEX($B$33:$AA$80,MATCH(DZ$4,$A$33:$A$80,0),MATCH($CZ13,$B$32:$AA$32,0))</f>
        <v>0</v>
      </c>
      <c r="EA13" s="2">
        <f>INDEX($B$33:$AA$80,MATCH(EA$4,$A$33:$A$80,0),MATCH($CZ13,$B$32:$AA$32,0))</f>
        <v>0</v>
      </c>
      <c r="EB13" s="2">
        <f>INDEX($B$33:$AA$80,MATCH(EB$4,$A$33:$A$80,0),MATCH($CZ13,$B$32:$AA$32,0))</f>
        <v>0</v>
      </c>
      <c r="EC13" s="2">
        <f>INDEX($B$33:$AA$80,MATCH(EC$4,$A$33:$A$80,0),MATCH($CZ13,$B$32:$AA$32,0))</f>
        <v>2</v>
      </c>
      <c r="ED13" s="2">
        <f>INDEX($B$33:$AA$80,MATCH(ED$4,$A$33:$A$80,0),MATCH($CZ13,$B$32:$AA$32,0))</f>
        <v>4</v>
      </c>
      <c r="EE13" s="2">
        <f>INDEX($B$33:$AA$80,MATCH(EE$4,$A$33:$A$80,0),MATCH($CZ13,$B$32:$AA$32,0))</f>
        <v>4</v>
      </c>
      <c r="EF13" s="2">
        <f>INDEX($B$33:$AA$80,MATCH(EF$4,$A$33:$A$80,0),MATCH($CZ13,$B$32:$AA$32,0))</f>
        <v>0</v>
      </c>
      <c r="EG13" s="2">
        <f>INDEX($B$33:$AA$80,MATCH(EG$4,$A$33:$A$80,0),MATCH($CZ13,$B$32:$AA$32,0))</f>
        <v>0</v>
      </c>
      <c r="EH13" s="2">
        <f>INDEX($B$33:$AA$80,MATCH(EH$4,$A$33:$A$80,0),MATCH($CZ13,$B$32:$AA$32,0))</f>
        <v>1.5</v>
      </c>
      <c r="EI13" s="2">
        <f>INDEX($B$33:$AA$80,MATCH(EI$4,$A$33:$A$80,0),MATCH($CZ13,$B$32:$AA$32,0))</f>
        <v>3</v>
      </c>
      <c r="EJ13" s="2">
        <f>INDEX($B$33:$AA$80,MATCH(EJ$4,$A$33:$A$80,0),MATCH($CZ13,$B$32:$AA$32,0))</f>
        <v>1.5</v>
      </c>
      <c r="EK13" s="2">
        <f>INDEX($B$33:$AA$80,MATCH(EK$4,$A$33:$A$80,0),MATCH($CZ13,$B$32:$AA$32,0))</f>
        <v>0</v>
      </c>
      <c r="EL13" s="2">
        <f>INDEX($B$33:$AA$80,MATCH(EL$4,$A$33:$A$80,0),MATCH($CZ13,$B$32:$AA$32,0))</f>
        <v>0</v>
      </c>
      <c r="EM13" s="2">
        <f>INDEX($B$33:$AA$80,MATCH(EM$4,$A$33:$A$80,0),MATCH($CZ13,$B$32:$AA$32,0))</f>
        <v>5</v>
      </c>
      <c r="EN13" s="2">
        <f>INDEX($B$33:$AA$80,MATCH(EN$4,$A$33:$A$80,0),MATCH($CZ13,$B$32:$AA$32,0))</f>
        <v>0</v>
      </c>
      <c r="EO13" s="2">
        <f>INDEX($B$33:$AA$80,MATCH(EO$4,$A$33:$A$80,0),MATCH($CZ13,$B$32:$AA$32,0))</f>
        <v>5</v>
      </c>
      <c r="EP13" s="2">
        <f>INDEX($B$33:$AA$80,MATCH(EP$4,$A$33:$A$80,0),MATCH($CZ13,$B$32:$AA$32,0))</f>
        <v>2</v>
      </c>
      <c r="EQ13" s="2">
        <f>INDEX($B$33:$AA$80,MATCH(EQ$4,$A$33:$A$80,0),MATCH($CZ13,$B$32:$AA$32,0))</f>
        <v>1</v>
      </c>
      <c r="ER13" s="2">
        <f>INDEX($B$33:$AA$80,MATCH(ER$4,$A$33:$A$80,0),MATCH($CZ13,$B$32:$AA$32,0))</f>
        <v>4</v>
      </c>
      <c r="ES13" s="2">
        <f>INDEX($B$33:$AA$80,MATCH(ES$4,$A$33:$A$80,0),MATCH($CZ13,$B$32:$AA$32,0))</f>
        <v>0</v>
      </c>
      <c r="ET13" s="2">
        <f>INDEX($B$33:$AA$80,MATCH(ET$4,$A$33:$A$80,0),MATCH($CZ13,$B$32:$AA$32,0))</f>
        <v>2</v>
      </c>
      <c r="EU13" s="2">
        <f>INDEX($B$33:$AA$80,MATCH(EU$4,$A$33:$A$80,0),MATCH($CZ13,$B$32:$AA$32,0))</f>
        <v>1</v>
      </c>
      <c r="EV13" s="2">
        <f>INDEX($B$33:$AA$80,MATCH(EV$4,$A$33:$A$80,0),MATCH($CZ13,$B$32:$AA$32,0))</f>
        <v>3</v>
      </c>
    </row>
    <row r="14" spans="1:152">
      <c r="A14" s="2" t="str">
        <f>EMBELISHMENT!A12</f>
        <v>F/L (Coverseam / Waist COVER SEAM</v>
      </c>
      <c r="B14" s="293" t="s">
        <v>166</v>
      </c>
      <c r="C14" s="2">
        <f>IFERROR(INDEX('MC MASTER'!$C$3:$C$28,MATCH($B14,'MC MASTER'!$B$3:$B$28,0)),"** NOT A GROUP **")</f>
        <v>13</v>
      </c>
      <c r="E14" s="2" t="str">
        <f>'LINE PLAN'!$HA$14</f>
        <v>RS17</v>
      </c>
      <c r="F14" s="268" t="str">
        <f>IFERROR(INDEX($L$5:$L$28,MATCH($E14,$K$5:$K$28,0)),$E14)</f>
        <v>RS-17</v>
      </c>
      <c r="G14" s="2">
        <f>IFERROR(INDEX(EMBELISHMENT!$B$28:$AQ$28,MATCH($F14,EMBELISHMENT!$B$1:$AQ$1,0)),"-")</f>
        <v>30</v>
      </c>
      <c r="H14" s="2">
        <f>IFERROR(INDEX(EMBELISHMENT!$B$29:$AQ$29,MATCH($F14,EMBELISHMENT!$B$1:$AQ$1,0)),"-")</f>
        <v>2000</v>
      </c>
      <c r="I14" s="2" t="str">
        <f>IF($F14="","No embl. data",IF(ISNA(MATCH($F14,EMBELISHMENT!$B$1:$AQ$1,0)),"ALIAS NOT FOUND","OK"))</f>
        <v>OK</v>
      </c>
      <c r="K14" s="293" t="s">
        <v>19</v>
      </c>
      <c r="L14" s="293" t="s">
        <v>25</v>
      </c>
      <c r="M14" s="293" t="s">
        <v>15</v>
      </c>
      <c r="BA14" s="268" t="str">
        <f>INDEX('MC MASTER'!$B$3:$B$28,10)</f>
        <v>F/L (Coverseam / Waist COVER SEAM</v>
      </c>
      <c r="BU14" s="2">
        <f>SUM($DA14:$EV14)</f>
        <v>8</v>
      </c>
      <c r="BV14" s="2" t="str">
        <f>IF($BU14=0,"NEVER USED BY ANY STYLE","used")</f>
        <v>used</v>
      </c>
      <c r="BW14" s="269" t="str">
        <f>'MC MASTER'!$B12</f>
        <v>F/L (Coverseam / Waist COVER SEAM</v>
      </c>
      <c r="BX14" s="269" t="str">
        <f>'MC MASTER'!$A12</f>
        <v>FLAT-LOCK</v>
      </c>
      <c r="CZ14" s="2" cm="1" t="str">
        <f t="array" ref="CZ14">INDEX('MC MASTER'!$B$3:$B$28,ROW()-4)</f>
        <v>F/L (Coverseam / Waist COVER SEAM</v>
      </c>
      <c r="DA14" s="2">
        <f>INDEX($B$33:$AA$80,MATCH(DA$4,$A$33:$A$80,0),MATCH($CZ14,$B$32:$AA$32,0))</f>
        <v>0</v>
      </c>
      <c r="DB14" s="2">
        <f>INDEX($B$33:$AA$80,MATCH(DB$4,$A$33:$A$80,0),MATCH($CZ14,$B$32:$AA$32,0))</f>
        <v>0</v>
      </c>
      <c r="DC14" s="2">
        <f>INDEX($B$33:$AA$80,MATCH(DC$4,$A$33:$A$80,0),MATCH($CZ14,$B$32:$AA$32,0))</f>
        <v>0</v>
      </c>
      <c r="DD14" s="2">
        <f>INDEX($B$33:$AA$80,MATCH(DD$4,$A$33:$A$80,0),MATCH($CZ14,$B$32:$AA$32,0))</f>
        <v>0</v>
      </c>
      <c r="DE14" s="2">
        <f>INDEX($B$33:$AA$80,MATCH(DE$4,$A$33:$A$80,0),MATCH($CZ14,$B$32:$AA$32,0))</f>
        <v>0</v>
      </c>
      <c r="DF14" s="2">
        <f>INDEX($B$33:$AA$80,MATCH(DF$4,$A$33:$A$80,0),MATCH($CZ14,$B$32:$AA$32,0))</f>
        <v>0</v>
      </c>
      <c r="DG14" s="2">
        <f>INDEX($B$33:$AA$80,MATCH(DG$4,$A$33:$A$80,0),MATCH($CZ14,$B$32:$AA$32,0))</f>
        <v>0</v>
      </c>
      <c r="DH14" s="2">
        <f>INDEX($B$33:$AA$80,MATCH(DH$4,$A$33:$A$80,0),MATCH($CZ14,$B$32:$AA$32,0))</f>
        <v>4</v>
      </c>
      <c r="DI14" s="2">
        <f>INDEX($B$33:$AA$80,MATCH(DI$4,$A$33:$A$80,0),MATCH($CZ14,$B$32:$AA$32,0))</f>
        <v>0</v>
      </c>
      <c r="DJ14" s="2">
        <f>INDEX($B$33:$AA$80,MATCH(DJ$4,$A$33:$A$80,0),MATCH($CZ14,$B$32:$AA$32,0))</f>
        <v>0</v>
      </c>
      <c r="DK14" s="2">
        <f>INDEX($B$33:$AA$80,MATCH(DK$4,$A$33:$A$80,0),MATCH($CZ14,$B$32:$AA$32,0))</f>
        <v>0</v>
      </c>
      <c r="DL14" s="2">
        <f>INDEX($B$33:$AA$80,MATCH(DL$4,$A$33:$A$80,0),MATCH($CZ14,$B$32:$AA$32,0))</f>
        <v>0</v>
      </c>
      <c r="DM14" s="2">
        <f>INDEX($B$33:$AA$80,MATCH(DM$4,$A$33:$A$80,0),MATCH($CZ14,$B$32:$AA$32,0))</f>
        <v>0</v>
      </c>
      <c r="DN14" s="2">
        <f>INDEX($B$33:$AA$80,MATCH(DN$4,$A$33:$A$80,0),MATCH($CZ14,$B$32:$AA$32,0))</f>
        <v>0</v>
      </c>
      <c r="DO14" s="2">
        <f>INDEX($B$33:$AA$80,MATCH(DO$4,$A$33:$A$80,0),MATCH($CZ14,$B$32:$AA$32,0))</f>
        <v>0</v>
      </c>
      <c r="DP14" s="2">
        <f>INDEX($B$33:$AA$80,MATCH(DP$4,$A$33:$A$80,0),MATCH($CZ14,$B$32:$AA$32,0))</f>
        <v>0</v>
      </c>
      <c r="DQ14" s="2">
        <f>INDEX($B$33:$AA$80,MATCH(DQ$4,$A$33:$A$80,0),MATCH($CZ14,$B$32:$AA$32,0))</f>
        <v>0</v>
      </c>
      <c r="DR14" s="2">
        <f>INDEX($B$33:$AA$80,MATCH(DR$4,$A$33:$A$80,0),MATCH($CZ14,$B$32:$AA$32,0))</f>
        <v>0</v>
      </c>
      <c r="DS14" s="2">
        <f>INDEX($B$33:$AA$80,MATCH(DS$4,$A$33:$A$80,0),MATCH($CZ14,$B$32:$AA$32,0))</f>
        <v>0</v>
      </c>
      <c r="DT14" s="2">
        <f>INDEX($B$33:$AA$80,MATCH(DT$4,$A$33:$A$80,0),MATCH($CZ14,$B$32:$AA$32,0))</f>
        <v>0</v>
      </c>
      <c r="DU14" s="2">
        <f>INDEX($B$33:$AA$80,MATCH(DU$4,$A$33:$A$80,0),MATCH($CZ14,$B$32:$AA$32,0))</f>
        <v>0</v>
      </c>
      <c r="DV14" s="2">
        <f>INDEX($B$33:$AA$80,MATCH(DV$4,$A$33:$A$80,0),MATCH($CZ14,$B$32:$AA$32,0))</f>
        <v>0</v>
      </c>
      <c r="DW14" s="2">
        <f>INDEX($B$33:$AA$80,MATCH(DW$4,$A$33:$A$80,0),MATCH($CZ14,$B$32:$AA$32,0))</f>
        <v>0</v>
      </c>
      <c r="DX14" s="2">
        <f>INDEX($B$33:$AA$80,MATCH(DX$4,$A$33:$A$80,0),MATCH($CZ14,$B$32:$AA$32,0))</f>
        <v>0</v>
      </c>
      <c r="DY14" s="2">
        <f>INDEX($B$33:$AA$80,MATCH(DY$4,$A$33:$A$80,0),MATCH($CZ14,$B$32:$AA$32,0))</f>
        <v>0</v>
      </c>
      <c r="DZ14" s="2">
        <f>INDEX($B$33:$AA$80,MATCH(DZ$4,$A$33:$A$80,0),MATCH($CZ14,$B$32:$AA$32,0))</f>
        <v>0</v>
      </c>
      <c r="EA14" s="2">
        <f>INDEX($B$33:$AA$80,MATCH(EA$4,$A$33:$A$80,0),MATCH($CZ14,$B$32:$AA$32,0))</f>
        <v>0</v>
      </c>
      <c r="EB14" s="2">
        <f>INDEX($B$33:$AA$80,MATCH(EB$4,$A$33:$A$80,0),MATCH($CZ14,$B$32:$AA$32,0))</f>
        <v>4</v>
      </c>
      <c r="EC14" s="2">
        <f>INDEX($B$33:$AA$80,MATCH(EC$4,$A$33:$A$80,0),MATCH($CZ14,$B$32:$AA$32,0))</f>
        <v>0</v>
      </c>
      <c r="ED14" s="2">
        <f>INDEX($B$33:$AA$80,MATCH(ED$4,$A$33:$A$80,0),MATCH($CZ14,$B$32:$AA$32,0))</f>
        <v>0</v>
      </c>
      <c r="EE14" s="2">
        <f>INDEX($B$33:$AA$80,MATCH(EE$4,$A$33:$A$80,0),MATCH($CZ14,$B$32:$AA$32,0))</f>
        <v>0</v>
      </c>
      <c r="EF14" s="2">
        <f>INDEX($B$33:$AA$80,MATCH(EF$4,$A$33:$A$80,0),MATCH($CZ14,$B$32:$AA$32,0))</f>
        <v>0</v>
      </c>
      <c r="EG14" s="2">
        <f>INDEX($B$33:$AA$80,MATCH(EG$4,$A$33:$A$80,0),MATCH($CZ14,$B$32:$AA$32,0))</f>
        <v>0</v>
      </c>
      <c r="EH14" s="2">
        <f>INDEX($B$33:$AA$80,MATCH(EH$4,$A$33:$A$80,0),MATCH($CZ14,$B$32:$AA$32,0))</f>
        <v>0</v>
      </c>
      <c r="EI14" s="2">
        <f>INDEX($B$33:$AA$80,MATCH(EI$4,$A$33:$A$80,0),MATCH($CZ14,$B$32:$AA$32,0))</f>
        <v>0</v>
      </c>
      <c r="EJ14" s="2">
        <f>INDEX($B$33:$AA$80,MATCH(EJ$4,$A$33:$A$80,0),MATCH($CZ14,$B$32:$AA$32,0))</f>
        <v>0</v>
      </c>
      <c r="EK14" s="2">
        <f>INDEX($B$33:$AA$80,MATCH(EK$4,$A$33:$A$80,0),MATCH($CZ14,$B$32:$AA$32,0))</f>
        <v>0</v>
      </c>
      <c r="EL14" s="2">
        <f>INDEX($B$33:$AA$80,MATCH(EL$4,$A$33:$A$80,0),MATCH($CZ14,$B$32:$AA$32,0))</f>
        <v>0</v>
      </c>
      <c r="EM14" s="2">
        <f>INDEX($B$33:$AA$80,MATCH(EM$4,$A$33:$A$80,0),MATCH($CZ14,$B$32:$AA$32,0))</f>
        <v>0</v>
      </c>
      <c r="EN14" s="2">
        <f>INDEX($B$33:$AA$80,MATCH(EN$4,$A$33:$A$80,0),MATCH($CZ14,$B$32:$AA$32,0))</f>
        <v>0</v>
      </c>
      <c r="EO14" s="2">
        <f>INDEX($B$33:$AA$80,MATCH(EO$4,$A$33:$A$80,0),MATCH($CZ14,$B$32:$AA$32,0))</f>
        <v>0</v>
      </c>
      <c r="EP14" s="2">
        <f>INDEX($B$33:$AA$80,MATCH(EP$4,$A$33:$A$80,0),MATCH($CZ14,$B$32:$AA$32,0))</f>
        <v>0</v>
      </c>
      <c r="EQ14" s="2">
        <f>INDEX($B$33:$AA$80,MATCH(EQ$4,$A$33:$A$80,0),MATCH($CZ14,$B$32:$AA$32,0))</f>
        <v>0</v>
      </c>
      <c r="ER14" s="2">
        <f>INDEX($B$33:$AA$80,MATCH(ER$4,$A$33:$A$80,0),MATCH($CZ14,$B$32:$AA$32,0))</f>
        <v>0</v>
      </c>
      <c r="ES14" s="2">
        <f>INDEX($B$33:$AA$80,MATCH(ES$4,$A$33:$A$80,0),MATCH($CZ14,$B$32:$AA$32,0))</f>
        <v>0</v>
      </c>
      <c r="ET14" s="2">
        <f>INDEX($B$33:$AA$80,MATCH(ET$4,$A$33:$A$80,0),MATCH($CZ14,$B$32:$AA$32,0))</f>
        <v>0</v>
      </c>
      <c r="EU14" s="2">
        <f>INDEX($B$33:$AA$80,MATCH(EU$4,$A$33:$A$80,0),MATCH($CZ14,$B$32:$AA$32,0))</f>
        <v>0</v>
      </c>
      <c r="EV14" s="2">
        <f>INDEX($B$33:$AA$80,MATCH(EV$4,$A$33:$A$80,0),MATCH($CZ14,$B$32:$AA$32,0))</f>
        <v>0</v>
      </c>
    </row>
    <row r="15" spans="1:152">
      <c r="A15" s="2" t="str">
        <f>EMBELISHMENT!A13</f>
        <v>F/L (Coverseam )with pullar</v>
      </c>
      <c r="B15" s="293" t="s">
        <v>443</v>
      </c>
      <c r="C15" s="2">
        <f>IFERROR(INDEX('MC MASTER'!$C$3:$C$28,MATCH($B15,'MC MASTER'!$B$3:$B$28,0)),"** NOT A GROUP **")</f>
        <v>37</v>
      </c>
      <c r="E15" s="2">
        <f>'LINE PLAN'!$HA$15</f>
        <v>6135</v>
      </c>
      <c r="F15" s="268">
        <f>IFERROR(INDEX($L$5:$L$28,MATCH($E15,$K$5:$K$28,0)),$E15)</f>
        <v>6135</v>
      </c>
      <c r="G15" s="2">
        <f>IFERROR(INDEX(EMBELISHMENT!$B$28:$AQ$28,MATCH($F15,EMBELISHMENT!$B$1:$AQ$1,0)),"-")</f>
        <v>33.5</v>
      </c>
      <c r="H15" s="2">
        <f>IFERROR(INDEX(EMBELISHMENT!$B$29:$AQ$29,MATCH($F15,EMBELISHMENT!$B$1:$AQ$1,0)),"-")</f>
        <v>3500</v>
      </c>
      <c r="I15" s="2" t="str">
        <f>IF($F15="","No embl. data",IF(ISNA(MATCH($F15,EMBELISHMENT!$B$1:$AQ$1,0)),"ALIAS NOT FOUND","OK"))</f>
        <v>OK</v>
      </c>
      <c r="K15" s="293" t="s">
        <v>24</v>
      </c>
      <c r="L15" s="293" t="s">
        <v>24</v>
      </c>
      <c r="M15" s="293" t="s">
        <v>15</v>
      </c>
      <c r="BA15" s="268" t="str">
        <f>INDEX('MC MASTER'!$B$3:$B$28,11)</f>
        <v>F/L (Coverseam )with pullar</v>
      </c>
      <c r="BU15" s="2">
        <f>SUM($DA15:$EV15)</f>
        <v>28</v>
      </c>
      <c r="BV15" s="2" t="str">
        <f>IF($BU15=0,"NEVER USED BY ANY STYLE","used")</f>
        <v>used</v>
      </c>
      <c r="BW15" s="269" t="str">
        <f>'MC MASTER'!$B13</f>
        <v>F/L (Coverseam )with pullar</v>
      </c>
      <c r="BX15" s="269" t="str">
        <f>'MC MASTER'!$A13</f>
        <v>FLAT-LOCK</v>
      </c>
      <c r="CZ15" s="2" cm="1" t="str">
        <f t="array" ref="CZ15">INDEX('MC MASTER'!$B$3:$B$28,ROW()-4)</f>
        <v>F/L (Coverseam )with pullar</v>
      </c>
      <c r="DA15" s="2">
        <f>INDEX($B$33:$AA$80,MATCH(DA$4,$A$33:$A$80,0),MATCH($CZ15,$B$32:$AA$32,0))</f>
        <v>0</v>
      </c>
      <c r="DB15" s="2">
        <f>INDEX($B$33:$AA$80,MATCH(DB$4,$A$33:$A$80,0),MATCH($CZ15,$B$32:$AA$32,0))</f>
        <v>0</v>
      </c>
      <c r="DC15" s="2">
        <f>INDEX($B$33:$AA$80,MATCH(DC$4,$A$33:$A$80,0),MATCH($CZ15,$B$32:$AA$32,0))</f>
        <v>0</v>
      </c>
      <c r="DD15" s="2">
        <f>INDEX($B$33:$AA$80,MATCH(DD$4,$A$33:$A$80,0),MATCH($CZ15,$B$32:$AA$32,0))</f>
        <v>0</v>
      </c>
      <c r="DE15" s="2">
        <f>INDEX($B$33:$AA$80,MATCH(DE$4,$A$33:$A$80,0),MATCH($CZ15,$B$32:$AA$32,0))</f>
        <v>2.5</v>
      </c>
      <c r="DF15" s="2">
        <f>INDEX($B$33:$AA$80,MATCH(DF$4,$A$33:$A$80,0),MATCH($CZ15,$B$32:$AA$32,0))</f>
        <v>0</v>
      </c>
      <c r="DG15" s="2">
        <f>INDEX($B$33:$AA$80,MATCH(DG$4,$A$33:$A$80,0),MATCH($CZ15,$B$32:$AA$32,0))</f>
        <v>0</v>
      </c>
      <c r="DH15" s="2">
        <f>INDEX($B$33:$AA$80,MATCH(DH$4,$A$33:$A$80,0),MATCH($CZ15,$B$32:$AA$32,0))</f>
        <v>4</v>
      </c>
      <c r="DI15" s="2">
        <f>INDEX($B$33:$AA$80,MATCH(DI$4,$A$33:$A$80,0),MATCH($CZ15,$B$32:$AA$32,0))</f>
        <v>0</v>
      </c>
      <c r="DJ15" s="2">
        <f>INDEX($B$33:$AA$80,MATCH(DJ$4,$A$33:$A$80,0),MATCH($CZ15,$B$32:$AA$32,0))</f>
        <v>3</v>
      </c>
      <c r="DK15" s="2">
        <f>INDEX($B$33:$AA$80,MATCH(DK$4,$A$33:$A$80,0),MATCH($CZ15,$B$32:$AA$32,0))</f>
        <v>5.5</v>
      </c>
      <c r="DL15" s="2">
        <f>INDEX($B$33:$AA$80,MATCH(DL$4,$A$33:$A$80,0),MATCH($CZ15,$B$32:$AA$32,0))</f>
        <v>0</v>
      </c>
      <c r="DM15" s="2">
        <f>INDEX($B$33:$AA$80,MATCH(DM$4,$A$33:$A$80,0),MATCH($CZ15,$B$32:$AA$32,0))</f>
        <v>0</v>
      </c>
      <c r="DN15" s="2">
        <f>INDEX($B$33:$AA$80,MATCH(DN$4,$A$33:$A$80,0),MATCH($CZ15,$B$32:$AA$32,0))</f>
        <v>3</v>
      </c>
      <c r="DO15" s="2">
        <f>INDEX($B$33:$AA$80,MATCH(DO$4,$A$33:$A$80,0),MATCH($CZ15,$B$32:$AA$32,0))</f>
        <v>3</v>
      </c>
      <c r="DP15" s="2">
        <f>INDEX($B$33:$AA$80,MATCH(DP$4,$A$33:$A$80,0),MATCH($CZ15,$B$32:$AA$32,0))</f>
        <v>0</v>
      </c>
      <c r="DQ15" s="2">
        <f>INDEX($B$33:$AA$80,MATCH(DQ$4,$A$33:$A$80,0),MATCH($CZ15,$B$32:$AA$32,0))</f>
        <v>0</v>
      </c>
      <c r="DR15" s="2">
        <f>INDEX($B$33:$AA$80,MATCH(DR$4,$A$33:$A$80,0),MATCH($CZ15,$B$32:$AA$32,0))</f>
        <v>0</v>
      </c>
      <c r="DS15" s="2">
        <f>INDEX($B$33:$AA$80,MATCH(DS$4,$A$33:$A$80,0),MATCH($CZ15,$B$32:$AA$32,0))</f>
        <v>0</v>
      </c>
      <c r="DT15" s="2">
        <f>INDEX($B$33:$AA$80,MATCH(DT$4,$A$33:$A$80,0),MATCH($CZ15,$B$32:$AA$32,0))</f>
        <v>3</v>
      </c>
      <c r="DU15" s="2">
        <f>INDEX($B$33:$AA$80,MATCH(DU$4,$A$33:$A$80,0),MATCH($CZ15,$B$32:$AA$32,0))</f>
        <v>0</v>
      </c>
      <c r="DV15" s="2">
        <f>INDEX($B$33:$AA$80,MATCH(DV$4,$A$33:$A$80,0),MATCH($CZ15,$B$32:$AA$32,0))</f>
        <v>0</v>
      </c>
      <c r="DW15" s="2">
        <f>INDEX($B$33:$AA$80,MATCH(DW$4,$A$33:$A$80,0),MATCH($CZ15,$B$32:$AA$32,0))</f>
        <v>0</v>
      </c>
      <c r="DX15" s="2">
        <f>INDEX($B$33:$AA$80,MATCH(DX$4,$A$33:$A$80,0),MATCH($CZ15,$B$32:$AA$32,0))</f>
        <v>0</v>
      </c>
      <c r="DY15" s="2">
        <f>INDEX($B$33:$AA$80,MATCH(DY$4,$A$33:$A$80,0),MATCH($CZ15,$B$32:$AA$32,0))</f>
        <v>0</v>
      </c>
      <c r="DZ15" s="2">
        <f>INDEX($B$33:$AA$80,MATCH(DZ$4,$A$33:$A$80,0),MATCH($CZ15,$B$32:$AA$32,0))</f>
        <v>0</v>
      </c>
      <c r="EA15" s="2">
        <f>INDEX($B$33:$AA$80,MATCH(EA$4,$A$33:$A$80,0),MATCH($CZ15,$B$32:$AA$32,0))</f>
        <v>0</v>
      </c>
      <c r="EB15" s="2">
        <f>INDEX($B$33:$AA$80,MATCH(EB$4,$A$33:$A$80,0),MATCH($CZ15,$B$32:$AA$32,0))</f>
        <v>4</v>
      </c>
      <c r="EC15" s="2">
        <f>INDEX($B$33:$AA$80,MATCH(EC$4,$A$33:$A$80,0),MATCH($CZ15,$B$32:$AA$32,0))</f>
        <v>0</v>
      </c>
      <c r="ED15" s="2">
        <f>INDEX($B$33:$AA$80,MATCH(ED$4,$A$33:$A$80,0),MATCH($CZ15,$B$32:$AA$32,0))</f>
        <v>0</v>
      </c>
      <c r="EE15" s="2">
        <f>INDEX($B$33:$AA$80,MATCH(EE$4,$A$33:$A$80,0),MATCH($CZ15,$B$32:$AA$32,0))</f>
        <v>0</v>
      </c>
      <c r="EF15" s="2">
        <f>INDEX($B$33:$AA$80,MATCH(EF$4,$A$33:$A$80,0),MATCH($CZ15,$B$32:$AA$32,0))</f>
        <v>0</v>
      </c>
      <c r="EG15" s="2">
        <f>INDEX($B$33:$AA$80,MATCH(EG$4,$A$33:$A$80,0),MATCH($CZ15,$B$32:$AA$32,0))</f>
        <v>0</v>
      </c>
      <c r="EH15" s="2">
        <f>INDEX($B$33:$AA$80,MATCH(EH$4,$A$33:$A$80,0),MATCH($CZ15,$B$32:$AA$32,0))</f>
        <v>0</v>
      </c>
      <c r="EI15" s="2">
        <f>INDEX($B$33:$AA$80,MATCH(EI$4,$A$33:$A$80,0),MATCH($CZ15,$B$32:$AA$32,0))</f>
        <v>0</v>
      </c>
      <c r="EJ15" s="2">
        <f>INDEX($B$33:$AA$80,MATCH(EJ$4,$A$33:$A$80,0),MATCH($CZ15,$B$32:$AA$32,0))</f>
        <v>0</v>
      </c>
      <c r="EK15" s="2">
        <f>INDEX($B$33:$AA$80,MATCH(EK$4,$A$33:$A$80,0),MATCH($CZ15,$B$32:$AA$32,0))</f>
        <v>0</v>
      </c>
      <c r="EL15" s="2">
        <f>INDEX($B$33:$AA$80,MATCH(EL$4,$A$33:$A$80,0),MATCH($CZ15,$B$32:$AA$32,0))</f>
        <v>0</v>
      </c>
      <c r="EM15" s="2">
        <f>INDEX($B$33:$AA$80,MATCH(EM$4,$A$33:$A$80,0),MATCH($CZ15,$B$32:$AA$32,0))</f>
        <v>0</v>
      </c>
      <c r="EN15" s="2">
        <f>INDEX($B$33:$AA$80,MATCH(EN$4,$A$33:$A$80,0),MATCH($CZ15,$B$32:$AA$32,0))</f>
        <v>0</v>
      </c>
      <c r="EO15" s="2">
        <f>INDEX($B$33:$AA$80,MATCH(EO$4,$A$33:$A$80,0),MATCH($CZ15,$B$32:$AA$32,0))</f>
        <v>0</v>
      </c>
      <c r="EP15" s="2">
        <f>INDEX($B$33:$AA$80,MATCH(EP$4,$A$33:$A$80,0),MATCH($CZ15,$B$32:$AA$32,0))</f>
        <v>0</v>
      </c>
      <c r="EQ15" s="2">
        <f>INDEX($B$33:$AA$80,MATCH(EQ$4,$A$33:$A$80,0),MATCH($CZ15,$B$32:$AA$32,0))</f>
        <v>0</v>
      </c>
      <c r="ER15" s="2">
        <f>INDEX($B$33:$AA$80,MATCH(ER$4,$A$33:$A$80,0),MATCH($CZ15,$B$32:$AA$32,0))</f>
        <v>0</v>
      </c>
      <c r="ES15" s="2">
        <f>INDEX($B$33:$AA$80,MATCH(ES$4,$A$33:$A$80,0),MATCH($CZ15,$B$32:$AA$32,0))</f>
        <v>0</v>
      </c>
      <c r="ET15" s="2">
        <f>INDEX($B$33:$AA$80,MATCH(ET$4,$A$33:$A$80,0),MATCH($CZ15,$B$32:$AA$32,0))</f>
        <v>0</v>
      </c>
      <c r="EU15" s="2">
        <f>INDEX($B$33:$AA$80,MATCH(EU$4,$A$33:$A$80,0),MATCH($CZ15,$B$32:$AA$32,0))</f>
        <v>0</v>
      </c>
      <c r="EV15" s="2">
        <f>INDEX($B$33:$AA$80,MATCH(EV$4,$A$33:$A$80,0),MATCH($CZ15,$B$32:$AA$32,0))</f>
        <v>0</v>
      </c>
    </row>
    <row r="16" spans="1:152">
      <c r="A16" s="2" t="str">
        <f>EMBELISHMENT!A14</f>
        <v>F/L (Coverseam )</v>
      </c>
      <c r="B16" s="293" t="s">
        <v>167</v>
      </c>
      <c r="C16" s="2">
        <f>IFERROR(INDEX('MC MASTER'!$C$3:$C$28,MATCH($B16,'MC MASTER'!$B$3:$B$28,0)),"** NOT A GROUP **")</f>
        <v>6</v>
      </c>
      <c r="E16" s="2" t="str">
        <f>'LINE PLAN'!$HA$16</f>
        <v>THERMAL</v>
      </c>
      <c r="F16" s="268">
        <f>IFERROR(INDEX($L$5:$L$28,MATCH($E16,$K$5:$K$28,0)),$E16)</f>
        <v>0</v>
      </c>
      <c r="G16" s="2" t="str">
        <f>IFERROR(INDEX(EMBELISHMENT!$B$28:$AQ$28,MATCH($F16,EMBELISHMENT!$B$1:$AQ$1,0)),"-")</f>
        <v>-</v>
      </c>
      <c r="H16" s="2" t="str">
        <f>IFERROR(INDEX(EMBELISHMENT!$B$29:$AQ$29,MATCH($F16,EMBELISHMENT!$B$1:$AQ$1,0)),"-")</f>
        <v>-</v>
      </c>
      <c r="I16" s="2" t="str">
        <f>IF($F16="","No embl. data",IF(ISNA(MATCH($F16,EMBELISHMENT!$B$1:$AQ$1,0)),"ALIAS NOT FOUND","OK"))</f>
        <v>ALIAS NOT FOUND</v>
      </c>
      <c r="K16" s="293" t="s">
        <v>25</v>
      </c>
      <c r="L16" s="293" t="s">
        <v>25</v>
      </c>
      <c r="M16" s="293" t="s">
        <v>15</v>
      </c>
      <c r="BA16" s="268" t="str">
        <f>INDEX('MC MASTER'!$B$3:$B$28,12)</f>
        <v>F/L (Coverseam )</v>
      </c>
      <c r="BU16" s="2">
        <f>SUM($DA16:$EV16)</f>
        <v>29</v>
      </c>
      <c r="BV16" s="2" t="str">
        <f>IF($BU16=0,"NEVER USED BY ANY STYLE","used")</f>
        <v>used</v>
      </c>
      <c r="BW16" s="269" t="str">
        <f>'MC MASTER'!$B14</f>
        <v>F/L (Coverseam )</v>
      </c>
      <c r="BX16" s="269" t="str">
        <f>'MC MASTER'!$A14</f>
        <v>FLAT-LOCK</v>
      </c>
      <c r="CZ16" s="2" cm="1" t="str">
        <f t="array" ref="CZ16">INDEX('MC MASTER'!$B$3:$B$28,ROW()-4)</f>
        <v>F/L (Coverseam )</v>
      </c>
      <c r="DA16" s="2">
        <f>INDEX($B$33:$AA$80,MATCH(DA$4,$A$33:$A$80,0),MATCH($CZ16,$B$32:$AA$32,0))</f>
        <v>1</v>
      </c>
      <c r="DB16" s="2">
        <f>INDEX($B$33:$AA$80,MATCH(DB$4,$A$33:$A$80,0),MATCH($CZ16,$B$32:$AA$32,0))</f>
        <v>0</v>
      </c>
      <c r="DC16" s="2">
        <f>INDEX($B$33:$AA$80,MATCH(DC$4,$A$33:$A$80,0),MATCH($CZ16,$B$32:$AA$32,0))</f>
        <v>0</v>
      </c>
      <c r="DD16" s="2">
        <f>INDEX($B$33:$AA$80,MATCH(DD$4,$A$33:$A$80,0),MATCH($CZ16,$B$32:$AA$32,0))</f>
        <v>0</v>
      </c>
      <c r="DE16" s="2">
        <f>INDEX($B$33:$AA$80,MATCH(DE$4,$A$33:$A$80,0),MATCH($CZ16,$B$32:$AA$32,0))</f>
        <v>0</v>
      </c>
      <c r="DF16" s="2">
        <f>INDEX($B$33:$AA$80,MATCH(DF$4,$A$33:$A$80,0),MATCH($CZ16,$B$32:$AA$32,0))</f>
        <v>0</v>
      </c>
      <c r="DG16" s="2">
        <f>INDEX($B$33:$AA$80,MATCH(DG$4,$A$33:$A$80,0),MATCH($CZ16,$B$32:$AA$32,0))</f>
        <v>3</v>
      </c>
      <c r="DH16" s="2">
        <f>INDEX($B$33:$AA$80,MATCH(DH$4,$A$33:$A$80,0),MATCH($CZ16,$B$32:$AA$32,0))</f>
        <v>0</v>
      </c>
      <c r="DI16" s="2">
        <f>INDEX($B$33:$AA$80,MATCH(DI$4,$A$33:$A$80,0),MATCH($CZ16,$B$32:$AA$32,0))</f>
        <v>3</v>
      </c>
      <c r="DJ16" s="2">
        <f>INDEX($B$33:$AA$80,MATCH(DJ$4,$A$33:$A$80,0),MATCH($CZ16,$B$32:$AA$32,0))</f>
        <v>0</v>
      </c>
      <c r="DK16" s="2">
        <f>INDEX($B$33:$AA$80,MATCH(DK$4,$A$33:$A$80,0),MATCH($CZ16,$B$32:$AA$32,0))</f>
        <v>0</v>
      </c>
      <c r="DL16" s="2">
        <f>INDEX($B$33:$AA$80,MATCH(DL$4,$A$33:$A$80,0),MATCH($CZ16,$B$32:$AA$32,0))</f>
        <v>0</v>
      </c>
      <c r="DM16" s="2">
        <f>INDEX($B$33:$AA$80,MATCH(DM$4,$A$33:$A$80,0),MATCH($CZ16,$B$32:$AA$32,0))</f>
        <v>0</v>
      </c>
      <c r="DN16" s="2">
        <f>INDEX($B$33:$AA$80,MATCH(DN$4,$A$33:$A$80,0),MATCH($CZ16,$B$32:$AA$32,0))</f>
        <v>0</v>
      </c>
      <c r="DO16" s="2">
        <f>INDEX($B$33:$AA$80,MATCH(DO$4,$A$33:$A$80,0),MATCH($CZ16,$B$32:$AA$32,0))</f>
        <v>0</v>
      </c>
      <c r="DP16" s="2">
        <f>INDEX($B$33:$AA$80,MATCH(DP$4,$A$33:$A$80,0),MATCH($CZ16,$B$32:$AA$32,0))</f>
        <v>3</v>
      </c>
      <c r="DQ16" s="2">
        <f>INDEX($B$33:$AA$80,MATCH(DQ$4,$A$33:$A$80,0),MATCH($CZ16,$B$32:$AA$32,0))</f>
        <v>0</v>
      </c>
      <c r="DR16" s="2">
        <f>INDEX($B$33:$AA$80,MATCH(DR$4,$A$33:$A$80,0),MATCH($CZ16,$B$32:$AA$32,0))</f>
        <v>1</v>
      </c>
      <c r="DS16" s="2">
        <f>INDEX($B$33:$AA$80,MATCH(DS$4,$A$33:$A$80,0),MATCH($CZ16,$B$32:$AA$32,0))</f>
        <v>1</v>
      </c>
      <c r="DT16" s="2">
        <f>INDEX($B$33:$AA$80,MATCH(DT$4,$A$33:$A$80,0),MATCH($CZ16,$B$32:$AA$32,0))</f>
        <v>0</v>
      </c>
      <c r="DU16" s="2">
        <f>INDEX($B$33:$AA$80,MATCH(DU$4,$A$33:$A$80,0),MATCH($CZ16,$B$32:$AA$32,0))</f>
        <v>3</v>
      </c>
      <c r="DV16" s="2">
        <f>INDEX($B$33:$AA$80,MATCH(DV$4,$A$33:$A$80,0),MATCH($CZ16,$B$32:$AA$32,0))</f>
        <v>0</v>
      </c>
      <c r="DW16" s="2">
        <f>INDEX($B$33:$AA$80,MATCH(DW$4,$A$33:$A$80,0),MATCH($CZ16,$B$32:$AA$32,0))</f>
        <v>2</v>
      </c>
      <c r="DX16" s="2">
        <f>INDEX($B$33:$AA$80,MATCH(DX$4,$A$33:$A$80,0),MATCH($CZ16,$B$32:$AA$32,0))</f>
        <v>2</v>
      </c>
      <c r="DY16" s="2">
        <f>INDEX($B$33:$AA$80,MATCH(DY$4,$A$33:$A$80,0),MATCH($CZ16,$B$32:$AA$32,0))</f>
        <v>0</v>
      </c>
      <c r="DZ16" s="2">
        <f>INDEX($B$33:$AA$80,MATCH(DZ$4,$A$33:$A$80,0),MATCH($CZ16,$B$32:$AA$32,0))</f>
        <v>4</v>
      </c>
      <c r="EA16" s="2">
        <f>INDEX($B$33:$AA$80,MATCH(EA$4,$A$33:$A$80,0),MATCH($CZ16,$B$32:$AA$32,0))</f>
        <v>4</v>
      </c>
      <c r="EB16" s="2">
        <f>INDEX($B$33:$AA$80,MATCH(EB$4,$A$33:$A$80,0),MATCH($CZ16,$B$32:$AA$32,0))</f>
        <v>0</v>
      </c>
      <c r="EC16" s="2">
        <f>INDEX($B$33:$AA$80,MATCH(EC$4,$A$33:$A$80,0),MATCH($CZ16,$B$32:$AA$32,0))</f>
        <v>0</v>
      </c>
      <c r="ED16" s="2">
        <f>INDEX($B$33:$AA$80,MATCH(ED$4,$A$33:$A$80,0),MATCH($CZ16,$B$32:$AA$32,0))</f>
        <v>0</v>
      </c>
      <c r="EE16" s="2">
        <f>INDEX($B$33:$AA$80,MATCH(EE$4,$A$33:$A$80,0),MATCH($CZ16,$B$32:$AA$32,0))</f>
        <v>0</v>
      </c>
      <c r="EF16" s="2">
        <f>INDEX($B$33:$AA$80,MATCH(EF$4,$A$33:$A$80,0),MATCH($CZ16,$B$32:$AA$32,0))</f>
        <v>0</v>
      </c>
      <c r="EG16" s="2">
        <f>INDEX($B$33:$AA$80,MATCH(EG$4,$A$33:$A$80,0),MATCH($CZ16,$B$32:$AA$32,0))</f>
        <v>0</v>
      </c>
      <c r="EH16" s="2">
        <f>INDEX($B$33:$AA$80,MATCH(EH$4,$A$33:$A$80,0),MATCH($CZ16,$B$32:$AA$32,0))</f>
        <v>0</v>
      </c>
      <c r="EI16" s="2">
        <f>INDEX($B$33:$AA$80,MATCH(EI$4,$A$33:$A$80,0),MATCH($CZ16,$B$32:$AA$32,0))</f>
        <v>0</v>
      </c>
      <c r="EJ16" s="2">
        <f>INDEX($B$33:$AA$80,MATCH(EJ$4,$A$33:$A$80,0),MATCH($CZ16,$B$32:$AA$32,0))</f>
        <v>2</v>
      </c>
      <c r="EK16" s="2">
        <f>INDEX($B$33:$AA$80,MATCH(EK$4,$A$33:$A$80,0),MATCH($CZ16,$B$32:$AA$32,0))</f>
        <v>0</v>
      </c>
      <c r="EL16" s="2">
        <f>INDEX($B$33:$AA$80,MATCH(EL$4,$A$33:$A$80,0),MATCH($CZ16,$B$32:$AA$32,0))</f>
        <v>0</v>
      </c>
      <c r="EM16" s="2">
        <f>INDEX($B$33:$AA$80,MATCH(EM$4,$A$33:$A$80,0),MATCH($CZ16,$B$32:$AA$32,0))</f>
        <v>0</v>
      </c>
      <c r="EN16" s="2">
        <f>INDEX($B$33:$AA$80,MATCH(EN$4,$A$33:$A$80,0),MATCH($CZ16,$B$32:$AA$32,0))</f>
        <v>0</v>
      </c>
      <c r="EO16" s="2">
        <f>INDEX($B$33:$AA$80,MATCH(EO$4,$A$33:$A$80,0),MATCH($CZ16,$B$32:$AA$32,0))</f>
        <v>0</v>
      </c>
      <c r="EP16" s="2">
        <f>INDEX($B$33:$AA$80,MATCH(EP$4,$A$33:$A$80,0),MATCH($CZ16,$B$32:$AA$32,0))</f>
        <v>0</v>
      </c>
      <c r="EQ16" s="2">
        <f>INDEX($B$33:$AA$80,MATCH(EQ$4,$A$33:$A$80,0),MATCH($CZ16,$B$32:$AA$32,0))</f>
        <v>0</v>
      </c>
      <c r="ER16" s="2">
        <f>INDEX($B$33:$AA$80,MATCH(ER$4,$A$33:$A$80,0),MATCH($CZ16,$B$32:$AA$32,0))</f>
        <v>0</v>
      </c>
      <c r="ES16" s="2">
        <f>INDEX($B$33:$AA$80,MATCH(ES$4,$A$33:$A$80,0),MATCH($CZ16,$B$32:$AA$32,0))</f>
        <v>0</v>
      </c>
      <c r="ET16" s="2">
        <f>INDEX($B$33:$AA$80,MATCH(ET$4,$A$33:$A$80,0),MATCH($CZ16,$B$32:$AA$32,0))</f>
        <v>0</v>
      </c>
      <c r="EU16" s="2">
        <f>INDEX($B$33:$AA$80,MATCH(EU$4,$A$33:$A$80,0),MATCH($CZ16,$B$32:$AA$32,0))</f>
        <v>0</v>
      </c>
      <c r="EV16" s="2">
        <f>INDEX($B$33:$AA$80,MATCH(EV$4,$A$33:$A$80,0),MATCH($CZ16,$B$32:$AA$32,0))</f>
        <v>0</v>
      </c>
    </row>
    <row r="17" spans="1:152">
      <c r="A17" s="2" t="str">
        <f>EMBELISHMENT!A15</f>
        <v>Flatlock (Ring Elastic Attach)</v>
      </c>
      <c r="B17" s="293" t="s">
        <v>168</v>
      </c>
      <c r="C17" s="2">
        <f>IFERROR(INDEX('MC MASTER'!$C$3:$C$28,MATCH($B17,'MC MASTER'!$B$3:$B$28,0)),"** NOT A GROUP **")</f>
        <v>42</v>
      </c>
      <c r="E17" s="2" t="str">
        <f>'LINE PLAN'!$HA$17</f>
        <v>VACCANT</v>
      </c>
      <c r="F17" s="268">
        <f>IFERROR(INDEX($L$5:$L$28,MATCH($E17,$K$5:$K$28,0)),$E17)</f>
        <v>0</v>
      </c>
      <c r="G17" s="2" t="str">
        <f>IFERROR(INDEX(EMBELISHMENT!$B$28:$AQ$28,MATCH($F17,EMBELISHMENT!$B$1:$AQ$1,0)),"-")</f>
        <v>-</v>
      </c>
      <c r="H17" s="2" t="str">
        <f>IFERROR(INDEX(EMBELISHMENT!$B$29:$AQ$29,MATCH($F17,EMBELISHMENT!$B$1:$AQ$1,0)),"-")</f>
        <v>-</v>
      </c>
      <c r="I17" s="2" t="str">
        <f>IF($F17="","No embl. data",IF(ISNA(MATCH($F17,EMBELISHMENT!$B$1:$AQ$1,0)),"ALIAS NOT FOUND","OK"))</f>
        <v>ALIAS NOT FOUND</v>
      </c>
      <c r="K17" s="293" t="s">
        <v>26</v>
      </c>
      <c r="L17" s="293" t="s">
        <v>26</v>
      </c>
      <c r="M17" s="293" t="s">
        <v>15</v>
      </c>
      <c r="BA17" s="268" t="str">
        <f>INDEX('MC MASTER'!$B$3:$B$28,13)</f>
        <v>Flatlock (Ring Elastic Attach)</v>
      </c>
      <c r="BU17" s="2">
        <f>SUM($DA17:$EV17)</f>
        <v>43</v>
      </c>
      <c r="BV17" s="2" t="str">
        <f>IF($BU17=0,"NEVER USED BY ANY STYLE","used")</f>
        <v>used</v>
      </c>
      <c r="BW17" s="269" t="str">
        <f>'MC MASTER'!$B15</f>
        <v>Flatlock (Ring Elastic Attach)</v>
      </c>
      <c r="BX17" s="269" t="str">
        <f>'MC MASTER'!$A15</f>
        <v>OUTER ELASTIC</v>
      </c>
      <c r="CZ17" s="2" cm="1" t="str">
        <f t="array" ref="CZ17">INDEX('MC MASTER'!$B$3:$B$28,ROW()-4)</f>
        <v>Flatlock (Ring Elastic Attach)</v>
      </c>
      <c r="DA17" s="2">
        <f>INDEX($B$33:$AA$80,MATCH(DA$4,$A$33:$A$80,0),MATCH($CZ17,$B$32:$AA$32,0))</f>
        <v>0</v>
      </c>
      <c r="DB17" s="2">
        <f>INDEX($B$33:$AA$80,MATCH(DB$4,$A$33:$A$80,0),MATCH($CZ17,$B$32:$AA$32,0))</f>
        <v>0</v>
      </c>
      <c r="DC17" s="2">
        <f>INDEX($B$33:$AA$80,MATCH(DC$4,$A$33:$A$80,0),MATCH($CZ17,$B$32:$AA$32,0))</f>
        <v>0</v>
      </c>
      <c r="DD17" s="2">
        <f>INDEX($B$33:$AA$80,MATCH(DD$4,$A$33:$A$80,0),MATCH($CZ17,$B$32:$AA$32,0))</f>
        <v>0</v>
      </c>
      <c r="DE17" s="2">
        <f>INDEX($B$33:$AA$80,MATCH(DE$4,$A$33:$A$80,0),MATCH($CZ17,$B$32:$AA$32,0))</f>
        <v>0</v>
      </c>
      <c r="DF17" s="2">
        <f>INDEX($B$33:$AA$80,MATCH(DF$4,$A$33:$A$80,0),MATCH($CZ17,$B$32:$AA$32,0))</f>
        <v>3</v>
      </c>
      <c r="DG17" s="2">
        <f>INDEX($B$33:$AA$80,MATCH(DG$4,$A$33:$A$80,0),MATCH($CZ17,$B$32:$AA$32,0))</f>
        <v>2.5</v>
      </c>
      <c r="DH17" s="2">
        <f>INDEX($B$33:$AA$80,MATCH(DH$4,$A$33:$A$80,0),MATCH($CZ17,$B$32:$AA$32,0))</f>
        <v>0</v>
      </c>
      <c r="DI17" s="2">
        <f>INDEX($B$33:$AA$80,MATCH(DI$4,$A$33:$A$80,0),MATCH($CZ17,$B$32:$AA$32,0))</f>
        <v>2.5</v>
      </c>
      <c r="DJ17" s="2">
        <f>INDEX($B$33:$AA$80,MATCH(DJ$4,$A$33:$A$80,0),MATCH($CZ17,$B$32:$AA$32,0))</f>
        <v>3</v>
      </c>
      <c r="DK17" s="2">
        <f>INDEX($B$33:$AA$80,MATCH(DK$4,$A$33:$A$80,0),MATCH($CZ17,$B$32:$AA$32,0))</f>
        <v>0</v>
      </c>
      <c r="DL17" s="2">
        <f>INDEX($B$33:$AA$80,MATCH(DL$4,$A$33:$A$80,0),MATCH($CZ17,$B$32:$AA$32,0))</f>
        <v>0</v>
      </c>
      <c r="DM17" s="2">
        <f>INDEX($B$33:$AA$80,MATCH(DM$4,$A$33:$A$80,0),MATCH($CZ17,$B$32:$AA$32,0))</f>
        <v>0</v>
      </c>
      <c r="DN17" s="2">
        <f>INDEX($B$33:$AA$80,MATCH(DN$4,$A$33:$A$80,0),MATCH($CZ17,$B$32:$AA$32,0))</f>
        <v>3</v>
      </c>
      <c r="DO17" s="2">
        <f>INDEX($B$33:$AA$80,MATCH(DO$4,$A$33:$A$80,0),MATCH($CZ17,$B$32:$AA$32,0))</f>
        <v>3</v>
      </c>
      <c r="DP17" s="2">
        <f>INDEX($B$33:$AA$80,MATCH(DP$4,$A$33:$A$80,0),MATCH($CZ17,$B$32:$AA$32,0))</f>
        <v>0</v>
      </c>
      <c r="DQ17" s="2">
        <f>INDEX($B$33:$AA$80,MATCH(DQ$4,$A$33:$A$80,0),MATCH($CZ17,$B$32:$AA$32,0))</f>
        <v>1</v>
      </c>
      <c r="DR17" s="2">
        <f>INDEX($B$33:$AA$80,MATCH(DR$4,$A$33:$A$80,0),MATCH($CZ17,$B$32:$AA$32,0))</f>
        <v>0</v>
      </c>
      <c r="DS17" s="2">
        <f>INDEX($B$33:$AA$80,MATCH(DS$4,$A$33:$A$80,0),MATCH($CZ17,$B$32:$AA$32,0))</f>
        <v>0</v>
      </c>
      <c r="DT17" s="2">
        <f>INDEX($B$33:$AA$80,MATCH(DT$4,$A$33:$A$80,0),MATCH($CZ17,$B$32:$AA$32,0))</f>
        <v>3</v>
      </c>
      <c r="DU17" s="2">
        <f>INDEX($B$33:$AA$80,MATCH(DU$4,$A$33:$A$80,0),MATCH($CZ17,$B$32:$AA$32,0))</f>
        <v>3</v>
      </c>
      <c r="DV17" s="2">
        <f>INDEX($B$33:$AA$80,MATCH(DV$4,$A$33:$A$80,0),MATCH($CZ17,$B$32:$AA$32,0))</f>
        <v>2</v>
      </c>
      <c r="DW17" s="2">
        <f>INDEX($B$33:$AA$80,MATCH(DW$4,$A$33:$A$80,0),MATCH($CZ17,$B$32:$AA$32,0))</f>
        <v>2</v>
      </c>
      <c r="DX17" s="2">
        <f>INDEX($B$33:$AA$80,MATCH(DX$4,$A$33:$A$80,0),MATCH($CZ17,$B$32:$AA$32,0))</f>
        <v>2</v>
      </c>
      <c r="DY17" s="2">
        <f>INDEX($B$33:$AA$80,MATCH(DY$4,$A$33:$A$80,0),MATCH($CZ17,$B$32:$AA$32,0))</f>
        <v>2</v>
      </c>
      <c r="DZ17" s="2">
        <f>INDEX($B$33:$AA$80,MATCH(DZ$4,$A$33:$A$80,0),MATCH($CZ17,$B$32:$AA$32,0))</f>
        <v>4</v>
      </c>
      <c r="EA17" s="2">
        <f>INDEX($B$33:$AA$80,MATCH(EA$4,$A$33:$A$80,0),MATCH($CZ17,$B$32:$AA$32,0))</f>
        <v>4</v>
      </c>
      <c r="EB17" s="2">
        <f>INDEX($B$33:$AA$80,MATCH(EB$4,$A$33:$A$80,0),MATCH($CZ17,$B$32:$AA$32,0))</f>
        <v>0</v>
      </c>
      <c r="EC17" s="2">
        <f>INDEX($B$33:$AA$80,MATCH(EC$4,$A$33:$A$80,0),MATCH($CZ17,$B$32:$AA$32,0))</f>
        <v>0</v>
      </c>
      <c r="ED17" s="2">
        <f>INDEX($B$33:$AA$80,MATCH(ED$4,$A$33:$A$80,0),MATCH($CZ17,$B$32:$AA$32,0))</f>
        <v>0</v>
      </c>
      <c r="EE17" s="2">
        <f>INDEX($B$33:$AA$80,MATCH(EE$4,$A$33:$A$80,0),MATCH($CZ17,$B$32:$AA$32,0))</f>
        <v>0</v>
      </c>
      <c r="EF17" s="2">
        <f>INDEX($B$33:$AA$80,MATCH(EF$4,$A$33:$A$80,0),MATCH($CZ17,$B$32:$AA$32,0))</f>
        <v>0</v>
      </c>
      <c r="EG17" s="2">
        <f>INDEX($B$33:$AA$80,MATCH(EG$4,$A$33:$A$80,0),MATCH($CZ17,$B$32:$AA$32,0))</f>
        <v>0</v>
      </c>
      <c r="EH17" s="2">
        <f>INDEX($B$33:$AA$80,MATCH(EH$4,$A$33:$A$80,0),MATCH($CZ17,$B$32:$AA$32,0))</f>
        <v>0</v>
      </c>
      <c r="EI17" s="2">
        <f>INDEX($B$33:$AA$80,MATCH(EI$4,$A$33:$A$80,0),MATCH($CZ17,$B$32:$AA$32,0))</f>
        <v>0</v>
      </c>
      <c r="EJ17" s="2">
        <f>INDEX($B$33:$AA$80,MATCH(EJ$4,$A$33:$A$80,0),MATCH($CZ17,$B$32:$AA$32,0))</f>
        <v>0</v>
      </c>
      <c r="EK17" s="2">
        <f>INDEX($B$33:$AA$80,MATCH(EK$4,$A$33:$A$80,0),MATCH($CZ17,$B$32:$AA$32,0))</f>
        <v>0</v>
      </c>
      <c r="EL17" s="2">
        <f>INDEX($B$33:$AA$80,MATCH(EL$4,$A$33:$A$80,0),MATCH($CZ17,$B$32:$AA$32,0))</f>
        <v>0</v>
      </c>
      <c r="EM17" s="2">
        <f>INDEX($B$33:$AA$80,MATCH(EM$4,$A$33:$A$80,0),MATCH($CZ17,$B$32:$AA$32,0))</f>
        <v>0</v>
      </c>
      <c r="EN17" s="2">
        <f>INDEX($B$33:$AA$80,MATCH(EN$4,$A$33:$A$80,0),MATCH($CZ17,$B$32:$AA$32,0))</f>
        <v>1</v>
      </c>
      <c r="EO17" s="2">
        <f>INDEX($B$33:$AA$80,MATCH(EO$4,$A$33:$A$80,0),MATCH($CZ17,$B$32:$AA$32,0))</f>
        <v>0</v>
      </c>
      <c r="EP17" s="2">
        <f>INDEX($B$33:$AA$80,MATCH(EP$4,$A$33:$A$80,0),MATCH($CZ17,$B$32:$AA$32,0))</f>
        <v>0</v>
      </c>
      <c r="EQ17" s="2">
        <f>INDEX($B$33:$AA$80,MATCH(EQ$4,$A$33:$A$80,0),MATCH($CZ17,$B$32:$AA$32,0))</f>
        <v>0</v>
      </c>
      <c r="ER17" s="2">
        <f>INDEX($B$33:$AA$80,MATCH(ER$4,$A$33:$A$80,0),MATCH($CZ17,$B$32:$AA$32,0))</f>
        <v>0</v>
      </c>
      <c r="ES17" s="2">
        <f>INDEX($B$33:$AA$80,MATCH(ES$4,$A$33:$A$80,0),MATCH($CZ17,$B$32:$AA$32,0))</f>
        <v>1</v>
      </c>
      <c r="ET17" s="2">
        <f>INDEX($B$33:$AA$80,MATCH(ET$4,$A$33:$A$80,0),MATCH($CZ17,$B$32:$AA$32,0))</f>
        <v>0</v>
      </c>
      <c r="EU17" s="2">
        <f>INDEX($B$33:$AA$80,MATCH(EU$4,$A$33:$A$80,0),MATCH($CZ17,$B$32:$AA$32,0))</f>
        <v>1</v>
      </c>
      <c r="EV17" s="2">
        <f>INDEX($B$33:$AA$80,MATCH(EV$4,$A$33:$A$80,0),MATCH($CZ17,$B$32:$AA$32,0))</f>
        <v>0</v>
      </c>
    </row>
    <row r="18" spans="1:152">
      <c r="A18" s="2" t="str">
        <f>EMBELISHMENT!A16</f>
        <v>3N5T-F/L -BINDING</v>
      </c>
      <c r="B18" s="293" t="s">
        <v>169</v>
      </c>
      <c r="C18" s="2">
        <f>IFERROR(INDEX('MC MASTER'!$C$3:$C$28,MATCH($B18,'MC MASTER'!$B$3:$B$28,0)),"** NOT A GROUP **")</f>
        <v>58</v>
      </c>
      <c r="E18" s="2">
        <f>'LINE PLAN'!$HA$18</f>
        <v>6137</v>
      </c>
      <c r="F18" s="268">
        <f>IFERROR(INDEX($L$5:$L$28,MATCH($E18,$K$5:$K$28,0)),$E18)</f>
        <v>6137</v>
      </c>
      <c r="G18" s="2">
        <f>IFERROR(INDEX(EMBELISHMENT!$B$28:$AQ$28,MATCH($F18,EMBELISHMENT!$B$1:$AQ$1,0)),"-")</f>
        <v>29</v>
      </c>
      <c r="H18" s="2">
        <f>IFERROR(INDEX(EMBELISHMENT!$B$29:$AQ$29,MATCH($F18,EMBELISHMENT!$B$1:$AQ$1,0)),"-")</f>
        <v>3500</v>
      </c>
      <c r="I18" s="2" t="str">
        <f>IF($F18="","No embl. data",IF(ISNA(MATCH($F18,EMBELISHMENT!$B$1:$AQ$1,0)),"ALIAS NOT FOUND","OK"))</f>
        <v>OK</v>
      </c>
      <c r="K18" s="293" t="s">
        <v>15</v>
      </c>
      <c r="L18" s="293"/>
      <c r="M18" s="293" t="s">
        <v>15</v>
      </c>
      <c r="BA18" s="268" t="str">
        <f>INDEX('MC MASTER'!$B$3:$B$28,14)</f>
        <v>3N5T-F/L -BINDING</v>
      </c>
      <c r="BU18" s="2">
        <f>SUM($DA18:$EV18)</f>
        <v>49</v>
      </c>
      <c r="BV18" s="2" t="str">
        <f>IF($BU18=0,"NEVER USED BY ANY STYLE","used")</f>
        <v>used</v>
      </c>
      <c r="BW18" s="269" t="str">
        <f>'MC MASTER'!$B16</f>
        <v>3N5T-F/L -BINDING</v>
      </c>
      <c r="BX18" s="269" t="str">
        <f>'MC MASTER'!$A16</f>
        <v>BINDING</v>
      </c>
      <c r="CZ18" s="2" cm="1" t="str">
        <f t="array" ref="CZ18">INDEX('MC MASTER'!$B$3:$B$28,ROW()-4)</f>
        <v>3N5T-F/L -BINDING</v>
      </c>
      <c r="DA18" s="2">
        <f>INDEX($B$33:$AA$80,MATCH(DA$4,$A$33:$A$80,0),MATCH($CZ18,$B$32:$AA$32,0))</f>
        <v>0</v>
      </c>
      <c r="DB18" s="2">
        <f>INDEX($B$33:$AA$80,MATCH(DB$4,$A$33:$A$80,0),MATCH($CZ18,$B$32:$AA$32,0))</f>
        <v>0</v>
      </c>
      <c r="DC18" s="2">
        <f>INDEX($B$33:$AA$80,MATCH(DC$4,$A$33:$A$80,0),MATCH($CZ18,$B$32:$AA$32,0))</f>
        <v>7</v>
      </c>
      <c r="DD18" s="2">
        <f>INDEX($B$33:$AA$80,MATCH(DD$4,$A$33:$A$80,0),MATCH($CZ18,$B$32:$AA$32,0))</f>
        <v>8</v>
      </c>
      <c r="DE18" s="2">
        <f>INDEX($B$33:$AA$80,MATCH(DE$4,$A$33:$A$80,0),MATCH($CZ18,$B$32:$AA$32,0))</f>
        <v>3</v>
      </c>
      <c r="DF18" s="2">
        <f>INDEX($B$33:$AA$80,MATCH(DF$4,$A$33:$A$80,0),MATCH($CZ18,$B$32:$AA$32,0))</f>
        <v>3</v>
      </c>
      <c r="DG18" s="2">
        <f>INDEX($B$33:$AA$80,MATCH(DG$4,$A$33:$A$80,0),MATCH($CZ18,$B$32:$AA$32,0))</f>
        <v>1</v>
      </c>
      <c r="DH18" s="2">
        <f>INDEX($B$33:$AA$80,MATCH(DH$4,$A$33:$A$80,0),MATCH($CZ18,$B$32:$AA$32,0))</f>
        <v>0</v>
      </c>
      <c r="DI18" s="2">
        <f>INDEX($B$33:$AA$80,MATCH(DI$4,$A$33:$A$80,0),MATCH($CZ18,$B$32:$AA$32,0))</f>
        <v>0</v>
      </c>
      <c r="DJ18" s="2">
        <f>INDEX($B$33:$AA$80,MATCH(DJ$4,$A$33:$A$80,0),MATCH($CZ18,$B$32:$AA$32,0))</f>
        <v>0</v>
      </c>
      <c r="DK18" s="2">
        <f>INDEX($B$33:$AA$80,MATCH(DK$4,$A$33:$A$80,0),MATCH($CZ18,$B$32:$AA$32,0))</f>
        <v>0</v>
      </c>
      <c r="DL18" s="2">
        <f>INDEX($B$33:$AA$80,MATCH(DL$4,$A$33:$A$80,0),MATCH($CZ18,$B$32:$AA$32,0))</f>
        <v>0</v>
      </c>
      <c r="DM18" s="2">
        <f>INDEX($B$33:$AA$80,MATCH(DM$4,$A$33:$A$80,0),MATCH($CZ18,$B$32:$AA$32,0))</f>
        <v>0</v>
      </c>
      <c r="DN18" s="2">
        <f>INDEX($B$33:$AA$80,MATCH(DN$4,$A$33:$A$80,0),MATCH($CZ18,$B$32:$AA$32,0))</f>
        <v>0</v>
      </c>
      <c r="DO18" s="2">
        <f>INDEX($B$33:$AA$80,MATCH(DO$4,$A$33:$A$80,0),MATCH($CZ18,$B$32:$AA$32,0))</f>
        <v>0</v>
      </c>
      <c r="DP18" s="2">
        <f>INDEX($B$33:$AA$80,MATCH(DP$4,$A$33:$A$80,0),MATCH($CZ18,$B$32:$AA$32,0))</f>
        <v>0</v>
      </c>
      <c r="DQ18" s="2">
        <f>INDEX($B$33:$AA$80,MATCH(DQ$4,$A$33:$A$80,0),MATCH($CZ18,$B$32:$AA$32,0))</f>
        <v>0</v>
      </c>
      <c r="DR18" s="2">
        <f>INDEX($B$33:$AA$80,MATCH(DR$4,$A$33:$A$80,0),MATCH($CZ18,$B$32:$AA$32,0))</f>
        <v>0</v>
      </c>
      <c r="DS18" s="2">
        <f>INDEX($B$33:$AA$80,MATCH(DS$4,$A$33:$A$80,0),MATCH($CZ18,$B$32:$AA$32,0))</f>
        <v>2</v>
      </c>
      <c r="DT18" s="2">
        <f>INDEX($B$33:$AA$80,MATCH(DT$4,$A$33:$A$80,0),MATCH($CZ18,$B$32:$AA$32,0))</f>
        <v>0</v>
      </c>
      <c r="DU18" s="2">
        <f>INDEX($B$33:$AA$80,MATCH(DU$4,$A$33:$A$80,0),MATCH($CZ18,$B$32:$AA$32,0))</f>
        <v>0</v>
      </c>
      <c r="DV18" s="2">
        <f>INDEX($B$33:$AA$80,MATCH(DV$4,$A$33:$A$80,0),MATCH($CZ18,$B$32:$AA$32,0))</f>
        <v>3</v>
      </c>
      <c r="DW18" s="2">
        <f>INDEX($B$33:$AA$80,MATCH(DW$4,$A$33:$A$80,0),MATCH($CZ18,$B$32:$AA$32,0))</f>
        <v>1</v>
      </c>
      <c r="DX18" s="2">
        <f>INDEX($B$33:$AA$80,MATCH(DX$4,$A$33:$A$80,0),MATCH($CZ18,$B$32:$AA$32,0))</f>
        <v>2</v>
      </c>
      <c r="DY18" s="2">
        <f>INDEX($B$33:$AA$80,MATCH(DY$4,$A$33:$A$80,0),MATCH($CZ18,$B$32:$AA$32,0))</f>
        <v>2</v>
      </c>
      <c r="DZ18" s="2">
        <f>INDEX($B$33:$AA$80,MATCH(DZ$4,$A$33:$A$80,0),MATCH($CZ18,$B$32:$AA$32,0))</f>
        <v>0</v>
      </c>
      <c r="EA18" s="2">
        <f>INDEX($B$33:$AA$80,MATCH(EA$4,$A$33:$A$80,0),MATCH($CZ18,$B$32:$AA$32,0))</f>
        <v>0</v>
      </c>
      <c r="EB18" s="2">
        <f>INDEX($B$33:$AA$80,MATCH(EB$4,$A$33:$A$80,0),MATCH($CZ18,$B$32:$AA$32,0))</f>
        <v>0</v>
      </c>
      <c r="EC18" s="2">
        <f>INDEX($B$33:$AA$80,MATCH(EC$4,$A$33:$A$80,0),MATCH($CZ18,$B$32:$AA$32,0))</f>
        <v>1</v>
      </c>
      <c r="ED18" s="2">
        <f>INDEX($B$33:$AA$80,MATCH(ED$4,$A$33:$A$80,0),MATCH($CZ18,$B$32:$AA$32,0))</f>
        <v>7</v>
      </c>
      <c r="EE18" s="2">
        <f>INDEX($B$33:$AA$80,MATCH(EE$4,$A$33:$A$80,0),MATCH($CZ18,$B$32:$AA$32,0))</f>
        <v>0</v>
      </c>
      <c r="EF18" s="2">
        <f>INDEX($B$33:$AA$80,MATCH(EF$4,$A$33:$A$80,0),MATCH($CZ18,$B$32:$AA$32,0))</f>
        <v>0</v>
      </c>
      <c r="EG18" s="2">
        <f>INDEX($B$33:$AA$80,MATCH(EG$4,$A$33:$A$80,0),MATCH($CZ18,$B$32:$AA$32,0))</f>
        <v>0</v>
      </c>
      <c r="EH18" s="2">
        <f>INDEX($B$33:$AA$80,MATCH(EH$4,$A$33:$A$80,0),MATCH($CZ18,$B$32:$AA$32,0))</f>
        <v>0</v>
      </c>
      <c r="EI18" s="2">
        <f>INDEX($B$33:$AA$80,MATCH(EI$4,$A$33:$A$80,0),MATCH($CZ18,$B$32:$AA$32,0))</f>
        <v>0</v>
      </c>
      <c r="EJ18" s="2">
        <f>INDEX($B$33:$AA$80,MATCH(EJ$4,$A$33:$A$80,0),MATCH($CZ18,$B$32:$AA$32,0))</f>
        <v>0</v>
      </c>
      <c r="EK18" s="2">
        <f>INDEX($B$33:$AA$80,MATCH(EK$4,$A$33:$A$80,0),MATCH($CZ18,$B$32:$AA$32,0))</f>
        <v>0</v>
      </c>
      <c r="EL18" s="2">
        <f>INDEX($B$33:$AA$80,MATCH(EL$4,$A$33:$A$80,0),MATCH($CZ18,$B$32:$AA$32,0))</f>
        <v>1</v>
      </c>
      <c r="EM18" s="2">
        <f>INDEX($B$33:$AA$80,MATCH(EM$4,$A$33:$A$80,0),MATCH($CZ18,$B$32:$AA$32,0))</f>
        <v>0</v>
      </c>
      <c r="EN18" s="2">
        <f>INDEX($B$33:$AA$80,MATCH(EN$4,$A$33:$A$80,0),MATCH($CZ18,$B$32:$AA$32,0))</f>
        <v>2</v>
      </c>
      <c r="EO18" s="2">
        <f>INDEX($B$33:$AA$80,MATCH(EO$4,$A$33:$A$80,0),MATCH($CZ18,$B$32:$AA$32,0))</f>
        <v>0</v>
      </c>
      <c r="EP18" s="2">
        <f>INDEX($B$33:$AA$80,MATCH(EP$4,$A$33:$A$80,0),MATCH($CZ18,$B$32:$AA$32,0))</f>
        <v>6</v>
      </c>
      <c r="EQ18" s="2">
        <f>INDEX($B$33:$AA$80,MATCH(EQ$4,$A$33:$A$80,0),MATCH($CZ18,$B$32:$AA$32,0))</f>
        <v>0</v>
      </c>
      <c r="ER18" s="2">
        <f>INDEX($B$33:$AA$80,MATCH(ER$4,$A$33:$A$80,0),MATCH($CZ18,$B$32:$AA$32,0))</f>
        <v>0</v>
      </c>
      <c r="ES18" s="2">
        <f>INDEX($B$33:$AA$80,MATCH(ES$4,$A$33:$A$80,0),MATCH($CZ18,$B$32:$AA$32,0))</f>
        <v>0</v>
      </c>
      <c r="ET18" s="2">
        <f>INDEX($B$33:$AA$80,MATCH(ET$4,$A$33:$A$80,0),MATCH($CZ18,$B$32:$AA$32,0))</f>
        <v>0</v>
      </c>
      <c r="EU18" s="2">
        <f>INDEX($B$33:$AA$80,MATCH(EU$4,$A$33:$A$80,0),MATCH($CZ18,$B$32:$AA$32,0))</f>
        <v>0</v>
      </c>
      <c r="EV18" s="2">
        <f>INDEX($B$33:$AA$80,MATCH(EV$4,$A$33:$A$80,0),MATCH($CZ18,$B$32:$AA$32,0))</f>
        <v>0</v>
      </c>
    </row>
    <row r="19" spans="1:152">
      <c r="A19" s="2" t="str">
        <f>EMBELISHMENT!A17</f>
        <v>3N5T-F/L -( TopStitch)</v>
      </c>
      <c r="B19" s="293" t="s">
        <v>170</v>
      </c>
      <c r="C19" s="2">
        <f>IFERROR(INDEX('MC MASTER'!$C$3:$C$28,MATCH($B19,'MC MASTER'!$B$3:$B$28,0)),"** NOT A GROUP **")</f>
        <v>54</v>
      </c>
      <c r="E19" s="2">
        <f>'LINE PLAN'!$HA$19</f>
        <v>4110</v>
      </c>
      <c r="F19" s="268">
        <f>IFERROR(INDEX($L$5:$L$28,MATCH($E19,$K$5:$K$28,0)),$E19)</f>
        <v>4110</v>
      </c>
      <c r="G19" s="2">
        <f>IFERROR(INDEX(EMBELISHMENT!$B$28:$AQ$28,MATCH($F19,EMBELISHMENT!$B$1:$AQ$1,0)),"-")</f>
        <v>28</v>
      </c>
      <c r="H19" s="2">
        <f>IFERROR(INDEX(EMBELISHMENT!$B$29:$AQ$29,MATCH($F19,EMBELISHMENT!$B$1:$AQ$1,0)),"-")</f>
        <v>3500</v>
      </c>
      <c r="I19" s="2" t="str">
        <f>IF($F19="","No embl. data",IF(ISNA(MATCH($F19,EMBELISHMENT!$B$1:$AQ$1,0)),"ALIAS NOT FOUND","OK"))</f>
        <v>OK</v>
      </c>
      <c r="K19" s="293" t="s">
        <v>16</v>
      </c>
      <c r="L19" s="293"/>
      <c r="M19" s="293" t="s">
        <v>249</v>
      </c>
      <c r="BA19" s="268" t="str">
        <f>INDEX('MC MASTER'!$B$3:$B$28,15)</f>
        <v>3N5T-F/L -( TopStitch)</v>
      </c>
      <c r="BU19" s="2">
        <f>SUM($DA19:$EV19)</f>
        <v>87</v>
      </c>
      <c r="BV19" s="2" t="str">
        <f>IF($BU19=0,"NEVER USED BY ANY STYLE","used")</f>
        <v>used</v>
      </c>
      <c r="BW19" s="269" t="str">
        <f>'MC MASTER'!$B17</f>
        <v>3N5T-F/L -( TopStitch)</v>
      </c>
      <c r="BX19" s="269" t="str">
        <f>'MC MASTER'!$A17</f>
        <v>FLAT-LOCK</v>
      </c>
      <c r="CZ19" s="2" cm="1" t="str">
        <f t="array" ref="CZ19">INDEX('MC MASTER'!$B$3:$B$28,ROW()-4)</f>
        <v>3N5T-F/L -( TopStitch)</v>
      </c>
      <c r="DA19" s="2">
        <f>INDEX($B$33:$AA$80,MATCH(DA$4,$A$33:$A$80,0),MATCH($CZ19,$B$32:$AA$32,0))</f>
        <v>1</v>
      </c>
      <c r="DB19" s="2">
        <f>INDEX($B$33:$AA$80,MATCH(DB$4,$A$33:$A$80,0),MATCH($CZ19,$B$32:$AA$32,0))</f>
        <v>0</v>
      </c>
      <c r="DC19" s="2">
        <f>INDEX($B$33:$AA$80,MATCH(DC$4,$A$33:$A$80,0),MATCH($CZ19,$B$32:$AA$32,0))</f>
        <v>0</v>
      </c>
      <c r="DD19" s="2">
        <f>INDEX($B$33:$AA$80,MATCH(DD$4,$A$33:$A$80,0),MATCH($CZ19,$B$32:$AA$32,0))</f>
        <v>0</v>
      </c>
      <c r="DE19" s="2">
        <f>INDEX($B$33:$AA$80,MATCH(DE$4,$A$33:$A$80,0),MATCH($CZ19,$B$32:$AA$32,0))</f>
        <v>4</v>
      </c>
      <c r="DF19" s="2">
        <f>INDEX($B$33:$AA$80,MATCH(DF$4,$A$33:$A$80,0),MATCH($CZ19,$B$32:$AA$32,0))</f>
        <v>4</v>
      </c>
      <c r="DG19" s="2">
        <f>INDEX($B$33:$AA$80,MATCH(DG$4,$A$33:$A$80,0),MATCH($CZ19,$B$32:$AA$32,0))</f>
        <v>2</v>
      </c>
      <c r="DH19" s="2">
        <f>INDEX($B$33:$AA$80,MATCH(DH$4,$A$33:$A$80,0),MATCH($CZ19,$B$32:$AA$32,0))</f>
        <v>0</v>
      </c>
      <c r="DI19" s="2">
        <f>INDEX($B$33:$AA$80,MATCH(DI$4,$A$33:$A$80,0),MATCH($CZ19,$B$32:$AA$32,0))</f>
        <v>5</v>
      </c>
      <c r="DJ19" s="2">
        <f>INDEX($B$33:$AA$80,MATCH(DJ$4,$A$33:$A$80,0),MATCH($CZ19,$B$32:$AA$32,0))</f>
        <v>5</v>
      </c>
      <c r="DK19" s="2">
        <f>INDEX($B$33:$AA$80,MATCH(DK$4,$A$33:$A$80,0),MATCH($CZ19,$B$32:$AA$32,0))</f>
        <v>0</v>
      </c>
      <c r="DL19" s="2">
        <f>INDEX($B$33:$AA$80,MATCH(DL$4,$A$33:$A$80,0),MATCH($CZ19,$B$32:$AA$32,0))</f>
        <v>0</v>
      </c>
      <c r="DM19" s="2">
        <f>INDEX($B$33:$AA$80,MATCH(DM$4,$A$33:$A$80,0),MATCH($CZ19,$B$32:$AA$32,0))</f>
        <v>0</v>
      </c>
      <c r="DN19" s="2">
        <f>INDEX($B$33:$AA$80,MATCH(DN$4,$A$33:$A$80,0),MATCH($CZ19,$B$32:$AA$32,0))</f>
        <v>0</v>
      </c>
      <c r="DO19" s="2">
        <f>INDEX($B$33:$AA$80,MATCH(DO$4,$A$33:$A$80,0),MATCH($CZ19,$B$32:$AA$32,0))</f>
        <v>2</v>
      </c>
      <c r="DP19" s="2">
        <f>INDEX($B$33:$AA$80,MATCH(DP$4,$A$33:$A$80,0),MATCH($CZ19,$B$32:$AA$32,0))</f>
        <v>4</v>
      </c>
      <c r="DQ19" s="2">
        <f>INDEX($B$33:$AA$80,MATCH(DQ$4,$A$33:$A$80,0),MATCH($CZ19,$B$32:$AA$32,0))</f>
        <v>4</v>
      </c>
      <c r="DR19" s="2">
        <f>INDEX($B$33:$AA$80,MATCH(DR$4,$A$33:$A$80,0),MATCH($CZ19,$B$32:$AA$32,0))</f>
        <v>4</v>
      </c>
      <c r="DS19" s="2">
        <f>INDEX($B$33:$AA$80,MATCH(DS$4,$A$33:$A$80,0),MATCH($CZ19,$B$32:$AA$32,0))</f>
        <v>1</v>
      </c>
      <c r="DT19" s="2">
        <f>INDEX($B$33:$AA$80,MATCH(DT$4,$A$33:$A$80,0),MATCH($CZ19,$B$32:$AA$32,0))</f>
        <v>5</v>
      </c>
      <c r="DU19" s="2">
        <f>INDEX($B$33:$AA$80,MATCH(DU$4,$A$33:$A$80,0),MATCH($CZ19,$B$32:$AA$32,0))</f>
        <v>4</v>
      </c>
      <c r="DV19" s="2">
        <f>INDEX($B$33:$AA$80,MATCH(DV$4,$A$33:$A$80,0),MATCH($CZ19,$B$32:$AA$32,0))</f>
        <v>3</v>
      </c>
      <c r="DW19" s="2">
        <f>INDEX($B$33:$AA$80,MATCH(DW$4,$A$33:$A$80,0),MATCH($CZ19,$B$32:$AA$32,0))</f>
        <v>2</v>
      </c>
      <c r="DX19" s="2">
        <f>INDEX($B$33:$AA$80,MATCH(DX$4,$A$33:$A$80,0),MATCH($CZ19,$B$32:$AA$32,0))</f>
        <v>1</v>
      </c>
      <c r="DY19" s="2">
        <f>INDEX($B$33:$AA$80,MATCH(DY$4,$A$33:$A$80,0),MATCH($CZ19,$B$32:$AA$32,0))</f>
        <v>1</v>
      </c>
      <c r="DZ19" s="2">
        <f>INDEX($B$33:$AA$80,MATCH(DZ$4,$A$33:$A$80,0),MATCH($CZ19,$B$32:$AA$32,0))</f>
        <v>0</v>
      </c>
      <c r="EA19" s="2">
        <f>INDEX($B$33:$AA$80,MATCH(EA$4,$A$33:$A$80,0),MATCH($CZ19,$B$32:$AA$32,0))</f>
        <v>0</v>
      </c>
      <c r="EB19" s="2">
        <f>INDEX($B$33:$AA$80,MATCH(EB$4,$A$33:$A$80,0),MATCH($CZ19,$B$32:$AA$32,0))</f>
        <v>0</v>
      </c>
      <c r="EC19" s="2">
        <f>INDEX($B$33:$AA$80,MATCH(EC$4,$A$33:$A$80,0),MATCH($CZ19,$B$32:$AA$32,0))</f>
        <v>0</v>
      </c>
      <c r="ED19" s="2">
        <f>INDEX($B$33:$AA$80,MATCH(ED$4,$A$33:$A$80,0),MATCH($CZ19,$B$32:$AA$32,0))</f>
        <v>0</v>
      </c>
      <c r="EE19" s="2">
        <f>INDEX($B$33:$AA$80,MATCH(EE$4,$A$33:$A$80,0),MATCH($CZ19,$B$32:$AA$32,0))</f>
        <v>5</v>
      </c>
      <c r="EF19" s="2">
        <f>INDEX($B$33:$AA$80,MATCH(EF$4,$A$33:$A$80,0),MATCH($CZ19,$B$32:$AA$32,0))</f>
        <v>0</v>
      </c>
      <c r="EG19" s="2">
        <f>INDEX($B$33:$AA$80,MATCH(EG$4,$A$33:$A$80,0),MATCH($CZ19,$B$32:$AA$32,0))</f>
        <v>0</v>
      </c>
      <c r="EH19" s="2">
        <f>INDEX($B$33:$AA$80,MATCH(EH$4,$A$33:$A$80,0),MATCH($CZ19,$B$32:$AA$32,0))</f>
        <v>0</v>
      </c>
      <c r="EI19" s="2">
        <f>INDEX($B$33:$AA$80,MATCH(EI$4,$A$33:$A$80,0),MATCH($CZ19,$B$32:$AA$32,0))</f>
        <v>0</v>
      </c>
      <c r="EJ19" s="2">
        <f>INDEX($B$33:$AA$80,MATCH(EJ$4,$A$33:$A$80,0),MATCH($CZ19,$B$32:$AA$32,0))</f>
        <v>0</v>
      </c>
      <c r="EK19" s="2">
        <f>INDEX($B$33:$AA$80,MATCH(EK$4,$A$33:$A$80,0),MATCH($CZ19,$B$32:$AA$32,0))</f>
        <v>6</v>
      </c>
      <c r="EL19" s="2">
        <f>INDEX($B$33:$AA$80,MATCH(EL$4,$A$33:$A$80,0),MATCH($CZ19,$B$32:$AA$32,0))</f>
        <v>2</v>
      </c>
      <c r="EM19" s="2">
        <f>INDEX($B$33:$AA$80,MATCH(EM$4,$A$33:$A$80,0),MATCH($CZ19,$B$32:$AA$32,0))</f>
        <v>3</v>
      </c>
      <c r="EN19" s="2">
        <f>INDEX($B$33:$AA$80,MATCH(EN$4,$A$33:$A$80,0),MATCH($CZ19,$B$32:$AA$32,0))</f>
        <v>4</v>
      </c>
      <c r="EO19" s="2">
        <f>INDEX($B$33:$AA$80,MATCH(EO$4,$A$33:$A$80,0),MATCH($CZ19,$B$32:$AA$32,0))</f>
        <v>0</v>
      </c>
      <c r="EP19" s="2">
        <f>INDEX($B$33:$AA$80,MATCH(EP$4,$A$33:$A$80,0),MATCH($CZ19,$B$32:$AA$32,0))</f>
        <v>0</v>
      </c>
      <c r="EQ19" s="2">
        <f>INDEX($B$33:$AA$80,MATCH(EQ$4,$A$33:$A$80,0),MATCH($CZ19,$B$32:$AA$32,0))</f>
        <v>3</v>
      </c>
      <c r="ER19" s="2">
        <f>INDEX($B$33:$AA$80,MATCH(ER$4,$A$33:$A$80,0),MATCH($CZ19,$B$32:$AA$32,0))</f>
        <v>3</v>
      </c>
      <c r="ES19" s="2">
        <f>INDEX($B$33:$AA$80,MATCH(ES$4,$A$33:$A$80,0),MATCH($CZ19,$B$32:$AA$32,0))</f>
        <v>2</v>
      </c>
      <c r="ET19" s="2">
        <f>INDEX($B$33:$AA$80,MATCH(ET$4,$A$33:$A$80,0),MATCH($CZ19,$B$32:$AA$32,0))</f>
        <v>4</v>
      </c>
      <c r="EU19" s="2">
        <f>INDEX($B$33:$AA$80,MATCH(EU$4,$A$33:$A$80,0),MATCH($CZ19,$B$32:$AA$32,0))</f>
        <v>0</v>
      </c>
      <c r="EV19" s="2">
        <f>INDEX($B$33:$AA$80,MATCH(EV$4,$A$33:$A$80,0),MATCH($CZ19,$B$32:$AA$32,0))</f>
        <v>3</v>
      </c>
    </row>
    <row r="20" spans="1:152">
      <c r="A20" s="2" t="str">
        <f>EMBELISHMENT!A18</f>
        <v>FlatSeamer FS</v>
      </c>
      <c r="B20" s="293" t="s">
        <v>171</v>
      </c>
      <c r="C20" s="2">
        <f>IFERROR(INDEX('MC MASTER'!$C$3:$C$28,MATCH($B20,'MC MASTER'!$B$3:$B$28,0)),"** NOT A GROUP **")</f>
        <v>8</v>
      </c>
      <c r="K20" s="293" t="s">
        <v>249</v>
      </c>
      <c r="L20" s="293"/>
      <c r="M20" s="293" t="s">
        <v>249</v>
      </c>
      <c r="BA20" s="268" t="str">
        <f>INDEX('MC MASTER'!$B$3:$B$28,16)</f>
        <v>FlatSeamer FS</v>
      </c>
      <c r="BU20" s="2">
        <f>SUM($DA20:$EV20)</f>
        <v>10</v>
      </c>
      <c r="BV20" s="2" t="str">
        <f>IF($BU20=0,"NEVER USED BY ANY STYLE","used")</f>
        <v>used</v>
      </c>
      <c r="BW20" s="269" t="str">
        <f>'MC MASTER'!$B18</f>
        <v>FlatSeamer FS</v>
      </c>
      <c r="BX20" s="269" t="str">
        <f>'MC MASTER'!$A18</f>
        <v>FS</v>
      </c>
      <c r="CZ20" s="2" cm="1" t="str">
        <f t="array" ref="CZ20">INDEX('MC MASTER'!$B$3:$B$28,ROW()-4)</f>
        <v>FlatSeamer FS</v>
      </c>
      <c r="DA20" s="2">
        <f>INDEX($B$33:$AA$80,MATCH(DA$4,$A$33:$A$80,0),MATCH($CZ20,$B$32:$AA$32,0))</f>
        <v>0</v>
      </c>
      <c r="DB20" s="2">
        <f>INDEX($B$33:$AA$80,MATCH(DB$4,$A$33:$A$80,0),MATCH($CZ20,$B$32:$AA$32,0))</f>
        <v>0</v>
      </c>
      <c r="DC20" s="2">
        <f>INDEX($B$33:$AA$80,MATCH(DC$4,$A$33:$A$80,0),MATCH($CZ20,$B$32:$AA$32,0))</f>
        <v>0</v>
      </c>
      <c r="DD20" s="2">
        <f>INDEX($B$33:$AA$80,MATCH(DD$4,$A$33:$A$80,0),MATCH($CZ20,$B$32:$AA$32,0))</f>
        <v>0</v>
      </c>
      <c r="DE20" s="2">
        <f>INDEX($B$33:$AA$80,MATCH(DE$4,$A$33:$A$80,0),MATCH($CZ20,$B$32:$AA$32,0))</f>
        <v>0</v>
      </c>
      <c r="DF20" s="2">
        <f>INDEX($B$33:$AA$80,MATCH(DF$4,$A$33:$A$80,0),MATCH($CZ20,$B$32:$AA$32,0))</f>
        <v>0</v>
      </c>
      <c r="DG20" s="2">
        <f>INDEX($B$33:$AA$80,MATCH(DG$4,$A$33:$A$80,0),MATCH($CZ20,$B$32:$AA$32,0))</f>
        <v>0</v>
      </c>
      <c r="DH20" s="2">
        <f>INDEX($B$33:$AA$80,MATCH(DH$4,$A$33:$A$80,0),MATCH($CZ20,$B$32:$AA$32,0))</f>
        <v>0</v>
      </c>
      <c r="DI20" s="2">
        <f>INDEX($B$33:$AA$80,MATCH(DI$4,$A$33:$A$80,0),MATCH($CZ20,$B$32:$AA$32,0))</f>
        <v>0</v>
      </c>
      <c r="DJ20" s="2">
        <f>INDEX($B$33:$AA$80,MATCH(DJ$4,$A$33:$A$80,0),MATCH($CZ20,$B$32:$AA$32,0))</f>
        <v>0</v>
      </c>
      <c r="DK20" s="2">
        <f>INDEX($B$33:$AA$80,MATCH(DK$4,$A$33:$A$80,0),MATCH($CZ20,$B$32:$AA$32,0))</f>
        <v>0</v>
      </c>
      <c r="DL20" s="2">
        <f>INDEX($B$33:$AA$80,MATCH(DL$4,$A$33:$A$80,0),MATCH($CZ20,$B$32:$AA$32,0))</f>
        <v>0</v>
      </c>
      <c r="DM20" s="2">
        <f>INDEX($B$33:$AA$80,MATCH(DM$4,$A$33:$A$80,0),MATCH($CZ20,$B$32:$AA$32,0))</f>
        <v>0</v>
      </c>
      <c r="DN20" s="2">
        <f>INDEX($B$33:$AA$80,MATCH(DN$4,$A$33:$A$80,0),MATCH($CZ20,$B$32:$AA$32,0))</f>
        <v>0</v>
      </c>
      <c r="DO20" s="2">
        <f>INDEX($B$33:$AA$80,MATCH(DO$4,$A$33:$A$80,0),MATCH($CZ20,$B$32:$AA$32,0))</f>
        <v>0</v>
      </c>
      <c r="DP20" s="2">
        <f>INDEX($B$33:$AA$80,MATCH(DP$4,$A$33:$A$80,0),MATCH($CZ20,$B$32:$AA$32,0))</f>
        <v>0</v>
      </c>
      <c r="DQ20" s="2">
        <f>INDEX($B$33:$AA$80,MATCH(DQ$4,$A$33:$A$80,0),MATCH($CZ20,$B$32:$AA$32,0))</f>
        <v>0</v>
      </c>
      <c r="DR20" s="2">
        <f>INDEX($B$33:$AA$80,MATCH(DR$4,$A$33:$A$80,0),MATCH($CZ20,$B$32:$AA$32,0))</f>
        <v>0</v>
      </c>
      <c r="DS20" s="2">
        <f>INDEX($B$33:$AA$80,MATCH(DS$4,$A$33:$A$80,0),MATCH($CZ20,$B$32:$AA$32,0))</f>
        <v>0</v>
      </c>
      <c r="DT20" s="2">
        <f>INDEX($B$33:$AA$80,MATCH(DT$4,$A$33:$A$80,0),MATCH($CZ20,$B$32:$AA$32,0))</f>
        <v>0</v>
      </c>
      <c r="DU20" s="2">
        <f>INDEX($B$33:$AA$80,MATCH(DU$4,$A$33:$A$80,0),MATCH($CZ20,$B$32:$AA$32,0))</f>
        <v>0</v>
      </c>
      <c r="DV20" s="2">
        <f>INDEX($B$33:$AA$80,MATCH(DV$4,$A$33:$A$80,0),MATCH($CZ20,$B$32:$AA$32,0))</f>
        <v>0</v>
      </c>
      <c r="DW20" s="2">
        <f>INDEX($B$33:$AA$80,MATCH(DW$4,$A$33:$A$80,0),MATCH($CZ20,$B$32:$AA$32,0))</f>
        <v>0</v>
      </c>
      <c r="DX20" s="2">
        <f>INDEX($B$33:$AA$80,MATCH(DX$4,$A$33:$A$80,0),MATCH($CZ20,$B$32:$AA$32,0))</f>
        <v>0</v>
      </c>
      <c r="DY20" s="2">
        <f>INDEX($B$33:$AA$80,MATCH(DY$4,$A$33:$A$80,0),MATCH($CZ20,$B$32:$AA$32,0))</f>
        <v>0</v>
      </c>
      <c r="DZ20" s="2">
        <f>INDEX($B$33:$AA$80,MATCH(DZ$4,$A$33:$A$80,0),MATCH($CZ20,$B$32:$AA$32,0))</f>
        <v>0</v>
      </c>
      <c r="EA20" s="2">
        <f>INDEX($B$33:$AA$80,MATCH(EA$4,$A$33:$A$80,0),MATCH($CZ20,$B$32:$AA$32,0))</f>
        <v>0</v>
      </c>
      <c r="EB20" s="2">
        <f>INDEX($B$33:$AA$80,MATCH(EB$4,$A$33:$A$80,0),MATCH($CZ20,$B$32:$AA$32,0))</f>
        <v>0</v>
      </c>
      <c r="EC20" s="2">
        <f>INDEX($B$33:$AA$80,MATCH(EC$4,$A$33:$A$80,0),MATCH($CZ20,$B$32:$AA$32,0))</f>
        <v>0</v>
      </c>
      <c r="ED20" s="2">
        <f>INDEX($B$33:$AA$80,MATCH(ED$4,$A$33:$A$80,0),MATCH($CZ20,$B$32:$AA$32,0))</f>
        <v>0</v>
      </c>
      <c r="EE20" s="2">
        <f>INDEX($B$33:$AA$80,MATCH(EE$4,$A$33:$A$80,0),MATCH($CZ20,$B$32:$AA$32,0))</f>
        <v>0</v>
      </c>
      <c r="EF20" s="2">
        <f>INDEX($B$33:$AA$80,MATCH(EF$4,$A$33:$A$80,0),MATCH($CZ20,$B$32:$AA$32,0))</f>
        <v>0</v>
      </c>
      <c r="EG20" s="2">
        <f>INDEX($B$33:$AA$80,MATCH(EG$4,$A$33:$A$80,0),MATCH($CZ20,$B$32:$AA$32,0))</f>
        <v>0</v>
      </c>
      <c r="EH20" s="2">
        <f>INDEX($B$33:$AA$80,MATCH(EH$4,$A$33:$A$80,0),MATCH($CZ20,$B$32:$AA$32,0))</f>
        <v>0</v>
      </c>
      <c r="EI20" s="2">
        <f>INDEX($B$33:$AA$80,MATCH(EI$4,$A$33:$A$80,0),MATCH($CZ20,$B$32:$AA$32,0))</f>
        <v>0</v>
      </c>
      <c r="EJ20" s="2">
        <f>INDEX($B$33:$AA$80,MATCH(EJ$4,$A$33:$A$80,0),MATCH($CZ20,$B$32:$AA$32,0))</f>
        <v>0</v>
      </c>
      <c r="EK20" s="2">
        <f>INDEX($B$33:$AA$80,MATCH(EK$4,$A$33:$A$80,0),MATCH($CZ20,$B$32:$AA$32,0))</f>
        <v>0</v>
      </c>
      <c r="EL20" s="2">
        <f>INDEX($B$33:$AA$80,MATCH(EL$4,$A$33:$A$80,0),MATCH($CZ20,$B$32:$AA$32,0))</f>
        <v>0</v>
      </c>
      <c r="EM20" s="2">
        <f>INDEX($B$33:$AA$80,MATCH(EM$4,$A$33:$A$80,0),MATCH($CZ20,$B$32:$AA$32,0))</f>
        <v>0</v>
      </c>
      <c r="EN20" s="2">
        <f>INDEX($B$33:$AA$80,MATCH(EN$4,$A$33:$A$80,0),MATCH($CZ20,$B$32:$AA$32,0))</f>
        <v>0</v>
      </c>
      <c r="EO20" s="2">
        <f>INDEX($B$33:$AA$80,MATCH(EO$4,$A$33:$A$80,0),MATCH($CZ20,$B$32:$AA$32,0))</f>
        <v>0</v>
      </c>
      <c r="EP20" s="2">
        <f>INDEX($B$33:$AA$80,MATCH(EP$4,$A$33:$A$80,0),MATCH($CZ20,$B$32:$AA$32,0))</f>
        <v>0</v>
      </c>
      <c r="EQ20" s="2">
        <f>INDEX($B$33:$AA$80,MATCH(EQ$4,$A$33:$A$80,0),MATCH($CZ20,$B$32:$AA$32,0))</f>
        <v>0</v>
      </c>
      <c r="ER20" s="2">
        <f>INDEX($B$33:$AA$80,MATCH(ER$4,$A$33:$A$80,0),MATCH($CZ20,$B$32:$AA$32,0))</f>
        <v>0</v>
      </c>
      <c r="ES20" s="2">
        <f>INDEX($B$33:$AA$80,MATCH(ES$4,$A$33:$A$80,0),MATCH($CZ20,$B$32:$AA$32,0))</f>
        <v>6</v>
      </c>
      <c r="ET20" s="2">
        <f>INDEX($B$33:$AA$80,MATCH(ET$4,$A$33:$A$80,0),MATCH($CZ20,$B$32:$AA$32,0))</f>
        <v>0</v>
      </c>
      <c r="EU20" s="2">
        <f>INDEX($B$33:$AA$80,MATCH(EU$4,$A$33:$A$80,0),MATCH($CZ20,$B$32:$AA$32,0))</f>
        <v>4</v>
      </c>
      <c r="EV20" s="2">
        <f>INDEX($B$33:$AA$80,MATCH(EV$4,$A$33:$A$80,0),MATCH($CZ20,$B$32:$AA$32,0))</f>
        <v>0</v>
      </c>
    </row>
    <row r="21" spans="1:152">
      <c r="A21" s="2" t="str">
        <f>EMBELISHMENT!A19</f>
        <v>Kansai</v>
      </c>
      <c r="B21" s="293" t="s">
        <v>172</v>
      </c>
      <c r="C21" s="2">
        <f>IFERROR(INDEX('MC MASTER'!$C$3:$C$28,MATCH($B21,'MC MASTER'!$B$3:$B$28,0)),"** NOT A GROUP **")</f>
        <v>8</v>
      </c>
      <c r="K21" s="294" t="s">
        <v>342</v>
      </c>
      <c r="L21" s="294" t="s">
        <v>25</v>
      </c>
      <c r="M21" s="294" t="s">
        <v>15</v>
      </c>
      <c r="BA21" s="268" t="str">
        <f>INDEX('MC MASTER'!$B$3:$B$28,17)</f>
        <v>Kansai</v>
      </c>
      <c r="BU21" s="2">
        <f>SUM($DA21:$EV21)</f>
        <v>10</v>
      </c>
      <c r="BV21" s="2" t="str">
        <f>IF($BU21=0,"NEVER USED BY ANY STYLE","used")</f>
        <v>used</v>
      </c>
      <c r="BW21" s="269" t="str">
        <f>'MC MASTER'!$B19</f>
        <v>Kansai</v>
      </c>
      <c r="BX21" s="269" t="str">
        <f>'MC MASTER'!$A19</f>
        <v>MULTI-NEEDLE</v>
      </c>
      <c r="CZ21" s="2" cm="1" t="str">
        <f t="array" ref="CZ21">INDEX('MC MASTER'!$B$3:$B$28,ROW()-4)</f>
        <v>Kansai</v>
      </c>
      <c r="DA21" s="2">
        <f>INDEX($B$33:$AA$80,MATCH(DA$4,$A$33:$A$80,0),MATCH($CZ21,$B$32:$AA$32,0))</f>
        <v>2</v>
      </c>
      <c r="DB21" s="2">
        <f>INDEX($B$33:$AA$80,MATCH(DB$4,$A$33:$A$80,0),MATCH($CZ21,$B$32:$AA$32,0))</f>
        <v>1</v>
      </c>
      <c r="DC21" s="2">
        <f>INDEX($B$33:$AA$80,MATCH(DC$4,$A$33:$A$80,0),MATCH($CZ21,$B$32:$AA$32,0))</f>
        <v>0</v>
      </c>
      <c r="DD21" s="2">
        <f>INDEX($B$33:$AA$80,MATCH(DD$4,$A$33:$A$80,0),MATCH($CZ21,$B$32:$AA$32,0))</f>
        <v>0</v>
      </c>
      <c r="DE21" s="2">
        <f>INDEX($B$33:$AA$80,MATCH(DE$4,$A$33:$A$80,0),MATCH($CZ21,$B$32:$AA$32,0))</f>
        <v>0</v>
      </c>
      <c r="DF21" s="2">
        <f>INDEX($B$33:$AA$80,MATCH(DF$4,$A$33:$A$80,0),MATCH($CZ21,$B$32:$AA$32,0))</f>
        <v>0</v>
      </c>
      <c r="DG21" s="2">
        <f>INDEX($B$33:$AA$80,MATCH(DG$4,$A$33:$A$80,0),MATCH($CZ21,$B$32:$AA$32,0))</f>
        <v>0</v>
      </c>
      <c r="DH21" s="2">
        <f>INDEX($B$33:$AA$80,MATCH(DH$4,$A$33:$A$80,0),MATCH($CZ21,$B$32:$AA$32,0))</f>
        <v>0</v>
      </c>
      <c r="DI21" s="2">
        <f>INDEX($B$33:$AA$80,MATCH(DI$4,$A$33:$A$80,0),MATCH($CZ21,$B$32:$AA$32,0))</f>
        <v>0</v>
      </c>
      <c r="DJ21" s="2">
        <f>INDEX($B$33:$AA$80,MATCH(DJ$4,$A$33:$A$80,0),MATCH($CZ21,$B$32:$AA$32,0))</f>
        <v>0</v>
      </c>
      <c r="DK21" s="2">
        <f>INDEX($B$33:$AA$80,MATCH(DK$4,$A$33:$A$80,0),MATCH($CZ21,$B$32:$AA$32,0))</f>
        <v>0</v>
      </c>
      <c r="DL21" s="2">
        <f>INDEX($B$33:$AA$80,MATCH(DL$4,$A$33:$A$80,0),MATCH($CZ21,$B$32:$AA$32,0))</f>
        <v>0</v>
      </c>
      <c r="DM21" s="2">
        <f>INDEX($B$33:$AA$80,MATCH(DM$4,$A$33:$A$80,0),MATCH($CZ21,$B$32:$AA$32,0))</f>
        <v>0</v>
      </c>
      <c r="DN21" s="2">
        <f>INDEX($B$33:$AA$80,MATCH(DN$4,$A$33:$A$80,0),MATCH($CZ21,$B$32:$AA$32,0))</f>
        <v>0</v>
      </c>
      <c r="DO21" s="2">
        <f>INDEX($B$33:$AA$80,MATCH(DO$4,$A$33:$A$80,0),MATCH($CZ21,$B$32:$AA$32,0))</f>
        <v>0</v>
      </c>
      <c r="DP21" s="2">
        <f>INDEX($B$33:$AA$80,MATCH(DP$4,$A$33:$A$80,0),MATCH($CZ21,$B$32:$AA$32,0))</f>
        <v>0</v>
      </c>
      <c r="DQ21" s="2">
        <f>INDEX($B$33:$AA$80,MATCH(DQ$4,$A$33:$A$80,0),MATCH($CZ21,$B$32:$AA$32,0))</f>
        <v>0</v>
      </c>
      <c r="DR21" s="2">
        <f>INDEX($B$33:$AA$80,MATCH(DR$4,$A$33:$A$80,0),MATCH($CZ21,$B$32:$AA$32,0))</f>
        <v>0</v>
      </c>
      <c r="DS21" s="2">
        <f>INDEX($B$33:$AA$80,MATCH(DS$4,$A$33:$A$80,0),MATCH($CZ21,$B$32:$AA$32,0))</f>
        <v>0</v>
      </c>
      <c r="DT21" s="2">
        <f>INDEX($B$33:$AA$80,MATCH(DT$4,$A$33:$A$80,0),MATCH($CZ21,$B$32:$AA$32,0))</f>
        <v>0</v>
      </c>
      <c r="DU21" s="2">
        <f>INDEX($B$33:$AA$80,MATCH(DU$4,$A$33:$A$80,0),MATCH($CZ21,$B$32:$AA$32,0))</f>
        <v>0</v>
      </c>
      <c r="DV21" s="2">
        <f>INDEX($B$33:$AA$80,MATCH(DV$4,$A$33:$A$80,0),MATCH($CZ21,$B$32:$AA$32,0))</f>
        <v>0</v>
      </c>
      <c r="DW21" s="2">
        <f>INDEX($B$33:$AA$80,MATCH(DW$4,$A$33:$A$80,0),MATCH($CZ21,$B$32:$AA$32,0))</f>
        <v>0</v>
      </c>
      <c r="DX21" s="2">
        <f>INDEX($B$33:$AA$80,MATCH(DX$4,$A$33:$A$80,0),MATCH($CZ21,$B$32:$AA$32,0))</f>
        <v>0</v>
      </c>
      <c r="DY21" s="2">
        <f>INDEX($B$33:$AA$80,MATCH(DY$4,$A$33:$A$80,0),MATCH($CZ21,$B$32:$AA$32,0))</f>
        <v>0</v>
      </c>
      <c r="DZ21" s="2">
        <f>INDEX($B$33:$AA$80,MATCH(DZ$4,$A$33:$A$80,0),MATCH($CZ21,$B$32:$AA$32,0))</f>
        <v>0</v>
      </c>
      <c r="EA21" s="2">
        <f>INDEX($B$33:$AA$80,MATCH(EA$4,$A$33:$A$80,0),MATCH($CZ21,$B$32:$AA$32,0))</f>
        <v>0</v>
      </c>
      <c r="EB21" s="2">
        <f>INDEX($B$33:$AA$80,MATCH(EB$4,$A$33:$A$80,0),MATCH($CZ21,$B$32:$AA$32,0))</f>
        <v>0</v>
      </c>
      <c r="EC21" s="2">
        <f>INDEX($B$33:$AA$80,MATCH(EC$4,$A$33:$A$80,0),MATCH($CZ21,$B$32:$AA$32,0))</f>
        <v>0</v>
      </c>
      <c r="ED21" s="2">
        <f>INDEX($B$33:$AA$80,MATCH(ED$4,$A$33:$A$80,0),MATCH($CZ21,$B$32:$AA$32,0))</f>
        <v>0</v>
      </c>
      <c r="EE21" s="2">
        <f>INDEX($B$33:$AA$80,MATCH(EE$4,$A$33:$A$80,0),MATCH($CZ21,$B$32:$AA$32,0))</f>
        <v>0</v>
      </c>
      <c r="EF21" s="2">
        <f>INDEX($B$33:$AA$80,MATCH(EF$4,$A$33:$A$80,0),MATCH($CZ21,$B$32:$AA$32,0))</f>
        <v>1</v>
      </c>
      <c r="EG21" s="2">
        <f>INDEX($B$33:$AA$80,MATCH(EG$4,$A$33:$A$80,0),MATCH($CZ21,$B$32:$AA$32,0))</f>
        <v>1</v>
      </c>
      <c r="EH21" s="2">
        <f>INDEX($B$33:$AA$80,MATCH(EH$4,$A$33:$A$80,0),MATCH($CZ21,$B$32:$AA$32,0))</f>
        <v>1</v>
      </c>
      <c r="EI21" s="2">
        <f>INDEX($B$33:$AA$80,MATCH(EI$4,$A$33:$A$80,0),MATCH($CZ21,$B$32:$AA$32,0))</f>
        <v>0</v>
      </c>
      <c r="EJ21" s="2">
        <f>INDEX($B$33:$AA$80,MATCH(EJ$4,$A$33:$A$80,0),MATCH($CZ21,$B$32:$AA$32,0))</f>
        <v>0</v>
      </c>
      <c r="EK21" s="2">
        <f>INDEX($B$33:$AA$80,MATCH(EK$4,$A$33:$A$80,0),MATCH($CZ21,$B$32:$AA$32,0))</f>
        <v>0</v>
      </c>
      <c r="EL21" s="2">
        <f>INDEX($B$33:$AA$80,MATCH(EL$4,$A$33:$A$80,0),MATCH($CZ21,$B$32:$AA$32,0))</f>
        <v>0</v>
      </c>
      <c r="EM21" s="2">
        <f>INDEX($B$33:$AA$80,MATCH(EM$4,$A$33:$A$80,0),MATCH($CZ21,$B$32:$AA$32,0))</f>
        <v>0</v>
      </c>
      <c r="EN21" s="2">
        <f>INDEX($B$33:$AA$80,MATCH(EN$4,$A$33:$A$80,0),MATCH($CZ21,$B$32:$AA$32,0))</f>
        <v>0</v>
      </c>
      <c r="EO21" s="2">
        <f>INDEX($B$33:$AA$80,MATCH(EO$4,$A$33:$A$80,0),MATCH($CZ21,$B$32:$AA$32,0))</f>
        <v>0</v>
      </c>
      <c r="EP21" s="2">
        <f>INDEX($B$33:$AA$80,MATCH(EP$4,$A$33:$A$80,0),MATCH($CZ21,$B$32:$AA$32,0))</f>
        <v>0</v>
      </c>
      <c r="EQ21" s="2">
        <f>INDEX($B$33:$AA$80,MATCH(EQ$4,$A$33:$A$80,0),MATCH($CZ21,$B$32:$AA$32,0))</f>
        <v>4</v>
      </c>
      <c r="ER21" s="2">
        <f>INDEX($B$33:$AA$80,MATCH(ER$4,$A$33:$A$80,0),MATCH($CZ21,$B$32:$AA$32,0))</f>
        <v>0</v>
      </c>
      <c r="ES21" s="2">
        <f>INDEX($B$33:$AA$80,MATCH(ES$4,$A$33:$A$80,0),MATCH($CZ21,$B$32:$AA$32,0))</f>
        <v>0</v>
      </c>
      <c r="ET21" s="2">
        <f>INDEX($B$33:$AA$80,MATCH(ET$4,$A$33:$A$80,0),MATCH($CZ21,$B$32:$AA$32,0))</f>
        <v>0</v>
      </c>
      <c r="EU21" s="2">
        <f>INDEX($B$33:$AA$80,MATCH(EU$4,$A$33:$A$80,0),MATCH($CZ21,$B$32:$AA$32,0))</f>
        <v>0</v>
      </c>
      <c r="EV21" s="2">
        <f>INDEX($B$33:$AA$80,MATCH(EV$4,$A$33:$A$80,0),MATCH($CZ21,$B$32:$AA$32,0))</f>
        <v>0</v>
      </c>
    </row>
    <row r="22" spans="1:152">
      <c r="A22" s="2" t="str">
        <f>EMBELISHMENT!A20</f>
        <v>Feed Of Arm</v>
      </c>
      <c r="B22" s="293" t="s">
        <v>457</v>
      </c>
      <c r="C22" s="2">
        <f>IFERROR(INDEX('MC MASTER'!$C$3:$C$28,MATCH($B22,'MC MASTER'!$B$3:$B$28,0)),"** NOT A GROUP **")</f>
        <v>2</v>
      </c>
      <c r="K22" s="294" t="s">
        <v>343</v>
      </c>
      <c r="L22" s="294" t="s">
        <v>24</v>
      </c>
      <c r="M22" s="294" t="s">
        <v>15</v>
      </c>
      <c r="BA22" s="268" t="str">
        <f>INDEX('MC MASTER'!$B$3:$B$28,18)</f>
        <v>Chain stitch</v>
      </c>
      <c r="BU22" s="2">
        <f>SUM($DA22:$EV22)</f>
        <v>4</v>
      </c>
      <c r="BV22" s="2" t="str">
        <f>IF($BU22=0,"NEVER USED BY ANY STYLE","used")</f>
        <v>used</v>
      </c>
      <c r="BW22" s="269" t="str">
        <f>'MC MASTER'!$B20</f>
        <v>Chain stitch</v>
      </c>
      <c r="BX22" s="269" t="str">
        <f>'MC MASTER'!$A20</f>
        <v>CS-DNLS</v>
      </c>
      <c r="CZ22" s="2" cm="1" t="str">
        <f t="array" ref="CZ22">INDEX('MC MASTER'!$B$3:$B$28,ROW()-4)</f>
        <v>Chain stitch</v>
      </c>
      <c r="DA22" s="2">
        <f>INDEX($B$33:$AA$80,MATCH(DA$4,$A$33:$A$80,0),MATCH($CZ22,$B$32:$AA$32,0))</f>
        <v>0</v>
      </c>
      <c r="DB22" s="2">
        <f>INDEX($B$33:$AA$80,MATCH(DB$4,$A$33:$A$80,0),MATCH($CZ22,$B$32:$AA$32,0))</f>
        <v>0</v>
      </c>
      <c r="DC22" s="2">
        <f>INDEX($B$33:$AA$80,MATCH(DC$4,$A$33:$A$80,0),MATCH($CZ22,$B$32:$AA$32,0))</f>
        <v>0</v>
      </c>
      <c r="DD22" s="2">
        <f>INDEX($B$33:$AA$80,MATCH(DD$4,$A$33:$A$80,0),MATCH($CZ22,$B$32:$AA$32,0))</f>
        <v>0</v>
      </c>
      <c r="DE22" s="2">
        <f>INDEX($B$33:$AA$80,MATCH(DE$4,$A$33:$A$80,0),MATCH($CZ22,$B$32:$AA$32,0))</f>
        <v>0</v>
      </c>
      <c r="DF22" s="2">
        <f>INDEX($B$33:$AA$80,MATCH(DF$4,$A$33:$A$80,0),MATCH($CZ22,$B$32:$AA$32,0))</f>
        <v>0</v>
      </c>
      <c r="DG22" s="2">
        <f>INDEX($B$33:$AA$80,MATCH(DG$4,$A$33:$A$80,0),MATCH($CZ22,$B$32:$AA$32,0))</f>
        <v>0</v>
      </c>
      <c r="DH22" s="2">
        <f>INDEX($B$33:$AA$80,MATCH(DH$4,$A$33:$A$80,0),MATCH($CZ22,$B$32:$AA$32,0))</f>
        <v>0</v>
      </c>
      <c r="DI22" s="2">
        <f>INDEX($B$33:$AA$80,MATCH(DI$4,$A$33:$A$80,0),MATCH($CZ22,$B$32:$AA$32,0))</f>
        <v>0</v>
      </c>
      <c r="DJ22" s="2">
        <f>INDEX($B$33:$AA$80,MATCH(DJ$4,$A$33:$A$80,0),MATCH($CZ22,$B$32:$AA$32,0))</f>
        <v>0</v>
      </c>
      <c r="DK22" s="2">
        <f>INDEX($B$33:$AA$80,MATCH(DK$4,$A$33:$A$80,0),MATCH($CZ22,$B$32:$AA$32,0))</f>
        <v>0</v>
      </c>
      <c r="DL22" s="2">
        <f>INDEX($B$33:$AA$80,MATCH(DL$4,$A$33:$A$80,0),MATCH($CZ22,$B$32:$AA$32,0))</f>
        <v>0</v>
      </c>
      <c r="DM22" s="2">
        <f>INDEX($B$33:$AA$80,MATCH(DM$4,$A$33:$A$80,0),MATCH($CZ22,$B$32:$AA$32,0))</f>
        <v>0</v>
      </c>
      <c r="DN22" s="2">
        <f>INDEX($B$33:$AA$80,MATCH(DN$4,$A$33:$A$80,0),MATCH($CZ22,$B$32:$AA$32,0))</f>
        <v>0</v>
      </c>
      <c r="DO22" s="2">
        <f>INDEX($B$33:$AA$80,MATCH(DO$4,$A$33:$A$80,0),MATCH($CZ22,$B$32:$AA$32,0))</f>
        <v>0</v>
      </c>
      <c r="DP22" s="2">
        <f>INDEX($B$33:$AA$80,MATCH(DP$4,$A$33:$A$80,0),MATCH($CZ22,$B$32:$AA$32,0))</f>
        <v>0</v>
      </c>
      <c r="DQ22" s="2">
        <f>INDEX($B$33:$AA$80,MATCH(DQ$4,$A$33:$A$80,0),MATCH($CZ22,$B$32:$AA$32,0))</f>
        <v>0</v>
      </c>
      <c r="DR22" s="2">
        <f>INDEX($B$33:$AA$80,MATCH(DR$4,$A$33:$A$80,0),MATCH($CZ22,$B$32:$AA$32,0))</f>
        <v>0</v>
      </c>
      <c r="DS22" s="2">
        <f>INDEX($B$33:$AA$80,MATCH(DS$4,$A$33:$A$80,0),MATCH($CZ22,$B$32:$AA$32,0))</f>
        <v>0</v>
      </c>
      <c r="DT22" s="2">
        <f>INDEX($B$33:$AA$80,MATCH(DT$4,$A$33:$A$80,0),MATCH($CZ22,$B$32:$AA$32,0))</f>
        <v>0</v>
      </c>
      <c r="DU22" s="2">
        <f>INDEX($B$33:$AA$80,MATCH(DU$4,$A$33:$A$80,0),MATCH($CZ22,$B$32:$AA$32,0))</f>
        <v>0</v>
      </c>
      <c r="DV22" s="2">
        <f>INDEX($B$33:$AA$80,MATCH(DV$4,$A$33:$A$80,0),MATCH($CZ22,$B$32:$AA$32,0))</f>
        <v>0</v>
      </c>
      <c r="DW22" s="2">
        <f>INDEX($B$33:$AA$80,MATCH(DW$4,$A$33:$A$80,0),MATCH($CZ22,$B$32:$AA$32,0))</f>
        <v>0</v>
      </c>
      <c r="DX22" s="2">
        <f>INDEX($B$33:$AA$80,MATCH(DX$4,$A$33:$A$80,0),MATCH($CZ22,$B$32:$AA$32,0))</f>
        <v>0</v>
      </c>
      <c r="DY22" s="2">
        <f>INDEX($B$33:$AA$80,MATCH(DY$4,$A$33:$A$80,0),MATCH($CZ22,$B$32:$AA$32,0))</f>
        <v>0</v>
      </c>
      <c r="DZ22" s="2">
        <f>INDEX($B$33:$AA$80,MATCH(DZ$4,$A$33:$A$80,0),MATCH($CZ22,$B$32:$AA$32,0))</f>
        <v>0</v>
      </c>
      <c r="EA22" s="2">
        <f>INDEX($B$33:$AA$80,MATCH(EA$4,$A$33:$A$80,0),MATCH($CZ22,$B$32:$AA$32,0))</f>
        <v>0</v>
      </c>
      <c r="EB22" s="2">
        <f>INDEX($B$33:$AA$80,MATCH(EB$4,$A$33:$A$80,0),MATCH($CZ22,$B$32:$AA$32,0))</f>
        <v>0</v>
      </c>
      <c r="EC22" s="2">
        <f>INDEX($B$33:$AA$80,MATCH(EC$4,$A$33:$A$80,0),MATCH($CZ22,$B$32:$AA$32,0))</f>
        <v>0</v>
      </c>
      <c r="ED22" s="2">
        <f>INDEX($B$33:$AA$80,MATCH(ED$4,$A$33:$A$80,0),MATCH($CZ22,$B$32:$AA$32,0))</f>
        <v>0</v>
      </c>
      <c r="EE22" s="2">
        <f>INDEX($B$33:$AA$80,MATCH(EE$4,$A$33:$A$80,0),MATCH($CZ22,$B$32:$AA$32,0))</f>
        <v>0</v>
      </c>
      <c r="EF22" s="2">
        <f>INDEX($B$33:$AA$80,MATCH(EF$4,$A$33:$A$80,0),MATCH($CZ22,$B$32:$AA$32,0))</f>
        <v>1</v>
      </c>
      <c r="EG22" s="2">
        <f>INDEX($B$33:$AA$80,MATCH(EG$4,$A$33:$A$80,0),MATCH($CZ22,$B$32:$AA$32,0))</f>
        <v>3</v>
      </c>
      <c r="EH22" s="2">
        <f>INDEX($B$33:$AA$80,MATCH(EH$4,$A$33:$A$80,0),MATCH($CZ22,$B$32:$AA$32,0))</f>
        <v>0</v>
      </c>
      <c r="EI22" s="2">
        <f>INDEX($B$33:$AA$80,MATCH(EI$4,$A$33:$A$80,0),MATCH($CZ22,$B$32:$AA$32,0))</f>
        <v>0</v>
      </c>
      <c r="EJ22" s="2">
        <f>INDEX($B$33:$AA$80,MATCH(EJ$4,$A$33:$A$80,0),MATCH($CZ22,$B$32:$AA$32,0))</f>
        <v>0</v>
      </c>
      <c r="EK22" s="2">
        <f>INDEX($B$33:$AA$80,MATCH(EK$4,$A$33:$A$80,0),MATCH($CZ22,$B$32:$AA$32,0))</f>
        <v>0</v>
      </c>
      <c r="EL22" s="2">
        <f>INDEX($B$33:$AA$80,MATCH(EL$4,$A$33:$A$80,0),MATCH($CZ22,$B$32:$AA$32,0))</f>
        <v>0</v>
      </c>
      <c r="EM22" s="2">
        <f>INDEX($B$33:$AA$80,MATCH(EM$4,$A$33:$A$80,0),MATCH($CZ22,$B$32:$AA$32,0))</f>
        <v>0</v>
      </c>
      <c r="EN22" s="2">
        <f>INDEX($B$33:$AA$80,MATCH(EN$4,$A$33:$A$80,0),MATCH($CZ22,$B$32:$AA$32,0))</f>
        <v>0</v>
      </c>
      <c r="EO22" s="2">
        <f>INDEX($B$33:$AA$80,MATCH(EO$4,$A$33:$A$80,0),MATCH($CZ22,$B$32:$AA$32,0))</f>
        <v>0</v>
      </c>
      <c r="EP22" s="2">
        <f>INDEX($B$33:$AA$80,MATCH(EP$4,$A$33:$A$80,0),MATCH($CZ22,$B$32:$AA$32,0))</f>
        <v>0</v>
      </c>
      <c r="EQ22" s="2">
        <f>INDEX($B$33:$AA$80,MATCH(EQ$4,$A$33:$A$80,0),MATCH($CZ22,$B$32:$AA$32,0))</f>
        <v>0</v>
      </c>
      <c r="ER22" s="2">
        <f>INDEX($B$33:$AA$80,MATCH(ER$4,$A$33:$A$80,0),MATCH($CZ22,$B$32:$AA$32,0))</f>
        <v>0</v>
      </c>
      <c r="ES22" s="2">
        <f>INDEX($B$33:$AA$80,MATCH(ES$4,$A$33:$A$80,0),MATCH($CZ22,$B$32:$AA$32,0))</f>
        <v>0</v>
      </c>
      <c r="ET22" s="2">
        <f>INDEX($B$33:$AA$80,MATCH(ET$4,$A$33:$A$80,0),MATCH($CZ22,$B$32:$AA$32,0))</f>
        <v>0</v>
      </c>
      <c r="EU22" s="2">
        <f>INDEX($B$33:$AA$80,MATCH(EU$4,$A$33:$A$80,0),MATCH($CZ22,$B$32:$AA$32,0))</f>
        <v>0</v>
      </c>
      <c r="EV22" s="2">
        <f>INDEX($B$33:$AA$80,MATCH(EV$4,$A$33:$A$80,0),MATCH($CZ22,$B$32:$AA$32,0))</f>
        <v>0</v>
      </c>
    </row>
    <row r="23" spans="1:152">
      <c r="A23" s="2" t="str">
        <f>EMBELISHMENT!A21</f>
        <v>Flatlock      (VT)</v>
      </c>
      <c r="B23" s="293" t="s">
        <v>458</v>
      </c>
      <c r="C23" s="2">
        <f>IFERROR(INDEX('MC MASTER'!$C$3:$C$28,MATCH($B23,'MC MASTER'!$B$3:$B$28,0)),"** NOT A GROUP **")</f>
        <v>21</v>
      </c>
      <c r="K23" s="294" t="s">
        <v>344</v>
      </c>
      <c r="L23" s="294" t="s">
        <v>26</v>
      </c>
      <c r="M23" s="294" t="s">
        <v>15</v>
      </c>
      <c r="BA23" s="268" t="str">
        <f>INDEX('MC MASTER'!$B$3:$B$28,19)</f>
        <v>Flatlock (VT)</v>
      </c>
      <c r="BU23" s="2">
        <f>SUM($DA23:$EV23)</f>
        <v>32</v>
      </c>
      <c r="BV23" s="2" t="str">
        <f>IF($BU23=0,"NEVER USED BY ANY STYLE","used")</f>
        <v>used</v>
      </c>
      <c r="BW23" s="269" t="str">
        <f>'MC MASTER'!$B21</f>
        <v>Flatlock (VT)</v>
      </c>
      <c r="BX23" s="269" t="str">
        <f>'MC MASTER'!$A21</f>
        <v>FLAT-LOCK</v>
      </c>
      <c r="CZ23" s="2" cm="1" t="str">
        <f t="array" ref="CZ23">INDEX('MC MASTER'!$B$3:$B$28,ROW()-4)</f>
        <v>Flatlock (VT)</v>
      </c>
      <c r="DA23" s="2">
        <f>INDEX($B$33:$AA$80,MATCH(DA$4,$A$33:$A$80,0),MATCH($CZ23,$B$32:$AA$32,0))</f>
        <v>0</v>
      </c>
      <c r="DB23" s="2">
        <f>INDEX($B$33:$AA$80,MATCH(DB$4,$A$33:$A$80,0),MATCH($CZ23,$B$32:$AA$32,0))</f>
        <v>0</v>
      </c>
      <c r="DC23" s="2">
        <f>INDEX($B$33:$AA$80,MATCH(DC$4,$A$33:$A$80,0),MATCH($CZ23,$B$32:$AA$32,0))</f>
        <v>0</v>
      </c>
      <c r="DD23" s="2">
        <f>INDEX($B$33:$AA$80,MATCH(DD$4,$A$33:$A$80,0),MATCH($CZ23,$B$32:$AA$32,0))</f>
        <v>0</v>
      </c>
      <c r="DE23" s="2">
        <f>INDEX($B$33:$AA$80,MATCH(DE$4,$A$33:$A$80,0),MATCH($CZ23,$B$32:$AA$32,0))</f>
        <v>0</v>
      </c>
      <c r="DF23" s="2">
        <f>INDEX($B$33:$AA$80,MATCH(DF$4,$A$33:$A$80,0),MATCH($CZ23,$B$32:$AA$32,0))</f>
        <v>0</v>
      </c>
      <c r="DG23" s="2">
        <f>INDEX($B$33:$AA$80,MATCH(DG$4,$A$33:$A$80,0),MATCH($CZ23,$B$32:$AA$32,0))</f>
        <v>0</v>
      </c>
      <c r="DH23" s="2">
        <f>INDEX($B$33:$AA$80,MATCH(DH$4,$A$33:$A$80,0),MATCH($CZ23,$B$32:$AA$32,0))</f>
        <v>0</v>
      </c>
      <c r="DI23" s="2">
        <f>INDEX($B$33:$AA$80,MATCH(DI$4,$A$33:$A$80,0),MATCH($CZ23,$B$32:$AA$32,0))</f>
        <v>1</v>
      </c>
      <c r="DJ23" s="2">
        <f>INDEX($B$33:$AA$80,MATCH(DJ$4,$A$33:$A$80,0),MATCH($CZ23,$B$32:$AA$32,0))</f>
        <v>1</v>
      </c>
      <c r="DK23" s="2">
        <f>INDEX($B$33:$AA$80,MATCH(DK$4,$A$33:$A$80,0),MATCH($CZ23,$B$32:$AA$32,0))</f>
        <v>0</v>
      </c>
      <c r="DL23" s="2">
        <f>INDEX($B$33:$AA$80,MATCH(DL$4,$A$33:$A$80,0),MATCH($CZ23,$B$32:$AA$32,0))</f>
        <v>0</v>
      </c>
      <c r="DM23" s="2">
        <f>INDEX($B$33:$AA$80,MATCH(DM$4,$A$33:$A$80,0),MATCH($CZ23,$B$32:$AA$32,0))</f>
        <v>0</v>
      </c>
      <c r="DN23" s="2">
        <f>INDEX($B$33:$AA$80,MATCH(DN$4,$A$33:$A$80,0),MATCH($CZ23,$B$32:$AA$32,0))</f>
        <v>0</v>
      </c>
      <c r="DO23" s="2">
        <f>INDEX($B$33:$AA$80,MATCH(DO$4,$A$33:$A$80,0),MATCH($CZ23,$B$32:$AA$32,0))</f>
        <v>0</v>
      </c>
      <c r="DP23" s="2">
        <f>INDEX($B$33:$AA$80,MATCH(DP$4,$A$33:$A$80,0),MATCH($CZ23,$B$32:$AA$32,0))</f>
        <v>4</v>
      </c>
      <c r="DQ23" s="2">
        <f>INDEX($B$33:$AA$80,MATCH(DQ$4,$A$33:$A$80,0),MATCH($CZ23,$B$32:$AA$32,0))</f>
        <v>2</v>
      </c>
      <c r="DR23" s="2">
        <f>INDEX($B$33:$AA$80,MATCH(DR$4,$A$33:$A$80,0),MATCH($CZ23,$B$32:$AA$32,0))</f>
        <v>3</v>
      </c>
      <c r="DS23" s="2">
        <f>INDEX($B$33:$AA$80,MATCH(DS$4,$A$33:$A$80,0),MATCH($CZ23,$B$32:$AA$32,0))</f>
        <v>2</v>
      </c>
      <c r="DT23" s="2">
        <f>INDEX($B$33:$AA$80,MATCH(DT$4,$A$33:$A$80,0),MATCH($CZ23,$B$32:$AA$32,0))</f>
        <v>1</v>
      </c>
      <c r="DU23" s="2">
        <f>INDEX($B$33:$AA$80,MATCH(DU$4,$A$33:$A$80,0),MATCH($CZ23,$B$32:$AA$32,0))</f>
        <v>0</v>
      </c>
      <c r="DV23" s="2">
        <f>INDEX($B$33:$AA$80,MATCH(DV$4,$A$33:$A$80,0),MATCH($CZ23,$B$32:$AA$32,0))</f>
        <v>0</v>
      </c>
      <c r="DW23" s="2">
        <f>INDEX($B$33:$AA$80,MATCH(DW$4,$A$33:$A$80,0),MATCH($CZ23,$B$32:$AA$32,0))</f>
        <v>0</v>
      </c>
      <c r="DX23" s="2">
        <f>INDEX($B$33:$AA$80,MATCH(DX$4,$A$33:$A$80,0),MATCH($CZ23,$B$32:$AA$32,0))</f>
        <v>1</v>
      </c>
      <c r="DY23" s="2">
        <f>INDEX($B$33:$AA$80,MATCH(DY$4,$A$33:$A$80,0),MATCH($CZ23,$B$32:$AA$32,0))</f>
        <v>1</v>
      </c>
      <c r="DZ23" s="2">
        <f>INDEX($B$33:$AA$80,MATCH(DZ$4,$A$33:$A$80,0),MATCH($CZ23,$B$32:$AA$32,0))</f>
        <v>0</v>
      </c>
      <c r="EA23" s="2">
        <f>INDEX($B$33:$AA$80,MATCH(EA$4,$A$33:$A$80,0),MATCH($CZ23,$B$32:$AA$32,0))</f>
        <v>0</v>
      </c>
      <c r="EB23" s="2">
        <f>INDEX($B$33:$AA$80,MATCH(EB$4,$A$33:$A$80,0),MATCH($CZ23,$B$32:$AA$32,0))</f>
        <v>0</v>
      </c>
      <c r="EC23" s="2">
        <f>INDEX($B$33:$AA$80,MATCH(EC$4,$A$33:$A$80,0),MATCH($CZ23,$B$32:$AA$32,0))</f>
        <v>0</v>
      </c>
      <c r="ED23" s="2">
        <f>INDEX($B$33:$AA$80,MATCH(ED$4,$A$33:$A$80,0),MATCH($CZ23,$B$32:$AA$32,0))</f>
        <v>0</v>
      </c>
      <c r="EE23" s="2">
        <f>INDEX($B$33:$AA$80,MATCH(EE$4,$A$33:$A$80,0),MATCH($CZ23,$B$32:$AA$32,0))</f>
        <v>3</v>
      </c>
      <c r="EF23" s="2">
        <f>INDEX($B$33:$AA$80,MATCH(EF$4,$A$33:$A$80,0),MATCH($CZ23,$B$32:$AA$32,0))</f>
        <v>0</v>
      </c>
      <c r="EG23" s="2">
        <f>INDEX($B$33:$AA$80,MATCH(EG$4,$A$33:$A$80,0),MATCH($CZ23,$B$32:$AA$32,0))</f>
        <v>0</v>
      </c>
      <c r="EH23" s="2">
        <f>INDEX($B$33:$AA$80,MATCH(EH$4,$A$33:$A$80,0),MATCH($CZ23,$B$32:$AA$32,0))</f>
        <v>0</v>
      </c>
      <c r="EI23" s="2">
        <f>INDEX($B$33:$AA$80,MATCH(EI$4,$A$33:$A$80,0),MATCH($CZ23,$B$32:$AA$32,0))</f>
        <v>0</v>
      </c>
      <c r="EJ23" s="2">
        <f>INDEX($B$33:$AA$80,MATCH(EJ$4,$A$33:$A$80,0),MATCH($CZ23,$B$32:$AA$32,0))</f>
        <v>0</v>
      </c>
      <c r="EK23" s="2">
        <f>INDEX($B$33:$AA$80,MATCH(EK$4,$A$33:$A$80,0),MATCH($CZ23,$B$32:$AA$32,0))</f>
        <v>1</v>
      </c>
      <c r="EL23" s="2">
        <f>INDEX($B$33:$AA$80,MATCH(EL$4,$A$33:$A$80,0),MATCH($CZ23,$B$32:$AA$32,0))</f>
        <v>0</v>
      </c>
      <c r="EM23" s="2">
        <f>INDEX($B$33:$AA$80,MATCH(EM$4,$A$33:$A$80,0),MATCH($CZ23,$B$32:$AA$32,0))</f>
        <v>2</v>
      </c>
      <c r="EN23" s="2">
        <f>INDEX($B$33:$AA$80,MATCH(EN$4,$A$33:$A$80,0),MATCH($CZ23,$B$32:$AA$32,0))</f>
        <v>2</v>
      </c>
      <c r="EO23" s="2">
        <f>INDEX($B$33:$AA$80,MATCH(EO$4,$A$33:$A$80,0),MATCH($CZ23,$B$32:$AA$32,0))</f>
        <v>0</v>
      </c>
      <c r="EP23" s="2">
        <f>INDEX($B$33:$AA$80,MATCH(EP$4,$A$33:$A$80,0),MATCH($CZ23,$B$32:$AA$32,0))</f>
        <v>0</v>
      </c>
      <c r="EQ23" s="2">
        <f>INDEX($B$33:$AA$80,MATCH(EQ$4,$A$33:$A$80,0),MATCH($CZ23,$B$32:$AA$32,0))</f>
        <v>0</v>
      </c>
      <c r="ER23" s="2">
        <f>INDEX($B$33:$AA$80,MATCH(ER$4,$A$33:$A$80,0),MATCH($CZ23,$B$32:$AA$32,0))</f>
        <v>2</v>
      </c>
      <c r="ES23" s="2">
        <f>INDEX($B$33:$AA$80,MATCH(ES$4,$A$33:$A$80,0),MATCH($CZ23,$B$32:$AA$32,0))</f>
        <v>0</v>
      </c>
      <c r="ET23" s="2">
        <f>INDEX($B$33:$AA$80,MATCH(ET$4,$A$33:$A$80,0),MATCH($CZ23,$B$32:$AA$32,0))</f>
        <v>2</v>
      </c>
      <c r="EU23" s="2">
        <f>INDEX($B$33:$AA$80,MATCH(EU$4,$A$33:$A$80,0),MATCH($CZ23,$B$32:$AA$32,0))</f>
        <v>2</v>
      </c>
      <c r="EV23" s="2">
        <f>INDEX($B$33:$AA$80,MATCH(EV$4,$A$33:$A$80,0),MATCH($CZ23,$B$32:$AA$32,0))</f>
        <v>2</v>
      </c>
    </row>
    <row r="24" spans="1:152">
      <c r="A24" s="2" t="str">
        <f>EMBELISHMENT!A22</f>
        <v>Heat Seal</v>
      </c>
      <c r="B24" s="293" t="s">
        <v>444</v>
      </c>
      <c r="C24" s="2">
        <f>IFERROR(INDEX('MC MASTER'!$C$3:$C$28,MATCH($B24,'MC MASTER'!$B$3:$B$28,0)),"** NOT A GROUP **")</f>
        <v>35</v>
      </c>
      <c r="K24" s="295" t="s">
        <v>27</v>
      </c>
      <c r="L24" s="295" t="s">
        <v>27</v>
      </c>
      <c r="M24" s="295" t="s">
        <v>15</v>
      </c>
      <c r="BA24" s="268" t="str">
        <f>INDEX('MC MASTER'!$B$3:$B$28,20)</f>
        <v>Heat Seal</v>
      </c>
      <c r="BU24" s="2">
        <f>SUM($DA24:$EV24)</f>
        <v>53</v>
      </c>
      <c r="BV24" s="2" t="str">
        <f>IF($BU24=0,"NEVER USED BY ANY STYLE","used")</f>
        <v>used</v>
      </c>
      <c r="BW24" s="269" t="str">
        <f>'MC MASTER'!$B22</f>
        <v>Heat Seal</v>
      </c>
      <c r="BX24" s="269" t="str">
        <f>'MC MASTER'!$A22</f>
        <v>HT</v>
      </c>
      <c r="CZ24" s="2" cm="1" t="str">
        <f t="array" ref="CZ24">INDEX('MC MASTER'!$B$3:$B$28,ROW()-4)</f>
        <v>Heat Seal</v>
      </c>
      <c r="DA24" s="2">
        <f>INDEX($B$33:$AA$80,MATCH(DA$4,$A$33:$A$80,0),MATCH($CZ24,$B$32:$AA$32,0))</f>
        <v>3</v>
      </c>
      <c r="DB24" s="2">
        <f>INDEX($B$33:$AA$80,MATCH(DB$4,$A$33:$A$80,0),MATCH($CZ24,$B$32:$AA$32,0))</f>
        <v>2</v>
      </c>
      <c r="DC24" s="2">
        <f>INDEX($B$33:$AA$80,MATCH(DC$4,$A$33:$A$80,0),MATCH($CZ24,$B$32:$AA$32,0))</f>
        <v>1</v>
      </c>
      <c r="DD24" s="2">
        <f>INDEX($B$33:$AA$80,MATCH(DD$4,$A$33:$A$80,0),MATCH($CZ24,$B$32:$AA$32,0))</f>
        <v>1.5</v>
      </c>
      <c r="DE24" s="2">
        <f>INDEX($B$33:$AA$80,MATCH(DE$4,$A$33:$A$80,0),MATCH($CZ24,$B$32:$AA$32,0))</f>
        <v>1</v>
      </c>
      <c r="DF24" s="2">
        <f>INDEX($B$33:$AA$80,MATCH(DF$4,$A$33:$A$80,0),MATCH($CZ24,$B$32:$AA$32,0))</f>
        <v>1</v>
      </c>
      <c r="DG24" s="2">
        <f>INDEX($B$33:$AA$80,MATCH(DG$4,$A$33:$A$80,0),MATCH($CZ24,$B$32:$AA$32,0))</f>
        <v>1</v>
      </c>
      <c r="DH24" s="2">
        <f>INDEX($B$33:$AA$80,MATCH(DH$4,$A$33:$A$80,0),MATCH($CZ24,$B$32:$AA$32,0))</f>
        <v>2</v>
      </c>
      <c r="DI24" s="2">
        <f>INDEX($B$33:$AA$80,MATCH(DI$4,$A$33:$A$80,0),MATCH($CZ24,$B$32:$AA$32,0))</f>
        <v>1</v>
      </c>
      <c r="DJ24" s="2">
        <f>INDEX($B$33:$AA$80,MATCH(DJ$4,$A$33:$A$80,0),MATCH($CZ24,$B$32:$AA$32,0))</f>
        <v>1</v>
      </c>
      <c r="DK24" s="2">
        <f>INDEX($B$33:$AA$80,MATCH(DK$4,$A$33:$A$80,0),MATCH($CZ24,$B$32:$AA$32,0))</f>
        <v>1</v>
      </c>
      <c r="DL24" s="2">
        <f>INDEX($B$33:$AA$80,MATCH(DL$4,$A$33:$A$80,0),MATCH($CZ24,$B$32:$AA$32,0))</f>
        <v>0</v>
      </c>
      <c r="DM24" s="2">
        <f>INDEX($B$33:$AA$80,MATCH(DM$4,$A$33:$A$80,0),MATCH($CZ24,$B$32:$AA$32,0))</f>
        <v>0</v>
      </c>
      <c r="DN24" s="2">
        <f>INDEX($B$33:$AA$80,MATCH(DN$4,$A$33:$A$80,0),MATCH($CZ24,$B$32:$AA$32,0))</f>
        <v>1</v>
      </c>
      <c r="DO24" s="2">
        <f>INDEX($B$33:$AA$80,MATCH(DO$4,$A$33:$A$80,0),MATCH($CZ24,$B$32:$AA$32,0))</f>
        <v>1</v>
      </c>
      <c r="DP24" s="2">
        <f>INDEX($B$33:$AA$80,MATCH(DP$4,$A$33:$A$80,0),MATCH($CZ24,$B$32:$AA$32,0))</f>
        <v>1</v>
      </c>
      <c r="DQ24" s="2">
        <f>INDEX($B$33:$AA$80,MATCH(DQ$4,$A$33:$A$80,0),MATCH($CZ24,$B$32:$AA$32,0))</f>
        <v>1</v>
      </c>
      <c r="DR24" s="2">
        <f>INDEX($B$33:$AA$80,MATCH(DR$4,$A$33:$A$80,0),MATCH($CZ24,$B$32:$AA$32,0))</f>
        <v>1</v>
      </c>
      <c r="DS24" s="2">
        <f>INDEX($B$33:$AA$80,MATCH(DS$4,$A$33:$A$80,0),MATCH($CZ24,$B$32:$AA$32,0))</f>
        <v>1</v>
      </c>
      <c r="DT24" s="2">
        <f>INDEX($B$33:$AA$80,MATCH(DT$4,$A$33:$A$80,0),MATCH($CZ24,$B$32:$AA$32,0))</f>
        <v>1</v>
      </c>
      <c r="DU24" s="2">
        <f>INDEX($B$33:$AA$80,MATCH(DU$4,$A$33:$A$80,0),MATCH($CZ24,$B$32:$AA$32,0))</f>
        <v>1</v>
      </c>
      <c r="DV24" s="2">
        <f>INDEX($B$33:$AA$80,MATCH(DV$4,$A$33:$A$80,0),MATCH($CZ24,$B$32:$AA$32,0))</f>
        <v>1</v>
      </c>
      <c r="DW24" s="2">
        <f>INDEX($B$33:$AA$80,MATCH(DW$4,$A$33:$A$80,0),MATCH($CZ24,$B$32:$AA$32,0))</f>
        <v>1</v>
      </c>
      <c r="DX24" s="2">
        <f>INDEX($B$33:$AA$80,MATCH(DX$4,$A$33:$A$80,0),MATCH($CZ24,$B$32:$AA$32,0))</f>
        <v>1</v>
      </c>
      <c r="DY24" s="2">
        <f>INDEX($B$33:$AA$80,MATCH(DY$4,$A$33:$A$80,0),MATCH($CZ24,$B$32:$AA$32,0))</f>
        <v>1</v>
      </c>
      <c r="DZ24" s="2">
        <f>INDEX($B$33:$AA$80,MATCH(DZ$4,$A$33:$A$80,0),MATCH($CZ24,$B$32:$AA$32,0))</f>
        <v>2</v>
      </c>
      <c r="EA24" s="2">
        <f>INDEX($B$33:$AA$80,MATCH(EA$4,$A$33:$A$80,0),MATCH($CZ24,$B$32:$AA$32,0))</f>
        <v>2</v>
      </c>
      <c r="EB24" s="2">
        <f>INDEX($B$33:$AA$80,MATCH(EB$4,$A$33:$A$80,0),MATCH($CZ24,$B$32:$AA$32,0))</f>
        <v>2</v>
      </c>
      <c r="EC24" s="2">
        <f>INDEX($B$33:$AA$80,MATCH(EC$4,$A$33:$A$80,0),MATCH($CZ24,$B$32:$AA$32,0))</f>
        <v>0</v>
      </c>
      <c r="ED24" s="2">
        <f>INDEX($B$33:$AA$80,MATCH(ED$4,$A$33:$A$80,0),MATCH($CZ24,$B$32:$AA$32,0))</f>
        <v>1</v>
      </c>
      <c r="EE24" s="2">
        <f>INDEX($B$33:$AA$80,MATCH(EE$4,$A$33:$A$80,0),MATCH($CZ24,$B$32:$AA$32,0))</f>
        <v>1</v>
      </c>
      <c r="EF24" s="2">
        <f>INDEX($B$33:$AA$80,MATCH(EF$4,$A$33:$A$80,0),MATCH($CZ24,$B$32:$AA$32,0))</f>
        <v>1</v>
      </c>
      <c r="EG24" s="2">
        <f>INDEX($B$33:$AA$80,MATCH(EG$4,$A$33:$A$80,0),MATCH($CZ24,$B$32:$AA$32,0))</f>
        <v>1</v>
      </c>
      <c r="EH24" s="2">
        <f>INDEX($B$33:$AA$80,MATCH(EH$4,$A$33:$A$80,0),MATCH($CZ24,$B$32:$AA$32,0))</f>
        <v>2</v>
      </c>
      <c r="EI24" s="2">
        <f>INDEX($B$33:$AA$80,MATCH(EI$4,$A$33:$A$80,0),MATCH($CZ24,$B$32:$AA$32,0))</f>
        <v>1.5</v>
      </c>
      <c r="EJ24" s="2">
        <f>INDEX($B$33:$AA$80,MATCH(EJ$4,$A$33:$A$80,0),MATCH($CZ24,$B$32:$AA$32,0))</f>
        <v>2</v>
      </c>
      <c r="EK24" s="2">
        <f>INDEX($B$33:$AA$80,MATCH(EK$4,$A$33:$A$80,0),MATCH($CZ24,$B$32:$AA$32,0))</f>
        <v>1</v>
      </c>
      <c r="EL24" s="2">
        <f>INDEX($B$33:$AA$80,MATCH(EL$4,$A$33:$A$80,0),MATCH($CZ24,$B$32:$AA$32,0))</f>
        <v>1</v>
      </c>
      <c r="EM24" s="2">
        <f>INDEX($B$33:$AA$80,MATCH(EM$4,$A$33:$A$80,0),MATCH($CZ24,$B$32:$AA$32,0))</f>
        <v>1</v>
      </c>
      <c r="EN24" s="2">
        <f>INDEX($B$33:$AA$80,MATCH(EN$4,$A$33:$A$80,0),MATCH($CZ24,$B$32:$AA$32,0))</f>
        <v>1</v>
      </c>
      <c r="EO24" s="2">
        <f>INDEX($B$33:$AA$80,MATCH(EO$4,$A$33:$A$80,0),MATCH($CZ24,$B$32:$AA$32,0))</f>
        <v>1</v>
      </c>
      <c r="EP24" s="2">
        <f>INDEX($B$33:$AA$80,MATCH(EP$4,$A$33:$A$80,0),MATCH($CZ24,$B$32:$AA$32,0))</f>
        <v>1</v>
      </c>
      <c r="EQ24" s="2">
        <f>INDEX($B$33:$AA$80,MATCH(EQ$4,$A$33:$A$80,0),MATCH($CZ24,$B$32:$AA$32,0))</f>
        <v>1</v>
      </c>
      <c r="ER24" s="2">
        <f>INDEX($B$33:$AA$80,MATCH(ER$4,$A$33:$A$80,0),MATCH($CZ24,$B$32:$AA$32,0))</f>
        <v>1</v>
      </c>
      <c r="ES24" s="2">
        <f>INDEX($B$33:$AA$80,MATCH(ES$4,$A$33:$A$80,0),MATCH($CZ24,$B$32:$AA$32,0))</f>
        <v>1</v>
      </c>
      <c r="ET24" s="2">
        <f>INDEX($B$33:$AA$80,MATCH(ET$4,$A$33:$A$80,0),MATCH($CZ24,$B$32:$AA$32,0))</f>
        <v>1</v>
      </c>
      <c r="EU24" s="2">
        <f>INDEX($B$33:$AA$80,MATCH(EU$4,$A$33:$A$80,0),MATCH($CZ24,$B$32:$AA$32,0))</f>
        <v>0</v>
      </c>
      <c r="EV24" s="2">
        <f>INDEX($B$33:$AA$80,MATCH(EV$4,$A$33:$A$80,0),MATCH($CZ24,$B$32:$AA$32,0))</f>
        <v>0</v>
      </c>
    </row>
    <row r="25" spans="1:152">
      <c r="A25" s="2" t="str">
        <f>EMBELISHMENT!A23</f>
        <v>Snap button</v>
      </c>
      <c r="B25" s="293" t="s">
        <v>175</v>
      </c>
      <c r="C25" s="2">
        <f>IFERROR(INDEX('MC MASTER'!$C$3:$C$28,MATCH($B25,'MC MASTER'!$B$3:$B$28,0)),"** NOT A GROUP **")</f>
        <v>2</v>
      </c>
      <c r="K25" s="295" t="s">
        <v>28</v>
      </c>
      <c r="L25" s="295" t="s">
        <v>28</v>
      </c>
      <c r="M25" s="295" t="s">
        <v>15</v>
      </c>
      <c r="BA25" s="268" t="str">
        <f>INDEX('MC MASTER'!$B$3:$B$28,21)</f>
        <v>Snap button</v>
      </c>
      <c r="BU25" s="2">
        <f>SUM($DA25:$EV25)</f>
        <v>3</v>
      </c>
      <c r="BV25" s="2" t="str">
        <f>IF($BU25=0,"NEVER USED BY ANY STYLE","used")</f>
        <v>used</v>
      </c>
      <c r="BW25" s="269" t="str">
        <f>'MC MASTER'!$B23</f>
        <v>Snap button</v>
      </c>
      <c r="BX25" s="269" t="str">
        <f>'MC MASTER'!$A23</f>
        <v>ILET</v>
      </c>
      <c r="CZ25" s="2" cm="1" t="str">
        <f t="array" ref="CZ25">INDEX('MC MASTER'!$B$3:$B$28,ROW()-4)</f>
        <v>Snap button</v>
      </c>
      <c r="DA25" s="2">
        <f>INDEX($B$33:$AA$80,MATCH(DA$4,$A$33:$A$80,0),MATCH($CZ25,$B$32:$AA$32,0))</f>
        <v>2</v>
      </c>
      <c r="DB25" s="2">
        <f>INDEX($B$33:$AA$80,MATCH(DB$4,$A$33:$A$80,0),MATCH($CZ25,$B$32:$AA$32,0))</f>
        <v>0</v>
      </c>
      <c r="DC25" s="2">
        <f>INDEX($B$33:$AA$80,MATCH(DC$4,$A$33:$A$80,0),MATCH($CZ25,$B$32:$AA$32,0))</f>
        <v>0</v>
      </c>
      <c r="DD25" s="2">
        <f>INDEX($B$33:$AA$80,MATCH(DD$4,$A$33:$A$80,0),MATCH($CZ25,$B$32:$AA$32,0))</f>
        <v>0</v>
      </c>
      <c r="DE25" s="2">
        <f>INDEX($B$33:$AA$80,MATCH(DE$4,$A$33:$A$80,0),MATCH($CZ25,$B$32:$AA$32,0))</f>
        <v>0</v>
      </c>
      <c r="DF25" s="2">
        <f>INDEX($B$33:$AA$80,MATCH(DF$4,$A$33:$A$80,0),MATCH($CZ25,$B$32:$AA$32,0))</f>
        <v>0</v>
      </c>
      <c r="DG25" s="2">
        <f>INDEX($B$33:$AA$80,MATCH(DG$4,$A$33:$A$80,0),MATCH($CZ25,$B$32:$AA$32,0))</f>
        <v>0</v>
      </c>
      <c r="DH25" s="2">
        <f>INDEX($B$33:$AA$80,MATCH(DH$4,$A$33:$A$80,0),MATCH($CZ25,$B$32:$AA$32,0))</f>
        <v>0</v>
      </c>
      <c r="DI25" s="2">
        <f>INDEX($B$33:$AA$80,MATCH(DI$4,$A$33:$A$80,0),MATCH($CZ25,$B$32:$AA$32,0))</f>
        <v>0</v>
      </c>
      <c r="DJ25" s="2">
        <f>INDEX($B$33:$AA$80,MATCH(DJ$4,$A$33:$A$80,0),MATCH($CZ25,$B$32:$AA$32,0))</f>
        <v>0</v>
      </c>
      <c r="DK25" s="2">
        <f>INDEX($B$33:$AA$80,MATCH(DK$4,$A$33:$A$80,0),MATCH($CZ25,$B$32:$AA$32,0))</f>
        <v>0</v>
      </c>
      <c r="DL25" s="2">
        <f>INDEX($B$33:$AA$80,MATCH(DL$4,$A$33:$A$80,0),MATCH($CZ25,$B$32:$AA$32,0))</f>
        <v>0</v>
      </c>
      <c r="DM25" s="2">
        <f>INDEX($B$33:$AA$80,MATCH(DM$4,$A$33:$A$80,0),MATCH($CZ25,$B$32:$AA$32,0))</f>
        <v>0</v>
      </c>
      <c r="DN25" s="2">
        <f>INDEX($B$33:$AA$80,MATCH(DN$4,$A$33:$A$80,0),MATCH($CZ25,$B$32:$AA$32,0))</f>
        <v>0</v>
      </c>
      <c r="DO25" s="2">
        <f>INDEX($B$33:$AA$80,MATCH(DO$4,$A$33:$A$80,0),MATCH($CZ25,$B$32:$AA$32,0))</f>
        <v>0</v>
      </c>
      <c r="DP25" s="2">
        <f>INDEX($B$33:$AA$80,MATCH(DP$4,$A$33:$A$80,0),MATCH($CZ25,$B$32:$AA$32,0))</f>
        <v>0</v>
      </c>
      <c r="DQ25" s="2">
        <f>INDEX($B$33:$AA$80,MATCH(DQ$4,$A$33:$A$80,0),MATCH($CZ25,$B$32:$AA$32,0))</f>
        <v>0</v>
      </c>
      <c r="DR25" s="2">
        <f>INDEX($B$33:$AA$80,MATCH(DR$4,$A$33:$A$80,0),MATCH($CZ25,$B$32:$AA$32,0))</f>
        <v>0</v>
      </c>
      <c r="DS25" s="2">
        <f>INDEX($B$33:$AA$80,MATCH(DS$4,$A$33:$A$80,0),MATCH($CZ25,$B$32:$AA$32,0))</f>
        <v>0</v>
      </c>
      <c r="DT25" s="2">
        <f>INDEX($B$33:$AA$80,MATCH(DT$4,$A$33:$A$80,0),MATCH($CZ25,$B$32:$AA$32,0))</f>
        <v>0</v>
      </c>
      <c r="DU25" s="2">
        <f>INDEX($B$33:$AA$80,MATCH(DU$4,$A$33:$A$80,0),MATCH($CZ25,$B$32:$AA$32,0))</f>
        <v>0</v>
      </c>
      <c r="DV25" s="2">
        <f>INDEX($B$33:$AA$80,MATCH(DV$4,$A$33:$A$80,0),MATCH($CZ25,$B$32:$AA$32,0))</f>
        <v>0</v>
      </c>
      <c r="DW25" s="2">
        <f>INDEX($B$33:$AA$80,MATCH(DW$4,$A$33:$A$80,0),MATCH($CZ25,$B$32:$AA$32,0))</f>
        <v>0</v>
      </c>
      <c r="DX25" s="2">
        <f>INDEX($B$33:$AA$80,MATCH(DX$4,$A$33:$A$80,0),MATCH($CZ25,$B$32:$AA$32,0))</f>
        <v>0</v>
      </c>
      <c r="DY25" s="2">
        <f>INDEX($B$33:$AA$80,MATCH(DY$4,$A$33:$A$80,0),MATCH($CZ25,$B$32:$AA$32,0))</f>
        <v>0</v>
      </c>
      <c r="DZ25" s="2">
        <f>INDEX($B$33:$AA$80,MATCH(DZ$4,$A$33:$A$80,0),MATCH($CZ25,$B$32:$AA$32,0))</f>
        <v>0</v>
      </c>
      <c r="EA25" s="2">
        <f>INDEX($B$33:$AA$80,MATCH(EA$4,$A$33:$A$80,0),MATCH($CZ25,$B$32:$AA$32,0))</f>
        <v>0</v>
      </c>
      <c r="EB25" s="2">
        <f>INDEX($B$33:$AA$80,MATCH(EB$4,$A$33:$A$80,0),MATCH($CZ25,$B$32:$AA$32,0))</f>
        <v>0</v>
      </c>
      <c r="EC25" s="2">
        <f>INDEX($B$33:$AA$80,MATCH(EC$4,$A$33:$A$80,0),MATCH($CZ25,$B$32:$AA$32,0))</f>
        <v>0</v>
      </c>
      <c r="ED25" s="2">
        <f>INDEX($B$33:$AA$80,MATCH(ED$4,$A$33:$A$80,0),MATCH($CZ25,$B$32:$AA$32,0))</f>
        <v>0</v>
      </c>
      <c r="EE25" s="2">
        <f>INDEX($B$33:$AA$80,MATCH(EE$4,$A$33:$A$80,0),MATCH($CZ25,$B$32:$AA$32,0))</f>
        <v>0</v>
      </c>
      <c r="EF25" s="2">
        <f>INDEX($B$33:$AA$80,MATCH(EF$4,$A$33:$A$80,0),MATCH($CZ25,$B$32:$AA$32,0))</f>
        <v>0</v>
      </c>
      <c r="EG25" s="2">
        <f>INDEX($B$33:$AA$80,MATCH(EG$4,$A$33:$A$80,0),MATCH($CZ25,$B$32:$AA$32,0))</f>
        <v>0</v>
      </c>
      <c r="EH25" s="2">
        <f>INDEX($B$33:$AA$80,MATCH(EH$4,$A$33:$A$80,0),MATCH($CZ25,$B$32:$AA$32,0))</f>
        <v>0</v>
      </c>
      <c r="EI25" s="2">
        <f>INDEX($B$33:$AA$80,MATCH(EI$4,$A$33:$A$80,0),MATCH($CZ25,$B$32:$AA$32,0))</f>
        <v>0</v>
      </c>
      <c r="EJ25" s="2">
        <f>INDEX($B$33:$AA$80,MATCH(EJ$4,$A$33:$A$80,0),MATCH($CZ25,$B$32:$AA$32,0))</f>
        <v>0</v>
      </c>
      <c r="EK25" s="2">
        <f>INDEX($B$33:$AA$80,MATCH(EK$4,$A$33:$A$80,0),MATCH($CZ25,$B$32:$AA$32,0))</f>
        <v>0</v>
      </c>
      <c r="EL25" s="2">
        <f>INDEX($B$33:$AA$80,MATCH(EL$4,$A$33:$A$80,0),MATCH($CZ25,$B$32:$AA$32,0))</f>
        <v>1</v>
      </c>
      <c r="EM25" s="2">
        <f>INDEX($B$33:$AA$80,MATCH(EM$4,$A$33:$A$80,0),MATCH($CZ25,$B$32:$AA$32,0))</f>
        <v>0</v>
      </c>
      <c r="EN25" s="2">
        <f>INDEX($B$33:$AA$80,MATCH(EN$4,$A$33:$A$80,0),MATCH($CZ25,$B$32:$AA$32,0))</f>
        <v>0</v>
      </c>
      <c r="EO25" s="2">
        <f>INDEX($B$33:$AA$80,MATCH(EO$4,$A$33:$A$80,0),MATCH($CZ25,$B$32:$AA$32,0))</f>
        <v>0</v>
      </c>
      <c r="EP25" s="2">
        <f>INDEX($B$33:$AA$80,MATCH(EP$4,$A$33:$A$80,0),MATCH($CZ25,$B$32:$AA$32,0))</f>
        <v>0</v>
      </c>
      <c r="EQ25" s="2">
        <f>INDEX($B$33:$AA$80,MATCH(EQ$4,$A$33:$A$80,0),MATCH($CZ25,$B$32:$AA$32,0))</f>
        <v>0</v>
      </c>
      <c r="ER25" s="2">
        <f>INDEX($B$33:$AA$80,MATCH(ER$4,$A$33:$A$80,0),MATCH($CZ25,$B$32:$AA$32,0))</f>
        <v>0</v>
      </c>
      <c r="ES25" s="2">
        <f>INDEX($B$33:$AA$80,MATCH(ES$4,$A$33:$A$80,0),MATCH($CZ25,$B$32:$AA$32,0))</f>
        <v>0</v>
      </c>
      <c r="ET25" s="2">
        <f>INDEX($B$33:$AA$80,MATCH(ET$4,$A$33:$A$80,0),MATCH($CZ25,$B$32:$AA$32,0))</f>
        <v>0</v>
      </c>
      <c r="EU25" s="2">
        <f>INDEX($B$33:$AA$80,MATCH(EU$4,$A$33:$A$80,0),MATCH($CZ25,$B$32:$AA$32,0))</f>
        <v>0</v>
      </c>
      <c r="EV25" s="2">
        <f>INDEX($B$33:$AA$80,MATCH(EV$4,$A$33:$A$80,0),MATCH($CZ25,$B$32:$AA$32,0))</f>
        <v>0</v>
      </c>
    </row>
    <row r="26" spans="1:152">
      <c r="A26" s="2" t="str">
        <f>EMBELISHMENT!A24</f>
        <v>Button Hole</v>
      </c>
      <c r="B26" s="293" t="s">
        <v>66</v>
      </c>
      <c r="C26" s="2">
        <f>IFERROR(INDEX('MC MASTER'!$C$3:$C$28,MATCH($B26,'MC MASTER'!$B$3:$B$28,0)),"** NOT A GROUP **")</f>
        <v>3</v>
      </c>
      <c r="K26" s="295"/>
      <c r="L26" s="295"/>
      <c r="M26" s="295"/>
      <c r="BA26" s="268" t="str">
        <f>INDEX('MC MASTER'!$B$3:$B$28,22)</f>
        <v>Button Hole</v>
      </c>
      <c r="BU26" s="2">
        <f>SUM($DA26:$EV26)</f>
        <v>6.5</v>
      </c>
      <c r="BV26" s="2" t="str">
        <f>IF($BU26=0,"NEVER USED BY ANY STYLE","used")</f>
        <v>used</v>
      </c>
      <c r="BW26" s="269" t="str">
        <f>'MC MASTER'!$B24</f>
        <v>Button Hole</v>
      </c>
      <c r="BX26" s="269" t="str">
        <f>'MC MASTER'!$A24</f>
        <v>BH</v>
      </c>
      <c r="CZ26" s="2" cm="1" t="str">
        <f t="array" ref="CZ26">INDEX('MC MASTER'!$B$3:$B$28,ROW()-4)</f>
        <v>Button Hole</v>
      </c>
      <c r="DA26" s="2">
        <f>INDEX($B$33:$AA$80,MATCH(DA$4,$A$33:$A$80,0),MATCH($CZ26,$B$32:$AA$32,0))</f>
        <v>1</v>
      </c>
      <c r="DB26" s="2">
        <f>INDEX($B$33:$AA$80,MATCH(DB$4,$A$33:$A$80,0),MATCH($CZ26,$B$32:$AA$32,0))</f>
        <v>1</v>
      </c>
      <c r="DC26" s="2">
        <f>INDEX($B$33:$AA$80,MATCH(DC$4,$A$33:$A$80,0),MATCH($CZ26,$B$32:$AA$32,0))</f>
        <v>0</v>
      </c>
      <c r="DD26" s="2">
        <f>INDEX($B$33:$AA$80,MATCH(DD$4,$A$33:$A$80,0),MATCH($CZ26,$B$32:$AA$32,0))</f>
        <v>0</v>
      </c>
      <c r="DE26" s="2">
        <f>INDEX($B$33:$AA$80,MATCH(DE$4,$A$33:$A$80,0),MATCH($CZ26,$B$32:$AA$32,0))</f>
        <v>0</v>
      </c>
      <c r="DF26" s="2">
        <f>INDEX($B$33:$AA$80,MATCH(DF$4,$A$33:$A$80,0),MATCH($CZ26,$B$32:$AA$32,0))</f>
        <v>0</v>
      </c>
      <c r="DG26" s="2">
        <f>INDEX($B$33:$AA$80,MATCH(DG$4,$A$33:$A$80,0),MATCH($CZ26,$B$32:$AA$32,0))</f>
        <v>0</v>
      </c>
      <c r="DH26" s="2">
        <f>INDEX($B$33:$AA$80,MATCH(DH$4,$A$33:$A$80,0),MATCH($CZ26,$B$32:$AA$32,0))</f>
        <v>0</v>
      </c>
      <c r="DI26" s="2">
        <f>INDEX($B$33:$AA$80,MATCH(DI$4,$A$33:$A$80,0),MATCH($CZ26,$B$32:$AA$32,0))</f>
        <v>0</v>
      </c>
      <c r="DJ26" s="2">
        <f>INDEX($B$33:$AA$80,MATCH(DJ$4,$A$33:$A$80,0),MATCH($CZ26,$B$32:$AA$32,0))</f>
        <v>0</v>
      </c>
      <c r="DK26" s="2">
        <f>INDEX($B$33:$AA$80,MATCH(DK$4,$A$33:$A$80,0),MATCH($CZ26,$B$32:$AA$32,0))</f>
        <v>0</v>
      </c>
      <c r="DL26" s="2">
        <f>INDEX($B$33:$AA$80,MATCH(DL$4,$A$33:$A$80,0),MATCH($CZ26,$B$32:$AA$32,0))</f>
        <v>0</v>
      </c>
      <c r="DM26" s="2">
        <f>INDEX($B$33:$AA$80,MATCH(DM$4,$A$33:$A$80,0),MATCH($CZ26,$B$32:$AA$32,0))</f>
        <v>0</v>
      </c>
      <c r="DN26" s="2">
        <f>INDEX($B$33:$AA$80,MATCH(DN$4,$A$33:$A$80,0),MATCH($CZ26,$B$32:$AA$32,0))</f>
        <v>0</v>
      </c>
      <c r="DO26" s="2">
        <f>INDEX($B$33:$AA$80,MATCH(DO$4,$A$33:$A$80,0),MATCH($CZ26,$B$32:$AA$32,0))</f>
        <v>0</v>
      </c>
      <c r="DP26" s="2">
        <f>INDEX($B$33:$AA$80,MATCH(DP$4,$A$33:$A$80,0),MATCH($CZ26,$B$32:$AA$32,0))</f>
        <v>0</v>
      </c>
      <c r="DQ26" s="2">
        <f>INDEX($B$33:$AA$80,MATCH(DQ$4,$A$33:$A$80,0),MATCH($CZ26,$B$32:$AA$32,0))</f>
        <v>0</v>
      </c>
      <c r="DR26" s="2">
        <f>INDEX($B$33:$AA$80,MATCH(DR$4,$A$33:$A$80,0),MATCH($CZ26,$B$32:$AA$32,0))</f>
        <v>0</v>
      </c>
      <c r="DS26" s="2">
        <f>INDEX($B$33:$AA$80,MATCH(DS$4,$A$33:$A$80,0),MATCH($CZ26,$B$32:$AA$32,0))</f>
        <v>0</v>
      </c>
      <c r="DT26" s="2">
        <f>INDEX($B$33:$AA$80,MATCH(DT$4,$A$33:$A$80,0),MATCH($CZ26,$B$32:$AA$32,0))</f>
        <v>0</v>
      </c>
      <c r="DU26" s="2">
        <f>INDEX($B$33:$AA$80,MATCH(DU$4,$A$33:$A$80,0),MATCH($CZ26,$B$32:$AA$32,0))</f>
        <v>0</v>
      </c>
      <c r="DV26" s="2">
        <f>INDEX($B$33:$AA$80,MATCH(DV$4,$A$33:$A$80,0),MATCH($CZ26,$B$32:$AA$32,0))</f>
        <v>0</v>
      </c>
      <c r="DW26" s="2">
        <f>INDEX($B$33:$AA$80,MATCH(DW$4,$A$33:$A$80,0),MATCH($CZ26,$B$32:$AA$32,0))</f>
        <v>0</v>
      </c>
      <c r="DX26" s="2">
        <f>INDEX($B$33:$AA$80,MATCH(DX$4,$A$33:$A$80,0),MATCH($CZ26,$B$32:$AA$32,0))</f>
        <v>0</v>
      </c>
      <c r="DY26" s="2">
        <f>INDEX($B$33:$AA$80,MATCH(DY$4,$A$33:$A$80,0),MATCH($CZ26,$B$32:$AA$32,0))</f>
        <v>0</v>
      </c>
      <c r="DZ26" s="2">
        <f>INDEX($B$33:$AA$80,MATCH(DZ$4,$A$33:$A$80,0),MATCH($CZ26,$B$32:$AA$32,0))</f>
        <v>0</v>
      </c>
      <c r="EA26" s="2">
        <f>INDEX($B$33:$AA$80,MATCH(EA$4,$A$33:$A$80,0),MATCH($CZ26,$B$32:$AA$32,0))</f>
        <v>0</v>
      </c>
      <c r="EB26" s="2">
        <f>INDEX($B$33:$AA$80,MATCH(EB$4,$A$33:$A$80,0),MATCH($CZ26,$B$32:$AA$32,0))</f>
        <v>0</v>
      </c>
      <c r="EC26" s="2">
        <f>INDEX($B$33:$AA$80,MATCH(EC$4,$A$33:$A$80,0),MATCH($CZ26,$B$32:$AA$32,0))</f>
        <v>0</v>
      </c>
      <c r="ED26" s="2">
        <f>INDEX($B$33:$AA$80,MATCH(ED$4,$A$33:$A$80,0),MATCH($CZ26,$B$32:$AA$32,0))</f>
        <v>0</v>
      </c>
      <c r="EE26" s="2">
        <f>INDEX($B$33:$AA$80,MATCH(EE$4,$A$33:$A$80,0),MATCH($CZ26,$B$32:$AA$32,0))</f>
        <v>0</v>
      </c>
      <c r="EF26" s="2">
        <f>INDEX($B$33:$AA$80,MATCH(EF$4,$A$33:$A$80,0),MATCH($CZ26,$B$32:$AA$32,0))</f>
        <v>0.5</v>
      </c>
      <c r="EG26" s="2">
        <f>INDEX($B$33:$AA$80,MATCH(EG$4,$A$33:$A$80,0),MATCH($CZ26,$B$32:$AA$32,0))</f>
        <v>1</v>
      </c>
      <c r="EH26" s="2">
        <f>INDEX($B$33:$AA$80,MATCH(EH$4,$A$33:$A$80,0),MATCH($CZ26,$B$32:$AA$32,0))</f>
        <v>1</v>
      </c>
      <c r="EI26" s="2">
        <f>INDEX($B$33:$AA$80,MATCH(EI$4,$A$33:$A$80,0),MATCH($CZ26,$B$32:$AA$32,0))</f>
        <v>0</v>
      </c>
      <c r="EJ26" s="2">
        <f>INDEX($B$33:$AA$80,MATCH(EJ$4,$A$33:$A$80,0),MATCH($CZ26,$B$32:$AA$32,0))</f>
        <v>1</v>
      </c>
      <c r="EK26" s="2">
        <f>INDEX($B$33:$AA$80,MATCH(EK$4,$A$33:$A$80,0),MATCH($CZ26,$B$32:$AA$32,0))</f>
        <v>0</v>
      </c>
      <c r="EL26" s="2">
        <f>INDEX($B$33:$AA$80,MATCH(EL$4,$A$33:$A$80,0),MATCH($CZ26,$B$32:$AA$32,0))</f>
        <v>0</v>
      </c>
      <c r="EM26" s="2">
        <f>INDEX($B$33:$AA$80,MATCH(EM$4,$A$33:$A$80,0),MATCH($CZ26,$B$32:$AA$32,0))</f>
        <v>0</v>
      </c>
      <c r="EN26" s="2">
        <f>INDEX($B$33:$AA$80,MATCH(EN$4,$A$33:$A$80,0),MATCH($CZ26,$B$32:$AA$32,0))</f>
        <v>0</v>
      </c>
      <c r="EO26" s="2">
        <f>INDEX($B$33:$AA$80,MATCH(EO$4,$A$33:$A$80,0),MATCH($CZ26,$B$32:$AA$32,0))</f>
        <v>0</v>
      </c>
      <c r="EP26" s="2">
        <f>INDEX($B$33:$AA$80,MATCH(EP$4,$A$33:$A$80,0),MATCH($CZ26,$B$32:$AA$32,0))</f>
        <v>0</v>
      </c>
      <c r="EQ26" s="2">
        <f>INDEX($B$33:$AA$80,MATCH(EQ$4,$A$33:$A$80,0),MATCH($CZ26,$B$32:$AA$32,0))</f>
        <v>1</v>
      </c>
      <c r="ER26" s="2">
        <f>INDEX($B$33:$AA$80,MATCH(ER$4,$A$33:$A$80,0),MATCH($CZ26,$B$32:$AA$32,0))</f>
        <v>0</v>
      </c>
      <c r="ES26" s="2">
        <f>INDEX($B$33:$AA$80,MATCH(ES$4,$A$33:$A$80,0),MATCH($CZ26,$B$32:$AA$32,0))</f>
        <v>0</v>
      </c>
      <c r="ET26" s="2">
        <f>INDEX($B$33:$AA$80,MATCH(ET$4,$A$33:$A$80,0),MATCH($CZ26,$B$32:$AA$32,0))</f>
        <v>0</v>
      </c>
      <c r="EU26" s="2">
        <f>INDEX($B$33:$AA$80,MATCH(EU$4,$A$33:$A$80,0),MATCH($CZ26,$B$32:$AA$32,0))</f>
        <v>0</v>
      </c>
      <c r="EV26" s="2">
        <f>INDEX($B$33:$AA$80,MATCH(EV$4,$A$33:$A$80,0),MATCH($CZ26,$B$32:$AA$32,0))</f>
        <v>0</v>
      </c>
    </row>
    <row r="27" spans="1:152">
      <c r="A27" s="2" t="str">
        <f>EMBELISHMENT!A25</f>
        <v>Button Attach</v>
      </c>
      <c r="B27" s="293" t="s">
        <v>176</v>
      </c>
      <c r="C27" s="2">
        <f>IFERROR(INDEX('MC MASTER'!$C$3:$C$28,MATCH($B27,'MC MASTER'!$B$3:$B$28,0)),"** NOT A GROUP **")</f>
        <v>1</v>
      </c>
      <c r="K27" s="295"/>
      <c r="L27" s="295"/>
      <c r="M27" s="295"/>
      <c r="BA27" s="268" t="str">
        <f>INDEX('MC MASTER'!$B$3:$B$28,23)</f>
        <v>Button Attach</v>
      </c>
      <c r="BU27" s="2">
        <f>SUM($DA27:$EV27)</f>
        <v>2.5</v>
      </c>
      <c r="BV27" s="2" t="str">
        <f>IF($BU27=0,"NEVER USED BY ANY STYLE","used")</f>
        <v>used</v>
      </c>
      <c r="BW27" s="269" t="str">
        <f>'MC MASTER'!$B25</f>
        <v>Button Attach</v>
      </c>
      <c r="BX27" s="269" t="str">
        <f>'MC MASTER'!$A25</f>
        <v>BA</v>
      </c>
      <c r="CZ27" s="2" cm="1" t="str">
        <f t="array" ref="CZ27">INDEX('MC MASTER'!$B$3:$B$28,ROW()-4)</f>
        <v>Button Attach</v>
      </c>
      <c r="DA27" s="2">
        <f>INDEX($B$33:$AA$80,MATCH(DA$4,$A$33:$A$80,0),MATCH($CZ27,$B$32:$AA$32,0))</f>
        <v>0</v>
      </c>
      <c r="DB27" s="2">
        <f>INDEX($B$33:$AA$80,MATCH(DB$4,$A$33:$A$80,0),MATCH($CZ27,$B$32:$AA$32,0))</f>
        <v>0</v>
      </c>
      <c r="DC27" s="2">
        <f>INDEX($B$33:$AA$80,MATCH(DC$4,$A$33:$A$80,0),MATCH($CZ27,$B$32:$AA$32,0))</f>
        <v>0</v>
      </c>
      <c r="DD27" s="2">
        <f>INDEX($B$33:$AA$80,MATCH(DD$4,$A$33:$A$80,0),MATCH($CZ27,$B$32:$AA$32,0))</f>
        <v>0</v>
      </c>
      <c r="DE27" s="2">
        <f>INDEX($B$33:$AA$80,MATCH(DE$4,$A$33:$A$80,0),MATCH($CZ27,$B$32:$AA$32,0))</f>
        <v>0</v>
      </c>
      <c r="DF27" s="2">
        <f>INDEX($B$33:$AA$80,MATCH(DF$4,$A$33:$A$80,0),MATCH($CZ27,$B$32:$AA$32,0))</f>
        <v>0</v>
      </c>
      <c r="DG27" s="2">
        <f>INDEX($B$33:$AA$80,MATCH(DG$4,$A$33:$A$80,0),MATCH($CZ27,$B$32:$AA$32,0))</f>
        <v>0</v>
      </c>
      <c r="DH27" s="2">
        <f>INDEX($B$33:$AA$80,MATCH(DH$4,$A$33:$A$80,0),MATCH($CZ27,$B$32:$AA$32,0))</f>
        <v>0</v>
      </c>
      <c r="DI27" s="2">
        <f>INDEX($B$33:$AA$80,MATCH(DI$4,$A$33:$A$80,0),MATCH($CZ27,$B$32:$AA$32,0))</f>
        <v>0</v>
      </c>
      <c r="DJ27" s="2">
        <f>INDEX($B$33:$AA$80,MATCH(DJ$4,$A$33:$A$80,0),MATCH($CZ27,$B$32:$AA$32,0))</f>
        <v>0</v>
      </c>
      <c r="DK27" s="2">
        <f>INDEX($B$33:$AA$80,MATCH(DK$4,$A$33:$A$80,0),MATCH($CZ27,$B$32:$AA$32,0))</f>
        <v>0</v>
      </c>
      <c r="DL27" s="2">
        <f>INDEX($B$33:$AA$80,MATCH(DL$4,$A$33:$A$80,0),MATCH($CZ27,$B$32:$AA$32,0))</f>
        <v>0</v>
      </c>
      <c r="DM27" s="2">
        <f>INDEX($B$33:$AA$80,MATCH(DM$4,$A$33:$A$80,0),MATCH($CZ27,$B$32:$AA$32,0))</f>
        <v>0</v>
      </c>
      <c r="DN27" s="2">
        <f>INDEX($B$33:$AA$80,MATCH(DN$4,$A$33:$A$80,0),MATCH($CZ27,$B$32:$AA$32,0))</f>
        <v>0</v>
      </c>
      <c r="DO27" s="2">
        <f>INDEX($B$33:$AA$80,MATCH(DO$4,$A$33:$A$80,0),MATCH($CZ27,$B$32:$AA$32,0))</f>
        <v>0</v>
      </c>
      <c r="DP27" s="2">
        <f>INDEX($B$33:$AA$80,MATCH(DP$4,$A$33:$A$80,0),MATCH($CZ27,$B$32:$AA$32,0))</f>
        <v>0</v>
      </c>
      <c r="DQ27" s="2">
        <f>INDEX($B$33:$AA$80,MATCH(DQ$4,$A$33:$A$80,0),MATCH($CZ27,$B$32:$AA$32,0))</f>
        <v>0</v>
      </c>
      <c r="DR27" s="2">
        <f>INDEX($B$33:$AA$80,MATCH(DR$4,$A$33:$A$80,0),MATCH($CZ27,$B$32:$AA$32,0))</f>
        <v>0</v>
      </c>
      <c r="DS27" s="2">
        <f>INDEX($B$33:$AA$80,MATCH(DS$4,$A$33:$A$80,0),MATCH($CZ27,$B$32:$AA$32,0))</f>
        <v>0</v>
      </c>
      <c r="DT27" s="2">
        <f>INDEX($B$33:$AA$80,MATCH(DT$4,$A$33:$A$80,0),MATCH($CZ27,$B$32:$AA$32,0))</f>
        <v>0</v>
      </c>
      <c r="DU27" s="2">
        <f>INDEX($B$33:$AA$80,MATCH(DU$4,$A$33:$A$80,0),MATCH($CZ27,$B$32:$AA$32,0))</f>
        <v>0</v>
      </c>
      <c r="DV27" s="2">
        <f>INDEX($B$33:$AA$80,MATCH(DV$4,$A$33:$A$80,0),MATCH($CZ27,$B$32:$AA$32,0))</f>
        <v>0</v>
      </c>
      <c r="DW27" s="2">
        <f>INDEX($B$33:$AA$80,MATCH(DW$4,$A$33:$A$80,0),MATCH($CZ27,$B$32:$AA$32,0))</f>
        <v>0</v>
      </c>
      <c r="DX27" s="2">
        <f>INDEX($B$33:$AA$80,MATCH(DX$4,$A$33:$A$80,0),MATCH($CZ27,$B$32:$AA$32,0))</f>
        <v>0</v>
      </c>
      <c r="DY27" s="2">
        <f>INDEX($B$33:$AA$80,MATCH(DY$4,$A$33:$A$80,0),MATCH($CZ27,$B$32:$AA$32,0))</f>
        <v>0</v>
      </c>
      <c r="DZ27" s="2">
        <f>INDEX($B$33:$AA$80,MATCH(DZ$4,$A$33:$A$80,0),MATCH($CZ27,$B$32:$AA$32,0))</f>
        <v>0</v>
      </c>
      <c r="EA27" s="2">
        <f>INDEX($B$33:$AA$80,MATCH(EA$4,$A$33:$A$80,0),MATCH($CZ27,$B$32:$AA$32,0))</f>
        <v>0</v>
      </c>
      <c r="EB27" s="2">
        <f>INDEX($B$33:$AA$80,MATCH(EB$4,$A$33:$A$80,0),MATCH($CZ27,$B$32:$AA$32,0))</f>
        <v>0</v>
      </c>
      <c r="EC27" s="2">
        <f>INDEX($B$33:$AA$80,MATCH(EC$4,$A$33:$A$80,0),MATCH($CZ27,$B$32:$AA$32,0))</f>
        <v>0</v>
      </c>
      <c r="ED27" s="2">
        <f>INDEX($B$33:$AA$80,MATCH(ED$4,$A$33:$A$80,0),MATCH($CZ27,$B$32:$AA$32,0))</f>
        <v>0</v>
      </c>
      <c r="EE27" s="2">
        <f>INDEX($B$33:$AA$80,MATCH(EE$4,$A$33:$A$80,0),MATCH($CZ27,$B$32:$AA$32,0))</f>
        <v>0</v>
      </c>
      <c r="EF27" s="2">
        <f>INDEX($B$33:$AA$80,MATCH(EF$4,$A$33:$A$80,0),MATCH($CZ27,$B$32:$AA$32,0))</f>
        <v>0.5</v>
      </c>
      <c r="EG27" s="2">
        <f>INDEX($B$33:$AA$80,MATCH(EG$4,$A$33:$A$80,0),MATCH($CZ27,$B$32:$AA$32,0))</f>
        <v>1</v>
      </c>
      <c r="EH27" s="2">
        <f>INDEX($B$33:$AA$80,MATCH(EH$4,$A$33:$A$80,0),MATCH($CZ27,$B$32:$AA$32,0))</f>
        <v>0</v>
      </c>
      <c r="EI27" s="2">
        <f>INDEX($B$33:$AA$80,MATCH(EI$4,$A$33:$A$80,0),MATCH($CZ27,$B$32:$AA$32,0))</f>
        <v>0</v>
      </c>
      <c r="EJ27" s="2">
        <f>INDEX($B$33:$AA$80,MATCH(EJ$4,$A$33:$A$80,0),MATCH($CZ27,$B$32:$AA$32,0))</f>
        <v>0</v>
      </c>
      <c r="EK27" s="2">
        <f>INDEX($B$33:$AA$80,MATCH(EK$4,$A$33:$A$80,0),MATCH($CZ27,$B$32:$AA$32,0))</f>
        <v>0</v>
      </c>
      <c r="EL27" s="2">
        <f>INDEX($B$33:$AA$80,MATCH(EL$4,$A$33:$A$80,0),MATCH($CZ27,$B$32:$AA$32,0))</f>
        <v>0</v>
      </c>
      <c r="EM27" s="2">
        <f>INDEX($B$33:$AA$80,MATCH(EM$4,$A$33:$A$80,0),MATCH($CZ27,$B$32:$AA$32,0))</f>
        <v>0</v>
      </c>
      <c r="EN27" s="2">
        <f>INDEX($B$33:$AA$80,MATCH(EN$4,$A$33:$A$80,0),MATCH($CZ27,$B$32:$AA$32,0))</f>
        <v>0</v>
      </c>
      <c r="EO27" s="2">
        <f>INDEX($B$33:$AA$80,MATCH(EO$4,$A$33:$A$80,0),MATCH($CZ27,$B$32:$AA$32,0))</f>
        <v>0</v>
      </c>
      <c r="EP27" s="2">
        <f>INDEX($B$33:$AA$80,MATCH(EP$4,$A$33:$A$80,0),MATCH($CZ27,$B$32:$AA$32,0))</f>
        <v>0</v>
      </c>
      <c r="EQ27" s="2">
        <f>INDEX($B$33:$AA$80,MATCH(EQ$4,$A$33:$A$80,0),MATCH($CZ27,$B$32:$AA$32,0))</f>
        <v>1</v>
      </c>
      <c r="ER27" s="2">
        <f>INDEX($B$33:$AA$80,MATCH(ER$4,$A$33:$A$80,0),MATCH($CZ27,$B$32:$AA$32,0))</f>
        <v>0</v>
      </c>
      <c r="ES27" s="2">
        <f>INDEX($B$33:$AA$80,MATCH(ES$4,$A$33:$A$80,0),MATCH($CZ27,$B$32:$AA$32,0))</f>
        <v>0</v>
      </c>
      <c r="ET27" s="2">
        <f>INDEX($B$33:$AA$80,MATCH(ET$4,$A$33:$A$80,0),MATCH($CZ27,$B$32:$AA$32,0))</f>
        <v>0</v>
      </c>
      <c r="EU27" s="2">
        <f>INDEX($B$33:$AA$80,MATCH(EU$4,$A$33:$A$80,0),MATCH($CZ27,$B$32:$AA$32,0))</f>
        <v>0</v>
      </c>
      <c r="EV27" s="2">
        <f>INDEX($B$33:$AA$80,MATCH(EV$4,$A$33:$A$80,0),MATCH($CZ27,$B$32:$AA$32,0))</f>
        <v>0</v>
      </c>
    </row>
    <row r="28" spans="1:152">
      <c r="A28" s="2" t="str">
        <f>EMBELISHMENT!A26</f>
        <v>Bartack</v>
      </c>
      <c r="B28" s="293" t="s">
        <v>445</v>
      </c>
      <c r="C28" s="2">
        <f>IFERROR(INDEX('MC MASTER'!$C$3:$C$28,MATCH($B28,'MC MASTER'!$B$3:$B$28,0)),"** NOT A GROUP **")</f>
        <v>13</v>
      </c>
      <c r="K28" s="295"/>
      <c r="L28" s="295"/>
      <c r="M28" s="295"/>
      <c r="BA28" s="268" t="str">
        <f>INDEX('MC MASTER'!$B$3:$B$28,24)</f>
        <v>Bartack</v>
      </c>
      <c r="BU28" s="2">
        <f>SUM($DA28:$EV28)</f>
        <v>15</v>
      </c>
      <c r="BV28" s="2" t="str">
        <f>IF($BU28=0,"NEVER USED BY ANY STYLE","used")</f>
        <v>used</v>
      </c>
      <c r="BW28" s="269" t="str">
        <f>'MC MASTER'!$B26</f>
        <v>Bartack</v>
      </c>
      <c r="BX28" s="269" t="str">
        <f>'MC MASTER'!$A26</f>
        <v>BTK</v>
      </c>
      <c r="CZ28" s="2" cm="1" t="str">
        <f t="array" ref="CZ28">INDEX('MC MASTER'!$B$3:$B$28,ROW()-4)</f>
        <v>Bartack</v>
      </c>
      <c r="DA28" s="2">
        <f>INDEX($B$33:$AA$80,MATCH(DA$4,$A$33:$A$80,0),MATCH($CZ28,$B$32:$AA$32,0))</f>
        <v>1</v>
      </c>
      <c r="DB28" s="2">
        <f>INDEX($B$33:$AA$80,MATCH(DB$4,$A$33:$A$80,0),MATCH($CZ28,$B$32:$AA$32,0))</f>
        <v>1</v>
      </c>
      <c r="DC28" s="2">
        <f>INDEX($B$33:$AA$80,MATCH(DC$4,$A$33:$A$80,0),MATCH($CZ28,$B$32:$AA$32,0))</f>
        <v>0</v>
      </c>
      <c r="DD28" s="2">
        <f>INDEX($B$33:$AA$80,MATCH(DD$4,$A$33:$A$80,0),MATCH($CZ28,$B$32:$AA$32,0))</f>
        <v>0</v>
      </c>
      <c r="DE28" s="2">
        <f>INDEX($B$33:$AA$80,MATCH(DE$4,$A$33:$A$80,0),MATCH($CZ28,$B$32:$AA$32,0))</f>
        <v>0</v>
      </c>
      <c r="DF28" s="2">
        <f>INDEX($B$33:$AA$80,MATCH(DF$4,$A$33:$A$80,0),MATCH($CZ28,$B$32:$AA$32,0))</f>
        <v>0</v>
      </c>
      <c r="DG28" s="2">
        <f>INDEX($B$33:$AA$80,MATCH(DG$4,$A$33:$A$80,0),MATCH($CZ28,$B$32:$AA$32,0))</f>
        <v>0</v>
      </c>
      <c r="DH28" s="2">
        <f>INDEX($B$33:$AA$80,MATCH(DH$4,$A$33:$A$80,0),MATCH($CZ28,$B$32:$AA$32,0))</f>
        <v>1.5</v>
      </c>
      <c r="DI28" s="2">
        <f>INDEX($B$33:$AA$80,MATCH(DI$4,$A$33:$A$80,0),MATCH($CZ28,$B$32:$AA$32,0))</f>
        <v>0</v>
      </c>
      <c r="DJ28" s="2">
        <f>INDEX($B$33:$AA$80,MATCH(DJ$4,$A$33:$A$80,0),MATCH($CZ28,$B$32:$AA$32,0))</f>
        <v>0</v>
      </c>
      <c r="DK28" s="2">
        <f>INDEX($B$33:$AA$80,MATCH(DK$4,$A$33:$A$80,0),MATCH($CZ28,$B$32:$AA$32,0))</f>
        <v>0</v>
      </c>
      <c r="DL28" s="2">
        <f>INDEX($B$33:$AA$80,MATCH(DL$4,$A$33:$A$80,0),MATCH($CZ28,$B$32:$AA$32,0))</f>
        <v>0</v>
      </c>
      <c r="DM28" s="2">
        <f>INDEX($B$33:$AA$80,MATCH(DM$4,$A$33:$A$80,0),MATCH($CZ28,$B$32:$AA$32,0))</f>
        <v>0</v>
      </c>
      <c r="DN28" s="2">
        <f>INDEX($B$33:$AA$80,MATCH(DN$4,$A$33:$A$80,0),MATCH($CZ28,$B$32:$AA$32,0))</f>
        <v>0</v>
      </c>
      <c r="DO28" s="2">
        <f>INDEX($B$33:$AA$80,MATCH(DO$4,$A$33:$A$80,0),MATCH($CZ28,$B$32:$AA$32,0))</f>
        <v>0</v>
      </c>
      <c r="DP28" s="2">
        <f>INDEX($B$33:$AA$80,MATCH(DP$4,$A$33:$A$80,0),MATCH($CZ28,$B$32:$AA$32,0))</f>
        <v>0</v>
      </c>
      <c r="DQ28" s="2">
        <f>INDEX($B$33:$AA$80,MATCH(DQ$4,$A$33:$A$80,0),MATCH($CZ28,$B$32:$AA$32,0))</f>
        <v>1</v>
      </c>
      <c r="DR28" s="2">
        <f>INDEX($B$33:$AA$80,MATCH(DR$4,$A$33:$A$80,0),MATCH($CZ28,$B$32:$AA$32,0))</f>
        <v>1</v>
      </c>
      <c r="DS28" s="2">
        <f>INDEX($B$33:$AA$80,MATCH(DS$4,$A$33:$A$80,0),MATCH($CZ28,$B$32:$AA$32,0))</f>
        <v>1</v>
      </c>
      <c r="DT28" s="2">
        <f>INDEX($B$33:$AA$80,MATCH(DT$4,$A$33:$A$80,0),MATCH($CZ28,$B$32:$AA$32,0))</f>
        <v>0</v>
      </c>
      <c r="DU28" s="2">
        <f>INDEX($B$33:$AA$80,MATCH(DU$4,$A$33:$A$80,0),MATCH($CZ28,$B$32:$AA$32,0))</f>
        <v>0</v>
      </c>
      <c r="DV28" s="2">
        <f>INDEX($B$33:$AA$80,MATCH(DV$4,$A$33:$A$80,0),MATCH($CZ28,$B$32:$AA$32,0))</f>
        <v>0</v>
      </c>
      <c r="DW28" s="2">
        <f>INDEX($B$33:$AA$80,MATCH(DW$4,$A$33:$A$80,0),MATCH($CZ28,$B$32:$AA$32,0))</f>
        <v>0</v>
      </c>
      <c r="DX28" s="2">
        <f>INDEX($B$33:$AA$80,MATCH(DX$4,$A$33:$A$80,0),MATCH($CZ28,$B$32:$AA$32,0))</f>
        <v>0</v>
      </c>
      <c r="DY28" s="2">
        <f>INDEX($B$33:$AA$80,MATCH(DY$4,$A$33:$A$80,0),MATCH($CZ28,$B$32:$AA$32,0))</f>
        <v>0</v>
      </c>
      <c r="DZ28" s="2">
        <f>INDEX($B$33:$AA$80,MATCH(DZ$4,$A$33:$A$80,0),MATCH($CZ28,$B$32:$AA$32,0))</f>
        <v>0</v>
      </c>
      <c r="EA28" s="2">
        <f>INDEX($B$33:$AA$80,MATCH(EA$4,$A$33:$A$80,0),MATCH($CZ28,$B$32:$AA$32,0))</f>
        <v>0</v>
      </c>
      <c r="EB28" s="2">
        <f>INDEX($B$33:$AA$80,MATCH(EB$4,$A$33:$A$80,0),MATCH($CZ28,$B$32:$AA$32,0))</f>
        <v>1.5</v>
      </c>
      <c r="EC28" s="2">
        <f>INDEX($B$33:$AA$80,MATCH(EC$4,$A$33:$A$80,0),MATCH($CZ28,$B$32:$AA$32,0))</f>
        <v>0</v>
      </c>
      <c r="ED28" s="2">
        <f>INDEX($B$33:$AA$80,MATCH(ED$4,$A$33:$A$80,0),MATCH($CZ28,$B$32:$AA$32,0))</f>
        <v>0</v>
      </c>
      <c r="EE28" s="2">
        <f>INDEX($B$33:$AA$80,MATCH(EE$4,$A$33:$A$80,0),MATCH($CZ28,$B$32:$AA$32,0))</f>
        <v>0</v>
      </c>
      <c r="EF28" s="2">
        <f>INDEX($B$33:$AA$80,MATCH(EF$4,$A$33:$A$80,0),MATCH($CZ28,$B$32:$AA$32,0))</f>
        <v>0</v>
      </c>
      <c r="EG28" s="2">
        <f>INDEX($B$33:$AA$80,MATCH(EG$4,$A$33:$A$80,0),MATCH($CZ28,$B$32:$AA$32,0))</f>
        <v>0</v>
      </c>
      <c r="EH28" s="2">
        <f>INDEX($B$33:$AA$80,MATCH(EH$4,$A$33:$A$80,0),MATCH($CZ28,$B$32:$AA$32,0))</f>
        <v>1</v>
      </c>
      <c r="EI28" s="2">
        <f>INDEX($B$33:$AA$80,MATCH(EI$4,$A$33:$A$80,0),MATCH($CZ28,$B$32:$AA$32,0))</f>
        <v>0</v>
      </c>
      <c r="EJ28" s="2">
        <f>INDEX($B$33:$AA$80,MATCH(EJ$4,$A$33:$A$80,0),MATCH($CZ28,$B$32:$AA$32,0))</f>
        <v>1</v>
      </c>
      <c r="EK28" s="2">
        <f>INDEX($B$33:$AA$80,MATCH(EK$4,$A$33:$A$80,0),MATCH($CZ28,$B$32:$AA$32,0))</f>
        <v>0</v>
      </c>
      <c r="EL28" s="2">
        <f>INDEX($B$33:$AA$80,MATCH(EL$4,$A$33:$A$80,0),MATCH($CZ28,$B$32:$AA$32,0))</f>
        <v>0</v>
      </c>
      <c r="EM28" s="2">
        <f>INDEX($B$33:$AA$80,MATCH(EM$4,$A$33:$A$80,0),MATCH($CZ28,$B$32:$AA$32,0))</f>
        <v>0</v>
      </c>
      <c r="EN28" s="2">
        <f>INDEX($B$33:$AA$80,MATCH(EN$4,$A$33:$A$80,0),MATCH($CZ28,$B$32:$AA$32,0))</f>
        <v>0</v>
      </c>
      <c r="EO28" s="2">
        <f>INDEX($B$33:$AA$80,MATCH(EO$4,$A$33:$A$80,0),MATCH($CZ28,$B$32:$AA$32,0))</f>
        <v>0</v>
      </c>
      <c r="EP28" s="2">
        <f>INDEX($B$33:$AA$80,MATCH(EP$4,$A$33:$A$80,0),MATCH($CZ28,$B$32:$AA$32,0))</f>
        <v>1</v>
      </c>
      <c r="EQ28" s="2">
        <f>INDEX($B$33:$AA$80,MATCH(EQ$4,$A$33:$A$80,0),MATCH($CZ28,$B$32:$AA$32,0))</f>
        <v>1</v>
      </c>
      <c r="ER28" s="2">
        <f>INDEX($B$33:$AA$80,MATCH(ER$4,$A$33:$A$80,0),MATCH($CZ28,$B$32:$AA$32,0))</f>
        <v>1</v>
      </c>
      <c r="ES28" s="2">
        <f>INDEX($B$33:$AA$80,MATCH(ES$4,$A$33:$A$80,0),MATCH($CZ28,$B$32:$AA$32,0))</f>
        <v>1</v>
      </c>
      <c r="ET28" s="2">
        <f>INDEX($B$33:$AA$80,MATCH(ET$4,$A$33:$A$80,0),MATCH($CZ28,$B$32:$AA$32,0))</f>
        <v>1</v>
      </c>
      <c r="EU28" s="2">
        <f>INDEX($B$33:$AA$80,MATCH(EU$4,$A$33:$A$80,0),MATCH($CZ28,$B$32:$AA$32,0))</f>
        <v>0</v>
      </c>
      <c r="EV28" s="2">
        <f>INDEX($B$33:$AA$80,MATCH(EV$4,$A$33:$A$80,0),MATCH($CZ28,$B$32:$AA$32,0))</f>
        <v>0</v>
      </c>
    </row>
    <row r="29" spans="1:152">
      <c r="A29" s="2" t="str">
        <f>EMBELISHMENT!A27</f>
        <v>Bartack Pattern tacker</v>
      </c>
      <c r="B29" s="293" t="s">
        <v>446</v>
      </c>
      <c r="C29" s="2">
        <f>IFERROR(INDEX('MC MASTER'!$C$3:$C$28,MATCH($B29,'MC MASTER'!$B$3:$B$28,0)),"** NOT A GROUP **")</f>
        <v>35</v>
      </c>
      <c r="BA29" s="268" t="str">
        <f>INDEX('MC MASTER'!$B$3:$B$28,25)</f>
        <v>Bartack Pattern tacker (LABEL ATTACH )</v>
      </c>
      <c r="BU29" s="2">
        <f>SUM($DA29:$EV29)</f>
        <v>0</v>
      </c>
      <c r="BV29" s="2" t="str">
        <f>IF($BU29=0,"NEVER USED BY ANY STYLE","used")</f>
        <v>NEVER USED BY ANY STYLE</v>
      </c>
      <c r="BW29" s="269" t="str">
        <f>'MC MASTER'!$B27</f>
        <v>Bartack Pattern tacker (LABEL ATTACH )</v>
      </c>
      <c r="BX29" s="269" t="str">
        <f>'MC MASTER'!$A27</f>
        <v>PATTERN-TACKER</v>
      </c>
      <c r="CZ29" s="2" cm="1" t="str">
        <f t="array" ref="CZ29">INDEX('MC MASTER'!$B$3:$B$28,ROW()-4)</f>
        <v>Bartack Pattern tacker (LABEL ATTACH )</v>
      </c>
      <c r="DA29" s="2">
        <f>INDEX($B$33:$AA$80,MATCH(DA$4,$A$33:$A$80,0),MATCH($CZ29,$B$32:$AA$32,0))</f>
        <v>0</v>
      </c>
      <c r="DB29" s="2">
        <f>INDEX($B$33:$AA$80,MATCH(DB$4,$A$33:$A$80,0),MATCH($CZ29,$B$32:$AA$32,0))</f>
        <v>0</v>
      </c>
      <c r="DC29" s="2">
        <f>INDEX($B$33:$AA$80,MATCH(DC$4,$A$33:$A$80,0),MATCH($CZ29,$B$32:$AA$32,0))</f>
        <v>0</v>
      </c>
      <c r="DD29" s="2">
        <f>INDEX($B$33:$AA$80,MATCH(DD$4,$A$33:$A$80,0),MATCH($CZ29,$B$32:$AA$32,0))</f>
        <v>0</v>
      </c>
      <c r="DE29" s="2">
        <f>INDEX($B$33:$AA$80,MATCH(DE$4,$A$33:$A$80,0),MATCH($CZ29,$B$32:$AA$32,0))</f>
        <v>0</v>
      </c>
      <c r="DF29" s="2">
        <f>INDEX($B$33:$AA$80,MATCH(DF$4,$A$33:$A$80,0),MATCH($CZ29,$B$32:$AA$32,0))</f>
        <v>0</v>
      </c>
      <c r="DG29" s="2">
        <f>INDEX($B$33:$AA$80,MATCH(DG$4,$A$33:$A$80,0),MATCH($CZ29,$B$32:$AA$32,0))</f>
        <v>0</v>
      </c>
      <c r="DH29" s="2">
        <f>INDEX($B$33:$AA$80,MATCH(DH$4,$A$33:$A$80,0),MATCH($CZ29,$B$32:$AA$32,0))</f>
        <v>0</v>
      </c>
      <c r="DI29" s="2">
        <f>INDEX($B$33:$AA$80,MATCH(DI$4,$A$33:$A$80,0),MATCH($CZ29,$B$32:$AA$32,0))</f>
        <v>0</v>
      </c>
      <c r="DJ29" s="2">
        <f>INDEX($B$33:$AA$80,MATCH(DJ$4,$A$33:$A$80,0),MATCH($CZ29,$B$32:$AA$32,0))</f>
        <v>0</v>
      </c>
      <c r="DK29" s="2">
        <f>INDEX($B$33:$AA$80,MATCH(DK$4,$A$33:$A$80,0),MATCH($CZ29,$B$32:$AA$32,0))</f>
        <v>0</v>
      </c>
      <c r="DL29" s="2">
        <f>INDEX($B$33:$AA$80,MATCH(DL$4,$A$33:$A$80,0),MATCH($CZ29,$B$32:$AA$32,0))</f>
        <v>0</v>
      </c>
      <c r="DM29" s="2">
        <f>INDEX($B$33:$AA$80,MATCH(DM$4,$A$33:$A$80,0),MATCH($CZ29,$B$32:$AA$32,0))</f>
        <v>0</v>
      </c>
      <c r="DN29" s="2">
        <f>INDEX($B$33:$AA$80,MATCH(DN$4,$A$33:$A$80,0),MATCH($CZ29,$B$32:$AA$32,0))</f>
        <v>0</v>
      </c>
      <c r="DO29" s="2">
        <f>INDEX($B$33:$AA$80,MATCH(DO$4,$A$33:$A$80,0),MATCH($CZ29,$B$32:$AA$32,0))</f>
        <v>0</v>
      </c>
      <c r="DP29" s="2">
        <f>INDEX($B$33:$AA$80,MATCH(DP$4,$A$33:$A$80,0),MATCH($CZ29,$B$32:$AA$32,0))</f>
        <v>0</v>
      </c>
      <c r="DQ29" s="2">
        <f>INDEX($B$33:$AA$80,MATCH(DQ$4,$A$33:$A$80,0),MATCH($CZ29,$B$32:$AA$32,0))</f>
        <v>0</v>
      </c>
      <c r="DR29" s="2">
        <f>INDEX($B$33:$AA$80,MATCH(DR$4,$A$33:$A$80,0),MATCH($CZ29,$B$32:$AA$32,0))</f>
        <v>0</v>
      </c>
      <c r="DS29" s="2">
        <f>INDEX($B$33:$AA$80,MATCH(DS$4,$A$33:$A$80,0),MATCH($CZ29,$B$32:$AA$32,0))</f>
        <v>0</v>
      </c>
      <c r="DT29" s="2">
        <f>INDEX($B$33:$AA$80,MATCH(DT$4,$A$33:$A$80,0),MATCH($CZ29,$B$32:$AA$32,0))</f>
        <v>0</v>
      </c>
      <c r="DU29" s="2">
        <f>INDEX($B$33:$AA$80,MATCH(DU$4,$A$33:$A$80,0),MATCH($CZ29,$B$32:$AA$32,0))</f>
        <v>0</v>
      </c>
      <c r="DV29" s="2">
        <f>INDEX($B$33:$AA$80,MATCH(DV$4,$A$33:$A$80,0),MATCH($CZ29,$B$32:$AA$32,0))</f>
        <v>0</v>
      </c>
      <c r="DW29" s="2">
        <f>INDEX($B$33:$AA$80,MATCH(DW$4,$A$33:$A$80,0),MATCH($CZ29,$B$32:$AA$32,0))</f>
        <v>0</v>
      </c>
      <c r="DX29" s="2">
        <f>INDEX($B$33:$AA$80,MATCH(DX$4,$A$33:$A$80,0),MATCH($CZ29,$B$32:$AA$32,0))</f>
        <v>0</v>
      </c>
      <c r="DY29" s="2">
        <f>INDEX($B$33:$AA$80,MATCH(DY$4,$A$33:$A$80,0),MATCH($CZ29,$B$32:$AA$32,0))</f>
        <v>0</v>
      </c>
      <c r="DZ29" s="2">
        <f>INDEX($B$33:$AA$80,MATCH(DZ$4,$A$33:$A$80,0),MATCH($CZ29,$B$32:$AA$32,0))</f>
        <v>0</v>
      </c>
      <c r="EA29" s="2">
        <f>INDEX($B$33:$AA$80,MATCH(EA$4,$A$33:$A$80,0),MATCH($CZ29,$B$32:$AA$32,0))</f>
        <v>0</v>
      </c>
      <c r="EB29" s="2">
        <f>INDEX($B$33:$AA$80,MATCH(EB$4,$A$33:$A$80,0),MATCH($CZ29,$B$32:$AA$32,0))</f>
        <v>0</v>
      </c>
      <c r="EC29" s="2">
        <f>INDEX($B$33:$AA$80,MATCH(EC$4,$A$33:$A$80,0),MATCH($CZ29,$B$32:$AA$32,0))</f>
        <v>0</v>
      </c>
      <c r="ED29" s="2">
        <f>INDEX($B$33:$AA$80,MATCH(ED$4,$A$33:$A$80,0),MATCH($CZ29,$B$32:$AA$32,0))</f>
        <v>0</v>
      </c>
      <c r="EE29" s="2">
        <f>INDEX($B$33:$AA$80,MATCH(EE$4,$A$33:$A$80,0),MATCH($CZ29,$B$32:$AA$32,0))</f>
        <v>0</v>
      </c>
      <c r="EF29" s="2">
        <f>INDEX($B$33:$AA$80,MATCH(EF$4,$A$33:$A$80,0),MATCH($CZ29,$B$32:$AA$32,0))</f>
        <v>0</v>
      </c>
      <c r="EG29" s="2">
        <f>INDEX($B$33:$AA$80,MATCH(EG$4,$A$33:$A$80,0),MATCH($CZ29,$B$32:$AA$32,0))</f>
        <v>0</v>
      </c>
      <c r="EH29" s="2">
        <f>INDEX($B$33:$AA$80,MATCH(EH$4,$A$33:$A$80,0),MATCH($CZ29,$B$32:$AA$32,0))</f>
        <v>0</v>
      </c>
      <c r="EI29" s="2">
        <f>INDEX($B$33:$AA$80,MATCH(EI$4,$A$33:$A$80,0),MATCH($CZ29,$B$32:$AA$32,0))</f>
        <v>0</v>
      </c>
      <c r="EJ29" s="2">
        <f>INDEX($B$33:$AA$80,MATCH(EJ$4,$A$33:$A$80,0),MATCH($CZ29,$B$32:$AA$32,0))</f>
        <v>0</v>
      </c>
      <c r="EK29" s="2">
        <f>INDEX($B$33:$AA$80,MATCH(EK$4,$A$33:$A$80,0),MATCH($CZ29,$B$32:$AA$32,0))</f>
        <v>0</v>
      </c>
      <c r="EL29" s="2">
        <f>INDEX($B$33:$AA$80,MATCH(EL$4,$A$33:$A$80,0),MATCH($CZ29,$B$32:$AA$32,0))</f>
        <v>0</v>
      </c>
      <c r="EM29" s="2">
        <f>INDEX($B$33:$AA$80,MATCH(EM$4,$A$33:$A$80,0),MATCH($CZ29,$B$32:$AA$32,0))</f>
        <v>0</v>
      </c>
      <c r="EN29" s="2">
        <f>INDEX($B$33:$AA$80,MATCH(EN$4,$A$33:$A$80,0),MATCH($CZ29,$B$32:$AA$32,0))</f>
        <v>0</v>
      </c>
      <c r="EO29" s="2">
        <f>INDEX($B$33:$AA$80,MATCH(EO$4,$A$33:$A$80,0),MATCH($CZ29,$B$32:$AA$32,0))</f>
        <v>0</v>
      </c>
      <c r="EP29" s="2">
        <f>INDEX($B$33:$AA$80,MATCH(EP$4,$A$33:$A$80,0),MATCH($CZ29,$B$32:$AA$32,0))</f>
        <v>0</v>
      </c>
      <c r="EQ29" s="2">
        <f>INDEX($B$33:$AA$80,MATCH(EQ$4,$A$33:$A$80,0),MATCH($CZ29,$B$32:$AA$32,0))</f>
        <v>0</v>
      </c>
      <c r="ER29" s="2">
        <f>INDEX($B$33:$AA$80,MATCH(ER$4,$A$33:$A$80,0),MATCH($CZ29,$B$32:$AA$32,0))</f>
        <v>0</v>
      </c>
      <c r="ES29" s="2">
        <f>INDEX($B$33:$AA$80,MATCH(ES$4,$A$33:$A$80,0),MATCH($CZ29,$B$32:$AA$32,0))</f>
        <v>0</v>
      </c>
      <c r="ET29" s="2">
        <f>INDEX($B$33:$AA$80,MATCH(ET$4,$A$33:$A$80,0),MATCH($CZ29,$B$32:$AA$32,0))</f>
        <v>0</v>
      </c>
      <c r="EU29" s="2">
        <f>INDEX($B$33:$AA$80,MATCH(EU$4,$A$33:$A$80,0),MATCH($CZ29,$B$32:$AA$32,0))</f>
        <v>0</v>
      </c>
      <c r="EV29" s="2">
        <f>INDEX($B$33:$AA$80,MATCH(EV$4,$A$33:$A$80,0),MATCH($CZ29,$B$32:$AA$32,0))</f>
        <v>0</v>
      </c>
    </row>
    <row r="30" spans="1:152">
      <c r="K30" s="270" t="s">
        <v>250</v>
      </c>
      <c r="BA30" s="268" t="str">
        <f>INDEX('MC MASTER'!$B$3:$B$28,26)</f>
        <v>Bartack Pattern tacker</v>
      </c>
      <c r="BU30" s="2">
        <f>SUM($DA30:$EV30)</f>
        <v>37</v>
      </c>
      <c r="BV30" s="2" t="str">
        <f>IF($BU30=0,"NEVER USED BY ANY STYLE","used")</f>
        <v>used</v>
      </c>
      <c r="BW30" s="269" t="str">
        <f>'MC MASTER'!$B28</f>
        <v>Bartack Pattern tacker</v>
      </c>
      <c r="BX30" s="269" t="str">
        <f>'MC MASTER'!$A28</f>
        <v>PATTERN-TACKER</v>
      </c>
      <c r="CZ30" s="2" cm="1" t="str">
        <f t="array" ref="CZ30">INDEX('MC MASTER'!$B$3:$B$28,ROW()-4)</f>
        <v>Bartack Pattern tacker</v>
      </c>
      <c r="DA30" s="2">
        <f>INDEX($B$33:$AA$80,MATCH(DA$4,$A$33:$A$80,0),MATCH($CZ30,$B$32:$AA$32,0))</f>
        <v>0</v>
      </c>
      <c r="DB30" s="2">
        <f>INDEX($B$33:$AA$80,MATCH(DB$4,$A$33:$A$80,0),MATCH($CZ30,$B$32:$AA$32,0))</f>
        <v>0</v>
      </c>
      <c r="DC30" s="2">
        <f>INDEX($B$33:$AA$80,MATCH(DC$4,$A$33:$A$80,0),MATCH($CZ30,$B$32:$AA$32,0))</f>
        <v>0</v>
      </c>
      <c r="DD30" s="2">
        <f>INDEX($B$33:$AA$80,MATCH(DD$4,$A$33:$A$80,0),MATCH($CZ30,$B$32:$AA$32,0))</f>
        <v>0</v>
      </c>
      <c r="DE30" s="2">
        <f>INDEX($B$33:$AA$80,MATCH(DE$4,$A$33:$A$80,0),MATCH($CZ30,$B$32:$AA$32,0))</f>
        <v>1</v>
      </c>
      <c r="DF30" s="2">
        <f>INDEX($B$33:$AA$80,MATCH(DF$4,$A$33:$A$80,0),MATCH($CZ30,$B$32:$AA$32,0))</f>
        <v>2</v>
      </c>
      <c r="DG30" s="2">
        <f>INDEX($B$33:$AA$80,MATCH(DG$4,$A$33:$A$80,0),MATCH($CZ30,$B$32:$AA$32,0))</f>
        <v>2</v>
      </c>
      <c r="DH30" s="2">
        <f>INDEX($B$33:$AA$80,MATCH(DH$4,$A$33:$A$80,0),MATCH($CZ30,$B$32:$AA$32,0))</f>
        <v>0</v>
      </c>
      <c r="DI30" s="2">
        <f>INDEX($B$33:$AA$80,MATCH(DI$4,$A$33:$A$80,0),MATCH($CZ30,$B$32:$AA$32,0))</f>
        <v>2</v>
      </c>
      <c r="DJ30" s="2">
        <f>INDEX($B$33:$AA$80,MATCH(DJ$4,$A$33:$A$80,0),MATCH($CZ30,$B$32:$AA$32,0))</f>
        <v>2</v>
      </c>
      <c r="DK30" s="2">
        <f>INDEX($B$33:$AA$80,MATCH(DK$4,$A$33:$A$80,0),MATCH($CZ30,$B$32:$AA$32,0))</f>
        <v>1</v>
      </c>
      <c r="DL30" s="2">
        <f>INDEX($B$33:$AA$80,MATCH(DL$4,$A$33:$A$80,0),MATCH($CZ30,$B$32:$AA$32,0))</f>
        <v>0</v>
      </c>
      <c r="DM30" s="2">
        <f>INDEX($B$33:$AA$80,MATCH(DM$4,$A$33:$A$80,0),MATCH($CZ30,$B$32:$AA$32,0))</f>
        <v>0</v>
      </c>
      <c r="DN30" s="2">
        <f>INDEX($B$33:$AA$80,MATCH(DN$4,$A$33:$A$80,0),MATCH($CZ30,$B$32:$AA$32,0))</f>
        <v>2</v>
      </c>
      <c r="DO30" s="2">
        <f>INDEX($B$33:$AA$80,MATCH(DO$4,$A$33:$A$80,0),MATCH($CZ30,$B$32:$AA$32,0))</f>
        <v>2</v>
      </c>
      <c r="DP30" s="2">
        <f>INDEX($B$33:$AA$80,MATCH(DP$4,$A$33:$A$80,0),MATCH($CZ30,$B$32:$AA$32,0))</f>
        <v>0</v>
      </c>
      <c r="DQ30" s="2">
        <f>INDEX($B$33:$AA$80,MATCH(DQ$4,$A$33:$A$80,0),MATCH($CZ30,$B$32:$AA$32,0))</f>
        <v>0</v>
      </c>
      <c r="DR30" s="2">
        <f>INDEX($B$33:$AA$80,MATCH(DR$4,$A$33:$A$80,0),MATCH($CZ30,$B$32:$AA$32,0))</f>
        <v>0</v>
      </c>
      <c r="DS30" s="2">
        <f>INDEX($B$33:$AA$80,MATCH(DS$4,$A$33:$A$80,0),MATCH($CZ30,$B$32:$AA$32,0))</f>
        <v>0</v>
      </c>
      <c r="DT30" s="2">
        <f>INDEX($B$33:$AA$80,MATCH(DT$4,$A$33:$A$80,0),MATCH($CZ30,$B$32:$AA$32,0))</f>
        <v>2</v>
      </c>
      <c r="DU30" s="2">
        <f>INDEX($B$33:$AA$80,MATCH(DU$4,$A$33:$A$80,0),MATCH($CZ30,$B$32:$AA$32,0))</f>
        <v>2</v>
      </c>
      <c r="DV30" s="2">
        <f>INDEX($B$33:$AA$80,MATCH(DV$4,$A$33:$A$80,0),MATCH($CZ30,$B$32:$AA$32,0))</f>
        <v>2</v>
      </c>
      <c r="DW30" s="2">
        <f>INDEX($B$33:$AA$80,MATCH(DW$4,$A$33:$A$80,0),MATCH($CZ30,$B$32:$AA$32,0))</f>
        <v>2</v>
      </c>
      <c r="DX30" s="2">
        <f>INDEX($B$33:$AA$80,MATCH(DX$4,$A$33:$A$80,0),MATCH($CZ30,$B$32:$AA$32,0))</f>
        <v>2</v>
      </c>
      <c r="DY30" s="2">
        <f>INDEX($B$33:$AA$80,MATCH(DY$4,$A$33:$A$80,0),MATCH($CZ30,$B$32:$AA$32,0))</f>
        <v>2</v>
      </c>
      <c r="DZ30" s="2">
        <f>INDEX($B$33:$AA$80,MATCH(DZ$4,$A$33:$A$80,0),MATCH($CZ30,$B$32:$AA$32,0))</f>
        <v>2</v>
      </c>
      <c r="EA30" s="2">
        <f>INDEX($B$33:$AA$80,MATCH(EA$4,$A$33:$A$80,0),MATCH($CZ30,$B$32:$AA$32,0))</f>
        <v>2</v>
      </c>
      <c r="EB30" s="2">
        <f>INDEX($B$33:$AA$80,MATCH(EB$4,$A$33:$A$80,0),MATCH($CZ30,$B$32:$AA$32,0))</f>
        <v>0</v>
      </c>
      <c r="EC30" s="2">
        <f>INDEX($B$33:$AA$80,MATCH(EC$4,$A$33:$A$80,0),MATCH($CZ30,$B$32:$AA$32,0))</f>
        <v>0</v>
      </c>
      <c r="ED30" s="2">
        <f>INDEX($B$33:$AA$80,MATCH(ED$4,$A$33:$A$80,0),MATCH($CZ30,$B$32:$AA$32,0))</f>
        <v>0</v>
      </c>
      <c r="EE30" s="2">
        <f>INDEX($B$33:$AA$80,MATCH(EE$4,$A$33:$A$80,0),MATCH($CZ30,$B$32:$AA$32,0))</f>
        <v>1</v>
      </c>
      <c r="EF30" s="2">
        <f>INDEX($B$33:$AA$80,MATCH(EF$4,$A$33:$A$80,0),MATCH($CZ30,$B$32:$AA$32,0))</f>
        <v>1</v>
      </c>
      <c r="EG30" s="2">
        <f>INDEX($B$33:$AA$80,MATCH(EG$4,$A$33:$A$80,0),MATCH($CZ30,$B$32:$AA$32,0))</f>
        <v>1</v>
      </c>
      <c r="EH30" s="2">
        <f>INDEX($B$33:$AA$80,MATCH(EH$4,$A$33:$A$80,0),MATCH($CZ30,$B$32:$AA$32,0))</f>
        <v>0</v>
      </c>
      <c r="EI30" s="2">
        <f>INDEX($B$33:$AA$80,MATCH(EI$4,$A$33:$A$80,0),MATCH($CZ30,$B$32:$AA$32,0))</f>
        <v>1</v>
      </c>
      <c r="EJ30" s="2">
        <f>INDEX($B$33:$AA$80,MATCH(EJ$4,$A$33:$A$80,0),MATCH($CZ30,$B$32:$AA$32,0))</f>
        <v>0</v>
      </c>
      <c r="EK30" s="2">
        <f>INDEX($B$33:$AA$80,MATCH(EK$4,$A$33:$A$80,0),MATCH($CZ30,$B$32:$AA$32,0))</f>
        <v>0</v>
      </c>
      <c r="EL30" s="2">
        <f>INDEX($B$33:$AA$80,MATCH(EL$4,$A$33:$A$80,0),MATCH($CZ30,$B$32:$AA$32,0))</f>
        <v>1</v>
      </c>
      <c r="EM30" s="2">
        <f>INDEX($B$33:$AA$80,MATCH(EM$4,$A$33:$A$80,0),MATCH($CZ30,$B$32:$AA$32,0))</f>
        <v>0</v>
      </c>
      <c r="EN30" s="2">
        <f>INDEX($B$33:$AA$80,MATCH(EN$4,$A$33:$A$80,0),MATCH($CZ30,$B$32:$AA$32,0))</f>
        <v>1</v>
      </c>
      <c r="EO30" s="2">
        <f>INDEX($B$33:$AA$80,MATCH(EO$4,$A$33:$A$80,0),MATCH($CZ30,$B$32:$AA$32,0))</f>
        <v>0</v>
      </c>
      <c r="EP30" s="2">
        <f>INDEX($B$33:$AA$80,MATCH(EP$4,$A$33:$A$80,0),MATCH($CZ30,$B$32:$AA$32,0))</f>
        <v>0</v>
      </c>
      <c r="EQ30" s="2">
        <f>INDEX($B$33:$AA$80,MATCH(EQ$4,$A$33:$A$80,0),MATCH($CZ30,$B$32:$AA$32,0))</f>
        <v>0</v>
      </c>
      <c r="ER30" s="2">
        <f>INDEX($B$33:$AA$80,MATCH(ER$4,$A$33:$A$80,0),MATCH($CZ30,$B$32:$AA$32,0))</f>
        <v>0</v>
      </c>
      <c r="ES30" s="2">
        <f>INDEX($B$33:$AA$80,MATCH(ES$4,$A$33:$A$80,0),MATCH($CZ30,$B$32:$AA$32,0))</f>
        <v>0</v>
      </c>
      <c r="ET30" s="2">
        <f>INDEX($B$33:$AA$80,MATCH(ET$4,$A$33:$A$80,0),MATCH($CZ30,$B$32:$AA$32,0))</f>
        <v>0</v>
      </c>
      <c r="EU30" s="2">
        <f>INDEX($B$33:$AA$80,MATCH(EU$4,$A$33:$A$80,0),MATCH($CZ30,$B$32:$AA$32,0))</f>
        <v>0</v>
      </c>
      <c r="EV30" s="2">
        <f>INDEX($B$33:$AA$80,MATCH(EV$4,$A$33:$A$80,0),MATCH($CZ30,$B$32:$AA$32,0))</f>
        <v>1</v>
      </c>
    </row>
    <row r="31" spans="1:152">
      <c r="A31" s="9" t="s">
        <v>215</v>
      </c>
      <c r="K31" s="270" t="s">
        <v>251</v>
      </c>
      <c r="BW31" s="271" t="s">
        <v>469</v>
      </c>
      <c r="BX31" s="15"/>
    </row>
    <row r="32" spans="1:152" ht="45.95" customHeight="1">
      <c r="A32" s="12" t="s">
        <v>6</v>
      </c>
      <c r="B32" s="272" t="str">
        <f>INDEX('MC MASTER'!$B$3:$B$28,COLUMN()-1)</f>
        <v>SNLS</v>
      </c>
      <c r="C32" s="272" t="str">
        <f>INDEX('MC MASTER'!$B$3:$B$28,COLUMN()-1)</f>
        <v>DNLS</v>
      </c>
      <c r="D32" s="273" t="str">
        <f>INDEX('MC MASTER'!$B$3:$B$28,COLUMN()-1)</f>
        <v>SNLS - Edge cutter</v>
      </c>
      <c r="E32" s="273" t="str">
        <f>INDEX('MC MASTER'!$B$3:$B$28,COLUMN()-1)</f>
        <v>Zig - Zag</v>
      </c>
      <c r="F32" s="273" t="str">
        <f>INDEX('MC MASTER'!$B$3:$B$28,COLUMN()-1)</f>
        <v>4th Overlock</v>
      </c>
      <c r="G32" s="273" t="str">
        <f>INDEX('MC MASTER'!$B$3:$B$28,COLUMN()-1)</f>
        <v>3th Overlock (Leg elastic)</v>
      </c>
      <c r="H32" s="273" t="str">
        <f>INDEX('MC MASTER'!$B$3:$B$28,COLUMN()-1)</f>
        <v>5th Overlock</v>
      </c>
      <c r="I32" s="273" t="str">
        <f>INDEX('MC MASTER'!$B$3:$B$28,COLUMN()-1)</f>
        <v>Overlock (Ring Elastic Attach)</v>
      </c>
      <c r="J32" s="273" t="str">
        <f>INDEX('MC MASTER'!$B$3:$B$28,COLUMN()-1)</f>
        <v>Flatlock Hem</v>
      </c>
      <c r="K32" s="273" t="str">
        <f>INDEX('MC MASTER'!$B$3:$B$28,COLUMN()-1)</f>
        <v>F/L (Coverseam / Waist COVER SEAM</v>
      </c>
      <c r="L32" s="273" t="str">
        <f>INDEX('MC MASTER'!$B$3:$B$28,COLUMN()-1)</f>
        <v>F/L (Coverseam )with pullar</v>
      </c>
      <c r="M32" s="273" t="str">
        <f>INDEX('MC MASTER'!$B$3:$B$28,COLUMN()-1)</f>
        <v>F/L (Coverseam )</v>
      </c>
      <c r="N32" s="273" t="str">
        <f>INDEX('MC MASTER'!$B$3:$B$28,COLUMN()-1)</f>
        <v>Flatlock (Ring Elastic Attach)</v>
      </c>
      <c r="O32" s="273" t="str">
        <f>INDEX('MC MASTER'!$B$3:$B$28,COLUMN()-1)</f>
        <v>3N5T-F/L -BINDING</v>
      </c>
      <c r="P32" s="273" t="str">
        <f>INDEX('MC MASTER'!$B$3:$B$28,COLUMN()-1)</f>
        <v>3N5T-F/L -( TopStitch)</v>
      </c>
      <c r="Q32" s="273" t="str">
        <f>INDEX('MC MASTER'!$B$3:$B$28,COLUMN()-1)</f>
        <v>FlatSeamer FS</v>
      </c>
      <c r="R32" s="273" t="str">
        <f>INDEX('MC MASTER'!$B$3:$B$28,COLUMN()-1)</f>
        <v>Kansai</v>
      </c>
      <c r="S32" s="273" t="str">
        <f>INDEX('MC MASTER'!$B$3:$B$28,COLUMN()-1)</f>
        <v>Chain stitch</v>
      </c>
      <c r="T32" s="273" t="str">
        <f>INDEX('MC MASTER'!$B$3:$B$28,COLUMN()-1)</f>
        <v>Flatlock (VT)</v>
      </c>
      <c r="U32" s="273" t="str">
        <f>INDEX('MC MASTER'!$B$3:$B$28,COLUMN()-1)</f>
        <v>Heat Seal</v>
      </c>
      <c r="V32" s="273" t="str">
        <f>INDEX('MC MASTER'!$B$3:$B$28,COLUMN()-1)</f>
        <v>Snap button</v>
      </c>
      <c r="W32" s="273" t="str">
        <f>INDEX('MC MASTER'!$B$3:$B$28,COLUMN()-1)</f>
        <v>Button Hole</v>
      </c>
      <c r="X32" s="273" t="str">
        <f>INDEX('MC MASTER'!$B$3:$B$28,COLUMN()-1)</f>
        <v>Button Attach</v>
      </c>
      <c r="Y32" s="273" t="str">
        <f>INDEX('MC MASTER'!$B$3:$B$28,COLUMN()-1)</f>
        <v>Bartack</v>
      </c>
      <c r="Z32" s="273" t="str">
        <f>INDEX('MC MASTER'!$B$3:$B$28,COLUMN()-1)</f>
        <v>Bartack Pattern tacker (LABEL ATTACH )</v>
      </c>
      <c r="AA32" s="273" t="str">
        <f>INDEX('MC MASTER'!$B$3:$B$28,COLUMN()-1)</f>
        <v>Bartack Pattern tacker</v>
      </c>
      <c r="AB32" s="274" t="s">
        <v>34</v>
      </c>
      <c r="AC32" s="275" t="s">
        <v>216</v>
      </c>
      <c r="AD32" s="275" t="s">
        <v>217</v>
      </c>
      <c r="AE32" s="276" t="s">
        <v>254</v>
      </c>
      <c r="AF32" s="276" t="s">
        <v>255</v>
      </c>
      <c r="AG32" s="11" t="s">
        <v>309</v>
      </c>
      <c r="AJ32" s="7" t="s">
        <v>370</v>
      </c>
    </row>
    <row r="33" spans="1:81">
      <c r="A33" s="19">
        <f>$E5</f>
        <v>7926</v>
      </c>
      <c r="B33" s="2">
        <f>IFERROR(SUMIF($B$5:$B$29,B$32,INDEX(EMBELISHMENT!$B$3:$AQ$27,0,MATCH($AE33,EMBELISHMENT!$B$1:$AQ$1,0))),0)</f>
        <v>13</v>
      </c>
      <c r="C33" s="2">
        <f>IFERROR(SUMIF($B$5:$B$29,C$32,INDEX(EMBELISHMENT!$B$3:$AQ$27,0,MATCH($AE33,EMBELISHMENT!$B$1:$AQ$1,0))),0)</f>
        <v>1</v>
      </c>
      <c r="D33" s="2">
        <f>IFERROR(SUMIF($B$5:$B$29,D$32,INDEX(EMBELISHMENT!$B$3:$AQ$27,0,MATCH($AE33,EMBELISHMENT!$B$1:$AQ$1,0))),0)</f>
        <v>0</v>
      </c>
      <c r="E33" s="2">
        <f>IFERROR(SUMIF($B$5:$B$29,E$32,INDEX(EMBELISHMENT!$B$3:$AQ$27,0,MATCH($AE33,EMBELISHMENT!$B$1:$AQ$1,0))),0)</f>
        <v>1</v>
      </c>
      <c r="F33" s="2">
        <f>IFERROR(SUMIF($B$5:$B$29,F$32,INDEX(EMBELISHMENT!$B$3:$AQ$27,0,MATCH($AE33,EMBELISHMENT!$B$1:$AQ$1,0))),0)</f>
        <v>8</v>
      </c>
      <c r="G33" s="2">
        <f>IFERROR(SUMIF($B$5:$B$29,G$32,INDEX(EMBELISHMENT!$B$3:$AQ$27,0,MATCH($AE33,EMBELISHMENT!$B$1:$AQ$1,0))),0)</f>
        <v>0</v>
      </c>
      <c r="H33" s="2">
        <f>IFERROR(SUMIF($B$5:$B$29,H$32,INDEX(EMBELISHMENT!$B$3:$AQ$27,0,MATCH($AE33,EMBELISHMENT!$B$1:$AQ$1,0))),0)</f>
        <v>0</v>
      </c>
      <c r="I33" s="2">
        <f>IFERROR(SUMIF($B$5:$B$29,I$32,INDEX(EMBELISHMENT!$B$3:$AQ$27,0,MATCH($AE33,EMBELISHMENT!$B$1:$AQ$1,0))),0)</f>
        <v>1</v>
      </c>
      <c r="J33" s="2">
        <f>IFERROR(SUMIF($B$5:$B$29,J$32,INDEX(EMBELISHMENT!$B$3:$AQ$27,0,MATCH($AE33,EMBELISHMENT!$B$1:$AQ$1,0))),0)</f>
        <v>2</v>
      </c>
      <c r="K33" s="2">
        <f>IFERROR(SUMIF($B$5:$B$29,K$32,INDEX(EMBELISHMENT!$B$3:$AQ$27,0,MATCH($AE33,EMBELISHMENT!$B$1:$AQ$1,0))),0)</f>
        <v>0</v>
      </c>
      <c r="L33" s="2">
        <f>IFERROR(SUMIF($B$5:$B$29,L$32,INDEX(EMBELISHMENT!$B$3:$AQ$27,0,MATCH($AE33,EMBELISHMENT!$B$1:$AQ$1,0))),0)</f>
        <v>0</v>
      </c>
      <c r="M33" s="2">
        <f>IFERROR(SUMIF($B$5:$B$29,M$32,INDEX(EMBELISHMENT!$B$3:$AQ$27,0,MATCH($AE33,EMBELISHMENT!$B$1:$AQ$1,0))),0)</f>
        <v>1</v>
      </c>
      <c r="N33" s="2">
        <f>IFERROR(SUMIF($B$5:$B$29,N$32,INDEX(EMBELISHMENT!$B$3:$AQ$27,0,MATCH($AE33,EMBELISHMENT!$B$1:$AQ$1,0))),0)</f>
        <v>0</v>
      </c>
      <c r="O33" s="2">
        <f>IFERROR(SUMIF($B$5:$B$29,O$32,INDEX(EMBELISHMENT!$B$3:$AQ$27,0,MATCH($AE33,EMBELISHMENT!$B$1:$AQ$1,0))),0)</f>
        <v>0</v>
      </c>
      <c r="P33" s="2">
        <f>IFERROR(SUMIF($B$5:$B$29,P$32,INDEX(EMBELISHMENT!$B$3:$AQ$27,0,MATCH($AE33,EMBELISHMENT!$B$1:$AQ$1,0))),0)</f>
        <v>1</v>
      </c>
      <c r="Q33" s="2">
        <f>IFERROR(SUMIF($B$5:$B$29,Q$32,INDEX(EMBELISHMENT!$B$3:$AQ$27,0,MATCH($AE33,EMBELISHMENT!$B$1:$AQ$1,0))),0)</f>
        <v>0</v>
      </c>
      <c r="R33" s="2">
        <f>IFERROR(SUMIF($B$5:$B$29,R$32,INDEX(EMBELISHMENT!$B$3:$AQ$27,0,MATCH($AE33,EMBELISHMENT!$B$1:$AQ$1,0))),0)</f>
        <v>2</v>
      </c>
      <c r="S33" s="2">
        <f>IFERROR(SUMIF($B$5:$B$29,S$32,INDEX(EMBELISHMENT!$B$3:$AQ$27,0,MATCH($AE33,EMBELISHMENT!$B$1:$AQ$1,0))),0)</f>
        <v>0</v>
      </c>
      <c r="T33" s="2">
        <f>IFERROR(SUMIF($B$5:$B$29,T$32,INDEX(EMBELISHMENT!$B$3:$AQ$27,0,MATCH($AE33,EMBELISHMENT!$B$1:$AQ$1,0))),0)</f>
        <v>0</v>
      </c>
      <c r="U33" s="2">
        <f>IFERROR(SUMIF($B$5:$B$29,U$32,INDEX(EMBELISHMENT!$B$3:$AQ$27,0,MATCH($AE33,EMBELISHMENT!$B$1:$AQ$1,0))),0)</f>
        <v>3</v>
      </c>
      <c r="V33" s="2">
        <f>IFERROR(SUMIF($B$5:$B$29,V$32,INDEX(EMBELISHMENT!$B$3:$AQ$27,0,MATCH($AE33,EMBELISHMENT!$B$1:$AQ$1,0))),0)</f>
        <v>2</v>
      </c>
      <c r="W33" s="2">
        <f>IFERROR(SUMIF($B$5:$B$29,W$32,INDEX(EMBELISHMENT!$B$3:$AQ$27,0,MATCH($AE33,EMBELISHMENT!$B$1:$AQ$1,0))),0)</f>
        <v>1</v>
      </c>
      <c r="X33" s="2">
        <f>IFERROR(SUMIF($B$5:$B$29,X$32,INDEX(EMBELISHMENT!$B$3:$AQ$27,0,MATCH($AE33,EMBELISHMENT!$B$1:$AQ$1,0))),0)</f>
        <v>0</v>
      </c>
      <c r="Y33" s="2">
        <f>IFERROR(SUMIF($B$5:$B$29,Y$32,INDEX(EMBELISHMENT!$B$3:$AQ$27,0,MATCH($AE33,EMBELISHMENT!$B$1:$AQ$1,0))),0)</f>
        <v>1</v>
      </c>
      <c r="Z33" s="2">
        <f>IFERROR(SUMIF($B$5:$B$29,Z$32,INDEX(EMBELISHMENT!$B$3:$AQ$27,0,MATCH($AE33,EMBELISHMENT!$B$1:$AQ$1,0))),0)</f>
        <v>0</v>
      </c>
      <c r="AA33" s="2">
        <f>IFERROR(SUMIF($B$5:$B$29,AA$32,INDEX(EMBELISHMENT!$B$3:$AQ$27,0,MATCH($AE33,EMBELISHMENT!$B$1:$AQ$1,0))),0)</f>
        <v>0</v>
      </c>
      <c r="AB33" s="2">
        <f>SUM($B33:$AA33)</f>
        <v>37</v>
      </c>
      <c r="AC33" s="2">
        <f>IFERROR(INDEX(EMBELISHMENT!$B$28:$AQ$28,MATCH($AE33,EMBELISHMENT!$B$1:$AQ$1,0)),0)</f>
        <v>37</v>
      </c>
      <c r="AD33" s="2" t="str">
        <f>IF(N(AC33)=0,"n/a",IF(ROUND(AB33-AC33,1)=0,"OK",ROUND(AB33-AC33,1)))</f>
        <v>OK</v>
      </c>
      <c r="AE33" s="277">
        <f>IFERROR(IF(INDEX($L$5:$L$28,MATCH($A33,$K$5:$K$28,0))="","(no recipe)",INDEX($L$5:$L$28,MATCH($A33,$K$5:$K$28,0))),$A33)</f>
        <v>7926</v>
      </c>
      <c r="AF33" s="14" t="str">
        <f>IFERROR(INDEX($M$5:$M$28,MATCH($A33,$K$5:$K$28,0)),"STYLE")</f>
        <v>STYLE</v>
      </c>
      <c r="AG33" s="60" t="s">
        <v>369</v>
      </c>
      <c r="AJ33" s="60" t="s">
        <v>22</v>
      </c>
      <c r="BA33" s="9" t="s">
        <v>362</v>
      </c>
      <c r="BB33" s="10"/>
      <c r="BC33" s="10"/>
      <c r="BD33" s="10"/>
      <c r="BE33" s="10"/>
    </row>
    <row r="34" spans="1:81">
      <c r="A34" s="19" t="str">
        <f>$E6</f>
        <v>4300/4301</v>
      </c>
      <c r="B34" s="2">
        <f>IFERROR(SUMIF($B$5:$B$29,B$32,INDEX(EMBELISHMENT!$B$3:$AQ$27,0,MATCH($AE34,EMBELISHMENT!$B$1:$AQ$1,0))),0)</f>
        <v>21</v>
      </c>
      <c r="C34" s="2">
        <f>IFERROR(SUMIF($B$5:$B$29,C$32,INDEX(EMBELISHMENT!$B$3:$AQ$27,0,MATCH($AE34,EMBELISHMENT!$B$1:$AQ$1,0))),0)</f>
        <v>0</v>
      </c>
      <c r="D34" s="2">
        <f>IFERROR(SUMIF($B$5:$B$29,D$32,INDEX(EMBELISHMENT!$B$3:$AQ$27,0,MATCH($AE34,EMBELISHMENT!$B$1:$AQ$1,0))),0)</f>
        <v>0</v>
      </c>
      <c r="E34" s="2">
        <f>IFERROR(SUMIF($B$5:$B$29,E$32,INDEX(EMBELISHMENT!$B$3:$AQ$27,0,MATCH($AE34,EMBELISHMENT!$B$1:$AQ$1,0))),0)</f>
        <v>1</v>
      </c>
      <c r="F34" s="2">
        <f>IFERROR(SUMIF($B$5:$B$29,F$32,INDEX(EMBELISHMENT!$B$3:$AQ$27,0,MATCH($AE34,EMBELISHMENT!$B$1:$AQ$1,0))),0)</f>
        <v>9</v>
      </c>
      <c r="G34" s="2">
        <f>IFERROR(SUMIF($B$5:$B$29,G$32,INDEX(EMBELISHMENT!$B$3:$AQ$27,0,MATCH($AE34,EMBELISHMENT!$B$1:$AQ$1,0))),0)</f>
        <v>0</v>
      </c>
      <c r="H34" s="2">
        <f>IFERROR(SUMIF($B$5:$B$29,H$32,INDEX(EMBELISHMENT!$B$3:$AQ$27,0,MATCH($AE34,EMBELISHMENT!$B$1:$AQ$1,0))),0)</f>
        <v>0</v>
      </c>
      <c r="I34" s="2">
        <f>IFERROR(SUMIF($B$5:$B$29,I$32,INDEX(EMBELISHMENT!$B$3:$AQ$27,0,MATCH($AE34,EMBELISHMENT!$B$1:$AQ$1,0))),0)</f>
        <v>0</v>
      </c>
      <c r="J34" s="2">
        <f>IFERROR(SUMIF($B$5:$B$29,J$32,INDEX(EMBELISHMENT!$B$3:$AQ$27,0,MATCH($AE34,EMBELISHMENT!$B$1:$AQ$1,0))),0)</f>
        <v>1.5</v>
      </c>
      <c r="K34" s="2">
        <f>IFERROR(SUMIF($B$5:$B$29,K$32,INDEX(EMBELISHMENT!$B$3:$AQ$27,0,MATCH($AE34,EMBELISHMENT!$B$1:$AQ$1,0))),0)</f>
        <v>0</v>
      </c>
      <c r="L34" s="2">
        <f>IFERROR(SUMIF($B$5:$B$29,L$32,INDEX(EMBELISHMENT!$B$3:$AQ$27,0,MATCH($AE34,EMBELISHMENT!$B$1:$AQ$1,0))),0)</f>
        <v>0</v>
      </c>
      <c r="M34" s="2">
        <f>IFERROR(SUMIF($B$5:$B$29,M$32,INDEX(EMBELISHMENT!$B$3:$AQ$27,0,MATCH($AE34,EMBELISHMENT!$B$1:$AQ$1,0))),0)</f>
        <v>0</v>
      </c>
      <c r="N34" s="2">
        <f>IFERROR(SUMIF($B$5:$B$29,N$32,INDEX(EMBELISHMENT!$B$3:$AQ$27,0,MATCH($AE34,EMBELISHMENT!$B$1:$AQ$1,0))),0)</f>
        <v>0</v>
      </c>
      <c r="O34" s="2">
        <f>IFERROR(SUMIF($B$5:$B$29,O$32,INDEX(EMBELISHMENT!$B$3:$AQ$27,0,MATCH($AE34,EMBELISHMENT!$B$1:$AQ$1,0))),0)</f>
        <v>0</v>
      </c>
      <c r="P34" s="2">
        <f>IFERROR(SUMIF($B$5:$B$29,P$32,INDEX(EMBELISHMENT!$B$3:$AQ$27,0,MATCH($AE34,EMBELISHMENT!$B$1:$AQ$1,0))),0)</f>
        <v>0</v>
      </c>
      <c r="Q34" s="2">
        <f>IFERROR(SUMIF($B$5:$B$29,Q$32,INDEX(EMBELISHMENT!$B$3:$AQ$27,0,MATCH($AE34,EMBELISHMENT!$B$1:$AQ$1,0))),0)</f>
        <v>0</v>
      </c>
      <c r="R34" s="2">
        <f>IFERROR(SUMIF($B$5:$B$29,R$32,INDEX(EMBELISHMENT!$B$3:$AQ$27,0,MATCH($AE34,EMBELISHMENT!$B$1:$AQ$1,0))),0)</f>
        <v>1</v>
      </c>
      <c r="S34" s="2">
        <f>IFERROR(SUMIF($B$5:$B$29,S$32,INDEX(EMBELISHMENT!$B$3:$AQ$27,0,MATCH($AE34,EMBELISHMENT!$B$1:$AQ$1,0))),0)</f>
        <v>0</v>
      </c>
      <c r="T34" s="2">
        <f>IFERROR(SUMIF($B$5:$B$29,T$32,INDEX(EMBELISHMENT!$B$3:$AQ$27,0,MATCH($AE34,EMBELISHMENT!$B$1:$AQ$1,0))),0)</f>
        <v>0</v>
      </c>
      <c r="U34" s="2">
        <f>IFERROR(SUMIF($B$5:$B$29,U$32,INDEX(EMBELISHMENT!$B$3:$AQ$27,0,MATCH($AE34,EMBELISHMENT!$B$1:$AQ$1,0))),0)</f>
        <v>2</v>
      </c>
      <c r="V34" s="2">
        <f>IFERROR(SUMIF($B$5:$B$29,V$32,INDEX(EMBELISHMENT!$B$3:$AQ$27,0,MATCH($AE34,EMBELISHMENT!$B$1:$AQ$1,0))),0)</f>
        <v>0</v>
      </c>
      <c r="W34" s="2">
        <f>IFERROR(SUMIF($B$5:$B$29,W$32,INDEX(EMBELISHMENT!$B$3:$AQ$27,0,MATCH($AE34,EMBELISHMENT!$B$1:$AQ$1,0))),0)</f>
        <v>1</v>
      </c>
      <c r="X34" s="2">
        <f>IFERROR(SUMIF($B$5:$B$29,X$32,INDEX(EMBELISHMENT!$B$3:$AQ$27,0,MATCH($AE34,EMBELISHMENT!$B$1:$AQ$1,0))),0)</f>
        <v>0</v>
      </c>
      <c r="Y34" s="2">
        <f>IFERROR(SUMIF($B$5:$B$29,Y$32,INDEX(EMBELISHMENT!$B$3:$AQ$27,0,MATCH($AE34,EMBELISHMENT!$B$1:$AQ$1,0))),0)</f>
        <v>1</v>
      </c>
      <c r="Z34" s="2">
        <f>IFERROR(SUMIF($B$5:$B$29,Z$32,INDEX(EMBELISHMENT!$B$3:$AQ$27,0,MATCH($AE34,EMBELISHMENT!$B$1:$AQ$1,0))),0)</f>
        <v>0</v>
      </c>
      <c r="AA34" s="2">
        <f>IFERROR(SUMIF($B$5:$B$29,AA$32,INDEX(EMBELISHMENT!$B$3:$AQ$27,0,MATCH($AE34,EMBELISHMENT!$B$1:$AQ$1,0))),0)</f>
        <v>0</v>
      </c>
      <c r="AB34" s="2">
        <f>SUM($B34:$AA34)</f>
        <v>37.5</v>
      </c>
      <c r="AC34" s="2">
        <f>IFERROR(INDEX(EMBELISHMENT!$B$28:$AQ$28,MATCH($AE34,EMBELISHMENT!$B$1:$AQ$1,0)),0)</f>
        <v>37.5</v>
      </c>
      <c r="AD34" s="2" t="str">
        <f>IF(N(AC34)=0,"n/a",IF(ROUND(AB34-AC34,1)=0,"OK",ROUND(AB34-AC34,1)))</f>
        <v>OK</v>
      </c>
      <c r="AE34" s="277">
        <f>IFERROR(IF(INDEX($L$5:$L$28,MATCH($A34,$K$5:$K$28,0))="","(no recipe)",INDEX($L$5:$L$28,MATCH($A34,$K$5:$K$28,0))),$A34)</f>
        <v>4300</v>
      </c>
      <c r="AF34" s="14" t="str">
        <f>IFERROR(INDEX($M$5:$M$28,MATCH($A34,$K$5:$K$28,0)),"STYLE")</f>
        <v>STYLE</v>
      </c>
      <c r="AG34" s="60" t="s">
        <v>306</v>
      </c>
      <c r="AJ34" s="60" t="s">
        <v>21</v>
      </c>
      <c r="BA34" s="11" t="s">
        <v>309</v>
      </c>
      <c r="BB34" s="11" t="str">
        <f>INDEX('MC MASTER'!$B$3:$B$28,1)</f>
        <v>SNLS</v>
      </c>
      <c r="BC34" s="11" t="str">
        <f>INDEX('MC MASTER'!$B$3:$B$28,2)</f>
        <v>DNLS</v>
      </c>
      <c r="BD34" s="11" t="str">
        <f>INDEX('MC MASTER'!$B$3:$B$28,3)</f>
        <v>SNLS - Edge cutter</v>
      </c>
      <c r="BE34" s="11" t="str">
        <f>INDEX('MC MASTER'!$B$3:$B$28,4)</f>
        <v>Zig - Zag</v>
      </c>
      <c r="BF34" s="11" t="str">
        <f>INDEX('MC MASTER'!$B$3:$B$28,5)</f>
        <v>4th Overlock</v>
      </c>
      <c r="BG34" s="11" t="str">
        <f>INDEX('MC MASTER'!$B$3:$B$28,6)</f>
        <v>3th Overlock (Leg elastic)</v>
      </c>
      <c r="BH34" s="11" t="str">
        <f>INDEX('MC MASTER'!$B$3:$B$28,7)</f>
        <v>5th Overlock</v>
      </c>
      <c r="BI34" s="11" t="str">
        <f>INDEX('MC MASTER'!$B$3:$B$28,8)</f>
        <v>Overlock (Ring Elastic Attach)</v>
      </c>
      <c r="BJ34" s="11" t="str">
        <f>INDEX('MC MASTER'!$B$3:$B$28,9)</f>
        <v>Flatlock Hem</v>
      </c>
      <c r="BK34" s="11" t="str">
        <f>INDEX('MC MASTER'!$B$3:$B$28,10)</f>
        <v>F/L (Coverseam / Waist COVER SEAM</v>
      </c>
      <c r="BL34" s="11" t="str">
        <f>INDEX('MC MASTER'!$B$3:$B$28,11)</f>
        <v>F/L (Coverseam )with pullar</v>
      </c>
      <c r="BM34" s="11" t="str">
        <f>INDEX('MC MASTER'!$B$3:$B$28,12)</f>
        <v>F/L (Coverseam )</v>
      </c>
      <c r="BN34" s="11" t="str">
        <f>INDEX('MC MASTER'!$B$3:$B$28,13)</f>
        <v>Flatlock (Ring Elastic Attach)</v>
      </c>
      <c r="BO34" s="11" t="str">
        <f>INDEX('MC MASTER'!$B$3:$B$28,14)</f>
        <v>3N5T-F/L -BINDING</v>
      </c>
      <c r="BP34" s="11" t="str">
        <f>INDEX('MC MASTER'!$B$3:$B$28,15)</f>
        <v>3N5T-F/L -( TopStitch)</v>
      </c>
      <c r="BQ34" s="11" t="str">
        <f>INDEX('MC MASTER'!$B$3:$B$28,16)</f>
        <v>FlatSeamer FS</v>
      </c>
      <c r="BR34" s="11" t="str">
        <f>INDEX('MC MASTER'!$B$3:$B$28,17)</f>
        <v>Kansai</v>
      </c>
      <c r="BS34" s="11" t="str">
        <f>INDEX('MC MASTER'!$B$3:$B$28,18)</f>
        <v>Chain stitch</v>
      </c>
      <c r="BT34" s="11" t="str">
        <f>INDEX('MC MASTER'!$B$3:$B$28,19)</f>
        <v>Flatlock (VT)</v>
      </c>
      <c r="BU34" s="11" t="str">
        <f>INDEX('MC MASTER'!$B$3:$B$28,20)</f>
        <v>Heat Seal</v>
      </c>
      <c r="BV34" s="11" t="str">
        <f>INDEX('MC MASTER'!$B$3:$B$28,21)</f>
        <v>Snap button</v>
      </c>
      <c r="BW34" s="11" t="str">
        <f>INDEX('MC MASTER'!$B$3:$B$28,22)</f>
        <v>Button Hole</v>
      </c>
      <c r="BX34" s="11" t="str">
        <f>INDEX('MC MASTER'!$B$3:$B$28,23)</f>
        <v>Button Attach</v>
      </c>
      <c r="BY34" s="11" t="str">
        <f>INDEX('MC MASTER'!$B$3:$B$28,24)</f>
        <v>Bartack</v>
      </c>
      <c r="BZ34" s="11" t="str">
        <f>INDEX('MC MASTER'!$B$3:$B$28,25)</f>
        <v>Bartack Pattern tacker (LABEL ATTACH )</v>
      </c>
      <c r="CA34" s="11" t="str">
        <f>INDEX('MC MASTER'!$B$3:$B$28,26)</f>
        <v>Bartack Pattern tacker</v>
      </c>
      <c r="CB34" s="11" t="s">
        <v>221</v>
      </c>
      <c r="CC34" s="11" t="s">
        <v>256</v>
      </c>
    </row>
    <row r="35" spans="1:81">
      <c r="A35" s="19" t="str">
        <f>$E7</f>
        <v>RS 26/27</v>
      </c>
      <c r="B35" s="2">
        <f>IFERROR(SUMIF($B$5:$B$29,B$32,INDEX(EMBELISHMENT!$B$3:$AQ$27,0,MATCH($AE35,EMBELISHMENT!$B$1:$AQ$1,0))),0)</f>
        <v>5</v>
      </c>
      <c r="C35" s="2">
        <f>IFERROR(SUMIF($B$5:$B$29,C$32,INDEX(EMBELISHMENT!$B$3:$AQ$27,0,MATCH($AE35,EMBELISHMENT!$B$1:$AQ$1,0))),0)</f>
        <v>0</v>
      </c>
      <c r="D35" s="2">
        <f>IFERROR(SUMIF($B$5:$B$29,D$32,INDEX(EMBELISHMENT!$B$3:$AQ$27,0,MATCH($AE35,EMBELISHMENT!$B$1:$AQ$1,0))),0)</f>
        <v>0</v>
      </c>
      <c r="E35" s="2">
        <f>IFERROR(SUMIF($B$5:$B$29,E$32,INDEX(EMBELISHMENT!$B$3:$AQ$27,0,MATCH($AE35,EMBELISHMENT!$B$1:$AQ$1,0))),0)</f>
        <v>0</v>
      </c>
      <c r="F35" s="2">
        <f>IFERROR(SUMIF($B$5:$B$29,F$32,INDEX(EMBELISHMENT!$B$3:$AQ$27,0,MATCH($AE35,EMBELISHMENT!$B$1:$AQ$1,0))),0)</f>
        <v>8</v>
      </c>
      <c r="G35" s="2">
        <f>IFERROR(SUMIF($B$5:$B$29,G$32,INDEX(EMBELISHMENT!$B$3:$AQ$27,0,MATCH($AE35,EMBELISHMENT!$B$1:$AQ$1,0))),0)</f>
        <v>0</v>
      </c>
      <c r="H35" s="2">
        <f>IFERROR(SUMIF($B$5:$B$29,H$32,INDEX(EMBELISHMENT!$B$3:$AQ$27,0,MATCH($AE35,EMBELISHMENT!$B$1:$AQ$1,0))),0)</f>
        <v>0</v>
      </c>
      <c r="I35" s="2">
        <f>IFERROR(SUMIF($B$5:$B$29,I$32,INDEX(EMBELISHMENT!$B$3:$AQ$27,0,MATCH($AE35,EMBELISHMENT!$B$1:$AQ$1,0))),0)</f>
        <v>0</v>
      </c>
      <c r="J35" s="2">
        <f>IFERROR(SUMIF($B$5:$B$29,J$32,INDEX(EMBELISHMENT!$B$3:$AQ$27,0,MATCH($AE35,EMBELISHMENT!$B$1:$AQ$1,0))),0)</f>
        <v>4</v>
      </c>
      <c r="K35" s="2">
        <f>IFERROR(SUMIF($B$5:$B$29,K$32,INDEX(EMBELISHMENT!$B$3:$AQ$27,0,MATCH($AE35,EMBELISHMENT!$B$1:$AQ$1,0))),0)</f>
        <v>0</v>
      </c>
      <c r="L35" s="2">
        <f>IFERROR(SUMIF($B$5:$B$29,L$32,INDEX(EMBELISHMENT!$B$3:$AQ$27,0,MATCH($AE35,EMBELISHMENT!$B$1:$AQ$1,0))),0)</f>
        <v>0</v>
      </c>
      <c r="M35" s="2">
        <f>IFERROR(SUMIF($B$5:$B$29,M$32,INDEX(EMBELISHMENT!$B$3:$AQ$27,0,MATCH($AE35,EMBELISHMENT!$B$1:$AQ$1,0))),0)</f>
        <v>0</v>
      </c>
      <c r="N35" s="2">
        <f>IFERROR(SUMIF($B$5:$B$29,N$32,INDEX(EMBELISHMENT!$B$3:$AQ$27,0,MATCH($AE35,EMBELISHMENT!$B$1:$AQ$1,0))),0)</f>
        <v>0</v>
      </c>
      <c r="O35" s="2">
        <f>IFERROR(SUMIF($B$5:$B$29,O$32,INDEX(EMBELISHMENT!$B$3:$AQ$27,0,MATCH($AE35,EMBELISHMENT!$B$1:$AQ$1,0))),0)</f>
        <v>7</v>
      </c>
      <c r="P35" s="2">
        <f>IFERROR(SUMIF($B$5:$B$29,P$32,INDEX(EMBELISHMENT!$B$3:$AQ$27,0,MATCH($AE35,EMBELISHMENT!$B$1:$AQ$1,0))),0)</f>
        <v>0</v>
      </c>
      <c r="Q35" s="2">
        <f>IFERROR(SUMIF($B$5:$B$29,Q$32,INDEX(EMBELISHMENT!$B$3:$AQ$27,0,MATCH($AE35,EMBELISHMENT!$B$1:$AQ$1,0))),0)</f>
        <v>0</v>
      </c>
      <c r="R35" s="2">
        <f>IFERROR(SUMIF($B$5:$B$29,R$32,INDEX(EMBELISHMENT!$B$3:$AQ$27,0,MATCH($AE35,EMBELISHMENT!$B$1:$AQ$1,0))),0)</f>
        <v>0</v>
      </c>
      <c r="S35" s="2">
        <f>IFERROR(SUMIF($B$5:$B$29,S$32,INDEX(EMBELISHMENT!$B$3:$AQ$27,0,MATCH($AE35,EMBELISHMENT!$B$1:$AQ$1,0))),0)</f>
        <v>0</v>
      </c>
      <c r="T35" s="2">
        <f>IFERROR(SUMIF($B$5:$B$29,T$32,INDEX(EMBELISHMENT!$B$3:$AQ$27,0,MATCH($AE35,EMBELISHMENT!$B$1:$AQ$1,0))),0)</f>
        <v>0</v>
      </c>
      <c r="U35" s="2">
        <f>IFERROR(SUMIF($B$5:$B$29,U$32,INDEX(EMBELISHMENT!$B$3:$AQ$27,0,MATCH($AE35,EMBELISHMENT!$B$1:$AQ$1,0))),0)</f>
        <v>1</v>
      </c>
      <c r="V35" s="2">
        <f>IFERROR(SUMIF($B$5:$B$29,V$32,INDEX(EMBELISHMENT!$B$3:$AQ$27,0,MATCH($AE35,EMBELISHMENT!$B$1:$AQ$1,0))),0)</f>
        <v>0</v>
      </c>
      <c r="W35" s="2">
        <f>IFERROR(SUMIF($B$5:$B$29,W$32,INDEX(EMBELISHMENT!$B$3:$AQ$27,0,MATCH($AE35,EMBELISHMENT!$B$1:$AQ$1,0))),0)</f>
        <v>0</v>
      </c>
      <c r="X35" s="2">
        <f>IFERROR(SUMIF($B$5:$B$29,X$32,INDEX(EMBELISHMENT!$B$3:$AQ$27,0,MATCH($AE35,EMBELISHMENT!$B$1:$AQ$1,0))),0)</f>
        <v>0</v>
      </c>
      <c r="Y35" s="2">
        <f>IFERROR(SUMIF($B$5:$B$29,Y$32,INDEX(EMBELISHMENT!$B$3:$AQ$27,0,MATCH($AE35,EMBELISHMENT!$B$1:$AQ$1,0))),0)</f>
        <v>0</v>
      </c>
      <c r="Z35" s="2">
        <f>IFERROR(SUMIF($B$5:$B$29,Z$32,INDEX(EMBELISHMENT!$B$3:$AQ$27,0,MATCH($AE35,EMBELISHMENT!$B$1:$AQ$1,0))),0)</f>
        <v>0</v>
      </c>
      <c r="AA35" s="2">
        <f>IFERROR(SUMIF($B$5:$B$29,AA$32,INDEX(EMBELISHMENT!$B$3:$AQ$27,0,MATCH($AE35,EMBELISHMENT!$B$1:$AQ$1,0))),0)</f>
        <v>0</v>
      </c>
      <c r="AB35" s="2">
        <f>SUM($B35:$AA35)</f>
        <v>25</v>
      </c>
      <c r="AC35" s="2">
        <f>IFERROR(INDEX(EMBELISHMENT!$B$28:$AQ$28,MATCH($AE35,EMBELISHMENT!$B$1:$AQ$1,0)),0)</f>
        <v>25</v>
      </c>
      <c r="AD35" s="2" t="str">
        <f>IF(N(AC35)=0,"n/a",IF(ROUND(AB35-AC35,1)=0,"OK",ROUND(AB35-AC35,1)))</f>
        <v>OK</v>
      </c>
      <c r="AE35" s="277" t="str">
        <f>IFERROR(IF(INDEX($L$5:$L$28,MATCH($A35,$K$5:$K$28,0))="","(no recipe)",INDEX($L$5:$L$28,MATCH($A35,$K$5:$K$28,0))),$A35)</f>
        <v>RS-27</v>
      </c>
      <c r="AF35" s="14" t="str">
        <f>IFERROR(INDEX($M$5:$M$28,MATCH($A35,$K$5:$K$28,0)),"STYLE")</f>
        <v>STYLE</v>
      </c>
      <c r="AG35" s="60" t="s">
        <v>307</v>
      </c>
      <c r="AJ35" s="60" t="s">
        <v>307</v>
      </c>
      <c r="BA35" s="269" t="str">
        <f>DASHBOARD!$B72</f>
        <v>BRIEF</v>
      </c>
      <c r="BB35" s="15">
        <f>SUMIF($AH$87:$AH$112,$BA35,INDEX($D$87:$AC$112,0,MATCH(BB$34,$D$86:$AC$86,0)))</f>
        <v>40</v>
      </c>
      <c r="BC35" s="15">
        <f>SUMIF($AH$87:$AH$112,$BA35,INDEX($D$87:$AC$112,0,MATCH(BC$34,$D$86:$AC$86,0)))</f>
        <v>0</v>
      </c>
      <c r="BD35" s="15">
        <f>SUMIF($AH$87:$AH$112,$BA35,INDEX($D$87:$AC$112,0,MATCH(BD$34,$D$86:$AC$86,0)))</f>
        <v>0</v>
      </c>
      <c r="BE35" s="15">
        <f>SUMIF($AH$87:$AH$112,$BA35,INDEX($D$87:$AC$112,0,MATCH(BE$34,$D$86:$AC$86,0)))</f>
        <v>0</v>
      </c>
      <c r="BF35" s="15">
        <f>SUMIF($AH$87:$AH$112,$BA35,INDEX($D$87:$AC$112,0,MATCH(BF$34,$D$86:$AC$86,0)))</f>
        <v>117</v>
      </c>
      <c r="BG35" s="15">
        <f>SUMIF($AH$87:$AH$112,$BA35,INDEX($D$87:$AC$112,0,MATCH(BG$34,$D$86:$AC$86,0)))</f>
        <v>27</v>
      </c>
      <c r="BH35" s="15">
        <f>SUMIF($AH$87:$AH$112,$BA35,INDEX($D$87:$AC$112,0,MATCH(BH$34,$D$86:$AC$86,0)))</f>
        <v>0</v>
      </c>
      <c r="BI35" s="15">
        <f>SUMIF($AH$87:$AH$112,$BA35,INDEX($D$87:$AC$112,0,MATCH(BI$34,$D$86:$AC$86,0)))</f>
        <v>9</v>
      </c>
      <c r="BJ35" s="15">
        <f>SUMIF($AH$87:$AH$112,$BA35,INDEX($D$87:$AC$112,0,MATCH(BJ$34,$D$86:$AC$86,0)))</f>
        <v>0</v>
      </c>
      <c r="BK35" s="15">
        <f>SUMIF($AH$87:$AH$112,$BA35,INDEX($D$87:$AC$112,0,MATCH(BK$34,$D$86:$AC$86,0)))</f>
        <v>0</v>
      </c>
      <c r="BL35" s="15">
        <f>SUMIF($AH$87:$AH$112,$BA35,INDEX($D$87:$AC$112,0,MATCH(BL$34,$D$86:$AC$86,0)))</f>
        <v>34.5</v>
      </c>
      <c r="BM35" s="15">
        <f>SUMIF($AH$87:$AH$112,$BA35,INDEX($D$87:$AC$112,0,MATCH(BM$34,$D$86:$AC$86,0)))</f>
        <v>0</v>
      </c>
      <c r="BN35" s="15">
        <f>SUMIF($AH$87:$AH$112,$BA35,INDEX($D$87:$AC$112,0,MATCH(BN$34,$D$86:$AC$86,0)))</f>
        <v>18</v>
      </c>
      <c r="BO35" s="15">
        <f>SUMIF($AH$87:$AH$112,$BA35,INDEX($D$87:$AC$112,0,MATCH(BO$34,$D$86:$AC$86,0)))</f>
        <v>0</v>
      </c>
      <c r="BP35" s="15">
        <f>SUMIF($AH$87:$AH$112,$BA35,INDEX($D$87:$AC$112,0,MATCH(BP$34,$D$86:$AC$86,0)))</f>
        <v>5</v>
      </c>
      <c r="BQ35" s="15">
        <f>SUMIF($AH$87:$AH$112,$BA35,INDEX($D$87:$AC$112,0,MATCH(BQ$34,$D$86:$AC$86,0)))</f>
        <v>0</v>
      </c>
      <c r="BR35" s="15">
        <f>SUMIF($AH$87:$AH$112,$BA35,INDEX($D$87:$AC$112,0,MATCH(BR$34,$D$86:$AC$86,0)))</f>
        <v>0</v>
      </c>
      <c r="BS35" s="15">
        <f>SUMIF($AH$87:$AH$112,$BA35,INDEX($D$87:$AC$112,0,MATCH(BS$34,$D$86:$AC$86,0)))</f>
        <v>0</v>
      </c>
      <c r="BT35" s="15">
        <f>SUMIF($AH$87:$AH$112,$BA35,INDEX($D$87:$AC$112,0,MATCH(BT$34,$D$86:$AC$86,0)))</f>
        <v>1</v>
      </c>
      <c r="BU35" s="15">
        <f>SUMIF($AH$87:$AH$112,$BA35,INDEX($D$87:$AC$112,0,MATCH(BU$34,$D$86:$AC$86,0)))</f>
        <v>9</v>
      </c>
      <c r="BV35" s="15">
        <f>SUMIF($AH$87:$AH$112,$BA35,INDEX($D$87:$AC$112,0,MATCH(BV$34,$D$86:$AC$86,0)))</f>
        <v>0</v>
      </c>
      <c r="BW35" s="15">
        <f>SUMIF($AH$87:$AH$112,$BA35,INDEX($D$87:$AC$112,0,MATCH(BW$34,$D$86:$AC$86,0)))</f>
        <v>0</v>
      </c>
      <c r="BX35" s="15">
        <f>SUMIF($AH$87:$AH$112,$BA35,INDEX($D$87:$AC$112,0,MATCH(BX$34,$D$86:$AC$86,0)))</f>
        <v>0</v>
      </c>
      <c r="BY35" s="15">
        <f>SUMIF($AH$87:$AH$112,$BA35,INDEX($D$87:$AC$112,0,MATCH(BY$34,$D$86:$AC$86,0)))</f>
        <v>0</v>
      </c>
      <c r="BZ35" s="15">
        <f>SUMIF($AH$87:$AH$112,$BA35,INDEX($D$87:$AC$112,0,MATCH(BZ$34,$D$86:$AC$86,0)))</f>
        <v>0</v>
      </c>
      <c r="CA35" s="15">
        <f>SUMIF($AH$87:$AH$112,$BA35,INDEX($D$87:$AC$112,0,MATCH(CA$34,$D$86:$AC$86,0)))</f>
        <v>15</v>
      </c>
      <c r="CB35" s="15">
        <f>SUM($BB35:$CA35)</f>
        <v>275.5</v>
      </c>
      <c r="CC35" s="15">
        <f>COUNTIF($AH$87:$AH$112,$BA35)</f>
        <v>9</v>
      </c>
    </row>
    <row r="36" spans="1:81">
      <c r="A36" s="19">
        <f>$E8</f>
        <v>6820</v>
      </c>
      <c r="B36" s="2">
        <f>IFERROR(SUMIF($B$5:$B$29,B$32,INDEX(EMBELISHMENT!$B$3:$AQ$27,0,MATCH($AE36,EMBELISHMENT!$B$1:$AQ$1,0))),0)</f>
        <v>6.5</v>
      </c>
      <c r="C36" s="2">
        <f>IFERROR(SUMIF($B$5:$B$29,C$32,INDEX(EMBELISHMENT!$B$3:$AQ$27,0,MATCH($AE36,EMBELISHMENT!$B$1:$AQ$1,0))),0)</f>
        <v>0</v>
      </c>
      <c r="D36" s="2">
        <f>IFERROR(SUMIF($B$5:$B$29,D$32,INDEX(EMBELISHMENT!$B$3:$AQ$27,0,MATCH($AE36,EMBELISHMENT!$B$1:$AQ$1,0))),0)</f>
        <v>0</v>
      </c>
      <c r="E36" s="2">
        <f>IFERROR(SUMIF($B$5:$B$29,E$32,INDEX(EMBELISHMENT!$B$3:$AQ$27,0,MATCH($AE36,EMBELISHMENT!$B$1:$AQ$1,0))),0)</f>
        <v>0</v>
      </c>
      <c r="F36" s="2">
        <f>IFERROR(SUMIF($B$5:$B$29,F$32,INDEX(EMBELISHMENT!$B$3:$AQ$27,0,MATCH($AE36,EMBELISHMENT!$B$1:$AQ$1,0))),0)</f>
        <v>16</v>
      </c>
      <c r="G36" s="2">
        <f>IFERROR(SUMIF($B$5:$B$29,G$32,INDEX(EMBELISHMENT!$B$3:$AQ$27,0,MATCH($AE36,EMBELISHMENT!$B$1:$AQ$1,0))),0)</f>
        <v>0</v>
      </c>
      <c r="H36" s="2">
        <f>IFERROR(SUMIF($B$5:$B$29,H$32,INDEX(EMBELISHMENT!$B$3:$AQ$27,0,MATCH($AE36,EMBELISHMENT!$B$1:$AQ$1,0))),0)</f>
        <v>0</v>
      </c>
      <c r="I36" s="2">
        <f>IFERROR(SUMIF($B$5:$B$29,I$32,INDEX(EMBELISHMENT!$B$3:$AQ$27,0,MATCH($AE36,EMBELISHMENT!$B$1:$AQ$1,0))),0)</f>
        <v>0</v>
      </c>
      <c r="J36" s="2">
        <f>IFERROR(SUMIF($B$5:$B$29,J$32,INDEX(EMBELISHMENT!$B$3:$AQ$27,0,MATCH($AE36,EMBELISHMENT!$B$1:$AQ$1,0))),0)</f>
        <v>0</v>
      </c>
      <c r="K36" s="2">
        <f>IFERROR(SUMIF($B$5:$B$29,K$32,INDEX(EMBELISHMENT!$B$3:$AQ$27,0,MATCH($AE36,EMBELISHMENT!$B$1:$AQ$1,0))),0)</f>
        <v>0</v>
      </c>
      <c r="L36" s="2">
        <f>IFERROR(SUMIF($B$5:$B$29,L$32,INDEX(EMBELISHMENT!$B$3:$AQ$27,0,MATCH($AE36,EMBELISHMENT!$B$1:$AQ$1,0))),0)</f>
        <v>0</v>
      </c>
      <c r="M36" s="2">
        <f>IFERROR(SUMIF($B$5:$B$29,M$32,INDEX(EMBELISHMENT!$B$3:$AQ$27,0,MATCH($AE36,EMBELISHMENT!$B$1:$AQ$1,0))),0)</f>
        <v>0</v>
      </c>
      <c r="N36" s="2">
        <f>IFERROR(SUMIF($B$5:$B$29,N$32,INDEX(EMBELISHMENT!$B$3:$AQ$27,0,MATCH($AE36,EMBELISHMENT!$B$1:$AQ$1,0))),0)</f>
        <v>0</v>
      </c>
      <c r="O36" s="2">
        <f>IFERROR(SUMIF($B$5:$B$29,O$32,INDEX(EMBELISHMENT!$B$3:$AQ$27,0,MATCH($AE36,EMBELISHMENT!$B$1:$AQ$1,0))),0)</f>
        <v>8</v>
      </c>
      <c r="P36" s="2">
        <f>IFERROR(SUMIF($B$5:$B$29,P$32,INDEX(EMBELISHMENT!$B$3:$AQ$27,0,MATCH($AE36,EMBELISHMENT!$B$1:$AQ$1,0))),0)</f>
        <v>0</v>
      </c>
      <c r="Q36" s="2">
        <f>IFERROR(SUMIF($B$5:$B$29,Q$32,INDEX(EMBELISHMENT!$B$3:$AQ$27,0,MATCH($AE36,EMBELISHMENT!$B$1:$AQ$1,0))),0)</f>
        <v>0</v>
      </c>
      <c r="R36" s="2">
        <f>IFERROR(SUMIF($B$5:$B$29,R$32,INDEX(EMBELISHMENT!$B$3:$AQ$27,0,MATCH($AE36,EMBELISHMENT!$B$1:$AQ$1,0))),0)</f>
        <v>0</v>
      </c>
      <c r="S36" s="2">
        <f>IFERROR(SUMIF($B$5:$B$29,S$32,INDEX(EMBELISHMENT!$B$3:$AQ$27,0,MATCH($AE36,EMBELISHMENT!$B$1:$AQ$1,0))),0)</f>
        <v>0</v>
      </c>
      <c r="T36" s="2">
        <f>IFERROR(SUMIF($B$5:$B$29,T$32,INDEX(EMBELISHMENT!$B$3:$AQ$27,0,MATCH($AE36,EMBELISHMENT!$B$1:$AQ$1,0))),0)</f>
        <v>0</v>
      </c>
      <c r="U36" s="2">
        <f>IFERROR(SUMIF($B$5:$B$29,U$32,INDEX(EMBELISHMENT!$B$3:$AQ$27,0,MATCH($AE36,EMBELISHMENT!$B$1:$AQ$1,0))),0)</f>
        <v>1.5</v>
      </c>
      <c r="V36" s="2">
        <f>IFERROR(SUMIF($B$5:$B$29,V$32,INDEX(EMBELISHMENT!$B$3:$AQ$27,0,MATCH($AE36,EMBELISHMENT!$B$1:$AQ$1,0))),0)</f>
        <v>0</v>
      </c>
      <c r="W36" s="2">
        <f>IFERROR(SUMIF($B$5:$B$29,W$32,INDEX(EMBELISHMENT!$B$3:$AQ$27,0,MATCH($AE36,EMBELISHMENT!$B$1:$AQ$1,0))),0)</f>
        <v>0</v>
      </c>
      <c r="X36" s="2">
        <f>IFERROR(SUMIF($B$5:$B$29,X$32,INDEX(EMBELISHMENT!$B$3:$AQ$27,0,MATCH($AE36,EMBELISHMENT!$B$1:$AQ$1,0))),0)</f>
        <v>0</v>
      </c>
      <c r="Y36" s="2">
        <f>IFERROR(SUMIF($B$5:$B$29,Y$32,INDEX(EMBELISHMENT!$B$3:$AQ$27,0,MATCH($AE36,EMBELISHMENT!$B$1:$AQ$1,0))),0)</f>
        <v>0</v>
      </c>
      <c r="Z36" s="2">
        <f>IFERROR(SUMIF($B$5:$B$29,Z$32,INDEX(EMBELISHMENT!$B$3:$AQ$27,0,MATCH($AE36,EMBELISHMENT!$B$1:$AQ$1,0))),0)</f>
        <v>0</v>
      </c>
      <c r="AA36" s="2">
        <f>IFERROR(SUMIF($B$5:$B$29,AA$32,INDEX(EMBELISHMENT!$B$3:$AQ$27,0,MATCH($AE36,EMBELISHMENT!$B$1:$AQ$1,0))),0)</f>
        <v>0</v>
      </c>
      <c r="AB36" s="2">
        <f>SUM($B36:$AA36)</f>
        <v>32</v>
      </c>
      <c r="AC36" s="2">
        <f>IFERROR(INDEX(EMBELISHMENT!$B$28:$AQ$28,MATCH($AE36,EMBELISHMENT!$B$1:$AQ$1,0)),0)</f>
        <v>32</v>
      </c>
      <c r="AD36" s="2" t="str">
        <f>IF(N(AC36)=0,"n/a",IF(ROUND(AB36-AC36,1)=0,"OK",ROUND(AB36-AC36,1)))</f>
        <v>OK</v>
      </c>
      <c r="AE36" s="277">
        <f>IFERROR(IF(INDEX($L$5:$L$28,MATCH($A36,$K$5:$K$28,0))="","(no recipe)",INDEX($L$5:$L$28,MATCH($A36,$K$5:$K$28,0))),$A36)</f>
        <v>6820</v>
      </c>
      <c r="AF36" s="14" t="str">
        <f>IFERROR(INDEX($M$5:$M$28,MATCH($A36,$K$5:$K$28,0)),"STYLE")</f>
        <v>STYLE</v>
      </c>
      <c r="AG36" s="60" t="s">
        <v>307</v>
      </c>
      <c r="AJ36" s="60" t="s">
        <v>15</v>
      </c>
      <c r="BA36" s="269" t="str">
        <f>DASHBOARD!$B73</f>
        <v>TRUNK</v>
      </c>
      <c r="BB36" s="15">
        <f>SUMIF($AH$87:$AH$112,$BA36,INDEX($D$87:$AC$112,0,MATCH(BB$34,$D$86:$AC$86,0)))</f>
        <v>47</v>
      </c>
      <c r="BC36" s="15">
        <f>SUMIF($AH$87:$AH$112,$BA36,INDEX($D$87:$AC$112,0,MATCH(BC$34,$D$86:$AC$86,0)))</f>
        <v>0</v>
      </c>
      <c r="BD36" s="15">
        <f>SUMIF($AH$87:$AH$112,$BA36,INDEX($D$87:$AC$112,0,MATCH(BD$34,$D$86:$AC$86,0)))</f>
        <v>0</v>
      </c>
      <c r="BE36" s="15">
        <f>SUMIF($AH$87:$AH$112,$BA36,INDEX($D$87:$AC$112,0,MATCH(BE$34,$D$86:$AC$86,0)))</f>
        <v>0</v>
      </c>
      <c r="BF36" s="15">
        <f>SUMIF($AH$87:$AH$112,$BA36,INDEX($D$87:$AC$112,0,MATCH(BF$34,$D$86:$AC$86,0)))</f>
        <v>76</v>
      </c>
      <c r="BG36" s="15">
        <f>SUMIF($AH$87:$AH$112,$BA36,INDEX($D$87:$AC$112,0,MATCH(BG$34,$D$86:$AC$86,0)))</f>
        <v>0</v>
      </c>
      <c r="BH36" s="15">
        <f>SUMIF($AH$87:$AH$112,$BA36,INDEX($D$87:$AC$112,0,MATCH(BH$34,$D$86:$AC$86,0)))</f>
        <v>0</v>
      </c>
      <c r="BI36" s="15">
        <f>SUMIF($AH$87:$AH$112,$BA36,INDEX($D$87:$AC$112,0,MATCH(BI$34,$D$86:$AC$86,0)))</f>
        <v>18</v>
      </c>
      <c r="BJ36" s="15">
        <f>SUMIF($AH$87:$AH$112,$BA36,INDEX($D$87:$AC$112,0,MATCH(BJ$34,$D$86:$AC$86,0)))</f>
        <v>7</v>
      </c>
      <c r="BK36" s="15">
        <f>SUMIF($AH$87:$AH$112,$BA36,INDEX($D$87:$AC$112,0,MATCH(BK$34,$D$86:$AC$86,0)))</f>
        <v>0</v>
      </c>
      <c r="BL36" s="15">
        <f>SUMIF($AH$87:$AH$112,$BA36,INDEX($D$87:$AC$112,0,MATCH(BL$34,$D$86:$AC$86,0)))</f>
        <v>5</v>
      </c>
      <c r="BM36" s="15">
        <f>SUMIF($AH$87:$AH$112,$BA36,INDEX($D$87:$AC$112,0,MATCH(BM$34,$D$86:$AC$86,0)))</f>
        <v>9</v>
      </c>
      <c r="BN36" s="15">
        <f>SUMIF($AH$87:$AH$112,$BA36,INDEX($D$87:$AC$112,0,MATCH(BN$34,$D$86:$AC$86,0)))</f>
        <v>16.5</v>
      </c>
      <c r="BO36" s="15">
        <f>SUMIF($AH$87:$AH$112,$BA36,INDEX($D$87:$AC$112,0,MATCH(BO$34,$D$86:$AC$86,0)))</f>
        <v>17</v>
      </c>
      <c r="BP36" s="15">
        <f>SUMIF($AH$87:$AH$112,$BA36,INDEX($D$87:$AC$112,0,MATCH(BP$34,$D$86:$AC$86,0)))</f>
        <v>29</v>
      </c>
      <c r="BQ36" s="15">
        <f>SUMIF($AH$87:$AH$112,$BA36,INDEX($D$87:$AC$112,0,MATCH(BQ$34,$D$86:$AC$86,0)))</f>
        <v>0</v>
      </c>
      <c r="BR36" s="15">
        <f>SUMIF($AH$87:$AH$112,$BA36,INDEX($D$87:$AC$112,0,MATCH(BR$34,$D$86:$AC$86,0)))</f>
        <v>0</v>
      </c>
      <c r="BS36" s="15">
        <f>SUMIF($AH$87:$AH$112,$BA36,INDEX($D$87:$AC$112,0,MATCH(BS$34,$D$86:$AC$86,0)))</f>
        <v>0</v>
      </c>
      <c r="BT36" s="15">
        <f>SUMIF($AH$87:$AH$112,$BA36,INDEX($D$87:$AC$112,0,MATCH(BT$34,$D$86:$AC$86,0)))</f>
        <v>1</v>
      </c>
      <c r="BU36" s="15">
        <f>SUMIF($AH$87:$AH$112,$BA36,INDEX($D$87:$AC$112,0,MATCH(BU$34,$D$86:$AC$86,0)))</f>
        <v>8</v>
      </c>
      <c r="BV36" s="15">
        <f>SUMIF($AH$87:$AH$112,$BA36,INDEX($D$87:$AC$112,0,MATCH(BV$34,$D$86:$AC$86,0)))</f>
        <v>0</v>
      </c>
      <c r="BW36" s="15">
        <f>SUMIF($AH$87:$AH$112,$BA36,INDEX($D$87:$AC$112,0,MATCH(BW$34,$D$86:$AC$86,0)))</f>
        <v>0</v>
      </c>
      <c r="BX36" s="15">
        <f>SUMIF($AH$87:$AH$112,$BA36,INDEX($D$87:$AC$112,0,MATCH(BX$34,$D$86:$AC$86,0)))</f>
        <v>0</v>
      </c>
      <c r="BY36" s="15">
        <f>SUMIF($AH$87:$AH$112,$BA36,INDEX($D$87:$AC$112,0,MATCH(BY$34,$D$86:$AC$86,0)))</f>
        <v>0</v>
      </c>
      <c r="BZ36" s="15">
        <f>SUMIF($AH$87:$AH$112,$BA36,INDEX($D$87:$AC$112,0,MATCH(BZ$34,$D$86:$AC$86,0)))</f>
        <v>0</v>
      </c>
      <c r="CA36" s="15">
        <f>SUMIF($AH$87:$AH$112,$BA36,INDEX($D$87:$AC$112,0,MATCH(CA$34,$D$86:$AC$86,0)))</f>
        <v>14</v>
      </c>
      <c r="CB36" s="15">
        <f>SUM($BB36:$CA36)</f>
        <v>247.5</v>
      </c>
      <c r="CC36" s="15">
        <f>COUNTIF($AH$87:$AH$112,$BA36)</f>
        <v>8</v>
      </c>
    </row>
    <row r="37" spans="1:81">
      <c r="A37" s="19">
        <f>$E9</f>
        <v>6108</v>
      </c>
      <c r="B37" s="2">
        <f>IFERROR(SUMIF($B$5:$B$29,B$32,INDEX(EMBELISHMENT!$B$3:$AQ$27,0,MATCH($AE37,EMBELISHMENT!$B$1:$AQ$1,0))),0)</f>
        <v>6</v>
      </c>
      <c r="C37" s="2">
        <f>IFERROR(SUMIF($B$5:$B$29,C$32,INDEX(EMBELISHMENT!$B$3:$AQ$27,0,MATCH($AE37,EMBELISHMENT!$B$1:$AQ$1,0))),0)</f>
        <v>0</v>
      </c>
      <c r="D37" s="2">
        <f>IFERROR(SUMIF($B$5:$B$29,D$32,INDEX(EMBELISHMENT!$B$3:$AQ$27,0,MATCH($AE37,EMBELISHMENT!$B$1:$AQ$1,0))),0)</f>
        <v>0</v>
      </c>
      <c r="E37" s="2">
        <f>IFERROR(SUMIF($B$5:$B$29,E$32,INDEX(EMBELISHMENT!$B$3:$AQ$27,0,MATCH($AE37,EMBELISHMENT!$B$1:$AQ$1,0))),0)</f>
        <v>0</v>
      </c>
      <c r="F37" s="2">
        <f>IFERROR(SUMIF($B$5:$B$29,F$32,INDEX(EMBELISHMENT!$B$3:$AQ$27,0,MATCH($AE37,EMBELISHMENT!$B$1:$AQ$1,0))),0)</f>
        <v>10</v>
      </c>
      <c r="G37" s="2">
        <f>IFERROR(SUMIF($B$5:$B$29,G$32,INDEX(EMBELISHMENT!$B$3:$AQ$27,0,MATCH($AE37,EMBELISHMENT!$B$1:$AQ$1,0))),0)</f>
        <v>0</v>
      </c>
      <c r="H37" s="2">
        <f>IFERROR(SUMIF($B$5:$B$29,H$32,INDEX(EMBELISHMENT!$B$3:$AQ$27,0,MATCH($AE37,EMBELISHMENT!$B$1:$AQ$1,0))),0)</f>
        <v>0</v>
      </c>
      <c r="I37" s="2">
        <f>IFERROR(SUMIF($B$5:$B$29,I$32,INDEX(EMBELISHMENT!$B$3:$AQ$27,0,MATCH($AE37,EMBELISHMENT!$B$1:$AQ$1,0))),0)</f>
        <v>3</v>
      </c>
      <c r="J37" s="2">
        <f>IFERROR(SUMIF($B$5:$B$29,J$32,INDEX(EMBELISHMENT!$B$3:$AQ$27,0,MATCH($AE37,EMBELISHMENT!$B$1:$AQ$1,0))),0)</f>
        <v>1</v>
      </c>
      <c r="K37" s="2">
        <f>IFERROR(SUMIF($B$5:$B$29,K$32,INDEX(EMBELISHMENT!$B$3:$AQ$27,0,MATCH($AE37,EMBELISHMENT!$B$1:$AQ$1,0))),0)</f>
        <v>0</v>
      </c>
      <c r="L37" s="2">
        <f>IFERROR(SUMIF($B$5:$B$29,L$32,INDEX(EMBELISHMENT!$B$3:$AQ$27,0,MATCH($AE37,EMBELISHMENT!$B$1:$AQ$1,0))),0)</f>
        <v>2.5</v>
      </c>
      <c r="M37" s="2">
        <f>IFERROR(SUMIF($B$5:$B$29,M$32,INDEX(EMBELISHMENT!$B$3:$AQ$27,0,MATCH($AE37,EMBELISHMENT!$B$1:$AQ$1,0))),0)</f>
        <v>0</v>
      </c>
      <c r="N37" s="2">
        <f>IFERROR(SUMIF($B$5:$B$29,N$32,INDEX(EMBELISHMENT!$B$3:$AQ$27,0,MATCH($AE37,EMBELISHMENT!$B$1:$AQ$1,0))),0)</f>
        <v>0</v>
      </c>
      <c r="O37" s="2">
        <f>IFERROR(SUMIF($B$5:$B$29,O$32,INDEX(EMBELISHMENT!$B$3:$AQ$27,0,MATCH($AE37,EMBELISHMENT!$B$1:$AQ$1,0))),0)</f>
        <v>3</v>
      </c>
      <c r="P37" s="2">
        <f>IFERROR(SUMIF($B$5:$B$29,P$32,INDEX(EMBELISHMENT!$B$3:$AQ$27,0,MATCH($AE37,EMBELISHMENT!$B$1:$AQ$1,0))),0)</f>
        <v>4</v>
      </c>
      <c r="Q37" s="2">
        <f>IFERROR(SUMIF($B$5:$B$29,Q$32,INDEX(EMBELISHMENT!$B$3:$AQ$27,0,MATCH($AE37,EMBELISHMENT!$B$1:$AQ$1,0))),0)</f>
        <v>0</v>
      </c>
      <c r="R37" s="2">
        <f>IFERROR(SUMIF($B$5:$B$29,R$32,INDEX(EMBELISHMENT!$B$3:$AQ$27,0,MATCH($AE37,EMBELISHMENT!$B$1:$AQ$1,0))),0)</f>
        <v>0</v>
      </c>
      <c r="S37" s="2">
        <f>IFERROR(SUMIF($B$5:$B$29,S$32,INDEX(EMBELISHMENT!$B$3:$AQ$27,0,MATCH($AE37,EMBELISHMENT!$B$1:$AQ$1,0))),0)</f>
        <v>0</v>
      </c>
      <c r="T37" s="2">
        <f>IFERROR(SUMIF($B$5:$B$29,T$32,INDEX(EMBELISHMENT!$B$3:$AQ$27,0,MATCH($AE37,EMBELISHMENT!$B$1:$AQ$1,0))),0)</f>
        <v>0</v>
      </c>
      <c r="U37" s="2">
        <f>IFERROR(SUMIF($B$5:$B$29,U$32,INDEX(EMBELISHMENT!$B$3:$AQ$27,0,MATCH($AE37,EMBELISHMENT!$B$1:$AQ$1,0))),0)</f>
        <v>1</v>
      </c>
      <c r="V37" s="2">
        <f>IFERROR(SUMIF($B$5:$B$29,V$32,INDEX(EMBELISHMENT!$B$3:$AQ$27,0,MATCH($AE37,EMBELISHMENT!$B$1:$AQ$1,0))),0)</f>
        <v>0</v>
      </c>
      <c r="W37" s="2">
        <f>IFERROR(SUMIF($B$5:$B$29,W$32,INDEX(EMBELISHMENT!$B$3:$AQ$27,0,MATCH($AE37,EMBELISHMENT!$B$1:$AQ$1,0))),0)</f>
        <v>0</v>
      </c>
      <c r="X37" s="2">
        <f>IFERROR(SUMIF($B$5:$B$29,X$32,INDEX(EMBELISHMENT!$B$3:$AQ$27,0,MATCH($AE37,EMBELISHMENT!$B$1:$AQ$1,0))),0)</f>
        <v>0</v>
      </c>
      <c r="Y37" s="2">
        <f>IFERROR(SUMIF($B$5:$B$29,Y$32,INDEX(EMBELISHMENT!$B$3:$AQ$27,0,MATCH($AE37,EMBELISHMENT!$B$1:$AQ$1,0))),0)</f>
        <v>0</v>
      </c>
      <c r="Z37" s="2">
        <f>IFERROR(SUMIF($B$5:$B$29,Z$32,INDEX(EMBELISHMENT!$B$3:$AQ$27,0,MATCH($AE37,EMBELISHMENT!$B$1:$AQ$1,0))),0)</f>
        <v>0</v>
      </c>
      <c r="AA37" s="2">
        <f>IFERROR(SUMIF($B$5:$B$29,AA$32,INDEX(EMBELISHMENT!$B$3:$AQ$27,0,MATCH($AE37,EMBELISHMENT!$B$1:$AQ$1,0))),0)</f>
        <v>1</v>
      </c>
      <c r="AB37" s="2">
        <f>SUM($B37:$AA37)</f>
        <v>31.5</v>
      </c>
      <c r="AC37" s="2">
        <f>IFERROR(INDEX(EMBELISHMENT!$B$28:$AQ$28,MATCH($AE37,EMBELISHMENT!$B$1:$AQ$1,0)),0)</f>
        <v>31.5</v>
      </c>
      <c r="AD37" s="2" t="str">
        <f>IF(N(AC37)=0,"n/a",IF(ROUND(AB37-AC37,1)=0,"OK",ROUND(AB37-AC37,1)))</f>
        <v>OK</v>
      </c>
      <c r="AE37" s="277">
        <f>IFERROR(IF(INDEX($L$5:$L$28,MATCH($A37,$K$5:$K$28,0))="","(no recipe)",INDEX($L$5:$L$28,MATCH($A37,$K$5:$K$28,0))),$A37)</f>
        <v>6108</v>
      </c>
      <c r="AF37" s="14" t="str">
        <f>IFERROR(INDEX($M$5:$M$28,MATCH($A37,$K$5:$K$28,0)),"STYLE")</f>
        <v>STYLE</v>
      </c>
      <c r="AG37" s="60" t="s">
        <v>21</v>
      </c>
      <c r="AJ37" s="60" t="s">
        <v>369</v>
      </c>
      <c r="BA37" s="269" t="str">
        <f>DASHBOARD!$B74</f>
        <v>VEST</v>
      </c>
      <c r="BB37" s="15">
        <f>SUMIF($AH$87:$AH$112,$BA37,INDEX($D$87:$AC$112,0,MATCH(BB$34,$D$86:$AC$86,0)))</f>
        <v>18</v>
      </c>
      <c r="BC37" s="15">
        <f>SUMIF($AH$87:$AH$112,$BA37,INDEX($D$87:$AC$112,0,MATCH(BC$34,$D$86:$AC$86,0)))</f>
        <v>0</v>
      </c>
      <c r="BD37" s="15">
        <f>SUMIF($AH$87:$AH$112,$BA37,INDEX($D$87:$AC$112,0,MATCH(BD$34,$D$86:$AC$86,0)))</f>
        <v>0</v>
      </c>
      <c r="BE37" s="15">
        <f>SUMIF($AH$87:$AH$112,$BA37,INDEX($D$87:$AC$112,0,MATCH(BE$34,$D$86:$AC$86,0)))</f>
        <v>0</v>
      </c>
      <c r="BF37" s="15">
        <f>SUMIF($AH$87:$AH$112,$BA37,INDEX($D$87:$AC$112,0,MATCH(BF$34,$D$86:$AC$86,0)))</f>
        <v>40</v>
      </c>
      <c r="BG37" s="15">
        <f>SUMIF($AH$87:$AH$112,$BA37,INDEX($D$87:$AC$112,0,MATCH(BG$34,$D$86:$AC$86,0)))</f>
        <v>0</v>
      </c>
      <c r="BH37" s="15">
        <f>SUMIF($AH$87:$AH$112,$BA37,INDEX($D$87:$AC$112,0,MATCH(BH$34,$D$86:$AC$86,0)))</f>
        <v>0</v>
      </c>
      <c r="BI37" s="15">
        <f>SUMIF($AH$87:$AH$112,$BA37,INDEX($D$87:$AC$112,0,MATCH(BI$34,$D$86:$AC$86,0)))</f>
        <v>0</v>
      </c>
      <c r="BJ37" s="15">
        <f>SUMIF($AH$87:$AH$112,$BA37,INDEX($D$87:$AC$112,0,MATCH(BJ$34,$D$86:$AC$86,0)))</f>
        <v>4</v>
      </c>
      <c r="BK37" s="15">
        <f>SUMIF($AH$87:$AH$112,$BA37,INDEX($D$87:$AC$112,0,MATCH(BK$34,$D$86:$AC$86,0)))</f>
        <v>0</v>
      </c>
      <c r="BL37" s="15">
        <f>SUMIF($AH$87:$AH$112,$BA37,INDEX($D$87:$AC$112,0,MATCH(BL$34,$D$86:$AC$86,0)))</f>
        <v>0</v>
      </c>
      <c r="BM37" s="15">
        <f>SUMIF($AH$87:$AH$112,$BA37,INDEX($D$87:$AC$112,0,MATCH(BM$34,$D$86:$AC$86,0)))</f>
        <v>0</v>
      </c>
      <c r="BN37" s="15">
        <f>SUMIF($AH$87:$AH$112,$BA37,INDEX($D$87:$AC$112,0,MATCH(BN$34,$D$86:$AC$86,0)))</f>
        <v>0</v>
      </c>
      <c r="BO37" s="15">
        <f>SUMIF($AH$87:$AH$112,$BA37,INDEX($D$87:$AC$112,0,MATCH(BO$34,$D$86:$AC$86,0)))</f>
        <v>23</v>
      </c>
      <c r="BP37" s="15">
        <f>SUMIF($AH$87:$AH$112,$BA37,INDEX($D$87:$AC$112,0,MATCH(BP$34,$D$86:$AC$86,0)))</f>
        <v>0</v>
      </c>
      <c r="BQ37" s="15">
        <f>SUMIF($AH$87:$AH$112,$BA37,INDEX($D$87:$AC$112,0,MATCH(BQ$34,$D$86:$AC$86,0)))</f>
        <v>0</v>
      </c>
      <c r="BR37" s="15">
        <f>SUMIF($AH$87:$AH$112,$BA37,INDEX($D$87:$AC$112,0,MATCH(BR$34,$D$86:$AC$86,0)))</f>
        <v>0</v>
      </c>
      <c r="BS37" s="15">
        <f>SUMIF($AH$87:$AH$112,$BA37,INDEX($D$87:$AC$112,0,MATCH(BS$34,$D$86:$AC$86,0)))</f>
        <v>0</v>
      </c>
      <c r="BT37" s="15">
        <f>SUMIF($AH$87:$AH$112,$BA37,INDEX($D$87:$AC$112,0,MATCH(BT$34,$D$86:$AC$86,0)))</f>
        <v>0</v>
      </c>
      <c r="BU37" s="15">
        <f>SUMIF($AH$87:$AH$112,$BA37,INDEX($D$87:$AC$112,0,MATCH(BU$34,$D$86:$AC$86,0)))</f>
        <v>4</v>
      </c>
      <c r="BV37" s="15">
        <f>SUMIF($AH$87:$AH$112,$BA37,INDEX($D$87:$AC$112,0,MATCH(BV$34,$D$86:$AC$86,0)))</f>
        <v>0</v>
      </c>
      <c r="BW37" s="15">
        <f>SUMIF($AH$87:$AH$112,$BA37,INDEX($D$87:$AC$112,0,MATCH(BW$34,$D$86:$AC$86,0)))</f>
        <v>0</v>
      </c>
      <c r="BX37" s="15">
        <f>SUMIF($AH$87:$AH$112,$BA37,INDEX($D$87:$AC$112,0,MATCH(BX$34,$D$86:$AC$86,0)))</f>
        <v>0</v>
      </c>
      <c r="BY37" s="15">
        <f>SUMIF($AH$87:$AH$112,$BA37,INDEX($D$87:$AC$112,0,MATCH(BY$34,$D$86:$AC$86,0)))</f>
        <v>0</v>
      </c>
      <c r="BZ37" s="15">
        <f>SUMIF($AH$87:$AH$112,$BA37,INDEX($D$87:$AC$112,0,MATCH(BZ$34,$D$86:$AC$86,0)))</f>
        <v>0</v>
      </c>
      <c r="CA37" s="15">
        <f>SUMIF($AH$87:$AH$112,$BA37,INDEX($D$87:$AC$112,0,MATCH(CA$34,$D$86:$AC$86,0)))</f>
        <v>0</v>
      </c>
      <c r="CB37" s="15">
        <f>SUM($BB37:$CA37)</f>
        <v>89</v>
      </c>
      <c r="CC37" s="15">
        <f>COUNTIF($AH$87:$AH$112,$BA37)</f>
        <v>3</v>
      </c>
    </row>
    <row r="38" spans="1:81">
      <c r="A38" s="19">
        <f>$E10</f>
        <v>6109</v>
      </c>
      <c r="B38" s="2">
        <f>IFERROR(SUMIF($B$5:$B$29,B$32,INDEX(EMBELISHMENT!$B$3:$AQ$27,0,MATCH($AE38,EMBELISHMENT!$B$1:$AQ$1,0))),0)</f>
        <v>6</v>
      </c>
      <c r="C38" s="2">
        <f>IFERROR(SUMIF($B$5:$B$29,C$32,INDEX(EMBELISHMENT!$B$3:$AQ$27,0,MATCH($AE38,EMBELISHMENT!$B$1:$AQ$1,0))),0)</f>
        <v>0</v>
      </c>
      <c r="D38" s="2">
        <f>IFERROR(SUMIF($B$5:$B$29,D$32,INDEX(EMBELISHMENT!$B$3:$AQ$27,0,MATCH($AE38,EMBELISHMENT!$B$1:$AQ$1,0))),0)</f>
        <v>0</v>
      </c>
      <c r="E38" s="2">
        <f>IFERROR(SUMIF($B$5:$B$29,E$32,INDEX(EMBELISHMENT!$B$3:$AQ$27,0,MATCH($AE38,EMBELISHMENT!$B$1:$AQ$1,0))),0)</f>
        <v>0</v>
      </c>
      <c r="F38" s="2">
        <f>IFERROR(SUMIF($B$5:$B$29,F$32,INDEX(EMBELISHMENT!$B$3:$AQ$27,0,MATCH($AE38,EMBELISHMENT!$B$1:$AQ$1,0))),0)</f>
        <v>10</v>
      </c>
      <c r="G38" s="2">
        <f>IFERROR(SUMIF($B$5:$B$29,G$32,INDEX(EMBELISHMENT!$B$3:$AQ$27,0,MATCH($AE38,EMBELISHMENT!$B$1:$AQ$1,0))),0)</f>
        <v>0</v>
      </c>
      <c r="H38" s="2">
        <f>IFERROR(SUMIF($B$5:$B$29,H$32,INDEX(EMBELISHMENT!$B$3:$AQ$27,0,MATCH($AE38,EMBELISHMENT!$B$1:$AQ$1,0))),0)</f>
        <v>0</v>
      </c>
      <c r="I38" s="2">
        <f>IFERROR(SUMIF($B$5:$B$29,I$32,INDEX(EMBELISHMENT!$B$3:$AQ$27,0,MATCH($AE38,EMBELISHMENT!$B$1:$AQ$1,0))),0)</f>
        <v>0</v>
      </c>
      <c r="J38" s="2">
        <f>IFERROR(SUMIF($B$5:$B$29,J$32,INDEX(EMBELISHMENT!$B$3:$AQ$27,0,MATCH($AE38,EMBELISHMENT!$B$1:$AQ$1,0))),0)</f>
        <v>1</v>
      </c>
      <c r="K38" s="2">
        <f>IFERROR(SUMIF($B$5:$B$29,K$32,INDEX(EMBELISHMENT!$B$3:$AQ$27,0,MATCH($AE38,EMBELISHMENT!$B$1:$AQ$1,0))),0)</f>
        <v>0</v>
      </c>
      <c r="L38" s="2">
        <f>IFERROR(SUMIF($B$5:$B$29,L$32,INDEX(EMBELISHMENT!$B$3:$AQ$27,0,MATCH($AE38,EMBELISHMENT!$B$1:$AQ$1,0))),0)</f>
        <v>0</v>
      </c>
      <c r="M38" s="2">
        <f>IFERROR(SUMIF($B$5:$B$29,M$32,INDEX(EMBELISHMENT!$B$3:$AQ$27,0,MATCH($AE38,EMBELISHMENT!$B$1:$AQ$1,0))),0)</f>
        <v>0</v>
      </c>
      <c r="N38" s="2">
        <f>IFERROR(SUMIF($B$5:$B$29,N$32,INDEX(EMBELISHMENT!$B$3:$AQ$27,0,MATCH($AE38,EMBELISHMENT!$B$1:$AQ$1,0))),0)</f>
        <v>3</v>
      </c>
      <c r="O38" s="2">
        <f>IFERROR(SUMIF($B$5:$B$29,O$32,INDEX(EMBELISHMENT!$B$3:$AQ$27,0,MATCH($AE38,EMBELISHMENT!$B$1:$AQ$1,0))),0)</f>
        <v>3</v>
      </c>
      <c r="P38" s="2">
        <f>IFERROR(SUMIF($B$5:$B$29,P$32,INDEX(EMBELISHMENT!$B$3:$AQ$27,0,MATCH($AE38,EMBELISHMENT!$B$1:$AQ$1,0))),0)</f>
        <v>4</v>
      </c>
      <c r="Q38" s="2">
        <f>IFERROR(SUMIF($B$5:$B$29,Q$32,INDEX(EMBELISHMENT!$B$3:$AQ$27,0,MATCH($AE38,EMBELISHMENT!$B$1:$AQ$1,0))),0)</f>
        <v>0</v>
      </c>
      <c r="R38" s="2">
        <f>IFERROR(SUMIF($B$5:$B$29,R$32,INDEX(EMBELISHMENT!$B$3:$AQ$27,0,MATCH($AE38,EMBELISHMENT!$B$1:$AQ$1,0))),0)</f>
        <v>0</v>
      </c>
      <c r="S38" s="2">
        <f>IFERROR(SUMIF($B$5:$B$29,S$32,INDEX(EMBELISHMENT!$B$3:$AQ$27,0,MATCH($AE38,EMBELISHMENT!$B$1:$AQ$1,0))),0)</f>
        <v>0</v>
      </c>
      <c r="T38" s="2">
        <f>IFERROR(SUMIF($B$5:$B$29,T$32,INDEX(EMBELISHMENT!$B$3:$AQ$27,0,MATCH($AE38,EMBELISHMENT!$B$1:$AQ$1,0))),0)</f>
        <v>0</v>
      </c>
      <c r="U38" s="2">
        <f>IFERROR(SUMIF($B$5:$B$29,U$32,INDEX(EMBELISHMENT!$B$3:$AQ$27,0,MATCH($AE38,EMBELISHMENT!$B$1:$AQ$1,0))),0)</f>
        <v>1</v>
      </c>
      <c r="V38" s="2">
        <f>IFERROR(SUMIF($B$5:$B$29,V$32,INDEX(EMBELISHMENT!$B$3:$AQ$27,0,MATCH($AE38,EMBELISHMENT!$B$1:$AQ$1,0))),0)</f>
        <v>0</v>
      </c>
      <c r="W38" s="2">
        <f>IFERROR(SUMIF($B$5:$B$29,W$32,INDEX(EMBELISHMENT!$B$3:$AQ$27,0,MATCH($AE38,EMBELISHMENT!$B$1:$AQ$1,0))),0)</f>
        <v>0</v>
      </c>
      <c r="X38" s="2">
        <f>IFERROR(SUMIF($B$5:$B$29,X$32,INDEX(EMBELISHMENT!$B$3:$AQ$27,0,MATCH($AE38,EMBELISHMENT!$B$1:$AQ$1,0))),0)</f>
        <v>0</v>
      </c>
      <c r="Y38" s="2">
        <f>IFERROR(SUMIF($B$5:$B$29,Y$32,INDEX(EMBELISHMENT!$B$3:$AQ$27,0,MATCH($AE38,EMBELISHMENT!$B$1:$AQ$1,0))),0)</f>
        <v>0</v>
      </c>
      <c r="Z38" s="2">
        <f>IFERROR(SUMIF($B$5:$B$29,Z$32,INDEX(EMBELISHMENT!$B$3:$AQ$27,0,MATCH($AE38,EMBELISHMENT!$B$1:$AQ$1,0))),0)</f>
        <v>0</v>
      </c>
      <c r="AA38" s="2">
        <f>IFERROR(SUMIF($B$5:$B$29,AA$32,INDEX(EMBELISHMENT!$B$3:$AQ$27,0,MATCH($AE38,EMBELISHMENT!$B$1:$AQ$1,0))),0)</f>
        <v>2</v>
      </c>
      <c r="AB38" s="2">
        <f>SUM($B38:$AA38)</f>
        <v>30</v>
      </c>
      <c r="AC38" s="2">
        <f>IFERROR(INDEX(EMBELISHMENT!$B$28:$AQ$28,MATCH($AE38,EMBELISHMENT!$B$1:$AQ$1,0)),0)</f>
        <v>30</v>
      </c>
      <c r="AD38" s="2" t="str">
        <f>IF(N(AC38)=0,"n/a",IF(ROUND(AB38-AC38,1)=0,"OK",ROUND(AB38-AC38,1)))</f>
        <v>OK</v>
      </c>
      <c r="AE38" s="277">
        <f>IFERROR(IF(INDEX($L$5:$L$28,MATCH($A38,$K$5:$K$28,0))="","(no recipe)",INDEX($L$5:$L$28,MATCH($A38,$K$5:$K$28,0))),$A38)</f>
        <v>6109</v>
      </c>
      <c r="AF38" s="14" t="str">
        <f>IFERROR(INDEX($M$5:$M$28,MATCH($A38,$K$5:$K$28,0)),"STYLE")</f>
        <v>STYLE</v>
      </c>
      <c r="AG38" s="60" t="s">
        <v>21</v>
      </c>
      <c r="AJ38" s="60" t="s">
        <v>306</v>
      </c>
      <c r="BA38" s="269" t="str">
        <f>DASHBOARD!$B75</f>
        <v>THERMAL</v>
      </c>
      <c r="BB38" s="15">
        <f>SUMIF($AH$87:$AH$112,$BA38,INDEX($D$87:$AC$112,0,MATCH(BB$34,$D$86:$AC$86,0)))</f>
        <v>9</v>
      </c>
      <c r="BC38" s="15">
        <f>SUMIF($AH$87:$AH$112,$BA38,INDEX($D$87:$AC$112,0,MATCH(BC$34,$D$86:$AC$86,0)))</f>
        <v>0</v>
      </c>
      <c r="BD38" s="15">
        <f>SUMIF($AH$87:$AH$112,$BA38,INDEX($D$87:$AC$112,0,MATCH(BD$34,$D$86:$AC$86,0)))</f>
        <v>0</v>
      </c>
      <c r="BE38" s="15">
        <f>SUMIF($AH$87:$AH$112,$BA38,INDEX($D$87:$AC$112,0,MATCH(BE$34,$D$86:$AC$86,0)))</f>
        <v>2</v>
      </c>
      <c r="BF38" s="15">
        <f>SUMIF($AH$87:$AH$112,$BA38,INDEX($D$87:$AC$112,0,MATCH(BF$34,$D$86:$AC$86,0)))</f>
        <v>31</v>
      </c>
      <c r="BG38" s="15">
        <f>SUMIF($AH$87:$AH$112,$BA38,INDEX($D$87:$AC$112,0,MATCH(BG$34,$D$86:$AC$86,0)))</f>
        <v>0</v>
      </c>
      <c r="BH38" s="15">
        <f>SUMIF($AH$87:$AH$112,$BA38,INDEX($D$87:$AC$112,0,MATCH(BH$34,$D$86:$AC$86,0)))</f>
        <v>0</v>
      </c>
      <c r="BI38" s="15">
        <f>SUMIF($AH$87:$AH$112,$BA38,INDEX($D$87:$AC$112,0,MATCH(BI$34,$D$86:$AC$86,0)))</f>
        <v>8</v>
      </c>
      <c r="BJ38" s="15">
        <f>SUMIF($AH$87:$AH$112,$BA38,INDEX($D$87:$AC$112,0,MATCH(BJ$34,$D$86:$AC$86,0)))</f>
        <v>8</v>
      </c>
      <c r="BK38" s="15">
        <f>SUMIF($AH$87:$AH$112,$BA38,INDEX($D$87:$AC$112,0,MATCH(BK$34,$D$86:$AC$86,0)))</f>
        <v>0</v>
      </c>
      <c r="BL38" s="15">
        <f>SUMIF($AH$87:$AH$112,$BA38,INDEX($D$87:$AC$112,0,MATCH(BL$34,$D$86:$AC$86,0)))</f>
        <v>0</v>
      </c>
      <c r="BM38" s="15">
        <f>SUMIF($AH$87:$AH$112,$BA38,INDEX($D$87:$AC$112,0,MATCH(BM$34,$D$86:$AC$86,0)))</f>
        <v>7</v>
      </c>
      <c r="BN38" s="15">
        <f>SUMIF($AH$87:$AH$112,$BA38,INDEX($D$87:$AC$112,0,MATCH(BN$34,$D$86:$AC$86,0)))</f>
        <v>0</v>
      </c>
      <c r="BO38" s="15">
        <f>SUMIF($AH$87:$AH$112,$BA38,INDEX($D$87:$AC$112,0,MATCH(BO$34,$D$86:$AC$86,0)))</f>
        <v>0</v>
      </c>
      <c r="BP38" s="15">
        <f>SUMIF($AH$87:$AH$112,$BA38,INDEX($D$87:$AC$112,0,MATCH(BP$34,$D$86:$AC$86,0)))</f>
        <v>12</v>
      </c>
      <c r="BQ38" s="15">
        <f>SUMIF($AH$87:$AH$112,$BA38,INDEX($D$87:$AC$112,0,MATCH(BQ$34,$D$86:$AC$86,0)))</f>
        <v>0</v>
      </c>
      <c r="BR38" s="15">
        <f>SUMIF($AH$87:$AH$112,$BA38,INDEX($D$87:$AC$112,0,MATCH(BR$34,$D$86:$AC$86,0)))</f>
        <v>0</v>
      </c>
      <c r="BS38" s="15">
        <f>SUMIF($AH$87:$AH$112,$BA38,INDEX($D$87:$AC$112,0,MATCH(BS$34,$D$86:$AC$86,0)))</f>
        <v>0</v>
      </c>
      <c r="BT38" s="15">
        <f>SUMIF($AH$87:$AH$112,$BA38,INDEX($D$87:$AC$112,0,MATCH(BT$34,$D$86:$AC$86,0)))</f>
        <v>11</v>
      </c>
      <c r="BU38" s="15">
        <f>SUMIF($AH$87:$AH$112,$BA38,INDEX($D$87:$AC$112,0,MATCH(BU$34,$D$86:$AC$86,0)))</f>
        <v>3</v>
      </c>
      <c r="BV38" s="15">
        <f>SUMIF($AH$87:$AH$112,$BA38,INDEX($D$87:$AC$112,0,MATCH(BV$34,$D$86:$AC$86,0)))</f>
        <v>0</v>
      </c>
      <c r="BW38" s="15">
        <f>SUMIF($AH$87:$AH$112,$BA38,INDEX($D$87:$AC$112,0,MATCH(BW$34,$D$86:$AC$86,0)))</f>
        <v>0</v>
      </c>
      <c r="BX38" s="15">
        <f>SUMIF($AH$87:$AH$112,$BA38,INDEX($D$87:$AC$112,0,MATCH(BX$34,$D$86:$AC$86,0)))</f>
        <v>0</v>
      </c>
      <c r="BY38" s="15">
        <f>SUMIF($AH$87:$AH$112,$BA38,INDEX($D$87:$AC$112,0,MATCH(BY$34,$D$86:$AC$86,0)))</f>
        <v>1</v>
      </c>
      <c r="BZ38" s="15">
        <f>SUMIF($AH$87:$AH$112,$BA38,INDEX($D$87:$AC$112,0,MATCH(BZ$34,$D$86:$AC$86,0)))</f>
        <v>0</v>
      </c>
      <c r="CA38" s="15">
        <f>SUMIF($AH$87:$AH$112,$BA38,INDEX($D$87:$AC$112,0,MATCH(CA$34,$D$86:$AC$86,0)))</f>
        <v>0</v>
      </c>
      <c r="CB38" s="15">
        <f>SUM($BB38:$CA38)</f>
        <v>92</v>
      </c>
      <c r="CC38" s="15">
        <f>COUNTIF($AH$87:$AH$112,$BA38)</f>
        <v>3</v>
      </c>
    </row>
    <row r="39" spans="1:81">
      <c r="A39" s="19">
        <f>$E11</f>
        <v>4117</v>
      </c>
      <c r="B39" s="2">
        <f>IFERROR(SUMIF($B$5:$B$29,B$32,INDEX(EMBELISHMENT!$B$3:$AQ$27,0,MATCH($AE39,EMBELISHMENT!$B$1:$AQ$1,0))),0)</f>
        <v>6</v>
      </c>
      <c r="C39" s="2">
        <f>IFERROR(SUMIF($B$5:$B$29,C$32,INDEX(EMBELISHMENT!$B$3:$AQ$27,0,MATCH($AE39,EMBELISHMENT!$B$1:$AQ$1,0))),0)</f>
        <v>0</v>
      </c>
      <c r="D39" s="2">
        <f>IFERROR(SUMIF($B$5:$B$29,D$32,INDEX(EMBELISHMENT!$B$3:$AQ$27,0,MATCH($AE39,EMBELISHMENT!$B$1:$AQ$1,0))),0)</f>
        <v>0</v>
      </c>
      <c r="E39" s="2">
        <f>IFERROR(SUMIF($B$5:$B$29,E$32,INDEX(EMBELISHMENT!$B$3:$AQ$27,0,MATCH($AE39,EMBELISHMENT!$B$1:$AQ$1,0))),0)</f>
        <v>0</v>
      </c>
      <c r="F39" s="2">
        <f>IFERROR(SUMIF($B$5:$B$29,F$32,INDEX(EMBELISHMENT!$B$3:$AQ$27,0,MATCH($AE39,EMBELISHMENT!$B$1:$AQ$1,0))),0)</f>
        <v>8</v>
      </c>
      <c r="G39" s="2">
        <f>IFERROR(SUMIF($B$5:$B$29,G$32,INDEX(EMBELISHMENT!$B$3:$AQ$27,0,MATCH($AE39,EMBELISHMENT!$B$1:$AQ$1,0))),0)</f>
        <v>0</v>
      </c>
      <c r="H39" s="2">
        <f>IFERROR(SUMIF($B$5:$B$29,H$32,INDEX(EMBELISHMENT!$B$3:$AQ$27,0,MATCH($AE39,EMBELISHMENT!$B$1:$AQ$1,0))),0)</f>
        <v>0</v>
      </c>
      <c r="I39" s="2">
        <f>IFERROR(SUMIF($B$5:$B$29,I$32,INDEX(EMBELISHMENT!$B$3:$AQ$27,0,MATCH($AE39,EMBELISHMENT!$B$1:$AQ$1,0))),0)</f>
        <v>4</v>
      </c>
      <c r="J39" s="2">
        <f>IFERROR(SUMIF($B$5:$B$29,J$32,INDEX(EMBELISHMENT!$B$3:$AQ$27,0,MATCH($AE39,EMBELISHMENT!$B$1:$AQ$1,0))),0)</f>
        <v>1</v>
      </c>
      <c r="K39" s="2">
        <f>IFERROR(SUMIF($B$5:$B$29,K$32,INDEX(EMBELISHMENT!$B$3:$AQ$27,0,MATCH($AE39,EMBELISHMENT!$B$1:$AQ$1,0))),0)</f>
        <v>0</v>
      </c>
      <c r="L39" s="2">
        <f>IFERROR(SUMIF($B$5:$B$29,L$32,INDEX(EMBELISHMENT!$B$3:$AQ$27,0,MATCH($AE39,EMBELISHMENT!$B$1:$AQ$1,0))),0)</f>
        <v>0</v>
      </c>
      <c r="M39" s="2">
        <f>IFERROR(SUMIF($B$5:$B$29,M$32,INDEX(EMBELISHMENT!$B$3:$AQ$27,0,MATCH($AE39,EMBELISHMENT!$B$1:$AQ$1,0))),0)</f>
        <v>3</v>
      </c>
      <c r="N39" s="2">
        <f>IFERROR(SUMIF($B$5:$B$29,N$32,INDEX(EMBELISHMENT!$B$3:$AQ$27,0,MATCH($AE39,EMBELISHMENT!$B$1:$AQ$1,0))),0)</f>
        <v>2.5</v>
      </c>
      <c r="O39" s="2">
        <f>IFERROR(SUMIF($B$5:$B$29,O$32,INDEX(EMBELISHMENT!$B$3:$AQ$27,0,MATCH($AE39,EMBELISHMENT!$B$1:$AQ$1,0))),0)</f>
        <v>1</v>
      </c>
      <c r="P39" s="2">
        <f>IFERROR(SUMIF($B$5:$B$29,P$32,INDEX(EMBELISHMENT!$B$3:$AQ$27,0,MATCH($AE39,EMBELISHMENT!$B$1:$AQ$1,0))),0)</f>
        <v>2</v>
      </c>
      <c r="Q39" s="2">
        <f>IFERROR(SUMIF($B$5:$B$29,Q$32,INDEX(EMBELISHMENT!$B$3:$AQ$27,0,MATCH($AE39,EMBELISHMENT!$B$1:$AQ$1,0))),0)</f>
        <v>0</v>
      </c>
      <c r="R39" s="2">
        <f>IFERROR(SUMIF($B$5:$B$29,R$32,INDEX(EMBELISHMENT!$B$3:$AQ$27,0,MATCH($AE39,EMBELISHMENT!$B$1:$AQ$1,0))),0)</f>
        <v>0</v>
      </c>
      <c r="S39" s="2">
        <f>IFERROR(SUMIF($B$5:$B$29,S$32,INDEX(EMBELISHMENT!$B$3:$AQ$27,0,MATCH($AE39,EMBELISHMENT!$B$1:$AQ$1,0))),0)</f>
        <v>0</v>
      </c>
      <c r="T39" s="2">
        <f>IFERROR(SUMIF($B$5:$B$29,T$32,INDEX(EMBELISHMENT!$B$3:$AQ$27,0,MATCH($AE39,EMBELISHMENT!$B$1:$AQ$1,0))),0)</f>
        <v>0</v>
      </c>
      <c r="U39" s="2">
        <f>IFERROR(SUMIF($B$5:$B$29,U$32,INDEX(EMBELISHMENT!$B$3:$AQ$27,0,MATCH($AE39,EMBELISHMENT!$B$1:$AQ$1,0))),0)</f>
        <v>1</v>
      </c>
      <c r="V39" s="2">
        <f>IFERROR(SUMIF($B$5:$B$29,V$32,INDEX(EMBELISHMENT!$B$3:$AQ$27,0,MATCH($AE39,EMBELISHMENT!$B$1:$AQ$1,0))),0)</f>
        <v>0</v>
      </c>
      <c r="W39" s="2">
        <f>IFERROR(SUMIF($B$5:$B$29,W$32,INDEX(EMBELISHMENT!$B$3:$AQ$27,0,MATCH($AE39,EMBELISHMENT!$B$1:$AQ$1,0))),0)</f>
        <v>0</v>
      </c>
      <c r="X39" s="2">
        <f>IFERROR(SUMIF($B$5:$B$29,X$32,INDEX(EMBELISHMENT!$B$3:$AQ$27,0,MATCH($AE39,EMBELISHMENT!$B$1:$AQ$1,0))),0)</f>
        <v>0</v>
      </c>
      <c r="Y39" s="2">
        <f>IFERROR(SUMIF($B$5:$B$29,Y$32,INDEX(EMBELISHMENT!$B$3:$AQ$27,0,MATCH($AE39,EMBELISHMENT!$B$1:$AQ$1,0))),0)</f>
        <v>0</v>
      </c>
      <c r="Z39" s="2">
        <f>IFERROR(SUMIF($B$5:$B$29,Z$32,INDEX(EMBELISHMENT!$B$3:$AQ$27,0,MATCH($AE39,EMBELISHMENT!$B$1:$AQ$1,0))),0)</f>
        <v>0</v>
      </c>
      <c r="AA39" s="2">
        <f>IFERROR(SUMIF($B$5:$B$29,AA$32,INDEX(EMBELISHMENT!$B$3:$AQ$27,0,MATCH($AE39,EMBELISHMENT!$B$1:$AQ$1,0))),0)</f>
        <v>2</v>
      </c>
      <c r="AB39" s="2">
        <f>SUM($B39:$AA39)</f>
        <v>30.5</v>
      </c>
      <c r="AC39" s="2">
        <f>IFERROR(INDEX(EMBELISHMENT!$B$28:$AQ$28,MATCH($AE39,EMBELISHMENT!$B$1:$AQ$1,0)),0)</f>
        <v>30.5</v>
      </c>
      <c r="AD39" s="2" t="str">
        <f>IF(N(AC39)=0,"n/a",IF(ROUND(AB39-AC39,1)=0,"OK",ROUND(AB39-AC39,1)))</f>
        <v>OK</v>
      </c>
      <c r="AE39" s="277">
        <f>IFERROR(IF(INDEX($L$5:$L$28,MATCH($A39,$K$5:$K$28,0))="","(no recipe)",INDEX($L$5:$L$28,MATCH($A39,$K$5:$K$28,0))),$A39)</f>
        <v>4117</v>
      </c>
      <c r="AF39" s="14" t="str">
        <f>IFERROR(INDEX($M$5:$M$28,MATCH($A39,$K$5:$K$28,0)),"STYLE")</f>
        <v>STYLE</v>
      </c>
      <c r="AG39" s="60" t="s">
        <v>21</v>
      </c>
      <c r="AJ39" s="60" t="s">
        <v>308</v>
      </c>
      <c r="BA39" s="269" t="str">
        <f>DASHBOARD!$B76</f>
        <v>SHORTS</v>
      </c>
      <c r="BB39" s="15">
        <f>SUMIF($AH$87:$AH$112,$BA39,INDEX($D$87:$AC$112,0,MATCH(BB$34,$D$86:$AC$86,0)))</f>
        <v>13</v>
      </c>
      <c r="BC39" s="15">
        <f>SUMIF($AH$87:$AH$112,$BA39,INDEX($D$87:$AC$112,0,MATCH(BC$34,$D$86:$AC$86,0)))</f>
        <v>1</v>
      </c>
      <c r="BD39" s="15">
        <f>SUMIF($AH$87:$AH$112,$BA39,INDEX($D$87:$AC$112,0,MATCH(BD$34,$D$86:$AC$86,0)))</f>
        <v>0</v>
      </c>
      <c r="BE39" s="15">
        <f>SUMIF($AH$87:$AH$112,$BA39,INDEX($D$87:$AC$112,0,MATCH(BE$34,$D$86:$AC$86,0)))</f>
        <v>1</v>
      </c>
      <c r="BF39" s="15">
        <f>SUMIF($AH$87:$AH$112,$BA39,INDEX($D$87:$AC$112,0,MATCH(BF$34,$D$86:$AC$86,0)))</f>
        <v>8</v>
      </c>
      <c r="BG39" s="15">
        <f>SUMIF($AH$87:$AH$112,$BA39,INDEX($D$87:$AC$112,0,MATCH(BG$34,$D$86:$AC$86,0)))</f>
        <v>0</v>
      </c>
      <c r="BH39" s="15">
        <f>SUMIF($AH$87:$AH$112,$BA39,INDEX($D$87:$AC$112,0,MATCH(BH$34,$D$86:$AC$86,0)))</f>
        <v>0</v>
      </c>
      <c r="BI39" s="15">
        <f>SUMIF($AH$87:$AH$112,$BA39,INDEX($D$87:$AC$112,0,MATCH(BI$34,$D$86:$AC$86,0)))</f>
        <v>1</v>
      </c>
      <c r="BJ39" s="15">
        <f>SUMIF($AH$87:$AH$112,$BA39,INDEX($D$87:$AC$112,0,MATCH(BJ$34,$D$86:$AC$86,0)))</f>
        <v>2</v>
      </c>
      <c r="BK39" s="15">
        <f>SUMIF($AH$87:$AH$112,$BA39,INDEX($D$87:$AC$112,0,MATCH(BK$34,$D$86:$AC$86,0)))</f>
        <v>0</v>
      </c>
      <c r="BL39" s="15">
        <f>SUMIF($AH$87:$AH$112,$BA39,INDEX($D$87:$AC$112,0,MATCH(BL$34,$D$86:$AC$86,0)))</f>
        <v>0</v>
      </c>
      <c r="BM39" s="15">
        <f>SUMIF($AH$87:$AH$112,$BA39,INDEX($D$87:$AC$112,0,MATCH(BM$34,$D$86:$AC$86,0)))</f>
        <v>1</v>
      </c>
      <c r="BN39" s="15">
        <f>SUMIF($AH$87:$AH$112,$BA39,INDEX($D$87:$AC$112,0,MATCH(BN$34,$D$86:$AC$86,0)))</f>
        <v>0</v>
      </c>
      <c r="BO39" s="15">
        <f>SUMIF($AH$87:$AH$112,$BA39,INDEX($D$87:$AC$112,0,MATCH(BO$34,$D$86:$AC$86,0)))</f>
        <v>0</v>
      </c>
      <c r="BP39" s="15">
        <f>SUMIF($AH$87:$AH$112,$BA39,INDEX($D$87:$AC$112,0,MATCH(BP$34,$D$86:$AC$86,0)))</f>
        <v>1</v>
      </c>
      <c r="BQ39" s="15">
        <f>SUMIF($AH$87:$AH$112,$BA39,INDEX($D$87:$AC$112,0,MATCH(BQ$34,$D$86:$AC$86,0)))</f>
        <v>0</v>
      </c>
      <c r="BR39" s="15">
        <f>SUMIF($AH$87:$AH$112,$BA39,INDEX($D$87:$AC$112,0,MATCH(BR$34,$D$86:$AC$86,0)))</f>
        <v>2</v>
      </c>
      <c r="BS39" s="15">
        <f>SUMIF($AH$87:$AH$112,$BA39,INDEX($D$87:$AC$112,0,MATCH(BS$34,$D$86:$AC$86,0)))</f>
        <v>0</v>
      </c>
      <c r="BT39" s="15">
        <f>SUMIF($AH$87:$AH$112,$BA39,INDEX($D$87:$AC$112,0,MATCH(BT$34,$D$86:$AC$86,0)))</f>
        <v>0</v>
      </c>
      <c r="BU39" s="15">
        <f>SUMIF($AH$87:$AH$112,$BA39,INDEX($D$87:$AC$112,0,MATCH(BU$34,$D$86:$AC$86,0)))</f>
        <v>3</v>
      </c>
      <c r="BV39" s="15">
        <f>SUMIF($AH$87:$AH$112,$BA39,INDEX($D$87:$AC$112,0,MATCH(BV$34,$D$86:$AC$86,0)))</f>
        <v>2</v>
      </c>
      <c r="BW39" s="15">
        <f>SUMIF($AH$87:$AH$112,$BA39,INDEX($D$87:$AC$112,0,MATCH(BW$34,$D$86:$AC$86,0)))</f>
        <v>1</v>
      </c>
      <c r="BX39" s="15">
        <f>SUMIF($AH$87:$AH$112,$BA39,INDEX($D$87:$AC$112,0,MATCH(BX$34,$D$86:$AC$86,0)))</f>
        <v>0</v>
      </c>
      <c r="BY39" s="15">
        <f>SUMIF($AH$87:$AH$112,$BA39,INDEX($D$87:$AC$112,0,MATCH(BY$34,$D$86:$AC$86,0)))</f>
        <v>1</v>
      </c>
      <c r="BZ39" s="15">
        <f>SUMIF($AH$87:$AH$112,$BA39,INDEX($D$87:$AC$112,0,MATCH(BZ$34,$D$86:$AC$86,0)))</f>
        <v>0</v>
      </c>
      <c r="CA39" s="15">
        <f>SUMIF($AH$87:$AH$112,$BA39,INDEX($D$87:$AC$112,0,MATCH(CA$34,$D$86:$AC$86,0)))</f>
        <v>0</v>
      </c>
      <c r="CB39" s="15">
        <f>SUM($BB39:$CA39)</f>
        <v>37</v>
      </c>
      <c r="CC39" s="15">
        <f>COUNTIF($AH$87:$AH$112,$BA39)</f>
        <v>1</v>
      </c>
    </row>
    <row r="40" spans="1:81">
      <c r="A40" s="19" t="str">
        <f>$E12</f>
        <v>4406/10</v>
      </c>
      <c r="B40" s="2">
        <f>IFERROR(SUMIF($B$5:$B$29,B$32,INDEX(EMBELISHMENT!$B$3:$AQ$27,0,MATCH($AE40,EMBELISHMENT!$B$1:$AQ$1,0))),0)</f>
        <v>4</v>
      </c>
      <c r="C40" s="2">
        <f>IFERROR(SUMIF($B$5:$B$29,C$32,INDEX(EMBELISHMENT!$B$3:$AQ$27,0,MATCH($AE40,EMBELISHMENT!$B$1:$AQ$1,0))),0)</f>
        <v>0</v>
      </c>
      <c r="D40" s="2">
        <f>IFERROR(SUMIF($B$5:$B$29,D$32,INDEX(EMBELISHMENT!$B$3:$AQ$27,0,MATCH($AE40,EMBELISHMENT!$B$1:$AQ$1,0))),0)</f>
        <v>0</v>
      </c>
      <c r="E40" s="2">
        <f>IFERROR(SUMIF($B$5:$B$29,E$32,INDEX(EMBELISHMENT!$B$3:$AQ$27,0,MATCH($AE40,EMBELISHMENT!$B$1:$AQ$1,0))),0)</f>
        <v>0</v>
      </c>
      <c r="F40" s="2">
        <f>IFERROR(SUMIF($B$5:$B$29,F$32,INDEX(EMBELISHMENT!$B$3:$AQ$27,0,MATCH($AE40,EMBELISHMENT!$B$1:$AQ$1,0))),0)</f>
        <v>10</v>
      </c>
      <c r="G40" s="2">
        <f>IFERROR(SUMIF($B$5:$B$29,G$32,INDEX(EMBELISHMENT!$B$3:$AQ$27,0,MATCH($AE40,EMBELISHMENT!$B$1:$AQ$1,0))),0)</f>
        <v>4</v>
      </c>
      <c r="H40" s="2">
        <f>IFERROR(SUMIF($B$5:$B$29,H$32,INDEX(EMBELISHMENT!$B$3:$AQ$27,0,MATCH($AE40,EMBELISHMENT!$B$1:$AQ$1,0))),0)</f>
        <v>0</v>
      </c>
      <c r="I40" s="2">
        <f>IFERROR(SUMIF($B$5:$B$29,I$32,INDEX(EMBELISHMENT!$B$3:$AQ$27,0,MATCH($AE40,EMBELISHMENT!$B$1:$AQ$1,0))),0)</f>
        <v>0</v>
      </c>
      <c r="J40" s="2">
        <f>IFERROR(SUMIF($B$5:$B$29,J$32,INDEX(EMBELISHMENT!$B$3:$AQ$27,0,MATCH($AE40,EMBELISHMENT!$B$1:$AQ$1,0))),0)</f>
        <v>0</v>
      </c>
      <c r="K40" s="2">
        <f>IFERROR(SUMIF($B$5:$B$29,K$32,INDEX(EMBELISHMENT!$B$3:$AQ$27,0,MATCH($AE40,EMBELISHMENT!$B$1:$AQ$1,0))),0)</f>
        <v>4</v>
      </c>
      <c r="L40" s="2">
        <f>IFERROR(SUMIF($B$5:$B$29,L$32,INDEX(EMBELISHMENT!$B$3:$AQ$27,0,MATCH($AE40,EMBELISHMENT!$B$1:$AQ$1,0))),0)</f>
        <v>4</v>
      </c>
      <c r="M40" s="2">
        <f>IFERROR(SUMIF($B$5:$B$29,M$32,INDEX(EMBELISHMENT!$B$3:$AQ$27,0,MATCH($AE40,EMBELISHMENT!$B$1:$AQ$1,0))),0)</f>
        <v>0</v>
      </c>
      <c r="N40" s="2">
        <f>IFERROR(SUMIF($B$5:$B$29,N$32,INDEX(EMBELISHMENT!$B$3:$AQ$27,0,MATCH($AE40,EMBELISHMENT!$B$1:$AQ$1,0))),0)</f>
        <v>0</v>
      </c>
      <c r="O40" s="2">
        <f>IFERROR(SUMIF($B$5:$B$29,O$32,INDEX(EMBELISHMENT!$B$3:$AQ$27,0,MATCH($AE40,EMBELISHMENT!$B$1:$AQ$1,0))),0)</f>
        <v>0</v>
      </c>
      <c r="P40" s="2">
        <f>IFERROR(SUMIF($B$5:$B$29,P$32,INDEX(EMBELISHMENT!$B$3:$AQ$27,0,MATCH($AE40,EMBELISHMENT!$B$1:$AQ$1,0))),0)</f>
        <v>0</v>
      </c>
      <c r="Q40" s="2">
        <f>IFERROR(SUMIF($B$5:$B$29,Q$32,INDEX(EMBELISHMENT!$B$3:$AQ$27,0,MATCH($AE40,EMBELISHMENT!$B$1:$AQ$1,0))),0)</f>
        <v>0</v>
      </c>
      <c r="R40" s="2">
        <f>IFERROR(SUMIF($B$5:$B$29,R$32,INDEX(EMBELISHMENT!$B$3:$AQ$27,0,MATCH($AE40,EMBELISHMENT!$B$1:$AQ$1,0))),0)</f>
        <v>0</v>
      </c>
      <c r="S40" s="2">
        <f>IFERROR(SUMIF($B$5:$B$29,S$32,INDEX(EMBELISHMENT!$B$3:$AQ$27,0,MATCH($AE40,EMBELISHMENT!$B$1:$AQ$1,0))),0)</f>
        <v>0</v>
      </c>
      <c r="T40" s="2">
        <f>IFERROR(SUMIF($B$5:$B$29,T$32,INDEX(EMBELISHMENT!$B$3:$AQ$27,0,MATCH($AE40,EMBELISHMENT!$B$1:$AQ$1,0))),0)</f>
        <v>0</v>
      </c>
      <c r="U40" s="2">
        <f>IFERROR(SUMIF($B$5:$B$29,U$32,INDEX(EMBELISHMENT!$B$3:$AQ$27,0,MATCH($AE40,EMBELISHMENT!$B$1:$AQ$1,0))),0)</f>
        <v>2</v>
      </c>
      <c r="V40" s="2">
        <f>IFERROR(SUMIF($B$5:$B$29,V$32,INDEX(EMBELISHMENT!$B$3:$AQ$27,0,MATCH($AE40,EMBELISHMENT!$B$1:$AQ$1,0))),0)</f>
        <v>0</v>
      </c>
      <c r="W40" s="2">
        <f>IFERROR(SUMIF($B$5:$B$29,W$32,INDEX(EMBELISHMENT!$B$3:$AQ$27,0,MATCH($AE40,EMBELISHMENT!$B$1:$AQ$1,0))),0)</f>
        <v>0</v>
      </c>
      <c r="X40" s="2">
        <f>IFERROR(SUMIF($B$5:$B$29,X$32,INDEX(EMBELISHMENT!$B$3:$AQ$27,0,MATCH($AE40,EMBELISHMENT!$B$1:$AQ$1,0))),0)</f>
        <v>0</v>
      </c>
      <c r="Y40" s="2">
        <f>IFERROR(SUMIF($B$5:$B$29,Y$32,INDEX(EMBELISHMENT!$B$3:$AQ$27,0,MATCH($AE40,EMBELISHMENT!$B$1:$AQ$1,0))),0)</f>
        <v>1.5</v>
      </c>
      <c r="Z40" s="2">
        <f>IFERROR(SUMIF($B$5:$B$29,Z$32,INDEX(EMBELISHMENT!$B$3:$AQ$27,0,MATCH($AE40,EMBELISHMENT!$B$1:$AQ$1,0))),0)</f>
        <v>0</v>
      </c>
      <c r="AA40" s="2">
        <f>IFERROR(SUMIF($B$5:$B$29,AA$32,INDEX(EMBELISHMENT!$B$3:$AQ$27,0,MATCH($AE40,EMBELISHMENT!$B$1:$AQ$1,0))),0)</f>
        <v>0</v>
      </c>
      <c r="AB40" s="2">
        <f>SUM($B40:$AA40)</f>
        <v>29.5</v>
      </c>
      <c r="AC40" s="2">
        <f>IFERROR(INDEX(EMBELISHMENT!$B$28:$AQ$28,MATCH($AE40,EMBELISHMENT!$B$1:$AQ$1,0)),0)</f>
        <v>29.5</v>
      </c>
      <c r="AD40" s="2" t="str">
        <f>IF(N(AC40)=0,"n/a",IF(ROUND(AB40-AC40,1)=0,"OK",ROUND(AB40-AC40,1)))</f>
        <v>OK</v>
      </c>
      <c r="AE40" s="277" t="str">
        <f>IFERROR(IF(INDEX($L$5:$L$28,MATCH($A40,$K$5:$K$28,0))="","(no recipe)",INDEX($L$5:$L$28,MATCH($A40,$K$5:$K$28,0))),$A40)</f>
        <v>Panty</v>
      </c>
      <c r="AF40" s="14" t="str">
        <f>IFERROR(INDEX($M$5:$M$28,MATCH($A40,$K$5:$K$28,0)),"STYLE")</f>
        <v>STYLE</v>
      </c>
      <c r="AG40" s="60" t="s">
        <v>308</v>
      </c>
      <c r="AJ40" s="296" t="s">
        <v>494</v>
      </c>
      <c r="BA40" s="269" t="str">
        <f>DASHBOARD!$B77</f>
        <v>PAJAMA</v>
      </c>
      <c r="BB40" s="15">
        <f>SUMIF($AH$87:$AH$112,$BA40,INDEX($D$87:$AC$112,0,MATCH(BB$34,$D$86:$AC$86,0)))</f>
        <v>21</v>
      </c>
      <c r="BC40" s="15">
        <f>SUMIF($AH$87:$AH$112,$BA40,INDEX($D$87:$AC$112,0,MATCH(BC$34,$D$86:$AC$86,0)))</f>
        <v>0</v>
      </c>
      <c r="BD40" s="15">
        <f>SUMIF($AH$87:$AH$112,$BA40,INDEX($D$87:$AC$112,0,MATCH(BD$34,$D$86:$AC$86,0)))</f>
        <v>0</v>
      </c>
      <c r="BE40" s="15">
        <f>SUMIF($AH$87:$AH$112,$BA40,INDEX($D$87:$AC$112,0,MATCH(BE$34,$D$86:$AC$86,0)))</f>
        <v>1</v>
      </c>
      <c r="BF40" s="15">
        <f>SUMIF($AH$87:$AH$112,$BA40,INDEX($D$87:$AC$112,0,MATCH(BF$34,$D$86:$AC$86,0)))</f>
        <v>9</v>
      </c>
      <c r="BG40" s="15">
        <f>SUMIF($AH$87:$AH$112,$BA40,INDEX($D$87:$AC$112,0,MATCH(BG$34,$D$86:$AC$86,0)))</f>
        <v>0</v>
      </c>
      <c r="BH40" s="15">
        <f>SUMIF($AH$87:$AH$112,$BA40,INDEX($D$87:$AC$112,0,MATCH(BH$34,$D$86:$AC$86,0)))</f>
        <v>0</v>
      </c>
      <c r="BI40" s="15">
        <f>SUMIF($AH$87:$AH$112,$BA40,INDEX($D$87:$AC$112,0,MATCH(BI$34,$D$86:$AC$86,0)))</f>
        <v>0</v>
      </c>
      <c r="BJ40" s="15">
        <f>SUMIF($AH$87:$AH$112,$BA40,INDEX($D$87:$AC$112,0,MATCH(BJ$34,$D$86:$AC$86,0)))</f>
        <v>1.5</v>
      </c>
      <c r="BK40" s="15">
        <f>SUMIF($AH$87:$AH$112,$BA40,INDEX($D$87:$AC$112,0,MATCH(BK$34,$D$86:$AC$86,0)))</f>
        <v>0</v>
      </c>
      <c r="BL40" s="15">
        <f>SUMIF($AH$87:$AH$112,$BA40,INDEX($D$87:$AC$112,0,MATCH(BL$34,$D$86:$AC$86,0)))</f>
        <v>0</v>
      </c>
      <c r="BM40" s="15">
        <f>SUMIF($AH$87:$AH$112,$BA40,INDEX($D$87:$AC$112,0,MATCH(BM$34,$D$86:$AC$86,0)))</f>
        <v>0</v>
      </c>
      <c r="BN40" s="15">
        <f>SUMIF($AH$87:$AH$112,$BA40,INDEX($D$87:$AC$112,0,MATCH(BN$34,$D$86:$AC$86,0)))</f>
        <v>0</v>
      </c>
      <c r="BO40" s="15">
        <f>SUMIF($AH$87:$AH$112,$BA40,INDEX($D$87:$AC$112,0,MATCH(BO$34,$D$86:$AC$86,0)))</f>
        <v>0</v>
      </c>
      <c r="BP40" s="15">
        <f>SUMIF($AH$87:$AH$112,$BA40,INDEX($D$87:$AC$112,0,MATCH(BP$34,$D$86:$AC$86,0)))</f>
        <v>0</v>
      </c>
      <c r="BQ40" s="15">
        <f>SUMIF($AH$87:$AH$112,$BA40,INDEX($D$87:$AC$112,0,MATCH(BQ$34,$D$86:$AC$86,0)))</f>
        <v>0</v>
      </c>
      <c r="BR40" s="15">
        <f>SUMIF($AH$87:$AH$112,$BA40,INDEX($D$87:$AC$112,0,MATCH(BR$34,$D$86:$AC$86,0)))</f>
        <v>1</v>
      </c>
      <c r="BS40" s="15">
        <f>SUMIF($AH$87:$AH$112,$BA40,INDEX($D$87:$AC$112,0,MATCH(BS$34,$D$86:$AC$86,0)))</f>
        <v>0</v>
      </c>
      <c r="BT40" s="15">
        <f>SUMIF($AH$87:$AH$112,$BA40,INDEX($D$87:$AC$112,0,MATCH(BT$34,$D$86:$AC$86,0)))</f>
        <v>0</v>
      </c>
      <c r="BU40" s="15">
        <f>SUMIF($AH$87:$AH$112,$BA40,INDEX($D$87:$AC$112,0,MATCH(BU$34,$D$86:$AC$86,0)))</f>
        <v>2</v>
      </c>
      <c r="BV40" s="15">
        <f>SUMIF($AH$87:$AH$112,$BA40,INDEX($D$87:$AC$112,0,MATCH(BV$34,$D$86:$AC$86,0)))</f>
        <v>0</v>
      </c>
      <c r="BW40" s="15">
        <f>SUMIF($AH$87:$AH$112,$BA40,INDEX($D$87:$AC$112,0,MATCH(BW$34,$D$86:$AC$86,0)))</f>
        <v>1</v>
      </c>
      <c r="BX40" s="15">
        <f>SUMIF($AH$87:$AH$112,$BA40,INDEX($D$87:$AC$112,0,MATCH(BX$34,$D$86:$AC$86,0)))</f>
        <v>0</v>
      </c>
      <c r="BY40" s="15">
        <f>SUMIF($AH$87:$AH$112,$BA40,INDEX($D$87:$AC$112,0,MATCH(BY$34,$D$86:$AC$86,0)))</f>
        <v>1</v>
      </c>
      <c r="BZ40" s="15">
        <f>SUMIF($AH$87:$AH$112,$BA40,INDEX($D$87:$AC$112,0,MATCH(BZ$34,$D$86:$AC$86,0)))</f>
        <v>0</v>
      </c>
      <c r="CA40" s="15">
        <f>SUMIF($AH$87:$AH$112,$BA40,INDEX($D$87:$AC$112,0,MATCH(CA$34,$D$86:$AC$86,0)))</f>
        <v>0</v>
      </c>
      <c r="CB40" s="15">
        <f>SUM($BB40:$CA40)</f>
        <v>37.5</v>
      </c>
      <c r="CC40" s="15">
        <f>COUNTIF($AH$87:$AH$112,$BA40)</f>
        <v>1</v>
      </c>
    </row>
    <row r="41" spans="1:81">
      <c r="A41" s="19">
        <f>$E13</f>
        <v>4115</v>
      </c>
      <c r="B41" s="2">
        <f>IFERROR(SUMIF($B$5:$B$29,B$32,INDEX(EMBELISHMENT!$B$3:$AQ$27,0,MATCH($AE41,EMBELISHMENT!$B$1:$AQ$1,0))),0)</f>
        <v>5</v>
      </c>
      <c r="C41" s="2">
        <f>IFERROR(SUMIF($B$5:$B$29,C$32,INDEX(EMBELISHMENT!$B$3:$AQ$27,0,MATCH($AE41,EMBELISHMENT!$B$1:$AQ$1,0))),0)</f>
        <v>0</v>
      </c>
      <c r="D41" s="2">
        <f>IFERROR(SUMIF($B$5:$B$29,D$32,INDEX(EMBELISHMENT!$B$3:$AQ$27,0,MATCH($AE41,EMBELISHMENT!$B$1:$AQ$1,0))),0)</f>
        <v>0</v>
      </c>
      <c r="E41" s="2">
        <f>IFERROR(SUMIF($B$5:$B$29,E$32,INDEX(EMBELISHMENT!$B$3:$AQ$27,0,MATCH($AE41,EMBELISHMENT!$B$1:$AQ$1,0))),0)</f>
        <v>0</v>
      </c>
      <c r="F41" s="2">
        <f>IFERROR(SUMIF($B$5:$B$29,F$32,INDEX(EMBELISHMENT!$B$3:$AQ$27,0,MATCH($AE41,EMBELISHMENT!$B$1:$AQ$1,0))),0)</f>
        <v>10</v>
      </c>
      <c r="G41" s="2">
        <f>IFERROR(SUMIF($B$5:$B$29,G$32,INDEX(EMBELISHMENT!$B$3:$AQ$27,0,MATCH($AE41,EMBELISHMENT!$B$1:$AQ$1,0))),0)</f>
        <v>0</v>
      </c>
      <c r="H41" s="2">
        <f>IFERROR(SUMIF($B$5:$B$29,H$32,INDEX(EMBELISHMENT!$B$3:$AQ$27,0,MATCH($AE41,EMBELISHMENT!$B$1:$AQ$1,0))),0)</f>
        <v>0</v>
      </c>
      <c r="I41" s="2">
        <f>IFERROR(SUMIF($B$5:$B$29,I$32,INDEX(EMBELISHMENT!$B$3:$AQ$27,0,MATCH($AE41,EMBELISHMENT!$B$1:$AQ$1,0))),0)</f>
        <v>4</v>
      </c>
      <c r="J41" s="2">
        <f>IFERROR(SUMIF($B$5:$B$29,J$32,INDEX(EMBELISHMENT!$B$3:$AQ$27,0,MATCH($AE41,EMBELISHMENT!$B$1:$AQ$1,0))),0)</f>
        <v>0</v>
      </c>
      <c r="K41" s="2">
        <f>IFERROR(SUMIF($B$5:$B$29,K$32,INDEX(EMBELISHMENT!$B$3:$AQ$27,0,MATCH($AE41,EMBELISHMENT!$B$1:$AQ$1,0))),0)</f>
        <v>0</v>
      </c>
      <c r="L41" s="2">
        <f>IFERROR(SUMIF($B$5:$B$29,L$32,INDEX(EMBELISHMENT!$B$3:$AQ$27,0,MATCH($AE41,EMBELISHMENT!$B$1:$AQ$1,0))),0)</f>
        <v>0</v>
      </c>
      <c r="M41" s="2">
        <f>IFERROR(SUMIF($B$5:$B$29,M$32,INDEX(EMBELISHMENT!$B$3:$AQ$27,0,MATCH($AE41,EMBELISHMENT!$B$1:$AQ$1,0))),0)</f>
        <v>3</v>
      </c>
      <c r="N41" s="2">
        <f>IFERROR(SUMIF($B$5:$B$29,N$32,INDEX(EMBELISHMENT!$B$3:$AQ$27,0,MATCH($AE41,EMBELISHMENT!$B$1:$AQ$1,0))),0)</f>
        <v>2.5</v>
      </c>
      <c r="O41" s="2">
        <f>IFERROR(SUMIF($B$5:$B$29,O$32,INDEX(EMBELISHMENT!$B$3:$AQ$27,0,MATCH($AE41,EMBELISHMENT!$B$1:$AQ$1,0))),0)</f>
        <v>0</v>
      </c>
      <c r="P41" s="2">
        <f>IFERROR(SUMIF($B$5:$B$29,P$32,INDEX(EMBELISHMENT!$B$3:$AQ$27,0,MATCH($AE41,EMBELISHMENT!$B$1:$AQ$1,0))),0)</f>
        <v>5</v>
      </c>
      <c r="Q41" s="2">
        <f>IFERROR(SUMIF($B$5:$B$29,Q$32,INDEX(EMBELISHMENT!$B$3:$AQ$27,0,MATCH($AE41,EMBELISHMENT!$B$1:$AQ$1,0))),0)</f>
        <v>0</v>
      </c>
      <c r="R41" s="2">
        <f>IFERROR(SUMIF($B$5:$B$29,R$32,INDEX(EMBELISHMENT!$B$3:$AQ$27,0,MATCH($AE41,EMBELISHMENT!$B$1:$AQ$1,0))),0)</f>
        <v>0</v>
      </c>
      <c r="S41" s="2">
        <f>IFERROR(SUMIF($B$5:$B$29,S$32,INDEX(EMBELISHMENT!$B$3:$AQ$27,0,MATCH($AE41,EMBELISHMENT!$B$1:$AQ$1,0))),0)</f>
        <v>0</v>
      </c>
      <c r="T41" s="2">
        <f>IFERROR(SUMIF($B$5:$B$29,T$32,INDEX(EMBELISHMENT!$B$3:$AQ$27,0,MATCH($AE41,EMBELISHMENT!$B$1:$AQ$1,0))),0)</f>
        <v>1</v>
      </c>
      <c r="U41" s="2">
        <f>IFERROR(SUMIF($B$5:$B$29,U$32,INDEX(EMBELISHMENT!$B$3:$AQ$27,0,MATCH($AE41,EMBELISHMENT!$B$1:$AQ$1,0))),0)</f>
        <v>1</v>
      </c>
      <c r="V41" s="2">
        <f>IFERROR(SUMIF($B$5:$B$29,V$32,INDEX(EMBELISHMENT!$B$3:$AQ$27,0,MATCH($AE41,EMBELISHMENT!$B$1:$AQ$1,0))),0)</f>
        <v>0</v>
      </c>
      <c r="W41" s="2">
        <f>IFERROR(SUMIF($B$5:$B$29,W$32,INDEX(EMBELISHMENT!$B$3:$AQ$27,0,MATCH($AE41,EMBELISHMENT!$B$1:$AQ$1,0))),0)</f>
        <v>0</v>
      </c>
      <c r="X41" s="2">
        <f>IFERROR(SUMIF($B$5:$B$29,X$32,INDEX(EMBELISHMENT!$B$3:$AQ$27,0,MATCH($AE41,EMBELISHMENT!$B$1:$AQ$1,0))),0)</f>
        <v>0</v>
      </c>
      <c r="Y41" s="2">
        <f>IFERROR(SUMIF($B$5:$B$29,Y$32,INDEX(EMBELISHMENT!$B$3:$AQ$27,0,MATCH($AE41,EMBELISHMENT!$B$1:$AQ$1,0))),0)</f>
        <v>0</v>
      </c>
      <c r="Z41" s="2">
        <f>IFERROR(SUMIF($B$5:$B$29,Z$32,INDEX(EMBELISHMENT!$B$3:$AQ$27,0,MATCH($AE41,EMBELISHMENT!$B$1:$AQ$1,0))),0)</f>
        <v>0</v>
      </c>
      <c r="AA41" s="2">
        <f>IFERROR(SUMIF($B$5:$B$29,AA$32,INDEX(EMBELISHMENT!$B$3:$AQ$27,0,MATCH($AE41,EMBELISHMENT!$B$1:$AQ$1,0))),0)</f>
        <v>2</v>
      </c>
      <c r="AB41" s="2">
        <f>SUM($B41:$AA41)</f>
        <v>33.5</v>
      </c>
      <c r="AC41" s="2">
        <f>IFERROR(INDEX(EMBELISHMENT!$B$28:$AQ$28,MATCH($AE41,EMBELISHMENT!$B$1:$AQ$1,0)),0)</f>
        <v>33.5</v>
      </c>
      <c r="AD41" s="2" t="str">
        <f>IF(N(AC41)=0,"n/a",IF(ROUND(AB41-AC41,1)=0,"OK",ROUND(AB41-AC41,1)))</f>
        <v>OK</v>
      </c>
      <c r="AE41" s="277">
        <f>IFERROR(IF(INDEX($L$5:$L$28,MATCH($A41,$K$5:$K$28,0))="","(no recipe)",INDEX($L$5:$L$28,MATCH($A41,$K$5:$K$28,0))),$A41)</f>
        <v>4115</v>
      </c>
      <c r="AF41" s="14" t="str">
        <f>IFERROR(INDEX($M$5:$M$28,MATCH($A41,$K$5:$K$28,0)),"STYLE")</f>
        <v>STYLE</v>
      </c>
      <c r="AG41" s="60" t="s">
        <v>21</v>
      </c>
      <c r="AJ41" s="298" t="s">
        <v>157</v>
      </c>
      <c r="BA41" s="269" t="str">
        <f>DASHBOARD!$B78</f>
        <v>PANTY</v>
      </c>
      <c r="BB41" s="15">
        <f>SUMIF($AH$87:$AH$112,$BA41,INDEX($D$87:$AC$112,0,MATCH(BB$34,$D$86:$AC$86,0)))</f>
        <v>4</v>
      </c>
      <c r="BC41" s="15">
        <f>SUMIF($AH$87:$AH$112,$BA41,INDEX($D$87:$AC$112,0,MATCH(BC$34,$D$86:$AC$86,0)))</f>
        <v>0</v>
      </c>
      <c r="BD41" s="15">
        <f>SUMIF($AH$87:$AH$112,$BA41,INDEX($D$87:$AC$112,0,MATCH(BD$34,$D$86:$AC$86,0)))</f>
        <v>0</v>
      </c>
      <c r="BE41" s="15">
        <f>SUMIF($AH$87:$AH$112,$BA41,INDEX($D$87:$AC$112,0,MATCH(BE$34,$D$86:$AC$86,0)))</f>
        <v>0</v>
      </c>
      <c r="BF41" s="15">
        <f>SUMIF($AH$87:$AH$112,$BA41,INDEX($D$87:$AC$112,0,MATCH(BF$34,$D$86:$AC$86,0)))</f>
        <v>10</v>
      </c>
      <c r="BG41" s="15">
        <f>SUMIF($AH$87:$AH$112,$BA41,INDEX($D$87:$AC$112,0,MATCH(BG$34,$D$86:$AC$86,0)))</f>
        <v>4</v>
      </c>
      <c r="BH41" s="15">
        <f>SUMIF($AH$87:$AH$112,$BA41,INDEX($D$87:$AC$112,0,MATCH(BH$34,$D$86:$AC$86,0)))</f>
        <v>0</v>
      </c>
      <c r="BI41" s="15">
        <f>SUMIF($AH$87:$AH$112,$BA41,INDEX($D$87:$AC$112,0,MATCH(BI$34,$D$86:$AC$86,0)))</f>
        <v>0</v>
      </c>
      <c r="BJ41" s="15">
        <f>SUMIF($AH$87:$AH$112,$BA41,INDEX($D$87:$AC$112,0,MATCH(BJ$34,$D$86:$AC$86,0)))</f>
        <v>0</v>
      </c>
      <c r="BK41" s="15">
        <f>SUMIF($AH$87:$AH$112,$BA41,INDEX($D$87:$AC$112,0,MATCH(BK$34,$D$86:$AC$86,0)))</f>
        <v>4</v>
      </c>
      <c r="BL41" s="15">
        <f>SUMIF($AH$87:$AH$112,$BA41,INDEX($D$87:$AC$112,0,MATCH(BL$34,$D$86:$AC$86,0)))</f>
        <v>4</v>
      </c>
      <c r="BM41" s="15">
        <f>SUMIF($AH$87:$AH$112,$BA41,INDEX($D$87:$AC$112,0,MATCH(BM$34,$D$86:$AC$86,0)))</f>
        <v>0</v>
      </c>
      <c r="BN41" s="15">
        <f>SUMIF($AH$87:$AH$112,$BA41,INDEX($D$87:$AC$112,0,MATCH(BN$34,$D$86:$AC$86,0)))</f>
        <v>0</v>
      </c>
      <c r="BO41" s="15">
        <f>SUMIF($AH$87:$AH$112,$BA41,INDEX($D$87:$AC$112,0,MATCH(BO$34,$D$86:$AC$86,0)))</f>
        <v>0</v>
      </c>
      <c r="BP41" s="15">
        <f>SUMIF($AH$87:$AH$112,$BA41,INDEX($D$87:$AC$112,0,MATCH(BP$34,$D$86:$AC$86,0)))</f>
        <v>0</v>
      </c>
      <c r="BQ41" s="15">
        <f>SUMIF($AH$87:$AH$112,$BA41,INDEX($D$87:$AC$112,0,MATCH(BQ$34,$D$86:$AC$86,0)))</f>
        <v>0</v>
      </c>
      <c r="BR41" s="15">
        <f>SUMIF($AH$87:$AH$112,$BA41,INDEX($D$87:$AC$112,0,MATCH(BR$34,$D$86:$AC$86,0)))</f>
        <v>0</v>
      </c>
      <c r="BS41" s="15">
        <f>SUMIF($AH$87:$AH$112,$BA41,INDEX($D$87:$AC$112,0,MATCH(BS$34,$D$86:$AC$86,0)))</f>
        <v>0</v>
      </c>
      <c r="BT41" s="15">
        <f>SUMIF($AH$87:$AH$112,$BA41,INDEX($D$87:$AC$112,0,MATCH(BT$34,$D$86:$AC$86,0)))</f>
        <v>0</v>
      </c>
      <c r="BU41" s="15">
        <f>SUMIF($AH$87:$AH$112,$BA41,INDEX($D$87:$AC$112,0,MATCH(BU$34,$D$86:$AC$86,0)))</f>
        <v>2</v>
      </c>
      <c r="BV41" s="15">
        <f>SUMIF($AH$87:$AH$112,$BA41,INDEX($D$87:$AC$112,0,MATCH(BV$34,$D$86:$AC$86,0)))</f>
        <v>0</v>
      </c>
      <c r="BW41" s="15">
        <f>SUMIF($AH$87:$AH$112,$BA41,INDEX($D$87:$AC$112,0,MATCH(BW$34,$D$86:$AC$86,0)))</f>
        <v>0</v>
      </c>
      <c r="BX41" s="15">
        <f>SUMIF($AH$87:$AH$112,$BA41,INDEX($D$87:$AC$112,0,MATCH(BX$34,$D$86:$AC$86,0)))</f>
        <v>0</v>
      </c>
      <c r="BY41" s="15">
        <f>SUMIF($AH$87:$AH$112,$BA41,INDEX($D$87:$AC$112,0,MATCH(BY$34,$D$86:$AC$86,0)))</f>
        <v>1.5</v>
      </c>
      <c r="BZ41" s="15">
        <f>SUMIF($AH$87:$AH$112,$BA41,INDEX($D$87:$AC$112,0,MATCH(BZ$34,$D$86:$AC$86,0)))</f>
        <v>0</v>
      </c>
      <c r="CA41" s="15">
        <f>SUMIF($AH$87:$AH$112,$BA41,INDEX($D$87:$AC$112,0,MATCH(CA$34,$D$86:$AC$86,0)))</f>
        <v>0</v>
      </c>
      <c r="CB41" s="15">
        <f>SUM($BB41:$CA41)</f>
        <v>29.5</v>
      </c>
      <c r="CC41" s="15">
        <f>COUNTIF($AH$87:$AH$112,$BA41)</f>
        <v>1</v>
      </c>
    </row>
    <row r="42" spans="1:81">
      <c r="A42" s="19" t="str">
        <f>$E14</f>
        <v>RS17</v>
      </c>
      <c r="B42" s="2">
        <f>IFERROR(SUMIF($B$5:$B$29,B$32,INDEX(EMBELISHMENT!$B$3:$AQ$27,0,MATCH($AE42,EMBELISHMENT!$B$1:$AQ$1,0))),0)</f>
        <v>2</v>
      </c>
      <c r="C42" s="2">
        <f>IFERROR(SUMIF($B$5:$B$29,C$32,INDEX(EMBELISHMENT!$B$3:$AQ$27,0,MATCH($AE42,EMBELISHMENT!$B$1:$AQ$1,0))),0)</f>
        <v>0</v>
      </c>
      <c r="D42" s="2">
        <f>IFERROR(SUMIF($B$5:$B$29,D$32,INDEX(EMBELISHMENT!$B$3:$AQ$27,0,MATCH($AE42,EMBELISHMENT!$B$1:$AQ$1,0))),0)</f>
        <v>0</v>
      </c>
      <c r="E42" s="2">
        <f>IFERROR(SUMIF($B$5:$B$29,E$32,INDEX(EMBELISHMENT!$B$3:$AQ$27,0,MATCH($AE42,EMBELISHMENT!$B$1:$AQ$1,0))),0)</f>
        <v>0</v>
      </c>
      <c r="F42" s="2">
        <f>IFERROR(SUMIF($B$5:$B$29,F$32,INDEX(EMBELISHMENT!$B$3:$AQ$27,0,MATCH($AE42,EMBELISHMENT!$B$1:$AQ$1,0))),0)</f>
        <v>10</v>
      </c>
      <c r="G42" s="2">
        <f>IFERROR(SUMIF($B$5:$B$29,G$32,INDEX(EMBELISHMENT!$B$3:$AQ$27,0,MATCH($AE42,EMBELISHMENT!$B$1:$AQ$1,0))),0)</f>
        <v>3</v>
      </c>
      <c r="H42" s="2">
        <f>IFERROR(SUMIF($B$5:$B$29,H$32,INDEX(EMBELISHMENT!$B$3:$AQ$27,0,MATCH($AE42,EMBELISHMENT!$B$1:$AQ$1,0))),0)</f>
        <v>0</v>
      </c>
      <c r="I42" s="2">
        <f>IFERROR(SUMIF($B$5:$B$29,I$32,INDEX(EMBELISHMENT!$B$3:$AQ$27,0,MATCH($AE42,EMBELISHMENT!$B$1:$AQ$1,0))),0)</f>
        <v>0</v>
      </c>
      <c r="J42" s="2">
        <f>IFERROR(SUMIF($B$5:$B$29,J$32,INDEX(EMBELISHMENT!$B$3:$AQ$27,0,MATCH($AE42,EMBELISHMENT!$B$1:$AQ$1,0))),0)</f>
        <v>0</v>
      </c>
      <c r="K42" s="2">
        <f>IFERROR(SUMIF($B$5:$B$29,K$32,INDEX(EMBELISHMENT!$B$3:$AQ$27,0,MATCH($AE42,EMBELISHMENT!$B$1:$AQ$1,0))),0)</f>
        <v>0</v>
      </c>
      <c r="L42" s="2">
        <f>IFERROR(SUMIF($B$5:$B$29,L$32,INDEX(EMBELISHMENT!$B$3:$AQ$27,0,MATCH($AE42,EMBELISHMENT!$B$1:$AQ$1,0))),0)</f>
        <v>3</v>
      </c>
      <c r="M42" s="2">
        <f>IFERROR(SUMIF($B$5:$B$29,M$32,INDEX(EMBELISHMENT!$B$3:$AQ$27,0,MATCH($AE42,EMBELISHMENT!$B$1:$AQ$1,0))),0)</f>
        <v>0</v>
      </c>
      <c r="N42" s="2">
        <f>IFERROR(SUMIF($B$5:$B$29,N$32,INDEX(EMBELISHMENT!$B$3:$AQ$27,0,MATCH($AE42,EMBELISHMENT!$B$1:$AQ$1,0))),0)</f>
        <v>3</v>
      </c>
      <c r="O42" s="2">
        <f>IFERROR(SUMIF($B$5:$B$29,O$32,INDEX(EMBELISHMENT!$B$3:$AQ$27,0,MATCH($AE42,EMBELISHMENT!$B$1:$AQ$1,0))),0)</f>
        <v>0</v>
      </c>
      <c r="P42" s="2">
        <f>IFERROR(SUMIF($B$5:$B$29,P$32,INDEX(EMBELISHMENT!$B$3:$AQ$27,0,MATCH($AE42,EMBELISHMENT!$B$1:$AQ$1,0))),0)</f>
        <v>5</v>
      </c>
      <c r="Q42" s="2">
        <f>IFERROR(SUMIF($B$5:$B$29,Q$32,INDEX(EMBELISHMENT!$B$3:$AQ$27,0,MATCH($AE42,EMBELISHMENT!$B$1:$AQ$1,0))),0)</f>
        <v>0</v>
      </c>
      <c r="R42" s="2">
        <f>IFERROR(SUMIF($B$5:$B$29,R$32,INDEX(EMBELISHMENT!$B$3:$AQ$27,0,MATCH($AE42,EMBELISHMENT!$B$1:$AQ$1,0))),0)</f>
        <v>0</v>
      </c>
      <c r="S42" s="2">
        <f>IFERROR(SUMIF($B$5:$B$29,S$32,INDEX(EMBELISHMENT!$B$3:$AQ$27,0,MATCH($AE42,EMBELISHMENT!$B$1:$AQ$1,0))),0)</f>
        <v>0</v>
      </c>
      <c r="T42" s="2">
        <f>IFERROR(SUMIF($B$5:$B$29,T$32,INDEX(EMBELISHMENT!$B$3:$AQ$27,0,MATCH($AE42,EMBELISHMENT!$B$1:$AQ$1,0))),0)</f>
        <v>1</v>
      </c>
      <c r="U42" s="2">
        <f>IFERROR(SUMIF($B$5:$B$29,U$32,INDEX(EMBELISHMENT!$B$3:$AQ$27,0,MATCH($AE42,EMBELISHMENT!$B$1:$AQ$1,0))),0)</f>
        <v>1</v>
      </c>
      <c r="V42" s="2">
        <f>IFERROR(SUMIF($B$5:$B$29,V$32,INDEX(EMBELISHMENT!$B$3:$AQ$27,0,MATCH($AE42,EMBELISHMENT!$B$1:$AQ$1,0))),0)</f>
        <v>0</v>
      </c>
      <c r="W42" s="2">
        <f>IFERROR(SUMIF($B$5:$B$29,W$32,INDEX(EMBELISHMENT!$B$3:$AQ$27,0,MATCH($AE42,EMBELISHMENT!$B$1:$AQ$1,0))),0)</f>
        <v>0</v>
      </c>
      <c r="X42" s="2">
        <f>IFERROR(SUMIF($B$5:$B$29,X$32,INDEX(EMBELISHMENT!$B$3:$AQ$27,0,MATCH($AE42,EMBELISHMENT!$B$1:$AQ$1,0))),0)</f>
        <v>0</v>
      </c>
      <c r="Y42" s="2">
        <f>IFERROR(SUMIF($B$5:$B$29,Y$32,INDEX(EMBELISHMENT!$B$3:$AQ$27,0,MATCH($AE42,EMBELISHMENT!$B$1:$AQ$1,0))),0)</f>
        <v>0</v>
      </c>
      <c r="Z42" s="2">
        <f>IFERROR(SUMIF($B$5:$B$29,Z$32,INDEX(EMBELISHMENT!$B$3:$AQ$27,0,MATCH($AE42,EMBELISHMENT!$B$1:$AQ$1,0))),0)</f>
        <v>0</v>
      </c>
      <c r="AA42" s="2">
        <f>IFERROR(SUMIF($B$5:$B$29,AA$32,INDEX(EMBELISHMENT!$B$3:$AQ$27,0,MATCH($AE42,EMBELISHMENT!$B$1:$AQ$1,0))),0)</f>
        <v>2</v>
      </c>
      <c r="AB42" s="2">
        <f>SUM($B42:$AA42)</f>
        <v>30</v>
      </c>
      <c r="AC42" s="2">
        <f>IFERROR(INDEX(EMBELISHMENT!$B$28:$AQ$28,MATCH($AE42,EMBELISHMENT!$B$1:$AQ$1,0)),0)</f>
        <v>30</v>
      </c>
      <c r="AD42" s="2" t="str">
        <f>IF(N(AC42)=0,"n/a",IF(ROUND(AB42-AC42,1)=0,"OK",ROUND(AB42-AC42,1)))</f>
        <v>OK</v>
      </c>
      <c r="AE42" s="277" t="str">
        <f>IFERROR(IF(INDEX($L$5:$L$28,MATCH($A42,$K$5:$K$28,0))="","(no recipe)",INDEX($L$5:$L$28,MATCH($A42,$K$5:$K$28,0))),$A42)</f>
        <v>RS-17</v>
      </c>
      <c r="AF42" s="14" t="str">
        <f>IFERROR(INDEX($M$5:$M$28,MATCH($A42,$K$5:$K$28,0)),"STYLE")</f>
        <v>STYLE</v>
      </c>
      <c r="AG42" s="60" t="s">
        <v>22</v>
      </c>
      <c r="AJ42" s="60" t="s">
        <v>310</v>
      </c>
      <c r="BA42" s="269" t="str">
        <f>DASHBOARD!$B79</f>
        <v>(not set) / no work</v>
      </c>
      <c r="BB42" s="15">
        <f>SUMIF($AH$87:$AH$112,$BA42,INDEX($D$87:$AC$112,0,MATCH(BB$34,$D$86:$AC$86,0)))</f>
        <v>0</v>
      </c>
      <c r="BC42" s="15">
        <f>SUMIF($AH$87:$AH$112,$BA42,INDEX($D$87:$AC$112,0,MATCH(BC$34,$D$86:$AC$86,0)))</f>
        <v>0</v>
      </c>
      <c r="BD42" s="15">
        <f>SUMIF($AH$87:$AH$112,$BA42,INDEX($D$87:$AC$112,0,MATCH(BD$34,$D$86:$AC$86,0)))</f>
        <v>0</v>
      </c>
      <c r="BE42" s="15">
        <f>SUMIF($AH$87:$AH$112,$BA42,INDEX($D$87:$AC$112,0,MATCH(BE$34,$D$86:$AC$86,0)))</f>
        <v>0</v>
      </c>
      <c r="BF42" s="15">
        <f>SUMIF($AH$87:$AH$112,$BA42,INDEX($D$87:$AC$112,0,MATCH(BF$34,$D$86:$AC$86,0)))</f>
        <v>0</v>
      </c>
      <c r="BG42" s="15">
        <f>SUMIF($AH$87:$AH$112,$BA42,INDEX($D$87:$AC$112,0,MATCH(BG$34,$D$86:$AC$86,0)))</f>
        <v>0</v>
      </c>
      <c r="BH42" s="15">
        <f>SUMIF($AH$87:$AH$112,$BA42,INDEX($D$87:$AC$112,0,MATCH(BH$34,$D$86:$AC$86,0)))</f>
        <v>0</v>
      </c>
      <c r="BI42" s="15">
        <f>SUMIF($AH$87:$AH$112,$BA42,INDEX($D$87:$AC$112,0,MATCH(BI$34,$D$86:$AC$86,0)))</f>
        <v>0</v>
      </c>
      <c r="BJ42" s="15">
        <f>SUMIF($AH$87:$AH$112,$BA42,INDEX($D$87:$AC$112,0,MATCH(BJ$34,$D$86:$AC$86,0)))</f>
        <v>0</v>
      </c>
      <c r="BK42" s="15">
        <f>SUMIF($AH$87:$AH$112,$BA42,INDEX($D$87:$AC$112,0,MATCH(BK$34,$D$86:$AC$86,0)))</f>
        <v>0</v>
      </c>
      <c r="BL42" s="15">
        <f>SUMIF($AH$87:$AH$112,$BA42,INDEX($D$87:$AC$112,0,MATCH(BL$34,$D$86:$AC$86,0)))</f>
        <v>0</v>
      </c>
      <c r="BM42" s="15">
        <f>SUMIF($AH$87:$AH$112,$BA42,INDEX($D$87:$AC$112,0,MATCH(BM$34,$D$86:$AC$86,0)))</f>
        <v>0</v>
      </c>
      <c r="BN42" s="15">
        <f>SUMIF($AH$87:$AH$112,$BA42,INDEX($D$87:$AC$112,0,MATCH(BN$34,$D$86:$AC$86,0)))</f>
        <v>0</v>
      </c>
      <c r="BO42" s="15">
        <f>SUMIF($AH$87:$AH$112,$BA42,INDEX($D$87:$AC$112,0,MATCH(BO$34,$D$86:$AC$86,0)))</f>
        <v>0</v>
      </c>
      <c r="BP42" s="15">
        <f>SUMIF($AH$87:$AH$112,$BA42,INDEX($D$87:$AC$112,0,MATCH(BP$34,$D$86:$AC$86,0)))</f>
        <v>0</v>
      </c>
      <c r="BQ42" s="15">
        <f>SUMIF($AH$87:$AH$112,$BA42,INDEX($D$87:$AC$112,0,MATCH(BQ$34,$D$86:$AC$86,0)))</f>
        <v>0</v>
      </c>
      <c r="BR42" s="15">
        <f>SUMIF($AH$87:$AH$112,$BA42,INDEX($D$87:$AC$112,0,MATCH(BR$34,$D$86:$AC$86,0)))</f>
        <v>0</v>
      </c>
      <c r="BS42" s="15">
        <f>SUMIF($AH$87:$AH$112,$BA42,INDEX($D$87:$AC$112,0,MATCH(BS$34,$D$86:$AC$86,0)))</f>
        <v>0</v>
      </c>
      <c r="BT42" s="15">
        <f>SUMIF($AH$87:$AH$112,$BA42,INDEX($D$87:$AC$112,0,MATCH(BT$34,$D$86:$AC$86,0)))</f>
        <v>0</v>
      </c>
      <c r="BU42" s="15">
        <f>SUMIF($AH$87:$AH$112,$BA42,INDEX($D$87:$AC$112,0,MATCH(BU$34,$D$86:$AC$86,0)))</f>
        <v>0</v>
      </c>
      <c r="BV42" s="15">
        <f>SUMIF($AH$87:$AH$112,$BA42,INDEX($D$87:$AC$112,0,MATCH(BV$34,$D$86:$AC$86,0)))</f>
        <v>0</v>
      </c>
      <c r="BW42" s="15">
        <f>SUMIF($AH$87:$AH$112,$BA42,INDEX($D$87:$AC$112,0,MATCH(BW$34,$D$86:$AC$86,0)))</f>
        <v>0</v>
      </c>
      <c r="BX42" s="15">
        <f>SUMIF($AH$87:$AH$112,$BA42,INDEX($D$87:$AC$112,0,MATCH(BX$34,$D$86:$AC$86,0)))</f>
        <v>0</v>
      </c>
      <c r="BY42" s="15">
        <f>SUMIF($AH$87:$AH$112,$BA42,INDEX($D$87:$AC$112,0,MATCH(BY$34,$D$86:$AC$86,0)))</f>
        <v>0</v>
      </c>
      <c r="BZ42" s="15">
        <f>SUMIF($AH$87:$AH$112,$BA42,INDEX($D$87:$AC$112,0,MATCH(BZ$34,$D$86:$AC$86,0)))</f>
        <v>0</v>
      </c>
      <c r="CA42" s="15">
        <f>SUMIF($AH$87:$AH$112,$BA42,INDEX($D$87:$AC$112,0,MATCH(CA$34,$D$86:$AC$86,0)))</f>
        <v>0</v>
      </c>
      <c r="CB42" s="15">
        <f>SUM($BB42:$CA42)</f>
        <v>0</v>
      </c>
      <c r="CC42" s="15">
        <f>COUNTIF($AH$87:$AH$112,$BA42)</f>
        <v>0</v>
      </c>
    </row>
    <row r="43" spans="1:81">
      <c r="A43" s="19">
        <f>$E15</f>
        <v>6135</v>
      </c>
      <c r="B43" s="2">
        <f>IFERROR(SUMIF($B$5:$B$29,B$32,INDEX(EMBELISHMENT!$B$3:$AQ$27,0,MATCH($AE43,EMBELISHMENT!$B$1:$AQ$1,0))),0)</f>
        <v>6</v>
      </c>
      <c r="C43" s="2">
        <f>IFERROR(SUMIF($B$5:$B$29,C$32,INDEX(EMBELISHMENT!$B$3:$AQ$27,0,MATCH($AE43,EMBELISHMENT!$B$1:$AQ$1,0))),0)</f>
        <v>0</v>
      </c>
      <c r="D43" s="2">
        <f>IFERROR(SUMIF($B$5:$B$29,D$32,INDEX(EMBELISHMENT!$B$3:$AQ$27,0,MATCH($AE43,EMBELISHMENT!$B$1:$AQ$1,0))),0)</f>
        <v>0</v>
      </c>
      <c r="E43" s="2">
        <f>IFERROR(SUMIF($B$5:$B$29,E$32,INDEX(EMBELISHMENT!$B$3:$AQ$27,0,MATCH($AE43,EMBELISHMENT!$B$1:$AQ$1,0))),0)</f>
        <v>0</v>
      </c>
      <c r="F43" s="2">
        <f>IFERROR(SUMIF($B$5:$B$29,F$32,INDEX(EMBELISHMENT!$B$3:$AQ$27,0,MATCH($AE43,EMBELISHMENT!$B$1:$AQ$1,0))),0)</f>
        <v>14</v>
      </c>
      <c r="G43" s="2">
        <f>IFERROR(SUMIF($B$5:$B$29,G$32,INDEX(EMBELISHMENT!$B$3:$AQ$27,0,MATCH($AE43,EMBELISHMENT!$B$1:$AQ$1,0))),0)</f>
        <v>3</v>
      </c>
      <c r="H43" s="2">
        <f>IFERROR(SUMIF($B$5:$B$29,H$32,INDEX(EMBELISHMENT!$B$3:$AQ$27,0,MATCH($AE43,EMBELISHMENT!$B$1:$AQ$1,0))),0)</f>
        <v>0</v>
      </c>
      <c r="I43" s="2">
        <f>IFERROR(SUMIF($B$5:$B$29,I$32,INDEX(EMBELISHMENT!$B$3:$AQ$27,0,MATCH($AE43,EMBELISHMENT!$B$1:$AQ$1,0))),0)</f>
        <v>3</v>
      </c>
      <c r="J43" s="2">
        <f>IFERROR(SUMIF($B$5:$B$29,J$32,INDEX(EMBELISHMENT!$B$3:$AQ$27,0,MATCH($AE43,EMBELISHMENT!$B$1:$AQ$1,0))),0)</f>
        <v>0</v>
      </c>
      <c r="K43" s="2">
        <f>IFERROR(SUMIF($B$5:$B$29,K$32,INDEX(EMBELISHMENT!$B$3:$AQ$27,0,MATCH($AE43,EMBELISHMENT!$B$1:$AQ$1,0))),0)</f>
        <v>0</v>
      </c>
      <c r="L43" s="2">
        <f>IFERROR(SUMIF($B$5:$B$29,L$32,INDEX(EMBELISHMENT!$B$3:$AQ$27,0,MATCH($AE43,EMBELISHMENT!$B$1:$AQ$1,0))),0)</f>
        <v>5.5</v>
      </c>
      <c r="M43" s="2">
        <f>IFERROR(SUMIF($B$5:$B$29,M$32,INDEX(EMBELISHMENT!$B$3:$AQ$27,0,MATCH($AE43,EMBELISHMENT!$B$1:$AQ$1,0))),0)</f>
        <v>0</v>
      </c>
      <c r="N43" s="2">
        <f>IFERROR(SUMIF($B$5:$B$29,N$32,INDEX(EMBELISHMENT!$B$3:$AQ$27,0,MATCH($AE43,EMBELISHMENT!$B$1:$AQ$1,0))),0)</f>
        <v>0</v>
      </c>
      <c r="O43" s="2">
        <f>IFERROR(SUMIF($B$5:$B$29,O$32,INDEX(EMBELISHMENT!$B$3:$AQ$27,0,MATCH($AE43,EMBELISHMENT!$B$1:$AQ$1,0))),0)</f>
        <v>0</v>
      </c>
      <c r="P43" s="2">
        <f>IFERROR(SUMIF($B$5:$B$29,P$32,INDEX(EMBELISHMENT!$B$3:$AQ$27,0,MATCH($AE43,EMBELISHMENT!$B$1:$AQ$1,0))),0)</f>
        <v>0</v>
      </c>
      <c r="Q43" s="2">
        <f>IFERROR(SUMIF($B$5:$B$29,Q$32,INDEX(EMBELISHMENT!$B$3:$AQ$27,0,MATCH($AE43,EMBELISHMENT!$B$1:$AQ$1,0))),0)</f>
        <v>0</v>
      </c>
      <c r="R43" s="2">
        <f>IFERROR(SUMIF($B$5:$B$29,R$32,INDEX(EMBELISHMENT!$B$3:$AQ$27,0,MATCH($AE43,EMBELISHMENT!$B$1:$AQ$1,0))),0)</f>
        <v>0</v>
      </c>
      <c r="S43" s="2">
        <f>IFERROR(SUMIF($B$5:$B$29,S$32,INDEX(EMBELISHMENT!$B$3:$AQ$27,0,MATCH($AE43,EMBELISHMENT!$B$1:$AQ$1,0))),0)</f>
        <v>0</v>
      </c>
      <c r="T43" s="2">
        <f>IFERROR(SUMIF($B$5:$B$29,T$32,INDEX(EMBELISHMENT!$B$3:$AQ$27,0,MATCH($AE43,EMBELISHMENT!$B$1:$AQ$1,0))),0)</f>
        <v>0</v>
      </c>
      <c r="U43" s="2">
        <f>IFERROR(SUMIF($B$5:$B$29,U$32,INDEX(EMBELISHMENT!$B$3:$AQ$27,0,MATCH($AE43,EMBELISHMENT!$B$1:$AQ$1,0))),0)</f>
        <v>1</v>
      </c>
      <c r="V43" s="2">
        <f>IFERROR(SUMIF($B$5:$B$29,V$32,INDEX(EMBELISHMENT!$B$3:$AQ$27,0,MATCH($AE43,EMBELISHMENT!$B$1:$AQ$1,0))),0)</f>
        <v>0</v>
      </c>
      <c r="W43" s="2">
        <f>IFERROR(SUMIF($B$5:$B$29,W$32,INDEX(EMBELISHMENT!$B$3:$AQ$27,0,MATCH($AE43,EMBELISHMENT!$B$1:$AQ$1,0))),0)</f>
        <v>0</v>
      </c>
      <c r="X43" s="2">
        <f>IFERROR(SUMIF($B$5:$B$29,X$32,INDEX(EMBELISHMENT!$B$3:$AQ$27,0,MATCH($AE43,EMBELISHMENT!$B$1:$AQ$1,0))),0)</f>
        <v>0</v>
      </c>
      <c r="Y43" s="2">
        <f>IFERROR(SUMIF($B$5:$B$29,Y$32,INDEX(EMBELISHMENT!$B$3:$AQ$27,0,MATCH($AE43,EMBELISHMENT!$B$1:$AQ$1,0))),0)</f>
        <v>0</v>
      </c>
      <c r="Z43" s="2">
        <f>IFERROR(SUMIF($B$5:$B$29,Z$32,INDEX(EMBELISHMENT!$B$3:$AQ$27,0,MATCH($AE43,EMBELISHMENT!$B$1:$AQ$1,0))),0)</f>
        <v>0</v>
      </c>
      <c r="AA43" s="2">
        <f>IFERROR(SUMIF($B$5:$B$29,AA$32,INDEX(EMBELISHMENT!$B$3:$AQ$27,0,MATCH($AE43,EMBELISHMENT!$B$1:$AQ$1,0))),0)</f>
        <v>1</v>
      </c>
      <c r="AB43" s="2">
        <f>SUM($B43:$AA43)</f>
        <v>33.5</v>
      </c>
      <c r="AC43" s="2">
        <f>IFERROR(INDEX(EMBELISHMENT!$B$28:$AQ$28,MATCH($AE43,EMBELISHMENT!$B$1:$AQ$1,0)),0)</f>
        <v>33.5</v>
      </c>
      <c r="AD43" s="2" t="str">
        <f>IF(N(AC43)=0,"n/a",IF(ROUND(AB43-AC43,1)=0,"OK",ROUND(AB43-AC43,1)))</f>
        <v>OK</v>
      </c>
      <c r="AE43" s="277">
        <f>IFERROR(IF(INDEX($L$5:$L$28,MATCH($A43,$K$5:$K$28,0))="","(no recipe)",INDEX($L$5:$L$28,MATCH($A43,$K$5:$K$28,0))),$A43)</f>
        <v>6135</v>
      </c>
      <c r="AF43" s="14" t="str">
        <f>IFERROR(INDEX($M$5:$M$28,MATCH($A43,$K$5:$K$28,0)),"STYLE")</f>
        <v>STYLE</v>
      </c>
      <c r="AG43" s="60" t="s">
        <v>22</v>
      </c>
      <c r="AJ43" s="60" t="s">
        <v>493</v>
      </c>
      <c r="BA43" s="50" t="s">
        <v>34</v>
      </c>
      <c r="BB43" s="50">
        <f>SUM(BB35:BB42)</f>
        <v>152</v>
      </c>
      <c r="BC43" s="50">
        <f>SUM(BC35:BC42)</f>
        <v>1</v>
      </c>
      <c r="BD43" s="50">
        <f>SUM(BD35:BD42)</f>
        <v>0</v>
      </c>
      <c r="BE43" s="50">
        <f>SUM(BE35:BE42)</f>
        <v>4</v>
      </c>
      <c r="BF43" s="50">
        <f>SUM(BF35:BF42)</f>
        <v>291</v>
      </c>
      <c r="BG43" s="50">
        <f>SUM(BG35:BG42)</f>
        <v>31</v>
      </c>
      <c r="BH43" s="50">
        <f>SUM(BH35:BH42)</f>
        <v>0</v>
      </c>
      <c r="BI43" s="50">
        <f>SUM(BI35:BI42)</f>
        <v>36</v>
      </c>
      <c r="BJ43" s="50">
        <f>SUM(BJ35:BJ42)</f>
        <v>22.5</v>
      </c>
      <c r="BK43" s="50">
        <f>SUM(BK35:BK42)</f>
        <v>4</v>
      </c>
      <c r="BL43" s="50">
        <f>SUM(BL35:BL42)</f>
        <v>43.5</v>
      </c>
      <c r="BM43" s="50">
        <f>SUM(BM35:BM42)</f>
        <v>17</v>
      </c>
      <c r="BN43" s="50">
        <f>SUM(BN35:BN42)</f>
        <v>34.5</v>
      </c>
      <c r="BO43" s="50">
        <f>SUM(BO35:BO42)</f>
        <v>40</v>
      </c>
      <c r="BP43" s="50">
        <f>SUM(BP35:BP42)</f>
        <v>47</v>
      </c>
      <c r="BQ43" s="50">
        <f>SUM(BQ35:BQ42)</f>
        <v>0</v>
      </c>
      <c r="BR43" s="50">
        <f>SUM(BR35:BR42)</f>
        <v>3</v>
      </c>
      <c r="BS43" s="50">
        <f>SUM(BS35:BS42)</f>
        <v>0</v>
      </c>
      <c r="BT43" s="50">
        <f>SUM(BT35:BT42)</f>
        <v>13</v>
      </c>
      <c r="BU43" s="50">
        <f>SUM(BU35:BU42)</f>
        <v>31</v>
      </c>
      <c r="BV43" s="50">
        <f>SUM(BV35:BV42)</f>
        <v>2</v>
      </c>
      <c r="BW43" s="50">
        <f>SUM(BW35:BW42)</f>
        <v>2</v>
      </c>
      <c r="BX43" s="50">
        <f>SUM(BX35:BX42)</f>
        <v>0</v>
      </c>
      <c r="BY43" s="50">
        <f>SUM(BY35:BY42)</f>
        <v>4.5</v>
      </c>
      <c r="BZ43" s="50">
        <f>SUM(BZ35:BZ42)</f>
        <v>0</v>
      </c>
      <c r="CA43" s="50">
        <f>SUM(CA35:CA42)</f>
        <v>29</v>
      </c>
      <c r="CB43" s="50">
        <f>SUM(CB35:CB42)</f>
        <v>808</v>
      </c>
      <c r="CC43" s="50">
        <f>SUM(CC35:CC42)</f>
        <v>26</v>
      </c>
    </row>
    <row r="44" spans="1:81">
      <c r="A44" s="19" t="str">
        <f>$E16</f>
        <v>THERMAL</v>
      </c>
      <c r="B44" s="2">
        <f>IFERROR(SUMIF($B$5:$B$29,B$32,INDEX(EMBELISHMENT!$B$3:$AQ$27,0,MATCH($AE44,EMBELISHMENT!$B$1:$AQ$1,0))),0)</f>
        <v>0</v>
      </c>
      <c r="C44" s="2">
        <f>IFERROR(SUMIF($B$5:$B$29,C$32,INDEX(EMBELISHMENT!$B$3:$AQ$27,0,MATCH($AE44,EMBELISHMENT!$B$1:$AQ$1,0))),0)</f>
        <v>0</v>
      </c>
      <c r="D44" s="2">
        <f>IFERROR(SUMIF($B$5:$B$29,D$32,INDEX(EMBELISHMENT!$B$3:$AQ$27,0,MATCH($AE44,EMBELISHMENT!$B$1:$AQ$1,0))),0)</f>
        <v>0</v>
      </c>
      <c r="E44" s="2">
        <f>IFERROR(SUMIF($B$5:$B$29,E$32,INDEX(EMBELISHMENT!$B$3:$AQ$27,0,MATCH($AE44,EMBELISHMENT!$B$1:$AQ$1,0))),0)</f>
        <v>0</v>
      </c>
      <c r="F44" s="2">
        <f>IFERROR(SUMIF($B$5:$B$29,F$32,INDEX(EMBELISHMENT!$B$3:$AQ$27,0,MATCH($AE44,EMBELISHMENT!$B$1:$AQ$1,0))),0)</f>
        <v>0</v>
      </c>
      <c r="G44" s="2">
        <f>IFERROR(SUMIF($B$5:$B$29,G$32,INDEX(EMBELISHMENT!$B$3:$AQ$27,0,MATCH($AE44,EMBELISHMENT!$B$1:$AQ$1,0))),0)</f>
        <v>0</v>
      </c>
      <c r="H44" s="2">
        <f>IFERROR(SUMIF($B$5:$B$29,H$32,INDEX(EMBELISHMENT!$B$3:$AQ$27,0,MATCH($AE44,EMBELISHMENT!$B$1:$AQ$1,0))),0)</f>
        <v>0</v>
      </c>
      <c r="I44" s="2">
        <f>IFERROR(SUMIF($B$5:$B$29,I$32,INDEX(EMBELISHMENT!$B$3:$AQ$27,0,MATCH($AE44,EMBELISHMENT!$B$1:$AQ$1,0))),0)</f>
        <v>0</v>
      </c>
      <c r="J44" s="2">
        <f>IFERROR(SUMIF($B$5:$B$29,J$32,INDEX(EMBELISHMENT!$B$3:$AQ$27,0,MATCH($AE44,EMBELISHMENT!$B$1:$AQ$1,0))),0)</f>
        <v>0</v>
      </c>
      <c r="K44" s="2">
        <f>IFERROR(SUMIF($B$5:$B$29,K$32,INDEX(EMBELISHMENT!$B$3:$AQ$27,0,MATCH($AE44,EMBELISHMENT!$B$1:$AQ$1,0))),0)</f>
        <v>0</v>
      </c>
      <c r="L44" s="2">
        <f>IFERROR(SUMIF($B$5:$B$29,L$32,INDEX(EMBELISHMENT!$B$3:$AQ$27,0,MATCH($AE44,EMBELISHMENT!$B$1:$AQ$1,0))),0)</f>
        <v>0</v>
      </c>
      <c r="M44" s="2">
        <f>IFERROR(SUMIF($B$5:$B$29,M$32,INDEX(EMBELISHMENT!$B$3:$AQ$27,0,MATCH($AE44,EMBELISHMENT!$B$1:$AQ$1,0))),0)</f>
        <v>0</v>
      </c>
      <c r="N44" s="2">
        <f>IFERROR(SUMIF($B$5:$B$29,N$32,INDEX(EMBELISHMENT!$B$3:$AQ$27,0,MATCH($AE44,EMBELISHMENT!$B$1:$AQ$1,0))),0)</f>
        <v>0</v>
      </c>
      <c r="O44" s="2">
        <f>IFERROR(SUMIF($B$5:$B$29,O$32,INDEX(EMBELISHMENT!$B$3:$AQ$27,0,MATCH($AE44,EMBELISHMENT!$B$1:$AQ$1,0))),0)</f>
        <v>0</v>
      </c>
      <c r="P44" s="2">
        <f>IFERROR(SUMIF($B$5:$B$29,P$32,INDEX(EMBELISHMENT!$B$3:$AQ$27,0,MATCH($AE44,EMBELISHMENT!$B$1:$AQ$1,0))),0)</f>
        <v>0</v>
      </c>
      <c r="Q44" s="2">
        <f>IFERROR(SUMIF($B$5:$B$29,Q$32,INDEX(EMBELISHMENT!$B$3:$AQ$27,0,MATCH($AE44,EMBELISHMENT!$B$1:$AQ$1,0))),0)</f>
        <v>0</v>
      </c>
      <c r="R44" s="2">
        <f>IFERROR(SUMIF($B$5:$B$29,R$32,INDEX(EMBELISHMENT!$B$3:$AQ$27,0,MATCH($AE44,EMBELISHMENT!$B$1:$AQ$1,0))),0)</f>
        <v>0</v>
      </c>
      <c r="S44" s="2">
        <f>IFERROR(SUMIF($B$5:$B$29,S$32,INDEX(EMBELISHMENT!$B$3:$AQ$27,0,MATCH($AE44,EMBELISHMENT!$B$1:$AQ$1,0))),0)</f>
        <v>0</v>
      </c>
      <c r="T44" s="2">
        <f>IFERROR(SUMIF($B$5:$B$29,T$32,INDEX(EMBELISHMENT!$B$3:$AQ$27,0,MATCH($AE44,EMBELISHMENT!$B$1:$AQ$1,0))),0)</f>
        <v>0</v>
      </c>
      <c r="U44" s="2">
        <f>IFERROR(SUMIF($B$5:$B$29,U$32,INDEX(EMBELISHMENT!$B$3:$AQ$27,0,MATCH($AE44,EMBELISHMENT!$B$1:$AQ$1,0))),0)</f>
        <v>0</v>
      </c>
      <c r="V44" s="2">
        <f>IFERROR(SUMIF($B$5:$B$29,V$32,INDEX(EMBELISHMENT!$B$3:$AQ$27,0,MATCH($AE44,EMBELISHMENT!$B$1:$AQ$1,0))),0)</f>
        <v>0</v>
      </c>
      <c r="W44" s="2">
        <f>IFERROR(SUMIF($B$5:$B$29,W$32,INDEX(EMBELISHMENT!$B$3:$AQ$27,0,MATCH($AE44,EMBELISHMENT!$B$1:$AQ$1,0))),0)</f>
        <v>0</v>
      </c>
      <c r="X44" s="2">
        <f>IFERROR(SUMIF($B$5:$B$29,X$32,INDEX(EMBELISHMENT!$B$3:$AQ$27,0,MATCH($AE44,EMBELISHMENT!$B$1:$AQ$1,0))),0)</f>
        <v>0</v>
      </c>
      <c r="Y44" s="2">
        <f>IFERROR(SUMIF($B$5:$B$29,Y$32,INDEX(EMBELISHMENT!$B$3:$AQ$27,0,MATCH($AE44,EMBELISHMENT!$B$1:$AQ$1,0))),0)</f>
        <v>0</v>
      </c>
      <c r="Z44" s="2">
        <f>IFERROR(SUMIF($B$5:$B$29,Z$32,INDEX(EMBELISHMENT!$B$3:$AQ$27,0,MATCH($AE44,EMBELISHMENT!$B$1:$AQ$1,0))),0)</f>
        <v>0</v>
      </c>
      <c r="AA44" s="2">
        <f>IFERROR(SUMIF($B$5:$B$29,AA$32,INDEX(EMBELISHMENT!$B$3:$AQ$27,0,MATCH($AE44,EMBELISHMENT!$B$1:$AQ$1,0))),0)</f>
        <v>0</v>
      </c>
      <c r="AB44" s="2">
        <f>SUM($B44:$AA44)</f>
        <v>0</v>
      </c>
      <c r="AC44" s="2">
        <f>IFERROR(INDEX(EMBELISHMENT!$B$28:$AQ$28,MATCH($AE44,EMBELISHMENT!$B$1:$AQ$1,0)),0)</f>
        <v>0</v>
      </c>
      <c r="AD44" s="2" t="str">
        <f>IF(N(AC44)=0,"n/a",IF(ROUND(AB44-AC44,1)=0,"OK",ROUND(AB44-AC44,1)))</f>
        <v>n/a</v>
      </c>
      <c r="AE44" s="277" t="str">
        <f>IFERROR(IF(INDEX($L$5:$L$28,MATCH($A44,$K$5:$K$28,0))="","(no recipe)",INDEX($L$5:$L$28,MATCH($A44,$K$5:$K$28,0))),$A44)</f>
        <v>(no recipe)</v>
      </c>
      <c r="AF44" s="14" t="str">
        <f>IFERROR(INDEX($M$5:$M$28,MATCH($A44,$K$5:$K$28,0)),"STYLE")</f>
        <v>THERMAL</v>
      </c>
      <c r="AG44" s="296" t="s">
        <v>310</v>
      </c>
      <c r="AJ44" s="299" t="s">
        <v>497</v>
      </c>
    </row>
    <row r="45" spans="1:81">
      <c r="A45" s="19" t="str">
        <f>$E17</f>
        <v>VACCANT</v>
      </c>
      <c r="B45" s="2">
        <f>IFERROR(SUMIF($B$5:$B$29,B$32,INDEX(EMBELISHMENT!$B$3:$AQ$27,0,MATCH($AE45,EMBELISHMENT!$B$1:$AQ$1,0))),0)</f>
        <v>0</v>
      </c>
      <c r="C45" s="2">
        <f>IFERROR(SUMIF($B$5:$B$29,C$32,INDEX(EMBELISHMENT!$B$3:$AQ$27,0,MATCH($AE45,EMBELISHMENT!$B$1:$AQ$1,0))),0)</f>
        <v>0</v>
      </c>
      <c r="D45" s="2">
        <f>IFERROR(SUMIF($B$5:$B$29,D$32,INDEX(EMBELISHMENT!$B$3:$AQ$27,0,MATCH($AE45,EMBELISHMENT!$B$1:$AQ$1,0))),0)</f>
        <v>0</v>
      </c>
      <c r="E45" s="2">
        <f>IFERROR(SUMIF($B$5:$B$29,E$32,INDEX(EMBELISHMENT!$B$3:$AQ$27,0,MATCH($AE45,EMBELISHMENT!$B$1:$AQ$1,0))),0)</f>
        <v>0</v>
      </c>
      <c r="F45" s="2">
        <f>IFERROR(SUMIF($B$5:$B$29,F$32,INDEX(EMBELISHMENT!$B$3:$AQ$27,0,MATCH($AE45,EMBELISHMENT!$B$1:$AQ$1,0))),0)</f>
        <v>0</v>
      </c>
      <c r="G45" s="2">
        <f>IFERROR(SUMIF($B$5:$B$29,G$32,INDEX(EMBELISHMENT!$B$3:$AQ$27,0,MATCH($AE45,EMBELISHMENT!$B$1:$AQ$1,0))),0)</f>
        <v>0</v>
      </c>
      <c r="H45" s="2">
        <f>IFERROR(SUMIF($B$5:$B$29,H$32,INDEX(EMBELISHMENT!$B$3:$AQ$27,0,MATCH($AE45,EMBELISHMENT!$B$1:$AQ$1,0))),0)</f>
        <v>0</v>
      </c>
      <c r="I45" s="2">
        <f>IFERROR(SUMIF($B$5:$B$29,I$32,INDEX(EMBELISHMENT!$B$3:$AQ$27,0,MATCH($AE45,EMBELISHMENT!$B$1:$AQ$1,0))),0)</f>
        <v>0</v>
      </c>
      <c r="J45" s="2">
        <f>IFERROR(SUMIF($B$5:$B$29,J$32,INDEX(EMBELISHMENT!$B$3:$AQ$27,0,MATCH($AE45,EMBELISHMENT!$B$1:$AQ$1,0))),0)</f>
        <v>0</v>
      </c>
      <c r="K45" s="2">
        <f>IFERROR(SUMIF($B$5:$B$29,K$32,INDEX(EMBELISHMENT!$B$3:$AQ$27,0,MATCH($AE45,EMBELISHMENT!$B$1:$AQ$1,0))),0)</f>
        <v>0</v>
      </c>
      <c r="L45" s="2">
        <f>IFERROR(SUMIF($B$5:$B$29,L$32,INDEX(EMBELISHMENT!$B$3:$AQ$27,0,MATCH($AE45,EMBELISHMENT!$B$1:$AQ$1,0))),0)</f>
        <v>0</v>
      </c>
      <c r="M45" s="2">
        <f>IFERROR(SUMIF($B$5:$B$29,M$32,INDEX(EMBELISHMENT!$B$3:$AQ$27,0,MATCH($AE45,EMBELISHMENT!$B$1:$AQ$1,0))),0)</f>
        <v>0</v>
      </c>
      <c r="N45" s="2">
        <f>IFERROR(SUMIF($B$5:$B$29,N$32,INDEX(EMBELISHMENT!$B$3:$AQ$27,0,MATCH($AE45,EMBELISHMENT!$B$1:$AQ$1,0))),0)</f>
        <v>0</v>
      </c>
      <c r="O45" s="2">
        <f>IFERROR(SUMIF($B$5:$B$29,O$32,INDEX(EMBELISHMENT!$B$3:$AQ$27,0,MATCH($AE45,EMBELISHMENT!$B$1:$AQ$1,0))),0)</f>
        <v>0</v>
      </c>
      <c r="P45" s="2">
        <f>IFERROR(SUMIF($B$5:$B$29,P$32,INDEX(EMBELISHMENT!$B$3:$AQ$27,0,MATCH($AE45,EMBELISHMENT!$B$1:$AQ$1,0))),0)</f>
        <v>0</v>
      </c>
      <c r="Q45" s="2">
        <f>IFERROR(SUMIF($B$5:$B$29,Q$32,INDEX(EMBELISHMENT!$B$3:$AQ$27,0,MATCH($AE45,EMBELISHMENT!$B$1:$AQ$1,0))),0)</f>
        <v>0</v>
      </c>
      <c r="R45" s="2">
        <f>IFERROR(SUMIF($B$5:$B$29,R$32,INDEX(EMBELISHMENT!$B$3:$AQ$27,0,MATCH($AE45,EMBELISHMENT!$B$1:$AQ$1,0))),0)</f>
        <v>0</v>
      </c>
      <c r="S45" s="2">
        <f>IFERROR(SUMIF($B$5:$B$29,S$32,INDEX(EMBELISHMENT!$B$3:$AQ$27,0,MATCH($AE45,EMBELISHMENT!$B$1:$AQ$1,0))),0)</f>
        <v>0</v>
      </c>
      <c r="T45" s="2">
        <f>IFERROR(SUMIF($B$5:$B$29,T$32,INDEX(EMBELISHMENT!$B$3:$AQ$27,0,MATCH($AE45,EMBELISHMENT!$B$1:$AQ$1,0))),0)</f>
        <v>0</v>
      </c>
      <c r="U45" s="2">
        <f>IFERROR(SUMIF($B$5:$B$29,U$32,INDEX(EMBELISHMENT!$B$3:$AQ$27,0,MATCH($AE45,EMBELISHMENT!$B$1:$AQ$1,0))),0)</f>
        <v>0</v>
      </c>
      <c r="V45" s="2">
        <f>IFERROR(SUMIF($B$5:$B$29,V$32,INDEX(EMBELISHMENT!$B$3:$AQ$27,0,MATCH($AE45,EMBELISHMENT!$B$1:$AQ$1,0))),0)</f>
        <v>0</v>
      </c>
      <c r="W45" s="2">
        <f>IFERROR(SUMIF($B$5:$B$29,W$32,INDEX(EMBELISHMENT!$B$3:$AQ$27,0,MATCH($AE45,EMBELISHMENT!$B$1:$AQ$1,0))),0)</f>
        <v>0</v>
      </c>
      <c r="X45" s="2">
        <f>IFERROR(SUMIF($B$5:$B$29,X$32,INDEX(EMBELISHMENT!$B$3:$AQ$27,0,MATCH($AE45,EMBELISHMENT!$B$1:$AQ$1,0))),0)</f>
        <v>0</v>
      </c>
      <c r="Y45" s="2">
        <f>IFERROR(SUMIF($B$5:$B$29,Y$32,INDEX(EMBELISHMENT!$B$3:$AQ$27,0,MATCH($AE45,EMBELISHMENT!$B$1:$AQ$1,0))),0)</f>
        <v>0</v>
      </c>
      <c r="Z45" s="2">
        <f>IFERROR(SUMIF($B$5:$B$29,Z$32,INDEX(EMBELISHMENT!$B$3:$AQ$27,0,MATCH($AE45,EMBELISHMENT!$B$1:$AQ$1,0))),0)</f>
        <v>0</v>
      </c>
      <c r="AA45" s="2">
        <f>IFERROR(SUMIF($B$5:$B$29,AA$32,INDEX(EMBELISHMENT!$B$3:$AQ$27,0,MATCH($AE45,EMBELISHMENT!$B$1:$AQ$1,0))),0)</f>
        <v>0</v>
      </c>
      <c r="AB45" s="2">
        <f>SUM($B45:$AA45)</f>
        <v>0</v>
      </c>
      <c r="AC45" s="2">
        <f>IFERROR(INDEX(EMBELISHMENT!$B$28:$AQ$28,MATCH($AE45,EMBELISHMENT!$B$1:$AQ$1,0)),0)</f>
        <v>0</v>
      </c>
      <c r="AD45" s="2" t="str">
        <f>IF(N(AC45)=0,"n/a",IF(ROUND(AB45-AC45,1)=0,"OK",ROUND(AB45-AC45,1)))</f>
        <v>n/a</v>
      </c>
      <c r="AE45" s="277" t="str">
        <f>IFERROR(IF(INDEX($L$5:$L$28,MATCH($A45,$K$5:$K$28,0))="","(no recipe)",INDEX($L$5:$L$28,MATCH($A45,$K$5:$K$28,0))),$A45)</f>
        <v>(no recipe)</v>
      </c>
      <c r="AF45" s="14" t="str">
        <f>IFERROR(INDEX($M$5:$M$28,MATCH($A45,$K$5:$K$28,0)),"STYLE")</f>
        <v>VACANT</v>
      </c>
      <c r="AG45" s="296" t="s">
        <v>310</v>
      </c>
    </row>
    <row r="46" spans="1:81">
      <c r="A46" s="19">
        <f>$E18</f>
        <v>6137</v>
      </c>
      <c r="B46" s="2">
        <f>IFERROR(SUMIF($B$5:$B$29,B$32,INDEX(EMBELISHMENT!$B$3:$AQ$27,0,MATCH($AE46,EMBELISHMENT!$B$1:$AQ$1,0))),0)</f>
        <v>4</v>
      </c>
      <c r="C46" s="2">
        <f>IFERROR(SUMIF($B$5:$B$29,C$32,INDEX(EMBELISHMENT!$B$3:$AQ$27,0,MATCH($AE46,EMBELISHMENT!$B$1:$AQ$1,0))),0)</f>
        <v>0</v>
      </c>
      <c r="D46" s="2">
        <f>IFERROR(SUMIF($B$5:$B$29,D$32,INDEX(EMBELISHMENT!$B$3:$AQ$27,0,MATCH($AE46,EMBELISHMENT!$B$1:$AQ$1,0))),0)</f>
        <v>0</v>
      </c>
      <c r="E46" s="2">
        <f>IFERROR(SUMIF($B$5:$B$29,E$32,INDEX(EMBELISHMENT!$B$3:$AQ$27,0,MATCH($AE46,EMBELISHMENT!$B$1:$AQ$1,0))),0)</f>
        <v>0</v>
      </c>
      <c r="F46" s="2">
        <f>IFERROR(SUMIF($B$5:$B$29,F$32,INDEX(EMBELISHMENT!$B$3:$AQ$27,0,MATCH($AE46,EMBELISHMENT!$B$1:$AQ$1,0))),0)</f>
        <v>13</v>
      </c>
      <c r="G46" s="2">
        <f>IFERROR(SUMIF($B$5:$B$29,G$32,INDEX(EMBELISHMENT!$B$3:$AQ$27,0,MATCH($AE46,EMBELISHMENT!$B$1:$AQ$1,0))),0)</f>
        <v>3</v>
      </c>
      <c r="H46" s="2">
        <f>IFERROR(SUMIF($B$5:$B$29,H$32,INDEX(EMBELISHMENT!$B$3:$AQ$27,0,MATCH($AE46,EMBELISHMENT!$B$1:$AQ$1,0))),0)</f>
        <v>0</v>
      </c>
      <c r="I46" s="2">
        <f>IFERROR(SUMIF($B$5:$B$29,I$32,INDEX(EMBELISHMENT!$B$3:$AQ$27,0,MATCH($AE46,EMBELISHMENT!$B$1:$AQ$1,0))),0)</f>
        <v>0</v>
      </c>
      <c r="J46" s="2">
        <f>IFERROR(SUMIF($B$5:$B$29,J$32,INDEX(EMBELISHMENT!$B$3:$AQ$27,0,MATCH($AE46,EMBELISHMENT!$B$1:$AQ$1,0))),0)</f>
        <v>0</v>
      </c>
      <c r="K46" s="2">
        <f>IFERROR(SUMIF($B$5:$B$29,K$32,INDEX(EMBELISHMENT!$B$3:$AQ$27,0,MATCH($AE46,EMBELISHMENT!$B$1:$AQ$1,0))),0)</f>
        <v>0</v>
      </c>
      <c r="L46" s="2">
        <f>IFERROR(SUMIF($B$5:$B$29,L$32,INDEX(EMBELISHMENT!$B$3:$AQ$27,0,MATCH($AE46,EMBELISHMENT!$B$1:$AQ$1,0))),0)</f>
        <v>3</v>
      </c>
      <c r="M46" s="2">
        <f>IFERROR(SUMIF($B$5:$B$29,M$32,INDEX(EMBELISHMENT!$B$3:$AQ$27,0,MATCH($AE46,EMBELISHMENT!$B$1:$AQ$1,0))),0)</f>
        <v>0</v>
      </c>
      <c r="N46" s="2">
        <f>IFERROR(SUMIF($B$5:$B$29,N$32,INDEX(EMBELISHMENT!$B$3:$AQ$27,0,MATCH($AE46,EMBELISHMENT!$B$1:$AQ$1,0))),0)</f>
        <v>3</v>
      </c>
      <c r="O46" s="2">
        <f>IFERROR(SUMIF($B$5:$B$29,O$32,INDEX(EMBELISHMENT!$B$3:$AQ$27,0,MATCH($AE46,EMBELISHMENT!$B$1:$AQ$1,0))),0)</f>
        <v>0</v>
      </c>
      <c r="P46" s="2">
        <f>IFERROR(SUMIF($B$5:$B$29,P$32,INDEX(EMBELISHMENT!$B$3:$AQ$27,0,MATCH($AE46,EMBELISHMENT!$B$1:$AQ$1,0))),0)</f>
        <v>0</v>
      </c>
      <c r="Q46" s="2">
        <f>IFERROR(SUMIF($B$5:$B$29,Q$32,INDEX(EMBELISHMENT!$B$3:$AQ$27,0,MATCH($AE46,EMBELISHMENT!$B$1:$AQ$1,0))),0)</f>
        <v>0</v>
      </c>
      <c r="R46" s="2">
        <f>IFERROR(SUMIF($B$5:$B$29,R$32,INDEX(EMBELISHMENT!$B$3:$AQ$27,0,MATCH($AE46,EMBELISHMENT!$B$1:$AQ$1,0))),0)</f>
        <v>0</v>
      </c>
      <c r="S46" s="2">
        <f>IFERROR(SUMIF($B$5:$B$29,S$32,INDEX(EMBELISHMENT!$B$3:$AQ$27,0,MATCH($AE46,EMBELISHMENT!$B$1:$AQ$1,0))),0)</f>
        <v>0</v>
      </c>
      <c r="T46" s="2">
        <f>IFERROR(SUMIF($B$5:$B$29,T$32,INDEX(EMBELISHMENT!$B$3:$AQ$27,0,MATCH($AE46,EMBELISHMENT!$B$1:$AQ$1,0))),0)</f>
        <v>0</v>
      </c>
      <c r="U46" s="2">
        <f>IFERROR(SUMIF($B$5:$B$29,U$32,INDEX(EMBELISHMENT!$B$3:$AQ$27,0,MATCH($AE46,EMBELISHMENT!$B$1:$AQ$1,0))),0)</f>
        <v>1</v>
      </c>
      <c r="V46" s="2">
        <f>IFERROR(SUMIF($B$5:$B$29,V$32,INDEX(EMBELISHMENT!$B$3:$AQ$27,0,MATCH($AE46,EMBELISHMENT!$B$1:$AQ$1,0))),0)</f>
        <v>0</v>
      </c>
      <c r="W46" s="2">
        <f>IFERROR(SUMIF($B$5:$B$29,W$32,INDEX(EMBELISHMENT!$B$3:$AQ$27,0,MATCH($AE46,EMBELISHMENT!$B$1:$AQ$1,0))),0)</f>
        <v>0</v>
      </c>
      <c r="X46" s="2">
        <f>IFERROR(SUMIF($B$5:$B$29,X$32,INDEX(EMBELISHMENT!$B$3:$AQ$27,0,MATCH($AE46,EMBELISHMENT!$B$1:$AQ$1,0))),0)</f>
        <v>0</v>
      </c>
      <c r="Y46" s="2">
        <f>IFERROR(SUMIF($B$5:$B$29,Y$32,INDEX(EMBELISHMENT!$B$3:$AQ$27,0,MATCH($AE46,EMBELISHMENT!$B$1:$AQ$1,0))),0)</f>
        <v>0</v>
      </c>
      <c r="Z46" s="2">
        <f>IFERROR(SUMIF($B$5:$B$29,Z$32,INDEX(EMBELISHMENT!$B$3:$AQ$27,0,MATCH($AE46,EMBELISHMENT!$B$1:$AQ$1,0))),0)</f>
        <v>0</v>
      </c>
      <c r="AA46" s="2">
        <f>IFERROR(SUMIF($B$5:$B$29,AA$32,INDEX(EMBELISHMENT!$B$3:$AQ$27,0,MATCH($AE46,EMBELISHMENT!$B$1:$AQ$1,0))),0)</f>
        <v>2</v>
      </c>
      <c r="AB46" s="2">
        <f>SUM($B46:$AA46)</f>
        <v>29</v>
      </c>
      <c r="AC46" s="2">
        <f>IFERROR(INDEX(EMBELISHMENT!$B$28:$AQ$28,MATCH($AE46,EMBELISHMENT!$B$1:$AQ$1,0)),0)</f>
        <v>29</v>
      </c>
      <c r="AD46" s="2" t="str">
        <f>IF(N(AC46)=0,"n/a",IF(ROUND(AB46-AC46,1)=0,"OK",ROUND(AB46-AC46,1)))</f>
        <v>OK</v>
      </c>
      <c r="AE46" s="277">
        <f>IFERROR(IF(INDEX($L$5:$L$28,MATCH($A46,$K$5:$K$28,0))="","(no recipe)",INDEX($L$5:$L$28,MATCH($A46,$K$5:$K$28,0))),$A46)</f>
        <v>6137</v>
      </c>
      <c r="AF46" s="14" t="str">
        <f>IFERROR(INDEX($M$5:$M$28,MATCH($A46,$K$5:$K$28,0)),"STYLE")</f>
        <v>STYLE</v>
      </c>
      <c r="AG46" s="60" t="s">
        <v>22</v>
      </c>
    </row>
    <row r="47" spans="1:81">
      <c r="A47" s="19">
        <f>$E19</f>
        <v>4110</v>
      </c>
      <c r="B47" s="2">
        <f>IFERROR(SUMIF($B$5:$B$29,B$32,INDEX(EMBELISHMENT!$B$3:$AQ$27,0,MATCH($AE47,EMBELISHMENT!$B$1:$AQ$1,0))),0)</f>
        <v>2</v>
      </c>
      <c r="C47" s="2">
        <f>IFERROR(SUMIF($B$5:$B$29,C$32,INDEX(EMBELISHMENT!$B$3:$AQ$27,0,MATCH($AE47,EMBELISHMENT!$B$1:$AQ$1,0))),0)</f>
        <v>0</v>
      </c>
      <c r="D47" s="2">
        <f>IFERROR(SUMIF($B$5:$B$29,D$32,INDEX(EMBELISHMENT!$B$3:$AQ$27,0,MATCH($AE47,EMBELISHMENT!$B$1:$AQ$1,0))),0)</f>
        <v>0</v>
      </c>
      <c r="E47" s="2">
        <f>IFERROR(SUMIF($B$5:$B$29,E$32,INDEX(EMBELISHMENT!$B$3:$AQ$27,0,MATCH($AE47,EMBELISHMENT!$B$1:$AQ$1,0))),0)</f>
        <v>0</v>
      </c>
      <c r="F47" s="2">
        <f>IFERROR(SUMIF($B$5:$B$29,F$32,INDEX(EMBELISHMENT!$B$3:$AQ$27,0,MATCH($AE47,EMBELISHMENT!$B$1:$AQ$1,0))),0)</f>
        <v>12</v>
      </c>
      <c r="G47" s="2">
        <f>IFERROR(SUMIF($B$5:$B$29,G$32,INDEX(EMBELISHMENT!$B$3:$AQ$27,0,MATCH($AE47,EMBELISHMENT!$B$1:$AQ$1,0))),0)</f>
        <v>3</v>
      </c>
      <c r="H47" s="2">
        <f>IFERROR(SUMIF($B$5:$B$29,H$32,INDEX(EMBELISHMENT!$B$3:$AQ$27,0,MATCH($AE47,EMBELISHMENT!$B$1:$AQ$1,0))),0)</f>
        <v>0</v>
      </c>
      <c r="I47" s="2">
        <f>IFERROR(SUMIF($B$5:$B$29,I$32,INDEX(EMBELISHMENT!$B$3:$AQ$27,0,MATCH($AE47,EMBELISHMENT!$B$1:$AQ$1,0))),0)</f>
        <v>0</v>
      </c>
      <c r="J47" s="2">
        <f>IFERROR(SUMIF($B$5:$B$29,J$32,INDEX(EMBELISHMENT!$B$3:$AQ$27,0,MATCH($AE47,EMBELISHMENT!$B$1:$AQ$1,0))),0)</f>
        <v>0</v>
      </c>
      <c r="K47" s="2">
        <f>IFERROR(SUMIF($B$5:$B$29,K$32,INDEX(EMBELISHMENT!$B$3:$AQ$27,0,MATCH($AE47,EMBELISHMENT!$B$1:$AQ$1,0))),0)</f>
        <v>0</v>
      </c>
      <c r="L47" s="2">
        <f>IFERROR(SUMIF($B$5:$B$29,L$32,INDEX(EMBELISHMENT!$B$3:$AQ$27,0,MATCH($AE47,EMBELISHMENT!$B$1:$AQ$1,0))),0)</f>
        <v>3</v>
      </c>
      <c r="M47" s="2">
        <f>IFERROR(SUMIF($B$5:$B$29,M$32,INDEX(EMBELISHMENT!$B$3:$AQ$27,0,MATCH($AE47,EMBELISHMENT!$B$1:$AQ$1,0))),0)</f>
        <v>0</v>
      </c>
      <c r="N47" s="2">
        <f>IFERROR(SUMIF($B$5:$B$29,N$32,INDEX(EMBELISHMENT!$B$3:$AQ$27,0,MATCH($AE47,EMBELISHMENT!$B$1:$AQ$1,0))),0)</f>
        <v>3</v>
      </c>
      <c r="O47" s="2">
        <f>IFERROR(SUMIF($B$5:$B$29,O$32,INDEX(EMBELISHMENT!$B$3:$AQ$27,0,MATCH($AE47,EMBELISHMENT!$B$1:$AQ$1,0))),0)</f>
        <v>0</v>
      </c>
      <c r="P47" s="2">
        <f>IFERROR(SUMIF($B$5:$B$29,P$32,INDEX(EMBELISHMENT!$B$3:$AQ$27,0,MATCH($AE47,EMBELISHMENT!$B$1:$AQ$1,0))),0)</f>
        <v>2</v>
      </c>
      <c r="Q47" s="2">
        <f>IFERROR(SUMIF($B$5:$B$29,Q$32,INDEX(EMBELISHMENT!$B$3:$AQ$27,0,MATCH($AE47,EMBELISHMENT!$B$1:$AQ$1,0))),0)</f>
        <v>0</v>
      </c>
      <c r="R47" s="2">
        <f>IFERROR(SUMIF($B$5:$B$29,R$32,INDEX(EMBELISHMENT!$B$3:$AQ$27,0,MATCH($AE47,EMBELISHMENT!$B$1:$AQ$1,0))),0)</f>
        <v>0</v>
      </c>
      <c r="S47" s="2">
        <f>IFERROR(SUMIF($B$5:$B$29,S$32,INDEX(EMBELISHMENT!$B$3:$AQ$27,0,MATCH($AE47,EMBELISHMENT!$B$1:$AQ$1,0))),0)</f>
        <v>0</v>
      </c>
      <c r="T47" s="2">
        <f>IFERROR(SUMIF($B$5:$B$29,T$32,INDEX(EMBELISHMENT!$B$3:$AQ$27,0,MATCH($AE47,EMBELISHMENT!$B$1:$AQ$1,0))),0)</f>
        <v>0</v>
      </c>
      <c r="U47" s="2">
        <f>IFERROR(SUMIF($B$5:$B$29,U$32,INDEX(EMBELISHMENT!$B$3:$AQ$27,0,MATCH($AE47,EMBELISHMENT!$B$1:$AQ$1,0))),0)</f>
        <v>1</v>
      </c>
      <c r="V47" s="2">
        <f>IFERROR(SUMIF($B$5:$B$29,V$32,INDEX(EMBELISHMENT!$B$3:$AQ$27,0,MATCH($AE47,EMBELISHMENT!$B$1:$AQ$1,0))),0)</f>
        <v>0</v>
      </c>
      <c r="W47" s="2">
        <f>IFERROR(SUMIF($B$5:$B$29,W$32,INDEX(EMBELISHMENT!$B$3:$AQ$27,0,MATCH($AE47,EMBELISHMENT!$B$1:$AQ$1,0))),0)</f>
        <v>0</v>
      </c>
      <c r="X47" s="2">
        <f>IFERROR(SUMIF($B$5:$B$29,X$32,INDEX(EMBELISHMENT!$B$3:$AQ$27,0,MATCH($AE47,EMBELISHMENT!$B$1:$AQ$1,0))),0)</f>
        <v>0</v>
      </c>
      <c r="Y47" s="2">
        <f>IFERROR(SUMIF($B$5:$B$29,Y$32,INDEX(EMBELISHMENT!$B$3:$AQ$27,0,MATCH($AE47,EMBELISHMENT!$B$1:$AQ$1,0))),0)</f>
        <v>0</v>
      </c>
      <c r="Z47" s="2">
        <f>IFERROR(SUMIF($B$5:$B$29,Z$32,INDEX(EMBELISHMENT!$B$3:$AQ$27,0,MATCH($AE47,EMBELISHMENT!$B$1:$AQ$1,0))),0)</f>
        <v>0</v>
      </c>
      <c r="AA47" s="2">
        <f>IFERROR(SUMIF($B$5:$B$29,AA$32,INDEX(EMBELISHMENT!$B$3:$AQ$27,0,MATCH($AE47,EMBELISHMENT!$B$1:$AQ$1,0))),0)</f>
        <v>2</v>
      </c>
      <c r="AB47" s="2">
        <f>SUM($B47:$AA47)</f>
        <v>28</v>
      </c>
      <c r="AC47" s="2">
        <f>IFERROR(INDEX(EMBELISHMENT!$B$28:$AQ$28,MATCH($AE47,EMBELISHMENT!$B$1:$AQ$1,0)),0)</f>
        <v>28</v>
      </c>
      <c r="AD47" s="2" t="str">
        <f>IF(N(AC47)=0,"n/a",IF(ROUND(AB47-AC47,1)=0,"OK",ROUND(AB47-AC47,1)))</f>
        <v>OK</v>
      </c>
      <c r="AE47" s="277">
        <f>IFERROR(IF(INDEX($L$5:$L$28,MATCH($A47,$K$5:$K$28,0))="","(no recipe)",INDEX($L$5:$L$28,MATCH($A47,$K$5:$K$28,0))),$A47)</f>
        <v>4110</v>
      </c>
      <c r="AF47" s="14" t="str">
        <f>IFERROR(INDEX($M$5:$M$28,MATCH($A47,$K$5:$K$28,0)),"STYLE")</f>
        <v>STYLE</v>
      </c>
      <c r="AG47" s="297" t="s">
        <v>493</v>
      </c>
    </row>
    <row r="48" spans="1:81">
      <c r="A48" s="278">
        <v>5520</v>
      </c>
      <c r="B48" s="2">
        <f>IFERROR(SUMIF($B$5:$B$29,B$32,INDEX(EMBELISHMENT!$B$3:$AQ$27,0,MATCH($AE48,EMBELISHMENT!$B$1:$AQ$1,0))),0)</f>
        <v>2</v>
      </c>
      <c r="C48" s="2">
        <f>IFERROR(SUMIF($B$5:$B$29,C$32,INDEX(EMBELISHMENT!$B$3:$AQ$27,0,MATCH($AE48,EMBELISHMENT!$B$1:$AQ$1,0))),0)</f>
        <v>0</v>
      </c>
      <c r="D48" s="2">
        <f>IFERROR(SUMIF($B$5:$B$29,D$32,INDEX(EMBELISHMENT!$B$3:$AQ$27,0,MATCH($AE48,EMBELISHMENT!$B$1:$AQ$1,0))),0)</f>
        <v>0</v>
      </c>
      <c r="E48" s="2">
        <f>IFERROR(SUMIF($B$5:$B$29,E$32,INDEX(EMBELISHMENT!$B$3:$AQ$27,0,MATCH($AE48,EMBELISHMENT!$B$1:$AQ$1,0))),0)</f>
        <v>1</v>
      </c>
      <c r="F48" s="2">
        <f>IFERROR(SUMIF($B$5:$B$29,F$32,INDEX(EMBELISHMENT!$B$3:$AQ$27,0,MATCH($AE48,EMBELISHMENT!$B$1:$AQ$1,0))),0)</f>
        <v>10</v>
      </c>
      <c r="G48" s="2">
        <f>IFERROR(SUMIF($B$5:$B$29,G$32,INDEX(EMBELISHMENT!$B$3:$AQ$27,0,MATCH($AE48,EMBELISHMENT!$B$1:$AQ$1,0))),0)</f>
        <v>0</v>
      </c>
      <c r="H48" s="2">
        <f>IFERROR(SUMIF($B$5:$B$29,H$32,INDEX(EMBELISHMENT!$B$3:$AQ$27,0,MATCH($AE48,EMBELISHMENT!$B$1:$AQ$1,0))),0)</f>
        <v>0</v>
      </c>
      <c r="I48" s="2">
        <f>IFERROR(SUMIF($B$5:$B$29,I$32,INDEX(EMBELISHMENT!$B$3:$AQ$27,0,MATCH($AE48,EMBELISHMENT!$B$1:$AQ$1,0))),0)</f>
        <v>4</v>
      </c>
      <c r="J48" s="2">
        <f>IFERROR(SUMIF($B$5:$B$29,J$32,INDEX(EMBELISHMENT!$B$3:$AQ$27,0,MATCH($AE48,EMBELISHMENT!$B$1:$AQ$1,0))),0)</f>
        <v>3</v>
      </c>
      <c r="K48" s="2">
        <f>IFERROR(SUMIF($B$5:$B$29,K$32,INDEX(EMBELISHMENT!$B$3:$AQ$27,0,MATCH($AE48,EMBELISHMENT!$B$1:$AQ$1,0))),0)</f>
        <v>0</v>
      </c>
      <c r="L48" s="2">
        <f>IFERROR(SUMIF($B$5:$B$29,L$32,INDEX(EMBELISHMENT!$B$3:$AQ$27,0,MATCH($AE48,EMBELISHMENT!$B$1:$AQ$1,0))),0)</f>
        <v>0</v>
      </c>
      <c r="M48" s="2">
        <f>IFERROR(SUMIF($B$5:$B$29,M$32,INDEX(EMBELISHMENT!$B$3:$AQ$27,0,MATCH($AE48,EMBELISHMENT!$B$1:$AQ$1,0))),0)</f>
        <v>3</v>
      </c>
      <c r="N48" s="2">
        <f>IFERROR(SUMIF($B$5:$B$29,N$32,INDEX(EMBELISHMENT!$B$3:$AQ$27,0,MATCH($AE48,EMBELISHMENT!$B$1:$AQ$1,0))),0)</f>
        <v>0</v>
      </c>
      <c r="O48" s="2">
        <f>IFERROR(SUMIF($B$5:$B$29,O$32,INDEX(EMBELISHMENT!$B$3:$AQ$27,0,MATCH($AE48,EMBELISHMENT!$B$1:$AQ$1,0))),0)</f>
        <v>0</v>
      </c>
      <c r="P48" s="2">
        <f>IFERROR(SUMIF($B$5:$B$29,P$32,INDEX(EMBELISHMENT!$B$3:$AQ$27,0,MATCH($AE48,EMBELISHMENT!$B$1:$AQ$1,0))),0)</f>
        <v>4</v>
      </c>
      <c r="Q48" s="2">
        <f>IFERROR(SUMIF($B$5:$B$29,Q$32,INDEX(EMBELISHMENT!$B$3:$AQ$27,0,MATCH($AE48,EMBELISHMENT!$B$1:$AQ$1,0))),0)</f>
        <v>0</v>
      </c>
      <c r="R48" s="2">
        <f>IFERROR(SUMIF($B$5:$B$29,R$32,INDEX(EMBELISHMENT!$B$3:$AQ$27,0,MATCH($AE48,EMBELISHMENT!$B$1:$AQ$1,0))),0)</f>
        <v>0</v>
      </c>
      <c r="S48" s="2">
        <f>IFERROR(SUMIF($B$5:$B$29,S$32,INDEX(EMBELISHMENT!$B$3:$AQ$27,0,MATCH($AE48,EMBELISHMENT!$B$1:$AQ$1,0))),0)</f>
        <v>0</v>
      </c>
      <c r="T48" s="2">
        <f>IFERROR(SUMIF($B$5:$B$29,T$32,INDEX(EMBELISHMENT!$B$3:$AQ$27,0,MATCH($AE48,EMBELISHMENT!$B$1:$AQ$1,0))),0)</f>
        <v>4</v>
      </c>
      <c r="U48" s="2">
        <f>IFERROR(SUMIF($B$5:$B$29,U$32,INDEX(EMBELISHMENT!$B$3:$AQ$27,0,MATCH($AE48,EMBELISHMENT!$B$1:$AQ$1,0))),0)</f>
        <v>1</v>
      </c>
      <c r="V48" s="2">
        <f>IFERROR(SUMIF($B$5:$B$29,V$32,INDEX(EMBELISHMENT!$B$3:$AQ$27,0,MATCH($AE48,EMBELISHMENT!$B$1:$AQ$1,0))),0)</f>
        <v>0</v>
      </c>
      <c r="W48" s="2">
        <f>IFERROR(SUMIF($B$5:$B$29,W$32,INDEX(EMBELISHMENT!$B$3:$AQ$27,0,MATCH($AE48,EMBELISHMENT!$B$1:$AQ$1,0))),0)</f>
        <v>0</v>
      </c>
      <c r="X48" s="2">
        <f>IFERROR(SUMIF($B$5:$B$29,X$32,INDEX(EMBELISHMENT!$B$3:$AQ$27,0,MATCH($AE48,EMBELISHMENT!$B$1:$AQ$1,0))),0)</f>
        <v>0</v>
      </c>
      <c r="Y48" s="2">
        <f>IFERROR(SUMIF($B$5:$B$29,Y$32,INDEX(EMBELISHMENT!$B$3:$AQ$27,0,MATCH($AE48,EMBELISHMENT!$B$1:$AQ$1,0))),0)</f>
        <v>0</v>
      </c>
      <c r="Z48" s="2">
        <f>IFERROR(SUMIF($B$5:$B$29,Z$32,INDEX(EMBELISHMENT!$B$3:$AQ$27,0,MATCH($AE48,EMBELISHMENT!$B$1:$AQ$1,0))),0)</f>
        <v>0</v>
      </c>
      <c r="AA48" s="2">
        <f>IFERROR(SUMIF($B$5:$B$29,AA$32,INDEX(EMBELISHMENT!$B$3:$AQ$27,0,MATCH($AE48,EMBELISHMENT!$B$1:$AQ$1,0))),0)</f>
        <v>0</v>
      </c>
      <c r="AB48" s="2">
        <f>SUM($B48:$AA48)</f>
        <v>32</v>
      </c>
      <c r="AC48" s="2">
        <f>IFERROR(INDEX(EMBELISHMENT!$B$28:$AQ$28,MATCH($AE48,EMBELISHMENT!$B$1:$AQ$1,0)),0)</f>
        <v>32</v>
      </c>
      <c r="AD48" s="2" t="str">
        <f>IF(N(AC48)=0,"n/a",IF(ROUND(AB48-AC48,1)=0,"OK",ROUND(AB48-AC48,1)))</f>
        <v>OK</v>
      </c>
      <c r="AE48" s="277">
        <f>IFERROR(IF(INDEX($L$5:$L$28,MATCH($A48,$K$5:$K$28,0))="","(no recipe)",INDEX($L$5:$L$28,MATCH($A48,$K$5:$K$28,0))),$A48)</f>
        <v>5520</v>
      </c>
      <c r="AF48" s="14" t="str">
        <f>IFERROR(INDEX($M$5:$M$28,MATCH($A48,$K$5:$K$28,0)),"STYLE")</f>
        <v>THERMAL</v>
      </c>
      <c r="AG48" s="60" t="s">
        <v>15</v>
      </c>
    </row>
    <row r="49" spans="1:33">
      <c r="A49" s="278" t="s">
        <v>24</v>
      </c>
      <c r="B49" s="2">
        <f>IFERROR(SUMIF($B$5:$B$29,B$32,INDEX(EMBELISHMENT!$B$3:$AQ$27,0,MATCH($AE49,EMBELISHMENT!$B$1:$AQ$1,0))),0)</f>
        <v>3</v>
      </c>
      <c r="C49" s="2">
        <f>IFERROR(SUMIF($B$5:$B$29,C$32,INDEX(EMBELISHMENT!$B$3:$AQ$27,0,MATCH($AE49,EMBELISHMENT!$B$1:$AQ$1,0))),0)</f>
        <v>0</v>
      </c>
      <c r="D49" s="2">
        <f>IFERROR(SUMIF($B$5:$B$29,D$32,INDEX(EMBELISHMENT!$B$3:$AQ$27,0,MATCH($AE49,EMBELISHMENT!$B$1:$AQ$1,0))),0)</f>
        <v>0</v>
      </c>
      <c r="E49" s="2">
        <f>IFERROR(SUMIF($B$5:$B$29,E$32,INDEX(EMBELISHMENT!$B$3:$AQ$27,0,MATCH($AE49,EMBELISHMENT!$B$1:$AQ$1,0))),0)</f>
        <v>1</v>
      </c>
      <c r="F49" s="2">
        <f>IFERROR(SUMIF($B$5:$B$29,F$32,INDEX(EMBELISHMENT!$B$3:$AQ$27,0,MATCH($AE49,EMBELISHMENT!$B$1:$AQ$1,0))),0)</f>
        <v>8</v>
      </c>
      <c r="G49" s="2">
        <f>IFERROR(SUMIF($B$5:$B$29,G$32,INDEX(EMBELISHMENT!$B$3:$AQ$27,0,MATCH($AE49,EMBELISHMENT!$B$1:$AQ$1,0))),0)</f>
        <v>0</v>
      </c>
      <c r="H49" s="2">
        <f>IFERROR(SUMIF($B$5:$B$29,H$32,INDEX(EMBELISHMENT!$B$3:$AQ$27,0,MATCH($AE49,EMBELISHMENT!$B$1:$AQ$1,0))),0)</f>
        <v>0</v>
      </c>
      <c r="I49" s="2">
        <f>IFERROR(SUMIF($B$5:$B$29,I$32,INDEX(EMBELISHMENT!$B$3:$AQ$27,0,MATCH($AE49,EMBELISHMENT!$B$1:$AQ$1,0))),0)</f>
        <v>1</v>
      </c>
      <c r="J49" s="2">
        <f>IFERROR(SUMIF($B$5:$B$29,J$32,INDEX(EMBELISHMENT!$B$3:$AQ$27,0,MATCH($AE49,EMBELISHMENT!$B$1:$AQ$1,0))),0)</f>
        <v>0</v>
      </c>
      <c r="K49" s="2">
        <f>IFERROR(SUMIF($B$5:$B$29,K$32,INDEX(EMBELISHMENT!$B$3:$AQ$27,0,MATCH($AE49,EMBELISHMENT!$B$1:$AQ$1,0))),0)</f>
        <v>0</v>
      </c>
      <c r="L49" s="2">
        <f>IFERROR(SUMIF($B$5:$B$29,L$32,INDEX(EMBELISHMENT!$B$3:$AQ$27,0,MATCH($AE49,EMBELISHMENT!$B$1:$AQ$1,0))),0)</f>
        <v>0</v>
      </c>
      <c r="M49" s="2">
        <f>IFERROR(SUMIF($B$5:$B$29,M$32,INDEX(EMBELISHMENT!$B$3:$AQ$27,0,MATCH($AE49,EMBELISHMENT!$B$1:$AQ$1,0))),0)</f>
        <v>0</v>
      </c>
      <c r="N49" s="2">
        <f>IFERROR(SUMIF($B$5:$B$29,N$32,INDEX(EMBELISHMENT!$B$3:$AQ$27,0,MATCH($AE49,EMBELISHMENT!$B$1:$AQ$1,0))),0)</f>
        <v>1</v>
      </c>
      <c r="O49" s="2">
        <f>IFERROR(SUMIF($B$5:$B$29,O$32,INDEX(EMBELISHMENT!$B$3:$AQ$27,0,MATCH($AE49,EMBELISHMENT!$B$1:$AQ$1,0))),0)</f>
        <v>0</v>
      </c>
      <c r="P49" s="2">
        <f>IFERROR(SUMIF($B$5:$B$29,P$32,INDEX(EMBELISHMENT!$B$3:$AQ$27,0,MATCH($AE49,EMBELISHMENT!$B$1:$AQ$1,0))),0)</f>
        <v>4</v>
      </c>
      <c r="Q49" s="2">
        <f>IFERROR(SUMIF($B$5:$B$29,Q$32,INDEX(EMBELISHMENT!$B$3:$AQ$27,0,MATCH($AE49,EMBELISHMENT!$B$1:$AQ$1,0))),0)</f>
        <v>0</v>
      </c>
      <c r="R49" s="2">
        <f>IFERROR(SUMIF($B$5:$B$29,R$32,INDEX(EMBELISHMENT!$B$3:$AQ$27,0,MATCH($AE49,EMBELISHMENT!$B$1:$AQ$1,0))),0)</f>
        <v>0</v>
      </c>
      <c r="S49" s="2">
        <f>IFERROR(SUMIF($B$5:$B$29,S$32,INDEX(EMBELISHMENT!$B$3:$AQ$27,0,MATCH($AE49,EMBELISHMENT!$B$1:$AQ$1,0))),0)</f>
        <v>0</v>
      </c>
      <c r="T49" s="2">
        <f>IFERROR(SUMIF($B$5:$B$29,T$32,INDEX(EMBELISHMENT!$B$3:$AQ$27,0,MATCH($AE49,EMBELISHMENT!$B$1:$AQ$1,0))),0)</f>
        <v>2</v>
      </c>
      <c r="U49" s="2">
        <f>IFERROR(SUMIF($B$5:$B$29,U$32,INDEX(EMBELISHMENT!$B$3:$AQ$27,0,MATCH($AE49,EMBELISHMENT!$B$1:$AQ$1,0))),0)</f>
        <v>1</v>
      </c>
      <c r="V49" s="2">
        <f>IFERROR(SUMIF($B$5:$B$29,V$32,INDEX(EMBELISHMENT!$B$3:$AQ$27,0,MATCH($AE49,EMBELISHMENT!$B$1:$AQ$1,0))),0)</f>
        <v>0</v>
      </c>
      <c r="W49" s="2">
        <f>IFERROR(SUMIF($B$5:$B$29,W$32,INDEX(EMBELISHMENT!$B$3:$AQ$27,0,MATCH($AE49,EMBELISHMENT!$B$1:$AQ$1,0))),0)</f>
        <v>0</v>
      </c>
      <c r="X49" s="2">
        <f>IFERROR(SUMIF($B$5:$B$29,X$32,INDEX(EMBELISHMENT!$B$3:$AQ$27,0,MATCH($AE49,EMBELISHMENT!$B$1:$AQ$1,0))),0)</f>
        <v>0</v>
      </c>
      <c r="Y49" s="2">
        <f>IFERROR(SUMIF($B$5:$B$29,Y$32,INDEX(EMBELISHMENT!$B$3:$AQ$27,0,MATCH($AE49,EMBELISHMENT!$B$1:$AQ$1,0))),0)</f>
        <v>1</v>
      </c>
      <c r="Z49" s="2">
        <f>IFERROR(SUMIF($B$5:$B$29,Z$32,INDEX(EMBELISHMENT!$B$3:$AQ$27,0,MATCH($AE49,EMBELISHMENT!$B$1:$AQ$1,0))),0)</f>
        <v>0</v>
      </c>
      <c r="AA49" s="2">
        <f>IFERROR(SUMIF($B$5:$B$29,AA$32,INDEX(EMBELISHMENT!$B$3:$AQ$27,0,MATCH($AE49,EMBELISHMENT!$B$1:$AQ$1,0))),0)</f>
        <v>0</v>
      </c>
      <c r="AB49" s="2">
        <f>SUM($B49:$AA49)</f>
        <v>22</v>
      </c>
      <c r="AC49" s="2">
        <f>IFERROR(INDEX(EMBELISHMENT!$B$28:$AQ$28,MATCH($AE49,EMBELISHMENT!$B$1:$AQ$1,0)),0)</f>
        <v>22</v>
      </c>
      <c r="AD49" s="2" t="str">
        <f>IF(N(AC49)=0,"n/a",IF(ROUND(AB49-AC49,1)=0,"OK",ROUND(AB49-AC49,1)))</f>
        <v>OK</v>
      </c>
      <c r="AE49" s="277" t="str">
        <f>IFERROR(IF(INDEX($L$5:$L$28,MATCH($A49,$K$5:$K$28,0))="","(no recipe)",INDEX($L$5:$L$28,MATCH($A49,$K$5:$K$28,0))),$A49)</f>
        <v>TH-01</v>
      </c>
      <c r="AF49" s="14" t="str">
        <f>IFERROR(INDEX($M$5:$M$28,MATCH($A49,$K$5:$K$28,0)),"STYLE")</f>
        <v>THERMAL</v>
      </c>
      <c r="AG49" s="60" t="s">
        <v>15</v>
      </c>
    </row>
    <row r="50" spans="1:33">
      <c r="A50" s="278" t="s">
        <v>25</v>
      </c>
      <c r="B50" s="2">
        <f>IFERROR(SUMIF($B$5:$B$29,B$32,INDEX(EMBELISHMENT!$B$3:$AQ$27,0,MATCH($AE50,EMBELISHMENT!$B$1:$AQ$1,0))),0)</f>
        <v>5</v>
      </c>
      <c r="C50" s="2">
        <f>IFERROR(SUMIF($B$5:$B$29,C$32,INDEX(EMBELISHMENT!$B$3:$AQ$27,0,MATCH($AE50,EMBELISHMENT!$B$1:$AQ$1,0))),0)</f>
        <v>0</v>
      </c>
      <c r="D50" s="2">
        <f>IFERROR(SUMIF($B$5:$B$29,D$32,INDEX(EMBELISHMENT!$B$3:$AQ$27,0,MATCH($AE50,EMBELISHMENT!$B$1:$AQ$1,0))),0)</f>
        <v>0</v>
      </c>
      <c r="E50" s="2">
        <f>IFERROR(SUMIF($B$5:$B$29,E$32,INDEX(EMBELISHMENT!$B$3:$AQ$27,0,MATCH($AE50,EMBELISHMENT!$B$1:$AQ$1,0))),0)</f>
        <v>0</v>
      </c>
      <c r="F50" s="2">
        <f>IFERROR(SUMIF($B$5:$B$29,F$32,INDEX(EMBELISHMENT!$B$3:$AQ$27,0,MATCH($AE50,EMBELISHMENT!$B$1:$AQ$1,0))),0)</f>
        <v>11</v>
      </c>
      <c r="G50" s="2">
        <f>IFERROR(SUMIF($B$5:$B$29,G$32,INDEX(EMBELISHMENT!$B$3:$AQ$27,0,MATCH($AE50,EMBELISHMENT!$B$1:$AQ$1,0))),0)</f>
        <v>0</v>
      </c>
      <c r="H50" s="2">
        <f>IFERROR(SUMIF($B$5:$B$29,H$32,INDEX(EMBELISHMENT!$B$3:$AQ$27,0,MATCH($AE50,EMBELISHMENT!$B$1:$AQ$1,0))),0)</f>
        <v>0</v>
      </c>
      <c r="I50" s="2">
        <f>IFERROR(SUMIF($B$5:$B$29,I$32,INDEX(EMBELISHMENT!$B$3:$AQ$27,0,MATCH($AE50,EMBELISHMENT!$B$1:$AQ$1,0))),0)</f>
        <v>0</v>
      </c>
      <c r="J50" s="2">
        <f>IFERROR(SUMIF($B$5:$B$29,J$32,INDEX(EMBELISHMENT!$B$3:$AQ$27,0,MATCH($AE50,EMBELISHMENT!$B$1:$AQ$1,0))),0)</f>
        <v>2</v>
      </c>
      <c r="K50" s="2">
        <f>IFERROR(SUMIF($B$5:$B$29,K$32,INDEX(EMBELISHMENT!$B$3:$AQ$27,0,MATCH($AE50,EMBELISHMENT!$B$1:$AQ$1,0))),0)</f>
        <v>0</v>
      </c>
      <c r="L50" s="2">
        <f>IFERROR(SUMIF($B$5:$B$29,L$32,INDEX(EMBELISHMENT!$B$3:$AQ$27,0,MATCH($AE50,EMBELISHMENT!$B$1:$AQ$1,0))),0)</f>
        <v>0</v>
      </c>
      <c r="M50" s="2">
        <f>IFERROR(SUMIF($B$5:$B$29,M$32,INDEX(EMBELISHMENT!$B$3:$AQ$27,0,MATCH($AE50,EMBELISHMENT!$B$1:$AQ$1,0))),0)</f>
        <v>1</v>
      </c>
      <c r="N50" s="2">
        <f>IFERROR(SUMIF($B$5:$B$29,N$32,INDEX(EMBELISHMENT!$B$3:$AQ$27,0,MATCH($AE50,EMBELISHMENT!$B$1:$AQ$1,0))),0)</f>
        <v>0</v>
      </c>
      <c r="O50" s="2">
        <f>IFERROR(SUMIF($B$5:$B$29,O$32,INDEX(EMBELISHMENT!$B$3:$AQ$27,0,MATCH($AE50,EMBELISHMENT!$B$1:$AQ$1,0))),0)</f>
        <v>0</v>
      </c>
      <c r="P50" s="2">
        <f>IFERROR(SUMIF($B$5:$B$29,P$32,INDEX(EMBELISHMENT!$B$3:$AQ$27,0,MATCH($AE50,EMBELISHMENT!$B$1:$AQ$1,0))),0)</f>
        <v>4</v>
      </c>
      <c r="Q50" s="2">
        <f>IFERROR(SUMIF($B$5:$B$29,Q$32,INDEX(EMBELISHMENT!$B$3:$AQ$27,0,MATCH($AE50,EMBELISHMENT!$B$1:$AQ$1,0))),0)</f>
        <v>0</v>
      </c>
      <c r="R50" s="2">
        <f>IFERROR(SUMIF($B$5:$B$29,R$32,INDEX(EMBELISHMENT!$B$3:$AQ$27,0,MATCH($AE50,EMBELISHMENT!$B$1:$AQ$1,0))),0)</f>
        <v>0</v>
      </c>
      <c r="S50" s="2">
        <f>IFERROR(SUMIF($B$5:$B$29,S$32,INDEX(EMBELISHMENT!$B$3:$AQ$27,0,MATCH($AE50,EMBELISHMENT!$B$1:$AQ$1,0))),0)</f>
        <v>0</v>
      </c>
      <c r="T50" s="2">
        <f>IFERROR(SUMIF($B$5:$B$29,T$32,INDEX(EMBELISHMENT!$B$3:$AQ$27,0,MATCH($AE50,EMBELISHMENT!$B$1:$AQ$1,0))),0)</f>
        <v>3</v>
      </c>
      <c r="U50" s="2">
        <f>IFERROR(SUMIF($B$5:$B$29,U$32,INDEX(EMBELISHMENT!$B$3:$AQ$27,0,MATCH($AE50,EMBELISHMENT!$B$1:$AQ$1,0))),0)</f>
        <v>1</v>
      </c>
      <c r="V50" s="2">
        <f>IFERROR(SUMIF($B$5:$B$29,V$32,INDEX(EMBELISHMENT!$B$3:$AQ$27,0,MATCH($AE50,EMBELISHMENT!$B$1:$AQ$1,0))),0)</f>
        <v>0</v>
      </c>
      <c r="W50" s="2">
        <f>IFERROR(SUMIF($B$5:$B$29,W$32,INDEX(EMBELISHMENT!$B$3:$AQ$27,0,MATCH($AE50,EMBELISHMENT!$B$1:$AQ$1,0))),0)</f>
        <v>0</v>
      </c>
      <c r="X50" s="2">
        <f>IFERROR(SUMIF($B$5:$B$29,X$32,INDEX(EMBELISHMENT!$B$3:$AQ$27,0,MATCH($AE50,EMBELISHMENT!$B$1:$AQ$1,0))),0)</f>
        <v>0</v>
      </c>
      <c r="Y50" s="2">
        <f>IFERROR(SUMIF($B$5:$B$29,Y$32,INDEX(EMBELISHMENT!$B$3:$AQ$27,0,MATCH($AE50,EMBELISHMENT!$B$1:$AQ$1,0))),0)</f>
        <v>1</v>
      </c>
      <c r="Z50" s="2">
        <f>IFERROR(SUMIF($B$5:$B$29,Z$32,INDEX(EMBELISHMENT!$B$3:$AQ$27,0,MATCH($AE50,EMBELISHMENT!$B$1:$AQ$1,0))),0)</f>
        <v>0</v>
      </c>
      <c r="AA50" s="2">
        <f>IFERROR(SUMIF($B$5:$B$29,AA$32,INDEX(EMBELISHMENT!$B$3:$AQ$27,0,MATCH($AE50,EMBELISHMENT!$B$1:$AQ$1,0))),0)</f>
        <v>0</v>
      </c>
      <c r="AB50" s="2">
        <f>SUM($B50:$AA50)</f>
        <v>28</v>
      </c>
      <c r="AC50" s="2">
        <f>IFERROR(INDEX(EMBELISHMENT!$B$28:$AQ$28,MATCH($AE50,EMBELISHMENT!$B$1:$AQ$1,0)),0)</f>
        <v>28</v>
      </c>
      <c r="AD50" s="2" t="str">
        <f>IF(N(AC50)=0,"n/a",IF(ROUND(AB50-AC50,1)=0,"OK",ROUND(AB50-AC50,1)))</f>
        <v>OK</v>
      </c>
      <c r="AE50" s="277" t="str">
        <f>IFERROR(IF(INDEX($L$5:$L$28,MATCH($A50,$K$5:$K$28,0))="","(no recipe)",INDEX($L$5:$L$28,MATCH($A50,$K$5:$K$28,0))),$A50)</f>
        <v>TH-02</v>
      </c>
      <c r="AF50" s="14" t="str">
        <f>IFERROR(INDEX($M$5:$M$28,MATCH($A50,$K$5:$K$28,0)),"STYLE")</f>
        <v>THERMAL</v>
      </c>
      <c r="AG50" s="60" t="s">
        <v>15</v>
      </c>
    </row>
    <row r="51" spans="1:33">
      <c r="A51" s="278" t="s">
        <v>26</v>
      </c>
      <c r="B51" s="2">
        <f>IFERROR(SUMIF($B$5:$B$29,B$32,INDEX(EMBELISHMENT!$B$3:$AQ$27,0,MATCH($AE51,EMBELISHMENT!$B$1:$AQ$1,0))),0)</f>
        <v>4</v>
      </c>
      <c r="C51" s="2">
        <f>IFERROR(SUMIF($B$5:$B$29,C$32,INDEX(EMBELISHMENT!$B$3:$AQ$27,0,MATCH($AE51,EMBELISHMENT!$B$1:$AQ$1,0))),0)</f>
        <v>0</v>
      </c>
      <c r="D51" s="2">
        <f>IFERROR(SUMIF($B$5:$B$29,D$32,INDEX(EMBELISHMENT!$B$3:$AQ$27,0,MATCH($AE51,EMBELISHMENT!$B$1:$AQ$1,0))),0)</f>
        <v>0</v>
      </c>
      <c r="E51" s="2">
        <f>IFERROR(SUMIF($B$5:$B$29,E$32,INDEX(EMBELISHMENT!$B$3:$AQ$27,0,MATCH($AE51,EMBELISHMENT!$B$1:$AQ$1,0))),0)</f>
        <v>0</v>
      </c>
      <c r="F51" s="2">
        <f>IFERROR(SUMIF($B$5:$B$29,F$32,INDEX(EMBELISHMENT!$B$3:$AQ$27,0,MATCH($AE51,EMBELISHMENT!$B$1:$AQ$1,0))),0)</f>
        <v>6</v>
      </c>
      <c r="G51" s="2">
        <f>IFERROR(SUMIF($B$5:$B$29,G$32,INDEX(EMBELISHMENT!$B$3:$AQ$27,0,MATCH($AE51,EMBELISHMENT!$B$1:$AQ$1,0))),0)</f>
        <v>0</v>
      </c>
      <c r="H51" s="2">
        <f>IFERROR(SUMIF($B$5:$B$29,H$32,INDEX(EMBELISHMENT!$B$3:$AQ$27,0,MATCH($AE51,EMBELISHMENT!$B$1:$AQ$1,0))),0)</f>
        <v>0</v>
      </c>
      <c r="I51" s="2">
        <f>IFERROR(SUMIF($B$5:$B$29,I$32,INDEX(EMBELISHMENT!$B$3:$AQ$27,0,MATCH($AE51,EMBELISHMENT!$B$1:$AQ$1,0))),0)</f>
        <v>0</v>
      </c>
      <c r="J51" s="2">
        <f>IFERROR(SUMIF($B$5:$B$29,J$32,INDEX(EMBELISHMENT!$B$3:$AQ$27,0,MATCH($AE51,EMBELISHMENT!$B$1:$AQ$1,0))),0)</f>
        <v>1</v>
      </c>
      <c r="K51" s="2">
        <f>IFERROR(SUMIF($B$5:$B$29,K$32,INDEX(EMBELISHMENT!$B$3:$AQ$27,0,MATCH($AE51,EMBELISHMENT!$B$1:$AQ$1,0))),0)</f>
        <v>0</v>
      </c>
      <c r="L51" s="2">
        <f>IFERROR(SUMIF($B$5:$B$29,L$32,INDEX(EMBELISHMENT!$B$3:$AQ$27,0,MATCH($AE51,EMBELISHMENT!$B$1:$AQ$1,0))),0)</f>
        <v>0</v>
      </c>
      <c r="M51" s="2">
        <f>IFERROR(SUMIF($B$5:$B$29,M$32,INDEX(EMBELISHMENT!$B$3:$AQ$27,0,MATCH($AE51,EMBELISHMENT!$B$1:$AQ$1,0))),0)</f>
        <v>1</v>
      </c>
      <c r="N51" s="2">
        <f>IFERROR(SUMIF($B$5:$B$29,N$32,INDEX(EMBELISHMENT!$B$3:$AQ$27,0,MATCH($AE51,EMBELISHMENT!$B$1:$AQ$1,0))),0)</f>
        <v>0</v>
      </c>
      <c r="O51" s="2">
        <f>IFERROR(SUMIF($B$5:$B$29,O$32,INDEX(EMBELISHMENT!$B$3:$AQ$27,0,MATCH($AE51,EMBELISHMENT!$B$1:$AQ$1,0))),0)</f>
        <v>2</v>
      </c>
      <c r="P51" s="2">
        <f>IFERROR(SUMIF($B$5:$B$29,P$32,INDEX(EMBELISHMENT!$B$3:$AQ$27,0,MATCH($AE51,EMBELISHMENT!$B$1:$AQ$1,0))),0)</f>
        <v>1</v>
      </c>
      <c r="Q51" s="2">
        <f>IFERROR(SUMIF($B$5:$B$29,Q$32,INDEX(EMBELISHMENT!$B$3:$AQ$27,0,MATCH($AE51,EMBELISHMENT!$B$1:$AQ$1,0))),0)</f>
        <v>0</v>
      </c>
      <c r="R51" s="2">
        <f>IFERROR(SUMIF($B$5:$B$29,R$32,INDEX(EMBELISHMENT!$B$3:$AQ$27,0,MATCH($AE51,EMBELISHMENT!$B$1:$AQ$1,0))),0)</f>
        <v>0</v>
      </c>
      <c r="S51" s="2">
        <f>IFERROR(SUMIF($B$5:$B$29,S$32,INDEX(EMBELISHMENT!$B$3:$AQ$27,0,MATCH($AE51,EMBELISHMENT!$B$1:$AQ$1,0))),0)</f>
        <v>0</v>
      </c>
      <c r="T51" s="2">
        <f>IFERROR(SUMIF($B$5:$B$29,T$32,INDEX(EMBELISHMENT!$B$3:$AQ$27,0,MATCH($AE51,EMBELISHMENT!$B$1:$AQ$1,0))),0)</f>
        <v>2</v>
      </c>
      <c r="U51" s="2">
        <f>IFERROR(SUMIF($B$5:$B$29,U$32,INDEX(EMBELISHMENT!$B$3:$AQ$27,0,MATCH($AE51,EMBELISHMENT!$B$1:$AQ$1,0))),0)</f>
        <v>1</v>
      </c>
      <c r="V51" s="2">
        <f>IFERROR(SUMIF($B$5:$B$29,V$32,INDEX(EMBELISHMENT!$B$3:$AQ$27,0,MATCH($AE51,EMBELISHMENT!$B$1:$AQ$1,0))),0)</f>
        <v>0</v>
      </c>
      <c r="W51" s="2">
        <f>IFERROR(SUMIF($B$5:$B$29,W$32,INDEX(EMBELISHMENT!$B$3:$AQ$27,0,MATCH($AE51,EMBELISHMENT!$B$1:$AQ$1,0))),0)</f>
        <v>0</v>
      </c>
      <c r="X51" s="2">
        <f>IFERROR(SUMIF($B$5:$B$29,X$32,INDEX(EMBELISHMENT!$B$3:$AQ$27,0,MATCH($AE51,EMBELISHMENT!$B$1:$AQ$1,0))),0)</f>
        <v>0</v>
      </c>
      <c r="Y51" s="2">
        <f>IFERROR(SUMIF($B$5:$B$29,Y$32,INDEX(EMBELISHMENT!$B$3:$AQ$27,0,MATCH($AE51,EMBELISHMENT!$B$1:$AQ$1,0))),0)</f>
        <v>1</v>
      </c>
      <c r="Z51" s="2">
        <f>IFERROR(SUMIF($B$5:$B$29,Z$32,INDEX(EMBELISHMENT!$B$3:$AQ$27,0,MATCH($AE51,EMBELISHMENT!$B$1:$AQ$1,0))),0)</f>
        <v>0</v>
      </c>
      <c r="AA51" s="2">
        <f>IFERROR(SUMIF($B$5:$B$29,AA$32,INDEX(EMBELISHMENT!$B$3:$AQ$27,0,MATCH($AE51,EMBELISHMENT!$B$1:$AQ$1,0))),0)</f>
        <v>0</v>
      </c>
      <c r="AB51" s="2">
        <f>SUM($B51:$AA51)</f>
        <v>19</v>
      </c>
      <c r="AC51" s="2">
        <f>IFERROR(INDEX(EMBELISHMENT!$B$28:$AQ$28,MATCH($AE51,EMBELISHMENT!$B$1:$AQ$1,0)),0)</f>
        <v>19</v>
      </c>
      <c r="AD51" s="2" t="str">
        <f>IF(N(AC51)=0,"n/a",IF(ROUND(AB51-AC51,1)=0,"OK",ROUND(AB51-AC51,1)))</f>
        <v>OK</v>
      </c>
      <c r="AE51" s="277" t="str">
        <f>IFERROR(IF(INDEX($L$5:$L$28,MATCH($A51,$K$5:$K$28,0))="","(no recipe)",INDEX($L$5:$L$28,MATCH($A51,$K$5:$K$28,0))),$A51)</f>
        <v>TH-04</v>
      </c>
      <c r="AF51" s="14" t="str">
        <f>IFERROR(INDEX($M$5:$M$28,MATCH($A51,$K$5:$K$28,0)),"STYLE")</f>
        <v>THERMAL</v>
      </c>
      <c r="AG51" s="60" t="s">
        <v>15</v>
      </c>
    </row>
    <row r="52" spans="1:33">
      <c r="A52" s="2" t="str">
        <f>EMBELISHMENT!$D$1</f>
        <v>RS-17</v>
      </c>
      <c r="B52" s="2">
        <f>IFERROR(SUMIF($B$5:$B$29,B$32,INDEX(EMBELISHMENT!$B$3:$AQ$27,0,MATCH($AE52,EMBELISHMENT!$B$1:$AQ$1,0))),0)</f>
        <v>2</v>
      </c>
      <c r="C52" s="2">
        <f>IFERROR(SUMIF($B$5:$B$29,C$32,INDEX(EMBELISHMENT!$B$3:$AQ$27,0,MATCH($AE52,EMBELISHMENT!$B$1:$AQ$1,0))),0)</f>
        <v>0</v>
      </c>
      <c r="D52" s="2">
        <f>IFERROR(SUMIF($B$5:$B$29,D$32,INDEX(EMBELISHMENT!$B$3:$AQ$27,0,MATCH($AE52,EMBELISHMENT!$B$1:$AQ$1,0))),0)</f>
        <v>0</v>
      </c>
      <c r="E52" s="2">
        <f>IFERROR(SUMIF($B$5:$B$29,E$32,INDEX(EMBELISHMENT!$B$3:$AQ$27,0,MATCH($AE52,EMBELISHMENT!$B$1:$AQ$1,0))),0)</f>
        <v>0</v>
      </c>
      <c r="F52" s="2">
        <f>IFERROR(SUMIF($B$5:$B$29,F$32,INDEX(EMBELISHMENT!$B$3:$AQ$27,0,MATCH($AE52,EMBELISHMENT!$B$1:$AQ$1,0))),0)</f>
        <v>10</v>
      </c>
      <c r="G52" s="2">
        <f>IFERROR(SUMIF($B$5:$B$29,G$32,INDEX(EMBELISHMENT!$B$3:$AQ$27,0,MATCH($AE52,EMBELISHMENT!$B$1:$AQ$1,0))),0)</f>
        <v>3</v>
      </c>
      <c r="H52" s="2">
        <f>IFERROR(SUMIF($B$5:$B$29,H$32,INDEX(EMBELISHMENT!$B$3:$AQ$27,0,MATCH($AE52,EMBELISHMENT!$B$1:$AQ$1,0))),0)</f>
        <v>0</v>
      </c>
      <c r="I52" s="2">
        <f>IFERROR(SUMIF($B$5:$B$29,I$32,INDEX(EMBELISHMENT!$B$3:$AQ$27,0,MATCH($AE52,EMBELISHMENT!$B$1:$AQ$1,0))),0)</f>
        <v>0</v>
      </c>
      <c r="J52" s="2">
        <f>IFERROR(SUMIF($B$5:$B$29,J$32,INDEX(EMBELISHMENT!$B$3:$AQ$27,0,MATCH($AE52,EMBELISHMENT!$B$1:$AQ$1,0))),0)</f>
        <v>0</v>
      </c>
      <c r="K52" s="2">
        <f>IFERROR(SUMIF($B$5:$B$29,K$32,INDEX(EMBELISHMENT!$B$3:$AQ$27,0,MATCH($AE52,EMBELISHMENT!$B$1:$AQ$1,0))),0)</f>
        <v>0</v>
      </c>
      <c r="L52" s="2">
        <f>IFERROR(SUMIF($B$5:$B$29,L$32,INDEX(EMBELISHMENT!$B$3:$AQ$27,0,MATCH($AE52,EMBELISHMENT!$B$1:$AQ$1,0))),0)</f>
        <v>3</v>
      </c>
      <c r="M52" s="2">
        <f>IFERROR(SUMIF($B$5:$B$29,M$32,INDEX(EMBELISHMENT!$B$3:$AQ$27,0,MATCH($AE52,EMBELISHMENT!$B$1:$AQ$1,0))),0)</f>
        <v>0</v>
      </c>
      <c r="N52" s="2">
        <f>IFERROR(SUMIF($B$5:$B$29,N$32,INDEX(EMBELISHMENT!$B$3:$AQ$27,0,MATCH($AE52,EMBELISHMENT!$B$1:$AQ$1,0))),0)</f>
        <v>3</v>
      </c>
      <c r="O52" s="2">
        <f>IFERROR(SUMIF($B$5:$B$29,O$32,INDEX(EMBELISHMENT!$B$3:$AQ$27,0,MATCH($AE52,EMBELISHMENT!$B$1:$AQ$1,0))),0)</f>
        <v>0</v>
      </c>
      <c r="P52" s="2">
        <f>IFERROR(SUMIF($B$5:$B$29,P$32,INDEX(EMBELISHMENT!$B$3:$AQ$27,0,MATCH($AE52,EMBELISHMENT!$B$1:$AQ$1,0))),0)</f>
        <v>5</v>
      </c>
      <c r="Q52" s="2">
        <f>IFERROR(SUMIF($B$5:$B$29,Q$32,INDEX(EMBELISHMENT!$B$3:$AQ$27,0,MATCH($AE52,EMBELISHMENT!$B$1:$AQ$1,0))),0)</f>
        <v>0</v>
      </c>
      <c r="R52" s="2">
        <f>IFERROR(SUMIF($B$5:$B$29,R$32,INDEX(EMBELISHMENT!$B$3:$AQ$27,0,MATCH($AE52,EMBELISHMENT!$B$1:$AQ$1,0))),0)</f>
        <v>0</v>
      </c>
      <c r="S52" s="2">
        <f>IFERROR(SUMIF($B$5:$B$29,S$32,INDEX(EMBELISHMENT!$B$3:$AQ$27,0,MATCH($AE52,EMBELISHMENT!$B$1:$AQ$1,0))),0)</f>
        <v>0</v>
      </c>
      <c r="T52" s="2">
        <f>IFERROR(SUMIF($B$5:$B$29,T$32,INDEX(EMBELISHMENT!$B$3:$AQ$27,0,MATCH($AE52,EMBELISHMENT!$B$1:$AQ$1,0))),0)</f>
        <v>1</v>
      </c>
      <c r="U52" s="2">
        <f>IFERROR(SUMIF($B$5:$B$29,U$32,INDEX(EMBELISHMENT!$B$3:$AQ$27,0,MATCH($AE52,EMBELISHMENT!$B$1:$AQ$1,0))),0)</f>
        <v>1</v>
      </c>
      <c r="V52" s="2">
        <f>IFERROR(SUMIF($B$5:$B$29,V$32,INDEX(EMBELISHMENT!$B$3:$AQ$27,0,MATCH($AE52,EMBELISHMENT!$B$1:$AQ$1,0))),0)</f>
        <v>0</v>
      </c>
      <c r="W52" s="2">
        <f>IFERROR(SUMIF($B$5:$B$29,W$32,INDEX(EMBELISHMENT!$B$3:$AQ$27,0,MATCH($AE52,EMBELISHMENT!$B$1:$AQ$1,0))),0)</f>
        <v>0</v>
      </c>
      <c r="X52" s="2">
        <f>IFERROR(SUMIF($B$5:$B$29,X$32,INDEX(EMBELISHMENT!$B$3:$AQ$27,0,MATCH($AE52,EMBELISHMENT!$B$1:$AQ$1,0))),0)</f>
        <v>0</v>
      </c>
      <c r="Y52" s="2">
        <f>IFERROR(SUMIF($B$5:$B$29,Y$32,INDEX(EMBELISHMENT!$B$3:$AQ$27,0,MATCH($AE52,EMBELISHMENT!$B$1:$AQ$1,0))),0)</f>
        <v>0</v>
      </c>
      <c r="Z52" s="2">
        <f>IFERROR(SUMIF($B$5:$B$29,Z$32,INDEX(EMBELISHMENT!$B$3:$AQ$27,0,MATCH($AE52,EMBELISHMENT!$B$1:$AQ$1,0))),0)</f>
        <v>0</v>
      </c>
      <c r="AA52" s="2">
        <f>IFERROR(SUMIF($B$5:$B$29,AA$32,INDEX(EMBELISHMENT!$B$3:$AQ$27,0,MATCH($AE52,EMBELISHMENT!$B$1:$AQ$1,0))),0)</f>
        <v>2</v>
      </c>
      <c r="AB52" s="2">
        <f>SUM($B52:$AA52)</f>
        <v>30</v>
      </c>
      <c r="AC52" s="2">
        <f>IFERROR(INDEX(EMBELISHMENT!$B$28:$AQ$28,MATCH($AE52,EMBELISHMENT!$B$1:$AQ$1,0)),0)</f>
        <v>30</v>
      </c>
      <c r="AD52" s="2" t="str">
        <f>IF(N(AC52)=0,"n/a",IF(ROUND(AB52-AC52,1)=0,"OK",ROUND(AB52-AC52,1)))</f>
        <v>OK</v>
      </c>
      <c r="AE52" s="2" t="str">
        <f>IFERROR(IF(INDEX($L$5:$L$28,MATCH($A52,$K$5:$K$28,0))="","(no recipe)",INDEX($L$5:$L$28,MATCH($A52,$K$5:$K$28,0))),$A52)</f>
        <v>RS-17</v>
      </c>
      <c r="AF52" s="2" t="str">
        <f>IFERROR(INDEX($M$5:$M$28,MATCH($A52,$K$5:$K$28,0)),"STYLE")</f>
        <v>STYLE</v>
      </c>
      <c r="AG52" s="60" t="s">
        <v>22</v>
      </c>
    </row>
    <row r="53" spans="1:33">
      <c r="A53" s="2" t="str">
        <f>EMBELISHMENT!$F$1</f>
        <v>RS-52</v>
      </c>
      <c r="B53" s="2">
        <f>IFERROR(SUMIF($B$5:$B$29,B$32,INDEX(EMBELISHMENT!$B$3:$AQ$27,0,MATCH($AE53,EMBELISHMENT!$B$1:$AQ$1,0))),0)</f>
        <v>2</v>
      </c>
      <c r="C53" s="2">
        <f>IFERROR(SUMIF($B$5:$B$29,C$32,INDEX(EMBELISHMENT!$B$3:$AQ$27,0,MATCH($AE53,EMBELISHMENT!$B$1:$AQ$1,0))),0)</f>
        <v>0</v>
      </c>
      <c r="D53" s="2">
        <f>IFERROR(SUMIF($B$5:$B$29,D$32,INDEX(EMBELISHMENT!$B$3:$AQ$27,0,MATCH($AE53,EMBELISHMENT!$B$1:$AQ$1,0))),0)</f>
        <v>0</v>
      </c>
      <c r="E53" s="2">
        <f>IFERROR(SUMIF($B$5:$B$29,E$32,INDEX(EMBELISHMENT!$B$3:$AQ$27,0,MATCH($AE53,EMBELISHMENT!$B$1:$AQ$1,0))),0)</f>
        <v>0</v>
      </c>
      <c r="F53" s="2">
        <f>IFERROR(SUMIF($B$5:$B$29,F$32,INDEX(EMBELISHMENT!$B$3:$AQ$27,0,MATCH($AE53,EMBELISHMENT!$B$1:$AQ$1,0))),0)</f>
        <v>12</v>
      </c>
      <c r="G53" s="2">
        <f>IFERROR(SUMIF($B$5:$B$29,G$32,INDEX(EMBELISHMENT!$B$3:$AQ$27,0,MATCH($AE53,EMBELISHMENT!$B$1:$AQ$1,0))),0)</f>
        <v>3</v>
      </c>
      <c r="H53" s="2">
        <f>IFERROR(SUMIF($B$5:$B$29,H$32,INDEX(EMBELISHMENT!$B$3:$AQ$27,0,MATCH($AE53,EMBELISHMENT!$B$1:$AQ$1,0))),0)</f>
        <v>0</v>
      </c>
      <c r="I53" s="2">
        <f>IFERROR(SUMIF($B$5:$B$29,I$32,INDEX(EMBELISHMENT!$B$3:$AQ$27,0,MATCH($AE53,EMBELISHMENT!$B$1:$AQ$1,0))),0)</f>
        <v>0</v>
      </c>
      <c r="J53" s="2">
        <f>IFERROR(SUMIF($B$5:$B$29,J$32,INDEX(EMBELISHMENT!$B$3:$AQ$27,0,MATCH($AE53,EMBELISHMENT!$B$1:$AQ$1,0))),0)</f>
        <v>0</v>
      </c>
      <c r="K53" s="2">
        <f>IFERROR(SUMIF($B$5:$B$29,K$32,INDEX(EMBELISHMENT!$B$3:$AQ$27,0,MATCH($AE53,EMBELISHMENT!$B$1:$AQ$1,0))),0)</f>
        <v>0</v>
      </c>
      <c r="L53" s="2">
        <f>IFERROR(SUMIF($B$5:$B$29,L$32,INDEX(EMBELISHMENT!$B$3:$AQ$27,0,MATCH($AE53,EMBELISHMENT!$B$1:$AQ$1,0))),0)</f>
        <v>0</v>
      </c>
      <c r="M53" s="2">
        <f>IFERROR(SUMIF($B$5:$B$29,M$32,INDEX(EMBELISHMENT!$B$3:$AQ$27,0,MATCH($AE53,EMBELISHMENT!$B$1:$AQ$1,0))),0)</f>
        <v>3</v>
      </c>
      <c r="N53" s="2">
        <f>IFERROR(SUMIF($B$5:$B$29,N$32,INDEX(EMBELISHMENT!$B$3:$AQ$27,0,MATCH($AE53,EMBELISHMENT!$B$1:$AQ$1,0))),0)</f>
        <v>3</v>
      </c>
      <c r="O53" s="2">
        <f>IFERROR(SUMIF($B$5:$B$29,O$32,INDEX(EMBELISHMENT!$B$3:$AQ$27,0,MATCH($AE53,EMBELISHMENT!$B$1:$AQ$1,0))),0)</f>
        <v>0</v>
      </c>
      <c r="P53" s="2">
        <f>IFERROR(SUMIF($B$5:$B$29,P$32,INDEX(EMBELISHMENT!$B$3:$AQ$27,0,MATCH($AE53,EMBELISHMENT!$B$1:$AQ$1,0))),0)</f>
        <v>4</v>
      </c>
      <c r="Q53" s="2">
        <f>IFERROR(SUMIF($B$5:$B$29,Q$32,INDEX(EMBELISHMENT!$B$3:$AQ$27,0,MATCH($AE53,EMBELISHMENT!$B$1:$AQ$1,0))),0)</f>
        <v>0</v>
      </c>
      <c r="R53" s="2">
        <f>IFERROR(SUMIF($B$5:$B$29,R$32,INDEX(EMBELISHMENT!$B$3:$AQ$27,0,MATCH($AE53,EMBELISHMENT!$B$1:$AQ$1,0))),0)</f>
        <v>0</v>
      </c>
      <c r="S53" s="2">
        <f>IFERROR(SUMIF($B$5:$B$29,S$32,INDEX(EMBELISHMENT!$B$3:$AQ$27,0,MATCH($AE53,EMBELISHMENT!$B$1:$AQ$1,0))),0)</f>
        <v>0</v>
      </c>
      <c r="T53" s="2">
        <f>IFERROR(SUMIF($B$5:$B$29,T$32,INDEX(EMBELISHMENT!$B$3:$AQ$27,0,MATCH($AE53,EMBELISHMENT!$B$1:$AQ$1,0))),0)</f>
        <v>0</v>
      </c>
      <c r="U53" s="2">
        <f>IFERROR(SUMIF($B$5:$B$29,U$32,INDEX(EMBELISHMENT!$B$3:$AQ$27,0,MATCH($AE53,EMBELISHMENT!$B$1:$AQ$1,0))),0)</f>
        <v>1</v>
      </c>
      <c r="V53" s="2">
        <f>IFERROR(SUMIF($B$5:$B$29,V$32,INDEX(EMBELISHMENT!$B$3:$AQ$27,0,MATCH($AE53,EMBELISHMENT!$B$1:$AQ$1,0))),0)</f>
        <v>0</v>
      </c>
      <c r="W53" s="2">
        <f>IFERROR(SUMIF($B$5:$B$29,W$32,INDEX(EMBELISHMENT!$B$3:$AQ$27,0,MATCH($AE53,EMBELISHMENT!$B$1:$AQ$1,0))),0)</f>
        <v>0</v>
      </c>
      <c r="X53" s="2">
        <f>IFERROR(SUMIF($B$5:$B$29,X$32,INDEX(EMBELISHMENT!$B$3:$AQ$27,0,MATCH($AE53,EMBELISHMENT!$B$1:$AQ$1,0))),0)</f>
        <v>0</v>
      </c>
      <c r="Y53" s="2">
        <f>IFERROR(SUMIF($B$5:$B$29,Y$32,INDEX(EMBELISHMENT!$B$3:$AQ$27,0,MATCH($AE53,EMBELISHMENT!$B$1:$AQ$1,0))),0)</f>
        <v>0</v>
      </c>
      <c r="Z53" s="2">
        <f>IFERROR(SUMIF($B$5:$B$29,Z$32,INDEX(EMBELISHMENT!$B$3:$AQ$27,0,MATCH($AE53,EMBELISHMENT!$B$1:$AQ$1,0))),0)</f>
        <v>0</v>
      </c>
      <c r="AA53" s="2">
        <f>IFERROR(SUMIF($B$5:$B$29,AA$32,INDEX(EMBELISHMENT!$B$3:$AQ$27,0,MATCH($AE53,EMBELISHMENT!$B$1:$AQ$1,0))),0)</f>
        <v>2</v>
      </c>
      <c r="AB53" s="2">
        <f>SUM($B53:$AA53)</f>
        <v>30</v>
      </c>
      <c r="AC53" s="2">
        <f>IFERROR(INDEX(EMBELISHMENT!$B$28:$AQ$28,MATCH($AE53,EMBELISHMENT!$B$1:$AQ$1,0)),0)</f>
        <v>30</v>
      </c>
      <c r="AD53" s="2" t="str">
        <f>IF(N(AC53)=0,"n/a",IF(ROUND(AB53-AC53,1)=0,"OK",ROUND(AB53-AC53,1)))</f>
        <v>OK</v>
      </c>
      <c r="AE53" s="2" t="str">
        <f>IFERROR(IF(INDEX($L$5:$L$28,MATCH($A53,$K$5:$K$28,0))="","(no recipe)",INDEX($L$5:$L$28,MATCH($A53,$K$5:$K$28,0))),$A53)</f>
        <v>RS-52</v>
      </c>
      <c r="AF53" s="2" t="str">
        <f>IFERROR(INDEX($M$5:$M$28,MATCH($A53,$K$5:$K$28,0)),"STYLE")</f>
        <v>STYLE</v>
      </c>
      <c r="AG53" s="60" t="s">
        <v>493</v>
      </c>
    </row>
    <row r="54" spans="1:33">
      <c r="A54" s="2" t="str">
        <f>EMBELISHMENT!$H$1</f>
        <v>6109-T</v>
      </c>
      <c r="B54" s="2">
        <f>IFERROR(SUMIF($B$5:$B$29,B$32,INDEX(EMBELISHMENT!$B$3:$AQ$27,0,MATCH($AE54,EMBELISHMENT!$B$1:$AQ$1,0))),0)</f>
        <v>5</v>
      </c>
      <c r="C54" s="2">
        <f>IFERROR(SUMIF($B$5:$B$29,C$32,INDEX(EMBELISHMENT!$B$3:$AQ$27,0,MATCH($AE54,EMBELISHMENT!$B$1:$AQ$1,0))),0)</f>
        <v>0</v>
      </c>
      <c r="D54" s="2">
        <f>IFERROR(SUMIF($B$5:$B$29,D$32,INDEX(EMBELISHMENT!$B$3:$AQ$27,0,MATCH($AE54,EMBELISHMENT!$B$1:$AQ$1,0))),0)</f>
        <v>0</v>
      </c>
      <c r="E54" s="2">
        <f>IFERROR(SUMIF($B$5:$B$29,E$32,INDEX(EMBELISHMENT!$B$3:$AQ$27,0,MATCH($AE54,EMBELISHMENT!$B$1:$AQ$1,0))),0)</f>
        <v>0</v>
      </c>
      <c r="F54" s="2">
        <f>IFERROR(SUMIF($B$5:$B$29,F$32,INDEX(EMBELISHMENT!$B$3:$AQ$27,0,MATCH($AE54,EMBELISHMENT!$B$1:$AQ$1,0))),0)</f>
        <v>7</v>
      </c>
      <c r="G54" s="2">
        <f>IFERROR(SUMIF($B$5:$B$29,G$32,INDEX(EMBELISHMENT!$B$3:$AQ$27,0,MATCH($AE54,EMBELISHMENT!$B$1:$AQ$1,0))),0)</f>
        <v>0</v>
      </c>
      <c r="H54" s="2">
        <f>IFERROR(SUMIF($B$5:$B$29,H$32,INDEX(EMBELISHMENT!$B$3:$AQ$27,0,MATCH($AE54,EMBELISHMENT!$B$1:$AQ$1,0))),0)</f>
        <v>0</v>
      </c>
      <c r="I54" s="2">
        <f>IFERROR(SUMIF($B$5:$B$29,I$32,INDEX(EMBELISHMENT!$B$3:$AQ$27,0,MATCH($AE54,EMBELISHMENT!$B$1:$AQ$1,0))),0)</f>
        <v>0</v>
      </c>
      <c r="J54" s="2">
        <f>IFERROR(SUMIF($B$5:$B$29,J$32,INDEX(EMBELISHMENT!$B$3:$AQ$27,0,MATCH($AE54,EMBELISHMENT!$B$1:$AQ$1,0))),0)</f>
        <v>1</v>
      </c>
      <c r="K54" s="2">
        <f>IFERROR(SUMIF($B$5:$B$29,K$32,INDEX(EMBELISHMENT!$B$3:$AQ$27,0,MATCH($AE54,EMBELISHMENT!$B$1:$AQ$1,0))),0)</f>
        <v>0</v>
      </c>
      <c r="L54" s="2">
        <f>IFERROR(SUMIF($B$5:$B$29,L$32,INDEX(EMBELISHMENT!$B$3:$AQ$27,0,MATCH($AE54,EMBELISHMENT!$B$1:$AQ$1,0))),0)</f>
        <v>0</v>
      </c>
      <c r="M54" s="2">
        <f>IFERROR(SUMIF($B$5:$B$29,M$32,INDEX(EMBELISHMENT!$B$3:$AQ$27,0,MATCH($AE54,EMBELISHMENT!$B$1:$AQ$1,0))),0)</f>
        <v>0</v>
      </c>
      <c r="N54" s="2">
        <f>IFERROR(SUMIF($B$5:$B$29,N$32,INDEX(EMBELISHMENT!$B$3:$AQ$27,0,MATCH($AE54,EMBELISHMENT!$B$1:$AQ$1,0))),0)</f>
        <v>2</v>
      </c>
      <c r="O54" s="2">
        <f>IFERROR(SUMIF($B$5:$B$29,O$32,INDEX(EMBELISHMENT!$B$3:$AQ$27,0,MATCH($AE54,EMBELISHMENT!$B$1:$AQ$1,0))),0)</f>
        <v>3</v>
      </c>
      <c r="P54" s="2">
        <f>IFERROR(SUMIF($B$5:$B$29,P$32,INDEX(EMBELISHMENT!$B$3:$AQ$27,0,MATCH($AE54,EMBELISHMENT!$B$1:$AQ$1,0))),0)</f>
        <v>3</v>
      </c>
      <c r="Q54" s="2">
        <f>IFERROR(SUMIF($B$5:$B$29,Q$32,INDEX(EMBELISHMENT!$B$3:$AQ$27,0,MATCH($AE54,EMBELISHMENT!$B$1:$AQ$1,0))),0)</f>
        <v>0</v>
      </c>
      <c r="R54" s="2">
        <f>IFERROR(SUMIF($B$5:$B$29,R$32,INDEX(EMBELISHMENT!$B$3:$AQ$27,0,MATCH($AE54,EMBELISHMENT!$B$1:$AQ$1,0))),0)</f>
        <v>0</v>
      </c>
      <c r="S54" s="2">
        <f>IFERROR(SUMIF($B$5:$B$29,S$32,INDEX(EMBELISHMENT!$B$3:$AQ$27,0,MATCH($AE54,EMBELISHMENT!$B$1:$AQ$1,0))),0)</f>
        <v>0</v>
      </c>
      <c r="T54" s="2">
        <f>IFERROR(SUMIF($B$5:$B$29,T$32,INDEX(EMBELISHMENT!$B$3:$AQ$27,0,MATCH($AE54,EMBELISHMENT!$B$1:$AQ$1,0))),0)</f>
        <v>0</v>
      </c>
      <c r="U54" s="2">
        <f>IFERROR(SUMIF($B$5:$B$29,U$32,INDEX(EMBELISHMENT!$B$3:$AQ$27,0,MATCH($AE54,EMBELISHMENT!$B$1:$AQ$1,0))),0)</f>
        <v>1</v>
      </c>
      <c r="V54" s="2">
        <f>IFERROR(SUMIF($B$5:$B$29,V$32,INDEX(EMBELISHMENT!$B$3:$AQ$27,0,MATCH($AE54,EMBELISHMENT!$B$1:$AQ$1,0))),0)</f>
        <v>0</v>
      </c>
      <c r="W54" s="2">
        <f>IFERROR(SUMIF($B$5:$B$29,W$32,INDEX(EMBELISHMENT!$B$3:$AQ$27,0,MATCH($AE54,EMBELISHMENT!$B$1:$AQ$1,0))),0)</f>
        <v>0</v>
      </c>
      <c r="X54" s="2">
        <f>IFERROR(SUMIF($B$5:$B$29,X$32,INDEX(EMBELISHMENT!$B$3:$AQ$27,0,MATCH($AE54,EMBELISHMENT!$B$1:$AQ$1,0))),0)</f>
        <v>0</v>
      </c>
      <c r="Y54" s="2">
        <f>IFERROR(SUMIF($B$5:$B$29,Y$32,INDEX(EMBELISHMENT!$B$3:$AQ$27,0,MATCH($AE54,EMBELISHMENT!$B$1:$AQ$1,0))),0)</f>
        <v>0</v>
      </c>
      <c r="Z54" s="2">
        <f>IFERROR(SUMIF($B$5:$B$29,Z$32,INDEX(EMBELISHMENT!$B$3:$AQ$27,0,MATCH($AE54,EMBELISHMENT!$B$1:$AQ$1,0))),0)</f>
        <v>0</v>
      </c>
      <c r="AA54" s="2">
        <f>IFERROR(SUMIF($B$5:$B$29,AA$32,INDEX(EMBELISHMENT!$B$3:$AQ$27,0,MATCH($AE54,EMBELISHMENT!$B$1:$AQ$1,0))),0)</f>
        <v>2</v>
      </c>
      <c r="AB54" s="2">
        <f>SUM($B54:$AA54)</f>
        <v>24</v>
      </c>
      <c r="AC54" s="2">
        <f>IFERROR(INDEX(EMBELISHMENT!$B$28:$AQ$28,MATCH($AE54,EMBELISHMENT!$B$1:$AQ$1,0)),0)</f>
        <v>24</v>
      </c>
      <c r="AD54" s="2" t="str">
        <f>IF(N(AC54)=0,"n/a",IF(ROUND(AB54-AC54,1)=0,"OK",ROUND(AB54-AC54,1)))</f>
        <v>OK</v>
      </c>
      <c r="AE54" s="2" t="str">
        <f>IFERROR(IF(INDEX($L$5:$L$28,MATCH($A54,$K$5:$K$28,0))="","(no recipe)",INDEX($L$5:$L$28,MATCH($A54,$K$5:$K$28,0))),$A54)</f>
        <v>6109-T</v>
      </c>
      <c r="AF54" s="2" t="str">
        <f>IFERROR(INDEX($M$5:$M$28,MATCH($A54,$K$5:$K$28,0)),"STYLE")</f>
        <v>STYLE</v>
      </c>
      <c r="AG54" s="60" t="s">
        <v>21</v>
      </c>
    </row>
    <row r="55" spans="1:33">
      <c r="A55" s="2" t="str">
        <f>EMBELISHMENT!$K$1</f>
        <v>4117-T</v>
      </c>
      <c r="B55" s="2">
        <f>IFERROR(SUMIF($B$5:$B$29,B$32,INDEX(EMBELISHMENT!$B$3:$AQ$27,0,MATCH($AE55,EMBELISHMENT!$B$1:$AQ$1,0))),0)</f>
        <v>6</v>
      </c>
      <c r="C55" s="2">
        <f>IFERROR(SUMIF($B$5:$B$29,C$32,INDEX(EMBELISHMENT!$B$3:$AQ$27,0,MATCH($AE55,EMBELISHMENT!$B$1:$AQ$1,0))),0)</f>
        <v>0</v>
      </c>
      <c r="D55" s="2">
        <f>IFERROR(SUMIF($B$5:$B$29,D$32,INDEX(EMBELISHMENT!$B$3:$AQ$27,0,MATCH($AE55,EMBELISHMENT!$B$1:$AQ$1,0))),0)</f>
        <v>0</v>
      </c>
      <c r="E55" s="2">
        <f>IFERROR(SUMIF($B$5:$B$29,E$32,INDEX(EMBELISHMENT!$B$3:$AQ$27,0,MATCH($AE55,EMBELISHMENT!$B$1:$AQ$1,0))),0)</f>
        <v>0</v>
      </c>
      <c r="F55" s="2">
        <f>IFERROR(SUMIF($B$5:$B$29,F$32,INDEX(EMBELISHMENT!$B$3:$AQ$27,0,MATCH($AE55,EMBELISHMENT!$B$1:$AQ$1,0))),0)</f>
        <v>7</v>
      </c>
      <c r="G55" s="2">
        <f>IFERROR(SUMIF($B$5:$B$29,G$32,INDEX(EMBELISHMENT!$B$3:$AQ$27,0,MATCH($AE55,EMBELISHMENT!$B$1:$AQ$1,0))),0)</f>
        <v>0</v>
      </c>
      <c r="H55" s="2">
        <f>IFERROR(SUMIF($B$5:$B$29,H$32,INDEX(EMBELISHMENT!$B$3:$AQ$27,0,MATCH($AE55,EMBELISHMENT!$B$1:$AQ$1,0))),0)</f>
        <v>0</v>
      </c>
      <c r="I55" s="2">
        <f>IFERROR(SUMIF($B$5:$B$29,I$32,INDEX(EMBELISHMENT!$B$3:$AQ$27,0,MATCH($AE55,EMBELISHMENT!$B$1:$AQ$1,0))),0)</f>
        <v>3</v>
      </c>
      <c r="J55" s="2">
        <f>IFERROR(SUMIF($B$5:$B$29,J$32,INDEX(EMBELISHMENT!$B$3:$AQ$27,0,MATCH($AE55,EMBELISHMENT!$B$1:$AQ$1,0))),0)</f>
        <v>1</v>
      </c>
      <c r="K55" s="2">
        <f>IFERROR(SUMIF($B$5:$B$29,K$32,INDEX(EMBELISHMENT!$B$3:$AQ$27,0,MATCH($AE55,EMBELISHMENT!$B$1:$AQ$1,0))),0)</f>
        <v>0</v>
      </c>
      <c r="L55" s="2">
        <f>IFERROR(SUMIF($B$5:$B$29,L$32,INDEX(EMBELISHMENT!$B$3:$AQ$27,0,MATCH($AE55,EMBELISHMENT!$B$1:$AQ$1,0))),0)</f>
        <v>0</v>
      </c>
      <c r="M55" s="2">
        <f>IFERROR(SUMIF($B$5:$B$29,M$32,INDEX(EMBELISHMENT!$B$3:$AQ$27,0,MATCH($AE55,EMBELISHMENT!$B$1:$AQ$1,0))),0)</f>
        <v>2</v>
      </c>
      <c r="N55" s="2">
        <f>IFERROR(SUMIF($B$5:$B$29,N$32,INDEX(EMBELISHMENT!$B$3:$AQ$27,0,MATCH($AE55,EMBELISHMENT!$B$1:$AQ$1,0))),0)</f>
        <v>2</v>
      </c>
      <c r="O55" s="2">
        <f>IFERROR(SUMIF($B$5:$B$29,O$32,INDEX(EMBELISHMENT!$B$3:$AQ$27,0,MATCH($AE55,EMBELISHMENT!$B$1:$AQ$1,0))),0)</f>
        <v>1</v>
      </c>
      <c r="P55" s="2">
        <f>IFERROR(SUMIF($B$5:$B$29,P$32,INDEX(EMBELISHMENT!$B$3:$AQ$27,0,MATCH($AE55,EMBELISHMENT!$B$1:$AQ$1,0))),0)</f>
        <v>2</v>
      </c>
      <c r="Q55" s="2">
        <f>IFERROR(SUMIF($B$5:$B$29,Q$32,INDEX(EMBELISHMENT!$B$3:$AQ$27,0,MATCH($AE55,EMBELISHMENT!$B$1:$AQ$1,0))),0)</f>
        <v>0</v>
      </c>
      <c r="R55" s="2">
        <f>IFERROR(SUMIF($B$5:$B$29,R$32,INDEX(EMBELISHMENT!$B$3:$AQ$27,0,MATCH($AE55,EMBELISHMENT!$B$1:$AQ$1,0))),0)</f>
        <v>0</v>
      </c>
      <c r="S55" s="2">
        <f>IFERROR(SUMIF($B$5:$B$29,S$32,INDEX(EMBELISHMENT!$B$3:$AQ$27,0,MATCH($AE55,EMBELISHMENT!$B$1:$AQ$1,0))),0)</f>
        <v>0</v>
      </c>
      <c r="T55" s="2">
        <f>IFERROR(SUMIF($B$5:$B$29,T$32,INDEX(EMBELISHMENT!$B$3:$AQ$27,0,MATCH($AE55,EMBELISHMENT!$B$1:$AQ$1,0))),0)</f>
        <v>0</v>
      </c>
      <c r="U55" s="2">
        <f>IFERROR(SUMIF($B$5:$B$29,U$32,INDEX(EMBELISHMENT!$B$3:$AQ$27,0,MATCH($AE55,EMBELISHMENT!$B$1:$AQ$1,0))),0)</f>
        <v>1</v>
      </c>
      <c r="V55" s="2">
        <f>IFERROR(SUMIF($B$5:$B$29,V$32,INDEX(EMBELISHMENT!$B$3:$AQ$27,0,MATCH($AE55,EMBELISHMENT!$B$1:$AQ$1,0))),0)</f>
        <v>0</v>
      </c>
      <c r="W55" s="2">
        <f>IFERROR(SUMIF($B$5:$B$29,W$32,INDEX(EMBELISHMENT!$B$3:$AQ$27,0,MATCH($AE55,EMBELISHMENT!$B$1:$AQ$1,0))),0)</f>
        <v>0</v>
      </c>
      <c r="X55" s="2">
        <f>IFERROR(SUMIF($B$5:$B$29,X$32,INDEX(EMBELISHMENT!$B$3:$AQ$27,0,MATCH($AE55,EMBELISHMENT!$B$1:$AQ$1,0))),0)</f>
        <v>0</v>
      </c>
      <c r="Y55" s="2">
        <f>IFERROR(SUMIF($B$5:$B$29,Y$32,INDEX(EMBELISHMENT!$B$3:$AQ$27,0,MATCH($AE55,EMBELISHMENT!$B$1:$AQ$1,0))),0)</f>
        <v>0</v>
      </c>
      <c r="Z55" s="2">
        <f>IFERROR(SUMIF($B$5:$B$29,Z$32,INDEX(EMBELISHMENT!$B$3:$AQ$27,0,MATCH($AE55,EMBELISHMENT!$B$1:$AQ$1,0))),0)</f>
        <v>0</v>
      </c>
      <c r="AA55" s="2">
        <f>IFERROR(SUMIF($B$5:$B$29,AA$32,INDEX(EMBELISHMENT!$B$3:$AQ$27,0,MATCH($AE55,EMBELISHMENT!$B$1:$AQ$1,0))),0)</f>
        <v>2</v>
      </c>
      <c r="AB55" s="2">
        <f>SUM($B55:$AA55)</f>
        <v>27</v>
      </c>
      <c r="AC55" s="2">
        <f>IFERROR(INDEX(EMBELISHMENT!$B$28:$AQ$28,MATCH($AE55,EMBELISHMENT!$B$1:$AQ$1,0)),0)</f>
        <v>27</v>
      </c>
      <c r="AD55" s="2" t="str">
        <f>IF(N(AC55)=0,"n/a",IF(ROUND(AB55-AC55,1)=0,"OK",ROUND(AB55-AC55,1)))</f>
        <v>OK</v>
      </c>
      <c r="AE55" s="2" t="str">
        <f>IFERROR(IF(INDEX($L$5:$L$28,MATCH($A55,$K$5:$K$28,0))="","(no recipe)",INDEX($L$5:$L$28,MATCH($A55,$K$5:$K$28,0))),$A55)</f>
        <v>4117-T</v>
      </c>
      <c r="AF55" s="2" t="str">
        <f>IFERROR(INDEX($M$5:$M$28,MATCH($A55,$K$5:$K$28,0)),"STYLE")</f>
        <v>STYLE</v>
      </c>
      <c r="AG55" s="60" t="s">
        <v>21</v>
      </c>
    </row>
    <row r="56" spans="1:33">
      <c r="A56" s="2" t="str">
        <f>EMBELISHMENT!$M$1</f>
        <v>RS-60</v>
      </c>
      <c r="B56" s="2">
        <f>IFERROR(SUMIF($B$5:$B$29,B$32,INDEX(EMBELISHMENT!$B$3:$AQ$27,0,MATCH($AE56,EMBELISHMENT!$B$1:$AQ$1,0))),0)</f>
        <v>6</v>
      </c>
      <c r="C56" s="2">
        <f>IFERROR(SUMIF($B$5:$B$29,C$32,INDEX(EMBELISHMENT!$B$3:$AQ$27,0,MATCH($AE56,EMBELISHMENT!$B$1:$AQ$1,0))),0)</f>
        <v>0</v>
      </c>
      <c r="D56" s="2">
        <f>IFERROR(SUMIF($B$5:$B$29,D$32,INDEX(EMBELISHMENT!$B$3:$AQ$27,0,MATCH($AE56,EMBELISHMENT!$B$1:$AQ$1,0))),0)</f>
        <v>0</v>
      </c>
      <c r="E56" s="2">
        <f>IFERROR(SUMIF($B$5:$B$29,E$32,INDEX(EMBELISHMENT!$B$3:$AQ$27,0,MATCH($AE56,EMBELISHMENT!$B$1:$AQ$1,0))),0)</f>
        <v>0</v>
      </c>
      <c r="F56" s="2">
        <f>IFERROR(SUMIF($B$5:$B$29,F$32,INDEX(EMBELISHMENT!$B$3:$AQ$27,0,MATCH($AE56,EMBELISHMENT!$B$1:$AQ$1,0))),0)</f>
        <v>9</v>
      </c>
      <c r="G56" s="2">
        <f>IFERROR(SUMIF($B$5:$B$29,G$32,INDEX(EMBELISHMENT!$B$3:$AQ$27,0,MATCH($AE56,EMBELISHMENT!$B$1:$AQ$1,0))),0)</f>
        <v>0</v>
      </c>
      <c r="H56" s="2">
        <f>IFERROR(SUMIF($B$5:$B$29,H$32,INDEX(EMBELISHMENT!$B$3:$AQ$27,0,MATCH($AE56,EMBELISHMENT!$B$1:$AQ$1,0))),0)</f>
        <v>0</v>
      </c>
      <c r="I56" s="2">
        <f>IFERROR(SUMIF($B$5:$B$29,I$32,INDEX(EMBELISHMENT!$B$3:$AQ$27,0,MATCH($AE56,EMBELISHMENT!$B$1:$AQ$1,0))),0)</f>
        <v>4</v>
      </c>
      <c r="J56" s="2">
        <f>IFERROR(SUMIF($B$5:$B$29,J$32,INDEX(EMBELISHMENT!$B$3:$AQ$27,0,MATCH($AE56,EMBELISHMENT!$B$1:$AQ$1,0))),0)</f>
        <v>0</v>
      </c>
      <c r="K56" s="2">
        <f>IFERROR(SUMIF($B$5:$B$29,K$32,INDEX(EMBELISHMENT!$B$3:$AQ$27,0,MATCH($AE56,EMBELISHMENT!$B$1:$AQ$1,0))),0)</f>
        <v>0</v>
      </c>
      <c r="L56" s="2">
        <f>IFERROR(SUMIF($B$5:$B$29,L$32,INDEX(EMBELISHMENT!$B$3:$AQ$27,0,MATCH($AE56,EMBELISHMENT!$B$1:$AQ$1,0))),0)</f>
        <v>0</v>
      </c>
      <c r="M56" s="2">
        <f>IFERROR(SUMIF($B$5:$B$29,M$32,INDEX(EMBELISHMENT!$B$3:$AQ$27,0,MATCH($AE56,EMBELISHMENT!$B$1:$AQ$1,0))),0)</f>
        <v>2</v>
      </c>
      <c r="N56" s="2">
        <f>IFERROR(SUMIF($B$5:$B$29,N$32,INDEX(EMBELISHMENT!$B$3:$AQ$27,0,MATCH($AE56,EMBELISHMENT!$B$1:$AQ$1,0))),0)</f>
        <v>2</v>
      </c>
      <c r="O56" s="2">
        <f>IFERROR(SUMIF($B$5:$B$29,O$32,INDEX(EMBELISHMENT!$B$3:$AQ$27,0,MATCH($AE56,EMBELISHMENT!$B$1:$AQ$1,0))),0)</f>
        <v>2</v>
      </c>
      <c r="P56" s="2">
        <f>IFERROR(SUMIF($B$5:$B$29,P$32,INDEX(EMBELISHMENT!$B$3:$AQ$27,0,MATCH($AE56,EMBELISHMENT!$B$1:$AQ$1,0))),0)</f>
        <v>1</v>
      </c>
      <c r="Q56" s="2">
        <f>IFERROR(SUMIF($B$5:$B$29,Q$32,INDEX(EMBELISHMENT!$B$3:$AQ$27,0,MATCH($AE56,EMBELISHMENT!$B$1:$AQ$1,0))),0)</f>
        <v>0</v>
      </c>
      <c r="R56" s="2">
        <f>IFERROR(SUMIF($B$5:$B$29,R$32,INDEX(EMBELISHMENT!$B$3:$AQ$27,0,MATCH($AE56,EMBELISHMENT!$B$1:$AQ$1,0))),0)</f>
        <v>0</v>
      </c>
      <c r="S56" s="2">
        <f>IFERROR(SUMIF($B$5:$B$29,S$32,INDEX(EMBELISHMENT!$B$3:$AQ$27,0,MATCH($AE56,EMBELISHMENT!$B$1:$AQ$1,0))),0)</f>
        <v>0</v>
      </c>
      <c r="T56" s="2">
        <f>IFERROR(SUMIF($B$5:$B$29,T$32,INDEX(EMBELISHMENT!$B$3:$AQ$27,0,MATCH($AE56,EMBELISHMENT!$B$1:$AQ$1,0))),0)</f>
        <v>1</v>
      </c>
      <c r="U56" s="2">
        <f>IFERROR(SUMIF($B$5:$B$29,U$32,INDEX(EMBELISHMENT!$B$3:$AQ$27,0,MATCH($AE56,EMBELISHMENT!$B$1:$AQ$1,0))),0)</f>
        <v>1</v>
      </c>
      <c r="V56" s="2">
        <f>IFERROR(SUMIF($B$5:$B$29,V$32,INDEX(EMBELISHMENT!$B$3:$AQ$27,0,MATCH($AE56,EMBELISHMENT!$B$1:$AQ$1,0))),0)</f>
        <v>0</v>
      </c>
      <c r="W56" s="2">
        <f>IFERROR(SUMIF($B$5:$B$29,W$32,INDEX(EMBELISHMENT!$B$3:$AQ$27,0,MATCH($AE56,EMBELISHMENT!$B$1:$AQ$1,0))),0)</f>
        <v>0</v>
      </c>
      <c r="X56" s="2">
        <f>IFERROR(SUMIF($B$5:$B$29,X$32,INDEX(EMBELISHMENT!$B$3:$AQ$27,0,MATCH($AE56,EMBELISHMENT!$B$1:$AQ$1,0))),0)</f>
        <v>0</v>
      </c>
      <c r="Y56" s="2">
        <f>IFERROR(SUMIF($B$5:$B$29,Y$32,INDEX(EMBELISHMENT!$B$3:$AQ$27,0,MATCH($AE56,EMBELISHMENT!$B$1:$AQ$1,0))),0)</f>
        <v>0</v>
      </c>
      <c r="Z56" s="2">
        <f>IFERROR(SUMIF($B$5:$B$29,Z$32,INDEX(EMBELISHMENT!$B$3:$AQ$27,0,MATCH($AE56,EMBELISHMENT!$B$1:$AQ$1,0))),0)</f>
        <v>0</v>
      </c>
      <c r="AA56" s="2">
        <f>IFERROR(SUMIF($B$5:$B$29,AA$32,INDEX(EMBELISHMENT!$B$3:$AQ$27,0,MATCH($AE56,EMBELISHMENT!$B$1:$AQ$1,0))),0)</f>
        <v>2</v>
      </c>
      <c r="AB56" s="2">
        <f>SUM($B56:$AA56)</f>
        <v>30</v>
      </c>
      <c r="AC56" s="2">
        <f>IFERROR(INDEX(EMBELISHMENT!$B$28:$AQ$28,MATCH($AE56,EMBELISHMENT!$B$1:$AQ$1,0)),0)</f>
        <v>30</v>
      </c>
      <c r="AD56" s="2" t="str">
        <f>IF(N(AC56)=0,"n/a",IF(ROUND(AB56-AC56,1)=0,"OK",ROUND(AB56-AC56,1)))</f>
        <v>OK</v>
      </c>
      <c r="AE56" s="2" t="str">
        <f>IFERROR(IF(INDEX($L$5:$L$28,MATCH($A56,$K$5:$K$28,0))="","(no recipe)",INDEX($L$5:$L$28,MATCH($A56,$K$5:$K$28,0))),$A56)</f>
        <v>RS-60</v>
      </c>
      <c r="AF56" s="2" t="str">
        <f>IFERROR(INDEX($M$5:$M$28,MATCH($A56,$K$5:$K$28,0)),"STYLE")</f>
        <v>STYLE</v>
      </c>
      <c r="AG56" s="60" t="s">
        <v>493</v>
      </c>
    </row>
    <row r="57" spans="1:33">
      <c r="A57" s="2" t="str">
        <f>EMBELISHMENT!$N$1</f>
        <v>RS-63</v>
      </c>
      <c r="B57" s="2">
        <f>IFERROR(SUMIF($B$5:$B$29,B$32,INDEX(EMBELISHMENT!$B$3:$AQ$27,0,MATCH($AE57,EMBELISHMENT!$B$1:$AQ$1,0))),0)</f>
        <v>2</v>
      </c>
      <c r="C57" s="2">
        <f>IFERROR(SUMIF($B$5:$B$29,C$32,INDEX(EMBELISHMENT!$B$3:$AQ$27,0,MATCH($AE57,EMBELISHMENT!$B$1:$AQ$1,0))),0)</f>
        <v>0</v>
      </c>
      <c r="D57" s="2">
        <f>IFERROR(SUMIF($B$5:$B$29,D$32,INDEX(EMBELISHMENT!$B$3:$AQ$27,0,MATCH($AE57,EMBELISHMENT!$B$1:$AQ$1,0))),0)</f>
        <v>0</v>
      </c>
      <c r="E57" s="2">
        <f>IFERROR(SUMIF($B$5:$B$29,E$32,INDEX(EMBELISHMENT!$B$3:$AQ$27,0,MATCH($AE57,EMBELISHMENT!$B$1:$AQ$1,0))),0)</f>
        <v>0</v>
      </c>
      <c r="F57" s="2">
        <f>IFERROR(SUMIF($B$5:$B$29,F$32,INDEX(EMBELISHMENT!$B$3:$AQ$27,0,MATCH($AE57,EMBELISHMENT!$B$1:$AQ$1,0))),0)</f>
        <v>8</v>
      </c>
      <c r="G57" s="2">
        <f>IFERROR(SUMIF($B$5:$B$29,G$32,INDEX(EMBELISHMENT!$B$3:$AQ$27,0,MATCH($AE57,EMBELISHMENT!$B$1:$AQ$1,0))),0)</f>
        <v>0</v>
      </c>
      <c r="H57" s="2">
        <f>IFERROR(SUMIF($B$5:$B$29,H$32,INDEX(EMBELISHMENT!$B$3:$AQ$27,0,MATCH($AE57,EMBELISHMENT!$B$1:$AQ$1,0))),0)</f>
        <v>0</v>
      </c>
      <c r="I57" s="2">
        <f>IFERROR(SUMIF($B$5:$B$29,I$32,INDEX(EMBELISHMENT!$B$3:$AQ$27,0,MATCH($AE57,EMBELISHMENT!$B$1:$AQ$1,0))),0)</f>
        <v>0</v>
      </c>
      <c r="J57" s="2">
        <f>IFERROR(SUMIF($B$5:$B$29,J$32,INDEX(EMBELISHMENT!$B$3:$AQ$27,0,MATCH($AE57,EMBELISHMENT!$B$1:$AQ$1,0))),0)</f>
        <v>2</v>
      </c>
      <c r="K57" s="2">
        <f>IFERROR(SUMIF($B$5:$B$29,K$32,INDEX(EMBELISHMENT!$B$3:$AQ$27,0,MATCH($AE57,EMBELISHMENT!$B$1:$AQ$1,0))),0)</f>
        <v>0</v>
      </c>
      <c r="L57" s="2">
        <f>IFERROR(SUMIF($B$5:$B$29,L$32,INDEX(EMBELISHMENT!$B$3:$AQ$27,0,MATCH($AE57,EMBELISHMENT!$B$1:$AQ$1,0))),0)</f>
        <v>0</v>
      </c>
      <c r="M57" s="2">
        <f>IFERROR(SUMIF($B$5:$B$29,M$32,INDEX(EMBELISHMENT!$B$3:$AQ$27,0,MATCH($AE57,EMBELISHMENT!$B$1:$AQ$1,0))),0)</f>
        <v>0</v>
      </c>
      <c r="N57" s="2">
        <f>IFERROR(SUMIF($B$5:$B$29,N$32,INDEX(EMBELISHMENT!$B$3:$AQ$27,0,MATCH($AE57,EMBELISHMENT!$B$1:$AQ$1,0))),0)</f>
        <v>2</v>
      </c>
      <c r="O57" s="2">
        <f>IFERROR(SUMIF($B$5:$B$29,O$32,INDEX(EMBELISHMENT!$B$3:$AQ$27,0,MATCH($AE57,EMBELISHMENT!$B$1:$AQ$1,0))),0)</f>
        <v>2</v>
      </c>
      <c r="P57" s="2">
        <f>IFERROR(SUMIF($B$5:$B$29,P$32,INDEX(EMBELISHMENT!$B$3:$AQ$27,0,MATCH($AE57,EMBELISHMENT!$B$1:$AQ$1,0))),0)</f>
        <v>1</v>
      </c>
      <c r="Q57" s="2">
        <f>IFERROR(SUMIF($B$5:$B$29,Q$32,INDEX(EMBELISHMENT!$B$3:$AQ$27,0,MATCH($AE57,EMBELISHMENT!$B$1:$AQ$1,0))),0)</f>
        <v>0</v>
      </c>
      <c r="R57" s="2">
        <f>IFERROR(SUMIF($B$5:$B$29,R$32,INDEX(EMBELISHMENT!$B$3:$AQ$27,0,MATCH($AE57,EMBELISHMENT!$B$1:$AQ$1,0))),0)</f>
        <v>0</v>
      </c>
      <c r="S57" s="2">
        <f>IFERROR(SUMIF($B$5:$B$29,S$32,INDEX(EMBELISHMENT!$B$3:$AQ$27,0,MATCH($AE57,EMBELISHMENT!$B$1:$AQ$1,0))),0)</f>
        <v>0</v>
      </c>
      <c r="T57" s="2">
        <f>IFERROR(SUMIF($B$5:$B$29,T$32,INDEX(EMBELISHMENT!$B$3:$AQ$27,0,MATCH($AE57,EMBELISHMENT!$B$1:$AQ$1,0))),0)</f>
        <v>1</v>
      </c>
      <c r="U57" s="2">
        <f>IFERROR(SUMIF($B$5:$B$29,U$32,INDEX(EMBELISHMENT!$B$3:$AQ$27,0,MATCH($AE57,EMBELISHMENT!$B$1:$AQ$1,0))),0)</f>
        <v>1</v>
      </c>
      <c r="V57" s="2">
        <f>IFERROR(SUMIF($B$5:$B$29,V$32,INDEX(EMBELISHMENT!$B$3:$AQ$27,0,MATCH($AE57,EMBELISHMENT!$B$1:$AQ$1,0))),0)</f>
        <v>0</v>
      </c>
      <c r="W57" s="2">
        <f>IFERROR(SUMIF($B$5:$B$29,W$32,INDEX(EMBELISHMENT!$B$3:$AQ$27,0,MATCH($AE57,EMBELISHMENT!$B$1:$AQ$1,0))),0)</f>
        <v>0</v>
      </c>
      <c r="X57" s="2">
        <f>IFERROR(SUMIF($B$5:$B$29,X$32,INDEX(EMBELISHMENT!$B$3:$AQ$27,0,MATCH($AE57,EMBELISHMENT!$B$1:$AQ$1,0))),0)</f>
        <v>0</v>
      </c>
      <c r="Y57" s="2">
        <f>IFERROR(SUMIF($B$5:$B$29,Y$32,INDEX(EMBELISHMENT!$B$3:$AQ$27,0,MATCH($AE57,EMBELISHMENT!$B$1:$AQ$1,0))),0)</f>
        <v>0</v>
      </c>
      <c r="Z57" s="2">
        <f>IFERROR(SUMIF($B$5:$B$29,Z$32,INDEX(EMBELISHMENT!$B$3:$AQ$27,0,MATCH($AE57,EMBELISHMENT!$B$1:$AQ$1,0))),0)</f>
        <v>0</v>
      </c>
      <c r="AA57" s="2">
        <f>IFERROR(SUMIF($B$5:$B$29,AA$32,INDEX(EMBELISHMENT!$B$3:$AQ$27,0,MATCH($AE57,EMBELISHMENT!$B$1:$AQ$1,0))),0)</f>
        <v>2</v>
      </c>
      <c r="AB57" s="2">
        <f>SUM($B57:$AA57)</f>
        <v>21</v>
      </c>
      <c r="AC57" s="2">
        <f>IFERROR(INDEX(EMBELISHMENT!$B$28:$AQ$28,MATCH($AE57,EMBELISHMENT!$B$1:$AQ$1,0)),0)</f>
        <v>21</v>
      </c>
      <c r="AD57" s="2" t="str">
        <f>IF(N(AC57)=0,"n/a",IF(ROUND(AB57-AC57,1)=0,"OK",ROUND(AB57-AC57,1)))</f>
        <v>OK</v>
      </c>
      <c r="AE57" s="2" t="str">
        <f>IFERROR(IF(INDEX($L$5:$L$28,MATCH($A57,$K$5:$K$28,0))="","(no recipe)",INDEX($L$5:$L$28,MATCH($A57,$K$5:$K$28,0))),$A57)</f>
        <v>RS-63</v>
      </c>
      <c r="AF57" s="2" t="str">
        <f>IFERROR(INDEX($M$5:$M$28,MATCH($A57,$K$5:$K$28,0)),"STYLE")</f>
        <v>STYLE</v>
      </c>
      <c r="AG57" s="60" t="s">
        <v>493</v>
      </c>
    </row>
    <row r="58" spans="1:33">
      <c r="A58" s="2">
        <f>EMBELISHMENT!$O$1</f>
        <v>4523</v>
      </c>
      <c r="B58" s="2">
        <f>IFERROR(SUMIF($B$5:$B$29,B$32,INDEX(EMBELISHMENT!$B$3:$AQ$27,0,MATCH($AE58,EMBELISHMENT!$B$1:$AQ$1,0))),0)</f>
        <v>3</v>
      </c>
      <c r="C58" s="2">
        <f>IFERROR(SUMIF($B$5:$B$29,C$32,INDEX(EMBELISHMENT!$B$3:$AQ$27,0,MATCH($AE58,EMBELISHMENT!$B$1:$AQ$1,0))),0)</f>
        <v>0</v>
      </c>
      <c r="D58" s="2">
        <f>IFERROR(SUMIF($B$5:$B$29,D$32,INDEX(EMBELISHMENT!$B$3:$AQ$27,0,MATCH($AE58,EMBELISHMENT!$B$1:$AQ$1,0))),0)</f>
        <v>0</v>
      </c>
      <c r="E58" s="2">
        <f>IFERROR(SUMIF($B$5:$B$29,E$32,INDEX(EMBELISHMENT!$B$3:$AQ$27,0,MATCH($AE58,EMBELISHMENT!$B$1:$AQ$1,0))),0)</f>
        <v>0</v>
      </c>
      <c r="F58" s="2">
        <f>IFERROR(SUMIF($B$5:$B$29,F$32,INDEX(EMBELISHMENT!$B$3:$AQ$27,0,MATCH($AE58,EMBELISHMENT!$B$1:$AQ$1,0))),0)</f>
        <v>11</v>
      </c>
      <c r="G58" s="2">
        <f>IFERROR(SUMIF($B$5:$B$29,G$32,INDEX(EMBELISHMENT!$B$3:$AQ$27,0,MATCH($AE58,EMBELISHMENT!$B$1:$AQ$1,0))),0)</f>
        <v>4</v>
      </c>
      <c r="H58" s="2">
        <f>IFERROR(SUMIF($B$5:$B$29,H$32,INDEX(EMBELISHMENT!$B$3:$AQ$27,0,MATCH($AE58,EMBELISHMENT!$B$1:$AQ$1,0))),0)</f>
        <v>0</v>
      </c>
      <c r="I58" s="2">
        <f>IFERROR(SUMIF($B$5:$B$29,I$32,INDEX(EMBELISHMENT!$B$3:$AQ$27,0,MATCH($AE58,EMBELISHMENT!$B$1:$AQ$1,0))),0)</f>
        <v>0</v>
      </c>
      <c r="J58" s="2">
        <f>IFERROR(SUMIF($B$5:$B$29,J$32,INDEX(EMBELISHMENT!$B$3:$AQ$27,0,MATCH($AE58,EMBELISHMENT!$B$1:$AQ$1,0))),0)</f>
        <v>0</v>
      </c>
      <c r="K58" s="2">
        <f>IFERROR(SUMIF($B$5:$B$29,K$32,INDEX(EMBELISHMENT!$B$3:$AQ$27,0,MATCH($AE58,EMBELISHMENT!$B$1:$AQ$1,0))),0)</f>
        <v>0</v>
      </c>
      <c r="L58" s="2">
        <f>IFERROR(SUMIF($B$5:$B$29,L$32,INDEX(EMBELISHMENT!$B$3:$AQ$27,0,MATCH($AE58,EMBELISHMENT!$B$1:$AQ$1,0))),0)</f>
        <v>0</v>
      </c>
      <c r="M58" s="2">
        <f>IFERROR(SUMIF($B$5:$B$29,M$32,INDEX(EMBELISHMENT!$B$3:$AQ$27,0,MATCH($AE58,EMBELISHMENT!$B$1:$AQ$1,0))),0)</f>
        <v>4</v>
      </c>
      <c r="N58" s="2">
        <f>IFERROR(SUMIF($B$5:$B$29,N$32,INDEX(EMBELISHMENT!$B$3:$AQ$27,0,MATCH($AE58,EMBELISHMENT!$B$1:$AQ$1,0))),0)</f>
        <v>4</v>
      </c>
      <c r="O58" s="2">
        <f>IFERROR(SUMIF($B$5:$B$29,O$32,INDEX(EMBELISHMENT!$B$3:$AQ$27,0,MATCH($AE58,EMBELISHMENT!$B$1:$AQ$1,0))),0)</f>
        <v>0</v>
      </c>
      <c r="P58" s="2">
        <f>IFERROR(SUMIF($B$5:$B$29,P$32,INDEX(EMBELISHMENT!$B$3:$AQ$27,0,MATCH($AE58,EMBELISHMENT!$B$1:$AQ$1,0))),0)</f>
        <v>0</v>
      </c>
      <c r="Q58" s="2">
        <f>IFERROR(SUMIF($B$5:$B$29,Q$32,INDEX(EMBELISHMENT!$B$3:$AQ$27,0,MATCH($AE58,EMBELISHMENT!$B$1:$AQ$1,0))),0)</f>
        <v>0</v>
      </c>
      <c r="R58" s="2">
        <f>IFERROR(SUMIF($B$5:$B$29,R$32,INDEX(EMBELISHMENT!$B$3:$AQ$27,0,MATCH($AE58,EMBELISHMENT!$B$1:$AQ$1,0))),0)</f>
        <v>0</v>
      </c>
      <c r="S58" s="2">
        <f>IFERROR(SUMIF($B$5:$B$29,S$32,INDEX(EMBELISHMENT!$B$3:$AQ$27,0,MATCH($AE58,EMBELISHMENT!$B$1:$AQ$1,0))),0)</f>
        <v>0</v>
      </c>
      <c r="T58" s="2">
        <f>IFERROR(SUMIF($B$5:$B$29,T$32,INDEX(EMBELISHMENT!$B$3:$AQ$27,0,MATCH($AE58,EMBELISHMENT!$B$1:$AQ$1,0))),0)</f>
        <v>0</v>
      </c>
      <c r="U58" s="2">
        <f>IFERROR(SUMIF($B$5:$B$29,U$32,INDEX(EMBELISHMENT!$B$3:$AQ$27,0,MATCH($AE58,EMBELISHMENT!$B$1:$AQ$1,0))),0)</f>
        <v>2</v>
      </c>
      <c r="V58" s="2">
        <f>IFERROR(SUMIF($B$5:$B$29,V$32,INDEX(EMBELISHMENT!$B$3:$AQ$27,0,MATCH($AE58,EMBELISHMENT!$B$1:$AQ$1,0))),0)</f>
        <v>0</v>
      </c>
      <c r="W58" s="2">
        <f>IFERROR(SUMIF($B$5:$B$29,W$32,INDEX(EMBELISHMENT!$B$3:$AQ$27,0,MATCH($AE58,EMBELISHMENT!$B$1:$AQ$1,0))),0)</f>
        <v>0</v>
      </c>
      <c r="X58" s="2">
        <f>IFERROR(SUMIF($B$5:$B$29,X$32,INDEX(EMBELISHMENT!$B$3:$AQ$27,0,MATCH($AE58,EMBELISHMENT!$B$1:$AQ$1,0))),0)</f>
        <v>0</v>
      </c>
      <c r="Y58" s="2">
        <f>IFERROR(SUMIF($B$5:$B$29,Y$32,INDEX(EMBELISHMENT!$B$3:$AQ$27,0,MATCH($AE58,EMBELISHMENT!$B$1:$AQ$1,0))),0)</f>
        <v>0</v>
      </c>
      <c r="Z58" s="2">
        <f>IFERROR(SUMIF($B$5:$B$29,Z$32,INDEX(EMBELISHMENT!$B$3:$AQ$27,0,MATCH($AE58,EMBELISHMENT!$B$1:$AQ$1,0))),0)</f>
        <v>0</v>
      </c>
      <c r="AA58" s="2">
        <f>IFERROR(SUMIF($B$5:$B$29,AA$32,INDEX(EMBELISHMENT!$B$3:$AQ$27,0,MATCH($AE58,EMBELISHMENT!$B$1:$AQ$1,0))),0)</f>
        <v>2</v>
      </c>
      <c r="AB58" s="2">
        <f>SUM($B58:$AA58)</f>
        <v>30</v>
      </c>
      <c r="AC58" s="2">
        <f>IFERROR(INDEX(EMBELISHMENT!$B$28:$AQ$28,MATCH($AE58,EMBELISHMENT!$B$1:$AQ$1,0)),0)</f>
        <v>30</v>
      </c>
      <c r="AD58" s="2" t="str">
        <f>IF(N(AC58)=0,"n/a",IF(ROUND(AB58-AC58,1)=0,"OK",ROUND(AB58-AC58,1)))</f>
        <v>OK</v>
      </c>
      <c r="AE58" s="2">
        <f>IFERROR(IF(INDEX($L$5:$L$28,MATCH($A58,$K$5:$K$28,0))="","(no recipe)",INDEX($L$5:$L$28,MATCH($A58,$K$5:$K$28,0))),$A58)</f>
        <v>4523</v>
      </c>
      <c r="AF58" s="2" t="str">
        <f>IFERROR(INDEX($M$5:$M$28,MATCH($A58,$K$5:$K$28,0)),"STYLE")</f>
        <v>STYLE</v>
      </c>
      <c r="AG58" s="60" t="s">
        <v>493</v>
      </c>
    </row>
    <row r="59" spans="1:33">
      <c r="A59" s="2">
        <f>EMBELISHMENT!$P$1</f>
        <v>4525</v>
      </c>
      <c r="B59" s="2">
        <f>IFERROR(SUMIF($B$5:$B$29,B$32,INDEX(EMBELISHMENT!$B$3:$AQ$27,0,MATCH($AE59,EMBELISHMENT!$B$1:$AQ$1,0))),0)</f>
        <v>3</v>
      </c>
      <c r="C59" s="2">
        <f>IFERROR(SUMIF($B$5:$B$29,C$32,INDEX(EMBELISHMENT!$B$3:$AQ$27,0,MATCH($AE59,EMBELISHMENT!$B$1:$AQ$1,0))),0)</f>
        <v>0</v>
      </c>
      <c r="D59" s="2">
        <f>IFERROR(SUMIF($B$5:$B$29,D$32,INDEX(EMBELISHMENT!$B$3:$AQ$27,0,MATCH($AE59,EMBELISHMENT!$B$1:$AQ$1,0))),0)</f>
        <v>0</v>
      </c>
      <c r="E59" s="2">
        <f>IFERROR(SUMIF($B$5:$B$29,E$32,INDEX(EMBELISHMENT!$B$3:$AQ$27,0,MATCH($AE59,EMBELISHMENT!$B$1:$AQ$1,0))),0)</f>
        <v>0</v>
      </c>
      <c r="F59" s="2">
        <f>IFERROR(SUMIF($B$5:$B$29,F$32,INDEX(EMBELISHMENT!$B$3:$AQ$27,0,MATCH($AE59,EMBELISHMENT!$B$1:$AQ$1,0))),0)</f>
        <v>11</v>
      </c>
      <c r="G59" s="2">
        <f>IFERROR(SUMIF($B$5:$B$29,G$32,INDEX(EMBELISHMENT!$B$3:$AQ$27,0,MATCH($AE59,EMBELISHMENT!$B$1:$AQ$1,0))),0)</f>
        <v>4</v>
      </c>
      <c r="H59" s="2">
        <f>IFERROR(SUMIF($B$5:$B$29,H$32,INDEX(EMBELISHMENT!$B$3:$AQ$27,0,MATCH($AE59,EMBELISHMENT!$B$1:$AQ$1,0))),0)</f>
        <v>0</v>
      </c>
      <c r="I59" s="2">
        <f>IFERROR(SUMIF($B$5:$B$29,I$32,INDEX(EMBELISHMENT!$B$3:$AQ$27,0,MATCH($AE59,EMBELISHMENT!$B$1:$AQ$1,0))),0)</f>
        <v>0</v>
      </c>
      <c r="J59" s="2">
        <f>IFERROR(SUMIF($B$5:$B$29,J$32,INDEX(EMBELISHMENT!$B$3:$AQ$27,0,MATCH($AE59,EMBELISHMENT!$B$1:$AQ$1,0))),0)</f>
        <v>0</v>
      </c>
      <c r="K59" s="2">
        <f>IFERROR(SUMIF($B$5:$B$29,K$32,INDEX(EMBELISHMENT!$B$3:$AQ$27,0,MATCH($AE59,EMBELISHMENT!$B$1:$AQ$1,0))),0)</f>
        <v>0</v>
      </c>
      <c r="L59" s="2">
        <f>IFERROR(SUMIF($B$5:$B$29,L$32,INDEX(EMBELISHMENT!$B$3:$AQ$27,0,MATCH($AE59,EMBELISHMENT!$B$1:$AQ$1,0))),0)</f>
        <v>0</v>
      </c>
      <c r="M59" s="2">
        <f>IFERROR(SUMIF($B$5:$B$29,M$32,INDEX(EMBELISHMENT!$B$3:$AQ$27,0,MATCH($AE59,EMBELISHMENT!$B$1:$AQ$1,0))),0)</f>
        <v>4</v>
      </c>
      <c r="N59" s="2">
        <f>IFERROR(SUMIF($B$5:$B$29,N$32,INDEX(EMBELISHMENT!$B$3:$AQ$27,0,MATCH($AE59,EMBELISHMENT!$B$1:$AQ$1,0))),0)</f>
        <v>4</v>
      </c>
      <c r="O59" s="2">
        <f>IFERROR(SUMIF($B$5:$B$29,O$32,INDEX(EMBELISHMENT!$B$3:$AQ$27,0,MATCH($AE59,EMBELISHMENT!$B$1:$AQ$1,0))),0)</f>
        <v>0</v>
      </c>
      <c r="P59" s="2">
        <f>IFERROR(SUMIF($B$5:$B$29,P$32,INDEX(EMBELISHMENT!$B$3:$AQ$27,0,MATCH($AE59,EMBELISHMENT!$B$1:$AQ$1,0))),0)</f>
        <v>0</v>
      </c>
      <c r="Q59" s="2">
        <f>IFERROR(SUMIF($B$5:$B$29,Q$32,INDEX(EMBELISHMENT!$B$3:$AQ$27,0,MATCH($AE59,EMBELISHMENT!$B$1:$AQ$1,0))),0)</f>
        <v>0</v>
      </c>
      <c r="R59" s="2">
        <f>IFERROR(SUMIF($B$5:$B$29,R$32,INDEX(EMBELISHMENT!$B$3:$AQ$27,0,MATCH($AE59,EMBELISHMENT!$B$1:$AQ$1,0))),0)</f>
        <v>0</v>
      </c>
      <c r="S59" s="2">
        <f>IFERROR(SUMIF($B$5:$B$29,S$32,INDEX(EMBELISHMENT!$B$3:$AQ$27,0,MATCH($AE59,EMBELISHMENT!$B$1:$AQ$1,0))),0)</f>
        <v>0</v>
      </c>
      <c r="T59" s="2">
        <f>IFERROR(SUMIF($B$5:$B$29,T$32,INDEX(EMBELISHMENT!$B$3:$AQ$27,0,MATCH($AE59,EMBELISHMENT!$B$1:$AQ$1,0))),0)</f>
        <v>0</v>
      </c>
      <c r="U59" s="2">
        <f>IFERROR(SUMIF($B$5:$B$29,U$32,INDEX(EMBELISHMENT!$B$3:$AQ$27,0,MATCH($AE59,EMBELISHMENT!$B$1:$AQ$1,0))),0)</f>
        <v>2</v>
      </c>
      <c r="V59" s="2">
        <f>IFERROR(SUMIF($B$5:$B$29,V$32,INDEX(EMBELISHMENT!$B$3:$AQ$27,0,MATCH($AE59,EMBELISHMENT!$B$1:$AQ$1,0))),0)</f>
        <v>0</v>
      </c>
      <c r="W59" s="2">
        <f>IFERROR(SUMIF($B$5:$B$29,W$32,INDEX(EMBELISHMENT!$B$3:$AQ$27,0,MATCH($AE59,EMBELISHMENT!$B$1:$AQ$1,0))),0)</f>
        <v>0</v>
      </c>
      <c r="X59" s="2">
        <f>IFERROR(SUMIF($B$5:$B$29,X$32,INDEX(EMBELISHMENT!$B$3:$AQ$27,0,MATCH($AE59,EMBELISHMENT!$B$1:$AQ$1,0))),0)</f>
        <v>0</v>
      </c>
      <c r="Y59" s="2">
        <f>IFERROR(SUMIF($B$5:$B$29,Y$32,INDEX(EMBELISHMENT!$B$3:$AQ$27,0,MATCH($AE59,EMBELISHMENT!$B$1:$AQ$1,0))),0)</f>
        <v>0</v>
      </c>
      <c r="Z59" s="2">
        <f>IFERROR(SUMIF($B$5:$B$29,Z$32,INDEX(EMBELISHMENT!$B$3:$AQ$27,0,MATCH($AE59,EMBELISHMENT!$B$1:$AQ$1,0))),0)</f>
        <v>0</v>
      </c>
      <c r="AA59" s="2">
        <f>IFERROR(SUMIF($B$5:$B$29,AA$32,INDEX(EMBELISHMENT!$B$3:$AQ$27,0,MATCH($AE59,EMBELISHMENT!$B$1:$AQ$1,0))),0)</f>
        <v>2</v>
      </c>
      <c r="AB59" s="2">
        <f>SUM($B59:$AA59)</f>
        <v>30</v>
      </c>
      <c r="AC59" s="2">
        <f>IFERROR(INDEX(EMBELISHMENT!$B$28:$AQ$28,MATCH($AE59,EMBELISHMENT!$B$1:$AQ$1,0)),0)</f>
        <v>30</v>
      </c>
      <c r="AD59" s="2" t="str">
        <f>IF(N(AC59)=0,"n/a",IF(ROUND(AB59-AC59,1)=0,"OK",ROUND(AB59-AC59,1)))</f>
        <v>OK</v>
      </c>
      <c r="AE59" s="2">
        <f>IFERROR(IF(INDEX($L$5:$L$28,MATCH($A59,$K$5:$K$28,0))="","(no recipe)",INDEX($L$5:$L$28,MATCH($A59,$K$5:$K$28,0))),$A59)</f>
        <v>4525</v>
      </c>
      <c r="AF59" s="2" t="str">
        <f>IFERROR(INDEX($M$5:$M$28,MATCH($A59,$K$5:$K$28,0)),"STYLE")</f>
        <v>STYLE</v>
      </c>
      <c r="AG59" s="60" t="s">
        <v>493</v>
      </c>
    </row>
    <row r="60" spans="1:33">
      <c r="A60" s="2" t="str">
        <f>EMBELISHMENT!$Q$1</f>
        <v>Panty</v>
      </c>
      <c r="B60" s="2">
        <f>IFERROR(SUMIF($B$5:$B$29,B$32,INDEX(EMBELISHMENT!$B$3:$AQ$27,0,MATCH($AE60,EMBELISHMENT!$B$1:$AQ$1,0))),0)</f>
        <v>4</v>
      </c>
      <c r="C60" s="2">
        <f>IFERROR(SUMIF($B$5:$B$29,C$32,INDEX(EMBELISHMENT!$B$3:$AQ$27,0,MATCH($AE60,EMBELISHMENT!$B$1:$AQ$1,0))),0)</f>
        <v>0</v>
      </c>
      <c r="D60" s="2">
        <f>IFERROR(SUMIF($B$5:$B$29,D$32,INDEX(EMBELISHMENT!$B$3:$AQ$27,0,MATCH($AE60,EMBELISHMENT!$B$1:$AQ$1,0))),0)</f>
        <v>0</v>
      </c>
      <c r="E60" s="2">
        <f>IFERROR(SUMIF($B$5:$B$29,E$32,INDEX(EMBELISHMENT!$B$3:$AQ$27,0,MATCH($AE60,EMBELISHMENT!$B$1:$AQ$1,0))),0)</f>
        <v>0</v>
      </c>
      <c r="F60" s="2">
        <f>IFERROR(SUMIF($B$5:$B$29,F$32,INDEX(EMBELISHMENT!$B$3:$AQ$27,0,MATCH($AE60,EMBELISHMENT!$B$1:$AQ$1,0))),0)</f>
        <v>10</v>
      </c>
      <c r="G60" s="2">
        <f>IFERROR(SUMIF($B$5:$B$29,G$32,INDEX(EMBELISHMENT!$B$3:$AQ$27,0,MATCH($AE60,EMBELISHMENT!$B$1:$AQ$1,0))),0)</f>
        <v>4</v>
      </c>
      <c r="H60" s="2">
        <f>IFERROR(SUMIF($B$5:$B$29,H$32,INDEX(EMBELISHMENT!$B$3:$AQ$27,0,MATCH($AE60,EMBELISHMENT!$B$1:$AQ$1,0))),0)</f>
        <v>0</v>
      </c>
      <c r="I60" s="2">
        <f>IFERROR(SUMIF($B$5:$B$29,I$32,INDEX(EMBELISHMENT!$B$3:$AQ$27,0,MATCH($AE60,EMBELISHMENT!$B$1:$AQ$1,0))),0)</f>
        <v>0</v>
      </c>
      <c r="J60" s="2">
        <f>IFERROR(SUMIF($B$5:$B$29,J$32,INDEX(EMBELISHMENT!$B$3:$AQ$27,0,MATCH($AE60,EMBELISHMENT!$B$1:$AQ$1,0))),0)</f>
        <v>0</v>
      </c>
      <c r="K60" s="2">
        <f>IFERROR(SUMIF($B$5:$B$29,K$32,INDEX(EMBELISHMENT!$B$3:$AQ$27,0,MATCH($AE60,EMBELISHMENT!$B$1:$AQ$1,0))),0)</f>
        <v>4</v>
      </c>
      <c r="L60" s="2">
        <f>IFERROR(SUMIF($B$5:$B$29,L$32,INDEX(EMBELISHMENT!$B$3:$AQ$27,0,MATCH($AE60,EMBELISHMENT!$B$1:$AQ$1,0))),0)</f>
        <v>4</v>
      </c>
      <c r="M60" s="2">
        <f>IFERROR(SUMIF($B$5:$B$29,M$32,INDEX(EMBELISHMENT!$B$3:$AQ$27,0,MATCH($AE60,EMBELISHMENT!$B$1:$AQ$1,0))),0)</f>
        <v>0</v>
      </c>
      <c r="N60" s="2">
        <f>IFERROR(SUMIF($B$5:$B$29,N$32,INDEX(EMBELISHMENT!$B$3:$AQ$27,0,MATCH($AE60,EMBELISHMENT!$B$1:$AQ$1,0))),0)</f>
        <v>0</v>
      </c>
      <c r="O60" s="2">
        <f>IFERROR(SUMIF($B$5:$B$29,O$32,INDEX(EMBELISHMENT!$B$3:$AQ$27,0,MATCH($AE60,EMBELISHMENT!$B$1:$AQ$1,0))),0)</f>
        <v>0</v>
      </c>
      <c r="P60" s="2">
        <f>IFERROR(SUMIF($B$5:$B$29,P$32,INDEX(EMBELISHMENT!$B$3:$AQ$27,0,MATCH($AE60,EMBELISHMENT!$B$1:$AQ$1,0))),0)</f>
        <v>0</v>
      </c>
      <c r="Q60" s="2">
        <f>IFERROR(SUMIF($B$5:$B$29,Q$32,INDEX(EMBELISHMENT!$B$3:$AQ$27,0,MATCH($AE60,EMBELISHMENT!$B$1:$AQ$1,0))),0)</f>
        <v>0</v>
      </c>
      <c r="R60" s="2">
        <f>IFERROR(SUMIF($B$5:$B$29,R$32,INDEX(EMBELISHMENT!$B$3:$AQ$27,0,MATCH($AE60,EMBELISHMENT!$B$1:$AQ$1,0))),0)</f>
        <v>0</v>
      </c>
      <c r="S60" s="2">
        <f>IFERROR(SUMIF($B$5:$B$29,S$32,INDEX(EMBELISHMENT!$B$3:$AQ$27,0,MATCH($AE60,EMBELISHMENT!$B$1:$AQ$1,0))),0)</f>
        <v>0</v>
      </c>
      <c r="T60" s="2">
        <f>IFERROR(SUMIF($B$5:$B$29,T$32,INDEX(EMBELISHMENT!$B$3:$AQ$27,0,MATCH($AE60,EMBELISHMENT!$B$1:$AQ$1,0))),0)</f>
        <v>0</v>
      </c>
      <c r="U60" s="2">
        <f>IFERROR(SUMIF($B$5:$B$29,U$32,INDEX(EMBELISHMENT!$B$3:$AQ$27,0,MATCH($AE60,EMBELISHMENT!$B$1:$AQ$1,0))),0)</f>
        <v>2</v>
      </c>
      <c r="V60" s="2">
        <f>IFERROR(SUMIF($B$5:$B$29,V$32,INDEX(EMBELISHMENT!$B$3:$AQ$27,0,MATCH($AE60,EMBELISHMENT!$B$1:$AQ$1,0))),0)</f>
        <v>0</v>
      </c>
      <c r="W60" s="2">
        <f>IFERROR(SUMIF($B$5:$B$29,W$32,INDEX(EMBELISHMENT!$B$3:$AQ$27,0,MATCH($AE60,EMBELISHMENT!$B$1:$AQ$1,0))),0)</f>
        <v>0</v>
      </c>
      <c r="X60" s="2">
        <f>IFERROR(SUMIF($B$5:$B$29,X$32,INDEX(EMBELISHMENT!$B$3:$AQ$27,0,MATCH($AE60,EMBELISHMENT!$B$1:$AQ$1,0))),0)</f>
        <v>0</v>
      </c>
      <c r="Y60" s="2">
        <f>IFERROR(SUMIF($B$5:$B$29,Y$32,INDEX(EMBELISHMENT!$B$3:$AQ$27,0,MATCH($AE60,EMBELISHMENT!$B$1:$AQ$1,0))),0)</f>
        <v>1.5</v>
      </c>
      <c r="Z60" s="2">
        <f>IFERROR(SUMIF($B$5:$B$29,Z$32,INDEX(EMBELISHMENT!$B$3:$AQ$27,0,MATCH($AE60,EMBELISHMENT!$B$1:$AQ$1,0))),0)</f>
        <v>0</v>
      </c>
      <c r="AA60" s="2">
        <f>IFERROR(SUMIF($B$5:$B$29,AA$32,INDEX(EMBELISHMENT!$B$3:$AQ$27,0,MATCH($AE60,EMBELISHMENT!$B$1:$AQ$1,0))),0)</f>
        <v>0</v>
      </c>
      <c r="AB60" s="2">
        <f>SUM($B60:$AA60)</f>
        <v>29.5</v>
      </c>
      <c r="AC60" s="2">
        <f>IFERROR(INDEX(EMBELISHMENT!$B$28:$AQ$28,MATCH($AE60,EMBELISHMENT!$B$1:$AQ$1,0)),0)</f>
        <v>29.5</v>
      </c>
      <c r="AD60" s="2" t="str">
        <f>IF(N(AC60)=0,"n/a",IF(ROUND(AB60-AC60,1)=0,"OK",ROUND(AB60-AC60,1)))</f>
        <v>OK</v>
      </c>
      <c r="AE60" s="2" t="str">
        <f>IFERROR(IF(INDEX($L$5:$L$28,MATCH($A60,$K$5:$K$28,0))="","(no recipe)",INDEX($L$5:$L$28,MATCH($A60,$K$5:$K$28,0))),$A60)</f>
        <v>Panty</v>
      </c>
      <c r="AF60" s="2" t="str">
        <f>IFERROR(INDEX($M$5:$M$28,MATCH($A60,$K$5:$K$28,0)),"STYLE")</f>
        <v>STYLE</v>
      </c>
      <c r="AG60" s="60" t="s">
        <v>308</v>
      </c>
    </row>
    <row r="61" spans="1:33">
      <c r="A61" s="2" t="str">
        <f>EMBELISHMENT!$R$1</f>
        <v>T Shirt</v>
      </c>
      <c r="B61" s="2">
        <f>IFERROR(SUMIF($B$5:$B$29,B$32,INDEX(EMBELISHMENT!$B$3:$AQ$27,0,MATCH($AE61,EMBELISHMENT!$B$1:$AQ$1,0))),0)</f>
        <v>4</v>
      </c>
      <c r="C61" s="2">
        <f>IFERROR(SUMIF($B$5:$B$29,C$32,INDEX(EMBELISHMENT!$B$3:$AQ$27,0,MATCH($AE61,EMBELISHMENT!$B$1:$AQ$1,0))),0)</f>
        <v>0</v>
      </c>
      <c r="D61" s="2">
        <f>IFERROR(SUMIF($B$5:$B$29,D$32,INDEX(EMBELISHMENT!$B$3:$AQ$27,0,MATCH($AE61,EMBELISHMENT!$B$1:$AQ$1,0))),0)</f>
        <v>0</v>
      </c>
      <c r="E61" s="2">
        <f>IFERROR(SUMIF($B$5:$B$29,E$32,INDEX(EMBELISHMENT!$B$3:$AQ$27,0,MATCH($AE61,EMBELISHMENT!$B$1:$AQ$1,0))),0)</f>
        <v>0</v>
      </c>
      <c r="F61" s="2">
        <f>IFERROR(SUMIF($B$5:$B$29,F$32,INDEX(EMBELISHMENT!$B$3:$AQ$27,0,MATCH($AE61,EMBELISHMENT!$B$1:$AQ$1,0))),0)</f>
        <v>7</v>
      </c>
      <c r="G61" s="2">
        <f>IFERROR(SUMIF($B$5:$B$29,G$32,INDEX(EMBELISHMENT!$B$3:$AQ$27,0,MATCH($AE61,EMBELISHMENT!$B$1:$AQ$1,0))),0)</f>
        <v>0</v>
      </c>
      <c r="H61" s="2">
        <f>IFERROR(SUMIF($B$5:$B$29,H$32,INDEX(EMBELISHMENT!$B$3:$AQ$27,0,MATCH($AE61,EMBELISHMENT!$B$1:$AQ$1,0))),0)</f>
        <v>0</v>
      </c>
      <c r="I61" s="2">
        <f>IFERROR(SUMIF($B$5:$B$29,I$32,INDEX(EMBELISHMENT!$B$3:$AQ$27,0,MATCH($AE61,EMBELISHMENT!$B$1:$AQ$1,0))),0)</f>
        <v>0</v>
      </c>
      <c r="J61" s="2">
        <f>IFERROR(SUMIF($B$5:$B$29,J$32,INDEX(EMBELISHMENT!$B$3:$AQ$27,0,MATCH($AE61,EMBELISHMENT!$B$1:$AQ$1,0))),0)</f>
        <v>2</v>
      </c>
      <c r="K61" s="2">
        <f>IFERROR(SUMIF($B$5:$B$29,K$32,INDEX(EMBELISHMENT!$B$3:$AQ$27,0,MATCH($AE61,EMBELISHMENT!$B$1:$AQ$1,0))),0)</f>
        <v>0</v>
      </c>
      <c r="L61" s="2">
        <f>IFERROR(SUMIF($B$5:$B$29,L$32,INDEX(EMBELISHMENT!$B$3:$AQ$27,0,MATCH($AE61,EMBELISHMENT!$B$1:$AQ$1,0))),0)</f>
        <v>0</v>
      </c>
      <c r="M61" s="2">
        <f>IFERROR(SUMIF($B$5:$B$29,M$32,INDEX(EMBELISHMENT!$B$3:$AQ$27,0,MATCH($AE61,EMBELISHMENT!$B$1:$AQ$1,0))),0)</f>
        <v>0</v>
      </c>
      <c r="N61" s="2">
        <f>IFERROR(SUMIF($B$5:$B$29,N$32,INDEX(EMBELISHMENT!$B$3:$AQ$27,0,MATCH($AE61,EMBELISHMENT!$B$1:$AQ$1,0))),0)</f>
        <v>0</v>
      </c>
      <c r="O61" s="2">
        <f>IFERROR(SUMIF($B$5:$B$29,O$32,INDEX(EMBELISHMENT!$B$3:$AQ$27,0,MATCH($AE61,EMBELISHMENT!$B$1:$AQ$1,0))),0)</f>
        <v>1</v>
      </c>
      <c r="P61" s="2">
        <f>IFERROR(SUMIF($B$5:$B$29,P$32,INDEX(EMBELISHMENT!$B$3:$AQ$27,0,MATCH($AE61,EMBELISHMENT!$B$1:$AQ$1,0))),0)</f>
        <v>0</v>
      </c>
      <c r="Q61" s="2">
        <f>IFERROR(SUMIF($B$5:$B$29,Q$32,INDEX(EMBELISHMENT!$B$3:$AQ$27,0,MATCH($AE61,EMBELISHMENT!$B$1:$AQ$1,0))),0)</f>
        <v>0</v>
      </c>
      <c r="R61" s="2">
        <f>IFERROR(SUMIF($B$5:$B$29,R$32,INDEX(EMBELISHMENT!$B$3:$AQ$27,0,MATCH($AE61,EMBELISHMENT!$B$1:$AQ$1,0))),0)</f>
        <v>0</v>
      </c>
      <c r="S61" s="2">
        <f>IFERROR(SUMIF($B$5:$B$29,S$32,INDEX(EMBELISHMENT!$B$3:$AQ$27,0,MATCH($AE61,EMBELISHMENT!$B$1:$AQ$1,0))),0)</f>
        <v>0</v>
      </c>
      <c r="T61" s="2">
        <f>IFERROR(SUMIF($B$5:$B$29,T$32,INDEX(EMBELISHMENT!$B$3:$AQ$27,0,MATCH($AE61,EMBELISHMENT!$B$1:$AQ$1,0))),0)</f>
        <v>0</v>
      </c>
      <c r="U61" s="2">
        <f>IFERROR(SUMIF($B$5:$B$29,U$32,INDEX(EMBELISHMENT!$B$3:$AQ$27,0,MATCH($AE61,EMBELISHMENT!$B$1:$AQ$1,0))),0)</f>
        <v>0</v>
      </c>
      <c r="V61" s="2">
        <f>IFERROR(SUMIF($B$5:$B$29,V$32,INDEX(EMBELISHMENT!$B$3:$AQ$27,0,MATCH($AE61,EMBELISHMENT!$B$1:$AQ$1,0))),0)</f>
        <v>0</v>
      </c>
      <c r="W61" s="2">
        <f>IFERROR(SUMIF($B$5:$B$29,W$32,INDEX(EMBELISHMENT!$B$3:$AQ$27,0,MATCH($AE61,EMBELISHMENT!$B$1:$AQ$1,0))),0)</f>
        <v>0</v>
      </c>
      <c r="X61" s="2">
        <f>IFERROR(SUMIF($B$5:$B$29,X$32,INDEX(EMBELISHMENT!$B$3:$AQ$27,0,MATCH($AE61,EMBELISHMENT!$B$1:$AQ$1,0))),0)</f>
        <v>0</v>
      </c>
      <c r="Y61" s="2">
        <f>IFERROR(SUMIF($B$5:$B$29,Y$32,INDEX(EMBELISHMENT!$B$3:$AQ$27,0,MATCH($AE61,EMBELISHMENT!$B$1:$AQ$1,0))),0)</f>
        <v>0</v>
      </c>
      <c r="Z61" s="2">
        <f>IFERROR(SUMIF($B$5:$B$29,Z$32,INDEX(EMBELISHMENT!$B$3:$AQ$27,0,MATCH($AE61,EMBELISHMENT!$B$1:$AQ$1,0))),0)</f>
        <v>0</v>
      </c>
      <c r="AA61" s="2">
        <f>IFERROR(SUMIF($B$5:$B$29,AA$32,INDEX(EMBELISHMENT!$B$3:$AQ$27,0,MATCH($AE61,EMBELISHMENT!$B$1:$AQ$1,0))),0)</f>
        <v>0</v>
      </c>
      <c r="AB61" s="2">
        <f>SUM($B61:$AA61)</f>
        <v>14</v>
      </c>
      <c r="AC61" s="2">
        <f>IFERROR(INDEX(EMBELISHMENT!$B$28:$AQ$28,MATCH($AE61,EMBELISHMENT!$B$1:$AQ$1,0)),0)</f>
        <v>14</v>
      </c>
      <c r="AD61" s="2" t="str">
        <f>IF(N(AC61)=0,"n/a",IF(ROUND(AB61-AC61,1)=0,"OK",ROUND(AB61-AC61,1)))</f>
        <v>OK</v>
      </c>
      <c r="AE61" s="2" t="str">
        <f>IFERROR(IF(INDEX($L$5:$L$28,MATCH($A61,$K$5:$K$28,0))="","(no recipe)",INDEX($L$5:$L$28,MATCH($A61,$K$5:$K$28,0))),$A61)</f>
        <v>T Shirt</v>
      </c>
      <c r="AF61" s="2" t="str">
        <f>IFERROR(INDEX($M$5:$M$28,MATCH($A61,$K$5:$K$28,0)),"STYLE")</f>
        <v>STYLE</v>
      </c>
      <c r="AG61" s="60" t="s">
        <v>494</v>
      </c>
    </row>
    <row r="62" spans="1:33">
      <c r="A62" s="2" t="str">
        <f>EMBELISHMENT!$T$1</f>
        <v>RS-27</v>
      </c>
      <c r="B62" s="2">
        <f>IFERROR(SUMIF($B$5:$B$29,B$32,INDEX(EMBELISHMENT!$B$3:$AQ$27,0,MATCH($AE62,EMBELISHMENT!$B$1:$AQ$1,0))),0)</f>
        <v>5</v>
      </c>
      <c r="C62" s="2">
        <f>IFERROR(SUMIF($B$5:$B$29,C$32,INDEX(EMBELISHMENT!$B$3:$AQ$27,0,MATCH($AE62,EMBELISHMENT!$B$1:$AQ$1,0))),0)</f>
        <v>0</v>
      </c>
      <c r="D62" s="2">
        <f>IFERROR(SUMIF($B$5:$B$29,D$32,INDEX(EMBELISHMENT!$B$3:$AQ$27,0,MATCH($AE62,EMBELISHMENT!$B$1:$AQ$1,0))),0)</f>
        <v>0</v>
      </c>
      <c r="E62" s="2">
        <f>IFERROR(SUMIF($B$5:$B$29,E$32,INDEX(EMBELISHMENT!$B$3:$AQ$27,0,MATCH($AE62,EMBELISHMENT!$B$1:$AQ$1,0))),0)</f>
        <v>0</v>
      </c>
      <c r="F62" s="2">
        <f>IFERROR(SUMIF($B$5:$B$29,F$32,INDEX(EMBELISHMENT!$B$3:$AQ$27,0,MATCH($AE62,EMBELISHMENT!$B$1:$AQ$1,0))),0)</f>
        <v>8</v>
      </c>
      <c r="G62" s="2">
        <f>IFERROR(SUMIF($B$5:$B$29,G$32,INDEX(EMBELISHMENT!$B$3:$AQ$27,0,MATCH($AE62,EMBELISHMENT!$B$1:$AQ$1,0))),0)</f>
        <v>0</v>
      </c>
      <c r="H62" s="2">
        <f>IFERROR(SUMIF($B$5:$B$29,H$32,INDEX(EMBELISHMENT!$B$3:$AQ$27,0,MATCH($AE62,EMBELISHMENT!$B$1:$AQ$1,0))),0)</f>
        <v>0</v>
      </c>
      <c r="I62" s="2">
        <f>IFERROR(SUMIF($B$5:$B$29,I$32,INDEX(EMBELISHMENT!$B$3:$AQ$27,0,MATCH($AE62,EMBELISHMENT!$B$1:$AQ$1,0))),0)</f>
        <v>0</v>
      </c>
      <c r="J62" s="2">
        <f>IFERROR(SUMIF($B$5:$B$29,J$32,INDEX(EMBELISHMENT!$B$3:$AQ$27,0,MATCH($AE62,EMBELISHMENT!$B$1:$AQ$1,0))),0)</f>
        <v>4</v>
      </c>
      <c r="K62" s="2">
        <f>IFERROR(SUMIF($B$5:$B$29,K$32,INDEX(EMBELISHMENT!$B$3:$AQ$27,0,MATCH($AE62,EMBELISHMENT!$B$1:$AQ$1,0))),0)</f>
        <v>0</v>
      </c>
      <c r="L62" s="2">
        <f>IFERROR(SUMIF($B$5:$B$29,L$32,INDEX(EMBELISHMENT!$B$3:$AQ$27,0,MATCH($AE62,EMBELISHMENT!$B$1:$AQ$1,0))),0)</f>
        <v>0</v>
      </c>
      <c r="M62" s="2">
        <f>IFERROR(SUMIF($B$5:$B$29,M$32,INDEX(EMBELISHMENT!$B$3:$AQ$27,0,MATCH($AE62,EMBELISHMENT!$B$1:$AQ$1,0))),0)</f>
        <v>0</v>
      </c>
      <c r="N62" s="2">
        <f>IFERROR(SUMIF($B$5:$B$29,N$32,INDEX(EMBELISHMENT!$B$3:$AQ$27,0,MATCH($AE62,EMBELISHMENT!$B$1:$AQ$1,0))),0)</f>
        <v>0</v>
      </c>
      <c r="O62" s="2">
        <f>IFERROR(SUMIF($B$5:$B$29,O$32,INDEX(EMBELISHMENT!$B$3:$AQ$27,0,MATCH($AE62,EMBELISHMENT!$B$1:$AQ$1,0))),0)</f>
        <v>7</v>
      </c>
      <c r="P62" s="2">
        <f>IFERROR(SUMIF($B$5:$B$29,P$32,INDEX(EMBELISHMENT!$B$3:$AQ$27,0,MATCH($AE62,EMBELISHMENT!$B$1:$AQ$1,0))),0)</f>
        <v>0</v>
      </c>
      <c r="Q62" s="2">
        <f>IFERROR(SUMIF($B$5:$B$29,Q$32,INDEX(EMBELISHMENT!$B$3:$AQ$27,0,MATCH($AE62,EMBELISHMENT!$B$1:$AQ$1,0))),0)</f>
        <v>0</v>
      </c>
      <c r="R62" s="2">
        <f>IFERROR(SUMIF($B$5:$B$29,R$32,INDEX(EMBELISHMENT!$B$3:$AQ$27,0,MATCH($AE62,EMBELISHMENT!$B$1:$AQ$1,0))),0)</f>
        <v>0</v>
      </c>
      <c r="S62" s="2">
        <f>IFERROR(SUMIF($B$5:$B$29,S$32,INDEX(EMBELISHMENT!$B$3:$AQ$27,0,MATCH($AE62,EMBELISHMENT!$B$1:$AQ$1,0))),0)</f>
        <v>0</v>
      </c>
      <c r="T62" s="2">
        <f>IFERROR(SUMIF($B$5:$B$29,T$32,INDEX(EMBELISHMENT!$B$3:$AQ$27,0,MATCH($AE62,EMBELISHMENT!$B$1:$AQ$1,0))),0)</f>
        <v>0</v>
      </c>
      <c r="U62" s="2">
        <f>IFERROR(SUMIF($B$5:$B$29,U$32,INDEX(EMBELISHMENT!$B$3:$AQ$27,0,MATCH($AE62,EMBELISHMENT!$B$1:$AQ$1,0))),0)</f>
        <v>1</v>
      </c>
      <c r="V62" s="2">
        <f>IFERROR(SUMIF($B$5:$B$29,V$32,INDEX(EMBELISHMENT!$B$3:$AQ$27,0,MATCH($AE62,EMBELISHMENT!$B$1:$AQ$1,0))),0)</f>
        <v>0</v>
      </c>
      <c r="W62" s="2">
        <f>IFERROR(SUMIF($B$5:$B$29,W$32,INDEX(EMBELISHMENT!$B$3:$AQ$27,0,MATCH($AE62,EMBELISHMENT!$B$1:$AQ$1,0))),0)</f>
        <v>0</v>
      </c>
      <c r="X62" s="2">
        <f>IFERROR(SUMIF($B$5:$B$29,X$32,INDEX(EMBELISHMENT!$B$3:$AQ$27,0,MATCH($AE62,EMBELISHMENT!$B$1:$AQ$1,0))),0)</f>
        <v>0</v>
      </c>
      <c r="Y62" s="2">
        <f>IFERROR(SUMIF($B$5:$B$29,Y$32,INDEX(EMBELISHMENT!$B$3:$AQ$27,0,MATCH($AE62,EMBELISHMENT!$B$1:$AQ$1,0))),0)</f>
        <v>0</v>
      </c>
      <c r="Z62" s="2">
        <f>IFERROR(SUMIF($B$5:$B$29,Z$32,INDEX(EMBELISHMENT!$B$3:$AQ$27,0,MATCH($AE62,EMBELISHMENT!$B$1:$AQ$1,0))),0)</f>
        <v>0</v>
      </c>
      <c r="AA62" s="2">
        <f>IFERROR(SUMIF($B$5:$B$29,AA$32,INDEX(EMBELISHMENT!$B$3:$AQ$27,0,MATCH($AE62,EMBELISHMENT!$B$1:$AQ$1,0))),0)</f>
        <v>0</v>
      </c>
      <c r="AB62" s="2">
        <f>SUM($B62:$AA62)</f>
        <v>25</v>
      </c>
      <c r="AC62" s="2">
        <f>IFERROR(INDEX(EMBELISHMENT!$B$28:$AQ$28,MATCH($AE62,EMBELISHMENT!$B$1:$AQ$1,0)),0)</f>
        <v>25</v>
      </c>
      <c r="AD62" s="2" t="str">
        <f>IF(N(AC62)=0,"n/a",IF(ROUND(AB62-AC62,1)=0,"OK",ROUND(AB62-AC62,1)))</f>
        <v>OK</v>
      </c>
      <c r="AE62" s="2" t="str">
        <f>IFERROR(IF(INDEX($L$5:$L$28,MATCH($A62,$K$5:$K$28,0))="","(no recipe)",INDEX($L$5:$L$28,MATCH($A62,$K$5:$K$28,0))),$A62)</f>
        <v>RS-27</v>
      </c>
      <c r="AF62" s="2" t="str">
        <f>IFERROR(INDEX($M$5:$M$28,MATCH($A62,$K$5:$K$28,0)),"STYLE")</f>
        <v>STYLE</v>
      </c>
      <c r="AG62" s="60" t="s">
        <v>307</v>
      </c>
    </row>
    <row r="63" spans="1:33">
      <c r="A63" s="2">
        <f>EMBELISHMENT!$U$1</f>
        <v>5201</v>
      </c>
      <c r="B63" s="2">
        <f>IFERROR(SUMIF($B$5:$B$29,B$32,INDEX(EMBELISHMENT!$B$3:$AQ$27,0,MATCH($AE63,EMBELISHMENT!$B$1:$AQ$1,0))),0)</f>
        <v>0</v>
      </c>
      <c r="C63" s="2">
        <f>IFERROR(SUMIF($B$5:$B$29,C$32,INDEX(EMBELISHMENT!$B$3:$AQ$27,0,MATCH($AE63,EMBELISHMENT!$B$1:$AQ$1,0))),0)</f>
        <v>0</v>
      </c>
      <c r="D63" s="2">
        <f>IFERROR(SUMIF($B$5:$B$29,D$32,INDEX(EMBELISHMENT!$B$3:$AQ$27,0,MATCH($AE63,EMBELISHMENT!$B$1:$AQ$1,0))),0)</f>
        <v>0</v>
      </c>
      <c r="E63" s="2">
        <f>IFERROR(SUMIF($B$5:$B$29,E$32,INDEX(EMBELISHMENT!$B$3:$AQ$27,0,MATCH($AE63,EMBELISHMENT!$B$1:$AQ$1,0))),0)</f>
        <v>0</v>
      </c>
      <c r="F63" s="2">
        <f>IFERROR(SUMIF($B$5:$B$29,F$32,INDEX(EMBELISHMENT!$B$3:$AQ$27,0,MATCH($AE63,EMBELISHMENT!$B$1:$AQ$1,0))),0)</f>
        <v>10</v>
      </c>
      <c r="G63" s="2">
        <f>IFERROR(SUMIF($B$5:$B$29,G$32,INDEX(EMBELISHMENT!$B$3:$AQ$27,0,MATCH($AE63,EMBELISHMENT!$B$1:$AQ$1,0))),0)</f>
        <v>0</v>
      </c>
      <c r="H63" s="2">
        <f>IFERROR(SUMIF($B$5:$B$29,H$32,INDEX(EMBELISHMENT!$B$3:$AQ$27,0,MATCH($AE63,EMBELISHMENT!$B$1:$AQ$1,0))),0)</f>
        <v>0</v>
      </c>
      <c r="I63" s="2">
        <f>IFERROR(SUMIF($B$5:$B$29,I$32,INDEX(EMBELISHMENT!$B$3:$AQ$27,0,MATCH($AE63,EMBELISHMENT!$B$1:$AQ$1,0))),0)</f>
        <v>0</v>
      </c>
      <c r="J63" s="2">
        <f>IFERROR(SUMIF($B$5:$B$29,J$32,INDEX(EMBELISHMENT!$B$3:$AQ$27,0,MATCH($AE63,EMBELISHMENT!$B$1:$AQ$1,0))),0)</f>
        <v>4</v>
      </c>
      <c r="K63" s="2">
        <f>IFERROR(SUMIF($B$5:$B$29,K$32,INDEX(EMBELISHMENT!$B$3:$AQ$27,0,MATCH($AE63,EMBELISHMENT!$B$1:$AQ$1,0))),0)</f>
        <v>0</v>
      </c>
      <c r="L63" s="2">
        <f>IFERROR(SUMIF($B$5:$B$29,L$32,INDEX(EMBELISHMENT!$B$3:$AQ$27,0,MATCH($AE63,EMBELISHMENT!$B$1:$AQ$1,0))),0)</f>
        <v>0</v>
      </c>
      <c r="M63" s="2">
        <f>IFERROR(SUMIF($B$5:$B$29,M$32,INDEX(EMBELISHMENT!$B$3:$AQ$27,0,MATCH($AE63,EMBELISHMENT!$B$1:$AQ$1,0))),0)</f>
        <v>0</v>
      </c>
      <c r="N63" s="2">
        <f>IFERROR(SUMIF($B$5:$B$29,N$32,INDEX(EMBELISHMENT!$B$3:$AQ$27,0,MATCH($AE63,EMBELISHMENT!$B$1:$AQ$1,0))),0)</f>
        <v>0</v>
      </c>
      <c r="O63" s="2">
        <f>IFERROR(SUMIF($B$5:$B$29,O$32,INDEX(EMBELISHMENT!$B$3:$AQ$27,0,MATCH($AE63,EMBELISHMENT!$B$1:$AQ$1,0))),0)</f>
        <v>0</v>
      </c>
      <c r="P63" s="2">
        <f>IFERROR(SUMIF($B$5:$B$29,P$32,INDEX(EMBELISHMENT!$B$3:$AQ$27,0,MATCH($AE63,EMBELISHMENT!$B$1:$AQ$1,0))),0)</f>
        <v>5</v>
      </c>
      <c r="Q63" s="2">
        <f>IFERROR(SUMIF($B$5:$B$29,Q$32,INDEX(EMBELISHMENT!$B$3:$AQ$27,0,MATCH($AE63,EMBELISHMENT!$B$1:$AQ$1,0))),0)</f>
        <v>0</v>
      </c>
      <c r="R63" s="2">
        <f>IFERROR(SUMIF($B$5:$B$29,R$32,INDEX(EMBELISHMENT!$B$3:$AQ$27,0,MATCH($AE63,EMBELISHMENT!$B$1:$AQ$1,0))),0)</f>
        <v>0</v>
      </c>
      <c r="S63" s="2">
        <f>IFERROR(SUMIF($B$5:$B$29,S$32,INDEX(EMBELISHMENT!$B$3:$AQ$27,0,MATCH($AE63,EMBELISHMENT!$B$1:$AQ$1,0))),0)</f>
        <v>0</v>
      </c>
      <c r="T63" s="2">
        <f>IFERROR(SUMIF($B$5:$B$29,T$32,INDEX(EMBELISHMENT!$B$3:$AQ$27,0,MATCH($AE63,EMBELISHMENT!$B$1:$AQ$1,0))),0)</f>
        <v>3</v>
      </c>
      <c r="U63" s="2">
        <f>IFERROR(SUMIF($B$5:$B$29,U$32,INDEX(EMBELISHMENT!$B$3:$AQ$27,0,MATCH($AE63,EMBELISHMENT!$B$1:$AQ$1,0))),0)</f>
        <v>1</v>
      </c>
      <c r="V63" s="2">
        <f>IFERROR(SUMIF($B$5:$B$29,V$32,INDEX(EMBELISHMENT!$B$3:$AQ$27,0,MATCH($AE63,EMBELISHMENT!$B$1:$AQ$1,0))),0)</f>
        <v>0</v>
      </c>
      <c r="W63" s="2">
        <f>IFERROR(SUMIF($B$5:$B$29,W$32,INDEX(EMBELISHMENT!$B$3:$AQ$27,0,MATCH($AE63,EMBELISHMENT!$B$1:$AQ$1,0))),0)</f>
        <v>0</v>
      </c>
      <c r="X63" s="2">
        <f>IFERROR(SUMIF($B$5:$B$29,X$32,INDEX(EMBELISHMENT!$B$3:$AQ$27,0,MATCH($AE63,EMBELISHMENT!$B$1:$AQ$1,0))),0)</f>
        <v>0</v>
      </c>
      <c r="Y63" s="2">
        <f>IFERROR(SUMIF($B$5:$B$29,Y$32,INDEX(EMBELISHMENT!$B$3:$AQ$27,0,MATCH($AE63,EMBELISHMENT!$B$1:$AQ$1,0))),0)</f>
        <v>0</v>
      </c>
      <c r="Z63" s="2">
        <f>IFERROR(SUMIF($B$5:$B$29,Z$32,INDEX(EMBELISHMENT!$B$3:$AQ$27,0,MATCH($AE63,EMBELISHMENT!$B$1:$AQ$1,0))),0)</f>
        <v>0</v>
      </c>
      <c r="AA63" s="2">
        <f>IFERROR(SUMIF($B$5:$B$29,AA$32,INDEX(EMBELISHMENT!$B$3:$AQ$27,0,MATCH($AE63,EMBELISHMENT!$B$1:$AQ$1,0))),0)</f>
        <v>1</v>
      </c>
      <c r="AB63" s="2">
        <f>SUM($B63:$AA63)</f>
        <v>24</v>
      </c>
      <c r="AC63" s="2">
        <f>IFERROR(INDEX(EMBELISHMENT!$B$28:$AQ$28,MATCH($AE63,EMBELISHMENT!$B$1:$AQ$1,0)),0)</f>
        <v>24</v>
      </c>
      <c r="AD63" s="2" t="str">
        <f>IF(N(AC63)=0,"n/a",IF(ROUND(AB63-AC63,1)=0,"OK",ROUND(AB63-AC63,1)))</f>
        <v>OK</v>
      </c>
      <c r="AE63" s="2">
        <f>IFERROR(IF(INDEX($L$5:$L$28,MATCH($A63,$K$5:$K$28,0))="","(no recipe)",INDEX($L$5:$L$28,MATCH($A63,$K$5:$K$28,0))),$A63)</f>
        <v>5201</v>
      </c>
      <c r="AF63" s="2" t="str">
        <f>IFERROR(INDEX($M$5:$M$28,MATCH($A63,$K$5:$K$28,0)),"STYLE")</f>
        <v>STYLE</v>
      </c>
      <c r="AG63" s="60" t="s">
        <v>493</v>
      </c>
    </row>
    <row r="64" spans="1:33">
      <c r="A64" s="2">
        <f>EMBELISHMENT!$V$1</f>
        <v>4223</v>
      </c>
      <c r="B64" s="2">
        <f>IFERROR(SUMIF($B$5:$B$29,B$32,INDEX(EMBELISHMENT!$B$3:$AQ$27,0,MATCH($AE64,EMBELISHMENT!$B$1:$AQ$1,0))),0)</f>
        <v>16</v>
      </c>
      <c r="C64" s="2">
        <f>IFERROR(SUMIF($B$5:$B$29,C$32,INDEX(EMBELISHMENT!$B$3:$AQ$27,0,MATCH($AE64,EMBELISHMENT!$B$1:$AQ$1,0))),0)</f>
        <v>2</v>
      </c>
      <c r="D64" s="2">
        <f>IFERROR(SUMIF($B$5:$B$29,D$32,INDEX(EMBELISHMENT!$B$3:$AQ$27,0,MATCH($AE64,EMBELISHMENT!$B$1:$AQ$1,0))),0)</f>
        <v>0</v>
      </c>
      <c r="E64" s="2">
        <f>IFERROR(SUMIF($B$5:$B$29,E$32,INDEX(EMBELISHMENT!$B$3:$AQ$27,0,MATCH($AE64,EMBELISHMENT!$B$1:$AQ$1,0))),0)</f>
        <v>0</v>
      </c>
      <c r="F64" s="2">
        <f>IFERROR(SUMIF($B$5:$B$29,F$32,INDEX(EMBELISHMENT!$B$3:$AQ$27,0,MATCH($AE64,EMBELISHMENT!$B$1:$AQ$1,0))),0)</f>
        <v>0</v>
      </c>
      <c r="G64" s="2">
        <f>IFERROR(SUMIF($B$5:$B$29,G$32,INDEX(EMBELISHMENT!$B$3:$AQ$27,0,MATCH($AE64,EMBELISHMENT!$B$1:$AQ$1,0))),0)</f>
        <v>0</v>
      </c>
      <c r="H64" s="2">
        <f>IFERROR(SUMIF($B$5:$B$29,H$32,INDEX(EMBELISHMENT!$B$3:$AQ$27,0,MATCH($AE64,EMBELISHMENT!$B$1:$AQ$1,0))),0)</f>
        <v>5</v>
      </c>
      <c r="I64" s="2">
        <f>IFERROR(SUMIF($B$5:$B$29,I$32,INDEX(EMBELISHMENT!$B$3:$AQ$27,0,MATCH($AE64,EMBELISHMENT!$B$1:$AQ$1,0))),0)</f>
        <v>2</v>
      </c>
      <c r="J64" s="2">
        <f>IFERROR(SUMIF($B$5:$B$29,J$32,INDEX(EMBELISHMENT!$B$3:$AQ$27,0,MATCH($AE64,EMBELISHMENT!$B$1:$AQ$1,0))),0)</f>
        <v>0</v>
      </c>
      <c r="K64" s="2">
        <f>IFERROR(SUMIF($B$5:$B$29,K$32,INDEX(EMBELISHMENT!$B$3:$AQ$27,0,MATCH($AE64,EMBELISHMENT!$B$1:$AQ$1,0))),0)</f>
        <v>0</v>
      </c>
      <c r="L64" s="2">
        <f>IFERROR(SUMIF($B$5:$B$29,L$32,INDEX(EMBELISHMENT!$B$3:$AQ$27,0,MATCH($AE64,EMBELISHMENT!$B$1:$AQ$1,0))),0)</f>
        <v>0</v>
      </c>
      <c r="M64" s="2">
        <f>IFERROR(SUMIF($B$5:$B$29,M$32,INDEX(EMBELISHMENT!$B$3:$AQ$27,0,MATCH($AE64,EMBELISHMENT!$B$1:$AQ$1,0))),0)</f>
        <v>0</v>
      </c>
      <c r="N64" s="2">
        <f>IFERROR(SUMIF($B$5:$B$29,N$32,INDEX(EMBELISHMENT!$B$3:$AQ$27,0,MATCH($AE64,EMBELISHMENT!$B$1:$AQ$1,0))),0)</f>
        <v>0</v>
      </c>
      <c r="O64" s="2">
        <f>IFERROR(SUMIF($B$5:$B$29,O$32,INDEX(EMBELISHMENT!$B$3:$AQ$27,0,MATCH($AE64,EMBELISHMENT!$B$1:$AQ$1,0))),0)</f>
        <v>0</v>
      </c>
      <c r="P64" s="2">
        <f>IFERROR(SUMIF($B$5:$B$29,P$32,INDEX(EMBELISHMENT!$B$3:$AQ$27,0,MATCH($AE64,EMBELISHMENT!$B$1:$AQ$1,0))),0)</f>
        <v>0</v>
      </c>
      <c r="Q64" s="2">
        <f>IFERROR(SUMIF($B$5:$B$29,Q$32,INDEX(EMBELISHMENT!$B$3:$AQ$27,0,MATCH($AE64,EMBELISHMENT!$B$1:$AQ$1,0))),0)</f>
        <v>0</v>
      </c>
      <c r="R64" s="2">
        <f>IFERROR(SUMIF($B$5:$B$29,R$32,INDEX(EMBELISHMENT!$B$3:$AQ$27,0,MATCH($AE64,EMBELISHMENT!$B$1:$AQ$1,0))),0)</f>
        <v>1</v>
      </c>
      <c r="S64" s="2">
        <f>IFERROR(SUMIF($B$5:$B$29,S$32,INDEX(EMBELISHMENT!$B$3:$AQ$27,0,MATCH($AE64,EMBELISHMENT!$B$1:$AQ$1,0))),0)</f>
        <v>1</v>
      </c>
      <c r="T64" s="2">
        <f>IFERROR(SUMIF($B$5:$B$29,T$32,INDEX(EMBELISHMENT!$B$3:$AQ$27,0,MATCH($AE64,EMBELISHMENT!$B$1:$AQ$1,0))),0)</f>
        <v>0</v>
      </c>
      <c r="U64" s="2">
        <f>IFERROR(SUMIF($B$5:$B$29,U$32,INDEX(EMBELISHMENT!$B$3:$AQ$27,0,MATCH($AE64,EMBELISHMENT!$B$1:$AQ$1,0))),0)</f>
        <v>1</v>
      </c>
      <c r="V64" s="2">
        <f>IFERROR(SUMIF($B$5:$B$29,V$32,INDEX(EMBELISHMENT!$B$3:$AQ$27,0,MATCH($AE64,EMBELISHMENT!$B$1:$AQ$1,0))),0)</f>
        <v>0</v>
      </c>
      <c r="W64" s="2">
        <f>IFERROR(SUMIF($B$5:$B$29,W$32,INDEX(EMBELISHMENT!$B$3:$AQ$27,0,MATCH($AE64,EMBELISHMENT!$B$1:$AQ$1,0))),0)</f>
        <v>0.5</v>
      </c>
      <c r="X64" s="2">
        <f>IFERROR(SUMIF($B$5:$B$29,X$32,INDEX(EMBELISHMENT!$B$3:$AQ$27,0,MATCH($AE64,EMBELISHMENT!$B$1:$AQ$1,0))),0)</f>
        <v>0.5</v>
      </c>
      <c r="Y64" s="2">
        <f>IFERROR(SUMIF($B$5:$B$29,Y$32,INDEX(EMBELISHMENT!$B$3:$AQ$27,0,MATCH($AE64,EMBELISHMENT!$B$1:$AQ$1,0))),0)</f>
        <v>0</v>
      </c>
      <c r="Z64" s="2">
        <f>IFERROR(SUMIF($B$5:$B$29,Z$32,INDEX(EMBELISHMENT!$B$3:$AQ$27,0,MATCH($AE64,EMBELISHMENT!$B$1:$AQ$1,0))),0)</f>
        <v>0</v>
      </c>
      <c r="AA64" s="2">
        <f>IFERROR(SUMIF($B$5:$B$29,AA$32,INDEX(EMBELISHMENT!$B$3:$AQ$27,0,MATCH($AE64,EMBELISHMENT!$B$1:$AQ$1,0))),0)</f>
        <v>1</v>
      </c>
      <c r="AB64" s="2">
        <f>SUM($B64:$AA64)</f>
        <v>30</v>
      </c>
      <c r="AC64" s="2">
        <f>IFERROR(INDEX(EMBELISHMENT!$B$28:$AQ$28,MATCH($AE64,EMBELISHMENT!$B$1:$AQ$1,0)),0)</f>
        <v>30</v>
      </c>
      <c r="AD64" s="2" t="str">
        <f>IF(N(AC64)=0,"n/a",IF(ROUND(AB64-AC64,1)=0,"OK",ROUND(AB64-AC64,1)))</f>
        <v>OK</v>
      </c>
      <c r="AE64" s="2">
        <f>IFERROR(IF(INDEX($L$5:$L$28,MATCH($A64,$K$5:$K$28,0))="","(no recipe)",INDEX($L$5:$L$28,MATCH($A64,$K$5:$K$28,0))),$A64)</f>
        <v>4223</v>
      </c>
      <c r="AF64" s="2" t="str">
        <f>IFERROR(INDEX($M$5:$M$28,MATCH($A64,$K$5:$K$28,0)),"STYLE")</f>
        <v>STYLE</v>
      </c>
      <c r="AG64" s="60" t="s">
        <v>493</v>
      </c>
    </row>
    <row r="65" spans="1:33">
      <c r="A65" s="2">
        <f>EMBELISHMENT!$W$1</f>
        <v>4222</v>
      </c>
      <c r="B65" s="2">
        <f>IFERROR(SUMIF($B$5:$B$29,B$32,INDEX(EMBELISHMENT!$B$3:$AQ$27,0,MATCH($AE65,EMBELISHMENT!$B$1:$AQ$1,0))),0)</f>
        <v>12</v>
      </c>
      <c r="C65" s="2">
        <f>IFERROR(SUMIF($B$5:$B$29,C$32,INDEX(EMBELISHMENT!$B$3:$AQ$27,0,MATCH($AE65,EMBELISHMENT!$B$1:$AQ$1,0))),0)</f>
        <v>0</v>
      </c>
      <c r="D65" s="2">
        <f>IFERROR(SUMIF($B$5:$B$29,D$32,INDEX(EMBELISHMENT!$B$3:$AQ$27,0,MATCH($AE65,EMBELISHMENT!$B$1:$AQ$1,0))),0)</f>
        <v>0</v>
      </c>
      <c r="E65" s="2">
        <f>IFERROR(SUMIF($B$5:$B$29,E$32,INDEX(EMBELISHMENT!$B$3:$AQ$27,0,MATCH($AE65,EMBELISHMENT!$B$1:$AQ$1,0))),0)</f>
        <v>1</v>
      </c>
      <c r="F65" s="2">
        <f>IFERROR(SUMIF($B$5:$B$29,F$32,INDEX(EMBELISHMENT!$B$3:$AQ$27,0,MATCH($AE65,EMBELISHMENT!$B$1:$AQ$1,0))),0)</f>
        <v>0</v>
      </c>
      <c r="G65" s="2">
        <f>IFERROR(SUMIF($B$5:$B$29,G$32,INDEX(EMBELISHMENT!$B$3:$AQ$27,0,MATCH($AE65,EMBELISHMENT!$B$1:$AQ$1,0))),0)</f>
        <v>0</v>
      </c>
      <c r="H65" s="2">
        <f>IFERROR(SUMIF($B$5:$B$29,H$32,INDEX(EMBELISHMENT!$B$3:$AQ$27,0,MATCH($AE65,EMBELISHMENT!$B$1:$AQ$1,0))),0)</f>
        <v>2</v>
      </c>
      <c r="I65" s="2">
        <f>IFERROR(SUMIF($B$5:$B$29,I$32,INDEX(EMBELISHMENT!$B$3:$AQ$27,0,MATCH($AE65,EMBELISHMENT!$B$1:$AQ$1,0))),0)</f>
        <v>2</v>
      </c>
      <c r="J65" s="2">
        <f>IFERROR(SUMIF($B$5:$B$29,J$32,INDEX(EMBELISHMENT!$B$3:$AQ$27,0,MATCH($AE65,EMBELISHMENT!$B$1:$AQ$1,0))),0)</f>
        <v>0</v>
      </c>
      <c r="K65" s="2">
        <f>IFERROR(SUMIF($B$5:$B$29,K$32,INDEX(EMBELISHMENT!$B$3:$AQ$27,0,MATCH($AE65,EMBELISHMENT!$B$1:$AQ$1,0))),0)</f>
        <v>0</v>
      </c>
      <c r="L65" s="2">
        <f>IFERROR(SUMIF($B$5:$B$29,L$32,INDEX(EMBELISHMENT!$B$3:$AQ$27,0,MATCH($AE65,EMBELISHMENT!$B$1:$AQ$1,0))),0)</f>
        <v>0</v>
      </c>
      <c r="M65" s="2">
        <f>IFERROR(SUMIF($B$5:$B$29,M$32,INDEX(EMBELISHMENT!$B$3:$AQ$27,0,MATCH($AE65,EMBELISHMENT!$B$1:$AQ$1,0))),0)</f>
        <v>0</v>
      </c>
      <c r="N65" s="2">
        <f>IFERROR(SUMIF($B$5:$B$29,N$32,INDEX(EMBELISHMENT!$B$3:$AQ$27,0,MATCH($AE65,EMBELISHMENT!$B$1:$AQ$1,0))),0)</f>
        <v>0</v>
      </c>
      <c r="O65" s="2">
        <f>IFERROR(SUMIF($B$5:$B$29,O$32,INDEX(EMBELISHMENT!$B$3:$AQ$27,0,MATCH($AE65,EMBELISHMENT!$B$1:$AQ$1,0))),0)</f>
        <v>0</v>
      </c>
      <c r="P65" s="2">
        <f>IFERROR(SUMIF($B$5:$B$29,P$32,INDEX(EMBELISHMENT!$B$3:$AQ$27,0,MATCH($AE65,EMBELISHMENT!$B$1:$AQ$1,0))),0)</f>
        <v>0</v>
      </c>
      <c r="Q65" s="2">
        <f>IFERROR(SUMIF($B$5:$B$29,Q$32,INDEX(EMBELISHMENT!$B$3:$AQ$27,0,MATCH($AE65,EMBELISHMENT!$B$1:$AQ$1,0))),0)</f>
        <v>0</v>
      </c>
      <c r="R65" s="2">
        <f>IFERROR(SUMIF($B$5:$B$29,R$32,INDEX(EMBELISHMENT!$B$3:$AQ$27,0,MATCH($AE65,EMBELISHMENT!$B$1:$AQ$1,0))),0)</f>
        <v>1</v>
      </c>
      <c r="S65" s="2">
        <f>IFERROR(SUMIF($B$5:$B$29,S$32,INDEX(EMBELISHMENT!$B$3:$AQ$27,0,MATCH($AE65,EMBELISHMENT!$B$1:$AQ$1,0))),0)</f>
        <v>3</v>
      </c>
      <c r="T65" s="2">
        <f>IFERROR(SUMIF($B$5:$B$29,T$32,INDEX(EMBELISHMENT!$B$3:$AQ$27,0,MATCH($AE65,EMBELISHMENT!$B$1:$AQ$1,0))),0)</f>
        <v>0</v>
      </c>
      <c r="U65" s="2">
        <f>IFERROR(SUMIF($B$5:$B$29,U$32,INDEX(EMBELISHMENT!$B$3:$AQ$27,0,MATCH($AE65,EMBELISHMENT!$B$1:$AQ$1,0))),0)</f>
        <v>1</v>
      </c>
      <c r="V65" s="2">
        <f>IFERROR(SUMIF($B$5:$B$29,V$32,INDEX(EMBELISHMENT!$B$3:$AQ$27,0,MATCH($AE65,EMBELISHMENT!$B$1:$AQ$1,0))),0)</f>
        <v>0</v>
      </c>
      <c r="W65" s="2">
        <f>IFERROR(SUMIF($B$5:$B$29,W$32,INDEX(EMBELISHMENT!$B$3:$AQ$27,0,MATCH($AE65,EMBELISHMENT!$B$1:$AQ$1,0))),0)</f>
        <v>1</v>
      </c>
      <c r="X65" s="2">
        <f>IFERROR(SUMIF($B$5:$B$29,X$32,INDEX(EMBELISHMENT!$B$3:$AQ$27,0,MATCH($AE65,EMBELISHMENT!$B$1:$AQ$1,0))),0)</f>
        <v>1</v>
      </c>
      <c r="Y65" s="2">
        <f>IFERROR(SUMIF($B$5:$B$29,Y$32,INDEX(EMBELISHMENT!$B$3:$AQ$27,0,MATCH($AE65,EMBELISHMENT!$B$1:$AQ$1,0))),0)</f>
        <v>0</v>
      </c>
      <c r="Z65" s="2">
        <f>IFERROR(SUMIF($B$5:$B$29,Z$32,INDEX(EMBELISHMENT!$B$3:$AQ$27,0,MATCH($AE65,EMBELISHMENT!$B$1:$AQ$1,0))),0)</f>
        <v>0</v>
      </c>
      <c r="AA65" s="2">
        <f>IFERROR(SUMIF($B$5:$B$29,AA$32,INDEX(EMBELISHMENT!$B$3:$AQ$27,0,MATCH($AE65,EMBELISHMENT!$B$1:$AQ$1,0))),0)</f>
        <v>1</v>
      </c>
      <c r="AB65" s="2">
        <f>SUM($B65:$AA65)</f>
        <v>25</v>
      </c>
      <c r="AC65" s="2">
        <f>IFERROR(INDEX(EMBELISHMENT!$B$28:$AQ$28,MATCH($AE65,EMBELISHMENT!$B$1:$AQ$1,0)),0)</f>
        <v>25</v>
      </c>
      <c r="AD65" s="2" t="str">
        <f>IF(N(AC65)=0,"n/a",IF(ROUND(AB65-AC65,1)=0,"OK",ROUND(AB65-AC65,1)))</f>
        <v>OK</v>
      </c>
      <c r="AE65" s="2">
        <f>IFERROR(IF(INDEX($L$5:$L$28,MATCH($A65,$K$5:$K$28,0))="","(no recipe)",INDEX($L$5:$L$28,MATCH($A65,$K$5:$K$28,0))),$A65)</f>
        <v>4222</v>
      </c>
      <c r="AF65" s="2" t="str">
        <f>IFERROR(INDEX($M$5:$M$28,MATCH($A65,$K$5:$K$28,0)),"STYLE")</f>
        <v>STYLE</v>
      </c>
      <c r="AG65" s="60" t="s">
        <v>493</v>
      </c>
    </row>
    <row r="66" spans="1:33">
      <c r="A66" s="2">
        <f>EMBELISHMENT!$X$1</f>
        <v>4300</v>
      </c>
      <c r="B66" s="2">
        <f>IFERROR(SUMIF($B$5:$B$29,B$32,INDEX(EMBELISHMENT!$B$3:$AQ$27,0,MATCH($AE66,EMBELISHMENT!$B$1:$AQ$1,0))),0)</f>
        <v>21</v>
      </c>
      <c r="C66" s="2">
        <f>IFERROR(SUMIF($B$5:$B$29,C$32,INDEX(EMBELISHMENT!$B$3:$AQ$27,0,MATCH($AE66,EMBELISHMENT!$B$1:$AQ$1,0))),0)</f>
        <v>0</v>
      </c>
      <c r="D66" s="2">
        <f>IFERROR(SUMIF($B$5:$B$29,D$32,INDEX(EMBELISHMENT!$B$3:$AQ$27,0,MATCH($AE66,EMBELISHMENT!$B$1:$AQ$1,0))),0)</f>
        <v>0</v>
      </c>
      <c r="E66" s="2">
        <f>IFERROR(SUMIF($B$5:$B$29,E$32,INDEX(EMBELISHMENT!$B$3:$AQ$27,0,MATCH($AE66,EMBELISHMENT!$B$1:$AQ$1,0))),0)</f>
        <v>1</v>
      </c>
      <c r="F66" s="2">
        <f>IFERROR(SUMIF($B$5:$B$29,F$32,INDEX(EMBELISHMENT!$B$3:$AQ$27,0,MATCH($AE66,EMBELISHMENT!$B$1:$AQ$1,0))),0)</f>
        <v>9</v>
      </c>
      <c r="G66" s="2">
        <f>IFERROR(SUMIF($B$5:$B$29,G$32,INDEX(EMBELISHMENT!$B$3:$AQ$27,0,MATCH($AE66,EMBELISHMENT!$B$1:$AQ$1,0))),0)</f>
        <v>0</v>
      </c>
      <c r="H66" s="2">
        <f>IFERROR(SUMIF($B$5:$B$29,H$32,INDEX(EMBELISHMENT!$B$3:$AQ$27,0,MATCH($AE66,EMBELISHMENT!$B$1:$AQ$1,0))),0)</f>
        <v>0</v>
      </c>
      <c r="I66" s="2">
        <f>IFERROR(SUMIF($B$5:$B$29,I$32,INDEX(EMBELISHMENT!$B$3:$AQ$27,0,MATCH($AE66,EMBELISHMENT!$B$1:$AQ$1,0))),0)</f>
        <v>0</v>
      </c>
      <c r="J66" s="2">
        <f>IFERROR(SUMIF($B$5:$B$29,J$32,INDEX(EMBELISHMENT!$B$3:$AQ$27,0,MATCH($AE66,EMBELISHMENT!$B$1:$AQ$1,0))),0)</f>
        <v>1.5</v>
      </c>
      <c r="K66" s="2">
        <f>IFERROR(SUMIF($B$5:$B$29,K$32,INDEX(EMBELISHMENT!$B$3:$AQ$27,0,MATCH($AE66,EMBELISHMENT!$B$1:$AQ$1,0))),0)</f>
        <v>0</v>
      </c>
      <c r="L66" s="2">
        <f>IFERROR(SUMIF($B$5:$B$29,L$32,INDEX(EMBELISHMENT!$B$3:$AQ$27,0,MATCH($AE66,EMBELISHMENT!$B$1:$AQ$1,0))),0)</f>
        <v>0</v>
      </c>
      <c r="M66" s="2">
        <f>IFERROR(SUMIF($B$5:$B$29,M$32,INDEX(EMBELISHMENT!$B$3:$AQ$27,0,MATCH($AE66,EMBELISHMENT!$B$1:$AQ$1,0))),0)</f>
        <v>0</v>
      </c>
      <c r="N66" s="2">
        <f>IFERROR(SUMIF($B$5:$B$29,N$32,INDEX(EMBELISHMENT!$B$3:$AQ$27,0,MATCH($AE66,EMBELISHMENT!$B$1:$AQ$1,0))),0)</f>
        <v>0</v>
      </c>
      <c r="O66" s="2">
        <f>IFERROR(SUMIF($B$5:$B$29,O$32,INDEX(EMBELISHMENT!$B$3:$AQ$27,0,MATCH($AE66,EMBELISHMENT!$B$1:$AQ$1,0))),0)</f>
        <v>0</v>
      </c>
      <c r="P66" s="2">
        <f>IFERROR(SUMIF($B$5:$B$29,P$32,INDEX(EMBELISHMENT!$B$3:$AQ$27,0,MATCH($AE66,EMBELISHMENT!$B$1:$AQ$1,0))),0)</f>
        <v>0</v>
      </c>
      <c r="Q66" s="2">
        <f>IFERROR(SUMIF($B$5:$B$29,Q$32,INDEX(EMBELISHMENT!$B$3:$AQ$27,0,MATCH($AE66,EMBELISHMENT!$B$1:$AQ$1,0))),0)</f>
        <v>0</v>
      </c>
      <c r="R66" s="2">
        <f>IFERROR(SUMIF($B$5:$B$29,R$32,INDEX(EMBELISHMENT!$B$3:$AQ$27,0,MATCH($AE66,EMBELISHMENT!$B$1:$AQ$1,0))),0)</f>
        <v>1</v>
      </c>
      <c r="S66" s="2">
        <f>IFERROR(SUMIF($B$5:$B$29,S$32,INDEX(EMBELISHMENT!$B$3:$AQ$27,0,MATCH($AE66,EMBELISHMENT!$B$1:$AQ$1,0))),0)</f>
        <v>0</v>
      </c>
      <c r="T66" s="2">
        <f>IFERROR(SUMIF($B$5:$B$29,T$32,INDEX(EMBELISHMENT!$B$3:$AQ$27,0,MATCH($AE66,EMBELISHMENT!$B$1:$AQ$1,0))),0)</f>
        <v>0</v>
      </c>
      <c r="U66" s="2">
        <f>IFERROR(SUMIF($B$5:$B$29,U$32,INDEX(EMBELISHMENT!$B$3:$AQ$27,0,MATCH($AE66,EMBELISHMENT!$B$1:$AQ$1,0))),0)</f>
        <v>2</v>
      </c>
      <c r="V66" s="2">
        <f>IFERROR(SUMIF($B$5:$B$29,V$32,INDEX(EMBELISHMENT!$B$3:$AQ$27,0,MATCH($AE66,EMBELISHMENT!$B$1:$AQ$1,0))),0)</f>
        <v>0</v>
      </c>
      <c r="W66" s="2">
        <f>IFERROR(SUMIF($B$5:$B$29,W$32,INDEX(EMBELISHMENT!$B$3:$AQ$27,0,MATCH($AE66,EMBELISHMENT!$B$1:$AQ$1,0))),0)</f>
        <v>1</v>
      </c>
      <c r="X66" s="2">
        <f>IFERROR(SUMIF($B$5:$B$29,X$32,INDEX(EMBELISHMENT!$B$3:$AQ$27,0,MATCH($AE66,EMBELISHMENT!$B$1:$AQ$1,0))),0)</f>
        <v>0</v>
      </c>
      <c r="Y66" s="2">
        <f>IFERROR(SUMIF($B$5:$B$29,Y$32,INDEX(EMBELISHMENT!$B$3:$AQ$27,0,MATCH($AE66,EMBELISHMENT!$B$1:$AQ$1,0))),0)</f>
        <v>1</v>
      </c>
      <c r="Z66" s="2">
        <f>IFERROR(SUMIF($B$5:$B$29,Z$32,INDEX(EMBELISHMENT!$B$3:$AQ$27,0,MATCH($AE66,EMBELISHMENT!$B$1:$AQ$1,0))),0)</f>
        <v>0</v>
      </c>
      <c r="AA66" s="2">
        <f>IFERROR(SUMIF($B$5:$B$29,AA$32,INDEX(EMBELISHMENT!$B$3:$AQ$27,0,MATCH($AE66,EMBELISHMENT!$B$1:$AQ$1,0))),0)</f>
        <v>0</v>
      </c>
      <c r="AB66" s="2">
        <f>SUM($B66:$AA66)</f>
        <v>37.5</v>
      </c>
      <c r="AC66" s="2">
        <f>IFERROR(INDEX(EMBELISHMENT!$B$28:$AQ$28,MATCH($AE66,EMBELISHMENT!$B$1:$AQ$1,0)),0)</f>
        <v>37.5</v>
      </c>
      <c r="AD66" s="2" t="str">
        <f>IF(N(AC66)=0,"n/a",IF(ROUND(AB66-AC66,1)=0,"OK",ROUND(AB66-AC66,1)))</f>
        <v>OK</v>
      </c>
      <c r="AE66" s="2">
        <f>IFERROR(IF(INDEX($L$5:$L$28,MATCH($A66,$K$5:$K$28,0))="","(no recipe)",INDEX($L$5:$L$28,MATCH($A66,$K$5:$K$28,0))),$A66)</f>
        <v>4300</v>
      </c>
      <c r="AF66" s="2" t="str">
        <f>IFERROR(INDEX($M$5:$M$28,MATCH($A66,$K$5:$K$28,0)),"STYLE")</f>
        <v>STYLE</v>
      </c>
      <c r="AG66" s="60" t="s">
        <v>306</v>
      </c>
    </row>
    <row r="67" spans="1:33">
      <c r="A67" s="2">
        <f>EMBELISHMENT!$Y$1</f>
        <v>4359</v>
      </c>
      <c r="B67" s="2">
        <f>IFERROR(SUMIF($B$5:$B$29,B$32,INDEX(EMBELISHMENT!$B$3:$AQ$27,0,MATCH($AE67,EMBELISHMENT!$B$1:$AQ$1,0))),0)</f>
        <v>9</v>
      </c>
      <c r="C67" s="2">
        <f>IFERROR(SUMIF($B$5:$B$29,C$32,INDEX(EMBELISHMENT!$B$3:$AQ$27,0,MATCH($AE67,EMBELISHMENT!$B$1:$AQ$1,0))),0)</f>
        <v>0</v>
      </c>
      <c r="D67" s="2">
        <f>IFERROR(SUMIF($B$5:$B$29,D$32,INDEX(EMBELISHMENT!$B$3:$AQ$27,0,MATCH($AE67,EMBELISHMENT!$B$1:$AQ$1,0))),0)</f>
        <v>0</v>
      </c>
      <c r="E67" s="2">
        <f>IFERROR(SUMIF($B$5:$B$29,E$32,INDEX(EMBELISHMENT!$B$3:$AQ$27,0,MATCH($AE67,EMBELISHMENT!$B$1:$AQ$1,0))),0)</f>
        <v>0</v>
      </c>
      <c r="F67" s="2">
        <f>IFERROR(SUMIF($B$5:$B$29,F$32,INDEX(EMBELISHMENT!$B$3:$AQ$27,0,MATCH($AE67,EMBELISHMENT!$B$1:$AQ$1,0))),0)</f>
        <v>7</v>
      </c>
      <c r="G67" s="2">
        <f>IFERROR(SUMIF($B$5:$B$29,G$32,INDEX(EMBELISHMENT!$B$3:$AQ$27,0,MATCH($AE67,EMBELISHMENT!$B$1:$AQ$1,0))),0)</f>
        <v>0</v>
      </c>
      <c r="H67" s="2">
        <f>IFERROR(SUMIF($B$5:$B$29,H$32,INDEX(EMBELISHMENT!$B$3:$AQ$27,0,MATCH($AE67,EMBELISHMENT!$B$1:$AQ$1,0))),0)</f>
        <v>0</v>
      </c>
      <c r="I67" s="2">
        <f>IFERROR(SUMIF($B$5:$B$29,I$32,INDEX(EMBELISHMENT!$B$3:$AQ$27,0,MATCH($AE67,EMBELISHMENT!$B$1:$AQ$1,0))),0)</f>
        <v>0</v>
      </c>
      <c r="J67" s="2">
        <f>IFERROR(SUMIF($B$5:$B$29,J$32,INDEX(EMBELISHMENT!$B$3:$AQ$27,0,MATCH($AE67,EMBELISHMENT!$B$1:$AQ$1,0))),0)</f>
        <v>3</v>
      </c>
      <c r="K67" s="2">
        <f>IFERROR(SUMIF($B$5:$B$29,K$32,INDEX(EMBELISHMENT!$B$3:$AQ$27,0,MATCH($AE67,EMBELISHMENT!$B$1:$AQ$1,0))),0)</f>
        <v>0</v>
      </c>
      <c r="L67" s="2">
        <f>IFERROR(SUMIF($B$5:$B$29,L$32,INDEX(EMBELISHMENT!$B$3:$AQ$27,0,MATCH($AE67,EMBELISHMENT!$B$1:$AQ$1,0))),0)</f>
        <v>0</v>
      </c>
      <c r="M67" s="2">
        <f>IFERROR(SUMIF($B$5:$B$29,M$32,INDEX(EMBELISHMENT!$B$3:$AQ$27,0,MATCH($AE67,EMBELISHMENT!$B$1:$AQ$1,0))),0)</f>
        <v>0</v>
      </c>
      <c r="N67" s="2">
        <f>IFERROR(SUMIF($B$5:$B$29,N$32,INDEX(EMBELISHMENT!$B$3:$AQ$27,0,MATCH($AE67,EMBELISHMENT!$B$1:$AQ$1,0))),0)</f>
        <v>0</v>
      </c>
      <c r="O67" s="2">
        <f>IFERROR(SUMIF($B$5:$B$29,O$32,INDEX(EMBELISHMENT!$B$3:$AQ$27,0,MATCH($AE67,EMBELISHMENT!$B$1:$AQ$1,0))),0)</f>
        <v>0</v>
      </c>
      <c r="P67" s="2">
        <f>IFERROR(SUMIF($B$5:$B$29,P$32,INDEX(EMBELISHMENT!$B$3:$AQ$27,0,MATCH($AE67,EMBELISHMENT!$B$1:$AQ$1,0))),0)</f>
        <v>0</v>
      </c>
      <c r="Q67" s="2">
        <f>IFERROR(SUMIF($B$5:$B$29,Q$32,INDEX(EMBELISHMENT!$B$3:$AQ$27,0,MATCH($AE67,EMBELISHMENT!$B$1:$AQ$1,0))),0)</f>
        <v>0</v>
      </c>
      <c r="R67" s="2">
        <f>IFERROR(SUMIF($B$5:$B$29,R$32,INDEX(EMBELISHMENT!$B$3:$AQ$27,0,MATCH($AE67,EMBELISHMENT!$B$1:$AQ$1,0))),0)</f>
        <v>0</v>
      </c>
      <c r="S67" s="2">
        <f>IFERROR(SUMIF($B$5:$B$29,S$32,INDEX(EMBELISHMENT!$B$3:$AQ$27,0,MATCH($AE67,EMBELISHMENT!$B$1:$AQ$1,0))),0)</f>
        <v>0</v>
      </c>
      <c r="T67" s="2">
        <f>IFERROR(SUMIF($B$5:$B$29,T$32,INDEX(EMBELISHMENT!$B$3:$AQ$27,0,MATCH($AE67,EMBELISHMENT!$B$1:$AQ$1,0))),0)</f>
        <v>0</v>
      </c>
      <c r="U67" s="2">
        <f>IFERROR(SUMIF($B$5:$B$29,U$32,INDEX(EMBELISHMENT!$B$3:$AQ$27,0,MATCH($AE67,EMBELISHMENT!$B$1:$AQ$1,0))),0)</f>
        <v>1.5</v>
      </c>
      <c r="V67" s="2">
        <f>IFERROR(SUMIF($B$5:$B$29,V$32,INDEX(EMBELISHMENT!$B$3:$AQ$27,0,MATCH($AE67,EMBELISHMENT!$B$1:$AQ$1,0))),0)</f>
        <v>0</v>
      </c>
      <c r="W67" s="2">
        <f>IFERROR(SUMIF($B$5:$B$29,W$32,INDEX(EMBELISHMENT!$B$3:$AQ$27,0,MATCH($AE67,EMBELISHMENT!$B$1:$AQ$1,0))),0)</f>
        <v>0</v>
      </c>
      <c r="X67" s="2">
        <f>IFERROR(SUMIF($B$5:$B$29,X$32,INDEX(EMBELISHMENT!$B$3:$AQ$27,0,MATCH($AE67,EMBELISHMENT!$B$1:$AQ$1,0))),0)</f>
        <v>0</v>
      </c>
      <c r="Y67" s="2">
        <f>IFERROR(SUMIF($B$5:$B$29,Y$32,INDEX(EMBELISHMENT!$B$3:$AQ$27,0,MATCH($AE67,EMBELISHMENT!$B$1:$AQ$1,0))),0)</f>
        <v>0</v>
      </c>
      <c r="Z67" s="2">
        <f>IFERROR(SUMIF($B$5:$B$29,Z$32,INDEX(EMBELISHMENT!$B$3:$AQ$27,0,MATCH($AE67,EMBELISHMENT!$B$1:$AQ$1,0))),0)</f>
        <v>0</v>
      </c>
      <c r="AA67" s="2">
        <f>IFERROR(SUMIF($B$5:$B$29,AA$32,INDEX(EMBELISHMENT!$B$3:$AQ$27,0,MATCH($AE67,EMBELISHMENT!$B$1:$AQ$1,0))),0)</f>
        <v>1</v>
      </c>
      <c r="AB67" s="2">
        <f>SUM($B67:$AA67)</f>
        <v>21.5</v>
      </c>
      <c r="AC67" s="2">
        <f>IFERROR(INDEX(EMBELISHMENT!$B$28:$AQ$28,MATCH($AE67,EMBELISHMENT!$B$1:$AQ$1,0)),0)</f>
        <v>21.5</v>
      </c>
      <c r="AD67" s="2" t="str">
        <f>IF(N(AC67)=0,"n/a",IF(ROUND(AB67-AC67,1)=0,"OK",ROUND(AB67-AC67,1)))</f>
        <v>OK</v>
      </c>
      <c r="AE67" s="2">
        <f>IFERROR(IF(INDEX($L$5:$L$28,MATCH($A67,$K$5:$K$28,0))="","(no recipe)",INDEX($L$5:$L$28,MATCH($A67,$K$5:$K$28,0))),$A67)</f>
        <v>4359</v>
      </c>
      <c r="AF67" s="2" t="str">
        <f>IFERROR(INDEX($M$5:$M$28,MATCH($A67,$K$5:$K$28,0)),"STYLE")</f>
        <v>STYLE</v>
      </c>
      <c r="AG67" s="60" t="s">
        <v>493</v>
      </c>
    </row>
    <row r="68" spans="1:33">
      <c r="A68" s="2">
        <f>EMBELISHMENT!$Z$1</f>
        <v>4301</v>
      </c>
      <c r="B68" s="2">
        <f>IFERROR(SUMIF($B$5:$B$29,B$32,INDEX(EMBELISHMENT!$B$3:$AQ$27,0,MATCH($AE68,EMBELISHMENT!$B$1:$AQ$1,0))),0)</f>
        <v>20</v>
      </c>
      <c r="C68" s="2">
        <f>IFERROR(SUMIF($B$5:$B$29,C$32,INDEX(EMBELISHMENT!$B$3:$AQ$27,0,MATCH($AE68,EMBELISHMENT!$B$1:$AQ$1,0))),0)</f>
        <v>0</v>
      </c>
      <c r="D68" s="2">
        <f>IFERROR(SUMIF($B$5:$B$29,D$32,INDEX(EMBELISHMENT!$B$3:$AQ$27,0,MATCH($AE68,EMBELISHMENT!$B$1:$AQ$1,0))),0)</f>
        <v>0</v>
      </c>
      <c r="E68" s="2">
        <f>IFERROR(SUMIF($B$5:$B$29,E$32,INDEX(EMBELISHMENT!$B$3:$AQ$27,0,MATCH($AE68,EMBELISHMENT!$B$1:$AQ$1,0))),0)</f>
        <v>1</v>
      </c>
      <c r="F68" s="2">
        <f>IFERROR(SUMIF($B$5:$B$29,F$32,INDEX(EMBELISHMENT!$B$3:$AQ$27,0,MATCH($AE68,EMBELISHMENT!$B$1:$AQ$1,0))),0)</f>
        <v>9</v>
      </c>
      <c r="G68" s="2">
        <f>IFERROR(SUMIF($B$5:$B$29,G$32,INDEX(EMBELISHMENT!$B$3:$AQ$27,0,MATCH($AE68,EMBELISHMENT!$B$1:$AQ$1,0))),0)</f>
        <v>0</v>
      </c>
      <c r="H68" s="2">
        <f>IFERROR(SUMIF($B$5:$B$29,H$32,INDEX(EMBELISHMENT!$B$3:$AQ$27,0,MATCH($AE68,EMBELISHMENT!$B$1:$AQ$1,0))),0)</f>
        <v>0</v>
      </c>
      <c r="I68" s="2">
        <f>IFERROR(SUMIF($B$5:$B$29,I$32,INDEX(EMBELISHMENT!$B$3:$AQ$27,0,MATCH($AE68,EMBELISHMENT!$B$1:$AQ$1,0))),0)</f>
        <v>0</v>
      </c>
      <c r="J68" s="2">
        <f>IFERROR(SUMIF($B$5:$B$29,J$32,INDEX(EMBELISHMENT!$B$3:$AQ$27,0,MATCH($AE68,EMBELISHMENT!$B$1:$AQ$1,0))),0)</f>
        <v>1.5</v>
      </c>
      <c r="K68" s="2">
        <f>IFERROR(SUMIF($B$5:$B$29,K$32,INDEX(EMBELISHMENT!$B$3:$AQ$27,0,MATCH($AE68,EMBELISHMENT!$B$1:$AQ$1,0))),0)</f>
        <v>0</v>
      </c>
      <c r="L68" s="2">
        <f>IFERROR(SUMIF($B$5:$B$29,L$32,INDEX(EMBELISHMENT!$B$3:$AQ$27,0,MATCH($AE68,EMBELISHMENT!$B$1:$AQ$1,0))),0)</f>
        <v>0</v>
      </c>
      <c r="M68" s="2">
        <f>IFERROR(SUMIF($B$5:$B$29,M$32,INDEX(EMBELISHMENT!$B$3:$AQ$27,0,MATCH($AE68,EMBELISHMENT!$B$1:$AQ$1,0))),0)</f>
        <v>2</v>
      </c>
      <c r="N68" s="2">
        <f>IFERROR(SUMIF($B$5:$B$29,N$32,INDEX(EMBELISHMENT!$B$3:$AQ$27,0,MATCH($AE68,EMBELISHMENT!$B$1:$AQ$1,0))),0)</f>
        <v>0</v>
      </c>
      <c r="O68" s="2">
        <f>IFERROR(SUMIF($B$5:$B$29,O$32,INDEX(EMBELISHMENT!$B$3:$AQ$27,0,MATCH($AE68,EMBELISHMENT!$B$1:$AQ$1,0))),0)</f>
        <v>0</v>
      </c>
      <c r="P68" s="2">
        <f>IFERROR(SUMIF($B$5:$B$29,P$32,INDEX(EMBELISHMENT!$B$3:$AQ$27,0,MATCH($AE68,EMBELISHMENT!$B$1:$AQ$1,0))),0)</f>
        <v>0</v>
      </c>
      <c r="Q68" s="2">
        <f>IFERROR(SUMIF($B$5:$B$29,Q$32,INDEX(EMBELISHMENT!$B$3:$AQ$27,0,MATCH($AE68,EMBELISHMENT!$B$1:$AQ$1,0))),0)</f>
        <v>0</v>
      </c>
      <c r="R68" s="2">
        <f>IFERROR(SUMIF($B$5:$B$29,R$32,INDEX(EMBELISHMENT!$B$3:$AQ$27,0,MATCH($AE68,EMBELISHMENT!$B$1:$AQ$1,0))),0)</f>
        <v>0</v>
      </c>
      <c r="S68" s="2">
        <f>IFERROR(SUMIF($B$5:$B$29,S$32,INDEX(EMBELISHMENT!$B$3:$AQ$27,0,MATCH($AE68,EMBELISHMENT!$B$1:$AQ$1,0))),0)</f>
        <v>0</v>
      </c>
      <c r="T68" s="2">
        <f>IFERROR(SUMIF($B$5:$B$29,T$32,INDEX(EMBELISHMENT!$B$3:$AQ$27,0,MATCH($AE68,EMBELISHMENT!$B$1:$AQ$1,0))),0)</f>
        <v>0</v>
      </c>
      <c r="U68" s="2">
        <f>IFERROR(SUMIF($B$5:$B$29,U$32,INDEX(EMBELISHMENT!$B$3:$AQ$27,0,MATCH($AE68,EMBELISHMENT!$B$1:$AQ$1,0))),0)</f>
        <v>2</v>
      </c>
      <c r="V68" s="2">
        <f>IFERROR(SUMIF($B$5:$B$29,V$32,INDEX(EMBELISHMENT!$B$3:$AQ$27,0,MATCH($AE68,EMBELISHMENT!$B$1:$AQ$1,0))),0)</f>
        <v>0</v>
      </c>
      <c r="W68" s="2">
        <f>IFERROR(SUMIF($B$5:$B$29,W$32,INDEX(EMBELISHMENT!$B$3:$AQ$27,0,MATCH($AE68,EMBELISHMENT!$B$1:$AQ$1,0))),0)</f>
        <v>1</v>
      </c>
      <c r="X68" s="2">
        <f>IFERROR(SUMIF($B$5:$B$29,X$32,INDEX(EMBELISHMENT!$B$3:$AQ$27,0,MATCH($AE68,EMBELISHMENT!$B$1:$AQ$1,0))),0)</f>
        <v>0</v>
      </c>
      <c r="Y68" s="2">
        <f>IFERROR(SUMIF($B$5:$B$29,Y$32,INDEX(EMBELISHMENT!$B$3:$AQ$27,0,MATCH($AE68,EMBELISHMENT!$B$1:$AQ$1,0))),0)</f>
        <v>1</v>
      </c>
      <c r="Z68" s="2">
        <f>IFERROR(SUMIF($B$5:$B$29,Z$32,INDEX(EMBELISHMENT!$B$3:$AQ$27,0,MATCH($AE68,EMBELISHMENT!$B$1:$AQ$1,0))),0)</f>
        <v>0</v>
      </c>
      <c r="AA68" s="2">
        <f>IFERROR(SUMIF($B$5:$B$29,AA$32,INDEX(EMBELISHMENT!$B$3:$AQ$27,0,MATCH($AE68,EMBELISHMENT!$B$1:$AQ$1,0))),0)</f>
        <v>0</v>
      </c>
      <c r="AB68" s="2">
        <f>SUM($B68:$AA68)</f>
        <v>37.5</v>
      </c>
      <c r="AC68" s="2">
        <f>IFERROR(INDEX(EMBELISHMENT!$B$28:$AQ$28,MATCH($AE68,EMBELISHMENT!$B$1:$AQ$1,0)),0)</f>
        <v>37.5</v>
      </c>
      <c r="AD68" s="2" t="str">
        <f>IF(N(AC68)=0,"n/a",IF(ROUND(AB68-AC68,1)=0,"OK",ROUND(AB68-AC68,1)))</f>
        <v>OK</v>
      </c>
      <c r="AE68" s="2">
        <f>IFERROR(IF(INDEX($L$5:$L$28,MATCH($A68,$K$5:$K$28,0))="","(no recipe)",INDEX($L$5:$L$28,MATCH($A68,$K$5:$K$28,0))),$A68)</f>
        <v>4301</v>
      </c>
      <c r="AF68" s="2" t="str">
        <f>IFERROR(INDEX($M$5:$M$28,MATCH($A68,$K$5:$K$28,0)),"STYLE")</f>
        <v>STYLE</v>
      </c>
      <c r="AG68" s="60" t="s">
        <v>306</v>
      </c>
    </row>
    <row r="69" spans="1:33">
      <c r="A69" s="2" t="str">
        <f>EMBELISHMENT!$AA$1</f>
        <v>RS-92</v>
      </c>
      <c r="B69" s="2">
        <f>IFERROR(SUMIF($B$5:$B$29,B$32,INDEX(EMBELISHMENT!$B$3:$AQ$27,0,MATCH($AE69,EMBELISHMENT!$B$1:$AQ$1,0))),0)</f>
        <v>9</v>
      </c>
      <c r="C69" s="2">
        <f>IFERROR(SUMIF($B$5:$B$29,C$32,INDEX(EMBELISHMENT!$B$3:$AQ$27,0,MATCH($AE69,EMBELISHMENT!$B$1:$AQ$1,0))),0)</f>
        <v>0</v>
      </c>
      <c r="D69" s="2">
        <f>IFERROR(SUMIF($B$5:$B$29,D$32,INDEX(EMBELISHMENT!$B$3:$AQ$27,0,MATCH($AE69,EMBELISHMENT!$B$1:$AQ$1,0))),0)</f>
        <v>0</v>
      </c>
      <c r="E69" s="2">
        <f>IFERROR(SUMIF($B$5:$B$29,E$32,INDEX(EMBELISHMENT!$B$3:$AQ$27,0,MATCH($AE69,EMBELISHMENT!$B$1:$AQ$1,0))),0)</f>
        <v>0</v>
      </c>
      <c r="F69" s="2">
        <f>IFERROR(SUMIF($B$5:$B$29,F$32,INDEX(EMBELISHMENT!$B$3:$AQ$27,0,MATCH($AE69,EMBELISHMENT!$B$1:$AQ$1,0))),0)</f>
        <v>10</v>
      </c>
      <c r="G69" s="2">
        <f>IFERROR(SUMIF($B$5:$B$29,G$32,INDEX(EMBELISHMENT!$B$3:$AQ$27,0,MATCH($AE69,EMBELISHMENT!$B$1:$AQ$1,0))),0)</f>
        <v>0</v>
      </c>
      <c r="H69" s="2">
        <f>IFERROR(SUMIF($B$5:$B$29,H$32,INDEX(EMBELISHMENT!$B$3:$AQ$27,0,MATCH($AE69,EMBELISHMENT!$B$1:$AQ$1,0))),0)</f>
        <v>0</v>
      </c>
      <c r="I69" s="2">
        <f>IFERROR(SUMIF($B$5:$B$29,I$32,INDEX(EMBELISHMENT!$B$3:$AQ$27,0,MATCH($AE69,EMBELISHMENT!$B$1:$AQ$1,0))),0)</f>
        <v>0</v>
      </c>
      <c r="J69" s="2">
        <f>IFERROR(SUMIF($B$5:$B$29,J$32,INDEX(EMBELISHMENT!$B$3:$AQ$27,0,MATCH($AE69,EMBELISHMENT!$B$1:$AQ$1,0))),0)</f>
        <v>0</v>
      </c>
      <c r="K69" s="2">
        <f>IFERROR(SUMIF($B$5:$B$29,K$32,INDEX(EMBELISHMENT!$B$3:$AQ$27,0,MATCH($AE69,EMBELISHMENT!$B$1:$AQ$1,0))),0)</f>
        <v>0</v>
      </c>
      <c r="L69" s="2">
        <f>IFERROR(SUMIF($B$5:$B$29,L$32,INDEX(EMBELISHMENT!$B$3:$AQ$27,0,MATCH($AE69,EMBELISHMENT!$B$1:$AQ$1,0))),0)</f>
        <v>0</v>
      </c>
      <c r="M69" s="2">
        <f>IFERROR(SUMIF($B$5:$B$29,M$32,INDEX(EMBELISHMENT!$B$3:$AQ$27,0,MATCH($AE69,EMBELISHMENT!$B$1:$AQ$1,0))),0)</f>
        <v>0</v>
      </c>
      <c r="N69" s="2">
        <f>IFERROR(SUMIF($B$5:$B$29,N$32,INDEX(EMBELISHMENT!$B$3:$AQ$27,0,MATCH($AE69,EMBELISHMENT!$B$1:$AQ$1,0))),0)</f>
        <v>0</v>
      </c>
      <c r="O69" s="2">
        <f>IFERROR(SUMIF($B$5:$B$29,O$32,INDEX(EMBELISHMENT!$B$3:$AQ$27,0,MATCH($AE69,EMBELISHMENT!$B$1:$AQ$1,0))),0)</f>
        <v>0</v>
      </c>
      <c r="P69" s="2">
        <f>IFERROR(SUMIF($B$5:$B$29,P$32,INDEX(EMBELISHMENT!$B$3:$AQ$27,0,MATCH($AE69,EMBELISHMENT!$B$1:$AQ$1,0))),0)</f>
        <v>6</v>
      </c>
      <c r="Q69" s="2">
        <f>IFERROR(SUMIF($B$5:$B$29,Q$32,INDEX(EMBELISHMENT!$B$3:$AQ$27,0,MATCH($AE69,EMBELISHMENT!$B$1:$AQ$1,0))),0)</f>
        <v>0</v>
      </c>
      <c r="R69" s="2">
        <f>IFERROR(SUMIF($B$5:$B$29,R$32,INDEX(EMBELISHMENT!$B$3:$AQ$27,0,MATCH($AE69,EMBELISHMENT!$B$1:$AQ$1,0))),0)</f>
        <v>0</v>
      </c>
      <c r="S69" s="2">
        <f>IFERROR(SUMIF($B$5:$B$29,S$32,INDEX(EMBELISHMENT!$B$3:$AQ$27,0,MATCH($AE69,EMBELISHMENT!$B$1:$AQ$1,0))),0)</f>
        <v>0</v>
      </c>
      <c r="T69" s="2">
        <f>IFERROR(SUMIF($B$5:$B$29,T$32,INDEX(EMBELISHMENT!$B$3:$AQ$27,0,MATCH($AE69,EMBELISHMENT!$B$1:$AQ$1,0))),0)</f>
        <v>1</v>
      </c>
      <c r="U69" s="2">
        <f>IFERROR(SUMIF($B$5:$B$29,U$32,INDEX(EMBELISHMENT!$B$3:$AQ$27,0,MATCH($AE69,EMBELISHMENT!$B$1:$AQ$1,0))),0)</f>
        <v>1</v>
      </c>
      <c r="V69" s="2">
        <f>IFERROR(SUMIF($B$5:$B$29,V$32,INDEX(EMBELISHMENT!$B$3:$AQ$27,0,MATCH($AE69,EMBELISHMENT!$B$1:$AQ$1,0))),0)</f>
        <v>0</v>
      </c>
      <c r="W69" s="2">
        <f>IFERROR(SUMIF($B$5:$B$29,W$32,INDEX(EMBELISHMENT!$B$3:$AQ$27,0,MATCH($AE69,EMBELISHMENT!$B$1:$AQ$1,0))),0)</f>
        <v>0</v>
      </c>
      <c r="X69" s="2">
        <f>IFERROR(SUMIF($B$5:$B$29,X$32,INDEX(EMBELISHMENT!$B$3:$AQ$27,0,MATCH($AE69,EMBELISHMENT!$B$1:$AQ$1,0))),0)</f>
        <v>0</v>
      </c>
      <c r="Y69" s="2">
        <f>IFERROR(SUMIF($B$5:$B$29,Y$32,INDEX(EMBELISHMENT!$B$3:$AQ$27,0,MATCH($AE69,EMBELISHMENT!$B$1:$AQ$1,0))),0)</f>
        <v>0</v>
      </c>
      <c r="Z69" s="2">
        <f>IFERROR(SUMIF($B$5:$B$29,Z$32,INDEX(EMBELISHMENT!$B$3:$AQ$27,0,MATCH($AE69,EMBELISHMENT!$B$1:$AQ$1,0))),0)</f>
        <v>0</v>
      </c>
      <c r="AA69" s="2">
        <f>IFERROR(SUMIF($B$5:$B$29,AA$32,INDEX(EMBELISHMENT!$B$3:$AQ$27,0,MATCH($AE69,EMBELISHMENT!$B$1:$AQ$1,0))),0)</f>
        <v>0</v>
      </c>
      <c r="AB69" s="2">
        <f>SUM($B69:$AA69)</f>
        <v>27</v>
      </c>
      <c r="AC69" s="2">
        <f>IFERROR(INDEX(EMBELISHMENT!$B$28:$AQ$28,MATCH($AE69,EMBELISHMENT!$B$1:$AQ$1,0)),0)</f>
        <v>27</v>
      </c>
      <c r="AD69" s="2" t="str">
        <f>IF(N(AC69)=0,"n/a",IF(ROUND(AB69-AC69,1)=0,"OK",ROUND(AB69-AC69,1)))</f>
        <v>OK</v>
      </c>
      <c r="AE69" s="2" t="str">
        <f>IFERROR(IF(INDEX($L$5:$L$28,MATCH($A69,$K$5:$K$28,0))="","(no recipe)",INDEX($L$5:$L$28,MATCH($A69,$K$5:$K$28,0))),$A69)</f>
        <v>RS-92</v>
      </c>
      <c r="AF69" s="2" t="str">
        <f>IFERROR(INDEX($M$5:$M$28,MATCH($A69,$K$5:$K$28,0)),"STYLE")</f>
        <v>STYLE</v>
      </c>
      <c r="AG69" s="60" t="s">
        <v>493</v>
      </c>
    </row>
    <row r="70" spans="1:33">
      <c r="A70" s="2" t="str">
        <f>EMBELISHMENT!$AB$1</f>
        <v>BW-30</v>
      </c>
      <c r="B70" s="2">
        <f>IFERROR(SUMIF($B$5:$B$29,B$32,INDEX(EMBELISHMENT!$B$3:$AQ$27,0,MATCH($AE70,EMBELISHMENT!$B$1:$AQ$1,0))),0)</f>
        <v>17</v>
      </c>
      <c r="C70" s="2">
        <f>IFERROR(SUMIF($B$5:$B$29,C$32,INDEX(EMBELISHMENT!$B$3:$AQ$27,0,MATCH($AE70,EMBELISHMENT!$B$1:$AQ$1,0))),0)</f>
        <v>4</v>
      </c>
      <c r="D70" s="2">
        <f>IFERROR(SUMIF($B$5:$B$29,D$32,INDEX(EMBELISHMENT!$B$3:$AQ$27,0,MATCH($AE70,EMBELISHMENT!$B$1:$AQ$1,0))),0)</f>
        <v>0</v>
      </c>
      <c r="E70" s="2">
        <f>IFERROR(SUMIF($B$5:$B$29,E$32,INDEX(EMBELISHMENT!$B$3:$AQ$27,0,MATCH($AE70,EMBELISHMENT!$B$1:$AQ$1,0))),0)</f>
        <v>0</v>
      </c>
      <c r="F70" s="2">
        <f>IFERROR(SUMIF($B$5:$B$29,F$32,INDEX(EMBELISHMENT!$B$3:$AQ$27,0,MATCH($AE70,EMBELISHMENT!$B$1:$AQ$1,0))),0)</f>
        <v>10</v>
      </c>
      <c r="G70" s="2">
        <f>IFERROR(SUMIF($B$5:$B$29,G$32,INDEX(EMBELISHMENT!$B$3:$AQ$27,0,MATCH($AE70,EMBELISHMENT!$B$1:$AQ$1,0))),0)</f>
        <v>0</v>
      </c>
      <c r="H70" s="2">
        <f>IFERROR(SUMIF($B$5:$B$29,H$32,INDEX(EMBELISHMENT!$B$3:$AQ$27,0,MATCH($AE70,EMBELISHMENT!$B$1:$AQ$1,0))),0)</f>
        <v>0</v>
      </c>
      <c r="I70" s="2">
        <f>IFERROR(SUMIF($B$5:$B$29,I$32,INDEX(EMBELISHMENT!$B$3:$AQ$27,0,MATCH($AE70,EMBELISHMENT!$B$1:$AQ$1,0))),0)</f>
        <v>0</v>
      </c>
      <c r="J70" s="2">
        <f>IFERROR(SUMIF($B$5:$B$29,J$32,INDEX(EMBELISHMENT!$B$3:$AQ$27,0,MATCH($AE70,EMBELISHMENT!$B$1:$AQ$1,0))),0)</f>
        <v>0</v>
      </c>
      <c r="K70" s="2">
        <f>IFERROR(SUMIF($B$5:$B$29,K$32,INDEX(EMBELISHMENT!$B$3:$AQ$27,0,MATCH($AE70,EMBELISHMENT!$B$1:$AQ$1,0))),0)</f>
        <v>0</v>
      </c>
      <c r="L70" s="2">
        <f>IFERROR(SUMIF($B$5:$B$29,L$32,INDEX(EMBELISHMENT!$B$3:$AQ$27,0,MATCH($AE70,EMBELISHMENT!$B$1:$AQ$1,0))),0)</f>
        <v>0</v>
      </c>
      <c r="M70" s="2">
        <f>IFERROR(SUMIF($B$5:$B$29,M$32,INDEX(EMBELISHMENT!$B$3:$AQ$27,0,MATCH($AE70,EMBELISHMENT!$B$1:$AQ$1,0))),0)</f>
        <v>0</v>
      </c>
      <c r="N70" s="2">
        <f>IFERROR(SUMIF($B$5:$B$29,N$32,INDEX(EMBELISHMENT!$B$3:$AQ$27,0,MATCH($AE70,EMBELISHMENT!$B$1:$AQ$1,0))),0)</f>
        <v>0</v>
      </c>
      <c r="O70" s="2">
        <f>IFERROR(SUMIF($B$5:$B$29,O$32,INDEX(EMBELISHMENT!$B$3:$AQ$27,0,MATCH($AE70,EMBELISHMENT!$B$1:$AQ$1,0))),0)</f>
        <v>1</v>
      </c>
      <c r="P70" s="2">
        <f>IFERROR(SUMIF($B$5:$B$29,P$32,INDEX(EMBELISHMENT!$B$3:$AQ$27,0,MATCH($AE70,EMBELISHMENT!$B$1:$AQ$1,0))),0)</f>
        <v>2</v>
      </c>
      <c r="Q70" s="2">
        <f>IFERROR(SUMIF($B$5:$B$29,Q$32,INDEX(EMBELISHMENT!$B$3:$AQ$27,0,MATCH($AE70,EMBELISHMENT!$B$1:$AQ$1,0))),0)</f>
        <v>0</v>
      </c>
      <c r="R70" s="2">
        <f>IFERROR(SUMIF($B$5:$B$29,R$32,INDEX(EMBELISHMENT!$B$3:$AQ$27,0,MATCH($AE70,EMBELISHMENT!$B$1:$AQ$1,0))),0)</f>
        <v>0</v>
      </c>
      <c r="S70" s="2">
        <f>IFERROR(SUMIF($B$5:$B$29,S$32,INDEX(EMBELISHMENT!$B$3:$AQ$27,0,MATCH($AE70,EMBELISHMENT!$B$1:$AQ$1,0))),0)</f>
        <v>0</v>
      </c>
      <c r="T70" s="2">
        <f>IFERROR(SUMIF($B$5:$B$29,T$32,INDEX(EMBELISHMENT!$B$3:$AQ$27,0,MATCH($AE70,EMBELISHMENT!$B$1:$AQ$1,0))),0)</f>
        <v>0</v>
      </c>
      <c r="U70" s="2">
        <f>IFERROR(SUMIF($B$5:$B$29,U$32,INDEX(EMBELISHMENT!$B$3:$AQ$27,0,MATCH($AE70,EMBELISHMENT!$B$1:$AQ$1,0))),0)</f>
        <v>1</v>
      </c>
      <c r="V70" s="2">
        <f>IFERROR(SUMIF($B$5:$B$29,V$32,INDEX(EMBELISHMENT!$B$3:$AQ$27,0,MATCH($AE70,EMBELISHMENT!$B$1:$AQ$1,0))),0)</f>
        <v>1</v>
      </c>
      <c r="W70" s="2">
        <f>IFERROR(SUMIF($B$5:$B$29,W$32,INDEX(EMBELISHMENT!$B$3:$AQ$27,0,MATCH($AE70,EMBELISHMENT!$B$1:$AQ$1,0))),0)</f>
        <v>0</v>
      </c>
      <c r="X70" s="2">
        <f>IFERROR(SUMIF($B$5:$B$29,X$32,INDEX(EMBELISHMENT!$B$3:$AQ$27,0,MATCH($AE70,EMBELISHMENT!$B$1:$AQ$1,0))),0)</f>
        <v>0</v>
      </c>
      <c r="Y70" s="2">
        <f>IFERROR(SUMIF($B$5:$B$29,Y$32,INDEX(EMBELISHMENT!$B$3:$AQ$27,0,MATCH($AE70,EMBELISHMENT!$B$1:$AQ$1,0))),0)</f>
        <v>0</v>
      </c>
      <c r="Z70" s="2">
        <f>IFERROR(SUMIF($B$5:$B$29,Z$32,INDEX(EMBELISHMENT!$B$3:$AQ$27,0,MATCH($AE70,EMBELISHMENT!$B$1:$AQ$1,0))),0)</f>
        <v>0</v>
      </c>
      <c r="AA70" s="2">
        <f>IFERROR(SUMIF($B$5:$B$29,AA$32,INDEX(EMBELISHMENT!$B$3:$AQ$27,0,MATCH($AE70,EMBELISHMENT!$B$1:$AQ$1,0))),0)</f>
        <v>1</v>
      </c>
      <c r="AB70" s="2">
        <f>SUM($B70:$AA70)</f>
        <v>37</v>
      </c>
      <c r="AC70" s="2">
        <f>IFERROR(INDEX(EMBELISHMENT!$B$28:$AQ$28,MATCH($AE70,EMBELISHMENT!$B$1:$AQ$1,0)),0)</f>
        <v>37</v>
      </c>
      <c r="AD70" s="2" t="str">
        <f>IF(N(AC70)=0,"n/a",IF(ROUND(AB70-AC70,1)=0,"OK",ROUND(AB70-AC70,1)))</f>
        <v>OK</v>
      </c>
      <c r="AE70" s="2" t="str">
        <f>IFERROR(IF(INDEX($L$5:$L$28,MATCH($A70,$K$5:$K$28,0))="","(no recipe)",INDEX($L$5:$L$28,MATCH($A70,$K$5:$K$28,0))),$A70)</f>
        <v>BW-30</v>
      </c>
      <c r="AF70" s="2" t="str">
        <f>IFERROR(INDEX($M$5:$M$28,MATCH($A70,$K$5:$K$28,0)),"STYLE")</f>
        <v>STYLE</v>
      </c>
      <c r="AG70" s="60" t="s">
        <v>493</v>
      </c>
    </row>
    <row r="71" spans="1:33">
      <c r="A71" s="2">
        <f>EMBELISHMENT!$AC$1</f>
        <v>5200</v>
      </c>
      <c r="B71" s="2">
        <f>IFERROR(SUMIF($B$5:$B$29,B$32,INDEX(EMBELISHMENT!$B$3:$AQ$27,0,MATCH($AE71,EMBELISHMENT!$B$1:$AQ$1,0))),0)</f>
        <v>2</v>
      </c>
      <c r="C71" s="2">
        <f>IFERROR(SUMIF($B$5:$B$29,C$32,INDEX(EMBELISHMENT!$B$3:$AQ$27,0,MATCH($AE71,EMBELISHMENT!$B$1:$AQ$1,0))),0)</f>
        <v>0</v>
      </c>
      <c r="D71" s="2">
        <f>IFERROR(SUMIF($B$5:$B$29,D$32,INDEX(EMBELISHMENT!$B$3:$AQ$27,0,MATCH($AE71,EMBELISHMENT!$B$1:$AQ$1,0))),0)</f>
        <v>0</v>
      </c>
      <c r="E71" s="2">
        <f>IFERROR(SUMIF($B$5:$B$29,E$32,INDEX(EMBELISHMENT!$B$3:$AQ$27,0,MATCH($AE71,EMBELISHMENT!$B$1:$AQ$1,0))),0)</f>
        <v>0</v>
      </c>
      <c r="F71" s="2">
        <f>IFERROR(SUMIF($B$5:$B$29,F$32,INDEX(EMBELISHMENT!$B$3:$AQ$27,0,MATCH($AE71,EMBELISHMENT!$B$1:$AQ$1,0))),0)</f>
        <v>7</v>
      </c>
      <c r="G71" s="2">
        <f>IFERROR(SUMIF($B$5:$B$29,G$32,INDEX(EMBELISHMENT!$B$3:$AQ$27,0,MATCH($AE71,EMBELISHMENT!$B$1:$AQ$1,0))),0)</f>
        <v>0</v>
      </c>
      <c r="H71" s="2">
        <f>IFERROR(SUMIF($B$5:$B$29,H$32,INDEX(EMBELISHMENT!$B$3:$AQ$27,0,MATCH($AE71,EMBELISHMENT!$B$1:$AQ$1,0))),0)</f>
        <v>0</v>
      </c>
      <c r="I71" s="2">
        <f>IFERROR(SUMIF($B$5:$B$29,I$32,INDEX(EMBELISHMENT!$B$3:$AQ$27,0,MATCH($AE71,EMBELISHMENT!$B$1:$AQ$1,0))),0)</f>
        <v>0</v>
      </c>
      <c r="J71" s="2">
        <f>IFERROR(SUMIF($B$5:$B$29,J$32,INDEX(EMBELISHMENT!$B$3:$AQ$27,0,MATCH($AE71,EMBELISHMENT!$B$1:$AQ$1,0))),0)</f>
        <v>5</v>
      </c>
      <c r="K71" s="2">
        <f>IFERROR(SUMIF($B$5:$B$29,K$32,INDEX(EMBELISHMENT!$B$3:$AQ$27,0,MATCH($AE71,EMBELISHMENT!$B$1:$AQ$1,0))),0)</f>
        <v>0</v>
      </c>
      <c r="L71" s="2">
        <f>IFERROR(SUMIF($B$5:$B$29,L$32,INDEX(EMBELISHMENT!$B$3:$AQ$27,0,MATCH($AE71,EMBELISHMENT!$B$1:$AQ$1,0))),0)</f>
        <v>0</v>
      </c>
      <c r="M71" s="2">
        <f>IFERROR(SUMIF($B$5:$B$29,M$32,INDEX(EMBELISHMENT!$B$3:$AQ$27,0,MATCH($AE71,EMBELISHMENT!$B$1:$AQ$1,0))),0)</f>
        <v>0</v>
      </c>
      <c r="N71" s="2">
        <f>IFERROR(SUMIF($B$5:$B$29,N$32,INDEX(EMBELISHMENT!$B$3:$AQ$27,0,MATCH($AE71,EMBELISHMENT!$B$1:$AQ$1,0))),0)</f>
        <v>0</v>
      </c>
      <c r="O71" s="2">
        <f>IFERROR(SUMIF($B$5:$B$29,O$32,INDEX(EMBELISHMENT!$B$3:$AQ$27,0,MATCH($AE71,EMBELISHMENT!$B$1:$AQ$1,0))),0)</f>
        <v>0</v>
      </c>
      <c r="P71" s="2">
        <f>IFERROR(SUMIF($B$5:$B$29,P$32,INDEX(EMBELISHMENT!$B$3:$AQ$27,0,MATCH($AE71,EMBELISHMENT!$B$1:$AQ$1,0))),0)</f>
        <v>3</v>
      </c>
      <c r="Q71" s="2">
        <f>IFERROR(SUMIF($B$5:$B$29,Q$32,INDEX(EMBELISHMENT!$B$3:$AQ$27,0,MATCH($AE71,EMBELISHMENT!$B$1:$AQ$1,0))),0)</f>
        <v>0</v>
      </c>
      <c r="R71" s="2">
        <f>IFERROR(SUMIF($B$5:$B$29,R$32,INDEX(EMBELISHMENT!$B$3:$AQ$27,0,MATCH($AE71,EMBELISHMENT!$B$1:$AQ$1,0))),0)</f>
        <v>0</v>
      </c>
      <c r="S71" s="2">
        <f>IFERROR(SUMIF($B$5:$B$29,S$32,INDEX(EMBELISHMENT!$B$3:$AQ$27,0,MATCH($AE71,EMBELISHMENT!$B$1:$AQ$1,0))),0)</f>
        <v>0</v>
      </c>
      <c r="T71" s="2">
        <f>IFERROR(SUMIF($B$5:$B$29,T$32,INDEX(EMBELISHMENT!$B$3:$AQ$27,0,MATCH($AE71,EMBELISHMENT!$B$1:$AQ$1,0))),0)</f>
        <v>2</v>
      </c>
      <c r="U71" s="2">
        <f>IFERROR(SUMIF($B$5:$B$29,U$32,INDEX(EMBELISHMENT!$B$3:$AQ$27,0,MATCH($AE71,EMBELISHMENT!$B$1:$AQ$1,0))),0)</f>
        <v>1</v>
      </c>
      <c r="V71" s="2">
        <f>IFERROR(SUMIF($B$5:$B$29,V$32,INDEX(EMBELISHMENT!$B$3:$AQ$27,0,MATCH($AE71,EMBELISHMENT!$B$1:$AQ$1,0))),0)</f>
        <v>0</v>
      </c>
      <c r="W71" s="2">
        <f>IFERROR(SUMIF($B$5:$B$29,W$32,INDEX(EMBELISHMENT!$B$3:$AQ$27,0,MATCH($AE71,EMBELISHMENT!$B$1:$AQ$1,0))),0)</f>
        <v>0</v>
      </c>
      <c r="X71" s="2">
        <f>IFERROR(SUMIF($B$5:$B$29,X$32,INDEX(EMBELISHMENT!$B$3:$AQ$27,0,MATCH($AE71,EMBELISHMENT!$B$1:$AQ$1,0))),0)</f>
        <v>0</v>
      </c>
      <c r="Y71" s="2">
        <f>IFERROR(SUMIF($B$5:$B$29,Y$32,INDEX(EMBELISHMENT!$B$3:$AQ$27,0,MATCH($AE71,EMBELISHMENT!$B$1:$AQ$1,0))),0)</f>
        <v>0</v>
      </c>
      <c r="Z71" s="2">
        <f>IFERROR(SUMIF($B$5:$B$29,Z$32,INDEX(EMBELISHMENT!$B$3:$AQ$27,0,MATCH($AE71,EMBELISHMENT!$B$1:$AQ$1,0))),0)</f>
        <v>0</v>
      </c>
      <c r="AA71" s="2">
        <f>IFERROR(SUMIF($B$5:$B$29,AA$32,INDEX(EMBELISHMENT!$B$3:$AQ$27,0,MATCH($AE71,EMBELISHMENT!$B$1:$AQ$1,0))),0)</f>
        <v>0</v>
      </c>
      <c r="AB71" s="2">
        <f>SUM($B71:$AA71)</f>
        <v>20</v>
      </c>
      <c r="AC71" s="2">
        <f>IFERROR(INDEX(EMBELISHMENT!$B$28:$AQ$28,MATCH($AE71,EMBELISHMENT!$B$1:$AQ$1,0)),0)</f>
        <v>20</v>
      </c>
      <c r="AD71" s="2" t="str">
        <f>IF(N(AC71)=0,"n/a",IF(ROUND(AB71-AC71,1)=0,"OK",ROUND(AB71-AC71,1)))</f>
        <v>OK</v>
      </c>
      <c r="AE71" s="2">
        <f>IFERROR(IF(INDEX($L$5:$L$28,MATCH($A71,$K$5:$K$28,0))="","(no recipe)",INDEX($L$5:$L$28,MATCH($A71,$K$5:$K$28,0))),$A71)</f>
        <v>5200</v>
      </c>
      <c r="AF71" s="2" t="str">
        <f>IFERROR(INDEX($M$5:$M$28,MATCH($A71,$K$5:$K$28,0)),"STYLE")</f>
        <v>STYLE</v>
      </c>
      <c r="AG71" s="60" t="s">
        <v>493</v>
      </c>
    </row>
    <row r="72" spans="1:33">
      <c r="A72" s="2">
        <f>EMBELISHMENT!$AD$1</f>
        <v>5220</v>
      </c>
      <c r="B72" s="2">
        <f>IFERROR(SUMIF($B$5:$B$29,B$32,INDEX(EMBELISHMENT!$B$3:$AQ$27,0,MATCH($AE72,EMBELISHMENT!$B$1:$AQ$1,0))),0)</f>
        <v>4</v>
      </c>
      <c r="C72" s="2">
        <f>IFERROR(SUMIF($B$5:$B$29,C$32,INDEX(EMBELISHMENT!$B$3:$AQ$27,0,MATCH($AE72,EMBELISHMENT!$B$1:$AQ$1,0))),0)</f>
        <v>0</v>
      </c>
      <c r="D72" s="2">
        <f>IFERROR(SUMIF($B$5:$B$29,D$32,INDEX(EMBELISHMENT!$B$3:$AQ$27,0,MATCH($AE72,EMBELISHMENT!$B$1:$AQ$1,0))),0)</f>
        <v>0</v>
      </c>
      <c r="E72" s="2">
        <f>IFERROR(SUMIF($B$5:$B$29,E$32,INDEX(EMBELISHMENT!$B$3:$AQ$27,0,MATCH($AE72,EMBELISHMENT!$B$1:$AQ$1,0))),0)</f>
        <v>1</v>
      </c>
      <c r="F72" s="2">
        <f>IFERROR(SUMIF($B$5:$B$29,F$32,INDEX(EMBELISHMENT!$B$3:$AQ$27,0,MATCH($AE72,EMBELISHMENT!$B$1:$AQ$1,0))),0)</f>
        <v>11</v>
      </c>
      <c r="G72" s="2">
        <f>IFERROR(SUMIF($B$5:$B$29,G$32,INDEX(EMBELISHMENT!$B$3:$AQ$27,0,MATCH($AE72,EMBELISHMENT!$B$1:$AQ$1,0))),0)</f>
        <v>0</v>
      </c>
      <c r="H72" s="2">
        <f>IFERROR(SUMIF($B$5:$B$29,H$32,INDEX(EMBELISHMENT!$B$3:$AQ$27,0,MATCH($AE72,EMBELISHMENT!$B$1:$AQ$1,0))),0)</f>
        <v>0</v>
      </c>
      <c r="I72" s="2">
        <f>IFERROR(SUMIF($B$5:$B$29,I$32,INDEX(EMBELISHMENT!$B$3:$AQ$27,0,MATCH($AE72,EMBELISHMENT!$B$1:$AQ$1,0))),0)</f>
        <v>0</v>
      </c>
      <c r="J72" s="2">
        <f>IFERROR(SUMIF($B$5:$B$29,J$32,INDEX(EMBELISHMENT!$B$3:$AQ$27,0,MATCH($AE72,EMBELISHMENT!$B$1:$AQ$1,0))),0)</f>
        <v>0</v>
      </c>
      <c r="K72" s="2">
        <f>IFERROR(SUMIF($B$5:$B$29,K$32,INDEX(EMBELISHMENT!$B$3:$AQ$27,0,MATCH($AE72,EMBELISHMENT!$B$1:$AQ$1,0))),0)</f>
        <v>0</v>
      </c>
      <c r="L72" s="2">
        <f>IFERROR(SUMIF($B$5:$B$29,L$32,INDEX(EMBELISHMENT!$B$3:$AQ$27,0,MATCH($AE72,EMBELISHMENT!$B$1:$AQ$1,0))),0)</f>
        <v>0</v>
      </c>
      <c r="M72" s="2">
        <f>IFERROR(SUMIF($B$5:$B$29,M$32,INDEX(EMBELISHMENT!$B$3:$AQ$27,0,MATCH($AE72,EMBELISHMENT!$B$1:$AQ$1,0))),0)</f>
        <v>0</v>
      </c>
      <c r="N72" s="2">
        <f>IFERROR(SUMIF($B$5:$B$29,N$32,INDEX(EMBELISHMENT!$B$3:$AQ$27,0,MATCH($AE72,EMBELISHMENT!$B$1:$AQ$1,0))),0)</f>
        <v>1</v>
      </c>
      <c r="O72" s="2">
        <f>IFERROR(SUMIF($B$5:$B$29,O$32,INDEX(EMBELISHMENT!$B$3:$AQ$27,0,MATCH($AE72,EMBELISHMENT!$B$1:$AQ$1,0))),0)</f>
        <v>2</v>
      </c>
      <c r="P72" s="2">
        <f>IFERROR(SUMIF($B$5:$B$29,P$32,INDEX(EMBELISHMENT!$B$3:$AQ$27,0,MATCH($AE72,EMBELISHMENT!$B$1:$AQ$1,0))),0)</f>
        <v>4</v>
      </c>
      <c r="Q72" s="2">
        <f>IFERROR(SUMIF($B$5:$B$29,Q$32,INDEX(EMBELISHMENT!$B$3:$AQ$27,0,MATCH($AE72,EMBELISHMENT!$B$1:$AQ$1,0))),0)</f>
        <v>0</v>
      </c>
      <c r="R72" s="2">
        <f>IFERROR(SUMIF($B$5:$B$29,R$32,INDEX(EMBELISHMENT!$B$3:$AQ$27,0,MATCH($AE72,EMBELISHMENT!$B$1:$AQ$1,0))),0)</f>
        <v>0</v>
      </c>
      <c r="S72" s="2">
        <f>IFERROR(SUMIF($B$5:$B$29,S$32,INDEX(EMBELISHMENT!$B$3:$AQ$27,0,MATCH($AE72,EMBELISHMENT!$B$1:$AQ$1,0))),0)</f>
        <v>0</v>
      </c>
      <c r="T72" s="2">
        <f>IFERROR(SUMIF($B$5:$B$29,T$32,INDEX(EMBELISHMENT!$B$3:$AQ$27,0,MATCH($AE72,EMBELISHMENT!$B$1:$AQ$1,0))),0)</f>
        <v>2</v>
      </c>
      <c r="U72" s="2">
        <f>IFERROR(SUMIF($B$5:$B$29,U$32,INDEX(EMBELISHMENT!$B$3:$AQ$27,0,MATCH($AE72,EMBELISHMENT!$B$1:$AQ$1,0))),0)</f>
        <v>1</v>
      </c>
      <c r="V72" s="2">
        <f>IFERROR(SUMIF($B$5:$B$29,V$32,INDEX(EMBELISHMENT!$B$3:$AQ$27,0,MATCH($AE72,EMBELISHMENT!$B$1:$AQ$1,0))),0)</f>
        <v>0</v>
      </c>
      <c r="W72" s="2">
        <f>IFERROR(SUMIF($B$5:$B$29,W$32,INDEX(EMBELISHMENT!$B$3:$AQ$27,0,MATCH($AE72,EMBELISHMENT!$B$1:$AQ$1,0))),0)</f>
        <v>0</v>
      </c>
      <c r="X72" s="2">
        <f>IFERROR(SUMIF($B$5:$B$29,X$32,INDEX(EMBELISHMENT!$B$3:$AQ$27,0,MATCH($AE72,EMBELISHMENT!$B$1:$AQ$1,0))),0)</f>
        <v>0</v>
      </c>
      <c r="Y72" s="2">
        <f>IFERROR(SUMIF($B$5:$B$29,Y$32,INDEX(EMBELISHMENT!$B$3:$AQ$27,0,MATCH($AE72,EMBELISHMENT!$B$1:$AQ$1,0))),0)</f>
        <v>0</v>
      </c>
      <c r="Z72" s="2">
        <f>IFERROR(SUMIF($B$5:$B$29,Z$32,INDEX(EMBELISHMENT!$B$3:$AQ$27,0,MATCH($AE72,EMBELISHMENT!$B$1:$AQ$1,0))),0)</f>
        <v>0</v>
      </c>
      <c r="AA72" s="2">
        <f>IFERROR(SUMIF($B$5:$B$29,AA$32,INDEX(EMBELISHMENT!$B$3:$AQ$27,0,MATCH($AE72,EMBELISHMENT!$B$1:$AQ$1,0))),0)</f>
        <v>1</v>
      </c>
      <c r="AB72" s="2">
        <f>SUM($B72:$AA72)</f>
        <v>27</v>
      </c>
      <c r="AC72" s="2">
        <f>IFERROR(INDEX(EMBELISHMENT!$B$28:$AQ$28,MATCH($AE72,EMBELISHMENT!$B$1:$AQ$1,0)),0)</f>
        <v>27</v>
      </c>
      <c r="AD72" s="2" t="str">
        <f>IF(N(AC72)=0,"n/a",IF(ROUND(AB72-AC72,1)=0,"OK",ROUND(AB72-AC72,1)))</f>
        <v>OK</v>
      </c>
      <c r="AE72" s="2">
        <f>IFERROR(IF(INDEX($L$5:$L$28,MATCH($A72,$K$5:$K$28,0))="","(no recipe)",INDEX($L$5:$L$28,MATCH($A72,$K$5:$K$28,0))),$A72)</f>
        <v>5220</v>
      </c>
      <c r="AF72" s="2" t="str">
        <f>IFERROR(INDEX($M$5:$M$28,MATCH($A72,$K$5:$K$28,0)),"STYLE")</f>
        <v>STYLE</v>
      </c>
      <c r="AG72" s="60" t="s">
        <v>493</v>
      </c>
    </row>
    <row r="73" spans="1:33">
      <c r="A73" s="2">
        <f>EMBELISHMENT!$AE$1</f>
        <v>5500</v>
      </c>
      <c r="B73" s="2">
        <f>IFERROR(SUMIF($B$5:$B$29,B$32,INDEX(EMBELISHMENT!$B$3:$AQ$27,0,MATCH($AE73,EMBELISHMENT!$B$1:$AQ$1,0))),0)</f>
        <v>4</v>
      </c>
      <c r="C73" s="2">
        <f>IFERROR(SUMIF($B$5:$B$29,C$32,INDEX(EMBELISHMENT!$B$3:$AQ$27,0,MATCH($AE73,EMBELISHMENT!$B$1:$AQ$1,0))),0)</f>
        <v>0</v>
      </c>
      <c r="D73" s="2">
        <f>IFERROR(SUMIF($B$5:$B$29,D$32,INDEX(EMBELISHMENT!$B$3:$AQ$27,0,MATCH($AE73,EMBELISHMENT!$B$1:$AQ$1,0))),0)</f>
        <v>0</v>
      </c>
      <c r="E73" s="2">
        <f>IFERROR(SUMIF($B$5:$B$29,E$32,INDEX(EMBELISHMENT!$B$3:$AQ$27,0,MATCH($AE73,EMBELISHMENT!$B$1:$AQ$1,0))),0)</f>
        <v>0</v>
      </c>
      <c r="F73" s="2">
        <f>IFERROR(SUMIF($B$5:$B$29,F$32,INDEX(EMBELISHMENT!$B$3:$AQ$27,0,MATCH($AE73,EMBELISHMENT!$B$1:$AQ$1,0))),0)</f>
        <v>4</v>
      </c>
      <c r="G73" s="2">
        <f>IFERROR(SUMIF($B$5:$B$29,G$32,INDEX(EMBELISHMENT!$B$3:$AQ$27,0,MATCH($AE73,EMBELISHMENT!$B$1:$AQ$1,0))),0)</f>
        <v>0</v>
      </c>
      <c r="H73" s="2">
        <f>IFERROR(SUMIF($B$5:$B$29,H$32,INDEX(EMBELISHMENT!$B$3:$AQ$27,0,MATCH($AE73,EMBELISHMENT!$B$1:$AQ$1,0))),0)</f>
        <v>0</v>
      </c>
      <c r="I73" s="2">
        <f>IFERROR(SUMIF($B$5:$B$29,I$32,INDEX(EMBELISHMENT!$B$3:$AQ$27,0,MATCH($AE73,EMBELISHMENT!$B$1:$AQ$1,0))),0)</f>
        <v>0</v>
      </c>
      <c r="J73" s="2">
        <f>IFERROR(SUMIF($B$5:$B$29,J$32,INDEX(EMBELISHMENT!$B$3:$AQ$27,0,MATCH($AE73,EMBELISHMENT!$B$1:$AQ$1,0))),0)</f>
        <v>5</v>
      </c>
      <c r="K73" s="2">
        <f>IFERROR(SUMIF($B$5:$B$29,K$32,INDEX(EMBELISHMENT!$B$3:$AQ$27,0,MATCH($AE73,EMBELISHMENT!$B$1:$AQ$1,0))),0)</f>
        <v>0</v>
      </c>
      <c r="L73" s="2">
        <f>IFERROR(SUMIF($B$5:$B$29,L$32,INDEX(EMBELISHMENT!$B$3:$AQ$27,0,MATCH($AE73,EMBELISHMENT!$B$1:$AQ$1,0))),0)</f>
        <v>0</v>
      </c>
      <c r="M73" s="2">
        <f>IFERROR(SUMIF($B$5:$B$29,M$32,INDEX(EMBELISHMENT!$B$3:$AQ$27,0,MATCH($AE73,EMBELISHMENT!$B$1:$AQ$1,0))),0)</f>
        <v>0</v>
      </c>
      <c r="N73" s="2">
        <f>IFERROR(SUMIF($B$5:$B$29,N$32,INDEX(EMBELISHMENT!$B$3:$AQ$27,0,MATCH($AE73,EMBELISHMENT!$B$1:$AQ$1,0))),0)</f>
        <v>0</v>
      </c>
      <c r="O73" s="2">
        <f>IFERROR(SUMIF($B$5:$B$29,O$32,INDEX(EMBELISHMENT!$B$3:$AQ$27,0,MATCH($AE73,EMBELISHMENT!$B$1:$AQ$1,0))),0)</f>
        <v>0</v>
      </c>
      <c r="P73" s="2">
        <f>IFERROR(SUMIF($B$5:$B$29,P$32,INDEX(EMBELISHMENT!$B$3:$AQ$27,0,MATCH($AE73,EMBELISHMENT!$B$1:$AQ$1,0))),0)</f>
        <v>0</v>
      </c>
      <c r="Q73" s="2">
        <f>IFERROR(SUMIF($B$5:$B$29,Q$32,INDEX(EMBELISHMENT!$B$3:$AQ$27,0,MATCH($AE73,EMBELISHMENT!$B$1:$AQ$1,0))),0)</f>
        <v>0</v>
      </c>
      <c r="R73" s="2">
        <f>IFERROR(SUMIF($B$5:$B$29,R$32,INDEX(EMBELISHMENT!$B$3:$AQ$27,0,MATCH($AE73,EMBELISHMENT!$B$1:$AQ$1,0))),0)</f>
        <v>0</v>
      </c>
      <c r="S73" s="2">
        <f>IFERROR(SUMIF($B$5:$B$29,S$32,INDEX(EMBELISHMENT!$B$3:$AQ$27,0,MATCH($AE73,EMBELISHMENT!$B$1:$AQ$1,0))),0)</f>
        <v>0</v>
      </c>
      <c r="T73" s="2">
        <f>IFERROR(SUMIF($B$5:$B$29,T$32,INDEX(EMBELISHMENT!$B$3:$AQ$27,0,MATCH($AE73,EMBELISHMENT!$B$1:$AQ$1,0))),0)</f>
        <v>0</v>
      </c>
      <c r="U73" s="2">
        <f>IFERROR(SUMIF($B$5:$B$29,U$32,INDEX(EMBELISHMENT!$B$3:$AQ$27,0,MATCH($AE73,EMBELISHMENT!$B$1:$AQ$1,0))),0)</f>
        <v>1</v>
      </c>
      <c r="V73" s="2">
        <f>IFERROR(SUMIF($B$5:$B$29,V$32,INDEX(EMBELISHMENT!$B$3:$AQ$27,0,MATCH($AE73,EMBELISHMENT!$B$1:$AQ$1,0))),0)</f>
        <v>0</v>
      </c>
      <c r="W73" s="2">
        <f>IFERROR(SUMIF($B$5:$B$29,W$32,INDEX(EMBELISHMENT!$B$3:$AQ$27,0,MATCH($AE73,EMBELISHMENT!$B$1:$AQ$1,0))),0)</f>
        <v>0</v>
      </c>
      <c r="X73" s="2">
        <f>IFERROR(SUMIF($B$5:$B$29,X$32,INDEX(EMBELISHMENT!$B$3:$AQ$27,0,MATCH($AE73,EMBELISHMENT!$B$1:$AQ$1,0))),0)</f>
        <v>0</v>
      </c>
      <c r="Y73" s="2">
        <f>IFERROR(SUMIF($B$5:$B$29,Y$32,INDEX(EMBELISHMENT!$B$3:$AQ$27,0,MATCH($AE73,EMBELISHMENT!$B$1:$AQ$1,0))),0)</f>
        <v>0</v>
      </c>
      <c r="Z73" s="2">
        <f>IFERROR(SUMIF($B$5:$B$29,Z$32,INDEX(EMBELISHMENT!$B$3:$AQ$27,0,MATCH($AE73,EMBELISHMENT!$B$1:$AQ$1,0))),0)</f>
        <v>0</v>
      </c>
      <c r="AA73" s="2">
        <f>IFERROR(SUMIF($B$5:$B$29,AA$32,INDEX(EMBELISHMENT!$B$3:$AQ$27,0,MATCH($AE73,EMBELISHMENT!$B$1:$AQ$1,0))),0)</f>
        <v>0</v>
      </c>
      <c r="AB73" s="2">
        <f>SUM($B73:$AA73)</f>
        <v>14</v>
      </c>
      <c r="AC73" s="2">
        <f>IFERROR(INDEX(EMBELISHMENT!$B$28:$AQ$28,MATCH($AE73,EMBELISHMENT!$B$1:$AQ$1,0)),0)</f>
        <v>14</v>
      </c>
      <c r="AD73" s="2" t="str">
        <f>IF(N(AC73)=0,"n/a",IF(ROUND(AB73-AC73,1)=0,"OK",ROUND(AB73-AC73,1)))</f>
        <v>OK</v>
      </c>
      <c r="AE73" s="2">
        <f>IFERROR(IF(INDEX($L$5:$L$28,MATCH($A73,$K$5:$K$28,0))="","(no recipe)",INDEX($L$5:$L$28,MATCH($A73,$K$5:$K$28,0))),$A73)</f>
        <v>5500</v>
      </c>
      <c r="AF73" s="2" t="str">
        <f>IFERROR(INDEX($M$5:$M$28,MATCH($A73,$K$5:$K$28,0)),"STYLE")</f>
        <v>STYLE</v>
      </c>
      <c r="AG73" s="60" t="s">
        <v>493</v>
      </c>
    </row>
    <row r="74" spans="1:33">
      <c r="A74" s="2">
        <f>EMBELISHMENT!$AF$1</f>
        <v>5501</v>
      </c>
      <c r="B74" s="2">
        <f>IFERROR(SUMIF($B$5:$B$29,B$32,INDEX(EMBELISHMENT!$B$3:$AQ$27,0,MATCH($AE74,EMBELISHMENT!$B$1:$AQ$1,0))),0)</f>
        <v>4</v>
      </c>
      <c r="C74" s="2">
        <f>IFERROR(SUMIF($B$5:$B$29,C$32,INDEX(EMBELISHMENT!$B$3:$AQ$27,0,MATCH($AE74,EMBELISHMENT!$B$1:$AQ$1,0))),0)</f>
        <v>0</v>
      </c>
      <c r="D74" s="2">
        <f>IFERROR(SUMIF($B$5:$B$29,D$32,INDEX(EMBELISHMENT!$B$3:$AQ$27,0,MATCH($AE74,EMBELISHMENT!$B$1:$AQ$1,0))),0)</f>
        <v>0</v>
      </c>
      <c r="E74" s="2">
        <f>IFERROR(SUMIF($B$5:$B$29,E$32,INDEX(EMBELISHMENT!$B$3:$AQ$27,0,MATCH($AE74,EMBELISHMENT!$B$1:$AQ$1,0))),0)</f>
        <v>0</v>
      </c>
      <c r="F74" s="2">
        <f>IFERROR(SUMIF($B$5:$B$29,F$32,INDEX(EMBELISHMENT!$B$3:$AQ$27,0,MATCH($AE74,EMBELISHMENT!$B$1:$AQ$1,0))),0)</f>
        <v>4</v>
      </c>
      <c r="G74" s="2">
        <f>IFERROR(SUMIF($B$5:$B$29,G$32,INDEX(EMBELISHMENT!$B$3:$AQ$27,0,MATCH($AE74,EMBELISHMENT!$B$1:$AQ$1,0))),0)</f>
        <v>0</v>
      </c>
      <c r="H74" s="2">
        <f>IFERROR(SUMIF($B$5:$B$29,H$32,INDEX(EMBELISHMENT!$B$3:$AQ$27,0,MATCH($AE74,EMBELISHMENT!$B$1:$AQ$1,0))),0)</f>
        <v>0</v>
      </c>
      <c r="I74" s="2">
        <f>IFERROR(SUMIF($B$5:$B$29,I$32,INDEX(EMBELISHMENT!$B$3:$AQ$27,0,MATCH($AE74,EMBELISHMENT!$B$1:$AQ$1,0))),0)</f>
        <v>0</v>
      </c>
      <c r="J74" s="2">
        <f>IFERROR(SUMIF($B$5:$B$29,J$32,INDEX(EMBELISHMENT!$B$3:$AQ$27,0,MATCH($AE74,EMBELISHMENT!$B$1:$AQ$1,0))),0)</f>
        <v>2</v>
      </c>
      <c r="K74" s="2">
        <f>IFERROR(SUMIF($B$5:$B$29,K$32,INDEX(EMBELISHMENT!$B$3:$AQ$27,0,MATCH($AE74,EMBELISHMENT!$B$1:$AQ$1,0))),0)</f>
        <v>0</v>
      </c>
      <c r="L74" s="2">
        <f>IFERROR(SUMIF($B$5:$B$29,L$32,INDEX(EMBELISHMENT!$B$3:$AQ$27,0,MATCH($AE74,EMBELISHMENT!$B$1:$AQ$1,0))),0)</f>
        <v>0</v>
      </c>
      <c r="M74" s="2">
        <f>IFERROR(SUMIF($B$5:$B$29,M$32,INDEX(EMBELISHMENT!$B$3:$AQ$27,0,MATCH($AE74,EMBELISHMENT!$B$1:$AQ$1,0))),0)</f>
        <v>0</v>
      </c>
      <c r="N74" s="2">
        <f>IFERROR(SUMIF($B$5:$B$29,N$32,INDEX(EMBELISHMENT!$B$3:$AQ$27,0,MATCH($AE74,EMBELISHMENT!$B$1:$AQ$1,0))),0)</f>
        <v>0</v>
      </c>
      <c r="O74" s="2">
        <f>IFERROR(SUMIF($B$5:$B$29,O$32,INDEX(EMBELISHMENT!$B$3:$AQ$27,0,MATCH($AE74,EMBELISHMENT!$B$1:$AQ$1,0))),0)</f>
        <v>6</v>
      </c>
      <c r="P74" s="2">
        <f>IFERROR(SUMIF($B$5:$B$29,P$32,INDEX(EMBELISHMENT!$B$3:$AQ$27,0,MATCH($AE74,EMBELISHMENT!$B$1:$AQ$1,0))),0)</f>
        <v>0</v>
      </c>
      <c r="Q74" s="2">
        <f>IFERROR(SUMIF($B$5:$B$29,Q$32,INDEX(EMBELISHMENT!$B$3:$AQ$27,0,MATCH($AE74,EMBELISHMENT!$B$1:$AQ$1,0))),0)</f>
        <v>0</v>
      </c>
      <c r="R74" s="2">
        <f>IFERROR(SUMIF($B$5:$B$29,R$32,INDEX(EMBELISHMENT!$B$3:$AQ$27,0,MATCH($AE74,EMBELISHMENT!$B$1:$AQ$1,0))),0)</f>
        <v>0</v>
      </c>
      <c r="S74" s="2">
        <f>IFERROR(SUMIF($B$5:$B$29,S$32,INDEX(EMBELISHMENT!$B$3:$AQ$27,0,MATCH($AE74,EMBELISHMENT!$B$1:$AQ$1,0))),0)</f>
        <v>0</v>
      </c>
      <c r="T74" s="2">
        <f>IFERROR(SUMIF($B$5:$B$29,T$32,INDEX(EMBELISHMENT!$B$3:$AQ$27,0,MATCH($AE74,EMBELISHMENT!$B$1:$AQ$1,0))),0)</f>
        <v>0</v>
      </c>
      <c r="U74" s="2">
        <f>IFERROR(SUMIF($B$5:$B$29,U$32,INDEX(EMBELISHMENT!$B$3:$AQ$27,0,MATCH($AE74,EMBELISHMENT!$B$1:$AQ$1,0))),0)</f>
        <v>1</v>
      </c>
      <c r="V74" s="2">
        <f>IFERROR(SUMIF($B$5:$B$29,V$32,INDEX(EMBELISHMENT!$B$3:$AQ$27,0,MATCH($AE74,EMBELISHMENT!$B$1:$AQ$1,0))),0)</f>
        <v>0</v>
      </c>
      <c r="W74" s="2">
        <f>IFERROR(SUMIF($B$5:$B$29,W$32,INDEX(EMBELISHMENT!$B$3:$AQ$27,0,MATCH($AE74,EMBELISHMENT!$B$1:$AQ$1,0))),0)</f>
        <v>0</v>
      </c>
      <c r="X74" s="2">
        <f>IFERROR(SUMIF($B$5:$B$29,X$32,INDEX(EMBELISHMENT!$B$3:$AQ$27,0,MATCH($AE74,EMBELISHMENT!$B$1:$AQ$1,0))),0)</f>
        <v>0</v>
      </c>
      <c r="Y74" s="2">
        <f>IFERROR(SUMIF($B$5:$B$29,Y$32,INDEX(EMBELISHMENT!$B$3:$AQ$27,0,MATCH($AE74,EMBELISHMENT!$B$1:$AQ$1,0))),0)</f>
        <v>1</v>
      </c>
      <c r="Z74" s="2">
        <f>IFERROR(SUMIF($B$5:$B$29,Z$32,INDEX(EMBELISHMENT!$B$3:$AQ$27,0,MATCH($AE74,EMBELISHMENT!$B$1:$AQ$1,0))),0)</f>
        <v>0</v>
      </c>
      <c r="AA74" s="2">
        <f>IFERROR(SUMIF($B$5:$B$29,AA$32,INDEX(EMBELISHMENT!$B$3:$AQ$27,0,MATCH($AE74,EMBELISHMENT!$B$1:$AQ$1,0))),0)</f>
        <v>0</v>
      </c>
      <c r="AB74" s="2">
        <f>SUM($B74:$AA74)</f>
        <v>18</v>
      </c>
      <c r="AC74" s="2">
        <f>IFERROR(INDEX(EMBELISHMENT!$B$28:$AQ$28,MATCH($AE74,EMBELISHMENT!$B$1:$AQ$1,0)),0)</f>
        <v>18</v>
      </c>
      <c r="AD74" s="2" t="str">
        <f>IF(N(AC74)=0,"n/a",IF(ROUND(AB74-AC74,1)=0,"OK",ROUND(AB74-AC74,1)))</f>
        <v>OK</v>
      </c>
      <c r="AE74" s="2">
        <f>IFERROR(IF(INDEX($L$5:$L$28,MATCH($A74,$K$5:$K$28,0))="","(no recipe)",INDEX($L$5:$L$28,MATCH($A74,$K$5:$K$28,0))),$A74)</f>
        <v>5501</v>
      </c>
      <c r="AF74" s="2" t="str">
        <f>IFERROR(INDEX($M$5:$M$28,MATCH($A74,$K$5:$K$28,0)),"STYLE")</f>
        <v>STYLE</v>
      </c>
      <c r="AG74" s="60" t="s">
        <v>493</v>
      </c>
    </row>
    <row r="75" spans="1:33">
      <c r="A75" s="2" t="str">
        <f>EMBELISHMENT!$AG$1</f>
        <v>POLO</v>
      </c>
      <c r="B75" s="2">
        <f>IFERROR(SUMIF($B$5:$B$29,B$32,INDEX(EMBELISHMENT!$B$3:$AQ$27,0,MATCH($AE75,EMBELISHMENT!$B$1:$AQ$1,0))),0)</f>
        <v>8</v>
      </c>
      <c r="C75" s="2">
        <f>IFERROR(SUMIF($B$5:$B$29,C$32,INDEX(EMBELISHMENT!$B$3:$AQ$27,0,MATCH($AE75,EMBELISHMENT!$B$1:$AQ$1,0))),0)</f>
        <v>0</v>
      </c>
      <c r="D75" s="2">
        <f>IFERROR(SUMIF($B$5:$B$29,D$32,INDEX(EMBELISHMENT!$B$3:$AQ$27,0,MATCH($AE75,EMBELISHMENT!$B$1:$AQ$1,0))),0)</f>
        <v>0</v>
      </c>
      <c r="E75" s="2">
        <f>IFERROR(SUMIF($B$5:$B$29,E$32,INDEX(EMBELISHMENT!$B$3:$AQ$27,0,MATCH($AE75,EMBELISHMENT!$B$1:$AQ$1,0))),0)</f>
        <v>0</v>
      </c>
      <c r="F75" s="2">
        <f>IFERROR(SUMIF($B$5:$B$29,F$32,INDEX(EMBELISHMENT!$B$3:$AQ$27,0,MATCH($AE75,EMBELISHMENT!$B$1:$AQ$1,0))),0)</f>
        <v>6</v>
      </c>
      <c r="G75" s="2">
        <f>IFERROR(SUMIF($B$5:$B$29,G$32,INDEX(EMBELISHMENT!$B$3:$AQ$27,0,MATCH($AE75,EMBELISHMENT!$B$1:$AQ$1,0))),0)</f>
        <v>0</v>
      </c>
      <c r="H75" s="2">
        <f>IFERROR(SUMIF($B$5:$B$29,H$32,INDEX(EMBELISHMENT!$B$3:$AQ$27,0,MATCH($AE75,EMBELISHMENT!$B$1:$AQ$1,0))),0)</f>
        <v>0</v>
      </c>
      <c r="I75" s="2">
        <f>IFERROR(SUMIF($B$5:$B$29,I$32,INDEX(EMBELISHMENT!$B$3:$AQ$27,0,MATCH($AE75,EMBELISHMENT!$B$1:$AQ$1,0))),0)</f>
        <v>0</v>
      </c>
      <c r="J75" s="2">
        <f>IFERROR(SUMIF($B$5:$B$29,J$32,INDEX(EMBELISHMENT!$B$3:$AQ$27,0,MATCH($AE75,EMBELISHMENT!$B$1:$AQ$1,0))),0)</f>
        <v>1</v>
      </c>
      <c r="K75" s="2">
        <f>IFERROR(SUMIF($B$5:$B$29,K$32,INDEX(EMBELISHMENT!$B$3:$AQ$27,0,MATCH($AE75,EMBELISHMENT!$B$1:$AQ$1,0))),0)</f>
        <v>0</v>
      </c>
      <c r="L75" s="2">
        <f>IFERROR(SUMIF($B$5:$B$29,L$32,INDEX(EMBELISHMENT!$B$3:$AQ$27,0,MATCH($AE75,EMBELISHMENT!$B$1:$AQ$1,0))),0)</f>
        <v>0</v>
      </c>
      <c r="M75" s="2">
        <f>IFERROR(SUMIF($B$5:$B$29,M$32,INDEX(EMBELISHMENT!$B$3:$AQ$27,0,MATCH($AE75,EMBELISHMENT!$B$1:$AQ$1,0))),0)</f>
        <v>0</v>
      </c>
      <c r="N75" s="2">
        <f>IFERROR(SUMIF($B$5:$B$29,N$32,INDEX(EMBELISHMENT!$B$3:$AQ$27,0,MATCH($AE75,EMBELISHMENT!$B$1:$AQ$1,0))),0)</f>
        <v>0</v>
      </c>
      <c r="O75" s="2">
        <f>IFERROR(SUMIF($B$5:$B$29,O$32,INDEX(EMBELISHMENT!$B$3:$AQ$27,0,MATCH($AE75,EMBELISHMENT!$B$1:$AQ$1,0))),0)</f>
        <v>0</v>
      </c>
      <c r="P75" s="2">
        <f>IFERROR(SUMIF($B$5:$B$29,P$32,INDEX(EMBELISHMENT!$B$3:$AQ$27,0,MATCH($AE75,EMBELISHMENT!$B$1:$AQ$1,0))),0)</f>
        <v>3</v>
      </c>
      <c r="Q75" s="2">
        <f>IFERROR(SUMIF($B$5:$B$29,Q$32,INDEX(EMBELISHMENT!$B$3:$AQ$27,0,MATCH($AE75,EMBELISHMENT!$B$1:$AQ$1,0))),0)</f>
        <v>0</v>
      </c>
      <c r="R75" s="2">
        <f>IFERROR(SUMIF($B$5:$B$29,R$32,INDEX(EMBELISHMENT!$B$3:$AQ$27,0,MATCH($AE75,EMBELISHMENT!$B$1:$AQ$1,0))),0)</f>
        <v>4</v>
      </c>
      <c r="S75" s="2">
        <f>IFERROR(SUMIF($B$5:$B$29,S$32,INDEX(EMBELISHMENT!$B$3:$AQ$27,0,MATCH($AE75,EMBELISHMENT!$B$1:$AQ$1,0))),0)</f>
        <v>0</v>
      </c>
      <c r="T75" s="2">
        <f>IFERROR(SUMIF($B$5:$B$29,T$32,INDEX(EMBELISHMENT!$B$3:$AQ$27,0,MATCH($AE75,EMBELISHMENT!$B$1:$AQ$1,0))),0)</f>
        <v>0</v>
      </c>
      <c r="U75" s="2">
        <f>IFERROR(SUMIF($B$5:$B$29,U$32,INDEX(EMBELISHMENT!$B$3:$AQ$27,0,MATCH($AE75,EMBELISHMENT!$B$1:$AQ$1,0))),0)</f>
        <v>1</v>
      </c>
      <c r="V75" s="2">
        <f>IFERROR(SUMIF($B$5:$B$29,V$32,INDEX(EMBELISHMENT!$B$3:$AQ$27,0,MATCH($AE75,EMBELISHMENT!$B$1:$AQ$1,0))),0)</f>
        <v>0</v>
      </c>
      <c r="W75" s="2">
        <f>IFERROR(SUMIF($B$5:$B$29,W$32,INDEX(EMBELISHMENT!$B$3:$AQ$27,0,MATCH($AE75,EMBELISHMENT!$B$1:$AQ$1,0))),0)</f>
        <v>1</v>
      </c>
      <c r="X75" s="2">
        <f>IFERROR(SUMIF($B$5:$B$29,X$32,INDEX(EMBELISHMENT!$B$3:$AQ$27,0,MATCH($AE75,EMBELISHMENT!$B$1:$AQ$1,0))),0)</f>
        <v>1</v>
      </c>
      <c r="Y75" s="2">
        <f>IFERROR(SUMIF($B$5:$B$29,Y$32,INDEX(EMBELISHMENT!$B$3:$AQ$27,0,MATCH($AE75,EMBELISHMENT!$B$1:$AQ$1,0))),0)</f>
        <v>1</v>
      </c>
      <c r="Z75" s="2">
        <f>IFERROR(SUMIF($B$5:$B$29,Z$32,INDEX(EMBELISHMENT!$B$3:$AQ$27,0,MATCH($AE75,EMBELISHMENT!$B$1:$AQ$1,0))),0)</f>
        <v>0</v>
      </c>
      <c r="AA75" s="2">
        <f>IFERROR(SUMIF($B$5:$B$29,AA$32,INDEX(EMBELISHMENT!$B$3:$AQ$27,0,MATCH($AE75,EMBELISHMENT!$B$1:$AQ$1,0))),0)</f>
        <v>0</v>
      </c>
      <c r="AB75" s="2">
        <f>SUM($B75:$AA75)</f>
        <v>26</v>
      </c>
      <c r="AC75" s="2">
        <f>IFERROR(INDEX(EMBELISHMENT!$B$28:$AQ$28,MATCH($AE75,EMBELISHMENT!$B$1:$AQ$1,0)),0)</f>
        <v>26</v>
      </c>
      <c r="AD75" s="2" t="str">
        <f>IF(N(AC75)=0,"n/a",IF(ROUND(AB75-AC75,1)=0,"OK",ROUND(AB75-AC75,1)))</f>
        <v>OK</v>
      </c>
      <c r="AE75" s="2" t="str">
        <f>IFERROR(IF(INDEX($L$5:$L$28,MATCH($A75,$K$5:$K$28,0))="","(no recipe)",INDEX($L$5:$L$28,MATCH($A75,$K$5:$K$28,0))),$A75)</f>
        <v>POLO</v>
      </c>
      <c r="AF75" s="2" t="str">
        <f>IFERROR(INDEX($M$5:$M$28,MATCH($A75,$K$5:$K$28,0)),"STYLE")</f>
        <v>STYLE</v>
      </c>
      <c r="AG75" s="60" t="s">
        <v>157</v>
      </c>
    </row>
    <row r="76" spans="1:33">
      <c r="A76" s="2">
        <f>EMBELISHMENT!$AI$1</f>
        <v>5503</v>
      </c>
      <c r="B76" s="2">
        <f>IFERROR(SUMIF($B$5:$B$29,B$32,INDEX(EMBELISHMENT!$B$3:$AQ$27,0,MATCH($AE76,EMBELISHMENT!$B$1:$AQ$1,0))),0)</f>
        <v>2</v>
      </c>
      <c r="C76" s="2">
        <f>IFERROR(SUMIF($B$5:$B$29,C$32,INDEX(EMBELISHMENT!$B$3:$AQ$27,0,MATCH($AE76,EMBELISHMENT!$B$1:$AQ$1,0))),0)</f>
        <v>0</v>
      </c>
      <c r="D76" s="2">
        <f>IFERROR(SUMIF($B$5:$B$29,D$32,INDEX(EMBELISHMENT!$B$3:$AQ$27,0,MATCH($AE76,EMBELISHMENT!$B$1:$AQ$1,0))),0)</f>
        <v>0</v>
      </c>
      <c r="E76" s="2">
        <f>IFERROR(SUMIF($B$5:$B$29,E$32,INDEX(EMBELISHMENT!$B$3:$AQ$27,0,MATCH($AE76,EMBELISHMENT!$B$1:$AQ$1,0))),0)</f>
        <v>0</v>
      </c>
      <c r="F76" s="2">
        <f>IFERROR(SUMIF($B$5:$B$29,F$32,INDEX(EMBELISHMENT!$B$3:$AQ$27,0,MATCH($AE76,EMBELISHMENT!$B$1:$AQ$1,0))),0)</f>
        <v>8</v>
      </c>
      <c r="G76" s="2">
        <f>IFERROR(SUMIF($B$5:$B$29,G$32,INDEX(EMBELISHMENT!$B$3:$AQ$27,0,MATCH($AE76,EMBELISHMENT!$B$1:$AQ$1,0))),0)</f>
        <v>0</v>
      </c>
      <c r="H76" s="2">
        <f>IFERROR(SUMIF($B$5:$B$29,H$32,INDEX(EMBELISHMENT!$B$3:$AQ$27,0,MATCH($AE76,EMBELISHMENT!$B$1:$AQ$1,0))),0)</f>
        <v>0</v>
      </c>
      <c r="I76" s="2">
        <f>IFERROR(SUMIF($B$5:$B$29,I$32,INDEX(EMBELISHMENT!$B$3:$AQ$27,0,MATCH($AE76,EMBELISHMENT!$B$1:$AQ$1,0))),0)</f>
        <v>0</v>
      </c>
      <c r="J76" s="2">
        <f>IFERROR(SUMIF($B$5:$B$29,J$32,INDEX(EMBELISHMENT!$B$3:$AQ$27,0,MATCH($AE76,EMBELISHMENT!$B$1:$AQ$1,0))),0)</f>
        <v>4</v>
      </c>
      <c r="K76" s="2">
        <f>IFERROR(SUMIF($B$5:$B$29,K$32,INDEX(EMBELISHMENT!$B$3:$AQ$27,0,MATCH($AE76,EMBELISHMENT!$B$1:$AQ$1,0))),0)</f>
        <v>0</v>
      </c>
      <c r="L76" s="2">
        <f>IFERROR(SUMIF($B$5:$B$29,L$32,INDEX(EMBELISHMENT!$B$3:$AQ$27,0,MATCH($AE76,EMBELISHMENT!$B$1:$AQ$1,0))),0)</f>
        <v>0</v>
      </c>
      <c r="M76" s="2">
        <f>IFERROR(SUMIF($B$5:$B$29,M$32,INDEX(EMBELISHMENT!$B$3:$AQ$27,0,MATCH($AE76,EMBELISHMENT!$B$1:$AQ$1,0))),0)</f>
        <v>0</v>
      </c>
      <c r="N76" s="2">
        <f>IFERROR(SUMIF($B$5:$B$29,N$32,INDEX(EMBELISHMENT!$B$3:$AQ$27,0,MATCH($AE76,EMBELISHMENT!$B$1:$AQ$1,0))),0)</f>
        <v>0</v>
      </c>
      <c r="O76" s="2">
        <f>IFERROR(SUMIF($B$5:$B$29,O$32,INDEX(EMBELISHMENT!$B$3:$AQ$27,0,MATCH($AE76,EMBELISHMENT!$B$1:$AQ$1,0))),0)</f>
        <v>0</v>
      </c>
      <c r="P76" s="2">
        <f>IFERROR(SUMIF($B$5:$B$29,P$32,INDEX(EMBELISHMENT!$B$3:$AQ$27,0,MATCH($AE76,EMBELISHMENT!$B$1:$AQ$1,0))),0)</f>
        <v>3</v>
      </c>
      <c r="Q76" s="2">
        <f>IFERROR(SUMIF($B$5:$B$29,Q$32,INDEX(EMBELISHMENT!$B$3:$AQ$27,0,MATCH($AE76,EMBELISHMENT!$B$1:$AQ$1,0))),0)</f>
        <v>0</v>
      </c>
      <c r="R76" s="2">
        <f>IFERROR(SUMIF($B$5:$B$29,R$32,INDEX(EMBELISHMENT!$B$3:$AQ$27,0,MATCH($AE76,EMBELISHMENT!$B$1:$AQ$1,0))),0)</f>
        <v>0</v>
      </c>
      <c r="S76" s="2">
        <f>IFERROR(SUMIF($B$5:$B$29,S$32,INDEX(EMBELISHMENT!$B$3:$AQ$27,0,MATCH($AE76,EMBELISHMENT!$B$1:$AQ$1,0))),0)</f>
        <v>0</v>
      </c>
      <c r="T76" s="2">
        <f>IFERROR(SUMIF($B$5:$B$29,T$32,INDEX(EMBELISHMENT!$B$3:$AQ$27,0,MATCH($AE76,EMBELISHMENT!$B$1:$AQ$1,0))),0)</f>
        <v>2</v>
      </c>
      <c r="U76" s="2">
        <f>IFERROR(SUMIF($B$5:$B$29,U$32,INDEX(EMBELISHMENT!$B$3:$AQ$27,0,MATCH($AE76,EMBELISHMENT!$B$1:$AQ$1,0))),0)</f>
        <v>1</v>
      </c>
      <c r="V76" s="2">
        <f>IFERROR(SUMIF($B$5:$B$29,V$32,INDEX(EMBELISHMENT!$B$3:$AQ$27,0,MATCH($AE76,EMBELISHMENT!$B$1:$AQ$1,0))),0)</f>
        <v>0</v>
      </c>
      <c r="W76" s="2">
        <f>IFERROR(SUMIF($B$5:$B$29,W$32,INDEX(EMBELISHMENT!$B$3:$AQ$27,0,MATCH($AE76,EMBELISHMENT!$B$1:$AQ$1,0))),0)</f>
        <v>0</v>
      </c>
      <c r="X76" s="2">
        <f>IFERROR(SUMIF($B$5:$B$29,X$32,INDEX(EMBELISHMENT!$B$3:$AQ$27,0,MATCH($AE76,EMBELISHMENT!$B$1:$AQ$1,0))),0)</f>
        <v>0</v>
      </c>
      <c r="Y76" s="2">
        <f>IFERROR(SUMIF($B$5:$B$29,Y$32,INDEX(EMBELISHMENT!$B$3:$AQ$27,0,MATCH($AE76,EMBELISHMENT!$B$1:$AQ$1,0))),0)</f>
        <v>1</v>
      </c>
      <c r="Z76" s="2">
        <f>IFERROR(SUMIF($B$5:$B$29,Z$32,INDEX(EMBELISHMENT!$B$3:$AQ$27,0,MATCH($AE76,EMBELISHMENT!$B$1:$AQ$1,0))),0)</f>
        <v>0</v>
      </c>
      <c r="AA76" s="2">
        <f>IFERROR(SUMIF($B$5:$B$29,AA$32,INDEX(EMBELISHMENT!$B$3:$AQ$27,0,MATCH($AE76,EMBELISHMENT!$B$1:$AQ$1,0))),0)</f>
        <v>0</v>
      </c>
      <c r="AB76" s="2">
        <f>SUM($B76:$AA76)</f>
        <v>21</v>
      </c>
      <c r="AC76" s="2">
        <f>IFERROR(INDEX(EMBELISHMENT!$B$28:$AQ$28,MATCH($AE76,EMBELISHMENT!$B$1:$AQ$1,0)),0)</f>
        <v>21</v>
      </c>
      <c r="AD76" s="2" t="str">
        <f>IF(N(AC76)=0,"n/a",IF(ROUND(AB76-AC76,1)=0,"OK",ROUND(AB76-AC76,1)))</f>
        <v>OK</v>
      </c>
      <c r="AE76" s="2">
        <f>IFERROR(IF(INDEX($L$5:$L$28,MATCH($A76,$K$5:$K$28,0))="","(no recipe)",INDEX($L$5:$L$28,MATCH($A76,$K$5:$K$28,0))),$A76)</f>
        <v>5503</v>
      </c>
      <c r="AF76" s="2" t="str">
        <f>IFERROR(INDEX($M$5:$M$28,MATCH($A76,$K$5:$K$28,0)),"STYLE")</f>
        <v>STYLE</v>
      </c>
      <c r="AG76" s="60" t="s">
        <v>493</v>
      </c>
    </row>
    <row r="77" spans="1:33">
      <c r="A77" s="2" t="str">
        <f>EMBELISHMENT!$AM$1</f>
        <v>TH-05</v>
      </c>
      <c r="B77" s="2">
        <f>IFERROR(SUMIF($B$5:$B$29,B$32,INDEX(EMBELISHMENT!$B$3:$AQ$27,0,MATCH($AE77,EMBELISHMENT!$B$1:$AQ$1,0))),0)</f>
        <v>5</v>
      </c>
      <c r="C77" s="2">
        <f>IFERROR(SUMIF($B$5:$B$29,C$32,INDEX(EMBELISHMENT!$B$3:$AQ$27,0,MATCH($AE77,EMBELISHMENT!$B$1:$AQ$1,0))),0)</f>
        <v>0</v>
      </c>
      <c r="D77" s="2">
        <f>IFERROR(SUMIF($B$5:$B$29,D$32,INDEX(EMBELISHMENT!$B$3:$AQ$27,0,MATCH($AE77,EMBELISHMENT!$B$1:$AQ$1,0))),0)</f>
        <v>0</v>
      </c>
      <c r="E77" s="2">
        <f>IFERROR(SUMIF($B$5:$B$29,E$32,INDEX(EMBELISHMENT!$B$3:$AQ$27,0,MATCH($AE77,EMBELISHMENT!$B$1:$AQ$1,0))),0)</f>
        <v>1</v>
      </c>
      <c r="F77" s="2">
        <f>IFERROR(SUMIF($B$5:$B$29,F$32,INDEX(EMBELISHMENT!$B$3:$AQ$27,0,MATCH($AE77,EMBELISHMENT!$B$1:$AQ$1,0))),0)</f>
        <v>2</v>
      </c>
      <c r="G77" s="2">
        <f>IFERROR(SUMIF($B$5:$B$29,G$32,INDEX(EMBELISHMENT!$B$3:$AQ$27,0,MATCH($AE77,EMBELISHMENT!$B$1:$AQ$1,0))),0)</f>
        <v>0</v>
      </c>
      <c r="H77" s="2">
        <f>IFERROR(SUMIF($B$5:$B$29,H$32,INDEX(EMBELISHMENT!$B$3:$AQ$27,0,MATCH($AE77,EMBELISHMENT!$B$1:$AQ$1,0))),0)</f>
        <v>0</v>
      </c>
      <c r="I77" s="2">
        <f>IFERROR(SUMIF($B$5:$B$29,I$32,INDEX(EMBELISHMENT!$B$3:$AQ$27,0,MATCH($AE77,EMBELISHMENT!$B$1:$AQ$1,0))),0)</f>
        <v>1</v>
      </c>
      <c r="J77" s="2">
        <f>IFERROR(SUMIF($B$5:$B$29,J$32,INDEX(EMBELISHMENT!$B$3:$AQ$27,0,MATCH($AE77,EMBELISHMENT!$B$1:$AQ$1,0))),0)</f>
        <v>0</v>
      </c>
      <c r="K77" s="2">
        <f>IFERROR(SUMIF($B$5:$B$29,K$32,INDEX(EMBELISHMENT!$B$3:$AQ$27,0,MATCH($AE77,EMBELISHMENT!$B$1:$AQ$1,0))),0)</f>
        <v>0</v>
      </c>
      <c r="L77" s="2">
        <f>IFERROR(SUMIF($B$5:$B$29,L$32,INDEX(EMBELISHMENT!$B$3:$AQ$27,0,MATCH($AE77,EMBELISHMENT!$B$1:$AQ$1,0))),0)</f>
        <v>0</v>
      </c>
      <c r="M77" s="2">
        <f>IFERROR(SUMIF($B$5:$B$29,M$32,INDEX(EMBELISHMENT!$B$3:$AQ$27,0,MATCH($AE77,EMBELISHMENT!$B$1:$AQ$1,0))),0)</f>
        <v>0</v>
      </c>
      <c r="N77" s="2">
        <f>IFERROR(SUMIF($B$5:$B$29,N$32,INDEX(EMBELISHMENT!$B$3:$AQ$27,0,MATCH($AE77,EMBELISHMENT!$B$1:$AQ$1,0))),0)</f>
        <v>1</v>
      </c>
      <c r="O77" s="2">
        <f>IFERROR(SUMIF($B$5:$B$29,O$32,INDEX(EMBELISHMENT!$B$3:$AQ$27,0,MATCH($AE77,EMBELISHMENT!$B$1:$AQ$1,0))),0)</f>
        <v>0</v>
      </c>
      <c r="P77" s="2">
        <f>IFERROR(SUMIF($B$5:$B$29,P$32,INDEX(EMBELISHMENT!$B$3:$AQ$27,0,MATCH($AE77,EMBELISHMENT!$B$1:$AQ$1,0))),0)</f>
        <v>2</v>
      </c>
      <c r="Q77" s="2">
        <f>IFERROR(SUMIF($B$5:$B$29,Q$32,INDEX(EMBELISHMENT!$B$3:$AQ$27,0,MATCH($AE77,EMBELISHMENT!$B$1:$AQ$1,0))),0)</f>
        <v>6</v>
      </c>
      <c r="R77" s="2">
        <f>IFERROR(SUMIF($B$5:$B$29,R$32,INDEX(EMBELISHMENT!$B$3:$AQ$27,0,MATCH($AE77,EMBELISHMENT!$B$1:$AQ$1,0))),0)</f>
        <v>0</v>
      </c>
      <c r="S77" s="2">
        <f>IFERROR(SUMIF($B$5:$B$29,S$32,INDEX(EMBELISHMENT!$B$3:$AQ$27,0,MATCH($AE77,EMBELISHMENT!$B$1:$AQ$1,0))),0)</f>
        <v>0</v>
      </c>
      <c r="T77" s="2">
        <f>IFERROR(SUMIF($B$5:$B$29,T$32,INDEX(EMBELISHMENT!$B$3:$AQ$27,0,MATCH($AE77,EMBELISHMENT!$B$1:$AQ$1,0))),0)</f>
        <v>0</v>
      </c>
      <c r="U77" s="2">
        <f>IFERROR(SUMIF($B$5:$B$29,U$32,INDEX(EMBELISHMENT!$B$3:$AQ$27,0,MATCH($AE77,EMBELISHMENT!$B$1:$AQ$1,0))),0)</f>
        <v>1</v>
      </c>
      <c r="V77" s="2">
        <f>IFERROR(SUMIF($B$5:$B$29,V$32,INDEX(EMBELISHMENT!$B$3:$AQ$27,0,MATCH($AE77,EMBELISHMENT!$B$1:$AQ$1,0))),0)</f>
        <v>0</v>
      </c>
      <c r="W77" s="2">
        <f>IFERROR(SUMIF($B$5:$B$29,W$32,INDEX(EMBELISHMENT!$B$3:$AQ$27,0,MATCH($AE77,EMBELISHMENT!$B$1:$AQ$1,0))),0)</f>
        <v>0</v>
      </c>
      <c r="X77" s="2">
        <f>IFERROR(SUMIF($B$5:$B$29,X$32,INDEX(EMBELISHMENT!$B$3:$AQ$27,0,MATCH($AE77,EMBELISHMENT!$B$1:$AQ$1,0))),0)</f>
        <v>0</v>
      </c>
      <c r="Y77" s="2">
        <f>IFERROR(SUMIF($B$5:$B$29,Y$32,INDEX(EMBELISHMENT!$B$3:$AQ$27,0,MATCH($AE77,EMBELISHMENT!$B$1:$AQ$1,0))),0)</f>
        <v>1</v>
      </c>
      <c r="Z77" s="2">
        <f>IFERROR(SUMIF($B$5:$B$29,Z$32,INDEX(EMBELISHMENT!$B$3:$AQ$27,0,MATCH($AE77,EMBELISHMENT!$B$1:$AQ$1,0))),0)</f>
        <v>0</v>
      </c>
      <c r="AA77" s="2">
        <f>IFERROR(SUMIF($B$5:$B$29,AA$32,INDEX(EMBELISHMENT!$B$3:$AQ$27,0,MATCH($AE77,EMBELISHMENT!$B$1:$AQ$1,0))),0)</f>
        <v>0</v>
      </c>
      <c r="AB77" s="2">
        <f>SUM($B77:$AA77)</f>
        <v>20</v>
      </c>
      <c r="AC77" s="2">
        <f>IFERROR(INDEX(EMBELISHMENT!$B$28:$AQ$28,MATCH($AE77,EMBELISHMENT!$B$1:$AQ$1,0)),0)</f>
        <v>20</v>
      </c>
      <c r="AD77" s="2" t="str">
        <f>IF(N(AC77)=0,"n/a",IF(ROUND(AB77-AC77,1)=0,"OK",ROUND(AB77-AC77,1)))</f>
        <v>OK</v>
      </c>
      <c r="AE77" s="2" t="str">
        <f>IFERROR(IF(INDEX($L$5:$L$28,MATCH($A77,$K$5:$K$28,0))="","(no recipe)",INDEX($L$5:$L$28,MATCH($A77,$K$5:$K$28,0))),$A77)</f>
        <v>TH-05</v>
      </c>
      <c r="AF77" s="2" t="str">
        <f>IFERROR(INDEX($M$5:$M$28,MATCH($A77,$K$5:$K$28,0)),"STYLE")</f>
        <v>THERMAL</v>
      </c>
      <c r="AG77" s="60" t="s">
        <v>15</v>
      </c>
    </row>
    <row r="78" spans="1:33">
      <c r="A78" s="2" t="str">
        <f>EMBELISHMENT!$AN$1</f>
        <v>TH-06</v>
      </c>
      <c r="B78" s="2">
        <f>IFERROR(SUMIF($B$5:$B$29,B$32,INDEX(EMBELISHMENT!$B$3:$AQ$27,0,MATCH($AE78,EMBELISHMENT!$B$1:$AQ$1,0))),0)</f>
        <v>3</v>
      </c>
      <c r="C78" s="2">
        <f>IFERROR(SUMIF($B$5:$B$29,C$32,INDEX(EMBELISHMENT!$B$3:$AQ$27,0,MATCH($AE78,EMBELISHMENT!$B$1:$AQ$1,0))),0)</f>
        <v>0</v>
      </c>
      <c r="D78" s="2">
        <f>IFERROR(SUMIF($B$5:$B$29,D$32,INDEX(EMBELISHMENT!$B$3:$AQ$27,0,MATCH($AE78,EMBELISHMENT!$B$1:$AQ$1,0))),0)</f>
        <v>0</v>
      </c>
      <c r="E78" s="2">
        <f>IFERROR(SUMIF($B$5:$B$29,E$32,INDEX(EMBELISHMENT!$B$3:$AQ$27,0,MATCH($AE78,EMBELISHMENT!$B$1:$AQ$1,0))),0)</f>
        <v>0</v>
      </c>
      <c r="F78" s="2">
        <f>IFERROR(SUMIF($B$5:$B$29,F$32,INDEX(EMBELISHMENT!$B$3:$AQ$27,0,MATCH($AE78,EMBELISHMENT!$B$1:$AQ$1,0))),0)</f>
        <v>10</v>
      </c>
      <c r="G78" s="2">
        <f>IFERROR(SUMIF($B$5:$B$29,G$32,INDEX(EMBELISHMENT!$B$3:$AQ$27,0,MATCH($AE78,EMBELISHMENT!$B$1:$AQ$1,0))),0)</f>
        <v>0</v>
      </c>
      <c r="H78" s="2">
        <f>IFERROR(SUMIF($B$5:$B$29,H$32,INDEX(EMBELISHMENT!$B$3:$AQ$27,0,MATCH($AE78,EMBELISHMENT!$B$1:$AQ$1,0))),0)</f>
        <v>0</v>
      </c>
      <c r="I78" s="2">
        <f>IFERROR(SUMIF($B$5:$B$29,I$32,INDEX(EMBELISHMENT!$B$3:$AQ$27,0,MATCH($AE78,EMBELISHMENT!$B$1:$AQ$1,0))),0)</f>
        <v>1</v>
      </c>
      <c r="J78" s="2">
        <f>IFERROR(SUMIF($B$5:$B$29,J$32,INDEX(EMBELISHMENT!$B$3:$AQ$27,0,MATCH($AE78,EMBELISHMENT!$B$1:$AQ$1,0))),0)</f>
        <v>2</v>
      </c>
      <c r="K78" s="2">
        <f>IFERROR(SUMIF($B$5:$B$29,K$32,INDEX(EMBELISHMENT!$B$3:$AQ$27,0,MATCH($AE78,EMBELISHMENT!$B$1:$AQ$1,0))),0)</f>
        <v>0</v>
      </c>
      <c r="L78" s="2">
        <f>IFERROR(SUMIF($B$5:$B$29,L$32,INDEX(EMBELISHMENT!$B$3:$AQ$27,0,MATCH($AE78,EMBELISHMENT!$B$1:$AQ$1,0))),0)</f>
        <v>0</v>
      </c>
      <c r="M78" s="2">
        <f>IFERROR(SUMIF($B$5:$B$29,M$32,INDEX(EMBELISHMENT!$B$3:$AQ$27,0,MATCH($AE78,EMBELISHMENT!$B$1:$AQ$1,0))),0)</f>
        <v>0</v>
      </c>
      <c r="N78" s="2">
        <f>IFERROR(SUMIF($B$5:$B$29,N$32,INDEX(EMBELISHMENT!$B$3:$AQ$27,0,MATCH($AE78,EMBELISHMENT!$B$1:$AQ$1,0))),0)</f>
        <v>0</v>
      </c>
      <c r="O78" s="2">
        <f>IFERROR(SUMIF($B$5:$B$29,O$32,INDEX(EMBELISHMENT!$B$3:$AQ$27,0,MATCH($AE78,EMBELISHMENT!$B$1:$AQ$1,0))),0)</f>
        <v>0</v>
      </c>
      <c r="P78" s="2">
        <f>IFERROR(SUMIF($B$5:$B$29,P$32,INDEX(EMBELISHMENT!$B$3:$AQ$27,0,MATCH($AE78,EMBELISHMENT!$B$1:$AQ$1,0))),0)</f>
        <v>4</v>
      </c>
      <c r="Q78" s="2">
        <f>IFERROR(SUMIF($B$5:$B$29,Q$32,INDEX(EMBELISHMENT!$B$3:$AQ$27,0,MATCH($AE78,EMBELISHMENT!$B$1:$AQ$1,0))),0)</f>
        <v>0</v>
      </c>
      <c r="R78" s="2">
        <f>IFERROR(SUMIF($B$5:$B$29,R$32,INDEX(EMBELISHMENT!$B$3:$AQ$27,0,MATCH($AE78,EMBELISHMENT!$B$1:$AQ$1,0))),0)</f>
        <v>0</v>
      </c>
      <c r="S78" s="2">
        <f>IFERROR(SUMIF($B$5:$B$29,S$32,INDEX(EMBELISHMENT!$B$3:$AQ$27,0,MATCH($AE78,EMBELISHMENT!$B$1:$AQ$1,0))),0)</f>
        <v>0</v>
      </c>
      <c r="T78" s="2">
        <f>IFERROR(SUMIF($B$5:$B$29,T$32,INDEX(EMBELISHMENT!$B$3:$AQ$27,0,MATCH($AE78,EMBELISHMENT!$B$1:$AQ$1,0))),0)</f>
        <v>2</v>
      </c>
      <c r="U78" s="2">
        <f>IFERROR(SUMIF($B$5:$B$29,U$32,INDEX(EMBELISHMENT!$B$3:$AQ$27,0,MATCH($AE78,EMBELISHMENT!$B$1:$AQ$1,0))),0)</f>
        <v>1</v>
      </c>
      <c r="V78" s="2">
        <f>IFERROR(SUMIF($B$5:$B$29,V$32,INDEX(EMBELISHMENT!$B$3:$AQ$27,0,MATCH($AE78,EMBELISHMENT!$B$1:$AQ$1,0))),0)</f>
        <v>0</v>
      </c>
      <c r="W78" s="2">
        <f>IFERROR(SUMIF($B$5:$B$29,W$32,INDEX(EMBELISHMENT!$B$3:$AQ$27,0,MATCH($AE78,EMBELISHMENT!$B$1:$AQ$1,0))),0)</f>
        <v>0</v>
      </c>
      <c r="X78" s="2">
        <f>IFERROR(SUMIF($B$5:$B$29,X$32,INDEX(EMBELISHMENT!$B$3:$AQ$27,0,MATCH($AE78,EMBELISHMENT!$B$1:$AQ$1,0))),0)</f>
        <v>0</v>
      </c>
      <c r="Y78" s="2">
        <f>IFERROR(SUMIF($B$5:$B$29,Y$32,INDEX(EMBELISHMENT!$B$3:$AQ$27,0,MATCH($AE78,EMBELISHMENT!$B$1:$AQ$1,0))),0)</f>
        <v>1</v>
      </c>
      <c r="Z78" s="2">
        <f>IFERROR(SUMIF($B$5:$B$29,Z$32,INDEX(EMBELISHMENT!$B$3:$AQ$27,0,MATCH($AE78,EMBELISHMENT!$B$1:$AQ$1,0))),0)</f>
        <v>0</v>
      </c>
      <c r="AA78" s="2">
        <f>IFERROR(SUMIF($B$5:$B$29,AA$32,INDEX(EMBELISHMENT!$B$3:$AQ$27,0,MATCH($AE78,EMBELISHMENT!$B$1:$AQ$1,0))),0)</f>
        <v>0</v>
      </c>
      <c r="AB78" s="2">
        <f>SUM($B78:$AA78)</f>
        <v>24</v>
      </c>
      <c r="AC78" s="2">
        <f>IFERROR(INDEX(EMBELISHMENT!$B$28:$AQ$28,MATCH($AE78,EMBELISHMENT!$B$1:$AQ$1,0)),0)</f>
        <v>24</v>
      </c>
      <c r="AD78" s="2" t="str">
        <f>IF(N(AC78)=0,"n/a",IF(ROUND(AB78-AC78,1)=0,"OK",ROUND(AB78-AC78,1)))</f>
        <v>OK</v>
      </c>
      <c r="AE78" s="2" t="str">
        <f>IFERROR(IF(INDEX($L$5:$L$28,MATCH($A78,$K$5:$K$28,0))="","(no recipe)",INDEX($L$5:$L$28,MATCH($A78,$K$5:$K$28,0))),$A78)</f>
        <v>TH-06</v>
      </c>
      <c r="AF78" s="2" t="str">
        <f>IFERROR(INDEX($M$5:$M$28,MATCH($A78,$K$5:$K$28,0)),"STYLE")</f>
        <v>THERMAL</v>
      </c>
      <c r="AG78" s="60" t="s">
        <v>15</v>
      </c>
    </row>
    <row r="79" spans="1:33">
      <c r="A79" s="2">
        <f>EMBELISHMENT!$AO$1</f>
        <v>5544</v>
      </c>
      <c r="B79" s="2">
        <f>IFERROR(SUMIF($B$5:$B$29,B$32,INDEX(EMBELISHMENT!$B$3:$AQ$27,0,MATCH($AE79,EMBELISHMENT!$B$1:$AQ$1,0))),0)</f>
        <v>6</v>
      </c>
      <c r="C79" s="2">
        <f>IFERROR(SUMIF($B$5:$B$29,C$32,INDEX(EMBELISHMENT!$B$3:$AQ$27,0,MATCH($AE79,EMBELISHMENT!$B$1:$AQ$1,0))),0)</f>
        <v>0</v>
      </c>
      <c r="D79" s="2">
        <f>IFERROR(SUMIF($B$5:$B$29,D$32,INDEX(EMBELISHMENT!$B$3:$AQ$27,0,MATCH($AE79,EMBELISHMENT!$B$1:$AQ$1,0))),0)</f>
        <v>0</v>
      </c>
      <c r="E79" s="2">
        <f>IFERROR(SUMIF($B$5:$B$29,E$32,INDEX(EMBELISHMENT!$B$3:$AQ$27,0,MATCH($AE79,EMBELISHMENT!$B$1:$AQ$1,0))),0)</f>
        <v>1</v>
      </c>
      <c r="F79" s="2">
        <f>IFERROR(SUMIF($B$5:$B$29,F$32,INDEX(EMBELISHMENT!$B$3:$AQ$27,0,MATCH($AE79,EMBELISHMENT!$B$1:$AQ$1,0))),0)</f>
        <v>2</v>
      </c>
      <c r="G79" s="2">
        <f>IFERROR(SUMIF($B$5:$B$29,G$32,INDEX(EMBELISHMENT!$B$3:$AQ$27,0,MATCH($AE79,EMBELISHMENT!$B$1:$AQ$1,0))),0)</f>
        <v>0</v>
      </c>
      <c r="H79" s="2">
        <f>IFERROR(SUMIF($B$5:$B$29,H$32,INDEX(EMBELISHMENT!$B$3:$AQ$27,0,MATCH($AE79,EMBELISHMENT!$B$1:$AQ$1,0))),0)</f>
        <v>0</v>
      </c>
      <c r="I79" s="2">
        <f>IFERROR(SUMIF($B$5:$B$29,I$32,INDEX(EMBELISHMENT!$B$3:$AQ$27,0,MATCH($AE79,EMBELISHMENT!$B$1:$AQ$1,0))),0)</f>
        <v>1</v>
      </c>
      <c r="J79" s="2">
        <f>IFERROR(SUMIF($B$5:$B$29,J$32,INDEX(EMBELISHMENT!$B$3:$AQ$27,0,MATCH($AE79,EMBELISHMENT!$B$1:$AQ$1,0))),0)</f>
        <v>1</v>
      </c>
      <c r="K79" s="2">
        <f>IFERROR(SUMIF($B$5:$B$29,K$32,INDEX(EMBELISHMENT!$B$3:$AQ$27,0,MATCH($AE79,EMBELISHMENT!$B$1:$AQ$1,0))),0)</f>
        <v>0</v>
      </c>
      <c r="L79" s="2">
        <f>IFERROR(SUMIF($B$5:$B$29,L$32,INDEX(EMBELISHMENT!$B$3:$AQ$27,0,MATCH($AE79,EMBELISHMENT!$B$1:$AQ$1,0))),0)</f>
        <v>0</v>
      </c>
      <c r="M79" s="2">
        <f>IFERROR(SUMIF($B$5:$B$29,M$32,INDEX(EMBELISHMENT!$B$3:$AQ$27,0,MATCH($AE79,EMBELISHMENT!$B$1:$AQ$1,0))),0)</f>
        <v>0</v>
      </c>
      <c r="N79" s="2">
        <f>IFERROR(SUMIF($B$5:$B$29,N$32,INDEX(EMBELISHMENT!$B$3:$AQ$27,0,MATCH($AE79,EMBELISHMENT!$B$1:$AQ$1,0))),0)</f>
        <v>1</v>
      </c>
      <c r="O79" s="2">
        <f>IFERROR(SUMIF($B$5:$B$29,O$32,INDEX(EMBELISHMENT!$B$3:$AQ$27,0,MATCH($AE79,EMBELISHMENT!$B$1:$AQ$1,0))),0)</f>
        <v>0</v>
      </c>
      <c r="P79" s="2">
        <f>IFERROR(SUMIF($B$5:$B$29,P$32,INDEX(EMBELISHMENT!$B$3:$AQ$27,0,MATCH($AE79,EMBELISHMENT!$B$1:$AQ$1,0))),0)</f>
        <v>0</v>
      </c>
      <c r="Q79" s="2">
        <f>IFERROR(SUMIF($B$5:$B$29,Q$32,INDEX(EMBELISHMENT!$B$3:$AQ$27,0,MATCH($AE79,EMBELISHMENT!$B$1:$AQ$1,0))),0)</f>
        <v>4</v>
      </c>
      <c r="R79" s="2">
        <f>IFERROR(SUMIF($B$5:$B$29,R$32,INDEX(EMBELISHMENT!$B$3:$AQ$27,0,MATCH($AE79,EMBELISHMENT!$B$1:$AQ$1,0))),0)</f>
        <v>0</v>
      </c>
      <c r="S79" s="2">
        <f>IFERROR(SUMIF($B$5:$B$29,S$32,INDEX(EMBELISHMENT!$B$3:$AQ$27,0,MATCH($AE79,EMBELISHMENT!$B$1:$AQ$1,0))),0)</f>
        <v>0</v>
      </c>
      <c r="T79" s="2">
        <f>IFERROR(SUMIF($B$5:$B$29,T$32,INDEX(EMBELISHMENT!$B$3:$AQ$27,0,MATCH($AE79,EMBELISHMENT!$B$1:$AQ$1,0))),0)</f>
        <v>2</v>
      </c>
      <c r="U79" s="2">
        <f>IFERROR(SUMIF($B$5:$B$29,U$32,INDEX(EMBELISHMENT!$B$3:$AQ$27,0,MATCH($AE79,EMBELISHMENT!$B$1:$AQ$1,0))),0)</f>
        <v>0</v>
      </c>
      <c r="V79" s="2">
        <f>IFERROR(SUMIF($B$5:$B$29,V$32,INDEX(EMBELISHMENT!$B$3:$AQ$27,0,MATCH($AE79,EMBELISHMENT!$B$1:$AQ$1,0))),0)</f>
        <v>0</v>
      </c>
      <c r="W79" s="2">
        <f>IFERROR(SUMIF($B$5:$B$29,W$32,INDEX(EMBELISHMENT!$B$3:$AQ$27,0,MATCH($AE79,EMBELISHMENT!$B$1:$AQ$1,0))),0)</f>
        <v>0</v>
      </c>
      <c r="X79" s="2">
        <f>IFERROR(SUMIF($B$5:$B$29,X$32,INDEX(EMBELISHMENT!$B$3:$AQ$27,0,MATCH($AE79,EMBELISHMENT!$B$1:$AQ$1,0))),0)</f>
        <v>0</v>
      </c>
      <c r="Y79" s="2">
        <f>IFERROR(SUMIF($B$5:$B$29,Y$32,INDEX(EMBELISHMENT!$B$3:$AQ$27,0,MATCH($AE79,EMBELISHMENT!$B$1:$AQ$1,0))),0)</f>
        <v>0</v>
      </c>
      <c r="Z79" s="2">
        <f>IFERROR(SUMIF($B$5:$B$29,Z$32,INDEX(EMBELISHMENT!$B$3:$AQ$27,0,MATCH($AE79,EMBELISHMENT!$B$1:$AQ$1,0))),0)</f>
        <v>0</v>
      </c>
      <c r="AA79" s="2">
        <f>IFERROR(SUMIF($B$5:$B$29,AA$32,INDEX(EMBELISHMENT!$B$3:$AQ$27,0,MATCH($AE79,EMBELISHMENT!$B$1:$AQ$1,0))),0)</f>
        <v>0</v>
      </c>
      <c r="AB79" s="2">
        <f>SUM($B79:$AA79)</f>
        <v>18</v>
      </c>
      <c r="AC79" s="2">
        <f>IFERROR(INDEX(EMBELISHMENT!$B$28:$AQ$28,MATCH($AE79,EMBELISHMENT!$B$1:$AQ$1,0)),0)</f>
        <v>18</v>
      </c>
      <c r="AD79" s="2" t="str">
        <f>IF(N(AC79)=0,"n/a",IF(ROUND(AB79-AC79,1)=0,"OK",ROUND(AB79-AC79,1)))</f>
        <v>OK</v>
      </c>
      <c r="AE79" s="2">
        <f>IFERROR(IF(INDEX($L$5:$L$28,MATCH($A79,$K$5:$K$28,0))="","(no recipe)",INDEX($L$5:$L$28,MATCH($A79,$K$5:$K$28,0))),$A79)</f>
        <v>5544</v>
      </c>
      <c r="AF79" s="2" t="str">
        <f>IFERROR(INDEX($M$5:$M$28,MATCH($A79,$K$5:$K$28,0)),"STYLE")</f>
        <v>STYLE</v>
      </c>
      <c r="AG79" s="60" t="s">
        <v>493</v>
      </c>
    </row>
    <row r="80" spans="1:33">
      <c r="A80" s="2">
        <f>EMBELISHMENT!$AP$1</f>
        <v>5543</v>
      </c>
      <c r="B80" s="2">
        <f>IFERROR(SUMIF($B$5:$B$29,B$32,INDEX(EMBELISHMENT!$B$3:$AQ$27,0,MATCH($AE80,EMBELISHMENT!$B$1:$AQ$1,0))),0)</f>
        <v>3</v>
      </c>
      <c r="C80" s="2">
        <f>IFERROR(SUMIF($B$5:$B$29,C$32,INDEX(EMBELISHMENT!$B$3:$AQ$27,0,MATCH($AE80,EMBELISHMENT!$B$1:$AQ$1,0))),0)</f>
        <v>0</v>
      </c>
      <c r="D80" s="2">
        <f>IFERROR(SUMIF($B$5:$B$29,D$32,INDEX(EMBELISHMENT!$B$3:$AQ$27,0,MATCH($AE80,EMBELISHMENT!$B$1:$AQ$1,0))),0)</f>
        <v>0</v>
      </c>
      <c r="E80" s="2">
        <f>IFERROR(SUMIF($B$5:$B$29,E$32,INDEX(EMBELISHMENT!$B$3:$AQ$27,0,MATCH($AE80,EMBELISHMENT!$B$1:$AQ$1,0))),0)</f>
        <v>0</v>
      </c>
      <c r="F80" s="2">
        <f>IFERROR(SUMIF($B$5:$B$29,F$32,INDEX(EMBELISHMENT!$B$3:$AQ$27,0,MATCH($AE80,EMBELISHMENT!$B$1:$AQ$1,0))),0)</f>
        <v>7</v>
      </c>
      <c r="G80" s="2">
        <f>IFERROR(SUMIF($B$5:$B$29,G$32,INDEX(EMBELISHMENT!$B$3:$AQ$27,0,MATCH($AE80,EMBELISHMENT!$B$1:$AQ$1,0))),0)</f>
        <v>0</v>
      </c>
      <c r="H80" s="2">
        <f>IFERROR(SUMIF($B$5:$B$29,H$32,INDEX(EMBELISHMENT!$B$3:$AQ$27,0,MATCH($AE80,EMBELISHMENT!$B$1:$AQ$1,0))),0)</f>
        <v>0</v>
      </c>
      <c r="I80" s="2">
        <f>IFERROR(SUMIF($B$5:$B$29,I$32,INDEX(EMBELISHMENT!$B$3:$AQ$27,0,MATCH($AE80,EMBELISHMENT!$B$1:$AQ$1,0))),0)</f>
        <v>0</v>
      </c>
      <c r="J80" s="2">
        <f>IFERROR(SUMIF($B$5:$B$29,J$32,INDEX(EMBELISHMENT!$B$3:$AQ$27,0,MATCH($AE80,EMBELISHMENT!$B$1:$AQ$1,0))),0)</f>
        <v>3</v>
      </c>
      <c r="K80" s="2">
        <f>IFERROR(SUMIF($B$5:$B$29,K$32,INDEX(EMBELISHMENT!$B$3:$AQ$27,0,MATCH($AE80,EMBELISHMENT!$B$1:$AQ$1,0))),0)</f>
        <v>0</v>
      </c>
      <c r="L80" s="2">
        <f>IFERROR(SUMIF($B$5:$B$29,L$32,INDEX(EMBELISHMENT!$B$3:$AQ$27,0,MATCH($AE80,EMBELISHMENT!$B$1:$AQ$1,0))),0)</f>
        <v>0</v>
      </c>
      <c r="M80" s="2">
        <f>IFERROR(SUMIF($B$5:$B$29,M$32,INDEX(EMBELISHMENT!$B$3:$AQ$27,0,MATCH($AE80,EMBELISHMENT!$B$1:$AQ$1,0))),0)</f>
        <v>0</v>
      </c>
      <c r="N80" s="2">
        <f>IFERROR(SUMIF($B$5:$B$29,N$32,INDEX(EMBELISHMENT!$B$3:$AQ$27,0,MATCH($AE80,EMBELISHMENT!$B$1:$AQ$1,0))),0)</f>
        <v>0</v>
      </c>
      <c r="O80" s="2">
        <f>IFERROR(SUMIF($B$5:$B$29,O$32,INDEX(EMBELISHMENT!$B$3:$AQ$27,0,MATCH($AE80,EMBELISHMENT!$B$1:$AQ$1,0))),0)</f>
        <v>0</v>
      </c>
      <c r="P80" s="2">
        <f>IFERROR(SUMIF($B$5:$B$29,P$32,INDEX(EMBELISHMENT!$B$3:$AQ$27,0,MATCH($AE80,EMBELISHMENT!$B$1:$AQ$1,0))),0)</f>
        <v>3</v>
      </c>
      <c r="Q80" s="2">
        <f>IFERROR(SUMIF($B$5:$B$29,Q$32,INDEX(EMBELISHMENT!$B$3:$AQ$27,0,MATCH($AE80,EMBELISHMENT!$B$1:$AQ$1,0))),0)</f>
        <v>0</v>
      </c>
      <c r="R80" s="2">
        <f>IFERROR(SUMIF($B$5:$B$29,R$32,INDEX(EMBELISHMENT!$B$3:$AQ$27,0,MATCH($AE80,EMBELISHMENT!$B$1:$AQ$1,0))),0)</f>
        <v>0</v>
      </c>
      <c r="S80" s="2">
        <f>IFERROR(SUMIF($B$5:$B$29,S$32,INDEX(EMBELISHMENT!$B$3:$AQ$27,0,MATCH($AE80,EMBELISHMENT!$B$1:$AQ$1,0))),0)</f>
        <v>0</v>
      </c>
      <c r="T80" s="2">
        <f>IFERROR(SUMIF($B$5:$B$29,T$32,INDEX(EMBELISHMENT!$B$3:$AQ$27,0,MATCH($AE80,EMBELISHMENT!$B$1:$AQ$1,0))),0)</f>
        <v>2</v>
      </c>
      <c r="U80" s="2">
        <f>IFERROR(SUMIF($B$5:$B$29,U$32,INDEX(EMBELISHMENT!$B$3:$AQ$27,0,MATCH($AE80,EMBELISHMENT!$B$1:$AQ$1,0))),0)</f>
        <v>0</v>
      </c>
      <c r="V80" s="2">
        <f>IFERROR(SUMIF($B$5:$B$29,V$32,INDEX(EMBELISHMENT!$B$3:$AQ$27,0,MATCH($AE80,EMBELISHMENT!$B$1:$AQ$1,0))),0)</f>
        <v>0</v>
      </c>
      <c r="W80" s="2">
        <f>IFERROR(SUMIF($B$5:$B$29,W$32,INDEX(EMBELISHMENT!$B$3:$AQ$27,0,MATCH($AE80,EMBELISHMENT!$B$1:$AQ$1,0))),0)</f>
        <v>0</v>
      </c>
      <c r="X80" s="2">
        <f>IFERROR(SUMIF($B$5:$B$29,X$32,INDEX(EMBELISHMENT!$B$3:$AQ$27,0,MATCH($AE80,EMBELISHMENT!$B$1:$AQ$1,0))),0)</f>
        <v>0</v>
      </c>
      <c r="Y80" s="2">
        <f>IFERROR(SUMIF($B$5:$B$29,Y$32,INDEX(EMBELISHMENT!$B$3:$AQ$27,0,MATCH($AE80,EMBELISHMENT!$B$1:$AQ$1,0))),0)</f>
        <v>0</v>
      </c>
      <c r="Z80" s="2">
        <f>IFERROR(SUMIF($B$5:$B$29,Z$32,INDEX(EMBELISHMENT!$B$3:$AQ$27,0,MATCH($AE80,EMBELISHMENT!$B$1:$AQ$1,0))),0)</f>
        <v>0</v>
      </c>
      <c r="AA80" s="2">
        <f>IFERROR(SUMIF($B$5:$B$29,AA$32,INDEX(EMBELISHMENT!$B$3:$AQ$27,0,MATCH($AE80,EMBELISHMENT!$B$1:$AQ$1,0))),0)</f>
        <v>1</v>
      </c>
      <c r="AB80" s="2">
        <f>SUM($B80:$AA80)</f>
        <v>19</v>
      </c>
      <c r="AC80" s="2">
        <f>IFERROR(INDEX(EMBELISHMENT!$B$28:$AQ$28,MATCH($AE80,EMBELISHMENT!$B$1:$AQ$1,0)),0)</f>
        <v>19</v>
      </c>
      <c r="AD80" s="2" t="str">
        <f>IF(N(AC80)=0,"n/a",IF(ROUND(AB80-AC80,1)=0,"OK",ROUND(AB80-AC80,1)))</f>
        <v>OK</v>
      </c>
      <c r="AE80" s="2">
        <f>IFERROR(IF(INDEX($L$5:$L$28,MATCH($A80,$K$5:$K$28,0))="","(no recipe)",INDEX($L$5:$L$28,MATCH($A80,$K$5:$K$28,0))),$A80)</f>
        <v>5543</v>
      </c>
      <c r="AF80" s="2" t="str">
        <f>IFERROR(INDEX($M$5:$M$28,MATCH($A80,$K$5:$K$28,0)),"STYLE")</f>
        <v>STYLE</v>
      </c>
      <c r="AG80" s="60" t="s">
        <v>493</v>
      </c>
    </row>
    <row r="81" spans="1:34">
      <c r="A81" s="270" t="s">
        <v>253</v>
      </c>
    </row>
    <row r="85" spans="1:34">
      <c r="A85" s="9" t="s">
        <v>218</v>
      </c>
    </row>
    <row r="86" spans="1:34" ht="45.95" customHeight="1">
      <c r="A86" s="12" t="s">
        <v>219</v>
      </c>
      <c r="B86" s="12" t="s">
        <v>289</v>
      </c>
      <c r="C86" s="12" t="s">
        <v>220</v>
      </c>
      <c r="D86" s="272" t="str">
        <f>INDEX('MC MASTER'!$B$3:$B$28,COLUMN()-3)</f>
        <v>SNLS</v>
      </c>
      <c r="E86" s="272" t="str">
        <f>INDEX('MC MASTER'!$B$3:$B$28,COLUMN()-3)</f>
        <v>DNLS</v>
      </c>
      <c r="F86" s="272" t="str">
        <f>INDEX('MC MASTER'!$B$3:$B$28,COLUMN()-3)</f>
        <v>SNLS - Edge cutter</v>
      </c>
      <c r="G86" s="272" t="str">
        <f>INDEX('MC MASTER'!$B$3:$B$28,COLUMN()-3)</f>
        <v>Zig - Zag</v>
      </c>
      <c r="H86" s="272" t="str">
        <f>INDEX('MC MASTER'!$B$3:$B$28,COLUMN()-3)</f>
        <v>4th Overlock</v>
      </c>
      <c r="I86" s="272" t="str">
        <f>INDEX('MC MASTER'!$B$3:$B$28,COLUMN()-3)</f>
        <v>3th Overlock (Leg elastic)</v>
      </c>
      <c r="J86" s="272" t="str">
        <f>INDEX('MC MASTER'!$B$3:$B$28,COLUMN()-3)</f>
        <v>5th Overlock</v>
      </c>
      <c r="K86" s="272" t="str">
        <f>INDEX('MC MASTER'!$B$3:$B$28,COLUMN()-3)</f>
        <v>Overlock (Ring Elastic Attach)</v>
      </c>
      <c r="L86" s="272" t="str">
        <f>INDEX('MC MASTER'!$B$3:$B$28,COLUMN()-3)</f>
        <v>Flatlock Hem</v>
      </c>
      <c r="M86" s="272" t="str">
        <f>INDEX('MC MASTER'!$B$3:$B$28,COLUMN()-3)</f>
        <v>F/L (Coverseam / Waist COVER SEAM</v>
      </c>
      <c r="N86" s="272" t="str">
        <f>INDEX('MC MASTER'!$B$3:$B$28,COLUMN()-3)</f>
        <v>F/L (Coverseam )with pullar</v>
      </c>
      <c r="O86" s="272" t="str">
        <f>INDEX('MC MASTER'!$B$3:$B$28,COLUMN()-3)</f>
        <v>F/L (Coverseam )</v>
      </c>
      <c r="P86" s="272" t="str">
        <f>INDEX('MC MASTER'!$B$3:$B$28,COLUMN()-3)</f>
        <v>Flatlock (Ring Elastic Attach)</v>
      </c>
      <c r="Q86" s="272" t="str">
        <f>INDEX('MC MASTER'!$B$3:$B$28,COLUMN()-3)</f>
        <v>3N5T-F/L -BINDING</v>
      </c>
      <c r="R86" s="272" t="str">
        <f>INDEX('MC MASTER'!$B$3:$B$28,COLUMN()-3)</f>
        <v>3N5T-F/L -( TopStitch)</v>
      </c>
      <c r="S86" s="272" t="str">
        <f>INDEX('MC MASTER'!$B$3:$B$28,COLUMN()-3)</f>
        <v>FlatSeamer FS</v>
      </c>
      <c r="T86" s="272" t="str">
        <f>INDEX('MC MASTER'!$B$3:$B$28,COLUMN()-3)</f>
        <v>Kansai</v>
      </c>
      <c r="U86" s="272" t="str">
        <f>INDEX('MC MASTER'!$B$3:$B$28,COLUMN()-3)</f>
        <v>Chain stitch</v>
      </c>
      <c r="V86" s="272" t="str">
        <f>INDEX('MC MASTER'!$B$3:$B$28,COLUMN()-3)</f>
        <v>Flatlock (VT)</v>
      </c>
      <c r="W86" s="272" t="str">
        <f>INDEX('MC MASTER'!$B$3:$B$28,COLUMN()-3)</f>
        <v>Heat Seal</v>
      </c>
      <c r="X86" s="272" t="str">
        <f>INDEX('MC MASTER'!$B$3:$B$28,COLUMN()-3)</f>
        <v>Snap button</v>
      </c>
      <c r="Y86" s="272" t="str">
        <f>INDEX('MC MASTER'!$B$3:$B$28,COLUMN()-3)</f>
        <v>Button Hole</v>
      </c>
      <c r="Z86" s="272" t="str">
        <f>INDEX('MC MASTER'!$B$3:$B$28,COLUMN()-3)</f>
        <v>Button Attach</v>
      </c>
      <c r="AA86" s="272" t="str">
        <f>INDEX('MC MASTER'!$B$3:$B$28,COLUMN()-3)</f>
        <v>Bartack</v>
      </c>
      <c r="AB86" s="272" t="str">
        <f>INDEX('MC MASTER'!$B$3:$B$28,COLUMN()-3)</f>
        <v>Bartack Pattern tacker (LABEL ATTACH )</v>
      </c>
      <c r="AC86" s="272" t="str">
        <f>INDEX('MC MASTER'!$B$3:$B$28,COLUMN()-3)</f>
        <v>Bartack Pattern tacker</v>
      </c>
      <c r="AD86" s="274" t="s">
        <v>221</v>
      </c>
      <c r="AE86" s="275" t="s">
        <v>213</v>
      </c>
      <c r="AF86" s="275" t="s">
        <v>214</v>
      </c>
      <c r="AG86" s="275" t="s">
        <v>255</v>
      </c>
      <c r="AH86" s="11" t="s">
        <v>309</v>
      </c>
    </row>
    <row r="87" spans="1:34">
      <c r="A87" s="19">
        <f>'LINE PLAN'!$A$6</f>
        <v>1</v>
      </c>
      <c r="B87" s="54">
        <f>IFERROR(IF(INDEX('LINE PLAN'!$B$36:$GS$61,MATCH($A87,'LINE PLAN'!$A$36:$A$61,0),MATCH(WORKINGS!$B$75,'LINE PLAN'!$B$35:$GS$35,0))="","",INDEX('LINE PLAN'!$B$36:$GS$61,MATCH($A87,'LINE PLAN'!$A$36:$A$61,0),MATCH(WORKINGS!$B$75,'LINE PLAN'!$B$35:$GS$35,0))),"")</f>
        <v>7926</v>
      </c>
      <c r="C87" s="19">
        <f>IFERROR(IF(INDEX($L$5:$L$28,MATCH($B87,$K$5:$K$28,0))="","(no recipe)",INDEX($L$5:$L$28,MATCH($B87,$K$5:$K$28,0))),$B87)</f>
        <v>7926</v>
      </c>
      <c r="D87" s="19">
        <f>IFERROR(INDEX($B$33:$AA$80,MATCH($C87,$AE$33:$AE$80,0),MATCH(D$86,$B$32:$AA$32,0)),0)</f>
        <v>13</v>
      </c>
      <c r="E87" s="19">
        <f>IFERROR(INDEX($B$33:$AA$80,MATCH($C87,$AE$33:$AE$80,0),MATCH(E$86,$B$32:$AA$32,0)),0)</f>
        <v>1</v>
      </c>
      <c r="F87" s="19">
        <f>IFERROR(INDEX($B$33:$AA$80,MATCH($C87,$AE$33:$AE$80,0),MATCH(F$86,$B$32:$AA$32,0)),0)</f>
        <v>0</v>
      </c>
      <c r="G87" s="19">
        <f>IFERROR(INDEX($B$33:$AA$80,MATCH($C87,$AE$33:$AE$80,0),MATCH(G$86,$B$32:$AA$32,0)),0)</f>
        <v>1</v>
      </c>
      <c r="H87" s="19">
        <f>IFERROR(INDEX($B$33:$AA$80,MATCH($C87,$AE$33:$AE$80,0),MATCH(H$86,$B$32:$AA$32,0)),0)</f>
        <v>8</v>
      </c>
      <c r="I87" s="19">
        <f>IFERROR(INDEX($B$33:$AA$80,MATCH($C87,$AE$33:$AE$80,0),MATCH(I$86,$B$32:$AA$32,0)),0)</f>
        <v>0</v>
      </c>
      <c r="J87" s="19">
        <f>IFERROR(INDEX($B$33:$AA$80,MATCH($C87,$AE$33:$AE$80,0),MATCH(J$86,$B$32:$AA$32,0)),0)</f>
        <v>0</v>
      </c>
      <c r="K87" s="19">
        <f>IFERROR(INDEX($B$33:$AA$80,MATCH($C87,$AE$33:$AE$80,0),MATCH(K$86,$B$32:$AA$32,0)),0)</f>
        <v>1</v>
      </c>
      <c r="L87" s="19">
        <f>IFERROR(INDEX($B$33:$AA$80,MATCH($C87,$AE$33:$AE$80,0),MATCH(L$86,$B$32:$AA$32,0)),0)</f>
        <v>2</v>
      </c>
      <c r="M87" s="19">
        <f>IFERROR(INDEX($B$33:$AA$80,MATCH($C87,$AE$33:$AE$80,0),MATCH(M$86,$B$32:$AA$32,0)),0)</f>
        <v>0</v>
      </c>
      <c r="N87" s="19">
        <f>IFERROR(INDEX($B$33:$AA$80,MATCH($C87,$AE$33:$AE$80,0),MATCH(N$86,$B$32:$AA$32,0)),0)</f>
        <v>0</v>
      </c>
      <c r="O87" s="19">
        <f>IFERROR(INDEX($B$33:$AA$80,MATCH($C87,$AE$33:$AE$80,0),MATCH(O$86,$B$32:$AA$32,0)),0)</f>
        <v>1</v>
      </c>
      <c r="P87" s="19">
        <f>IFERROR(INDEX($B$33:$AA$80,MATCH($C87,$AE$33:$AE$80,0),MATCH(P$86,$B$32:$AA$32,0)),0)</f>
        <v>0</v>
      </c>
      <c r="Q87" s="19">
        <f>IFERROR(INDEX($B$33:$AA$80,MATCH($C87,$AE$33:$AE$80,0),MATCH(Q$86,$B$32:$AA$32,0)),0)</f>
        <v>0</v>
      </c>
      <c r="R87" s="19">
        <f>IFERROR(INDEX($B$33:$AA$80,MATCH($C87,$AE$33:$AE$80,0),MATCH(R$86,$B$32:$AA$32,0)),0)</f>
        <v>1</v>
      </c>
      <c r="S87" s="19">
        <f>IFERROR(INDEX($B$33:$AA$80,MATCH($C87,$AE$33:$AE$80,0),MATCH(S$86,$B$32:$AA$32,0)),0)</f>
        <v>0</v>
      </c>
      <c r="T87" s="19">
        <f>IFERROR(INDEX($B$33:$AA$80,MATCH($C87,$AE$33:$AE$80,0),MATCH(T$86,$B$32:$AA$32,0)),0)</f>
        <v>2</v>
      </c>
      <c r="U87" s="19">
        <f>IFERROR(INDEX($B$33:$AA$80,MATCH($C87,$AE$33:$AE$80,0),MATCH(U$86,$B$32:$AA$32,0)),0)</f>
        <v>0</v>
      </c>
      <c r="V87" s="19">
        <f>IFERROR(INDEX($B$33:$AA$80,MATCH($C87,$AE$33:$AE$80,0),MATCH(V$86,$B$32:$AA$32,0)),0)</f>
        <v>0</v>
      </c>
      <c r="W87" s="19">
        <f>IFERROR(INDEX($B$33:$AA$80,MATCH($C87,$AE$33:$AE$80,0),MATCH(W$86,$B$32:$AA$32,0)),0)</f>
        <v>3</v>
      </c>
      <c r="X87" s="19">
        <f>IFERROR(INDEX($B$33:$AA$80,MATCH($C87,$AE$33:$AE$80,0),MATCH(X$86,$B$32:$AA$32,0)),0)</f>
        <v>2</v>
      </c>
      <c r="Y87" s="19">
        <f>IFERROR(INDEX($B$33:$AA$80,MATCH($C87,$AE$33:$AE$80,0),MATCH(Y$86,$B$32:$AA$32,0)),0)</f>
        <v>1</v>
      </c>
      <c r="Z87" s="19">
        <f>IFERROR(INDEX($B$33:$AA$80,MATCH($C87,$AE$33:$AE$80,0),MATCH(Z$86,$B$32:$AA$32,0)),0)</f>
        <v>0</v>
      </c>
      <c r="AA87" s="19">
        <f>IFERROR(INDEX($B$33:$AA$80,MATCH($C87,$AE$33:$AE$80,0),MATCH(AA$86,$B$32:$AA$32,0)),0)</f>
        <v>1</v>
      </c>
      <c r="AB87" s="19">
        <f>IFERROR(INDEX($B$33:$AA$80,MATCH($C87,$AE$33:$AE$80,0),MATCH(AB$86,$B$32:$AA$32,0)),0)</f>
        <v>0</v>
      </c>
      <c r="AC87" s="19">
        <f>IFERROR(INDEX($B$33:$AA$80,MATCH($C87,$AE$33:$AE$80,0),MATCH(AC$86,$B$32:$AA$32,0)),0)</f>
        <v>0</v>
      </c>
      <c r="AD87" s="2">
        <f>SUM($D87:$AC87)</f>
        <v>37</v>
      </c>
      <c r="AE87" s="2">
        <f>IFERROR(N(INDEX(EMBELISHMENT!$B$29:$AQ$29,MATCH($C87,EMBELISHMENT!$B$1:$AQ$1,0))),0)</f>
        <v>1000</v>
      </c>
      <c r="AF87" s="2" t="str">
        <f>IF($B87="","NO WORK PAINTED ON BOARD",IF($AG87="VACANT","VACANT (no style)",IF($C87="(no recipe)","NO RECIPE IN EMBLISHMENT",IF(ISNA(MATCH($C87,EMBELISHMENT!$B$1:$AQ$1,0)),"RECIPE NOT FOUND",IF($AD87=0,"ZERO M/C","OK")))))</f>
        <v>OK</v>
      </c>
      <c r="AG87" s="14" t="str">
        <f>IFERROR(INDEX($M$5:$M$28,MATCH($B87,$K$5:$K$28,0)),"STYLE")</f>
        <v>STYLE</v>
      </c>
      <c r="AH87" s="15" t="str">
        <f>IFERROR(IF(INDEX($AG$33:$AG$80,MATCH($B87,$A$33:$A$80,0))="","(not set)",INDEX($AG$33:$AG$80,MATCH($B87,$A$33:$A$80,0))),"(not set)")</f>
        <v>SHORTS</v>
      </c>
    </row>
    <row r="88" spans="1:34">
      <c r="A88" s="19">
        <f>'LINE PLAN'!$A$7</f>
        <v>2</v>
      </c>
      <c r="B88" s="54" t="str">
        <f>IFERROR(IF(INDEX('LINE PLAN'!$B$36:$GS$61,MATCH($A88,'LINE PLAN'!$A$36:$A$61,0),MATCH(WORKINGS!$B$75,'LINE PLAN'!$B$35:$GS$35,0))="","",INDEX('LINE PLAN'!$B$36:$GS$61,MATCH($A88,'LINE PLAN'!$A$36:$A$61,0),MATCH(WORKINGS!$B$75,'LINE PLAN'!$B$35:$GS$35,0))),"")</f>
        <v>4300/4301</v>
      </c>
      <c r="C88" s="19">
        <f>IFERROR(IF(INDEX($L$5:$L$28,MATCH($B88,$K$5:$K$28,0))="","(no recipe)",INDEX($L$5:$L$28,MATCH($B88,$K$5:$K$28,0))),$B88)</f>
        <v>4300</v>
      </c>
      <c r="D88" s="19">
        <f>IFERROR(INDEX($B$33:$AA$80,MATCH($C88,$AE$33:$AE$80,0),MATCH(D$86,$B$32:$AA$32,0)),0)</f>
        <v>21</v>
      </c>
      <c r="E88" s="19">
        <f>IFERROR(INDEX($B$33:$AA$80,MATCH($C88,$AE$33:$AE$80,0),MATCH(E$86,$B$32:$AA$32,0)),0)</f>
        <v>0</v>
      </c>
      <c r="F88" s="19">
        <f>IFERROR(INDEX($B$33:$AA$80,MATCH($C88,$AE$33:$AE$80,0),MATCH(F$86,$B$32:$AA$32,0)),0)</f>
        <v>0</v>
      </c>
      <c r="G88" s="19">
        <f>IFERROR(INDEX($B$33:$AA$80,MATCH($C88,$AE$33:$AE$80,0),MATCH(G$86,$B$32:$AA$32,0)),0)</f>
        <v>1</v>
      </c>
      <c r="H88" s="19">
        <f>IFERROR(INDEX($B$33:$AA$80,MATCH($C88,$AE$33:$AE$80,0),MATCH(H$86,$B$32:$AA$32,0)),0)</f>
        <v>9</v>
      </c>
      <c r="I88" s="19">
        <f>IFERROR(INDEX($B$33:$AA$80,MATCH($C88,$AE$33:$AE$80,0),MATCH(I$86,$B$32:$AA$32,0)),0)</f>
        <v>0</v>
      </c>
      <c r="J88" s="19">
        <f>IFERROR(INDEX($B$33:$AA$80,MATCH($C88,$AE$33:$AE$80,0),MATCH(J$86,$B$32:$AA$32,0)),0)</f>
        <v>0</v>
      </c>
      <c r="K88" s="19">
        <f>IFERROR(INDEX($B$33:$AA$80,MATCH($C88,$AE$33:$AE$80,0),MATCH(K$86,$B$32:$AA$32,0)),0)</f>
        <v>0</v>
      </c>
      <c r="L88" s="19">
        <f>IFERROR(INDEX($B$33:$AA$80,MATCH($C88,$AE$33:$AE$80,0),MATCH(L$86,$B$32:$AA$32,0)),0)</f>
        <v>1.5</v>
      </c>
      <c r="M88" s="19">
        <f>IFERROR(INDEX($B$33:$AA$80,MATCH($C88,$AE$33:$AE$80,0),MATCH(M$86,$B$32:$AA$32,0)),0)</f>
        <v>0</v>
      </c>
      <c r="N88" s="19">
        <f>IFERROR(INDEX($B$33:$AA$80,MATCH($C88,$AE$33:$AE$80,0),MATCH(N$86,$B$32:$AA$32,0)),0)</f>
        <v>0</v>
      </c>
      <c r="O88" s="19">
        <f>IFERROR(INDEX($B$33:$AA$80,MATCH($C88,$AE$33:$AE$80,0),MATCH(O$86,$B$32:$AA$32,0)),0)</f>
        <v>0</v>
      </c>
      <c r="P88" s="19">
        <f>IFERROR(INDEX($B$33:$AA$80,MATCH($C88,$AE$33:$AE$80,0),MATCH(P$86,$B$32:$AA$32,0)),0)</f>
        <v>0</v>
      </c>
      <c r="Q88" s="19">
        <f>IFERROR(INDEX($B$33:$AA$80,MATCH($C88,$AE$33:$AE$80,0),MATCH(Q$86,$B$32:$AA$32,0)),0)</f>
        <v>0</v>
      </c>
      <c r="R88" s="19">
        <f>IFERROR(INDEX($B$33:$AA$80,MATCH($C88,$AE$33:$AE$80,0),MATCH(R$86,$B$32:$AA$32,0)),0)</f>
        <v>0</v>
      </c>
      <c r="S88" s="19">
        <f>IFERROR(INDEX($B$33:$AA$80,MATCH($C88,$AE$33:$AE$80,0),MATCH(S$86,$B$32:$AA$32,0)),0)</f>
        <v>0</v>
      </c>
      <c r="T88" s="19">
        <f>IFERROR(INDEX($B$33:$AA$80,MATCH($C88,$AE$33:$AE$80,0),MATCH(T$86,$B$32:$AA$32,0)),0)</f>
        <v>1</v>
      </c>
      <c r="U88" s="19">
        <f>IFERROR(INDEX($B$33:$AA$80,MATCH($C88,$AE$33:$AE$80,0),MATCH(U$86,$B$32:$AA$32,0)),0)</f>
        <v>0</v>
      </c>
      <c r="V88" s="19">
        <f>IFERROR(INDEX($B$33:$AA$80,MATCH($C88,$AE$33:$AE$80,0),MATCH(V$86,$B$32:$AA$32,0)),0)</f>
        <v>0</v>
      </c>
      <c r="W88" s="19">
        <f>IFERROR(INDEX($B$33:$AA$80,MATCH($C88,$AE$33:$AE$80,0),MATCH(W$86,$B$32:$AA$32,0)),0)</f>
        <v>2</v>
      </c>
      <c r="X88" s="19">
        <f>IFERROR(INDEX($B$33:$AA$80,MATCH($C88,$AE$33:$AE$80,0),MATCH(X$86,$B$32:$AA$32,0)),0)</f>
        <v>0</v>
      </c>
      <c r="Y88" s="19">
        <f>IFERROR(INDEX($B$33:$AA$80,MATCH($C88,$AE$33:$AE$80,0),MATCH(Y$86,$B$32:$AA$32,0)),0)</f>
        <v>1</v>
      </c>
      <c r="Z88" s="19">
        <f>IFERROR(INDEX($B$33:$AA$80,MATCH($C88,$AE$33:$AE$80,0),MATCH(Z$86,$B$32:$AA$32,0)),0)</f>
        <v>0</v>
      </c>
      <c r="AA88" s="19">
        <f>IFERROR(INDEX($B$33:$AA$80,MATCH($C88,$AE$33:$AE$80,0),MATCH(AA$86,$B$32:$AA$32,0)),0)</f>
        <v>1</v>
      </c>
      <c r="AB88" s="19">
        <f>IFERROR(INDEX($B$33:$AA$80,MATCH($C88,$AE$33:$AE$80,0),MATCH(AB$86,$B$32:$AA$32,0)),0)</f>
        <v>0</v>
      </c>
      <c r="AC88" s="19">
        <f>IFERROR(INDEX($B$33:$AA$80,MATCH($C88,$AE$33:$AE$80,0),MATCH(AC$86,$B$32:$AA$32,0)),0)</f>
        <v>0</v>
      </c>
      <c r="AD88" s="2">
        <f>SUM($D88:$AC88)</f>
        <v>37.5</v>
      </c>
      <c r="AE88" s="2">
        <f>IFERROR(N(INDEX(EMBELISHMENT!$B$29:$AQ$29,MATCH($C88,EMBELISHMENT!$B$1:$AQ$1,0))),0)</f>
        <v>1000</v>
      </c>
      <c r="AF88" s="2" t="str">
        <f>IF($B88="","NO WORK PAINTED ON BOARD",IF($AG88="VACANT","VACANT (no style)",IF($C88="(no recipe)","NO RECIPE IN EMBLISHMENT",IF(ISNA(MATCH($C88,EMBELISHMENT!$B$1:$AQ$1,0)),"RECIPE NOT FOUND",IF($AD88=0,"ZERO M/C","OK")))))</f>
        <v>OK</v>
      </c>
      <c r="AG88" s="14" t="str">
        <f>IFERROR(INDEX($M$5:$M$28,MATCH($B88,$K$5:$K$28,0)),"STYLE")</f>
        <v>STYLE</v>
      </c>
      <c r="AH88" s="2" t="str">
        <f>IFERROR(IF(INDEX($AG$33:$AG$80,MATCH($B88,$A$33:$A$80,0))="","(not set)",INDEX($AG$33:$AG$80,MATCH($B88,$A$33:$A$80,0))),"(not set)")</f>
        <v>PAJAMA</v>
      </c>
    </row>
    <row r="89" spans="1:34">
      <c r="A89" s="19">
        <f>'LINE PLAN'!$A$8</f>
        <v>3</v>
      </c>
      <c r="B89" s="54">
        <f>IFERROR(IF(INDEX('LINE PLAN'!$B$36:$GS$61,MATCH($A89,'LINE PLAN'!$A$36:$A$61,0),MATCH(WORKINGS!$B$75,'LINE PLAN'!$B$35:$GS$35,0))="","",INDEX('LINE PLAN'!$B$36:$GS$61,MATCH($A89,'LINE PLAN'!$A$36:$A$61,0),MATCH(WORKINGS!$B$75,'LINE PLAN'!$B$35:$GS$35,0))),"")</f>
        <v>6137</v>
      </c>
      <c r="C89" s="19">
        <f>IFERROR(IF(INDEX($L$5:$L$28,MATCH($B89,$K$5:$K$28,0))="","(no recipe)",INDEX($L$5:$L$28,MATCH($B89,$K$5:$K$28,0))),$B89)</f>
        <v>6137</v>
      </c>
      <c r="D89" s="19">
        <f>IFERROR(INDEX($B$33:$AA$80,MATCH($C89,$AE$33:$AE$80,0),MATCH(D$86,$B$32:$AA$32,0)),0)</f>
        <v>4</v>
      </c>
      <c r="E89" s="19">
        <f>IFERROR(INDEX($B$33:$AA$80,MATCH($C89,$AE$33:$AE$80,0),MATCH(E$86,$B$32:$AA$32,0)),0)</f>
        <v>0</v>
      </c>
      <c r="F89" s="19">
        <f>IFERROR(INDEX($B$33:$AA$80,MATCH($C89,$AE$33:$AE$80,0),MATCH(F$86,$B$32:$AA$32,0)),0)</f>
        <v>0</v>
      </c>
      <c r="G89" s="19">
        <f>IFERROR(INDEX($B$33:$AA$80,MATCH($C89,$AE$33:$AE$80,0),MATCH(G$86,$B$32:$AA$32,0)),0)</f>
        <v>0</v>
      </c>
      <c r="H89" s="19">
        <f>IFERROR(INDEX($B$33:$AA$80,MATCH($C89,$AE$33:$AE$80,0),MATCH(H$86,$B$32:$AA$32,0)),0)</f>
        <v>13</v>
      </c>
      <c r="I89" s="19">
        <f>IFERROR(INDEX($B$33:$AA$80,MATCH($C89,$AE$33:$AE$80,0),MATCH(I$86,$B$32:$AA$32,0)),0)</f>
        <v>3</v>
      </c>
      <c r="J89" s="19">
        <f>IFERROR(INDEX($B$33:$AA$80,MATCH($C89,$AE$33:$AE$80,0),MATCH(J$86,$B$32:$AA$32,0)),0)</f>
        <v>0</v>
      </c>
      <c r="K89" s="19">
        <f>IFERROR(INDEX($B$33:$AA$80,MATCH($C89,$AE$33:$AE$80,0),MATCH(K$86,$B$32:$AA$32,0)),0)</f>
        <v>0</v>
      </c>
      <c r="L89" s="19">
        <f>IFERROR(INDEX($B$33:$AA$80,MATCH($C89,$AE$33:$AE$80,0),MATCH(L$86,$B$32:$AA$32,0)),0)</f>
        <v>0</v>
      </c>
      <c r="M89" s="19">
        <f>IFERROR(INDEX($B$33:$AA$80,MATCH($C89,$AE$33:$AE$80,0),MATCH(M$86,$B$32:$AA$32,0)),0)</f>
        <v>0</v>
      </c>
      <c r="N89" s="19">
        <f>IFERROR(INDEX($B$33:$AA$80,MATCH($C89,$AE$33:$AE$80,0),MATCH(N$86,$B$32:$AA$32,0)),0)</f>
        <v>3</v>
      </c>
      <c r="O89" s="19">
        <f>IFERROR(INDEX($B$33:$AA$80,MATCH($C89,$AE$33:$AE$80,0),MATCH(O$86,$B$32:$AA$32,0)),0)</f>
        <v>0</v>
      </c>
      <c r="P89" s="19">
        <f>IFERROR(INDEX($B$33:$AA$80,MATCH($C89,$AE$33:$AE$80,0),MATCH(P$86,$B$32:$AA$32,0)),0)</f>
        <v>3</v>
      </c>
      <c r="Q89" s="19">
        <f>IFERROR(INDEX($B$33:$AA$80,MATCH($C89,$AE$33:$AE$80,0),MATCH(Q$86,$B$32:$AA$32,0)),0)</f>
        <v>0</v>
      </c>
      <c r="R89" s="19">
        <f>IFERROR(INDEX($B$33:$AA$80,MATCH($C89,$AE$33:$AE$80,0),MATCH(R$86,$B$32:$AA$32,0)),0)</f>
        <v>0</v>
      </c>
      <c r="S89" s="19">
        <f>IFERROR(INDEX($B$33:$AA$80,MATCH($C89,$AE$33:$AE$80,0),MATCH(S$86,$B$32:$AA$32,0)),0)</f>
        <v>0</v>
      </c>
      <c r="T89" s="19">
        <f>IFERROR(INDEX($B$33:$AA$80,MATCH($C89,$AE$33:$AE$80,0),MATCH(T$86,$B$32:$AA$32,0)),0)</f>
        <v>0</v>
      </c>
      <c r="U89" s="19">
        <f>IFERROR(INDEX($B$33:$AA$80,MATCH($C89,$AE$33:$AE$80,0),MATCH(U$86,$B$32:$AA$32,0)),0)</f>
        <v>0</v>
      </c>
      <c r="V89" s="19">
        <f>IFERROR(INDEX($B$33:$AA$80,MATCH($C89,$AE$33:$AE$80,0),MATCH(V$86,$B$32:$AA$32,0)),0)</f>
        <v>0</v>
      </c>
      <c r="W89" s="19">
        <f>IFERROR(INDEX($B$33:$AA$80,MATCH($C89,$AE$33:$AE$80,0),MATCH(W$86,$B$32:$AA$32,0)),0)</f>
        <v>1</v>
      </c>
      <c r="X89" s="19">
        <f>IFERROR(INDEX($B$33:$AA$80,MATCH($C89,$AE$33:$AE$80,0),MATCH(X$86,$B$32:$AA$32,0)),0)</f>
        <v>0</v>
      </c>
      <c r="Y89" s="19">
        <f>IFERROR(INDEX($B$33:$AA$80,MATCH($C89,$AE$33:$AE$80,0),MATCH(Y$86,$B$32:$AA$32,0)),0)</f>
        <v>0</v>
      </c>
      <c r="Z89" s="19">
        <f>IFERROR(INDEX($B$33:$AA$80,MATCH($C89,$AE$33:$AE$80,0),MATCH(Z$86,$B$32:$AA$32,0)),0)</f>
        <v>0</v>
      </c>
      <c r="AA89" s="19">
        <f>IFERROR(INDEX($B$33:$AA$80,MATCH($C89,$AE$33:$AE$80,0),MATCH(AA$86,$B$32:$AA$32,0)),0)</f>
        <v>0</v>
      </c>
      <c r="AB89" s="19">
        <f>IFERROR(INDEX($B$33:$AA$80,MATCH($C89,$AE$33:$AE$80,0),MATCH(AB$86,$B$32:$AA$32,0)),0)</f>
        <v>0</v>
      </c>
      <c r="AC89" s="19">
        <f>IFERROR(INDEX($B$33:$AA$80,MATCH($C89,$AE$33:$AE$80,0),MATCH(AC$86,$B$32:$AA$32,0)),0)</f>
        <v>2</v>
      </c>
      <c r="AD89" s="2">
        <f>SUM($D89:$AC89)</f>
        <v>29</v>
      </c>
      <c r="AE89" s="2">
        <f>IFERROR(N(INDEX(EMBELISHMENT!$B$29:$AQ$29,MATCH($C89,EMBELISHMENT!$B$1:$AQ$1,0))),0)</f>
        <v>3500</v>
      </c>
      <c r="AF89" s="2" t="str">
        <f>IF($B89="","NO WORK PAINTED ON BOARD",IF($AG89="VACANT","VACANT (no style)",IF($C89="(no recipe)","NO RECIPE IN EMBLISHMENT",IF(ISNA(MATCH($C89,EMBELISHMENT!$B$1:$AQ$1,0)),"RECIPE NOT FOUND",IF($AD89=0,"ZERO M/C","OK")))))</f>
        <v>OK</v>
      </c>
      <c r="AG89" s="14" t="str">
        <f>IFERROR(INDEX($M$5:$M$28,MATCH($B89,$K$5:$K$28,0)),"STYLE")</f>
        <v>STYLE</v>
      </c>
      <c r="AH89" s="2" t="str">
        <f>IFERROR(IF(INDEX($AG$33:$AG$80,MATCH($B89,$A$33:$A$80,0))="","(not set)",INDEX($AG$33:$AG$80,MATCH($B89,$A$33:$A$80,0))),"(not set)")</f>
        <v>BRIEF</v>
      </c>
    </row>
    <row r="90" spans="1:34">
      <c r="A90" s="19">
        <f>'LINE PLAN'!$A$9</f>
        <v>4</v>
      </c>
      <c r="B90" s="54" t="str">
        <f>IFERROR(IF(INDEX('LINE PLAN'!$B$36:$GS$61,MATCH($A90,'LINE PLAN'!$A$36:$A$61,0),MATCH(WORKINGS!$B$75,'LINE PLAN'!$B$35:$GS$35,0))="","",INDEX('LINE PLAN'!$B$36:$GS$61,MATCH($A90,'LINE PLAN'!$A$36:$A$61,0),MATCH(WORKINGS!$B$75,'LINE PLAN'!$B$35:$GS$35,0))),"")</f>
        <v>RS 26/27</v>
      </c>
      <c r="C90" s="19" t="str">
        <f>IFERROR(IF(INDEX($L$5:$L$28,MATCH($B90,$K$5:$K$28,0))="","(no recipe)",INDEX($L$5:$L$28,MATCH($B90,$K$5:$K$28,0))),$B90)</f>
        <v>RS-27</v>
      </c>
      <c r="D90" s="19">
        <f>IFERROR(INDEX($B$33:$AA$80,MATCH($C90,$AE$33:$AE$80,0),MATCH(D$86,$B$32:$AA$32,0)),0)</f>
        <v>5</v>
      </c>
      <c r="E90" s="19">
        <f>IFERROR(INDEX($B$33:$AA$80,MATCH($C90,$AE$33:$AE$80,0),MATCH(E$86,$B$32:$AA$32,0)),0)</f>
        <v>0</v>
      </c>
      <c r="F90" s="19">
        <f>IFERROR(INDEX($B$33:$AA$80,MATCH($C90,$AE$33:$AE$80,0),MATCH(F$86,$B$32:$AA$32,0)),0)</f>
        <v>0</v>
      </c>
      <c r="G90" s="19">
        <f>IFERROR(INDEX($B$33:$AA$80,MATCH($C90,$AE$33:$AE$80,0),MATCH(G$86,$B$32:$AA$32,0)),0)</f>
        <v>0</v>
      </c>
      <c r="H90" s="19">
        <f>IFERROR(INDEX($B$33:$AA$80,MATCH($C90,$AE$33:$AE$80,0),MATCH(H$86,$B$32:$AA$32,0)),0)</f>
        <v>8</v>
      </c>
      <c r="I90" s="19">
        <f>IFERROR(INDEX($B$33:$AA$80,MATCH($C90,$AE$33:$AE$80,0),MATCH(I$86,$B$32:$AA$32,0)),0)</f>
        <v>0</v>
      </c>
      <c r="J90" s="19">
        <f>IFERROR(INDEX($B$33:$AA$80,MATCH($C90,$AE$33:$AE$80,0),MATCH(J$86,$B$32:$AA$32,0)),0)</f>
        <v>0</v>
      </c>
      <c r="K90" s="19">
        <f>IFERROR(INDEX($B$33:$AA$80,MATCH($C90,$AE$33:$AE$80,0),MATCH(K$86,$B$32:$AA$32,0)),0)</f>
        <v>0</v>
      </c>
      <c r="L90" s="19">
        <f>IFERROR(INDEX($B$33:$AA$80,MATCH($C90,$AE$33:$AE$80,0),MATCH(L$86,$B$32:$AA$32,0)),0)</f>
        <v>4</v>
      </c>
      <c r="M90" s="19">
        <f>IFERROR(INDEX($B$33:$AA$80,MATCH($C90,$AE$33:$AE$80,0),MATCH(M$86,$B$32:$AA$32,0)),0)</f>
        <v>0</v>
      </c>
      <c r="N90" s="19">
        <f>IFERROR(INDEX($B$33:$AA$80,MATCH($C90,$AE$33:$AE$80,0),MATCH(N$86,$B$32:$AA$32,0)),0)</f>
        <v>0</v>
      </c>
      <c r="O90" s="19">
        <f>IFERROR(INDEX($B$33:$AA$80,MATCH($C90,$AE$33:$AE$80,0),MATCH(O$86,$B$32:$AA$32,0)),0)</f>
        <v>0</v>
      </c>
      <c r="P90" s="19">
        <f>IFERROR(INDEX($B$33:$AA$80,MATCH($C90,$AE$33:$AE$80,0),MATCH(P$86,$B$32:$AA$32,0)),0)</f>
        <v>0</v>
      </c>
      <c r="Q90" s="19">
        <f>IFERROR(INDEX($B$33:$AA$80,MATCH($C90,$AE$33:$AE$80,0),MATCH(Q$86,$B$32:$AA$32,0)),0)</f>
        <v>7</v>
      </c>
      <c r="R90" s="19">
        <f>IFERROR(INDEX($B$33:$AA$80,MATCH($C90,$AE$33:$AE$80,0),MATCH(R$86,$B$32:$AA$32,0)),0)</f>
        <v>0</v>
      </c>
      <c r="S90" s="19">
        <f>IFERROR(INDEX($B$33:$AA$80,MATCH($C90,$AE$33:$AE$80,0),MATCH(S$86,$B$32:$AA$32,0)),0)</f>
        <v>0</v>
      </c>
      <c r="T90" s="19">
        <f>IFERROR(INDEX($B$33:$AA$80,MATCH($C90,$AE$33:$AE$80,0),MATCH(T$86,$B$32:$AA$32,0)),0)</f>
        <v>0</v>
      </c>
      <c r="U90" s="19">
        <f>IFERROR(INDEX($B$33:$AA$80,MATCH($C90,$AE$33:$AE$80,0),MATCH(U$86,$B$32:$AA$32,0)),0)</f>
        <v>0</v>
      </c>
      <c r="V90" s="19">
        <f>IFERROR(INDEX($B$33:$AA$80,MATCH($C90,$AE$33:$AE$80,0),MATCH(V$86,$B$32:$AA$32,0)),0)</f>
        <v>0</v>
      </c>
      <c r="W90" s="19">
        <f>IFERROR(INDEX($B$33:$AA$80,MATCH($C90,$AE$33:$AE$80,0),MATCH(W$86,$B$32:$AA$32,0)),0)</f>
        <v>1</v>
      </c>
      <c r="X90" s="19">
        <f>IFERROR(INDEX($B$33:$AA$80,MATCH($C90,$AE$33:$AE$80,0),MATCH(X$86,$B$32:$AA$32,0)),0)</f>
        <v>0</v>
      </c>
      <c r="Y90" s="19">
        <f>IFERROR(INDEX($B$33:$AA$80,MATCH($C90,$AE$33:$AE$80,0),MATCH(Y$86,$B$32:$AA$32,0)),0)</f>
        <v>0</v>
      </c>
      <c r="Z90" s="19">
        <f>IFERROR(INDEX($B$33:$AA$80,MATCH($C90,$AE$33:$AE$80,0),MATCH(Z$86,$B$32:$AA$32,0)),0)</f>
        <v>0</v>
      </c>
      <c r="AA90" s="19">
        <f>IFERROR(INDEX($B$33:$AA$80,MATCH($C90,$AE$33:$AE$80,0),MATCH(AA$86,$B$32:$AA$32,0)),0)</f>
        <v>0</v>
      </c>
      <c r="AB90" s="19">
        <f>IFERROR(INDEX($B$33:$AA$80,MATCH($C90,$AE$33:$AE$80,0),MATCH(AB$86,$B$32:$AA$32,0)),0)</f>
        <v>0</v>
      </c>
      <c r="AC90" s="19">
        <f>IFERROR(INDEX($B$33:$AA$80,MATCH($C90,$AE$33:$AE$80,0),MATCH(AC$86,$B$32:$AA$32,0)),0)</f>
        <v>0</v>
      </c>
      <c r="AD90" s="2">
        <f>SUM($D90:$AC90)</f>
        <v>25</v>
      </c>
      <c r="AE90" s="2">
        <f>IFERROR(N(INDEX(EMBELISHMENT!$B$29:$AQ$29,MATCH($C90,EMBELISHMENT!$B$1:$AQ$1,0))),0)</f>
        <v>3000</v>
      </c>
      <c r="AF90" s="2" t="str">
        <f>IF($B90="","NO WORK PAINTED ON BOARD",IF($AG90="VACANT","VACANT (no style)",IF($C90="(no recipe)","NO RECIPE IN EMBLISHMENT",IF(ISNA(MATCH($C90,EMBELISHMENT!$B$1:$AQ$1,0)),"RECIPE NOT FOUND",IF($AD90=0,"ZERO M/C","OK")))))</f>
        <v>OK</v>
      </c>
      <c r="AG90" s="14" t="str">
        <f>IFERROR(INDEX($M$5:$M$28,MATCH($B90,$K$5:$K$28,0)),"STYLE")</f>
        <v>STYLE</v>
      </c>
      <c r="AH90" s="2" t="str">
        <f>IFERROR(IF(INDEX($AG$33:$AG$80,MATCH($B90,$A$33:$A$80,0))="","(not set)",INDEX($AG$33:$AG$80,MATCH($B90,$A$33:$A$80,0))),"(not set)")</f>
        <v>VEST</v>
      </c>
    </row>
    <row r="91" spans="1:34">
      <c r="A91" s="19">
        <f>'LINE PLAN'!$A$10</f>
        <v>5</v>
      </c>
      <c r="B91" s="54">
        <f>IFERROR(IF(INDEX('LINE PLAN'!$B$36:$GS$61,MATCH($A91,'LINE PLAN'!$A$36:$A$61,0),MATCH(WORKINGS!$B$75,'LINE PLAN'!$B$35:$GS$35,0))="","",INDEX('LINE PLAN'!$B$36:$GS$61,MATCH($A91,'LINE PLAN'!$A$36:$A$61,0),MATCH(WORKINGS!$B$75,'LINE PLAN'!$B$35:$GS$35,0))),"")</f>
        <v>6820</v>
      </c>
      <c r="C91" s="19">
        <f>IFERROR(IF(INDEX($L$5:$L$28,MATCH($B91,$K$5:$K$28,0))="","(no recipe)",INDEX($L$5:$L$28,MATCH($B91,$K$5:$K$28,0))),$B91)</f>
        <v>6820</v>
      </c>
      <c r="D91" s="19">
        <f>IFERROR(INDEX($B$33:$AA$80,MATCH($C91,$AE$33:$AE$80,0),MATCH(D$86,$B$32:$AA$32,0)),0)</f>
        <v>6.5</v>
      </c>
      <c r="E91" s="19">
        <f>IFERROR(INDEX($B$33:$AA$80,MATCH($C91,$AE$33:$AE$80,0),MATCH(E$86,$B$32:$AA$32,0)),0)</f>
        <v>0</v>
      </c>
      <c r="F91" s="19">
        <f>IFERROR(INDEX($B$33:$AA$80,MATCH($C91,$AE$33:$AE$80,0),MATCH(F$86,$B$32:$AA$32,0)),0)</f>
        <v>0</v>
      </c>
      <c r="G91" s="19">
        <f>IFERROR(INDEX($B$33:$AA$80,MATCH($C91,$AE$33:$AE$80,0),MATCH(G$86,$B$32:$AA$32,0)),0)</f>
        <v>0</v>
      </c>
      <c r="H91" s="19">
        <f>IFERROR(INDEX($B$33:$AA$80,MATCH($C91,$AE$33:$AE$80,0),MATCH(H$86,$B$32:$AA$32,0)),0)</f>
        <v>16</v>
      </c>
      <c r="I91" s="19">
        <f>IFERROR(INDEX($B$33:$AA$80,MATCH($C91,$AE$33:$AE$80,0),MATCH(I$86,$B$32:$AA$32,0)),0)</f>
        <v>0</v>
      </c>
      <c r="J91" s="19">
        <f>IFERROR(INDEX($B$33:$AA$80,MATCH($C91,$AE$33:$AE$80,0),MATCH(J$86,$B$32:$AA$32,0)),0)</f>
        <v>0</v>
      </c>
      <c r="K91" s="19">
        <f>IFERROR(INDEX($B$33:$AA$80,MATCH($C91,$AE$33:$AE$80,0),MATCH(K$86,$B$32:$AA$32,0)),0)</f>
        <v>0</v>
      </c>
      <c r="L91" s="19">
        <f>IFERROR(INDEX($B$33:$AA$80,MATCH($C91,$AE$33:$AE$80,0),MATCH(L$86,$B$32:$AA$32,0)),0)</f>
        <v>0</v>
      </c>
      <c r="M91" s="19">
        <f>IFERROR(INDEX($B$33:$AA$80,MATCH($C91,$AE$33:$AE$80,0),MATCH(M$86,$B$32:$AA$32,0)),0)</f>
        <v>0</v>
      </c>
      <c r="N91" s="19">
        <f>IFERROR(INDEX($B$33:$AA$80,MATCH($C91,$AE$33:$AE$80,0),MATCH(N$86,$B$32:$AA$32,0)),0)</f>
        <v>0</v>
      </c>
      <c r="O91" s="19">
        <f>IFERROR(INDEX($B$33:$AA$80,MATCH($C91,$AE$33:$AE$80,0),MATCH(O$86,$B$32:$AA$32,0)),0)</f>
        <v>0</v>
      </c>
      <c r="P91" s="19">
        <f>IFERROR(INDEX($B$33:$AA$80,MATCH($C91,$AE$33:$AE$80,0),MATCH(P$86,$B$32:$AA$32,0)),0)</f>
        <v>0</v>
      </c>
      <c r="Q91" s="19">
        <f>IFERROR(INDEX($B$33:$AA$80,MATCH($C91,$AE$33:$AE$80,0),MATCH(Q$86,$B$32:$AA$32,0)),0)</f>
        <v>8</v>
      </c>
      <c r="R91" s="19">
        <f>IFERROR(INDEX($B$33:$AA$80,MATCH($C91,$AE$33:$AE$80,0),MATCH(R$86,$B$32:$AA$32,0)),0)</f>
        <v>0</v>
      </c>
      <c r="S91" s="19">
        <f>IFERROR(INDEX($B$33:$AA$80,MATCH($C91,$AE$33:$AE$80,0),MATCH(S$86,$B$32:$AA$32,0)),0)</f>
        <v>0</v>
      </c>
      <c r="T91" s="19">
        <f>IFERROR(INDEX($B$33:$AA$80,MATCH($C91,$AE$33:$AE$80,0),MATCH(T$86,$B$32:$AA$32,0)),0)</f>
        <v>0</v>
      </c>
      <c r="U91" s="19">
        <f>IFERROR(INDEX($B$33:$AA$80,MATCH($C91,$AE$33:$AE$80,0),MATCH(U$86,$B$32:$AA$32,0)),0)</f>
        <v>0</v>
      </c>
      <c r="V91" s="19">
        <f>IFERROR(INDEX($B$33:$AA$80,MATCH($C91,$AE$33:$AE$80,0),MATCH(V$86,$B$32:$AA$32,0)),0)</f>
        <v>0</v>
      </c>
      <c r="W91" s="19">
        <f>IFERROR(INDEX($B$33:$AA$80,MATCH($C91,$AE$33:$AE$80,0),MATCH(W$86,$B$32:$AA$32,0)),0)</f>
        <v>1.5</v>
      </c>
      <c r="X91" s="19">
        <f>IFERROR(INDEX($B$33:$AA$80,MATCH($C91,$AE$33:$AE$80,0),MATCH(X$86,$B$32:$AA$32,0)),0)</f>
        <v>0</v>
      </c>
      <c r="Y91" s="19">
        <f>IFERROR(INDEX($B$33:$AA$80,MATCH($C91,$AE$33:$AE$80,0),MATCH(Y$86,$B$32:$AA$32,0)),0)</f>
        <v>0</v>
      </c>
      <c r="Z91" s="19">
        <f>IFERROR(INDEX($B$33:$AA$80,MATCH($C91,$AE$33:$AE$80,0),MATCH(Z$86,$B$32:$AA$32,0)),0)</f>
        <v>0</v>
      </c>
      <c r="AA91" s="19">
        <f>IFERROR(INDEX($B$33:$AA$80,MATCH($C91,$AE$33:$AE$80,0),MATCH(AA$86,$B$32:$AA$32,0)),0)</f>
        <v>0</v>
      </c>
      <c r="AB91" s="19">
        <f>IFERROR(INDEX($B$33:$AA$80,MATCH($C91,$AE$33:$AE$80,0),MATCH(AB$86,$B$32:$AA$32,0)),0)</f>
        <v>0</v>
      </c>
      <c r="AC91" s="19">
        <f>IFERROR(INDEX($B$33:$AA$80,MATCH($C91,$AE$33:$AE$80,0),MATCH(AC$86,$B$32:$AA$32,0)),0)</f>
        <v>0</v>
      </c>
      <c r="AD91" s="2">
        <f>SUM($D91:$AC91)</f>
        <v>32</v>
      </c>
      <c r="AE91" s="2">
        <f>IFERROR(N(INDEX(EMBELISHMENT!$B$29:$AQ$29,MATCH($C91,EMBELISHMENT!$B$1:$AQ$1,0))),0)</f>
        <v>5000</v>
      </c>
      <c r="AF91" s="2" t="str">
        <f>IF($B91="","NO WORK PAINTED ON BOARD",IF($AG91="VACANT","VACANT (no style)",IF($C91="(no recipe)","NO RECIPE IN EMBLISHMENT",IF(ISNA(MATCH($C91,EMBELISHMENT!$B$1:$AQ$1,0)),"RECIPE NOT FOUND",IF($AD91=0,"ZERO M/C","OK")))))</f>
        <v>OK</v>
      </c>
      <c r="AG91" s="14" t="str">
        <f>IFERROR(INDEX($M$5:$M$28,MATCH($B91,$K$5:$K$28,0)),"STYLE")</f>
        <v>STYLE</v>
      </c>
      <c r="AH91" s="2" t="str">
        <f>IFERROR(IF(INDEX($AG$33:$AG$80,MATCH($B91,$A$33:$A$80,0))="","(not set)",INDEX($AG$33:$AG$80,MATCH($B91,$A$33:$A$80,0))),"(not set)")</f>
        <v>VEST</v>
      </c>
    </row>
    <row r="92" spans="1:34">
      <c r="A92" s="19">
        <f>'LINE PLAN'!$A$11</f>
        <v>6</v>
      </c>
      <c r="B92" s="54">
        <f>IFERROR(IF(INDEX('LINE PLAN'!$B$36:$GS$61,MATCH($A92,'LINE PLAN'!$A$36:$A$61,0),MATCH(WORKINGS!$B$75,'LINE PLAN'!$B$35:$GS$35,0))="","",INDEX('LINE PLAN'!$B$36:$GS$61,MATCH($A92,'LINE PLAN'!$A$36:$A$61,0),MATCH(WORKINGS!$B$75,'LINE PLAN'!$B$35:$GS$35,0))),"")</f>
        <v>6820</v>
      </c>
      <c r="C92" s="19">
        <f>IFERROR(IF(INDEX($L$5:$L$28,MATCH($B92,$K$5:$K$28,0))="","(no recipe)",INDEX($L$5:$L$28,MATCH($B92,$K$5:$K$28,0))),$B92)</f>
        <v>6820</v>
      </c>
      <c r="D92" s="19">
        <f>IFERROR(INDEX($B$33:$AA$80,MATCH($C92,$AE$33:$AE$80,0),MATCH(D$86,$B$32:$AA$32,0)),0)</f>
        <v>6.5</v>
      </c>
      <c r="E92" s="19">
        <f>IFERROR(INDEX($B$33:$AA$80,MATCH($C92,$AE$33:$AE$80,0),MATCH(E$86,$B$32:$AA$32,0)),0)</f>
        <v>0</v>
      </c>
      <c r="F92" s="19">
        <f>IFERROR(INDEX($B$33:$AA$80,MATCH($C92,$AE$33:$AE$80,0),MATCH(F$86,$B$32:$AA$32,0)),0)</f>
        <v>0</v>
      </c>
      <c r="G92" s="19">
        <f>IFERROR(INDEX($B$33:$AA$80,MATCH($C92,$AE$33:$AE$80,0),MATCH(G$86,$B$32:$AA$32,0)),0)</f>
        <v>0</v>
      </c>
      <c r="H92" s="19">
        <f>IFERROR(INDEX($B$33:$AA$80,MATCH($C92,$AE$33:$AE$80,0),MATCH(H$86,$B$32:$AA$32,0)),0)</f>
        <v>16</v>
      </c>
      <c r="I92" s="19">
        <f>IFERROR(INDEX($B$33:$AA$80,MATCH($C92,$AE$33:$AE$80,0),MATCH(I$86,$B$32:$AA$32,0)),0)</f>
        <v>0</v>
      </c>
      <c r="J92" s="19">
        <f>IFERROR(INDEX($B$33:$AA$80,MATCH($C92,$AE$33:$AE$80,0),MATCH(J$86,$B$32:$AA$32,0)),0)</f>
        <v>0</v>
      </c>
      <c r="K92" s="19">
        <f>IFERROR(INDEX($B$33:$AA$80,MATCH($C92,$AE$33:$AE$80,0),MATCH(K$86,$B$32:$AA$32,0)),0)</f>
        <v>0</v>
      </c>
      <c r="L92" s="19">
        <f>IFERROR(INDEX($B$33:$AA$80,MATCH($C92,$AE$33:$AE$80,0),MATCH(L$86,$B$32:$AA$32,0)),0)</f>
        <v>0</v>
      </c>
      <c r="M92" s="19">
        <f>IFERROR(INDEX($B$33:$AA$80,MATCH($C92,$AE$33:$AE$80,0),MATCH(M$86,$B$32:$AA$32,0)),0)</f>
        <v>0</v>
      </c>
      <c r="N92" s="19">
        <f>IFERROR(INDEX($B$33:$AA$80,MATCH($C92,$AE$33:$AE$80,0),MATCH(N$86,$B$32:$AA$32,0)),0)</f>
        <v>0</v>
      </c>
      <c r="O92" s="19">
        <f>IFERROR(INDEX($B$33:$AA$80,MATCH($C92,$AE$33:$AE$80,0),MATCH(O$86,$B$32:$AA$32,0)),0)</f>
        <v>0</v>
      </c>
      <c r="P92" s="19">
        <f>IFERROR(INDEX($B$33:$AA$80,MATCH($C92,$AE$33:$AE$80,0),MATCH(P$86,$B$32:$AA$32,0)),0)</f>
        <v>0</v>
      </c>
      <c r="Q92" s="19">
        <f>IFERROR(INDEX($B$33:$AA$80,MATCH($C92,$AE$33:$AE$80,0),MATCH(Q$86,$B$32:$AA$32,0)),0)</f>
        <v>8</v>
      </c>
      <c r="R92" s="19">
        <f>IFERROR(INDEX($B$33:$AA$80,MATCH($C92,$AE$33:$AE$80,0),MATCH(R$86,$B$32:$AA$32,0)),0)</f>
        <v>0</v>
      </c>
      <c r="S92" s="19">
        <f>IFERROR(INDEX($B$33:$AA$80,MATCH($C92,$AE$33:$AE$80,0),MATCH(S$86,$B$32:$AA$32,0)),0)</f>
        <v>0</v>
      </c>
      <c r="T92" s="19">
        <f>IFERROR(INDEX($B$33:$AA$80,MATCH($C92,$AE$33:$AE$80,0),MATCH(T$86,$B$32:$AA$32,0)),0)</f>
        <v>0</v>
      </c>
      <c r="U92" s="19">
        <f>IFERROR(INDEX($B$33:$AA$80,MATCH($C92,$AE$33:$AE$80,0),MATCH(U$86,$B$32:$AA$32,0)),0)</f>
        <v>0</v>
      </c>
      <c r="V92" s="19">
        <f>IFERROR(INDEX($B$33:$AA$80,MATCH($C92,$AE$33:$AE$80,0),MATCH(V$86,$B$32:$AA$32,0)),0)</f>
        <v>0</v>
      </c>
      <c r="W92" s="19">
        <f>IFERROR(INDEX($B$33:$AA$80,MATCH($C92,$AE$33:$AE$80,0),MATCH(W$86,$B$32:$AA$32,0)),0)</f>
        <v>1.5</v>
      </c>
      <c r="X92" s="19">
        <f>IFERROR(INDEX($B$33:$AA$80,MATCH($C92,$AE$33:$AE$80,0),MATCH(X$86,$B$32:$AA$32,0)),0)</f>
        <v>0</v>
      </c>
      <c r="Y92" s="19">
        <f>IFERROR(INDEX($B$33:$AA$80,MATCH($C92,$AE$33:$AE$80,0),MATCH(Y$86,$B$32:$AA$32,0)),0)</f>
        <v>0</v>
      </c>
      <c r="Z92" s="19">
        <f>IFERROR(INDEX($B$33:$AA$80,MATCH($C92,$AE$33:$AE$80,0),MATCH(Z$86,$B$32:$AA$32,0)),0)</f>
        <v>0</v>
      </c>
      <c r="AA92" s="19">
        <f>IFERROR(INDEX($B$33:$AA$80,MATCH($C92,$AE$33:$AE$80,0),MATCH(AA$86,$B$32:$AA$32,0)),0)</f>
        <v>0</v>
      </c>
      <c r="AB92" s="19">
        <f>IFERROR(INDEX($B$33:$AA$80,MATCH($C92,$AE$33:$AE$80,0),MATCH(AB$86,$B$32:$AA$32,0)),0)</f>
        <v>0</v>
      </c>
      <c r="AC92" s="19">
        <f>IFERROR(INDEX($B$33:$AA$80,MATCH($C92,$AE$33:$AE$80,0),MATCH(AC$86,$B$32:$AA$32,0)),0)</f>
        <v>0</v>
      </c>
      <c r="AD92" s="2">
        <f>SUM($D92:$AC92)</f>
        <v>32</v>
      </c>
      <c r="AE92" s="2">
        <f>IFERROR(N(INDEX(EMBELISHMENT!$B$29:$AQ$29,MATCH($C92,EMBELISHMENT!$B$1:$AQ$1,0))),0)</f>
        <v>5000</v>
      </c>
      <c r="AF92" s="2" t="str">
        <f>IF($B92="","NO WORK PAINTED ON BOARD",IF($AG92="VACANT","VACANT (no style)",IF($C92="(no recipe)","NO RECIPE IN EMBLISHMENT",IF(ISNA(MATCH($C92,EMBELISHMENT!$B$1:$AQ$1,0)),"RECIPE NOT FOUND",IF($AD92=0,"ZERO M/C","OK")))))</f>
        <v>OK</v>
      </c>
      <c r="AG92" s="14" t="str">
        <f>IFERROR(INDEX($M$5:$M$28,MATCH($B92,$K$5:$K$28,0)),"STYLE")</f>
        <v>STYLE</v>
      </c>
      <c r="AH92" s="2" t="str">
        <f>IFERROR(IF(INDEX($AG$33:$AG$80,MATCH($B92,$A$33:$A$80,0))="","(not set)",INDEX($AG$33:$AG$80,MATCH($B92,$A$33:$A$80,0))),"(not set)")</f>
        <v>VEST</v>
      </c>
    </row>
    <row r="93" spans="1:34">
      <c r="A93" s="19">
        <f>'LINE PLAN'!$A$12</f>
        <v>7</v>
      </c>
      <c r="B93" s="54">
        <f>IFERROR(IF(INDEX('LINE PLAN'!$B$36:$GS$61,MATCH($A93,'LINE PLAN'!$A$36:$A$61,0),MATCH(WORKINGS!$B$75,'LINE PLAN'!$B$35:$GS$35,0))="","",INDEX('LINE PLAN'!$B$36:$GS$61,MATCH($A93,'LINE PLAN'!$A$36:$A$61,0),MATCH(WORKINGS!$B$75,'LINE PLAN'!$B$35:$GS$35,0))),"")</f>
        <v>6137</v>
      </c>
      <c r="C93" s="19">
        <f>IFERROR(IF(INDEX($L$5:$L$28,MATCH($B93,$K$5:$K$28,0))="","(no recipe)",INDEX($L$5:$L$28,MATCH($B93,$K$5:$K$28,0))),$B93)</f>
        <v>6137</v>
      </c>
      <c r="D93" s="19">
        <f>IFERROR(INDEX($B$33:$AA$80,MATCH($C93,$AE$33:$AE$80,0),MATCH(D$86,$B$32:$AA$32,0)),0)</f>
        <v>4</v>
      </c>
      <c r="E93" s="19">
        <f>IFERROR(INDEX($B$33:$AA$80,MATCH($C93,$AE$33:$AE$80,0),MATCH(E$86,$B$32:$AA$32,0)),0)</f>
        <v>0</v>
      </c>
      <c r="F93" s="19">
        <f>IFERROR(INDEX($B$33:$AA$80,MATCH($C93,$AE$33:$AE$80,0),MATCH(F$86,$B$32:$AA$32,0)),0)</f>
        <v>0</v>
      </c>
      <c r="G93" s="19">
        <f>IFERROR(INDEX($B$33:$AA$80,MATCH($C93,$AE$33:$AE$80,0),MATCH(G$86,$B$32:$AA$32,0)),0)</f>
        <v>0</v>
      </c>
      <c r="H93" s="19">
        <f>IFERROR(INDEX($B$33:$AA$80,MATCH($C93,$AE$33:$AE$80,0),MATCH(H$86,$B$32:$AA$32,0)),0)</f>
        <v>13</v>
      </c>
      <c r="I93" s="19">
        <f>IFERROR(INDEX($B$33:$AA$80,MATCH($C93,$AE$33:$AE$80,0),MATCH(I$86,$B$32:$AA$32,0)),0)</f>
        <v>3</v>
      </c>
      <c r="J93" s="19">
        <f>IFERROR(INDEX($B$33:$AA$80,MATCH($C93,$AE$33:$AE$80,0),MATCH(J$86,$B$32:$AA$32,0)),0)</f>
        <v>0</v>
      </c>
      <c r="K93" s="19">
        <f>IFERROR(INDEX($B$33:$AA$80,MATCH($C93,$AE$33:$AE$80,0),MATCH(K$86,$B$32:$AA$32,0)),0)</f>
        <v>0</v>
      </c>
      <c r="L93" s="19">
        <f>IFERROR(INDEX($B$33:$AA$80,MATCH($C93,$AE$33:$AE$80,0),MATCH(L$86,$B$32:$AA$32,0)),0)</f>
        <v>0</v>
      </c>
      <c r="M93" s="19">
        <f>IFERROR(INDEX($B$33:$AA$80,MATCH($C93,$AE$33:$AE$80,0),MATCH(M$86,$B$32:$AA$32,0)),0)</f>
        <v>0</v>
      </c>
      <c r="N93" s="19">
        <f>IFERROR(INDEX($B$33:$AA$80,MATCH($C93,$AE$33:$AE$80,0),MATCH(N$86,$B$32:$AA$32,0)),0)</f>
        <v>3</v>
      </c>
      <c r="O93" s="19">
        <f>IFERROR(INDEX($B$33:$AA$80,MATCH($C93,$AE$33:$AE$80,0),MATCH(O$86,$B$32:$AA$32,0)),0)</f>
        <v>0</v>
      </c>
      <c r="P93" s="19">
        <f>IFERROR(INDEX($B$33:$AA$80,MATCH($C93,$AE$33:$AE$80,0),MATCH(P$86,$B$32:$AA$32,0)),0)</f>
        <v>3</v>
      </c>
      <c r="Q93" s="19">
        <f>IFERROR(INDEX($B$33:$AA$80,MATCH($C93,$AE$33:$AE$80,0),MATCH(Q$86,$B$32:$AA$32,0)),0)</f>
        <v>0</v>
      </c>
      <c r="R93" s="19">
        <f>IFERROR(INDEX($B$33:$AA$80,MATCH($C93,$AE$33:$AE$80,0),MATCH(R$86,$B$32:$AA$32,0)),0)</f>
        <v>0</v>
      </c>
      <c r="S93" s="19">
        <f>IFERROR(INDEX($B$33:$AA$80,MATCH($C93,$AE$33:$AE$80,0),MATCH(S$86,$B$32:$AA$32,0)),0)</f>
        <v>0</v>
      </c>
      <c r="T93" s="19">
        <f>IFERROR(INDEX($B$33:$AA$80,MATCH($C93,$AE$33:$AE$80,0),MATCH(T$86,$B$32:$AA$32,0)),0)</f>
        <v>0</v>
      </c>
      <c r="U93" s="19">
        <f>IFERROR(INDEX($B$33:$AA$80,MATCH($C93,$AE$33:$AE$80,0),MATCH(U$86,$B$32:$AA$32,0)),0)</f>
        <v>0</v>
      </c>
      <c r="V93" s="19">
        <f>IFERROR(INDEX($B$33:$AA$80,MATCH($C93,$AE$33:$AE$80,0),MATCH(V$86,$B$32:$AA$32,0)),0)</f>
        <v>0</v>
      </c>
      <c r="W93" s="19">
        <f>IFERROR(INDEX($B$33:$AA$80,MATCH($C93,$AE$33:$AE$80,0),MATCH(W$86,$B$32:$AA$32,0)),0)</f>
        <v>1</v>
      </c>
      <c r="X93" s="19">
        <f>IFERROR(INDEX($B$33:$AA$80,MATCH($C93,$AE$33:$AE$80,0),MATCH(X$86,$B$32:$AA$32,0)),0)</f>
        <v>0</v>
      </c>
      <c r="Y93" s="19">
        <f>IFERROR(INDEX($B$33:$AA$80,MATCH($C93,$AE$33:$AE$80,0),MATCH(Y$86,$B$32:$AA$32,0)),0)</f>
        <v>0</v>
      </c>
      <c r="Z93" s="19">
        <f>IFERROR(INDEX($B$33:$AA$80,MATCH($C93,$AE$33:$AE$80,0),MATCH(Z$86,$B$32:$AA$32,0)),0)</f>
        <v>0</v>
      </c>
      <c r="AA93" s="19">
        <f>IFERROR(INDEX($B$33:$AA$80,MATCH($C93,$AE$33:$AE$80,0),MATCH(AA$86,$B$32:$AA$32,0)),0)</f>
        <v>0</v>
      </c>
      <c r="AB93" s="19">
        <f>IFERROR(INDEX($B$33:$AA$80,MATCH($C93,$AE$33:$AE$80,0),MATCH(AB$86,$B$32:$AA$32,0)),0)</f>
        <v>0</v>
      </c>
      <c r="AC93" s="19">
        <f>IFERROR(INDEX($B$33:$AA$80,MATCH($C93,$AE$33:$AE$80,0),MATCH(AC$86,$B$32:$AA$32,0)),0)</f>
        <v>2</v>
      </c>
      <c r="AD93" s="2">
        <f>SUM($D93:$AC93)</f>
        <v>29</v>
      </c>
      <c r="AE93" s="2">
        <f>IFERROR(N(INDEX(EMBELISHMENT!$B$29:$AQ$29,MATCH($C93,EMBELISHMENT!$B$1:$AQ$1,0))),0)</f>
        <v>3500</v>
      </c>
      <c r="AF93" s="2" t="str">
        <f>IF($B93="","NO WORK PAINTED ON BOARD",IF($AG93="VACANT","VACANT (no style)",IF($C93="(no recipe)","NO RECIPE IN EMBLISHMENT",IF(ISNA(MATCH($C93,EMBELISHMENT!$B$1:$AQ$1,0)),"RECIPE NOT FOUND",IF($AD93=0,"ZERO M/C","OK")))))</f>
        <v>OK</v>
      </c>
      <c r="AG93" s="14" t="str">
        <f>IFERROR(INDEX($M$5:$M$28,MATCH($B93,$K$5:$K$28,0)),"STYLE")</f>
        <v>STYLE</v>
      </c>
      <c r="AH93" s="2" t="str">
        <f>IFERROR(IF(INDEX($AG$33:$AG$80,MATCH($B93,$A$33:$A$80,0))="","(not set)",INDEX($AG$33:$AG$80,MATCH($B93,$A$33:$A$80,0))),"(not set)")</f>
        <v>BRIEF</v>
      </c>
    </row>
    <row r="94" spans="1:34">
      <c r="A94" s="19">
        <f>'LINE PLAN'!$A$13</f>
        <v>8</v>
      </c>
      <c r="B94" s="54">
        <f>IFERROR(IF(INDEX('LINE PLAN'!$B$36:$GS$61,MATCH($A94,'LINE PLAN'!$A$36:$A$61,0),MATCH(WORKINGS!$B$75,'LINE PLAN'!$B$35:$GS$35,0))="","",INDEX('LINE PLAN'!$B$36:$GS$61,MATCH($A94,'LINE PLAN'!$A$36:$A$61,0),MATCH(WORKINGS!$B$75,'LINE PLAN'!$B$35:$GS$35,0))),"")</f>
        <v>6109</v>
      </c>
      <c r="C94" s="19">
        <f>IFERROR(IF(INDEX($L$5:$L$28,MATCH($B94,$K$5:$K$28,0))="","(no recipe)",INDEX($L$5:$L$28,MATCH($B94,$K$5:$K$28,0))),$B94)</f>
        <v>6109</v>
      </c>
      <c r="D94" s="19">
        <f>IFERROR(INDEX($B$33:$AA$80,MATCH($C94,$AE$33:$AE$80,0),MATCH(D$86,$B$32:$AA$32,0)),0)</f>
        <v>6</v>
      </c>
      <c r="E94" s="19">
        <f>IFERROR(INDEX($B$33:$AA$80,MATCH($C94,$AE$33:$AE$80,0),MATCH(E$86,$B$32:$AA$32,0)),0)</f>
        <v>0</v>
      </c>
      <c r="F94" s="19">
        <f>IFERROR(INDEX($B$33:$AA$80,MATCH($C94,$AE$33:$AE$80,0),MATCH(F$86,$B$32:$AA$32,0)),0)</f>
        <v>0</v>
      </c>
      <c r="G94" s="19">
        <f>IFERROR(INDEX($B$33:$AA$80,MATCH($C94,$AE$33:$AE$80,0),MATCH(G$86,$B$32:$AA$32,0)),0)</f>
        <v>0</v>
      </c>
      <c r="H94" s="19">
        <f>IFERROR(INDEX($B$33:$AA$80,MATCH($C94,$AE$33:$AE$80,0),MATCH(H$86,$B$32:$AA$32,0)),0)</f>
        <v>10</v>
      </c>
      <c r="I94" s="19">
        <f>IFERROR(INDEX($B$33:$AA$80,MATCH($C94,$AE$33:$AE$80,0),MATCH(I$86,$B$32:$AA$32,0)),0)</f>
        <v>0</v>
      </c>
      <c r="J94" s="19">
        <f>IFERROR(INDEX($B$33:$AA$80,MATCH($C94,$AE$33:$AE$80,0),MATCH(J$86,$B$32:$AA$32,0)),0)</f>
        <v>0</v>
      </c>
      <c r="K94" s="19">
        <f>IFERROR(INDEX($B$33:$AA$80,MATCH($C94,$AE$33:$AE$80,0),MATCH(K$86,$B$32:$AA$32,0)),0)</f>
        <v>0</v>
      </c>
      <c r="L94" s="19">
        <f>IFERROR(INDEX($B$33:$AA$80,MATCH($C94,$AE$33:$AE$80,0),MATCH(L$86,$B$32:$AA$32,0)),0)</f>
        <v>1</v>
      </c>
      <c r="M94" s="19">
        <f>IFERROR(INDEX($B$33:$AA$80,MATCH($C94,$AE$33:$AE$80,0),MATCH(M$86,$B$32:$AA$32,0)),0)</f>
        <v>0</v>
      </c>
      <c r="N94" s="19">
        <f>IFERROR(INDEX($B$33:$AA$80,MATCH($C94,$AE$33:$AE$80,0),MATCH(N$86,$B$32:$AA$32,0)),0)</f>
        <v>0</v>
      </c>
      <c r="O94" s="19">
        <f>IFERROR(INDEX($B$33:$AA$80,MATCH($C94,$AE$33:$AE$80,0),MATCH(O$86,$B$32:$AA$32,0)),0)</f>
        <v>0</v>
      </c>
      <c r="P94" s="19">
        <f>IFERROR(INDEX($B$33:$AA$80,MATCH($C94,$AE$33:$AE$80,0),MATCH(P$86,$B$32:$AA$32,0)),0)</f>
        <v>3</v>
      </c>
      <c r="Q94" s="19">
        <f>IFERROR(INDEX($B$33:$AA$80,MATCH($C94,$AE$33:$AE$80,0),MATCH(Q$86,$B$32:$AA$32,0)),0)</f>
        <v>3</v>
      </c>
      <c r="R94" s="19">
        <f>IFERROR(INDEX($B$33:$AA$80,MATCH($C94,$AE$33:$AE$80,0),MATCH(R$86,$B$32:$AA$32,0)),0)</f>
        <v>4</v>
      </c>
      <c r="S94" s="19">
        <f>IFERROR(INDEX($B$33:$AA$80,MATCH($C94,$AE$33:$AE$80,0),MATCH(S$86,$B$32:$AA$32,0)),0)</f>
        <v>0</v>
      </c>
      <c r="T94" s="19">
        <f>IFERROR(INDEX($B$33:$AA$80,MATCH($C94,$AE$33:$AE$80,0),MATCH(T$86,$B$32:$AA$32,0)),0)</f>
        <v>0</v>
      </c>
      <c r="U94" s="19">
        <f>IFERROR(INDEX($B$33:$AA$80,MATCH($C94,$AE$33:$AE$80,0),MATCH(U$86,$B$32:$AA$32,0)),0)</f>
        <v>0</v>
      </c>
      <c r="V94" s="19">
        <f>IFERROR(INDEX($B$33:$AA$80,MATCH($C94,$AE$33:$AE$80,0),MATCH(V$86,$B$32:$AA$32,0)),0)</f>
        <v>0</v>
      </c>
      <c r="W94" s="19">
        <f>IFERROR(INDEX($B$33:$AA$80,MATCH($C94,$AE$33:$AE$80,0),MATCH(W$86,$B$32:$AA$32,0)),0)</f>
        <v>1</v>
      </c>
      <c r="X94" s="19">
        <f>IFERROR(INDEX($B$33:$AA$80,MATCH($C94,$AE$33:$AE$80,0),MATCH(X$86,$B$32:$AA$32,0)),0)</f>
        <v>0</v>
      </c>
      <c r="Y94" s="19">
        <f>IFERROR(INDEX($B$33:$AA$80,MATCH($C94,$AE$33:$AE$80,0),MATCH(Y$86,$B$32:$AA$32,0)),0)</f>
        <v>0</v>
      </c>
      <c r="Z94" s="19">
        <f>IFERROR(INDEX($B$33:$AA$80,MATCH($C94,$AE$33:$AE$80,0),MATCH(Z$86,$B$32:$AA$32,0)),0)</f>
        <v>0</v>
      </c>
      <c r="AA94" s="19">
        <f>IFERROR(INDEX($B$33:$AA$80,MATCH($C94,$AE$33:$AE$80,0),MATCH(AA$86,$B$32:$AA$32,0)),0)</f>
        <v>0</v>
      </c>
      <c r="AB94" s="19">
        <f>IFERROR(INDEX($B$33:$AA$80,MATCH($C94,$AE$33:$AE$80,0),MATCH(AB$86,$B$32:$AA$32,0)),0)</f>
        <v>0</v>
      </c>
      <c r="AC94" s="19">
        <f>IFERROR(INDEX($B$33:$AA$80,MATCH($C94,$AE$33:$AE$80,0),MATCH(AC$86,$B$32:$AA$32,0)),0)</f>
        <v>2</v>
      </c>
      <c r="AD94" s="2">
        <f>SUM($D94:$AC94)</f>
        <v>30</v>
      </c>
      <c r="AE94" s="2">
        <f>IFERROR(N(INDEX(EMBELISHMENT!$B$29:$AQ$29,MATCH($C94,EMBELISHMENT!$B$1:$AQ$1,0))),0)</f>
        <v>3500</v>
      </c>
      <c r="AF94" s="2" t="str">
        <f>IF($B94="","NO WORK PAINTED ON BOARD",IF($AG94="VACANT","VACANT (no style)",IF($C94="(no recipe)","NO RECIPE IN EMBLISHMENT",IF(ISNA(MATCH($C94,EMBELISHMENT!$B$1:$AQ$1,0)),"RECIPE NOT FOUND",IF($AD94=0,"ZERO M/C","OK")))))</f>
        <v>OK</v>
      </c>
      <c r="AG94" s="14" t="str">
        <f>IFERROR(INDEX($M$5:$M$28,MATCH($B94,$K$5:$K$28,0)),"STYLE")</f>
        <v>STYLE</v>
      </c>
      <c r="AH94" s="2" t="str">
        <f>IFERROR(IF(INDEX($AG$33:$AG$80,MATCH($B94,$A$33:$A$80,0))="","(not set)",INDEX($AG$33:$AG$80,MATCH($B94,$A$33:$A$80,0))),"(not set)")</f>
        <v>TRUNK</v>
      </c>
    </row>
    <row r="95" spans="1:34">
      <c r="A95" s="19">
        <f>'LINE PLAN'!$A$14</f>
        <v>9</v>
      </c>
      <c r="B95" s="54">
        <f>IFERROR(IF(INDEX('LINE PLAN'!$B$36:$GS$61,MATCH($A95,'LINE PLAN'!$A$36:$A$61,0),MATCH(WORKINGS!$B$75,'LINE PLAN'!$B$35:$GS$35,0))="","",INDEX('LINE PLAN'!$B$36:$GS$61,MATCH($A95,'LINE PLAN'!$A$36:$A$61,0),MATCH(WORKINGS!$B$75,'LINE PLAN'!$B$35:$GS$35,0))),"")</f>
        <v>6109</v>
      </c>
      <c r="C95" s="19">
        <f>IFERROR(IF(INDEX($L$5:$L$28,MATCH($B95,$K$5:$K$28,0))="","(no recipe)",INDEX($L$5:$L$28,MATCH($B95,$K$5:$K$28,0))),$B95)</f>
        <v>6109</v>
      </c>
      <c r="D95" s="19">
        <f>IFERROR(INDEX($B$33:$AA$80,MATCH($C95,$AE$33:$AE$80,0),MATCH(D$86,$B$32:$AA$32,0)),0)</f>
        <v>6</v>
      </c>
      <c r="E95" s="19">
        <f>IFERROR(INDEX($B$33:$AA$80,MATCH($C95,$AE$33:$AE$80,0),MATCH(E$86,$B$32:$AA$32,0)),0)</f>
        <v>0</v>
      </c>
      <c r="F95" s="19">
        <f>IFERROR(INDEX($B$33:$AA$80,MATCH($C95,$AE$33:$AE$80,0),MATCH(F$86,$B$32:$AA$32,0)),0)</f>
        <v>0</v>
      </c>
      <c r="G95" s="19">
        <f>IFERROR(INDEX($B$33:$AA$80,MATCH($C95,$AE$33:$AE$80,0),MATCH(G$86,$B$32:$AA$32,0)),0)</f>
        <v>0</v>
      </c>
      <c r="H95" s="19">
        <f>IFERROR(INDEX($B$33:$AA$80,MATCH($C95,$AE$33:$AE$80,0),MATCH(H$86,$B$32:$AA$32,0)),0)</f>
        <v>10</v>
      </c>
      <c r="I95" s="19">
        <f>IFERROR(INDEX($B$33:$AA$80,MATCH($C95,$AE$33:$AE$80,0),MATCH(I$86,$B$32:$AA$32,0)),0)</f>
        <v>0</v>
      </c>
      <c r="J95" s="19">
        <f>IFERROR(INDEX($B$33:$AA$80,MATCH($C95,$AE$33:$AE$80,0),MATCH(J$86,$B$32:$AA$32,0)),0)</f>
        <v>0</v>
      </c>
      <c r="K95" s="19">
        <f>IFERROR(INDEX($B$33:$AA$80,MATCH($C95,$AE$33:$AE$80,0),MATCH(K$86,$B$32:$AA$32,0)),0)</f>
        <v>0</v>
      </c>
      <c r="L95" s="19">
        <f>IFERROR(INDEX($B$33:$AA$80,MATCH($C95,$AE$33:$AE$80,0),MATCH(L$86,$B$32:$AA$32,0)),0)</f>
        <v>1</v>
      </c>
      <c r="M95" s="19">
        <f>IFERROR(INDEX($B$33:$AA$80,MATCH($C95,$AE$33:$AE$80,0),MATCH(M$86,$B$32:$AA$32,0)),0)</f>
        <v>0</v>
      </c>
      <c r="N95" s="19">
        <f>IFERROR(INDEX($B$33:$AA$80,MATCH($C95,$AE$33:$AE$80,0),MATCH(N$86,$B$32:$AA$32,0)),0)</f>
        <v>0</v>
      </c>
      <c r="O95" s="19">
        <f>IFERROR(INDEX($B$33:$AA$80,MATCH($C95,$AE$33:$AE$80,0),MATCH(O$86,$B$32:$AA$32,0)),0)</f>
        <v>0</v>
      </c>
      <c r="P95" s="19">
        <f>IFERROR(INDEX($B$33:$AA$80,MATCH($C95,$AE$33:$AE$80,0),MATCH(P$86,$B$32:$AA$32,0)),0)</f>
        <v>3</v>
      </c>
      <c r="Q95" s="19">
        <f>IFERROR(INDEX($B$33:$AA$80,MATCH($C95,$AE$33:$AE$80,0),MATCH(Q$86,$B$32:$AA$32,0)),0)</f>
        <v>3</v>
      </c>
      <c r="R95" s="19">
        <f>IFERROR(INDEX($B$33:$AA$80,MATCH($C95,$AE$33:$AE$80,0),MATCH(R$86,$B$32:$AA$32,0)),0)</f>
        <v>4</v>
      </c>
      <c r="S95" s="19">
        <f>IFERROR(INDEX($B$33:$AA$80,MATCH($C95,$AE$33:$AE$80,0),MATCH(S$86,$B$32:$AA$32,0)),0)</f>
        <v>0</v>
      </c>
      <c r="T95" s="19">
        <f>IFERROR(INDEX($B$33:$AA$80,MATCH($C95,$AE$33:$AE$80,0),MATCH(T$86,$B$32:$AA$32,0)),0)</f>
        <v>0</v>
      </c>
      <c r="U95" s="19">
        <f>IFERROR(INDEX($B$33:$AA$80,MATCH($C95,$AE$33:$AE$80,0),MATCH(U$86,$B$32:$AA$32,0)),0)</f>
        <v>0</v>
      </c>
      <c r="V95" s="19">
        <f>IFERROR(INDEX($B$33:$AA$80,MATCH($C95,$AE$33:$AE$80,0),MATCH(V$86,$B$32:$AA$32,0)),0)</f>
        <v>0</v>
      </c>
      <c r="W95" s="19">
        <f>IFERROR(INDEX($B$33:$AA$80,MATCH($C95,$AE$33:$AE$80,0),MATCH(W$86,$B$32:$AA$32,0)),0)</f>
        <v>1</v>
      </c>
      <c r="X95" s="19">
        <f>IFERROR(INDEX($B$33:$AA$80,MATCH($C95,$AE$33:$AE$80,0),MATCH(X$86,$B$32:$AA$32,0)),0)</f>
        <v>0</v>
      </c>
      <c r="Y95" s="19">
        <f>IFERROR(INDEX($B$33:$AA$80,MATCH($C95,$AE$33:$AE$80,0),MATCH(Y$86,$B$32:$AA$32,0)),0)</f>
        <v>0</v>
      </c>
      <c r="Z95" s="19">
        <f>IFERROR(INDEX($B$33:$AA$80,MATCH($C95,$AE$33:$AE$80,0),MATCH(Z$86,$B$32:$AA$32,0)),0)</f>
        <v>0</v>
      </c>
      <c r="AA95" s="19">
        <f>IFERROR(INDEX($B$33:$AA$80,MATCH($C95,$AE$33:$AE$80,0),MATCH(AA$86,$B$32:$AA$32,0)),0)</f>
        <v>0</v>
      </c>
      <c r="AB95" s="19">
        <f>IFERROR(INDEX($B$33:$AA$80,MATCH($C95,$AE$33:$AE$80,0),MATCH(AB$86,$B$32:$AA$32,0)),0)</f>
        <v>0</v>
      </c>
      <c r="AC95" s="19">
        <f>IFERROR(INDEX($B$33:$AA$80,MATCH($C95,$AE$33:$AE$80,0),MATCH(AC$86,$B$32:$AA$32,0)),0)</f>
        <v>2</v>
      </c>
      <c r="AD95" s="2">
        <f>SUM($D95:$AC95)</f>
        <v>30</v>
      </c>
      <c r="AE95" s="2">
        <f>IFERROR(N(INDEX(EMBELISHMENT!$B$29:$AQ$29,MATCH($C95,EMBELISHMENT!$B$1:$AQ$1,0))),0)</f>
        <v>3500</v>
      </c>
      <c r="AF95" s="2" t="str">
        <f>IF($B95="","NO WORK PAINTED ON BOARD",IF($AG95="VACANT","VACANT (no style)",IF($C95="(no recipe)","NO RECIPE IN EMBLISHMENT",IF(ISNA(MATCH($C95,EMBELISHMENT!$B$1:$AQ$1,0)),"RECIPE NOT FOUND",IF($AD95=0,"ZERO M/C","OK")))))</f>
        <v>OK</v>
      </c>
      <c r="AG95" s="14" t="str">
        <f>IFERROR(INDEX($M$5:$M$28,MATCH($B95,$K$5:$K$28,0)),"STYLE")</f>
        <v>STYLE</v>
      </c>
      <c r="AH95" s="2" t="str">
        <f>IFERROR(IF(INDEX($AG$33:$AG$80,MATCH($B95,$A$33:$A$80,0))="","(not set)",INDEX($AG$33:$AG$80,MATCH($B95,$A$33:$A$80,0))),"(not set)")</f>
        <v>TRUNK</v>
      </c>
    </row>
    <row r="96" spans="1:34">
      <c r="A96" s="19">
        <f>'LINE PLAN'!$A$15</f>
        <v>10</v>
      </c>
      <c r="B96" s="54">
        <f>IFERROR(IF(INDEX('LINE PLAN'!$B$36:$GS$61,MATCH($A96,'LINE PLAN'!$A$36:$A$61,0),MATCH(WORKINGS!$B$75,'LINE PLAN'!$B$35:$GS$35,0))="","",INDEX('LINE PLAN'!$B$36:$GS$61,MATCH($A96,'LINE PLAN'!$A$36:$A$61,0),MATCH(WORKINGS!$B$75,'LINE PLAN'!$B$35:$GS$35,0))),"")</f>
        <v>6109</v>
      </c>
      <c r="C96" s="19">
        <f>IFERROR(IF(INDEX($L$5:$L$28,MATCH($B96,$K$5:$K$28,0))="","(no recipe)",INDEX($L$5:$L$28,MATCH($B96,$K$5:$K$28,0))),$B96)</f>
        <v>6109</v>
      </c>
      <c r="D96" s="19">
        <f>IFERROR(INDEX($B$33:$AA$80,MATCH($C96,$AE$33:$AE$80,0),MATCH(D$86,$B$32:$AA$32,0)),0)</f>
        <v>6</v>
      </c>
      <c r="E96" s="19">
        <f>IFERROR(INDEX($B$33:$AA$80,MATCH($C96,$AE$33:$AE$80,0),MATCH(E$86,$B$32:$AA$32,0)),0)</f>
        <v>0</v>
      </c>
      <c r="F96" s="19">
        <f>IFERROR(INDEX($B$33:$AA$80,MATCH($C96,$AE$33:$AE$80,0),MATCH(F$86,$B$32:$AA$32,0)),0)</f>
        <v>0</v>
      </c>
      <c r="G96" s="19">
        <f>IFERROR(INDEX($B$33:$AA$80,MATCH($C96,$AE$33:$AE$80,0),MATCH(G$86,$B$32:$AA$32,0)),0)</f>
        <v>0</v>
      </c>
      <c r="H96" s="19">
        <f>IFERROR(INDEX($B$33:$AA$80,MATCH($C96,$AE$33:$AE$80,0),MATCH(H$86,$B$32:$AA$32,0)),0)</f>
        <v>10</v>
      </c>
      <c r="I96" s="19">
        <f>IFERROR(INDEX($B$33:$AA$80,MATCH($C96,$AE$33:$AE$80,0),MATCH(I$86,$B$32:$AA$32,0)),0)</f>
        <v>0</v>
      </c>
      <c r="J96" s="19">
        <f>IFERROR(INDEX($B$33:$AA$80,MATCH($C96,$AE$33:$AE$80,0),MATCH(J$86,$B$32:$AA$32,0)),0)</f>
        <v>0</v>
      </c>
      <c r="K96" s="19">
        <f>IFERROR(INDEX($B$33:$AA$80,MATCH($C96,$AE$33:$AE$80,0),MATCH(K$86,$B$32:$AA$32,0)),0)</f>
        <v>0</v>
      </c>
      <c r="L96" s="19">
        <f>IFERROR(INDEX($B$33:$AA$80,MATCH($C96,$AE$33:$AE$80,0),MATCH(L$86,$B$32:$AA$32,0)),0)</f>
        <v>1</v>
      </c>
      <c r="M96" s="19">
        <f>IFERROR(INDEX($B$33:$AA$80,MATCH($C96,$AE$33:$AE$80,0),MATCH(M$86,$B$32:$AA$32,0)),0)</f>
        <v>0</v>
      </c>
      <c r="N96" s="19">
        <f>IFERROR(INDEX($B$33:$AA$80,MATCH($C96,$AE$33:$AE$80,0),MATCH(N$86,$B$32:$AA$32,0)),0)</f>
        <v>0</v>
      </c>
      <c r="O96" s="19">
        <f>IFERROR(INDEX($B$33:$AA$80,MATCH($C96,$AE$33:$AE$80,0),MATCH(O$86,$B$32:$AA$32,0)),0)</f>
        <v>0</v>
      </c>
      <c r="P96" s="19">
        <f>IFERROR(INDEX($B$33:$AA$80,MATCH($C96,$AE$33:$AE$80,0),MATCH(P$86,$B$32:$AA$32,0)),0)</f>
        <v>3</v>
      </c>
      <c r="Q96" s="19">
        <f>IFERROR(INDEX($B$33:$AA$80,MATCH($C96,$AE$33:$AE$80,0),MATCH(Q$86,$B$32:$AA$32,0)),0)</f>
        <v>3</v>
      </c>
      <c r="R96" s="19">
        <f>IFERROR(INDEX($B$33:$AA$80,MATCH($C96,$AE$33:$AE$80,0),MATCH(R$86,$B$32:$AA$32,0)),0)</f>
        <v>4</v>
      </c>
      <c r="S96" s="19">
        <f>IFERROR(INDEX($B$33:$AA$80,MATCH($C96,$AE$33:$AE$80,0),MATCH(S$86,$B$32:$AA$32,0)),0)</f>
        <v>0</v>
      </c>
      <c r="T96" s="19">
        <f>IFERROR(INDEX($B$33:$AA$80,MATCH($C96,$AE$33:$AE$80,0),MATCH(T$86,$B$32:$AA$32,0)),0)</f>
        <v>0</v>
      </c>
      <c r="U96" s="19">
        <f>IFERROR(INDEX($B$33:$AA$80,MATCH($C96,$AE$33:$AE$80,0),MATCH(U$86,$B$32:$AA$32,0)),0)</f>
        <v>0</v>
      </c>
      <c r="V96" s="19">
        <f>IFERROR(INDEX($B$33:$AA$80,MATCH($C96,$AE$33:$AE$80,0),MATCH(V$86,$B$32:$AA$32,0)),0)</f>
        <v>0</v>
      </c>
      <c r="W96" s="19">
        <f>IFERROR(INDEX($B$33:$AA$80,MATCH($C96,$AE$33:$AE$80,0),MATCH(W$86,$B$32:$AA$32,0)),0)</f>
        <v>1</v>
      </c>
      <c r="X96" s="19">
        <f>IFERROR(INDEX($B$33:$AA$80,MATCH($C96,$AE$33:$AE$80,0),MATCH(X$86,$B$32:$AA$32,0)),0)</f>
        <v>0</v>
      </c>
      <c r="Y96" s="19">
        <f>IFERROR(INDEX($B$33:$AA$80,MATCH($C96,$AE$33:$AE$80,0),MATCH(Y$86,$B$32:$AA$32,0)),0)</f>
        <v>0</v>
      </c>
      <c r="Z96" s="19">
        <f>IFERROR(INDEX($B$33:$AA$80,MATCH($C96,$AE$33:$AE$80,0),MATCH(Z$86,$B$32:$AA$32,0)),0)</f>
        <v>0</v>
      </c>
      <c r="AA96" s="19">
        <f>IFERROR(INDEX($B$33:$AA$80,MATCH($C96,$AE$33:$AE$80,0),MATCH(AA$86,$B$32:$AA$32,0)),0)</f>
        <v>0</v>
      </c>
      <c r="AB96" s="19">
        <f>IFERROR(INDEX($B$33:$AA$80,MATCH($C96,$AE$33:$AE$80,0),MATCH(AB$86,$B$32:$AA$32,0)),0)</f>
        <v>0</v>
      </c>
      <c r="AC96" s="19">
        <f>IFERROR(INDEX($B$33:$AA$80,MATCH($C96,$AE$33:$AE$80,0),MATCH(AC$86,$B$32:$AA$32,0)),0)</f>
        <v>2</v>
      </c>
      <c r="AD96" s="2">
        <f>SUM($D96:$AC96)</f>
        <v>30</v>
      </c>
      <c r="AE96" s="2">
        <f>IFERROR(N(INDEX(EMBELISHMENT!$B$29:$AQ$29,MATCH($C96,EMBELISHMENT!$B$1:$AQ$1,0))),0)</f>
        <v>3500</v>
      </c>
      <c r="AF96" s="2" t="str">
        <f>IF($B96="","NO WORK PAINTED ON BOARD",IF($AG96="VACANT","VACANT (no style)",IF($C96="(no recipe)","NO RECIPE IN EMBLISHMENT",IF(ISNA(MATCH($C96,EMBELISHMENT!$B$1:$AQ$1,0)),"RECIPE NOT FOUND",IF($AD96=0,"ZERO M/C","OK")))))</f>
        <v>OK</v>
      </c>
      <c r="AG96" s="14" t="str">
        <f>IFERROR(INDEX($M$5:$M$28,MATCH($B96,$K$5:$K$28,0)),"STYLE")</f>
        <v>STYLE</v>
      </c>
      <c r="AH96" s="2" t="str">
        <f>IFERROR(IF(INDEX($AG$33:$AG$80,MATCH($B96,$A$33:$A$80,0))="","(not set)",INDEX($AG$33:$AG$80,MATCH($B96,$A$33:$A$80,0))),"(not set)")</f>
        <v>TRUNK</v>
      </c>
    </row>
    <row r="97" spans="1:34">
      <c r="A97" s="19">
        <f>'LINE PLAN'!$A$16</f>
        <v>11</v>
      </c>
      <c r="B97" s="54">
        <f>IFERROR(IF(INDEX('LINE PLAN'!$B$36:$GS$61,MATCH($A97,'LINE PLAN'!$A$36:$A$61,0),MATCH(WORKINGS!$B$75,'LINE PLAN'!$B$35:$GS$35,0))="","",INDEX('LINE PLAN'!$B$36:$GS$61,MATCH($A97,'LINE PLAN'!$A$36:$A$61,0),MATCH(WORKINGS!$B$75,'LINE PLAN'!$B$35:$GS$35,0))),"")</f>
        <v>6108</v>
      </c>
      <c r="C97" s="19">
        <f>IFERROR(IF(INDEX($L$5:$L$28,MATCH($B97,$K$5:$K$28,0))="","(no recipe)",INDEX($L$5:$L$28,MATCH($B97,$K$5:$K$28,0))),$B97)</f>
        <v>6108</v>
      </c>
      <c r="D97" s="19">
        <f>IFERROR(INDEX($B$33:$AA$80,MATCH($C97,$AE$33:$AE$80,0),MATCH(D$86,$B$32:$AA$32,0)),0)</f>
        <v>6</v>
      </c>
      <c r="E97" s="19">
        <f>IFERROR(INDEX($B$33:$AA$80,MATCH($C97,$AE$33:$AE$80,0),MATCH(E$86,$B$32:$AA$32,0)),0)</f>
        <v>0</v>
      </c>
      <c r="F97" s="19">
        <f>IFERROR(INDEX($B$33:$AA$80,MATCH($C97,$AE$33:$AE$80,0),MATCH(F$86,$B$32:$AA$32,0)),0)</f>
        <v>0</v>
      </c>
      <c r="G97" s="19">
        <f>IFERROR(INDEX($B$33:$AA$80,MATCH($C97,$AE$33:$AE$80,0),MATCH(G$86,$B$32:$AA$32,0)),0)</f>
        <v>0</v>
      </c>
      <c r="H97" s="19">
        <f>IFERROR(INDEX($B$33:$AA$80,MATCH($C97,$AE$33:$AE$80,0),MATCH(H$86,$B$32:$AA$32,0)),0)</f>
        <v>10</v>
      </c>
      <c r="I97" s="19">
        <f>IFERROR(INDEX($B$33:$AA$80,MATCH($C97,$AE$33:$AE$80,0),MATCH(I$86,$B$32:$AA$32,0)),0)</f>
        <v>0</v>
      </c>
      <c r="J97" s="19">
        <f>IFERROR(INDEX($B$33:$AA$80,MATCH($C97,$AE$33:$AE$80,0),MATCH(J$86,$B$32:$AA$32,0)),0)</f>
        <v>0</v>
      </c>
      <c r="K97" s="19">
        <f>IFERROR(INDEX($B$33:$AA$80,MATCH($C97,$AE$33:$AE$80,0),MATCH(K$86,$B$32:$AA$32,0)),0)</f>
        <v>3</v>
      </c>
      <c r="L97" s="19">
        <f>IFERROR(INDEX($B$33:$AA$80,MATCH($C97,$AE$33:$AE$80,0),MATCH(L$86,$B$32:$AA$32,0)),0)</f>
        <v>1</v>
      </c>
      <c r="M97" s="19">
        <f>IFERROR(INDEX($B$33:$AA$80,MATCH($C97,$AE$33:$AE$80,0),MATCH(M$86,$B$32:$AA$32,0)),0)</f>
        <v>0</v>
      </c>
      <c r="N97" s="19">
        <f>IFERROR(INDEX($B$33:$AA$80,MATCH($C97,$AE$33:$AE$80,0),MATCH(N$86,$B$32:$AA$32,0)),0)</f>
        <v>2.5</v>
      </c>
      <c r="O97" s="19">
        <f>IFERROR(INDEX($B$33:$AA$80,MATCH($C97,$AE$33:$AE$80,0),MATCH(O$86,$B$32:$AA$32,0)),0)</f>
        <v>0</v>
      </c>
      <c r="P97" s="19">
        <f>IFERROR(INDEX($B$33:$AA$80,MATCH($C97,$AE$33:$AE$80,0),MATCH(P$86,$B$32:$AA$32,0)),0)</f>
        <v>0</v>
      </c>
      <c r="Q97" s="19">
        <f>IFERROR(INDEX($B$33:$AA$80,MATCH($C97,$AE$33:$AE$80,0),MATCH(Q$86,$B$32:$AA$32,0)),0)</f>
        <v>3</v>
      </c>
      <c r="R97" s="19">
        <f>IFERROR(INDEX($B$33:$AA$80,MATCH($C97,$AE$33:$AE$80,0),MATCH(R$86,$B$32:$AA$32,0)),0)</f>
        <v>4</v>
      </c>
      <c r="S97" s="19">
        <f>IFERROR(INDEX($B$33:$AA$80,MATCH($C97,$AE$33:$AE$80,0),MATCH(S$86,$B$32:$AA$32,0)),0)</f>
        <v>0</v>
      </c>
      <c r="T97" s="19">
        <f>IFERROR(INDEX($B$33:$AA$80,MATCH($C97,$AE$33:$AE$80,0),MATCH(T$86,$B$32:$AA$32,0)),0)</f>
        <v>0</v>
      </c>
      <c r="U97" s="19">
        <f>IFERROR(INDEX($B$33:$AA$80,MATCH($C97,$AE$33:$AE$80,0),MATCH(U$86,$B$32:$AA$32,0)),0)</f>
        <v>0</v>
      </c>
      <c r="V97" s="19">
        <f>IFERROR(INDEX($B$33:$AA$80,MATCH($C97,$AE$33:$AE$80,0),MATCH(V$86,$B$32:$AA$32,0)),0)</f>
        <v>0</v>
      </c>
      <c r="W97" s="19">
        <f>IFERROR(INDEX($B$33:$AA$80,MATCH($C97,$AE$33:$AE$80,0),MATCH(W$86,$B$32:$AA$32,0)),0)</f>
        <v>1</v>
      </c>
      <c r="X97" s="19">
        <f>IFERROR(INDEX($B$33:$AA$80,MATCH($C97,$AE$33:$AE$80,0),MATCH(X$86,$B$32:$AA$32,0)),0)</f>
        <v>0</v>
      </c>
      <c r="Y97" s="19">
        <f>IFERROR(INDEX($B$33:$AA$80,MATCH($C97,$AE$33:$AE$80,0),MATCH(Y$86,$B$32:$AA$32,0)),0)</f>
        <v>0</v>
      </c>
      <c r="Z97" s="19">
        <f>IFERROR(INDEX($B$33:$AA$80,MATCH($C97,$AE$33:$AE$80,0),MATCH(Z$86,$B$32:$AA$32,0)),0)</f>
        <v>0</v>
      </c>
      <c r="AA97" s="19">
        <f>IFERROR(INDEX($B$33:$AA$80,MATCH($C97,$AE$33:$AE$80,0),MATCH(AA$86,$B$32:$AA$32,0)),0)</f>
        <v>0</v>
      </c>
      <c r="AB97" s="19">
        <f>IFERROR(INDEX($B$33:$AA$80,MATCH($C97,$AE$33:$AE$80,0),MATCH(AB$86,$B$32:$AA$32,0)),0)</f>
        <v>0</v>
      </c>
      <c r="AC97" s="19">
        <f>IFERROR(INDEX($B$33:$AA$80,MATCH($C97,$AE$33:$AE$80,0),MATCH(AC$86,$B$32:$AA$32,0)),0)</f>
        <v>1</v>
      </c>
      <c r="AD97" s="2">
        <f>SUM($D97:$AC97)</f>
        <v>31.5</v>
      </c>
      <c r="AE97" s="2">
        <f>IFERROR(N(INDEX(EMBELISHMENT!$B$29:$AQ$29,MATCH($C97,EMBELISHMENT!$B$1:$AQ$1,0))),0)</f>
        <v>3500</v>
      </c>
      <c r="AF97" s="2" t="str">
        <f>IF($B97="","NO WORK PAINTED ON BOARD",IF($AG97="VACANT","VACANT (no style)",IF($C97="(no recipe)","NO RECIPE IN EMBLISHMENT",IF(ISNA(MATCH($C97,EMBELISHMENT!$B$1:$AQ$1,0)),"RECIPE NOT FOUND",IF($AD97=0,"ZERO M/C","OK")))))</f>
        <v>OK</v>
      </c>
      <c r="AG97" s="14" t="str">
        <f>IFERROR(INDEX($M$5:$M$28,MATCH($B97,$K$5:$K$28,0)),"STYLE")</f>
        <v>STYLE</v>
      </c>
      <c r="AH97" s="2" t="str">
        <f>IFERROR(IF(INDEX($AG$33:$AG$80,MATCH($B97,$A$33:$A$80,0))="","(not set)",INDEX($AG$33:$AG$80,MATCH($B97,$A$33:$A$80,0))),"(not set)")</f>
        <v>TRUNK</v>
      </c>
    </row>
    <row r="98" spans="1:34">
      <c r="A98" s="19">
        <f>'LINE PLAN'!$A$17</f>
        <v>12</v>
      </c>
      <c r="B98" s="54">
        <f>IFERROR(IF(INDEX('LINE PLAN'!$B$36:$GS$61,MATCH($A98,'LINE PLAN'!$A$36:$A$61,0),MATCH(WORKINGS!$B$75,'LINE PLAN'!$B$35:$GS$35,0))="","",INDEX('LINE PLAN'!$B$36:$GS$61,MATCH($A98,'LINE PLAN'!$A$36:$A$61,0),MATCH(WORKINGS!$B$75,'LINE PLAN'!$B$35:$GS$35,0))),"")</f>
        <v>6108</v>
      </c>
      <c r="C98" s="19">
        <f>IFERROR(IF(INDEX($L$5:$L$28,MATCH($B98,$K$5:$K$28,0))="","(no recipe)",INDEX($L$5:$L$28,MATCH($B98,$K$5:$K$28,0))),$B98)</f>
        <v>6108</v>
      </c>
      <c r="D98" s="19">
        <f>IFERROR(INDEX($B$33:$AA$80,MATCH($C98,$AE$33:$AE$80,0),MATCH(D$86,$B$32:$AA$32,0)),0)</f>
        <v>6</v>
      </c>
      <c r="E98" s="19">
        <f>IFERROR(INDEX($B$33:$AA$80,MATCH($C98,$AE$33:$AE$80,0),MATCH(E$86,$B$32:$AA$32,0)),0)</f>
        <v>0</v>
      </c>
      <c r="F98" s="19">
        <f>IFERROR(INDEX($B$33:$AA$80,MATCH($C98,$AE$33:$AE$80,0),MATCH(F$86,$B$32:$AA$32,0)),0)</f>
        <v>0</v>
      </c>
      <c r="G98" s="19">
        <f>IFERROR(INDEX($B$33:$AA$80,MATCH($C98,$AE$33:$AE$80,0),MATCH(G$86,$B$32:$AA$32,0)),0)</f>
        <v>0</v>
      </c>
      <c r="H98" s="19">
        <f>IFERROR(INDEX($B$33:$AA$80,MATCH($C98,$AE$33:$AE$80,0),MATCH(H$86,$B$32:$AA$32,0)),0)</f>
        <v>10</v>
      </c>
      <c r="I98" s="19">
        <f>IFERROR(INDEX($B$33:$AA$80,MATCH($C98,$AE$33:$AE$80,0),MATCH(I$86,$B$32:$AA$32,0)),0)</f>
        <v>0</v>
      </c>
      <c r="J98" s="19">
        <f>IFERROR(INDEX($B$33:$AA$80,MATCH($C98,$AE$33:$AE$80,0),MATCH(J$86,$B$32:$AA$32,0)),0)</f>
        <v>0</v>
      </c>
      <c r="K98" s="19">
        <f>IFERROR(INDEX($B$33:$AA$80,MATCH($C98,$AE$33:$AE$80,0),MATCH(K$86,$B$32:$AA$32,0)),0)</f>
        <v>3</v>
      </c>
      <c r="L98" s="19">
        <f>IFERROR(INDEX($B$33:$AA$80,MATCH($C98,$AE$33:$AE$80,0),MATCH(L$86,$B$32:$AA$32,0)),0)</f>
        <v>1</v>
      </c>
      <c r="M98" s="19">
        <f>IFERROR(INDEX($B$33:$AA$80,MATCH($C98,$AE$33:$AE$80,0),MATCH(M$86,$B$32:$AA$32,0)),0)</f>
        <v>0</v>
      </c>
      <c r="N98" s="19">
        <f>IFERROR(INDEX($B$33:$AA$80,MATCH($C98,$AE$33:$AE$80,0),MATCH(N$86,$B$32:$AA$32,0)),0)</f>
        <v>2.5</v>
      </c>
      <c r="O98" s="19">
        <f>IFERROR(INDEX($B$33:$AA$80,MATCH($C98,$AE$33:$AE$80,0),MATCH(O$86,$B$32:$AA$32,0)),0)</f>
        <v>0</v>
      </c>
      <c r="P98" s="19">
        <f>IFERROR(INDEX($B$33:$AA$80,MATCH($C98,$AE$33:$AE$80,0),MATCH(P$86,$B$32:$AA$32,0)),0)</f>
        <v>0</v>
      </c>
      <c r="Q98" s="19">
        <f>IFERROR(INDEX($B$33:$AA$80,MATCH($C98,$AE$33:$AE$80,0),MATCH(Q$86,$B$32:$AA$32,0)),0)</f>
        <v>3</v>
      </c>
      <c r="R98" s="19">
        <f>IFERROR(INDEX($B$33:$AA$80,MATCH($C98,$AE$33:$AE$80,0),MATCH(R$86,$B$32:$AA$32,0)),0)</f>
        <v>4</v>
      </c>
      <c r="S98" s="19">
        <f>IFERROR(INDEX($B$33:$AA$80,MATCH($C98,$AE$33:$AE$80,0),MATCH(S$86,$B$32:$AA$32,0)),0)</f>
        <v>0</v>
      </c>
      <c r="T98" s="19">
        <f>IFERROR(INDEX($B$33:$AA$80,MATCH($C98,$AE$33:$AE$80,0),MATCH(T$86,$B$32:$AA$32,0)),0)</f>
        <v>0</v>
      </c>
      <c r="U98" s="19">
        <f>IFERROR(INDEX($B$33:$AA$80,MATCH($C98,$AE$33:$AE$80,0),MATCH(U$86,$B$32:$AA$32,0)),0)</f>
        <v>0</v>
      </c>
      <c r="V98" s="19">
        <f>IFERROR(INDEX($B$33:$AA$80,MATCH($C98,$AE$33:$AE$80,0),MATCH(V$86,$B$32:$AA$32,0)),0)</f>
        <v>0</v>
      </c>
      <c r="W98" s="19">
        <f>IFERROR(INDEX($B$33:$AA$80,MATCH($C98,$AE$33:$AE$80,0),MATCH(W$86,$B$32:$AA$32,0)),0)</f>
        <v>1</v>
      </c>
      <c r="X98" s="19">
        <f>IFERROR(INDEX($B$33:$AA$80,MATCH($C98,$AE$33:$AE$80,0),MATCH(X$86,$B$32:$AA$32,0)),0)</f>
        <v>0</v>
      </c>
      <c r="Y98" s="19">
        <f>IFERROR(INDEX($B$33:$AA$80,MATCH($C98,$AE$33:$AE$80,0),MATCH(Y$86,$B$32:$AA$32,0)),0)</f>
        <v>0</v>
      </c>
      <c r="Z98" s="19">
        <f>IFERROR(INDEX($B$33:$AA$80,MATCH($C98,$AE$33:$AE$80,0),MATCH(Z$86,$B$32:$AA$32,0)),0)</f>
        <v>0</v>
      </c>
      <c r="AA98" s="19">
        <f>IFERROR(INDEX($B$33:$AA$80,MATCH($C98,$AE$33:$AE$80,0),MATCH(AA$86,$B$32:$AA$32,0)),0)</f>
        <v>0</v>
      </c>
      <c r="AB98" s="19">
        <f>IFERROR(INDEX($B$33:$AA$80,MATCH($C98,$AE$33:$AE$80,0),MATCH(AB$86,$B$32:$AA$32,0)),0)</f>
        <v>0</v>
      </c>
      <c r="AC98" s="19">
        <f>IFERROR(INDEX($B$33:$AA$80,MATCH($C98,$AE$33:$AE$80,0),MATCH(AC$86,$B$32:$AA$32,0)),0)</f>
        <v>1</v>
      </c>
      <c r="AD98" s="2">
        <f>SUM($D98:$AC98)</f>
        <v>31.5</v>
      </c>
      <c r="AE98" s="2">
        <f>IFERROR(N(INDEX(EMBELISHMENT!$B$29:$AQ$29,MATCH($C98,EMBELISHMENT!$B$1:$AQ$1,0))),0)</f>
        <v>3500</v>
      </c>
      <c r="AF98" s="2" t="str">
        <f>IF($B98="","NO WORK PAINTED ON BOARD",IF($AG98="VACANT","VACANT (no style)",IF($C98="(no recipe)","NO RECIPE IN EMBLISHMENT",IF(ISNA(MATCH($C98,EMBELISHMENT!$B$1:$AQ$1,0)),"RECIPE NOT FOUND",IF($AD98=0,"ZERO M/C","OK")))))</f>
        <v>OK</v>
      </c>
      <c r="AG98" s="14" t="str">
        <f>IFERROR(INDEX($M$5:$M$28,MATCH($B98,$K$5:$K$28,0)),"STYLE")</f>
        <v>STYLE</v>
      </c>
      <c r="AH98" s="2" t="str">
        <f>IFERROR(IF(INDEX($AG$33:$AG$80,MATCH($B98,$A$33:$A$80,0))="","(not set)",INDEX($AG$33:$AG$80,MATCH($B98,$A$33:$A$80,0))),"(not set)")</f>
        <v>TRUNK</v>
      </c>
    </row>
    <row r="99" spans="1:34">
      <c r="A99" s="19">
        <f>'LINE PLAN'!$A$18</f>
        <v>13</v>
      </c>
      <c r="B99" s="54" t="str">
        <f>IFERROR(IF(INDEX('LINE PLAN'!$B$36:$GS$61,MATCH($A99,'LINE PLAN'!$A$36:$A$61,0),MATCH(WORKINGS!$B$75,'LINE PLAN'!$B$35:$GS$35,0))="","",INDEX('LINE PLAN'!$B$36:$GS$61,MATCH($A99,'LINE PLAN'!$A$36:$A$61,0),MATCH(WORKINGS!$B$75,'LINE PLAN'!$B$35:$GS$35,0))),"")</f>
        <v>RS17</v>
      </c>
      <c r="C99" s="19" t="str">
        <f>IFERROR(IF(INDEX($L$5:$L$28,MATCH($B99,$K$5:$K$28,0))="","(no recipe)",INDEX($L$5:$L$28,MATCH($B99,$K$5:$K$28,0))),$B99)</f>
        <v>RS-17</v>
      </c>
      <c r="D99" s="19">
        <f>IFERROR(INDEX($B$33:$AA$80,MATCH($C99,$AE$33:$AE$80,0),MATCH(D$86,$B$32:$AA$32,0)),0)</f>
        <v>2</v>
      </c>
      <c r="E99" s="19">
        <f>IFERROR(INDEX($B$33:$AA$80,MATCH($C99,$AE$33:$AE$80,0),MATCH(E$86,$B$32:$AA$32,0)),0)</f>
        <v>0</v>
      </c>
      <c r="F99" s="19">
        <f>IFERROR(INDEX($B$33:$AA$80,MATCH($C99,$AE$33:$AE$80,0),MATCH(F$86,$B$32:$AA$32,0)),0)</f>
        <v>0</v>
      </c>
      <c r="G99" s="19">
        <f>IFERROR(INDEX($B$33:$AA$80,MATCH($C99,$AE$33:$AE$80,0),MATCH(G$86,$B$32:$AA$32,0)),0)</f>
        <v>0</v>
      </c>
      <c r="H99" s="19">
        <f>IFERROR(INDEX($B$33:$AA$80,MATCH($C99,$AE$33:$AE$80,0),MATCH(H$86,$B$32:$AA$32,0)),0)</f>
        <v>10</v>
      </c>
      <c r="I99" s="19">
        <f>IFERROR(INDEX($B$33:$AA$80,MATCH($C99,$AE$33:$AE$80,0),MATCH(I$86,$B$32:$AA$32,0)),0)</f>
        <v>3</v>
      </c>
      <c r="J99" s="19">
        <f>IFERROR(INDEX($B$33:$AA$80,MATCH($C99,$AE$33:$AE$80,0),MATCH(J$86,$B$32:$AA$32,0)),0)</f>
        <v>0</v>
      </c>
      <c r="K99" s="19">
        <f>IFERROR(INDEX($B$33:$AA$80,MATCH($C99,$AE$33:$AE$80,0),MATCH(K$86,$B$32:$AA$32,0)),0)</f>
        <v>0</v>
      </c>
      <c r="L99" s="19">
        <f>IFERROR(INDEX($B$33:$AA$80,MATCH($C99,$AE$33:$AE$80,0),MATCH(L$86,$B$32:$AA$32,0)),0)</f>
        <v>0</v>
      </c>
      <c r="M99" s="19">
        <f>IFERROR(INDEX($B$33:$AA$80,MATCH($C99,$AE$33:$AE$80,0),MATCH(M$86,$B$32:$AA$32,0)),0)</f>
        <v>0</v>
      </c>
      <c r="N99" s="19">
        <f>IFERROR(INDEX($B$33:$AA$80,MATCH($C99,$AE$33:$AE$80,0),MATCH(N$86,$B$32:$AA$32,0)),0)</f>
        <v>3</v>
      </c>
      <c r="O99" s="19">
        <f>IFERROR(INDEX($B$33:$AA$80,MATCH($C99,$AE$33:$AE$80,0),MATCH(O$86,$B$32:$AA$32,0)),0)</f>
        <v>0</v>
      </c>
      <c r="P99" s="19">
        <f>IFERROR(INDEX($B$33:$AA$80,MATCH($C99,$AE$33:$AE$80,0),MATCH(P$86,$B$32:$AA$32,0)),0)</f>
        <v>3</v>
      </c>
      <c r="Q99" s="19">
        <f>IFERROR(INDEX($B$33:$AA$80,MATCH($C99,$AE$33:$AE$80,0),MATCH(Q$86,$B$32:$AA$32,0)),0)</f>
        <v>0</v>
      </c>
      <c r="R99" s="19">
        <f>IFERROR(INDEX($B$33:$AA$80,MATCH($C99,$AE$33:$AE$80,0),MATCH(R$86,$B$32:$AA$32,0)),0)</f>
        <v>5</v>
      </c>
      <c r="S99" s="19">
        <f>IFERROR(INDEX($B$33:$AA$80,MATCH($C99,$AE$33:$AE$80,0),MATCH(S$86,$B$32:$AA$32,0)),0)</f>
        <v>0</v>
      </c>
      <c r="T99" s="19">
        <f>IFERROR(INDEX($B$33:$AA$80,MATCH($C99,$AE$33:$AE$80,0),MATCH(T$86,$B$32:$AA$32,0)),0)</f>
        <v>0</v>
      </c>
      <c r="U99" s="19">
        <f>IFERROR(INDEX($B$33:$AA$80,MATCH($C99,$AE$33:$AE$80,0),MATCH(U$86,$B$32:$AA$32,0)),0)</f>
        <v>0</v>
      </c>
      <c r="V99" s="19">
        <f>IFERROR(INDEX($B$33:$AA$80,MATCH($C99,$AE$33:$AE$80,0),MATCH(V$86,$B$32:$AA$32,0)),0)</f>
        <v>1</v>
      </c>
      <c r="W99" s="19">
        <f>IFERROR(INDEX($B$33:$AA$80,MATCH($C99,$AE$33:$AE$80,0),MATCH(W$86,$B$32:$AA$32,0)),0)</f>
        <v>1</v>
      </c>
      <c r="X99" s="19">
        <f>IFERROR(INDEX($B$33:$AA$80,MATCH($C99,$AE$33:$AE$80,0),MATCH(X$86,$B$32:$AA$32,0)),0)</f>
        <v>0</v>
      </c>
      <c r="Y99" s="19">
        <f>IFERROR(INDEX($B$33:$AA$80,MATCH($C99,$AE$33:$AE$80,0),MATCH(Y$86,$B$32:$AA$32,0)),0)</f>
        <v>0</v>
      </c>
      <c r="Z99" s="19">
        <f>IFERROR(INDEX($B$33:$AA$80,MATCH($C99,$AE$33:$AE$80,0),MATCH(Z$86,$B$32:$AA$32,0)),0)</f>
        <v>0</v>
      </c>
      <c r="AA99" s="19">
        <f>IFERROR(INDEX($B$33:$AA$80,MATCH($C99,$AE$33:$AE$80,0),MATCH(AA$86,$B$32:$AA$32,0)),0)</f>
        <v>0</v>
      </c>
      <c r="AB99" s="19">
        <f>IFERROR(INDEX($B$33:$AA$80,MATCH($C99,$AE$33:$AE$80,0),MATCH(AB$86,$B$32:$AA$32,0)),0)</f>
        <v>0</v>
      </c>
      <c r="AC99" s="19">
        <f>IFERROR(INDEX($B$33:$AA$80,MATCH($C99,$AE$33:$AE$80,0),MATCH(AC$86,$B$32:$AA$32,0)),0)</f>
        <v>2</v>
      </c>
      <c r="AD99" s="2">
        <f>SUM($D99:$AC99)</f>
        <v>30</v>
      </c>
      <c r="AE99" s="2">
        <f>IFERROR(N(INDEX(EMBELISHMENT!$B$29:$AQ$29,MATCH($C99,EMBELISHMENT!$B$1:$AQ$1,0))),0)</f>
        <v>2000</v>
      </c>
      <c r="AF99" s="2" t="str">
        <f>IF($B99="","NO WORK PAINTED ON BOARD",IF($AG99="VACANT","VACANT (no style)",IF($C99="(no recipe)","NO RECIPE IN EMBLISHMENT",IF(ISNA(MATCH($C99,EMBELISHMENT!$B$1:$AQ$1,0)),"RECIPE NOT FOUND",IF($AD99=0,"ZERO M/C","OK")))))</f>
        <v>OK</v>
      </c>
      <c r="AG99" s="14" t="str">
        <f>IFERROR(INDEX($M$5:$M$28,MATCH($B99,$K$5:$K$28,0)),"STYLE")</f>
        <v>STYLE</v>
      </c>
      <c r="AH99" s="2" t="str">
        <f>IFERROR(IF(INDEX($AG$33:$AG$80,MATCH($B99,$A$33:$A$80,0))="","(not set)",INDEX($AG$33:$AG$80,MATCH($B99,$A$33:$A$80,0))),"(not set)")</f>
        <v>BRIEF</v>
      </c>
    </row>
    <row r="100" spans="1:34">
      <c r="A100" s="19">
        <f>'LINE PLAN'!$A$19</f>
        <v>14</v>
      </c>
      <c r="B100" s="54">
        <f>IFERROR(IF(INDEX('LINE PLAN'!$B$36:$GS$61,MATCH($A100,'LINE PLAN'!$A$36:$A$61,0),MATCH(WORKINGS!$B$75,'LINE PLAN'!$B$35:$GS$35,0))="","",INDEX('LINE PLAN'!$B$36:$GS$61,MATCH($A100,'LINE PLAN'!$A$36:$A$61,0),MATCH(WORKINGS!$B$75,'LINE PLAN'!$B$35:$GS$35,0))),"")</f>
        <v>6137</v>
      </c>
      <c r="C100" s="19">
        <f>IFERROR(IF(INDEX($L$5:$L$28,MATCH($B100,$K$5:$K$28,0))="","(no recipe)",INDEX($L$5:$L$28,MATCH($B100,$K$5:$K$28,0))),$B100)</f>
        <v>6137</v>
      </c>
      <c r="D100" s="19">
        <f>IFERROR(INDEX($B$33:$AA$80,MATCH($C100,$AE$33:$AE$80,0),MATCH(D$86,$B$32:$AA$32,0)),0)</f>
        <v>4</v>
      </c>
      <c r="E100" s="19">
        <f>IFERROR(INDEX($B$33:$AA$80,MATCH($C100,$AE$33:$AE$80,0),MATCH(E$86,$B$32:$AA$32,0)),0)</f>
        <v>0</v>
      </c>
      <c r="F100" s="19">
        <f>IFERROR(INDEX($B$33:$AA$80,MATCH($C100,$AE$33:$AE$80,0),MATCH(F$86,$B$32:$AA$32,0)),0)</f>
        <v>0</v>
      </c>
      <c r="G100" s="19">
        <f>IFERROR(INDEX($B$33:$AA$80,MATCH($C100,$AE$33:$AE$80,0),MATCH(G$86,$B$32:$AA$32,0)),0)</f>
        <v>0</v>
      </c>
      <c r="H100" s="19">
        <f>IFERROR(INDEX($B$33:$AA$80,MATCH($C100,$AE$33:$AE$80,0),MATCH(H$86,$B$32:$AA$32,0)),0)</f>
        <v>13</v>
      </c>
      <c r="I100" s="19">
        <f>IFERROR(INDEX($B$33:$AA$80,MATCH($C100,$AE$33:$AE$80,0),MATCH(I$86,$B$32:$AA$32,0)),0)</f>
        <v>3</v>
      </c>
      <c r="J100" s="19">
        <f>IFERROR(INDEX($B$33:$AA$80,MATCH($C100,$AE$33:$AE$80,0),MATCH(J$86,$B$32:$AA$32,0)),0)</f>
        <v>0</v>
      </c>
      <c r="K100" s="19">
        <f>IFERROR(INDEX($B$33:$AA$80,MATCH($C100,$AE$33:$AE$80,0),MATCH(K$86,$B$32:$AA$32,0)),0)</f>
        <v>0</v>
      </c>
      <c r="L100" s="19">
        <f>IFERROR(INDEX($B$33:$AA$80,MATCH($C100,$AE$33:$AE$80,0),MATCH(L$86,$B$32:$AA$32,0)),0)</f>
        <v>0</v>
      </c>
      <c r="M100" s="19">
        <f>IFERROR(INDEX($B$33:$AA$80,MATCH($C100,$AE$33:$AE$80,0),MATCH(M$86,$B$32:$AA$32,0)),0)</f>
        <v>0</v>
      </c>
      <c r="N100" s="19">
        <f>IFERROR(INDEX($B$33:$AA$80,MATCH($C100,$AE$33:$AE$80,0),MATCH(N$86,$B$32:$AA$32,0)),0)</f>
        <v>3</v>
      </c>
      <c r="O100" s="19">
        <f>IFERROR(INDEX($B$33:$AA$80,MATCH($C100,$AE$33:$AE$80,0),MATCH(O$86,$B$32:$AA$32,0)),0)</f>
        <v>0</v>
      </c>
      <c r="P100" s="19">
        <f>IFERROR(INDEX($B$33:$AA$80,MATCH($C100,$AE$33:$AE$80,0),MATCH(P$86,$B$32:$AA$32,0)),0)</f>
        <v>3</v>
      </c>
      <c r="Q100" s="19">
        <f>IFERROR(INDEX($B$33:$AA$80,MATCH($C100,$AE$33:$AE$80,0),MATCH(Q$86,$B$32:$AA$32,0)),0)</f>
        <v>0</v>
      </c>
      <c r="R100" s="19">
        <f>IFERROR(INDEX($B$33:$AA$80,MATCH($C100,$AE$33:$AE$80,0),MATCH(R$86,$B$32:$AA$32,0)),0)</f>
        <v>0</v>
      </c>
      <c r="S100" s="19">
        <f>IFERROR(INDEX($B$33:$AA$80,MATCH($C100,$AE$33:$AE$80,0),MATCH(S$86,$B$32:$AA$32,0)),0)</f>
        <v>0</v>
      </c>
      <c r="T100" s="19">
        <f>IFERROR(INDEX($B$33:$AA$80,MATCH($C100,$AE$33:$AE$80,0),MATCH(T$86,$B$32:$AA$32,0)),0)</f>
        <v>0</v>
      </c>
      <c r="U100" s="19">
        <f>IFERROR(INDEX($B$33:$AA$80,MATCH($C100,$AE$33:$AE$80,0),MATCH(U$86,$B$32:$AA$32,0)),0)</f>
        <v>0</v>
      </c>
      <c r="V100" s="19">
        <f>IFERROR(INDEX($B$33:$AA$80,MATCH($C100,$AE$33:$AE$80,0),MATCH(V$86,$B$32:$AA$32,0)),0)</f>
        <v>0</v>
      </c>
      <c r="W100" s="19">
        <f>IFERROR(INDEX($B$33:$AA$80,MATCH($C100,$AE$33:$AE$80,0),MATCH(W$86,$B$32:$AA$32,0)),0)</f>
        <v>1</v>
      </c>
      <c r="X100" s="19">
        <f>IFERROR(INDEX($B$33:$AA$80,MATCH($C100,$AE$33:$AE$80,0),MATCH(X$86,$B$32:$AA$32,0)),0)</f>
        <v>0</v>
      </c>
      <c r="Y100" s="19">
        <f>IFERROR(INDEX($B$33:$AA$80,MATCH($C100,$AE$33:$AE$80,0),MATCH(Y$86,$B$32:$AA$32,0)),0)</f>
        <v>0</v>
      </c>
      <c r="Z100" s="19">
        <f>IFERROR(INDEX($B$33:$AA$80,MATCH($C100,$AE$33:$AE$80,0),MATCH(Z$86,$B$32:$AA$32,0)),0)</f>
        <v>0</v>
      </c>
      <c r="AA100" s="19">
        <f>IFERROR(INDEX($B$33:$AA$80,MATCH($C100,$AE$33:$AE$80,0),MATCH(AA$86,$B$32:$AA$32,0)),0)</f>
        <v>0</v>
      </c>
      <c r="AB100" s="19">
        <f>IFERROR(INDEX($B$33:$AA$80,MATCH($C100,$AE$33:$AE$80,0),MATCH(AB$86,$B$32:$AA$32,0)),0)</f>
        <v>0</v>
      </c>
      <c r="AC100" s="19">
        <f>IFERROR(INDEX($B$33:$AA$80,MATCH($C100,$AE$33:$AE$80,0),MATCH(AC$86,$B$32:$AA$32,0)),0)</f>
        <v>2</v>
      </c>
      <c r="AD100" s="2">
        <f>SUM($D100:$AC100)</f>
        <v>29</v>
      </c>
      <c r="AE100" s="2">
        <f>IFERROR(N(INDEX(EMBELISHMENT!$B$29:$AQ$29,MATCH($C100,EMBELISHMENT!$B$1:$AQ$1,0))),0)</f>
        <v>3500</v>
      </c>
      <c r="AF100" s="2" t="str">
        <f>IF($B100="","NO WORK PAINTED ON BOARD",IF($AG100="VACANT","VACANT (no style)",IF($C100="(no recipe)","NO RECIPE IN EMBLISHMENT",IF(ISNA(MATCH($C100,EMBELISHMENT!$B$1:$AQ$1,0)),"RECIPE NOT FOUND",IF($AD100=0,"ZERO M/C","OK")))))</f>
        <v>OK</v>
      </c>
      <c r="AG100" s="14" t="str">
        <f>IFERROR(INDEX($M$5:$M$28,MATCH($B100,$K$5:$K$28,0)),"STYLE")</f>
        <v>STYLE</v>
      </c>
      <c r="AH100" s="2" t="str">
        <f>IFERROR(IF(INDEX($AG$33:$AG$80,MATCH($B100,$A$33:$A$80,0))="","(not set)",INDEX($AG$33:$AG$80,MATCH($B100,$A$33:$A$80,0))),"(not set)")</f>
        <v>BRIEF</v>
      </c>
    </row>
    <row r="101" spans="1:34">
      <c r="A101" s="19">
        <f>'LINE PLAN'!$A$20</f>
        <v>15</v>
      </c>
      <c r="B101" s="54">
        <f>IFERROR(IF(INDEX('LINE PLAN'!$B$36:$GS$61,MATCH($A101,'LINE PLAN'!$A$36:$A$61,0),MATCH(WORKINGS!$B$75,'LINE PLAN'!$B$35:$GS$35,0))="","",INDEX('LINE PLAN'!$B$36:$GS$61,MATCH($A101,'LINE PLAN'!$A$36:$A$61,0),MATCH(WORKINGS!$B$75,'LINE PLAN'!$B$35:$GS$35,0))),"")</f>
        <v>6135</v>
      </c>
      <c r="C101" s="19">
        <f>IFERROR(IF(INDEX($L$5:$L$28,MATCH($B101,$K$5:$K$28,0))="","(no recipe)",INDEX($L$5:$L$28,MATCH($B101,$K$5:$K$28,0))),$B101)</f>
        <v>6135</v>
      </c>
      <c r="D101" s="19">
        <f>IFERROR(INDEX($B$33:$AA$80,MATCH($C101,$AE$33:$AE$80,0),MATCH(D$86,$B$32:$AA$32,0)),0)</f>
        <v>6</v>
      </c>
      <c r="E101" s="19">
        <f>IFERROR(INDEX($B$33:$AA$80,MATCH($C101,$AE$33:$AE$80,0),MATCH(E$86,$B$32:$AA$32,0)),0)</f>
        <v>0</v>
      </c>
      <c r="F101" s="19">
        <f>IFERROR(INDEX($B$33:$AA$80,MATCH($C101,$AE$33:$AE$80,0),MATCH(F$86,$B$32:$AA$32,0)),0)</f>
        <v>0</v>
      </c>
      <c r="G101" s="19">
        <f>IFERROR(INDEX($B$33:$AA$80,MATCH($C101,$AE$33:$AE$80,0),MATCH(G$86,$B$32:$AA$32,0)),0)</f>
        <v>0</v>
      </c>
      <c r="H101" s="19">
        <f>IFERROR(INDEX($B$33:$AA$80,MATCH($C101,$AE$33:$AE$80,0),MATCH(H$86,$B$32:$AA$32,0)),0)</f>
        <v>14</v>
      </c>
      <c r="I101" s="19">
        <f>IFERROR(INDEX($B$33:$AA$80,MATCH($C101,$AE$33:$AE$80,0),MATCH(I$86,$B$32:$AA$32,0)),0)</f>
        <v>3</v>
      </c>
      <c r="J101" s="19">
        <f>IFERROR(INDEX($B$33:$AA$80,MATCH($C101,$AE$33:$AE$80,0),MATCH(J$86,$B$32:$AA$32,0)),0)</f>
        <v>0</v>
      </c>
      <c r="K101" s="19">
        <f>IFERROR(INDEX($B$33:$AA$80,MATCH($C101,$AE$33:$AE$80,0),MATCH(K$86,$B$32:$AA$32,0)),0)</f>
        <v>3</v>
      </c>
      <c r="L101" s="19">
        <f>IFERROR(INDEX($B$33:$AA$80,MATCH($C101,$AE$33:$AE$80,0),MATCH(L$86,$B$32:$AA$32,0)),0)</f>
        <v>0</v>
      </c>
      <c r="M101" s="19">
        <f>IFERROR(INDEX($B$33:$AA$80,MATCH($C101,$AE$33:$AE$80,0),MATCH(M$86,$B$32:$AA$32,0)),0)</f>
        <v>0</v>
      </c>
      <c r="N101" s="19">
        <f>IFERROR(INDEX($B$33:$AA$80,MATCH($C101,$AE$33:$AE$80,0),MATCH(N$86,$B$32:$AA$32,0)),0)</f>
        <v>5.5</v>
      </c>
      <c r="O101" s="19">
        <f>IFERROR(INDEX($B$33:$AA$80,MATCH($C101,$AE$33:$AE$80,0),MATCH(O$86,$B$32:$AA$32,0)),0)</f>
        <v>0</v>
      </c>
      <c r="P101" s="19">
        <f>IFERROR(INDEX($B$33:$AA$80,MATCH($C101,$AE$33:$AE$80,0),MATCH(P$86,$B$32:$AA$32,0)),0)</f>
        <v>0</v>
      </c>
      <c r="Q101" s="19">
        <f>IFERROR(INDEX($B$33:$AA$80,MATCH($C101,$AE$33:$AE$80,0),MATCH(Q$86,$B$32:$AA$32,0)),0)</f>
        <v>0</v>
      </c>
      <c r="R101" s="19">
        <f>IFERROR(INDEX($B$33:$AA$80,MATCH($C101,$AE$33:$AE$80,0),MATCH(R$86,$B$32:$AA$32,0)),0)</f>
        <v>0</v>
      </c>
      <c r="S101" s="19">
        <f>IFERROR(INDEX($B$33:$AA$80,MATCH($C101,$AE$33:$AE$80,0),MATCH(S$86,$B$32:$AA$32,0)),0)</f>
        <v>0</v>
      </c>
      <c r="T101" s="19">
        <f>IFERROR(INDEX($B$33:$AA$80,MATCH($C101,$AE$33:$AE$80,0),MATCH(T$86,$B$32:$AA$32,0)),0)</f>
        <v>0</v>
      </c>
      <c r="U101" s="19">
        <f>IFERROR(INDEX($B$33:$AA$80,MATCH($C101,$AE$33:$AE$80,0),MATCH(U$86,$B$32:$AA$32,0)),0)</f>
        <v>0</v>
      </c>
      <c r="V101" s="19">
        <f>IFERROR(INDEX($B$33:$AA$80,MATCH($C101,$AE$33:$AE$80,0),MATCH(V$86,$B$32:$AA$32,0)),0)</f>
        <v>0</v>
      </c>
      <c r="W101" s="19">
        <f>IFERROR(INDEX($B$33:$AA$80,MATCH($C101,$AE$33:$AE$80,0),MATCH(W$86,$B$32:$AA$32,0)),0)</f>
        <v>1</v>
      </c>
      <c r="X101" s="19">
        <f>IFERROR(INDEX($B$33:$AA$80,MATCH($C101,$AE$33:$AE$80,0),MATCH(X$86,$B$32:$AA$32,0)),0)</f>
        <v>0</v>
      </c>
      <c r="Y101" s="19">
        <f>IFERROR(INDEX($B$33:$AA$80,MATCH($C101,$AE$33:$AE$80,0),MATCH(Y$86,$B$32:$AA$32,0)),0)</f>
        <v>0</v>
      </c>
      <c r="Z101" s="19">
        <f>IFERROR(INDEX($B$33:$AA$80,MATCH($C101,$AE$33:$AE$80,0),MATCH(Z$86,$B$32:$AA$32,0)),0)</f>
        <v>0</v>
      </c>
      <c r="AA101" s="19">
        <f>IFERROR(INDEX($B$33:$AA$80,MATCH($C101,$AE$33:$AE$80,0),MATCH(AA$86,$B$32:$AA$32,0)),0)</f>
        <v>0</v>
      </c>
      <c r="AB101" s="19">
        <f>IFERROR(INDEX($B$33:$AA$80,MATCH($C101,$AE$33:$AE$80,0),MATCH(AB$86,$B$32:$AA$32,0)),0)</f>
        <v>0</v>
      </c>
      <c r="AC101" s="19">
        <f>IFERROR(INDEX($B$33:$AA$80,MATCH($C101,$AE$33:$AE$80,0),MATCH(AC$86,$B$32:$AA$32,0)),0)</f>
        <v>1</v>
      </c>
      <c r="AD101" s="2">
        <f>SUM($D101:$AC101)</f>
        <v>33.5</v>
      </c>
      <c r="AE101" s="2">
        <f>IFERROR(N(INDEX(EMBELISHMENT!$B$29:$AQ$29,MATCH($C101,EMBELISHMENT!$B$1:$AQ$1,0))),0)</f>
        <v>3500</v>
      </c>
      <c r="AF101" s="2" t="str">
        <f>IF($B101="","NO WORK PAINTED ON BOARD",IF($AG101="VACANT","VACANT (no style)",IF($C101="(no recipe)","NO RECIPE IN EMBLISHMENT",IF(ISNA(MATCH($C101,EMBELISHMENT!$B$1:$AQ$1,0)),"RECIPE NOT FOUND",IF($AD101=0,"ZERO M/C","OK")))))</f>
        <v>OK</v>
      </c>
      <c r="AG101" s="14" t="str">
        <f>IFERROR(INDEX($M$5:$M$28,MATCH($B101,$K$5:$K$28,0)),"STYLE")</f>
        <v>STYLE</v>
      </c>
      <c r="AH101" s="2" t="str">
        <f>IFERROR(IF(INDEX($AG$33:$AG$80,MATCH($B101,$A$33:$A$80,0))="","(not set)",INDEX($AG$33:$AG$80,MATCH($B101,$A$33:$A$80,0))),"(not set)")</f>
        <v>BRIEF</v>
      </c>
    </row>
    <row r="102" spans="1:34">
      <c r="A102" s="19">
        <f>'LINE PLAN'!$A$21</f>
        <v>16</v>
      </c>
      <c r="B102" s="54" t="str">
        <f>IFERROR(IF(INDEX('LINE PLAN'!$B$36:$GS$61,MATCH($A102,'LINE PLAN'!$A$36:$A$61,0),MATCH(WORKINGS!$B$75,'LINE PLAN'!$B$35:$GS$35,0))="","",INDEX('LINE PLAN'!$B$36:$GS$61,MATCH($A102,'LINE PLAN'!$A$36:$A$61,0),MATCH(WORKINGS!$B$75,'LINE PLAN'!$B$35:$GS$35,0))),"")</f>
        <v>4406/10</v>
      </c>
      <c r="C102" s="19" t="str">
        <f>IFERROR(IF(INDEX($L$5:$L$28,MATCH($B102,$K$5:$K$28,0))="","(no recipe)",INDEX($L$5:$L$28,MATCH($B102,$K$5:$K$28,0))),$B102)</f>
        <v>Panty</v>
      </c>
      <c r="D102" s="19">
        <f>IFERROR(INDEX($B$33:$AA$80,MATCH($C102,$AE$33:$AE$80,0),MATCH(D$86,$B$32:$AA$32,0)),0)</f>
        <v>4</v>
      </c>
      <c r="E102" s="19">
        <f>IFERROR(INDEX($B$33:$AA$80,MATCH($C102,$AE$33:$AE$80,0),MATCH(E$86,$B$32:$AA$32,0)),0)</f>
        <v>0</v>
      </c>
      <c r="F102" s="19">
        <f>IFERROR(INDEX($B$33:$AA$80,MATCH($C102,$AE$33:$AE$80,0),MATCH(F$86,$B$32:$AA$32,0)),0)</f>
        <v>0</v>
      </c>
      <c r="G102" s="19">
        <f>IFERROR(INDEX($B$33:$AA$80,MATCH($C102,$AE$33:$AE$80,0),MATCH(G$86,$B$32:$AA$32,0)),0)</f>
        <v>0</v>
      </c>
      <c r="H102" s="19">
        <f>IFERROR(INDEX($B$33:$AA$80,MATCH($C102,$AE$33:$AE$80,0),MATCH(H$86,$B$32:$AA$32,0)),0)</f>
        <v>10</v>
      </c>
      <c r="I102" s="19">
        <f>IFERROR(INDEX($B$33:$AA$80,MATCH($C102,$AE$33:$AE$80,0),MATCH(I$86,$B$32:$AA$32,0)),0)</f>
        <v>4</v>
      </c>
      <c r="J102" s="19">
        <f>IFERROR(INDEX($B$33:$AA$80,MATCH($C102,$AE$33:$AE$80,0),MATCH(J$86,$B$32:$AA$32,0)),0)</f>
        <v>0</v>
      </c>
      <c r="K102" s="19">
        <f>IFERROR(INDEX($B$33:$AA$80,MATCH($C102,$AE$33:$AE$80,0),MATCH(K$86,$B$32:$AA$32,0)),0)</f>
        <v>0</v>
      </c>
      <c r="L102" s="19">
        <f>IFERROR(INDEX($B$33:$AA$80,MATCH($C102,$AE$33:$AE$80,0),MATCH(L$86,$B$32:$AA$32,0)),0)</f>
        <v>0</v>
      </c>
      <c r="M102" s="19">
        <f>IFERROR(INDEX($B$33:$AA$80,MATCH($C102,$AE$33:$AE$80,0),MATCH(M$86,$B$32:$AA$32,0)),0)</f>
        <v>4</v>
      </c>
      <c r="N102" s="19">
        <f>IFERROR(INDEX($B$33:$AA$80,MATCH($C102,$AE$33:$AE$80,0),MATCH(N$86,$B$32:$AA$32,0)),0)</f>
        <v>4</v>
      </c>
      <c r="O102" s="19">
        <f>IFERROR(INDEX($B$33:$AA$80,MATCH($C102,$AE$33:$AE$80,0),MATCH(O$86,$B$32:$AA$32,0)),0)</f>
        <v>0</v>
      </c>
      <c r="P102" s="19">
        <f>IFERROR(INDEX($B$33:$AA$80,MATCH($C102,$AE$33:$AE$80,0),MATCH(P$86,$B$32:$AA$32,0)),0)</f>
        <v>0</v>
      </c>
      <c r="Q102" s="19">
        <f>IFERROR(INDEX($B$33:$AA$80,MATCH($C102,$AE$33:$AE$80,0),MATCH(Q$86,$B$32:$AA$32,0)),0)</f>
        <v>0</v>
      </c>
      <c r="R102" s="19">
        <f>IFERROR(INDEX($B$33:$AA$80,MATCH($C102,$AE$33:$AE$80,0),MATCH(R$86,$B$32:$AA$32,0)),0)</f>
        <v>0</v>
      </c>
      <c r="S102" s="19">
        <f>IFERROR(INDEX($B$33:$AA$80,MATCH($C102,$AE$33:$AE$80,0),MATCH(S$86,$B$32:$AA$32,0)),0)</f>
        <v>0</v>
      </c>
      <c r="T102" s="19">
        <f>IFERROR(INDEX($B$33:$AA$80,MATCH($C102,$AE$33:$AE$80,0),MATCH(T$86,$B$32:$AA$32,0)),0)</f>
        <v>0</v>
      </c>
      <c r="U102" s="19">
        <f>IFERROR(INDEX($B$33:$AA$80,MATCH($C102,$AE$33:$AE$80,0),MATCH(U$86,$B$32:$AA$32,0)),0)</f>
        <v>0</v>
      </c>
      <c r="V102" s="19">
        <f>IFERROR(INDEX($B$33:$AA$80,MATCH($C102,$AE$33:$AE$80,0),MATCH(V$86,$B$32:$AA$32,0)),0)</f>
        <v>0</v>
      </c>
      <c r="W102" s="19">
        <f>IFERROR(INDEX($B$33:$AA$80,MATCH($C102,$AE$33:$AE$80,0),MATCH(W$86,$B$32:$AA$32,0)),0)</f>
        <v>2</v>
      </c>
      <c r="X102" s="19">
        <f>IFERROR(INDEX($B$33:$AA$80,MATCH($C102,$AE$33:$AE$80,0),MATCH(X$86,$B$32:$AA$32,0)),0)</f>
        <v>0</v>
      </c>
      <c r="Y102" s="19">
        <f>IFERROR(INDEX($B$33:$AA$80,MATCH($C102,$AE$33:$AE$80,0),MATCH(Y$86,$B$32:$AA$32,0)),0)</f>
        <v>0</v>
      </c>
      <c r="Z102" s="19">
        <f>IFERROR(INDEX($B$33:$AA$80,MATCH($C102,$AE$33:$AE$80,0),MATCH(Z$86,$B$32:$AA$32,0)),0)</f>
        <v>0</v>
      </c>
      <c r="AA102" s="19">
        <f>IFERROR(INDEX($B$33:$AA$80,MATCH($C102,$AE$33:$AE$80,0),MATCH(AA$86,$B$32:$AA$32,0)),0)</f>
        <v>1.5</v>
      </c>
      <c r="AB102" s="19">
        <f>IFERROR(INDEX($B$33:$AA$80,MATCH($C102,$AE$33:$AE$80,0),MATCH(AB$86,$B$32:$AA$32,0)),0)</f>
        <v>0</v>
      </c>
      <c r="AC102" s="19">
        <f>IFERROR(INDEX($B$33:$AA$80,MATCH($C102,$AE$33:$AE$80,0),MATCH(AC$86,$B$32:$AA$32,0)),0)</f>
        <v>0</v>
      </c>
      <c r="AD102" s="2">
        <f>SUM($D102:$AC102)</f>
        <v>29.5</v>
      </c>
      <c r="AE102" s="2">
        <f>IFERROR(N(INDEX(EMBELISHMENT!$B$29:$AQ$29,MATCH($C102,EMBELISHMENT!$B$1:$AQ$1,0))),0)</f>
        <v>5000</v>
      </c>
      <c r="AF102" s="2" t="str">
        <f>IF($B102="","NO WORK PAINTED ON BOARD",IF($AG102="VACANT","VACANT (no style)",IF($C102="(no recipe)","NO RECIPE IN EMBLISHMENT",IF(ISNA(MATCH($C102,EMBELISHMENT!$B$1:$AQ$1,0)),"RECIPE NOT FOUND",IF($AD102=0,"ZERO M/C","OK")))))</f>
        <v>OK</v>
      </c>
      <c r="AG102" s="14" t="str">
        <f>IFERROR(INDEX($M$5:$M$28,MATCH($B102,$K$5:$K$28,0)),"STYLE")</f>
        <v>STYLE</v>
      </c>
      <c r="AH102" s="2" t="str">
        <f>IFERROR(IF(INDEX($AG$33:$AG$80,MATCH($B102,$A$33:$A$80,0))="","(not set)",INDEX($AG$33:$AG$80,MATCH($B102,$A$33:$A$80,0))),"(not set)")</f>
        <v>PANTY</v>
      </c>
    </row>
    <row r="103" spans="1:34">
      <c r="A103" s="19">
        <f>'LINE PLAN'!$A$22</f>
        <v>17</v>
      </c>
      <c r="B103" s="54">
        <f>IFERROR(IF(INDEX('LINE PLAN'!$B$36:$GS$61,MATCH($A103,'LINE PLAN'!$A$36:$A$61,0),MATCH(WORKINGS!$B$75,'LINE PLAN'!$B$35:$GS$35,0))="","",INDEX('LINE PLAN'!$B$36:$GS$61,MATCH($A103,'LINE PLAN'!$A$36:$A$61,0),MATCH(WORKINGS!$B$75,'LINE PLAN'!$B$35:$GS$35,0))),"")</f>
        <v>4117</v>
      </c>
      <c r="C103" s="19">
        <f>IFERROR(IF(INDEX($L$5:$L$28,MATCH($B103,$K$5:$K$28,0))="","(no recipe)",INDEX($L$5:$L$28,MATCH($B103,$K$5:$K$28,0))),$B103)</f>
        <v>4117</v>
      </c>
      <c r="D103" s="19">
        <f>IFERROR(INDEX($B$33:$AA$80,MATCH($C103,$AE$33:$AE$80,0),MATCH(D$86,$B$32:$AA$32,0)),0)</f>
        <v>6</v>
      </c>
      <c r="E103" s="19">
        <f>IFERROR(INDEX($B$33:$AA$80,MATCH($C103,$AE$33:$AE$80,0),MATCH(E$86,$B$32:$AA$32,0)),0)</f>
        <v>0</v>
      </c>
      <c r="F103" s="19">
        <f>IFERROR(INDEX($B$33:$AA$80,MATCH($C103,$AE$33:$AE$80,0),MATCH(F$86,$B$32:$AA$32,0)),0)</f>
        <v>0</v>
      </c>
      <c r="G103" s="19">
        <f>IFERROR(INDEX($B$33:$AA$80,MATCH($C103,$AE$33:$AE$80,0),MATCH(G$86,$B$32:$AA$32,0)),0)</f>
        <v>0</v>
      </c>
      <c r="H103" s="19">
        <f>IFERROR(INDEX($B$33:$AA$80,MATCH($C103,$AE$33:$AE$80,0),MATCH(H$86,$B$32:$AA$32,0)),0)</f>
        <v>8</v>
      </c>
      <c r="I103" s="19">
        <f>IFERROR(INDEX($B$33:$AA$80,MATCH($C103,$AE$33:$AE$80,0),MATCH(I$86,$B$32:$AA$32,0)),0)</f>
        <v>0</v>
      </c>
      <c r="J103" s="19">
        <f>IFERROR(INDEX($B$33:$AA$80,MATCH($C103,$AE$33:$AE$80,0),MATCH(J$86,$B$32:$AA$32,0)),0)</f>
        <v>0</v>
      </c>
      <c r="K103" s="19">
        <f>IFERROR(INDEX($B$33:$AA$80,MATCH($C103,$AE$33:$AE$80,0),MATCH(K$86,$B$32:$AA$32,0)),0)</f>
        <v>4</v>
      </c>
      <c r="L103" s="19">
        <f>IFERROR(INDEX($B$33:$AA$80,MATCH($C103,$AE$33:$AE$80,0),MATCH(L$86,$B$32:$AA$32,0)),0)</f>
        <v>1</v>
      </c>
      <c r="M103" s="19">
        <f>IFERROR(INDEX($B$33:$AA$80,MATCH($C103,$AE$33:$AE$80,0),MATCH(M$86,$B$32:$AA$32,0)),0)</f>
        <v>0</v>
      </c>
      <c r="N103" s="19">
        <f>IFERROR(INDEX($B$33:$AA$80,MATCH($C103,$AE$33:$AE$80,0),MATCH(N$86,$B$32:$AA$32,0)),0)</f>
        <v>0</v>
      </c>
      <c r="O103" s="19">
        <f>IFERROR(INDEX($B$33:$AA$80,MATCH($C103,$AE$33:$AE$80,0),MATCH(O$86,$B$32:$AA$32,0)),0)</f>
        <v>3</v>
      </c>
      <c r="P103" s="19">
        <f>IFERROR(INDEX($B$33:$AA$80,MATCH($C103,$AE$33:$AE$80,0),MATCH(P$86,$B$32:$AA$32,0)),0)</f>
        <v>2.5</v>
      </c>
      <c r="Q103" s="19">
        <f>IFERROR(INDEX($B$33:$AA$80,MATCH($C103,$AE$33:$AE$80,0),MATCH(Q$86,$B$32:$AA$32,0)),0)</f>
        <v>1</v>
      </c>
      <c r="R103" s="19">
        <f>IFERROR(INDEX($B$33:$AA$80,MATCH($C103,$AE$33:$AE$80,0),MATCH(R$86,$B$32:$AA$32,0)),0)</f>
        <v>2</v>
      </c>
      <c r="S103" s="19">
        <f>IFERROR(INDEX($B$33:$AA$80,MATCH($C103,$AE$33:$AE$80,0),MATCH(S$86,$B$32:$AA$32,0)),0)</f>
        <v>0</v>
      </c>
      <c r="T103" s="19">
        <f>IFERROR(INDEX($B$33:$AA$80,MATCH($C103,$AE$33:$AE$80,0),MATCH(T$86,$B$32:$AA$32,0)),0)</f>
        <v>0</v>
      </c>
      <c r="U103" s="19">
        <f>IFERROR(INDEX($B$33:$AA$80,MATCH($C103,$AE$33:$AE$80,0),MATCH(U$86,$B$32:$AA$32,0)),0)</f>
        <v>0</v>
      </c>
      <c r="V103" s="19">
        <f>IFERROR(INDEX($B$33:$AA$80,MATCH($C103,$AE$33:$AE$80,0),MATCH(V$86,$B$32:$AA$32,0)),0)</f>
        <v>0</v>
      </c>
      <c r="W103" s="19">
        <f>IFERROR(INDEX($B$33:$AA$80,MATCH($C103,$AE$33:$AE$80,0),MATCH(W$86,$B$32:$AA$32,0)),0)</f>
        <v>1</v>
      </c>
      <c r="X103" s="19">
        <f>IFERROR(INDEX($B$33:$AA$80,MATCH($C103,$AE$33:$AE$80,0),MATCH(X$86,$B$32:$AA$32,0)),0)</f>
        <v>0</v>
      </c>
      <c r="Y103" s="19">
        <f>IFERROR(INDEX($B$33:$AA$80,MATCH($C103,$AE$33:$AE$80,0),MATCH(Y$86,$B$32:$AA$32,0)),0)</f>
        <v>0</v>
      </c>
      <c r="Z103" s="19">
        <f>IFERROR(INDEX($B$33:$AA$80,MATCH($C103,$AE$33:$AE$80,0),MATCH(Z$86,$B$32:$AA$32,0)),0)</f>
        <v>0</v>
      </c>
      <c r="AA103" s="19">
        <f>IFERROR(INDEX($B$33:$AA$80,MATCH($C103,$AE$33:$AE$80,0),MATCH(AA$86,$B$32:$AA$32,0)),0)</f>
        <v>0</v>
      </c>
      <c r="AB103" s="19">
        <f>IFERROR(INDEX($B$33:$AA$80,MATCH($C103,$AE$33:$AE$80,0),MATCH(AB$86,$B$32:$AA$32,0)),0)</f>
        <v>0</v>
      </c>
      <c r="AC103" s="19">
        <f>IFERROR(INDEX($B$33:$AA$80,MATCH($C103,$AE$33:$AE$80,0),MATCH(AC$86,$B$32:$AA$32,0)),0)</f>
        <v>2</v>
      </c>
      <c r="AD103" s="2">
        <f>SUM($D103:$AC103)</f>
        <v>30.5</v>
      </c>
      <c r="AE103" s="2">
        <f>IFERROR(N(INDEX(EMBELISHMENT!$B$29:$AQ$29,MATCH($C103,EMBELISHMENT!$B$1:$AQ$1,0))),0)</f>
        <v>3000</v>
      </c>
      <c r="AF103" s="2" t="str">
        <f>IF($B103="","NO WORK PAINTED ON BOARD",IF($AG103="VACANT","VACANT (no style)",IF($C103="(no recipe)","NO RECIPE IN EMBLISHMENT",IF(ISNA(MATCH($C103,EMBELISHMENT!$B$1:$AQ$1,0)),"RECIPE NOT FOUND",IF($AD103=0,"ZERO M/C","OK")))))</f>
        <v>OK</v>
      </c>
      <c r="AG103" s="14" t="str">
        <f>IFERROR(INDEX($M$5:$M$28,MATCH($B103,$K$5:$K$28,0)),"STYLE")</f>
        <v>STYLE</v>
      </c>
      <c r="AH103" s="2" t="str">
        <f>IFERROR(IF(INDEX($AG$33:$AG$80,MATCH($B103,$A$33:$A$80,0))="","(not set)",INDEX($AG$33:$AG$80,MATCH($B103,$A$33:$A$80,0))),"(not set)")</f>
        <v>TRUNK</v>
      </c>
    </row>
    <row r="104" spans="1:34">
      <c r="A104" s="19">
        <f>'LINE PLAN'!$A$23</f>
        <v>18</v>
      </c>
      <c r="B104" s="54">
        <f>IFERROR(IF(INDEX('LINE PLAN'!$B$36:$GS$61,MATCH($A104,'LINE PLAN'!$A$36:$A$61,0),MATCH(WORKINGS!$B$75,'LINE PLAN'!$B$35:$GS$35,0))="","",INDEX('LINE PLAN'!$B$36:$GS$61,MATCH($A104,'LINE PLAN'!$A$36:$A$61,0),MATCH(WORKINGS!$B$75,'LINE PLAN'!$B$35:$GS$35,0))),"")</f>
        <v>4117</v>
      </c>
      <c r="C104" s="19">
        <f>IFERROR(IF(INDEX($L$5:$L$28,MATCH($B104,$K$5:$K$28,0))="","(no recipe)",INDEX($L$5:$L$28,MATCH($B104,$K$5:$K$28,0))),$B104)</f>
        <v>4117</v>
      </c>
      <c r="D104" s="19">
        <f>IFERROR(INDEX($B$33:$AA$80,MATCH($C104,$AE$33:$AE$80,0),MATCH(D$86,$B$32:$AA$32,0)),0)</f>
        <v>6</v>
      </c>
      <c r="E104" s="19">
        <f>IFERROR(INDEX($B$33:$AA$80,MATCH($C104,$AE$33:$AE$80,0),MATCH(E$86,$B$32:$AA$32,0)),0)</f>
        <v>0</v>
      </c>
      <c r="F104" s="19">
        <f>IFERROR(INDEX($B$33:$AA$80,MATCH($C104,$AE$33:$AE$80,0),MATCH(F$86,$B$32:$AA$32,0)),0)</f>
        <v>0</v>
      </c>
      <c r="G104" s="19">
        <f>IFERROR(INDEX($B$33:$AA$80,MATCH($C104,$AE$33:$AE$80,0),MATCH(G$86,$B$32:$AA$32,0)),0)</f>
        <v>0</v>
      </c>
      <c r="H104" s="19">
        <f>IFERROR(INDEX($B$33:$AA$80,MATCH($C104,$AE$33:$AE$80,0),MATCH(H$86,$B$32:$AA$32,0)),0)</f>
        <v>8</v>
      </c>
      <c r="I104" s="19">
        <f>IFERROR(INDEX($B$33:$AA$80,MATCH($C104,$AE$33:$AE$80,0),MATCH(I$86,$B$32:$AA$32,0)),0)</f>
        <v>0</v>
      </c>
      <c r="J104" s="19">
        <f>IFERROR(INDEX($B$33:$AA$80,MATCH($C104,$AE$33:$AE$80,0),MATCH(J$86,$B$32:$AA$32,0)),0)</f>
        <v>0</v>
      </c>
      <c r="K104" s="19">
        <f>IFERROR(INDEX($B$33:$AA$80,MATCH($C104,$AE$33:$AE$80,0),MATCH(K$86,$B$32:$AA$32,0)),0)</f>
        <v>4</v>
      </c>
      <c r="L104" s="19">
        <f>IFERROR(INDEX($B$33:$AA$80,MATCH($C104,$AE$33:$AE$80,0),MATCH(L$86,$B$32:$AA$32,0)),0)</f>
        <v>1</v>
      </c>
      <c r="M104" s="19">
        <f>IFERROR(INDEX($B$33:$AA$80,MATCH($C104,$AE$33:$AE$80,0),MATCH(M$86,$B$32:$AA$32,0)),0)</f>
        <v>0</v>
      </c>
      <c r="N104" s="19">
        <f>IFERROR(INDEX($B$33:$AA$80,MATCH($C104,$AE$33:$AE$80,0),MATCH(N$86,$B$32:$AA$32,0)),0)</f>
        <v>0</v>
      </c>
      <c r="O104" s="19">
        <f>IFERROR(INDEX($B$33:$AA$80,MATCH($C104,$AE$33:$AE$80,0),MATCH(O$86,$B$32:$AA$32,0)),0)</f>
        <v>3</v>
      </c>
      <c r="P104" s="19">
        <f>IFERROR(INDEX($B$33:$AA$80,MATCH($C104,$AE$33:$AE$80,0),MATCH(P$86,$B$32:$AA$32,0)),0)</f>
        <v>2.5</v>
      </c>
      <c r="Q104" s="19">
        <f>IFERROR(INDEX($B$33:$AA$80,MATCH($C104,$AE$33:$AE$80,0),MATCH(Q$86,$B$32:$AA$32,0)),0)</f>
        <v>1</v>
      </c>
      <c r="R104" s="19">
        <f>IFERROR(INDEX($B$33:$AA$80,MATCH($C104,$AE$33:$AE$80,0),MATCH(R$86,$B$32:$AA$32,0)),0)</f>
        <v>2</v>
      </c>
      <c r="S104" s="19">
        <f>IFERROR(INDEX($B$33:$AA$80,MATCH($C104,$AE$33:$AE$80,0),MATCH(S$86,$B$32:$AA$32,0)),0)</f>
        <v>0</v>
      </c>
      <c r="T104" s="19">
        <f>IFERROR(INDEX($B$33:$AA$80,MATCH($C104,$AE$33:$AE$80,0),MATCH(T$86,$B$32:$AA$32,0)),0)</f>
        <v>0</v>
      </c>
      <c r="U104" s="19">
        <f>IFERROR(INDEX($B$33:$AA$80,MATCH($C104,$AE$33:$AE$80,0),MATCH(U$86,$B$32:$AA$32,0)),0)</f>
        <v>0</v>
      </c>
      <c r="V104" s="19">
        <f>IFERROR(INDEX($B$33:$AA$80,MATCH($C104,$AE$33:$AE$80,0),MATCH(V$86,$B$32:$AA$32,0)),0)</f>
        <v>0</v>
      </c>
      <c r="W104" s="19">
        <f>IFERROR(INDEX($B$33:$AA$80,MATCH($C104,$AE$33:$AE$80,0),MATCH(W$86,$B$32:$AA$32,0)),0)</f>
        <v>1</v>
      </c>
      <c r="X104" s="19">
        <f>IFERROR(INDEX($B$33:$AA$80,MATCH($C104,$AE$33:$AE$80,0),MATCH(X$86,$B$32:$AA$32,0)),0)</f>
        <v>0</v>
      </c>
      <c r="Y104" s="19">
        <f>IFERROR(INDEX($B$33:$AA$80,MATCH($C104,$AE$33:$AE$80,0),MATCH(Y$86,$B$32:$AA$32,0)),0)</f>
        <v>0</v>
      </c>
      <c r="Z104" s="19">
        <f>IFERROR(INDEX($B$33:$AA$80,MATCH($C104,$AE$33:$AE$80,0),MATCH(Z$86,$B$32:$AA$32,0)),0)</f>
        <v>0</v>
      </c>
      <c r="AA104" s="19">
        <f>IFERROR(INDEX($B$33:$AA$80,MATCH($C104,$AE$33:$AE$80,0),MATCH(AA$86,$B$32:$AA$32,0)),0)</f>
        <v>0</v>
      </c>
      <c r="AB104" s="19">
        <f>IFERROR(INDEX($B$33:$AA$80,MATCH($C104,$AE$33:$AE$80,0),MATCH(AB$86,$B$32:$AA$32,0)),0)</f>
        <v>0</v>
      </c>
      <c r="AC104" s="19">
        <f>IFERROR(INDEX($B$33:$AA$80,MATCH($C104,$AE$33:$AE$80,0),MATCH(AC$86,$B$32:$AA$32,0)),0)</f>
        <v>2</v>
      </c>
      <c r="AD104" s="2">
        <f>SUM($D104:$AC104)</f>
        <v>30.5</v>
      </c>
      <c r="AE104" s="2">
        <f>IFERROR(N(INDEX(EMBELISHMENT!$B$29:$AQ$29,MATCH($C104,EMBELISHMENT!$B$1:$AQ$1,0))),0)</f>
        <v>3000</v>
      </c>
      <c r="AF104" s="2" t="str">
        <f>IF($B104="","NO WORK PAINTED ON BOARD",IF($AG104="VACANT","VACANT (no style)",IF($C104="(no recipe)","NO RECIPE IN EMBLISHMENT",IF(ISNA(MATCH($C104,EMBELISHMENT!$B$1:$AQ$1,0)),"RECIPE NOT FOUND",IF($AD104=0,"ZERO M/C","OK")))))</f>
        <v>OK</v>
      </c>
      <c r="AG104" s="14" t="str">
        <f>IFERROR(INDEX($M$5:$M$28,MATCH($B104,$K$5:$K$28,0)),"STYLE")</f>
        <v>STYLE</v>
      </c>
      <c r="AH104" s="2" t="str">
        <f>IFERROR(IF(INDEX($AG$33:$AG$80,MATCH($B104,$A$33:$A$80,0))="","(not set)",INDEX($AG$33:$AG$80,MATCH($B104,$A$33:$A$80,0))),"(not set)")</f>
        <v>TRUNK</v>
      </c>
    </row>
    <row r="105" spans="1:34">
      <c r="A105" s="19">
        <f>'LINE PLAN'!$A$24</f>
        <v>19</v>
      </c>
      <c r="B105" s="54">
        <f>IFERROR(IF(INDEX('LINE PLAN'!$B$36:$GS$61,MATCH($A105,'LINE PLAN'!$A$36:$A$61,0),MATCH(WORKINGS!$B$75,'LINE PLAN'!$B$35:$GS$35,0))="","",INDEX('LINE PLAN'!$B$36:$GS$61,MATCH($A105,'LINE PLAN'!$A$36:$A$61,0),MATCH(WORKINGS!$B$75,'LINE PLAN'!$B$35:$GS$35,0))),"")</f>
        <v>4115</v>
      </c>
      <c r="C105" s="19">
        <f>IFERROR(IF(INDEX($L$5:$L$28,MATCH($B105,$K$5:$K$28,0))="","(no recipe)",INDEX($L$5:$L$28,MATCH($B105,$K$5:$K$28,0))),$B105)</f>
        <v>4115</v>
      </c>
      <c r="D105" s="19">
        <f>IFERROR(INDEX($B$33:$AA$80,MATCH($C105,$AE$33:$AE$80,0),MATCH(D$86,$B$32:$AA$32,0)),0)</f>
        <v>5</v>
      </c>
      <c r="E105" s="19">
        <f>IFERROR(INDEX($B$33:$AA$80,MATCH($C105,$AE$33:$AE$80,0),MATCH(E$86,$B$32:$AA$32,0)),0)</f>
        <v>0</v>
      </c>
      <c r="F105" s="19">
        <f>IFERROR(INDEX($B$33:$AA$80,MATCH($C105,$AE$33:$AE$80,0),MATCH(F$86,$B$32:$AA$32,0)),0)</f>
        <v>0</v>
      </c>
      <c r="G105" s="19">
        <f>IFERROR(INDEX($B$33:$AA$80,MATCH($C105,$AE$33:$AE$80,0),MATCH(G$86,$B$32:$AA$32,0)),0)</f>
        <v>0</v>
      </c>
      <c r="H105" s="19">
        <f>IFERROR(INDEX($B$33:$AA$80,MATCH($C105,$AE$33:$AE$80,0),MATCH(H$86,$B$32:$AA$32,0)),0)</f>
        <v>10</v>
      </c>
      <c r="I105" s="19">
        <f>IFERROR(INDEX($B$33:$AA$80,MATCH($C105,$AE$33:$AE$80,0),MATCH(I$86,$B$32:$AA$32,0)),0)</f>
        <v>0</v>
      </c>
      <c r="J105" s="19">
        <f>IFERROR(INDEX($B$33:$AA$80,MATCH($C105,$AE$33:$AE$80,0),MATCH(J$86,$B$32:$AA$32,0)),0)</f>
        <v>0</v>
      </c>
      <c r="K105" s="19">
        <f>IFERROR(INDEX($B$33:$AA$80,MATCH($C105,$AE$33:$AE$80,0),MATCH(K$86,$B$32:$AA$32,0)),0)</f>
        <v>4</v>
      </c>
      <c r="L105" s="19">
        <f>IFERROR(INDEX($B$33:$AA$80,MATCH($C105,$AE$33:$AE$80,0),MATCH(L$86,$B$32:$AA$32,0)),0)</f>
        <v>0</v>
      </c>
      <c r="M105" s="19">
        <f>IFERROR(INDEX($B$33:$AA$80,MATCH($C105,$AE$33:$AE$80,0),MATCH(M$86,$B$32:$AA$32,0)),0)</f>
        <v>0</v>
      </c>
      <c r="N105" s="19">
        <f>IFERROR(INDEX($B$33:$AA$80,MATCH($C105,$AE$33:$AE$80,0),MATCH(N$86,$B$32:$AA$32,0)),0)</f>
        <v>0</v>
      </c>
      <c r="O105" s="19">
        <f>IFERROR(INDEX($B$33:$AA$80,MATCH($C105,$AE$33:$AE$80,0),MATCH(O$86,$B$32:$AA$32,0)),0)</f>
        <v>3</v>
      </c>
      <c r="P105" s="19">
        <f>IFERROR(INDEX($B$33:$AA$80,MATCH($C105,$AE$33:$AE$80,0),MATCH(P$86,$B$32:$AA$32,0)),0)</f>
        <v>2.5</v>
      </c>
      <c r="Q105" s="19">
        <f>IFERROR(INDEX($B$33:$AA$80,MATCH($C105,$AE$33:$AE$80,0),MATCH(Q$86,$B$32:$AA$32,0)),0)</f>
        <v>0</v>
      </c>
      <c r="R105" s="19">
        <f>IFERROR(INDEX($B$33:$AA$80,MATCH($C105,$AE$33:$AE$80,0),MATCH(R$86,$B$32:$AA$32,0)),0)</f>
        <v>5</v>
      </c>
      <c r="S105" s="19">
        <f>IFERROR(INDEX($B$33:$AA$80,MATCH($C105,$AE$33:$AE$80,0),MATCH(S$86,$B$32:$AA$32,0)),0)</f>
        <v>0</v>
      </c>
      <c r="T105" s="19">
        <f>IFERROR(INDEX($B$33:$AA$80,MATCH($C105,$AE$33:$AE$80,0),MATCH(T$86,$B$32:$AA$32,0)),0)</f>
        <v>0</v>
      </c>
      <c r="U105" s="19">
        <f>IFERROR(INDEX($B$33:$AA$80,MATCH($C105,$AE$33:$AE$80,0),MATCH(U$86,$B$32:$AA$32,0)),0)</f>
        <v>0</v>
      </c>
      <c r="V105" s="19">
        <f>IFERROR(INDEX($B$33:$AA$80,MATCH($C105,$AE$33:$AE$80,0),MATCH(V$86,$B$32:$AA$32,0)),0)</f>
        <v>1</v>
      </c>
      <c r="W105" s="19">
        <f>IFERROR(INDEX($B$33:$AA$80,MATCH($C105,$AE$33:$AE$80,0),MATCH(W$86,$B$32:$AA$32,0)),0)</f>
        <v>1</v>
      </c>
      <c r="X105" s="19">
        <f>IFERROR(INDEX($B$33:$AA$80,MATCH($C105,$AE$33:$AE$80,0),MATCH(X$86,$B$32:$AA$32,0)),0)</f>
        <v>0</v>
      </c>
      <c r="Y105" s="19">
        <f>IFERROR(INDEX($B$33:$AA$80,MATCH($C105,$AE$33:$AE$80,0),MATCH(Y$86,$B$32:$AA$32,0)),0)</f>
        <v>0</v>
      </c>
      <c r="Z105" s="19">
        <f>IFERROR(INDEX($B$33:$AA$80,MATCH($C105,$AE$33:$AE$80,0),MATCH(Z$86,$B$32:$AA$32,0)),0)</f>
        <v>0</v>
      </c>
      <c r="AA105" s="19">
        <f>IFERROR(INDEX($B$33:$AA$80,MATCH($C105,$AE$33:$AE$80,0),MATCH(AA$86,$B$32:$AA$32,0)),0)</f>
        <v>0</v>
      </c>
      <c r="AB105" s="19">
        <f>IFERROR(INDEX($B$33:$AA$80,MATCH($C105,$AE$33:$AE$80,0),MATCH(AB$86,$B$32:$AA$32,0)),0)</f>
        <v>0</v>
      </c>
      <c r="AC105" s="19">
        <f>IFERROR(INDEX($B$33:$AA$80,MATCH($C105,$AE$33:$AE$80,0),MATCH(AC$86,$B$32:$AA$32,0)),0)</f>
        <v>2</v>
      </c>
      <c r="AD105" s="2">
        <f>SUM($D105:$AC105)</f>
        <v>33.5</v>
      </c>
      <c r="AE105" s="2">
        <f>IFERROR(N(INDEX(EMBELISHMENT!$B$29:$AQ$29,MATCH($C105,EMBELISHMENT!$B$1:$AQ$1,0))),0)</f>
        <v>3000</v>
      </c>
      <c r="AF105" s="2" t="str">
        <f>IF($B105="","NO WORK PAINTED ON BOARD",IF($AG105="VACANT","VACANT (no style)",IF($C105="(no recipe)","NO RECIPE IN EMBLISHMENT",IF(ISNA(MATCH($C105,EMBELISHMENT!$B$1:$AQ$1,0)),"RECIPE NOT FOUND",IF($AD105=0,"ZERO M/C","OK")))))</f>
        <v>OK</v>
      </c>
      <c r="AG105" s="14" t="str">
        <f>IFERROR(INDEX($M$5:$M$28,MATCH($B105,$K$5:$K$28,0)),"STYLE")</f>
        <v>STYLE</v>
      </c>
      <c r="AH105" s="2" t="str">
        <f>IFERROR(IF(INDEX($AG$33:$AG$80,MATCH($B105,$A$33:$A$80,0))="","(not set)",INDEX($AG$33:$AG$80,MATCH($B105,$A$33:$A$80,0))),"(not set)")</f>
        <v>TRUNK</v>
      </c>
    </row>
    <row r="106" spans="1:34">
      <c r="A106" s="19">
        <f>'LINE PLAN'!$A$25</f>
        <v>20</v>
      </c>
      <c r="B106" s="54">
        <f>IFERROR(IF(INDEX('LINE PLAN'!$B$36:$GS$61,MATCH($A106,'LINE PLAN'!$A$36:$A$61,0),MATCH(WORKINGS!$B$75,'LINE PLAN'!$B$35:$GS$35,0))="","",INDEX('LINE PLAN'!$B$36:$GS$61,MATCH($A106,'LINE PLAN'!$A$36:$A$61,0),MATCH(WORKINGS!$B$75,'LINE PLAN'!$B$35:$GS$35,0))),"")</f>
        <v>6137</v>
      </c>
      <c r="C106" s="19">
        <f>IFERROR(IF(INDEX($L$5:$L$28,MATCH($B106,$K$5:$K$28,0))="","(no recipe)",INDEX($L$5:$L$28,MATCH($B106,$K$5:$K$28,0))),$B106)</f>
        <v>6137</v>
      </c>
      <c r="D106" s="19">
        <f>IFERROR(INDEX($B$33:$AA$80,MATCH($C106,$AE$33:$AE$80,0),MATCH(D$86,$B$32:$AA$32,0)),0)</f>
        <v>4</v>
      </c>
      <c r="E106" s="19">
        <f>IFERROR(INDEX($B$33:$AA$80,MATCH($C106,$AE$33:$AE$80,0),MATCH(E$86,$B$32:$AA$32,0)),0)</f>
        <v>0</v>
      </c>
      <c r="F106" s="19">
        <f>IFERROR(INDEX($B$33:$AA$80,MATCH($C106,$AE$33:$AE$80,0),MATCH(F$86,$B$32:$AA$32,0)),0)</f>
        <v>0</v>
      </c>
      <c r="G106" s="19">
        <f>IFERROR(INDEX($B$33:$AA$80,MATCH($C106,$AE$33:$AE$80,0),MATCH(G$86,$B$32:$AA$32,0)),0)</f>
        <v>0</v>
      </c>
      <c r="H106" s="19">
        <f>IFERROR(INDEX($B$33:$AA$80,MATCH($C106,$AE$33:$AE$80,0),MATCH(H$86,$B$32:$AA$32,0)),0)</f>
        <v>13</v>
      </c>
      <c r="I106" s="19">
        <f>IFERROR(INDEX($B$33:$AA$80,MATCH($C106,$AE$33:$AE$80,0),MATCH(I$86,$B$32:$AA$32,0)),0)</f>
        <v>3</v>
      </c>
      <c r="J106" s="19">
        <f>IFERROR(INDEX($B$33:$AA$80,MATCH($C106,$AE$33:$AE$80,0),MATCH(J$86,$B$32:$AA$32,0)),0)</f>
        <v>0</v>
      </c>
      <c r="K106" s="19">
        <f>IFERROR(INDEX($B$33:$AA$80,MATCH($C106,$AE$33:$AE$80,0),MATCH(K$86,$B$32:$AA$32,0)),0)</f>
        <v>0</v>
      </c>
      <c r="L106" s="19">
        <f>IFERROR(INDEX($B$33:$AA$80,MATCH($C106,$AE$33:$AE$80,0),MATCH(L$86,$B$32:$AA$32,0)),0)</f>
        <v>0</v>
      </c>
      <c r="M106" s="19">
        <f>IFERROR(INDEX($B$33:$AA$80,MATCH($C106,$AE$33:$AE$80,0),MATCH(M$86,$B$32:$AA$32,0)),0)</f>
        <v>0</v>
      </c>
      <c r="N106" s="19">
        <f>IFERROR(INDEX($B$33:$AA$80,MATCH($C106,$AE$33:$AE$80,0),MATCH(N$86,$B$32:$AA$32,0)),0)</f>
        <v>3</v>
      </c>
      <c r="O106" s="19">
        <f>IFERROR(INDEX($B$33:$AA$80,MATCH($C106,$AE$33:$AE$80,0),MATCH(O$86,$B$32:$AA$32,0)),0)</f>
        <v>0</v>
      </c>
      <c r="P106" s="19">
        <f>IFERROR(INDEX($B$33:$AA$80,MATCH($C106,$AE$33:$AE$80,0),MATCH(P$86,$B$32:$AA$32,0)),0)</f>
        <v>3</v>
      </c>
      <c r="Q106" s="19">
        <f>IFERROR(INDEX($B$33:$AA$80,MATCH($C106,$AE$33:$AE$80,0),MATCH(Q$86,$B$32:$AA$32,0)),0)</f>
        <v>0</v>
      </c>
      <c r="R106" s="19">
        <f>IFERROR(INDEX($B$33:$AA$80,MATCH($C106,$AE$33:$AE$80,0),MATCH(R$86,$B$32:$AA$32,0)),0)</f>
        <v>0</v>
      </c>
      <c r="S106" s="19">
        <f>IFERROR(INDEX($B$33:$AA$80,MATCH($C106,$AE$33:$AE$80,0),MATCH(S$86,$B$32:$AA$32,0)),0)</f>
        <v>0</v>
      </c>
      <c r="T106" s="19">
        <f>IFERROR(INDEX($B$33:$AA$80,MATCH($C106,$AE$33:$AE$80,0),MATCH(T$86,$B$32:$AA$32,0)),0)</f>
        <v>0</v>
      </c>
      <c r="U106" s="19">
        <f>IFERROR(INDEX($B$33:$AA$80,MATCH($C106,$AE$33:$AE$80,0),MATCH(U$86,$B$32:$AA$32,0)),0)</f>
        <v>0</v>
      </c>
      <c r="V106" s="19">
        <f>IFERROR(INDEX($B$33:$AA$80,MATCH($C106,$AE$33:$AE$80,0),MATCH(V$86,$B$32:$AA$32,0)),0)</f>
        <v>0</v>
      </c>
      <c r="W106" s="19">
        <f>IFERROR(INDEX($B$33:$AA$80,MATCH($C106,$AE$33:$AE$80,0),MATCH(W$86,$B$32:$AA$32,0)),0)</f>
        <v>1</v>
      </c>
      <c r="X106" s="19">
        <f>IFERROR(INDEX($B$33:$AA$80,MATCH($C106,$AE$33:$AE$80,0),MATCH(X$86,$B$32:$AA$32,0)),0)</f>
        <v>0</v>
      </c>
      <c r="Y106" s="19">
        <f>IFERROR(INDEX($B$33:$AA$80,MATCH($C106,$AE$33:$AE$80,0),MATCH(Y$86,$B$32:$AA$32,0)),0)</f>
        <v>0</v>
      </c>
      <c r="Z106" s="19">
        <f>IFERROR(INDEX($B$33:$AA$80,MATCH($C106,$AE$33:$AE$80,0),MATCH(Z$86,$B$32:$AA$32,0)),0)</f>
        <v>0</v>
      </c>
      <c r="AA106" s="19">
        <f>IFERROR(INDEX($B$33:$AA$80,MATCH($C106,$AE$33:$AE$80,0),MATCH(AA$86,$B$32:$AA$32,0)),0)</f>
        <v>0</v>
      </c>
      <c r="AB106" s="19">
        <f>IFERROR(INDEX($B$33:$AA$80,MATCH($C106,$AE$33:$AE$80,0),MATCH(AB$86,$B$32:$AA$32,0)),0)</f>
        <v>0</v>
      </c>
      <c r="AC106" s="19">
        <f>IFERROR(INDEX($B$33:$AA$80,MATCH($C106,$AE$33:$AE$80,0),MATCH(AC$86,$B$32:$AA$32,0)),0)</f>
        <v>2</v>
      </c>
      <c r="AD106" s="2">
        <f>SUM($D106:$AC106)</f>
        <v>29</v>
      </c>
      <c r="AE106" s="2">
        <f>IFERROR(N(INDEX(EMBELISHMENT!$B$29:$AQ$29,MATCH($C106,EMBELISHMENT!$B$1:$AQ$1,0))),0)</f>
        <v>3500</v>
      </c>
      <c r="AF106" s="2" t="str">
        <f>IF($B106="","NO WORK PAINTED ON BOARD",IF($AG106="VACANT","VACANT (no style)",IF($C106="(no recipe)","NO RECIPE IN EMBLISHMENT",IF(ISNA(MATCH($C106,EMBELISHMENT!$B$1:$AQ$1,0)),"RECIPE NOT FOUND",IF($AD106=0,"ZERO M/C","OK")))))</f>
        <v>OK</v>
      </c>
      <c r="AG106" s="14" t="str">
        <f>IFERROR(INDEX($M$5:$M$28,MATCH($B106,$K$5:$K$28,0)),"STYLE")</f>
        <v>STYLE</v>
      </c>
      <c r="AH106" s="2" t="str">
        <f>IFERROR(IF(INDEX($AG$33:$AG$80,MATCH($B106,$A$33:$A$80,0))="","(not set)",INDEX($AG$33:$AG$80,MATCH($B106,$A$33:$A$80,0))),"(not set)")</f>
        <v>BRIEF</v>
      </c>
    </row>
    <row r="107" spans="1:34">
      <c r="A107" s="19">
        <f>'LINE PLAN'!$A$26</f>
        <v>21</v>
      </c>
      <c r="B107" s="54">
        <f>IFERROR(IF(INDEX('LINE PLAN'!$B$36:$GS$61,MATCH($A107,'LINE PLAN'!$A$36:$A$61,0),MATCH(WORKINGS!$B$75,'LINE PLAN'!$B$35:$GS$35,0))="","",INDEX('LINE PLAN'!$B$36:$GS$61,MATCH($A107,'LINE PLAN'!$A$36:$A$61,0),MATCH(WORKINGS!$B$75,'LINE PLAN'!$B$35:$GS$35,0))),"")</f>
        <v>6137</v>
      </c>
      <c r="C107" s="19">
        <f>IFERROR(IF(INDEX($L$5:$L$28,MATCH($B107,$K$5:$K$28,0))="","(no recipe)",INDEX($L$5:$L$28,MATCH($B107,$K$5:$K$28,0))),$B107)</f>
        <v>6137</v>
      </c>
      <c r="D107" s="19">
        <f>IFERROR(INDEX($B$33:$AA$80,MATCH($C107,$AE$33:$AE$80,0),MATCH(D$86,$B$32:$AA$32,0)),0)</f>
        <v>4</v>
      </c>
      <c r="E107" s="19">
        <f>IFERROR(INDEX($B$33:$AA$80,MATCH($C107,$AE$33:$AE$80,0),MATCH(E$86,$B$32:$AA$32,0)),0)</f>
        <v>0</v>
      </c>
      <c r="F107" s="19">
        <f>IFERROR(INDEX($B$33:$AA$80,MATCH($C107,$AE$33:$AE$80,0),MATCH(F$86,$B$32:$AA$32,0)),0)</f>
        <v>0</v>
      </c>
      <c r="G107" s="19">
        <f>IFERROR(INDEX($B$33:$AA$80,MATCH($C107,$AE$33:$AE$80,0),MATCH(G$86,$B$32:$AA$32,0)),0)</f>
        <v>0</v>
      </c>
      <c r="H107" s="19">
        <f>IFERROR(INDEX($B$33:$AA$80,MATCH($C107,$AE$33:$AE$80,0),MATCH(H$86,$B$32:$AA$32,0)),0)</f>
        <v>13</v>
      </c>
      <c r="I107" s="19">
        <f>IFERROR(INDEX($B$33:$AA$80,MATCH($C107,$AE$33:$AE$80,0),MATCH(I$86,$B$32:$AA$32,0)),0)</f>
        <v>3</v>
      </c>
      <c r="J107" s="19">
        <f>IFERROR(INDEX($B$33:$AA$80,MATCH($C107,$AE$33:$AE$80,0),MATCH(J$86,$B$32:$AA$32,0)),0)</f>
        <v>0</v>
      </c>
      <c r="K107" s="19">
        <f>IFERROR(INDEX($B$33:$AA$80,MATCH($C107,$AE$33:$AE$80,0),MATCH(K$86,$B$32:$AA$32,0)),0)</f>
        <v>0</v>
      </c>
      <c r="L107" s="19">
        <f>IFERROR(INDEX($B$33:$AA$80,MATCH($C107,$AE$33:$AE$80,0),MATCH(L$86,$B$32:$AA$32,0)),0)</f>
        <v>0</v>
      </c>
      <c r="M107" s="19">
        <f>IFERROR(INDEX($B$33:$AA$80,MATCH($C107,$AE$33:$AE$80,0),MATCH(M$86,$B$32:$AA$32,0)),0)</f>
        <v>0</v>
      </c>
      <c r="N107" s="19">
        <f>IFERROR(INDEX($B$33:$AA$80,MATCH($C107,$AE$33:$AE$80,0),MATCH(N$86,$B$32:$AA$32,0)),0)</f>
        <v>3</v>
      </c>
      <c r="O107" s="19">
        <f>IFERROR(INDEX($B$33:$AA$80,MATCH($C107,$AE$33:$AE$80,0),MATCH(O$86,$B$32:$AA$32,0)),0)</f>
        <v>0</v>
      </c>
      <c r="P107" s="19">
        <f>IFERROR(INDEX($B$33:$AA$80,MATCH($C107,$AE$33:$AE$80,0),MATCH(P$86,$B$32:$AA$32,0)),0)</f>
        <v>3</v>
      </c>
      <c r="Q107" s="19">
        <f>IFERROR(INDEX($B$33:$AA$80,MATCH($C107,$AE$33:$AE$80,0),MATCH(Q$86,$B$32:$AA$32,0)),0)</f>
        <v>0</v>
      </c>
      <c r="R107" s="19">
        <f>IFERROR(INDEX($B$33:$AA$80,MATCH($C107,$AE$33:$AE$80,0),MATCH(R$86,$B$32:$AA$32,0)),0)</f>
        <v>0</v>
      </c>
      <c r="S107" s="19">
        <f>IFERROR(INDEX($B$33:$AA$80,MATCH($C107,$AE$33:$AE$80,0),MATCH(S$86,$B$32:$AA$32,0)),0)</f>
        <v>0</v>
      </c>
      <c r="T107" s="19">
        <f>IFERROR(INDEX($B$33:$AA$80,MATCH($C107,$AE$33:$AE$80,0),MATCH(T$86,$B$32:$AA$32,0)),0)</f>
        <v>0</v>
      </c>
      <c r="U107" s="19">
        <f>IFERROR(INDEX($B$33:$AA$80,MATCH($C107,$AE$33:$AE$80,0),MATCH(U$86,$B$32:$AA$32,0)),0)</f>
        <v>0</v>
      </c>
      <c r="V107" s="19">
        <f>IFERROR(INDEX($B$33:$AA$80,MATCH($C107,$AE$33:$AE$80,0),MATCH(V$86,$B$32:$AA$32,0)),0)</f>
        <v>0</v>
      </c>
      <c r="W107" s="19">
        <f>IFERROR(INDEX($B$33:$AA$80,MATCH($C107,$AE$33:$AE$80,0),MATCH(W$86,$B$32:$AA$32,0)),0)</f>
        <v>1</v>
      </c>
      <c r="X107" s="19">
        <f>IFERROR(INDEX($B$33:$AA$80,MATCH($C107,$AE$33:$AE$80,0),MATCH(X$86,$B$32:$AA$32,0)),0)</f>
        <v>0</v>
      </c>
      <c r="Y107" s="19">
        <f>IFERROR(INDEX($B$33:$AA$80,MATCH($C107,$AE$33:$AE$80,0),MATCH(Y$86,$B$32:$AA$32,0)),0)</f>
        <v>0</v>
      </c>
      <c r="Z107" s="19">
        <f>IFERROR(INDEX($B$33:$AA$80,MATCH($C107,$AE$33:$AE$80,0),MATCH(Z$86,$B$32:$AA$32,0)),0)</f>
        <v>0</v>
      </c>
      <c r="AA107" s="19">
        <f>IFERROR(INDEX($B$33:$AA$80,MATCH($C107,$AE$33:$AE$80,0),MATCH(AA$86,$B$32:$AA$32,0)),0)</f>
        <v>0</v>
      </c>
      <c r="AB107" s="19">
        <f>IFERROR(INDEX($B$33:$AA$80,MATCH($C107,$AE$33:$AE$80,0),MATCH(AB$86,$B$32:$AA$32,0)),0)</f>
        <v>0</v>
      </c>
      <c r="AC107" s="19">
        <f>IFERROR(INDEX($B$33:$AA$80,MATCH($C107,$AE$33:$AE$80,0),MATCH(AC$86,$B$32:$AA$32,0)),0)</f>
        <v>2</v>
      </c>
      <c r="AD107" s="2">
        <f>SUM($D107:$AC107)</f>
        <v>29</v>
      </c>
      <c r="AE107" s="2">
        <f>IFERROR(N(INDEX(EMBELISHMENT!$B$29:$AQ$29,MATCH($C107,EMBELISHMENT!$B$1:$AQ$1,0))),0)</f>
        <v>3500</v>
      </c>
      <c r="AF107" s="2" t="str">
        <f>IF($B107="","NO WORK PAINTED ON BOARD",IF($AG107="VACANT","VACANT (no style)",IF($C107="(no recipe)","NO RECIPE IN EMBLISHMENT",IF(ISNA(MATCH($C107,EMBELISHMENT!$B$1:$AQ$1,0)),"RECIPE NOT FOUND",IF($AD107=0,"ZERO M/C","OK")))))</f>
        <v>OK</v>
      </c>
      <c r="AG107" s="14" t="str">
        <f>IFERROR(INDEX($M$5:$M$28,MATCH($B107,$K$5:$K$28,0)),"STYLE")</f>
        <v>STYLE</v>
      </c>
      <c r="AH107" s="2" t="str">
        <f>IFERROR(IF(INDEX($AG$33:$AG$80,MATCH($B107,$A$33:$A$80,0))="","(not set)",INDEX($AG$33:$AG$80,MATCH($B107,$A$33:$A$80,0))),"(not set)")</f>
        <v>BRIEF</v>
      </c>
    </row>
    <row r="108" spans="1:34">
      <c r="A108" s="19">
        <f>'LINE PLAN'!$A$27</f>
        <v>22</v>
      </c>
      <c r="B108" s="54" t="str">
        <f>IFERROR(IF(INDEX('LINE PLAN'!$B$36:$GS$61,MATCH($A108,'LINE PLAN'!$A$36:$A$61,0),MATCH(WORKINGS!$B$75,'LINE PLAN'!$B$35:$GS$35,0))="","",INDEX('LINE PLAN'!$B$36:$GS$61,MATCH($A108,'LINE PLAN'!$A$36:$A$61,0),MATCH(WORKINGS!$B$75,'LINE PLAN'!$B$35:$GS$35,0))),"")</f>
        <v>TH-02</v>
      </c>
      <c r="C108" s="19" t="str">
        <f>IFERROR(IF(INDEX($L$5:$L$28,MATCH($B108,$K$5:$K$28,0))="","(no recipe)",INDEX($L$5:$L$28,MATCH($B108,$K$5:$K$28,0))),$B108)</f>
        <v>TH-02</v>
      </c>
      <c r="D108" s="19">
        <f>IFERROR(INDEX($B$33:$AA$80,MATCH($C108,$AE$33:$AE$80,0),MATCH(D$86,$B$32:$AA$32,0)),0)</f>
        <v>5</v>
      </c>
      <c r="E108" s="19">
        <f>IFERROR(INDEX($B$33:$AA$80,MATCH($C108,$AE$33:$AE$80,0),MATCH(E$86,$B$32:$AA$32,0)),0)</f>
        <v>0</v>
      </c>
      <c r="F108" s="19">
        <f>IFERROR(INDEX($B$33:$AA$80,MATCH($C108,$AE$33:$AE$80,0),MATCH(F$86,$B$32:$AA$32,0)),0)</f>
        <v>0</v>
      </c>
      <c r="G108" s="19">
        <f>IFERROR(INDEX($B$33:$AA$80,MATCH($C108,$AE$33:$AE$80,0),MATCH(G$86,$B$32:$AA$32,0)),0)</f>
        <v>0</v>
      </c>
      <c r="H108" s="19">
        <f>IFERROR(INDEX($B$33:$AA$80,MATCH($C108,$AE$33:$AE$80,0),MATCH(H$86,$B$32:$AA$32,0)),0)</f>
        <v>11</v>
      </c>
      <c r="I108" s="19">
        <f>IFERROR(INDEX($B$33:$AA$80,MATCH($C108,$AE$33:$AE$80,0),MATCH(I$86,$B$32:$AA$32,0)),0)</f>
        <v>0</v>
      </c>
      <c r="J108" s="19">
        <f>IFERROR(INDEX($B$33:$AA$80,MATCH($C108,$AE$33:$AE$80,0),MATCH(J$86,$B$32:$AA$32,0)),0)</f>
        <v>0</v>
      </c>
      <c r="K108" s="19">
        <f>IFERROR(INDEX($B$33:$AA$80,MATCH($C108,$AE$33:$AE$80,0),MATCH(K$86,$B$32:$AA$32,0)),0)</f>
        <v>0</v>
      </c>
      <c r="L108" s="19">
        <f>IFERROR(INDEX($B$33:$AA$80,MATCH($C108,$AE$33:$AE$80,0),MATCH(L$86,$B$32:$AA$32,0)),0)</f>
        <v>2</v>
      </c>
      <c r="M108" s="19">
        <f>IFERROR(INDEX($B$33:$AA$80,MATCH($C108,$AE$33:$AE$80,0),MATCH(M$86,$B$32:$AA$32,0)),0)</f>
        <v>0</v>
      </c>
      <c r="N108" s="19">
        <f>IFERROR(INDEX($B$33:$AA$80,MATCH($C108,$AE$33:$AE$80,0),MATCH(N$86,$B$32:$AA$32,0)),0)</f>
        <v>0</v>
      </c>
      <c r="O108" s="19">
        <f>IFERROR(INDEX($B$33:$AA$80,MATCH($C108,$AE$33:$AE$80,0),MATCH(O$86,$B$32:$AA$32,0)),0)</f>
        <v>1</v>
      </c>
      <c r="P108" s="19">
        <f>IFERROR(INDEX($B$33:$AA$80,MATCH($C108,$AE$33:$AE$80,0),MATCH(P$86,$B$32:$AA$32,0)),0)</f>
        <v>0</v>
      </c>
      <c r="Q108" s="19">
        <f>IFERROR(INDEX($B$33:$AA$80,MATCH($C108,$AE$33:$AE$80,0),MATCH(Q$86,$B$32:$AA$32,0)),0)</f>
        <v>0</v>
      </c>
      <c r="R108" s="19">
        <f>IFERROR(INDEX($B$33:$AA$80,MATCH($C108,$AE$33:$AE$80,0),MATCH(R$86,$B$32:$AA$32,0)),0)</f>
        <v>4</v>
      </c>
      <c r="S108" s="19">
        <f>IFERROR(INDEX($B$33:$AA$80,MATCH($C108,$AE$33:$AE$80,0),MATCH(S$86,$B$32:$AA$32,0)),0)</f>
        <v>0</v>
      </c>
      <c r="T108" s="19">
        <f>IFERROR(INDEX($B$33:$AA$80,MATCH($C108,$AE$33:$AE$80,0),MATCH(T$86,$B$32:$AA$32,0)),0)</f>
        <v>0</v>
      </c>
      <c r="U108" s="19">
        <f>IFERROR(INDEX($B$33:$AA$80,MATCH($C108,$AE$33:$AE$80,0),MATCH(U$86,$B$32:$AA$32,0)),0)</f>
        <v>0</v>
      </c>
      <c r="V108" s="19">
        <f>IFERROR(INDEX($B$33:$AA$80,MATCH($C108,$AE$33:$AE$80,0),MATCH(V$86,$B$32:$AA$32,0)),0)</f>
        <v>3</v>
      </c>
      <c r="W108" s="19">
        <f>IFERROR(INDEX($B$33:$AA$80,MATCH($C108,$AE$33:$AE$80,0),MATCH(W$86,$B$32:$AA$32,0)),0)</f>
        <v>1</v>
      </c>
      <c r="X108" s="19">
        <f>IFERROR(INDEX($B$33:$AA$80,MATCH($C108,$AE$33:$AE$80,0),MATCH(X$86,$B$32:$AA$32,0)),0)</f>
        <v>0</v>
      </c>
      <c r="Y108" s="19">
        <f>IFERROR(INDEX($B$33:$AA$80,MATCH($C108,$AE$33:$AE$80,0),MATCH(Y$86,$B$32:$AA$32,0)),0)</f>
        <v>0</v>
      </c>
      <c r="Z108" s="19">
        <f>IFERROR(INDEX($B$33:$AA$80,MATCH($C108,$AE$33:$AE$80,0),MATCH(Z$86,$B$32:$AA$32,0)),0)</f>
        <v>0</v>
      </c>
      <c r="AA108" s="19">
        <f>IFERROR(INDEX($B$33:$AA$80,MATCH($C108,$AE$33:$AE$80,0),MATCH(AA$86,$B$32:$AA$32,0)),0)</f>
        <v>1</v>
      </c>
      <c r="AB108" s="19">
        <f>IFERROR(INDEX($B$33:$AA$80,MATCH($C108,$AE$33:$AE$80,0),MATCH(AB$86,$B$32:$AA$32,0)),0)</f>
        <v>0</v>
      </c>
      <c r="AC108" s="19">
        <f>IFERROR(INDEX($B$33:$AA$80,MATCH($C108,$AE$33:$AE$80,0),MATCH(AC$86,$B$32:$AA$32,0)),0)</f>
        <v>0</v>
      </c>
      <c r="AD108" s="2">
        <f>SUM($D108:$AC108)</f>
        <v>28</v>
      </c>
      <c r="AE108" s="2">
        <f>IFERROR(N(INDEX(EMBELISHMENT!$B$29:$AQ$29,MATCH($C108,EMBELISHMENT!$B$1:$AQ$1,0))),0)</f>
        <v>1200</v>
      </c>
      <c r="AF108" s="2" t="str">
        <f>IF($B108="","NO WORK PAINTED ON BOARD",IF($AG108="VACANT","VACANT (no style)",IF($C108="(no recipe)","NO RECIPE IN EMBLISHMENT",IF(ISNA(MATCH($C108,EMBELISHMENT!$B$1:$AQ$1,0)),"RECIPE NOT FOUND",IF($AD108=0,"ZERO M/C","OK")))))</f>
        <v>OK</v>
      </c>
      <c r="AG108" s="14" t="str">
        <f>IFERROR(INDEX($M$5:$M$28,MATCH($B108,$K$5:$K$28,0)),"STYLE")</f>
        <v>THERMAL</v>
      </c>
      <c r="AH108" s="2" t="str">
        <f>IFERROR(IF(INDEX($AG$33:$AG$80,MATCH($B108,$A$33:$A$80,0))="","(not set)",INDEX($AG$33:$AG$80,MATCH($B108,$A$33:$A$80,0))),"(not set)")</f>
        <v>THERMAL</v>
      </c>
    </row>
    <row r="109" spans="1:34">
      <c r="A109" s="19">
        <f>'LINE PLAN'!$A$28</f>
        <v>23</v>
      </c>
      <c r="B109" s="54">
        <f>IFERROR(IF(INDEX('LINE PLAN'!$B$36:$GS$61,MATCH($A109,'LINE PLAN'!$A$36:$A$61,0),MATCH(WORKINGS!$B$75,'LINE PLAN'!$B$35:$GS$35,0))="","",INDEX('LINE PLAN'!$B$36:$GS$61,MATCH($A109,'LINE PLAN'!$A$36:$A$61,0),MATCH(WORKINGS!$B$75,'LINE PLAN'!$B$35:$GS$35,0))),"")</f>
        <v>6135</v>
      </c>
      <c r="C109" s="19">
        <f>IFERROR(IF(INDEX($L$5:$L$28,MATCH($B109,$K$5:$K$28,0))="","(no recipe)",INDEX($L$5:$L$28,MATCH($B109,$K$5:$K$28,0))),$B109)</f>
        <v>6135</v>
      </c>
      <c r="D109" s="19">
        <f>IFERROR(INDEX($B$33:$AA$80,MATCH($C109,$AE$33:$AE$80,0),MATCH(D$86,$B$32:$AA$32,0)),0)</f>
        <v>6</v>
      </c>
      <c r="E109" s="19">
        <f>IFERROR(INDEX($B$33:$AA$80,MATCH($C109,$AE$33:$AE$80,0),MATCH(E$86,$B$32:$AA$32,0)),0)</f>
        <v>0</v>
      </c>
      <c r="F109" s="19">
        <f>IFERROR(INDEX($B$33:$AA$80,MATCH($C109,$AE$33:$AE$80,0),MATCH(F$86,$B$32:$AA$32,0)),0)</f>
        <v>0</v>
      </c>
      <c r="G109" s="19">
        <f>IFERROR(INDEX($B$33:$AA$80,MATCH($C109,$AE$33:$AE$80,0),MATCH(G$86,$B$32:$AA$32,0)),0)</f>
        <v>0</v>
      </c>
      <c r="H109" s="19">
        <f>IFERROR(INDEX($B$33:$AA$80,MATCH($C109,$AE$33:$AE$80,0),MATCH(H$86,$B$32:$AA$32,0)),0)</f>
        <v>14</v>
      </c>
      <c r="I109" s="19">
        <f>IFERROR(INDEX($B$33:$AA$80,MATCH($C109,$AE$33:$AE$80,0),MATCH(I$86,$B$32:$AA$32,0)),0)</f>
        <v>3</v>
      </c>
      <c r="J109" s="19">
        <f>IFERROR(INDEX($B$33:$AA$80,MATCH($C109,$AE$33:$AE$80,0),MATCH(J$86,$B$32:$AA$32,0)),0)</f>
        <v>0</v>
      </c>
      <c r="K109" s="19">
        <f>IFERROR(INDEX($B$33:$AA$80,MATCH($C109,$AE$33:$AE$80,0),MATCH(K$86,$B$32:$AA$32,0)),0)</f>
        <v>3</v>
      </c>
      <c r="L109" s="19">
        <f>IFERROR(INDEX($B$33:$AA$80,MATCH($C109,$AE$33:$AE$80,0),MATCH(L$86,$B$32:$AA$32,0)),0)</f>
        <v>0</v>
      </c>
      <c r="M109" s="19">
        <f>IFERROR(INDEX($B$33:$AA$80,MATCH($C109,$AE$33:$AE$80,0),MATCH(M$86,$B$32:$AA$32,0)),0)</f>
        <v>0</v>
      </c>
      <c r="N109" s="19">
        <f>IFERROR(INDEX($B$33:$AA$80,MATCH($C109,$AE$33:$AE$80,0),MATCH(N$86,$B$32:$AA$32,0)),0)</f>
        <v>5.5</v>
      </c>
      <c r="O109" s="19">
        <f>IFERROR(INDEX($B$33:$AA$80,MATCH($C109,$AE$33:$AE$80,0),MATCH(O$86,$B$32:$AA$32,0)),0)</f>
        <v>0</v>
      </c>
      <c r="P109" s="19">
        <f>IFERROR(INDEX($B$33:$AA$80,MATCH($C109,$AE$33:$AE$80,0),MATCH(P$86,$B$32:$AA$32,0)),0)</f>
        <v>0</v>
      </c>
      <c r="Q109" s="19">
        <f>IFERROR(INDEX($B$33:$AA$80,MATCH($C109,$AE$33:$AE$80,0),MATCH(Q$86,$B$32:$AA$32,0)),0)</f>
        <v>0</v>
      </c>
      <c r="R109" s="19">
        <f>IFERROR(INDEX($B$33:$AA$80,MATCH($C109,$AE$33:$AE$80,0),MATCH(R$86,$B$32:$AA$32,0)),0)</f>
        <v>0</v>
      </c>
      <c r="S109" s="19">
        <f>IFERROR(INDEX($B$33:$AA$80,MATCH($C109,$AE$33:$AE$80,0),MATCH(S$86,$B$32:$AA$32,0)),0)</f>
        <v>0</v>
      </c>
      <c r="T109" s="19">
        <f>IFERROR(INDEX($B$33:$AA$80,MATCH($C109,$AE$33:$AE$80,0),MATCH(T$86,$B$32:$AA$32,0)),0)</f>
        <v>0</v>
      </c>
      <c r="U109" s="19">
        <f>IFERROR(INDEX($B$33:$AA$80,MATCH($C109,$AE$33:$AE$80,0),MATCH(U$86,$B$32:$AA$32,0)),0)</f>
        <v>0</v>
      </c>
      <c r="V109" s="19">
        <f>IFERROR(INDEX($B$33:$AA$80,MATCH($C109,$AE$33:$AE$80,0),MATCH(V$86,$B$32:$AA$32,0)),0)</f>
        <v>0</v>
      </c>
      <c r="W109" s="19">
        <f>IFERROR(INDEX($B$33:$AA$80,MATCH($C109,$AE$33:$AE$80,0),MATCH(W$86,$B$32:$AA$32,0)),0)</f>
        <v>1</v>
      </c>
      <c r="X109" s="19">
        <f>IFERROR(INDEX($B$33:$AA$80,MATCH($C109,$AE$33:$AE$80,0),MATCH(X$86,$B$32:$AA$32,0)),0)</f>
        <v>0</v>
      </c>
      <c r="Y109" s="19">
        <f>IFERROR(INDEX($B$33:$AA$80,MATCH($C109,$AE$33:$AE$80,0),MATCH(Y$86,$B$32:$AA$32,0)),0)</f>
        <v>0</v>
      </c>
      <c r="Z109" s="19">
        <f>IFERROR(INDEX($B$33:$AA$80,MATCH($C109,$AE$33:$AE$80,0),MATCH(Z$86,$B$32:$AA$32,0)),0)</f>
        <v>0</v>
      </c>
      <c r="AA109" s="19">
        <f>IFERROR(INDEX($B$33:$AA$80,MATCH($C109,$AE$33:$AE$80,0),MATCH(AA$86,$B$32:$AA$32,0)),0)</f>
        <v>0</v>
      </c>
      <c r="AB109" s="19">
        <f>IFERROR(INDEX($B$33:$AA$80,MATCH($C109,$AE$33:$AE$80,0),MATCH(AB$86,$B$32:$AA$32,0)),0)</f>
        <v>0</v>
      </c>
      <c r="AC109" s="19">
        <f>IFERROR(INDEX($B$33:$AA$80,MATCH($C109,$AE$33:$AE$80,0),MATCH(AC$86,$B$32:$AA$32,0)),0)</f>
        <v>1</v>
      </c>
      <c r="AD109" s="2">
        <f>SUM($D109:$AC109)</f>
        <v>33.5</v>
      </c>
      <c r="AE109" s="2">
        <f>IFERROR(N(INDEX(EMBELISHMENT!$B$29:$AQ$29,MATCH($C109,EMBELISHMENT!$B$1:$AQ$1,0))),0)</f>
        <v>3500</v>
      </c>
      <c r="AF109" s="2" t="str">
        <f>IF($B109="","NO WORK PAINTED ON BOARD",IF($AG109="VACANT","VACANT (no style)",IF($C109="(no recipe)","NO RECIPE IN EMBLISHMENT",IF(ISNA(MATCH($C109,EMBELISHMENT!$B$1:$AQ$1,0)),"RECIPE NOT FOUND",IF($AD109=0,"ZERO M/C","OK")))))</f>
        <v>OK</v>
      </c>
      <c r="AG109" s="14" t="str">
        <f>IFERROR(INDEX($M$5:$M$28,MATCH($B109,$K$5:$K$28,0)),"STYLE")</f>
        <v>STYLE</v>
      </c>
      <c r="AH109" s="2" t="str">
        <f>IFERROR(IF(INDEX($AG$33:$AG$80,MATCH($B109,$A$33:$A$80,0))="","(not set)",INDEX($AG$33:$AG$80,MATCH($B109,$A$33:$A$80,0))),"(not set)")</f>
        <v>BRIEF</v>
      </c>
    </row>
    <row r="110" spans="1:34">
      <c r="A110" s="19">
        <f>'LINE PLAN'!$A$29</f>
        <v>24</v>
      </c>
      <c r="B110" s="54">
        <f>IFERROR(IF(INDEX('LINE PLAN'!$B$36:$GS$61,MATCH($A110,'LINE PLAN'!$A$36:$A$61,0),MATCH(WORKINGS!$B$75,'LINE PLAN'!$B$35:$GS$35,0))="","",INDEX('LINE PLAN'!$B$36:$GS$61,MATCH($A110,'LINE PLAN'!$A$36:$A$61,0),MATCH(WORKINGS!$B$75,'LINE PLAN'!$B$35:$GS$35,0))),"")</f>
        <v>5520</v>
      </c>
      <c r="C110" s="19">
        <f>IFERROR(IF(INDEX($L$5:$L$28,MATCH($B110,$K$5:$K$28,0))="","(no recipe)",INDEX($L$5:$L$28,MATCH($B110,$K$5:$K$28,0))),$B110)</f>
        <v>5520</v>
      </c>
      <c r="D110" s="19">
        <f>IFERROR(INDEX($B$33:$AA$80,MATCH($C110,$AE$33:$AE$80,0),MATCH(D$86,$B$32:$AA$32,0)),0)</f>
        <v>2</v>
      </c>
      <c r="E110" s="19">
        <f>IFERROR(INDEX($B$33:$AA$80,MATCH($C110,$AE$33:$AE$80,0),MATCH(E$86,$B$32:$AA$32,0)),0)</f>
        <v>0</v>
      </c>
      <c r="F110" s="19">
        <f>IFERROR(INDEX($B$33:$AA$80,MATCH($C110,$AE$33:$AE$80,0),MATCH(F$86,$B$32:$AA$32,0)),0)</f>
        <v>0</v>
      </c>
      <c r="G110" s="19">
        <f>IFERROR(INDEX($B$33:$AA$80,MATCH($C110,$AE$33:$AE$80,0),MATCH(G$86,$B$32:$AA$32,0)),0)</f>
        <v>1</v>
      </c>
      <c r="H110" s="19">
        <f>IFERROR(INDEX($B$33:$AA$80,MATCH($C110,$AE$33:$AE$80,0),MATCH(H$86,$B$32:$AA$32,0)),0)</f>
        <v>10</v>
      </c>
      <c r="I110" s="19">
        <f>IFERROR(INDEX($B$33:$AA$80,MATCH($C110,$AE$33:$AE$80,0),MATCH(I$86,$B$32:$AA$32,0)),0)</f>
        <v>0</v>
      </c>
      <c r="J110" s="19">
        <f>IFERROR(INDEX($B$33:$AA$80,MATCH($C110,$AE$33:$AE$80,0),MATCH(J$86,$B$32:$AA$32,0)),0)</f>
        <v>0</v>
      </c>
      <c r="K110" s="19">
        <f>IFERROR(INDEX($B$33:$AA$80,MATCH($C110,$AE$33:$AE$80,0),MATCH(K$86,$B$32:$AA$32,0)),0)</f>
        <v>4</v>
      </c>
      <c r="L110" s="19">
        <f>IFERROR(INDEX($B$33:$AA$80,MATCH($C110,$AE$33:$AE$80,0),MATCH(L$86,$B$32:$AA$32,0)),0)</f>
        <v>3</v>
      </c>
      <c r="M110" s="19">
        <f>IFERROR(INDEX($B$33:$AA$80,MATCH($C110,$AE$33:$AE$80,0),MATCH(M$86,$B$32:$AA$32,0)),0)</f>
        <v>0</v>
      </c>
      <c r="N110" s="19">
        <f>IFERROR(INDEX($B$33:$AA$80,MATCH($C110,$AE$33:$AE$80,0),MATCH(N$86,$B$32:$AA$32,0)),0)</f>
        <v>0</v>
      </c>
      <c r="O110" s="19">
        <f>IFERROR(INDEX($B$33:$AA$80,MATCH($C110,$AE$33:$AE$80,0),MATCH(O$86,$B$32:$AA$32,0)),0)</f>
        <v>3</v>
      </c>
      <c r="P110" s="19">
        <f>IFERROR(INDEX($B$33:$AA$80,MATCH($C110,$AE$33:$AE$80,0),MATCH(P$86,$B$32:$AA$32,0)),0)</f>
        <v>0</v>
      </c>
      <c r="Q110" s="19">
        <f>IFERROR(INDEX($B$33:$AA$80,MATCH($C110,$AE$33:$AE$80,0),MATCH(Q$86,$B$32:$AA$32,0)),0)</f>
        <v>0</v>
      </c>
      <c r="R110" s="19">
        <f>IFERROR(INDEX($B$33:$AA$80,MATCH($C110,$AE$33:$AE$80,0),MATCH(R$86,$B$32:$AA$32,0)),0)</f>
        <v>4</v>
      </c>
      <c r="S110" s="19">
        <f>IFERROR(INDEX($B$33:$AA$80,MATCH($C110,$AE$33:$AE$80,0),MATCH(S$86,$B$32:$AA$32,0)),0)</f>
        <v>0</v>
      </c>
      <c r="T110" s="19">
        <f>IFERROR(INDEX($B$33:$AA$80,MATCH($C110,$AE$33:$AE$80,0),MATCH(T$86,$B$32:$AA$32,0)),0)</f>
        <v>0</v>
      </c>
      <c r="U110" s="19">
        <f>IFERROR(INDEX($B$33:$AA$80,MATCH($C110,$AE$33:$AE$80,0),MATCH(U$86,$B$32:$AA$32,0)),0)</f>
        <v>0</v>
      </c>
      <c r="V110" s="19">
        <f>IFERROR(INDEX($B$33:$AA$80,MATCH($C110,$AE$33:$AE$80,0),MATCH(V$86,$B$32:$AA$32,0)),0)</f>
        <v>4</v>
      </c>
      <c r="W110" s="19">
        <f>IFERROR(INDEX($B$33:$AA$80,MATCH($C110,$AE$33:$AE$80,0),MATCH(W$86,$B$32:$AA$32,0)),0)</f>
        <v>1</v>
      </c>
      <c r="X110" s="19">
        <f>IFERROR(INDEX($B$33:$AA$80,MATCH($C110,$AE$33:$AE$80,0),MATCH(X$86,$B$32:$AA$32,0)),0)</f>
        <v>0</v>
      </c>
      <c r="Y110" s="19">
        <f>IFERROR(INDEX($B$33:$AA$80,MATCH($C110,$AE$33:$AE$80,0),MATCH(Y$86,$B$32:$AA$32,0)),0)</f>
        <v>0</v>
      </c>
      <c r="Z110" s="19">
        <f>IFERROR(INDEX($B$33:$AA$80,MATCH($C110,$AE$33:$AE$80,0),MATCH(Z$86,$B$32:$AA$32,0)),0)</f>
        <v>0</v>
      </c>
      <c r="AA110" s="19">
        <f>IFERROR(INDEX($B$33:$AA$80,MATCH($C110,$AE$33:$AE$80,0),MATCH(AA$86,$B$32:$AA$32,0)),0)</f>
        <v>0</v>
      </c>
      <c r="AB110" s="19">
        <f>IFERROR(INDEX($B$33:$AA$80,MATCH($C110,$AE$33:$AE$80,0),MATCH(AB$86,$B$32:$AA$32,0)),0)</f>
        <v>0</v>
      </c>
      <c r="AC110" s="19">
        <f>IFERROR(INDEX($B$33:$AA$80,MATCH($C110,$AE$33:$AE$80,0),MATCH(AC$86,$B$32:$AA$32,0)),0)</f>
        <v>0</v>
      </c>
      <c r="AD110" s="2">
        <f>SUM($D110:$AC110)</f>
        <v>32</v>
      </c>
      <c r="AE110" s="2">
        <f>IFERROR(N(INDEX(EMBELISHMENT!$B$29:$AQ$29,MATCH($C110,EMBELISHMENT!$B$1:$AQ$1,0))),0)</f>
        <v>2000</v>
      </c>
      <c r="AF110" s="2" t="str">
        <f>IF($B110="","NO WORK PAINTED ON BOARD",IF($AG110="VACANT","VACANT (no style)",IF($C110="(no recipe)","NO RECIPE IN EMBLISHMENT",IF(ISNA(MATCH($C110,EMBELISHMENT!$B$1:$AQ$1,0)),"RECIPE NOT FOUND",IF($AD110=0,"ZERO M/C","OK")))))</f>
        <v>OK</v>
      </c>
      <c r="AG110" s="14" t="str">
        <f>IFERROR(INDEX($M$5:$M$28,MATCH($B110,$K$5:$K$28,0)),"STYLE")</f>
        <v>THERMAL</v>
      </c>
      <c r="AH110" s="2" t="str">
        <f>IFERROR(IF(INDEX($AG$33:$AG$80,MATCH($B110,$A$33:$A$80,0))="","(not set)",INDEX($AG$33:$AG$80,MATCH($B110,$A$33:$A$80,0))),"(not set)")</f>
        <v>THERMAL</v>
      </c>
    </row>
    <row r="111" spans="1:34">
      <c r="A111" s="19">
        <f>'LINE PLAN'!$A$30</f>
        <v>25</v>
      </c>
      <c r="B111" s="54">
        <f>IFERROR(IF(INDEX('LINE PLAN'!$B$36:$GS$61,MATCH($A111,'LINE PLAN'!$A$36:$A$61,0),MATCH(WORKINGS!$B$75,'LINE PLAN'!$B$35:$GS$35,0))="","",INDEX('LINE PLAN'!$B$36:$GS$61,MATCH($A111,'LINE PLAN'!$A$36:$A$61,0),MATCH(WORKINGS!$B$75,'LINE PLAN'!$B$35:$GS$35,0))),"")</f>
        <v>5520</v>
      </c>
      <c r="C111" s="19">
        <f>IFERROR(IF(INDEX($L$5:$L$28,MATCH($B111,$K$5:$K$28,0))="","(no recipe)",INDEX($L$5:$L$28,MATCH($B111,$K$5:$K$28,0))),$B111)</f>
        <v>5520</v>
      </c>
      <c r="D111" s="19">
        <f>IFERROR(INDEX($B$33:$AA$80,MATCH($C111,$AE$33:$AE$80,0),MATCH(D$86,$B$32:$AA$32,0)),0)</f>
        <v>2</v>
      </c>
      <c r="E111" s="19">
        <f>IFERROR(INDEX($B$33:$AA$80,MATCH($C111,$AE$33:$AE$80,0),MATCH(E$86,$B$32:$AA$32,0)),0)</f>
        <v>0</v>
      </c>
      <c r="F111" s="19">
        <f>IFERROR(INDEX($B$33:$AA$80,MATCH($C111,$AE$33:$AE$80,0),MATCH(F$86,$B$32:$AA$32,0)),0)</f>
        <v>0</v>
      </c>
      <c r="G111" s="19">
        <f>IFERROR(INDEX($B$33:$AA$80,MATCH($C111,$AE$33:$AE$80,0),MATCH(G$86,$B$32:$AA$32,0)),0)</f>
        <v>1</v>
      </c>
      <c r="H111" s="19">
        <f>IFERROR(INDEX($B$33:$AA$80,MATCH($C111,$AE$33:$AE$80,0),MATCH(H$86,$B$32:$AA$32,0)),0)</f>
        <v>10</v>
      </c>
      <c r="I111" s="19">
        <f>IFERROR(INDEX($B$33:$AA$80,MATCH($C111,$AE$33:$AE$80,0),MATCH(I$86,$B$32:$AA$32,0)),0)</f>
        <v>0</v>
      </c>
      <c r="J111" s="19">
        <f>IFERROR(INDEX($B$33:$AA$80,MATCH($C111,$AE$33:$AE$80,0),MATCH(J$86,$B$32:$AA$32,0)),0)</f>
        <v>0</v>
      </c>
      <c r="K111" s="19">
        <f>IFERROR(INDEX($B$33:$AA$80,MATCH($C111,$AE$33:$AE$80,0),MATCH(K$86,$B$32:$AA$32,0)),0)</f>
        <v>4</v>
      </c>
      <c r="L111" s="19">
        <f>IFERROR(INDEX($B$33:$AA$80,MATCH($C111,$AE$33:$AE$80,0),MATCH(L$86,$B$32:$AA$32,0)),0)</f>
        <v>3</v>
      </c>
      <c r="M111" s="19">
        <f>IFERROR(INDEX($B$33:$AA$80,MATCH($C111,$AE$33:$AE$80,0),MATCH(M$86,$B$32:$AA$32,0)),0)</f>
        <v>0</v>
      </c>
      <c r="N111" s="19">
        <f>IFERROR(INDEX($B$33:$AA$80,MATCH($C111,$AE$33:$AE$80,0),MATCH(N$86,$B$32:$AA$32,0)),0)</f>
        <v>0</v>
      </c>
      <c r="O111" s="19">
        <f>IFERROR(INDEX($B$33:$AA$80,MATCH($C111,$AE$33:$AE$80,0),MATCH(O$86,$B$32:$AA$32,0)),0)</f>
        <v>3</v>
      </c>
      <c r="P111" s="19">
        <f>IFERROR(INDEX($B$33:$AA$80,MATCH($C111,$AE$33:$AE$80,0),MATCH(P$86,$B$32:$AA$32,0)),0)</f>
        <v>0</v>
      </c>
      <c r="Q111" s="19">
        <f>IFERROR(INDEX($B$33:$AA$80,MATCH($C111,$AE$33:$AE$80,0),MATCH(Q$86,$B$32:$AA$32,0)),0)</f>
        <v>0</v>
      </c>
      <c r="R111" s="19">
        <f>IFERROR(INDEX($B$33:$AA$80,MATCH($C111,$AE$33:$AE$80,0),MATCH(R$86,$B$32:$AA$32,0)),0)</f>
        <v>4</v>
      </c>
      <c r="S111" s="19">
        <f>IFERROR(INDEX($B$33:$AA$80,MATCH($C111,$AE$33:$AE$80,0),MATCH(S$86,$B$32:$AA$32,0)),0)</f>
        <v>0</v>
      </c>
      <c r="T111" s="19">
        <f>IFERROR(INDEX($B$33:$AA$80,MATCH($C111,$AE$33:$AE$80,0),MATCH(T$86,$B$32:$AA$32,0)),0)</f>
        <v>0</v>
      </c>
      <c r="U111" s="19">
        <f>IFERROR(INDEX($B$33:$AA$80,MATCH($C111,$AE$33:$AE$80,0),MATCH(U$86,$B$32:$AA$32,0)),0)</f>
        <v>0</v>
      </c>
      <c r="V111" s="19">
        <f>IFERROR(INDEX($B$33:$AA$80,MATCH($C111,$AE$33:$AE$80,0),MATCH(V$86,$B$32:$AA$32,0)),0)</f>
        <v>4</v>
      </c>
      <c r="W111" s="19">
        <f>IFERROR(INDEX($B$33:$AA$80,MATCH($C111,$AE$33:$AE$80,0),MATCH(W$86,$B$32:$AA$32,0)),0)</f>
        <v>1</v>
      </c>
      <c r="X111" s="19">
        <f>IFERROR(INDEX($B$33:$AA$80,MATCH($C111,$AE$33:$AE$80,0),MATCH(X$86,$B$32:$AA$32,0)),0)</f>
        <v>0</v>
      </c>
      <c r="Y111" s="19">
        <f>IFERROR(INDEX($B$33:$AA$80,MATCH($C111,$AE$33:$AE$80,0),MATCH(Y$86,$B$32:$AA$32,0)),0)</f>
        <v>0</v>
      </c>
      <c r="Z111" s="19">
        <f>IFERROR(INDEX($B$33:$AA$80,MATCH($C111,$AE$33:$AE$80,0),MATCH(Z$86,$B$32:$AA$32,0)),0)</f>
        <v>0</v>
      </c>
      <c r="AA111" s="19">
        <f>IFERROR(INDEX($B$33:$AA$80,MATCH($C111,$AE$33:$AE$80,0),MATCH(AA$86,$B$32:$AA$32,0)),0)</f>
        <v>0</v>
      </c>
      <c r="AB111" s="19">
        <f>IFERROR(INDEX($B$33:$AA$80,MATCH($C111,$AE$33:$AE$80,0),MATCH(AB$86,$B$32:$AA$32,0)),0)</f>
        <v>0</v>
      </c>
      <c r="AC111" s="19">
        <f>IFERROR(INDEX($B$33:$AA$80,MATCH($C111,$AE$33:$AE$80,0),MATCH(AC$86,$B$32:$AA$32,0)),0)</f>
        <v>0</v>
      </c>
      <c r="AD111" s="2">
        <f>SUM($D111:$AC111)</f>
        <v>32</v>
      </c>
      <c r="AE111" s="2">
        <f>IFERROR(N(INDEX(EMBELISHMENT!$B$29:$AQ$29,MATCH($C111,EMBELISHMENT!$B$1:$AQ$1,0))),0)</f>
        <v>2000</v>
      </c>
      <c r="AF111" s="2" t="str">
        <f>IF($B111="","NO WORK PAINTED ON BOARD",IF($AG111="VACANT","VACANT (no style)",IF($C111="(no recipe)","NO RECIPE IN EMBLISHMENT",IF(ISNA(MATCH($C111,EMBELISHMENT!$B$1:$AQ$1,0)),"RECIPE NOT FOUND",IF($AD111=0,"ZERO M/C","OK")))))</f>
        <v>OK</v>
      </c>
      <c r="AG111" s="14" t="str">
        <f>IFERROR(INDEX($M$5:$M$28,MATCH($B111,$K$5:$K$28,0)),"STYLE")</f>
        <v>THERMAL</v>
      </c>
      <c r="AH111" s="2" t="str">
        <f>IFERROR(IF(INDEX($AG$33:$AG$80,MATCH($B111,$A$33:$A$80,0))="","(not set)",INDEX($AG$33:$AG$80,MATCH($B111,$A$33:$A$80,0))),"(not set)")</f>
        <v>THERMAL</v>
      </c>
    </row>
    <row r="112" spans="1:34">
      <c r="A112" s="19">
        <f>'LINE PLAN'!$A$31</f>
        <v>26</v>
      </c>
      <c r="B112" s="54">
        <f>IFERROR(IF(INDEX('LINE PLAN'!$B$36:$GS$61,MATCH($A112,'LINE PLAN'!$A$36:$A$61,0),MATCH(WORKINGS!$B$75,'LINE PLAN'!$B$35:$GS$35,0))="","",INDEX('LINE PLAN'!$B$36:$GS$61,MATCH($A112,'LINE PLAN'!$A$36:$A$61,0),MATCH(WORKINGS!$B$75,'LINE PLAN'!$B$35:$GS$35,0))),"")</f>
        <v>6135</v>
      </c>
      <c r="C112" s="19">
        <f>IFERROR(IF(INDEX($L$5:$L$28,MATCH($B112,$K$5:$K$28,0))="","(no recipe)",INDEX($L$5:$L$28,MATCH($B112,$K$5:$K$28,0))),$B112)</f>
        <v>6135</v>
      </c>
      <c r="D112" s="19">
        <f>IFERROR(INDEX($B$33:$AA$80,MATCH($C112,$AE$33:$AE$80,0),MATCH(D$86,$B$32:$AA$32,0)),0)</f>
        <v>6</v>
      </c>
      <c r="E112" s="19">
        <f>IFERROR(INDEX($B$33:$AA$80,MATCH($C112,$AE$33:$AE$80,0),MATCH(E$86,$B$32:$AA$32,0)),0)</f>
        <v>0</v>
      </c>
      <c r="F112" s="19">
        <f>IFERROR(INDEX($B$33:$AA$80,MATCH($C112,$AE$33:$AE$80,0),MATCH(F$86,$B$32:$AA$32,0)),0)</f>
        <v>0</v>
      </c>
      <c r="G112" s="19">
        <f>IFERROR(INDEX($B$33:$AA$80,MATCH($C112,$AE$33:$AE$80,0),MATCH(G$86,$B$32:$AA$32,0)),0)</f>
        <v>0</v>
      </c>
      <c r="H112" s="19">
        <f>IFERROR(INDEX($B$33:$AA$80,MATCH($C112,$AE$33:$AE$80,0),MATCH(H$86,$B$32:$AA$32,0)),0)</f>
        <v>14</v>
      </c>
      <c r="I112" s="19">
        <f>IFERROR(INDEX($B$33:$AA$80,MATCH($C112,$AE$33:$AE$80,0),MATCH(I$86,$B$32:$AA$32,0)),0)</f>
        <v>3</v>
      </c>
      <c r="J112" s="19">
        <f>IFERROR(INDEX($B$33:$AA$80,MATCH($C112,$AE$33:$AE$80,0),MATCH(J$86,$B$32:$AA$32,0)),0)</f>
        <v>0</v>
      </c>
      <c r="K112" s="19">
        <f>IFERROR(INDEX($B$33:$AA$80,MATCH($C112,$AE$33:$AE$80,0),MATCH(K$86,$B$32:$AA$32,0)),0)</f>
        <v>3</v>
      </c>
      <c r="L112" s="19">
        <f>IFERROR(INDEX($B$33:$AA$80,MATCH($C112,$AE$33:$AE$80,0),MATCH(L$86,$B$32:$AA$32,0)),0)</f>
        <v>0</v>
      </c>
      <c r="M112" s="19">
        <f>IFERROR(INDEX($B$33:$AA$80,MATCH($C112,$AE$33:$AE$80,0),MATCH(M$86,$B$32:$AA$32,0)),0)</f>
        <v>0</v>
      </c>
      <c r="N112" s="19">
        <f>IFERROR(INDEX($B$33:$AA$80,MATCH($C112,$AE$33:$AE$80,0),MATCH(N$86,$B$32:$AA$32,0)),0)</f>
        <v>5.5</v>
      </c>
      <c r="O112" s="19">
        <f>IFERROR(INDEX($B$33:$AA$80,MATCH($C112,$AE$33:$AE$80,0),MATCH(O$86,$B$32:$AA$32,0)),0)</f>
        <v>0</v>
      </c>
      <c r="P112" s="19">
        <f>IFERROR(INDEX($B$33:$AA$80,MATCH($C112,$AE$33:$AE$80,0),MATCH(P$86,$B$32:$AA$32,0)),0)</f>
        <v>0</v>
      </c>
      <c r="Q112" s="19">
        <f>IFERROR(INDEX($B$33:$AA$80,MATCH($C112,$AE$33:$AE$80,0),MATCH(Q$86,$B$32:$AA$32,0)),0)</f>
        <v>0</v>
      </c>
      <c r="R112" s="19">
        <f>IFERROR(INDEX($B$33:$AA$80,MATCH($C112,$AE$33:$AE$80,0),MATCH(R$86,$B$32:$AA$32,0)),0)</f>
        <v>0</v>
      </c>
      <c r="S112" s="19">
        <f>IFERROR(INDEX($B$33:$AA$80,MATCH($C112,$AE$33:$AE$80,0),MATCH(S$86,$B$32:$AA$32,0)),0)</f>
        <v>0</v>
      </c>
      <c r="T112" s="19">
        <f>IFERROR(INDEX($B$33:$AA$80,MATCH($C112,$AE$33:$AE$80,0),MATCH(T$86,$B$32:$AA$32,0)),0)</f>
        <v>0</v>
      </c>
      <c r="U112" s="19">
        <f>IFERROR(INDEX($B$33:$AA$80,MATCH($C112,$AE$33:$AE$80,0),MATCH(U$86,$B$32:$AA$32,0)),0)</f>
        <v>0</v>
      </c>
      <c r="V112" s="19">
        <f>IFERROR(INDEX($B$33:$AA$80,MATCH($C112,$AE$33:$AE$80,0),MATCH(V$86,$B$32:$AA$32,0)),0)</f>
        <v>0</v>
      </c>
      <c r="W112" s="19">
        <f>IFERROR(INDEX($B$33:$AA$80,MATCH($C112,$AE$33:$AE$80,0),MATCH(W$86,$B$32:$AA$32,0)),0)</f>
        <v>1</v>
      </c>
      <c r="X112" s="19">
        <f>IFERROR(INDEX($B$33:$AA$80,MATCH($C112,$AE$33:$AE$80,0),MATCH(X$86,$B$32:$AA$32,0)),0)</f>
        <v>0</v>
      </c>
      <c r="Y112" s="19">
        <f>IFERROR(INDEX($B$33:$AA$80,MATCH($C112,$AE$33:$AE$80,0),MATCH(Y$86,$B$32:$AA$32,0)),0)</f>
        <v>0</v>
      </c>
      <c r="Z112" s="19">
        <f>IFERROR(INDEX($B$33:$AA$80,MATCH($C112,$AE$33:$AE$80,0),MATCH(Z$86,$B$32:$AA$32,0)),0)</f>
        <v>0</v>
      </c>
      <c r="AA112" s="19">
        <f>IFERROR(INDEX($B$33:$AA$80,MATCH($C112,$AE$33:$AE$80,0),MATCH(AA$86,$B$32:$AA$32,0)),0)</f>
        <v>0</v>
      </c>
      <c r="AB112" s="19">
        <f>IFERROR(INDEX($B$33:$AA$80,MATCH($C112,$AE$33:$AE$80,0),MATCH(AB$86,$B$32:$AA$32,0)),0)</f>
        <v>0</v>
      </c>
      <c r="AC112" s="19">
        <f>IFERROR(INDEX($B$33:$AA$80,MATCH($C112,$AE$33:$AE$80,0),MATCH(AC$86,$B$32:$AA$32,0)),0)</f>
        <v>1</v>
      </c>
      <c r="AD112" s="2">
        <f>SUM($D112:$AC112)</f>
        <v>33.5</v>
      </c>
      <c r="AE112" s="2">
        <f>IFERROR(N(INDEX(EMBELISHMENT!$B$29:$AQ$29,MATCH($C112,EMBELISHMENT!$B$1:$AQ$1,0))),0)</f>
        <v>3500</v>
      </c>
      <c r="AF112" s="2" t="str">
        <f>IF($B112="","NO WORK PAINTED ON BOARD",IF($AG112="VACANT","VACANT (no style)",IF($C112="(no recipe)","NO RECIPE IN EMBLISHMENT",IF(ISNA(MATCH($C112,EMBELISHMENT!$B$1:$AQ$1,0)),"RECIPE NOT FOUND",IF($AD112=0,"ZERO M/C","OK")))))</f>
        <v>OK</v>
      </c>
      <c r="AG112" s="14" t="str">
        <f>IFERROR(INDEX($M$5:$M$28,MATCH($B112,$K$5:$K$28,0)),"STYLE")</f>
        <v>STYLE</v>
      </c>
      <c r="AH112" s="2" t="str">
        <f>IFERROR(IF(INDEX($AG$33:$AG$80,MATCH($B112,$A$33:$A$80,0))="","(not set)",INDEX($AG$33:$AG$80,MATCH($B112,$A$33:$A$80,0))),"(not set)")</f>
        <v>BRIEF</v>
      </c>
    </row>
    <row r="113" spans="1:51">
      <c r="A113" s="279" t="s">
        <v>222</v>
      </c>
      <c r="D113" s="280">
        <f>SUM(D87:D112)</f>
        <v>152</v>
      </c>
      <c r="E113" s="280">
        <f>SUM(E87:E112)</f>
        <v>1</v>
      </c>
      <c r="F113" s="280">
        <f>SUM(F87:F112)</f>
        <v>0</v>
      </c>
      <c r="G113" s="280">
        <f>SUM(G87:G112)</f>
        <v>4</v>
      </c>
      <c r="H113" s="280">
        <f>SUM(H87:H112)</f>
        <v>291</v>
      </c>
      <c r="I113" s="280">
        <f>SUM(I87:I112)</f>
        <v>31</v>
      </c>
      <c r="J113" s="280">
        <f>SUM(J87:J112)</f>
        <v>0</v>
      </c>
      <c r="K113" s="280">
        <f>SUM(K87:K112)</f>
        <v>36</v>
      </c>
      <c r="L113" s="280">
        <f>SUM(L87:L112)</f>
        <v>22.5</v>
      </c>
      <c r="M113" s="280">
        <f>SUM(M87:M112)</f>
        <v>4</v>
      </c>
      <c r="N113" s="280">
        <f>SUM(N87:N112)</f>
        <v>43.5</v>
      </c>
      <c r="O113" s="280">
        <f>SUM(O87:O112)</f>
        <v>17</v>
      </c>
      <c r="P113" s="280">
        <f>SUM(P87:P112)</f>
        <v>34.5</v>
      </c>
      <c r="Q113" s="280">
        <f>SUM(Q87:Q112)</f>
        <v>40</v>
      </c>
      <c r="R113" s="280">
        <f>SUM(R87:R112)</f>
        <v>47</v>
      </c>
      <c r="S113" s="280">
        <f>SUM(S87:S112)</f>
        <v>0</v>
      </c>
      <c r="T113" s="280">
        <f>SUM(T87:T112)</f>
        <v>3</v>
      </c>
      <c r="U113" s="280">
        <f>SUM(U87:U112)</f>
        <v>0</v>
      </c>
      <c r="V113" s="280">
        <f>SUM(V87:V112)</f>
        <v>13</v>
      </c>
      <c r="W113" s="280">
        <f>SUM(W87:W112)</f>
        <v>31</v>
      </c>
      <c r="X113" s="280">
        <f>SUM(X87:X112)</f>
        <v>2</v>
      </c>
      <c r="Y113" s="280">
        <f>SUM(Y87:Y112)</f>
        <v>2</v>
      </c>
      <c r="Z113" s="280">
        <f>SUM(Z87:Z112)</f>
        <v>0</v>
      </c>
      <c r="AA113" s="280">
        <f>SUM(AA87:AA112)</f>
        <v>4.5</v>
      </c>
      <c r="AB113" s="280">
        <f>SUM(AB87:AB112)</f>
        <v>0</v>
      </c>
      <c r="AC113" s="280">
        <f>SUM(AC87:AC112)</f>
        <v>29</v>
      </c>
      <c r="AD113" s="279">
        <f>SUM(AD87:AD112)</f>
        <v>808</v>
      </c>
      <c r="AE113" s="279">
        <f>SUM(AE87:AE112)</f>
        <v>81700</v>
      </c>
    </row>
    <row r="119" spans="1:51">
      <c r="A119" s="9" t="s">
        <v>405</v>
      </c>
      <c r="B119" s="10"/>
      <c r="C119" s="10"/>
      <c r="D119" s="10"/>
      <c r="E119" s="10"/>
      <c r="AX119" s="52" t="s">
        <v>381</v>
      </c>
      <c r="AY119" s="52">
        <f>IFERROR(MATCH($B$120,'DEMAND BY DATE'!$BE$27:$BE$30,0),1)</f>
        <v>1</v>
      </c>
    </row>
    <row r="120" spans="1:51">
      <c r="A120" s="281" t="s">
        <v>385</v>
      </c>
      <c r="B120" s="300" t="s">
        <v>380</v>
      </c>
      <c r="D120" s="282" t="str">
        <f ca="1">"In "&amp;$B$120&amp;": "&amp;COUNTIF($B$123:$B$148,"BUY*")&amp;" machine types must be added, "&amp;TEXT(-SUMIF($E$123:$E$148,"&lt;0"),"#,##0.0")&amp;" machines in total.  Worst: "&amp;$A$123&amp;" ("&amp;TEXT(-$E$123,"#,##0.0")&amp;").  "&amp;COUNTIF($B$123:$B$148,"IDLE*")&amp;" types sit idle all month."</f>
        <v>In August 2026: 6 machine types must be added, 46.5 machines in total.  Worst: 4th Overlock (12.0).  6 types sit idle all month.</v>
      </c>
      <c r="AX120" s="52" t="s">
        <v>382</v>
      </c>
      <c r="AY120" s="52">
        <f>INDEX('DEMAND BY DATE'!$BK$27:$BK$30,$AY$119)</f>
        <v>1</v>
      </c>
    </row>
    <row r="121" spans="1:51">
      <c r="AX121" s="52" t="s">
        <v>383</v>
      </c>
      <c r="AY121" s="52">
        <f>INDEX('DEMAND BY DATE'!$BL$27:$BL$30,$AY$119)</f>
        <v>31</v>
      </c>
    </row>
    <row r="122" spans="1:51">
      <c r="A122" s="283" t="s">
        <v>228</v>
      </c>
      <c r="B122" s="283" t="s">
        <v>411</v>
      </c>
      <c r="C122" s="283" t="s">
        <v>209</v>
      </c>
      <c r="D122" s="283" t="s">
        <v>412</v>
      </c>
      <c r="E122" s="283" t="s">
        <v>235</v>
      </c>
      <c r="F122" s="283" t="s">
        <v>413</v>
      </c>
      <c r="G122" s="284">
        <f>IF(1&gt;$AY$121,"",INDEX('DEMAND BY DATE'!$A$4:$A$203,$AY$120+0))</f>
        <v>46235</v>
      </c>
      <c r="H122" s="284">
        <f>IF(2&gt;$AY$121,"",INDEX('DEMAND BY DATE'!$A$4:$A$203,$AY$120+1))</f>
        <v>46236</v>
      </c>
      <c r="I122" s="284">
        <f>IF(3&gt;$AY$121,"",INDEX('DEMAND BY DATE'!$A$4:$A$203,$AY$120+2))</f>
        <v>46237</v>
      </c>
      <c r="J122" s="284">
        <f>IF(4&gt;$AY$121,"",INDEX('DEMAND BY DATE'!$A$4:$A$203,$AY$120+3))</f>
        <v>46238</v>
      </c>
      <c r="K122" s="284">
        <f>IF(5&gt;$AY$121,"",INDEX('DEMAND BY DATE'!$A$4:$A$203,$AY$120+4))</f>
        <v>46239</v>
      </c>
      <c r="L122" s="284">
        <f>IF(6&gt;$AY$121,"",INDEX('DEMAND BY DATE'!$A$4:$A$203,$AY$120+5))</f>
        <v>46240</v>
      </c>
      <c r="M122" s="284">
        <f>IF(7&gt;$AY$121,"",INDEX('DEMAND BY DATE'!$A$4:$A$203,$AY$120+6))</f>
        <v>46241</v>
      </c>
      <c r="N122" s="284">
        <f>IF(8&gt;$AY$121,"",INDEX('DEMAND BY DATE'!$A$4:$A$203,$AY$120+7))</f>
        <v>46242</v>
      </c>
      <c r="O122" s="284">
        <f>IF(9&gt;$AY$121,"",INDEX('DEMAND BY DATE'!$A$4:$A$203,$AY$120+8))</f>
        <v>46243</v>
      </c>
      <c r="P122" s="284">
        <f>IF(10&gt;$AY$121,"",INDEX('DEMAND BY DATE'!$A$4:$A$203,$AY$120+9))</f>
        <v>46244</v>
      </c>
      <c r="Q122" s="284">
        <f>IF(11&gt;$AY$121,"",INDEX('DEMAND BY DATE'!$A$4:$A$203,$AY$120+10))</f>
        <v>46245</v>
      </c>
      <c r="R122" s="284">
        <f>IF(12&gt;$AY$121,"",INDEX('DEMAND BY DATE'!$A$4:$A$203,$AY$120+11))</f>
        <v>46246</v>
      </c>
      <c r="S122" s="284">
        <f>IF(13&gt;$AY$121,"",INDEX('DEMAND BY DATE'!$A$4:$A$203,$AY$120+12))</f>
        <v>46247</v>
      </c>
      <c r="T122" s="284">
        <f>IF(14&gt;$AY$121,"",INDEX('DEMAND BY DATE'!$A$4:$A$203,$AY$120+13))</f>
        <v>46248</v>
      </c>
      <c r="U122" s="284">
        <f>IF(15&gt;$AY$121,"",INDEX('DEMAND BY DATE'!$A$4:$A$203,$AY$120+14))</f>
        <v>46249</v>
      </c>
      <c r="V122" s="284">
        <f>IF(16&gt;$AY$121,"",INDEX('DEMAND BY DATE'!$A$4:$A$203,$AY$120+15))</f>
        <v>46250</v>
      </c>
      <c r="W122" s="284">
        <f>IF(17&gt;$AY$121,"",INDEX('DEMAND BY DATE'!$A$4:$A$203,$AY$120+16))</f>
        <v>46251</v>
      </c>
      <c r="X122" s="284">
        <f>IF(18&gt;$AY$121,"",INDEX('DEMAND BY DATE'!$A$4:$A$203,$AY$120+17))</f>
        <v>46252</v>
      </c>
      <c r="Y122" s="284">
        <f>IF(19&gt;$AY$121,"",INDEX('DEMAND BY DATE'!$A$4:$A$203,$AY$120+18))</f>
        <v>46253</v>
      </c>
      <c r="Z122" s="284">
        <f>IF(20&gt;$AY$121,"",INDEX('DEMAND BY DATE'!$A$4:$A$203,$AY$120+19))</f>
        <v>46254</v>
      </c>
      <c r="AA122" s="284">
        <f>IF(21&gt;$AY$121,"",INDEX('DEMAND BY DATE'!$A$4:$A$203,$AY$120+20))</f>
        <v>46255</v>
      </c>
      <c r="AB122" s="284">
        <f>IF(22&gt;$AY$121,"",INDEX('DEMAND BY DATE'!$A$4:$A$203,$AY$120+21))</f>
        <v>46256</v>
      </c>
      <c r="AC122" s="284">
        <f>IF(23&gt;$AY$121,"",INDEX('DEMAND BY DATE'!$A$4:$A$203,$AY$120+22))</f>
        <v>46257</v>
      </c>
      <c r="AD122" s="284">
        <f>IF(24&gt;$AY$121,"",INDEX('DEMAND BY DATE'!$A$4:$A$203,$AY$120+23))</f>
        <v>46258</v>
      </c>
      <c r="AE122" s="284">
        <f>IF(25&gt;$AY$121,"",INDEX('DEMAND BY DATE'!$A$4:$A$203,$AY$120+24))</f>
        <v>46259</v>
      </c>
      <c r="AF122" s="284">
        <f>IF(26&gt;$AY$121,"",INDEX('DEMAND BY DATE'!$A$4:$A$203,$AY$120+25))</f>
        <v>46260</v>
      </c>
      <c r="AG122" s="284">
        <f>IF(27&gt;$AY$121,"",INDEX('DEMAND BY DATE'!$A$4:$A$203,$AY$120+26))</f>
        <v>46261</v>
      </c>
      <c r="AH122" s="284">
        <f>IF(28&gt;$AY$121,"",INDEX('DEMAND BY DATE'!$A$4:$A$203,$AY$120+27))</f>
        <v>46262</v>
      </c>
      <c r="AI122" s="284">
        <f>IF(29&gt;$AY$121,"",INDEX('DEMAND BY DATE'!$A$4:$A$203,$AY$120+28))</f>
        <v>46263</v>
      </c>
      <c r="AJ122" s="284">
        <f>IF(30&gt;$AY$121,"",INDEX('DEMAND BY DATE'!$A$4:$A$203,$AY$120+29))</f>
        <v>46264</v>
      </c>
      <c r="AK122" s="284">
        <f>IF(31&gt;$AY$121,"",INDEX('DEMAND BY DATE'!$A$4:$A$203,$AY$120+30))</f>
        <v>46265</v>
      </c>
      <c r="AX122" s="52" t="s">
        <v>384</v>
      </c>
      <c r="AY122" s="52" cm="1">
        <f t="array" ref="AY122">SUMPRODUCT(--($G$151:$AK$151="Y"))</f>
        <v>26</v>
      </c>
    </row>
    <row r="123" spans="1:51">
      <c r="A123" s="2" t="str">
        <f ca="1">INDEX(WORKINGS!$A$85:$A$110,MATCH(SMALL(WORKINGS!$E$85:$E$110,1),WORKINGS!$E$85:$E$110,0))</f>
        <v>4th Overlock</v>
      </c>
      <c r="B123" s="2" t="str">
        <f ca="1">IF($D123=0,"IDLE — no style uses it",IF($E123&lt;0,"BUY "&amp;TEXT(-$E123,"#,##0.0")&amp;" — short on "&amp;$F123&amp;" of "&amp;$AY$122&amp;" days",IF($E123/$C123&lt;=0.1,"TIGHT — under 10% spare","OK")))</f>
        <v>BUY 12.0 — short on 11 of 26 days</v>
      </c>
      <c r="C123" s="2">
        <f ca="1">IFERROR(INDEX('MC MASTER'!$C$3:$C$28,MATCH($A123,'MC MASTER'!$B$3:$B$28,0)),0)</f>
        <v>279</v>
      </c>
      <c r="D123" s="2">
        <f ca="1">MAX($G123:$AK123)</f>
        <v>291</v>
      </c>
      <c r="E123" s="2">
        <f ca="1">$C123-$D123</f>
        <v>-12</v>
      </c>
      <c r="F123" s="2" cm="1">
        <f t="array" aca="1" ref="F123" ca="1">SUMPRODUCT((ISNUMBER($G123:$AK123))*($G123:$AK123&gt;$C123)*($G$151:$AK$151="Y"))</f>
        <v>11</v>
      </c>
      <c r="G123" s="285">
        <f ca="1">IF(G$122="","",INDEX('DEMAND BY DATE'!$B$4:$AA$203,MATCH(G$122,'DEMAND BY DATE'!$A$4:$A$203,0),MATCH($A123,'DEMAND BY DATE'!$B$3:$AA$3,0)))</f>
        <v>291</v>
      </c>
      <c r="H123" s="285">
        <f ca="1">IF(H$122="","",INDEX('DEMAND BY DATE'!$B$4:$AA$203,MATCH(H$122,'DEMAND BY DATE'!$A$4:$A$203,0),MATCH($A123,'DEMAND BY DATE'!$B$3:$AA$3,0)))</f>
        <v>291</v>
      </c>
      <c r="I123" s="285">
        <f ca="1">IF(I$122="","",INDEX('DEMAND BY DATE'!$B$4:$AA$203,MATCH(I$122,'DEMAND BY DATE'!$A$4:$A$203,0),MATCH($A123,'DEMAND BY DATE'!$B$3:$AA$3,0)))</f>
        <v>291</v>
      </c>
      <c r="J123" s="285">
        <f ca="1">IF(J$122="","",INDEX('DEMAND BY DATE'!$B$4:$AA$203,MATCH(J$122,'DEMAND BY DATE'!$A$4:$A$203,0),MATCH($A123,'DEMAND BY DATE'!$B$3:$AA$3,0)))</f>
        <v>291</v>
      </c>
      <c r="K123" s="285">
        <f ca="1">IF(K$122="","",INDEX('DEMAND BY DATE'!$B$4:$AA$203,MATCH(K$122,'DEMAND BY DATE'!$A$4:$A$203,0),MATCH($A123,'DEMAND BY DATE'!$B$3:$AA$3,0)))</f>
        <v>291</v>
      </c>
      <c r="L123" s="285">
        <f ca="1">IF(L$122="","",INDEX('DEMAND BY DATE'!$B$4:$AA$203,MATCH(L$122,'DEMAND BY DATE'!$A$4:$A$203,0),MATCH($A123,'DEMAND BY DATE'!$B$3:$AA$3,0)))</f>
        <v>291</v>
      </c>
      <c r="M123" s="285">
        <f ca="1">IF(M$122="","",INDEX('DEMAND BY DATE'!$B$4:$AA$203,MATCH(M$122,'DEMAND BY DATE'!$A$4:$A$203,0),MATCH($A123,'DEMAND BY DATE'!$B$3:$AA$3,0)))</f>
        <v>291</v>
      </c>
      <c r="N123" s="285">
        <f ca="1">IF(N$122="","",INDEX('DEMAND BY DATE'!$B$4:$AA$203,MATCH(N$122,'DEMAND BY DATE'!$A$4:$A$203,0),MATCH($A123,'DEMAND BY DATE'!$B$3:$AA$3,0)))</f>
        <v>291</v>
      </c>
      <c r="O123" s="285">
        <f ca="1">IF(O$122="","",INDEX('DEMAND BY DATE'!$B$4:$AA$203,MATCH(O$122,'DEMAND BY DATE'!$A$4:$A$203,0),MATCH($A123,'DEMAND BY DATE'!$B$3:$AA$3,0)))</f>
        <v>291</v>
      </c>
      <c r="P123" s="285">
        <f ca="1">IF(P$122="","",INDEX('DEMAND BY DATE'!$B$4:$AA$203,MATCH(P$122,'DEMAND BY DATE'!$A$4:$A$203,0),MATCH($A123,'DEMAND BY DATE'!$B$3:$AA$3,0)))</f>
        <v>291</v>
      </c>
      <c r="Q123" s="285">
        <f ca="1">IF(Q$122="","",INDEX('DEMAND BY DATE'!$B$4:$AA$203,MATCH(Q$122,'DEMAND BY DATE'!$A$4:$A$203,0),MATCH($A123,'DEMAND BY DATE'!$B$3:$AA$3,0)))</f>
        <v>291</v>
      </c>
      <c r="R123" s="285">
        <f ca="1">IF(R$122="","",INDEX('DEMAND BY DATE'!$B$4:$AA$203,MATCH(R$122,'DEMAND BY DATE'!$A$4:$A$203,0),MATCH($A123,'DEMAND BY DATE'!$B$3:$AA$3,0)))</f>
        <v>283</v>
      </c>
      <c r="S123" s="285">
        <f ca="1">IF(S$122="","",INDEX('DEMAND BY DATE'!$B$4:$AA$203,MATCH(S$122,'DEMAND BY DATE'!$A$4:$A$203,0),MATCH($A123,'DEMAND BY DATE'!$B$3:$AA$3,0)))</f>
        <v>283</v>
      </c>
      <c r="T123" s="285">
        <f ca="1">IF(T$122="","",INDEX('DEMAND BY DATE'!$B$4:$AA$203,MATCH(T$122,'DEMAND BY DATE'!$A$4:$A$203,0),MATCH($A123,'DEMAND BY DATE'!$B$3:$AA$3,0)))</f>
        <v>214</v>
      </c>
      <c r="U123" s="285">
        <f ca="1">IF(U$122="","",INDEX('DEMAND BY DATE'!$B$4:$AA$203,MATCH(U$122,'DEMAND BY DATE'!$A$4:$A$203,0),MATCH($A123,'DEMAND BY DATE'!$B$3:$AA$3,0)))</f>
        <v>266</v>
      </c>
      <c r="V123" s="285">
        <f ca="1">IF(V$122="","",INDEX('DEMAND BY DATE'!$B$4:$AA$203,MATCH(V$122,'DEMAND BY DATE'!$A$4:$A$203,0),MATCH($A123,'DEMAND BY DATE'!$B$3:$AA$3,0)))</f>
        <v>266</v>
      </c>
      <c r="W123" s="285">
        <f ca="1">IF(W$122="","",INDEX('DEMAND BY DATE'!$B$4:$AA$203,MATCH(W$122,'DEMAND BY DATE'!$A$4:$A$203,0),MATCH($A123,'DEMAND BY DATE'!$B$3:$AA$3,0)))</f>
        <v>266</v>
      </c>
      <c r="X123" s="285">
        <f ca="1">IF(X$122="","",INDEX('DEMAND BY DATE'!$B$4:$AA$203,MATCH(X$122,'DEMAND BY DATE'!$A$4:$A$203,0),MATCH($A123,'DEMAND BY DATE'!$B$3:$AA$3,0)))</f>
        <v>266</v>
      </c>
      <c r="Y123" s="285">
        <f ca="1">IF(Y$122="","",INDEX('DEMAND BY DATE'!$B$4:$AA$203,MATCH(Y$122,'DEMAND BY DATE'!$A$4:$A$203,0),MATCH($A123,'DEMAND BY DATE'!$B$3:$AA$3,0)))</f>
        <v>266</v>
      </c>
      <c r="Z123" s="285">
        <f ca="1">IF(Z$122="","",INDEX('DEMAND BY DATE'!$B$4:$AA$203,MATCH(Z$122,'DEMAND BY DATE'!$A$4:$A$203,0),MATCH($A123,'DEMAND BY DATE'!$B$3:$AA$3,0)))</f>
        <v>266</v>
      </c>
      <c r="AA123" s="285">
        <f ca="1">IF(AA$122="","",INDEX('DEMAND BY DATE'!$B$4:$AA$203,MATCH(AA$122,'DEMAND BY DATE'!$A$4:$A$203,0),MATCH($A123,'DEMAND BY DATE'!$B$3:$AA$3,0)))</f>
        <v>266</v>
      </c>
      <c r="AB123" s="285">
        <f ca="1">IF(AB$122="","",INDEX('DEMAND BY DATE'!$B$4:$AA$203,MATCH(AB$122,'DEMAND BY DATE'!$A$4:$A$203,0),MATCH($A123,'DEMAND BY DATE'!$B$3:$AA$3,0)))</f>
        <v>266</v>
      </c>
      <c r="AC123" s="285">
        <f ca="1">IF(AC$122="","",INDEX('DEMAND BY DATE'!$B$4:$AA$203,MATCH(AC$122,'DEMAND BY DATE'!$A$4:$A$203,0),MATCH($A123,'DEMAND BY DATE'!$B$3:$AA$3,0)))</f>
        <v>266</v>
      </c>
      <c r="AD123" s="285">
        <f ca="1">IF(AD$122="","",INDEX('DEMAND BY DATE'!$B$4:$AA$203,MATCH(AD$122,'DEMAND BY DATE'!$A$4:$A$203,0),MATCH($A123,'DEMAND BY DATE'!$B$3:$AA$3,0)))</f>
        <v>266</v>
      </c>
      <c r="AE123" s="285">
        <f ca="1">IF(AE$122="","",INDEX('DEMAND BY DATE'!$B$4:$AA$203,MATCH(AE$122,'DEMAND BY DATE'!$A$4:$A$203,0),MATCH($A123,'DEMAND BY DATE'!$B$3:$AA$3,0)))</f>
        <v>266</v>
      </c>
      <c r="AF123" s="285">
        <f ca="1">IF(AF$122="","",INDEX('DEMAND BY DATE'!$B$4:$AA$203,MATCH(AF$122,'DEMAND BY DATE'!$A$4:$A$203,0),MATCH($A123,'DEMAND BY DATE'!$B$3:$AA$3,0)))</f>
        <v>266</v>
      </c>
      <c r="AG123" s="285">
        <f ca="1">IF(AG$122="","",INDEX('DEMAND BY DATE'!$B$4:$AA$203,MATCH(AG$122,'DEMAND BY DATE'!$A$4:$A$203,0),MATCH($A123,'DEMAND BY DATE'!$B$3:$AA$3,0)))</f>
        <v>266</v>
      </c>
      <c r="AH123" s="285">
        <f ca="1">IF(AH$122="","",INDEX('DEMAND BY DATE'!$B$4:$AA$203,MATCH(AH$122,'DEMAND BY DATE'!$A$4:$A$203,0),MATCH($A123,'DEMAND BY DATE'!$B$3:$AA$3,0)))</f>
        <v>266</v>
      </c>
      <c r="AI123" s="285">
        <f ca="1">IF(AI$122="","",INDEX('DEMAND BY DATE'!$B$4:$AA$203,MATCH(AI$122,'DEMAND BY DATE'!$A$4:$A$203,0),MATCH($A123,'DEMAND BY DATE'!$B$3:$AA$3,0)))</f>
        <v>266</v>
      </c>
      <c r="AJ123" s="285">
        <f ca="1">IF(AJ$122="","",INDEX('DEMAND BY DATE'!$B$4:$AA$203,MATCH(AJ$122,'DEMAND BY DATE'!$A$4:$A$203,0),MATCH($A123,'DEMAND BY DATE'!$B$3:$AA$3,0)))</f>
        <v>266</v>
      </c>
      <c r="AK123" s="285">
        <f ca="1">IF(AK$122="","",INDEX('DEMAND BY DATE'!$B$4:$AA$203,MATCH(AK$122,'DEMAND BY DATE'!$A$4:$A$203,0),MATCH($A123,'DEMAND BY DATE'!$B$3:$AA$3,0)))</f>
        <v>266</v>
      </c>
    </row>
    <row r="124" spans="1:51">
      <c r="A124" s="2" t="str">
        <f ca="1">INDEX(WORKINGS!$A$85:$A$110,MATCH(SMALL(WORKINGS!$E$85:$E$110,2),WORKINGS!$E$85:$E$110,0))</f>
        <v>F/L (Coverseam )</v>
      </c>
      <c r="B124" s="2" t="str">
        <f ca="1">IF($D124=0,"IDLE — no style uses it",IF($E124&lt;0,"BUY "&amp;TEXT(-$E124,"#,##0.0")&amp;" — short on "&amp;$F124&amp;" of "&amp;$AY$122&amp;" days",IF($E124/$C124&lt;=0.1,"TIGHT — under 10% spare","OK")))</f>
        <v>BUY 11.0 — short on 26 of 26 days</v>
      </c>
      <c r="C124" s="2">
        <f ca="1">IFERROR(INDEX('MC MASTER'!$C$3:$C$28,MATCH($A124,'MC MASTER'!$B$3:$B$28,0)),0)</f>
        <v>6</v>
      </c>
      <c r="D124" s="2">
        <f ca="1">MAX($G124:$AK124)</f>
        <v>17</v>
      </c>
      <c r="E124" s="2">
        <f ca="1">$C124-$D124</f>
        <v>-11</v>
      </c>
      <c r="F124" s="2" cm="1">
        <f t="array" aca="1" ref="F124" ca="1">SUMPRODUCT((ISNUMBER($G124:$AK124))*($G124:$AK124&gt;$C124)*($G$151:$AK$151="Y"))</f>
        <v>26</v>
      </c>
      <c r="G124" s="285">
        <f ca="1">IF(G$122="","",INDEX('DEMAND BY DATE'!$B$4:$AA$203,MATCH(G$122,'DEMAND BY DATE'!$A$4:$A$203,0),MATCH($A124,'DEMAND BY DATE'!$B$3:$AA$3,0)))</f>
        <v>17</v>
      </c>
      <c r="H124" s="285">
        <f ca="1">IF(H$122="","",INDEX('DEMAND BY DATE'!$B$4:$AA$203,MATCH(H$122,'DEMAND BY DATE'!$A$4:$A$203,0),MATCH($A124,'DEMAND BY DATE'!$B$3:$AA$3,0)))</f>
        <v>17</v>
      </c>
      <c r="I124" s="285">
        <f ca="1">IF(I$122="","",INDEX('DEMAND BY DATE'!$B$4:$AA$203,MATCH(I$122,'DEMAND BY DATE'!$A$4:$A$203,0),MATCH($A124,'DEMAND BY DATE'!$B$3:$AA$3,0)))</f>
        <v>17</v>
      </c>
      <c r="J124" s="285">
        <f ca="1">IF(J$122="","",INDEX('DEMAND BY DATE'!$B$4:$AA$203,MATCH(J$122,'DEMAND BY DATE'!$A$4:$A$203,0),MATCH($A124,'DEMAND BY DATE'!$B$3:$AA$3,0)))</f>
        <v>17</v>
      </c>
      <c r="K124" s="285">
        <f ca="1">IF(K$122="","",INDEX('DEMAND BY DATE'!$B$4:$AA$203,MATCH(K$122,'DEMAND BY DATE'!$A$4:$A$203,0),MATCH($A124,'DEMAND BY DATE'!$B$3:$AA$3,0)))</f>
        <v>17</v>
      </c>
      <c r="L124" s="285">
        <f ca="1">IF(L$122="","",INDEX('DEMAND BY DATE'!$B$4:$AA$203,MATCH(L$122,'DEMAND BY DATE'!$A$4:$A$203,0),MATCH($A124,'DEMAND BY DATE'!$B$3:$AA$3,0)))</f>
        <v>17</v>
      </c>
      <c r="M124" s="285">
        <f ca="1">IF(M$122="","",INDEX('DEMAND BY DATE'!$B$4:$AA$203,MATCH(M$122,'DEMAND BY DATE'!$A$4:$A$203,0),MATCH($A124,'DEMAND BY DATE'!$B$3:$AA$3,0)))</f>
        <v>17</v>
      </c>
      <c r="N124" s="285">
        <f ca="1">IF(N$122="","",INDEX('DEMAND BY DATE'!$B$4:$AA$203,MATCH(N$122,'DEMAND BY DATE'!$A$4:$A$203,0),MATCH($A124,'DEMAND BY DATE'!$B$3:$AA$3,0)))</f>
        <v>17</v>
      </c>
      <c r="O124" s="285">
        <f ca="1">IF(O$122="","",INDEX('DEMAND BY DATE'!$B$4:$AA$203,MATCH(O$122,'DEMAND BY DATE'!$A$4:$A$203,0),MATCH($A124,'DEMAND BY DATE'!$B$3:$AA$3,0)))</f>
        <v>17</v>
      </c>
      <c r="P124" s="285">
        <f ca="1">IF(P$122="","",INDEX('DEMAND BY DATE'!$B$4:$AA$203,MATCH(P$122,'DEMAND BY DATE'!$A$4:$A$203,0),MATCH($A124,'DEMAND BY DATE'!$B$3:$AA$3,0)))</f>
        <v>17</v>
      </c>
      <c r="Q124" s="285">
        <f ca="1">IF(Q$122="","",INDEX('DEMAND BY DATE'!$B$4:$AA$203,MATCH(Q$122,'DEMAND BY DATE'!$A$4:$A$203,0),MATCH($A124,'DEMAND BY DATE'!$B$3:$AA$3,0)))</f>
        <v>17</v>
      </c>
      <c r="R124" s="285">
        <f ca="1">IF(R$122="","",INDEX('DEMAND BY DATE'!$B$4:$AA$203,MATCH(R$122,'DEMAND BY DATE'!$A$4:$A$203,0),MATCH($A124,'DEMAND BY DATE'!$B$3:$AA$3,0)))</f>
        <v>17</v>
      </c>
      <c r="S124" s="285">
        <f ca="1">IF(S$122="","",INDEX('DEMAND BY DATE'!$B$4:$AA$203,MATCH(S$122,'DEMAND BY DATE'!$A$4:$A$203,0),MATCH($A124,'DEMAND BY DATE'!$B$3:$AA$3,0)))</f>
        <v>17</v>
      </c>
      <c r="T124" s="285">
        <f ca="1">IF(T$122="","",INDEX('DEMAND BY DATE'!$B$4:$AA$203,MATCH(T$122,'DEMAND BY DATE'!$A$4:$A$203,0),MATCH($A124,'DEMAND BY DATE'!$B$3:$AA$3,0)))</f>
        <v>17</v>
      </c>
      <c r="U124" s="285">
        <f ca="1">IF(U$122="","",INDEX('DEMAND BY DATE'!$B$4:$AA$203,MATCH(U$122,'DEMAND BY DATE'!$A$4:$A$203,0),MATCH($A124,'DEMAND BY DATE'!$B$3:$AA$3,0)))</f>
        <v>17</v>
      </c>
      <c r="V124" s="285">
        <f ca="1">IF(V$122="","",INDEX('DEMAND BY DATE'!$B$4:$AA$203,MATCH(V$122,'DEMAND BY DATE'!$A$4:$A$203,0),MATCH($A124,'DEMAND BY DATE'!$B$3:$AA$3,0)))</f>
        <v>17</v>
      </c>
      <c r="W124" s="285">
        <f ca="1">IF(W$122="","",INDEX('DEMAND BY DATE'!$B$4:$AA$203,MATCH(W$122,'DEMAND BY DATE'!$A$4:$A$203,0),MATCH($A124,'DEMAND BY DATE'!$B$3:$AA$3,0)))</f>
        <v>17</v>
      </c>
      <c r="X124" s="285">
        <f ca="1">IF(X$122="","",INDEX('DEMAND BY DATE'!$B$4:$AA$203,MATCH(X$122,'DEMAND BY DATE'!$A$4:$A$203,0),MATCH($A124,'DEMAND BY DATE'!$B$3:$AA$3,0)))</f>
        <v>17</v>
      </c>
      <c r="Y124" s="285">
        <f ca="1">IF(Y$122="","",INDEX('DEMAND BY DATE'!$B$4:$AA$203,MATCH(Y$122,'DEMAND BY DATE'!$A$4:$A$203,0),MATCH($A124,'DEMAND BY DATE'!$B$3:$AA$3,0)))</f>
        <v>17</v>
      </c>
      <c r="Z124" s="285">
        <f ca="1">IF(Z$122="","",INDEX('DEMAND BY DATE'!$B$4:$AA$203,MATCH(Z$122,'DEMAND BY DATE'!$A$4:$A$203,0),MATCH($A124,'DEMAND BY DATE'!$B$3:$AA$3,0)))</f>
        <v>17</v>
      </c>
      <c r="AA124" s="285">
        <f ca="1">IF(AA$122="","",INDEX('DEMAND BY DATE'!$B$4:$AA$203,MATCH(AA$122,'DEMAND BY DATE'!$A$4:$A$203,0),MATCH($A124,'DEMAND BY DATE'!$B$3:$AA$3,0)))</f>
        <v>17</v>
      </c>
      <c r="AB124" s="285">
        <f ca="1">IF(AB$122="","",INDEX('DEMAND BY DATE'!$B$4:$AA$203,MATCH(AB$122,'DEMAND BY DATE'!$A$4:$A$203,0),MATCH($A124,'DEMAND BY DATE'!$B$3:$AA$3,0)))</f>
        <v>17</v>
      </c>
      <c r="AC124" s="285">
        <f ca="1">IF(AC$122="","",INDEX('DEMAND BY DATE'!$B$4:$AA$203,MATCH(AC$122,'DEMAND BY DATE'!$A$4:$A$203,0),MATCH($A124,'DEMAND BY DATE'!$B$3:$AA$3,0)))</f>
        <v>17</v>
      </c>
      <c r="AD124" s="285">
        <f ca="1">IF(AD$122="","",INDEX('DEMAND BY DATE'!$B$4:$AA$203,MATCH(AD$122,'DEMAND BY DATE'!$A$4:$A$203,0),MATCH($A124,'DEMAND BY DATE'!$B$3:$AA$3,0)))</f>
        <v>17</v>
      </c>
      <c r="AE124" s="285">
        <f ca="1">IF(AE$122="","",INDEX('DEMAND BY DATE'!$B$4:$AA$203,MATCH(AE$122,'DEMAND BY DATE'!$A$4:$A$203,0),MATCH($A124,'DEMAND BY DATE'!$B$3:$AA$3,0)))</f>
        <v>17</v>
      </c>
      <c r="AF124" s="285">
        <f ca="1">IF(AF$122="","",INDEX('DEMAND BY DATE'!$B$4:$AA$203,MATCH(AF$122,'DEMAND BY DATE'!$A$4:$A$203,0),MATCH($A124,'DEMAND BY DATE'!$B$3:$AA$3,0)))</f>
        <v>17</v>
      </c>
      <c r="AG124" s="285">
        <f ca="1">IF(AG$122="","",INDEX('DEMAND BY DATE'!$B$4:$AA$203,MATCH(AG$122,'DEMAND BY DATE'!$A$4:$A$203,0),MATCH($A124,'DEMAND BY DATE'!$B$3:$AA$3,0)))</f>
        <v>17</v>
      </c>
      <c r="AH124" s="285">
        <f ca="1">IF(AH$122="","",INDEX('DEMAND BY DATE'!$B$4:$AA$203,MATCH(AH$122,'DEMAND BY DATE'!$A$4:$A$203,0),MATCH($A124,'DEMAND BY DATE'!$B$3:$AA$3,0)))</f>
        <v>17</v>
      </c>
      <c r="AI124" s="285">
        <f ca="1">IF(AI$122="","",INDEX('DEMAND BY DATE'!$B$4:$AA$203,MATCH(AI$122,'DEMAND BY DATE'!$A$4:$A$203,0),MATCH($A124,'DEMAND BY DATE'!$B$3:$AA$3,0)))</f>
        <v>17</v>
      </c>
      <c r="AJ124" s="285">
        <f ca="1">IF(AJ$122="","",INDEX('DEMAND BY DATE'!$B$4:$AA$203,MATCH(AJ$122,'DEMAND BY DATE'!$A$4:$A$203,0),MATCH($A124,'DEMAND BY DATE'!$B$3:$AA$3,0)))</f>
        <v>17</v>
      </c>
      <c r="AK124" s="285">
        <f ca="1">IF(AK$122="","",INDEX('DEMAND BY DATE'!$B$4:$AA$203,MATCH(AK$122,'DEMAND BY DATE'!$A$4:$A$203,0),MATCH($A124,'DEMAND BY DATE'!$B$3:$AA$3,0)))</f>
        <v>17</v>
      </c>
    </row>
    <row r="125" spans="1:51">
      <c r="A125" s="2" t="str">
        <f ca="1">INDEX(WORKINGS!$A$85:$A$110,MATCH(SMALL(WORKINGS!$E$85:$E$110,3),WORKINGS!$E$85:$E$110,0))</f>
        <v>3N5T-F/L -( TopStitch)</v>
      </c>
      <c r="B125" s="2" t="str">
        <f ca="1">IF($D125=0,"IDLE — no style uses it",IF($E125&lt;0,"BUY "&amp;TEXT(-$E125,"#,##0.0")&amp;" — short on "&amp;$F125&amp;" of "&amp;$AY$122&amp;" days",IF($E125/$C125&lt;=0.1,"TIGHT — under 10% spare","OK")))</f>
        <v>BUY 9.0 — short on 14 of 26 days</v>
      </c>
      <c r="C125" s="2">
        <f ca="1">IFERROR(INDEX('MC MASTER'!$C$3:$C$28,MATCH($A125,'MC MASTER'!$B$3:$B$28,0)),0)</f>
        <v>54</v>
      </c>
      <c r="D125" s="2">
        <f ca="1">MAX($G125:$AK125)</f>
        <v>63</v>
      </c>
      <c r="E125" s="2">
        <f ca="1">$C125-$D125</f>
        <v>-9</v>
      </c>
      <c r="F125" s="2" cm="1">
        <f t="array" aca="1" ref="F125" ca="1">SUMPRODUCT((ISNUMBER($G125:$AK125))*($G125:$AK125&gt;$C125)*($G$151:$AK$151="Y"))</f>
        <v>14</v>
      </c>
      <c r="G125" s="285">
        <f ca="1">IF(G$122="","",INDEX('DEMAND BY DATE'!$B$4:$AA$203,MATCH(G$122,'DEMAND BY DATE'!$A$4:$A$203,0),MATCH($A125,'DEMAND BY DATE'!$B$3:$AA$3,0)))</f>
        <v>47</v>
      </c>
      <c r="H125" s="285">
        <f ca="1">IF(H$122="","",INDEX('DEMAND BY DATE'!$B$4:$AA$203,MATCH(H$122,'DEMAND BY DATE'!$A$4:$A$203,0),MATCH($A125,'DEMAND BY DATE'!$B$3:$AA$3,0)))</f>
        <v>47</v>
      </c>
      <c r="I125" s="285">
        <f ca="1">IF(I$122="","",INDEX('DEMAND BY DATE'!$B$4:$AA$203,MATCH(I$122,'DEMAND BY DATE'!$A$4:$A$203,0),MATCH($A125,'DEMAND BY DATE'!$B$3:$AA$3,0)))</f>
        <v>47</v>
      </c>
      <c r="J125" s="285">
        <f ca="1">IF(J$122="","",INDEX('DEMAND BY DATE'!$B$4:$AA$203,MATCH(J$122,'DEMAND BY DATE'!$A$4:$A$203,0),MATCH($A125,'DEMAND BY DATE'!$B$3:$AA$3,0)))</f>
        <v>47</v>
      </c>
      <c r="K125" s="285">
        <f ca="1">IF(K$122="","",INDEX('DEMAND BY DATE'!$B$4:$AA$203,MATCH(K$122,'DEMAND BY DATE'!$A$4:$A$203,0),MATCH($A125,'DEMAND BY DATE'!$B$3:$AA$3,0)))</f>
        <v>47</v>
      </c>
      <c r="L125" s="285">
        <f ca="1">IF(L$122="","",INDEX('DEMAND BY DATE'!$B$4:$AA$203,MATCH(L$122,'DEMAND BY DATE'!$A$4:$A$203,0),MATCH($A125,'DEMAND BY DATE'!$B$3:$AA$3,0)))</f>
        <v>47</v>
      </c>
      <c r="M125" s="285">
        <f ca="1">IF(M$122="","",INDEX('DEMAND BY DATE'!$B$4:$AA$203,MATCH(M$122,'DEMAND BY DATE'!$A$4:$A$203,0),MATCH($A125,'DEMAND BY DATE'!$B$3:$AA$3,0)))</f>
        <v>47</v>
      </c>
      <c r="N125" s="285">
        <f ca="1">IF(N$122="","",INDEX('DEMAND BY DATE'!$B$4:$AA$203,MATCH(N$122,'DEMAND BY DATE'!$A$4:$A$203,0),MATCH($A125,'DEMAND BY DATE'!$B$3:$AA$3,0)))</f>
        <v>47</v>
      </c>
      <c r="O125" s="285">
        <f ca="1">IF(O$122="","",INDEX('DEMAND BY DATE'!$B$4:$AA$203,MATCH(O$122,'DEMAND BY DATE'!$A$4:$A$203,0),MATCH($A125,'DEMAND BY DATE'!$B$3:$AA$3,0)))</f>
        <v>47</v>
      </c>
      <c r="P125" s="285">
        <f ca="1">IF(P$122="","",INDEX('DEMAND BY DATE'!$B$4:$AA$203,MATCH(P$122,'DEMAND BY DATE'!$A$4:$A$203,0),MATCH($A125,'DEMAND BY DATE'!$B$3:$AA$3,0)))</f>
        <v>47</v>
      </c>
      <c r="Q125" s="285">
        <f ca="1">IF(Q$122="","",INDEX('DEMAND BY DATE'!$B$4:$AA$203,MATCH(Q$122,'DEMAND BY DATE'!$A$4:$A$203,0),MATCH($A125,'DEMAND BY DATE'!$B$3:$AA$3,0)))</f>
        <v>47</v>
      </c>
      <c r="R125" s="285">
        <f ca="1">IF(R$122="","",INDEX('DEMAND BY DATE'!$B$4:$AA$203,MATCH(R$122,'DEMAND BY DATE'!$A$4:$A$203,0),MATCH($A125,'DEMAND BY DATE'!$B$3:$AA$3,0)))</f>
        <v>47</v>
      </c>
      <c r="S125" s="285">
        <f ca="1">IF(S$122="","",INDEX('DEMAND BY DATE'!$B$4:$AA$203,MATCH(S$122,'DEMAND BY DATE'!$A$4:$A$203,0),MATCH($A125,'DEMAND BY DATE'!$B$3:$AA$3,0)))</f>
        <v>47</v>
      </c>
      <c r="T125" s="285">
        <f ca="1">IF(T$122="","",INDEX('DEMAND BY DATE'!$B$4:$AA$203,MATCH(T$122,'DEMAND BY DATE'!$A$4:$A$203,0),MATCH($A125,'DEMAND BY DATE'!$B$3:$AA$3,0)))</f>
        <v>51</v>
      </c>
      <c r="U125" s="285">
        <f ca="1">IF(U$122="","",INDEX('DEMAND BY DATE'!$B$4:$AA$203,MATCH(U$122,'DEMAND BY DATE'!$A$4:$A$203,0),MATCH($A125,'DEMAND BY DATE'!$B$3:$AA$3,0)))</f>
        <v>63</v>
      </c>
      <c r="V125" s="285">
        <f ca="1">IF(V$122="","",INDEX('DEMAND BY DATE'!$B$4:$AA$203,MATCH(V$122,'DEMAND BY DATE'!$A$4:$A$203,0),MATCH($A125,'DEMAND BY DATE'!$B$3:$AA$3,0)))</f>
        <v>63</v>
      </c>
      <c r="W125" s="285">
        <f ca="1">IF(W$122="","",INDEX('DEMAND BY DATE'!$B$4:$AA$203,MATCH(W$122,'DEMAND BY DATE'!$A$4:$A$203,0),MATCH($A125,'DEMAND BY DATE'!$B$3:$AA$3,0)))</f>
        <v>63</v>
      </c>
      <c r="X125" s="285">
        <f ca="1">IF(X$122="","",INDEX('DEMAND BY DATE'!$B$4:$AA$203,MATCH(X$122,'DEMAND BY DATE'!$A$4:$A$203,0),MATCH($A125,'DEMAND BY DATE'!$B$3:$AA$3,0)))</f>
        <v>63</v>
      </c>
      <c r="Y125" s="285">
        <f ca="1">IF(Y$122="","",INDEX('DEMAND BY DATE'!$B$4:$AA$203,MATCH(Y$122,'DEMAND BY DATE'!$A$4:$A$203,0),MATCH($A125,'DEMAND BY DATE'!$B$3:$AA$3,0)))</f>
        <v>63</v>
      </c>
      <c r="Z125" s="285">
        <f ca="1">IF(Z$122="","",INDEX('DEMAND BY DATE'!$B$4:$AA$203,MATCH(Z$122,'DEMAND BY DATE'!$A$4:$A$203,0),MATCH($A125,'DEMAND BY DATE'!$B$3:$AA$3,0)))</f>
        <v>63</v>
      </c>
      <c r="AA125" s="285">
        <f ca="1">IF(AA$122="","",INDEX('DEMAND BY DATE'!$B$4:$AA$203,MATCH(AA$122,'DEMAND BY DATE'!$A$4:$A$203,0),MATCH($A125,'DEMAND BY DATE'!$B$3:$AA$3,0)))</f>
        <v>63</v>
      </c>
      <c r="AB125" s="285">
        <f ca="1">IF(AB$122="","",INDEX('DEMAND BY DATE'!$B$4:$AA$203,MATCH(AB$122,'DEMAND BY DATE'!$A$4:$A$203,0),MATCH($A125,'DEMAND BY DATE'!$B$3:$AA$3,0)))</f>
        <v>63</v>
      </c>
      <c r="AC125" s="285">
        <f ca="1">IF(AC$122="","",INDEX('DEMAND BY DATE'!$B$4:$AA$203,MATCH(AC$122,'DEMAND BY DATE'!$A$4:$A$203,0),MATCH($A125,'DEMAND BY DATE'!$B$3:$AA$3,0)))</f>
        <v>63</v>
      </c>
      <c r="AD125" s="285">
        <f ca="1">IF(AD$122="","",INDEX('DEMAND BY DATE'!$B$4:$AA$203,MATCH(AD$122,'DEMAND BY DATE'!$A$4:$A$203,0),MATCH($A125,'DEMAND BY DATE'!$B$3:$AA$3,0)))</f>
        <v>63</v>
      </c>
      <c r="AE125" s="285">
        <f ca="1">IF(AE$122="","",INDEX('DEMAND BY DATE'!$B$4:$AA$203,MATCH(AE$122,'DEMAND BY DATE'!$A$4:$A$203,0),MATCH($A125,'DEMAND BY DATE'!$B$3:$AA$3,0)))</f>
        <v>63</v>
      </c>
      <c r="AF125" s="285">
        <f ca="1">IF(AF$122="","",INDEX('DEMAND BY DATE'!$B$4:$AA$203,MATCH(AF$122,'DEMAND BY DATE'!$A$4:$A$203,0),MATCH($A125,'DEMAND BY DATE'!$B$3:$AA$3,0)))</f>
        <v>63</v>
      </c>
      <c r="AG125" s="285">
        <f ca="1">IF(AG$122="","",INDEX('DEMAND BY DATE'!$B$4:$AA$203,MATCH(AG$122,'DEMAND BY DATE'!$A$4:$A$203,0),MATCH($A125,'DEMAND BY DATE'!$B$3:$AA$3,0)))</f>
        <v>63</v>
      </c>
      <c r="AH125" s="285">
        <f ca="1">IF(AH$122="","",INDEX('DEMAND BY DATE'!$B$4:$AA$203,MATCH(AH$122,'DEMAND BY DATE'!$A$4:$A$203,0),MATCH($A125,'DEMAND BY DATE'!$B$3:$AA$3,0)))</f>
        <v>63</v>
      </c>
      <c r="AI125" s="285">
        <f ca="1">IF(AI$122="","",INDEX('DEMAND BY DATE'!$B$4:$AA$203,MATCH(AI$122,'DEMAND BY DATE'!$A$4:$A$203,0),MATCH($A125,'DEMAND BY DATE'!$B$3:$AA$3,0)))</f>
        <v>63</v>
      </c>
      <c r="AJ125" s="285">
        <f ca="1">IF(AJ$122="","",INDEX('DEMAND BY DATE'!$B$4:$AA$203,MATCH(AJ$122,'DEMAND BY DATE'!$A$4:$A$203,0),MATCH($A125,'DEMAND BY DATE'!$B$3:$AA$3,0)))</f>
        <v>63</v>
      </c>
      <c r="AK125" s="285">
        <f ca="1">IF(AK$122="","",INDEX('DEMAND BY DATE'!$B$4:$AA$203,MATCH(AK$122,'DEMAND BY DATE'!$A$4:$A$203,0),MATCH($A125,'DEMAND BY DATE'!$B$3:$AA$3,0)))</f>
        <v>63</v>
      </c>
    </row>
    <row r="126" spans="1:51">
      <c r="A126" s="2" t="str">
        <f ca="1">INDEX(WORKINGS!$A$85:$A$110,MATCH(SMALL(WORKINGS!$E$85:$E$110,4),WORKINGS!$E$85:$E$110,0))</f>
        <v>Overlock (Ring Elastic Attach)</v>
      </c>
      <c r="B126" s="2" t="str">
        <f ca="1">IF($D126=0,"IDLE — no style uses it",IF($E126&lt;0,"BUY "&amp;TEXT(-$E126,"#,##0.0")&amp;" — short on "&amp;$F126&amp;" of "&amp;$AY$122&amp;" days",IF($E126/$C126&lt;=0.1,"TIGHT — under 10% spare","OK")))</f>
        <v>BUY 7.0 — short on 26 of 26 days</v>
      </c>
      <c r="C126" s="2">
        <f ca="1">IFERROR(INDEX('MC MASTER'!$C$3:$C$28,MATCH($A126,'MC MASTER'!$B$3:$B$28,0)),0)</f>
        <v>29</v>
      </c>
      <c r="D126" s="2">
        <f ca="1">MAX($G126:$AK126)</f>
        <v>36</v>
      </c>
      <c r="E126" s="2">
        <f ca="1">$C126-$D126</f>
        <v>-7</v>
      </c>
      <c r="F126" s="2" cm="1">
        <f t="array" aca="1" ref="F126" ca="1">SUMPRODUCT((ISNUMBER($G126:$AK126))*($G126:$AK126&gt;$C126)*($G$151:$AK$151="Y"))</f>
        <v>26</v>
      </c>
      <c r="G126" s="285">
        <f ca="1">IF(G$122="","",INDEX('DEMAND BY DATE'!$B$4:$AA$203,MATCH(G$122,'DEMAND BY DATE'!$A$4:$A$203,0),MATCH($A126,'DEMAND BY DATE'!$B$3:$AA$3,0)))</f>
        <v>36</v>
      </c>
      <c r="H126" s="285">
        <f ca="1">IF(H$122="","",INDEX('DEMAND BY DATE'!$B$4:$AA$203,MATCH(H$122,'DEMAND BY DATE'!$A$4:$A$203,0),MATCH($A126,'DEMAND BY DATE'!$B$3:$AA$3,0)))</f>
        <v>36</v>
      </c>
      <c r="I126" s="285">
        <f ca="1">IF(I$122="","",INDEX('DEMAND BY DATE'!$B$4:$AA$203,MATCH(I$122,'DEMAND BY DATE'!$A$4:$A$203,0),MATCH($A126,'DEMAND BY DATE'!$B$3:$AA$3,0)))</f>
        <v>36</v>
      </c>
      <c r="J126" s="285">
        <f ca="1">IF(J$122="","",INDEX('DEMAND BY DATE'!$B$4:$AA$203,MATCH(J$122,'DEMAND BY DATE'!$A$4:$A$203,0),MATCH($A126,'DEMAND BY DATE'!$B$3:$AA$3,0)))</f>
        <v>36</v>
      </c>
      <c r="K126" s="285">
        <f ca="1">IF(K$122="","",INDEX('DEMAND BY DATE'!$B$4:$AA$203,MATCH(K$122,'DEMAND BY DATE'!$A$4:$A$203,0),MATCH($A126,'DEMAND BY DATE'!$B$3:$AA$3,0)))</f>
        <v>36</v>
      </c>
      <c r="L126" s="285">
        <f ca="1">IF(L$122="","",INDEX('DEMAND BY DATE'!$B$4:$AA$203,MATCH(L$122,'DEMAND BY DATE'!$A$4:$A$203,0),MATCH($A126,'DEMAND BY DATE'!$B$3:$AA$3,0)))</f>
        <v>36</v>
      </c>
      <c r="M126" s="285">
        <f ca="1">IF(M$122="","",INDEX('DEMAND BY DATE'!$B$4:$AA$203,MATCH(M$122,'DEMAND BY DATE'!$A$4:$A$203,0),MATCH($A126,'DEMAND BY DATE'!$B$3:$AA$3,0)))</f>
        <v>36</v>
      </c>
      <c r="N126" s="285">
        <f ca="1">IF(N$122="","",INDEX('DEMAND BY DATE'!$B$4:$AA$203,MATCH(N$122,'DEMAND BY DATE'!$A$4:$A$203,0),MATCH($A126,'DEMAND BY DATE'!$B$3:$AA$3,0)))</f>
        <v>36</v>
      </c>
      <c r="O126" s="285">
        <f ca="1">IF(O$122="","",INDEX('DEMAND BY DATE'!$B$4:$AA$203,MATCH(O$122,'DEMAND BY DATE'!$A$4:$A$203,0),MATCH($A126,'DEMAND BY DATE'!$B$3:$AA$3,0)))</f>
        <v>36</v>
      </c>
      <c r="P126" s="285">
        <f ca="1">IF(P$122="","",INDEX('DEMAND BY DATE'!$B$4:$AA$203,MATCH(P$122,'DEMAND BY DATE'!$A$4:$A$203,0),MATCH($A126,'DEMAND BY DATE'!$B$3:$AA$3,0)))</f>
        <v>36</v>
      </c>
      <c r="Q126" s="285">
        <f ca="1">IF(Q$122="","",INDEX('DEMAND BY DATE'!$B$4:$AA$203,MATCH(Q$122,'DEMAND BY DATE'!$A$4:$A$203,0),MATCH($A126,'DEMAND BY DATE'!$B$3:$AA$3,0)))</f>
        <v>36</v>
      </c>
      <c r="R126" s="285">
        <f ca="1">IF(R$122="","",INDEX('DEMAND BY DATE'!$B$4:$AA$203,MATCH(R$122,'DEMAND BY DATE'!$A$4:$A$203,0),MATCH($A126,'DEMAND BY DATE'!$B$3:$AA$3,0)))</f>
        <v>36</v>
      </c>
      <c r="S126" s="285">
        <f ca="1">IF(S$122="","",INDEX('DEMAND BY DATE'!$B$4:$AA$203,MATCH(S$122,'DEMAND BY DATE'!$A$4:$A$203,0),MATCH($A126,'DEMAND BY DATE'!$B$3:$AA$3,0)))</f>
        <v>36</v>
      </c>
      <c r="T126" s="285">
        <f ca="1">IF(T$122="","",INDEX('DEMAND BY DATE'!$B$4:$AA$203,MATCH(T$122,'DEMAND BY DATE'!$A$4:$A$203,0),MATCH($A126,'DEMAND BY DATE'!$B$3:$AA$3,0)))</f>
        <v>36</v>
      </c>
      <c r="U126" s="285">
        <f ca="1">IF(U$122="","",INDEX('DEMAND BY DATE'!$B$4:$AA$203,MATCH(U$122,'DEMAND BY DATE'!$A$4:$A$203,0),MATCH($A126,'DEMAND BY DATE'!$B$3:$AA$3,0)))</f>
        <v>36</v>
      </c>
      <c r="V126" s="285">
        <f ca="1">IF(V$122="","",INDEX('DEMAND BY DATE'!$B$4:$AA$203,MATCH(V$122,'DEMAND BY DATE'!$A$4:$A$203,0),MATCH($A126,'DEMAND BY DATE'!$B$3:$AA$3,0)))</f>
        <v>36</v>
      </c>
      <c r="W126" s="285">
        <f ca="1">IF(W$122="","",INDEX('DEMAND BY DATE'!$B$4:$AA$203,MATCH(W$122,'DEMAND BY DATE'!$A$4:$A$203,0),MATCH($A126,'DEMAND BY DATE'!$B$3:$AA$3,0)))</f>
        <v>36</v>
      </c>
      <c r="X126" s="285">
        <f ca="1">IF(X$122="","",INDEX('DEMAND BY DATE'!$B$4:$AA$203,MATCH(X$122,'DEMAND BY DATE'!$A$4:$A$203,0),MATCH($A126,'DEMAND BY DATE'!$B$3:$AA$3,0)))</f>
        <v>36</v>
      </c>
      <c r="Y126" s="285">
        <f ca="1">IF(Y$122="","",INDEX('DEMAND BY DATE'!$B$4:$AA$203,MATCH(Y$122,'DEMAND BY DATE'!$A$4:$A$203,0),MATCH($A126,'DEMAND BY DATE'!$B$3:$AA$3,0)))</f>
        <v>36</v>
      </c>
      <c r="Z126" s="285">
        <f ca="1">IF(Z$122="","",INDEX('DEMAND BY DATE'!$B$4:$AA$203,MATCH(Z$122,'DEMAND BY DATE'!$A$4:$A$203,0),MATCH($A126,'DEMAND BY DATE'!$B$3:$AA$3,0)))</f>
        <v>36</v>
      </c>
      <c r="AA126" s="285">
        <f ca="1">IF(AA$122="","",INDEX('DEMAND BY DATE'!$B$4:$AA$203,MATCH(AA$122,'DEMAND BY DATE'!$A$4:$A$203,0),MATCH($A126,'DEMAND BY DATE'!$B$3:$AA$3,0)))</f>
        <v>36</v>
      </c>
      <c r="AB126" s="285">
        <f ca="1">IF(AB$122="","",INDEX('DEMAND BY DATE'!$B$4:$AA$203,MATCH(AB$122,'DEMAND BY DATE'!$A$4:$A$203,0),MATCH($A126,'DEMAND BY DATE'!$B$3:$AA$3,0)))</f>
        <v>36</v>
      </c>
      <c r="AC126" s="285">
        <f ca="1">IF(AC$122="","",INDEX('DEMAND BY DATE'!$B$4:$AA$203,MATCH(AC$122,'DEMAND BY DATE'!$A$4:$A$203,0),MATCH($A126,'DEMAND BY DATE'!$B$3:$AA$3,0)))</f>
        <v>36</v>
      </c>
      <c r="AD126" s="285">
        <f ca="1">IF(AD$122="","",INDEX('DEMAND BY DATE'!$B$4:$AA$203,MATCH(AD$122,'DEMAND BY DATE'!$A$4:$A$203,0),MATCH($A126,'DEMAND BY DATE'!$B$3:$AA$3,0)))</f>
        <v>36</v>
      </c>
      <c r="AE126" s="285">
        <f ca="1">IF(AE$122="","",INDEX('DEMAND BY DATE'!$B$4:$AA$203,MATCH(AE$122,'DEMAND BY DATE'!$A$4:$A$203,0),MATCH($A126,'DEMAND BY DATE'!$B$3:$AA$3,0)))</f>
        <v>36</v>
      </c>
      <c r="AF126" s="285">
        <f ca="1">IF(AF$122="","",INDEX('DEMAND BY DATE'!$B$4:$AA$203,MATCH(AF$122,'DEMAND BY DATE'!$A$4:$A$203,0),MATCH($A126,'DEMAND BY DATE'!$B$3:$AA$3,0)))</f>
        <v>36</v>
      </c>
      <c r="AG126" s="285">
        <f ca="1">IF(AG$122="","",INDEX('DEMAND BY DATE'!$B$4:$AA$203,MATCH(AG$122,'DEMAND BY DATE'!$A$4:$A$203,0),MATCH($A126,'DEMAND BY DATE'!$B$3:$AA$3,0)))</f>
        <v>36</v>
      </c>
      <c r="AH126" s="285">
        <f ca="1">IF(AH$122="","",INDEX('DEMAND BY DATE'!$B$4:$AA$203,MATCH(AH$122,'DEMAND BY DATE'!$A$4:$A$203,0),MATCH($A126,'DEMAND BY DATE'!$B$3:$AA$3,0)))</f>
        <v>36</v>
      </c>
      <c r="AI126" s="285">
        <f ca="1">IF(AI$122="","",INDEX('DEMAND BY DATE'!$B$4:$AA$203,MATCH(AI$122,'DEMAND BY DATE'!$A$4:$A$203,0),MATCH($A126,'DEMAND BY DATE'!$B$3:$AA$3,0)))</f>
        <v>36</v>
      </c>
      <c r="AJ126" s="285">
        <f ca="1">IF(AJ$122="","",INDEX('DEMAND BY DATE'!$B$4:$AA$203,MATCH(AJ$122,'DEMAND BY DATE'!$A$4:$A$203,0),MATCH($A126,'DEMAND BY DATE'!$B$3:$AA$3,0)))</f>
        <v>36</v>
      </c>
      <c r="AK126" s="285">
        <f ca="1">IF(AK$122="","",INDEX('DEMAND BY DATE'!$B$4:$AA$203,MATCH(AK$122,'DEMAND BY DATE'!$A$4:$A$203,0),MATCH($A126,'DEMAND BY DATE'!$B$3:$AA$3,0)))</f>
        <v>36</v>
      </c>
    </row>
    <row r="127" spans="1:51">
      <c r="A127" s="2" t="str">
        <f ca="1">INDEX(WORKINGS!$A$85:$A$110,MATCH(SMALL(WORKINGS!$E$85:$E$110,5),WORKINGS!$E$85:$E$110,0))</f>
        <v>F/L (Coverseam )with pullar</v>
      </c>
      <c r="B127" s="2" t="str">
        <f ca="1">IF($D127=0,"IDLE — no style uses it",IF($E127&lt;0,"BUY "&amp;TEXT(-$E127,"#,##0.0")&amp;" — short on "&amp;$F127&amp;" of "&amp;$AY$122&amp;" days",IF($E127/$C127&lt;=0.1,"TIGHT — under 10% spare","OK")))</f>
        <v>BUY 6.5 — short on 25 of 26 days</v>
      </c>
      <c r="C127" s="2">
        <f ca="1">IFERROR(INDEX('MC MASTER'!$C$3:$C$28,MATCH($A127,'MC MASTER'!$B$3:$B$28,0)),0)</f>
        <v>37</v>
      </c>
      <c r="D127" s="2">
        <f ca="1">MAX($G127:$AK127)</f>
        <v>43.5</v>
      </c>
      <c r="E127" s="2">
        <f ca="1">$C127-$D127</f>
        <v>-6.5</v>
      </c>
      <c r="F127" s="2" cm="1">
        <f t="array" aca="1" ref="F127" ca="1">SUMPRODUCT((ISNUMBER($G127:$AK127))*($G127:$AK127&gt;$C127)*($G$151:$AK$151="Y"))</f>
        <v>25</v>
      </c>
      <c r="G127" s="285">
        <f ca="1">IF(G$122="","",INDEX('DEMAND BY DATE'!$B$4:$AA$203,MATCH(G$122,'DEMAND BY DATE'!$A$4:$A$203,0),MATCH($A127,'DEMAND BY DATE'!$B$3:$AA$3,0)))</f>
        <v>43.5</v>
      </c>
      <c r="H127" s="285">
        <f ca="1">IF(H$122="","",INDEX('DEMAND BY DATE'!$B$4:$AA$203,MATCH(H$122,'DEMAND BY DATE'!$A$4:$A$203,0),MATCH($A127,'DEMAND BY DATE'!$B$3:$AA$3,0)))</f>
        <v>43.5</v>
      </c>
      <c r="I127" s="285">
        <f ca="1">IF(I$122="","",INDEX('DEMAND BY DATE'!$B$4:$AA$203,MATCH(I$122,'DEMAND BY DATE'!$A$4:$A$203,0),MATCH($A127,'DEMAND BY DATE'!$B$3:$AA$3,0)))</f>
        <v>43.5</v>
      </c>
      <c r="J127" s="285">
        <f ca="1">IF(J$122="","",INDEX('DEMAND BY DATE'!$B$4:$AA$203,MATCH(J$122,'DEMAND BY DATE'!$A$4:$A$203,0),MATCH($A127,'DEMAND BY DATE'!$B$3:$AA$3,0)))</f>
        <v>43.5</v>
      </c>
      <c r="K127" s="285">
        <f ca="1">IF(K$122="","",INDEX('DEMAND BY DATE'!$B$4:$AA$203,MATCH(K$122,'DEMAND BY DATE'!$A$4:$A$203,0),MATCH($A127,'DEMAND BY DATE'!$B$3:$AA$3,0)))</f>
        <v>43.5</v>
      </c>
      <c r="L127" s="285">
        <f ca="1">IF(L$122="","",INDEX('DEMAND BY DATE'!$B$4:$AA$203,MATCH(L$122,'DEMAND BY DATE'!$A$4:$A$203,0),MATCH($A127,'DEMAND BY DATE'!$B$3:$AA$3,0)))</f>
        <v>43.5</v>
      </c>
      <c r="M127" s="285">
        <f ca="1">IF(M$122="","",INDEX('DEMAND BY DATE'!$B$4:$AA$203,MATCH(M$122,'DEMAND BY DATE'!$A$4:$A$203,0),MATCH($A127,'DEMAND BY DATE'!$B$3:$AA$3,0)))</f>
        <v>43.5</v>
      </c>
      <c r="N127" s="285">
        <f ca="1">IF(N$122="","",INDEX('DEMAND BY DATE'!$B$4:$AA$203,MATCH(N$122,'DEMAND BY DATE'!$A$4:$A$203,0),MATCH($A127,'DEMAND BY DATE'!$B$3:$AA$3,0)))</f>
        <v>43.5</v>
      </c>
      <c r="O127" s="285">
        <f ca="1">IF(O$122="","",INDEX('DEMAND BY DATE'!$B$4:$AA$203,MATCH(O$122,'DEMAND BY DATE'!$A$4:$A$203,0),MATCH($A127,'DEMAND BY DATE'!$B$3:$AA$3,0)))</f>
        <v>43.5</v>
      </c>
      <c r="P127" s="285">
        <f ca="1">IF(P$122="","",INDEX('DEMAND BY DATE'!$B$4:$AA$203,MATCH(P$122,'DEMAND BY DATE'!$A$4:$A$203,0),MATCH($A127,'DEMAND BY DATE'!$B$3:$AA$3,0)))</f>
        <v>43.5</v>
      </c>
      <c r="Q127" s="285">
        <f ca="1">IF(Q$122="","",INDEX('DEMAND BY DATE'!$B$4:$AA$203,MATCH(Q$122,'DEMAND BY DATE'!$A$4:$A$203,0),MATCH($A127,'DEMAND BY DATE'!$B$3:$AA$3,0)))</f>
        <v>43.5</v>
      </c>
      <c r="R127" s="285">
        <f ca="1">IF(R$122="","",INDEX('DEMAND BY DATE'!$B$4:$AA$203,MATCH(R$122,'DEMAND BY DATE'!$A$4:$A$203,0),MATCH($A127,'DEMAND BY DATE'!$B$3:$AA$3,0)))</f>
        <v>43.5</v>
      </c>
      <c r="S127" s="285">
        <f ca="1">IF(S$122="","",INDEX('DEMAND BY DATE'!$B$4:$AA$203,MATCH(S$122,'DEMAND BY DATE'!$A$4:$A$203,0),MATCH($A127,'DEMAND BY DATE'!$B$3:$AA$3,0)))</f>
        <v>43.5</v>
      </c>
      <c r="T127" s="285">
        <f ca="1">IF(T$122="","",INDEX('DEMAND BY DATE'!$B$4:$AA$203,MATCH(T$122,'DEMAND BY DATE'!$A$4:$A$203,0),MATCH($A127,'DEMAND BY DATE'!$B$3:$AA$3,0)))</f>
        <v>25.5</v>
      </c>
      <c r="U127" s="285">
        <f ca="1">IF(U$122="","",INDEX('DEMAND BY DATE'!$B$4:$AA$203,MATCH(U$122,'DEMAND BY DATE'!$A$4:$A$203,0),MATCH($A127,'DEMAND BY DATE'!$B$3:$AA$3,0)))</f>
        <v>42.5</v>
      </c>
      <c r="V127" s="285">
        <f ca="1">IF(V$122="","",INDEX('DEMAND BY DATE'!$B$4:$AA$203,MATCH(V$122,'DEMAND BY DATE'!$A$4:$A$203,0),MATCH($A127,'DEMAND BY DATE'!$B$3:$AA$3,0)))</f>
        <v>42.5</v>
      </c>
      <c r="W127" s="285">
        <f ca="1">IF(W$122="","",INDEX('DEMAND BY DATE'!$B$4:$AA$203,MATCH(W$122,'DEMAND BY DATE'!$A$4:$A$203,0),MATCH($A127,'DEMAND BY DATE'!$B$3:$AA$3,0)))</f>
        <v>42.5</v>
      </c>
      <c r="X127" s="285">
        <f ca="1">IF(X$122="","",INDEX('DEMAND BY DATE'!$B$4:$AA$203,MATCH(X$122,'DEMAND BY DATE'!$A$4:$A$203,0),MATCH($A127,'DEMAND BY DATE'!$B$3:$AA$3,0)))</f>
        <v>42.5</v>
      </c>
      <c r="Y127" s="285">
        <f ca="1">IF(Y$122="","",INDEX('DEMAND BY DATE'!$B$4:$AA$203,MATCH(Y$122,'DEMAND BY DATE'!$A$4:$A$203,0),MATCH($A127,'DEMAND BY DATE'!$B$3:$AA$3,0)))</f>
        <v>42.5</v>
      </c>
      <c r="Z127" s="285">
        <f ca="1">IF(Z$122="","",INDEX('DEMAND BY DATE'!$B$4:$AA$203,MATCH(Z$122,'DEMAND BY DATE'!$A$4:$A$203,0),MATCH($A127,'DEMAND BY DATE'!$B$3:$AA$3,0)))</f>
        <v>42.5</v>
      </c>
      <c r="AA127" s="285">
        <f ca="1">IF(AA$122="","",INDEX('DEMAND BY DATE'!$B$4:$AA$203,MATCH(AA$122,'DEMAND BY DATE'!$A$4:$A$203,0),MATCH($A127,'DEMAND BY DATE'!$B$3:$AA$3,0)))</f>
        <v>42.5</v>
      </c>
      <c r="AB127" s="285">
        <f ca="1">IF(AB$122="","",INDEX('DEMAND BY DATE'!$B$4:$AA$203,MATCH(AB$122,'DEMAND BY DATE'!$A$4:$A$203,0),MATCH($A127,'DEMAND BY DATE'!$B$3:$AA$3,0)))</f>
        <v>42.5</v>
      </c>
      <c r="AC127" s="285">
        <f ca="1">IF(AC$122="","",INDEX('DEMAND BY DATE'!$B$4:$AA$203,MATCH(AC$122,'DEMAND BY DATE'!$A$4:$A$203,0),MATCH($A127,'DEMAND BY DATE'!$B$3:$AA$3,0)))</f>
        <v>42.5</v>
      </c>
      <c r="AD127" s="285">
        <f ca="1">IF(AD$122="","",INDEX('DEMAND BY DATE'!$B$4:$AA$203,MATCH(AD$122,'DEMAND BY DATE'!$A$4:$A$203,0),MATCH($A127,'DEMAND BY DATE'!$B$3:$AA$3,0)))</f>
        <v>42.5</v>
      </c>
      <c r="AE127" s="285">
        <f ca="1">IF(AE$122="","",INDEX('DEMAND BY DATE'!$B$4:$AA$203,MATCH(AE$122,'DEMAND BY DATE'!$A$4:$A$203,0),MATCH($A127,'DEMAND BY DATE'!$B$3:$AA$3,0)))</f>
        <v>42.5</v>
      </c>
      <c r="AF127" s="285">
        <f ca="1">IF(AF$122="","",INDEX('DEMAND BY DATE'!$B$4:$AA$203,MATCH(AF$122,'DEMAND BY DATE'!$A$4:$A$203,0),MATCH($A127,'DEMAND BY DATE'!$B$3:$AA$3,0)))</f>
        <v>42.5</v>
      </c>
      <c r="AG127" s="285">
        <f ca="1">IF(AG$122="","",INDEX('DEMAND BY DATE'!$B$4:$AA$203,MATCH(AG$122,'DEMAND BY DATE'!$A$4:$A$203,0),MATCH($A127,'DEMAND BY DATE'!$B$3:$AA$3,0)))</f>
        <v>42.5</v>
      </c>
      <c r="AH127" s="285">
        <f ca="1">IF(AH$122="","",INDEX('DEMAND BY DATE'!$B$4:$AA$203,MATCH(AH$122,'DEMAND BY DATE'!$A$4:$A$203,0),MATCH($A127,'DEMAND BY DATE'!$B$3:$AA$3,0)))</f>
        <v>42.5</v>
      </c>
      <c r="AI127" s="285">
        <f ca="1">IF(AI$122="","",INDEX('DEMAND BY DATE'!$B$4:$AA$203,MATCH(AI$122,'DEMAND BY DATE'!$A$4:$A$203,0),MATCH($A127,'DEMAND BY DATE'!$B$3:$AA$3,0)))</f>
        <v>42.5</v>
      </c>
      <c r="AJ127" s="285">
        <f ca="1">IF(AJ$122="","",INDEX('DEMAND BY DATE'!$B$4:$AA$203,MATCH(AJ$122,'DEMAND BY DATE'!$A$4:$A$203,0),MATCH($A127,'DEMAND BY DATE'!$B$3:$AA$3,0)))</f>
        <v>42.5</v>
      </c>
      <c r="AK127" s="285">
        <f ca="1">IF(AK$122="","",INDEX('DEMAND BY DATE'!$B$4:$AA$203,MATCH(AK$122,'DEMAND BY DATE'!$A$4:$A$203,0),MATCH($A127,'DEMAND BY DATE'!$B$3:$AA$3,0)))</f>
        <v>42.5</v>
      </c>
    </row>
    <row r="128" spans="1:51">
      <c r="A128" s="2" t="str">
        <f ca="1">INDEX(WORKINGS!$A$85:$A$110,MATCH(SMALL(WORKINGS!$E$85:$E$110,6),WORKINGS!$E$85:$E$110,0))</f>
        <v>3th Overlock (Leg elastic)</v>
      </c>
      <c r="B128" s="2" t="str">
        <f ca="1">IF($D128=0,"IDLE — no style uses it",IF($E128&lt;0,"BUY "&amp;TEXT(-$E128,"#,##0.0")&amp;" — short on "&amp;$F128&amp;" of "&amp;$AY$122&amp;" days",IF($E128/$C128&lt;=0.1,"TIGHT — under 10% spare","OK")))</f>
        <v>BUY 1.0 — short on 11 of 26 days</v>
      </c>
      <c r="C128" s="2">
        <f ca="1">IFERROR(INDEX('MC MASTER'!$C$3:$C$28,MATCH($A128,'MC MASTER'!$B$3:$B$28,0)),0)</f>
        <v>30</v>
      </c>
      <c r="D128" s="2">
        <f ca="1">MAX($G128:$AK128)</f>
        <v>31</v>
      </c>
      <c r="E128" s="2">
        <f ca="1">$C128-$D128</f>
        <v>-1</v>
      </c>
      <c r="F128" s="2" cm="1">
        <f t="array" aca="1" ref="F128" ca="1">SUMPRODUCT((ISNUMBER($G128:$AK128))*($G128:$AK128&gt;$C128)*($G$151:$AK$151="Y"))</f>
        <v>11</v>
      </c>
      <c r="G128" s="285">
        <f ca="1">IF(G$122="","",INDEX('DEMAND BY DATE'!$B$4:$AA$203,MATCH(G$122,'DEMAND BY DATE'!$A$4:$A$203,0),MATCH($A128,'DEMAND BY DATE'!$B$3:$AA$3,0)))</f>
        <v>31</v>
      </c>
      <c r="H128" s="285">
        <f ca="1">IF(H$122="","",INDEX('DEMAND BY DATE'!$B$4:$AA$203,MATCH(H$122,'DEMAND BY DATE'!$A$4:$A$203,0),MATCH($A128,'DEMAND BY DATE'!$B$3:$AA$3,0)))</f>
        <v>31</v>
      </c>
      <c r="I128" s="285">
        <f ca="1">IF(I$122="","",INDEX('DEMAND BY DATE'!$B$4:$AA$203,MATCH(I$122,'DEMAND BY DATE'!$A$4:$A$203,0),MATCH($A128,'DEMAND BY DATE'!$B$3:$AA$3,0)))</f>
        <v>31</v>
      </c>
      <c r="J128" s="285">
        <f ca="1">IF(J$122="","",INDEX('DEMAND BY DATE'!$B$4:$AA$203,MATCH(J$122,'DEMAND BY DATE'!$A$4:$A$203,0),MATCH($A128,'DEMAND BY DATE'!$B$3:$AA$3,0)))</f>
        <v>31</v>
      </c>
      <c r="K128" s="285">
        <f ca="1">IF(K$122="","",INDEX('DEMAND BY DATE'!$B$4:$AA$203,MATCH(K$122,'DEMAND BY DATE'!$A$4:$A$203,0),MATCH($A128,'DEMAND BY DATE'!$B$3:$AA$3,0)))</f>
        <v>31</v>
      </c>
      <c r="L128" s="285">
        <f ca="1">IF(L$122="","",INDEX('DEMAND BY DATE'!$B$4:$AA$203,MATCH(L$122,'DEMAND BY DATE'!$A$4:$A$203,0),MATCH($A128,'DEMAND BY DATE'!$B$3:$AA$3,0)))</f>
        <v>31</v>
      </c>
      <c r="M128" s="285">
        <f ca="1">IF(M$122="","",INDEX('DEMAND BY DATE'!$B$4:$AA$203,MATCH(M$122,'DEMAND BY DATE'!$A$4:$A$203,0),MATCH($A128,'DEMAND BY DATE'!$B$3:$AA$3,0)))</f>
        <v>31</v>
      </c>
      <c r="N128" s="285">
        <f ca="1">IF(N$122="","",INDEX('DEMAND BY DATE'!$B$4:$AA$203,MATCH(N$122,'DEMAND BY DATE'!$A$4:$A$203,0),MATCH($A128,'DEMAND BY DATE'!$B$3:$AA$3,0)))</f>
        <v>31</v>
      </c>
      <c r="O128" s="285">
        <f ca="1">IF(O$122="","",INDEX('DEMAND BY DATE'!$B$4:$AA$203,MATCH(O$122,'DEMAND BY DATE'!$A$4:$A$203,0),MATCH($A128,'DEMAND BY DATE'!$B$3:$AA$3,0)))</f>
        <v>31</v>
      </c>
      <c r="P128" s="285">
        <f ca="1">IF(P$122="","",INDEX('DEMAND BY DATE'!$B$4:$AA$203,MATCH(P$122,'DEMAND BY DATE'!$A$4:$A$203,0),MATCH($A128,'DEMAND BY DATE'!$B$3:$AA$3,0)))</f>
        <v>31</v>
      </c>
      <c r="Q128" s="285">
        <f ca="1">IF(Q$122="","",INDEX('DEMAND BY DATE'!$B$4:$AA$203,MATCH(Q$122,'DEMAND BY DATE'!$A$4:$A$203,0),MATCH($A128,'DEMAND BY DATE'!$B$3:$AA$3,0)))</f>
        <v>31</v>
      </c>
      <c r="R128" s="285">
        <f ca="1">IF(R$122="","",INDEX('DEMAND BY DATE'!$B$4:$AA$203,MATCH(R$122,'DEMAND BY DATE'!$A$4:$A$203,0),MATCH($A128,'DEMAND BY DATE'!$B$3:$AA$3,0)))</f>
        <v>31</v>
      </c>
      <c r="S128" s="285">
        <f ca="1">IF(S$122="","",INDEX('DEMAND BY DATE'!$B$4:$AA$203,MATCH(S$122,'DEMAND BY DATE'!$A$4:$A$203,0),MATCH($A128,'DEMAND BY DATE'!$B$3:$AA$3,0)))</f>
        <v>31</v>
      </c>
      <c r="T128" s="285">
        <f ca="1">IF(T$122="","",INDEX('DEMAND BY DATE'!$B$4:$AA$203,MATCH(T$122,'DEMAND BY DATE'!$A$4:$A$203,0),MATCH($A128,'DEMAND BY DATE'!$B$3:$AA$3,0)))</f>
        <v>13</v>
      </c>
      <c r="U128" s="285">
        <f ca="1">IF(U$122="","",INDEX('DEMAND BY DATE'!$B$4:$AA$203,MATCH(U$122,'DEMAND BY DATE'!$A$4:$A$203,0),MATCH($A128,'DEMAND BY DATE'!$B$3:$AA$3,0)))</f>
        <v>30</v>
      </c>
      <c r="V128" s="285">
        <f ca="1">IF(V$122="","",INDEX('DEMAND BY DATE'!$B$4:$AA$203,MATCH(V$122,'DEMAND BY DATE'!$A$4:$A$203,0),MATCH($A128,'DEMAND BY DATE'!$B$3:$AA$3,0)))</f>
        <v>30</v>
      </c>
      <c r="W128" s="285">
        <f ca="1">IF(W$122="","",INDEX('DEMAND BY DATE'!$B$4:$AA$203,MATCH(W$122,'DEMAND BY DATE'!$A$4:$A$203,0),MATCH($A128,'DEMAND BY DATE'!$B$3:$AA$3,0)))</f>
        <v>30</v>
      </c>
      <c r="X128" s="285">
        <f ca="1">IF(X$122="","",INDEX('DEMAND BY DATE'!$B$4:$AA$203,MATCH(X$122,'DEMAND BY DATE'!$A$4:$A$203,0),MATCH($A128,'DEMAND BY DATE'!$B$3:$AA$3,0)))</f>
        <v>30</v>
      </c>
      <c r="Y128" s="285">
        <f ca="1">IF(Y$122="","",INDEX('DEMAND BY DATE'!$B$4:$AA$203,MATCH(Y$122,'DEMAND BY DATE'!$A$4:$A$203,0),MATCH($A128,'DEMAND BY DATE'!$B$3:$AA$3,0)))</f>
        <v>30</v>
      </c>
      <c r="Z128" s="285">
        <f ca="1">IF(Z$122="","",INDEX('DEMAND BY DATE'!$B$4:$AA$203,MATCH(Z$122,'DEMAND BY DATE'!$A$4:$A$203,0),MATCH($A128,'DEMAND BY DATE'!$B$3:$AA$3,0)))</f>
        <v>30</v>
      </c>
      <c r="AA128" s="285">
        <f ca="1">IF(AA$122="","",INDEX('DEMAND BY DATE'!$B$4:$AA$203,MATCH(AA$122,'DEMAND BY DATE'!$A$4:$A$203,0),MATCH($A128,'DEMAND BY DATE'!$B$3:$AA$3,0)))</f>
        <v>30</v>
      </c>
      <c r="AB128" s="285">
        <f ca="1">IF(AB$122="","",INDEX('DEMAND BY DATE'!$B$4:$AA$203,MATCH(AB$122,'DEMAND BY DATE'!$A$4:$A$203,0),MATCH($A128,'DEMAND BY DATE'!$B$3:$AA$3,0)))</f>
        <v>30</v>
      </c>
      <c r="AC128" s="285">
        <f ca="1">IF(AC$122="","",INDEX('DEMAND BY DATE'!$B$4:$AA$203,MATCH(AC$122,'DEMAND BY DATE'!$A$4:$A$203,0),MATCH($A128,'DEMAND BY DATE'!$B$3:$AA$3,0)))</f>
        <v>30</v>
      </c>
      <c r="AD128" s="285">
        <f ca="1">IF(AD$122="","",INDEX('DEMAND BY DATE'!$B$4:$AA$203,MATCH(AD$122,'DEMAND BY DATE'!$A$4:$A$203,0),MATCH($A128,'DEMAND BY DATE'!$B$3:$AA$3,0)))</f>
        <v>30</v>
      </c>
      <c r="AE128" s="285">
        <f ca="1">IF(AE$122="","",INDEX('DEMAND BY DATE'!$B$4:$AA$203,MATCH(AE$122,'DEMAND BY DATE'!$A$4:$A$203,0),MATCH($A128,'DEMAND BY DATE'!$B$3:$AA$3,0)))</f>
        <v>30</v>
      </c>
      <c r="AF128" s="285">
        <f ca="1">IF(AF$122="","",INDEX('DEMAND BY DATE'!$B$4:$AA$203,MATCH(AF$122,'DEMAND BY DATE'!$A$4:$A$203,0),MATCH($A128,'DEMAND BY DATE'!$B$3:$AA$3,0)))</f>
        <v>30</v>
      </c>
      <c r="AG128" s="285">
        <f ca="1">IF(AG$122="","",INDEX('DEMAND BY DATE'!$B$4:$AA$203,MATCH(AG$122,'DEMAND BY DATE'!$A$4:$A$203,0),MATCH($A128,'DEMAND BY DATE'!$B$3:$AA$3,0)))</f>
        <v>30</v>
      </c>
      <c r="AH128" s="285">
        <f ca="1">IF(AH$122="","",INDEX('DEMAND BY DATE'!$B$4:$AA$203,MATCH(AH$122,'DEMAND BY DATE'!$A$4:$A$203,0),MATCH($A128,'DEMAND BY DATE'!$B$3:$AA$3,0)))</f>
        <v>30</v>
      </c>
      <c r="AI128" s="285">
        <f ca="1">IF(AI$122="","",INDEX('DEMAND BY DATE'!$B$4:$AA$203,MATCH(AI$122,'DEMAND BY DATE'!$A$4:$A$203,0),MATCH($A128,'DEMAND BY DATE'!$B$3:$AA$3,0)))</f>
        <v>30</v>
      </c>
      <c r="AJ128" s="285">
        <f ca="1">IF(AJ$122="","",INDEX('DEMAND BY DATE'!$B$4:$AA$203,MATCH(AJ$122,'DEMAND BY DATE'!$A$4:$A$203,0),MATCH($A128,'DEMAND BY DATE'!$B$3:$AA$3,0)))</f>
        <v>30</v>
      </c>
      <c r="AK128" s="285">
        <f ca="1">IF(AK$122="","",INDEX('DEMAND BY DATE'!$B$4:$AA$203,MATCH(AK$122,'DEMAND BY DATE'!$A$4:$A$203,0),MATCH($A128,'DEMAND BY DATE'!$B$3:$AA$3,0)))</f>
        <v>30</v>
      </c>
    </row>
    <row r="129" spans="1:37">
      <c r="A129" s="2" t="str">
        <f ca="1">INDEX(WORKINGS!$A$85:$A$110,MATCH(SMALL(WORKINGS!$E$85:$E$110,7),WORKINGS!$E$85:$E$110,0))</f>
        <v>Snap button</v>
      </c>
      <c r="B129" s="2" t="str">
        <f ca="1">IF($D129=0,"IDLE — no style uses it",IF($E129&lt;0,"BUY "&amp;TEXT(-$E129,"#,##0.0")&amp;" — short on "&amp;$F129&amp;" of "&amp;$AY$122&amp;" days",IF($E129/$C129&lt;=0.1,"TIGHT — under 10% spare","OK")))</f>
        <v>TIGHT — under 10% spare</v>
      </c>
      <c r="C129" s="2">
        <f ca="1">IFERROR(INDEX('MC MASTER'!$C$3:$C$28,MATCH($A129,'MC MASTER'!$B$3:$B$28,0)),0)</f>
        <v>2</v>
      </c>
      <c r="D129" s="2">
        <f ca="1">MAX($G129:$AK129)</f>
        <v>2</v>
      </c>
      <c r="E129" s="2">
        <f ca="1">$C129-$D129</f>
        <v>0</v>
      </c>
      <c r="F129" s="2" cm="1">
        <f t="array" aca="1" ref="F129" ca="1">SUMPRODUCT((ISNUMBER($G129:$AK129))*($G129:$AK129&gt;$C129)*($G$151:$AK$151="Y"))</f>
        <v>0</v>
      </c>
      <c r="G129" s="285">
        <f ca="1">IF(G$122="","",INDEX('DEMAND BY DATE'!$B$4:$AA$203,MATCH(G$122,'DEMAND BY DATE'!$A$4:$A$203,0),MATCH($A129,'DEMAND BY DATE'!$B$3:$AA$3,0)))</f>
        <v>2</v>
      </c>
      <c r="H129" s="285">
        <f ca="1">IF(H$122="","",INDEX('DEMAND BY DATE'!$B$4:$AA$203,MATCH(H$122,'DEMAND BY DATE'!$A$4:$A$203,0),MATCH($A129,'DEMAND BY DATE'!$B$3:$AA$3,0)))</f>
        <v>2</v>
      </c>
      <c r="I129" s="285">
        <f ca="1">IF(I$122="","",INDEX('DEMAND BY DATE'!$B$4:$AA$203,MATCH(I$122,'DEMAND BY DATE'!$A$4:$A$203,0),MATCH($A129,'DEMAND BY DATE'!$B$3:$AA$3,0)))</f>
        <v>2</v>
      </c>
      <c r="J129" s="285">
        <f ca="1">IF(J$122="","",INDEX('DEMAND BY DATE'!$B$4:$AA$203,MATCH(J$122,'DEMAND BY DATE'!$A$4:$A$203,0),MATCH($A129,'DEMAND BY DATE'!$B$3:$AA$3,0)))</f>
        <v>2</v>
      </c>
      <c r="K129" s="285">
        <f ca="1">IF(K$122="","",INDEX('DEMAND BY DATE'!$B$4:$AA$203,MATCH(K$122,'DEMAND BY DATE'!$A$4:$A$203,0),MATCH($A129,'DEMAND BY DATE'!$B$3:$AA$3,0)))</f>
        <v>2</v>
      </c>
      <c r="L129" s="285">
        <f ca="1">IF(L$122="","",INDEX('DEMAND BY DATE'!$B$4:$AA$203,MATCH(L$122,'DEMAND BY DATE'!$A$4:$A$203,0),MATCH($A129,'DEMAND BY DATE'!$B$3:$AA$3,0)))</f>
        <v>2</v>
      </c>
      <c r="M129" s="285">
        <f ca="1">IF(M$122="","",INDEX('DEMAND BY DATE'!$B$4:$AA$203,MATCH(M$122,'DEMAND BY DATE'!$A$4:$A$203,0),MATCH($A129,'DEMAND BY DATE'!$B$3:$AA$3,0)))</f>
        <v>2</v>
      </c>
      <c r="N129" s="285">
        <f ca="1">IF(N$122="","",INDEX('DEMAND BY DATE'!$B$4:$AA$203,MATCH(N$122,'DEMAND BY DATE'!$A$4:$A$203,0),MATCH($A129,'DEMAND BY DATE'!$B$3:$AA$3,0)))</f>
        <v>2</v>
      </c>
      <c r="O129" s="285">
        <f ca="1">IF(O$122="","",INDEX('DEMAND BY DATE'!$B$4:$AA$203,MATCH(O$122,'DEMAND BY DATE'!$A$4:$A$203,0),MATCH($A129,'DEMAND BY DATE'!$B$3:$AA$3,0)))</f>
        <v>2</v>
      </c>
      <c r="P129" s="285">
        <f ca="1">IF(P$122="","",INDEX('DEMAND BY DATE'!$B$4:$AA$203,MATCH(P$122,'DEMAND BY DATE'!$A$4:$A$203,0),MATCH($A129,'DEMAND BY DATE'!$B$3:$AA$3,0)))</f>
        <v>2</v>
      </c>
      <c r="Q129" s="285">
        <f ca="1">IF(Q$122="","",INDEX('DEMAND BY DATE'!$B$4:$AA$203,MATCH(Q$122,'DEMAND BY DATE'!$A$4:$A$203,0),MATCH($A129,'DEMAND BY DATE'!$B$3:$AA$3,0)))</f>
        <v>2</v>
      </c>
      <c r="R129" s="285">
        <f ca="1">IF(R$122="","",INDEX('DEMAND BY DATE'!$B$4:$AA$203,MATCH(R$122,'DEMAND BY DATE'!$A$4:$A$203,0),MATCH($A129,'DEMAND BY DATE'!$B$3:$AA$3,0)))</f>
        <v>2</v>
      </c>
      <c r="S129" s="285">
        <f ca="1">IF(S$122="","",INDEX('DEMAND BY DATE'!$B$4:$AA$203,MATCH(S$122,'DEMAND BY DATE'!$A$4:$A$203,0),MATCH($A129,'DEMAND BY DATE'!$B$3:$AA$3,0)))</f>
        <v>2</v>
      </c>
      <c r="T129" s="285">
        <f ca="1">IF(T$122="","",INDEX('DEMAND BY DATE'!$B$4:$AA$203,MATCH(T$122,'DEMAND BY DATE'!$A$4:$A$203,0),MATCH($A129,'DEMAND BY DATE'!$B$3:$AA$3,0)))</f>
        <v>2</v>
      </c>
      <c r="U129" s="285">
        <f ca="1">IF(U$122="","",INDEX('DEMAND BY DATE'!$B$4:$AA$203,MATCH(U$122,'DEMAND BY DATE'!$A$4:$A$203,0),MATCH($A129,'DEMAND BY DATE'!$B$3:$AA$3,0)))</f>
        <v>2</v>
      </c>
      <c r="V129" s="285">
        <f ca="1">IF(V$122="","",INDEX('DEMAND BY DATE'!$B$4:$AA$203,MATCH(V$122,'DEMAND BY DATE'!$A$4:$A$203,0),MATCH($A129,'DEMAND BY DATE'!$B$3:$AA$3,0)))</f>
        <v>2</v>
      </c>
      <c r="W129" s="285">
        <f ca="1">IF(W$122="","",INDEX('DEMAND BY DATE'!$B$4:$AA$203,MATCH(W$122,'DEMAND BY DATE'!$A$4:$A$203,0),MATCH($A129,'DEMAND BY DATE'!$B$3:$AA$3,0)))</f>
        <v>2</v>
      </c>
      <c r="X129" s="285">
        <f ca="1">IF(X$122="","",INDEX('DEMAND BY DATE'!$B$4:$AA$203,MATCH(X$122,'DEMAND BY DATE'!$A$4:$A$203,0),MATCH($A129,'DEMAND BY DATE'!$B$3:$AA$3,0)))</f>
        <v>2</v>
      </c>
      <c r="Y129" s="285">
        <f ca="1">IF(Y$122="","",INDEX('DEMAND BY DATE'!$B$4:$AA$203,MATCH(Y$122,'DEMAND BY DATE'!$A$4:$A$203,0),MATCH($A129,'DEMAND BY DATE'!$B$3:$AA$3,0)))</f>
        <v>2</v>
      </c>
      <c r="Z129" s="285">
        <f ca="1">IF(Z$122="","",INDEX('DEMAND BY DATE'!$B$4:$AA$203,MATCH(Z$122,'DEMAND BY DATE'!$A$4:$A$203,0),MATCH($A129,'DEMAND BY DATE'!$B$3:$AA$3,0)))</f>
        <v>2</v>
      </c>
      <c r="AA129" s="285">
        <f ca="1">IF(AA$122="","",INDEX('DEMAND BY DATE'!$B$4:$AA$203,MATCH(AA$122,'DEMAND BY DATE'!$A$4:$A$203,0),MATCH($A129,'DEMAND BY DATE'!$B$3:$AA$3,0)))</f>
        <v>2</v>
      </c>
      <c r="AB129" s="285">
        <f ca="1">IF(AB$122="","",INDEX('DEMAND BY DATE'!$B$4:$AA$203,MATCH(AB$122,'DEMAND BY DATE'!$A$4:$A$203,0),MATCH($A129,'DEMAND BY DATE'!$B$3:$AA$3,0)))</f>
        <v>2</v>
      </c>
      <c r="AC129" s="285">
        <f ca="1">IF(AC$122="","",INDEX('DEMAND BY DATE'!$B$4:$AA$203,MATCH(AC$122,'DEMAND BY DATE'!$A$4:$A$203,0),MATCH($A129,'DEMAND BY DATE'!$B$3:$AA$3,0)))</f>
        <v>2</v>
      </c>
      <c r="AD129" s="285">
        <f ca="1">IF(AD$122="","",INDEX('DEMAND BY DATE'!$B$4:$AA$203,MATCH(AD$122,'DEMAND BY DATE'!$A$4:$A$203,0),MATCH($A129,'DEMAND BY DATE'!$B$3:$AA$3,0)))</f>
        <v>2</v>
      </c>
      <c r="AE129" s="285">
        <f ca="1">IF(AE$122="","",INDEX('DEMAND BY DATE'!$B$4:$AA$203,MATCH(AE$122,'DEMAND BY DATE'!$A$4:$A$203,0),MATCH($A129,'DEMAND BY DATE'!$B$3:$AA$3,0)))</f>
        <v>2</v>
      </c>
      <c r="AF129" s="285">
        <f ca="1">IF(AF$122="","",INDEX('DEMAND BY DATE'!$B$4:$AA$203,MATCH(AF$122,'DEMAND BY DATE'!$A$4:$A$203,0),MATCH($A129,'DEMAND BY DATE'!$B$3:$AA$3,0)))</f>
        <v>2</v>
      </c>
      <c r="AG129" s="285">
        <f ca="1">IF(AG$122="","",INDEX('DEMAND BY DATE'!$B$4:$AA$203,MATCH(AG$122,'DEMAND BY DATE'!$A$4:$A$203,0),MATCH($A129,'DEMAND BY DATE'!$B$3:$AA$3,0)))</f>
        <v>2</v>
      </c>
      <c r="AH129" s="285">
        <f ca="1">IF(AH$122="","",INDEX('DEMAND BY DATE'!$B$4:$AA$203,MATCH(AH$122,'DEMAND BY DATE'!$A$4:$A$203,0),MATCH($A129,'DEMAND BY DATE'!$B$3:$AA$3,0)))</f>
        <v>2</v>
      </c>
      <c r="AI129" s="285">
        <f ca="1">IF(AI$122="","",INDEX('DEMAND BY DATE'!$B$4:$AA$203,MATCH(AI$122,'DEMAND BY DATE'!$A$4:$A$203,0),MATCH($A129,'DEMAND BY DATE'!$B$3:$AA$3,0)))</f>
        <v>2</v>
      </c>
      <c r="AJ129" s="285">
        <f ca="1">IF(AJ$122="","",INDEX('DEMAND BY DATE'!$B$4:$AA$203,MATCH(AJ$122,'DEMAND BY DATE'!$A$4:$A$203,0),MATCH($A129,'DEMAND BY DATE'!$B$3:$AA$3,0)))</f>
        <v>2</v>
      </c>
      <c r="AK129" s="285">
        <f ca="1">IF(AK$122="","",INDEX('DEMAND BY DATE'!$B$4:$AA$203,MATCH(AK$122,'DEMAND BY DATE'!$A$4:$A$203,0),MATCH($A129,'DEMAND BY DATE'!$B$3:$AA$3,0)))</f>
        <v>2</v>
      </c>
    </row>
    <row r="130" spans="1:37">
      <c r="A130" s="2" t="str">
        <f ca="1">INDEX(WORKINGS!$A$85:$A$110,MATCH(SMALL(WORKINGS!$E$85:$E$110,8),WORKINGS!$E$85:$E$110,0))</f>
        <v>F/L (Coverseam / Waist COVER SEAM</v>
      </c>
      <c r="B130" s="2" t="str">
        <f ca="1">IF($D130=0,"IDLE — no style uses it",IF($E130&lt;0,"BUY "&amp;TEXT(-$E130,"#,##0.0")&amp;" — short on "&amp;$F130&amp;" of "&amp;$AY$122&amp;" days",IF($E130/$C130&lt;=0.1,"TIGHT — under 10% spare","OK")))</f>
        <v>TIGHT — under 10% spare</v>
      </c>
      <c r="C130" s="2">
        <f ca="1">IFERROR(INDEX('MC MASTER'!$C$3:$C$28,MATCH($A130,'MC MASTER'!$B$3:$B$28,0)),0)</f>
        <v>13</v>
      </c>
      <c r="D130" s="2">
        <f ca="1">MAX($G130:$AK130)</f>
        <v>12</v>
      </c>
      <c r="E130" s="2">
        <f ca="1">$C130-$D130</f>
        <v>1</v>
      </c>
      <c r="F130" s="2" cm="1">
        <f t="array" aca="1" ref="F130" ca="1">SUMPRODUCT((ISNUMBER($G130:$AK130))*($G130:$AK130&gt;$C130)*($G$151:$AK$151="Y"))</f>
        <v>0</v>
      </c>
      <c r="G130" s="285">
        <f ca="1">IF(G$122="","",INDEX('DEMAND BY DATE'!$B$4:$AA$203,MATCH(G$122,'DEMAND BY DATE'!$A$4:$A$203,0),MATCH($A130,'DEMAND BY DATE'!$B$3:$AA$3,0)))</f>
        <v>4</v>
      </c>
      <c r="H130" s="285">
        <f ca="1">IF(H$122="","",INDEX('DEMAND BY DATE'!$B$4:$AA$203,MATCH(H$122,'DEMAND BY DATE'!$A$4:$A$203,0),MATCH($A130,'DEMAND BY DATE'!$B$3:$AA$3,0)))</f>
        <v>4</v>
      </c>
      <c r="I130" s="285">
        <f ca="1">IF(I$122="","",INDEX('DEMAND BY DATE'!$B$4:$AA$203,MATCH(I$122,'DEMAND BY DATE'!$A$4:$A$203,0),MATCH($A130,'DEMAND BY DATE'!$B$3:$AA$3,0)))</f>
        <v>4</v>
      </c>
      <c r="J130" s="285">
        <f ca="1">IF(J$122="","",INDEX('DEMAND BY DATE'!$B$4:$AA$203,MATCH(J$122,'DEMAND BY DATE'!$A$4:$A$203,0),MATCH($A130,'DEMAND BY DATE'!$B$3:$AA$3,0)))</f>
        <v>4</v>
      </c>
      <c r="K130" s="285">
        <f ca="1">IF(K$122="","",INDEX('DEMAND BY DATE'!$B$4:$AA$203,MATCH(K$122,'DEMAND BY DATE'!$A$4:$A$203,0),MATCH($A130,'DEMAND BY DATE'!$B$3:$AA$3,0)))</f>
        <v>4</v>
      </c>
      <c r="L130" s="285">
        <f ca="1">IF(L$122="","",INDEX('DEMAND BY DATE'!$B$4:$AA$203,MATCH(L$122,'DEMAND BY DATE'!$A$4:$A$203,0),MATCH($A130,'DEMAND BY DATE'!$B$3:$AA$3,0)))</f>
        <v>4</v>
      </c>
      <c r="M130" s="285">
        <f ca="1">IF(M$122="","",INDEX('DEMAND BY DATE'!$B$4:$AA$203,MATCH(M$122,'DEMAND BY DATE'!$A$4:$A$203,0),MATCH($A130,'DEMAND BY DATE'!$B$3:$AA$3,0)))</f>
        <v>4</v>
      </c>
      <c r="N130" s="285">
        <f ca="1">IF(N$122="","",INDEX('DEMAND BY DATE'!$B$4:$AA$203,MATCH(N$122,'DEMAND BY DATE'!$A$4:$A$203,0),MATCH($A130,'DEMAND BY DATE'!$B$3:$AA$3,0)))</f>
        <v>4</v>
      </c>
      <c r="O130" s="285">
        <f ca="1">IF(O$122="","",INDEX('DEMAND BY DATE'!$B$4:$AA$203,MATCH(O$122,'DEMAND BY DATE'!$A$4:$A$203,0),MATCH($A130,'DEMAND BY DATE'!$B$3:$AA$3,0)))</f>
        <v>4</v>
      </c>
      <c r="P130" s="285">
        <f ca="1">IF(P$122="","",INDEX('DEMAND BY DATE'!$B$4:$AA$203,MATCH(P$122,'DEMAND BY DATE'!$A$4:$A$203,0),MATCH($A130,'DEMAND BY DATE'!$B$3:$AA$3,0)))</f>
        <v>4</v>
      </c>
      <c r="Q130" s="285">
        <f ca="1">IF(Q$122="","",INDEX('DEMAND BY DATE'!$B$4:$AA$203,MATCH(Q$122,'DEMAND BY DATE'!$A$4:$A$203,0),MATCH($A130,'DEMAND BY DATE'!$B$3:$AA$3,0)))</f>
        <v>4</v>
      </c>
      <c r="R130" s="285">
        <f ca="1">IF(R$122="","",INDEX('DEMAND BY DATE'!$B$4:$AA$203,MATCH(R$122,'DEMAND BY DATE'!$A$4:$A$203,0),MATCH($A130,'DEMAND BY DATE'!$B$3:$AA$3,0)))</f>
        <v>4</v>
      </c>
      <c r="S130" s="285">
        <f ca="1">IF(S$122="","",INDEX('DEMAND BY DATE'!$B$4:$AA$203,MATCH(S$122,'DEMAND BY DATE'!$A$4:$A$203,0),MATCH($A130,'DEMAND BY DATE'!$B$3:$AA$3,0)))</f>
        <v>4</v>
      </c>
      <c r="T130" s="285">
        <f ca="1">IF(T$122="","",INDEX('DEMAND BY DATE'!$B$4:$AA$203,MATCH(T$122,'DEMAND BY DATE'!$A$4:$A$203,0),MATCH($A130,'DEMAND BY DATE'!$B$3:$AA$3,0)))</f>
        <v>4</v>
      </c>
      <c r="U130" s="285">
        <f ca="1">IF(U$122="","",INDEX('DEMAND BY DATE'!$B$4:$AA$203,MATCH(U$122,'DEMAND BY DATE'!$A$4:$A$203,0),MATCH($A130,'DEMAND BY DATE'!$B$3:$AA$3,0)))</f>
        <v>12</v>
      </c>
      <c r="V130" s="285">
        <f ca="1">IF(V$122="","",INDEX('DEMAND BY DATE'!$B$4:$AA$203,MATCH(V$122,'DEMAND BY DATE'!$A$4:$A$203,0),MATCH($A130,'DEMAND BY DATE'!$B$3:$AA$3,0)))</f>
        <v>12</v>
      </c>
      <c r="W130" s="285">
        <f ca="1">IF(W$122="","",INDEX('DEMAND BY DATE'!$B$4:$AA$203,MATCH(W$122,'DEMAND BY DATE'!$A$4:$A$203,0),MATCH($A130,'DEMAND BY DATE'!$B$3:$AA$3,0)))</f>
        <v>12</v>
      </c>
      <c r="X130" s="285">
        <f ca="1">IF(X$122="","",INDEX('DEMAND BY DATE'!$B$4:$AA$203,MATCH(X$122,'DEMAND BY DATE'!$A$4:$A$203,0),MATCH($A130,'DEMAND BY DATE'!$B$3:$AA$3,0)))</f>
        <v>12</v>
      </c>
      <c r="Y130" s="285">
        <f ca="1">IF(Y$122="","",INDEX('DEMAND BY DATE'!$B$4:$AA$203,MATCH(Y$122,'DEMAND BY DATE'!$A$4:$A$203,0),MATCH($A130,'DEMAND BY DATE'!$B$3:$AA$3,0)))</f>
        <v>12</v>
      </c>
      <c r="Z130" s="285">
        <f ca="1">IF(Z$122="","",INDEX('DEMAND BY DATE'!$B$4:$AA$203,MATCH(Z$122,'DEMAND BY DATE'!$A$4:$A$203,0),MATCH($A130,'DEMAND BY DATE'!$B$3:$AA$3,0)))</f>
        <v>12</v>
      </c>
      <c r="AA130" s="285">
        <f ca="1">IF(AA$122="","",INDEX('DEMAND BY DATE'!$B$4:$AA$203,MATCH(AA$122,'DEMAND BY DATE'!$A$4:$A$203,0),MATCH($A130,'DEMAND BY DATE'!$B$3:$AA$3,0)))</f>
        <v>12</v>
      </c>
      <c r="AB130" s="285">
        <f ca="1">IF(AB$122="","",INDEX('DEMAND BY DATE'!$B$4:$AA$203,MATCH(AB$122,'DEMAND BY DATE'!$A$4:$A$203,0),MATCH($A130,'DEMAND BY DATE'!$B$3:$AA$3,0)))</f>
        <v>12</v>
      </c>
      <c r="AC130" s="285">
        <f ca="1">IF(AC$122="","",INDEX('DEMAND BY DATE'!$B$4:$AA$203,MATCH(AC$122,'DEMAND BY DATE'!$A$4:$A$203,0),MATCH($A130,'DEMAND BY DATE'!$B$3:$AA$3,0)))</f>
        <v>12</v>
      </c>
      <c r="AD130" s="285">
        <f ca="1">IF(AD$122="","",INDEX('DEMAND BY DATE'!$B$4:$AA$203,MATCH(AD$122,'DEMAND BY DATE'!$A$4:$A$203,0),MATCH($A130,'DEMAND BY DATE'!$B$3:$AA$3,0)))</f>
        <v>12</v>
      </c>
      <c r="AE130" s="285">
        <f ca="1">IF(AE$122="","",INDEX('DEMAND BY DATE'!$B$4:$AA$203,MATCH(AE$122,'DEMAND BY DATE'!$A$4:$A$203,0),MATCH($A130,'DEMAND BY DATE'!$B$3:$AA$3,0)))</f>
        <v>12</v>
      </c>
      <c r="AF130" s="285">
        <f ca="1">IF(AF$122="","",INDEX('DEMAND BY DATE'!$B$4:$AA$203,MATCH(AF$122,'DEMAND BY DATE'!$A$4:$A$203,0),MATCH($A130,'DEMAND BY DATE'!$B$3:$AA$3,0)))</f>
        <v>12</v>
      </c>
      <c r="AG130" s="285">
        <f ca="1">IF(AG$122="","",INDEX('DEMAND BY DATE'!$B$4:$AA$203,MATCH(AG$122,'DEMAND BY DATE'!$A$4:$A$203,0),MATCH($A130,'DEMAND BY DATE'!$B$3:$AA$3,0)))</f>
        <v>12</v>
      </c>
      <c r="AH130" s="285">
        <f ca="1">IF(AH$122="","",INDEX('DEMAND BY DATE'!$B$4:$AA$203,MATCH(AH$122,'DEMAND BY DATE'!$A$4:$A$203,0),MATCH($A130,'DEMAND BY DATE'!$B$3:$AA$3,0)))</f>
        <v>12</v>
      </c>
      <c r="AI130" s="285">
        <f ca="1">IF(AI$122="","",INDEX('DEMAND BY DATE'!$B$4:$AA$203,MATCH(AI$122,'DEMAND BY DATE'!$A$4:$A$203,0),MATCH($A130,'DEMAND BY DATE'!$B$3:$AA$3,0)))</f>
        <v>12</v>
      </c>
      <c r="AJ130" s="285">
        <f ca="1">IF(AJ$122="","",INDEX('DEMAND BY DATE'!$B$4:$AA$203,MATCH(AJ$122,'DEMAND BY DATE'!$A$4:$A$203,0),MATCH($A130,'DEMAND BY DATE'!$B$3:$AA$3,0)))</f>
        <v>12</v>
      </c>
      <c r="AK130" s="285">
        <f ca="1">IF(AK$122="","",INDEX('DEMAND BY DATE'!$B$4:$AA$203,MATCH(AK$122,'DEMAND BY DATE'!$A$4:$A$203,0),MATCH($A130,'DEMAND BY DATE'!$B$3:$AA$3,0)))</f>
        <v>12</v>
      </c>
    </row>
    <row r="131" spans="1:37">
      <c r="A131" s="2" t="str">
        <f ca="1">INDEX(WORKINGS!$A$85:$A$110,MATCH(SMALL(WORKINGS!$E$85:$E$110,9),WORKINGS!$E$85:$E$110,0))</f>
        <v>Button Hole</v>
      </c>
      <c r="B131" s="2" t="str">
        <f ca="1">IF($D131=0,"IDLE — no style uses it",IF($E131&lt;0,"BUY "&amp;TEXT(-$E131,"#,##0.0")&amp;" — short on "&amp;$F131&amp;" of "&amp;$AY$122&amp;" days",IF($E131/$C131&lt;=0.1,"TIGHT — under 10% spare","OK")))</f>
        <v>OK</v>
      </c>
      <c r="C131" s="2">
        <f ca="1">IFERROR(INDEX('MC MASTER'!$C$3:$C$28,MATCH($A131,'MC MASTER'!$B$3:$B$28,0)),0)</f>
        <v>3</v>
      </c>
      <c r="D131" s="2">
        <f ca="1">MAX($G131:$AK131)</f>
        <v>2</v>
      </c>
      <c r="E131" s="2">
        <f ca="1">$C131-$D131</f>
        <v>1</v>
      </c>
      <c r="F131" s="2" cm="1">
        <f t="array" aca="1" ref="F131" ca="1">SUMPRODUCT((ISNUMBER($G131:$AK131))*($G131:$AK131&gt;$C131)*($G$151:$AK$151="Y"))</f>
        <v>0</v>
      </c>
      <c r="G131" s="285">
        <f ca="1">IF(G$122="","",INDEX('DEMAND BY DATE'!$B$4:$AA$203,MATCH(G$122,'DEMAND BY DATE'!$A$4:$A$203,0),MATCH($A131,'DEMAND BY DATE'!$B$3:$AA$3,0)))</f>
        <v>2</v>
      </c>
      <c r="H131" s="285">
        <f ca="1">IF(H$122="","",INDEX('DEMAND BY DATE'!$B$4:$AA$203,MATCH(H$122,'DEMAND BY DATE'!$A$4:$A$203,0),MATCH($A131,'DEMAND BY DATE'!$B$3:$AA$3,0)))</f>
        <v>2</v>
      </c>
      <c r="I131" s="285">
        <f ca="1">IF(I$122="","",INDEX('DEMAND BY DATE'!$B$4:$AA$203,MATCH(I$122,'DEMAND BY DATE'!$A$4:$A$203,0),MATCH($A131,'DEMAND BY DATE'!$B$3:$AA$3,0)))</f>
        <v>2</v>
      </c>
      <c r="J131" s="285">
        <f ca="1">IF(J$122="","",INDEX('DEMAND BY DATE'!$B$4:$AA$203,MATCH(J$122,'DEMAND BY DATE'!$A$4:$A$203,0),MATCH($A131,'DEMAND BY DATE'!$B$3:$AA$3,0)))</f>
        <v>2</v>
      </c>
      <c r="K131" s="285">
        <f ca="1">IF(K$122="","",INDEX('DEMAND BY DATE'!$B$4:$AA$203,MATCH(K$122,'DEMAND BY DATE'!$A$4:$A$203,0),MATCH($A131,'DEMAND BY DATE'!$B$3:$AA$3,0)))</f>
        <v>2</v>
      </c>
      <c r="L131" s="285">
        <f ca="1">IF(L$122="","",INDEX('DEMAND BY DATE'!$B$4:$AA$203,MATCH(L$122,'DEMAND BY DATE'!$A$4:$A$203,0),MATCH($A131,'DEMAND BY DATE'!$B$3:$AA$3,0)))</f>
        <v>2</v>
      </c>
      <c r="M131" s="285">
        <f ca="1">IF(M$122="","",INDEX('DEMAND BY DATE'!$B$4:$AA$203,MATCH(M$122,'DEMAND BY DATE'!$A$4:$A$203,0),MATCH($A131,'DEMAND BY DATE'!$B$3:$AA$3,0)))</f>
        <v>2</v>
      </c>
      <c r="N131" s="285">
        <f ca="1">IF(N$122="","",INDEX('DEMAND BY DATE'!$B$4:$AA$203,MATCH(N$122,'DEMAND BY DATE'!$A$4:$A$203,0),MATCH($A131,'DEMAND BY DATE'!$B$3:$AA$3,0)))</f>
        <v>2</v>
      </c>
      <c r="O131" s="285">
        <f ca="1">IF(O$122="","",INDEX('DEMAND BY DATE'!$B$4:$AA$203,MATCH(O$122,'DEMAND BY DATE'!$A$4:$A$203,0),MATCH($A131,'DEMAND BY DATE'!$B$3:$AA$3,0)))</f>
        <v>2</v>
      </c>
      <c r="P131" s="285">
        <f ca="1">IF(P$122="","",INDEX('DEMAND BY DATE'!$B$4:$AA$203,MATCH(P$122,'DEMAND BY DATE'!$A$4:$A$203,0),MATCH($A131,'DEMAND BY DATE'!$B$3:$AA$3,0)))</f>
        <v>2</v>
      </c>
      <c r="Q131" s="285">
        <f ca="1">IF(Q$122="","",INDEX('DEMAND BY DATE'!$B$4:$AA$203,MATCH(Q$122,'DEMAND BY DATE'!$A$4:$A$203,0),MATCH($A131,'DEMAND BY DATE'!$B$3:$AA$3,0)))</f>
        <v>2</v>
      </c>
      <c r="R131" s="285">
        <f ca="1">IF(R$122="","",INDEX('DEMAND BY DATE'!$B$4:$AA$203,MATCH(R$122,'DEMAND BY DATE'!$A$4:$A$203,0),MATCH($A131,'DEMAND BY DATE'!$B$3:$AA$3,0)))</f>
        <v>2</v>
      </c>
      <c r="S131" s="285">
        <f ca="1">IF(S$122="","",INDEX('DEMAND BY DATE'!$B$4:$AA$203,MATCH(S$122,'DEMAND BY DATE'!$A$4:$A$203,0),MATCH($A131,'DEMAND BY DATE'!$B$3:$AA$3,0)))</f>
        <v>2</v>
      </c>
      <c r="T131" s="285">
        <f ca="1">IF(T$122="","",INDEX('DEMAND BY DATE'!$B$4:$AA$203,MATCH(T$122,'DEMAND BY DATE'!$A$4:$A$203,0),MATCH($A131,'DEMAND BY DATE'!$B$3:$AA$3,0)))</f>
        <v>2</v>
      </c>
      <c r="U131" s="285">
        <f ca="1">IF(U$122="","",INDEX('DEMAND BY DATE'!$B$4:$AA$203,MATCH(U$122,'DEMAND BY DATE'!$A$4:$A$203,0),MATCH($A131,'DEMAND BY DATE'!$B$3:$AA$3,0)))</f>
        <v>2</v>
      </c>
      <c r="V131" s="285">
        <f ca="1">IF(V$122="","",INDEX('DEMAND BY DATE'!$B$4:$AA$203,MATCH(V$122,'DEMAND BY DATE'!$A$4:$A$203,0),MATCH($A131,'DEMAND BY DATE'!$B$3:$AA$3,0)))</f>
        <v>2</v>
      </c>
      <c r="W131" s="285">
        <f ca="1">IF(W$122="","",INDEX('DEMAND BY DATE'!$B$4:$AA$203,MATCH(W$122,'DEMAND BY DATE'!$A$4:$A$203,0),MATCH($A131,'DEMAND BY DATE'!$B$3:$AA$3,0)))</f>
        <v>2</v>
      </c>
      <c r="X131" s="285">
        <f ca="1">IF(X$122="","",INDEX('DEMAND BY DATE'!$B$4:$AA$203,MATCH(X$122,'DEMAND BY DATE'!$A$4:$A$203,0),MATCH($A131,'DEMAND BY DATE'!$B$3:$AA$3,0)))</f>
        <v>2</v>
      </c>
      <c r="Y131" s="285">
        <f ca="1">IF(Y$122="","",INDEX('DEMAND BY DATE'!$B$4:$AA$203,MATCH(Y$122,'DEMAND BY DATE'!$A$4:$A$203,0),MATCH($A131,'DEMAND BY DATE'!$B$3:$AA$3,0)))</f>
        <v>2</v>
      </c>
      <c r="Z131" s="285">
        <f ca="1">IF(Z$122="","",INDEX('DEMAND BY DATE'!$B$4:$AA$203,MATCH(Z$122,'DEMAND BY DATE'!$A$4:$A$203,0),MATCH($A131,'DEMAND BY DATE'!$B$3:$AA$3,0)))</f>
        <v>2</v>
      </c>
      <c r="AA131" s="285">
        <f ca="1">IF(AA$122="","",INDEX('DEMAND BY DATE'!$B$4:$AA$203,MATCH(AA$122,'DEMAND BY DATE'!$A$4:$A$203,0),MATCH($A131,'DEMAND BY DATE'!$B$3:$AA$3,0)))</f>
        <v>2</v>
      </c>
      <c r="AB131" s="285">
        <f ca="1">IF(AB$122="","",INDEX('DEMAND BY DATE'!$B$4:$AA$203,MATCH(AB$122,'DEMAND BY DATE'!$A$4:$A$203,0),MATCH($A131,'DEMAND BY DATE'!$B$3:$AA$3,0)))</f>
        <v>2</v>
      </c>
      <c r="AC131" s="285">
        <f ca="1">IF(AC$122="","",INDEX('DEMAND BY DATE'!$B$4:$AA$203,MATCH(AC$122,'DEMAND BY DATE'!$A$4:$A$203,0),MATCH($A131,'DEMAND BY DATE'!$B$3:$AA$3,0)))</f>
        <v>2</v>
      </c>
      <c r="AD131" s="285">
        <f ca="1">IF(AD$122="","",INDEX('DEMAND BY DATE'!$B$4:$AA$203,MATCH(AD$122,'DEMAND BY DATE'!$A$4:$A$203,0),MATCH($A131,'DEMAND BY DATE'!$B$3:$AA$3,0)))</f>
        <v>2</v>
      </c>
      <c r="AE131" s="285">
        <f ca="1">IF(AE$122="","",INDEX('DEMAND BY DATE'!$B$4:$AA$203,MATCH(AE$122,'DEMAND BY DATE'!$A$4:$A$203,0),MATCH($A131,'DEMAND BY DATE'!$B$3:$AA$3,0)))</f>
        <v>2</v>
      </c>
      <c r="AF131" s="285">
        <f ca="1">IF(AF$122="","",INDEX('DEMAND BY DATE'!$B$4:$AA$203,MATCH(AF$122,'DEMAND BY DATE'!$A$4:$A$203,0),MATCH($A131,'DEMAND BY DATE'!$B$3:$AA$3,0)))</f>
        <v>2</v>
      </c>
      <c r="AG131" s="285">
        <f ca="1">IF(AG$122="","",INDEX('DEMAND BY DATE'!$B$4:$AA$203,MATCH(AG$122,'DEMAND BY DATE'!$A$4:$A$203,0),MATCH($A131,'DEMAND BY DATE'!$B$3:$AA$3,0)))</f>
        <v>2</v>
      </c>
      <c r="AH131" s="285">
        <f ca="1">IF(AH$122="","",INDEX('DEMAND BY DATE'!$B$4:$AA$203,MATCH(AH$122,'DEMAND BY DATE'!$A$4:$A$203,0),MATCH($A131,'DEMAND BY DATE'!$B$3:$AA$3,0)))</f>
        <v>2</v>
      </c>
      <c r="AI131" s="285">
        <f ca="1">IF(AI$122="","",INDEX('DEMAND BY DATE'!$B$4:$AA$203,MATCH(AI$122,'DEMAND BY DATE'!$A$4:$A$203,0),MATCH($A131,'DEMAND BY DATE'!$B$3:$AA$3,0)))</f>
        <v>2</v>
      </c>
      <c r="AJ131" s="285">
        <f ca="1">IF(AJ$122="","",INDEX('DEMAND BY DATE'!$B$4:$AA$203,MATCH(AJ$122,'DEMAND BY DATE'!$A$4:$A$203,0),MATCH($A131,'DEMAND BY DATE'!$B$3:$AA$3,0)))</f>
        <v>2</v>
      </c>
      <c r="AK131" s="285">
        <f ca="1">IF(AK$122="","",INDEX('DEMAND BY DATE'!$B$4:$AA$203,MATCH(AK$122,'DEMAND BY DATE'!$A$4:$A$203,0),MATCH($A131,'DEMAND BY DATE'!$B$3:$AA$3,0)))</f>
        <v>2</v>
      </c>
    </row>
    <row r="132" spans="1:37">
      <c r="A132" s="2" t="str">
        <f ca="1">INDEX(WORKINGS!$A$85:$A$110,MATCH(SMALL(WORKINGS!$E$85:$E$110,10),WORKINGS!$E$85:$E$110,0))</f>
        <v>Button Attach</v>
      </c>
      <c r="B132" s="2" t="str">
        <f ca="1">IF($D132=0,"IDLE — no style uses it",IF($E132&lt;0,"BUY "&amp;TEXT(-$E132,"#,##0.0")&amp;" — short on "&amp;$F132&amp;" of "&amp;$AY$122&amp;" days",IF($E132/$C132&lt;=0.1,"TIGHT — under 10% spare","OK")))</f>
        <v>IDLE — no style uses it</v>
      </c>
      <c r="C132" s="2">
        <f ca="1">IFERROR(INDEX('MC MASTER'!$C$3:$C$28,MATCH($A132,'MC MASTER'!$B$3:$B$28,0)),0)</f>
        <v>1</v>
      </c>
      <c r="D132" s="2">
        <f ca="1">MAX($G132:$AK132)</f>
        <v>0</v>
      </c>
      <c r="E132" s="2">
        <f ca="1">$C132-$D132</f>
        <v>1</v>
      </c>
      <c r="F132" s="2" cm="1">
        <f t="array" aca="1" ref="F132" ca="1">SUMPRODUCT((ISNUMBER($G132:$AK132))*($G132:$AK132&gt;$C132)*($G$151:$AK$151="Y"))</f>
        <v>0</v>
      </c>
      <c r="G132" s="285">
        <f ca="1">IF(G$122="","",INDEX('DEMAND BY DATE'!$B$4:$AA$203,MATCH(G$122,'DEMAND BY DATE'!$A$4:$A$203,0),MATCH($A132,'DEMAND BY DATE'!$B$3:$AA$3,0)))</f>
        <v>0</v>
      </c>
      <c r="H132" s="285">
        <f ca="1">IF(H$122="","",INDEX('DEMAND BY DATE'!$B$4:$AA$203,MATCH(H$122,'DEMAND BY DATE'!$A$4:$A$203,0),MATCH($A132,'DEMAND BY DATE'!$B$3:$AA$3,0)))</f>
        <v>0</v>
      </c>
      <c r="I132" s="285">
        <f ca="1">IF(I$122="","",INDEX('DEMAND BY DATE'!$B$4:$AA$203,MATCH(I$122,'DEMAND BY DATE'!$A$4:$A$203,0),MATCH($A132,'DEMAND BY DATE'!$B$3:$AA$3,0)))</f>
        <v>0</v>
      </c>
      <c r="J132" s="285">
        <f ca="1">IF(J$122="","",INDEX('DEMAND BY DATE'!$B$4:$AA$203,MATCH(J$122,'DEMAND BY DATE'!$A$4:$A$203,0),MATCH($A132,'DEMAND BY DATE'!$B$3:$AA$3,0)))</f>
        <v>0</v>
      </c>
      <c r="K132" s="285">
        <f ca="1">IF(K$122="","",INDEX('DEMAND BY DATE'!$B$4:$AA$203,MATCH(K$122,'DEMAND BY DATE'!$A$4:$A$203,0),MATCH($A132,'DEMAND BY DATE'!$B$3:$AA$3,0)))</f>
        <v>0</v>
      </c>
      <c r="L132" s="285">
        <f ca="1">IF(L$122="","",INDEX('DEMAND BY DATE'!$B$4:$AA$203,MATCH(L$122,'DEMAND BY DATE'!$A$4:$A$203,0),MATCH($A132,'DEMAND BY DATE'!$B$3:$AA$3,0)))</f>
        <v>0</v>
      </c>
      <c r="M132" s="285">
        <f ca="1">IF(M$122="","",INDEX('DEMAND BY DATE'!$B$4:$AA$203,MATCH(M$122,'DEMAND BY DATE'!$A$4:$A$203,0),MATCH($A132,'DEMAND BY DATE'!$B$3:$AA$3,0)))</f>
        <v>0</v>
      </c>
      <c r="N132" s="285">
        <f ca="1">IF(N$122="","",INDEX('DEMAND BY DATE'!$B$4:$AA$203,MATCH(N$122,'DEMAND BY DATE'!$A$4:$A$203,0),MATCH($A132,'DEMAND BY DATE'!$B$3:$AA$3,0)))</f>
        <v>0</v>
      </c>
      <c r="O132" s="285">
        <f ca="1">IF(O$122="","",INDEX('DEMAND BY DATE'!$B$4:$AA$203,MATCH(O$122,'DEMAND BY DATE'!$A$4:$A$203,0),MATCH($A132,'DEMAND BY DATE'!$B$3:$AA$3,0)))</f>
        <v>0</v>
      </c>
      <c r="P132" s="285">
        <f ca="1">IF(P$122="","",INDEX('DEMAND BY DATE'!$B$4:$AA$203,MATCH(P$122,'DEMAND BY DATE'!$A$4:$A$203,0),MATCH($A132,'DEMAND BY DATE'!$B$3:$AA$3,0)))</f>
        <v>0</v>
      </c>
      <c r="Q132" s="285">
        <f ca="1">IF(Q$122="","",INDEX('DEMAND BY DATE'!$B$4:$AA$203,MATCH(Q$122,'DEMAND BY DATE'!$A$4:$A$203,0),MATCH($A132,'DEMAND BY DATE'!$B$3:$AA$3,0)))</f>
        <v>0</v>
      </c>
      <c r="R132" s="285">
        <f ca="1">IF(R$122="","",INDEX('DEMAND BY DATE'!$B$4:$AA$203,MATCH(R$122,'DEMAND BY DATE'!$A$4:$A$203,0),MATCH($A132,'DEMAND BY DATE'!$B$3:$AA$3,0)))</f>
        <v>0</v>
      </c>
      <c r="S132" s="285">
        <f ca="1">IF(S$122="","",INDEX('DEMAND BY DATE'!$B$4:$AA$203,MATCH(S$122,'DEMAND BY DATE'!$A$4:$A$203,0),MATCH($A132,'DEMAND BY DATE'!$B$3:$AA$3,0)))</f>
        <v>0</v>
      </c>
      <c r="T132" s="285">
        <f ca="1">IF(T$122="","",INDEX('DEMAND BY DATE'!$B$4:$AA$203,MATCH(T$122,'DEMAND BY DATE'!$A$4:$A$203,0),MATCH($A132,'DEMAND BY DATE'!$B$3:$AA$3,0)))</f>
        <v>0</v>
      </c>
      <c r="U132" s="285">
        <f ca="1">IF(U$122="","",INDEX('DEMAND BY DATE'!$B$4:$AA$203,MATCH(U$122,'DEMAND BY DATE'!$A$4:$A$203,0),MATCH($A132,'DEMAND BY DATE'!$B$3:$AA$3,0)))</f>
        <v>0</v>
      </c>
      <c r="V132" s="285">
        <f ca="1">IF(V$122="","",INDEX('DEMAND BY DATE'!$B$4:$AA$203,MATCH(V$122,'DEMAND BY DATE'!$A$4:$A$203,0),MATCH($A132,'DEMAND BY DATE'!$B$3:$AA$3,0)))</f>
        <v>0</v>
      </c>
      <c r="W132" s="285">
        <f ca="1">IF(W$122="","",INDEX('DEMAND BY DATE'!$B$4:$AA$203,MATCH(W$122,'DEMAND BY DATE'!$A$4:$A$203,0),MATCH($A132,'DEMAND BY DATE'!$B$3:$AA$3,0)))</f>
        <v>0</v>
      </c>
      <c r="X132" s="285">
        <f ca="1">IF(X$122="","",INDEX('DEMAND BY DATE'!$B$4:$AA$203,MATCH(X$122,'DEMAND BY DATE'!$A$4:$A$203,0),MATCH($A132,'DEMAND BY DATE'!$B$3:$AA$3,0)))</f>
        <v>0</v>
      </c>
      <c r="Y132" s="285">
        <f ca="1">IF(Y$122="","",INDEX('DEMAND BY DATE'!$B$4:$AA$203,MATCH(Y$122,'DEMAND BY DATE'!$A$4:$A$203,0),MATCH($A132,'DEMAND BY DATE'!$B$3:$AA$3,0)))</f>
        <v>0</v>
      </c>
      <c r="Z132" s="285">
        <f ca="1">IF(Z$122="","",INDEX('DEMAND BY DATE'!$B$4:$AA$203,MATCH(Z$122,'DEMAND BY DATE'!$A$4:$A$203,0),MATCH($A132,'DEMAND BY DATE'!$B$3:$AA$3,0)))</f>
        <v>0</v>
      </c>
      <c r="AA132" s="285">
        <f ca="1">IF(AA$122="","",INDEX('DEMAND BY DATE'!$B$4:$AA$203,MATCH(AA$122,'DEMAND BY DATE'!$A$4:$A$203,0),MATCH($A132,'DEMAND BY DATE'!$B$3:$AA$3,0)))</f>
        <v>0</v>
      </c>
      <c r="AB132" s="285">
        <f ca="1">IF(AB$122="","",INDEX('DEMAND BY DATE'!$B$4:$AA$203,MATCH(AB$122,'DEMAND BY DATE'!$A$4:$A$203,0),MATCH($A132,'DEMAND BY DATE'!$B$3:$AA$3,0)))</f>
        <v>0</v>
      </c>
      <c r="AC132" s="285">
        <f ca="1">IF(AC$122="","",INDEX('DEMAND BY DATE'!$B$4:$AA$203,MATCH(AC$122,'DEMAND BY DATE'!$A$4:$A$203,0),MATCH($A132,'DEMAND BY DATE'!$B$3:$AA$3,0)))</f>
        <v>0</v>
      </c>
      <c r="AD132" s="285">
        <f ca="1">IF(AD$122="","",INDEX('DEMAND BY DATE'!$B$4:$AA$203,MATCH(AD$122,'DEMAND BY DATE'!$A$4:$A$203,0),MATCH($A132,'DEMAND BY DATE'!$B$3:$AA$3,0)))</f>
        <v>0</v>
      </c>
      <c r="AE132" s="285">
        <f ca="1">IF(AE$122="","",INDEX('DEMAND BY DATE'!$B$4:$AA$203,MATCH(AE$122,'DEMAND BY DATE'!$A$4:$A$203,0),MATCH($A132,'DEMAND BY DATE'!$B$3:$AA$3,0)))</f>
        <v>0</v>
      </c>
      <c r="AF132" s="285">
        <f ca="1">IF(AF$122="","",INDEX('DEMAND BY DATE'!$B$4:$AA$203,MATCH(AF$122,'DEMAND BY DATE'!$A$4:$A$203,0),MATCH($A132,'DEMAND BY DATE'!$B$3:$AA$3,0)))</f>
        <v>0</v>
      </c>
      <c r="AG132" s="285">
        <f ca="1">IF(AG$122="","",INDEX('DEMAND BY DATE'!$B$4:$AA$203,MATCH(AG$122,'DEMAND BY DATE'!$A$4:$A$203,0),MATCH($A132,'DEMAND BY DATE'!$B$3:$AA$3,0)))</f>
        <v>0</v>
      </c>
      <c r="AH132" s="285">
        <f ca="1">IF(AH$122="","",INDEX('DEMAND BY DATE'!$B$4:$AA$203,MATCH(AH$122,'DEMAND BY DATE'!$A$4:$A$203,0),MATCH($A132,'DEMAND BY DATE'!$B$3:$AA$3,0)))</f>
        <v>0</v>
      </c>
      <c r="AI132" s="285">
        <f ca="1">IF(AI$122="","",INDEX('DEMAND BY DATE'!$B$4:$AA$203,MATCH(AI$122,'DEMAND BY DATE'!$A$4:$A$203,0),MATCH($A132,'DEMAND BY DATE'!$B$3:$AA$3,0)))</f>
        <v>0</v>
      </c>
      <c r="AJ132" s="285">
        <f ca="1">IF(AJ$122="","",INDEX('DEMAND BY DATE'!$B$4:$AA$203,MATCH(AJ$122,'DEMAND BY DATE'!$A$4:$A$203,0),MATCH($A132,'DEMAND BY DATE'!$B$3:$AA$3,0)))</f>
        <v>0</v>
      </c>
      <c r="AK132" s="285">
        <f ca="1">IF(AK$122="","",INDEX('DEMAND BY DATE'!$B$4:$AA$203,MATCH(AK$122,'DEMAND BY DATE'!$A$4:$A$203,0),MATCH($A132,'DEMAND BY DATE'!$B$3:$AA$3,0)))</f>
        <v>0</v>
      </c>
    </row>
    <row r="133" spans="1:37">
      <c r="A133" s="2" t="str">
        <f ca="1">INDEX(WORKINGS!$A$85:$A$110,MATCH(SMALL(WORKINGS!$E$85:$E$110,11),WORKINGS!$E$85:$E$110,0))</f>
        <v>SNLS - Edge cutter</v>
      </c>
      <c r="B133" s="2" t="str">
        <f ca="1">IF($D133=0,"IDLE — no style uses it",IF($E133&lt;0,"BUY "&amp;TEXT(-$E133,"#,##0.0")&amp;" — short on "&amp;$F133&amp;" of "&amp;$AY$122&amp;" days",IF($E133/$C133&lt;=0.1,"TIGHT — under 10% spare","OK")))</f>
        <v>IDLE — no style uses it</v>
      </c>
      <c r="C133" s="2">
        <f ca="1">IFERROR(INDEX('MC MASTER'!$C$3:$C$28,MATCH($A133,'MC MASTER'!$B$3:$B$28,0)),0)</f>
        <v>2</v>
      </c>
      <c r="D133" s="2">
        <f ca="1">MAX($G133:$AK133)</f>
        <v>0</v>
      </c>
      <c r="E133" s="2">
        <f ca="1">$C133-$D133</f>
        <v>2</v>
      </c>
      <c r="F133" s="2" cm="1">
        <f t="array" aca="1" ref="F133" ca="1">SUMPRODUCT((ISNUMBER($G133:$AK133))*($G133:$AK133&gt;$C133)*($G$151:$AK$151="Y"))</f>
        <v>0</v>
      </c>
      <c r="G133" s="285">
        <f ca="1">IF(G$122="","",INDEX('DEMAND BY DATE'!$B$4:$AA$203,MATCH(G$122,'DEMAND BY DATE'!$A$4:$A$203,0),MATCH($A133,'DEMAND BY DATE'!$B$3:$AA$3,0)))</f>
        <v>0</v>
      </c>
      <c r="H133" s="285">
        <f ca="1">IF(H$122="","",INDEX('DEMAND BY DATE'!$B$4:$AA$203,MATCH(H$122,'DEMAND BY DATE'!$A$4:$A$203,0),MATCH($A133,'DEMAND BY DATE'!$B$3:$AA$3,0)))</f>
        <v>0</v>
      </c>
      <c r="I133" s="285">
        <f ca="1">IF(I$122="","",INDEX('DEMAND BY DATE'!$B$4:$AA$203,MATCH(I$122,'DEMAND BY DATE'!$A$4:$A$203,0),MATCH($A133,'DEMAND BY DATE'!$B$3:$AA$3,0)))</f>
        <v>0</v>
      </c>
      <c r="J133" s="285">
        <f ca="1">IF(J$122="","",INDEX('DEMAND BY DATE'!$B$4:$AA$203,MATCH(J$122,'DEMAND BY DATE'!$A$4:$A$203,0),MATCH($A133,'DEMAND BY DATE'!$B$3:$AA$3,0)))</f>
        <v>0</v>
      </c>
      <c r="K133" s="285">
        <f ca="1">IF(K$122="","",INDEX('DEMAND BY DATE'!$B$4:$AA$203,MATCH(K$122,'DEMAND BY DATE'!$A$4:$A$203,0),MATCH($A133,'DEMAND BY DATE'!$B$3:$AA$3,0)))</f>
        <v>0</v>
      </c>
      <c r="L133" s="285">
        <f ca="1">IF(L$122="","",INDEX('DEMAND BY DATE'!$B$4:$AA$203,MATCH(L$122,'DEMAND BY DATE'!$A$4:$A$203,0),MATCH($A133,'DEMAND BY DATE'!$B$3:$AA$3,0)))</f>
        <v>0</v>
      </c>
      <c r="M133" s="285">
        <f ca="1">IF(M$122="","",INDEX('DEMAND BY DATE'!$B$4:$AA$203,MATCH(M$122,'DEMAND BY DATE'!$A$4:$A$203,0),MATCH($A133,'DEMAND BY DATE'!$B$3:$AA$3,0)))</f>
        <v>0</v>
      </c>
      <c r="N133" s="285">
        <f ca="1">IF(N$122="","",INDEX('DEMAND BY DATE'!$B$4:$AA$203,MATCH(N$122,'DEMAND BY DATE'!$A$4:$A$203,0),MATCH($A133,'DEMAND BY DATE'!$B$3:$AA$3,0)))</f>
        <v>0</v>
      </c>
      <c r="O133" s="285">
        <f ca="1">IF(O$122="","",INDEX('DEMAND BY DATE'!$B$4:$AA$203,MATCH(O$122,'DEMAND BY DATE'!$A$4:$A$203,0),MATCH($A133,'DEMAND BY DATE'!$B$3:$AA$3,0)))</f>
        <v>0</v>
      </c>
      <c r="P133" s="285">
        <f ca="1">IF(P$122="","",INDEX('DEMAND BY DATE'!$B$4:$AA$203,MATCH(P$122,'DEMAND BY DATE'!$A$4:$A$203,0),MATCH($A133,'DEMAND BY DATE'!$B$3:$AA$3,0)))</f>
        <v>0</v>
      </c>
      <c r="Q133" s="285">
        <f ca="1">IF(Q$122="","",INDEX('DEMAND BY DATE'!$B$4:$AA$203,MATCH(Q$122,'DEMAND BY DATE'!$A$4:$A$203,0),MATCH($A133,'DEMAND BY DATE'!$B$3:$AA$3,0)))</f>
        <v>0</v>
      </c>
      <c r="R133" s="285">
        <f ca="1">IF(R$122="","",INDEX('DEMAND BY DATE'!$B$4:$AA$203,MATCH(R$122,'DEMAND BY DATE'!$A$4:$A$203,0),MATCH($A133,'DEMAND BY DATE'!$B$3:$AA$3,0)))</f>
        <v>0</v>
      </c>
      <c r="S133" s="285">
        <f ca="1">IF(S$122="","",INDEX('DEMAND BY DATE'!$B$4:$AA$203,MATCH(S$122,'DEMAND BY DATE'!$A$4:$A$203,0),MATCH($A133,'DEMAND BY DATE'!$B$3:$AA$3,0)))</f>
        <v>0</v>
      </c>
      <c r="T133" s="285">
        <f ca="1">IF(T$122="","",INDEX('DEMAND BY DATE'!$B$4:$AA$203,MATCH(T$122,'DEMAND BY DATE'!$A$4:$A$203,0),MATCH($A133,'DEMAND BY DATE'!$B$3:$AA$3,0)))</f>
        <v>0</v>
      </c>
      <c r="U133" s="285">
        <f ca="1">IF(U$122="","",INDEX('DEMAND BY DATE'!$B$4:$AA$203,MATCH(U$122,'DEMAND BY DATE'!$A$4:$A$203,0),MATCH($A133,'DEMAND BY DATE'!$B$3:$AA$3,0)))</f>
        <v>0</v>
      </c>
      <c r="V133" s="285">
        <f ca="1">IF(V$122="","",INDEX('DEMAND BY DATE'!$B$4:$AA$203,MATCH(V$122,'DEMAND BY DATE'!$A$4:$A$203,0),MATCH($A133,'DEMAND BY DATE'!$B$3:$AA$3,0)))</f>
        <v>0</v>
      </c>
      <c r="W133" s="285">
        <f ca="1">IF(W$122="","",INDEX('DEMAND BY DATE'!$B$4:$AA$203,MATCH(W$122,'DEMAND BY DATE'!$A$4:$A$203,0),MATCH($A133,'DEMAND BY DATE'!$B$3:$AA$3,0)))</f>
        <v>0</v>
      </c>
      <c r="X133" s="285">
        <f ca="1">IF(X$122="","",INDEX('DEMAND BY DATE'!$B$4:$AA$203,MATCH(X$122,'DEMAND BY DATE'!$A$4:$A$203,0),MATCH($A133,'DEMAND BY DATE'!$B$3:$AA$3,0)))</f>
        <v>0</v>
      </c>
      <c r="Y133" s="285">
        <f ca="1">IF(Y$122="","",INDEX('DEMAND BY DATE'!$B$4:$AA$203,MATCH(Y$122,'DEMAND BY DATE'!$A$4:$A$203,0),MATCH($A133,'DEMAND BY DATE'!$B$3:$AA$3,0)))</f>
        <v>0</v>
      </c>
      <c r="Z133" s="285">
        <f ca="1">IF(Z$122="","",INDEX('DEMAND BY DATE'!$B$4:$AA$203,MATCH(Z$122,'DEMAND BY DATE'!$A$4:$A$203,0),MATCH($A133,'DEMAND BY DATE'!$B$3:$AA$3,0)))</f>
        <v>0</v>
      </c>
      <c r="AA133" s="285">
        <f ca="1">IF(AA$122="","",INDEX('DEMAND BY DATE'!$B$4:$AA$203,MATCH(AA$122,'DEMAND BY DATE'!$A$4:$A$203,0),MATCH($A133,'DEMAND BY DATE'!$B$3:$AA$3,0)))</f>
        <v>0</v>
      </c>
      <c r="AB133" s="285">
        <f ca="1">IF(AB$122="","",INDEX('DEMAND BY DATE'!$B$4:$AA$203,MATCH(AB$122,'DEMAND BY DATE'!$A$4:$A$203,0),MATCH($A133,'DEMAND BY DATE'!$B$3:$AA$3,0)))</f>
        <v>0</v>
      </c>
      <c r="AC133" s="285">
        <f ca="1">IF(AC$122="","",INDEX('DEMAND BY DATE'!$B$4:$AA$203,MATCH(AC$122,'DEMAND BY DATE'!$A$4:$A$203,0),MATCH($A133,'DEMAND BY DATE'!$B$3:$AA$3,0)))</f>
        <v>0</v>
      </c>
      <c r="AD133" s="285">
        <f ca="1">IF(AD$122="","",INDEX('DEMAND BY DATE'!$B$4:$AA$203,MATCH(AD$122,'DEMAND BY DATE'!$A$4:$A$203,0),MATCH($A133,'DEMAND BY DATE'!$B$3:$AA$3,0)))</f>
        <v>0</v>
      </c>
      <c r="AE133" s="285">
        <f ca="1">IF(AE$122="","",INDEX('DEMAND BY DATE'!$B$4:$AA$203,MATCH(AE$122,'DEMAND BY DATE'!$A$4:$A$203,0),MATCH($A133,'DEMAND BY DATE'!$B$3:$AA$3,0)))</f>
        <v>0</v>
      </c>
      <c r="AF133" s="285">
        <f ca="1">IF(AF$122="","",INDEX('DEMAND BY DATE'!$B$4:$AA$203,MATCH(AF$122,'DEMAND BY DATE'!$A$4:$A$203,0),MATCH($A133,'DEMAND BY DATE'!$B$3:$AA$3,0)))</f>
        <v>0</v>
      </c>
      <c r="AG133" s="285">
        <f ca="1">IF(AG$122="","",INDEX('DEMAND BY DATE'!$B$4:$AA$203,MATCH(AG$122,'DEMAND BY DATE'!$A$4:$A$203,0),MATCH($A133,'DEMAND BY DATE'!$B$3:$AA$3,0)))</f>
        <v>0</v>
      </c>
      <c r="AH133" s="285">
        <f ca="1">IF(AH$122="","",INDEX('DEMAND BY DATE'!$B$4:$AA$203,MATCH(AH$122,'DEMAND BY DATE'!$A$4:$A$203,0),MATCH($A133,'DEMAND BY DATE'!$B$3:$AA$3,0)))</f>
        <v>0</v>
      </c>
      <c r="AI133" s="285">
        <f ca="1">IF(AI$122="","",INDEX('DEMAND BY DATE'!$B$4:$AA$203,MATCH(AI$122,'DEMAND BY DATE'!$A$4:$A$203,0),MATCH($A133,'DEMAND BY DATE'!$B$3:$AA$3,0)))</f>
        <v>0</v>
      </c>
      <c r="AJ133" s="285">
        <f ca="1">IF(AJ$122="","",INDEX('DEMAND BY DATE'!$B$4:$AA$203,MATCH(AJ$122,'DEMAND BY DATE'!$A$4:$A$203,0),MATCH($A133,'DEMAND BY DATE'!$B$3:$AA$3,0)))</f>
        <v>0</v>
      </c>
      <c r="AK133" s="285">
        <f ca="1">IF(AK$122="","",INDEX('DEMAND BY DATE'!$B$4:$AA$203,MATCH(AK$122,'DEMAND BY DATE'!$A$4:$A$203,0),MATCH($A133,'DEMAND BY DATE'!$B$3:$AA$3,0)))</f>
        <v>0</v>
      </c>
    </row>
    <row r="134" spans="1:37">
      <c r="A134" s="2" t="str">
        <f ca="1">INDEX(WORKINGS!$A$85:$A$110,MATCH(SMALL(WORKINGS!$E$85:$E$110,12),WORKINGS!$E$85:$E$110,0))</f>
        <v>Chain stitch</v>
      </c>
      <c r="B134" s="2" t="str">
        <f ca="1">IF($D134=0,"IDLE — no style uses it",IF($E134&lt;0,"BUY "&amp;TEXT(-$E134,"#,##0.0")&amp;" — short on "&amp;$F134&amp;" of "&amp;$AY$122&amp;" days",IF($E134/$C134&lt;=0.1,"TIGHT — under 10% spare","OK")))</f>
        <v>IDLE — no style uses it</v>
      </c>
      <c r="C134" s="2">
        <f ca="1">IFERROR(INDEX('MC MASTER'!$C$3:$C$28,MATCH($A134,'MC MASTER'!$B$3:$B$28,0)),0)</f>
        <v>2</v>
      </c>
      <c r="D134" s="2">
        <f ca="1">MAX($G134:$AK134)</f>
        <v>0</v>
      </c>
      <c r="E134" s="2">
        <f ca="1">$C134-$D134</f>
        <v>2</v>
      </c>
      <c r="F134" s="2" cm="1">
        <f t="array" aca="1" ref="F134" ca="1">SUMPRODUCT((ISNUMBER($G134:$AK134))*($G134:$AK134&gt;$C134)*($G$151:$AK$151="Y"))</f>
        <v>0</v>
      </c>
      <c r="G134" s="285">
        <f ca="1">IF(G$122="","",INDEX('DEMAND BY DATE'!$B$4:$AA$203,MATCH(G$122,'DEMAND BY DATE'!$A$4:$A$203,0),MATCH($A134,'DEMAND BY DATE'!$B$3:$AA$3,0)))</f>
        <v>0</v>
      </c>
      <c r="H134" s="285">
        <f ca="1">IF(H$122="","",INDEX('DEMAND BY DATE'!$B$4:$AA$203,MATCH(H$122,'DEMAND BY DATE'!$A$4:$A$203,0),MATCH($A134,'DEMAND BY DATE'!$B$3:$AA$3,0)))</f>
        <v>0</v>
      </c>
      <c r="I134" s="285">
        <f ca="1">IF(I$122="","",INDEX('DEMAND BY DATE'!$B$4:$AA$203,MATCH(I$122,'DEMAND BY DATE'!$A$4:$A$203,0),MATCH($A134,'DEMAND BY DATE'!$B$3:$AA$3,0)))</f>
        <v>0</v>
      </c>
      <c r="J134" s="285">
        <f ca="1">IF(J$122="","",INDEX('DEMAND BY DATE'!$B$4:$AA$203,MATCH(J$122,'DEMAND BY DATE'!$A$4:$A$203,0),MATCH($A134,'DEMAND BY DATE'!$B$3:$AA$3,0)))</f>
        <v>0</v>
      </c>
      <c r="K134" s="285">
        <f ca="1">IF(K$122="","",INDEX('DEMAND BY DATE'!$B$4:$AA$203,MATCH(K$122,'DEMAND BY DATE'!$A$4:$A$203,0),MATCH($A134,'DEMAND BY DATE'!$B$3:$AA$3,0)))</f>
        <v>0</v>
      </c>
      <c r="L134" s="285">
        <f ca="1">IF(L$122="","",INDEX('DEMAND BY DATE'!$B$4:$AA$203,MATCH(L$122,'DEMAND BY DATE'!$A$4:$A$203,0),MATCH($A134,'DEMAND BY DATE'!$B$3:$AA$3,0)))</f>
        <v>0</v>
      </c>
      <c r="M134" s="285">
        <f ca="1">IF(M$122="","",INDEX('DEMAND BY DATE'!$B$4:$AA$203,MATCH(M$122,'DEMAND BY DATE'!$A$4:$A$203,0),MATCH($A134,'DEMAND BY DATE'!$B$3:$AA$3,0)))</f>
        <v>0</v>
      </c>
      <c r="N134" s="285">
        <f ca="1">IF(N$122="","",INDEX('DEMAND BY DATE'!$B$4:$AA$203,MATCH(N$122,'DEMAND BY DATE'!$A$4:$A$203,0),MATCH($A134,'DEMAND BY DATE'!$B$3:$AA$3,0)))</f>
        <v>0</v>
      </c>
      <c r="O134" s="285">
        <f ca="1">IF(O$122="","",INDEX('DEMAND BY DATE'!$B$4:$AA$203,MATCH(O$122,'DEMAND BY DATE'!$A$4:$A$203,0),MATCH($A134,'DEMAND BY DATE'!$B$3:$AA$3,0)))</f>
        <v>0</v>
      </c>
      <c r="P134" s="285">
        <f ca="1">IF(P$122="","",INDEX('DEMAND BY DATE'!$B$4:$AA$203,MATCH(P$122,'DEMAND BY DATE'!$A$4:$A$203,0),MATCH($A134,'DEMAND BY DATE'!$B$3:$AA$3,0)))</f>
        <v>0</v>
      </c>
      <c r="Q134" s="285">
        <f ca="1">IF(Q$122="","",INDEX('DEMAND BY DATE'!$B$4:$AA$203,MATCH(Q$122,'DEMAND BY DATE'!$A$4:$A$203,0),MATCH($A134,'DEMAND BY DATE'!$B$3:$AA$3,0)))</f>
        <v>0</v>
      </c>
      <c r="R134" s="285">
        <f ca="1">IF(R$122="","",INDEX('DEMAND BY DATE'!$B$4:$AA$203,MATCH(R$122,'DEMAND BY DATE'!$A$4:$A$203,0),MATCH($A134,'DEMAND BY DATE'!$B$3:$AA$3,0)))</f>
        <v>0</v>
      </c>
      <c r="S134" s="285">
        <f ca="1">IF(S$122="","",INDEX('DEMAND BY DATE'!$B$4:$AA$203,MATCH(S$122,'DEMAND BY DATE'!$A$4:$A$203,0),MATCH($A134,'DEMAND BY DATE'!$B$3:$AA$3,0)))</f>
        <v>0</v>
      </c>
      <c r="T134" s="285">
        <f ca="1">IF(T$122="","",INDEX('DEMAND BY DATE'!$B$4:$AA$203,MATCH(T$122,'DEMAND BY DATE'!$A$4:$A$203,0),MATCH($A134,'DEMAND BY DATE'!$B$3:$AA$3,0)))</f>
        <v>0</v>
      </c>
      <c r="U134" s="285">
        <f ca="1">IF(U$122="","",INDEX('DEMAND BY DATE'!$B$4:$AA$203,MATCH(U$122,'DEMAND BY DATE'!$A$4:$A$203,0),MATCH($A134,'DEMAND BY DATE'!$B$3:$AA$3,0)))</f>
        <v>0</v>
      </c>
      <c r="V134" s="285">
        <f ca="1">IF(V$122="","",INDEX('DEMAND BY DATE'!$B$4:$AA$203,MATCH(V$122,'DEMAND BY DATE'!$A$4:$A$203,0),MATCH($A134,'DEMAND BY DATE'!$B$3:$AA$3,0)))</f>
        <v>0</v>
      </c>
      <c r="W134" s="285">
        <f ca="1">IF(W$122="","",INDEX('DEMAND BY DATE'!$B$4:$AA$203,MATCH(W$122,'DEMAND BY DATE'!$A$4:$A$203,0),MATCH($A134,'DEMAND BY DATE'!$B$3:$AA$3,0)))</f>
        <v>0</v>
      </c>
      <c r="X134" s="285">
        <f ca="1">IF(X$122="","",INDEX('DEMAND BY DATE'!$B$4:$AA$203,MATCH(X$122,'DEMAND BY DATE'!$A$4:$A$203,0),MATCH($A134,'DEMAND BY DATE'!$B$3:$AA$3,0)))</f>
        <v>0</v>
      </c>
      <c r="Y134" s="285">
        <f ca="1">IF(Y$122="","",INDEX('DEMAND BY DATE'!$B$4:$AA$203,MATCH(Y$122,'DEMAND BY DATE'!$A$4:$A$203,0),MATCH($A134,'DEMAND BY DATE'!$B$3:$AA$3,0)))</f>
        <v>0</v>
      </c>
      <c r="Z134" s="285">
        <f ca="1">IF(Z$122="","",INDEX('DEMAND BY DATE'!$B$4:$AA$203,MATCH(Z$122,'DEMAND BY DATE'!$A$4:$A$203,0),MATCH($A134,'DEMAND BY DATE'!$B$3:$AA$3,0)))</f>
        <v>0</v>
      </c>
      <c r="AA134" s="285">
        <f ca="1">IF(AA$122="","",INDEX('DEMAND BY DATE'!$B$4:$AA$203,MATCH(AA$122,'DEMAND BY DATE'!$A$4:$A$203,0),MATCH($A134,'DEMAND BY DATE'!$B$3:$AA$3,0)))</f>
        <v>0</v>
      </c>
      <c r="AB134" s="285">
        <f ca="1">IF(AB$122="","",INDEX('DEMAND BY DATE'!$B$4:$AA$203,MATCH(AB$122,'DEMAND BY DATE'!$A$4:$A$203,0),MATCH($A134,'DEMAND BY DATE'!$B$3:$AA$3,0)))</f>
        <v>0</v>
      </c>
      <c r="AC134" s="285">
        <f ca="1">IF(AC$122="","",INDEX('DEMAND BY DATE'!$B$4:$AA$203,MATCH(AC$122,'DEMAND BY DATE'!$A$4:$A$203,0),MATCH($A134,'DEMAND BY DATE'!$B$3:$AA$3,0)))</f>
        <v>0</v>
      </c>
      <c r="AD134" s="285">
        <f ca="1">IF(AD$122="","",INDEX('DEMAND BY DATE'!$B$4:$AA$203,MATCH(AD$122,'DEMAND BY DATE'!$A$4:$A$203,0),MATCH($A134,'DEMAND BY DATE'!$B$3:$AA$3,0)))</f>
        <v>0</v>
      </c>
      <c r="AE134" s="285">
        <f ca="1">IF(AE$122="","",INDEX('DEMAND BY DATE'!$B$4:$AA$203,MATCH(AE$122,'DEMAND BY DATE'!$A$4:$A$203,0),MATCH($A134,'DEMAND BY DATE'!$B$3:$AA$3,0)))</f>
        <v>0</v>
      </c>
      <c r="AF134" s="285">
        <f ca="1">IF(AF$122="","",INDEX('DEMAND BY DATE'!$B$4:$AA$203,MATCH(AF$122,'DEMAND BY DATE'!$A$4:$A$203,0),MATCH($A134,'DEMAND BY DATE'!$B$3:$AA$3,0)))</f>
        <v>0</v>
      </c>
      <c r="AG134" s="285">
        <f ca="1">IF(AG$122="","",INDEX('DEMAND BY DATE'!$B$4:$AA$203,MATCH(AG$122,'DEMAND BY DATE'!$A$4:$A$203,0),MATCH($A134,'DEMAND BY DATE'!$B$3:$AA$3,0)))</f>
        <v>0</v>
      </c>
      <c r="AH134" s="285">
        <f ca="1">IF(AH$122="","",INDEX('DEMAND BY DATE'!$B$4:$AA$203,MATCH(AH$122,'DEMAND BY DATE'!$A$4:$A$203,0),MATCH($A134,'DEMAND BY DATE'!$B$3:$AA$3,0)))</f>
        <v>0</v>
      </c>
      <c r="AI134" s="285">
        <f ca="1">IF(AI$122="","",INDEX('DEMAND BY DATE'!$B$4:$AA$203,MATCH(AI$122,'DEMAND BY DATE'!$A$4:$A$203,0),MATCH($A134,'DEMAND BY DATE'!$B$3:$AA$3,0)))</f>
        <v>0</v>
      </c>
      <c r="AJ134" s="285">
        <f ca="1">IF(AJ$122="","",INDEX('DEMAND BY DATE'!$B$4:$AA$203,MATCH(AJ$122,'DEMAND BY DATE'!$A$4:$A$203,0),MATCH($A134,'DEMAND BY DATE'!$B$3:$AA$3,0)))</f>
        <v>0</v>
      </c>
      <c r="AK134" s="285">
        <f ca="1">IF(AK$122="","",INDEX('DEMAND BY DATE'!$B$4:$AA$203,MATCH(AK$122,'DEMAND BY DATE'!$A$4:$A$203,0),MATCH($A134,'DEMAND BY DATE'!$B$3:$AA$3,0)))</f>
        <v>0</v>
      </c>
    </row>
    <row r="135" spans="1:37">
      <c r="A135" s="2" t="str">
        <f ca="1">INDEX(WORKINGS!$A$85:$A$110,MATCH(SMALL(WORKINGS!$E$85:$E$110,13),WORKINGS!$E$85:$E$110,0))</f>
        <v>Bartack Pattern tacker (LABEL ATTACH )</v>
      </c>
      <c r="B135" s="2" t="str">
        <f ca="1">IF($D135=0,"IDLE — no style uses it",IF($E135&lt;0,"BUY "&amp;TEXT(-$E135,"#,##0.0")&amp;" — short on "&amp;$F135&amp;" of "&amp;$AY$122&amp;" days",IF($E135/$C135&lt;=0.1,"TIGHT — under 10% spare","OK")))</f>
        <v>IDLE — no style uses it</v>
      </c>
      <c r="C135" s="2">
        <f ca="1">IFERROR(INDEX('MC MASTER'!$C$3:$C$28,MATCH($A135,'MC MASTER'!$B$3:$B$28,0)),0)</f>
        <v>2</v>
      </c>
      <c r="D135" s="2">
        <f ca="1">MAX($G135:$AK135)</f>
        <v>0</v>
      </c>
      <c r="E135" s="2">
        <f ca="1">$C135-$D135</f>
        <v>2</v>
      </c>
      <c r="F135" s="2" cm="1">
        <f t="array" aca="1" ref="F135" ca="1">SUMPRODUCT((ISNUMBER($G135:$AK135))*($G135:$AK135&gt;$C135)*($G$151:$AK$151="Y"))</f>
        <v>0</v>
      </c>
      <c r="G135" s="285">
        <f ca="1">IF(G$122="","",INDEX('DEMAND BY DATE'!$B$4:$AA$203,MATCH(G$122,'DEMAND BY DATE'!$A$4:$A$203,0),MATCH($A135,'DEMAND BY DATE'!$B$3:$AA$3,0)))</f>
        <v>0</v>
      </c>
      <c r="H135" s="285">
        <f ca="1">IF(H$122="","",INDEX('DEMAND BY DATE'!$B$4:$AA$203,MATCH(H$122,'DEMAND BY DATE'!$A$4:$A$203,0),MATCH($A135,'DEMAND BY DATE'!$B$3:$AA$3,0)))</f>
        <v>0</v>
      </c>
      <c r="I135" s="285">
        <f ca="1">IF(I$122="","",INDEX('DEMAND BY DATE'!$B$4:$AA$203,MATCH(I$122,'DEMAND BY DATE'!$A$4:$A$203,0),MATCH($A135,'DEMAND BY DATE'!$B$3:$AA$3,0)))</f>
        <v>0</v>
      </c>
      <c r="J135" s="285">
        <f ca="1">IF(J$122="","",INDEX('DEMAND BY DATE'!$B$4:$AA$203,MATCH(J$122,'DEMAND BY DATE'!$A$4:$A$203,0),MATCH($A135,'DEMAND BY DATE'!$B$3:$AA$3,0)))</f>
        <v>0</v>
      </c>
      <c r="K135" s="285">
        <f ca="1">IF(K$122="","",INDEX('DEMAND BY DATE'!$B$4:$AA$203,MATCH(K$122,'DEMAND BY DATE'!$A$4:$A$203,0),MATCH($A135,'DEMAND BY DATE'!$B$3:$AA$3,0)))</f>
        <v>0</v>
      </c>
      <c r="L135" s="285">
        <f ca="1">IF(L$122="","",INDEX('DEMAND BY DATE'!$B$4:$AA$203,MATCH(L$122,'DEMAND BY DATE'!$A$4:$A$203,0),MATCH($A135,'DEMAND BY DATE'!$B$3:$AA$3,0)))</f>
        <v>0</v>
      </c>
      <c r="M135" s="285">
        <f ca="1">IF(M$122="","",INDEX('DEMAND BY DATE'!$B$4:$AA$203,MATCH(M$122,'DEMAND BY DATE'!$A$4:$A$203,0),MATCH($A135,'DEMAND BY DATE'!$B$3:$AA$3,0)))</f>
        <v>0</v>
      </c>
      <c r="N135" s="285">
        <f ca="1">IF(N$122="","",INDEX('DEMAND BY DATE'!$B$4:$AA$203,MATCH(N$122,'DEMAND BY DATE'!$A$4:$A$203,0),MATCH($A135,'DEMAND BY DATE'!$B$3:$AA$3,0)))</f>
        <v>0</v>
      </c>
      <c r="O135" s="285">
        <f ca="1">IF(O$122="","",INDEX('DEMAND BY DATE'!$B$4:$AA$203,MATCH(O$122,'DEMAND BY DATE'!$A$4:$A$203,0),MATCH($A135,'DEMAND BY DATE'!$B$3:$AA$3,0)))</f>
        <v>0</v>
      </c>
      <c r="P135" s="285">
        <f ca="1">IF(P$122="","",INDEX('DEMAND BY DATE'!$B$4:$AA$203,MATCH(P$122,'DEMAND BY DATE'!$A$4:$A$203,0),MATCH($A135,'DEMAND BY DATE'!$B$3:$AA$3,0)))</f>
        <v>0</v>
      </c>
      <c r="Q135" s="285">
        <f ca="1">IF(Q$122="","",INDEX('DEMAND BY DATE'!$B$4:$AA$203,MATCH(Q$122,'DEMAND BY DATE'!$A$4:$A$203,0),MATCH($A135,'DEMAND BY DATE'!$B$3:$AA$3,0)))</f>
        <v>0</v>
      </c>
      <c r="R135" s="285">
        <f ca="1">IF(R$122="","",INDEX('DEMAND BY DATE'!$B$4:$AA$203,MATCH(R$122,'DEMAND BY DATE'!$A$4:$A$203,0),MATCH($A135,'DEMAND BY DATE'!$B$3:$AA$3,0)))</f>
        <v>0</v>
      </c>
      <c r="S135" s="285">
        <f ca="1">IF(S$122="","",INDEX('DEMAND BY DATE'!$B$4:$AA$203,MATCH(S$122,'DEMAND BY DATE'!$A$4:$A$203,0),MATCH($A135,'DEMAND BY DATE'!$B$3:$AA$3,0)))</f>
        <v>0</v>
      </c>
      <c r="T135" s="285">
        <f ca="1">IF(T$122="","",INDEX('DEMAND BY DATE'!$B$4:$AA$203,MATCH(T$122,'DEMAND BY DATE'!$A$4:$A$203,0),MATCH($A135,'DEMAND BY DATE'!$B$3:$AA$3,0)))</f>
        <v>0</v>
      </c>
      <c r="U135" s="285">
        <f ca="1">IF(U$122="","",INDEX('DEMAND BY DATE'!$B$4:$AA$203,MATCH(U$122,'DEMAND BY DATE'!$A$4:$A$203,0),MATCH($A135,'DEMAND BY DATE'!$B$3:$AA$3,0)))</f>
        <v>0</v>
      </c>
      <c r="V135" s="285">
        <f ca="1">IF(V$122="","",INDEX('DEMAND BY DATE'!$B$4:$AA$203,MATCH(V$122,'DEMAND BY DATE'!$A$4:$A$203,0),MATCH($A135,'DEMAND BY DATE'!$B$3:$AA$3,0)))</f>
        <v>0</v>
      </c>
      <c r="W135" s="285">
        <f ca="1">IF(W$122="","",INDEX('DEMAND BY DATE'!$B$4:$AA$203,MATCH(W$122,'DEMAND BY DATE'!$A$4:$A$203,0),MATCH($A135,'DEMAND BY DATE'!$B$3:$AA$3,0)))</f>
        <v>0</v>
      </c>
      <c r="X135" s="285">
        <f ca="1">IF(X$122="","",INDEX('DEMAND BY DATE'!$B$4:$AA$203,MATCH(X$122,'DEMAND BY DATE'!$A$4:$A$203,0),MATCH($A135,'DEMAND BY DATE'!$B$3:$AA$3,0)))</f>
        <v>0</v>
      </c>
      <c r="Y135" s="285">
        <f ca="1">IF(Y$122="","",INDEX('DEMAND BY DATE'!$B$4:$AA$203,MATCH(Y$122,'DEMAND BY DATE'!$A$4:$A$203,0),MATCH($A135,'DEMAND BY DATE'!$B$3:$AA$3,0)))</f>
        <v>0</v>
      </c>
      <c r="Z135" s="285">
        <f ca="1">IF(Z$122="","",INDEX('DEMAND BY DATE'!$B$4:$AA$203,MATCH(Z$122,'DEMAND BY DATE'!$A$4:$A$203,0),MATCH($A135,'DEMAND BY DATE'!$B$3:$AA$3,0)))</f>
        <v>0</v>
      </c>
      <c r="AA135" s="285">
        <f ca="1">IF(AA$122="","",INDEX('DEMAND BY DATE'!$B$4:$AA$203,MATCH(AA$122,'DEMAND BY DATE'!$A$4:$A$203,0),MATCH($A135,'DEMAND BY DATE'!$B$3:$AA$3,0)))</f>
        <v>0</v>
      </c>
      <c r="AB135" s="285">
        <f ca="1">IF(AB$122="","",INDEX('DEMAND BY DATE'!$B$4:$AA$203,MATCH(AB$122,'DEMAND BY DATE'!$A$4:$A$203,0),MATCH($A135,'DEMAND BY DATE'!$B$3:$AA$3,0)))</f>
        <v>0</v>
      </c>
      <c r="AC135" s="285">
        <f ca="1">IF(AC$122="","",INDEX('DEMAND BY DATE'!$B$4:$AA$203,MATCH(AC$122,'DEMAND BY DATE'!$A$4:$A$203,0),MATCH($A135,'DEMAND BY DATE'!$B$3:$AA$3,0)))</f>
        <v>0</v>
      </c>
      <c r="AD135" s="285">
        <f ca="1">IF(AD$122="","",INDEX('DEMAND BY DATE'!$B$4:$AA$203,MATCH(AD$122,'DEMAND BY DATE'!$A$4:$A$203,0),MATCH($A135,'DEMAND BY DATE'!$B$3:$AA$3,0)))</f>
        <v>0</v>
      </c>
      <c r="AE135" s="285">
        <f ca="1">IF(AE$122="","",INDEX('DEMAND BY DATE'!$B$4:$AA$203,MATCH(AE$122,'DEMAND BY DATE'!$A$4:$A$203,0),MATCH($A135,'DEMAND BY DATE'!$B$3:$AA$3,0)))</f>
        <v>0</v>
      </c>
      <c r="AF135" s="285">
        <f ca="1">IF(AF$122="","",INDEX('DEMAND BY DATE'!$B$4:$AA$203,MATCH(AF$122,'DEMAND BY DATE'!$A$4:$A$203,0),MATCH($A135,'DEMAND BY DATE'!$B$3:$AA$3,0)))</f>
        <v>0</v>
      </c>
      <c r="AG135" s="285">
        <f ca="1">IF(AG$122="","",INDEX('DEMAND BY DATE'!$B$4:$AA$203,MATCH(AG$122,'DEMAND BY DATE'!$A$4:$A$203,0),MATCH($A135,'DEMAND BY DATE'!$B$3:$AA$3,0)))</f>
        <v>0</v>
      </c>
      <c r="AH135" s="285">
        <f ca="1">IF(AH$122="","",INDEX('DEMAND BY DATE'!$B$4:$AA$203,MATCH(AH$122,'DEMAND BY DATE'!$A$4:$A$203,0),MATCH($A135,'DEMAND BY DATE'!$B$3:$AA$3,0)))</f>
        <v>0</v>
      </c>
      <c r="AI135" s="285">
        <f ca="1">IF(AI$122="","",INDEX('DEMAND BY DATE'!$B$4:$AA$203,MATCH(AI$122,'DEMAND BY DATE'!$A$4:$A$203,0),MATCH($A135,'DEMAND BY DATE'!$B$3:$AA$3,0)))</f>
        <v>0</v>
      </c>
      <c r="AJ135" s="285">
        <f ca="1">IF(AJ$122="","",INDEX('DEMAND BY DATE'!$B$4:$AA$203,MATCH(AJ$122,'DEMAND BY DATE'!$A$4:$A$203,0),MATCH($A135,'DEMAND BY DATE'!$B$3:$AA$3,0)))</f>
        <v>0</v>
      </c>
      <c r="AK135" s="285">
        <f ca="1">IF(AK$122="","",INDEX('DEMAND BY DATE'!$B$4:$AA$203,MATCH(AK$122,'DEMAND BY DATE'!$A$4:$A$203,0),MATCH($A135,'DEMAND BY DATE'!$B$3:$AA$3,0)))</f>
        <v>0</v>
      </c>
    </row>
    <row r="136" spans="1:37">
      <c r="A136" s="2" t="str">
        <f ca="1">INDEX(WORKINGS!$A$85:$A$110,MATCH(SMALL(WORKINGS!$E$85:$E$110,14),WORKINGS!$E$85:$E$110,0))</f>
        <v>Heat Seal</v>
      </c>
      <c r="B136" s="2" t="str">
        <f ca="1">IF($D136=0,"IDLE — no style uses it",IF($E136&lt;0,"BUY "&amp;TEXT(-$E136,"#,##0.0")&amp;" — short on "&amp;$F136&amp;" of "&amp;$AY$122&amp;" days",IF($E136/$C136&lt;=0.1,"TIGHT — under 10% spare","OK")))</f>
        <v>TIGHT — under 10% spare</v>
      </c>
      <c r="C136" s="2">
        <f ca="1">IFERROR(INDEX('MC MASTER'!$C$3:$C$28,MATCH($A136,'MC MASTER'!$B$3:$B$28,0)),0)</f>
        <v>35</v>
      </c>
      <c r="D136" s="2">
        <f ca="1">MAX($G136:$AK136)</f>
        <v>32.5</v>
      </c>
      <c r="E136" s="2">
        <f ca="1">$C136-$D136</f>
        <v>2.5</v>
      </c>
      <c r="F136" s="2" cm="1">
        <f t="array" aca="1" ref="F136" ca="1">SUMPRODUCT((ISNUMBER($G136:$AK136))*($G136:$AK136&gt;$C136)*($G$151:$AK$151="Y"))</f>
        <v>0</v>
      </c>
      <c r="G136" s="285">
        <f ca="1">IF(G$122="","",INDEX('DEMAND BY DATE'!$B$4:$AA$203,MATCH(G$122,'DEMAND BY DATE'!$A$4:$A$203,0),MATCH($A136,'DEMAND BY DATE'!$B$3:$AA$3,0)))</f>
        <v>31</v>
      </c>
      <c r="H136" s="285">
        <f ca="1">IF(H$122="","",INDEX('DEMAND BY DATE'!$B$4:$AA$203,MATCH(H$122,'DEMAND BY DATE'!$A$4:$A$203,0),MATCH($A136,'DEMAND BY DATE'!$B$3:$AA$3,0)))</f>
        <v>31</v>
      </c>
      <c r="I136" s="285">
        <f ca="1">IF(I$122="","",INDEX('DEMAND BY DATE'!$B$4:$AA$203,MATCH(I$122,'DEMAND BY DATE'!$A$4:$A$203,0),MATCH($A136,'DEMAND BY DATE'!$B$3:$AA$3,0)))</f>
        <v>31</v>
      </c>
      <c r="J136" s="285">
        <f ca="1">IF(J$122="","",INDEX('DEMAND BY DATE'!$B$4:$AA$203,MATCH(J$122,'DEMAND BY DATE'!$A$4:$A$203,0),MATCH($A136,'DEMAND BY DATE'!$B$3:$AA$3,0)))</f>
        <v>31</v>
      </c>
      <c r="K136" s="285">
        <f ca="1">IF(K$122="","",INDEX('DEMAND BY DATE'!$B$4:$AA$203,MATCH(K$122,'DEMAND BY DATE'!$A$4:$A$203,0),MATCH($A136,'DEMAND BY DATE'!$B$3:$AA$3,0)))</f>
        <v>31</v>
      </c>
      <c r="L136" s="285">
        <f ca="1">IF(L$122="","",INDEX('DEMAND BY DATE'!$B$4:$AA$203,MATCH(L$122,'DEMAND BY DATE'!$A$4:$A$203,0),MATCH($A136,'DEMAND BY DATE'!$B$3:$AA$3,0)))</f>
        <v>31</v>
      </c>
      <c r="M136" s="285">
        <f ca="1">IF(M$122="","",INDEX('DEMAND BY DATE'!$B$4:$AA$203,MATCH(M$122,'DEMAND BY DATE'!$A$4:$A$203,0),MATCH($A136,'DEMAND BY DATE'!$B$3:$AA$3,0)))</f>
        <v>31</v>
      </c>
      <c r="N136" s="285">
        <f ca="1">IF(N$122="","",INDEX('DEMAND BY DATE'!$B$4:$AA$203,MATCH(N$122,'DEMAND BY DATE'!$A$4:$A$203,0),MATCH($A136,'DEMAND BY DATE'!$B$3:$AA$3,0)))</f>
        <v>31</v>
      </c>
      <c r="O136" s="285">
        <f ca="1">IF(O$122="","",INDEX('DEMAND BY DATE'!$B$4:$AA$203,MATCH(O$122,'DEMAND BY DATE'!$A$4:$A$203,0),MATCH($A136,'DEMAND BY DATE'!$B$3:$AA$3,0)))</f>
        <v>31</v>
      </c>
      <c r="P136" s="285">
        <f ca="1">IF(P$122="","",INDEX('DEMAND BY DATE'!$B$4:$AA$203,MATCH(P$122,'DEMAND BY DATE'!$A$4:$A$203,0),MATCH($A136,'DEMAND BY DATE'!$B$3:$AA$3,0)))</f>
        <v>31</v>
      </c>
      <c r="Q136" s="285">
        <f ca="1">IF(Q$122="","",INDEX('DEMAND BY DATE'!$B$4:$AA$203,MATCH(Q$122,'DEMAND BY DATE'!$A$4:$A$203,0),MATCH($A136,'DEMAND BY DATE'!$B$3:$AA$3,0)))</f>
        <v>31</v>
      </c>
      <c r="R136" s="285">
        <f ca="1">IF(R$122="","",INDEX('DEMAND BY DATE'!$B$4:$AA$203,MATCH(R$122,'DEMAND BY DATE'!$A$4:$A$203,0),MATCH($A136,'DEMAND BY DATE'!$B$3:$AA$3,0)))</f>
        <v>30.5</v>
      </c>
      <c r="S136" s="285">
        <f ca="1">IF(S$122="","",INDEX('DEMAND BY DATE'!$B$4:$AA$203,MATCH(S$122,'DEMAND BY DATE'!$A$4:$A$203,0),MATCH($A136,'DEMAND BY DATE'!$B$3:$AA$3,0)))</f>
        <v>30.5</v>
      </c>
      <c r="T136" s="285">
        <f ca="1">IF(T$122="","",INDEX('DEMAND BY DATE'!$B$4:$AA$203,MATCH(T$122,'DEMAND BY DATE'!$A$4:$A$203,0),MATCH($A136,'DEMAND BY DATE'!$B$3:$AA$3,0)))</f>
        <v>25.5</v>
      </c>
      <c r="U136" s="285">
        <f ca="1">IF(U$122="","",INDEX('DEMAND BY DATE'!$B$4:$AA$203,MATCH(U$122,'DEMAND BY DATE'!$A$4:$A$203,0),MATCH($A136,'DEMAND BY DATE'!$B$3:$AA$3,0)))</f>
        <v>32.5</v>
      </c>
      <c r="V136" s="285">
        <f ca="1">IF(V$122="","",INDEX('DEMAND BY DATE'!$B$4:$AA$203,MATCH(V$122,'DEMAND BY DATE'!$A$4:$A$203,0),MATCH($A136,'DEMAND BY DATE'!$B$3:$AA$3,0)))</f>
        <v>32.5</v>
      </c>
      <c r="W136" s="285">
        <f ca="1">IF(W$122="","",INDEX('DEMAND BY DATE'!$B$4:$AA$203,MATCH(W$122,'DEMAND BY DATE'!$A$4:$A$203,0),MATCH($A136,'DEMAND BY DATE'!$B$3:$AA$3,0)))</f>
        <v>32.5</v>
      </c>
      <c r="X136" s="285">
        <f ca="1">IF(X$122="","",INDEX('DEMAND BY DATE'!$B$4:$AA$203,MATCH(X$122,'DEMAND BY DATE'!$A$4:$A$203,0),MATCH($A136,'DEMAND BY DATE'!$B$3:$AA$3,0)))</f>
        <v>32.5</v>
      </c>
      <c r="Y136" s="285">
        <f ca="1">IF(Y$122="","",INDEX('DEMAND BY DATE'!$B$4:$AA$203,MATCH(Y$122,'DEMAND BY DATE'!$A$4:$A$203,0),MATCH($A136,'DEMAND BY DATE'!$B$3:$AA$3,0)))</f>
        <v>32.5</v>
      </c>
      <c r="Z136" s="285">
        <f ca="1">IF(Z$122="","",INDEX('DEMAND BY DATE'!$B$4:$AA$203,MATCH(Z$122,'DEMAND BY DATE'!$A$4:$A$203,0),MATCH($A136,'DEMAND BY DATE'!$B$3:$AA$3,0)))</f>
        <v>32.5</v>
      </c>
      <c r="AA136" s="285">
        <f ca="1">IF(AA$122="","",INDEX('DEMAND BY DATE'!$B$4:$AA$203,MATCH(AA$122,'DEMAND BY DATE'!$A$4:$A$203,0),MATCH($A136,'DEMAND BY DATE'!$B$3:$AA$3,0)))</f>
        <v>32.5</v>
      </c>
      <c r="AB136" s="285">
        <f ca="1">IF(AB$122="","",INDEX('DEMAND BY DATE'!$B$4:$AA$203,MATCH(AB$122,'DEMAND BY DATE'!$A$4:$A$203,0),MATCH($A136,'DEMAND BY DATE'!$B$3:$AA$3,0)))</f>
        <v>32.5</v>
      </c>
      <c r="AC136" s="285">
        <f ca="1">IF(AC$122="","",INDEX('DEMAND BY DATE'!$B$4:$AA$203,MATCH(AC$122,'DEMAND BY DATE'!$A$4:$A$203,0),MATCH($A136,'DEMAND BY DATE'!$B$3:$AA$3,0)))</f>
        <v>32.5</v>
      </c>
      <c r="AD136" s="285">
        <f ca="1">IF(AD$122="","",INDEX('DEMAND BY DATE'!$B$4:$AA$203,MATCH(AD$122,'DEMAND BY DATE'!$A$4:$A$203,0),MATCH($A136,'DEMAND BY DATE'!$B$3:$AA$3,0)))</f>
        <v>32.5</v>
      </c>
      <c r="AE136" s="285">
        <f ca="1">IF(AE$122="","",INDEX('DEMAND BY DATE'!$B$4:$AA$203,MATCH(AE$122,'DEMAND BY DATE'!$A$4:$A$203,0),MATCH($A136,'DEMAND BY DATE'!$B$3:$AA$3,0)))</f>
        <v>32.5</v>
      </c>
      <c r="AF136" s="285">
        <f ca="1">IF(AF$122="","",INDEX('DEMAND BY DATE'!$B$4:$AA$203,MATCH(AF$122,'DEMAND BY DATE'!$A$4:$A$203,0),MATCH($A136,'DEMAND BY DATE'!$B$3:$AA$3,0)))</f>
        <v>32.5</v>
      </c>
      <c r="AG136" s="285">
        <f ca="1">IF(AG$122="","",INDEX('DEMAND BY DATE'!$B$4:$AA$203,MATCH(AG$122,'DEMAND BY DATE'!$A$4:$A$203,0),MATCH($A136,'DEMAND BY DATE'!$B$3:$AA$3,0)))</f>
        <v>32.5</v>
      </c>
      <c r="AH136" s="285">
        <f ca="1">IF(AH$122="","",INDEX('DEMAND BY DATE'!$B$4:$AA$203,MATCH(AH$122,'DEMAND BY DATE'!$A$4:$A$203,0),MATCH($A136,'DEMAND BY DATE'!$B$3:$AA$3,0)))</f>
        <v>32.5</v>
      </c>
      <c r="AI136" s="285">
        <f ca="1">IF(AI$122="","",INDEX('DEMAND BY DATE'!$B$4:$AA$203,MATCH(AI$122,'DEMAND BY DATE'!$A$4:$A$203,0),MATCH($A136,'DEMAND BY DATE'!$B$3:$AA$3,0)))</f>
        <v>32.5</v>
      </c>
      <c r="AJ136" s="285">
        <f ca="1">IF(AJ$122="","",INDEX('DEMAND BY DATE'!$B$4:$AA$203,MATCH(AJ$122,'DEMAND BY DATE'!$A$4:$A$203,0),MATCH($A136,'DEMAND BY DATE'!$B$3:$AA$3,0)))</f>
        <v>32.5</v>
      </c>
      <c r="AK136" s="285">
        <f ca="1">IF(AK$122="","",INDEX('DEMAND BY DATE'!$B$4:$AA$203,MATCH(AK$122,'DEMAND BY DATE'!$A$4:$A$203,0),MATCH($A136,'DEMAND BY DATE'!$B$3:$AA$3,0)))</f>
        <v>32.5</v>
      </c>
    </row>
    <row r="137" spans="1:37">
      <c r="A137" s="2" t="str">
        <f ca="1">INDEX(WORKINGS!$A$85:$A$110,MATCH(SMALL(WORKINGS!$E$85:$E$110,15),WORKINGS!$E$85:$E$110,0))</f>
        <v>Zig - Zag</v>
      </c>
      <c r="B137" s="2" t="str">
        <f ca="1">IF($D137=0,"IDLE — no style uses it",IF($E137&lt;0,"BUY "&amp;TEXT(-$E137,"#,##0.0")&amp;" — short on "&amp;$F137&amp;" of "&amp;$AY$122&amp;" days",IF($E137/$C137&lt;=0.1,"TIGHT — under 10% spare","OK")))</f>
        <v>OK</v>
      </c>
      <c r="C137" s="2">
        <f ca="1">IFERROR(INDEX('MC MASTER'!$C$3:$C$28,MATCH($A137,'MC MASTER'!$B$3:$B$28,0)),0)</f>
        <v>8</v>
      </c>
      <c r="D137" s="2">
        <f ca="1">MAX($G137:$AK137)</f>
        <v>4</v>
      </c>
      <c r="E137" s="2">
        <f ca="1">$C137-$D137</f>
        <v>4</v>
      </c>
      <c r="F137" s="2" cm="1">
        <f t="array" aca="1" ref="F137" ca="1">SUMPRODUCT((ISNUMBER($G137:$AK137))*($G137:$AK137&gt;$C137)*($G$151:$AK$151="Y"))</f>
        <v>0</v>
      </c>
      <c r="G137" s="285">
        <f ca="1">IF(G$122="","",INDEX('DEMAND BY DATE'!$B$4:$AA$203,MATCH(G$122,'DEMAND BY DATE'!$A$4:$A$203,0),MATCH($A137,'DEMAND BY DATE'!$B$3:$AA$3,0)))</f>
        <v>4</v>
      </c>
      <c r="H137" s="285">
        <f ca="1">IF(H$122="","",INDEX('DEMAND BY DATE'!$B$4:$AA$203,MATCH(H$122,'DEMAND BY DATE'!$A$4:$A$203,0),MATCH($A137,'DEMAND BY DATE'!$B$3:$AA$3,0)))</f>
        <v>4</v>
      </c>
      <c r="I137" s="285">
        <f ca="1">IF(I$122="","",INDEX('DEMAND BY DATE'!$B$4:$AA$203,MATCH(I$122,'DEMAND BY DATE'!$A$4:$A$203,0),MATCH($A137,'DEMAND BY DATE'!$B$3:$AA$3,0)))</f>
        <v>4</v>
      </c>
      <c r="J137" s="285">
        <f ca="1">IF(J$122="","",INDEX('DEMAND BY DATE'!$B$4:$AA$203,MATCH(J$122,'DEMAND BY DATE'!$A$4:$A$203,0),MATCH($A137,'DEMAND BY DATE'!$B$3:$AA$3,0)))</f>
        <v>4</v>
      </c>
      <c r="K137" s="285">
        <f ca="1">IF(K$122="","",INDEX('DEMAND BY DATE'!$B$4:$AA$203,MATCH(K$122,'DEMAND BY DATE'!$A$4:$A$203,0),MATCH($A137,'DEMAND BY DATE'!$B$3:$AA$3,0)))</f>
        <v>4</v>
      </c>
      <c r="L137" s="285">
        <f ca="1">IF(L$122="","",INDEX('DEMAND BY DATE'!$B$4:$AA$203,MATCH(L$122,'DEMAND BY DATE'!$A$4:$A$203,0),MATCH($A137,'DEMAND BY DATE'!$B$3:$AA$3,0)))</f>
        <v>4</v>
      </c>
      <c r="M137" s="285">
        <f ca="1">IF(M$122="","",INDEX('DEMAND BY DATE'!$B$4:$AA$203,MATCH(M$122,'DEMAND BY DATE'!$A$4:$A$203,0),MATCH($A137,'DEMAND BY DATE'!$B$3:$AA$3,0)))</f>
        <v>4</v>
      </c>
      <c r="N137" s="285">
        <f ca="1">IF(N$122="","",INDEX('DEMAND BY DATE'!$B$4:$AA$203,MATCH(N$122,'DEMAND BY DATE'!$A$4:$A$203,0),MATCH($A137,'DEMAND BY DATE'!$B$3:$AA$3,0)))</f>
        <v>4</v>
      </c>
      <c r="O137" s="285">
        <f ca="1">IF(O$122="","",INDEX('DEMAND BY DATE'!$B$4:$AA$203,MATCH(O$122,'DEMAND BY DATE'!$A$4:$A$203,0),MATCH($A137,'DEMAND BY DATE'!$B$3:$AA$3,0)))</f>
        <v>4</v>
      </c>
      <c r="P137" s="285">
        <f ca="1">IF(P$122="","",INDEX('DEMAND BY DATE'!$B$4:$AA$203,MATCH(P$122,'DEMAND BY DATE'!$A$4:$A$203,0),MATCH($A137,'DEMAND BY DATE'!$B$3:$AA$3,0)))</f>
        <v>4</v>
      </c>
      <c r="Q137" s="285">
        <f ca="1">IF(Q$122="","",INDEX('DEMAND BY DATE'!$B$4:$AA$203,MATCH(Q$122,'DEMAND BY DATE'!$A$4:$A$203,0),MATCH($A137,'DEMAND BY DATE'!$B$3:$AA$3,0)))</f>
        <v>4</v>
      </c>
      <c r="R137" s="285">
        <f ca="1">IF(R$122="","",INDEX('DEMAND BY DATE'!$B$4:$AA$203,MATCH(R$122,'DEMAND BY DATE'!$A$4:$A$203,0),MATCH($A137,'DEMAND BY DATE'!$B$3:$AA$3,0)))</f>
        <v>4</v>
      </c>
      <c r="S137" s="285">
        <f ca="1">IF(S$122="","",INDEX('DEMAND BY DATE'!$B$4:$AA$203,MATCH(S$122,'DEMAND BY DATE'!$A$4:$A$203,0),MATCH($A137,'DEMAND BY DATE'!$B$3:$AA$3,0)))</f>
        <v>4</v>
      </c>
      <c r="T137" s="285">
        <f ca="1">IF(T$122="","",INDEX('DEMAND BY DATE'!$B$4:$AA$203,MATCH(T$122,'DEMAND BY DATE'!$A$4:$A$203,0),MATCH($A137,'DEMAND BY DATE'!$B$3:$AA$3,0)))</f>
        <v>4</v>
      </c>
      <c r="U137" s="285">
        <f ca="1">IF(U$122="","",INDEX('DEMAND BY DATE'!$B$4:$AA$203,MATCH(U$122,'DEMAND BY DATE'!$A$4:$A$203,0),MATCH($A137,'DEMAND BY DATE'!$B$3:$AA$3,0)))</f>
        <v>4</v>
      </c>
      <c r="V137" s="285">
        <f ca="1">IF(V$122="","",INDEX('DEMAND BY DATE'!$B$4:$AA$203,MATCH(V$122,'DEMAND BY DATE'!$A$4:$A$203,0),MATCH($A137,'DEMAND BY DATE'!$B$3:$AA$3,0)))</f>
        <v>4</v>
      </c>
      <c r="W137" s="285">
        <f ca="1">IF(W$122="","",INDEX('DEMAND BY DATE'!$B$4:$AA$203,MATCH(W$122,'DEMAND BY DATE'!$A$4:$A$203,0),MATCH($A137,'DEMAND BY DATE'!$B$3:$AA$3,0)))</f>
        <v>4</v>
      </c>
      <c r="X137" s="285">
        <f ca="1">IF(X$122="","",INDEX('DEMAND BY DATE'!$B$4:$AA$203,MATCH(X$122,'DEMAND BY DATE'!$A$4:$A$203,0),MATCH($A137,'DEMAND BY DATE'!$B$3:$AA$3,0)))</f>
        <v>4</v>
      </c>
      <c r="Y137" s="285">
        <f ca="1">IF(Y$122="","",INDEX('DEMAND BY DATE'!$B$4:$AA$203,MATCH(Y$122,'DEMAND BY DATE'!$A$4:$A$203,0),MATCH($A137,'DEMAND BY DATE'!$B$3:$AA$3,0)))</f>
        <v>4</v>
      </c>
      <c r="Z137" s="285">
        <f ca="1">IF(Z$122="","",INDEX('DEMAND BY DATE'!$B$4:$AA$203,MATCH(Z$122,'DEMAND BY DATE'!$A$4:$A$203,0),MATCH($A137,'DEMAND BY DATE'!$B$3:$AA$3,0)))</f>
        <v>4</v>
      </c>
      <c r="AA137" s="285">
        <f ca="1">IF(AA$122="","",INDEX('DEMAND BY DATE'!$B$4:$AA$203,MATCH(AA$122,'DEMAND BY DATE'!$A$4:$A$203,0),MATCH($A137,'DEMAND BY DATE'!$B$3:$AA$3,0)))</f>
        <v>4</v>
      </c>
      <c r="AB137" s="285">
        <f ca="1">IF(AB$122="","",INDEX('DEMAND BY DATE'!$B$4:$AA$203,MATCH(AB$122,'DEMAND BY DATE'!$A$4:$A$203,0),MATCH($A137,'DEMAND BY DATE'!$B$3:$AA$3,0)))</f>
        <v>4</v>
      </c>
      <c r="AC137" s="285">
        <f ca="1">IF(AC$122="","",INDEX('DEMAND BY DATE'!$B$4:$AA$203,MATCH(AC$122,'DEMAND BY DATE'!$A$4:$A$203,0),MATCH($A137,'DEMAND BY DATE'!$B$3:$AA$3,0)))</f>
        <v>4</v>
      </c>
      <c r="AD137" s="285">
        <f ca="1">IF(AD$122="","",INDEX('DEMAND BY DATE'!$B$4:$AA$203,MATCH(AD$122,'DEMAND BY DATE'!$A$4:$A$203,0),MATCH($A137,'DEMAND BY DATE'!$B$3:$AA$3,0)))</f>
        <v>4</v>
      </c>
      <c r="AE137" s="285">
        <f ca="1">IF(AE$122="","",INDEX('DEMAND BY DATE'!$B$4:$AA$203,MATCH(AE$122,'DEMAND BY DATE'!$A$4:$A$203,0),MATCH($A137,'DEMAND BY DATE'!$B$3:$AA$3,0)))</f>
        <v>4</v>
      </c>
      <c r="AF137" s="285">
        <f ca="1">IF(AF$122="","",INDEX('DEMAND BY DATE'!$B$4:$AA$203,MATCH(AF$122,'DEMAND BY DATE'!$A$4:$A$203,0),MATCH($A137,'DEMAND BY DATE'!$B$3:$AA$3,0)))</f>
        <v>4</v>
      </c>
      <c r="AG137" s="285">
        <f ca="1">IF(AG$122="","",INDEX('DEMAND BY DATE'!$B$4:$AA$203,MATCH(AG$122,'DEMAND BY DATE'!$A$4:$A$203,0),MATCH($A137,'DEMAND BY DATE'!$B$3:$AA$3,0)))</f>
        <v>4</v>
      </c>
      <c r="AH137" s="285">
        <f ca="1">IF(AH$122="","",INDEX('DEMAND BY DATE'!$B$4:$AA$203,MATCH(AH$122,'DEMAND BY DATE'!$A$4:$A$203,0),MATCH($A137,'DEMAND BY DATE'!$B$3:$AA$3,0)))</f>
        <v>4</v>
      </c>
      <c r="AI137" s="285">
        <f ca="1">IF(AI$122="","",INDEX('DEMAND BY DATE'!$B$4:$AA$203,MATCH(AI$122,'DEMAND BY DATE'!$A$4:$A$203,0),MATCH($A137,'DEMAND BY DATE'!$B$3:$AA$3,0)))</f>
        <v>4</v>
      </c>
      <c r="AJ137" s="285">
        <f ca="1">IF(AJ$122="","",INDEX('DEMAND BY DATE'!$B$4:$AA$203,MATCH(AJ$122,'DEMAND BY DATE'!$A$4:$A$203,0),MATCH($A137,'DEMAND BY DATE'!$B$3:$AA$3,0)))</f>
        <v>4</v>
      </c>
      <c r="AK137" s="285">
        <f ca="1">IF(AK$122="","",INDEX('DEMAND BY DATE'!$B$4:$AA$203,MATCH(AK$122,'DEMAND BY DATE'!$A$4:$A$203,0),MATCH($A137,'DEMAND BY DATE'!$B$3:$AA$3,0)))</f>
        <v>4</v>
      </c>
    </row>
    <row r="138" spans="1:37">
      <c r="A138" s="2" t="str">
        <f ca="1">INDEX(WORKINGS!$A$85:$A$110,MATCH(SMALL(WORKINGS!$E$85:$E$110,16),WORKINGS!$E$85:$E$110,0))</f>
        <v>5th Overlock</v>
      </c>
      <c r="B138" s="2" t="str">
        <f ca="1">IF($D138=0,"IDLE — no style uses it",IF($E138&lt;0,"BUY "&amp;TEXT(-$E138,"#,##0.0")&amp;" — short on "&amp;$F138&amp;" of "&amp;$AY$122&amp;" days",IF($E138/$C138&lt;=0.1,"TIGHT — under 10% spare","OK")))</f>
        <v>IDLE — no style uses it</v>
      </c>
      <c r="C138" s="2">
        <f ca="1">IFERROR(INDEX('MC MASTER'!$C$3:$C$28,MATCH($A138,'MC MASTER'!$B$3:$B$28,0)),0)</f>
        <v>5</v>
      </c>
      <c r="D138" s="2">
        <f ca="1">MAX($G138:$AK138)</f>
        <v>0</v>
      </c>
      <c r="E138" s="2">
        <f ca="1">$C138-$D138</f>
        <v>5</v>
      </c>
      <c r="F138" s="2" cm="1">
        <f t="array" aca="1" ref="F138" ca="1">SUMPRODUCT((ISNUMBER($G138:$AK138))*($G138:$AK138&gt;$C138)*($G$151:$AK$151="Y"))</f>
        <v>0</v>
      </c>
      <c r="G138" s="285">
        <f ca="1">IF(G$122="","",INDEX('DEMAND BY DATE'!$B$4:$AA$203,MATCH(G$122,'DEMAND BY DATE'!$A$4:$A$203,0),MATCH($A138,'DEMAND BY DATE'!$B$3:$AA$3,0)))</f>
        <v>0</v>
      </c>
      <c r="H138" s="285">
        <f ca="1">IF(H$122="","",INDEX('DEMAND BY DATE'!$B$4:$AA$203,MATCH(H$122,'DEMAND BY DATE'!$A$4:$A$203,0),MATCH($A138,'DEMAND BY DATE'!$B$3:$AA$3,0)))</f>
        <v>0</v>
      </c>
      <c r="I138" s="285">
        <f ca="1">IF(I$122="","",INDEX('DEMAND BY DATE'!$B$4:$AA$203,MATCH(I$122,'DEMAND BY DATE'!$A$4:$A$203,0),MATCH($A138,'DEMAND BY DATE'!$B$3:$AA$3,0)))</f>
        <v>0</v>
      </c>
      <c r="J138" s="285">
        <f ca="1">IF(J$122="","",INDEX('DEMAND BY DATE'!$B$4:$AA$203,MATCH(J$122,'DEMAND BY DATE'!$A$4:$A$203,0),MATCH($A138,'DEMAND BY DATE'!$B$3:$AA$3,0)))</f>
        <v>0</v>
      </c>
      <c r="K138" s="285">
        <f ca="1">IF(K$122="","",INDEX('DEMAND BY DATE'!$B$4:$AA$203,MATCH(K$122,'DEMAND BY DATE'!$A$4:$A$203,0),MATCH($A138,'DEMAND BY DATE'!$B$3:$AA$3,0)))</f>
        <v>0</v>
      </c>
      <c r="L138" s="285">
        <f ca="1">IF(L$122="","",INDEX('DEMAND BY DATE'!$B$4:$AA$203,MATCH(L$122,'DEMAND BY DATE'!$A$4:$A$203,0),MATCH($A138,'DEMAND BY DATE'!$B$3:$AA$3,0)))</f>
        <v>0</v>
      </c>
      <c r="M138" s="285">
        <f ca="1">IF(M$122="","",INDEX('DEMAND BY DATE'!$B$4:$AA$203,MATCH(M$122,'DEMAND BY DATE'!$A$4:$A$203,0),MATCH($A138,'DEMAND BY DATE'!$B$3:$AA$3,0)))</f>
        <v>0</v>
      </c>
      <c r="N138" s="285">
        <f ca="1">IF(N$122="","",INDEX('DEMAND BY DATE'!$B$4:$AA$203,MATCH(N$122,'DEMAND BY DATE'!$A$4:$A$203,0),MATCH($A138,'DEMAND BY DATE'!$B$3:$AA$3,0)))</f>
        <v>0</v>
      </c>
      <c r="O138" s="285">
        <f ca="1">IF(O$122="","",INDEX('DEMAND BY DATE'!$B$4:$AA$203,MATCH(O$122,'DEMAND BY DATE'!$A$4:$A$203,0),MATCH($A138,'DEMAND BY DATE'!$B$3:$AA$3,0)))</f>
        <v>0</v>
      </c>
      <c r="P138" s="285">
        <f ca="1">IF(P$122="","",INDEX('DEMAND BY DATE'!$B$4:$AA$203,MATCH(P$122,'DEMAND BY DATE'!$A$4:$A$203,0),MATCH($A138,'DEMAND BY DATE'!$B$3:$AA$3,0)))</f>
        <v>0</v>
      </c>
      <c r="Q138" s="285">
        <f ca="1">IF(Q$122="","",INDEX('DEMAND BY DATE'!$B$4:$AA$203,MATCH(Q$122,'DEMAND BY DATE'!$A$4:$A$203,0),MATCH($A138,'DEMAND BY DATE'!$B$3:$AA$3,0)))</f>
        <v>0</v>
      </c>
      <c r="R138" s="285">
        <f ca="1">IF(R$122="","",INDEX('DEMAND BY DATE'!$B$4:$AA$203,MATCH(R$122,'DEMAND BY DATE'!$A$4:$A$203,0),MATCH($A138,'DEMAND BY DATE'!$B$3:$AA$3,0)))</f>
        <v>0</v>
      </c>
      <c r="S138" s="285">
        <f ca="1">IF(S$122="","",INDEX('DEMAND BY DATE'!$B$4:$AA$203,MATCH(S$122,'DEMAND BY DATE'!$A$4:$A$203,0),MATCH($A138,'DEMAND BY DATE'!$B$3:$AA$3,0)))</f>
        <v>0</v>
      </c>
      <c r="T138" s="285">
        <f ca="1">IF(T$122="","",INDEX('DEMAND BY DATE'!$B$4:$AA$203,MATCH(T$122,'DEMAND BY DATE'!$A$4:$A$203,0),MATCH($A138,'DEMAND BY DATE'!$B$3:$AA$3,0)))</f>
        <v>0</v>
      </c>
      <c r="U138" s="285">
        <f ca="1">IF(U$122="","",INDEX('DEMAND BY DATE'!$B$4:$AA$203,MATCH(U$122,'DEMAND BY DATE'!$A$4:$A$203,0),MATCH($A138,'DEMAND BY DATE'!$B$3:$AA$3,0)))</f>
        <v>0</v>
      </c>
      <c r="V138" s="285">
        <f ca="1">IF(V$122="","",INDEX('DEMAND BY DATE'!$B$4:$AA$203,MATCH(V$122,'DEMAND BY DATE'!$A$4:$A$203,0),MATCH($A138,'DEMAND BY DATE'!$B$3:$AA$3,0)))</f>
        <v>0</v>
      </c>
      <c r="W138" s="285">
        <f ca="1">IF(W$122="","",INDEX('DEMAND BY DATE'!$B$4:$AA$203,MATCH(W$122,'DEMAND BY DATE'!$A$4:$A$203,0),MATCH($A138,'DEMAND BY DATE'!$B$3:$AA$3,0)))</f>
        <v>0</v>
      </c>
      <c r="X138" s="285">
        <f ca="1">IF(X$122="","",INDEX('DEMAND BY DATE'!$B$4:$AA$203,MATCH(X$122,'DEMAND BY DATE'!$A$4:$A$203,0),MATCH($A138,'DEMAND BY DATE'!$B$3:$AA$3,0)))</f>
        <v>0</v>
      </c>
      <c r="Y138" s="285">
        <f ca="1">IF(Y$122="","",INDEX('DEMAND BY DATE'!$B$4:$AA$203,MATCH(Y$122,'DEMAND BY DATE'!$A$4:$A$203,0),MATCH($A138,'DEMAND BY DATE'!$B$3:$AA$3,0)))</f>
        <v>0</v>
      </c>
      <c r="Z138" s="285">
        <f ca="1">IF(Z$122="","",INDEX('DEMAND BY DATE'!$B$4:$AA$203,MATCH(Z$122,'DEMAND BY DATE'!$A$4:$A$203,0),MATCH($A138,'DEMAND BY DATE'!$B$3:$AA$3,0)))</f>
        <v>0</v>
      </c>
      <c r="AA138" s="285">
        <f ca="1">IF(AA$122="","",INDEX('DEMAND BY DATE'!$B$4:$AA$203,MATCH(AA$122,'DEMAND BY DATE'!$A$4:$A$203,0),MATCH($A138,'DEMAND BY DATE'!$B$3:$AA$3,0)))</f>
        <v>0</v>
      </c>
      <c r="AB138" s="285">
        <f ca="1">IF(AB$122="","",INDEX('DEMAND BY DATE'!$B$4:$AA$203,MATCH(AB$122,'DEMAND BY DATE'!$A$4:$A$203,0),MATCH($A138,'DEMAND BY DATE'!$B$3:$AA$3,0)))</f>
        <v>0</v>
      </c>
      <c r="AC138" s="285">
        <f ca="1">IF(AC$122="","",INDEX('DEMAND BY DATE'!$B$4:$AA$203,MATCH(AC$122,'DEMAND BY DATE'!$A$4:$A$203,0),MATCH($A138,'DEMAND BY DATE'!$B$3:$AA$3,0)))</f>
        <v>0</v>
      </c>
      <c r="AD138" s="285">
        <f ca="1">IF(AD$122="","",INDEX('DEMAND BY DATE'!$B$4:$AA$203,MATCH(AD$122,'DEMAND BY DATE'!$A$4:$A$203,0),MATCH($A138,'DEMAND BY DATE'!$B$3:$AA$3,0)))</f>
        <v>0</v>
      </c>
      <c r="AE138" s="285">
        <f ca="1">IF(AE$122="","",INDEX('DEMAND BY DATE'!$B$4:$AA$203,MATCH(AE$122,'DEMAND BY DATE'!$A$4:$A$203,0),MATCH($A138,'DEMAND BY DATE'!$B$3:$AA$3,0)))</f>
        <v>0</v>
      </c>
      <c r="AF138" s="285">
        <f ca="1">IF(AF$122="","",INDEX('DEMAND BY DATE'!$B$4:$AA$203,MATCH(AF$122,'DEMAND BY DATE'!$A$4:$A$203,0),MATCH($A138,'DEMAND BY DATE'!$B$3:$AA$3,0)))</f>
        <v>0</v>
      </c>
      <c r="AG138" s="285">
        <f ca="1">IF(AG$122="","",INDEX('DEMAND BY DATE'!$B$4:$AA$203,MATCH(AG$122,'DEMAND BY DATE'!$A$4:$A$203,0),MATCH($A138,'DEMAND BY DATE'!$B$3:$AA$3,0)))</f>
        <v>0</v>
      </c>
      <c r="AH138" s="285">
        <f ca="1">IF(AH$122="","",INDEX('DEMAND BY DATE'!$B$4:$AA$203,MATCH(AH$122,'DEMAND BY DATE'!$A$4:$A$203,0),MATCH($A138,'DEMAND BY DATE'!$B$3:$AA$3,0)))</f>
        <v>0</v>
      </c>
      <c r="AI138" s="285">
        <f ca="1">IF(AI$122="","",INDEX('DEMAND BY DATE'!$B$4:$AA$203,MATCH(AI$122,'DEMAND BY DATE'!$A$4:$A$203,0),MATCH($A138,'DEMAND BY DATE'!$B$3:$AA$3,0)))</f>
        <v>0</v>
      </c>
      <c r="AJ138" s="285">
        <f ca="1">IF(AJ$122="","",INDEX('DEMAND BY DATE'!$B$4:$AA$203,MATCH(AJ$122,'DEMAND BY DATE'!$A$4:$A$203,0),MATCH($A138,'DEMAND BY DATE'!$B$3:$AA$3,0)))</f>
        <v>0</v>
      </c>
      <c r="AK138" s="285">
        <f ca="1">IF(AK$122="","",INDEX('DEMAND BY DATE'!$B$4:$AA$203,MATCH(AK$122,'DEMAND BY DATE'!$A$4:$A$203,0),MATCH($A138,'DEMAND BY DATE'!$B$3:$AA$3,0)))</f>
        <v>0</v>
      </c>
    </row>
    <row r="139" spans="1:37">
      <c r="A139" s="2" t="str">
        <f ca="1">INDEX(WORKINGS!$A$85:$A$110,MATCH(SMALL(WORKINGS!$E$85:$E$110,17),WORKINGS!$E$85:$E$110,0))</f>
        <v>Kansai</v>
      </c>
      <c r="B139" s="2" t="str">
        <f ca="1">IF($D139=0,"IDLE — no style uses it",IF($E139&lt;0,"BUY "&amp;TEXT(-$E139,"#,##0.0")&amp;" — short on "&amp;$F139&amp;" of "&amp;$AY$122&amp;" days",IF($E139/$C139&lt;=0.1,"TIGHT — under 10% spare","OK")))</f>
        <v>OK</v>
      </c>
      <c r="C139" s="2">
        <f ca="1">IFERROR(INDEX('MC MASTER'!$C$3:$C$28,MATCH($A139,'MC MASTER'!$B$3:$B$28,0)),0)</f>
        <v>8</v>
      </c>
      <c r="D139" s="2">
        <f ca="1">MAX($G139:$AK139)</f>
        <v>3</v>
      </c>
      <c r="E139" s="2">
        <f ca="1">$C139-$D139</f>
        <v>5</v>
      </c>
      <c r="F139" s="2" cm="1">
        <f t="array" aca="1" ref="F139" ca="1">SUMPRODUCT((ISNUMBER($G139:$AK139))*($G139:$AK139&gt;$C139)*($G$151:$AK$151="Y"))</f>
        <v>0</v>
      </c>
      <c r="G139" s="285">
        <f ca="1">IF(G$122="","",INDEX('DEMAND BY DATE'!$B$4:$AA$203,MATCH(G$122,'DEMAND BY DATE'!$A$4:$A$203,0),MATCH($A139,'DEMAND BY DATE'!$B$3:$AA$3,0)))</f>
        <v>3</v>
      </c>
      <c r="H139" s="285">
        <f ca="1">IF(H$122="","",INDEX('DEMAND BY DATE'!$B$4:$AA$203,MATCH(H$122,'DEMAND BY DATE'!$A$4:$A$203,0),MATCH($A139,'DEMAND BY DATE'!$B$3:$AA$3,0)))</f>
        <v>3</v>
      </c>
      <c r="I139" s="285">
        <f ca="1">IF(I$122="","",INDEX('DEMAND BY DATE'!$B$4:$AA$203,MATCH(I$122,'DEMAND BY DATE'!$A$4:$A$203,0),MATCH($A139,'DEMAND BY DATE'!$B$3:$AA$3,0)))</f>
        <v>3</v>
      </c>
      <c r="J139" s="285">
        <f ca="1">IF(J$122="","",INDEX('DEMAND BY DATE'!$B$4:$AA$203,MATCH(J$122,'DEMAND BY DATE'!$A$4:$A$203,0),MATCH($A139,'DEMAND BY DATE'!$B$3:$AA$3,0)))</f>
        <v>3</v>
      </c>
      <c r="K139" s="285">
        <f ca="1">IF(K$122="","",INDEX('DEMAND BY DATE'!$B$4:$AA$203,MATCH(K$122,'DEMAND BY DATE'!$A$4:$A$203,0),MATCH($A139,'DEMAND BY DATE'!$B$3:$AA$3,0)))</f>
        <v>3</v>
      </c>
      <c r="L139" s="285">
        <f ca="1">IF(L$122="","",INDEX('DEMAND BY DATE'!$B$4:$AA$203,MATCH(L$122,'DEMAND BY DATE'!$A$4:$A$203,0),MATCH($A139,'DEMAND BY DATE'!$B$3:$AA$3,0)))</f>
        <v>3</v>
      </c>
      <c r="M139" s="285">
        <f ca="1">IF(M$122="","",INDEX('DEMAND BY DATE'!$B$4:$AA$203,MATCH(M$122,'DEMAND BY DATE'!$A$4:$A$203,0),MATCH($A139,'DEMAND BY DATE'!$B$3:$AA$3,0)))</f>
        <v>3</v>
      </c>
      <c r="N139" s="285">
        <f ca="1">IF(N$122="","",INDEX('DEMAND BY DATE'!$B$4:$AA$203,MATCH(N$122,'DEMAND BY DATE'!$A$4:$A$203,0),MATCH($A139,'DEMAND BY DATE'!$B$3:$AA$3,0)))</f>
        <v>3</v>
      </c>
      <c r="O139" s="285">
        <f ca="1">IF(O$122="","",INDEX('DEMAND BY DATE'!$B$4:$AA$203,MATCH(O$122,'DEMAND BY DATE'!$A$4:$A$203,0),MATCH($A139,'DEMAND BY DATE'!$B$3:$AA$3,0)))</f>
        <v>3</v>
      </c>
      <c r="P139" s="285">
        <f ca="1">IF(P$122="","",INDEX('DEMAND BY DATE'!$B$4:$AA$203,MATCH(P$122,'DEMAND BY DATE'!$A$4:$A$203,0),MATCH($A139,'DEMAND BY DATE'!$B$3:$AA$3,0)))</f>
        <v>3</v>
      </c>
      <c r="Q139" s="285">
        <f ca="1">IF(Q$122="","",INDEX('DEMAND BY DATE'!$B$4:$AA$203,MATCH(Q$122,'DEMAND BY DATE'!$A$4:$A$203,0),MATCH($A139,'DEMAND BY DATE'!$B$3:$AA$3,0)))</f>
        <v>3</v>
      </c>
      <c r="R139" s="285">
        <f ca="1">IF(R$122="","",INDEX('DEMAND BY DATE'!$B$4:$AA$203,MATCH(R$122,'DEMAND BY DATE'!$A$4:$A$203,0),MATCH($A139,'DEMAND BY DATE'!$B$3:$AA$3,0)))</f>
        <v>3</v>
      </c>
      <c r="S139" s="285">
        <f ca="1">IF(S$122="","",INDEX('DEMAND BY DATE'!$B$4:$AA$203,MATCH(S$122,'DEMAND BY DATE'!$A$4:$A$203,0),MATCH($A139,'DEMAND BY DATE'!$B$3:$AA$3,0)))</f>
        <v>3</v>
      </c>
      <c r="T139" s="285">
        <f ca="1">IF(T$122="","",INDEX('DEMAND BY DATE'!$B$4:$AA$203,MATCH(T$122,'DEMAND BY DATE'!$A$4:$A$203,0),MATCH($A139,'DEMAND BY DATE'!$B$3:$AA$3,0)))</f>
        <v>3</v>
      </c>
      <c r="U139" s="285">
        <f ca="1">IF(U$122="","",INDEX('DEMAND BY DATE'!$B$4:$AA$203,MATCH(U$122,'DEMAND BY DATE'!$A$4:$A$203,0),MATCH($A139,'DEMAND BY DATE'!$B$3:$AA$3,0)))</f>
        <v>3</v>
      </c>
      <c r="V139" s="285">
        <f ca="1">IF(V$122="","",INDEX('DEMAND BY DATE'!$B$4:$AA$203,MATCH(V$122,'DEMAND BY DATE'!$A$4:$A$203,0),MATCH($A139,'DEMAND BY DATE'!$B$3:$AA$3,0)))</f>
        <v>3</v>
      </c>
      <c r="W139" s="285">
        <f ca="1">IF(W$122="","",INDEX('DEMAND BY DATE'!$B$4:$AA$203,MATCH(W$122,'DEMAND BY DATE'!$A$4:$A$203,0),MATCH($A139,'DEMAND BY DATE'!$B$3:$AA$3,0)))</f>
        <v>3</v>
      </c>
      <c r="X139" s="285">
        <f ca="1">IF(X$122="","",INDEX('DEMAND BY DATE'!$B$4:$AA$203,MATCH(X$122,'DEMAND BY DATE'!$A$4:$A$203,0),MATCH($A139,'DEMAND BY DATE'!$B$3:$AA$3,0)))</f>
        <v>3</v>
      </c>
      <c r="Y139" s="285">
        <f ca="1">IF(Y$122="","",INDEX('DEMAND BY DATE'!$B$4:$AA$203,MATCH(Y$122,'DEMAND BY DATE'!$A$4:$A$203,0),MATCH($A139,'DEMAND BY DATE'!$B$3:$AA$3,0)))</f>
        <v>3</v>
      </c>
      <c r="Z139" s="285">
        <f ca="1">IF(Z$122="","",INDEX('DEMAND BY DATE'!$B$4:$AA$203,MATCH(Z$122,'DEMAND BY DATE'!$A$4:$A$203,0),MATCH($A139,'DEMAND BY DATE'!$B$3:$AA$3,0)))</f>
        <v>3</v>
      </c>
      <c r="AA139" s="285">
        <f ca="1">IF(AA$122="","",INDEX('DEMAND BY DATE'!$B$4:$AA$203,MATCH(AA$122,'DEMAND BY DATE'!$A$4:$A$203,0),MATCH($A139,'DEMAND BY DATE'!$B$3:$AA$3,0)))</f>
        <v>3</v>
      </c>
      <c r="AB139" s="285">
        <f ca="1">IF(AB$122="","",INDEX('DEMAND BY DATE'!$B$4:$AA$203,MATCH(AB$122,'DEMAND BY DATE'!$A$4:$A$203,0),MATCH($A139,'DEMAND BY DATE'!$B$3:$AA$3,0)))</f>
        <v>3</v>
      </c>
      <c r="AC139" s="285">
        <f ca="1">IF(AC$122="","",INDEX('DEMAND BY DATE'!$B$4:$AA$203,MATCH(AC$122,'DEMAND BY DATE'!$A$4:$A$203,0),MATCH($A139,'DEMAND BY DATE'!$B$3:$AA$3,0)))</f>
        <v>3</v>
      </c>
      <c r="AD139" s="285">
        <f ca="1">IF(AD$122="","",INDEX('DEMAND BY DATE'!$B$4:$AA$203,MATCH(AD$122,'DEMAND BY DATE'!$A$4:$A$203,0),MATCH($A139,'DEMAND BY DATE'!$B$3:$AA$3,0)))</f>
        <v>3</v>
      </c>
      <c r="AE139" s="285">
        <f ca="1">IF(AE$122="","",INDEX('DEMAND BY DATE'!$B$4:$AA$203,MATCH(AE$122,'DEMAND BY DATE'!$A$4:$A$203,0),MATCH($A139,'DEMAND BY DATE'!$B$3:$AA$3,0)))</f>
        <v>3</v>
      </c>
      <c r="AF139" s="285">
        <f ca="1">IF(AF$122="","",INDEX('DEMAND BY DATE'!$B$4:$AA$203,MATCH(AF$122,'DEMAND BY DATE'!$A$4:$A$203,0),MATCH($A139,'DEMAND BY DATE'!$B$3:$AA$3,0)))</f>
        <v>3</v>
      </c>
      <c r="AG139" s="285">
        <f ca="1">IF(AG$122="","",INDEX('DEMAND BY DATE'!$B$4:$AA$203,MATCH(AG$122,'DEMAND BY DATE'!$A$4:$A$203,0),MATCH($A139,'DEMAND BY DATE'!$B$3:$AA$3,0)))</f>
        <v>3</v>
      </c>
      <c r="AH139" s="285">
        <f ca="1">IF(AH$122="","",INDEX('DEMAND BY DATE'!$B$4:$AA$203,MATCH(AH$122,'DEMAND BY DATE'!$A$4:$A$203,0),MATCH($A139,'DEMAND BY DATE'!$B$3:$AA$3,0)))</f>
        <v>3</v>
      </c>
      <c r="AI139" s="285">
        <f ca="1">IF(AI$122="","",INDEX('DEMAND BY DATE'!$B$4:$AA$203,MATCH(AI$122,'DEMAND BY DATE'!$A$4:$A$203,0),MATCH($A139,'DEMAND BY DATE'!$B$3:$AA$3,0)))</f>
        <v>3</v>
      </c>
      <c r="AJ139" s="285">
        <f ca="1">IF(AJ$122="","",INDEX('DEMAND BY DATE'!$B$4:$AA$203,MATCH(AJ$122,'DEMAND BY DATE'!$A$4:$A$203,0),MATCH($A139,'DEMAND BY DATE'!$B$3:$AA$3,0)))</f>
        <v>3</v>
      </c>
      <c r="AK139" s="285">
        <f ca="1">IF(AK$122="","",INDEX('DEMAND BY DATE'!$B$4:$AA$203,MATCH(AK$122,'DEMAND BY DATE'!$A$4:$A$203,0),MATCH($A139,'DEMAND BY DATE'!$B$3:$AA$3,0)))</f>
        <v>3</v>
      </c>
    </row>
    <row r="140" spans="1:37">
      <c r="A140" s="2" t="str">
        <f ca="1">INDEX(WORKINGS!$A$85:$A$110,MATCH(SMALL(WORKINGS!$E$85:$E$110,18),WORKINGS!$E$85:$E$110,0))</f>
        <v>Bartack</v>
      </c>
      <c r="B140" s="2" t="str">
        <f ca="1">IF($D140=0,"IDLE — no style uses it",IF($E140&lt;0,"BUY "&amp;TEXT(-$E140,"#,##0.0")&amp;" — short on "&amp;$F140&amp;" of "&amp;$AY$122&amp;" days",IF($E140/$C140&lt;=0.1,"TIGHT — under 10% spare","OK")))</f>
        <v>OK</v>
      </c>
      <c r="C140" s="2">
        <f ca="1">IFERROR(INDEX('MC MASTER'!$C$3:$C$28,MATCH($A140,'MC MASTER'!$B$3:$B$28,0)),0)</f>
        <v>13</v>
      </c>
      <c r="D140" s="2">
        <f ca="1">MAX($G140:$AK140)</f>
        <v>7.5</v>
      </c>
      <c r="E140" s="2">
        <f ca="1">$C140-$D140</f>
        <v>5.5</v>
      </c>
      <c r="F140" s="2" cm="1">
        <f t="array" aca="1" ref="F140" ca="1">SUMPRODUCT((ISNUMBER($G140:$AK140))*($G140:$AK140&gt;$C140)*($G$151:$AK$151="Y"))</f>
        <v>0</v>
      </c>
      <c r="G140" s="285">
        <f ca="1">IF(G$122="","",INDEX('DEMAND BY DATE'!$B$4:$AA$203,MATCH(G$122,'DEMAND BY DATE'!$A$4:$A$203,0),MATCH($A140,'DEMAND BY DATE'!$B$3:$AA$3,0)))</f>
        <v>4.5</v>
      </c>
      <c r="H140" s="285">
        <f ca="1">IF(H$122="","",INDEX('DEMAND BY DATE'!$B$4:$AA$203,MATCH(H$122,'DEMAND BY DATE'!$A$4:$A$203,0),MATCH($A140,'DEMAND BY DATE'!$B$3:$AA$3,0)))</f>
        <v>4.5</v>
      </c>
      <c r="I140" s="285">
        <f ca="1">IF(I$122="","",INDEX('DEMAND BY DATE'!$B$4:$AA$203,MATCH(I$122,'DEMAND BY DATE'!$A$4:$A$203,0),MATCH($A140,'DEMAND BY DATE'!$B$3:$AA$3,0)))</f>
        <v>4.5</v>
      </c>
      <c r="J140" s="285">
        <f ca="1">IF(J$122="","",INDEX('DEMAND BY DATE'!$B$4:$AA$203,MATCH(J$122,'DEMAND BY DATE'!$A$4:$A$203,0),MATCH($A140,'DEMAND BY DATE'!$B$3:$AA$3,0)))</f>
        <v>4.5</v>
      </c>
      <c r="K140" s="285">
        <f ca="1">IF(K$122="","",INDEX('DEMAND BY DATE'!$B$4:$AA$203,MATCH(K$122,'DEMAND BY DATE'!$A$4:$A$203,0),MATCH($A140,'DEMAND BY DATE'!$B$3:$AA$3,0)))</f>
        <v>4.5</v>
      </c>
      <c r="L140" s="285">
        <f ca="1">IF(L$122="","",INDEX('DEMAND BY DATE'!$B$4:$AA$203,MATCH(L$122,'DEMAND BY DATE'!$A$4:$A$203,0),MATCH($A140,'DEMAND BY DATE'!$B$3:$AA$3,0)))</f>
        <v>4.5</v>
      </c>
      <c r="M140" s="285">
        <f ca="1">IF(M$122="","",INDEX('DEMAND BY DATE'!$B$4:$AA$203,MATCH(M$122,'DEMAND BY DATE'!$A$4:$A$203,0),MATCH($A140,'DEMAND BY DATE'!$B$3:$AA$3,0)))</f>
        <v>4.5</v>
      </c>
      <c r="N140" s="285">
        <f ca="1">IF(N$122="","",INDEX('DEMAND BY DATE'!$B$4:$AA$203,MATCH(N$122,'DEMAND BY DATE'!$A$4:$A$203,0),MATCH($A140,'DEMAND BY DATE'!$B$3:$AA$3,0)))</f>
        <v>4.5</v>
      </c>
      <c r="O140" s="285">
        <f ca="1">IF(O$122="","",INDEX('DEMAND BY DATE'!$B$4:$AA$203,MATCH(O$122,'DEMAND BY DATE'!$A$4:$A$203,0),MATCH($A140,'DEMAND BY DATE'!$B$3:$AA$3,0)))</f>
        <v>4.5</v>
      </c>
      <c r="P140" s="285">
        <f ca="1">IF(P$122="","",INDEX('DEMAND BY DATE'!$B$4:$AA$203,MATCH(P$122,'DEMAND BY DATE'!$A$4:$A$203,0),MATCH($A140,'DEMAND BY DATE'!$B$3:$AA$3,0)))</f>
        <v>4.5</v>
      </c>
      <c r="Q140" s="285">
        <f ca="1">IF(Q$122="","",INDEX('DEMAND BY DATE'!$B$4:$AA$203,MATCH(Q$122,'DEMAND BY DATE'!$A$4:$A$203,0),MATCH($A140,'DEMAND BY DATE'!$B$3:$AA$3,0)))</f>
        <v>4.5</v>
      </c>
      <c r="R140" s="285">
        <f ca="1">IF(R$122="","",INDEX('DEMAND BY DATE'!$B$4:$AA$203,MATCH(R$122,'DEMAND BY DATE'!$A$4:$A$203,0),MATCH($A140,'DEMAND BY DATE'!$B$3:$AA$3,0)))</f>
        <v>4.5</v>
      </c>
      <c r="S140" s="285">
        <f ca="1">IF(S$122="","",INDEX('DEMAND BY DATE'!$B$4:$AA$203,MATCH(S$122,'DEMAND BY DATE'!$A$4:$A$203,0),MATCH($A140,'DEMAND BY DATE'!$B$3:$AA$3,0)))</f>
        <v>4.5</v>
      </c>
      <c r="T140" s="285">
        <f ca="1">IF(T$122="","",INDEX('DEMAND BY DATE'!$B$4:$AA$203,MATCH(T$122,'DEMAND BY DATE'!$A$4:$A$203,0),MATCH($A140,'DEMAND BY DATE'!$B$3:$AA$3,0)))</f>
        <v>4.5</v>
      </c>
      <c r="U140" s="285">
        <f ca="1">IF(U$122="","",INDEX('DEMAND BY DATE'!$B$4:$AA$203,MATCH(U$122,'DEMAND BY DATE'!$A$4:$A$203,0),MATCH($A140,'DEMAND BY DATE'!$B$3:$AA$3,0)))</f>
        <v>7.5</v>
      </c>
      <c r="V140" s="285">
        <f ca="1">IF(V$122="","",INDEX('DEMAND BY DATE'!$B$4:$AA$203,MATCH(V$122,'DEMAND BY DATE'!$A$4:$A$203,0),MATCH($A140,'DEMAND BY DATE'!$B$3:$AA$3,0)))</f>
        <v>7.5</v>
      </c>
      <c r="W140" s="285">
        <f ca="1">IF(W$122="","",INDEX('DEMAND BY DATE'!$B$4:$AA$203,MATCH(W$122,'DEMAND BY DATE'!$A$4:$A$203,0),MATCH($A140,'DEMAND BY DATE'!$B$3:$AA$3,0)))</f>
        <v>7.5</v>
      </c>
      <c r="X140" s="285">
        <f ca="1">IF(X$122="","",INDEX('DEMAND BY DATE'!$B$4:$AA$203,MATCH(X$122,'DEMAND BY DATE'!$A$4:$A$203,0),MATCH($A140,'DEMAND BY DATE'!$B$3:$AA$3,0)))</f>
        <v>7.5</v>
      </c>
      <c r="Y140" s="285">
        <f ca="1">IF(Y$122="","",INDEX('DEMAND BY DATE'!$B$4:$AA$203,MATCH(Y$122,'DEMAND BY DATE'!$A$4:$A$203,0),MATCH($A140,'DEMAND BY DATE'!$B$3:$AA$3,0)))</f>
        <v>7.5</v>
      </c>
      <c r="Z140" s="285">
        <f ca="1">IF(Z$122="","",INDEX('DEMAND BY DATE'!$B$4:$AA$203,MATCH(Z$122,'DEMAND BY DATE'!$A$4:$A$203,0),MATCH($A140,'DEMAND BY DATE'!$B$3:$AA$3,0)))</f>
        <v>7.5</v>
      </c>
      <c r="AA140" s="285">
        <f ca="1">IF(AA$122="","",INDEX('DEMAND BY DATE'!$B$4:$AA$203,MATCH(AA$122,'DEMAND BY DATE'!$A$4:$A$203,0),MATCH($A140,'DEMAND BY DATE'!$B$3:$AA$3,0)))</f>
        <v>7.5</v>
      </c>
      <c r="AB140" s="285">
        <f ca="1">IF(AB$122="","",INDEX('DEMAND BY DATE'!$B$4:$AA$203,MATCH(AB$122,'DEMAND BY DATE'!$A$4:$A$203,0),MATCH($A140,'DEMAND BY DATE'!$B$3:$AA$3,0)))</f>
        <v>7.5</v>
      </c>
      <c r="AC140" s="285">
        <f ca="1">IF(AC$122="","",INDEX('DEMAND BY DATE'!$B$4:$AA$203,MATCH(AC$122,'DEMAND BY DATE'!$A$4:$A$203,0),MATCH($A140,'DEMAND BY DATE'!$B$3:$AA$3,0)))</f>
        <v>7.5</v>
      </c>
      <c r="AD140" s="285">
        <f ca="1">IF(AD$122="","",INDEX('DEMAND BY DATE'!$B$4:$AA$203,MATCH(AD$122,'DEMAND BY DATE'!$A$4:$A$203,0),MATCH($A140,'DEMAND BY DATE'!$B$3:$AA$3,0)))</f>
        <v>7.5</v>
      </c>
      <c r="AE140" s="285">
        <f ca="1">IF(AE$122="","",INDEX('DEMAND BY DATE'!$B$4:$AA$203,MATCH(AE$122,'DEMAND BY DATE'!$A$4:$A$203,0),MATCH($A140,'DEMAND BY DATE'!$B$3:$AA$3,0)))</f>
        <v>7.5</v>
      </c>
      <c r="AF140" s="285">
        <f ca="1">IF(AF$122="","",INDEX('DEMAND BY DATE'!$B$4:$AA$203,MATCH(AF$122,'DEMAND BY DATE'!$A$4:$A$203,0),MATCH($A140,'DEMAND BY DATE'!$B$3:$AA$3,0)))</f>
        <v>7.5</v>
      </c>
      <c r="AG140" s="285">
        <f ca="1">IF(AG$122="","",INDEX('DEMAND BY DATE'!$B$4:$AA$203,MATCH(AG$122,'DEMAND BY DATE'!$A$4:$A$203,0),MATCH($A140,'DEMAND BY DATE'!$B$3:$AA$3,0)))</f>
        <v>7.5</v>
      </c>
      <c r="AH140" s="285">
        <f ca="1">IF(AH$122="","",INDEX('DEMAND BY DATE'!$B$4:$AA$203,MATCH(AH$122,'DEMAND BY DATE'!$A$4:$A$203,0),MATCH($A140,'DEMAND BY DATE'!$B$3:$AA$3,0)))</f>
        <v>7.5</v>
      </c>
      <c r="AI140" s="285">
        <f ca="1">IF(AI$122="","",INDEX('DEMAND BY DATE'!$B$4:$AA$203,MATCH(AI$122,'DEMAND BY DATE'!$A$4:$A$203,0),MATCH($A140,'DEMAND BY DATE'!$B$3:$AA$3,0)))</f>
        <v>7.5</v>
      </c>
      <c r="AJ140" s="285">
        <f ca="1">IF(AJ$122="","",INDEX('DEMAND BY DATE'!$B$4:$AA$203,MATCH(AJ$122,'DEMAND BY DATE'!$A$4:$A$203,0),MATCH($A140,'DEMAND BY DATE'!$B$3:$AA$3,0)))</f>
        <v>7.5</v>
      </c>
      <c r="AK140" s="285">
        <f ca="1">IF(AK$122="","",INDEX('DEMAND BY DATE'!$B$4:$AA$203,MATCH(AK$122,'DEMAND BY DATE'!$A$4:$A$203,0),MATCH($A140,'DEMAND BY DATE'!$B$3:$AA$3,0)))</f>
        <v>7.5</v>
      </c>
    </row>
    <row r="141" spans="1:37">
      <c r="A141" s="2" t="str">
        <f ca="1">INDEX(WORKINGS!$A$85:$A$110,MATCH(SMALL(WORKINGS!$E$85:$E$110,19),WORKINGS!$E$85:$E$110,0))</f>
        <v>Flatlock (VT)</v>
      </c>
      <c r="B141" s="2" t="str">
        <f ca="1">IF($D141=0,"IDLE — no style uses it",IF($E141&lt;0,"BUY "&amp;TEXT(-$E141,"#,##0.0")&amp;" — short on "&amp;$F141&amp;" of "&amp;$AY$122&amp;" days",IF($E141/$C141&lt;=0.1,"TIGHT — under 10% spare","OK")))</f>
        <v>OK</v>
      </c>
      <c r="C141" s="2">
        <f ca="1">IFERROR(INDEX('MC MASTER'!$C$3:$C$28,MATCH($A141,'MC MASTER'!$B$3:$B$28,0)),0)</f>
        <v>21</v>
      </c>
      <c r="D141" s="2">
        <f ca="1">MAX($G141:$AK141)</f>
        <v>15</v>
      </c>
      <c r="E141" s="2">
        <f ca="1">$C141-$D141</f>
        <v>6</v>
      </c>
      <c r="F141" s="2" cm="1">
        <f t="array" aca="1" ref="F141" ca="1">SUMPRODUCT((ISNUMBER($G141:$AK141))*($G141:$AK141&gt;$C141)*($G$151:$AK$151="Y"))</f>
        <v>0</v>
      </c>
      <c r="G141" s="285">
        <f ca="1">IF(G$122="","",INDEX('DEMAND BY DATE'!$B$4:$AA$203,MATCH(G$122,'DEMAND BY DATE'!$A$4:$A$203,0),MATCH($A141,'DEMAND BY DATE'!$B$3:$AA$3,0)))</f>
        <v>13</v>
      </c>
      <c r="H141" s="285">
        <f ca="1">IF(H$122="","",INDEX('DEMAND BY DATE'!$B$4:$AA$203,MATCH(H$122,'DEMAND BY DATE'!$A$4:$A$203,0),MATCH($A141,'DEMAND BY DATE'!$B$3:$AA$3,0)))</f>
        <v>13</v>
      </c>
      <c r="I141" s="285">
        <f ca="1">IF(I$122="","",INDEX('DEMAND BY DATE'!$B$4:$AA$203,MATCH(I$122,'DEMAND BY DATE'!$A$4:$A$203,0),MATCH($A141,'DEMAND BY DATE'!$B$3:$AA$3,0)))</f>
        <v>13</v>
      </c>
      <c r="J141" s="285">
        <f ca="1">IF(J$122="","",INDEX('DEMAND BY DATE'!$B$4:$AA$203,MATCH(J$122,'DEMAND BY DATE'!$A$4:$A$203,0),MATCH($A141,'DEMAND BY DATE'!$B$3:$AA$3,0)))</f>
        <v>13</v>
      </c>
      <c r="K141" s="285">
        <f ca="1">IF(K$122="","",INDEX('DEMAND BY DATE'!$B$4:$AA$203,MATCH(K$122,'DEMAND BY DATE'!$A$4:$A$203,0),MATCH($A141,'DEMAND BY DATE'!$B$3:$AA$3,0)))</f>
        <v>13</v>
      </c>
      <c r="L141" s="285">
        <f ca="1">IF(L$122="","",INDEX('DEMAND BY DATE'!$B$4:$AA$203,MATCH(L$122,'DEMAND BY DATE'!$A$4:$A$203,0),MATCH($A141,'DEMAND BY DATE'!$B$3:$AA$3,0)))</f>
        <v>13</v>
      </c>
      <c r="M141" s="285">
        <f ca="1">IF(M$122="","",INDEX('DEMAND BY DATE'!$B$4:$AA$203,MATCH(M$122,'DEMAND BY DATE'!$A$4:$A$203,0),MATCH($A141,'DEMAND BY DATE'!$B$3:$AA$3,0)))</f>
        <v>13</v>
      </c>
      <c r="N141" s="285">
        <f ca="1">IF(N$122="","",INDEX('DEMAND BY DATE'!$B$4:$AA$203,MATCH(N$122,'DEMAND BY DATE'!$A$4:$A$203,0),MATCH($A141,'DEMAND BY DATE'!$B$3:$AA$3,0)))</f>
        <v>13</v>
      </c>
      <c r="O141" s="285">
        <f ca="1">IF(O$122="","",INDEX('DEMAND BY DATE'!$B$4:$AA$203,MATCH(O$122,'DEMAND BY DATE'!$A$4:$A$203,0),MATCH($A141,'DEMAND BY DATE'!$B$3:$AA$3,0)))</f>
        <v>13</v>
      </c>
      <c r="P141" s="285">
        <f ca="1">IF(P$122="","",INDEX('DEMAND BY DATE'!$B$4:$AA$203,MATCH(P$122,'DEMAND BY DATE'!$A$4:$A$203,0),MATCH($A141,'DEMAND BY DATE'!$B$3:$AA$3,0)))</f>
        <v>13</v>
      </c>
      <c r="Q141" s="285">
        <f ca="1">IF(Q$122="","",INDEX('DEMAND BY DATE'!$B$4:$AA$203,MATCH(Q$122,'DEMAND BY DATE'!$A$4:$A$203,0),MATCH($A141,'DEMAND BY DATE'!$B$3:$AA$3,0)))</f>
        <v>13</v>
      </c>
      <c r="R141" s="285">
        <f ca="1">IF(R$122="","",INDEX('DEMAND BY DATE'!$B$4:$AA$203,MATCH(R$122,'DEMAND BY DATE'!$A$4:$A$203,0),MATCH($A141,'DEMAND BY DATE'!$B$3:$AA$3,0)))</f>
        <v>13</v>
      </c>
      <c r="S141" s="285">
        <f ca="1">IF(S$122="","",INDEX('DEMAND BY DATE'!$B$4:$AA$203,MATCH(S$122,'DEMAND BY DATE'!$A$4:$A$203,0),MATCH($A141,'DEMAND BY DATE'!$B$3:$AA$3,0)))</f>
        <v>13</v>
      </c>
      <c r="T141" s="285">
        <f ca="1">IF(T$122="","",INDEX('DEMAND BY DATE'!$B$4:$AA$203,MATCH(T$122,'DEMAND BY DATE'!$A$4:$A$203,0),MATCH($A141,'DEMAND BY DATE'!$B$3:$AA$3,0)))</f>
        <v>13</v>
      </c>
      <c r="U141" s="285">
        <f ca="1">IF(U$122="","",INDEX('DEMAND BY DATE'!$B$4:$AA$203,MATCH(U$122,'DEMAND BY DATE'!$A$4:$A$203,0),MATCH($A141,'DEMAND BY DATE'!$B$3:$AA$3,0)))</f>
        <v>15</v>
      </c>
      <c r="V141" s="285">
        <f ca="1">IF(V$122="","",INDEX('DEMAND BY DATE'!$B$4:$AA$203,MATCH(V$122,'DEMAND BY DATE'!$A$4:$A$203,0),MATCH($A141,'DEMAND BY DATE'!$B$3:$AA$3,0)))</f>
        <v>15</v>
      </c>
      <c r="W141" s="285">
        <f ca="1">IF(W$122="","",INDEX('DEMAND BY DATE'!$B$4:$AA$203,MATCH(W$122,'DEMAND BY DATE'!$A$4:$A$203,0),MATCH($A141,'DEMAND BY DATE'!$B$3:$AA$3,0)))</f>
        <v>15</v>
      </c>
      <c r="X141" s="285">
        <f ca="1">IF(X$122="","",INDEX('DEMAND BY DATE'!$B$4:$AA$203,MATCH(X$122,'DEMAND BY DATE'!$A$4:$A$203,0),MATCH($A141,'DEMAND BY DATE'!$B$3:$AA$3,0)))</f>
        <v>15</v>
      </c>
      <c r="Y141" s="285">
        <f ca="1">IF(Y$122="","",INDEX('DEMAND BY DATE'!$B$4:$AA$203,MATCH(Y$122,'DEMAND BY DATE'!$A$4:$A$203,0),MATCH($A141,'DEMAND BY DATE'!$B$3:$AA$3,0)))</f>
        <v>15</v>
      </c>
      <c r="Z141" s="285">
        <f ca="1">IF(Z$122="","",INDEX('DEMAND BY DATE'!$B$4:$AA$203,MATCH(Z$122,'DEMAND BY DATE'!$A$4:$A$203,0),MATCH($A141,'DEMAND BY DATE'!$B$3:$AA$3,0)))</f>
        <v>15</v>
      </c>
      <c r="AA141" s="285">
        <f ca="1">IF(AA$122="","",INDEX('DEMAND BY DATE'!$B$4:$AA$203,MATCH(AA$122,'DEMAND BY DATE'!$A$4:$A$203,0),MATCH($A141,'DEMAND BY DATE'!$B$3:$AA$3,0)))</f>
        <v>15</v>
      </c>
      <c r="AB141" s="285">
        <f ca="1">IF(AB$122="","",INDEX('DEMAND BY DATE'!$B$4:$AA$203,MATCH(AB$122,'DEMAND BY DATE'!$A$4:$A$203,0),MATCH($A141,'DEMAND BY DATE'!$B$3:$AA$3,0)))</f>
        <v>15</v>
      </c>
      <c r="AC141" s="285">
        <f ca="1">IF(AC$122="","",INDEX('DEMAND BY DATE'!$B$4:$AA$203,MATCH(AC$122,'DEMAND BY DATE'!$A$4:$A$203,0),MATCH($A141,'DEMAND BY DATE'!$B$3:$AA$3,0)))</f>
        <v>15</v>
      </c>
      <c r="AD141" s="285">
        <f ca="1">IF(AD$122="","",INDEX('DEMAND BY DATE'!$B$4:$AA$203,MATCH(AD$122,'DEMAND BY DATE'!$A$4:$A$203,0),MATCH($A141,'DEMAND BY DATE'!$B$3:$AA$3,0)))</f>
        <v>15</v>
      </c>
      <c r="AE141" s="285">
        <f ca="1">IF(AE$122="","",INDEX('DEMAND BY DATE'!$B$4:$AA$203,MATCH(AE$122,'DEMAND BY DATE'!$A$4:$A$203,0),MATCH($A141,'DEMAND BY DATE'!$B$3:$AA$3,0)))</f>
        <v>15</v>
      </c>
      <c r="AF141" s="285">
        <f ca="1">IF(AF$122="","",INDEX('DEMAND BY DATE'!$B$4:$AA$203,MATCH(AF$122,'DEMAND BY DATE'!$A$4:$A$203,0),MATCH($A141,'DEMAND BY DATE'!$B$3:$AA$3,0)))</f>
        <v>15</v>
      </c>
      <c r="AG141" s="285">
        <f ca="1">IF(AG$122="","",INDEX('DEMAND BY DATE'!$B$4:$AA$203,MATCH(AG$122,'DEMAND BY DATE'!$A$4:$A$203,0),MATCH($A141,'DEMAND BY DATE'!$B$3:$AA$3,0)))</f>
        <v>15</v>
      </c>
      <c r="AH141" s="285">
        <f ca="1">IF(AH$122="","",INDEX('DEMAND BY DATE'!$B$4:$AA$203,MATCH(AH$122,'DEMAND BY DATE'!$A$4:$A$203,0),MATCH($A141,'DEMAND BY DATE'!$B$3:$AA$3,0)))</f>
        <v>15</v>
      </c>
      <c r="AI141" s="285">
        <f ca="1">IF(AI$122="","",INDEX('DEMAND BY DATE'!$B$4:$AA$203,MATCH(AI$122,'DEMAND BY DATE'!$A$4:$A$203,0),MATCH($A141,'DEMAND BY DATE'!$B$3:$AA$3,0)))</f>
        <v>15</v>
      </c>
      <c r="AJ141" s="285">
        <f ca="1">IF(AJ$122="","",INDEX('DEMAND BY DATE'!$B$4:$AA$203,MATCH(AJ$122,'DEMAND BY DATE'!$A$4:$A$203,0),MATCH($A141,'DEMAND BY DATE'!$B$3:$AA$3,0)))</f>
        <v>15</v>
      </c>
      <c r="AK141" s="285">
        <f ca="1">IF(AK$122="","",INDEX('DEMAND BY DATE'!$B$4:$AA$203,MATCH(AK$122,'DEMAND BY DATE'!$A$4:$A$203,0),MATCH($A141,'DEMAND BY DATE'!$B$3:$AA$3,0)))</f>
        <v>15</v>
      </c>
    </row>
    <row r="142" spans="1:37">
      <c r="A142" s="2" t="str">
        <f ca="1">INDEX(WORKINGS!$A$85:$A$110,MATCH(SMALL(WORKINGS!$E$85:$E$110,20),WORKINGS!$E$85:$E$110,0))</f>
        <v>Bartack Pattern tacker</v>
      </c>
      <c r="B142" s="2" t="str">
        <f ca="1">IF($D142=0,"IDLE — no style uses it",IF($E142&lt;0,"BUY "&amp;TEXT(-$E142,"#,##0.0")&amp;" — short on "&amp;$F142&amp;" of "&amp;$AY$122&amp;" days",IF($E142/$C142&lt;=0.1,"TIGHT — under 10% spare","OK")))</f>
        <v>OK</v>
      </c>
      <c r="C142" s="2">
        <f ca="1">IFERROR(INDEX('MC MASTER'!$C$3:$C$28,MATCH($A142,'MC MASTER'!$B$3:$B$28,0)),0)</f>
        <v>35</v>
      </c>
      <c r="D142" s="2">
        <f ca="1">MAX($G142:$AK142)</f>
        <v>29</v>
      </c>
      <c r="E142" s="2">
        <f ca="1">$C142-$D142</f>
        <v>6</v>
      </c>
      <c r="F142" s="2" cm="1">
        <f t="array" aca="1" ref="F142" ca="1">SUMPRODUCT((ISNUMBER($G142:$AK142))*($G142:$AK142&gt;$C142)*($G$151:$AK$151="Y"))</f>
        <v>0</v>
      </c>
      <c r="G142" s="285">
        <f ca="1">IF(G$122="","",INDEX('DEMAND BY DATE'!$B$4:$AA$203,MATCH(G$122,'DEMAND BY DATE'!$A$4:$A$203,0),MATCH($A142,'DEMAND BY DATE'!$B$3:$AA$3,0)))</f>
        <v>29</v>
      </c>
      <c r="H142" s="285">
        <f ca="1">IF(H$122="","",INDEX('DEMAND BY DATE'!$B$4:$AA$203,MATCH(H$122,'DEMAND BY DATE'!$A$4:$A$203,0),MATCH($A142,'DEMAND BY DATE'!$B$3:$AA$3,0)))</f>
        <v>29</v>
      </c>
      <c r="I142" s="285">
        <f ca="1">IF(I$122="","",INDEX('DEMAND BY DATE'!$B$4:$AA$203,MATCH(I$122,'DEMAND BY DATE'!$A$4:$A$203,0),MATCH($A142,'DEMAND BY DATE'!$B$3:$AA$3,0)))</f>
        <v>29</v>
      </c>
      <c r="J142" s="285">
        <f ca="1">IF(J$122="","",INDEX('DEMAND BY DATE'!$B$4:$AA$203,MATCH(J$122,'DEMAND BY DATE'!$A$4:$A$203,0),MATCH($A142,'DEMAND BY DATE'!$B$3:$AA$3,0)))</f>
        <v>29</v>
      </c>
      <c r="K142" s="285">
        <f ca="1">IF(K$122="","",INDEX('DEMAND BY DATE'!$B$4:$AA$203,MATCH(K$122,'DEMAND BY DATE'!$A$4:$A$203,0),MATCH($A142,'DEMAND BY DATE'!$B$3:$AA$3,0)))</f>
        <v>29</v>
      </c>
      <c r="L142" s="285">
        <f ca="1">IF(L$122="","",INDEX('DEMAND BY DATE'!$B$4:$AA$203,MATCH(L$122,'DEMAND BY DATE'!$A$4:$A$203,0),MATCH($A142,'DEMAND BY DATE'!$B$3:$AA$3,0)))</f>
        <v>29</v>
      </c>
      <c r="M142" s="285">
        <f ca="1">IF(M$122="","",INDEX('DEMAND BY DATE'!$B$4:$AA$203,MATCH(M$122,'DEMAND BY DATE'!$A$4:$A$203,0),MATCH($A142,'DEMAND BY DATE'!$B$3:$AA$3,0)))</f>
        <v>29</v>
      </c>
      <c r="N142" s="285">
        <f ca="1">IF(N$122="","",INDEX('DEMAND BY DATE'!$B$4:$AA$203,MATCH(N$122,'DEMAND BY DATE'!$A$4:$A$203,0),MATCH($A142,'DEMAND BY DATE'!$B$3:$AA$3,0)))</f>
        <v>29</v>
      </c>
      <c r="O142" s="285">
        <f ca="1">IF(O$122="","",INDEX('DEMAND BY DATE'!$B$4:$AA$203,MATCH(O$122,'DEMAND BY DATE'!$A$4:$A$203,0),MATCH($A142,'DEMAND BY DATE'!$B$3:$AA$3,0)))</f>
        <v>29</v>
      </c>
      <c r="P142" s="285">
        <f ca="1">IF(P$122="","",INDEX('DEMAND BY DATE'!$B$4:$AA$203,MATCH(P$122,'DEMAND BY DATE'!$A$4:$A$203,0),MATCH($A142,'DEMAND BY DATE'!$B$3:$AA$3,0)))</f>
        <v>29</v>
      </c>
      <c r="Q142" s="285">
        <f ca="1">IF(Q$122="","",INDEX('DEMAND BY DATE'!$B$4:$AA$203,MATCH(Q$122,'DEMAND BY DATE'!$A$4:$A$203,0),MATCH($A142,'DEMAND BY DATE'!$B$3:$AA$3,0)))</f>
        <v>29</v>
      </c>
      <c r="R142" s="285">
        <f ca="1">IF(R$122="","",INDEX('DEMAND BY DATE'!$B$4:$AA$203,MATCH(R$122,'DEMAND BY DATE'!$A$4:$A$203,0),MATCH($A142,'DEMAND BY DATE'!$B$3:$AA$3,0)))</f>
        <v>29</v>
      </c>
      <c r="S142" s="285">
        <f ca="1">IF(S$122="","",INDEX('DEMAND BY DATE'!$B$4:$AA$203,MATCH(S$122,'DEMAND BY DATE'!$A$4:$A$203,0),MATCH($A142,'DEMAND BY DATE'!$B$3:$AA$3,0)))</f>
        <v>29</v>
      </c>
      <c r="T142" s="285">
        <f ca="1">IF(T$122="","",INDEX('DEMAND BY DATE'!$B$4:$AA$203,MATCH(T$122,'DEMAND BY DATE'!$A$4:$A$203,0),MATCH($A142,'DEMAND BY DATE'!$B$3:$AA$3,0)))</f>
        <v>19</v>
      </c>
      <c r="U142" s="285">
        <f ca="1">IF(U$122="","",INDEX('DEMAND BY DATE'!$B$4:$AA$203,MATCH(U$122,'DEMAND BY DATE'!$A$4:$A$203,0),MATCH($A142,'DEMAND BY DATE'!$B$3:$AA$3,0)))</f>
        <v>25</v>
      </c>
      <c r="V142" s="285">
        <f ca="1">IF(V$122="","",INDEX('DEMAND BY DATE'!$B$4:$AA$203,MATCH(V$122,'DEMAND BY DATE'!$A$4:$A$203,0),MATCH($A142,'DEMAND BY DATE'!$B$3:$AA$3,0)))</f>
        <v>25</v>
      </c>
      <c r="W142" s="285">
        <f ca="1">IF(W$122="","",INDEX('DEMAND BY DATE'!$B$4:$AA$203,MATCH(W$122,'DEMAND BY DATE'!$A$4:$A$203,0),MATCH($A142,'DEMAND BY DATE'!$B$3:$AA$3,0)))</f>
        <v>25</v>
      </c>
      <c r="X142" s="285">
        <f ca="1">IF(X$122="","",INDEX('DEMAND BY DATE'!$B$4:$AA$203,MATCH(X$122,'DEMAND BY DATE'!$A$4:$A$203,0),MATCH($A142,'DEMAND BY DATE'!$B$3:$AA$3,0)))</f>
        <v>25</v>
      </c>
      <c r="Y142" s="285">
        <f ca="1">IF(Y$122="","",INDEX('DEMAND BY DATE'!$B$4:$AA$203,MATCH(Y$122,'DEMAND BY DATE'!$A$4:$A$203,0),MATCH($A142,'DEMAND BY DATE'!$B$3:$AA$3,0)))</f>
        <v>25</v>
      </c>
      <c r="Z142" s="285">
        <f ca="1">IF(Z$122="","",INDEX('DEMAND BY DATE'!$B$4:$AA$203,MATCH(Z$122,'DEMAND BY DATE'!$A$4:$A$203,0),MATCH($A142,'DEMAND BY DATE'!$B$3:$AA$3,0)))</f>
        <v>25</v>
      </c>
      <c r="AA142" s="285">
        <f ca="1">IF(AA$122="","",INDEX('DEMAND BY DATE'!$B$4:$AA$203,MATCH(AA$122,'DEMAND BY DATE'!$A$4:$A$203,0),MATCH($A142,'DEMAND BY DATE'!$B$3:$AA$3,0)))</f>
        <v>25</v>
      </c>
      <c r="AB142" s="285">
        <f ca="1">IF(AB$122="","",INDEX('DEMAND BY DATE'!$B$4:$AA$203,MATCH(AB$122,'DEMAND BY DATE'!$A$4:$A$203,0),MATCH($A142,'DEMAND BY DATE'!$B$3:$AA$3,0)))</f>
        <v>25</v>
      </c>
      <c r="AC142" s="285">
        <f ca="1">IF(AC$122="","",INDEX('DEMAND BY DATE'!$B$4:$AA$203,MATCH(AC$122,'DEMAND BY DATE'!$A$4:$A$203,0),MATCH($A142,'DEMAND BY DATE'!$B$3:$AA$3,0)))</f>
        <v>25</v>
      </c>
      <c r="AD142" s="285">
        <f ca="1">IF(AD$122="","",INDEX('DEMAND BY DATE'!$B$4:$AA$203,MATCH(AD$122,'DEMAND BY DATE'!$A$4:$A$203,0),MATCH($A142,'DEMAND BY DATE'!$B$3:$AA$3,0)))</f>
        <v>25</v>
      </c>
      <c r="AE142" s="285">
        <f ca="1">IF(AE$122="","",INDEX('DEMAND BY DATE'!$B$4:$AA$203,MATCH(AE$122,'DEMAND BY DATE'!$A$4:$A$203,0),MATCH($A142,'DEMAND BY DATE'!$B$3:$AA$3,0)))</f>
        <v>25</v>
      </c>
      <c r="AF142" s="285">
        <f ca="1">IF(AF$122="","",INDEX('DEMAND BY DATE'!$B$4:$AA$203,MATCH(AF$122,'DEMAND BY DATE'!$A$4:$A$203,0),MATCH($A142,'DEMAND BY DATE'!$B$3:$AA$3,0)))</f>
        <v>25</v>
      </c>
      <c r="AG142" s="285">
        <f ca="1">IF(AG$122="","",INDEX('DEMAND BY DATE'!$B$4:$AA$203,MATCH(AG$122,'DEMAND BY DATE'!$A$4:$A$203,0),MATCH($A142,'DEMAND BY DATE'!$B$3:$AA$3,0)))</f>
        <v>25</v>
      </c>
      <c r="AH142" s="285">
        <f ca="1">IF(AH$122="","",INDEX('DEMAND BY DATE'!$B$4:$AA$203,MATCH(AH$122,'DEMAND BY DATE'!$A$4:$A$203,0),MATCH($A142,'DEMAND BY DATE'!$B$3:$AA$3,0)))</f>
        <v>25</v>
      </c>
      <c r="AI142" s="285">
        <f ca="1">IF(AI$122="","",INDEX('DEMAND BY DATE'!$B$4:$AA$203,MATCH(AI$122,'DEMAND BY DATE'!$A$4:$A$203,0),MATCH($A142,'DEMAND BY DATE'!$B$3:$AA$3,0)))</f>
        <v>25</v>
      </c>
      <c r="AJ142" s="285">
        <f ca="1">IF(AJ$122="","",INDEX('DEMAND BY DATE'!$B$4:$AA$203,MATCH(AJ$122,'DEMAND BY DATE'!$A$4:$A$203,0),MATCH($A142,'DEMAND BY DATE'!$B$3:$AA$3,0)))</f>
        <v>25</v>
      </c>
      <c r="AK142" s="285">
        <f ca="1">IF(AK$122="","",INDEX('DEMAND BY DATE'!$B$4:$AA$203,MATCH(AK$122,'DEMAND BY DATE'!$A$4:$A$203,0),MATCH($A142,'DEMAND BY DATE'!$B$3:$AA$3,0)))</f>
        <v>25</v>
      </c>
    </row>
    <row r="143" spans="1:37">
      <c r="A143" s="2" t="str">
        <f ca="1">INDEX(WORKINGS!$A$85:$A$110,MATCH(SMALL(WORKINGS!$E$85:$E$110,21),WORKINGS!$E$85:$E$110,0))</f>
        <v>Flatlock Hem</v>
      </c>
      <c r="B143" s="2" t="str">
        <f ca="1">IF($D143=0,"IDLE — no style uses it",IF($E143&lt;0,"BUY "&amp;TEXT(-$E143,"#,##0.0")&amp;" — short on "&amp;$F143&amp;" of "&amp;$AY$122&amp;" days",IF($E143/$C143&lt;=0.1,"TIGHT — under 10% spare","OK")))</f>
        <v>OK</v>
      </c>
      <c r="C143" s="2">
        <f ca="1">IFERROR(INDEX('MC MASTER'!$C$3:$C$28,MATCH($A143,'MC MASTER'!$B$3:$B$28,0)),0)</f>
        <v>34</v>
      </c>
      <c r="D143" s="2">
        <f ca="1">MAX($G143:$AK143)</f>
        <v>27.5</v>
      </c>
      <c r="E143" s="2">
        <f ca="1">$C143-$D143</f>
        <v>6.5</v>
      </c>
      <c r="F143" s="2" cm="1">
        <f t="array" aca="1" ref="F143" ca="1">SUMPRODUCT((ISNUMBER($G143:$AK143))*($G143:$AK143&gt;$C143)*($G$151:$AK$151="Y"))</f>
        <v>0</v>
      </c>
      <c r="G143" s="285">
        <f ca="1">IF(G$122="","",INDEX('DEMAND BY DATE'!$B$4:$AA$203,MATCH(G$122,'DEMAND BY DATE'!$A$4:$A$203,0),MATCH($A143,'DEMAND BY DATE'!$B$3:$AA$3,0)))</f>
        <v>22.5</v>
      </c>
      <c r="H143" s="285">
        <f ca="1">IF(H$122="","",INDEX('DEMAND BY DATE'!$B$4:$AA$203,MATCH(H$122,'DEMAND BY DATE'!$A$4:$A$203,0),MATCH($A143,'DEMAND BY DATE'!$B$3:$AA$3,0)))</f>
        <v>22.5</v>
      </c>
      <c r="I143" s="285">
        <f ca="1">IF(I$122="","",INDEX('DEMAND BY DATE'!$B$4:$AA$203,MATCH(I$122,'DEMAND BY DATE'!$A$4:$A$203,0),MATCH($A143,'DEMAND BY DATE'!$B$3:$AA$3,0)))</f>
        <v>22.5</v>
      </c>
      <c r="J143" s="285">
        <f ca="1">IF(J$122="","",INDEX('DEMAND BY DATE'!$B$4:$AA$203,MATCH(J$122,'DEMAND BY DATE'!$A$4:$A$203,0),MATCH($A143,'DEMAND BY DATE'!$B$3:$AA$3,0)))</f>
        <v>22.5</v>
      </c>
      <c r="K143" s="285">
        <f ca="1">IF(K$122="","",INDEX('DEMAND BY DATE'!$B$4:$AA$203,MATCH(K$122,'DEMAND BY DATE'!$A$4:$A$203,0),MATCH($A143,'DEMAND BY DATE'!$B$3:$AA$3,0)))</f>
        <v>22.5</v>
      </c>
      <c r="L143" s="285">
        <f ca="1">IF(L$122="","",INDEX('DEMAND BY DATE'!$B$4:$AA$203,MATCH(L$122,'DEMAND BY DATE'!$A$4:$A$203,0),MATCH($A143,'DEMAND BY DATE'!$B$3:$AA$3,0)))</f>
        <v>22.5</v>
      </c>
      <c r="M143" s="285">
        <f ca="1">IF(M$122="","",INDEX('DEMAND BY DATE'!$B$4:$AA$203,MATCH(M$122,'DEMAND BY DATE'!$A$4:$A$203,0),MATCH($A143,'DEMAND BY DATE'!$B$3:$AA$3,0)))</f>
        <v>22.5</v>
      </c>
      <c r="N143" s="285">
        <f ca="1">IF(N$122="","",INDEX('DEMAND BY DATE'!$B$4:$AA$203,MATCH(N$122,'DEMAND BY DATE'!$A$4:$A$203,0),MATCH($A143,'DEMAND BY DATE'!$B$3:$AA$3,0)))</f>
        <v>22.5</v>
      </c>
      <c r="O143" s="285">
        <f ca="1">IF(O$122="","",INDEX('DEMAND BY DATE'!$B$4:$AA$203,MATCH(O$122,'DEMAND BY DATE'!$A$4:$A$203,0),MATCH($A143,'DEMAND BY DATE'!$B$3:$AA$3,0)))</f>
        <v>22.5</v>
      </c>
      <c r="P143" s="285">
        <f ca="1">IF(P$122="","",INDEX('DEMAND BY DATE'!$B$4:$AA$203,MATCH(P$122,'DEMAND BY DATE'!$A$4:$A$203,0),MATCH($A143,'DEMAND BY DATE'!$B$3:$AA$3,0)))</f>
        <v>22.5</v>
      </c>
      <c r="Q143" s="285">
        <f ca="1">IF(Q$122="","",INDEX('DEMAND BY DATE'!$B$4:$AA$203,MATCH(Q$122,'DEMAND BY DATE'!$A$4:$A$203,0),MATCH($A143,'DEMAND BY DATE'!$B$3:$AA$3,0)))</f>
        <v>22.5</v>
      </c>
      <c r="R143" s="285">
        <f ca="1">IF(R$122="","",INDEX('DEMAND BY DATE'!$B$4:$AA$203,MATCH(R$122,'DEMAND BY DATE'!$A$4:$A$203,0),MATCH($A143,'DEMAND BY DATE'!$B$3:$AA$3,0)))</f>
        <v>26.5</v>
      </c>
      <c r="S143" s="285">
        <f ca="1">IF(S$122="","",INDEX('DEMAND BY DATE'!$B$4:$AA$203,MATCH(S$122,'DEMAND BY DATE'!$A$4:$A$203,0),MATCH($A143,'DEMAND BY DATE'!$B$3:$AA$3,0)))</f>
        <v>26.5</v>
      </c>
      <c r="T143" s="285">
        <f ca="1">IF(T$122="","",INDEX('DEMAND BY DATE'!$B$4:$AA$203,MATCH(T$122,'DEMAND BY DATE'!$A$4:$A$203,0),MATCH($A143,'DEMAND BY DATE'!$B$3:$AA$3,0)))</f>
        <v>27.5</v>
      </c>
      <c r="U143" s="285">
        <f ca="1">IF(U$122="","",INDEX('DEMAND BY DATE'!$B$4:$AA$203,MATCH(U$122,'DEMAND BY DATE'!$A$4:$A$203,0),MATCH($A143,'DEMAND BY DATE'!$B$3:$AA$3,0)))</f>
        <v>27.5</v>
      </c>
      <c r="V143" s="285">
        <f ca="1">IF(V$122="","",INDEX('DEMAND BY DATE'!$B$4:$AA$203,MATCH(V$122,'DEMAND BY DATE'!$A$4:$A$203,0),MATCH($A143,'DEMAND BY DATE'!$B$3:$AA$3,0)))</f>
        <v>27.5</v>
      </c>
      <c r="W143" s="285">
        <f ca="1">IF(W$122="","",INDEX('DEMAND BY DATE'!$B$4:$AA$203,MATCH(W$122,'DEMAND BY DATE'!$A$4:$A$203,0),MATCH($A143,'DEMAND BY DATE'!$B$3:$AA$3,0)))</f>
        <v>27.5</v>
      </c>
      <c r="X143" s="285">
        <f ca="1">IF(X$122="","",INDEX('DEMAND BY DATE'!$B$4:$AA$203,MATCH(X$122,'DEMAND BY DATE'!$A$4:$A$203,0),MATCH($A143,'DEMAND BY DATE'!$B$3:$AA$3,0)))</f>
        <v>27.5</v>
      </c>
      <c r="Y143" s="285">
        <f ca="1">IF(Y$122="","",INDEX('DEMAND BY DATE'!$B$4:$AA$203,MATCH(Y$122,'DEMAND BY DATE'!$A$4:$A$203,0),MATCH($A143,'DEMAND BY DATE'!$B$3:$AA$3,0)))</f>
        <v>27.5</v>
      </c>
      <c r="Z143" s="285">
        <f ca="1">IF(Z$122="","",INDEX('DEMAND BY DATE'!$B$4:$AA$203,MATCH(Z$122,'DEMAND BY DATE'!$A$4:$A$203,0),MATCH($A143,'DEMAND BY DATE'!$B$3:$AA$3,0)))</f>
        <v>27.5</v>
      </c>
      <c r="AA143" s="285">
        <f ca="1">IF(AA$122="","",INDEX('DEMAND BY DATE'!$B$4:$AA$203,MATCH(AA$122,'DEMAND BY DATE'!$A$4:$A$203,0),MATCH($A143,'DEMAND BY DATE'!$B$3:$AA$3,0)))</f>
        <v>27.5</v>
      </c>
      <c r="AB143" s="285">
        <f ca="1">IF(AB$122="","",INDEX('DEMAND BY DATE'!$B$4:$AA$203,MATCH(AB$122,'DEMAND BY DATE'!$A$4:$A$203,0),MATCH($A143,'DEMAND BY DATE'!$B$3:$AA$3,0)))</f>
        <v>27.5</v>
      </c>
      <c r="AC143" s="285">
        <f ca="1">IF(AC$122="","",INDEX('DEMAND BY DATE'!$B$4:$AA$203,MATCH(AC$122,'DEMAND BY DATE'!$A$4:$A$203,0),MATCH($A143,'DEMAND BY DATE'!$B$3:$AA$3,0)))</f>
        <v>27.5</v>
      </c>
      <c r="AD143" s="285">
        <f ca="1">IF(AD$122="","",INDEX('DEMAND BY DATE'!$B$4:$AA$203,MATCH(AD$122,'DEMAND BY DATE'!$A$4:$A$203,0),MATCH($A143,'DEMAND BY DATE'!$B$3:$AA$3,0)))</f>
        <v>27.5</v>
      </c>
      <c r="AE143" s="285">
        <f ca="1">IF(AE$122="","",INDEX('DEMAND BY DATE'!$B$4:$AA$203,MATCH(AE$122,'DEMAND BY DATE'!$A$4:$A$203,0),MATCH($A143,'DEMAND BY DATE'!$B$3:$AA$3,0)))</f>
        <v>27.5</v>
      </c>
      <c r="AF143" s="285">
        <f ca="1">IF(AF$122="","",INDEX('DEMAND BY DATE'!$B$4:$AA$203,MATCH(AF$122,'DEMAND BY DATE'!$A$4:$A$203,0),MATCH($A143,'DEMAND BY DATE'!$B$3:$AA$3,0)))</f>
        <v>27.5</v>
      </c>
      <c r="AG143" s="285">
        <f ca="1">IF(AG$122="","",INDEX('DEMAND BY DATE'!$B$4:$AA$203,MATCH(AG$122,'DEMAND BY DATE'!$A$4:$A$203,0),MATCH($A143,'DEMAND BY DATE'!$B$3:$AA$3,0)))</f>
        <v>27.5</v>
      </c>
      <c r="AH143" s="285">
        <f ca="1">IF(AH$122="","",INDEX('DEMAND BY DATE'!$B$4:$AA$203,MATCH(AH$122,'DEMAND BY DATE'!$A$4:$A$203,0),MATCH($A143,'DEMAND BY DATE'!$B$3:$AA$3,0)))</f>
        <v>27.5</v>
      </c>
      <c r="AI143" s="285">
        <f ca="1">IF(AI$122="","",INDEX('DEMAND BY DATE'!$B$4:$AA$203,MATCH(AI$122,'DEMAND BY DATE'!$A$4:$A$203,0),MATCH($A143,'DEMAND BY DATE'!$B$3:$AA$3,0)))</f>
        <v>27.5</v>
      </c>
      <c r="AJ143" s="285">
        <f ca="1">IF(AJ$122="","",INDEX('DEMAND BY DATE'!$B$4:$AA$203,MATCH(AJ$122,'DEMAND BY DATE'!$A$4:$A$203,0),MATCH($A143,'DEMAND BY DATE'!$B$3:$AA$3,0)))</f>
        <v>27.5</v>
      </c>
      <c r="AK143" s="285">
        <f ca="1">IF(AK$122="","",INDEX('DEMAND BY DATE'!$B$4:$AA$203,MATCH(AK$122,'DEMAND BY DATE'!$A$4:$A$203,0),MATCH($A143,'DEMAND BY DATE'!$B$3:$AA$3,0)))</f>
        <v>27.5</v>
      </c>
    </row>
    <row r="144" spans="1:37">
      <c r="A144" s="2" t="str">
        <f ca="1">INDEX(WORKINGS!$A$85:$A$110,MATCH(SMALL(WORKINGS!$E$85:$E$110,22),WORKINGS!$E$85:$E$110,0))</f>
        <v>DNLS</v>
      </c>
      <c r="B144" s="2" t="str">
        <f ca="1">IF($D144=0,"IDLE — no style uses it",IF($E144&lt;0,"BUY "&amp;TEXT(-$E144,"#,##0.0")&amp;" — short on "&amp;$F144&amp;" of "&amp;$AY$122&amp;" days",IF($E144/$C144&lt;=0.1,"TIGHT — under 10% spare","OK")))</f>
        <v>OK</v>
      </c>
      <c r="C144" s="2">
        <f ca="1">IFERROR(INDEX('MC MASTER'!$C$3:$C$28,MATCH($A144,'MC MASTER'!$B$3:$B$28,0)),0)</f>
        <v>8</v>
      </c>
      <c r="D144" s="2">
        <f ca="1">MAX($G144:$AK144)</f>
        <v>1</v>
      </c>
      <c r="E144" s="2">
        <f ca="1">$C144-$D144</f>
        <v>7</v>
      </c>
      <c r="F144" s="2" cm="1">
        <f t="array" aca="1" ref="F144" ca="1">SUMPRODUCT((ISNUMBER($G144:$AK144))*($G144:$AK144&gt;$C144)*($G$151:$AK$151="Y"))</f>
        <v>0</v>
      </c>
      <c r="G144" s="285">
        <f ca="1">IF(G$122="","",INDEX('DEMAND BY DATE'!$B$4:$AA$203,MATCH(G$122,'DEMAND BY DATE'!$A$4:$A$203,0),MATCH($A144,'DEMAND BY DATE'!$B$3:$AA$3,0)))</f>
        <v>1</v>
      </c>
      <c r="H144" s="285">
        <f ca="1">IF(H$122="","",INDEX('DEMAND BY DATE'!$B$4:$AA$203,MATCH(H$122,'DEMAND BY DATE'!$A$4:$A$203,0),MATCH($A144,'DEMAND BY DATE'!$B$3:$AA$3,0)))</f>
        <v>1</v>
      </c>
      <c r="I144" s="285">
        <f ca="1">IF(I$122="","",INDEX('DEMAND BY DATE'!$B$4:$AA$203,MATCH(I$122,'DEMAND BY DATE'!$A$4:$A$203,0),MATCH($A144,'DEMAND BY DATE'!$B$3:$AA$3,0)))</f>
        <v>1</v>
      </c>
      <c r="J144" s="285">
        <f ca="1">IF(J$122="","",INDEX('DEMAND BY DATE'!$B$4:$AA$203,MATCH(J$122,'DEMAND BY DATE'!$A$4:$A$203,0),MATCH($A144,'DEMAND BY DATE'!$B$3:$AA$3,0)))</f>
        <v>1</v>
      </c>
      <c r="K144" s="285">
        <f ca="1">IF(K$122="","",INDEX('DEMAND BY DATE'!$B$4:$AA$203,MATCH(K$122,'DEMAND BY DATE'!$A$4:$A$203,0),MATCH($A144,'DEMAND BY DATE'!$B$3:$AA$3,0)))</f>
        <v>1</v>
      </c>
      <c r="L144" s="285">
        <f ca="1">IF(L$122="","",INDEX('DEMAND BY DATE'!$B$4:$AA$203,MATCH(L$122,'DEMAND BY DATE'!$A$4:$A$203,0),MATCH($A144,'DEMAND BY DATE'!$B$3:$AA$3,0)))</f>
        <v>1</v>
      </c>
      <c r="M144" s="285">
        <f ca="1">IF(M$122="","",INDEX('DEMAND BY DATE'!$B$4:$AA$203,MATCH(M$122,'DEMAND BY DATE'!$A$4:$A$203,0),MATCH($A144,'DEMAND BY DATE'!$B$3:$AA$3,0)))</f>
        <v>1</v>
      </c>
      <c r="N144" s="285">
        <f ca="1">IF(N$122="","",INDEX('DEMAND BY DATE'!$B$4:$AA$203,MATCH(N$122,'DEMAND BY DATE'!$A$4:$A$203,0),MATCH($A144,'DEMAND BY DATE'!$B$3:$AA$3,0)))</f>
        <v>1</v>
      </c>
      <c r="O144" s="285">
        <f ca="1">IF(O$122="","",INDEX('DEMAND BY DATE'!$B$4:$AA$203,MATCH(O$122,'DEMAND BY DATE'!$A$4:$A$203,0),MATCH($A144,'DEMAND BY DATE'!$B$3:$AA$3,0)))</f>
        <v>1</v>
      </c>
      <c r="P144" s="285">
        <f ca="1">IF(P$122="","",INDEX('DEMAND BY DATE'!$B$4:$AA$203,MATCH(P$122,'DEMAND BY DATE'!$A$4:$A$203,0),MATCH($A144,'DEMAND BY DATE'!$B$3:$AA$3,0)))</f>
        <v>1</v>
      </c>
      <c r="Q144" s="285">
        <f ca="1">IF(Q$122="","",INDEX('DEMAND BY DATE'!$B$4:$AA$203,MATCH(Q$122,'DEMAND BY DATE'!$A$4:$A$203,0),MATCH($A144,'DEMAND BY DATE'!$B$3:$AA$3,0)))</f>
        <v>1</v>
      </c>
      <c r="R144" s="285">
        <f ca="1">IF(R$122="","",INDEX('DEMAND BY DATE'!$B$4:$AA$203,MATCH(R$122,'DEMAND BY DATE'!$A$4:$A$203,0),MATCH($A144,'DEMAND BY DATE'!$B$3:$AA$3,0)))</f>
        <v>1</v>
      </c>
      <c r="S144" s="285">
        <f ca="1">IF(S$122="","",INDEX('DEMAND BY DATE'!$B$4:$AA$203,MATCH(S$122,'DEMAND BY DATE'!$A$4:$A$203,0),MATCH($A144,'DEMAND BY DATE'!$B$3:$AA$3,0)))</f>
        <v>1</v>
      </c>
      <c r="T144" s="285">
        <f ca="1">IF(T$122="","",INDEX('DEMAND BY DATE'!$B$4:$AA$203,MATCH(T$122,'DEMAND BY DATE'!$A$4:$A$203,0),MATCH($A144,'DEMAND BY DATE'!$B$3:$AA$3,0)))</f>
        <v>1</v>
      </c>
      <c r="U144" s="285">
        <f ca="1">IF(U$122="","",INDEX('DEMAND BY DATE'!$B$4:$AA$203,MATCH(U$122,'DEMAND BY DATE'!$A$4:$A$203,0),MATCH($A144,'DEMAND BY DATE'!$B$3:$AA$3,0)))</f>
        <v>1</v>
      </c>
      <c r="V144" s="285">
        <f ca="1">IF(V$122="","",INDEX('DEMAND BY DATE'!$B$4:$AA$203,MATCH(V$122,'DEMAND BY DATE'!$A$4:$A$203,0),MATCH($A144,'DEMAND BY DATE'!$B$3:$AA$3,0)))</f>
        <v>1</v>
      </c>
      <c r="W144" s="285">
        <f ca="1">IF(W$122="","",INDEX('DEMAND BY DATE'!$B$4:$AA$203,MATCH(W$122,'DEMAND BY DATE'!$A$4:$A$203,0),MATCH($A144,'DEMAND BY DATE'!$B$3:$AA$3,0)))</f>
        <v>1</v>
      </c>
      <c r="X144" s="285">
        <f ca="1">IF(X$122="","",INDEX('DEMAND BY DATE'!$B$4:$AA$203,MATCH(X$122,'DEMAND BY DATE'!$A$4:$A$203,0),MATCH($A144,'DEMAND BY DATE'!$B$3:$AA$3,0)))</f>
        <v>1</v>
      </c>
      <c r="Y144" s="285">
        <f ca="1">IF(Y$122="","",INDEX('DEMAND BY DATE'!$B$4:$AA$203,MATCH(Y$122,'DEMAND BY DATE'!$A$4:$A$203,0),MATCH($A144,'DEMAND BY DATE'!$B$3:$AA$3,0)))</f>
        <v>1</v>
      </c>
      <c r="Z144" s="285">
        <f ca="1">IF(Z$122="","",INDEX('DEMAND BY DATE'!$B$4:$AA$203,MATCH(Z$122,'DEMAND BY DATE'!$A$4:$A$203,0),MATCH($A144,'DEMAND BY DATE'!$B$3:$AA$3,0)))</f>
        <v>1</v>
      </c>
      <c r="AA144" s="285">
        <f ca="1">IF(AA$122="","",INDEX('DEMAND BY DATE'!$B$4:$AA$203,MATCH(AA$122,'DEMAND BY DATE'!$A$4:$A$203,0),MATCH($A144,'DEMAND BY DATE'!$B$3:$AA$3,0)))</f>
        <v>1</v>
      </c>
      <c r="AB144" s="285">
        <f ca="1">IF(AB$122="","",INDEX('DEMAND BY DATE'!$B$4:$AA$203,MATCH(AB$122,'DEMAND BY DATE'!$A$4:$A$203,0),MATCH($A144,'DEMAND BY DATE'!$B$3:$AA$3,0)))</f>
        <v>1</v>
      </c>
      <c r="AC144" s="285">
        <f ca="1">IF(AC$122="","",INDEX('DEMAND BY DATE'!$B$4:$AA$203,MATCH(AC$122,'DEMAND BY DATE'!$A$4:$A$203,0),MATCH($A144,'DEMAND BY DATE'!$B$3:$AA$3,0)))</f>
        <v>1</v>
      </c>
      <c r="AD144" s="285">
        <f ca="1">IF(AD$122="","",INDEX('DEMAND BY DATE'!$B$4:$AA$203,MATCH(AD$122,'DEMAND BY DATE'!$A$4:$A$203,0),MATCH($A144,'DEMAND BY DATE'!$B$3:$AA$3,0)))</f>
        <v>1</v>
      </c>
      <c r="AE144" s="285">
        <f ca="1">IF(AE$122="","",INDEX('DEMAND BY DATE'!$B$4:$AA$203,MATCH(AE$122,'DEMAND BY DATE'!$A$4:$A$203,0),MATCH($A144,'DEMAND BY DATE'!$B$3:$AA$3,0)))</f>
        <v>1</v>
      </c>
      <c r="AF144" s="285">
        <f ca="1">IF(AF$122="","",INDEX('DEMAND BY DATE'!$B$4:$AA$203,MATCH(AF$122,'DEMAND BY DATE'!$A$4:$A$203,0),MATCH($A144,'DEMAND BY DATE'!$B$3:$AA$3,0)))</f>
        <v>1</v>
      </c>
      <c r="AG144" s="285">
        <f ca="1">IF(AG$122="","",INDEX('DEMAND BY DATE'!$B$4:$AA$203,MATCH(AG$122,'DEMAND BY DATE'!$A$4:$A$203,0),MATCH($A144,'DEMAND BY DATE'!$B$3:$AA$3,0)))</f>
        <v>1</v>
      </c>
      <c r="AH144" s="285">
        <f ca="1">IF(AH$122="","",INDEX('DEMAND BY DATE'!$B$4:$AA$203,MATCH(AH$122,'DEMAND BY DATE'!$A$4:$A$203,0),MATCH($A144,'DEMAND BY DATE'!$B$3:$AA$3,0)))</f>
        <v>1</v>
      </c>
      <c r="AI144" s="285">
        <f ca="1">IF(AI$122="","",INDEX('DEMAND BY DATE'!$B$4:$AA$203,MATCH(AI$122,'DEMAND BY DATE'!$A$4:$A$203,0),MATCH($A144,'DEMAND BY DATE'!$B$3:$AA$3,0)))</f>
        <v>1</v>
      </c>
      <c r="AJ144" s="285">
        <f ca="1">IF(AJ$122="","",INDEX('DEMAND BY DATE'!$B$4:$AA$203,MATCH(AJ$122,'DEMAND BY DATE'!$A$4:$A$203,0),MATCH($A144,'DEMAND BY DATE'!$B$3:$AA$3,0)))</f>
        <v>1</v>
      </c>
      <c r="AK144" s="285">
        <f ca="1">IF(AK$122="","",INDEX('DEMAND BY DATE'!$B$4:$AA$203,MATCH(AK$122,'DEMAND BY DATE'!$A$4:$A$203,0),MATCH($A144,'DEMAND BY DATE'!$B$3:$AA$3,0)))</f>
        <v>1</v>
      </c>
    </row>
    <row r="145" spans="1:37">
      <c r="A145" s="2" t="str">
        <f ca="1">INDEX(WORKINGS!$A$85:$A$110,MATCH(SMALL(WORKINGS!$E$85:$E$110,23),WORKINGS!$E$85:$E$110,0))</f>
        <v>Flatlock (Ring Elastic Attach)</v>
      </c>
      <c r="B145" s="2" t="str">
        <f ca="1">IF($D145=0,"IDLE — no style uses it",IF($E145&lt;0,"BUY "&amp;TEXT(-$E145,"#,##0.0")&amp;" — short on "&amp;$F145&amp;" of "&amp;$AY$122&amp;" days",IF($E145/$C145&lt;=0.1,"TIGHT — under 10% spare","OK")))</f>
        <v>OK</v>
      </c>
      <c r="C145" s="2">
        <f ca="1">IFERROR(INDEX('MC MASTER'!$C$3:$C$28,MATCH($A145,'MC MASTER'!$B$3:$B$28,0)),0)</f>
        <v>42</v>
      </c>
      <c r="D145" s="2">
        <f ca="1">MAX($G145:$AK145)</f>
        <v>34.5</v>
      </c>
      <c r="E145" s="2">
        <f ca="1">$C145-$D145</f>
        <v>7.5</v>
      </c>
      <c r="F145" s="2" cm="1">
        <f t="array" aca="1" ref="F145" ca="1">SUMPRODUCT((ISNUMBER($G145:$AK145))*($G145:$AK145&gt;$C145)*($G$151:$AK$151="Y"))</f>
        <v>0</v>
      </c>
      <c r="G145" s="285">
        <f ca="1">IF(G$122="","",INDEX('DEMAND BY DATE'!$B$4:$AA$203,MATCH(G$122,'DEMAND BY DATE'!$A$4:$A$203,0),MATCH($A145,'DEMAND BY DATE'!$B$3:$AA$3,0)))</f>
        <v>34.5</v>
      </c>
      <c r="H145" s="285">
        <f ca="1">IF(H$122="","",INDEX('DEMAND BY DATE'!$B$4:$AA$203,MATCH(H$122,'DEMAND BY DATE'!$A$4:$A$203,0),MATCH($A145,'DEMAND BY DATE'!$B$3:$AA$3,0)))</f>
        <v>34.5</v>
      </c>
      <c r="I145" s="285">
        <f ca="1">IF(I$122="","",INDEX('DEMAND BY DATE'!$B$4:$AA$203,MATCH(I$122,'DEMAND BY DATE'!$A$4:$A$203,0),MATCH($A145,'DEMAND BY DATE'!$B$3:$AA$3,0)))</f>
        <v>34.5</v>
      </c>
      <c r="J145" s="285">
        <f ca="1">IF(J$122="","",INDEX('DEMAND BY DATE'!$B$4:$AA$203,MATCH(J$122,'DEMAND BY DATE'!$A$4:$A$203,0),MATCH($A145,'DEMAND BY DATE'!$B$3:$AA$3,0)))</f>
        <v>34.5</v>
      </c>
      <c r="K145" s="285">
        <f ca="1">IF(K$122="","",INDEX('DEMAND BY DATE'!$B$4:$AA$203,MATCH(K$122,'DEMAND BY DATE'!$A$4:$A$203,0),MATCH($A145,'DEMAND BY DATE'!$B$3:$AA$3,0)))</f>
        <v>34.5</v>
      </c>
      <c r="L145" s="285">
        <f ca="1">IF(L$122="","",INDEX('DEMAND BY DATE'!$B$4:$AA$203,MATCH(L$122,'DEMAND BY DATE'!$A$4:$A$203,0),MATCH($A145,'DEMAND BY DATE'!$B$3:$AA$3,0)))</f>
        <v>34.5</v>
      </c>
      <c r="M145" s="285">
        <f ca="1">IF(M$122="","",INDEX('DEMAND BY DATE'!$B$4:$AA$203,MATCH(M$122,'DEMAND BY DATE'!$A$4:$A$203,0),MATCH($A145,'DEMAND BY DATE'!$B$3:$AA$3,0)))</f>
        <v>34.5</v>
      </c>
      <c r="N145" s="285">
        <f ca="1">IF(N$122="","",INDEX('DEMAND BY DATE'!$B$4:$AA$203,MATCH(N$122,'DEMAND BY DATE'!$A$4:$A$203,0),MATCH($A145,'DEMAND BY DATE'!$B$3:$AA$3,0)))</f>
        <v>34.5</v>
      </c>
      <c r="O145" s="285">
        <f ca="1">IF(O$122="","",INDEX('DEMAND BY DATE'!$B$4:$AA$203,MATCH(O$122,'DEMAND BY DATE'!$A$4:$A$203,0),MATCH($A145,'DEMAND BY DATE'!$B$3:$AA$3,0)))</f>
        <v>34.5</v>
      </c>
      <c r="P145" s="285">
        <f ca="1">IF(P$122="","",INDEX('DEMAND BY DATE'!$B$4:$AA$203,MATCH(P$122,'DEMAND BY DATE'!$A$4:$A$203,0),MATCH($A145,'DEMAND BY DATE'!$B$3:$AA$3,0)))</f>
        <v>34.5</v>
      </c>
      <c r="Q145" s="285">
        <f ca="1">IF(Q$122="","",INDEX('DEMAND BY DATE'!$B$4:$AA$203,MATCH(Q$122,'DEMAND BY DATE'!$A$4:$A$203,0),MATCH($A145,'DEMAND BY DATE'!$B$3:$AA$3,0)))</f>
        <v>34.5</v>
      </c>
      <c r="R145" s="285">
        <f ca="1">IF(R$122="","",INDEX('DEMAND BY DATE'!$B$4:$AA$203,MATCH(R$122,'DEMAND BY DATE'!$A$4:$A$203,0),MATCH($A145,'DEMAND BY DATE'!$B$3:$AA$3,0)))</f>
        <v>34.5</v>
      </c>
      <c r="S145" s="285">
        <f ca="1">IF(S$122="","",INDEX('DEMAND BY DATE'!$B$4:$AA$203,MATCH(S$122,'DEMAND BY DATE'!$A$4:$A$203,0),MATCH($A145,'DEMAND BY DATE'!$B$3:$AA$3,0)))</f>
        <v>34.5</v>
      </c>
      <c r="T145" s="285">
        <f ca="1">IF(T$122="","",INDEX('DEMAND BY DATE'!$B$4:$AA$203,MATCH(T$122,'DEMAND BY DATE'!$A$4:$A$203,0),MATCH($A145,'DEMAND BY DATE'!$B$3:$AA$3,0)))</f>
        <v>19.5</v>
      </c>
      <c r="U145" s="285">
        <f ca="1">IF(U$122="","",INDEX('DEMAND BY DATE'!$B$4:$AA$203,MATCH(U$122,'DEMAND BY DATE'!$A$4:$A$203,0),MATCH($A145,'DEMAND BY DATE'!$B$3:$AA$3,0)))</f>
        <v>28.5</v>
      </c>
      <c r="V145" s="285">
        <f ca="1">IF(V$122="","",INDEX('DEMAND BY DATE'!$B$4:$AA$203,MATCH(V$122,'DEMAND BY DATE'!$A$4:$A$203,0),MATCH($A145,'DEMAND BY DATE'!$B$3:$AA$3,0)))</f>
        <v>28.5</v>
      </c>
      <c r="W145" s="285">
        <f ca="1">IF(W$122="","",INDEX('DEMAND BY DATE'!$B$4:$AA$203,MATCH(W$122,'DEMAND BY DATE'!$A$4:$A$203,0),MATCH($A145,'DEMAND BY DATE'!$B$3:$AA$3,0)))</f>
        <v>28.5</v>
      </c>
      <c r="X145" s="285">
        <f ca="1">IF(X$122="","",INDEX('DEMAND BY DATE'!$B$4:$AA$203,MATCH(X$122,'DEMAND BY DATE'!$A$4:$A$203,0),MATCH($A145,'DEMAND BY DATE'!$B$3:$AA$3,0)))</f>
        <v>28.5</v>
      </c>
      <c r="Y145" s="285">
        <f ca="1">IF(Y$122="","",INDEX('DEMAND BY DATE'!$B$4:$AA$203,MATCH(Y$122,'DEMAND BY DATE'!$A$4:$A$203,0),MATCH($A145,'DEMAND BY DATE'!$B$3:$AA$3,0)))</f>
        <v>28.5</v>
      </c>
      <c r="Z145" s="285">
        <f ca="1">IF(Z$122="","",INDEX('DEMAND BY DATE'!$B$4:$AA$203,MATCH(Z$122,'DEMAND BY DATE'!$A$4:$A$203,0),MATCH($A145,'DEMAND BY DATE'!$B$3:$AA$3,0)))</f>
        <v>28.5</v>
      </c>
      <c r="AA145" s="285">
        <f ca="1">IF(AA$122="","",INDEX('DEMAND BY DATE'!$B$4:$AA$203,MATCH(AA$122,'DEMAND BY DATE'!$A$4:$A$203,0),MATCH($A145,'DEMAND BY DATE'!$B$3:$AA$3,0)))</f>
        <v>28.5</v>
      </c>
      <c r="AB145" s="285">
        <f ca="1">IF(AB$122="","",INDEX('DEMAND BY DATE'!$B$4:$AA$203,MATCH(AB$122,'DEMAND BY DATE'!$A$4:$A$203,0),MATCH($A145,'DEMAND BY DATE'!$B$3:$AA$3,0)))</f>
        <v>28.5</v>
      </c>
      <c r="AC145" s="285">
        <f ca="1">IF(AC$122="","",INDEX('DEMAND BY DATE'!$B$4:$AA$203,MATCH(AC$122,'DEMAND BY DATE'!$A$4:$A$203,0),MATCH($A145,'DEMAND BY DATE'!$B$3:$AA$3,0)))</f>
        <v>28.5</v>
      </c>
      <c r="AD145" s="285">
        <f ca="1">IF(AD$122="","",INDEX('DEMAND BY DATE'!$B$4:$AA$203,MATCH(AD$122,'DEMAND BY DATE'!$A$4:$A$203,0),MATCH($A145,'DEMAND BY DATE'!$B$3:$AA$3,0)))</f>
        <v>28.5</v>
      </c>
      <c r="AE145" s="285">
        <f ca="1">IF(AE$122="","",INDEX('DEMAND BY DATE'!$B$4:$AA$203,MATCH(AE$122,'DEMAND BY DATE'!$A$4:$A$203,0),MATCH($A145,'DEMAND BY DATE'!$B$3:$AA$3,0)))</f>
        <v>28.5</v>
      </c>
      <c r="AF145" s="285">
        <f ca="1">IF(AF$122="","",INDEX('DEMAND BY DATE'!$B$4:$AA$203,MATCH(AF$122,'DEMAND BY DATE'!$A$4:$A$203,0),MATCH($A145,'DEMAND BY DATE'!$B$3:$AA$3,0)))</f>
        <v>28.5</v>
      </c>
      <c r="AG145" s="285">
        <f ca="1">IF(AG$122="","",INDEX('DEMAND BY DATE'!$B$4:$AA$203,MATCH(AG$122,'DEMAND BY DATE'!$A$4:$A$203,0),MATCH($A145,'DEMAND BY DATE'!$B$3:$AA$3,0)))</f>
        <v>28.5</v>
      </c>
      <c r="AH145" s="285">
        <f ca="1">IF(AH$122="","",INDEX('DEMAND BY DATE'!$B$4:$AA$203,MATCH(AH$122,'DEMAND BY DATE'!$A$4:$A$203,0),MATCH($A145,'DEMAND BY DATE'!$B$3:$AA$3,0)))</f>
        <v>28.5</v>
      </c>
      <c r="AI145" s="285">
        <f ca="1">IF(AI$122="","",INDEX('DEMAND BY DATE'!$B$4:$AA$203,MATCH(AI$122,'DEMAND BY DATE'!$A$4:$A$203,0),MATCH($A145,'DEMAND BY DATE'!$B$3:$AA$3,0)))</f>
        <v>28.5</v>
      </c>
      <c r="AJ145" s="285">
        <f ca="1">IF(AJ$122="","",INDEX('DEMAND BY DATE'!$B$4:$AA$203,MATCH(AJ$122,'DEMAND BY DATE'!$A$4:$A$203,0),MATCH($A145,'DEMAND BY DATE'!$B$3:$AA$3,0)))</f>
        <v>28.5</v>
      </c>
      <c r="AK145" s="285">
        <f ca="1">IF(AK$122="","",INDEX('DEMAND BY DATE'!$B$4:$AA$203,MATCH(AK$122,'DEMAND BY DATE'!$A$4:$A$203,0),MATCH($A145,'DEMAND BY DATE'!$B$3:$AA$3,0)))</f>
        <v>28.5</v>
      </c>
    </row>
    <row r="146" spans="1:37">
      <c r="A146" s="2" t="str">
        <f ca="1">INDEX(WORKINGS!$A$85:$A$110,MATCH(SMALL(WORKINGS!$E$85:$E$110,24),WORKINGS!$E$85:$E$110,0))</f>
        <v>FlatSeamer FS</v>
      </c>
      <c r="B146" s="2" t="str">
        <f ca="1">IF($D146=0,"IDLE — no style uses it",IF($E146&lt;0,"BUY "&amp;TEXT(-$E146,"#,##0.0")&amp;" — short on "&amp;$F146&amp;" of "&amp;$AY$122&amp;" days",IF($E146/$C146&lt;=0.1,"TIGHT — under 10% spare","OK")))</f>
        <v>IDLE — no style uses it</v>
      </c>
      <c r="C146" s="2">
        <f ca="1">IFERROR(INDEX('MC MASTER'!$C$3:$C$28,MATCH($A146,'MC MASTER'!$B$3:$B$28,0)),0)</f>
        <v>8</v>
      </c>
      <c r="D146" s="2">
        <f ca="1">MAX($G146:$AK146)</f>
        <v>0</v>
      </c>
      <c r="E146" s="2">
        <f ca="1">$C146-$D146</f>
        <v>8</v>
      </c>
      <c r="F146" s="2" cm="1">
        <f t="array" aca="1" ref="F146" ca="1">SUMPRODUCT((ISNUMBER($G146:$AK146))*($G146:$AK146&gt;$C146)*($G$151:$AK$151="Y"))</f>
        <v>0</v>
      </c>
      <c r="G146" s="285">
        <f ca="1">IF(G$122="","",INDEX('DEMAND BY DATE'!$B$4:$AA$203,MATCH(G$122,'DEMAND BY DATE'!$A$4:$A$203,0),MATCH($A146,'DEMAND BY DATE'!$B$3:$AA$3,0)))</f>
        <v>0</v>
      </c>
      <c r="H146" s="285">
        <f ca="1">IF(H$122="","",INDEX('DEMAND BY DATE'!$B$4:$AA$203,MATCH(H$122,'DEMAND BY DATE'!$A$4:$A$203,0),MATCH($A146,'DEMAND BY DATE'!$B$3:$AA$3,0)))</f>
        <v>0</v>
      </c>
      <c r="I146" s="285">
        <f ca="1">IF(I$122="","",INDEX('DEMAND BY DATE'!$B$4:$AA$203,MATCH(I$122,'DEMAND BY DATE'!$A$4:$A$203,0),MATCH($A146,'DEMAND BY DATE'!$B$3:$AA$3,0)))</f>
        <v>0</v>
      </c>
      <c r="J146" s="285">
        <f ca="1">IF(J$122="","",INDEX('DEMAND BY DATE'!$B$4:$AA$203,MATCH(J$122,'DEMAND BY DATE'!$A$4:$A$203,0),MATCH($A146,'DEMAND BY DATE'!$B$3:$AA$3,0)))</f>
        <v>0</v>
      </c>
      <c r="K146" s="285">
        <f ca="1">IF(K$122="","",INDEX('DEMAND BY DATE'!$B$4:$AA$203,MATCH(K$122,'DEMAND BY DATE'!$A$4:$A$203,0),MATCH($A146,'DEMAND BY DATE'!$B$3:$AA$3,0)))</f>
        <v>0</v>
      </c>
      <c r="L146" s="285">
        <f ca="1">IF(L$122="","",INDEX('DEMAND BY DATE'!$B$4:$AA$203,MATCH(L$122,'DEMAND BY DATE'!$A$4:$A$203,0),MATCH($A146,'DEMAND BY DATE'!$B$3:$AA$3,0)))</f>
        <v>0</v>
      </c>
      <c r="M146" s="285">
        <f ca="1">IF(M$122="","",INDEX('DEMAND BY DATE'!$B$4:$AA$203,MATCH(M$122,'DEMAND BY DATE'!$A$4:$A$203,0),MATCH($A146,'DEMAND BY DATE'!$B$3:$AA$3,0)))</f>
        <v>0</v>
      </c>
      <c r="N146" s="285">
        <f ca="1">IF(N$122="","",INDEX('DEMAND BY DATE'!$B$4:$AA$203,MATCH(N$122,'DEMAND BY DATE'!$A$4:$A$203,0),MATCH($A146,'DEMAND BY DATE'!$B$3:$AA$3,0)))</f>
        <v>0</v>
      </c>
      <c r="O146" s="285">
        <f ca="1">IF(O$122="","",INDEX('DEMAND BY DATE'!$B$4:$AA$203,MATCH(O$122,'DEMAND BY DATE'!$A$4:$A$203,0),MATCH($A146,'DEMAND BY DATE'!$B$3:$AA$3,0)))</f>
        <v>0</v>
      </c>
      <c r="P146" s="285">
        <f ca="1">IF(P$122="","",INDEX('DEMAND BY DATE'!$B$4:$AA$203,MATCH(P$122,'DEMAND BY DATE'!$A$4:$A$203,0),MATCH($A146,'DEMAND BY DATE'!$B$3:$AA$3,0)))</f>
        <v>0</v>
      </c>
      <c r="Q146" s="285">
        <f ca="1">IF(Q$122="","",INDEX('DEMAND BY DATE'!$B$4:$AA$203,MATCH(Q$122,'DEMAND BY DATE'!$A$4:$A$203,0),MATCH($A146,'DEMAND BY DATE'!$B$3:$AA$3,0)))</f>
        <v>0</v>
      </c>
      <c r="R146" s="285">
        <f ca="1">IF(R$122="","",INDEX('DEMAND BY DATE'!$B$4:$AA$203,MATCH(R$122,'DEMAND BY DATE'!$A$4:$A$203,0),MATCH($A146,'DEMAND BY DATE'!$B$3:$AA$3,0)))</f>
        <v>0</v>
      </c>
      <c r="S146" s="285">
        <f ca="1">IF(S$122="","",INDEX('DEMAND BY DATE'!$B$4:$AA$203,MATCH(S$122,'DEMAND BY DATE'!$A$4:$A$203,0),MATCH($A146,'DEMAND BY DATE'!$B$3:$AA$3,0)))</f>
        <v>0</v>
      </c>
      <c r="T146" s="285">
        <f ca="1">IF(T$122="","",INDEX('DEMAND BY DATE'!$B$4:$AA$203,MATCH(T$122,'DEMAND BY DATE'!$A$4:$A$203,0),MATCH($A146,'DEMAND BY DATE'!$B$3:$AA$3,0)))</f>
        <v>0</v>
      </c>
      <c r="U146" s="285">
        <f ca="1">IF(U$122="","",INDEX('DEMAND BY DATE'!$B$4:$AA$203,MATCH(U$122,'DEMAND BY DATE'!$A$4:$A$203,0),MATCH($A146,'DEMAND BY DATE'!$B$3:$AA$3,0)))</f>
        <v>0</v>
      </c>
      <c r="V146" s="285">
        <f ca="1">IF(V$122="","",INDEX('DEMAND BY DATE'!$B$4:$AA$203,MATCH(V$122,'DEMAND BY DATE'!$A$4:$A$203,0),MATCH($A146,'DEMAND BY DATE'!$B$3:$AA$3,0)))</f>
        <v>0</v>
      </c>
      <c r="W146" s="285">
        <f ca="1">IF(W$122="","",INDEX('DEMAND BY DATE'!$B$4:$AA$203,MATCH(W$122,'DEMAND BY DATE'!$A$4:$A$203,0),MATCH($A146,'DEMAND BY DATE'!$B$3:$AA$3,0)))</f>
        <v>0</v>
      </c>
      <c r="X146" s="285">
        <f ca="1">IF(X$122="","",INDEX('DEMAND BY DATE'!$B$4:$AA$203,MATCH(X$122,'DEMAND BY DATE'!$A$4:$A$203,0),MATCH($A146,'DEMAND BY DATE'!$B$3:$AA$3,0)))</f>
        <v>0</v>
      </c>
      <c r="Y146" s="285">
        <f ca="1">IF(Y$122="","",INDEX('DEMAND BY DATE'!$B$4:$AA$203,MATCH(Y$122,'DEMAND BY DATE'!$A$4:$A$203,0),MATCH($A146,'DEMAND BY DATE'!$B$3:$AA$3,0)))</f>
        <v>0</v>
      </c>
      <c r="Z146" s="285">
        <f ca="1">IF(Z$122="","",INDEX('DEMAND BY DATE'!$B$4:$AA$203,MATCH(Z$122,'DEMAND BY DATE'!$A$4:$A$203,0),MATCH($A146,'DEMAND BY DATE'!$B$3:$AA$3,0)))</f>
        <v>0</v>
      </c>
      <c r="AA146" s="285">
        <f ca="1">IF(AA$122="","",INDEX('DEMAND BY DATE'!$B$4:$AA$203,MATCH(AA$122,'DEMAND BY DATE'!$A$4:$A$203,0),MATCH($A146,'DEMAND BY DATE'!$B$3:$AA$3,0)))</f>
        <v>0</v>
      </c>
      <c r="AB146" s="285">
        <f ca="1">IF(AB$122="","",INDEX('DEMAND BY DATE'!$B$4:$AA$203,MATCH(AB$122,'DEMAND BY DATE'!$A$4:$A$203,0),MATCH($A146,'DEMAND BY DATE'!$B$3:$AA$3,0)))</f>
        <v>0</v>
      </c>
      <c r="AC146" s="285">
        <f ca="1">IF(AC$122="","",INDEX('DEMAND BY DATE'!$B$4:$AA$203,MATCH(AC$122,'DEMAND BY DATE'!$A$4:$A$203,0),MATCH($A146,'DEMAND BY DATE'!$B$3:$AA$3,0)))</f>
        <v>0</v>
      </c>
      <c r="AD146" s="285">
        <f ca="1">IF(AD$122="","",INDEX('DEMAND BY DATE'!$B$4:$AA$203,MATCH(AD$122,'DEMAND BY DATE'!$A$4:$A$203,0),MATCH($A146,'DEMAND BY DATE'!$B$3:$AA$3,0)))</f>
        <v>0</v>
      </c>
      <c r="AE146" s="285">
        <f ca="1">IF(AE$122="","",INDEX('DEMAND BY DATE'!$B$4:$AA$203,MATCH(AE$122,'DEMAND BY DATE'!$A$4:$A$203,0),MATCH($A146,'DEMAND BY DATE'!$B$3:$AA$3,0)))</f>
        <v>0</v>
      </c>
      <c r="AF146" s="285">
        <f ca="1">IF(AF$122="","",INDEX('DEMAND BY DATE'!$B$4:$AA$203,MATCH(AF$122,'DEMAND BY DATE'!$A$4:$A$203,0),MATCH($A146,'DEMAND BY DATE'!$B$3:$AA$3,0)))</f>
        <v>0</v>
      </c>
      <c r="AG146" s="285">
        <f ca="1">IF(AG$122="","",INDEX('DEMAND BY DATE'!$B$4:$AA$203,MATCH(AG$122,'DEMAND BY DATE'!$A$4:$A$203,0),MATCH($A146,'DEMAND BY DATE'!$B$3:$AA$3,0)))</f>
        <v>0</v>
      </c>
      <c r="AH146" s="285">
        <f ca="1">IF(AH$122="","",INDEX('DEMAND BY DATE'!$B$4:$AA$203,MATCH(AH$122,'DEMAND BY DATE'!$A$4:$A$203,0),MATCH($A146,'DEMAND BY DATE'!$B$3:$AA$3,0)))</f>
        <v>0</v>
      </c>
      <c r="AI146" s="285">
        <f ca="1">IF(AI$122="","",INDEX('DEMAND BY DATE'!$B$4:$AA$203,MATCH(AI$122,'DEMAND BY DATE'!$A$4:$A$203,0),MATCH($A146,'DEMAND BY DATE'!$B$3:$AA$3,0)))</f>
        <v>0</v>
      </c>
      <c r="AJ146" s="285">
        <f ca="1">IF(AJ$122="","",INDEX('DEMAND BY DATE'!$B$4:$AA$203,MATCH(AJ$122,'DEMAND BY DATE'!$A$4:$A$203,0),MATCH($A146,'DEMAND BY DATE'!$B$3:$AA$3,0)))</f>
        <v>0</v>
      </c>
      <c r="AK146" s="285">
        <f ca="1">IF(AK$122="","",INDEX('DEMAND BY DATE'!$B$4:$AA$203,MATCH(AK$122,'DEMAND BY DATE'!$A$4:$A$203,0),MATCH($A146,'DEMAND BY DATE'!$B$3:$AA$3,0)))</f>
        <v>0</v>
      </c>
    </row>
    <row r="147" spans="1:37">
      <c r="A147" s="2" t="str">
        <f ca="1">INDEX(WORKINGS!$A$85:$A$110,MATCH(SMALL(WORKINGS!$E$85:$E$110,25),WORKINGS!$E$85:$E$110,0))</f>
        <v>3N5T-F/L -BINDING</v>
      </c>
      <c r="B147" s="2" t="str">
        <f ca="1">IF($D147=0,"IDLE — no style uses it",IF($E147&lt;0,"BUY "&amp;TEXT(-$E147,"#,##0.0")&amp;" — short on "&amp;$F147&amp;" of "&amp;$AY$122&amp;" days",IF($E147/$C147&lt;=0.1,"TIGHT — under 10% spare","OK")))</f>
        <v>OK</v>
      </c>
      <c r="C147" s="2">
        <f ca="1">IFERROR(INDEX('MC MASTER'!$C$3:$C$28,MATCH($A147,'MC MASTER'!$B$3:$B$28,0)),0)</f>
        <v>58</v>
      </c>
      <c r="D147" s="2">
        <f ca="1">MAX($G147:$AK147)</f>
        <v>42</v>
      </c>
      <c r="E147" s="2">
        <f ca="1">$C147-$D147</f>
        <v>16</v>
      </c>
      <c r="F147" s="2" cm="1">
        <f t="array" aca="1" ref="F147" ca="1">SUMPRODUCT((ISNUMBER($G147:$AK147))*($G147:$AK147&gt;$C147)*($G$151:$AK$151="Y"))</f>
        <v>0</v>
      </c>
      <c r="G147" s="285">
        <f ca="1">IF(G$122="","",INDEX('DEMAND BY DATE'!$B$4:$AA$203,MATCH(G$122,'DEMAND BY DATE'!$A$4:$A$203,0),MATCH($A147,'DEMAND BY DATE'!$B$3:$AA$3,0)))</f>
        <v>40</v>
      </c>
      <c r="H147" s="285">
        <f ca="1">IF(H$122="","",INDEX('DEMAND BY DATE'!$B$4:$AA$203,MATCH(H$122,'DEMAND BY DATE'!$A$4:$A$203,0),MATCH($A147,'DEMAND BY DATE'!$B$3:$AA$3,0)))</f>
        <v>40</v>
      </c>
      <c r="I147" s="285">
        <f ca="1">IF(I$122="","",INDEX('DEMAND BY DATE'!$B$4:$AA$203,MATCH(I$122,'DEMAND BY DATE'!$A$4:$A$203,0),MATCH($A147,'DEMAND BY DATE'!$B$3:$AA$3,0)))</f>
        <v>40</v>
      </c>
      <c r="J147" s="285">
        <f ca="1">IF(J$122="","",INDEX('DEMAND BY DATE'!$B$4:$AA$203,MATCH(J$122,'DEMAND BY DATE'!$A$4:$A$203,0),MATCH($A147,'DEMAND BY DATE'!$B$3:$AA$3,0)))</f>
        <v>40</v>
      </c>
      <c r="K147" s="285">
        <f ca="1">IF(K$122="","",INDEX('DEMAND BY DATE'!$B$4:$AA$203,MATCH(K$122,'DEMAND BY DATE'!$A$4:$A$203,0),MATCH($A147,'DEMAND BY DATE'!$B$3:$AA$3,0)))</f>
        <v>40</v>
      </c>
      <c r="L147" s="285">
        <f ca="1">IF(L$122="","",INDEX('DEMAND BY DATE'!$B$4:$AA$203,MATCH(L$122,'DEMAND BY DATE'!$A$4:$A$203,0),MATCH($A147,'DEMAND BY DATE'!$B$3:$AA$3,0)))</f>
        <v>40</v>
      </c>
      <c r="M147" s="285">
        <f ca="1">IF(M$122="","",INDEX('DEMAND BY DATE'!$B$4:$AA$203,MATCH(M$122,'DEMAND BY DATE'!$A$4:$A$203,0),MATCH($A147,'DEMAND BY DATE'!$B$3:$AA$3,0)))</f>
        <v>40</v>
      </c>
      <c r="N147" s="285">
        <f ca="1">IF(N$122="","",INDEX('DEMAND BY DATE'!$B$4:$AA$203,MATCH(N$122,'DEMAND BY DATE'!$A$4:$A$203,0),MATCH($A147,'DEMAND BY DATE'!$B$3:$AA$3,0)))</f>
        <v>40</v>
      </c>
      <c r="O147" s="285">
        <f ca="1">IF(O$122="","",INDEX('DEMAND BY DATE'!$B$4:$AA$203,MATCH(O$122,'DEMAND BY DATE'!$A$4:$A$203,0),MATCH($A147,'DEMAND BY DATE'!$B$3:$AA$3,0)))</f>
        <v>40</v>
      </c>
      <c r="P147" s="285">
        <f ca="1">IF(P$122="","",INDEX('DEMAND BY DATE'!$B$4:$AA$203,MATCH(P$122,'DEMAND BY DATE'!$A$4:$A$203,0),MATCH($A147,'DEMAND BY DATE'!$B$3:$AA$3,0)))</f>
        <v>40</v>
      </c>
      <c r="Q147" s="285">
        <f ca="1">IF(Q$122="","",INDEX('DEMAND BY DATE'!$B$4:$AA$203,MATCH(Q$122,'DEMAND BY DATE'!$A$4:$A$203,0),MATCH($A147,'DEMAND BY DATE'!$B$3:$AA$3,0)))</f>
        <v>40</v>
      </c>
      <c r="R147" s="285">
        <f ca="1">IF(R$122="","",INDEX('DEMAND BY DATE'!$B$4:$AA$203,MATCH(R$122,'DEMAND BY DATE'!$A$4:$A$203,0),MATCH($A147,'DEMAND BY DATE'!$B$3:$AA$3,0)))</f>
        <v>39</v>
      </c>
      <c r="S147" s="285">
        <f ca="1">IF(S$122="","",INDEX('DEMAND BY DATE'!$B$4:$AA$203,MATCH(S$122,'DEMAND BY DATE'!$A$4:$A$203,0),MATCH($A147,'DEMAND BY DATE'!$B$3:$AA$3,0)))</f>
        <v>39</v>
      </c>
      <c r="T147" s="285">
        <f ca="1">IF(T$122="","",INDEX('DEMAND BY DATE'!$B$4:$AA$203,MATCH(T$122,'DEMAND BY DATE'!$A$4:$A$203,0),MATCH($A147,'DEMAND BY DATE'!$B$3:$AA$3,0)))</f>
        <v>42</v>
      </c>
      <c r="U147" s="285">
        <f ca="1">IF(U$122="","",INDEX('DEMAND BY DATE'!$B$4:$AA$203,MATCH(U$122,'DEMAND BY DATE'!$A$4:$A$203,0),MATCH($A147,'DEMAND BY DATE'!$B$3:$AA$3,0)))</f>
        <v>42</v>
      </c>
      <c r="V147" s="285">
        <f ca="1">IF(V$122="","",INDEX('DEMAND BY DATE'!$B$4:$AA$203,MATCH(V$122,'DEMAND BY DATE'!$A$4:$A$203,0),MATCH($A147,'DEMAND BY DATE'!$B$3:$AA$3,0)))</f>
        <v>42</v>
      </c>
      <c r="W147" s="285">
        <f ca="1">IF(W$122="","",INDEX('DEMAND BY DATE'!$B$4:$AA$203,MATCH(W$122,'DEMAND BY DATE'!$A$4:$A$203,0),MATCH($A147,'DEMAND BY DATE'!$B$3:$AA$3,0)))</f>
        <v>42</v>
      </c>
      <c r="X147" s="285">
        <f ca="1">IF(X$122="","",INDEX('DEMAND BY DATE'!$B$4:$AA$203,MATCH(X$122,'DEMAND BY DATE'!$A$4:$A$203,0),MATCH($A147,'DEMAND BY DATE'!$B$3:$AA$3,0)))</f>
        <v>42</v>
      </c>
      <c r="Y147" s="285">
        <f ca="1">IF(Y$122="","",INDEX('DEMAND BY DATE'!$B$4:$AA$203,MATCH(Y$122,'DEMAND BY DATE'!$A$4:$A$203,0),MATCH($A147,'DEMAND BY DATE'!$B$3:$AA$3,0)))</f>
        <v>42</v>
      </c>
      <c r="Z147" s="285">
        <f ca="1">IF(Z$122="","",INDEX('DEMAND BY DATE'!$B$4:$AA$203,MATCH(Z$122,'DEMAND BY DATE'!$A$4:$A$203,0),MATCH($A147,'DEMAND BY DATE'!$B$3:$AA$3,0)))</f>
        <v>42</v>
      </c>
      <c r="AA147" s="285">
        <f ca="1">IF(AA$122="","",INDEX('DEMAND BY DATE'!$B$4:$AA$203,MATCH(AA$122,'DEMAND BY DATE'!$A$4:$A$203,0),MATCH($A147,'DEMAND BY DATE'!$B$3:$AA$3,0)))</f>
        <v>42</v>
      </c>
      <c r="AB147" s="285">
        <f ca="1">IF(AB$122="","",INDEX('DEMAND BY DATE'!$B$4:$AA$203,MATCH(AB$122,'DEMAND BY DATE'!$A$4:$A$203,0),MATCH($A147,'DEMAND BY DATE'!$B$3:$AA$3,0)))</f>
        <v>42</v>
      </c>
      <c r="AC147" s="285">
        <f ca="1">IF(AC$122="","",INDEX('DEMAND BY DATE'!$B$4:$AA$203,MATCH(AC$122,'DEMAND BY DATE'!$A$4:$A$203,0),MATCH($A147,'DEMAND BY DATE'!$B$3:$AA$3,0)))</f>
        <v>42</v>
      </c>
      <c r="AD147" s="285">
        <f ca="1">IF(AD$122="","",INDEX('DEMAND BY DATE'!$B$4:$AA$203,MATCH(AD$122,'DEMAND BY DATE'!$A$4:$A$203,0),MATCH($A147,'DEMAND BY DATE'!$B$3:$AA$3,0)))</f>
        <v>42</v>
      </c>
      <c r="AE147" s="285">
        <f ca="1">IF(AE$122="","",INDEX('DEMAND BY DATE'!$B$4:$AA$203,MATCH(AE$122,'DEMAND BY DATE'!$A$4:$A$203,0),MATCH($A147,'DEMAND BY DATE'!$B$3:$AA$3,0)))</f>
        <v>42</v>
      </c>
      <c r="AF147" s="285">
        <f ca="1">IF(AF$122="","",INDEX('DEMAND BY DATE'!$B$4:$AA$203,MATCH(AF$122,'DEMAND BY DATE'!$A$4:$A$203,0),MATCH($A147,'DEMAND BY DATE'!$B$3:$AA$3,0)))</f>
        <v>42</v>
      </c>
      <c r="AG147" s="285">
        <f ca="1">IF(AG$122="","",INDEX('DEMAND BY DATE'!$B$4:$AA$203,MATCH(AG$122,'DEMAND BY DATE'!$A$4:$A$203,0),MATCH($A147,'DEMAND BY DATE'!$B$3:$AA$3,0)))</f>
        <v>42</v>
      </c>
      <c r="AH147" s="285">
        <f ca="1">IF(AH$122="","",INDEX('DEMAND BY DATE'!$B$4:$AA$203,MATCH(AH$122,'DEMAND BY DATE'!$A$4:$A$203,0),MATCH($A147,'DEMAND BY DATE'!$B$3:$AA$3,0)))</f>
        <v>42</v>
      </c>
      <c r="AI147" s="285">
        <f ca="1">IF(AI$122="","",INDEX('DEMAND BY DATE'!$B$4:$AA$203,MATCH(AI$122,'DEMAND BY DATE'!$A$4:$A$203,0),MATCH($A147,'DEMAND BY DATE'!$B$3:$AA$3,0)))</f>
        <v>42</v>
      </c>
      <c r="AJ147" s="285">
        <f ca="1">IF(AJ$122="","",INDEX('DEMAND BY DATE'!$B$4:$AA$203,MATCH(AJ$122,'DEMAND BY DATE'!$A$4:$A$203,0),MATCH($A147,'DEMAND BY DATE'!$B$3:$AA$3,0)))</f>
        <v>42</v>
      </c>
      <c r="AK147" s="285">
        <f ca="1">IF(AK$122="","",INDEX('DEMAND BY DATE'!$B$4:$AA$203,MATCH(AK$122,'DEMAND BY DATE'!$A$4:$A$203,0),MATCH($A147,'DEMAND BY DATE'!$B$3:$AA$3,0)))</f>
        <v>42</v>
      </c>
    </row>
    <row r="148" spans="1:37">
      <c r="A148" s="2" t="str">
        <f ca="1">INDEX(WORKINGS!$A$85:$A$110,MATCH(SMALL(WORKINGS!$E$85:$E$110,26),WORKINGS!$E$85:$E$110,0))</f>
        <v>SNLS</v>
      </c>
      <c r="B148" s="2" t="str">
        <f ca="1">IF($D148=0,"IDLE — no style uses it",IF($E148&lt;0,"BUY "&amp;TEXT(-$E148,"#,##0.0")&amp;" — short on "&amp;$F148&amp;" of "&amp;$AY$122&amp;" days",IF($E148/$C148&lt;=0.1,"TIGHT — under 10% spare","OK")))</f>
        <v>OK</v>
      </c>
      <c r="C148" s="2">
        <f ca="1">IFERROR(INDEX('MC MASTER'!$C$3:$C$28,MATCH($A148,'MC MASTER'!$B$3:$B$28,0)),0)</f>
        <v>185</v>
      </c>
      <c r="D148" s="2">
        <f ca="1">MAX($G148:$AK148)</f>
        <v>152</v>
      </c>
      <c r="E148" s="2">
        <f ca="1">$C148-$D148</f>
        <v>33</v>
      </c>
      <c r="F148" s="2" cm="1">
        <f t="array" aca="1" ref="F148" ca="1">SUMPRODUCT((ISNUMBER($G148:$AK148))*($G148:$AK148&gt;$C148)*($G$151:$AK$151="Y"))</f>
        <v>0</v>
      </c>
      <c r="G148" s="285">
        <f ca="1">IF(G$122="","",INDEX('DEMAND BY DATE'!$B$4:$AA$203,MATCH(G$122,'DEMAND BY DATE'!$A$4:$A$203,0),MATCH($A148,'DEMAND BY DATE'!$B$3:$AA$3,0)))</f>
        <v>152</v>
      </c>
      <c r="H148" s="285">
        <f ca="1">IF(H$122="","",INDEX('DEMAND BY DATE'!$B$4:$AA$203,MATCH(H$122,'DEMAND BY DATE'!$A$4:$A$203,0),MATCH($A148,'DEMAND BY DATE'!$B$3:$AA$3,0)))</f>
        <v>152</v>
      </c>
      <c r="I148" s="285">
        <f ca="1">IF(I$122="","",INDEX('DEMAND BY DATE'!$B$4:$AA$203,MATCH(I$122,'DEMAND BY DATE'!$A$4:$A$203,0),MATCH($A148,'DEMAND BY DATE'!$B$3:$AA$3,0)))</f>
        <v>152</v>
      </c>
      <c r="J148" s="285">
        <f ca="1">IF(J$122="","",INDEX('DEMAND BY DATE'!$B$4:$AA$203,MATCH(J$122,'DEMAND BY DATE'!$A$4:$A$203,0),MATCH($A148,'DEMAND BY DATE'!$B$3:$AA$3,0)))</f>
        <v>152</v>
      </c>
      <c r="K148" s="285">
        <f ca="1">IF(K$122="","",INDEX('DEMAND BY DATE'!$B$4:$AA$203,MATCH(K$122,'DEMAND BY DATE'!$A$4:$A$203,0),MATCH($A148,'DEMAND BY DATE'!$B$3:$AA$3,0)))</f>
        <v>152</v>
      </c>
      <c r="L148" s="285">
        <f ca="1">IF(L$122="","",INDEX('DEMAND BY DATE'!$B$4:$AA$203,MATCH(L$122,'DEMAND BY DATE'!$A$4:$A$203,0),MATCH($A148,'DEMAND BY DATE'!$B$3:$AA$3,0)))</f>
        <v>152</v>
      </c>
      <c r="M148" s="285">
        <f ca="1">IF(M$122="","",INDEX('DEMAND BY DATE'!$B$4:$AA$203,MATCH(M$122,'DEMAND BY DATE'!$A$4:$A$203,0),MATCH($A148,'DEMAND BY DATE'!$B$3:$AA$3,0)))</f>
        <v>152</v>
      </c>
      <c r="N148" s="285">
        <f ca="1">IF(N$122="","",INDEX('DEMAND BY DATE'!$B$4:$AA$203,MATCH(N$122,'DEMAND BY DATE'!$A$4:$A$203,0),MATCH($A148,'DEMAND BY DATE'!$B$3:$AA$3,0)))</f>
        <v>152</v>
      </c>
      <c r="O148" s="285">
        <f ca="1">IF(O$122="","",INDEX('DEMAND BY DATE'!$B$4:$AA$203,MATCH(O$122,'DEMAND BY DATE'!$A$4:$A$203,0),MATCH($A148,'DEMAND BY DATE'!$B$3:$AA$3,0)))</f>
        <v>152</v>
      </c>
      <c r="P148" s="285">
        <f ca="1">IF(P$122="","",INDEX('DEMAND BY DATE'!$B$4:$AA$203,MATCH(P$122,'DEMAND BY DATE'!$A$4:$A$203,0),MATCH($A148,'DEMAND BY DATE'!$B$3:$AA$3,0)))</f>
        <v>152</v>
      </c>
      <c r="Q148" s="285">
        <f ca="1">IF(Q$122="","",INDEX('DEMAND BY DATE'!$B$4:$AA$203,MATCH(Q$122,'DEMAND BY DATE'!$A$4:$A$203,0),MATCH($A148,'DEMAND BY DATE'!$B$3:$AA$3,0)))</f>
        <v>152</v>
      </c>
      <c r="R148" s="285">
        <f ca="1">IF(R$122="","",INDEX('DEMAND BY DATE'!$B$4:$AA$203,MATCH(R$122,'DEMAND BY DATE'!$A$4:$A$203,0),MATCH($A148,'DEMAND BY DATE'!$B$3:$AA$3,0)))</f>
        <v>150.5</v>
      </c>
      <c r="S148" s="285">
        <f ca="1">IF(S$122="","",INDEX('DEMAND BY DATE'!$B$4:$AA$203,MATCH(S$122,'DEMAND BY DATE'!$A$4:$A$203,0),MATCH($A148,'DEMAND BY DATE'!$B$3:$AA$3,0)))</f>
        <v>150.5</v>
      </c>
      <c r="T148" s="285">
        <f ca="1">IF(T$122="","",INDEX('DEMAND BY DATE'!$B$4:$AA$203,MATCH(T$122,'DEMAND BY DATE'!$A$4:$A$203,0),MATCH($A148,'DEMAND BY DATE'!$B$3:$AA$3,0)))</f>
        <v>130.5</v>
      </c>
      <c r="U148" s="285">
        <f ca="1">IF(U$122="","",INDEX('DEMAND BY DATE'!$B$4:$AA$203,MATCH(U$122,'DEMAND BY DATE'!$A$4:$A$203,0),MATCH($A148,'DEMAND BY DATE'!$B$3:$AA$3,0)))</f>
        <v>144.5</v>
      </c>
      <c r="V148" s="285">
        <f ca="1">IF(V$122="","",INDEX('DEMAND BY DATE'!$B$4:$AA$203,MATCH(V$122,'DEMAND BY DATE'!$A$4:$A$203,0),MATCH($A148,'DEMAND BY DATE'!$B$3:$AA$3,0)))</f>
        <v>144.5</v>
      </c>
      <c r="W148" s="285">
        <f ca="1">IF(W$122="","",INDEX('DEMAND BY DATE'!$B$4:$AA$203,MATCH(W$122,'DEMAND BY DATE'!$A$4:$A$203,0),MATCH($A148,'DEMAND BY DATE'!$B$3:$AA$3,0)))</f>
        <v>144.5</v>
      </c>
      <c r="X148" s="285">
        <f ca="1">IF(X$122="","",INDEX('DEMAND BY DATE'!$B$4:$AA$203,MATCH(X$122,'DEMAND BY DATE'!$A$4:$A$203,0),MATCH($A148,'DEMAND BY DATE'!$B$3:$AA$3,0)))</f>
        <v>144.5</v>
      </c>
      <c r="Y148" s="285">
        <f ca="1">IF(Y$122="","",INDEX('DEMAND BY DATE'!$B$4:$AA$203,MATCH(Y$122,'DEMAND BY DATE'!$A$4:$A$203,0),MATCH($A148,'DEMAND BY DATE'!$B$3:$AA$3,0)))</f>
        <v>144.5</v>
      </c>
      <c r="Z148" s="285">
        <f ca="1">IF(Z$122="","",INDEX('DEMAND BY DATE'!$B$4:$AA$203,MATCH(Z$122,'DEMAND BY DATE'!$A$4:$A$203,0),MATCH($A148,'DEMAND BY DATE'!$B$3:$AA$3,0)))</f>
        <v>144.5</v>
      </c>
      <c r="AA148" s="285">
        <f ca="1">IF(AA$122="","",INDEX('DEMAND BY DATE'!$B$4:$AA$203,MATCH(AA$122,'DEMAND BY DATE'!$A$4:$A$203,0),MATCH($A148,'DEMAND BY DATE'!$B$3:$AA$3,0)))</f>
        <v>144.5</v>
      </c>
      <c r="AB148" s="285">
        <f ca="1">IF(AB$122="","",INDEX('DEMAND BY DATE'!$B$4:$AA$203,MATCH(AB$122,'DEMAND BY DATE'!$A$4:$A$203,0),MATCH($A148,'DEMAND BY DATE'!$B$3:$AA$3,0)))</f>
        <v>144.5</v>
      </c>
      <c r="AC148" s="285">
        <f ca="1">IF(AC$122="","",INDEX('DEMAND BY DATE'!$B$4:$AA$203,MATCH(AC$122,'DEMAND BY DATE'!$A$4:$A$203,0),MATCH($A148,'DEMAND BY DATE'!$B$3:$AA$3,0)))</f>
        <v>144.5</v>
      </c>
      <c r="AD148" s="285">
        <f ca="1">IF(AD$122="","",INDEX('DEMAND BY DATE'!$B$4:$AA$203,MATCH(AD$122,'DEMAND BY DATE'!$A$4:$A$203,0),MATCH($A148,'DEMAND BY DATE'!$B$3:$AA$3,0)))</f>
        <v>144.5</v>
      </c>
      <c r="AE148" s="285">
        <f ca="1">IF(AE$122="","",INDEX('DEMAND BY DATE'!$B$4:$AA$203,MATCH(AE$122,'DEMAND BY DATE'!$A$4:$A$203,0),MATCH($A148,'DEMAND BY DATE'!$B$3:$AA$3,0)))</f>
        <v>144.5</v>
      </c>
      <c r="AF148" s="285">
        <f ca="1">IF(AF$122="","",INDEX('DEMAND BY DATE'!$B$4:$AA$203,MATCH(AF$122,'DEMAND BY DATE'!$A$4:$A$203,0),MATCH($A148,'DEMAND BY DATE'!$B$3:$AA$3,0)))</f>
        <v>144.5</v>
      </c>
      <c r="AG148" s="285">
        <f ca="1">IF(AG$122="","",INDEX('DEMAND BY DATE'!$B$4:$AA$203,MATCH(AG$122,'DEMAND BY DATE'!$A$4:$A$203,0),MATCH($A148,'DEMAND BY DATE'!$B$3:$AA$3,0)))</f>
        <v>144.5</v>
      </c>
      <c r="AH148" s="285">
        <f ca="1">IF(AH$122="","",INDEX('DEMAND BY DATE'!$B$4:$AA$203,MATCH(AH$122,'DEMAND BY DATE'!$A$4:$A$203,0),MATCH($A148,'DEMAND BY DATE'!$B$3:$AA$3,0)))</f>
        <v>144.5</v>
      </c>
      <c r="AI148" s="285">
        <f ca="1">IF(AI$122="","",INDEX('DEMAND BY DATE'!$B$4:$AA$203,MATCH(AI$122,'DEMAND BY DATE'!$A$4:$A$203,0),MATCH($A148,'DEMAND BY DATE'!$B$3:$AA$3,0)))</f>
        <v>144.5</v>
      </c>
      <c r="AJ148" s="285">
        <f ca="1">IF(AJ$122="","",INDEX('DEMAND BY DATE'!$B$4:$AA$203,MATCH(AJ$122,'DEMAND BY DATE'!$A$4:$A$203,0),MATCH($A148,'DEMAND BY DATE'!$B$3:$AA$3,0)))</f>
        <v>144.5</v>
      </c>
      <c r="AK148" s="285">
        <f ca="1">IF(AK$122="","",INDEX('DEMAND BY DATE'!$B$4:$AA$203,MATCH(AK$122,'DEMAND BY DATE'!$A$4:$A$203,0),MATCH($A148,'DEMAND BY DATE'!$B$3:$AA$3,0)))</f>
        <v>144.5</v>
      </c>
    </row>
    <row r="149" spans="1:37">
      <c r="A149" s="281" t="s">
        <v>414</v>
      </c>
      <c r="B149" s="281"/>
      <c r="C149" s="281">
        <f>'MC MASTER'!$C$29</f>
        <v>920</v>
      </c>
      <c r="D149" s="281"/>
      <c r="E149" s="281"/>
      <c r="F149" s="281"/>
      <c r="G149" s="281">
        <f ca="1">IF(G$122="","",SUM(G$123:G$148))</f>
        <v>808</v>
      </c>
      <c r="H149" s="281">
        <f ca="1">IF(H$122="","",SUM(H$123:H$148))</f>
        <v>808</v>
      </c>
      <c r="I149" s="281">
        <f ca="1">IF(I$122="","",SUM(I$123:I$148))</f>
        <v>808</v>
      </c>
      <c r="J149" s="281">
        <f ca="1">IF(J$122="","",SUM(J$123:J$148))</f>
        <v>808</v>
      </c>
      <c r="K149" s="281">
        <f ca="1">IF(K$122="","",SUM(K$123:K$148))</f>
        <v>808</v>
      </c>
      <c r="L149" s="281">
        <f ca="1">IF(L$122="","",SUM(L$123:L$148))</f>
        <v>808</v>
      </c>
      <c r="M149" s="281">
        <f ca="1">IF(M$122="","",SUM(M$123:M$148))</f>
        <v>808</v>
      </c>
      <c r="N149" s="281">
        <f ca="1">IF(N$122="","",SUM(N$123:N$148))</f>
        <v>808</v>
      </c>
      <c r="O149" s="281">
        <f ca="1">IF(O$122="","",SUM(O$123:O$148))</f>
        <v>808</v>
      </c>
      <c r="P149" s="281">
        <f ca="1">IF(P$122="","",SUM(P$123:P$148))</f>
        <v>808</v>
      </c>
      <c r="Q149" s="281">
        <f ca="1">IF(Q$122="","",SUM(Q$123:Q$148))</f>
        <v>808</v>
      </c>
      <c r="R149" s="281">
        <f ca="1">IF(R$122="","",SUM(R$123:R$148))</f>
        <v>801</v>
      </c>
      <c r="S149" s="281">
        <f ca="1">IF(S$122="","",SUM(S$123:S$148))</f>
        <v>801</v>
      </c>
      <c r="T149" s="281">
        <f ca="1">IF(T$122="","",SUM(T$123:T$148))</f>
        <v>654</v>
      </c>
      <c r="U149" s="281">
        <f ca="1">IF(U$122="","",SUM(U$123:U$148))</f>
        <v>801</v>
      </c>
      <c r="V149" s="281">
        <f ca="1">IF(V$122="","",SUM(V$123:V$148))</f>
        <v>801</v>
      </c>
      <c r="W149" s="281">
        <f ca="1">IF(W$122="","",SUM(W$123:W$148))</f>
        <v>801</v>
      </c>
      <c r="X149" s="281">
        <f ca="1">IF(X$122="","",SUM(X$123:X$148))</f>
        <v>801</v>
      </c>
      <c r="Y149" s="281">
        <f ca="1">IF(Y$122="","",SUM(Y$123:Y$148))</f>
        <v>801</v>
      </c>
      <c r="Z149" s="281">
        <f ca="1">IF(Z$122="","",SUM(Z$123:Z$148))</f>
        <v>801</v>
      </c>
      <c r="AA149" s="281">
        <f ca="1">IF(AA$122="","",SUM(AA$123:AA$148))</f>
        <v>801</v>
      </c>
      <c r="AB149" s="281">
        <f ca="1">IF(AB$122="","",SUM(AB$123:AB$148))</f>
        <v>801</v>
      </c>
      <c r="AC149" s="281">
        <f ca="1">IF(AC$122="","",SUM(AC$123:AC$148))</f>
        <v>801</v>
      </c>
      <c r="AD149" s="281">
        <f ca="1">IF(AD$122="","",SUM(AD$123:AD$148))</f>
        <v>801</v>
      </c>
      <c r="AE149" s="281">
        <f ca="1">IF(AE$122="","",SUM(AE$123:AE$148))</f>
        <v>801</v>
      </c>
      <c r="AF149" s="281">
        <f ca="1">IF(AF$122="","",SUM(AF$123:AF$148))</f>
        <v>801</v>
      </c>
      <c r="AG149" s="281">
        <f ca="1">IF(AG$122="","",SUM(AG$123:AG$148))</f>
        <v>801</v>
      </c>
      <c r="AH149" s="281">
        <f ca="1">IF(AH$122="","",SUM(AH$123:AH$148))</f>
        <v>801</v>
      </c>
      <c r="AI149" s="281">
        <f ca="1">IF(AI$122="","",SUM(AI$123:AI$148))</f>
        <v>801</v>
      </c>
      <c r="AJ149" s="281">
        <f ca="1">IF(AJ$122="","",SUM(AJ$123:AJ$148))</f>
        <v>801</v>
      </c>
      <c r="AK149" s="281">
        <f ca="1">IF(AK$122="","",SUM(AK$123:AK$148))</f>
        <v>801</v>
      </c>
    </row>
    <row r="150" spans="1:37">
      <c r="A150" s="281" t="s">
        <v>415</v>
      </c>
      <c r="B150" s="281"/>
      <c r="C150" s="281"/>
      <c r="D150" s="281"/>
      <c r="E150" s="281"/>
      <c r="F150" s="281"/>
      <c r="G150" s="281">
        <f>IF(G$122="","",IFERROR(INDEX('DEMAND BY DATE'!$AX$4:$AX$203,MATCH(G$122,'DEMAND BY DATE'!$A$4:$A$203,0)),""))</f>
        <v>5</v>
      </c>
      <c r="H150" s="281">
        <f>IF(H$122="","",IFERROR(INDEX('DEMAND BY DATE'!$AX$4:$AX$203,MATCH(H$122,'DEMAND BY DATE'!$A$4:$A$203,0)),""))</f>
        <v>0</v>
      </c>
      <c r="I150" s="281">
        <f>IF(I$122="","",IFERROR(INDEX('DEMAND BY DATE'!$AX$4:$AX$203,MATCH(I$122,'DEMAND BY DATE'!$A$4:$A$203,0)),""))</f>
        <v>5</v>
      </c>
      <c r="J150" s="281">
        <f>IF(J$122="","",IFERROR(INDEX('DEMAND BY DATE'!$AX$4:$AX$203,MATCH(J$122,'DEMAND BY DATE'!$A$4:$A$203,0)),""))</f>
        <v>5</v>
      </c>
      <c r="K150" s="281">
        <f>IF(K$122="","",IFERROR(INDEX('DEMAND BY DATE'!$AX$4:$AX$203,MATCH(K$122,'DEMAND BY DATE'!$A$4:$A$203,0)),""))</f>
        <v>5</v>
      </c>
      <c r="L150" s="281">
        <f>IF(L$122="","",IFERROR(INDEX('DEMAND BY DATE'!$AX$4:$AX$203,MATCH(L$122,'DEMAND BY DATE'!$A$4:$A$203,0)),""))</f>
        <v>5</v>
      </c>
      <c r="M150" s="281">
        <f>IF(M$122="","",IFERROR(INDEX('DEMAND BY DATE'!$AX$4:$AX$203,MATCH(M$122,'DEMAND BY DATE'!$A$4:$A$203,0)),""))</f>
        <v>5</v>
      </c>
      <c r="N150" s="281">
        <f>IF(N$122="","",IFERROR(INDEX('DEMAND BY DATE'!$AX$4:$AX$203,MATCH(N$122,'DEMAND BY DATE'!$A$4:$A$203,0)),""))</f>
        <v>5</v>
      </c>
      <c r="O150" s="281">
        <f>IF(O$122="","",IFERROR(INDEX('DEMAND BY DATE'!$AX$4:$AX$203,MATCH(O$122,'DEMAND BY DATE'!$A$4:$A$203,0)),""))</f>
        <v>0</v>
      </c>
      <c r="P150" s="281">
        <f>IF(P$122="","",IFERROR(INDEX('DEMAND BY DATE'!$AX$4:$AX$203,MATCH(P$122,'DEMAND BY DATE'!$A$4:$A$203,0)),""))</f>
        <v>5</v>
      </c>
      <c r="Q150" s="281">
        <f>IF(Q$122="","",IFERROR(INDEX('DEMAND BY DATE'!$AX$4:$AX$203,MATCH(Q$122,'DEMAND BY DATE'!$A$4:$A$203,0)),""))</f>
        <v>5</v>
      </c>
      <c r="R150" s="281">
        <f>IF(R$122="","",IFERROR(INDEX('DEMAND BY DATE'!$AX$4:$AX$203,MATCH(R$122,'DEMAND BY DATE'!$A$4:$A$203,0)),""))</f>
        <v>5</v>
      </c>
      <c r="S150" s="281">
        <f>IF(S$122="","",IFERROR(INDEX('DEMAND BY DATE'!$AX$4:$AX$203,MATCH(S$122,'DEMAND BY DATE'!$A$4:$A$203,0)),""))</f>
        <v>5</v>
      </c>
      <c r="T150" s="281">
        <f>IF(T$122="","",IFERROR(INDEX('DEMAND BY DATE'!$AX$4:$AX$203,MATCH(T$122,'DEMAND BY DATE'!$A$4:$A$203,0)),""))</f>
        <v>2</v>
      </c>
      <c r="U150" s="281">
        <f>IF(U$122="","",IFERROR(INDEX('DEMAND BY DATE'!$AX$4:$AX$203,MATCH(U$122,'DEMAND BY DATE'!$A$4:$A$203,0)),""))</f>
        <v>4</v>
      </c>
      <c r="V150" s="281">
        <f>IF(V$122="","",IFERROR(INDEX('DEMAND BY DATE'!$AX$4:$AX$203,MATCH(V$122,'DEMAND BY DATE'!$A$4:$A$203,0)),""))</f>
        <v>0</v>
      </c>
      <c r="W150" s="281">
        <f>IF(W$122="","",IFERROR(INDEX('DEMAND BY DATE'!$AX$4:$AX$203,MATCH(W$122,'DEMAND BY DATE'!$A$4:$A$203,0)),""))</f>
        <v>4</v>
      </c>
      <c r="X150" s="281">
        <f>IF(X$122="","",IFERROR(INDEX('DEMAND BY DATE'!$AX$4:$AX$203,MATCH(X$122,'DEMAND BY DATE'!$A$4:$A$203,0)),""))</f>
        <v>4</v>
      </c>
      <c r="Y150" s="281">
        <f>IF(Y$122="","",IFERROR(INDEX('DEMAND BY DATE'!$AX$4:$AX$203,MATCH(Y$122,'DEMAND BY DATE'!$A$4:$A$203,0)),""))</f>
        <v>4</v>
      </c>
      <c r="Z150" s="281">
        <f>IF(Z$122="","",IFERROR(INDEX('DEMAND BY DATE'!$AX$4:$AX$203,MATCH(Z$122,'DEMAND BY DATE'!$A$4:$A$203,0)),""))</f>
        <v>4</v>
      </c>
      <c r="AA150" s="281">
        <f>IF(AA$122="","",IFERROR(INDEX('DEMAND BY DATE'!$AX$4:$AX$203,MATCH(AA$122,'DEMAND BY DATE'!$A$4:$A$203,0)),""))</f>
        <v>4</v>
      </c>
      <c r="AB150" s="281">
        <f>IF(AB$122="","",IFERROR(INDEX('DEMAND BY DATE'!$AX$4:$AX$203,MATCH(AB$122,'DEMAND BY DATE'!$A$4:$A$203,0)),""))</f>
        <v>4</v>
      </c>
      <c r="AC150" s="281">
        <f>IF(AC$122="","",IFERROR(INDEX('DEMAND BY DATE'!$AX$4:$AX$203,MATCH(AC$122,'DEMAND BY DATE'!$A$4:$A$203,0)),""))</f>
        <v>0</v>
      </c>
      <c r="AD150" s="281">
        <f>IF(AD$122="","",IFERROR(INDEX('DEMAND BY DATE'!$AX$4:$AX$203,MATCH(AD$122,'DEMAND BY DATE'!$A$4:$A$203,0)),""))</f>
        <v>4</v>
      </c>
      <c r="AE150" s="281">
        <f>IF(AE$122="","",IFERROR(INDEX('DEMAND BY DATE'!$AX$4:$AX$203,MATCH(AE$122,'DEMAND BY DATE'!$A$4:$A$203,0)),""))</f>
        <v>4</v>
      </c>
      <c r="AF150" s="281">
        <f>IF(AF$122="","",IFERROR(INDEX('DEMAND BY DATE'!$AX$4:$AX$203,MATCH(AF$122,'DEMAND BY DATE'!$A$4:$A$203,0)),""))</f>
        <v>4</v>
      </c>
      <c r="AG150" s="281">
        <f>IF(AG$122="","",IFERROR(INDEX('DEMAND BY DATE'!$AX$4:$AX$203,MATCH(AG$122,'DEMAND BY DATE'!$A$4:$A$203,0)),""))</f>
        <v>4</v>
      </c>
      <c r="AH150" s="281">
        <f>IF(AH$122="","",IFERROR(INDEX('DEMAND BY DATE'!$AX$4:$AX$203,MATCH(AH$122,'DEMAND BY DATE'!$A$4:$A$203,0)),""))</f>
        <v>4</v>
      </c>
      <c r="AI150" s="281">
        <f>IF(AI$122="","",IFERROR(INDEX('DEMAND BY DATE'!$AX$4:$AX$203,MATCH(AI$122,'DEMAND BY DATE'!$A$4:$A$203,0)),""))</f>
        <v>4</v>
      </c>
      <c r="AJ150" s="281">
        <f>IF(AJ$122="","",IFERROR(INDEX('DEMAND BY DATE'!$AX$4:$AX$203,MATCH(AJ$122,'DEMAND BY DATE'!$A$4:$A$203,0)),""))</f>
        <v>0</v>
      </c>
      <c r="AK150" s="281">
        <f>IF(AK$122="","",IFERROR(INDEX('DEMAND BY DATE'!$AX$4:$AX$203,MATCH(AK$122,'DEMAND BY DATE'!$A$4:$A$203,0)),""))</f>
        <v>4</v>
      </c>
    </row>
    <row r="151" spans="1:37">
      <c r="A151" s="281" t="s">
        <v>407</v>
      </c>
      <c r="B151" s="281"/>
      <c r="C151" s="281"/>
      <c r="D151" s="281"/>
      <c r="E151" s="281"/>
      <c r="F151" s="281"/>
      <c r="G151" s="281" t="str">
        <f>IF(G$122="","",IFERROR(INDEX('DEMAND BY DATE'!$BS$4:$BS$203,MATCH(G$122,'DEMAND BY DATE'!$A$4:$A$203,0)),""))</f>
        <v>Y</v>
      </c>
      <c r="H151" s="281" t="str">
        <f>IF(H$122="","",IFERROR(INDEX('DEMAND BY DATE'!$BS$4:$BS$203,MATCH(H$122,'DEMAND BY DATE'!$A$4:$A$203,0)),""))</f>
        <v>N</v>
      </c>
      <c r="I151" s="281" t="str">
        <f>IF(I$122="","",IFERROR(INDEX('DEMAND BY DATE'!$BS$4:$BS$203,MATCH(I$122,'DEMAND BY DATE'!$A$4:$A$203,0)),""))</f>
        <v>Y</v>
      </c>
      <c r="J151" s="281" t="str">
        <f>IF(J$122="","",IFERROR(INDEX('DEMAND BY DATE'!$BS$4:$BS$203,MATCH(J$122,'DEMAND BY DATE'!$A$4:$A$203,0)),""))</f>
        <v>Y</v>
      </c>
      <c r="K151" s="281" t="str">
        <f>IF(K$122="","",IFERROR(INDEX('DEMAND BY DATE'!$BS$4:$BS$203,MATCH(K$122,'DEMAND BY DATE'!$A$4:$A$203,0)),""))</f>
        <v>Y</v>
      </c>
      <c r="L151" s="281" t="str">
        <f>IF(L$122="","",IFERROR(INDEX('DEMAND BY DATE'!$BS$4:$BS$203,MATCH(L$122,'DEMAND BY DATE'!$A$4:$A$203,0)),""))</f>
        <v>Y</v>
      </c>
      <c r="M151" s="281" t="str">
        <f>IF(M$122="","",IFERROR(INDEX('DEMAND BY DATE'!$BS$4:$BS$203,MATCH(M$122,'DEMAND BY DATE'!$A$4:$A$203,0)),""))</f>
        <v>Y</v>
      </c>
      <c r="N151" s="281" t="str">
        <f>IF(N$122="","",IFERROR(INDEX('DEMAND BY DATE'!$BS$4:$BS$203,MATCH(N$122,'DEMAND BY DATE'!$A$4:$A$203,0)),""))</f>
        <v>Y</v>
      </c>
      <c r="O151" s="281" t="str">
        <f>IF(O$122="","",IFERROR(INDEX('DEMAND BY DATE'!$BS$4:$BS$203,MATCH(O$122,'DEMAND BY DATE'!$A$4:$A$203,0)),""))</f>
        <v>N</v>
      </c>
      <c r="P151" s="281" t="str">
        <f>IF(P$122="","",IFERROR(INDEX('DEMAND BY DATE'!$BS$4:$BS$203,MATCH(P$122,'DEMAND BY DATE'!$A$4:$A$203,0)),""))</f>
        <v>Y</v>
      </c>
      <c r="Q151" s="281" t="str">
        <f>IF(Q$122="","",IFERROR(INDEX('DEMAND BY DATE'!$BS$4:$BS$203,MATCH(Q$122,'DEMAND BY DATE'!$A$4:$A$203,0)),""))</f>
        <v>Y</v>
      </c>
      <c r="R151" s="281" t="str">
        <f>IF(R$122="","",IFERROR(INDEX('DEMAND BY DATE'!$BS$4:$BS$203,MATCH(R$122,'DEMAND BY DATE'!$A$4:$A$203,0)),""))</f>
        <v>Y</v>
      </c>
      <c r="S151" s="281" t="str">
        <f>IF(S$122="","",IFERROR(INDEX('DEMAND BY DATE'!$BS$4:$BS$203,MATCH(S$122,'DEMAND BY DATE'!$A$4:$A$203,0)),""))</f>
        <v>Y</v>
      </c>
      <c r="T151" s="281" t="str">
        <f>IF(T$122="","",IFERROR(INDEX('DEMAND BY DATE'!$BS$4:$BS$203,MATCH(T$122,'DEMAND BY DATE'!$A$4:$A$203,0)),""))</f>
        <v>Y</v>
      </c>
      <c r="U151" s="281" t="str">
        <f>IF(U$122="","",IFERROR(INDEX('DEMAND BY DATE'!$BS$4:$BS$203,MATCH(U$122,'DEMAND BY DATE'!$A$4:$A$203,0)),""))</f>
        <v>Y</v>
      </c>
      <c r="V151" s="281" t="str">
        <f>IF(V$122="","",IFERROR(INDEX('DEMAND BY DATE'!$BS$4:$BS$203,MATCH(V$122,'DEMAND BY DATE'!$A$4:$A$203,0)),""))</f>
        <v>N</v>
      </c>
      <c r="W151" s="281" t="str">
        <f>IF(W$122="","",IFERROR(INDEX('DEMAND BY DATE'!$BS$4:$BS$203,MATCH(W$122,'DEMAND BY DATE'!$A$4:$A$203,0)),""))</f>
        <v>Y</v>
      </c>
      <c r="X151" s="281" t="str">
        <f>IF(X$122="","",IFERROR(INDEX('DEMAND BY DATE'!$BS$4:$BS$203,MATCH(X$122,'DEMAND BY DATE'!$A$4:$A$203,0)),""))</f>
        <v>Y</v>
      </c>
      <c r="Y151" s="281" t="str">
        <f>IF(Y$122="","",IFERROR(INDEX('DEMAND BY DATE'!$BS$4:$BS$203,MATCH(Y$122,'DEMAND BY DATE'!$A$4:$A$203,0)),""))</f>
        <v>Y</v>
      </c>
      <c r="Z151" s="281" t="str">
        <f>IF(Z$122="","",IFERROR(INDEX('DEMAND BY DATE'!$BS$4:$BS$203,MATCH(Z$122,'DEMAND BY DATE'!$A$4:$A$203,0)),""))</f>
        <v>Y</v>
      </c>
      <c r="AA151" s="281" t="str">
        <f>IF(AA$122="","",IFERROR(INDEX('DEMAND BY DATE'!$BS$4:$BS$203,MATCH(AA$122,'DEMAND BY DATE'!$A$4:$A$203,0)),""))</f>
        <v>Y</v>
      </c>
      <c r="AB151" s="281" t="str">
        <f>IF(AB$122="","",IFERROR(INDEX('DEMAND BY DATE'!$BS$4:$BS$203,MATCH(AB$122,'DEMAND BY DATE'!$A$4:$A$203,0)),""))</f>
        <v>Y</v>
      </c>
      <c r="AC151" s="281" t="str">
        <f>IF(AC$122="","",IFERROR(INDEX('DEMAND BY DATE'!$BS$4:$BS$203,MATCH(AC$122,'DEMAND BY DATE'!$A$4:$A$203,0)),""))</f>
        <v>N</v>
      </c>
      <c r="AD151" s="281" t="str">
        <f>IF(AD$122="","",IFERROR(INDEX('DEMAND BY DATE'!$BS$4:$BS$203,MATCH(AD$122,'DEMAND BY DATE'!$A$4:$A$203,0)),""))</f>
        <v>Y</v>
      </c>
      <c r="AE151" s="281" t="str">
        <f>IF(AE$122="","",IFERROR(INDEX('DEMAND BY DATE'!$BS$4:$BS$203,MATCH(AE$122,'DEMAND BY DATE'!$A$4:$A$203,0)),""))</f>
        <v>Y</v>
      </c>
      <c r="AF151" s="281" t="str">
        <f>IF(AF$122="","",IFERROR(INDEX('DEMAND BY DATE'!$BS$4:$BS$203,MATCH(AF$122,'DEMAND BY DATE'!$A$4:$A$203,0)),""))</f>
        <v>Y</v>
      </c>
      <c r="AG151" s="281" t="str">
        <f>IF(AG$122="","",IFERROR(INDEX('DEMAND BY DATE'!$BS$4:$BS$203,MATCH(AG$122,'DEMAND BY DATE'!$A$4:$A$203,0)),""))</f>
        <v>Y</v>
      </c>
      <c r="AH151" s="281" t="str">
        <f>IF(AH$122="","",IFERROR(INDEX('DEMAND BY DATE'!$BS$4:$BS$203,MATCH(AH$122,'DEMAND BY DATE'!$A$4:$A$203,0)),""))</f>
        <v>Y</v>
      </c>
      <c r="AI151" s="281" t="str">
        <f>IF(AI$122="","",IFERROR(INDEX('DEMAND BY DATE'!$BS$4:$BS$203,MATCH(AI$122,'DEMAND BY DATE'!$A$4:$A$203,0)),""))</f>
        <v>Y</v>
      </c>
      <c r="AJ151" s="281" t="str">
        <f>IF(AJ$122="","",IFERROR(INDEX('DEMAND BY DATE'!$BS$4:$BS$203,MATCH(AJ$122,'DEMAND BY DATE'!$A$4:$A$203,0)),""))</f>
        <v>N</v>
      </c>
      <c r="AK151" s="281" t="str">
        <f>IF(AK$122="","",IFERROR(INDEX('DEMAND BY DATE'!$BS$4:$BS$203,MATCH(AK$122,'DEMAND BY DATE'!$A$4:$A$203,0)),""))</f>
        <v>Y</v>
      </c>
    </row>
    <row r="153" spans="1:37">
      <c r="A153" s="9" t="s">
        <v>416</v>
      </c>
      <c r="B153" s="264"/>
      <c r="C153" s="264"/>
      <c r="D153" s="264"/>
      <c r="E153" s="264"/>
      <c r="F153" s="264"/>
    </row>
    <row r="154" spans="1:37">
      <c r="A154" s="286" t="s">
        <v>6</v>
      </c>
      <c r="B154" s="286" t="s">
        <v>417</v>
      </c>
      <c r="C154" s="286" t="s">
        <v>408</v>
      </c>
      <c r="D154" s="286" t="s">
        <v>418</v>
      </c>
      <c r="E154" s="286"/>
      <c r="F154" s="286" t="s">
        <v>419</v>
      </c>
      <c r="G154" s="287">
        <f>G$122</f>
        <v>46235</v>
      </c>
      <c r="H154" s="287">
        <f>H$122</f>
        <v>46236</v>
      </c>
      <c r="I154" s="287">
        <f>I$122</f>
        <v>46237</v>
      </c>
      <c r="J154" s="287">
        <f>J$122</f>
        <v>46238</v>
      </c>
      <c r="K154" s="287">
        <f>K$122</f>
        <v>46239</v>
      </c>
      <c r="L154" s="287">
        <f>L$122</f>
        <v>46240</v>
      </c>
      <c r="M154" s="287">
        <f>M$122</f>
        <v>46241</v>
      </c>
      <c r="N154" s="287">
        <f>N$122</f>
        <v>46242</v>
      </c>
      <c r="O154" s="287">
        <f>O$122</f>
        <v>46243</v>
      </c>
      <c r="P154" s="287">
        <f>P$122</f>
        <v>46244</v>
      </c>
      <c r="Q154" s="287">
        <f>Q$122</f>
        <v>46245</v>
      </c>
      <c r="R154" s="287">
        <f>R$122</f>
        <v>46246</v>
      </c>
      <c r="S154" s="287">
        <f>S$122</f>
        <v>46247</v>
      </c>
      <c r="T154" s="287">
        <f>T$122</f>
        <v>46248</v>
      </c>
      <c r="U154" s="287">
        <f>U$122</f>
        <v>46249</v>
      </c>
      <c r="V154" s="287">
        <f>V$122</f>
        <v>46250</v>
      </c>
      <c r="W154" s="287">
        <f>W$122</f>
        <v>46251</v>
      </c>
      <c r="X154" s="287">
        <f>X$122</f>
        <v>46252</v>
      </c>
      <c r="Y154" s="287">
        <f>Y$122</f>
        <v>46253</v>
      </c>
      <c r="Z154" s="287">
        <f>Z$122</f>
        <v>46254</v>
      </c>
      <c r="AA154" s="287">
        <f>AA$122</f>
        <v>46255</v>
      </c>
      <c r="AB154" s="287">
        <f>AB$122</f>
        <v>46256</v>
      </c>
      <c r="AC154" s="287">
        <f>AC$122</f>
        <v>46257</v>
      </c>
      <c r="AD154" s="287">
        <f>AD$122</f>
        <v>46258</v>
      </c>
      <c r="AE154" s="287">
        <f>AE$122</f>
        <v>46259</v>
      </c>
      <c r="AF154" s="287">
        <f>AF$122</f>
        <v>46260</v>
      </c>
      <c r="AG154" s="287">
        <f>AG$122</f>
        <v>46261</v>
      </c>
      <c r="AH154" s="287">
        <f>AH$122</f>
        <v>46262</v>
      </c>
      <c r="AI154" s="287">
        <f>AI$122</f>
        <v>46263</v>
      </c>
      <c r="AJ154" s="287">
        <f>AJ$122</f>
        <v>46264</v>
      </c>
      <c r="AK154" s="287">
        <f>AK$122</f>
        <v>46265</v>
      </c>
    </row>
    <row r="155" spans="1:37">
      <c r="A155" s="288">
        <f>$A$33</f>
        <v>7926</v>
      </c>
      <c r="B155" s="289" t="str">
        <f>$AG$33</f>
        <v>SHORTS</v>
      </c>
      <c r="C155" s="289">
        <f>$AB$33</f>
        <v>37</v>
      </c>
      <c r="D155" s="290">
        <f>MAX($G155:$AK155)</f>
        <v>1</v>
      </c>
      <c r="E155" s="289"/>
      <c r="F155" s="289" cm="1">
        <f t="array" ref="F155">SUMPRODUCT((ISNUMBER($G155:$AK155))*($G155:$AK155&gt;0)*($G$151:$AK$151="Y"))</f>
        <v>26</v>
      </c>
      <c r="G155" s="291">
        <f>IF(G$154="","",INDEX('DEMAND BY DATE'!$CA$4:$DV$203,MATCH(G$154,'DEMAND BY DATE'!$A$4:$A$203,0),MATCH($A155,'DEMAND BY DATE'!$CA$3:$DV$3,0)))</f>
        <v>1</v>
      </c>
      <c r="H155" s="291">
        <f>IF(H$154="","",INDEX('DEMAND BY DATE'!$CA$4:$DV$203,MATCH(H$154,'DEMAND BY DATE'!$A$4:$A$203,0),MATCH($A155,'DEMAND BY DATE'!$CA$3:$DV$3,0)))</f>
        <v>1</v>
      </c>
      <c r="I155" s="291">
        <f>IF(I$154="","",INDEX('DEMAND BY DATE'!$CA$4:$DV$203,MATCH(I$154,'DEMAND BY DATE'!$A$4:$A$203,0),MATCH($A155,'DEMAND BY DATE'!$CA$3:$DV$3,0)))</f>
        <v>1</v>
      </c>
      <c r="J155" s="291">
        <f>IF(J$154="","",INDEX('DEMAND BY DATE'!$CA$4:$DV$203,MATCH(J$154,'DEMAND BY DATE'!$A$4:$A$203,0),MATCH($A155,'DEMAND BY DATE'!$CA$3:$DV$3,0)))</f>
        <v>1</v>
      </c>
      <c r="K155" s="291">
        <f>IF(K$154="","",INDEX('DEMAND BY DATE'!$CA$4:$DV$203,MATCH(K$154,'DEMAND BY DATE'!$A$4:$A$203,0),MATCH($A155,'DEMAND BY DATE'!$CA$3:$DV$3,0)))</f>
        <v>1</v>
      </c>
      <c r="L155" s="291">
        <f>IF(L$154="","",INDEX('DEMAND BY DATE'!$CA$4:$DV$203,MATCH(L$154,'DEMAND BY DATE'!$A$4:$A$203,0),MATCH($A155,'DEMAND BY DATE'!$CA$3:$DV$3,0)))</f>
        <v>1</v>
      </c>
      <c r="M155" s="291">
        <f>IF(M$154="","",INDEX('DEMAND BY DATE'!$CA$4:$DV$203,MATCH(M$154,'DEMAND BY DATE'!$A$4:$A$203,0),MATCH($A155,'DEMAND BY DATE'!$CA$3:$DV$3,0)))</f>
        <v>1</v>
      </c>
      <c r="N155" s="291">
        <f>IF(N$154="","",INDEX('DEMAND BY DATE'!$CA$4:$DV$203,MATCH(N$154,'DEMAND BY DATE'!$A$4:$A$203,0),MATCH($A155,'DEMAND BY DATE'!$CA$3:$DV$3,0)))</f>
        <v>1</v>
      </c>
      <c r="O155" s="291">
        <f>IF(O$154="","",INDEX('DEMAND BY DATE'!$CA$4:$DV$203,MATCH(O$154,'DEMAND BY DATE'!$A$4:$A$203,0),MATCH($A155,'DEMAND BY DATE'!$CA$3:$DV$3,0)))</f>
        <v>1</v>
      </c>
      <c r="P155" s="291">
        <f>IF(P$154="","",INDEX('DEMAND BY DATE'!$CA$4:$DV$203,MATCH(P$154,'DEMAND BY DATE'!$A$4:$A$203,0),MATCH($A155,'DEMAND BY DATE'!$CA$3:$DV$3,0)))</f>
        <v>1</v>
      </c>
      <c r="Q155" s="291">
        <f>IF(Q$154="","",INDEX('DEMAND BY DATE'!$CA$4:$DV$203,MATCH(Q$154,'DEMAND BY DATE'!$A$4:$A$203,0),MATCH($A155,'DEMAND BY DATE'!$CA$3:$DV$3,0)))</f>
        <v>1</v>
      </c>
      <c r="R155" s="291">
        <f>IF(R$154="","",INDEX('DEMAND BY DATE'!$CA$4:$DV$203,MATCH(R$154,'DEMAND BY DATE'!$A$4:$A$203,0),MATCH($A155,'DEMAND BY DATE'!$CA$3:$DV$3,0)))</f>
        <v>1</v>
      </c>
      <c r="S155" s="291">
        <f>IF(S$154="","",INDEX('DEMAND BY DATE'!$CA$4:$DV$203,MATCH(S$154,'DEMAND BY DATE'!$A$4:$A$203,0),MATCH($A155,'DEMAND BY DATE'!$CA$3:$DV$3,0)))</f>
        <v>1</v>
      </c>
      <c r="T155" s="291">
        <f>IF(T$154="","",INDEX('DEMAND BY DATE'!$CA$4:$DV$203,MATCH(T$154,'DEMAND BY DATE'!$A$4:$A$203,0),MATCH($A155,'DEMAND BY DATE'!$CA$3:$DV$3,0)))</f>
        <v>1</v>
      </c>
      <c r="U155" s="291">
        <f>IF(U$154="","",INDEX('DEMAND BY DATE'!$CA$4:$DV$203,MATCH(U$154,'DEMAND BY DATE'!$A$4:$A$203,0),MATCH($A155,'DEMAND BY DATE'!$CA$3:$DV$3,0)))</f>
        <v>1</v>
      </c>
      <c r="V155" s="291">
        <f>IF(V$154="","",INDEX('DEMAND BY DATE'!$CA$4:$DV$203,MATCH(V$154,'DEMAND BY DATE'!$A$4:$A$203,0),MATCH($A155,'DEMAND BY DATE'!$CA$3:$DV$3,0)))</f>
        <v>1</v>
      </c>
      <c r="W155" s="291">
        <f>IF(W$154="","",INDEX('DEMAND BY DATE'!$CA$4:$DV$203,MATCH(W$154,'DEMAND BY DATE'!$A$4:$A$203,0),MATCH($A155,'DEMAND BY DATE'!$CA$3:$DV$3,0)))</f>
        <v>1</v>
      </c>
      <c r="X155" s="291">
        <f>IF(X$154="","",INDEX('DEMAND BY DATE'!$CA$4:$DV$203,MATCH(X$154,'DEMAND BY DATE'!$A$4:$A$203,0),MATCH($A155,'DEMAND BY DATE'!$CA$3:$DV$3,0)))</f>
        <v>1</v>
      </c>
      <c r="Y155" s="291">
        <f>IF(Y$154="","",INDEX('DEMAND BY DATE'!$CA$4:$DV$203,MATCH(Y$154,'DEMAND BY DATE'!$A$4:$A$203,0),MATCH($A155,'DEMAND BY DATE'!$CA$3:$DV$3,0)))</f>
        <v>1</v>
      </c>
      <c r="Z155" s="291">
        <f>IF(Z$154="","",INDEX('DEMAND BY DATE'!$CA$4:$DV$203,MATCH(Z$154,'DEMAND BY DATE'!$A$4:$A$203,0),MATCH($A155,'DEMAND BY DATE'!$CA$3:$DV$3,0)))</f>
        <v>1</v>
      </c>
      <c r="AA155" s="291">
        <f>IF(AA$154="","",INDEX('DEMAND BY DATE'!$CA$4:$DV$203,MATCH(AA$154,'DEMAND BY DATE'!$A$4:$A$203,0),MATCH($A155,'DEMAND BY DATE'!$CA$3:$DV$3,0)))</f>
        <v>1</v>
      </c>
      <c r="AB155" s="291">
        <f>IF(AB$154="","",INDEX('DEMAND BY DATE'!$CA$4:$DV$203,MATCH(AB$154,'DEMAND BY DATE'!$A$4:$A$203,0),MATCH($A155,'DEMAND BY DATE'!$CA$3:$DV$3,0)))</f>
        <v>1</v>
      </c>
      <c r="AC155" s="291">
        <f>IF(AC$154="","",INDEX('DEMAND BY DATE'!$CA$4:$DV$203,MATCH(AC$154,'DEMAND BY DATE'!$A$4:$A$203,0),MATCH($A155,'DEMAND BY DATE'!$CA$3:$DV$3,0)))</f>
        <v>1</v>
      </c>
      <c r="AD155" s="291">
        <f>IF(AD$154="","",INDEX('DEMAND BY DATE'!$CA$4:$DV$203,MATCH(AD$154,'DEMAND BY DATE'!$A$4:$A$203,0),MATCH($A155,'DEMAND BY DATE'!$CA$3:$DV$3,0)))</f>
        <v>1</v>
      </c>
      <c r="AE155" s="291">
        <f>IF(AE$154="","",INDEX('DEMAND BY DATE'!$CA$4:$DV$203,MATCH(AE$154,'DEMAND BY DATE'!$A$4:$A$203,0),MATCH($A155,'DEMAND BY DATE'!$CA$3:$DV$3,0)))</f>
        <v>1</v>
      </c>
      <c r="AF155" s="291">
        <f>IF(AF$154="","",INDEX('DEMAND BY DATE'!$CA$4:$DV$203,MATCH(AF$154,'DEMAND BY DATE'!$A$4:$A$203,0),MATCH($A155,'DEMAND BY DATE'!$CA$3:$DV$3,0)))</f>
        <v>1</v>
      </c>
      <c r="AG155" s="291">
        <f>IF(AG$154="","",INDEX('DEMAND BY DATE'!$CA$4:$DV$203,MATCH(AG$154,'DEMAND BY DATE'!$A$4:$A$203,0),MATCH($A155,'DEMAND BY DATE'!$CA$3:$DV$3,0)))</f>
        <v>1</v>
      </c>
      <c r="AH155" s="291">
        <f>IF(AH$154="","",INDEX('DEMAND BY DATE'!$CA$4:$DV$203,MATCH(AH$154,'DEMAND BY DATE'!$A$4:$A$203,0),MATCH($A155,'DEMAND BY DATE'!$CA$3:$DV$3,0)))</f>
        <v>1</v>
      </c>
      <c r="AI155" s="291">
        <f>IF(AI$154="","",INDEX('DEMAND BY DATE'!$CA$4:$DV$203,MATCH(AI$154,'DEMAND BY DATE'!$A$4:$A$203,0),MATCH($A155,'DEMAND BY DATE'!$CA$3:$DV$3,0)))</f>
        <v>1</v>
      </c>
      <c r="AJ155" s="291">
        <f>IF(AJ$154="","",INDEX('DEMAND BY DATE'!$CA$4:$DV$203,MATCH(AJ$154,'DEMAND BY DATE'!$A$4:$A$203,0),MATCH($A155,'DEMAND BY DATE'!$CA$3:$DV$3,0)))</f>
        <v>1</v>
      </c>
      <c r="AK155" s="291">
        <f>IF(AK$154="","",INDEX('DEMAND BY DATE'!$CA$4:$DV$203,MATCH(AK$154,'DEMAND BY DATE'!$A$4:$A$203,0),MATCH($A155,'DEMAND BY DATE'!$CA$3:$DV$3,0)))</f>
        <v>1</v>
      </c>
    </row>
    <row r="156" spans="1:37">
      <c r="A156" s="288" t="str">
        <f>$A$34</f>
        <v>4300/4301</v>
      </c>
      <c r="B156" s="289" t="str">
        <f>$AG$34</f>
        <v>PAJAMA</v>
      </c>
      <c r="C156" s="289">
        <f>$AB$34</f>
        <v>37.5</v>
      </c>
      <c r="D156" s="290">
        <f>MAX($G156:$AK156)</f>
        <v>1</v>
      </c>
      <c r="E156" s="289"/>
      <c r="F156" s="289" cm="1">
        <f t="array" ref="F156">SUMPRODUCT((ISNUMBER($G156:$AK156))*($G156:$AK156&gt;0)*($G$151:$AK$151="Y"))</f>
        <v>26</v>
      </c>
      <c r="G156" s="291">
        <f>IF(G$154="","",INDEX('DEMAND BY DATE'!$CA$4:$DV$203,MATCH(G$154,'DEMAND BY DATE'!$A$4:$A$203,0),MATCH($A156,'DEMAND BY DATE'!$CA$3:$DV$3,0)))</f>
        <v>1</v>
      </c>
      <c r="H156" s="291">
        <f>IF(H$154="","",INDEX('DEMAND BY DATE'!$CA$4:$DV$203,MATCH(H$154,'DEMAND BY DATE'!$A$4:$A$203,0),MATCH($A156,'DEMAND BY DATE'!$CA$3:$DV$3,0)))</f>
        <v>1</v>
      </c>
      <c r="I156" s="291">
        <f>IF(I$154="","",INDEX('DEMAND BY DATE'!$CA$4:$DV$203,MATCH(I$154,'DEMAND BY DATE'!$A$4:$A$203,0),MATCH($A156,'DEMAND BY DATE'!$CA$3:$DV$3,0)))</f>
        <v>1</v>
      </c>
      <c r="J156" s="291">
        <f>IF(J$154="","",INDEX('DEMAND BY DATE'!$CA$4:$DV$203,MATCH(J$154,'DEMAND BY DATE'!$A$4:$A$203,0),MATCH($A156,'DEMAND BY DATE'!$CA$3:$DV$3,0)))</f>
        <v>1</v>
      </c>
      <c r="K156" s="291">
        <f>IF(K$154="","",INDEX('DEMAND BY DATE'!$CA$4:$DV$203,MATCH(K$154,'DEMAND BY DATE'!$A$4:$A$203,0),MATCH($A156,'DEMAND BY DATE'!$CA$3:$DV$3,0)))</f>
        <v>1</v>
      </c>
      <c r="L156" s="291">
        <f>IF(L$154="","",INDEX('DEMAND BY DATE'!$CA$4:$DV$203,MATCH(L$154,'DEMAND BY DATE'!$A$4:$A$203,0),MATCH($A156,'DEMAND BY DATE'!$CA$3:$DV$3,0)))</f>
        <v>1</v>
      </c>
      <c r="M156" s="291">
        <f>IF(M$154="","",INDEX('DEMAND BY DATE'!$CA$4:$DV$203,MATCH(M$154,'DEMAND BY DATE'!$A$4:$A$203,0),MATCH($A156,'DEMAND BY DATE'!$CA$3:$DV$3,0)))</f>
        <v>1</v>
      </c>
      <c r="N156" s="291">
        <f>IF(N$154="","",INDEX('DEMAND BY DATE'!$CA$4:$DV$203,MATCH(N$154,'DEMAND BY DATE'!$A$4:$A$203,0),MATCH($A156,'DEMAND BY DATE'!$CA$3:$DV$3,0)))</f>
        <v>1</v>
      </c>
      <c r="O156" s="291">
        <f>IF(O$154="","",INDEX('DEMAND BY DATE'!$CA$4:$DV$203,MATCH(O$154,'DEMAND BY DATE'!$A$4:$A$203,0),MATCH($A156,'DEMAND BY DATE'!$CA$3:$DV$3,0)))</f>
        <v>1</v>
      </c>
      <c r="P156" s="291">
        <f>IF(P$154="","",INDEX('DEMAND BY DATE'!$CA$4:$DV$203,MATCH(P$154,'DEMAND BY DATE'!$A$4:$A$203,0),MATCH($A156,'DEMAND BY DATE'!$CA$3:$DV$3,0)))</f>
        <v>1</v>
      </c>
      <c r="Q156" s="291">
        <f>IF(Q$154="","",INDEX('DEMAND BY DATE'!$CA$4:$DV$203,MATCH(Q$154,'DEMAND BY DATE'!$A$4:$A$203,0),MATCH($A156,'DEMAND BY DATE'!$CA$3:$DV$3,0)))</f>
        <v>1</v>
      </c>
      <c r="R156" s="291">
        <f>IF(R$154="","",INDEX('DEMAND BY DATE'!$CA$4:$DV$203,MATCH(R$154,'DEMAND BY DATE'!$A$4:$A$203,0),MATCH($A156,'DEMAND BY DATE'!$CA$3:$DV$3,0)))</f>
        <v>1</v>
      </c>
      <c r="S156" s="291">
        <f>IF(S$154="","",INDEX('DEMAND BY DATE'!$CA$4:$DV$203,MATCH(S$154,'DEMAND BY DATE'!$A$4:$A$203,0),MATCH($A156,'DEMAND BY DATE'!$CA$3:$DV$3,0)))</f>
        <v>1</v>
      </c>
      <c r="T156" s="291">
        <f>IF(T$154="","",INDEX('DEMAND BY DATE'!$CA$4:$DV$203,MATCH(T$154,'DEMAND BY DATE'!$A$4:$A$203,0),MATCH($A156,'DEMAND BY DATE'!$CA$3:$DV$3,0)))</f>
        <v>1</v>
      </c>
      <c r="U156" s="291">
        <f>IF(U$154="","",INDEX('DEMAND BY DATE'!$CA$4:$DV$203,MATCH(U$154,'DEMAND BY DATE'!$A$4:$A$203,0),MATCH($A156,'DEMAND BY DATE'!$CA$3:$DV$3,0)))</f>
        <v>1</v>
      </c>
      <c r="V156" s="291">
        <f>IF(V$154="","",INDEX('DEMAND BY DATE'!$CA$4:$DV$203,MATCH(V$154,'DEMAND BY DATE'!$A$4:$A$203,0),MATCH($A156,'DEMAND BY DATE'!$CA$3:$DV$3,0)))</f>
        <v>1</v>
      </c>
      <c r="W156" s="291">
        <f>IF(W$154="","",INDEX('DEMAND BY DATE'!$CA$4:$DV$203,MATCH(W$154,'DEMAND BY DATE'!$A$4:$A$203,0),MATCH($A156,'DEMAND BY DATE'!$CA$3:$DV$3,0)))</f>
        <v>1</v>
      </c>
      <c r="X156" s="291">
        <f>IF(X$154="","",INDEX('DEMAND BY DATE'!$CA$4:$DV$203,MATCH(X$154,'DEMAND BY DATE'!$A$4:$A$203,0),MATCH($A156,'DEMAND BY DATE'!$CA$3:$DV$3,0)))</f>
        <v>1</v>
      </c>
      <c r="Y156" s="291">
        <f>IF(Y$154="","",INDEX('DEMAND BY DATE'!$CA$4:$DV$203,MATCH(Y$154,'DEMAND BY DATE'!$A$4:$A$203,0),MATCH($A156,'DEMAND BY DATE'!$CA$3:$DV$3,0)))</f>
        <v>1</v>
      </c>
      <c r="Z156" s="291">
        <f>IF(Z$154="","",INDEX('DEMAND BY DATE'!$CA$4:$DV$203,MATCH(Z$154,'DEMAND BY DATE'!$A$4:$A$203,0),MATCH($A156,'DEMAND BY DATE'!$CA$3:$DV$3,0)))</f>
        <v>1</v>
      </c>
      <c r="AA156" s="291">
        <f>IF(AA$154="","",INDEX('DEMAND BY DATE'!$CA$4:$DV$203,MATCH(AA$154,'DEMAND BY DATE'!$A$4:$A$203,0),MATCH($A156,'DEMAND BY DATE'!$CA$3:$DV$3,0)))</f>
        <v>1</v>
      </c>
      <c r="AB156" s="291">
        <f>IF(AB$154="","",INDEX('DEMAND BY DATE'!$CA$4:$DV$203,MATCH(AB$154,'DEMAND BY DATE'!$A$4:$A$203,0),MATCH($A156,'DEMAND BY DATE'!$CA$3:$DV$3,0)))</f>
        <v>1</v>
      </c>
      <c r="AC156" s="291">
        <f>IF(AC$154="","",INDEX('DEMAND BY DATE'!$CA$4:$DV$203,MATCH(AC$154,'DEMAND BY DATE'!$A$4:$A$203,0),MATCH($A156,'DEMAND BY DATE'!$CA$3:$DV$3,0)))</f>
        <v>1</v>
      </c>
      <c r="AD156" s="291">
        <f>IF(AD$154="","",INDEX('DEMAND BY DATE'!$CA$4:$DV$203,MATCH(AD$154,'DEMAND BY DATE'!$A$4:$A$203,0),MATCH($A156,'DEMAND BY DATE'!$CA$3:$DV$3,0)))</f>
        <v>1</v>
      </c>
      <c r="AE156" s="291">
        <f>IF(AE$154="","",INDEX('DEMAND BY DATE'!$CA$4:$DV$203,MATCH(AE$154,'DEMAND BY DATE'!$A$4:$A$203,0),MATCH($A156,'DEMAND BY DATE'!$CA$3:$DV$3,0)))</f>
        <v>1</v>
      </c>
      <c r="AF156" s="291">
        <f>IF(AF$154="","",INDEX('DEMAND BY DATE'!$CA$4:$DV$203,MATCH(AF$154,'DEMAND BY DATE'!$A$4:$A$203,0),MATCH($A156,'DEMAND BY DATE'!$CA$3:$DV$3,0)))</f>
        <v>1</v>
      </c>
      <c r="AG156" s="291">
        <f>IF(AG$154="","",INDEX('DEMAND BY DATE'!$CA$4:$DV$203,MATCH(AG$154,'DEMAND BY DATE'!$A$4:$A$203,0),MATCH($A156,'DEMAND BY DATE'!$CA$3:$DV$3,0)))</f>
        <v>1</v>
      </c>
      <c r="AH156" s="291">
        <f>IF(AH$154="","",INDEX('DEMAND BY DATE'!$CA$4:$DV$203,MATCH(AH$154,'DEMAND BY DATE'!$A$4:$A$203,0),MATCH($A156,'DEMAND BY DATE'!$CA$3:$DV$3,0)))</f>
        <v>1</v>
      </c>
      <c r="AI156" s="291">
        <f>IF(AI$154="","",INDEX('DEMAND BY DATE'!$CA$4:$DV$203,MATCH(AI$154,'DEMAND BY DATE'!$A$4:$A$203,0),MATCH($A156,'DEMAND BY DATE'!$CA$3:$DV$3,0)))</f>
        <v>1</v>
      </c>
      <c r="AJ156" s="291">
        <f>IF(AJ$154="","",INDEX('DEMAND BY DATE'!$CA$4:$DV$203,MATCH(AJ$154,'DEMAND BY DATE'!$A$4:$A$203,0),MATCH($A156,'DEMAND BY DATE'!$CA$3:$DV$3,0)))</f>
        <v>1</v>
      </c>
      <c r="AK156" s="291">
        <f>IF(AK$154="","",INDEX('DEMAND BY DATE'!$CA$4:$DV$203,MATCH(AK$154,'DEMAND BY DATE'!$A$4:$A$203,0),MATCH($A156,'DEMAND BY DATE'!$CA$3:$DV$3,0)))</f>
        <v>1</v>
      </c>
    </row>
    <row r="157" spans="1:37">
      <c r="A157" s="288" t="str">
        <f>$A$35</f>
        <v>RS 26/27</v>
      </c>
      <c r="B157" s="289" t="str">
        <f>$AG$35</f>
        <v>VEST</v>
      </c>
      <c r="C157" s="289">
        <f>$AB$35</f>
        <v>25</v>
      </c>
      <c r="D157" s="290">
        <f>MAX($G157:$AK157)</f>
        <v>2</v>
      </c>
      <c r="E157" s="289"/>
      <c r="F157" s="289" cm="1">
        <f t="array" ref="F157">SUMPRODUCT((ISNUMBER($G157:$AK157))*($G157:$AK157&gt;0)*($G$151:$AK$151="Y"))</f>
        <v>26</v>
      </c>
      <c r="G157" s="291">
        <f>IF(G$154="","",INDEX('DEMAND BY DATE'!$CA$4:$DV$203,MATCH(G$154,'DEMAND BY DATE'!$A$4:$A$203,0),MATCH($A157,'DEMAND BY DATE'!$CA$3:$DV$3,0)))</f>
        <v>1</v>
      </c>
      <c r="H157" s="291">
        <f>IF(H$154="","",INDEX('DEMAND BY DATE'!$CA$4:$DV$203,MATCH(H$154,'DEMAND BY DATE'!$A$4:$A$203,0),MATCH($A157,'DEMAND BY DATE'!$CA$3:$DV$3,0)))</f>
        <v>1</v>
      </c>
      <c r="I157" s="291">
        <f>IF(I$154="","",INDEX('DEMAND BY DATE'!$CA$4:$DV$203,MATCH(I$154,'DEMAND BY DATE'!$A$4:$A$203,0),MATCH($A157,'DEMAND BY DATE'!$CA$3:$DV$3,0)))</f>
        <v>1</v>
      </c>
      <c r="J157" s="291">
        <f>IF(J$154="","",INDEX('DEMAND BY DATE'!$CA$4:$DV$203,MATCH(J$154,'DEMAND BY DATE'!$A$4:$A$203,0),MATCH($A157,'DEMAND BY DATE'!$CA$3:$DV$3,0)))</f>
        <v>1</v>
      </c>
      <c r="K157" s="291">
        <f>IF(K$154="","",INDEX('DEMAND BY DATE'!$CA$4:$DV$203,MATCH(K$154,'DEMAND BY DATE'!$A$4:$A$203,0),MATCH($A157,'DEMAND BY DATE'!$CA$3:$DV$3,0)))</f>
        <v>1</v>
      </c>
      <c r="L157" s="291">
        <f>IF(L$154="","",INDEX('DEMAND BY DATE'!$CA$4:$DV$203,MATCH(L$154,'DEMAND BY DATE'!$A$4:$A$203,0),MATCH($A157,'DEMAND BY DATE'!$CA$3:$DV$3,0)))</f>
        <v>1</v>
      </c>
      <c r="M157" s="291">
        <f>IF(M$154="","",INDEX('DEMAND BY DATE'!$CA$4:$DV$203,MATCH(M$154,'DEMAND BY DATE'!$A$4:$A$203,0),MATCH($A157,'DEMAND BY DATE'!$CA$3:$DV$3,0)))</f>
        <v>1</v>
      </c>
      <c r="N157" s="291">
        <f>IF(N$154="","",INDEX('DEMAND BY DATE'!$CA$4:$DV$203,MATCH(N$154,'DEMAND BY DATE'!$A$4:$A$203,0),MATCH($A157,'DEMAND BY DATE'!$CA$3:$DV$3,0)))</f>
        <v>1</v>
      </c>
      <c r="O157" s="291">
        <f>IF(O$154="","",INDEX('DEMAND BY DATE'!$CA$4:$DV$203,MATCH(O$154,'DEMAND BY DATE'!$A$4:$A$203,0),MATCH($A157,'DEMAND BY DATE'!$CA$3:$DV$3,0)))</f>
        <v>1</v>
      </c>
      <c r="P157" s="291">
        <f>IF(P$154="","",INDEX('DEMAND BY DATE'!$CA$4:$DV$203,MATCH(P$154,'DEMAND BY DATE'!$A$4:$A$203,0),MATCH($A157,'DEMAND BY DATE'!$CA$3:$DV$3,0)))</f>
        <v>1</v>
      </c>
      <c r="Q157" s="291">
        <f>IF(Q$154="","",INDEX('DEMAND BY DATE'!$CA$4:$DV$203,MATCH(Q$154,'DEMAND BY DATE'!$A$4:$A$203,0),MATCH($A157,'DEMAND BY DATE'!$CA$3:$DV$3,0)))</f>
        <v>1</v>
      </c>
      <c r="R157" s="291">
        <f>IF(R$154="","",INDEX('DEMAND BY DATE'!$CA$4:$DV$203,MATCH(R$154,'DEMAND BY DATE'!$A$4:$A$203,0),MATCH($A157,'DEMAND BY DATE'!$CA$3:$DV$3,0)))</f>
        <v>2</v>
      </c>
      <c r="S157" s="291">
        <f>IF(S$154="","",INDEX('DEMAND BY DATE'!$CA$4:$DV$203,MATCH(S$154,'DEMAND BY DATE'!$A$4:$A$203,0),MATCH($A157,'DEMAND BY DATE'!$CA$3:$DV$3,0)))</f>
        <v>2</v>
      </c>
      <c r="T157" s="291">
        <f>IF(T$154="","",INDEX('DEMAND BY DATE'!$CA$4:$DV$203,MATCH(T$154,'DEMAND BY DATE'!$A$4:$A$203,0),MATCH($A157,'DEMAND BY DATE'!$CA$3:$DV$3,0)))</f>
        <v>2</v>
      </c>
      <c r="U157" s="291">
        <f>IF(U$154="","",INDEX('DEMAND BY DATE'!$CA$4:$DV$203,MATCH(U$154,'DEMAND BY DATE'!$A$4:$A$203,0),MATCH($A157,'DEMAND BY DATE'!$CA$3:$DV$3,0)))</f>
        <v>2</v>
      </c>
      <c r="V157" s="291">
        <f>IF(V$154="","",INDEX('DEMAND BY DATE'!$CA$4:$DV$203,MATCH(V$154,'DEMAND BY DATE'!$A$4:$A$203,0),MATCH($A157,'DEMAND BY DATE'!$CA$3:$DV$3,0)))</f>
        <v>2</v>
      </c>
      <c r="W157" s="291">
        <f>IF(W$154="","",INDEX('DEMAND BY DATE'!$CA$4:$DV$203,MATCH(W$154,'DEMAND BY DATE'!$A$4:$A$203,0),MATCH($A157,'DEMAND BY DATE'!$CA$3:$DV$3,0)))</f>
        <v>2</v>
      </c>
      <c r="X157" s="291">
        <f>IF(X$154="","",INDEX('DEMAND BY DATE'!$CA$4:$DV$203,MATCH(X$154,'DEMAND BY DATE'!$A$4:$A$203,0),MATCH($A157,'DEMAND BY DATE'!$CA$3:$DV$3,0)))</f>
        <v>2</v>
      </c>
      <c r="Y157" s="291">
        <f>IF(Y$154="","",INDEX('DEMAND BY DATE'!$CA$4:$DV$203,MATCH(Y$154,'DEMAND BY DATE'!$A$4:$A$203,0),MATCH($A157,'DEMAND BY DATE'!$CA$3:$DV$3,0)))</f>
        <v>2</v>
      </c>
      <c r="Z157" s="291">
        <f>IF(Z$154="","",INDEX('DEMAND BY DATE'!$CA$4:$DV$203,MATCH(Z$154,'DEMAND BY DATE'!$A$4:$A$203,0),MATCH($A157,'DEMAND BY DATE'!$CA$3:$DV$3,0)))</f>
        <v>2</v>
      </c>
      <c r="AA157" s="291">
        <f>IF(AA$154="","",INDEX('DEMAND BY DATE'!$CA$4:$DV$203,MATCH(AA$154,'DEMAND BY DATE'!$A$4:$A$203,0),MATCH($A157,'DEMAND BY DATE'!$CA$3:$DV$3,0)))</f>
        <v>2</v>
      </c>
      <c r="AB157" s="291">
        <f>IF(AB$154="","",INDEX('DEMAND BY DATE'!$CA$4:$DV$203,MATCH(AB$154,'DEMAND BY DATE'!$A$4:$A$203,0),MATCH($A157,'DEMAND BY DATE'!$CA$3:$DV$3,0)))</f>
        <v>2</v>
      </c>
      <c r="AC157" s="291">
        <f>IF(AC$154="","",INDEX('DEMAND BY DATE'!$CA$4:$DV$203,MATCH(AC$154,'DEMAND BY DATE'!$A$4:$A$203,0),MATCH($A157,'DEMAND BY DATE'!$CA$3:$DV$3,0)))</f>
        <v>2</v>
      </c>
      <c r="AD157" s="291">
        <f>IF(AD$154="","",INDEX('DEMAND BY DATE'!$CA$4:$DV$203,MATCH(AD$154,'DEMAND BY DATE'!$A$4:$A$203,0),MATCH($A157,'DEMAND BY DATE'!$CA$3:$DV$3,0)))</f>
        <v>2</v>
      </c>
      <c r="AE157" s="291">
        <f>IF(AE$154="","",INDEX('DEMAND BY DATE'!$CA$4:$DV$203,MATCH(AE$154,'DEMAND BY DATE'!$A$4:$A$203,0),MATCH($A157,'DEMAND BY DATE'!$CA$3:$DV$3,0)))</f>
        <v>2</v>
      </c>
      <c r="AF157" s="291">
        <f>IF(AF$154="","",INDEX('DEMAND BY DATE'!$CA$4:$DV$203,MATCH(AF$154,'DEMAND BY DATE'!$A$4:$A$203,0),MATCH($A157,'DEMAND BY DATE'!$CA$3:$DV$3,0)))</f>
        <v>2</v>
      </c>
      <c r="AG157" s="291">
        <f>IF(AG$154="","",INDEX('DEMAND BY DATE'!$CA$4:$DV$203,MATCH(AG$154,'DEMAND BY DATE'!$A$4:$A$203,0),MATCH($A157,'DEMAND BY DATE'!$CA$3:$DV$3,0)))</f>
        <v>2</v>
      </c>
      <c r="AH157" s="291">
        <f>IF(AH$154="","",INDEX('DEMAND BY DATE'!$CA$4:$DV$203,MATCH(AH$154,'DEMAND BY DATE'!$A$4:$A$203,0),MATCH($A157,'DEMAND BY DATE'!$CA$3:$DV$3,0)))</f>
        <v>2</v>
      </c>
      <c r="AI157" s="291">
        <f>IF(AI$154="","",INDEX('DEMAND BY DATE'!$CA$4:$DV$203,MATCH(AI$154,'DEMAND BY DATE'!$A$4:$A$203,0),MATCH($A157,'DEMAND BY DATE'!$CA$3:$DV$3,0)))</f>
        <v>2</v>
      </c>
      <c r="AJ157" s="291">
        <f>IF(AJ$154="","",INDEX('DEMAND BY DATE'!$CA$4:$DV$203,MATCH(AJ$154,'DEMAND BY DATE'!$A$4:$A$203,0),MATCH($A157,'DEMAND BY DATE'!$CA$3:$DV$3,0)))</f>
        <v>2</v>
      </c>
      <c r="AK157" s="291">
        <f>IF(AK$154="","",INDEX('DEMAND BY DATE'!$CA$4:$DV$203,MATCH(AK$154,'DEMAND BY DATE'!$A$4:$A$203,0),MATCH($A157,'DEMAND BY DATE'!$CA$3:$DV$3,0)))</f>
        <v>2</v>
      </c>
    </row>
    <row r="158" spans="1:37">
      <c r="A158" s="288">
        <f>$A$36</f>
        <v>6820</v>
      </c>
      <c r="B158" s="289" t="str">
        <f>$AG$36</f>
        <v>VEST</v>
      </c>
      <c r="C158" s="289">
        <f>$AB$36</f>
        <v>32</v>
      </c>
      <c r="D158" s="290">
        <f>MAX($G158:$AK158)</f>
        <v>2</v>
      </c>
      <c r="E158" s="289"/>
      <c r="F158" s="289" cm="1">
        <f t="array" ref="F158">SUMPRODUCT((ISNUMBER($G158:$AK158))*($G158:$AK158&gt;0)*($G$151:$AK$151="Y"))</f>
        <v>26</v>
      </c>
      <c r="G158" s="291">
        <f>IF(G$154="","",INDEX('DEMAND BY DATE'!$CA$4:$DV$203,MATCH(G$154,'DEMAND BY DATE'!$A$4:$A$203,0),MATCH($A158,'DEMAND BY DATE'!$CA$3:$DV$3,0)))</f>
        <v>2</v>
      </c>
      <c r="H158" s="291">
        <f>IF(H$154="","",INDEX('DEMAND BY DATE'!$CA$4:$DV$203,MATCH(H$154,'DEMAND BY DATE'!$A$4:$A$203,0),MATCH($A158,'DEMAND BY DATE'!$CA$3:$DV$3,0)))</f>
        <v>2</v>
      </c>
      <c r="I158" s="291">
        <f>IF(I$154="","",INDEX('DEMAND BY DATE'!$CA$4:$DV$203,MATCH(I$154,'DEMAND BY DATE'!$A$4:$A$203,0),MATCH($A158,'DEMAND BY DATE'!$CA$3:$DV$3,0)))</f>
        <v>2</v>
      </c>
      <c r="J158" s="291">
        <f>IF(J$154="","",INDEX('DEMAND BY DATE'!$CA$4:$DV$203,MATCH(J$154,'DEMAND BY DATE'!$A$4:$A$203,0),MATCH($A158,'DEMAND BY DATE'!$CA$3:$DV$3,0)))</f>
        <v>2</v>
      </c>
      <c r="K158" s="291">
        <f>IF(K$154="","",INDEX('DEMAND BY DATE'!$CA$4:$DV$203,MATCH(K$154,'DEMAND BY DATE'!$A$4:$A$203,0),MATCH($A158,'DEMAND BY DATE'!$CA$3:$DV$3,0)))</f>
        <v>2</v>
      </c>
      <c r="L158" s="291">
        <f>IF(L$154="","",INDEX('DEMAND BY DATE'!$CA$4:$DV$203,MATCH(L$154,'DEMAND BY DATE'!$A$4:$A$203,0),MATCH($A158,'DEMAND BY DATE'!$CA$3:$DV$3,0)))</f>
        <v>2</v>
      </c>
      <c r="M158" s="291">
        <f>IF(M$154="","",INDEX('DEMAND BY DATE'!$CA$4:$DV$203,MATCH(M$154,'DEMAND BY DATE'!$A$4:$A$203,0),MATCH($A158,'DEMAND BY DATE'!$CA$3:$DV$3,0)))</f>
        <v>2</v>
      </c>
      <c r="N158" s="291">
        <f>IF(N$154="","",INDEX('DEMAND BY DATE'!$CA$4:$DV$203,MATCH(N$154,'DEMAND BY DATE'!$A$4:$A$203,0),MATCH($A158,'DEMAND BY DATE'!$CA$3:$DV$3,0)))</f>
        <v>2</v>
      </c>
      <c r="O158" s="291">
        <f>IF(O$154="","",INDEX('DEMAND BY DATE'!$CA$4:$DV$203,MATCH(O$154,'DEMAND BY DATE'!$A$4:$A$203,0),MATCH($A158,'DEMAND BY DATE'!$CA$3:$DV$3,0)))</f>
        <v>2</v>
      </c>
      <c r="P158" s="291">
        <f>IF(P$154="","",INDEX('DEMAND BY DATE'!$CA$4:$DV$203,MATCH(P$154,'DEMAND BY DATE'!$A$4:$A$203,0),MATCH($A158,'DEMAND BY DATE'!$CA$3:$DV$3,0)))</f>
        <v>2</v>
      </c>
      <c r="Q158" s="291">
        <f>IF(Q$154="","",INDEX('DEMAND BY DATE'!$CA$4:$DV$203,MATCH(Q$154,'DEMAND BY DATE'!$A$4:$A$203,0),MATCH($A158,'DEMAND BY DATE'!$CA$3:$DV$3,0)))</f>
        <v>2</v>
      </c>
      <c r="R158" s="291">
        <f>IF(R$154="","",INDEX('DEMAND BY DATE'!$CA$4:$DV$203,MATCH(R$154,'DEMAND BY DATE'!$A$4:$A$203,0),MATCH($A158,'DEMAND BY DATE'!$CA$3:$DV$3,0)))</f>
        <v>1</v>
      </c>
      <c r="S158" s="291">
        <f>IF(S$154="","",INDEX('DEMAND BY DATE'!$CA$4:$DV$203,MATCH(S$154,'DEMAND BY DATE'!$A$4:$A$203,0),MATCH($A158,'DEMAND BY DATE'!$CA$3:$DV$3,0)))</f>
        <v>1</v>
      </c>
      <c r="T158" s="291">
        <f>IF(T$154="","",INDEX('DEMAND BY DATE'!$CA$4:$DV$203,MATCH(T$154,'DEMAND BY DATE'!$A$4:$A$203,0),MATCH($A158,'DEMAND BY DATE'!$CA$3:$DV$3,0)))</f>
        <v>1</v>
      </c>
      <c r="U158" s="291">
        <f>IF(U$154="","",INDEX('DEMAND BY DATE'!$CA$4:$DV$203,MATCH(U$154,'DEMAND BY DATE'!$A$4:$A$203,0),MATCH($A158,'DEMAND BY DATE'!$CA$3:$DV$3,0)))</f>
        <v>1</v>
      </c>
      <c r="V158" s="291">
        <f>IF(V$154="","",INDEX('DEMAND BY DATE'!$CA$4:$DV$203,MATCH(V$154,'DEMAND BY DATE'!$A$4:$A$203,0),MATCH($A158,'DEMAND BY DATE'!$CA$3:$DV$3,0)))</f>
        <v>1</v>
      </c>
      <c r="W158" s="291">
        <f>IF(W$154="","",INDEX('DEMAND BY DATE'!$CA$4:$DV$203,MATCH(W$154,'DEMAND BY DATE'!$A$4:$A$203,0),MATCH($A158,'DEMAND BY DATE'!$CA$3:$DV$3,0)))</f>
        <v>1</v>
      </c>
      <c r="X158" s="291">
        <f>IF(X$154="","",INDEX('DEMAND BY DATE'!$CA$4:$DV$203,MATCH(X$154,'DEMAND BY DATE'!$A$4:$A$203,0),MATCH($A158,'DEMAND BY DATE'!$CA$3:$DV$3,0)))</f>
        <v>1</v>
      </c>
      <c r="Y158" s="291">
        <f>IF(Y$154="","",INDEX('DEMAND BY DATE'!$CA$4:$DV$203,MATCH(Y$154,'DEMAND BY DATE'!$A$4:$A$203,0),MATCH($A158,'DEMAND BY DATE'!$CA$3:$DV$3,0)))</f>
        <v>1</v>
      </c>
      <c r="Z158" s="291">
        <f>IF(Z$154="","",INDEX('DEMAND BY DATE'!$CA$4:$DV$203,MATCH(Z$154,'DEMAND BY DATE'!$A$4:$A$203,0),MATCH($A158,'DEMAND BY DATE'!$CA$3:$DV$3,0)))</f>
        <v>1</v>
      </c>
      <c r="AA158" s="291">
        <f>IF(AA$154="","",INDEX('DEMAND BY DATE'!$CA$4:$DV$203,MATCH(AA$154,'DEMAND BY DATE'!$A$4:$A$203,0),MATCH($A158,'DEMAND BY DATE'!$CA$3:$DV$3,0)))</f>
        <v>1</v>
      </c>
      <c r="AB158" s="291">
        <f>IF(AB$154="","",INDEX('DEMAND BY DATE'!$CA$4:$DV$203,MATCH(AB$154,'DEMAND BY DATE'!$A$4:$A$203,0),MATCH($A158,'DEMAND BY DATE'!$CA$3:$DV$3,0)))</f>
        <v>1</v>
      </c>
      <c r="AC158" s="291">
        <f>IF(AC$154="","",INDEX('DEMAND BY DATE'!$CA$4:$DV$203,MATCH(AC$154,'DEMAND BY DATE'!$A$4:$A$203,0),MATCH($A158,'DEMAND BY DATE'!$CA$3:$DV$3,0)))</f>
        <v>1</v>
      </c>
      <c r="AD158" s="291">
        <f>IF(AD$154="","",INDEX('DEMAND BY DATE'!$CA$4:$DV$203,MATCH(AD$154,'DEMAND BY DATE'!$A$4:$A$203,0),MATCH($A158,'DEMAND BY DATE'!$CA$3:$DV$3,0)))</f>
        <v>1</v>
      </c>
      <c r="AE158" s="291">
        <f>IF(AE$154="","",INDEX('DEMAND BY DATE'!$CA$4:$DV$203,MATCH(AE$154,'DEMAND BY DATE'!$A$4:$A$203,0),MATCH($A158,'DEMAND BY DATE'!$CA$3:$DV$3,0)))</f>
        <v>1</v>
      </c>
      <c r="AF158" s="291">
        <f>IF(AF$154="","",INDEX('DEMAND BY DATE'!$CA$4:$DV$203,MATCH(AF$154,'DEMAND BY DATE'!$A$4:$A$203,0),MATCH($A158,'DEMAND BY DATE'!$CA$3:$DV$3,0)))</f>
        <v>1</v>
      </c>
      <c r="AG158" s="291">
        <f>IF(AG$154="","",INDEX('DEMAND BY DATE'!$CA$4:$DV$203,MATCH(AG$154,'DEMAND BY DATE'!$A$4:$A$203,0),MATCH($A158,'DEMAND BY DATE'!$CA$3:$DV$3,0)))</f>
        <v>1</v>
      </c>
      <c r="AH158" s="291">
        <f>IF(AH$154="","",INDEX('DEMAND BY DATE'!$CA$4:$DV$203,MATCH(AH$154,'DEMAND BY DATE'!$A$4:$A$203,0),MATCH($A158,'DEMAND BY DATE'!$CA$3:$DV$3,0)))</f>
        <v>1</v>
      </c>
      <c r="AI158" s="291">
        <f>IF(AI$154="","",INDEX('DEMAND BY DATE'!$CA$4:$DV$203,MATCH(AI$154,'DEMAND BY DATE'!$A$4:$A$203,0),MATCH($A158,'DEMAND BY DATE'!$CA$3:$DV$3,0)))</f>
        <v>1</v>
      </c>
      <c r="AJ158" s="291">
        <f>IF(AJ$154="","",INDEX('DEMAND BY DATE'!$CA$4:$DV$203,MATCH(AJ$154,'DEMAND BY DATE'!$A$4:$A$203,0),MATCH($A158,'DEMAND BY DATE'!$CA$3:$DV$3,0)))</f>
        <v>1</v>
      </c>
      <c r="AK158" s="291">
        <f>IF(AK$154="","",INDEX('DEMAND BY DATE'!$CA$4:$DV$203,MATCH(AK$154,'DEMAND BY DATE'!$A$4:$A$203,0),MATCH($A158,'DEMAND BY DATE'!$CA$3:$DV$3,0)))</f>
        <v>1</v>
      </c>
    </row>
    <row r="159" spans="1:37">
      <c r="A159" s="288">
        <f>$A$37</f>
        <v>6108</v>
      </c>
      <c r="B159" s="289" t="str">
        <f>$AG$37</f>
        <v>TRUNK</v>
      </c>
      <c r="C159" s="289">
        <f>$AB$37</f>
        <v>31.5</v>
      </c>
      <c r="D159" s="290">
        <f>MAX($G159:$AK159)</f>
        <v>3</v>
      </c>
      <c r="E159" s="289"/>
      <c r="F159" s="289" cm="1">
        <f t="array" ref="F159">SUMPRODUCT((ISNUMBER($G159:$AK159))*($G159:$AK159&gt;0)*($G$151:$AK$151="Y"))</f>
        <v>26</v>
      </c>
      <c r="G159" s="291">
        <f>IF(G$154="","",INDEX('DEMAND BY DATE'!$CA$4:$DV$203,MATCH(G$154,'DEMAND BY DATE'!$A$4:$A$203,0),MATCH($A159,'DEMAND BY DATE'!$CA$3:$DV$3,0)))</f>
        <v>2</v>
      </c>
      <c r="H159" s="291">
        <f>IF(H$154="","",INDEX('DEMAND BY DATE'!$CA$4:$DV$203,MATCH(H$154,'DEMAND BY DATE'!$A$4:$A$203,0),MATCH($A159,'DEMAND BY DATE'!$CA$3:$DV$3,0)))</f>
        <v>2</v>
      </c>
      <c r="I159" s="291">
        <f>IF(I$154="","",INDEX('DEMAND BY DATE'!$CA$4:$DV$203,MATCH(I$154,'DEMAND BY DATE'!$A$4:$A$203,0),MATCH($A159,'DEMAND BY DATE'!$CA$3:$DV$3,0)))</f>
        <v>2</v>
      </c>
      <c r="J159" s="291">
        <f>IF(J$154="","",INDEX('DEMAND BY DATE'!$CA$4:$DV$203,MATCH(J$154,'DEMAND BY DATE'!$A$4:$A$203,0),MATCH($A159,'DEMAND BY DATE'!$CA$3:$DV$3,0)))</f>
        <v>2</v>
      </c>
      <c r="K159" s="291">
        <f>IF(K$154="","",INDEX('DEMAND BY DATE'!$CA$4:$DV$203,MATCH(K$154,'DEMAND BY DATE'!$A$4:$A$203,0),MATCH($A159,'DEMAND BY DATE'!$CA$3:$DV$3,0)))</f>
        <v>2</v>
      </c>
      <c r="L159" s="291">
        <f>IF(L$154="","",INDEX('DEMAND BY DATE'!$CA$4:$DV$203,MATCH(L$154,'DEMAND BY DATE'!$A$4:$A$203,0),MATCH($A159,'DEMAND BY DATE'!$CA$3:$DV$3,0)))</f>
        <v>2</v>
      </c>
      <c r="M159" s="291">
        <f>IF(M$154="","",INDEX('DEMAND BY DATE'!$CA$4:$DV$203,MATCH(M$154,'DEMAND BY DATE'!$A$4:$A$203,0),MATCH($A159,'DEMAND BY DATE'!$CA$3:$DV$3,0)))</f>
        <v>2</v>
      </c>
      <c r="N159" s="291">
        <f>IF(N$154="","",INDEX('DEMAND BY DATE'!$CA$4:$DV$203,MATCH(N$154,'DEMAND BY DATE'!$A$4:$A$203,0),MATCH($A159,'DEMAND BY DATE'!$CA$3:$DV$3,0)))</f>
        <v>2</v>
      </c>
      <c r="O159" s="291">
        <f>IF(O$154="","",INDEX('DEMAND BY DATE'!$CA$4:$DV$203,MATCH(O$154,'DEMAND BY DATE'!$A$4:$A$203,0),MATCH($A159,'DEMAND BY DATE'!$CA$3:$DV$3,0)))</f>
        <v>2</v>
      </c>
      <c r="P159" s="291">
        <f>IF(P$154="","",INDEX('DEMAND BY DATE'!$CA$4:$DV$203,MATCH(P$154,'DEMAND BY DATE'!$A$4:$A$203,0),MATCH($A159,'DEMAND BY DATE'!$CA$3:$DV$3,0)))</f>
        <v>2</v>
      </c>
      <c r="Q159" s="291">
        <f>IF(Q$154="","",INDEX('DEMAND BY DATE'!$CA$4:$DV$203,MATCH(Q$154,'DEMAND BY DATE'!$A$4:$A$203,0),MATCH($A159,'DEMAND BY DATE'!$CA$3:$DV$3,0)))</f>
        <v>2</v>
      </c>
      <c r="R159" s="291">
        <f>IF(R$154="","",INDEX('DEMAND BY DATE'!$CA$4:$DV$203,MATCH(R$154,'DEMAND BY DATE'!$A$4:$A$203,0),MATCH($A159,'DEMAND BY DATE'!$CA$3:$DV$3,0)))</f>
        <v>2</v>
      </c>
      <c r="S159" s="291">
        <f>IF(S$154="","",INDEX('DEMAND BY DATE'!$CA$4:$DV$203,MATCH(S$154,'DEMAND BY DATE'!$A$4:$A$203,0),MATCH($A159,'DEMAND BY DATE'!$CA$3:$DV$3,0)))</f>
        <v>2</v>
      </c>
      <c r="T159" s="291">
        <f>IF(T$154="","",INDEX('DEMAND BY DATE'!$CA$4:$DV$203,MATCH(T$154,'DEMAND BY DATE'!$A$4:$A$203,0),MATCH($A159,'DEMAND BY DATE'!$CA$3:$DV$3,0)))</f>
        <v>3</v>
      </c>
      <c r="U159" s="291">
        <f>IF(U$154="","",INDEX('DEMAND BY DATE'!$CA$4:$DV$203,MATCH(U$154,'DEMAND BY DATE'!$A$4:$A$203,0),MATCH($A159,'DEMAND BY DATE'!$CA$3:$DV$3,0)))</f>
        <v>3</v>
      </c>
      <c r="V159" s="291">
        <f>IF(V$154="","",INDEX('DEMAND BY DATE'!$CA$4:$DV$203,MATCH(V$154,'DEMAND BY DATE'!$A$4:$A$203,0),MATCH($A159,'DEMAND BY DATE'!$CA$3:$DV$3,0)))</f>
        <v>3</v>
      </c>
      <c r="W159" s="291">
        <f>IF(W$154="","",INDEX('DEMAND BY DATE'!$CA$4:$DV$203,MATCH(W$154,'DEMAND BY DATE'!$A$4:$A$203,0),MATCH($A159,'DEMAND BY DATE'!$CA$3:$DV$3,0)))</f>
        <v>3</v>
      </c>
      <c r="X159" s="291">
        <f>IF(X$154="","",INDEX('DEMAND BY DATE'!$CA$4:$DV$203,MATCH(X$154,'DEMAND BY DATE'!$A$4:$A$203,0),MATCH($A159,'DEMAND BY DATE'!$CA$3:$DV$3,0)))</f>
        <v>3</v>
      </c>
      <c r="Y159" s="291">
        <f>IF(Y$154="","",INDEX('DEMAND BY DATE'!$CA$4:$DV$203,MATCH(Y$154,'DEMAND BY DATE'!$A$4:$A$203,0),MATCH($A159,'DEMAND BY DATE'!$CA$3:$DV$3,0)))</f>
        <v>3</v>
      </c>
      <c r="Z159" s="291">
        <f>IF(Z$154="","",INDEX('DEMAND BY DATE'!$CA$4:$DV$203,MATCH(Z$154,'DEMAND BY DATE'!$A$4:$A$203,0),MATCH($A159,'DEMAND BY DATE'!$CA$3:$DV$3,0)))</f>
        <v>3</v>
      </c>
      <c r="AA159" s="291">
        <f>IF(AA$154="","",INDEX('DEMAND BY DATE'!$CA$4:$DV$203,MATCH(AA$154,'DEMAND BY DATE'!$A$4:$A$203,0),MATCH($A159,'DEMAND BY DATE'!$CA$3:$DV$3,0)))</f>
        <v>3</v>
      </c>
      <c r="AB159" s="291">
        <f>IF(AB$154="","",INDEX('DEMAND BY DATE'!$CA$4:$DV$203,MATCH(AB$154,'DEMAND BY DATE'!$A$4:$A$203,0),MATCH($A159,'DEMAND BY DATE'!$CA$3:$DV$3,0)))</f>
        <v>3</v>
      </c>
      <c r="AC159" s="291">
        <f>IF(AC$154="","",INDEX('DEMAND BY DATE'!$CA$4:$DV$203,MATCH(AC$154,'DEMAND BY DATE'!$A$4:$A$203,0),MATCH($A159,'DEMAND BY DATE'!$CA$3:$DV$3,0)))</f>
        <v>3</v>
      </c>
      <c r="AD159" s="291">
        <f>IF(AD$154="","",INDEX('DEMAND BY DATE'!$CA$4:$DV$203,MATCH(AD$154,'DEMAND BY DATE'!$A$4:$A$203,0),MATCH($A159,'DEMAND BY DATE'!$CA$3:$DV$3,0)))</f>
        <v>3</v>
      </c>
      <c r="AE159" s="291">
        <f>IF(AE$154="","",INDEX('DEMAND BY DATE'!$CA$4:$DV$203,MATCH(AE$154,'DEMAND BY DATE'!$A$4:$A$203,0),MATCH($A159,'DEMAND BY DATE'!$CA$3:$DV$3,0)))</f>
        <v>3</v>
      </c>
      <c r="AF159" s="291">
        <f>IF(AF$154="","",INDEX('DEMAND BY DATE'!$CA$4:$DV$203,MATCH(AF$154,'DEMAND BY DATE'!$A$4:$A$203,0),MATCH($A159,'DEMAND BY DATE'!$CA$3:$DV$3,0)))</f>
        <v>3</v>
      </c>
      <c r="AG159" s="291">
        <f>IF(AG$154="","",INDEX('DEMAND BY DATE'!$CA$4:$DV$203,MATCH(AG$154,'DEMAND BY DATE'!$A$4:$A$203,0),MATCH($A159,'DEMAND BY DATE'!$CA$3:$DV$3,0)))</f>
        <v>3</v>
      </c>
      <c r="AH159" s="291">
        <f>IF(AH$154="","",INDEX('DEMAND BY DATE'!$CA$4:$DV$203,MATCH(AH$154,'DEMAND BY DATE'!$A$4:$A$203,0),MATCH($A159,'DEMAND BY DATE'!$CA$3:$DV$3,0)))</f>
        <v>3</v>
      </c>
      <c r="AI159" s="291">
        <f>IF(AI$154="","",INDEX('DEMAND BY DATE'!$CA$4:$DV$203,MATCH(AI$154,'DEMAND BY DATE'!$A$4:$A$203,0),MATCH($A159,'DEMAND BY DATE'!$CA$3:$DV$3,0)))</f>
        <v>3</v>
      </c>
      <c r="AJ159" s="291">
        <f>IF(AJ$154="","",INDEX('DEMAND BY DATE'!$CA$4:$DV$203,MATCH(AJ$154,'DEMAND BY DATE'!$A$4:$A$203,0),MATCH($A159,'DEMAND BY DATE'!$CA$3:$DV$3,0)))</f>
        <v>3</v>
      </c>
      <c r="AK159" s="291">
        <f>IF(AK$154="","",INDEX('DEMAND BY DATE'!$CA$4:$DV$203,MATCH(AK$154,'DEMAND BY DATE'!$A$4:$A$203,0),MATCH($A159,'DEMAND BY DATE'!$CA$3:$DV$3,0)))</f>
        <v>3</v>
      </c>
    </row>
    <row r="160" spans="1:37">
      <c r="A160" s="288">
        <f>$A$38</f>
        <v>6109</v>
      </c>
      <c r="B160" s="289" t="str">
        <f>$AG$38</f>
        <v>TRUNK</v>
      </c>
      <c r="C160" s="289">
        <f>$AB$38</f>
        <v>30</v>
      </c>
      <c r="D160" s="290">
        <f>MAX($G160:$AK160)</f>
        <v>3</v>
      </c>
      <c r="E160" s="289"/>
      <c r="F160" s="289" cm="1">
        <f t="array" ref="F160">SUMPRODUCT((ISNUMBER($G160:$AK160))*($G160:$AK160&gt;0)*($G$151:$AK$151="Y"))</f>
        <v>26</v>
      </c>
      <c r="G160" s="291">
        <f>IF(G$154="","",INDEX('DEMAND BY DATE'!$CA$4:$DV$203,MATCH(G$154,'DEMAND BY DATE'!$A$4:$A$203,0),MATCH($A160,'DEMAND BY DATE'!$CA$3:$DV$3,0)))</f>
        <v>3</v>
      </c>
      <c r="H160" s="291">
        <f>IF(H$154="","",INDEX('DEMAND BY DATE'!$CA$4:$DV$203,MATCH(H$154,'DEMAND BY DATE'!$A$4:$A$203,0),MATCH($A160,'DEMAND BY DATE'!$CA$3:$DV$3,0)))</f>
        <v>3</v>
      </c>
      <c r="I160" s="291">
        <f>IF(I$154="","",INDEX('DEMAND BY DATE'!$CA$4:$DV$203,MATCH(I$154,'DEMAND BY DATE'!$A$4:$A$203,0),MATCH($A160,'DEMAND BY DATE'!$CA$3:$DV$3,0)))</f>
        <v>3</v>
      </c>
      <c r="J160" s="291">
        <f>IF(J$154="","",INDEX('DEMAND BY DATE'!$CA$4:$DV$203,MATCH(J$154,'DEMAND BY DATE'!$A$4:$A$203,0),MATCH($A160,'DEMAND BY DATE'!$CA$3:$DV$3,0)))</f>
        <v>3</v>
      </c>
      <c r="K160" s="291">
        <f>IF(K$154="","",INDEX('DEMAND BY DATE'!$CA$4:$DV$203,MATCH(K$154,'DEMAND BY DATE'!$A$4:$A$203,0),MATCH($A160,'DEMAND BY DATE'!$CA$3:$DV$3,0)))</f>
        <v>3</v>
      </c>
      <c r="L160" s="291">
        <f>IF(L$154="","",INDEX('DEMAND BY DATE'!$CA$4:$DV$203,MATCH(L$154,'DEMAND BY DATE'!$A$4:$A$203,0),MATCH($A160,'DEMAND BY DATE'!$CA$3:$DV$3,0)))</f>
        <v>3</v>
      </c>
      <c r="M160" s="291">
        <f>IF(M$154="","",INDEX('DEMAND BY DATE'!$CA$4:$DV$203,MATCH(M$154,'DEMAND BY DATE'!$A$4:$A$203,0),MATCH($A160,'DEMAND BY DATE'!$CA$3:$DV$3,0)))</f>
        <v>3</v>
      </c>
      <c r="N160" s="291">
        <f>IF(N$154="","",INDEX('DEMAND BY DATE'!$CA$4:$DV$203,MATCH(N$154,'DEMAND BY DATE'!$A$4:$A$203,0),MATCH($A160,'DEMAND BY DATE'!$CA$3:$DV$3,0)))</f>
        <v>3</v>
      </c>
      <c r="O160" s="291">
        <f>IF(O$154="","",INDEX('DEMAND BY DATE'!$CA$4:$DV$203,MATCH(O$154,'DEMAND BY DATE'!$A$4:$A$203,0),MATCH($A160,'DEMAND BY DATE'!$CA$3:$DV$3,0)))</f>
        <v>3</v>
      </c>
      <c r="P160" s="291">
        <f>IF(P$154="","",INDEX('DEMAND BY DATE'!$CA$4:$DV$203,MATCH(P$154,'DEMAND BY DATE'!$A$4:$A$203,0),MATCH($A160,'DEMAND BY DATE'!$CA$3:$DV$3,0)))</f>
        <v>3</v>
      </c>
      <c r="Q160" s="291">
        <f>IF(Q$154="","",INDEX('DEMAND BY DATE'!$CA$4:$DV$203,MATCH(Q$154,'DEMAND BY DATE'!$A$4:$A$203,0),MATCH($A160,'DEMAND BY DATE'!$CA$3:$DV$3,0)))</f>
        <v>3</v>
      </c>
      <c r="R160" s="291">
        <f>IF(R$154="","",INDEX('DEMAND BY DATE'!$CA$4:$DV$203,MATCH(R$154,'DEMAND BY DATE'!$A$4:$A$203,0),MATCH($A160,'DEMAND BY DATE'!$CA$3:$DV$3,0)))</f>
        <v>3</v>
      </c>
      <c r="S160" s="291">
        <f>IF(S$154="","",INDEX('DEMAND BY DATE'!$CA$4:$DV$203,MATCH(S$154,'DEMAND BY DATE'!$A$4:$A$203,0),MATCH($A160,'DEMAND BY DATE'!$CA$3:$DV$3,0)))</f>
        <v>3</v>
      </c>
      <c r="T160" s="291">
        <f>IF(T$154="","",INDEX('DEMAND BY DATE'!$CA$4:$DV$203,MATCH(T$154,'DEMAND BY DATE'!$A$4:$A$203,0),MATCH($A160,'DEMAND BY DATE'!$CA$3:$DV$3,0)))</f>
        <v>3</v>
      </c>
      <c r="U160" s="291">
        <f>IF(U$154="","",INDEX('DEMAND BY DATE'!$CA$4:$DV$203,MATCH(U$154,'DEMAND BY DATE'!$A$4:$A$203,0),MATCH($A160,'DEMAND BY DATE'!$CA$3:$DV$3,0)))</f>
        <v>3</v>
      </c>
      <c r="V160" s="291">
        <f>IF(V$154="","",INDEX('DEMAND BY DATE'!$CA$4:$DV$203,MATCH(V$154,'DEMAND BY DATE'!$A$4:$A$203,0),MATCH($A160,'DEMAND BY DATE'!$CA$3:$DV$3,0)))</f>
        <v>3</v>
      </c>
      <c r="W160" s="291">
        <f>IF(W$154="","",INDEX('DEMAND BY DATE'!$CA$4:$DV$203,MATCH(W$154,'DEMAND BY DATE'!$A$4:$A$203,0),MATCH($A160,'DEMAND BY DATE'!$CA$3:$DV$3,0)))</f>
        <v>3</v>
      </c>
      <c r="X160" s="291">
        <f>IF(X$154="","",INDEX('DEMAND BY DATE'!$CA$4:$DV$203,MATCH(X$154,'DEMAND BY DATE'!$A$4:$A$203,0),MATCH($A160,'DEMAND BY DATE'!$CA$3:$DV$3,0)))</f>
        <v>3</v>
      </c>
      <c r="Y160" s="291">
        <f>IF(Y$154="","",INDEX('DEMAND BY DATE'!$CA$4:$DV$203,MATCH(Y$154,'DEMAND BY DATE'!$A$4:$A$203,0),MATCH($A160,'DEMAND BY DATE'!$CA$3:$DV$3,0)))</f>
        <v>3</v>
      </c>
      <c r="Z160" s="291">
        <f>IF(Z$154="","",INDEX('DEMAND BY DATE'!$CA$4:$DV$203,MATCH(Z$154,'DEMAND BY DATE'!$A$4:$A$203,0),MATCH($A160,'DEMAND BY DATE'!$CA$3:$DV$3,0)))</f>
        <v>3</v>
      </c>
      <c r="AA160" s="291">
        <f>IF(AA$154="","",INDEX('DEMAND BY DATE'!$CA$4:$DV$203,MATCH(AA$154,'DEMAND BY DATE'!$A$4:$A$203,0),MATCH($A160,'DEMAND BY DATE'!$CA$3:$DV$3,0)))</f>
        <v>3</v>
      </c>
      <c r="AB160" s="291">
        <f>IF(AB$154="","",INDEX('DEMAND BY DATE'!$CA$4:$DV$203,MATCH(AB$154,'DEMAND BY DATE'!$A$4:$A$203,0),MATCH($A160,'DEMAND BY DATE'!$CA$3:$DV$3,0)))</f>
        <v>3</v>
      </c>
      <c r="AC160" s="291">
        <f>IF(AC$154="","",INDEX('DEMAND BY DATE'!$CA$4:$DV$203,MATCH(AC$154,'DEMAND BY DATE'!$A$4:$A$203,0),MATCH($A160,'DEMAND BY DATE'!$CA$3:$DV$3,0)))</f>
        <v>3</v>
      </c>
      <c r="AD160" s="291">
        <f>IF(AD$154="","",INDEX('DEMAND BY DATE'!$CA$4:$DV$203,MATCH(AD$154,'DEMAND BY DATE'!$A$4:$A$203,0),MATCH($A160,'DEMAND BY DATE'!$CA$3:$DV$3,0)))</f>
        <v>3</v>
      </c>
      <c r="AE160" s="291">
        <f>IF(AE$154="","",INDEX('DEMAND BY DATE'!$CA$4:$DV$203,MATCH(AE$154,'DEMAND BY DATE'!$A$4:$A$203,0),MATCH($A160,'DEMAND BY DATE'!$CA$3:$DV$3,0)))</f>
        <v>3</v>
      </c>
      <c r="AF160" s="291">
        <f>IF(AF$154="","",INDEX('DEMAND BY DATE'!$CA$4:$DV$203,MATCH(AF$154,'DEMAND BY DATE'!$A$4:$A$203,0),MATCH($A160,'DEMAND BY DATE'!$CA$3:$DV$3,0)))</f>
        <v>3</v>
      </c>
      <c r="AG160" s="291">
        <f>IF(AG$154="","",INDEX('DEMAND BY DATE'!$CA$4:$DV$203,MATCH(AG$154,'DEMAND BY DATE'!$A$4:$A$203,0),MATCH($A160,'DEMAND BY DATE'!$CA$3:$DV$3,0)))</f>
        <v>3</v>
      </c>
      <c r="AH160" s="291">
        <f>IF(AH$154="","",INDEX('DEMAND BY DATE'!$CA$4:$DV$203,MATCH(AH$154,'DEMAND BY DATE'!$A$4:$A$203,0),MATCH($A160,'DEMAND BY DATE'!$CA$3:$DV$3,0)))</f>
        <v>3</v>
      </c>
      <c r="AI160" s="291">
        <f>IF(AI$154="","",INDEX('DEMAND BY DATE'!$CA$4:$DV$203,MATCH(AI$154,'DEMAND BY DATE'!$A$4:$A$203,0),MATCH($A160,'DEMAND BY DATE'!$CA$3:$DV$3,0)))</f>
        <v>3</v>
      </c>
      <c r="AJ160" s="291">
        <f>IF(AJ$154="","",INDEX('DEMAND BY DATE'!$CA$4:$DV$203,MATCH(AJ$154,'DEMAND BY DATE'!$A$4:$A$203,0),MATCH($A160,'DEMAND BY DATE'!$CA$3:$DV$3,0)))</f>
        <v>3</v>
      </c>
      <c r="AK160" s="291">
        <f>IF(AK$154="","",INDEX('DEMAND BY DATE'!$CA$4:$DV$203,MATCH(AK$154,'DEMAND BY DATE'!$A$4:$A$203,0),MATCH($A160,'DEMAND BY DATE'!$CA$3:$DV$3,0)))</f>
        <v>3</v>
      </c>
    </row>
    <row r="161" spans="1:37">
      <c r="A161" s="288">
        <f>$A$39</f>
        <v>4117</v>
      </c>
      <c r="B161" s="289" t="str">
        <f>$AG$39</f>
        <v>TRUNK</v>
      </c>
      <c r="C161" s="289">
        <f>$AB$39</f>
        <v>30.5</v>
      </c>
      <c r="D161" s="290">
        <f>MAX($G161:$AK161)</f>
        <v>2</v>
      </c>
      <c r="E161" s="289"/>
      <c r="F161" s="289" cm="1">
        <f t="array" ref="F161">SUMPRODUCT((ISNUMBER($G161:$AK161))*($G161:$AK161&gt;0)*($G$151:$AK$151="Y"))</f>
        <v>26</v>
      </c>
      <c r="G161" s="291">
        <f>IF(G$154="","",INDEX('DEMAND BY DATE'!$CA$4:$DV$203,MATCH(G$154,'DEMAND BY DATE'!$A$4:$A$203,0),MATCH($A161,'DEMAND BY DATE'!$CA$3:$DV$3,0)))</f>
        <v>2</v>
      </c>
      <c r="H161" s="291">
        <f>IF(H$154="","",INDEX('DEMAND BY DATE'!$CA$4:$DV$203,MATCH(H$154,'DEMAND BY DATE'!$A$4:$A$203,0),MATCH($A161,'DEMAND BY DATE'!$CA$3:$DV$3,0)))</f>
        <v>2</v>
      </c>
      <c r="I161" s="291">
        <f>IF(I$154="","",INDEX('DEMAND BY DATE'!$CA$4:$DV$203,MATCH(I$154,'DEMAND BY DATE'!$A$4:$A$203,0),MATCH($A161,'DEMAND BY DATE'!$CA$3:$DV$3,0)))</f>
        <v>2</v>
      </c>
      <c r="J161" s="291">
        <f>IF(J$154="","",INDEX('DEMAND BY DATE'!$CA$4:$DV$203,MATCH(J$154,'DEMAND BY DATE'!$A$4:$A$203,0),MATCH($A161,'DEMAND BY DATE'!$CA$3:$DV$3,0)))</f>
        <v>2</v>
      </c>
      <c r="K161" s="291">
        <f>IF(K$154="","",INDEX('DEMAND BY DATE'!$CA$4:$DV$203,MATCH(K$154,'DEMAND BY DATE'!$A$4:$A$203,0),MATCH($A161,'DEMAND BY DATE'!$CA$3:$DV$3,0)))</f>
        <v>2</v>
      </c>
      <c r="L161" s="291">
        <f>IF(L$154="","",INDEX('DEMAND BY DATE'!$CA$4:$DV$203,MATCH(L$154,'DEMAND BY DATE'!$A$4:$A$203,0),MATCH($A161,'DEMAND BY DATE'!$CA$3:$DV$3,0)))</f>
        <v>2</v>
      </c>
      <c r="M161" s="291">
        <f>IF(M$154="","",INDEX('DEMAND BY DATE'!$CA$4:$DV$203,MATCH(M$154,'DEMAND BY DATE'!$A$4:$A$203,0),MATCH($A161,'DEMAND BY DATE'!$CA$3:$DV$3,0)))</f>
        <v>2</v>
      </c>
      <c r="N161" s="291">
        <f>IF(N$154="","",INDEX('DEMAND BY DATE'!$CA$4:$DV$203,MATCH(N$154,'DEMAND BY DATE'!$A$4:$A$203,0),MATCH($A161,'DEMAND BY DATE'!$CA$3:$DV$3,0)))</f>
        <v>2</v>
      </c>
      <c r="O161" s="291">
        <f>IF(O$154="","",INDEX('DEMAND BY DATE'!$CA$4:$DV$203,MATCH(O$154,'DEMAND BY DATE'!$A$4:$A$203,0),MATCH($A161,'DEMAND BY DATE'!$CA$3:$DV$3,0)))</f>
        <v>2</v>
      </c>
      <c r="P161" s="291">
        <f>IF(P$154="","",INDEX('DEMAND BY DATE'!$CA$4:$DV$203,MATCH(P$154,'DEMAND BY DATE'!$A$4:$A$203,0),MATCH($A161,'DEMAND BY DATE'!$CA$3:$DV$3,0)))</f>
        <v>2</v>
      </c>
      <c r="Q161" s="291">
        <f>IF(Q$154="","",INDEX('DEMAND BY DATE'!$CA$4:$DV$203,MATCH(Q$154,'DEMAND BY DATE'!$A$4:$A$203,0),MATCH($A161,'DEMAND BY DATE'!$CA$3:$DV$3,0)))</f>
        <v>2</v>
      </c>
      <c r="R161" s="291">
        <f>IF(R$154="","",INDEX('DEMAND BY DATE'!$CA$4:$DV$203,MATCH(R$154,'DEMAND BY DATE'!$A$4:$A$203,0),MATCH($A161,'DEMAND BY DATE'!$CA$3:$DV$3,0)))</f>
        <v>2</v>
      </c>
      <c r="S161" s="291">
        <f>IF(S$154="","",INDEX('DEMAND BY DATE'!$CA$4:$DV$203,MATCH(S$154,'DEMAND BY DATE'!$A$4:$A$203,0),MATCH($A161,'DEMAND BY DATE'!$CA$3:$DV$3,0)))</f>
        <v>2</v>
      </c>
      <c r="T161" s="291">
        <f>IF(T$154="","",INDEX('DEMAND BY DATE'!$CA$4:$DV$203,MATCH(T$154,'DEMAND BY DATE'!$A$4:$A$203,0),MATCH($A161,'DEMAND BY DATE'!$CA$3:$DV$3,0)))</f>
        <v>2</v>
      </c>
      <c r="U161" s="291">
        <f>IF(U$154="","",INDEX('DEMAND BY DATE'!$CA$4:$DV$203,MATCH(U$154,'DEMAND BY DATE'!$A$4:$A$203,0),MATCH($A161,'DEMAND BY DATE'!$CA$3:$DV$3,0)))</f>
        <v>2</v>
      </c>
      <c r="V161" s="291">
        <f>IF(V$154="","",INDEX('DEMAND BY DATE'!$CA$4:$DV$203,MATCH(V$154,'DEMAND BY DATE'!$A$4:$A$203,0),MATCH($A161,'DEMAND BY DATE'!$CA$3:$DV$3,0)))</f>
        <v>2</v>
      </c>
      <c r="W161" s="291">
        <f>IF(W$154="","",INDEX('DEMAND BY DATE'!$CA$4:$DV$203,MATCH(W$154,'DEMAND BY DATE'!$A$4:$A$203,0),MATCH($A161,'DEMAND BY DATE'!$CA$3:$DV$3,0)))</f>
        <v>2</v>
      </c>
      <c r="X161" s="291">
        <f>IF(X$154="","",INDEX('DEMAND BY DATE'!$CA$4:$DV$203,MATCH(X$154,'DEMAND BY DATE'!$A$4:$A$203,0),MATCH($A161,'DEMAND BY DATE'!$CA$3:$DV$3,0)))</f>
        <v>2</v>
      </c>
      <c r="Y161" s="291">
        <f>IF(Y$154="","",INDEX('DEMAND BY DATE'!$CA$4:$DV$203,MATCH(Y$154,'DEMAND BY DATE'!$A$4:$A$203,0),MATCH($A161,'DEMAND BY DATE'!$CA$3:$DV$3,0)))</f>
        <v>2</v>
      </c>
      <c r="Z161" s="291">
        <f>IF(Z$154="","",INDEX('DEMAND BY DATE'!$CA$4:$DV$203,MATCH(Z$154,'DEMAND BY DATE'!$A$4:$A$203,0),MATCH($A161,'DEMAND BY DATE'!$CA$3:$DV$3,0)))</f>
        <v>2</v>
      </c>
      <c r="AA161" s="291">
        <f>IF(AA$154="","",INDEX('DEMAND BY DATE'!$CA$4:$DV$203,MATCH(AA$154,'DEMAND BY DATE'!$A$4:$A$203,0),MATCH($A161,'DEMAND BY DATE'!$CA$3:$DV$3,0)))</f>
        <v>2</v>
      </c>
      <c r="AB161" s="291">
        <f>IF(AB$154="","",INDEX('DEMAND BY DATE'!$CA$4:$DV$203,MATCH(AB$154,'DEMAND BY DATE'!$A$4:$A$203,0),MATCH($A161,'DEMAND BY DATE'!$CA$3:$DV$3,0)))</f>
        <v>2</v>
      </c>
      <c r="AC161" s="291">
        <f>IF(AC$154="","",INDEX('DEMAND BY DATE'!$CA$4:$DV$203,MATCH(AC$154,'DEMAND BY DATE'!$A$4:$A$203,0),MATCH($A161,'DEMAND BY DATE'!$CA$3:$DV$3,0)))</f>
        <v>2</v>
      </c>
      <c r="AD161" s="291">
        <f>IF(AD$154="","",INDEX('DEMAND BY DATE'!$CA$4:$DV$203,MATCH(AD$154,'DEMAND BY DATE'!$A$4:$A$203,0),MATCH($A161,'DEMAND BY DATE'!$CA$3:$DV$3,0)))</f>
        <v>2</v>
      </c>
      <c r="AE161" s="291">
        <f>IF(AE$154="","",INDEX('DEMAND BY DATE'!$CA$4:$DV$203,MATCH(AE$154,'DEMAND BY DATE'!$A$4:$A$203,0),MATCH($A161,'DEMAND BY DATE'!$CA$3:$DV$3,0)))</f>
        <v>2</v>
      </c>
      <c r="AF161" s="291">
        <f>IF(AF$154="","",INDEX('DEMAND BY DATE'!$CA$4:$DV$203,MATCH(AF$154,'DEMAND BY DATE'!$A$4:$A$203,0),MATCH($A161,'DEMAND BY DATE'!$CA$3:$DV$3,0)))</f>
        <v>2</v>
      </c>
      <c r="AG161" s="291">
        <f>IF(AG$154="","",INDEX('DEMAND BY DATE'!$CA$4:$DV$203,MATCH(AG$154,'DEMAND BY DATE'!$A$4:$A$203,0),MATCH($A161,'DEMAND BY DATE'!$CA$3:$DV$3,0)))</f>
        <v>2</v>
      </c>
      <c r="AH161" s="291">
        <f>IF(AH$154="","",INDEX('DEMAND BY DATE'!$CA$4:$DV$203,MATCH(AH$154,'DEMAND BY DATE'!$A$4:$A$203,0),MATCH($A161,'DEMAND BY DATE'!$CA$3:$DV$3,0)))</f>
        <v>2</v>
      </c>
      <c r="AI161" s="291">
        <f>IF(AI$154="","",INDEX('DEMAND BY DATE'!$CA$4:$DV$203,MATCH(AI$154,'DEMAND BY DATE'!$A$4:$A$203,0),MATCH($A161,'DEMAND BY DATE'!$CA$3:$DV$3,0)))</f>
        <v>2</v>
      </c>
      <c r="AJ161" s="291">
        <f>IF(AJ$154="","",INDEX('DEMAND BY DATE'!$CA$4:$DV$203,MATCH(AJ$154,'DEMAND BY DATE'!$A$4:$A$203,0),MATCH($A161,'DEMAND BY DATE'!$CA$3:$DV$3,0)))</f>
        <v>2</v>
      </c>
      <c r="AK161" s="291">
        <f>IF(AK$154="","",INDEX('DEMAND BY DATE'!$CA$4:$DV$203,MATCH(AK$154,'DEMAND BY DATE'!$A$4:$A$203,0),MATCH($A161,'DEMAND BY DATE'!$CA$3:$DV$3,0)))</f>
        <v>2</v>
      </c>
    </row>
    <row r="162" spans="1:37">
      <c r="A162" s="288" t="str">
        <f>$A$40</f>
        <v>4406/10</v>
      </c>
      <c r="B162" s="289" t="str">
        <f>$AG$40</f>
        <v>PANTY</v>
      </c>
      <c r="C162" s="289">
        <f>$AB$40</f>
        <v>29.5</v>
      </c>
      <c r="D162" s="290">
        <f>MAX($G162:$AK162)</f>
        <v>3</v>
      </c>
      <c r="E162" s="289"/>
      <c r="F162" s="289" cm="1">
        <f t="array" ref="F162">SUMPRODUCT((ISNUMBER($G162:$AK162))*($G162:$AK162&gt;0)*($G$151:$AK$151="Y"))</f>
        <v>26</v>
      </c>
      <c r="G162" s="291">
        <f>IF(G$154="","",INDEX('DEMAND BY DATE'!$CA$4:$DV$203,MATCH(G$154,'DEMAND BY DATE'!$A$4:$A$203,0),MATCH($A162,'DEMAND BY DATE'!$CA$3:$DV$3,0)))</f>
        <v>1</v>
      </c>
      <c r="H162" s="291">
        <f>IF(H$154="","",INDEX('DEMAND BY DATE'!$CA$4:$DV$203,MATCH(H$154,'DEMAND BY DATE'!$A$4:$A$203,0),MATCH($A162,'DEMAND BY DATE'!$CA$3:$DV$3,0)))</f>
        <v>1</v>
      </c>
      <c r="I162" s="291">
        <f>IF(I$154="","",INDEX('DEMAND BY DATE'!$CA$4:$DV$203,MATCH(I$154,'DEMAND BY DATE'!$A$4:$A$203,0),MATCH($A162,'DEMAND BY DATE'!$CA$3:$DV$3,0)))</f>
        <v>1</v>
      </c>
      <c r="J162" s="291">
        <f>IF(J$154="","",INDEX('DEMAND BY DATE'!$CA$4:$DV$203,MATCH(J$154,'DEMAND BY DATE'!$A$4:$A$203,0),MATCH($A162,'DEMAND BY DATE'!$CA$3:$DV$3,0)))</f>
        <v>1</v>
      </c>
      <c r="K162" s="291">
        <f>IF(K$154="","",INDEX('DEMAND BY DATE'!$CA$4:$DV$203,MATCH(K$154,'DEMAND BY DATE'!$A$4:$A$203,0),MATCH($A162,'DEMAND BY DATE'!$CA$3:$DV$3,0)))</f>
        <v>1</v>
      </c>
      <c r="L162" s="291">
        <f>IF(L$154="","",INDEX('DEMAND BY DATE'!$CA$4:$DV$203,MATCH(L$154,'DEMAND BY DATE'!$A$4:$A$203,0),MATCH($A162,'DEMAND BY DATE'!$CA$3:$DV$3,0)))</f>
        <v>1</v>
      </c>
      <c r="M162" s="291">
        <f>IF(M$154="","",INDEX('DEMAND BY DATE'!$CA$4:$DV$203,MATCH(M$154,'DEMAND BY DATE'!$A$4:$A$203,0),MATCH($A162,'DEMAND BY DATE'!$CA$3:$DV$3,0)))</f>
        <v>1</v>
      </c>
      <c r="N162" s="291">
        <f>IF(N$154="","",INDEX('DEMAND BY DATE'!$CA$4:$DV$203,MATCH(N$154,'DEMAND BY DATE'!$A$4:$A$203,0),MATCH($A162,'DEMAND BY DATE'!$CA$3:$DV$3,0)))</f>
        <v>1</v>
      </c>
      <c r="O162" s="291">
        <f>IF(O$154="","",INDEX('DEMAND BY DATE'!$CA$4:$DV$203,MATCH(O$154,'DEMAND BY DATE'!$A$4:$A$203,0),MATCH($A162,'DEMAND BY DATE'!$CA$3:$DV$3,0)))</f>
        <v>1</v>
      </c>
      <c r="P162" s="291">
        <f>IF(P$154="","",INDEX('DEMAND BY DATE'!$CA$4:$DV$203,MATCH(P$154,'DEMAND BY DATE'!$A$4:$A$203,0),MATCH($A162,'DEMAND BY DATE'!$CA$3:$DV$3,0)))</f>
        <v>1</v>
      </c>
      <c r="Q162" s="291">
        <f>IF(Q$154="","",INDEX('DEMAND BY DATE'!$CA$4:$DV$203,MATCH(Q$154,'DEMAND BY DATE'!$A$4:$A$203,0),MATCH($A162,'DEMAND BY DATE'!$CA$3:$DV$3,0)))</f>
        <v>1</v>
      </c>
      <c r="R162" s="291">
        <f>IF(R$154="","",INDEX('DEMAND BY DATE'!$CA$4:$DV$203,MATCH(R$154,'DEMAND BY DATE'!$A$4:$A$203,0),MATCH($A162,'DEMAND BY DATE'!$CA$3:$DV$3,0)))</f>
        <v>1</v>
      </c>
      <c r="S162" s="291">
        <f>IF(S$154="","",INDEX('DEMAND BY DATE'!$CA$4:$DV$203,MATCH(S$154,'DEMAND BY DATE'!$A$4:$A$203,0),MATCH($A162,'DEMAND BY DATE'!$CA$3:$DV$3,0)))</f>
        <v>1</v>
      </c>
      <c r="T162" s="291">
        <f>IF(T$154="","",INDEX('DEMAND BY DATE'!$CA$4:$DV$203,MATCH(T$154,'DEMAND BY DATE'!$A$4:$A$203,0),MATCH($A162,'DEMAND BY DATE'!$CA$3:$DV$3,0)))</f>
        <v>1</v>
      </c>
      <c r="U162" s="291">
        <f>IF(U$154="","",INDEX('DEMAND BY DATE'!$CA$4:$DV$203,MATCH(U$154,'DEMAND BY DATE'!$A$4:$A$203,0),MATCH($A162,'DEMAND BY DATE'!$CA$3:$DV$3,0)))</f>
        <v>3</v>
      </c>
      <c r="V162" s="291">
        <f>IF(V$154="","",INDEX('DEMAND BY DATE'!$CA$4:$DV$203,MATCH(V$154,'DEMAND BY DATE'!$A$4:$A$203,0),MATCH($A162,'DEMAND BY DATE'!$CA$3:$DV$3,0)))</f>
        <v>3</v>
      </c>
      <c r="W162" s="291">
        <f>IF(W$154="","",INDEX('DEMAND BY DATE'!$CA$4:$DV$203,MATCH(W$154,'DEMAND BY DATE'!$A$4:$A$203,0),MATCH($A162,'DEMAND BY DATE'!$CA$3:$DV$3,0)))</f>
        <v>3</v>
      </c>
      <c r="X162" s="291">
        <f>IF(X$154="","",INDEX('DEMAND BY DATE'!$CA$4:$DV$203,MATCH(X$154,'DEMAND BY DATE'!$A$4:$A$203,0),MATCH($A162,'DEMAND BY DATE'!$CA$3:$DV$3,0)))</f>
        <v>3</v>
      </c>
      <c r="Y162" s="291">
        <f>IF(Y$154="","",INDEX('DEMAND BY DATE'!$CA$4:$DV$203,MATCH(Y$154,'DEMAND BY DATE'!$A$4:$A$203,0),MATCH($A162,'DEMAND BY DATE'!$CA$3:$DV$3,0)))</f>
        <v>3</v>
      </c>
      <c r="Z162" s="291">
        <f>IF(Z$154="","",INDEX('DEMAND BY DATE'!$CA$4:$DV$203,MATCH(Z$154,'DEMAND BY DATE'!$A$4:$A$203,0),MATCH($A162,'DEMAND BY DATE'!$CA$3:$DV$3,0)))</f>
        <v>3</v>
      </c>
      <c r="AA162" s="291">
        <f>IF(AA$154="","",INDEX('DEMAND BY DATE'!$CA$4:$DV$203,MATCH(AA$154,'DEMAND BY DATE'!$A$4:$A$203,0),MATCH($A162,'DEMAND BY DATE'!$CA$3:$DV$3,0)))</f>
        <v>3</v>
      </c>
      <c r="AB162" s="291">
        <f>IF(AB$154="","",INDEX('DEMAND BY DATE'!$CA$4:$DV$203,MATCH(AB$154,'DEMAND BY DATE'!$A$4:$A$203,0),MATCH($A162,'DEMAND BY DATE'!$CA$3:$DV$3,0)))</f>
        <v>3</v>
      </c>
      <c r="AC162" s="291">
        <f>IF(AC$154="","",INDEX('DEMAND BY DATE'!$CA$4:$DV$203,MATCH(AC$154,'DEMAND BY DATE'!$A$4:$A$203,0),MATCH($A162,'DEMAND BY DATE'!$CA$3:$DV$3,0)))</f>
        <v>3</v>
      </c>
      <c r="AD162" s="291">
        <f>IF(AD$154="","",INDEX('DEMAND BY DATE'!$CA$4:$DV$203,MATCH(AD$154,'DEMAND BY DATE'!$A$4:$A$203,0),MATCH($A162,'DEMAND BY DATE'!$CA$3:$DV$3,0)))</f>
        <v>3</v>
      </c>
      <c r="AE162" s="291">
        <f>IF(AE$154="","",INDEX('DEMAND BY DATE'!$CA$4:$DV$203,MATCH(AE$154,'DEMAND BY DATE'!$A$4:$A$203,0),MATCH($A162,'DEMAND BY DATE'!$CA$3:$DV$3,0)))</f>
        <v>3</v>
      </c>
      <c r="AF162" s="291">
        <f>IF(AF$154="","",INDEX('DEMAND BY DATE'!$CA$4:$DV$203,MATCH(AF$154,'DEMAND BY DATE'!$A$4:$A$203,0),MATCH($A162,'DEMAND BY DATE'!$CA$3:$DV$3,0)))</f>
        <v>3</v>
      </c>
      <c r="AG162" s="291">
        <f>IF(AG$154="","",INDEX('DEMAND BY DATE'!$CA$4:$DV$203,MATCH(AG$154,'DEMAND BY DATE'!$A$4:$A$203,0),MATCH($A162,'DEMAND BY DATE'!$CA$3:$DV$3,0)))</f>
        <v>3</v>
      </c>
      <c r="AH162" s="291">
        <f>IF(AH$154="","",INDEX('DEMAND BY DATE'!$CA$4:$DV$203,MATCH(AH$154,'DEMAND BY DATE'!$A$4:$A$203,0),MATCH($A162,'DEMAND BY DATE'!$CA$3:$DV$3,0)))</f>
        <v>3</v>
      </c>
      <c r="AI162" s="291">
        <f>IF(AI$154="","",INDEX('DEMAND BY DATE'!$CA$4:$DV$203,MATCH(AI$154,'DEMAND BY DATE'!$A$4:$A$203,0),MATCH($A162,'DEMAND BY DATE'!$CA$3:$DV$3,0)))</f>
        <v>3</v>
      </c>
      <c r="AJ162" s="291">
        <f>IF(AJ$154="","",INDEX('DEMAND BY DATE'!$CA$4:$DV$203,MATCH(AJ$154,'DEMAND BY DATE'!$A$4:$A$203,0),MATCH($A162,'DEMAND BY DATE'!$CA$3:$DV$3,0)))</f>
        <v>3</v>
      </c>
      <c r="AK162" s="291">
        <f>IF(AK$154="","",INDEX('DEMAND BY DATE'!$CA$4:$DV$203,MATCH(AK$154,'DEMAND BY DATE'!$A$4:$A$203,0),MATCH($A162,'DEMAND BY DATE'!$CA$3:$DV$3,0)))</f>
        <v>3</v>
      </c>
    </row>
    <row r="163" spans="1:37">
      <c r="A163" s="288">
        <f>$A$41</f>
        <v>4115</v>
      </c>
      <c r="B163" s="289" t="str">
        <f>$AG$41</f>
        <v>TRUNK</v>
      </c>
      <c r="C163" s="289">
        <f>$AB$41</f>
        <v>33.5</v>
      </c>
      <c r="D163" s="290">
        <f>MAX($G163:$AK163)</f>
        <v>1</v>
      </c>
      <c r="E163" s="289"/>
      <c r="F163" s="289" cm="1">
        <f t="array" ref="F163">SUMPRODUCT((ISNUMBER($G163:$AK163))*($G163:$AK163&gt;0)*($G$151:$AK$151="Y"))</f>
        <v>26</v>
      </c>
      <c r="G163" s="291">
        <f>IF(G$154="","",INDEX('DEMAND BY DATE'!$CA$4:$DV$203,MATCH(G$154,'DEMAND BY DATE'!$A$4:$A$203,0),MATCH($A163,'DEMAND BY DATE'!$CA$3:$DV$3,0)))</f>
        <v>1</v>
      </c>
      <c r="H163" s="291">
        <f>IF(H$154="","",INDEX('DEMAND BY DATE'!$CA$4:$DV$203,MATCH(H$154,'DEMAND BY DATE'!$A$4:$A$203,0),MATCH($A163,'DEMAND BY DATE'!$CA$3:$DV$3,0)))</f>
        <v>1</v>
      </c>
      <c r="I163" s="291">
        <f>IF(I$154="","",INDEX('DEMAND BY DATE'!$CA$4:$DV$203,MATCH(I$154,'DEMAND BY DATE'!$A$4:$A$203,0),MATCH($A163,'DEMAND BY DATE'!$CA$3:$DV$3,0)))</f>
        <v>1</v>
      </c>
      <c r="J163" s="291">
        <f>IF(J$154="","",INDEX('DEMAND BY DATE'!$CA$4:$DV$203,MATCH(J$154,'DEMAND BY DATE'!$A$4:$A$203,0),MATCH($A163,'DEMAND BY DATE'!$CA$3:$DV$3,0)))</f>
        <v>1</v>
      </c>
      <c r="K163" s="291">
        <f>IF(K$154="","",INDEX('DEMAND BY DATE'!$CA$4:$DV$203,MATCH(K$154,'DEMAND BY DATE'!$A$4:$A$203,0),MATCH($A163,'DEMAND BY DATE'!$CA$3:$DV$3,0)))</f>
        <v>1</v>
      </c>
      <c r="L163" s="291">
        <f>IF(L$154="","",INDEX('DEMAND BY DATE'!$CA$4:$DV$203,MATCH(L$154,'DEMAND BY DATE'!$A$4:$A$203,0),MATCH($A163,'DEMAND BY DATE'!$CA$3:$DV$3,0)))</f>
        <v>1</v>
      </c>
      <c r="M163" s="291">
        <f>IF(M$154="","",INDEX('DEMAND BY DATE'!$CA$4:$DV$203,MATCH(M$154,'DEMAND BY DATE'!$A$4:$A$203,0),MATCH($A163,'DEMAND BY DATE'!$CA$3:$DV$3,0)))</f>
        <v>1</v>
      </c>
      <c r="N163" s="291">
        <f>IF(N$154="","",INDEX('DEMAND BY DATE'!$CA$4:$DV$203,MATCH(N$154,'DEMAND BY DATE'!$A$4:$A$203,0),MATCH($A163,'DEMAND BY DATE'!$CA$3:$DV$3,0)))</f>
        <v>1</v>
      </c>
      <c r="O163" s="291">
        <f>IF(O$154="","",INDEX('DEMAND BY DATE'!$CA$4:$DV$203,MATCH(O$154,'DEMAND BY DATE'!$A$4:$A$203,0),MATCH($A163,'DEMAND BY DATE'!$CA$3:$DV$3,0)))</f>
        <v>1</v>
      </c>
      <c r="P163" s="291">
        <f>IF(P$154="","",INDEX('DEMAND BY DATE'!$CA$4:$DV$203,MATCH(P$154,'DEMAND BY DATE'!$A$4:$A$203,0),MATCH($A163,'DEMAND BY DATE'!$CA$3:$DV$3,0)))</f>
        <v>1</v>
      </c>
      <c r="Q163" s="291">
        <f>IF(Q$154="","",INDEX('DEMAND BY DATE'!$CA$4:$DV$203,MATCH(Q$154,'DEMAND BY DATE'!$A$4:$A$203,0),MATCH($A163,'DEMAND BY DATE'!$CA$3:$DV$3,0)))</f>
        <v>1</v>
      </c>
      <c r="R163" s="291">
        <f>IF(R$154="","",INDEX('DEMAND BY DATE'!$CA$4:$DV$203,MATCH(R$154,'DEMAND BY DATE'!$A$4:$A$203,0),MATCH($A163,'DEMAND BY DATE'!$CA$3:$DV$3,0)))</f>
        <v>1</v>
      </c>
      <c r="S163" s="291">
        <f>IF(S$154="","",INDEX('DEMAND BY DATE'!$CA$4:$DV$203,MATCH(S$154,'DEMAND BY DATE'!$A$4:$A$203,0),MATCH($A163,'DEMAND BY DATE'!$CA$3:$DV$3,0)))</f>
        <v>1</v>
      </c>
      <c r="T163" s="291">
        <f>IF(T$154="","",INDEX('DEMAND BY DATE'!$CA$4:$DV$203,MATCH(T$154,'DEMAND BY DATE'!$A$4:$A$203,0),MATCH($A163,'DEMAND BY DATE'!$CA$3:$DV$3,0)))</f>
        <v>1</v>
      </c>
      <c r="U163" s="291">
        <f>IF(U$154="","",INDEX('DEMAND BY DATE'!$CA$4:$DV$203,MATCH(U$154,'DEMAND BY DATE'!$A$4:$A$203,0),MATCH($A163,'DEMAND BY DATE'!$CA$3:$DV$3,0)))</f>
        <v>1</v>
      </c>
      <c r="V163" s="291">
        <f>IF(V$154="","",INDEX('DEMAND BY DATE'!$CA$4:$DV$203,MATCH(V$154,'DEMAND BY DATE'!$A$4:$A$203,0),MATCH($A163,'DEMAND BY DATE'!$CA$3:$DV$3,0)))</f>
        <v>1</v>
      </c>
      <c r="W163" s="291">
        <f>IF(W$154="","",INDEX('DEMAND BY DATE'!$CA$4:$DV$203,MATCH(W$154,'DEMAND BY DATE'!$A$4:$A$203,0),MATCH($A163,'DEMAND BY DATE'!$CA$3:$DV$3,0)))</f>
        <v>1</v>
      </c>
      <c r="X163" s="291">
        <f>IF(X$154="","",INDEX('DEMAND BY DATE'!$CA$4:$DV$203,MATCH(X$154,'DEMAND BY DATE'!$A$4:$A$203,0),MATCH($A163,'DEMAND BY DATE'!$CA$3:$DV$3,0)))</f>
        <v>1</v>
      </c>
      <c r="Y163" s="291">
        <f>IF(Y$154="","",INDEX('DEMAND BY DATE'!$CA$4:$DV$203,MATCH(Y$154,'DEMAND BY DATE'!$A$4:$A$203,0),MATCH($A163,'DEMAND BY DATE'!$CA$3:$DV$3,0)))</f>
        <v>1</v>
      </c>
      <c r="Z163" s="291">
        <f>IF(Z$154="","",INDEX('DEMAND BY DATE'!$CA$4:$DV$203,MATCH(Z$154,'DEMAND BY DATE'!$A$4:$A$203,0),MATCH($A163,'DEMAND BY DATE'!$CA$3:$DV$3,0)))</f>
        <v>1</v>
      </c>
      <c r="AA163" s="291">
        <f>IF(AA$154="","",INDEX('DEMAND BY DATE'!$CA$4:$DV$203,MATCH(AA$154,'DEMAND BY DATE'!$A$4:$A$203,0),MATCH($A163,'DEMAND BY DATE'!$CA$3:$DV$3,0)))</f>
        <v>1</v>
      </c>
      <c r="AB163" s="291">
        <f>IF(AB$154="","",INDEX('DEMAND BY DATE'!$CA$4:$DV$203,MATCH(AB$154,'DEMAND BY DATE'!$A$4:$A$203,0),MATCH($A163,'DEMAND BY DATE'!$CA$3:$DV$3,0)))</f>
        <v>1</v>
      </c>
      <c r="AC163" s="291">
        <f>IF(AC$154="","",INDEX('DEMAND BY DATE'!$CA$4:$DV$203,MATCH(AC$154,'DEMAND BY DATE'!$A$4:$A$203,0),MATCH($A163,'DEMAND BY DATE'!$CA$3:$DV$3,0)))</f>
        <v>1</v>
      </c>
      <c r="AD163" s="291">
        <f>IF(AD$154="","",INDEX('DEMAND BY DATE'!$CA$4:$DV$203,MATCH(AD$154,'DEMAND BY DATE'!$A$4:$A$203,0),MATCH($A163,'DEMAND BY DATE'!$CA$3:$DV$3,0)))</f>
        <v>1</v>
      </c>
      <c r="AE163" s="291">
        <f>IF(AE$154="","",INDEX('DEMAND BY DATE'!$CA$4:$DV$203,MATCH(AE$154,'DEMAND BY DATE'!$A$4:$A$203,0),MATCH($A163,'DEMAND BY DATE'!$CA$3:$DV$3,0)))</f>
        <v>1</v>
      </c>
      <c r="AF163" s="291">
        <f>IF(AF$154="","",INDEX('DEMAND BY DATE'!$CA$4:$DV$203,MATCH(AF$154,'DEMAND BY DATE'!$A$4:$A$203,0),MATCH($A163,'DEMAND BY DATE'!$CA$3:$DV$3,0)))</f>
        <v>1</v>
      </c>
      <c r="AG163" s="291">
        <f>IF(AG$154="","",INDEX('DEMAND BY DATE'!$CA$4:$DV$203,MATCH(AG$154,'DEMAND BY DATE'!$A$4:$A$203,0),MATCH($A163,'DEMAND BY DATE'!$CA$3:$DV$3,0)))</f>
        <v>1</v>
      </c>
      <c r="AH163" s="291">
        <f>IF(AH$154="","",INDEX('DEMAND BY DATE'!$CA$4:$DV$203,MATCH(AH$154,'DEMAND BY DATE'!$A$4:$A$203,0),MATCH($A163,'DEMAND BY DATE'!$CA$3:$DV$3,0)))</f>
        <v>1</v>
      </c>
      <c r="AI163" s="291">
        <f>IF(AI$154="","",INDEX('DEMAND BY DATE'!$CA$4:$DV$203,MATCH(AI$154,'DEMAND BY DATE'!$A$4:$A$203,0),MATCH($A163,'DEMAND BY DATE'!$CA$3:$DV$3,0)))</f>
        <v>1</v>
      </c>
      <c r="AJ163" s="291">
        <f>IF(AJ$154="","",INDEX('DEMAND BY DATE'!$CA$4:$DV$203,MATCH(AJ$154,'DEMAND BY DATE'!$A$4:$A$203,0),MATCH($A163,'DEMAND BY DATE'!$CA$3:$DV$3,0)))</f>
        <v>1</v>
      </c>
      <c r="AK163" s="291">
        <f>IF(AK$154="","",INDEX('DEMAND BY DATE'!$CA$4:$DV$203,MATCH(AK$154,'DEMAND BY DATE'!$A$4:$A$203,0),MATCH($A163,'DEMAND BY DATE'!$CA$3:$DV$3,0)))</f>
        <v>1</v>
      </c>
    </row>
    <row r="164" spans="1:37">
      <c r="A164" s="288" t="str">
        <f>$A$42</f>
        <v>RS17</v>
      </c>
      <c r="B164" s="289" t="str">
        <f>$AG$42</f>
        <v>BRIEF</v>
      </c>
      <c r="C164" s="289">
        <f>$AB$42</f>
        <v>30</v>
      </c>
      <c r="D164" s="290">
        <f>MAX($G164:$AK164)</f>
        <v>3</v>
      </c>
      <c r="E164" s="289"/>
      <c r="F164" s="289" cm="1">
        <f t="array" ref="F164">SUMPRODUCT((ISNUMBER($G164:$AK164))*($G164:$AK164&gt;0)*($G$151:$AK$151="Y"))</f>
        <v>26</v>
      </c>
      <c r="G164" s="291">
        <f>IF(G$154="","",INDEX('DEMAND BY DATE'!$CA$4:$DV$203,MATCH(G$154,'DEMAND BY DATE'!$A$4:$A$203,0),MATCH($A164,'DEMAND BY DATE'!$CA$3:$DV$3,0)))</f>
        <v>1</v>
      </c>
      <c r="H164" s="291">
        <f>IF(H$154="","",INDEX('DEMAND BY DATE'!$CA$4:$DV$203,MATCH(H$154,'DEMAND BY DATE'!$A$4:$A$203,0),MATCH($A164,'DEMAND BY DATE'!$CA$3:$DV$3,0)))</f>
        <v>1</v>
      </c>
      <c r="I164" s="291">
        <f>IF(I$154="","",INDEX('DEMAND BY DATE'!$CA$4:$DV$203,MATCH(I$154,'DEMAND BY DATE'!$A$4:$A$203,0),MATCH($A164,'DEMAND BY DATE'!$CA$3:$DV$3,0)))</f>
        <v>1</v>
      </c>
      <c r="J164" s="291">
        <f>IF(J$154="","",INDEX('DEMAND BY DATE'!$CA$4:$DV$203,MATCH(J$154,'DEMAND BY DATE'!$A$4:$A$203,0),MATCH($A164,'DEMAND BY DATE'!$CA$3:$DV$3,0)))</f>
        <v>1</v>
      </c>
      <c r="K164" s="291">
        <f>IF(K$154="","",INDEX('DEMAND BY DATE'!$CA$4:$DV$203,MATCH(K$154,'DEMAND BY DATE'!$A$4:$A$203,0),MATCH($A164,'DEMAND BY DATE'!$CA$3:$DV$3,0)))</f>
        <v>1</v>
      </c>
      <c r="L164" s="291">
        <f>IF(L$154="","",INDEX('DEMAND BY DATE'!$CA$4:$DV$203,MATCH(L$154,'DEMAND BY DATE'!$A$4:$A$203,0),MATCH($A164,'DEMAND BY DATE'!$CA$3:$DV$3,0)))</f>
        <v>1</v>
      </c>
      <c r="M164" s="291">
        <f>IF(M$154="","",INDEX('DEMAND BY DATE'!$CA$4:$DV$203,MATCH(M$154,'DEMAND BY DATE'!$A$4:$A$203,0),MATCH($A164,'DEMAND BY DATE'!$CA$3:$DV$3,0)))</f>
        <v>1</v>
      </c>
      <c r="N164" s="291">
        <f>IF(N$154="","",INDEX('DEMAND BY DATE'!$CA$4:$DV$203,MATCH(N$154,'DEMAND BY DATE'!$A$4:$A$203,0),MATCH($A164,'DEMAND BY DATE'!$CA$3:$DV$3,0)))</f>
        <v>1</v>
      </c>
      <c r="O164" s="291">
        <f>IF(O$154="","",INDEX('DEMAND BY DATE'!$CA$4:$DV$203,MATCH(O$154,'DEMAND BY DATE'!$A$4:$A$203,0),MATCH($A164,'DEMAND BY DATE'!$CA$3:$DV$3,0)))</f>
        <v>1</v>
      </c>
      <c r="P164" s="291">
        <f>IF(P$154="","",INDEX('DEMAND BY DATE'!$CA$4:$DV$203,MATCH(P$154,'DEMAND BY DATE'!$A$4:$A$203,0),MATCH($A164,'DEMAND BY DATE'!$CA$3:$DV$3,0)))</f>
        <v>1</v>
      </c>
      <c r="Q164" s="291">
        <f>IF(Q$154="","",INDEX('DEMAND BY DATE'!$CA$4:$DV$203,MATCH(Q$154,'DEMAND BY DATE'!$A$4:$A$203,0),MATCH($A164,'DEMAND BY DATE'!$CA$3:$DV$3,0)))</f>
        <v>1</v>
      </c>
      <c r="R164" s="291">
        <f>IF(R$154="","",INDEX('DEMAND BY DATE'!$CA$4:$DV$203,MATCH(R$154,'DEMAND BY DATE'!$A$4:$A$203,0),MATCH($A164,'DEMAND BY DATE'!$CA$3:$DV$3,0)))</f>
        <v>1</v>
      </c>
      <c r="S164" s="291">
        <f>IF(S$154="","",INDEX('DEMAND BY DATE'!$CA$4:$DV$203,MATCH(S$154,'DEMAND BY DATE'!$A$4:$A$203,0),MATCH($A164,'DEMAND BY DATE'!$CA$3:$DV$3,0)))</f>
        <v>1</v>
      </c>
      <c r="T164" s="291">
        <f>IF(T$154="","",INDEX('DEMAND BY DATE'!$CA$4:$DV$203,MATCH(T$154,'DEMAND BY DATE'!$A$4:$A$203,0),MATCH($A164,'DEMAND BY DATE'!$CA$3:$DV$3,0)))</f>
        <v>1</v>
      </c>
      <c r="U164" s="291">
        <f>IF(U$154="","",INDEX('DEMAND BY DATE'!$CA$4:$DV$203,MATCH(U$154,'DEMAND BY DATE'!$A$4:$A$203,0),MATCH($A164,'DEMAND BY DATE'!$CA$3:$DV$3,0)))</f>
        <v>3</v>
      </c>
      <c r="V164" s="291">
        <f>IF(V$154="","",INDEX('DEMAND BY DATE'!$CA$4:$DV$203,MATCH(V$154,'DEMAND BY DATE'!$A$4:$A$203,0),MATCH($A164,'DEMAND BY DATE'!$CA$3:$DV$3,0)))</f>
        <v>3</v>
      </c>
      <c r="W164" s="291">
        <f>IF(W$154="","",INDEX('DEMAND BY DATE'!$CA$4:$DV$203,MATCH(W$154,'DEMAND BY DATE'!$A$4:$A$203,0),MATCH($A164,'DEMAND BY DATE'!$CA$3:$DV$3,0)))</f>
        <v>3</v>
      </c>
      <c r="X164" s="291">
        <f>IF(X$154="","",INDEX('DEMAND BY DATE'!$CA$4:$DV$203,MATCH(X$154,'DEMAND BY DATE'!$A$4:$A$203,0),MATCH($A164,'DEMAND BY DATE'!$CA$3:$DV$3,0)))</f>
        <v>3</v>
      </c>
      <c r="Y164" s="291">
        <f>IF(Y$154="","",INDEX('DEMAND BY DATE'!$CA$4:$DV$203,MATCH(Y$154,'DEMAND BY DATE'!$A$4:$A$203,0),MATCH($A164,'DEMAND BY DATE'!$CA$3:$DV$3,0)))</f>
        <v>3</v>
      </c>
      <c r="Z164" s="291">
        <f>IF(Z$154="","",INDEX('DEMAND BY DATE'!$CA$4:$DV$203,MATCH(Z$154,'DEMAND BY DATE'!$A$4:$A$203,0),MATCH($A164,'DEMAND BY DATE'!$CA$3:$DV$3,0)))</f>
        <v>3</v>
      </c>
      <c r="AA164" s="291">
        <f>IF(AA$154="","",INDEX('DEMAND BY DATE'!$CA$4:$DV$203,MATCH(AA$154,'DEMAND BY DATE'!$A$4:$A$203,0),MATCH($A164,'DEMAND BY DATE'!$CA$3:$DV$3,0)))</f>
        <v>3</v>
      </c>
      <c r="AB164" s="291">
        <f>IF(AB$154="","",INDEX('DEMAND BY DATE'!$CA$4:$DV$203,MATCH(AB$154,'DEMAND BY DATE'!$A$4:$A$203,0),MATCH($A164,'DEMAND BY DATE'!$CA$3:$DV$3,0)))</f>
        <v>3</v>
      </c>
      <c r="AC164" s="291">
        <f>IF(AC$154="","",INDEX('DEMAND BY DATE'!$CA$4:$DV$203,MATCH(AC$154,'DEMAND BY DATE'!$A$4:$A$203,0),MATCH($A164,'DEMAND BY DATE'!$CA$3:$DV$3,0)))</f>
        <v>3</v>
      </c>
      <c r="AD164" s="291">
        <f>IF(AD$154="","",INDEX('DEMAND BY DATE'!$CA$4:$DV$203,MATCH(AD$154,'DEMAND BY DATE'!$A$4:$A$203,0),MATCH($A164,'DEMAND BY DATE'!$CA$3:$DV$3,0)))</f>
        <v>3</v>
      </c>
      <c r="AE164" s="291">
        <f>IF(AE$154="","",INDEX('DEMAND BY DATE'!$CA$4:$DV$203,MATCH(AE$154,'DEMAND BY DATE'!$A$4:$A$203,0),MATCH($A164,'DEMAND BY DATE'!$CA$3:$DV$3,0)))</f>
        <v>3</v>
      </c>
      <c r="AF164" s="291">
        <f>IF(AF$154="","",INDEX('DEMAND BY DATE'!$CA$4:$DV$203,MATCH(AF$154,'DEMAND BY DATE'!$A$4:$A$203,0),MATCH($A164,'DEMAND BY DATE'!$CA$3:$DV$3,0)))</f>
        <v>3</v>
      </c>
      <c r="AG164" s="291">
        <f>IF(AG$154="","",INDEX('DEMAND BY DATE'!$CA$4:$DV$203,MATCH(AG$154,'DEMAND BY DATE'!$A$4:$A$203,0),MATCH($A164,'DEMAND BY DATE'!$CA$3:$DV$3,0)))</f>
        <v>3</v>
      </c>
      <c r="AH164" s="291">
        <f>IF(AH$154="","",INDEX('DEMAND BY DATE'!$CA$4:$DV$203,MATCH(AH$154,'DEMAND BY DATE'!$A$4:$A$203,0),MATCH($A164,'DEMAND BY DATE'!$CA$3:$DV$3,0)))</f>
        <v>3</v>
      </c>
      <c r="AI164" s="291">
        <f>IF(AI$154="","",INDEX('DEMAND BY DATE'!$CA$4:$DV$203,MATCH(AI$154,'DEMAND BY DATE'!$A$4:$A$203,0),MATCH($A164,'DEMAND BY DATE'!$CA$3:$DV$3,0)))</f>
        <v>3</v>
      </c>
      <c r="AJ164" s="291">
        <f>IF(AJ$154="","",INDEX('DEMAND BY DATE'!$CA$4:$DV$203,MATCH(AJ$154,'DEMAND BY DATE'!$A$4:$A$203,0),MATCH($A164,'DEMAND BY DATE'!$CA$3:$DV$3,0)))</f>
        <v>3</v>
      </c>
      <c r="AK164" s="291">
        <f>IF(AK$154="","",INDEX('DEMAND BY DATE'!$CA$4:$DV$203,MATCH(AK$154,'DEMAND BY DATE'!$A$4:$A$203,0),MATCH($A164,'DEMAND BY DATE'!$CA$3:$DV$3,0)))</f>
        <v>3</v>
      </c>
    </row>
    <row r="165" spans="1:37">
      <c r="A165" s="288">
        <f>$A$43</f>
        <v>6135</v>
      </c>
      <c r="B165" s="289" t="str">
        <f>$AG$43</f>
        <v>BRIEF</v>
      </c>
      <c r="C165" s="289">
        <f>$AB$43</f>
        <v>33.5</v>
      </c>
      <c r="D165" s="290">
        <f>MAX($G165:$AK165)</f>
        <v>3</v>
      </c>
      <c r="E165" s="289"/>
      <c r="F165" s="289" cm="1">
        <f t="array" ref="F165">SUMPRODUCT((ISNUMBER($G165:$AK165))*($G165:$AK165&gt;0)*($G$151:$AK$151="Y"))</f>
        <v>26</v>
      </c>
      <c r="G165" s="291">
        <f>IF(G$154="","",INDEX('DEMAND BY DATE'!$CA$4:$DV$203,MATCH(G$154,'DEMAND BY DATE'!$A$4:$A$203,0),MATCH($A165,'DEMAND BY DATE'!$CA$3:$DV$3,0)))</f>
        <v>3</v>
      </c>
      <c r="H165" s="291">
        <f>IF(H$154="","",INDEX('DEMAND BY DATE'!$CA$4:$DV$203,MATCH(H$154,'DEMAND BY DATE'!$A$4:$A$203,0),MATCH($A165,'DEMAND BY DATE'!$CA$3:$DV$3,0)))</f>
        <v>3</v>
      </c>
      <c r="I165" s="291">
        <f>IF(I$154="","",INDEX('DEMAND BY DATE'!$CA$4:$DV$203,MATCH(I$154,'DEMAND BY DATE'!$A$4:$A$203,0),MATCH($A165,'DEMAND BY DATE'!$CA$3:$DV$3,0)))</f>
        <v>3</v>
      </c>
      <c r="J165" s="291">
        <f>IF(J$154="","",INDEX('DEMAND BY DATE'!$CA$4:$DV$203,MATCH(J$154,'DEMAND BY DATE'!$A$4:$A$203,0),MATCH($A165,'DEMAND BY DATE'!$CA$3:$DV$3,0)))</f>
        <v>3</v>
      </c>
      <c r="K165" s="291">
        <f>IF(K$154="","",INDEX('DEMAND BY DATE'!$CA$4:$DV$203,MATCH(K$154,'DEMAND BY DATE'!$A$4:$A$203,0),MATCH($A165,'DEMAND BY DATE'!$CA$3:$DV$3,0)))</f>
        <v>3</v>
      </c>
      <c r="L165" s="291">
        <f>IF(L$154="","",INDEX('DEMAND BY DATE'!$CA$4:$DV$203,MATCH(L$154,'DEMAND BY DATE'!$A$4:$A$203,0),MATCH($A165,'DEMAND BY DATE'!$CA$3:$DV$3,0)))</f>
        <v>3</v>
      </c>
      <c r="M165" s="291">
        <f>IF(M$154="","",INDEX('DEMAND BY DATE'!$CA$4:$DV$203,MATCH(M$154,'DEMAND BY DATE'!$A$4:$A$203,0),MATCH($A165,'DEMAND BY DATE'!$CA$3:$DV$3,0)))</f>
        <v>3</v>
      </c>
      <c r="N165" s="291">
        <f>IF(N$154="","",INDEX('DEMAND BY DATE'!$CA$4:$DV$203,MATCH(N$154,'DEMAND BY DATE'!$A$4:$A$203,0),MATCH($A165,'DEMAND BY DATE'!$CA$3:$DV$3,0)))</f>
        <v>3</v>
      </c>
      <c r="O165" s="291">
        <f>IF(O$154="","",INDEX('DEMAND BY DATE'!$CA$4:$DV$203,MATCH(O$154,'DEMAND BY DATE'!$A$4:$A$203,0),MATCH($A165,'DEMAND BY DATE'!$CA$3:$DV$3,0)))</f>
        <v>3</v>
      </c>
      <c r="P165" s="291">
        <f>IF(P$154="","",INDEX('DEMAND BY DATE'!$CA$4:$DV$203,MATCH(P$154,'DEMAND BY DATE'!$A$4:$A$203,0),MATCH($A165,'DEMAND BY DATE'!$CA$3:$DV$3,0)))</f>
        <v>3</v>
      </c>
      <c r="Q165" s="291">
        <f>IF(Q$154="","",INDEX('DEMAND BY DATE'!$CA$4:$DV$203,MATCH(Q$154,'DEMAND BY DATE'!$A$4:$A$203,0),MATCH($A165,'DEMAND BY DATE'!$CA$3:$DV$3,0)))</f>
        <v>3</v>
      </c>
      <c r="R165" s="291">
        <f>IF(R$154="","",INDEX('DEMAND BY DATE'!$CA$4:$DV$203,MATCH(R$154,'DEMAND BY DATE'!$A$4:$A$203,0),MATCH($A165,'DEMAND BY DATE'!$CA$3:$DV$3,0)))</f>
        <v>3</v>
      </c>
      <c r="S165" s="291">
        <f>IF(S$154="","",INDEX('DEMAND BY DATE'!$CA$4:$DV$203,MATCH(S$154,'DEMAND BY DATE'!$A$4:$A$203,0),MATCH($A165,'DEMAND BY DATE'!$CA$3:$DV$3,0)))</f>
        <v>3</v>
      </c>
      <c r="T165" s="291">
        <f>IF(T$154="","",INDEX('DEMAND BY DATE'!$CA$4:$DV$203,MATCH(T$154,'DEMAND BY DATE'!$A$4:$A$203,0),MATCH($A165,'DEMAND BY DATE'!$CA$3:$DV$3,0)))</f>
        <v>2</v>
      </c>
      <c r="U165" s="291">
        <f>IF(U$154="","",INDEX('DEMAND BY DATE'!$CA$4:$DV$203,MATCH(U$154,'DEMAND BY DATE'!$A$4:$A$203,0),MATCH($A165,'DEMAND BY DATE'!$CA$3:$DV$3,0)))</f>
        <v>2</v>
      </c>
      <c r="V165" s="291">
        <f>IF(V$154="","",INDEX('DEMAND BY DATE'!$CA$4:$DV$203,MATCH(V$154,'DEMAND BY DATE'!$A$4:$A$203,0),MATCH($A165,'DEMAND BY DATE'!$CA$3:$DV$3,0)))</f>
        <v>2</v>
      </c>
      <c r="W165" s="291">
        <f>IF(W$154="","",INDEX('DEMAND BY DATE'!$CA$4:$DV$203,MATCH(W$154,'DEMAND BY DATE'!$A$4:$A$203,0),MATCH($A165,'DEMAND BY DATE'!$CA$3:$DV$3,0)))</f>
        <v>2</v>
      </c>
      <c r="X165" s="291">
        <f>IF(X$154="","",INDEX('DEMAND BY DATE'!$CA$4:$DV$203,MATCH(X$154,'DEMAND BY DATE'!$A$4:$A$203,0),MATCH($A165,'DEMAND BY DATE'!$CA$3:$DV$3,0)))</f>
        <v>2</v>
      </c>
      <c r="Y165" s="291">
        <f>IF(Y$154="","",INDEX('DEMAND BY DATE'!$CA$4:$DV$203,MATCH(Y$154,'DEMAND BY DATE'!$A$4:$A$203,0),MATCH($A165,'DEMAND BY DATE'!$CA$3:$DV$3,0)))</f>
        <v>2</v>
      </c>
      <c r="Z165" s="291">
        <f>IF(Z$154="","",INDEX('DEMAND BY DATE'!$CA$4:$DV$203,MATCH(Z$154,'DEMAND BY DATE'!$A$4:$A$203,0),MATCH($A165,'DEMAND BY DATE'!$CA$3:$DV$3,0)))</f>
        <v>2</v>
      </c>
      <c r="AA165" s="291">
        <f>IF(AA$154="","",INDEX('DEMAND BY DATE'!$CA$4:$DV$203,MATCH(AA$154,'DEMAND BY DATE'!$A$4:$A$203,0),MATCH($A165,'DEMAND BY DATE'!$CA$3:$DV$3,0)))</f>
        <v>2</v>
      </c>
      <c r="AB165" s="291">
        <f>IF(AB$154="","",INDEX('DEMAND BY DATE'!$CA$4:$DV$203,MATCH(AB$154,'DEMAND BY DATE'!$A$4:$A$203,0),MATCH($A165,'DEMAND BY DATE'!$CA$3:$DV$3,0)))</f>
        <v>2</v>
      </c>
      <c r="AC165" s="291">
        <f>IF(AC$154="","",INDEX('DEMAND BY DATE'!$CA$4:$DV$203,MATCH(AC$154,'DEMAND BY DATE'!$A$4:$A$203,0),MATCH($A165,'DEMAND BY DATE'!$CA$3:$DV$3,0)))</f>
        <v>2</v>
      </c>
      <c r="AD165" s="291">
        <f>IF(AD$154="","",INDEX('DEMAND BY DATE'!$CA$4:$DV$203,MATCH(AD$154,'DEMAND BY DATE'!$A$4:$A$203,0),MATCH($A165,'DEMAND BY DATE'!$CA$3:$DV$3,0)))</f>
        <v>2</v>
      </c>
      <c r="AE165" s="291">
        <f>IF(AE$154="","",INDEX('DEMAND BY DATE'!$CA$4:$DV$203,MATCH(AE$154,'DEMAND BY DATE'!$A$4:$A$203,0),MATCH($A165,'DEMAND BY DATE'!$CA$3:$DV$3,0)))</f>
        <v>2</v>
      </c>
      <c r="AF165" s="291">
        <f>IF(AF$154="","",INDEX('DEMAND BY DATE'!$CA$4:$DV$203,MATCH(AF$154,'DEMAND BY DATE'!$A$4:$A$203,0),MATCH($A165,'DEMAND BY DATE'!$CA$3:$DV$3,0)))</f>
        <v>2</v>
      </c>
      <c r="AG165" s="291">
        <f>IF(AG$154="","",INDEX('DEMAND BY DATE'!$CA$4:$DV$203,MATCH(AG$154,'DEMAND BY DATE'!$A$4:$A$203,0),MATCH($A165,'DEMAND BY DATE'!$CA$3:$DV$3,0)))</f>
        <v>2</v>
      </c>
      <c r="AH165" s="291">
        <f>IF(AH$154="","",INDEX('DEMAND BY DATE'!$CA$4:$DV$203,MATCH(AH$154,'DEMAND BY DATE'!$A$4:$A$203,0),MATCH($A165,'DEMAND BY DATE'!$CA$3:$DV$3,0)))</f>
        <v>2</v>
      </c>
      <c r="AI165" s="291">
        <f>IF(AI$154="","",INDEX('DEMAND BY DATE'!$CA$4:$DV$203,MATCH(AI$154,'DEMAND BY DATE'!$A$4:$A$203,0),MATCH($A165,'DEMAND BY DATE'!$CA$3:$DV$3,0)))</f>
        <v>2</v>
      </c>
      <c r="AJ165" s="291">
        <f>IF(AJ$154="","",INDEX('DEMAND BY DATE'!$CA$4:$DV$203,MATCH(AJ$154,'DEMAND BY DATE'!$A$4:$A$203,0),MATCH($A165,'DEMAND BY DATE'!$CA$3:$DV$3,0)))</f>
        <v>2</v>
      </c>
      <c r="AK165" s="291">
        <f>IF(AK$154="","",INDEX('DEMAND BY DATE'!$CA$4:$DV$203,MATCH(AK$154,'DEMAND BY DATE'!$A$4:$A$203,0),MATCH($A165,'DEMAND BY DATE'!$CA$3:$DV$3,0)))</f>
        <v>2</v>
      </c>
    </row>
    <row r="166" spans="1:37">
      <c r="A166" s="288" t="str">
        <f>$A$44</f>
        <v>THERMAL</v>
      </c>
      <c r="B166" s="289" t="str">
        <f>$AG$44</f>
        <v>n/a</v>
      </c>
      <c r="C166" s="289">
        <f>$AB$44</f>
        <v>0</v>
      </c>
      <c r="D166" s="290">
        <f>MAX($G166:$AK166)</f>
        <v>0</v>
      </c>
      <c r="E166" s="289"/>
      <c r="F166" s="289" cm="1">
        <f t="array" ref="F166">SUMPRODUCT((ISNUMBER($G166:$AK166))*($G166:$AK166&gt;0)*($G$151:$AK$151="Y"))</f>
        <v>0</v>
      </c>
      <c r="G166" s="291">
        <f>IF(G$154="","",INDEX('DEMAND BY DATE'!$CA$4:$DV$203,MATCH(G$154,'DEMAND BY DATE'!$A$4:$A$203,0),MATCH($A166,'DEMAND BY DATE'!$CA$3:$DV$3,0)))</f>
        <v>0</v>
      </c>
      <c r="H166" s="291">
        <f>IF(H$154="","",INDEX('DEMAND BY DATE'!$CA$4:$DV$203,MATCH(H$154,'DEMAND BY DATE'!$A$4:$A$203,0),MATCH($A166,'DEMAND BY DATE'!$CA$3:$DV$3,0)))</f>
        <v>0</v>
      </c>
      <c r="I166" s="291">
        <f>IF(I$154="","",INDEX('DEMAND BY DATE'!$CA$4:$DV$203,MATCH(I$154,'DEMAND BY DATE'!$A$4:$A$203,0),MATCH($A166,'DEMAND BY DATE'!$CA$3:$DV$3,0)))</f>
        <v>0</v>
      </c>
      <c r="J166" s="291">
        <f>IF(J$154="","",INDEX('DEMAND BY DATE'!$CA$4:$DV$203,MATCH(J$154,'DEMAND BY DATE'!$A$4:$A$203,0),MATCH($A166,'DEMAND BY DATE'!$CA$3:$DV$3,0)))</f>
        <v>0</v>
      </c>
      <c r="K166" s="291">
        <f>IF(K$154="","",INDEX('DEMAND BY DATE'!$CA$4:$DV$203,MATCH(K$154,'DEMAND BY DATE'!$A$4:$A$203,0),MATCH($A166,'DEMAND BY DATE'!$CA$3:$DV$3,0)))</f>
        <v>0</v>
      </c>
      <c r="L166" s="291">
        <f>IF(L$154="","",INDEX('DEMAND BY DATE'!$CA$4:$DV$203,MATCH(L$154,'DEMAND BY DATE'!$A$4:$A$203,0),MATCH($A166,'DEMAND BY DATE'!$CA$3:$DV$3,0)))</f>
        <v>0</v>
      </c>
      <c r="M166" s="291">
        <f>IF(M$154="","",INDEX('DEMAND BY DATE'!$CA$4:$DV$203,MATCH(M$154,'DEMAND BY DATE'!$A$4:$A$203,0),MATCH($A166,'DEMAND BY DATE'!$CA$3:$DV$3,0)))</f>
        <v>0</v>
      </c>
      <c r="N166" s="291">
        <f>IF(N$154="","",INDEX('DEMAND BY DATE'!$CA$4:$DV$203,MATCH(N$154,'DEMAND BY DATE'!$A$4:$A$203,0),MATCH($A166,'DEMAND BY DATE'!$CA$3:$DV$3,0)))</f>
        <v>0</v>
      </c>
      <c r="O166" s="291">
        <f>IF(O$154="","",INDEX('DEMAND BY DATE'!$CA$4:$DV$203,MATCH(O$154,'DEMAND BY DATE'!$A$4:$A$203,0),MATCH($A166,'DEMAND BY DATE'!$CA$3:$DV$3,0)))</f>
        <v>0</v>
      </c>
      <c r="P166" s="291">
        <f>IF(P$154="","",INDEX('DEMAND BY DATE'!$CA$4:$DV$203,MATCH(P$154,'DEMAND BY DATE'!$A$4:$A$203,0),MATCH($A166,'DEMAND BY DATE'!$CA$3:$DV$3,0)))</f>
        <v>0</v>
      </c>
      <c r="Q166" s="291">
        <f>IF(Q$154="","",INDEX('DEMAND BY DATE'!$CA$4:$DV$203,MATCH(Q$154,'DEMAND BY DATE'!$A$4:$A$203,0),MATCH($A166,'DEMAND BY DATE'!$CA$3:$DV$3,0)))</f>
        <v>0</v>
      </c>
      <c r="R166" s="291">
        <f>IF(R$154="","",INDEX('DEMAND BY DATE'!$CA$4:$DV$203,MATCH(R$154,'DEMAND BY DATE'!$A$4:$A$203,0),MATCH($A166,'DEMAND BY DATE'!$CA$3:$DV$3,0)))</f>
        <v>0</v>
      </c>
      <c r="S166" s="291">
        <f>IF(S$154="","",INDEX('DEMAND BY DATE'!$CA$4:$DV$203,MATCH(S$154,'DEMAND BY DATE'!$A$4:$A$203,0),MATCH($A166,'DEMAND BY DATE'!$CA$3:$DV$3,0)))</f>
        <v>0</v>
      </c>
      <c r="T166" s="291">
        <f>IF(T$154="","",INDEX('DEMAND BY DATE'!$CA$4:$DV$203,MATCH(T$154,'DEMAND BY DATE'!$A$4:$A$203,0),MATCH($A166,'DEMAND BY DATE'!$CA$3:$DV$3,0)))</f>
        <v>0</v>
      </c>
      <c r="U166" s="291">
        <f>IF(U$154="","",INDEX('DEMAND BY DATE'!$CA$4:$DV$203,MATCH(U$154,'DEMAND BY DATE'!$A$4:$A$203,0),MATCH($A166,'DEMAND BY DATE'!$CA$3:$DV$3,0)))</f>
        <v>0</v>
      </c>
      <c r="V166" s="291">
        <f>IF(V$154="","",INDEX('DEMAND BY DATE'!$CA$4:$DV$203,MATCH(V$154,'DEMAND BY DATE'!$A$4:$A$203,0),MATCH($A166,'DEMAND BY DATE'!$CA$3:$DV$3,0)))</f>
        <v>0</v>
      </c>
      <c r="W166" s="291">
        <f>IF(W$154="","",INDEX('DEMAND BY DATE'!$CA$4:$DV$203,MATCH(W$154,'DEMAND BY DATE'!$A$4:$A$203,0),MATCH($A166,'DEMAND BY DATE'!$CA$3:$DV$3,0)))</f>
        <v>0</v>
      </c>
      <c r="X166" s="291">
        <f>IF(X$154="","",INDEX('DEMAND BY DATE'!$CA$4:$DV$203,MATCH(X$154,'DEMAND BY DATE'!$A$4:$A$203,0),MATCH($A166,'DEMAND BY DATE'!$CA$3:$DV$3,0)))</f>
        <v>0</v>
      </c>
      <c r="Y166" s="291">
        <f>IF(Y$154="","",INDEX('DEMAND BY DATE'!$CA$4:$DV$203,MATCH(Y$154,'DEMAND BY DATE'!$A$4:$A$203,0),MATCH($A166,'DEMAND BY DATE'!$CA$3:$DV$3,0)))</f>
        <v>0</v>
      </c>
      <c r="Z166" s="291">
        <f>IF(Z$154="","",INDEX('DEMAND BY DATE'!$CA$4:$DV$203,MATCH(Z$154,'DEMAND BY DATE'!$A$4:$A$203,0),MATCH($A166,'DEMAND BY DATE'!$CA$3:$DV$3,0)))</f>
        <v>0</v>
      </c>
      <c r="AA166" s="291">
        <f>IF(AA$154="","",INDEX('DEMAND BY DATE'!$CA$4:$DV$203,MATCH(AA$154,'DEMAND BY DATE'!$A$4:$A$203,0),MATCH($A166,'DEMAND BY DATE'!$CA$3:$DV$3,0)))</f>
        <v>0</v>
      </c>
      <c r="AB166" s="291">
        <f>IF(AB$154="","",INDEX('DEMAND BY DATE'!$CA$4:$DV$203,MATCH(AB$154,'DEMAND BY DATE'!$A$4:$A$203,0),MATCH($A166,'DEMAND BY DATE'!$CA$3:$DV$3,0)))</f>
        <v>0</v>
      </c>
      <c r="AC166" s="291">
        <f>IF(AC$154="","",INDEX('DEMAND BY DATE'!$CA$4:$DV$203,MATCH(AC$154,'DEMAND BY DATE'!$A$4:$A$203,0),MATCH($A166,'DEMAND BY DATE'!$CA$3:$DV$3,0)))</f>
        <v>0</v>
      </c>
      <c r="AD166" s="291">
        <f>IF(AD$154="","",INDEX('DEMAND BY DATE'!$CA$4:$DV$203,MATCH(AD$154,'DEMAND BY DATE'!$A$4:$A$203,0),MATCH($A166,'DEMAND BY DATE'!$CA$3:$DV$3,0)))</f>
        <v>0</v>
      </c>
      <c r="AE166" s="291">
        <f>IF(AE$154="","",INDEX('DEMAND BY DATE'!$CA$4:$DV$203,MATCH(AE$154,'DEMAND BY DATE'!$A$4:$A$203,0),MATCH($A166,'DEMAND BY DATE'!$CA$3:$DV$3,0)))</f>
        <v>0</v>
      </c>
      <c r="AF166" s="291">
        <f>IF(AF$154="","",INDEX('DEMAND BY DATE'!$CA$4:$DV$203,MATCH(AF$154,'DEMAND BY DATE'!$A$4:$A$203,0),MATCH($A166,'DEMAND BY DATE'!$CA$3:$DV$3,0)))</f>
        <v>0</v>
      </c>
      <c r="AG166" s="291">
        <f>IF(AG$154="","",INDEX('DEMAND BY DATE'!$CA$4:$DV$203,MATCH(AG$154,'DEMAND BY DATE'!$A$4:$A$203,0),MATCH($A166,'DEMAND BY DATE'!$CA$3:$DV$3,0)))</f>
        <v>0</v>
      </c>
      <c r="AH166" s="291">
        <f>IF(AH$154="","",INDEX('DEMAND BY DATE'!$CA$4:$DV$203,MATCH(AH$154,'DEMAND BY DATE'!$A$4:$A$203,0),MATCH($A166,'DEMAND BY DATE'!$CA$3:$DV$3,0)))</f>
        <v>0</v>
      </c>
      <c r="AI166" s="291">
        <f>IF(AI$154="","",INDEX('DEMAND BY DATE'!$CA$4:$DV$203,MATCH(AI$154,'DEMAND BY DATE'!$A$4:$A$203,0),MATCH($A166,'DEMAND BY DATE'!$CA$3:$DV$3,0)))</f>
        <v>0</v>
      </c>
      <c r="AJ166" s="291">
        <f>IF(AJ$154="","",INDEX('DEMAND BY DATE'!$CA$4:$DV$203,MATCH(AJ$154,'DEMAND BY DATE'!$A$4:$A$203,0),MATCH($A166,'DEMAND BY DATE'!$CA$3:$DV$3,0)))</f>
        <v>0</v>
      </c>
      <c r="AK166" s="291">
        <f>IF(AK$154="","",INDEX('DEMAND BY DATE'!$CA$4:$DV$203,MATCH(AK$154,'DEMAND BY DATE'!$A$4:$A$203,0),MATCH($A166,'DEMAND BY DATE'!$CA$3:$DV$3,0)))</f>
        <v>0</v>
      </c>
    </row>
    <row r="167" spans="1:37">
      <c r="A167" s="288" t="str">
        <f>$A$45</f>
        <v>VACCANT</v>
      </c>
      <c r="B167" s="289" t="str">
        <f>$AG$45</f>
        <v>n/a</v>
      </c>
      <c r="C167" s="289">
        <f>$AB$45</f>
        <v>0</v>
      </c>
      <c r="D167" s="290">
        <f>MAX($G167:$AK167)</f>
        <v>5</v>
      </c>
      <c r="E167" s="289"/>
      <c r="F167" s="289" cm="1">
        <f t="array" ref="F167">SUMPRODUCT((ISNUMBER($G167:$AK167))*($G167:$AK167&gt;0)*($G$151:$AK$151="Y"))</f>
        <v>1</v>
      </c>
      <c r="G167" s="291">
        <f>IF(G$154="","",INDEX('DEMAND BY DATE'!$CA$4:$DV$203,MATCH(G$154,'DEMAND BY DATE'!$A$4:$A$203,0),MATCH($A167,'DEMAND BY DATE'!$CA$3:$DV$3,0)))</f>
        <v>0</v>
      </c>
      <c r="H167" s="291">
        <f>IF(H$154="","",INDEX('DEMAND BY DATE'!$CA$4:$DV$203,MATCH(H$154,'DEMAND BY DATE'!$A$4:$A$203,0),MATCH($A167,'DEMAND BY DATE'!$CA$3:$DV$3,0)))</f>
        <v>0</v>
      </c>
      <c r="I167" s="291">
        <f>IF(I$154="","",INDEX('DEMAND BY DATE'!$CA$4:$DV$203,MATCH(I$154,'DEMAND BY DATE'!$A$4:$A$203,0),MATCH($A167,'DEMAND BY DATE'!$CA$3:$DV$3,0)))</f>
        <v>0</v>
      </c>
      <c r="J167" s="291">
        <f>IF(J$154="","",INDEX('DEMAND BY DATE'!$CA$4:$DV$203,MATCH(J$154,'DEMAND BY DATE'!$A$4:$A$203,0),MATCH($A167,'DEMAND BY DATE'!$CA$3:$DV$3,0)))</f>
        <v>0</v>
      </c>
      <c r="K167" s="291">
        <f>IF(K$154="","",INDEX('DEMAND BY DATE'!$CA$4:$DV$203,MATCH(K$154,'DEMAND BY DATE'!$A$4:$A$203,0),MATCH($A167,'DEMAND BY DATE'!$CA$3:$DV$3,0)))</f>
        <v>0</v>
      </c>
      <c r="L167" s="291">
        <f>IF(L$154="","",INDEX('DEMAND BY DATE'!$CA$4:$DV$203,MATCH(L$154,'DEMAND BY DATE'!$A$4:$A$203,0),MATCH($A167,'DEMAND BY DATE'!$CA$3:$DV$3,0)))</f>
        <v>0</v>
      </c>
      <c r="M167" s="291">
        <f>IF(M$154="","",INDEX('DEMAND BY DATE'!$CA$4:$DV$203,MATCH(M$154,'DEMAND BY DATE'!$A$4:$A$203,0),MATCH($A167,'DEMAND BY DATE'!$CA$3:$DV$3,0)))</f>
        <v>0</v>
      </c>
      <c r="N167" s="291">
        <f>IF(N$154="","",INDEX('DEMAND BY DATE'!$CA$4:$DV$203,MATCH(N$154,'DEMAND BY DATE'!$A$4:$A$203,0),MATCH($A167,'DEMAND BY DATE'!$CA$3:$DV$3,0)))</f>
        <v>0</v>
      </c>
      <c r="O167" s="291">
        <f>IF(O$154="","",INDEX('DEMAND BY DATE'!$CA$4:$DV$203,MATCH(O$154,'DEMAND BY DATE'!$A$4:$A$203,0),MATCH($A167,'DEMAND BY DATE'!$CA$3:$DV$3,0)))</f>
        <v>0</v>
      </c>
      <c r="P167" s="291">
        <f>IF(P$154="","",INDEX('DEMAND BY DATE'!$CA$4:$DV$203,MATCH(P$154,'DEMAND BY DATE'!$A$4:$A$203,0),MATCH($A167,'DEMAND BY DATE'!$CA$3:$DV$3,0)))</f>
        <v>0</v>
      </c>
      <c r="Q167" s="291">
        <f>IF(Q$154="","",INDEX('DEMAND BY DATE'!$CA$4:$DV$203,MATCH(Q$154,'DEMAND BY DATE'!$A$4:$A$203,0),MATCH($A167,'DEMAND BY DATE'!$CA$3:$DV$3,0)))</f>
        <v>0</v>
      </c>
      <c r="R167" s="291">
        <f>IF(R$154="","",INDEX('DEMAND BY DATE'!$CA$4:$DV$203,MATCH(R$154,'DEMAND BY DATE'!$A$4:$A$203,0),MATCH($A167,'DEMAND BY DATE'!$CA$3:$DV$3,0)))</f>
        <v>0</v>
      </c>
      <c r="S167" s="291">
        <f>IF(S$154="","",INDEX('DEMAND BY DATE'!$CA$4:$DV$203,MATCH(S$154,'DEMAND BY DATE'!$A$4:$A$203,0),MATCH($A167,'DEMAND BY DATE'!$CA$3:$DV$3,0)))</f>
        <v>0</v>
      </c>
      <c r="T167" s="291">
        <f>IF(T$154="","",INDEX('DEMAND BY DATE'!$CA$4:$DV$203,MATCH(T$154,'DEMAND BY DATE'!$A$4:$A$203,0),MATCH($A167,'DEMAND BY DATE'!$CA$3:$DV$3,0)))</f>
        <v>5</v>
      </c>
      <c r="U167" s="291">
        <f>IF(U$154="","",INDEX('DEMAND BY DATE'!$CA$4:$DV$203,MATCH(U$154,'DEMAND BY DATE'!$A$4:$A$203,0),MATCH($A167,'DEMAND BY DATE'!$CA$3:$DV$3,0)))</f>
        <v>0</v>
      </c>
      <c r="V167" s="291">
        <f>IF(V$154="","",INDEX('DEMAND BY DATE'!$CA$4:$DV$203,MATCH(V$154,'DEMAND BY DATE'!$A$4:$A$203,0),MATCH($A167,'DEMAND BY DATE'!$CA$3:$DV$3,0)))</f>
        <v>0</v>
      </c>
      <c r="W167" s="291">
        <f>IF(W$154="","",INDEX('DEMAND BY DATE'!$CA$4:$DV$203,MATCH(W$154,'DEMAND BY DATE'!$A$4:$A$203,0),MATCH($A167,'DEMAND BY DATE'!$CA$3:$DV$3,0)))</f>
        <v>0</v>
      </c>
      <c r="X167" s="291">
        <f>IF(X$154="","",INDEX('DEMAND BY DATE'!$CA$4:$DV$203,MATCH(X$154,'DEMAND BY DATE'!$A$4:$A$203,0),MATCH($A167,'DEMAND BY DATE'!$CA$3:$DV$3,0)))</f>
        <v>0</v>
      </c>
      <c r="Y167" s="291">
        <f>IF(Y$154="","",INDEX('DEMAND BY DATE'!$CA$4:$DV$203,MATCH(Y$154,'DEMAND BY DATE'!$A$4:$A$203,0),MATCH($A167,'DEMAND BY DATE'!$CA$3:$DV$3,0)))</f>
        <v>0</v>
      </c>
      <c r="Z167" s="291">
        <f>IF(Z$154="","",INDEX('DEMAND BY DATE'!$CA$4:$DV$203,MATCH(Z$154,'DEMAND BY DATE'!$A$4:$A$203,0),MATCH($A167,'DEMAND BY DATE'!$CA$3:$DV$3,0)))</f>
        <v>0</v>
      </c>
      <c r="AA167" s="291">
        <f>IF(AA$154="","",INDEX('DEMAND BY DATE'!$CA$4:$DV$203,MATCH(AA$154,'DEMAND BY DATE'!$A$4:$A$203,0),MATCH($A167,'DEMAND BY DATE'!$CA$3:$DV$3,0)))</f>
        <v>0</v>
      </c>
      <c r="AB167" s="291">
        <f>IF(AB$154="","",INDEX('DEMAND BY DATE'!$CA$4:$DV$203,MATCH(AB$154,'DEMAND BY DATE'!$A$4:$A$203,0),MATCH($A167,'DEMAND BY DATE'!$CA$3:$DV$3,0)))</f>
        <v>0</v>
      </c>
      <c r="AC167" s="291">
        <f>IF(AC$154="","",INDEX('DEMAND BY DATE'!$CA$4:$DV$203,MATCH(AC$154,'DEMAND BY DATE'!$A$4:$A$203,0),MATCH($A167,'DEMAND BY DATE'!$CA$3:$DV$3,0)))</f>
        <v>0</v>
      </c>
      <c r="AD167" s="291">
        <f>IF(AD$154="","",INDEX('DEMAND BY DATE'!$CA$4:$DV$203,MATCH(AD$154,'DEMAND BY DATE'!$A$4:$A$203,0),MATCH($A167,'DEMAND BY DATE'!$CA$3:$DV$3,0)))</f>
        <v>0</v>
      </c>
      <c r="AE167" s="291">
        <f>IF(AE$154="","",INDEX('DEMAND BY DATE'!$CA$4:$DV$203,MATCH(AE$154,'DEMAND BY DATE'!$A$4:$A$203,0),MATCH($A167,'DEMAND BY DATE'!$CA$3:$DV$3,0)))</f>
        <v>0</v>
      </c>
      <c r="AF167" s="291">
        <f>IF(AF$154="","",INDEX('DEMAND BY DATE'!$CA$4:$DV$203,MATCH(AF$154,'DEMAND BY DATE'!$A$4:$A$203,0),MATCH($A167,'DEMAND BY DATE'!$CA$3:$DV$3,0)))</f>
        <v>0</v>
      </c>
      <c r="AG167" s="291">
        <f>IF(AG$154="","",INDEX('DEMAND BY DATE'!$CA$4:$DV$203,MATCH(AG$154,'DEMAND BY DATE'!$A$4:$A$203,0),MATCH($A167,'DEMAND BY DATE'!$CA$3:$DV$3,0)))</f>
        <v>0</v>
      </c>
      <c r="AH167" s="291">
        <f>IF(AH$154="","",INDEX('DEMAND BY DATE'!$CA$4:$DV$203,MATCH(AH$154,'DEMAND BY DATE'!$A$4:$A$203,0),MATCH($A167,'DEMAND BY DATE'!$CA$3:$DV$3,0)))</f>
        <v>0</v>
      </c>
      <c r="AI167" s="291">
        <f>IF(AI$154="","",INDEX('DEMAND BY DATE'!$CA$4:$DV$203,MATCH(AI$154,'DEMAND BY DATE'!$A$4:$A$203,0),MATCH($A167,'DEMAND BY DATE'!$CA$3:$DV$3,0)))</f>
        <v>0</v>
      </c>
      <c r="AJ167" s="291">
        <f>IF(AJ$154="","",INDEX('DEMAND BY DATE'!$CA$4:$DV$203,MATCH(AJ$154,'DEMAND BY DATE'!$A$4:$A$203,0),MATCH($A167,'DEMAND BY DATE'!$CA$3:$DV$3,0)))</f>
        <v>0</v>
      </c>
      <c r="AK167" s="291">
        <f>IF(AK$154="","",INDEX('DEMAND BY DATE'!$CA$4:$DV$203,MATCH(AK$154,'DEMAND BY DATE'!$A$4:$A$203,0),MATCH($A167,'DEMAND BY DATE'!$CA$3:$DV$3,0)))</f>
        <v>0</v>
      </c>
    </row>
    <row r="168" spans="1:37">
      <c r="A168" s="288">
        <f>$A$46</f>
        <v>6137</v>
      </c>
      <c r="B168" s="289" t="str">
        <f>$AG$46</f>
        <v>BRIEF</v>
      </c>
      <c r="C168" s="289">
        <f>$AB$46</f>
        <v>29</v>
      </c>
      <c r="D168" s="290">
        <f>MAX($G168:$AK168)</f>
        <v>5</v>
      </c>
      <c r="E168" s="289"/>
      <c r="F168" s="289" cm="1">
        <f t="array" ref="F168">SUMPRODUCT((ISNUMBER($G168:$AK168))*($G168:$AK168&gt;0)*($G$151:$AK$151="Y"))</f>
        <v>11</v>
      </c>
      <c r="G168" s="291">
        <f>IF(G$154="","",INDEX('DEMAND BY DATE'!$CA$4:$DV$203,MATCH(G$154,'DEMAND BY DATE'!$A$4:$A$203,0),MATCH($A168,'DEMAND BY DATE'!$CA$3:$DV$3,0)))</f>
        <v>5</v>
      </c>
      <c r="H168" s="291">
        <f>IF(H$154="","",INDEX('DEMAND BY DATE'!$CA$4:$DV$203,MATCH(H$154,'DEMAND BY DATE'!$A$4:$A$203,0),MATCH($A168,'DEMAND BY DATE'!$CA$3:$DV$3,0)))</f>
        <v>5</v>
      </c>
      <c r="I168" s="291">
        <f>IF(I$154="","",INDEX('DEMAND BY DATE'!$CA$4:$DV$203,MATCH(I$154,'DEMAND BY DATE'!$A$4:$A$203,0),MATCH($A168,'DEMAND BY DATE'!$CA$3:$DV$3,0)))</f>
        <v>5</v>
      </c>
      <c r="J168" s="291">
        <f>IF(J$154="","",INDEX('DEMAND BY DATE'!$CA$4:$DV$203,MATCH(J$154,'DEMAND BY DATE'!$A$4:$A$203,0),MATCH($A168,'DEMAND BY DATE'!$CA$3:$DV$3,0)))</f>
        <v>5</v>
      </c>
      <c r="K168" s="291">
        <f>IF(K$154="","",INDEX('DEMAND BY DATE'!$CA$4:$DV$203,MATCH(K$154,'DEMAND BY DATE'!$A$4:$A$203,0),MATCH($A168,'DEMAND BY DATE'!$CA$3:$DV$3,0)))</f>
        <v>5</v>
      </c>
      <c r="L168" s="291">
        <f>IF(L$154="","",INDEX('DEMAND BY DATE'!$CA$4:$DV$203,MATCH(L$154,'DEMAND BY DATE'!$A$4:$A$203,0),MATCH($A168,'DEMAND BY DATE'!$CA$3:$DV$3,0)))</f>
        <v>5</v>
      </c>
      <c r="M168" s="291">
        <f>IF(M$154="","",INDEX('DEMAND BY DATE'!$CA$4:$DV$203,MATCH(M$154,'DEMAND BY DATE'!$A$4:$A$203,0),MATCH($A168,'DEMAND BY DATE'!$CA$3:$DV$3,0)))</f>
        <v>5</v>
      </c>
      <c r="N168" s="291">
        <f>IF(N$154="","",INDEX('DEMAND BY DATE'!$CA$4:$DV$203,MATCH(N$154,'DEMAND BY DATE'!$A$4:$A$203,0),MATCH($A168,'DEMAND BY DATE'!$CA$3:$DV$3,0)))</f>
        <v>5</v>
      </c>
      <c r="O168" s="291">
        <f>IF(O$154="","",INDEX('DEMAND BY DATE'!$CA$4:$DV$203,MATCH(O$154,'DEMAND BY DATE'!$A$4:$A$203,0),MATCH($A168,'DEMAND BY DATE'!$CA$3:$DV$3,0)))</f>
        <v>5</v>
      </c>
      <c r="P168" s="291">
        <f>IF(P$154="","",INDEX('DEMAND BY DATE'!$CA$4:$DV$203,MATCH(P$154,'DEMAND BY DATE'!$A$4:$A$203,0),MATCH($A168,'DEMAND BY DATE'!$CA$3:$DV$3,0)))</f>
        <v>5</v>
      </c>
      <c r="Q168" s="291">
        <f>IF(Q$154="","",INDEX('DEMAND BY DATE'!$CA$4:$DV$203,MATCH(Q$154,'DEMAND BY DATE'!$A$4:$A$203,0),MATCH($A168,'DEMAND BY DATE'!$CA$3:$DV$3,0)))</f>
        <v>5</v>
      </c>
      <c r="R168" s="291">
        <f>IF(R$154="","",INDEX('DEMAND BY DATE'!$CA$4:$DV$203,MATCH(R$154,'DEMAND BY DATE'!$A$4:$A$203,0),MATCH($A168,'DEMAND BY DATE'!$CA$3:$DV$3,0)))</f>
        <v>5</v>
      </c>
      <c r="S168" s="291">
        <f>IF(S$154="","",INDEX('DEMAND BY DATE'!$CA$4:$DV$203,MATCH(S$154,'DEMAND BY DATE'!$A$4:$A$203,0),MATCH($A168,'DEMAND BY DATE'!$CA$3:$DV$3,0)))</f>
        <v>5</v>
      </c>
      <c r="T168" s="291">
        <f>IF(T$154="","",INDEX('DEMAND BY DATE'!$CA$4:$DV$203,MATCH(T$154,'DEMAND BY DATE'!$A$4:$A$203,0),MATCH($A168,'DEMAND BY DATE'!$CA$3:$DV$3,0)))</f>
        <v>0</v>
      </c>
      <c r="U168" s="291">
        <f>IF(U$154="","",INDEX('DEMAND BY DATE'!$CA$4:$DV$203,MATCH(U$154,'DEMAND BY DATE'!$A$4:$A$203,0),MATCH($A168,'DEMAND BY DATE'!$CA$3:$DV$3,0)))</f>
        <v>0</v>
      </c>
      <c r="V168" s="291">
        <f>IF(V$154="","",INDEX('DEMAND BY DATE'!$CA$4:$DV$203,MATCH(V$154,'DEMAND BY DATE'!$A$4:$A$203,0),MATCH($A168,'DEMAND BY DATE'!$CA$3:$DV$3,0)))</f>
        <v>0</v>
      </c>
      <c r="W168" s="291">
        <f>IF(W$154="","",INDEX('DEMAND BY DATE'!$CA$4:$DV$203,MATCH(W$154,'DEMAND BY DATE'!$A$4:$A$203,0),MATCH($A168,'DEMAND BY DATE'!$CA$3:$DV$3,0)))</f>
        <v>0</v>
      </c>
      <c r="X168" s="291">
        <f>IF(X$154="","",INDEX('DEMAND BY DATE'!$CA$4:$DV$203,MATCH(X$154,'DEMAND BY DATE'!$A$4:$A$203,0),MATCH($A168,'DEMAND BY DATE'!$CA$3:$DV$3,0)))</f>
        <v>0</v>
      </c>
      <c r="Y168" s="291">
        <f>IF(Y$154="","",INDEX('DEMAND BY DATE'!$CA$4:$DV$203,MATCH(Y$154,'DEMAND BY DATE'!$A$4:$A$203,0),MATCH($A168,'DEMAND BY DATE'!$CA$3:$DV$3,0)))</f>
        <v>0</v>
      </c>
      <c r="Z168" s="291">
        <f>IF(Z$154="","",INDEX('DEMAND BY DATE'!$CA$4:$DV$203,MATCH(Z$154,'DEMAND BY DATE'!$A$4:$A$203,0),MATCH($A168,'DEMAND BY DATE'!$CA$3:$DV$3,0)))</f>
        <v>0</v>
      </c>
      <c r="AA168" s="291">
        <f>IF(AA$154="","",INDEX('DEMAND BY DATE'!$CA$4:$DV$203,MATCH(AA$154,'DEMAND BY DATE'!$A$4:$A$203,0),MATCH($A168,'DEMAND BY DATE'!$CA$3:$DV$3,0)))</f>
        <v>0</v>
      </c>
      <c r="AB168" s="291">
        <f>IF(AB$154="","",INDEX('DEMAND BY DATE'!$CA$4:$DV$203,MATCH(AB$154,'DEMAND BY DATE'!$A$4:$A$203,0),MATCH($A168,'DEMAND BY DATE'!$CA$3:$DV$3,0)))</f>
        <v>0</v>
      </c>
      <c r="AC168" s="291">
        <f>IF(AC$154="","",INDEX('DEMAND BY DATE'!$CA$4:$DV$203,MATCH(AC$154,'DEMAND BY DATE'!$A$4:$A$203,0),MATCH($A168,'DEMAND BY DATE'!$CA$3:$DV$3,0)))</f>
        <v>0</v>
      </c>
      <c r="AD168" s="291">
        <f>IF(AD$154="","",INDEX('DEMAND BY DATE'!$CA$4:$DV$203,MATCH(AD$154,'DEMAND BY DATE'!$A$4:$A$203,0),MATCH($A168,'DEMAND BY DATE'!$CA$3:$DV$3,0)))</f>
        <v>0</v>
      </c>
      <c r="AE168" s="291">
        <f>IF(AE$154="","",INDEX('DEMAND BY DATE'!$CA$4:$DV$203,MATCH(AE$154,'DEMAND BY DATE'!$A$4:$A$203,0),MATCH($A168,'DEMAND BY DATE'!$CA$3:$DV$3,0)))</f>
        <v>0</v>
      </c>
      <c r="AF168" s="291">
        <f>IF(AF$154="","",INDEX('DEMAND BY DATE'!$CA$4:$DV$203,MATCH(AF$154,'DEMAND BY DATE'!$A$4:$A$203,0),MATCH($A168,'DEMAND BY DATE'!$CA$3:$DV$3,0)))</f>
        <v>0</v>
      </c>
      <c r="AG168" s="291">
        <f>IF(AG$154="","",INDEX('DEMAND BY DATE'!$CA$4:$DV$203,MATCH(AG$154,'DEMAND BY DATE'!$A$4:$A$203,0),MATCH($A168,'DEMAND BY DATE'!$CA$3:$DV$3,0)))</f>
        <v>0</v>
      </c>
      <c r="AH168" s="291">
        <f>IF(AH$154="","",INDEX('DEMAND BY DATE'!$CA$4:$DV$203,MATCH(AH$154,'DEMAND BY DATE'!$A$4:$A$203,0),MATCH($A168,'DEMAND BY DATE'!$CA$3:$DV$3,0)))</f>
        <v>0</v>
      </c>
      <c r="AI168" s="291">
        <f>IF(AI$154="","",INDEX('DEMAND BY DATE'!$CA$4:$DV$203,MATCH(AI$154,'DEMAND BY DATE'!$A$4:$A$203,0),MATCH($A168,'DEMAND BY DATE'!$CA$3:$DV$3,0)))</f>
        <v>0</v>
      </c>
      <c r="AJ168" s="291">
        <f>IF(AJ$154="","",INDEX('DEMAND BY DATE'!$CA$4:$DV$203,MATCH(AJ$154,'DEMAND BY DATE'!$A$4:$A$203,0),MATCH($A168,'DEMAND BY DATE'!$CA$3:$DV$3,0)))</f>
        <v>0</v>
      </c>
      <c r="AK168" s="291">
        <f>IF(AK$154="","",INDEX('DEMAND BY DATE'!$CA$4:$DV$203,MATCH(AK$154,'DEMAND BY DATE'!$A$4:$A$203,0),MATCH($A168,'DEMAND BY DATE'!$CA$3:$DV$3,0)))</f>
        <v>0</v>
      </c>
    </row>
    <row r="169" spans="1:37">
      <c r="A169" s="288">
        <f>$A$47</f>
        <v>4110</v>
      </c>
      <c r="B169" s="289" t="str">
        <f>$AG$47</f>
        <v>NEEDS INPUT</v>
      </c>
      <c r="C169" s="289">
        <f>$AB$47</f>
        <v>28</v>
      </c>
      <c r="D169" s="290">
        <f>MAX($G169:$AK169)</f>
        <v>1</v>
      </c>
      <c r="E169" s="289"/>
      <c r="F169" s="289" cm="1">
        <f t="array" ref="F169">SUMPRODUCT((ISNUMBER($G169:$AK169))*($G169:$AK169&gt;0)*($G$151:$AK$151="Y"))</f>
        <v>14</v>
      </c>
      <c r="G169" s="291">
        <f>IF(G$154="","",INDEX('DEMAND BY DATE'!$CA$4:$DV$203,MATCH(G$154,'DEMAND BY DATE'!$A$4:$A$203,0),MATCH($A169,'DEMAND BY DATE'!$CA$3:$DV$3,0)))</f>
        <v>0</v>
      </c>
      <c r="H169" s="291">
        <f>IF(H$154="","",INDEX('DEMAND BY DATE'!$CA$4:$DV$203,MATCH(H$154,'DEMAND BY DATE'!$A$4:$A$203,0),MATCH($A169,'DEMAND BY DATE'!$CA$3:$DV$3,0)))</f>
        <v>0</v>
      </c>
      <c r="I169" s="291">
        <f>IF(I$154="","",INDEX('DEMAND BY DATE'!$CA$4:$DV$203,MATCH(I$154,'DEMAND BY DATE'!$A$4:$A$203,0),MATCH($A169,'DEMAND BY DATE'!$CA$3:$DV$3,0)))</f>
        <v>0</v>
      </c>
      <c r="J169" s="291">
        <f>IF(J$154="","",INDEX('DEMAND BY DATE'!$CA$4:$DV$203,MATCH(J$154,'DEMAND BY DATE'!$A$4:$A$203,0),MATCH($A169,'DEMAND BY DATE'!$CA$3:$DV$3,0)))</f>
        <v>0</v>
      </c>
      <c r="K169" s="291">
        <f>IF(K$154="","",INDEX('DEMAND BY DATE'!$CA$4:$DV$203,MATCH(K$154,'DEMAND BY DATE'!$A$4:$A$203,0),MATCH($A169,'DEMAND BY DATE'!$CA$3:$DV$3,0)))</f>
        <v>0</v>
      </c>
      <c r="L169" s="291">
        <f>IF(L$154="","",INDEX('DEMAND BY DATE'!$CA$4:$DV$203,MATCH(L$154,'DEMAND BY DATE'!$A$4:$A$203,0),MATCH($A169,'DEMAND BY DATE'!$CA$3:$DV$3,0)))</f>
        <v>0</v>
      </c>
      <c r="M169" s="291">
        <f>IF(M$154="","",INDEX('DEMAND BY DATE'!$CA$4:$DV$203,MATCH(M$154,'DEMAND BY DATE'!$A$4:$A$203,0),MATCH($A169,'DEMAND BY DATE'!$CA$3:$DV$3,0)))</f>
        <v>0</v>
      </c>
      <c r="N169" s="291">
        <f>IF(N$154="","",INDEX('DEMAND BY DATE'!$CA$4:$DV$203,MATCH(N$154,'DEMAND BY DATE'!$A$4:$A$203,0),MATCH($A169,'DEMAND BY DATE'!$CA$3:$DV$3,0)))</f>
        <v>0</v>
      </c>
      <c r="O169" s="291">
        <f>IF(O$154="","",INDEX('DEMAND BY DATE'!$CA$4:$DV$203,MATCH(O$154,'DEMAND BY DATE'!$A$4:$A$203,0),MATCH($A169,'DEMAND BY DATE'!$CA$3:$DV$3,0)))</f>
        <v>0</v>
      </c>
      <c r="P169" s="291">
        <f>IF(P$154="","",INDEX('DEMAND BY DATE'!$CA$4:$DV$203,MATCH(P$154,'DEMAND BY DATE'!$A$4:$A$203,0),MATCH($A169,'DEMAND BY DATE'!$CA$3:$DV$3,0)))</f>
        <v>0</v>
      </c>
      <c r="Q169" s="291">
        <f>IF(Q$154="","",INDEX('DEMAND BY DATE'!$CA$4:$DV$203,MATCH(Q$154,'DEMAND BY DATE'!$A$4:$A$203,0),MATCH($A169,'DEMAND BY DATE'!$CA$3:$DV$3,0)))</f>
        <v>0</v>
      </c>
      <c r="R169" s="291">
        <f>IF(R$154="","",INDEX('DEMAND BY DATE'!$CA$4:$DV$203,MATCH(R$154,'DEMAND BY DATE'!$A$4:$A$203,0),MATCH($A169,'DEMAND BY DATE'!$CA$3:$DV$3,0)))</f>
        <v>0</v>
      </c>
      <c r="S169" s="291">
        <f>IF(S$154="","",INDEX('DEMAND BY DATE'!$CA$4:$DV$203,MATCH(S$154,'DEMAND BY DATE'!$A$4:$A$203,0),MATCH($A169,'DEMAND BY DATE'!$CA$3:$DV$3,0)))</f>
        <v>0</v>
      </c>
      <c r="T169" s="291">
        <f>IF(T$154="","",INDEX('DEMAND BY DATE'!$CA$4:$DV$203,MATCH(T$154,'DEMAND BY DATE'!$A$4:$A$203,0),MATCH($A169,'DEMAND BY DATE'!$CA$3:$DV$3,0)))</f>
        <v>0</v>
      </c>
      <c r="U169" s="291">
        <f>IF(U$154="","",INDEX('DEMAND BY DATE'!$CA$4:$DV$203,MATCH(U$154,'DEMAND BY DATE'!$A$4:$A$203,0),MATCH($A169,'DEMAND BY DATE'!$CA$3:$DV$3,0)))</f>
        <v>1</v>
      </c>
      <c r="V169" s="291">
        <f>IF(V$154="","",INDEX('DEMAND BY DATE'!$CA$4:$DV$203,MATCH(V$154,'DEMAND BY DATE'!$A$4:$A$203,0),MATCH($A169,'DEMAND BY DATE'!$CA$3:$DV$3,0)))</f>
        <v>1</v>
      </c>
      <c r="W169" s="291">
        <f>IF(W$154="","",INDEX('DEMAND BY DATE'!$CA$4:$DV$203,MATCH(W$154,'DEMAND BY DATE'!$A$4:$A$203,0),MATCH($A169,'DEMAND BY DATE'!$CA$3:$DV$3,0)))</f>
        <v>1</v>
      </c>
      <c r="X169" s="291">
        <f>IF(X$154="","",INDEX('DEMAND BY DATE'!$CA$4:$DV$203,MATCH(X$154,'DEMAND BY DATE'!$A$4:$A$203,0),MATCH($A169,'DEMAND BY DATE'!$CA$3:$DV$3,0)))</f>
        <v>1</v>
      </c>
      <c r="Y169" s="291">
        <f>IF(Y$154="","",INDEX('DEMAND BY DATE'!$CA$4:$DV$203,MATCH(Y$154,'DEMAND BY DATE'!$A$4:$A$203,0),MATCH($A169,'DEMAND BY DATE'!$CA$3:$DV$3,0)))</f>
        <v>1</v>
      </c>
      <c r="Z169" s="291">
        <f>IF(Z$154="","",INDEX('DEMAND BY DATE'!$CA$4:$DV$203,MATCH(Z$154,'DEMAND BY DATE'!$A$4:$A$203,0),MATCH($A169,'DEMAND BY DATE'!$CA$3:$DV$3,0)))</f>
        <v>1</v>
      </c>
      <c r="AA169" s="291">
        <f>IF(AA$154="","",INDEX('DEMAND BY DATE'!$CA$4:$DV$203,MATCH(AA$154,'DEMAND BY DATE'!$A$4:$A$203,0),MATCH($A169,'DEMAND BY DATE'!$CA$3:$DV$3,0)))</f>
        <v>1</v>
      </c>
      <c r="AB169" s="291">
        <f>IF(AB$154="","",INDEX('DEMAND BY DATE'!$CA$4:$DV$203,MATCH(AB$154,'DEMAND BY DATE'!$A$4:$A$203,0),MATCH($A169,'DEMAND BY DATE'!$CA$3:$DV$3,0)))</f>
        <v>1</v>
      </c>
      <c r="AC169" s="291">
        <f>IF(AC$154="","",INDEX('DEMAND BY DATE'!$CA$4:$DV$203,MATCH(AC$154,'DEMAND BY DATE'!$A$4:$A$203,0),MATCH($A169,'DEMAND BY DATE'!$CA$3:$DV$3,0)))</f>
        <v>1</v>
      </c>
      <c r="AD169" s="291">
        <f>IF(AD$154="","",INDEX('DEMAND BY DATE'!$CA$4:$DV$203,MATCH(AD$154,'DEMAND BY DATE'!$A$4:$A$203,0),MATCH($A169,'DEMAND BY DATE'!$CA$3:$DV$3,0)))</f>
        <v>1</v>
      </c>
      <c r="AE169" s="291">
        <f>IF(AE$154="","",INDEX('DEMAND BY DATE'!$CA$4:$DV$203,MATCH(AE$154,'DEMAND BY DATE'!$A$4:$A$203,0),MATCH($A169,'DEMAND BY DATE'!$CA$3:$DV$3,0)))</f>
        <v>1</v>
      </c>
      <c r="AF169" s="291">
        <f>IF(AF$154="","",INDEX('DEMAND BY DATE'!$CA$4:$DV$203,MATCH(AF$154,'DEMAND BY DATE'!$A$4:$A$203,0),MATCH($A169,'DEMAND BY DATE'!$CA$3:$DV$3,0)))</f>
        <v>1</v>
      </c>
      <c r="AG169" s="291">
        <f>IF(AG$154="","",INDEX('DEMAND BY DATE'!$CA$4:$DV$203,MATCH(AG$154,'DEMAND BY DATE'!$A$4:$A$203,0),MATCH($A169,'DEMAND BY DATE'!$CA$3:$DV$3,0)))</f>
        <v>1</v>
      </c>
      <c r="AH169" s="291">
        <f>IF(AH$154="","",INDEX('DEMAND BY DATE'!$CA$4:$DV$203,MATCH(AH$154,'DEMAND BY DATE'!$A$4:$A$203,0),MATCH($A169,'DEMAND BY DATE'!$CA$3:$DV$3,0)))</f>
        <v>1</v>
      </c>
      <c r="AI169" s="291">
        <f>IF(AI$154="","",INDEX('DEMAND BY DATE'!$CA$4:$DV$203,MATCH(AI$154,'DEMAND BY DATE'!$A$4:$A$203,0),MATCH($A169,'DEMAND BY DATE'!$CA$3:$DV$3,0)))</f>
        <v>1</v>
      </c>
      <c r="AJ169" s="291">
        <f>IF(AJ$154="","",INDEX('DEMAND BY DATE'!$CA$4:$DV$203,MATCH(AJ$154,'DEMAND BY DATE'!$A$4:$A$203,0),MATCH($A169,'DEMAND BY DATE'!$CA$3:$DV$3,0)))</f>
        <v>1</v>
      </c>
      <c r="AK169" s="291">
        <f>IF(AK$154="","",INDEX('DEMAND BY DATE'!$CA$4:$DV$203,MATCH(AK$154,'DEMAND BY DATE'!$A$4:$A$203,0),MATCH($A169,'DEMAND BY DATE'!$CA$3:$DV$3,0)))</f>
        <v>1</v>
      </c>
    </row>
    <row r="170" spans="1:37">
      <c r="A170" s="288">
        <f>$A$48</f>
        <v>5520</v>
      </c>
      <c r="B170" s="289" t="str">
        <f>$AG$48</f>
        <v>THERMAL</v>
      </c>
      <c r="C170" s="289">
        <f>$AB$48</f>
        <v>32</v>
      </c>
      <c r="D170" s="290">
        <f>MAX($G170:$AK170)</f>
        <v>2</v>
      </c>
      <c r="E170" s="289"/>
      <c r="F170" s="289" cm="1">
        <f t="array" ref="F170">SUMPRODUCT((ISNUMBER($G170:$AK170))*($G170:$AK170&gt;0)*($G$151:$AK$151="Y"))</f>
        <v>26</v>
      </c>
      <c r="G170" s="291">
        <f>IF(G$154="","",INDEX('DEMAND BY DATE'!$CA$4:$DV$203,MATCH(G$154,'DEMAND BY DATE'!$A$4:$A$203,0),MATCH($A170,'DEMAND BY DATE'!$CA$3:$DV$3,0)))</f>
        <v>2</v>
      </c>
      <c r="H170" s="291">
        <f>IF(H$154="","",INDEX('DEMAND BY DATE'!$CA$4:$DV$203,MATCH(H$154,'DEMAND BY DATE'!$A$4:$A$203,0),MATCH($A170,'DEMAND BY DATE'!$CA$3:$DV$3,0)))</f>
        <v>2</v>
      </c>
      <c r="I170" s="291">
        <f>IF(I$154="","",INDEX('DEMAND BY DATE'!$CA$4:$DV$203,MATCH(I$154,'DEMAND BY DATE'!$A$4:$A$203,0),MATCH($A170,'DEMAND BY DATE'!$CA$3:$DV$3,0)))</f>
        <v>2</v>
      </c>
      <c r="J170" s="291">
        <f>IF(J$154="","",INDEX('DEMAND BY DATE'!$CA$4:$DV$203,MATCH(J$154,'DEMAND BY DATE'!$A$4:$A$203,0),MATCH($A170,'DEMAND BY DATE'!$CA$3:$DV$3,0)))</f>
        <v>2</v>
      </c>
      <c r="K170" s="291">
        <f>IF(K$154="","",INDEX('DEMAND BY DATE'!$CA$4:$DV$203,MATCH(K$154,'DEMAND BY DATE'!$A$4:$A$203,0),MATCH($A170,'DEMAND BY DATE'!$CA$3:$DV$3,0)))</f>
        <v>2</v>
      </c>
      <c r="L170" s="291">
        <f>IF(L$154="","",INDEX('DEMAND BY DATE'!$CA$4:$DV$203,MATCH(L$154,'DEMAND BY DATE'!$A$4:$A$203,0),MATCH($A170,'DEMAND BY DATE'!$CA$3:$DV$3,0)))</f>
        <v>2</v>
      </c>
      <c r="M170" s="291">
        <f>IF(M$154="","",INDEX('DEMAND BY DATE'!$CA$4:$DV$203,MATCH(M$154,'DEMAND BY DATE'!$A$4:$A$203,0),MATCH($A170,'DEMAND BY DATE'!$CA$3:$DV$3,0)))</f>
        <v>2</v>
      </c>
      <c r="N170" s="291">
        <f>IF(N$154="","",INDEX('DEMAND BY DATE'!$CA$4:$DV$203,MATCH(N$154,'DEMAND BY DATE'!$A$4:$A$203,0),MATCH($A170,'DEMAND BY DATE'!$CA$3:$DV$3,0)))</f>
        <v>2</v>
      </c>
      <c r="O170" s="291">
        <f>IF(O$154="","",INDEX('DEMAND BY DATE'!$CA$4:$DV$203,MATCH(O$154,'DEMAND BY DATE'!$A$4:$A$203,0),MATCH($A170,'DEMAND BY DATE'!$CA$3:$DV$3,0)))</f>
        <v>2</v>
      </c>
      <c r="P170" s="291">
        <f>IF(P$154="","",INDEX('DEMAND BY DATE'!$CA$4:$DV$203,MATCH(P$154,'DEMAND BY DATE'!$A$4:$A$203,0),MATCH($A170,'DEMAND BY DATE'!$CA$3:$DV$3,0)))</f>
        <v>2</v>
      </c>
      <c r="Q170" s="291">
        <f>IF(Q$154="","",INDEX('DEMAND BY DATE'!$CA$4:$DV$203,MATCH(Q$154,'DEMAND BY DATE'!$A$4:$A$203,0),MATCH($A170,'DEMAND BY DATE'!$CA$3:$DV$3,0)))</f>
        <v>2</v>
      </c>
      <c r="R170" s="291">
        <f>IF(R$154="","",INDEX('DEMAND BY DATE'!$CA$4:$DV$203,MATCH(R$154,'DEMAND BY DATE'!$A$4:$A$203,0),MATCH($A170,'DEMAND BY DATE'!$CA$3:$DV$3,0)))</f>
        <v>2</v>
      </c>
      <c r="S170" s="291">
        <f>IF(S$154="","",INDEX('DEMAND BY DATE'!$CA$4:$DV$203,MATCH(S$154,'DEMAND BY DATE'!$A$4:$A$203,0),MATCH($A170,'DEMAND BY DATE'!$CA$3:$DV$3,0)))</f>
        <v>2</v>
      </c>
      <c r="T170" s="291">
        <f>IF(T$154="","",INDEX('DEMAND BY DATE'!$CA$4:$DV$203,MATCH(T$154,'DEMAND BY DATE'!$A$4:$A$203,0),MATCH($A170,'DEMAND BY DATE'!$CA$3:$DV$3,0)))</f>
        <v>2</v>
      </c>
      <c r="U170" s="291">
        <f>IF(U$154="","",INDEX('DEMAND BY DATE'!$CA$4:$DV$203,MATCH(U$154,'DEMAND BY DATE'!$A$4:$A$203,0),MATCH($A170,'DEMAND BY DATE'!$CA$3:$DV$3,0)))</f>
        <v>2</v>
      </c>
      <c r="V170" s="291">
        <f>IF(V$154="","",INDEX('DEMAND BY DATE'!$CA$4:$DV$203,MATCH(V$154,'DEMAND BY DATE'!$A$4:$A$203,0),MATCH($A170,'DEMAND BY DATE'!$CA$3:$DV$3,0)))</f>
        <v>2</v>
      </c>
      <c r="W170" s="291">
        <f>IF(W$154="","",INDEX('DEMAND BY DATE'!$CA$4:$DV$203,MATCH(W$154,'DEMAND BY DATE'!$A$4:$A$203,0),MATCH($A170,'DEMAND BY DATE'!$CA$3:$DV$3,0)))</f>
        <v>2</v>
      </c>
      <c r="X170" s="291">
        <f>IF(X$154="","",INDEX('DEMAND BY DATE'!$CA$4:$DV$203,MATCH(X$154,'DEMAND BY DATE'!$A$4:$A$203,0),MATCH($A170,'DEMAND BY DATE'!$CA$3:$DV$3,0)))</f>
        <v>2</v>
      </c>
      <c r="Y170" s="291">
        <f>IF(Y$154="","",INDEX('DEMAND BY DATE'!$CA$4:$DV$203,MATCH(Y$154,'DEMAND BY DATE'!$A$4:$A$203,0),MATCH($A170,'DEMAND BY DATE'!$CA$3:$DV$3,0)))</f>
        <v>2</v>
      </c>
      <c r="Z170" s="291">
        <f>IF(Z$154="","",INDEX('DEMAND BY DATE'!$CA$4:$DV$203,MATCH(Z$154,'DEMAND BY DATE'!$A$4:$A$203,0),MATCH($A170,'DEMAND BY DATE'!$CA$3:$DV$3,0)))</f>
        <v>2</v>
      </c>
      <c r="AA170" s="291">
        <f>IF(AA$154="","",INDEX('DEMAND BY DATE'!$CA$4:$DV$203,MATCH(AA$154,'DEMAND BY DATE'!$A$4:$A$203,0),MATCH($A170,'DEMAND BY DATE'!$CA$3:$DV$3,0)))</f>
        <v>2</v>
      </c>
      <c r="AB170" s="291">
        <f>IF(AB$154="","",INDEX('DEMAND BY DATE'!$CA$4:$DV$203,MATCH(AB$154,'DEMAND BY DATE'!$A$4:$A$203,0),MATCH($A170,'DEMAND BY DATE'!$CA$3:$DV$3,0)))</f>
        <v>2</v>
      </c>
      <c r="AC170" s="291">
        <f>IF(AC$154="","",INDEX('DEMAND BY DATE'!$CA$4:$DV$203,MATCH(AC$154,'DEMAND BY DATE'!$A$4:$A$203,0),MATCH($A170,'DEMAND BY DATE'!$CA$3:$DV$3,0)))</f>
        <v>2</v>
      </c>
      <c r="AD170" s="291">
        <f>IF(AD$154="","",INDEX('DEMAND BY DATE'!$CA$4:$DV$203,MATCH(AD$154,'DEMAND BY DATE'!$A$4:$A$203,0),MATCH($A170,'DEMAND BY DATE'!$CA$3:$DV$3,0)))</f>
        <v>2</v>
      </c>
      <c r="AE170" s="291">
        <f>IF(AE$154="","",INDEX('DEMAND BY DATE'!$CA$4:$DV$203,MATCH(AE$154,'DEMAND BY DATE'!$A$4:$A$203,0),MATCH($A170,'DEMAND BY DATE'!$CA$3:$DV$3,0)))</f>
        <v>2</v>
      </c>
      <c r="AF170" s="291">
        <f>IF(AF$154="","",INDEX('DEMAND BY DATE'!$CA$4:$DV$203,MATCH(AF$154,'DEMAND BY DATE'!$A$4:$A$203,0),MATCH($A170,'DEMAND BY DATE'!$CA$3:$DV$3,0)))</f>
        <v>2</v>
      </c>
      <c r="AG170" s="291">
        <f>IF(AG$154="","",INDEX('DEMAND BY DATE'!$CA$4:$DV$203,MATCH(AG$154,'DEMAND BY DATE'!$A$4:$A$203,0),MATCH($A170,'DEMAND BY DATE'!$CA$3:$DV$3,0)))</f>
        <v>2</v>
      </c>
      <c r="AH170" s="291">
        <f>IF(AH$154="","",INDEX('DEMAND BY DATE'!$CA$4:$DV$203,MATCH(AH$154,'DEMAND BY DATE'!$A$4:$A$203,0),MATCH($A170,'DEMAND BY DATE'!$CA$3:$DV$3,0)))</f>
        <v>2</v>
      </c>
      <c r="AI170" s="291">
        <f>IF(AI$154="","",INDEX('DEMAND BY DATE'!$CA$4:$DV$203,MATCH(AI$154,'DEMAND BY DATE'!$A$4:$A$203,0),MATCH($A170,'DEMAND BY DATE'!$CA$3:$DV$3,0)))</f>
        <v>2</v>
      </c>
      <c r="AJ170" s="291">
        <f>IF(AJ$154="","",INDEX('DEMAND BY DATE'!$CA$4:$DV$203,MATCH(AJ$154,'DEMAND BY DATE'!$A$4:$A$203,0),MATCH($A170,'DEMAND BY DATE'!$CA$3:$DV$3,0)))</f>
        <v>2</v>
      </c>
      <c r="AK170" s="291">
        <f>IF(AK$154="","",INDEX('DEMAND BY DATE'!$CA$4:$DV$203,MATCH(AK$154,'DEMAND BY DATE'!$A$4:$A$203,0),MATCH($A170,'DEMAND BY DATE'!$CA$3:$DV$3,0)))</f>
        <v>2</v>
      </c>
    </row>
    <row r="171" spans="1:37">
      <c r="A171" s="288" t="str">
        <f>$A$49</f>
        <v>TH-01</v>
      </c>
      <c r="B171" s="289" t="str">
        <f>$AG$49</f>
        <v>THERMAL</v>
      </c>
      <c r="C171" s="289">
        <f>$AB$49</f>
        <v>22</v>
      </c>
      <c r="D171" s="290">
        <f>MAX($G171:$AK171)</f>
        <v>0</v>
      </c>
      <c r="E171" s="289"/>
      <c r="F171" s="289" cm="1">
        <f t="array" ref="F171">SUMPRODUCT((ISNUMBER($G171:$AK171))*($G171:$AK171&gt;0)*($G$151:$AK$151="Y"))</f>
        <v>0</v>
      </c>
      <c r="G171" s="291">
        <f>IF(G$154="","",INDEX('DEMAND BY DATE'!$CA$4:$DV$203,MATCH(G$154,'DEMAND BY DATE'!$A$4:$A$203,0),MATCH($A171,'DEMAND BY DATE'!$CA$3:$DV$3,0)))</f>
        <v>0</v>
      </c>
      <c r="H171" s="291">
        <f>IF(H$154="","",INDEX('DEMAND BY DATE'!$CA$4:$DV$203,MATCH(H$154,'DEMAND BY DATE'!$A$4:$A$203,0),MATCH($A171,'DEMAND BY DATE'!$CA$3:$DV$3,0)))</f>
        <v>0</v>
      </c>
      <c r="I171" s="291">
        <f>IF(I$154="","",INDEX('DEMAND BY DATE'!$CA$4:$DV$203,MATCH(I$154,'DEMAND BY DATE'!$A$4:$A$203,0),MATCH($A171,'DEMAND BY DATE'!$CA$3:$DV$3,0)))</f>
        <v>0</v>
      </c>
      <c r="J171" s="291">
        <f>IF(J$154="","",INDEX('DEMAND BY DATE'!$CA$4:$DV$203,MATCH(J$154,'DEMAND BY DATE'!$A$4:$A$203,0),MATCH($A171,'DEMAND BY DATE'!$CA$3:$DV$3,0)))</f>
        <v>0</v>
      </c>
      <c r="K171" s="291">
        <f>IF(K$154="","",INDEX('DEMAND BY DATE'!$CA$4:$DV$203,MATCH(K$154,'DEMAND BY DATE'!$A$4:$A$203,0),MATCH($A171,'DEMAND BY DATE'!$CA$3:$DV$3,0)))</f>
        <v>0</v>
      </c>
      <c r="L171" s="291">
        <f>IF(L$154="","",INDEX('DEMAND BY DATE'!$CA$4:$DV$203,MATCH(L$154,'DEMAND BY DATE'!$A$4:$A$203,0),MATCH($A171,'DEMAND BY DATE'!$CA$3:$DV$3,0)))</f>
        <v>0</v>
      </c>
      <c r="M171" s="291">
        <f>IF(M$154="","",INDEX('DEMAND BY DATE'!$CA$4:$DV$203,MATCH(M$154,'DEMAND BY DATE'!$A$4:$A$203,0),MATCH($A171,'DEMAND BY DATE'!$CA$3:$DV$3,0)))</f>
        <v>0</v>
      </c>
      <c r="N171" s="291">
        <f>IF(N$154="","",INDEX('DEMAND BY DATE'!$CA$4:$DV$203,MATCH(N$154,'DEMAND BY DATE'!$A$4:$A$203,0),MATCH($A171,'DEMAND BY DATE'!$CA$3:$DV$3,0)))</f>
        <v>0</v>
      </c>
      <c r="O171" s="291">
        <f>IF(O$154="","",INDEX('DEMAND BY DATE'!$CA$4:$DV$203,MATCH(O$154,'DEMAND BY DATE'!$A$4:$A$203,0),MATCH($A171,'DEMAND BY DATE'!$CA$3:$DV$3,0)))</f>
        <v>0</v>
      </c>
      <c r="P171" s="291">
        <f>IF(P$154="","",INDEX('DEMAND BY DATE'!$CA$4:$DV$203,MATCH(P$154,'DEMAND BY DATE'!$A$4:$A$203,0),MATCH($A171,'DEMAND BY DATE'!$CA$3:$DV$3,0)))</f>
        <v>0</v>
      </c>
      <c r="Q171" s="291">
        <f>IF(Q$154="","",INDEX('DEMAND BY DATE'!$CA$4:$DV$203,MATCH(Q$154,'DEMAND BY DATE'!$A$4:$A$203,0),MATCH($A171,'DEMAND BY DATE'!$CA$3:$DV$3,0)))</f>
        <v>0</v>
      </c>
      <c r="R171" s="291">
        <f>IF(R$154="","",INDEX('DEMAND BY DATE'!$CA$4:$DV$203,MATCH(R$154,'DEMAND BY DATE'!$A$4:$A$203,0),MATCH($A171,'DEMAND BY DATE'!$CA$3:$DV$3,0)))</f>
        <v>0</v>
      </c>
      <c r="S171" s="291">
        <f>IF(S$154="","",INDEX('DEMAND BY DATE'!$CA$4:$DV$203,MATCH(S$154,'DEMAND BY DATE'!$A$4:$A$203,0),MATCH($A171,'DEMAND BY DATE'!$CA$3:$DV$3,0)))</f>
        <v>0</v>
      </c>
      <c r="T171" s="291">
        <f>IF(T$154="","",INDEX('DEMAND BY DATE'!$CA$4:$DV$203,MATCH(T$154,'DEMAND BY DATE'!$A$4:$A$203,0),MATCH($A171,'DEMAND BY DATE'!$CA$3:$DV$3,0)))</f>
        <v>0</v>
      </c>
      <c r="U171" s="291">
        <f>IF(U$154="","",INDEX('DEMAND BY DATE'!$CA$4:$DV$203,MATCH(U$154,'DEMAND BY DATE'!$A$4:$A$203,0),MATCH($A171,'DEMAND BY DATE'!$CA$3:$DV$3,0)))</f>
        <v>0</v>
      </c>
      <c r="V171" s="291">
        <f>IF(V$154="","",INDEX('DEMAND BY DATE'!$CA$4:$DV$203,MATCH(V$154,'DEMAND BY DATE'!$A$4:$A$203,0),MATCH($A171,'DEMAND BY DATE'!$CA$3:$DV$3,0)))</f>
        <v>0</v>
      </c>
      <c r="W171" s="291">
        <f>IF(W$154="","",INDEX('DEMAND BY DATE'!$CA$4:$DV$203,MATCH(W$154,'DEMAND BY DATE'!$A$4:$A$203,0),MATCH($A171,'DEMAND BY DATE'!$CA$3:$DV$3,0)))</f>
        <v>0</v>
      </c>
      <c r="X171" s="291">
        <f>IF(X$154="","",INDEX('DEMAND BY DATE'!$CA$4:$DV$203,MATCH(X$154,'DEMAND BY DATE'!$A$4:$A$203,0),MATCH($A171,'DEMAND BY DATE'!$CA$3:$DV$3,0)))</f>
        <v>0</v>
      </c>
      <c r="Y171" s="291">
        <f>IF(Y$154="","",INDEX('DEMAND BY DATE'!$CA$4:$DV$203,MATCH(Y$154,'DEMAND BY DATE'!$A$4:$A$203,0),MATCH($A171,'DEMAND BY DATE'!$CA$3:$DV$3,0)))</f>
        <v>0</v>
      </c>
      <c r="Z171" s="291">
        <f>IF(Z$154="","",INDEX('DEMAND BY DATE'!$CA$4:$DV$203,MATCH(Z$154,'DEMAND BY DATE'!$A$4:$A$203,0),MATCH($A171,'DEMAND BY DATE'!$CA$3:$DV$3,0)))</f>
        <v>0</v>
      </c>
      <c r="AA171" s="291">
        <f>IF(AA$154="","",INDEX('DEMAND BY DATE'!$CA$4:$DV$203,MATCH(AA$154,'DEMAND BY DATE'!$A$4:$A$203,0),MATCH($A171,'DEMAND BY DATE'!$CA$3:$DV$3,0)))</f>
        <v>0</v>
      </c>
      <c r="AB171" s="291">
        <f>IF(AB$154="","",INDEX('DEMAND BY DATE'!$CA$4:$DV$203,MATCH(AB$154,'DEMAND BY DATE'!$A$4:$A$203,0),MATCH($A171,'DEMAND BY DATE'!$CA$3:$DV$3,0)))</f>
        <v>0</v>
      </c>
      <c r="AC171" s="291">
        <f>IF(AC$154="","",INDEX('DEMAND BY DATE'!$CA$4:$DV$203,MATCH(AC$154,'DEMAND BY DATE'!$A$4:$A$203,0),MATCH($A171,'DEMAND BY DATE'!$CA$3:$DV$3,0)))</f>
        <v>0</v>
      </c>
      <c r="AD171" s="291">
        <f>IF(AD$154="","",INDEX('DEMAND BY DATE'!$CA$4:$DV$203,MATCH(AD$154,'DEMAND BY DATE'!$A$4:$A$203,0),MATCH($A171,'DEMAND BY DATE'!$CA$3:$DV$3,0)))</f>
        <v>0</v>
      </c>
      <c r="AE171" s="291">
        <f>IF(AE$154="","",INDEX('DEMAND BY DATE'!$CA$4:$DV$203,MATCH(AE$154,'DEMAND BY DATE'!$A$4:$A$203,0),MATCH($A171,'DEMAND BY DATE'!$CA$3:$DV$3,0)))</f>
        <v>0</v>
      </c>
      <c r="AF171" s="291">
        <f>IF(AF$154="","",INDEX('DEMAND BY DATE'!$CA$4:$DV$203,MATCH(AF$154,'DEMAND BY DATE'!$A$4:$A$203,0),MATCH($A171,'DEMAND BY DATE'!$CA$3:$DV$3,0)))</f>
        <v>0</v>
      </c>
      <c r="AG171" s="291">
        <f>IF(AG$154="","",INDEX('DEMAND BY DATE'!$CA$4:$DV$203,MATCH(AG$154,'DEMAND BY DATE'!$A$4:$A$203,0),MATCH($A171,'DEMAND BY DATE'!$CA$3:$DV$3,0)))</f>
        <v>0</v>
      </c>
      <c r="AH171" s="291">
        <f>IF(AH$154="","",INDEX('DEMAND BY DATE'!$CA$4:$DV$203,MATCH(AH$154,'DEMAND BY DATE'!$A$4:$A$203,0),MATCH($A171,'DEMAND BY DATE'!$CA$3:$DV$3,0)))</f>
        <v>0</v>
      </c>
      <c r="AI171" s="291">
        <f>IF(AI$154="","",INDEX('DEMAND BY DATE'!$CA$4:$DV$203,MATCH(AI$154,'DEMAND BY DATE'!$A$4:$A$203,0),MATCH($A171,'DEMAND BY DATE'!$CA$3:$DV$3,0)))</f>
        <v>0</v>
      </c>
      <c r="AJ171" s="291">
        <f>IF(AJ$154="","",INDEX('DEMAND BY DATE'!$CA$4:$DV$203,MATCH(AJ$154,'DEMAND BY DATE'!$A$4:$A$203,0),MATCH($A171,'DEMAND BY DATE'!$CA$3:$DV$3,0)))</f>
        <v>0</v>
      </c>
      <c r="AK171" s="291">
        <f>IF(AK$154="","",INDEX('DEMAND BY DATE'!$CA$4:$DV$203,MATCH(AK$154,'DEMAND BY DATE'!$A$4:$A$203,0),MATCH($A171,'DEMAND BY DATE'!$CA$3:$DV$3,0)))</f>
        <v>0</v>
      </c>
    </row>
    <row r="172" spans="1:37">
      <c r="A172" s="288" t="str">
        <f>$A$50</f>
        <v>TH-02</v>
      </c>
      <c r="B172" s="289" t="str">
        <f>$AG$50</f>
        <v>THERMAL</v>
      </c>
      <c r="C172" s="289">
        <f>$AB$50</f>
        <v>28</v>
      </c>
      <c r="D172" s="290">
        <f>MAX($G172:$AK172)</f>
        <v>1</v>
      </c>
      <c r="E172" s="289"/>
      <c r="F172" s="289" cm="1">
        <f t="array" ref="F172">SUMPRODUCT((ISNUMBER($G172:$AK172))*($G172:$AK172&gt;0)*($G$151:$AK$151="Y"))</f>
        <v>26</v>
      </c>
      <c r="G172" s="291">
        <f>IF(G$154="","",INDEX('DEMAND BY DATE'!$CA$4:$DV$203,MATCH(G$154,'DEMAND BY DATE'!$A$4:$A$203,0),MATCH($A172,'DEMAND BY DATE'!$CA$3:$DV$3,0)))</f>
        <v>1</v>
      </c>
      <c r="H172" s="291">
        <f>IF(H$154="","",INDEX('DEMAND BY DATE'!$CA$4:$DV$203,MATCH(H$154,'DEMAND BY DATE'!$A$4:$A$203,0),MATCH($A172,'DEMAND BY DATE'!$CA$3:$DV$3,0)))</f>
        <v>1</v>
      </c>
      <c r="I172" s="291">
        <f>IF(I$154="","",INDEX('DEMAND BY DATE'!$CA$4:$DV$203,MATCH(I$154,'DEMAND BY DATE'!$A$4:$A$203,0),MATCH($A172,'DEMAND BY DATE'!$CA$3:$DV$3,0)))</f>
        <v>1</v>
      </c>
      <c r="J172" s="291">
        <f>IF(J$154="","",INDEX('DEMAND BY DATE'!$CA$4:$DV$203,MATCH(J$154,'DEMAND BY DATE'!$A$4:$A$203,0),MATCH($A172,'DEMAND BY DATE'!$CA$3:$DV$3,0)))</f>
        <v>1</v>
      </c>
      <c r="K172" s="291">
        <f>IF(K$154="","",INDEX('DEMAND BY DATE'!$CA$4:$DV$203,MATCH(K$154,'DEMAND BY DATE'!$A$4:$A$203,0),MATCH($A172,'DEMAND BY DATE'!$CA$3:$DV$3,0)))</f>
        <v>1</v>
      </c>
      <c r="L172" s="291">
        <f>IF(L$154="","",INDEX('DEMAND BY DATE'!$CA$4:$DV$203,MATCH(L$154,'DEMAND BY DATE'!$A$4:$A$203,0),MATCH($A172,'DEMAND BY DATE'!$CA$3:$DV$3,0)))</f>
        <v>1</v>
      </c>
      <c r="M172" s="291">
        <f>IF(M$154="","",INDEX('DEMAND BY DATE'!$CA$4:$DV$203,MATCH(M$154,'DEMAND BY DATE'!$A$4:$A$203,0),MATCH($A172,'DEMAND BY DATE'!$CA$3:$DV$3,0)))</f>
        <v>1</v>
      </c>
      <c r="N172" s="291">
        <f>IF(N$154="","",INDEX('DEMAND BY DATE'!$CA$4:$DV$203,MATCH(N$154,'DEMAND BY DATE'!$A$4:$A$203,0),MATCH($A172,'DEMAND BY DATE'!$CA$3:$DV$3,0)))</f>
        <v>1</v>
      </c>
      <c r="O172" s="291">
        <f>IF(O$154="","",INDEX('DEMAND BY DATE'!$CA$4:$DV$203,MATCH(O$154,'DEMAND BY DATE'!$A$4:$A$203,0),MATCH($A172,'DEMAND BY DATE'!$CA$3:$DV$3,0)))</f>
        <v>1</v>
      </c>
      <c r="P172" s="291">
        <f>IF(P$154="","",INDEX('DEMAND BY DATE'!$CA$4:$DV$203,MATCH(P$154,'DEMAND BY DATE'!$A$4:$A$203,0),MATCH($A172,'DEMAND BY DATE'!$CA$3:$DV$3,0)))</f>
        <v>1</v>
      </c>
      <c r="Q172" s="291">
        <f>IF(Q$154="","",INDEX('DEMAND BY DATE'!$CA$4:$DV$203,MATCH(Q$154,'DEMAND BY DATE'!$A$4:$A$203,0),MATCH($A172,'DEMAND BY DATE'!$CA$3:$DV$3,0)))</f>
        <v>1</v>
      </c>
      <c r="R172" s="291">
        <f>IF(R$154="","",INDEX('DEMAND BY DATE'!$CA$4:$DV$203,MATCH(R$154,'DEMAND BY DATE'!$A$4:$A$203,0),MATCH($A172,'DEMAND BY DATE'!$CA$3:$DV$3,0)))</f>
        <v>1</v>
      </c>
      <c r="S172" s="291">
        <f>IF(S$154="","",INDEX('DEMAND BY DATE'!$CA$4:$DV$203,MATCH(S$154,'DEMAND BY DATE'!$A$4:$A$203,0),MATCH($A172,'DEMAND BY DATE'!$CA$3:$DV$3,0)))</f>
        <v>1</v>
      </c>
      <c r="T172" s="291">
        <f>IF(T$154="","",INDEX('DEMAND BY DATE'!$CA$4:$DV$203,MATCH(T$154,'DEMAND BY DATE'!$A$4:$A$203,0),MATCH($A172,'DEMAND BY DATE'!$CA$3:$DV$3,0)))</f>
        <v>1</v>
      </c>
      <c r="U172" s="291">
        <f>IF(U$154="","",INDEX('DEMAND BY DATE'!$CA$4:$DV$203,MATCH(U$154,'DEMAND BY DATE'!$A$4:$A$203,0),MATCH($A172,'DEMAND BY DATE'!$CA$3:$DV$3,0)))</f>
        <v>1</v>
      </c>
      <c r="V172" s="291">
        <f>IF(V$154="","",INDEX('DEMAND BY DATE'!$CA$4:$DV$203,MATCH(V$154,'DEMAND BY DATE'!$A$4:$A$203,0),MATCH($A172,'DEMAND BY DATE'!$CA$3:$DV$3,0)))</f>
        <v>1</v>
      </c>
      <c r="W172" s="291">
        <f>IF(W$154="","",INDEX('DEMAND BY DATE'!$CA$4:$DV$203,MATCH(W$154,'DEMAND BY DATE'!$A$4:$A$203,0),MATCH($A172,'DEMAND BY DATE'!$CA$3:$DV$3,0)))</f>
        <v>1</v>
      </c>
      <c r="X172" s="291">
        <f>IF(X$154="","",INDEX('DEMAND BY DATE'!$CA$4:$DV$203,MATCH(X$154,'DEMAND BY DATE'!$A$4:$A$203,0),MATCH($A172,'DEMAND BY DATE'!$CA$3:$DV$3,0)))</f>
        <v>1</v>
      </c>
      <c r="Y172" s="291">
        <f>IF(Y$154="","",INDEX('DEMAND BY DATE'!$CA$4:$DV$203,MATCH(Y$154,'DEMAND BY DATE'!$A$4:$A$203,0),MATCH($A172,'DEMAND BY DATE'!$CA$3:$DV$3,0)))</f>
        <v>1</v>
      </c>
      <c r="Z172" s="291">
        <f>IF(Z$154="","",INDEX('DEMAND BY DATE'!$CA$4:$DV$203,MATCH(Z$154,'DEMAND BY DATE'!$A$4:$A$203,0),MATCH($A172,'DEMAND BY DATE'!$CA$3:$DV$3,0)))</f>
        <v>1</v>
      </c>
      <c r="AA172" s="291">
        <f>IF(AA$154="","",INDEX('DEMAND BY DATE'!$CA$4:$DV$203,MATCH(AA$154,'DEMAND BY DATE'!$A$4:$A$203,0),MATCH($A172,'DEMAND BY DATE'!$CA$3:$DV$3,0)))</f>
        <v>1</v>
      </c>
      <c r="AB172" s="291">
        <f>IF(AB$154="","",INDEX('DEMAND BY DATE'!$CA$4:$DV$203,MATCH(AB$154,'DEMAND BY DATE'!$A$4:$A$203,0),MATCH($A172,'DEMAND BY DATE'!$CA$3:$DV$3,0)))</f>
        <v>1</v>
      </c>
      <c r="AC172" s="291">
        <f>IF(AC$154="","",INDEX('DEMAND BY DATE'!$CA$4:$DV$203,MATCH(AC$154,'DEMAND BY DATE'!$A$4:$A$203,0),MATCH($A172,'DEMAND BY DATE'!$CA$3:$DV$3,0)))</f>
        <v>1</v>
      </c>
      <c r="AD172" s="291">
        <f>IF(AD$154="","",INDEX('DEMAND BY DATE'!$CA$4:$DV$203,MATCH(AD$154,'DEMAND BY DATE'!$A$4:$A$203,0),MATCH($A172,'DEMAND BY DATE'!$CA$3:$DV$3,0)))</f>
        <v>1</v>
      </c>
      <c r="AE172" s="291">
        <f>IF(AE$154="","",INDEX('DEMAND BY DATE'!$CA$4:$DV$203,MATCH(AE$154,'DEMAND BY DATE'!$A$4:$A$203,0),MATCH($A172,'DEMAND BY DATE'!$CA$3:$DV$3,0)))</f>
        <v>1</v>
      </c>
      <c r="AF172" s="291">
        <f>IF(AF$154="","",INDEX('DEMAND BY DATE'!$CA$4:$DV$203,MATCH(AF$154,'DEMAND BY DATE'!$A$4:$A$203,0),MATCH($A172,'DEMAND BY DATE'!$CA$3:$DV$3,0)))</f>
        <v>1</v>
      </c>
      <c r="AG172" s="291">
        <f>IF(AG$154="","",INDEX('DEMAND BY DATE'!$CA$4:$DV$203,MATCH(AG$154,'DEMAND BY DATE'!$A$4:$A$203,0),MATCH($A172,'DEMAND BY DATE'!$CA$3:$DV$3,0)))</f>
        <v>1</v>
      </c>
      <c r="AH172" s="291">
        <f>IF(AH$154="","",INDEX('DEMAND BY DATE'!$CA$4:$DV$203,MATCH(AH$154,'DEMAND BY DATE'!$A$4:$A$203,0),MATCH($A172,'DEMAND BY DATE'!$CA$3:$DV$3,0)))</f>
        <v>1</v>
      </c>
      <c r="AI172" s="291">
        <f>IF(AI$154="","",INDEX('DEMAND BY DATE'!$CA$4:$DV$203,MATCH(AI$154,'DEMAND BY DATE'!$A$4:$A$203,0),MATCH($A172,'DEMAND BY DATE'!$CA$3:$DV$3,0)))</f>
        <v>1</v>
      </c>
      <c r="AJ172" s="291">
        <f>IF(AJ$154="","",INDEX('DEMAND BY DATE'!$CA$4:$DV$203,MATCH(AJ$154,'DEMAND BY DATE'!$A$4:$A$203,0),MATCH($A172,'DEMAND BY DATE'!$CA$3:$DV$3,0)))</f>
        <v>1</v>
      </c>
      <c r="AK172" s="291">
        <f>IF(AK$154="","",INDEX('DEMAND BY DATE'!$CA$4:$DV$203,MATCH(AK$154,'DEMAND BY DATE'!$A$4:$A$203,0),MATCH($A172,'DEMAND BY DATE'!$CA$3:$DV$3,0)))</f>
        <v>1</v>
      </c>
    </row>
    <row r="173" spans="1:37">
      <c r="A173" s="288" t="str">
        <f>$A$51</f>
        <v>TH-04</v>
      </c>
      <c r="B173" s="289" t="str">
        <f>$AG$51</f>
        <v>THERMAL</v>
      </c>
      <c r="C173" s="289">
        <f>$AB$51</f>
        <v>19</v>
      </c>
      <c r="D173" s="290">
        <f>MAX($G173:$AK173)</f>
        <v>0</v>
      </c>
      <c r="E173" s="289"/>
      <c r="F173" s="289" cm="1">
        <f t="array" ref="F173">SUMPRODUCT((ISNUMBER($G173:$AK173))*($G173:$AK173&gt;0)*($G$151:$AK$151="Y"))</f>
        <v>0</v>
      </c>
      <c r="G173" s="291">
        <f>IF(G$154="","",INDEX('DEMAND BY DATE'!$CA$4:$DV$203,MATCH(G$154,'DEMAND BY DATE'!$A$4:$A$203,0),MATCH($A173,'DEMAND BY DATE'!$CA$3:$DV$3,0)))</f>
        <v>0</v>
      </c>
      <c r="H173" s="291">
        <f>IF(H$154="","",INDEX('DEMAND BY DATE'!$CA$4:$DV$203,MATCH(H$154,'DEMAND BY DATE'!$A$4:$A$203,0),MATCH($A173,'DEMAND BY DATE'!$CA$3:$DV$3,0)))</f>
        <v>0</v>
      </c>
      <c r="I173" s="291">
        <f>IF(I$154="","",INDEX('DEMAND BY DATE'!$CA$4:$DV$203,MATCH(I$154,'DEMAND BY DATE'!$A$4:$A$203,0),MATCH($A173,'DEMAND BY DATE'!$CA$3:$DV$3,0)))</f>
        <v>0</v>
      </c>
      <c r="J173" s="291">
        <f>IF(J$154="","",INDEX('DEMAND BY DATE'!$CA$4:$DV$203,MATCH(J$154,'DEMAND BY DATE'!$A$4:$A$203,0),MATCH($A173,'DEMAND BY DATE'!$CA$3:$DV$3,0)))</f>
        <v>0</v>
      </c>
      <c r="K173" s="291">
        <f>IF(K$154="","",INDEX('DEMAND BY DATE'!$CA$4:$DV$203,MATCH(K$154,'DEMAND BY DATE'!$A$4:$A$203,0),MATCH($A173,'DEMAND BY DATE'!$CA$3:$DV$3,0)))</f>
        <v>0</v>
      </c>
      <c r="L173" s="291">
        <f>IF(L$154="","",INDEX('DEMAND BY DATE'!$CA$4:$DV$203,MATCH(L$154,'DEMAND BY DATE'!$A$4:$A$203,0),MATCH($A173,'DEMAND BY DATE'!$CA$3:$DV$3,0)))</f>
        <v>0</v>
      </c>
      <c r="M173" s="291">
        <f>IF(M$154="","",INDEX('DEMAND BY DATE'!$CA$4:$DV$203,MATCH(M$154,'DEMAND BY DATE'!$A$4:$A$203,0),MATCH($A173,'DEMAND BY DATE'!$CA$3:$DV$3,0)))</f>
        <v>0</v>
      </c>
      <c r="N173" s="291">
        <f>IF(N$154="","",INDEX('DEMAND BY DATE'!$CA$4:$DV$203,MATCH(N$154,'DEMAND BY DATE'!$A$4:$A$203,0),MATCH($A173,'DEMAND BY DATE'!$CA$3:$DV$3,0)))</f>
        <v>0</v>
      </c>
      <c r="O173" s="291">
        <f>IF(O$154="","",INDEX('DEMAND BY DATE'!$CA$4:$DV$203,MATCH(O$154,'DEMAND BY DATE'!$A$4:$A$203,0),MATCH($A173,'DEMAND BY DATE'!$CA$3:$DV$3,0)))</f>
        <v>0</v>
      </c>
      <c r="P173" s="291">
        <f>IF(P$154="","",INDEX('DEMAND BY DATE'!$CA$4:$DV$203,MATCH(P$154,'DEMAND BY DATE'!$A$4:$A$203,0),MATCH($A173,'DEMAND BY DATE'!$CA$3:$DV$3,0)))</f>
        <v>0</v>
      </c>
      <c r="Q173" s="291">
        <f>IF(Q$154="","",INDEX('DEMAND BY DATE'!$CA$4:$DV$203,MATCH(Q$154,'DEMAND BY DATE'!$A$4:$A$203,0),MATCH($A173,'DEMAND BY DATE'!$CA$3:$DV$3,0)))</f>
        <v>0</v>
      </c>
      <c r="R173" s="291">
        <f>IF(R$154="","",INDEX('DEMAND BY DATE'!$CA$4:$DV$203,MATCH(R$154,'DEMAND BY DATE'!$A$4:$A$203,0),MATCH($A173,'DEMAND BY DATE'!$CA$3:$DV$3,0)))</f>
        <v>0</v>
      </c>
      <c r="S173" s="291">
        <f>IF(S$154="","",INDEX('DEMAND BY DATE'!$CA$4:$DV$203,MATCH(S$154,'DEMAND BY DATE'!$A$4:$A$203,0),MATCH($A173,'DEMAND BY DATE'!$CA$3:$DV$3,0)))</f>
        <v>0</v>
      </c>
      <c r="T173" s="291">
        <f>IF(T$154="","",INDEX('DEMAND BY DATE'!$CA$4:$DV$203,MATCH(T$154,'DEMAND BY DATE'!$A$4:$A$203,0),MATCH($A173,'DEMAND BY DATE'!$CA$3:$DV$3,0)))</f>
        <v>0</v>
      </c>
      <c r="U173" s="291">
        <f>IF(U$154="","",INDEX('DEMAND BY DATE'!$CA$4:$DV$203,MATCH(U$154,'DEMAND BY DATE'!$A$4:$A$203,0),MATCH($A173,'DEMAND BY DATE'!$CA$3:$DV$3,0)))</f>
        <v>0</v>
      </c>
      <c r="V173" s="291">
        <f>IF(V$154="","",INDEX('DEMAND BY DATE'!$CA$4:$DV$203,MATCH(V$154,'DEMAND BY DATE'!$A$4:$A$203,0),MATCH($A173,'DEMAND BY DATE'!$CA$3:$DV$3,0)))</f>
        <v>0</v>
      </c>
      <c r="W173" s="291">
        <f>IF(W$154="","",INDEX('DEMAND BY DATE'!$CA$4:$DV$203,MATCH(W$154,'DEMAND BY DATE'!$A$4:$A$203,0),MATCH($A173,'DEMAND BY DATE'!$CA$3:$DV$3,0)))</f>
        <v>0</v>
      </c>
      <c r="X173" s="291">
        <f>IF(X$154="","",INDEX('DEMAND BY DATE'!$CA$4:$DV$203,MATCH(X$154,'DEMAND BY DATE'!$A$4:$A$203,0),MATCH($A173,'DEMAND BY DATE'!$CA$3:$DV$3,0)))</f>
        <v>0</v>
      </c>
      <c r="Y173" s="291">
        <f>IF(Y$154="","",INDEX('DEMAND BY DATE'!$CA$4:$DV$203,MATCH(Y$154,'DEMAND BY DATE'!$A$4:$A$203,0),MATCH($A173,'DEMAND BY DATE'!$CA$3:$DV$3,0)))</f>
        <v>0</v>
      </c>
      <c r="Z173" s="291">
        <f>IF(Z$154="","",INDEX('DEMAND BY DATE'!$CA$4:$DV$203,MATCH(Z$154,'DEMAND BY DATE'!$A$4:$A$203,0),MATCH($A173,'DEMAND BY DATE'!$CA$3:$DV$3,0)))</f>
        <v>0</v>
      </c>
      <c r="AA173" s="291">
        <f>IF(AA$154="","",INDEX('DEMAND BY DATE'!$CA$4:$DV$203,MATCH(AA$154,'DEMAND BY DATE'!$A$4:$A$203,0),MATCH($A173,'DEMAND BY DATE'!$CA$3:$DV$3,0)))</f>
        <v>0</v>
      </c>
      <c r="AB173" s="291">
        <f>IF(AB$154="","",INDEX('DEMAND BY DATE'!$CA$4:$DV$203,MATCH(AB$154,'DEMAND BY DATE'!$A$4:$A$203,0),MATCH($A173,'DEMAND BY DATE'!$CA$3:$DV$3,0)))</f>
        <v>0</v>
      </c>
      <c r="AC173" s="291">
        <f>IF(AC$154="","",INDEX('DEMAND BY DATE'!$CA$4:$DV$203,MATCH(AC$154,'DEMAND BY DATE'!$A$4:$A$203,0),MATCH($A173,'DEMAND BY DATE'!$CA$3:$DV$3,0)))</f>
        <v>0</v>
      </c>
      <c r="AD173" s="291">
        <f>IF(AD$154="","",INDEX('DEMAND BY DATE'!$CA$4:$DV$203,MATCH(AD$154,'DEMAND BY DATE'!$A$4:$A$203,0),MATCH($A173,'DEMAND BY DATE'!$CA$3:$DV$3,0)))</f>
        <v>0</v>
      </c>
      <c r="AE173" s="291">
        <f>IF(AE$154="","",INDEX('DEMAND BY DATE'!$CA$4:$DV$203,MATCH(AE$154,'DEMAND BY DATE'!$A$4:$A$203,0),MATCH($A173,'DEMAND BY DATE'!$CA$3:$DV$3,0)))</f>
        <v>0</v>
      </c>
      <c r="AF173" s="291">
        <f>IF(AF$154="","",INDEX('DEMAND BY DATE'!$CA$4:$DV$203,MATCH(AF$154,'DEMAND BY DATE'!$A$4:$A$203,0),MATCH($A173,'DEMAND BY DATE'!$CA$3:$DV$3,0)))</f>
        <v>0</v>
      </c>
      <c r="AG173" s="291">
        <f>IF(AG$154="","",INDEX('DEMAND BY DATE'!$CA$4:$DV$203,MATCH(AG$154,'DEMAND BY DATE'!$A$4:$A$203,0),MATCH($A173,'DEMAND BY DATE'!$CA$3:$DV$3,0)))</f>
        <v>0</v>
      </c>
      <c r="AH173" s="291">
        <f>IF(AH$154="","",INDEX('DEMAND BY DATE'!$CA$4:$DV$203,MATCH(AH$154,'DEMAND BY DATE'!$A$4:$A$203,0),MATCH($A173,'DEMAND BY DATE'!$CA$3:$DV$3,0)))</f>
        <v>0</v>
      </c>
      <c r="AI173" s="291">
        <f>IF(AI$154="","",INDEX('DEMAND BY DATE'!$CA$4:$DV$203,MATCH(AI$154,'DEMAND BY DATE'!$A$4:$A$203,0),MATCH($A173,'DEMAND BY DATE'!$CA$3:$DV$3,0)))</f>
        <v>0</v>
      </c>
      <c r="AJ173" s="291">
        <f>IF(AJ$154="","",INDEX('DEMAND BY DATE'!$CA$4:$DV$203,MATCH(AJ$154,'DEMAND BY DATE'!$A$4:$A$203,0),MATCH($A173,'DEMAND BY DATE'!$CA$3:$DV$3,0)))</f>
        <v>0</v>
      </c>
      <c r="AK173" s="291">
        <f>IF(AK$154="","",INDEX('DEMAND BY DATE'!$CA$4:$DV$203,MATCH(AK$154,'DEMAND BY DATE'!$A$4:$A$203,0),MATCH($A173,'DEMAND BY DATE'!$CA$3:$DV$3,0)))</f>
        <v>0</v>
      </c>
    </row>
    <row r="174" spans="1:37">
      <c r="A174" s="2" t="str">
        <f>$A$52</f>
        <v>RS-17</v>
      </c>
      <c r="B174" s="2" t="str">
        <f>$AG$52</f>
        <v>BRIEF</v>
      </c>
      <c r="C174" s="2">
        <f>$AB$52</f>
        <v>30</v>
      </c>
      <c r="D174" s="2">
        <f>MAX($G174:$AK174)</f>
        <v>0</v>
      </c>
      <c r="F174" s="2" cm="1">
        <f t="array" ref="F174">SUMPRODUCT((ISNUMBER($G174:$AK174))*($G174:$AK174&gt;0)*($G$151:$AK$151="Y"))</f>
        <v>0</v>
      </c>
      <c r="G174" s="2">
        <f>IF(G$154="","",INDEX('DEMAND BY DATE'!$CA$4:$DV$203,MATCH(G$154,'DEMAND BY DATE'!$A$4:$A$203,0),MATCH($A174,'DEMAND BY DATE'!$CA$3:$DV$3,0)))</f>
        <v>0</v>
      </c>
      <c r="H174" s="2">
        <f>IF(H$154="","",INDEX('DEMAND BY DATE'!$CA$4:$DV$203,MATCH(H$154,'DEMAND BY DATE'!$A$4:$A$203,0),MATCH($A174,'DEMAND BY DATE'!$CA$3:$DV$3,0)))</f>
        <v>0</v>
      </c>
      <c r="I174" s="2">
        <f>IF(I$154="","",INDEX('DEMAND BY DATE'!$CA$4:$DV$203,MATCH(I$154,'DEMAND BY DATE'!$A$4:$A$203,0),MATCH($A174,'DEMAND BY DATE'!$CA$3:$DV$3,0)))</f>
        <v>0</v>
      </c>
      <c r="J174" s="2">
        <f>IF(J$154="","",INDEX('DEMAND BY DATE'!$CA$4:$DV$203,MATCH(J$154,'DEMAND BY DATE'!$A$4:$A$203,0),MATCH($A174,'DEMAND BY DATE'!$CA$3:$DV$3,0)))</f>
        <v>0</v>
      </c>
      <c r="K174" s="2">
        <f>IF(K$154="","",INDEX('DEMAND BY DATE'!$CA$4:$DV$203,MATCH(K$154,'DEMAND BY DATE'!$A$4:$A$203,0),MATCH($A174,'DEMAND BY DATE'!$CA$3:$DV$3,0)))</f>
        <v>0</v>
      </c>
      <c r="L174" s="2">
        <f>IF(L$154="","",INDEX('DEMAND BY DATE'!$CA$4:$DV$203,MATCH(L$154,'DEMAND BY DATE'!$A$4:$A$203,0),MATCH($A174,'DEMAND BY DATE'!$CA$3:$DV$3,0)))</f>
        <v>0</v>
      </c>
      <c r="M174" s="2">
        <f>IF(M$154="","",INDEX('DEMAND BY DATE'!$CA$4:$DV$203,MATCH(M$154,'DEMAND BY DATE'!$A$4:$A$203,0),MATCH($A174,'DEMAND BY DATE'!$CA$3:$DV$3,0)))</f>
        <v>0</v>
      </c>
      <c r="N174" s="2">
        <f>IF(N$154="","",INDEX('DEMAND BY DATE'!$CA$4:$DV$203,MATCH(N$154,'DEMAND BY DATE'!$A$4:$A$203,0),MATCH($A174,'DEMAND BY DATE'!$CA$3:$DV$3,0)))</f>
        <v>0</v>
      </c>
      <c r="O174" s="2">
        <f>IF(O$154="","",INDEX('DEMAND BY DATE'!$CA$4:$DV$203,MATCH(O$154,'DEMAND BY DATE'!$A$4:$A$203,0),MATCH($A174,'DEMAND BY DATE'!$CA$3:$DV$3,0)))</f>
        <v>0</v>
      </c>
      <c r="P174" s="2">
        <f>IF(P$154="","",INDEX('DEMAND BY DATE'!$CA$4:$DV$203,MATCH(P$154,'DEMAND BY DATE'!$A$4:$A$203,0),MATCH($A174,'DEMAND BY DATE'!$CA$3:$DV$3,0)))</f>
        <v>0</v>
      </c>
      <c r="Q174" s="2">
        <f>IF(Q$154="","",INDEX('DEMAND BY DATE'!$CA$4:$DV$203,MATCH(Q$154,'DEMAND BY DATE'!$A$4:$A$203,0),MATCH($A174,'DEMAND BY DATE'!$CA$3:$DV$3,0)))</f>
        <v>0</v>
      </c>
      <c r="R174" s="2">
        <f>IF(R$154="","",INDEX('DEMAND BY DATE'!$CA$4:$DV$203,MATCH(R$154,'DEMAND BY DATE'!$A$4:$A$203,0),MATCH($A174,'DEMAND BY DATE'!$CA$3:$DV$3,0)))</f>
        <v>0</v>
      </c>
      <c r="S174" s="2">
        <f>IF(S$154="","",INDEX('DEMAND BY DATE'!$CA$4:$DV$203,MATCH(S$154,'DEMAND BY DATE'!$A$4:$A$203,0),MATCH($A174,'DEMAND BY DATE'!$CA$3:$DV$3,0)))</f>
        <v>0</v>
      </c>
      <c r="T174" s="2">
        <f>IF(T$154="","",INDEX('DEMAND BY DATE'!$CA$4:$DV$203,MATCH(T$154,'DEMAND BY DATE'!$A$4:$A$203,0),MATCH($A174,'DEMAND BY DATE'!$CA$3:$DV$3,0)))</f>
        <v>0</v>
      </c>
      <c r="U174" s="2">
        <f>IF(U$154="","",INDEX('DEMAND BY DATE'!$CA$4:$DV$203,MATCH(U$154,'DEMAND BY DATE'!$A$4:$A$203,0),MATCH($A174,'DEMAND BY DATE'!$CA$3:$DV$3,0)))</f>
        <v>0</v>
      </c>
      <c r="V174" s="2">
        <f>IF(V$154="","",INDEX('DEMAND BY DATE'!$CA$4:$DV$203,MATCH(V$154,'DEMAND BY DATE'!$A$4:$A$203,0),MATCH($A174,'DEMAND BY DATE'!$CA$3:$DV$3,0)))</f>
        <v>0</v>
      </c>
      <c r="W174" s="2">
        <f>IF(W$154="","",INDEX('DEMAND BY DATE'!$CA$4:$DV$203,MATCH(W$154,'DEMAND BY DATE'!$A$4:$A$203,0),MATCH($A174,'DEMAND BY DATE'!$CA$3:$DV$3,0)))</f>
        <v>0</v>
      </c>
      <c r="X174" s="2">
        <f>IF(X$154="","",INDEX('DEMAND BY DATE'!$CA$4:$DV$203,MATCH(X$154,'DEMAND BY DATE'!$A$4:$A$203,0),MATCH($A174,'DEMAND BY DATE'!$CA$3:$DV$3,0)))</f>
        <v>0</v>
      </c>
      <c r="Y174" s="2">
        <f>IF(Y$154="","",INDEX('DEMAND BY DATE'!$CA$4:$DV$203,MATCH(Y$154,'DEMAND BY DATE'!$A$4:$A$203,0),MATCH($A174,'DEMAND BY DATE'!$CA$3:$DV$3,0)))</f>
        <v>0</v>
      </c>
      <c r="Z174" s="2">
        <f>IF(Z$154="","",INDEX('DEMAND BY DATE'!$CA$4:$DV$203,MATCH(Z$154,'DEMAND BY DATE'!$A$4:$A$203,0),MATCH($A174,'DEMAND BY DATE'!$CA$3:$DV$3,0)))</f>
        <v>0</v>
      </c>
      <c r="AA174" s="2">
        <f>IF(AA$154="","",INDEX('DEMAND BY DATE'!$CA$4:$DV$203,MATCH(AA$154,'DEMAND BY DATE'!$A$4:$A$203,0),MATCH($A174,'DEMAND BY DATE'!$CA$3:$DV$3,0)))</f>
        <v>0</v>
      </c>
      <c r="AB174" s="2">
        <f>IF(AB$154="","",INDEX('DEMAND BY DATE'!$CA$4:$DV$203,MATCH(AB$154,'DEMAND BY DATE'!$A$4:$A$203,0),MATCH($A174,'DEMAND BY DATE'!$CA$3:$DV$3,0)))</f>
        <v>0</v>
      </c>
      <c r="AC174" s="2">
        <f>IF(AC$154="","",INDEX('DEMAND BY DATE'!$CA$4:$DV$203,MATCH(AC$154,'DEMAND BY DATE'!$A$4:$A$203,0),MATCH($A174,'DEMAND BY DATE'!$CA$3:$DV$3,0)))</f>
        <v>0</v>
      </c>
      <c r="AD174" s="2">
        <f>IF(AD$154="","",INDEX('DEMAND BY DATE'!$CA$4:$DV$203,MATCH(AD$154,'DEMAND BY DATE'!$A$4:$A$203,0),MATCH($A174,'DEMAND BY DATE'!$CA$3:$DV$3,0)))</f>
        <v>0</v>
      </c>
      <c r="AE174" s="2">
        <f>IF(AE$154="","",INDEX('DEMAND BY DATE'!$CA$4:$DV$203,MATCH(AE$154,'DEMAND BY DATE'!$A$4:$A$203,0),MATCH($A174,'DEMAND BY DATE'!$CA$3:$DV$3,0)))</f>
        <v>0</v>
      </c>
      <c r="AF174" s="2">
        <f>IF(AF$154="","",INDEX('DEMAND BY DATE'!$CA$4:$DV$203,MATCH(AF$154,'DEMAND BY DATE'!$A$4:$A$203,0),MATCH($A174,'DEMAND BY DATE'!$CA$3:$DV$3,0)))</f>
        <v>0</v>
      </c>
      <c r="AG174" s="2">
        <f>IF(AG$154="","",INDEX('DEMAND BY DATE'!$CA$4:$DV$203,MATCH(AG$154,'DEMAND BY DATE'!$A$4:$A$203,0),MATCH($A174,'DEMAND BY DATE'!$CA$3:$DV$3,0)))</f>
        <v>0</v>
      </c>
      <c r="AH174" s="2">
        <f>IF(AH$154="","",INDEX('DEMAND BY DATE'!$CA$4:$DV$203,MATCH(AH$154,'DEMAND BY DATE'!$A$4:$A$203,0),MATCH($A174,'DEMAND BY DATE'!$CA$3:$DV$3,0)))</f>
        <v>0</v>
      </c>
      <c r="AI174" s="2">
        <f>IF(AI$154="","",INDEX('DEMAND BY DATE'!$CA$4:$DV$203,MATCH(AI$154,'DEMAND BY DATE'!$A$4:$A$203,0),MATCH($A174,'DEMAND BY DATE'!$CA$3:$DV$3,0)))</f>
        <v>0</v>
      </c>
      <c r="AJ174" s="2">
        <f>IF(AJ$154="","",INDEX('DEMAND BY DATE'!$CA$4:$DV$203,MATCH(AJ$154,'DEMAND BY DATE'!$A$4:$A$203,0),MATCH($A174,'DEMAND BY DATE'!$CA$3:$DV$3,0)))</f>
        <v>0</v>
      </c>
      <c r="AK174" s="2">
        <f>IF(AK$154="","",INDEX('DEMAND BY DATE'!$CA$4:$DV$203,MATCH(AK$154,'DEMAND BY DATE'!$A$4:$A$203,0),MATCH($A174,'DEMAND BY DATE'!$CA$3:$DV$3,0)))</f>
        <v>0</v>
      </c>
    </row>
    <row r="175" spans="1:37">
      <c r="A175" s="2" t="str">
        <f>$A$53</f>
        <v>RS-52</v>
      </c>
      <c r="B175" s="2" t="str">
        <f>$AG$53</f>
        <v>NEEDS INPUT</v>
      </c>
      <c r="C175" s="2">
        <f>$AB$53</f>
        <v>30</v>
      </c>
      <c r="D175" s="2">
        <f>MAX($G175:$AK175)</f>
        <v>0</v>
      </c>
      <c r="F175" s="2" cm="1">
        <f t="array" ref="F175">SUMPRODUCT((ISNUMBER($G175:$AK175))*($G175:$AK175&gt;0)*($G$151:$AK$151="Y"))</f>
        <v>0</v>
      </c>
      <c r="G175" s="2">
        <f>IF(G$154="","",INDEX('DEMAND BY DATE'!$CA$4:$DV$203,MATCH(G$154,'DEMAND BY DATE'!$A$4:$A$203,0),MATCH($A175,'DEMAND BY DATE'!$CA$3:$DV$3,0)))</f>
        <v>0</v>
      </c>
      <c r="H175" s="2">
        <f>IF(H$154="","",INDEX('DEMAND BY DATE'!$CA$4:$DV$203,MATCH(H$154,'DEMAND BY DATE'!$A$4:$A$203,0),MATCH($A175,'DEMAND BY DATE'!$CA$3:$DV$3,0)))</f>
        <v>0</v>
      </c>
      <c r="I175" s="2">
        <f>IF(I$154="","",INDEX('DEMAND BY DATE'!$CA$4:$DV$203,MATCH(I$154,'DEMAND BY DATE'!$A$4:$A$203,0),MATCH($A175,'DEMAND BY DATE'!$CA$3:$DV$3,0)))</f>
        <v>0</v>
      </c>
      <c r="J175" s="2">
        <f>IF(J$154="","",INDEX('DEMAND BY DATE'!$CA$4:$DV$203,MATCH(J$154,'DEMAND BY DATE'!$A$4:$A$203,0),MATCH($A175,'DEMAND BY DATE'!$CA$3:$DV$3,0)))</f>
        <v>0</v>
      </c>
      <c r="K175" s="2">
        <f>IF(K$154="","",INDEX('DEMAND BY DATE'!$CA$4:$DV$203,MATCH(K$154,'DEMAND BY DATE'!$A$4:$A$203,0),MATCH($A175,'DEMAND BY DATE'!$CA$3:$DV$3,0)))</f>
        <v>0</v>
      </c>
      <c r="L175" s="2">
        <f>IF(L$154="","",INDEX('DEMAND BY DATE'!$CA$4:$DV$203,MATCH(L$154,'DEMAND BY DATE'!$A$4:$A$203,0),MATCH($A175,'DEMAND BY DATE'!$CA$3:$DV$3,0)))</f>
        <v>0</v>
      </c>
      <c r="M175" s="2">
        <f>IF(M$154="","",INDEX('DEMAND BY DATE'!$CA$4:$DV$203,MATCH(M$154,'DEMAND BY DATE'!$A$4:$A$203,0),MATCH($A175,'DEMAND BY DATE'!$CA$3:$DV$3,0)))</f>
        <v>0</v>
      </c>
      <c r="N175" s="2">
        <f>IF(N$154="","",INDEX('DEMAND BY DATE'!$CA$4:$DV$203,MATCH(N$154,'DEMAND BY DATE'!$A$4:$A$203,0),MATCH($A175,'DEMAND BY DATE'!$CA$3:$DV$3,0)))</f>
        <v>0</v>
      </c>
      <c r="O175" s="2">
        <f>IF(O$154="","",INDEX('DEMAND BY DATE'!$CA$4:$DV$203,MATCH(O$154,'DEMAND BY DATE'!$A$4:$A$203,0),MATCH($A175,'DEMAND BY DATE'!$CA$3:$DV$3,0)))</f>
        <v>0</v>
      </c>
      <c r="P175" s="2">
        <f>IF(P$154="","",INDEX('DEMAND BY DATE'!$CA$4:$DV$203,MATCH(P$154,'DEMAND BY DATE'!$A$4:$A$203,0),MATCH($A175,'DEMAND BY DATE'!$CA$3:$DV$3,0)))</f>
        <v>0</v>
      </c>
      <c r="Q175" s="2">
        <f>IF(Q$154="","",INDEX('DEMAND BY DATE'!$CA$4:$DV$203,MATCH(Q$154,'DEMAND BY DATE'!$A$4:$A$203,0),MATCH($A175,'DEMAND BY DATE'!$CA$3:$DV$3,0)))</f>
        <v>0</v>
      </c>
      <c r="R175" s="2">
        <f>IF(R$154="","",INDEX('DEMAND BY DATE'!$CA$4:$DV$203,MATCH(R$154,'DEMAND BY DATE'!$A$4:$A$203,0),MATCH($A175,'DEMAND BY DATE'!$CA$3:$DV$3,0)))</f>
        <v>0</v>
      </c>
      <c r="S175" s="2">
        <f>IF(S$154="","",INDEX('DEMAND BY DATE'!$CA$4:$DV$203,MATCH(S$154,'DEMAND BY DATE'!$A$4:$A$203,0),MATCH($A175,'DEMAND BY DATE'!$CA$3:$DV$3,0)))</f>
        <v>0</v>
      </c>
      <c r="T175" s="2">
        <f>IF(T$154="","",INDEX('DEMAND BY DATE'!$CA$4:$DV$203,MATCH(T$154,'DEMAND BY DATE'!$A$4:$A$203,0),MATCH($A175,'DEMAND BY DATE'!$CA$3:$DV$3,0)))</f>
        <v>0</v>
      </c>
      <c r="U175" s="2">
        <f>IF(U$154="","",INDEX('DEMAND BY DATE'!$CA$4:$DV$203,MATCH(U$154,'DEMAND BY DATE'!$A$4:$A$203,0),MATCH($A175,'DEMAND BY DATE'!$CA$3:$DV$3,0)))</f>
        <v>0</v>
      </c>
      <c r="V175" s="2">
        <f>IF(V$154="","",INDEX('DEMAND BY DATE'!$CA$4:$DV$203,MATCH(V$154,'DEMAND BY DATE'!$A$4:$A$203,0),MATCH($A175,'DEMAND BY DATE'!$CA$3:$DV$3,0)))</f>
        <v>0</v>
      </c>
      <c r="W175" s="2">
        <f>IF(W$154="","",INDEX('DEMAND BY DATE'!$CA$4:$DV$203,MATCH(W$154,'DEMAND BY DATE'!$A$4:$A$203,0),MATCH($A175,'DEMAND BY DATE'!$CA$3:$DV$3,0)))</f>
        <v>0</v>
      </c>
      <c r="X175" s="2">
        <f>IF(X$154="","",INDEX('DEMAND BY DATE'!$CA$4:$DV$203,MATCH(X$154,'DEMAND BY DATE'!$A$4:$A$203,0),MATCH($A175,'DEMAND BY DATE'!$CA$3:$DV$3,0)))</f>
        <v>0</v>
      </c>
      <c r="Y175" s="2">
        <f>IF(Y$154="","",INDEX('DEMAND BY DATE'!$CA$4:$DV$203,MATCH(Y$154,'DEMAND BY DATE'!$A$4:$A$203,0),MATCH($A175,'DEMAND BY DATE'!$CA$3:$DV$3,0)))</f>
        <v>0</v>
      </c>
      <c r="Z175" s="2">
        <f>IF(Z$154="","",INDEX('DEMAND BY DATE'!$CA$4:$DV$203,MATCH(Z$154,'DEMAND BY DATE'!$A$4:$A$203,0),MATCH($A175,'DEMAND BY DATE'!$CA$3:$DV$3,0)))</f>
        <v>0</v>
      </c>
      <c r="AA175" s="2">
        <f>IF(AA$154="","",INDEX('DEMAND BY DATE'!$CA$4:$DV$203,MATCH(AA$154,'DEMAND BY DATE'!$A$4:$A$203,0),MATCH($A175,'DEMAND BY DATE'!$CA$3:$DV$3,0)))</f>
        <v>0</v>
      </c>
      <c r="AB175" s="2">
        <f>IF(AB$154="","",INDEX('DEMAND BY DATE'!$CA$4:$DV$203,MATCH(AB$154,'DEMAND BY DATE'!$A$4:$A$203,0),MATCH($A175,'DEMAND BY DATE'!$CA$3:$DV$3,0)))</f>
        <v>0</v>
      </c>
      <c r="AC175" s="2">
        <f>IF(AC$154="","",INDEX('DEMAND BY DATE'!$CA$4:$DV$203,MATCH(AC$154,'DEMAND BY DATE'!$A$4:$A$203,0),MATCH($A175,'DEMAND BY DATE'!$CA$3:$DV$3,0)))</f>
        <v>0</v>
      </c>
      <c r="AD175" s="2">
        <f>IF(AD$154="","",INDEX('DEMAND BY DATE'!$CA$4:$DV$203,MATCH(AD$154,'DEMAND BY DATE'!$A$4:$A$203,0),MATCH($A175,'DEMAND BY DATE'!$CA$3:$DV$3,0)))</f>
        <v>0</v>
      </c>
      <c r="AE175" s="2">
        <f>IF(AE$154="","",INDEX('DEMAND BY DATE'!$CA$4:$DV$203,MATCH(AE$154,'DEMAND BY DATE'!$A$4:$A$203,0),MATCH($A175,'DEMAND BY DATE'!$CA$3:$DV$3,0)))</f>
        <v>0</v>
      </c>
      <c r="AF175" s="2">
        <f>IF(AF$154="","",INDEX('DEMAND BY DATE'!$CA$4:$DV$203,MATCH(AF$154,'DEMAND BY DATE'!$A$4:$A$203,0),MATCH($A175,'DEMAND BY DATE'!$CA$3:$DV$3,0)))</f>
        <v>0</v>
      </c>
      <c r="AG175" s="2">
        <f>IF(AG$154="","",INDEX('DEMAND BY DATE'!$CA$4:$DV$203,MATCH(AG$154,'DEMAND BY DATE'!$A$4:$A$203,0),MATCH($A175,'DEMAND BY DATE'!$CA$3:$DV$3,0)))</f>
        <v>0</v>
      </c>
      <c r="AH175" s="2">
        <f>IF(AH$154="","",INDEX('DEMAND BY DATE'!$CA$4:$DV$203,MATCH(AH$154,'DEMAND BY DATE'!$A$4:$A$203,0),MATCH($A175,'DEMAND BY DATE'!$CA$3:$DV$3,0)))</f>
        <v>0</v>
      </c>
      <c r="AI175" s="2">
        <f>IF(AI$154="","",INDEX('DEMAND BY DATE'!$CA$4:$DV$203,MATCH(AI$154,'DEMAND BY DATE'!$A$4:$A$203,0),MATCH($A175,'DEMAND BY DATE'!$CA$3:$DV$3,0)))</f>
        <v>0</v>
      </c>
      <c r="AJ175" s="2">
        <f>IF(AJ$154="","",INDEX('DEMAND BY DATE'!$CA$4:$DV$203,MATCH(AJ$154,'DEMAND BY DATE'!$A$4:$A$203,0),MATCH($A175,'DEMAND BY DATE'!$CA$3:$DV$3,0)))</f>
        <v>0</v>
      </c>
      <c r="AK175" s="2">
        <f>IF(AK$154="","",INDEX('DEMAND BY DATE'!$CA$4:$DV$203,MATCH(AK$154,'DEMAND BY DATE'!$A$4:$A$203,0),MATCH($A175,'DEMAND BY DATE'!$CA$3:$DV$3,0)))</f>
        <v>0</v>
      </c>
    </row>
    <row r="176" spans="1:37">
      <c r="A176" s="2" t="str">
        <f>$A$54</f>
        <v>6109-T</v>
      </c>
      <c r="B176" s="2" t="str">
        <f>$AG$54</f>
        <v>TRUNK</v>
      </c>
      <c r="C176" s="2">
        <f>$AB$54</f>
        <v>24</v>
      </c>
      <c r="D176" s="2">
        <f>MAX($G176:$AK176)</f>
        <v>0</v>
      </c>
      <c r="F176" s="2" cm="1">
        <f t="array" ref="F176">SUMPRODUCT((ISNUMBER($G176:$AK176))*($G176:$AK176&gt;0)*($G$151:$AK$151="Y"))</f>
        <v>0</v>
      </c>
      <c r="G176" s="2">
        <f>IF(G$154="","",INDEX('DEMAND BY DATE'!$CA$4:$DV$203,MATCH(G$154,'DEMAND BY DATE'!$A$4:$A$203,0),MATCH($A176,'DEMAND BY DATE'!$CA$3:$DV$3,0)))</f>
        <v>0</v>
      </c>
      <c r="H176" s="2">
        <f>IF(H$154="","",INDEX('DEMAND BY DATE'!$CA$4:$DV$203,MATCH(H$154,'DEMAND BY DATE'!$A$4:$A$203,0),MATCH($A176,'DEMAND BY DATE'!$CA$3:$DV$3,0)))</f>
        <v>0</v>
      </c>
      <c r="I176" s="2">
        <f>IF(I$154="","",INDEX('DEMAND BY DATE'!$CA$4:$DV$203,MATCH(I$154,'DEMAND BY DATE'!$A$4:$A$203,0),MATCH($A176,'DEMAND BY DATE'!$CA$3:$DV$3,0)))</f>
        <v>0</v>
      </c>
      <c r="J176" s="2">
        <f>IF(J$154="","",INDEX('DEMAND BY DATE'!$CA$4:$DV$203,MATCH(J$154,'DEMAND BY DATE'!$A$4:$A$203,0),MATCH($A176,'DEMAND BY DATE'!$CA$3:$DV$3,0)))</f>
        <v>0</v>
      </c>
      <c r="K176" s="2">
        <f>IF(K$154="","",INDEX('DEMAND BY DATE'!$CA$4:$DV$203,MATCH(K$154,'DEMAND BY DATE'!$A$4:$A$203,0),MATCH($A176,'DEMAND BY DATE'!$CA$3:$DV$3,0)))</f>
        <v>0</v>
      </c>
      <c r="L176" s="2">
        <f>IF(L$154="","",INDEX('DEMAND BY DATE'!$CA$4:$DV$203,MATCH(L$154,'DEMAND BY DATE'!$A$4:$A$203,0),MATCH($A176,'DEMAND BY DATE'!$CA$3:$DV$3,0)))</f>
        <v>0</v>
      </c>
      <c r="M176" s="2">
        <f>IF(M$154="","",INDEX('DEMAND BY DATE'!$CA$4:$DV$203,MATCH(M$154,'DEMAND BY DATE'!$A$4:$A$203,0),MATCH($A176,'DEMAND BY DATE'!$CA$3:$DV$3,0)))</f>
        <v>0</v>
      </c>
      <c r="N176" s="2">
        <f>IF(N$154="","",INDEX('DEMAND BY DATE'!$CA$4:$DV$203,MATCH(N$154,'DEMAND BY DATE'!$A$4:$A$203,0),MATCH($A176,'DEMAND BY DATE'!$CA$3:$DV$3,0)))</f>
        <v>0</v>
      </c>
      <c r="O176" s="2">
        <f>IF(O$154="","",INDEX('DEMAND BY DATE'!$CA$4:$DV$203,MATCH(O$154,'DEMAND BY DATE'!$A$4:$A$203,0),MATCH($A176,'DEMAND BY DATE'!$CA$3:$DV$3,0)))</f>
        <v>0</v>
      </c>
      <c r="P176" s="2">
        <f>IF(P$154="","",INDEX('DEMAND BY DATE'!$CA$4:$DV$203,MATCH(P$154,'DEMAND BY DATE'!$A$4:$A$203,0),MATCH($A176,'DEMAND BY DATE'!$CA$3:$DV$3,0)))</f>
        <v>0</v>
      </c>
      <c r="Q176" s="2">
        <f>IF(Q$154="","",INDEX('DEMAND BY DATE'!$CA$4:$DV$203,MATCH(Q$154,'DEMAND BY DATE'!$A$4:$A$203,0),MATCH($A176,'DEMAND BY DATE'!$CA$3:$DV$3,0)))</f>
        <v>0</v>
      </c>
      <c r="R176" s="2">
        <f>IF(R$154="","",INDEX('DEMAND BY DATE'!$CA$4:$DV$203,MATCH(R$154,'DEMAND BY DATE'!$A$4:$A$203,0),MATCH($A176,'DEMAND BY DATE'!$CA$3:$DV$3,0)))</f>
        <v>0</v>
      </c>
      <c r="S176" s="2">
        <f>IF(S$154="","",INDEX('DEMAND BY DATE'!$CA$4:$DV$203,MATCH(S$154,'DEMAND BY DATE'!$A$4:$A$203,0),MATCH($A176,'DEMAND BY DATE'!$CA$3:$DV$3,0)))</f>
        <v>0</v>
      </c>
      <c r="T176" s="2">
        <f>IF(T$154="","",INDEX('DEMAND BY DATE'!$CA$4:$DV$203,MATCH(T$154,'DEMAND BY DATE'!$A$4:$A$203,0),MATCH($A176,'DEMAND BY DATE'!$CA$3:$DV$3,0)))</f>
        <v>0</v>
      </c>
      <c r="U176" s="2">
        <f>IF(U$154="","",INDEX('DEMAND BY DATE'!$CA$4:$DV$203,MATCH(U$154,'DEMAND BY DATE'!$A$4:$A$203,0),MATCH($A176,'DEMAND BY DATE'!$CA$3:$DV$3,0)))</f>
        <v>0</v>
      </c>
      <c r="V176" s="2">
        <f>IF(V$154="","",INDEX('DEMAND BY DATE'!$CA$4:$DV$203,MATCH(V$154,'DEMAND BY DATE'!$A$4:$A$203,0),MATCH($A176,'DEMAND BY DATE'!$CA$3:$DV$3,0)))</f>
        <v>0</v>
      </c>
      <c r="W176" s="2">
        <f>IF(W$154="","",INDEX('DEMAND BY DATE'!$CA$4:$DV$203,MATCH(W$154,'DEMAND BY DATE'!$A$4:$A$203,0),MATCH($A176,'DEMAND BY DATE'!$CA$3:$DV$3,0)))</f>
        <v>0</v>
      </c>
      <c r="X176" s="2">
        <f>IF(X$154="","",INDEX('DEMAND BY DATE'!$CA$4:$DV$203,MATCH(X$154,'DEMAND BY DATE'!$A$4:$A$203,0),MATCH($A176,'DEMAND BY DATE'!$CA$3:$DV$3,0)))</f>
        <v>0</v>
      </c>
      <c r="Y176" s="2">
        <f>IF(Y$154="","",INDEX('DEMAND BY DATE'!$CA$4:$DV$203,MATCH(Y$154,'DEMAND BY DATE'!$A$4:$A$203,0),MATCH($A176,'DEMAND BY DATE'!$CA$3:$DV$3,0)))</f>
        <v>0</v>
      </c>
      <c r="Z176" s="2">
        <f>IF(Z$154="","",INDEX('DEMAND BY DATE'!$CA$4:$DV$203,MATCH(Z$154,'DEMAND BY DATE'!$A$4:$A$203,0),MATCH($A176,'DEMAND BY DATE'!$CA$3:$DV$3,0)))</f>
        <v>0</v>
      </c>
      <c r="AA176" s="2">
        <f>IF(AA$154="","",INDEX('DEMAND BY DATE'!$CA$4:$DV$203,MATCH(AA$154,'DEMAND BY DATE'!$A$4:$A$203,0),MATCH($A176,'DEMAND BY DATE'!$CA$3:$DV$3,0)))</f>
        <v>0</v>
      </c>
      <c r="AB176" s="2">
        <f>IF(AB$154="","",INDEX('DEMAND BY DATE'!$CA$4:$DV$203,MATCH(AB$154,'DEMAND BY DATE'!$A$4:$A$203,0),MATCH($A176,'DEMAND BY DATE'!$CA$3:$DV$3,0)))</f>
        <v>0</v>
      </c>
      <c r="AC176" s="2">
        <f>IF(AC$154="","",INDEX('DEMAND BY DATE'!$CA$4:$DV$203,MATCH(AC$154,'DEMAND BY DATE'!$A$4:$A$203,0),MATCH($A176,'DEMAND BY DATE'!$CA$3:$DV$3,0)))</f>
        <v>0</v>
      </c>
      <c r="AD176" s="2">
        <f>IF(AD$154="","",INDEX('DEMAND BY DATE'!$CA$4:$DV$203,MATCH(AD$154,'DEMAND BY DATE'!$A$4:$A$203,0),MATCH($A176,'DEMAND BY DATE'!$CA$3:$DV$3,0)))</f>
        <v>0</v>
      </c>
      <c r="AE176" s="2">
        <f>IF(AE$154="","",INDEX('DEMAND BY DATE'!$CA$4:$DV$203,MATCH(AE$154,'DEMAND BY DATE'!$A$4:$A$203,0),MATCH($A176,'DEMAND BY DATE'!$CA$3:$DV$3,0)))</f>
        <v>0</v>
      </c>
      <c r="AF176" s="2">
        <f>IF(AF$154="","",INDEX('DEMAND BY DATE'!$CA$4:$DV$203,MATCH(AF$154,'DEMAND BY DATE'!$A$4:$A$203,0),MATCH($A176,'DEMAND BY DATE'!$CA$3:$DV$3,0)))</f>
        <v>0</v>
      </c>
      <c r="AG176" s="2">
        <f>IF(AG$154="","",INDEX('DEMAND BY DATE'!$CA$4:$DV$203,MATCH(AG$154,'DEMAND BY DATE'!$A$4:$A$203,0),MATCH($A176,'DEMAND BY DATE'!$CA$3:$DV$3,0)))</f>
        <v>0</v>
      </c>
      <c r="AH176" s="2">
        <f>IF(AH$154="","",INDEX('DEMAND BY DATE'!$CA$4:$DV$203,MATCH(AH$154,'DEMAND BY DATE'!$A$4:$A$203,0),MATCH($A176,'DEMAND BY DATE'!$CA$3:$DV$3,0)))</f>
        <v>0</v>
      </c>
      <c r="AI176" s="2">
        <f>IF(AI$154="","",INDEX('DEMAND BY DATE'!$CA$4:$DV$203,MATCH(AI$154,'DEMAND BY DATE'!$A$4:$A$203,0),MATCH($A176,'DEMAND BY DATE'!$CA$3:$DV$3,0)))</f>
        <v>0</v>
      </c>
      <c r="AJ176" s="2">
        <f>IF(AJ$154="","",INDEX('DEMAND BY DATE'!$CA$4:$DV$203,MATCH(AJ$154,'DEMAND BY DATE'!$A$4:$A$203,0),MATCH($A176,'DEMAND BY DATE'!$CA$3:$DV$3,0)))</f>
        <v>0</v>
      </c>
      <c r="AK176" s="2">
        <f>IF(AK$154="","",INDEX('DEMAND BY DATE'!$CA$4:$DV$203,MATCH(AK$154,'DEMAND BY DATE'!$A$4:$A$203,0),MATCH($A176,'DEMAND BY DATE'!$CA$3:$DV$3,0)))</f>
        <v>0</v>
      </c>
    </row>
    <row r="177" spans="1:37">
      <c r="A177" s="2" t="str">
        <f>$A$55</f>
        <v>4117-T</v>
      </c>
      <c r="B177" s="2" t="str">
        <f>$AG$55</f>
        <v>TRUNK</v>
      </c>
      <c r="C177" s="2">
        <f>$AB$55</f>
        <v>27</v>
      </c>
      <c r="D177" s="2">
        <f>MAX($G177:$AK177)</f>
        <v>0</v>
      </c>
      <c r="F177" s="2" cm="1">
        <f t="array" ref="F177">SUMPRODUCT((ISNUMBER($G177:$AK177))*($G177:$AK177&gt;0)*($G$151:$AK$151="Y"))</f>
        <v>0</v>
      </c>
      <c r="G177" s="2">
        <f>IF(G$154="","",INDEX('DEMAND BY DATE'!$CA$4:$DV$203,MATCH(G$154,'DEMAND BY DATE'!$A$4:$A$203,0),MATCH($A177,'DEMAND BY DATE'!$CA$3:$DV$3,0)))</f>
        <v>0</v>
      </c>
      <c r="H177" s="2">
        <f>IF(H$154="","",INDEX('DEMAND BY DATE'!$CA$4:$DV$203,MATCH(H$154,'DEMAND BY DATE'!$A$4:$A$203,0),MATCH($A177,'DEMAND BY DATE'!$CA$3:$DV$3,0)))</f>
        <v>0</v>
      </c>
      <c r="I177" s="2">
        <f>IF(I$154="","",INDEX('DEMAND BY DATE'!$CA$4:$DV$203,MATCH(I$154,'DEMAND BY DATE'!$A$4:$A$203,0),MATCH($A177,'DEMAND BY DATE'!$CA$3:$DV$3,0)))</f>
        <v>0</v>
      </c>
      <c r="J177" s="2">
        <f>IF(J$154="","",INDEX('DEMAND BY DATE'!$CA$4:$DV$203,MATCH(J$154,'DEMAND BY DATE'!$A$4:$A$203,0),MATCH($A177,'DEMAND BY DATE'!$CA$3:$DV$3,0)))</f>
        <v>0</v>
      </c>
      <c r="K177" s="2">
        <f>IF(K$154="","",INDEX('DEMAND BY DATE'!$CA$4:$DV$203,MATCH(K$154,'DEMAND BY DATE'!$A$4:$A$203,0),MATCH($A177,'DEMAND BY DATE'!$CA$3:$DV$3,0)))</f>
        <v>0</v>
      </c>
      <c r="L177" s="2">
        <f>IF(L$154="","",INDEX('DEMAND BY DATE'!$CA$4:$DV$203,MATCH(L$154,'DEMAND BY DATE'!$A$4:$A$203,0),MATCH($A177,'DEMAND BY DATE'!$CA$3:$DV$3,0)))</f>
        <v>0</v>
      </c>
      <c r="M177" s="2">
        <f>IF(M$154="","",INDEX('DEMAND BY DATE'!$CA$4:$DV$203,MATCH(M$154,'DEMAND BY DATE'!$A$4:$A$203,0),MATCH($A177,'DEMAND BY DATE'!$CA$3:$DV$3,0)))</f>
        <v>0</v>
      </c>
      <c r="N177" s="2">
        <f>IF(N$154="","",INDEX('DEMAND BY DATE'!$CA$4:$DV$203,MATCH(N$154,'DEMAND BY DATE'!$A$4:$A$203,0),MATCH($A177,'DEMAND BY DATE'!$CA$3:$DV$3,0)))</f>
        <v>0</v>
      </c>
      <c r="O177" s="2">
        <f>IF(O$154="","",INDEX('DEMAND BY DATE'!$CA$4:$DV$203,MATCH(O$154,'DEMAND BY DATE'!$A$4:$A$203,0),MATCH($A177,'DEMAND BY DATE'!$CA$3:$DV$3,0)))</f>
        <v>0</v>
      </c>
      <c r="P177" s="2">
        <f>IF(P$154="","",INDEX('DEMAND BY DATE'!$CA$4:$DV$203,MATCH(P$154,'DEMAND BY DATE'!$A$4:$A$203,0),MATCH($A177,'DEMAND BY DATE'!$CA$3:$DV$3,0)))</f>
        <v>0</v>
      </c>
      <c r="Q177" s="2">
        <f>IF(Q$154="","",INDEX('DEMAND BY DATE'!$CA$4:$DV$203,MATCH(Q$154,'DEMAND BY DATE'!$A$4:$A$203,0),MATCH($A177,'DEMAND BY DATE'!$CA$3:$DV$3,0)))</f>
        <v>0</v>
      </c>
      <c r="R177" s="2">
        <f>IF(R$154="","",INDEX('DEMAND BY DATE'!$CA$4:$DV$203,MATCH(R$154,'DEMAND BY DATE'!$A$4:$A$203,0),MATCH($A177,'DEMAND BY DATE'!$CA$3:$DV$3,0)))</f>
        <v>0</v>
      </c>
      <c r="S177" s="2">
        <f>IF(S$154="","",INDEX('DEMAND BY DATE'!$CA$4:$DV$203,MATCH(S$154,'DEMAND BY DATE'!$A$4:$A$203,0),MATCH($A177,'DEMAND BY DATE'!$CA$3:$DV$3,0)))</f>
        <v>0</v>
      </c>
      <c r="T177" s="2">
        <f>IF(T$154="","",INDEX('DEMAND BY DATE'!$CA$4:$DV$203,MATCH(T$154,'DEMAND BY DATE'!$A$4:$A$203,0),MATCH($A177,'DEMAND BY DATE'!$CA$3:$DV$3,0)))</f>
        <v>0</v>
      </c>
      <c r="U177" s="2">
        <f>IF(U$154="","",INDEX('DEMAND BY DATE'!$CA$4:$DV$203,MATCH(U$154,'DEMAND BY DATE'!$A$4:$A$203,0),MATCH($A177,'DEMAND BY DATE'!$CA$3:$DV$3,0)))</f>
        <v>0</v>
      </c>
      <c r="V177" s="2">
        <f>IF(V$154="","",INDEX('DEMAND BY DATE'!$CA$4:$DV$203,MATCH(V$154,'DEMAND BY DATE'!$A$4:$A$203,0),MATCH($A177,'DEMAND BY DATE'!$CA$3:$DV$3,0)))</f>
        <v>0</v>
      </c>
      <c r="W177" s="2">
        <f>IF(W$154="","",INDEX('DEMAND BY DATE'!$CA$4:$DV$203,MATCH(W$154,'DEMAND BY DATE'!$A$4:$A$203,0),MATCH($A177,'DEMAND BY DATE'!$CA$3:$DV$3,0)))</f>
        <v>0</v>
      </c>
      <c r="X177" s="2">
        <f>IF(X$154="","",INDEX('DEMAND BY DATE'!$CA$4:$DV$203,MATCH(X$154,'DEMAND BY DATE'!$A$4:$A$203,0),MATCH($A177,'DEMAND BY DATE'!$CA$3:$DV$3,0)))</f>
        <v>0</v>
      </c>
      <c r="Y177" s="2">
        <f>IF(Y$154="","",INDEX('DEMAND BY DATE'!$CA$4:$DV$203,MATCH(Y$154,'DEMAND BY DATE'!$A$4:$A$203,0),MATCH($A177,'DEMAND BY DATE'!$CA$3:$DV$3,0)))</f>
        <v>0</v>
      </c>
      <c r="Z177" s="2">
        <f>IF(Z$154="","",INDEX('DEMAND BY DATE'!$CA$4:$DV$203,MATCH(Z$154,'DEMAND BY DATE'!$A$4:$A$203,0),MATCH($A177,'DEMAND BY DATE'!$CA$3:$DV$3,0)))</f>
        <v>0</v>
      </c>
      <c r="AA177" s="2">
        <f>IF(AA$154="","",INDEX('DEMAND BY DATE'!$CA$4:$DV$203,MATCH(AA$154,'DEMAND BY DATE'!$A$4:$A$203,0),MATCH($A177,'DEMAND BY DATE'!$CA$3:$DV$3,0)))</f>
        <v>0</v>
      </c>
      <c r="AB177" s="2">
        <f>IF(AB$154="","",INDEX('DEMAND BY DATE'!$CA$4:$DV$203,MATCH(AB$154,'DEMAND BY DATE'!$A$4:$A$203,0),MATCH($A177,'DEMAND BY DATE'!$CA$3:$DV$3,0)))</f>
        <v>0</v>
      </c>
      <c r="AC177" s="2">
        <f>IF(AC$154="","",INDEX('DEMAND BY DATE'!$CA$4:$DV$203,MATCH(AC$154,'DEMAND BY DATE'!$A$4:$A$203,0),MATCH($A177,'DEMAND BY DATE'!$CA$3:$DV$3,0)))</f>
        <v>0</v>
      </c>
      <c r="AD177" s="2">
        <f>IF(AD$154="","",INDEX('DEMAND BY DATE'!$CA$4:$DV$203,MATCH(AD$154,'DEMAND BY DATE'!$A$4:$A$203,0),MATCH($A177,'DEMAND BY DATE'!$CA$3:$DV$3,0)))</f>
        <v>0</v>
      </c>
      <c r="AE177" s="2">
        <f>IF(AE$154="","",INDEX('DEMAND BY DATE'!$CA$4:$DV$203,MATCH(AE$154,'DEMAND BY DATE'!$A$4:$A$203,0),MATCH($A177,'DEMAND BY DATE'!$CA$3:$DV$3,0)))</f>
        <v>0</v>
      </c>
      <c r="AF177" s="2">
        <f>IF(AF$154="","",INDEX('DEMAND BY DATE'!$CA$4:$DV$203,MATCH(AF$154,'DEMAND BY DATE'!$A$4:$A$203,0),MATCH($A177,'DEMAND BY DATE'!$CA$3:$DV$3,0)))</f>
        <v>0</v>
      </c>
      <c r="AG177" s="2">
        <f>IF(AG$154="","",INDEX('DEMAND BY DATE'!$CA$4:$DV$203,MATCH(AG$154,'DEMAND BY DATE'!$A$4:$A$203,0),MATCH($A177,'DEMAND BY DATE'!$CA$3:$DV$3,0)))</f>
        <v>0</v>
      </c>
      <c r="AH177" s="2">
        <f>IF(AH$154="","",INDEX('DEMAND BY DATE'!$CA$4:$DV$203,MATCH(AH$154,'DEMAND BY DATE'!$A$4:$A$203,0),MATCH($A177,'DEMAND BY DATE'!$CA$3:$DV$3,0)))</f>
        <v>0</v>
      </c>
      <c r="AI177" s="2">
        <f>IF(AI$154="","",INDEX('DEMAND BY DATE'!$CA$4:$DV$203,MATCH(AI$154,'DEMAND BY DATE'!$A$4:$A$203,0),MATCH($A177,'DEMAND BY DATE'!$CA$3:$DV$3,0)))</f>
        <v>0</v>
      </c>
      <c r="AJ177" s="2">
        <f>IF(AJ$154="","",INDEX('DEMAND BY DATE'!$CA$4:$DV$203,MATCH(AJ$154,'DEMAND BY DATE'!$A$4:$A$203,0),MATCH($A177,'DEMAND BY DATE'!$CA$3:$DV$3,0)))</f>
        <v>0</v>
      </c>
      <c r="AK177" s="2">
        <f>IF(AK$154="","",INDEX('DEMAND BY DATE'!$CA$4:$DV$203,MATCH(AK$154,'DEMAND BY DATE'!$A$4:$A$203,0),MATCH($A177,'DEMAND BY DATE'!$CA$3:$DV$3,0)))</f>
        <v>0</v>
      </c>
    </row>
    <row r="178" spans="1:37">
      <c r="A178" s="2" t="str">
        <f>$A$56</f>
        <v>RS-60</v>
      </c>
      <c r="B178" s="2" t="str">
        <f>$AG$56</f>
        <v>NEEDS INPUT</v>
      </c>
      <c r="C178" s="2">
        <f>$AB$56</f>
        <v>30</v>
      </c>
      <c r="D178" s="2">
        <f>MAX($G178:$AK178)</f>
        <v>0</v>
      </c>
      <c r="F178" s="2" cm="1">
        <f t="array" ref="F178">SUMPRODUCT((ISNUMBER($G178:$AK178))*($G178:$AK178&gt;0)*($G$151:$AK$151="Y"))</f>
        <v>0</v>
      </c>
      <c r="G178" s="2">
        <f>IF(G$154="","",INDEX('DEMAND BY DATE'!$CA$4:$DV$203,MATCH(G$154,'DEMAND BY DATE'!$A$4:$A$203,0),MATCH($A178,'DEMAND BY DATE'!$CA$3:$DV$3,0)))</f>
        <v>0</v>
      </c>
      <c r="H178" s="2">
        <f>IF(H$154="","",INDEX('DEMAND BY DATE'!$CA$4:$DV$203,MATCH(H$154,'DEMAND BY DATE'!$A$4:$A$203,0),MATCH($A178,'DEMAND BY DATE'!$CA$3:$DV$3,0)))</f>
        <v>0</v>
      </c>
      <c r="I178" s="2">
        <f>IF(I$154="","",INDEX('DEMAND BY DATE'!$CA$4:$DV$203,MATCH(I$154,'DEMAND BY DATE'!$A$4:$A$203,0),MATCH($A178,'DEMAND BY DATE'!$CA$3:$DV$3,0)))</f>
        <v>0</v>
      </c>
      <c r="J178" s="2">
        <f>IF(J$154="","",INDEX('DEMAND BY DATE'!$CA$4:$DV$203,MATCH(J$154,'DEMAND BY DATE'!$A$4:$A$203,0),MATCH($A178,'DEMAND BY DATE'!$CA$3:$DV$3,0)))</f>
        <v>0</v>
      </c>
      <c r="K178" s="2">
        <f>IF(K$154="","",INDEX('DEMAND BY DATE'!$CA$4:$DV$203,MATCH(K$154,'DEMAND BY DATE'!$A$4:$A$203,0),MATCH($A178,'DEMAND BY DATE'!$CA$3:$DV$3,0)))</f>
        <v>0</v>
      </c>
      <c r="L178" s="2">
        <f>IF(L$154="","",INDEX('DEMAND BY DATE'!$CA$4:$DV$203,MATCH(L$154,'DEMAND BY DATE'!$A$4:$A$203,0),MATCH($A178,'DEMAND BY DATE'!$CA$3:$DV$3,0)))</f>
        <v>0</v>
      </c>
      <c r="M178" s="2">
        <f>IF(M$154="","",INDEX('DEMAND BY DATE'!$CA$4:$DV$203,MATCH(M$154,'DEMAND BY DATE'!$A$4:$A$203,0),MATCH($A178,'DEMAND BY DATE'!$CA$3:$DV$3,0)))</f>
        <v>0</v>
      </c>
      <c r="N178" s="2">
        <f>IF(N$154="","",INDEX('DEMAND BY DATE'!$CA$4:$DV$203,MATCH(N$154,'DEMAND BY DATE'!$A$4:$A$203,0),MATCH($A178,'DEMAND BY DATE'!$CA$3:$DV$3,0)))</f>
        <v>0</v>
      </c>
      <c r="O178" s="2">
        <f>IF(O$154="","",INDEX('DEMAND BY DATE'!$CA$4:$DV$203,MATCH(O$154,'DEMAND BY DATE'!$A$4:$A$203,0),MATCH($A178,'DEMAND BY DATE'!$CA$3:$DV$3,0)))</f>
        <v>0</v>
      </c>
      <c r="P178" s="2">
        <f>IF(P$154="","",INDEX('DEMAND BY DATE'!$CA$4:$DV$203,MATCH(P$154,'DEMAND BY DATE'!$A$4:$A$203,0),MATCH($A178,'DEMAND BY DATE'!$CA$3:$DV$3,0)))</f>
        <v>0</v>
      </c>
      <c r="Q178" s="2">
        <f>IF(Q$154="","",INDEX('DEMAND BY DATE'!$CA$4:$DV$203,MATCH(Q$154,'DEMAND BY DATE'!$A$4:$A$203,0),MATCH($A178,'DEMAND BY DATE'!$CA$3:$DV$3,0)))</f>
        <v>0</v>
      </c>
      <c r="R178" s="2">
        <f>IF(R$154="","",INDEX('DEMAND BY DATE'!$CA$4:$DV$203,MATCH(R$154,'DEMAND BY DATE'!$A$4:$A$203,0),MATCH($A178,'DEMAND BY DATE'!$CA$3:$DV$3,0)))</f>
        <v>0</v>
      </c>
      <c r="S178" s="2">
        <f>IF(S$154="","",INDEX('DEMAND BY DATE'!$CA$4:$DV$203,MATCH(S$154,'DEMAND BY DATE'!$A$4:$A$203,0),MATCH($A178,'DEMAND BY DATE'!$CA$3:$DV$3,0)))</f>
        <v>0</v>
      </c>
      <c r="T178" s="2">
        <f>IF(T$154="","",INDEX('DEMAND BY DATE'!$CA$4:$DV$203,MATCH(T$154,'DEMAND BY DATE'!$A$4:$A$203,0),MATCH($A178,'DEMAND BY DATE'!$CA$3:$DV$3,0)))</f>
        <v>0</v>
      </c>
      <c r="U178" s="2">
        <f>IF(U$154="","",INDEX('DEMAND BY DATE'!$CA$4:$DV$203,MATCH(U$154,'DEMAND BY DATE'!$A$4:$A$203,0),MATCH($A178,'DEMAND BY DATE'!$CA$3:$DV$3,0)))</f>
        <v>0</v>
      </c>
      <c r="V178" s="2">
        <f>IF(V$154="","",INDEX('DEMAND BY DATE'!$CA$4:$DV$203,MATCH(V$154,'DEMAND BY DATE'!$A$4:$A$203,0),MATCH($A178,'DEMAND BY DATE'!$CA$3:$DV$3,0)))</f>
        <v>0</v>
      </c>
      <c r="W178" s="2">
        <f>IF(W$154="","",INDEX('DEMAND BY DATE'!$CA$4:$DV$203,MATCH(W$154,'DEMAND BY DATE'!$A$4:$A$203,0),MATCH($A178,'DEMAND BY DATE'!$CA$3:$DV$3,0)))</f>
        <v>0</v>
      </c>
      <c r="X178" s="2">
        <f>IF(X$154="","",INDEX('DEMAND BY DATE'!$CA$4:$DV$203,MATCH(X$154,'DEMAND BY DATE'!$A$4:$A$203,0),MATCH($A178,'DEMAND BY DATE'!$CA$3:$DV$3,0)))</f>
        <v>0</v>
      </c>
      <c r="Y178" s="2">
        <f>IF(Y$154="","",INDEX('DEMAND BY DATE'!$CA$4:$DV$203,MATCH(Y$154,'DEMAND BY DATE'!$A$4:$A$203,0),MATCH($A178,'DEMAND BY DATE'!$CA$3:$DV$3,0)))</f>
        <v>0</v>
      </c>
      <c r="Z178" s="2">
        <f>IF(Z$154="","",INDEX('DEMAND BY DATE'!$CA$4:$DV$203,MATCH(Z$154,'DEMAND BY DATE'!$A$4:$A$203,0),MATCH($A178,'DEMAND BY DATE'!$CA$3:$DV$3,0)))</f>
        <v>0</v>
      </c>
      <c r="AA178" s="2">
        <f>IF(AA$154="","",INDEX('DEMAND BY DATE'!$CA$4:$DV$203,MATCH(AA$154,'DEMAND BY DATE'!$A$4:$A$203,0),MATCH($A178,'DEMAND BY DATE'!$CA$3:$DV$3,0)))</f>
        <v>0</v>
      </c>
      <c r="AB178" s="2">
        <f>IF(AB$154="","",INDEX('DEMAND BY DATE'!$CA$4:$DV$203,MATCH(AB$154,'DEMAND BY DATE'!$A$4:$A$203,0),MATCH($A178,'DEMAND BY DATE'!$CA$3:$DV$3,0)))</f>
        <v>0</v>
      </c>
      <c r="AC178" s="2">
        <f>IF(AC$154="","",INDEX('DEMAND BY DATE'!$CA$4:$DV$203,MATCH(AC$154,'DEMAND BY DATE'!$A$4:$A$203,0),MATCH($A178,'DEMAND BY DATE'!$CA$3:$DV$3,0)))</f>
        <v>0</v>
      </c>
      <c r="AD178" s="2">
        <f>IF(AD$154="","",INDEX('DEMAND BY DATE'!$CA$4:$DV$203,MATCH(AD$154,'DEMAND BY DATE'!$A$4:$A$203,0),MATCH($A178,'DEMAND BY DATE'!$CA$3:$DV$3,0)))</f>
        <v>0</v>
      </c>
      <c r="AE178" s="2">
        <f>IF(AE$154="","",INDEX('DEMAND BY DATE'!$CA$4:$DV$203,MATCH(AE$154,'DEMAND BY DATE'!$A$4:$A$203,0),MATCH($A178,'DEMAND BY DATE'!$CA$3:$DV$3,0)))</f>
        <v>0</v>
      </c>
      <c r="AF178" s="2">
        <f>IF(AF$154="","",INDEX('DEMAND BY DATE'!$CA$4:$DV$203,MATCH(AF$154,'DEMAND BY DATE'!$A$4:$A$203,0),MATCH($A178,'DEMAND BY DATE'!$CA$3:$DV$3,0)))</f>
        <v>0</v>
      </c>
      <c r="AG178" s="2">
        <f>IF(AG$154="","",INDEX('DEMAND BY DATE'!$CA$4:$DV$203,MATCH(AG$154,'DEMAND BY DATE'!$A$4:$A$203,0),MATCH($A178,'DEMAND BY DATE'!$CA$3:$DV$3,0)))</f>
        <v>0</v>
      </c>
      <c r="AH178" s="2">
        <f>IF(AH$154="","",INDEX('DEMAND BY DATE'!$CA$4:$DV$203,MATCH(AH$154,'DEMAND BY DATE'!$A$4:$A$203,0),MATCH($A178,'DEMAND BY DATE'!$CA$3:$DV$3,0)))</f>
        <v>0</v>
      </c>
      <c r="AI178" s="2">
        <f>IF(AI$154="","",INDEX('DEMAND BY DATE'!$CA$4:$DV$203,MATCH(AI$154,'DEMAND BY DATE'!$A$4:$A$203,0),MATCH($A178,'DEMAND BY DATE'!$CA$3:$DV$3,0)))</f>
        <v>0</v>
      </c>
      <c r="AJ178" s="2">
        <f>IF(AJ$154="","",INDEX('DEMAND BY DATE'!$CA$4:$DV$203,MATCH(AJ$154,'DEMAND BY DATE'!$A$4:$A$203,0),MATCH($A178,'DEMAND BY DATE'!$CA$3:$DV$3,0)))</f>
        <v>0</v>
      </c>
      <c r="AK178" s="2">
        <f>IF(AK$154="","",INDEX('DEMAND BY DATE'!$CA$4:$DV$203,MATCH(AK$154,'DEMAND BY DATE'!$A$4:$A$203,0),MATCH($A178,'DEMAND BY DATE'!$CA$3:$DV$3,0)))</f>
        <v>0</v>
      </c>
    </row>
    <row r="179" spans="1:37">
      <c r="A179" s="2" t="str">
        <f>$A$57</f>
        <v>RS-63</v>
      </c>
      <c r="B179" s="2" t="str">
        <f>$AG$57</f>
        <v>NEEDS INPUT</v>
      </c>
      <c r="C179" s="2">
        <f>$AB$57</f>
        <v>21</v>
      </c>
      <c r="D179" s="2">
        <f>MAX($G179:$AK179)</f>
        <v>0</v>
      </c>
      <c r="F179" s="2" cm="1">
        <f t="array" ref="F179">SUMPRODUCT((ISNUMBER($G179:$AK179))*($G179:$AK179&gt;0)*($G$151:$AK$151="Y"))</f>
        <v>0</v>
      </c>
      <c r="G179" s="2">
        <f>IF(G$154="","",INDEX('DEMAND BY DATE'!$CA$4:$DV$203,MATCH(G$154,'DEMAND BY DATE'!$A$4:$A$203,0),MATCH($A179,'DEMAND BY DATE'!$CA$3:$DV$3,0)))</f>
        <v>0</v>
      </c>
      <c r="H179" s="2">
        <f>IF(H$154="","",INDEX('DEMAND BY DATE'!$CA$4:$DV$203,MATCH(H$154,'DEMAND BY DATE'!$A$4:$A$203,0),MATCH($A179,'DEMAND BY DATE'!$CA$3:$DV$3,0)))</f>
        <v>0</v>
      </c>
      <c r="I179" s="2">
        <f>IF(I$154="","",INDEX('DEMAND BY DATE'!$CA$4:$DV$203,MATCH(I$154,'DEMAND BY DATE'!$A$4:$A$203,0),MATCH($A179,'DEMAND BY DATE'!$CA$3:$DV$3,0)))</f>
        <v>0</v>
      </c>
      <c r="J179" s="2">
        <f>IF(J$154="","",INDEX('DEMAND BY DATE'!$CA$4:$DV$203,MATCH(J$154,'DEMAND BY DATE'!$A$4:$A$203,0),MATCH($A179,'DEMAND BY DATE'!$CA$3:$DV$3,0)))</f>
        <v>0</v>
      </c>
      <c r="K179" s="2">
        <f>IF(K$154="","",INDEX('DEMAND BY DATE'!$CA$4:$DV$203,MATCH(K$154,'DEMAND BY DATE'!$A$4:$A$203,0),MATCH($A179,'DEMAND BY DATE'!$CA$3:$DV$3,0)))</f>
        <v>0</v>
      </c>
      <c r="L179" s="2">
        <f>IF(L$154="","",INDEX('DEMAND BY DATE'!$CA$4:$DV$203,MATCH(L$154,'DEMAND BY DATE'!$A$4:$A$203,0),MATCH($A179,'DEMAND BY DATE'!$CA$3:$DV$3,0)))</f>
        <v>0</v>
      </c>
      <c r="M179" s="2">
        <f>IF(M$154="","",INDEX('DEMAND BY DATE'!$CA$4:$DV$203,MATCH(M$154,'DEMAND BY DATE'!$A$4:$A$203,0),MATCH($A179,'DEMAND BY DATE'!$CA$3:$DV$3,0)))</f>
        <v>0</v>
      </c>
      <c r="N179" s="2">
        <f>IF(N$154="","",INDEX('DEMAND BY DATE'!$CA$4:$DV$203,MATCH(N$154,'DEMAND BY DATE'!$A$4:$A$203,0),MATCH($A179,'DEMAND BY DATE'!$CA$3:$DV$3,0)))</f>
        <v>0</v>
      </c>
      <c r="O179" s="2">
        <f>IF(O$154="","",INDEX('DEMAND BY DATE'!$CA$4:$DV$203,MATCH(O$154,'DEMAND BY DATE'!$A$4:$A$203,0),MATCH($A179,'DEMAND BY DATE'!$CA$3:$DV$3,0)))</f>
        <v>0</v>
      </c>
      <c r="P179" s="2">
        <f>IF(P$154="","",INDEX('DEMAND BY DATE'!$CA$4:$DV$203,MATCH(P$154,'DEMAND BY DATE'!$A$4:$A$203,0),MATCH($A179,'DEMAND BY DATE'!$CA$3:$DV$3,0)))</f>
        <v>0</v>
      </c>
      <c r="Q179" s="2">
        <f>IF(Q$154="","",INDEX('DEMAND BY DATE'!$CA$4:$DV$203,MATCH(Q$154,'DEMAND BY DATE'!$A$4:$A$203,0),MATCH($A179,'DEMAND BY DATE'!$CA$3:$DV$3,0)))</f>
        <v>0</v>
      </c>
      <c r="R179" s="2">
        <f>IF(R$154="","",INDEX('DEMAND BY DATE'!$CA$4:$DV$203,MATCH(R$154,'DEMAND BY DATE'!$A$4:$A$203,0),MATCH($A179,'DEMAND BY DATE'!$CA$3:$DV$3,0)))</f>
        <v>0</v>
      </c>
      <c r="S179" s="2">
        <f>IF(S$154="","",INDEX('DEMAND BY DATE'!$CA$4:$DV$203,MATCH(S$154,'DEMAND BY DATE'!$A$4:$A$203,0),MATCH($A179,'DEMAND BY DATE'!$CA$3:$DV$3,0)))</f>
        <v>0</v>
      </c>
      <c r="T179" s="2">
        <f>IF(T$154="","",INDEX('DEMAND BY DATE'!$CA$4:$DV$203,MATCH(T$154,'DEMAND BY DATE'!$A$4:$A$203,0),MATCH($A179,'DEMAND BY DATE'!$CA$3:$DV$3,0)))</f>
        <v>0</v>
      </c>
      <c r="U179" s="2">
        <f>IF(U$154="","",INDEX('DEMAND BY DATE'!$CA$4:$DV$203,MATCH(U$154,'DEMAND BY DATE'!$A$4:$A$203,0),MATCH($A179,'DEMAND BY DATE'!$CA$3:$DV$3,0)))</f>
        <v>0</v>
      </c>
      <c r="V179" s="2">
        <f>IF(V$154="","",INDEX('DEMAND BY DATE'!$CA$4:$DV$203,MATCH(V$154,'DEMAND BY DATE'!$A$4:$A$203,0),MATCH($A179,'DEMAND BY DATE'!$CA$3:$DV$3,0)))</f>
        <v>0</v>
      </c>
      <c r="W179" s="2">
        <f>IF(W$154="","",INDEX('DEMAND BY DATE'!$CA$4:$DV$203,MATCH(W$154,'DEMAND BY DATE'!$A$4:$A$203,0),MATCH($A179,'DEMAND BY DATE'!$CA$3:$DV$3,0)))</f>
        <v>0</v>
      </c>
      <c r="X179" s="2">
        <f>IF(X$154="","",INDEX('DEMAND BY DATE'!$CA$4:$DV$203,MATCH(X$154,'DEMAND BY DATE'!$A$4:$A$203,0),MATCH($A179,'DEMAND BY DATE'!$CA$3:$DV$3,0)))</f>
        <v>0</v>
      </c>
      <c r="Y179" s="2">
        <f>IF(Y$154="","",INDEX('DEMAND BY DATE'!$CA$4:$DV$203,MATCH(Y$154,'DEMAND BY DATE'!$A$4:$A$203,0),MATCH($A179,'DEMAND BY DATE'!$CA$3:$DV$3,0)))</f>
        <v>0</v>
      </c>
      <c r="Z179" s="2">
        <f>IF(Z$154="","",INDEX('DEMAND BY DATE'!$CA$4:$DV$203,MATCH(Z$154,'DEMAND BY DATE'!$A$4:$A$203,0),MATCH($A179,'DEMAND BY DATE'!$CA$3:$DV$3,0)))</f>
        <v>0</v>
      </c>
      <c r="AA179" s="2">
        <f>IF(AA$154="","",INDEX('DEMAND BY DATE'!$CA$4:$DV$203,MATCH(AA$154,'DEMAND BY DATE'!$A$4:$A$203,0),MATCH($A179,'DEMAND BY DATE'!$CA$3:$DV$3,0)))</f>
        <v>0</v>
      </c>
      <c r="AB179" s="2">
        <f>IF(AB$154="","",INDEX('DEMAND BY DATE'!$CA$4:$DV$203,MATCH(AB$154,'DEMAND BY DATE'!$A$4:$A$203,0),MATCH($A179,'DEMAND BY DATE'!$CA$3:$DV$3,0)))</f>
        <v>0</v>
      </c>
      <c r="AC179" s="2">
        <f>IF(AC$154="","",INDEX('DEMAND BY DATE'!$CA$4:$DV$203,MATCH(AC$154,'DEMAND BY DATE'!$A$4:$A$203,0),MATCH($A179,'DEMAND BY DATE'!$CA$3:$DV$3,0)))</f>
        <v>0</v>
      </c>
      <c r="AD179" s="2">
        <f>IF(AD$154="","",INDEX('DEMAND BY DATE'!$CA$4:$DV$203,MATCH(AD$154,'DEMAND BY DATE'!$A$4:$A$203,0),MATCH($A179,'DEMAND BY DATE'!$CA$3:$DV$3,0)))</f>
        <v>0</v>
      </c>
      <c r="AE179" s="2">
        <f>IF(AE$154="","",INDEX('DEMAND BY DATE'!$CA$4:$DV$203,MATCH(AE$154,'DEMAND BY DATE'!$A$4:$A$203,0),MATCH($A179,'DEMAND BY DATE'!$CA$3:$DV$3,0)))</f>
        <v>0</v>
      </c>
      <c r="AF179" s="2">
        <f>IF(AF$154="","",INDEX('DEMAND BY DATE'!$CA$4:$DV$203,MATCH(AF$154,'DEMAND BY DATE'!$A$4:$A$203,0),MATCH($A179,'DEMAND BY DATE'!$CA$3:$DV$3,0)))</f>
        <v>0</v>
      </c>
      <c r="AG179" s="2">
        <f>IF(AG$154="","",INDEX('DEMAND BY DATE'!$CA$4:$DV$203,MATCH(AG$154,'DEMAND BY DATE'!$A$4:$A$203,0),MATCH($A179,'DEMAND BY DATE'!$CA$3:$DV$3,0)))</f>
        <v>0</v>
      </c>
      <c r="AH179" s="2">
        <f>IF(AH$154="","",INDEX('DEMAND BY DATE'!$CA$4:$DV$203,MATCH(AH$154,'DEMAND BY DATE'!$A$4:$A$203,0),MATCH($A179,'DEMAND BY DATE'!$CA$3:$DV$3,0)))</f>
        <v>0</v>
      </c>
      <c r="AI179" s="2">
        <f>IF(AI$154="","",INDEX('DEMAND BY DATE'!$CA$4:$DV$203,MATCH(AI$154,'DEMAND BY DATE'!$A$4:$A$203,0),MATCH($A179,'DEMAND BY DATE'!$CA$3:$DV$3,0)))</f>
        <v>0</v>
      </c>
      <c r="AJ179" s="2">
        <f>IF(AJ$154="","",INDEX('DEMAND BY DATE'!$CA$4:$DV$203,MATCH(AJ$154,'DEMAND BY DATE'!$A$4:$A$203,0),MATCH($A179,'DEMAND BY DATE'!$CA$3:$DV$3,0)))</f>
        <v>0</v>
      </c>
      <c r="AK179" s="2">
        <f>IF(AK$154="","",INDEX('DEMAND BY DATE'!$CA$4:$DV$203,MATCH(AK$154,'DEMAND BY DATE'!$A$4:$A$203,0),MATCH($A179,'DEMAND BY DATE'!$CA$3:$DV$3,0)))</f>
        <v>0</v>
      </c>
    </row>
    <row r="180" spans="1:37">
      <c r="A180" s="2">
        <f>$A$58</f>
        <v>4523</v>
      </c>
      <c r="B180" s="2" t="str">
        <f>$AG$58</f>
        <v>NEEDS INPUT</v>
      </c>
      <c r="C180" s="2">
        <f>$AB$58</f>
        <v>30</v>
      </c>
      <c r="D180" s="2">
        <f>MAX($G180:$AK180)</f>
        <v>0</v>
      </c>
      <c r="F180" s="2" cm="1">
        <f t="array" ref="F180">SUMPRODUCT((ISNUMBER($G180:$AK180))*($G180:$AK180&gt;0)*($G$151:$AK$151="Y"))</f>
        <v>0</v>
      </c>
      <c r="G180" s="2">
        <f>IF(G$154="","",INDEX('DEMAND BY DATE'!$CA$4:$DV$203,MATCH(G$154,'DEMAND BY DATE'!$A$4:$A$203,0),MATCH($A180,'DEMAND BY DATE'!$CA$3:$DV$3,0)))</f>
        <v>0</v>
      </c>
      <c r="H180" s="2">
        <f>IF(H$154="","",INDEX('DEMAND BY DATE'!$CA$4:$DV$203,MATCH(H$154,'DEMAND BY DATE'!$A$4:$A$203,0),MATCH($A180,'DEMAND BY DATE'!$CA$3:$DV$3,0)))</f>
        <v>0</v>
      </c>
      <c r="I180" s="2">
        <f>IF(I$154="","",INDEX('DEMAND BY DATE'!$CA$4:$DV$203,MATCH(I$154,'DEMAND BY DATE'!$A$4:$A$203,0),MATCH($A180,'DEMAND BY DATE'!$CA$3:$DV$3,0)))</f>
        <v>0</v>
      </c>
      <c r="J180" s="2">
        <f>IF(J$154="","",INDEX('DEMAND BY DATE'!$CA$4:$DV$203,MATCH(J$154,'DEMAND BY DATE'!$A$4:$A$203,0),MATCH($A180,'DEMAND BY DATE'!$CA$3:$DV$3,0)))</f>
        <v>0</v>
      </c>
      <c r="K180" s="2">
        <f>IF(K$154="","",INDEX('DEMAND BY DATE'!$CA$4:$DV$203,MATCH(K$154,'DEMAND BY DATE'!$A$4:$A$203,0),MATCH($A180,'DEMAND BY DATE'!$CA$3:$DV$3,0)))</f>
        <v>0</v>
      </c>
      <c r="L180" s="2">
        <f>IF(L$154="","",INDEX('DEMAND BY DATE'!$CA$4:$DV$203,MATCH(L$154,'DEMAND BY DATE'!$A$4:$A$203,0),MATCH($A180,'DEMAND BY DATE'!$CA$3:$DV$3,0)))</f>
        <v>0</v>
      </c>
      <c r="M180" s="2">
        <f>IF(M$154="","",INDEX('DEMAND BY DATE'!$CA$4:$DV$203,MATCH(M$154,'DEMAND BY DATE'!$A$4:$A$203,0),MATCH($A180,'DEMAND BY DATE'!$CA$3:$DV$3,0)))</f>
        <v>0</v>
      </c>
      <c r="N180" s="2">
        <f>IF(N$154="","",INDEX('DEMAND BY DATE'!$CA$4:$DV$203,MATCH(N$154,'DEMAND BY DATE'!$A$4:$A$203,0),MATCH($A180,'DEMAND BY DATE'!$CA$3:$DV$3,0)))</f>
        <v>0</v>
      </c>
      <c r="O180" s="2">
        <f>IF(O$154="","",INDEX('DEMAND BY DATE'!$CA$4:$DV$203,MATCH(O$154,'DEMAND BY DATE'!$A$4:$A$203,0),MATCH($A180,'DEMAND BY DATE'!$CA$3:$DV$3,0)))</f>
        <v>0</v>
      </c>
      <c r="P180" s="2">
        <f>IF(P$154="","",INDEX('DEMAND BY DATE'!$CA$4:$DV$203,MATCH(P$154,'DEMAND BY DATE'!$A$4:$A$203,0),MATCH($A180,'DEMAND BY DATE'!$CA$3:$DV$3,0)))</f>
        <v>0</v>
      </c>
      <c r="Q180" s="2">
        <f>IF(Q$154="","",INDEX('DEMAND BY DATE'!$CA$4:$DV$203,MATCH(Q$154,'DEMAND BY DATE'!$A$4:$A$203,0),MATCH($A180,'DEMAND BY DATE'!$CA$3:$DV$3,0)))</f>
        <v>0</v>
      </c>
      <c r="R180" s="2">
        <f>IF(R$154="","",INDEX('DEMAND BY DATE'!$CA$4:$DV$203,MATCH(R$154,'DEMAND BY DATE'!$A$4:$A$203,0),MATCH($A180,'DEMAND BY DATE'!$CA$3:$DV$3,0)))</f>
        <v>0</v>
      </c>
      <c r="S180" s="2">
        <f>IF(S$154="","",INDEX('DEMAND BY DATE'!$CA$4:$DV$203,MATCH(S$154,'DEMAND BY DATE'!$A$4:$A$203,0),MATCH($A180,'DEMAND BY DATE'!$CA$3:$DV$3,0)))</f>
        <v>0</v>
      </c>
      <c r="T180" s="2">
        <f>IF(T$154="","",INDEX('DEMAND BY DATE'!$CA$4:$DV$203,MATCH(T$154,'DEMAND BY DATE'!$A$4:$A$203,0),MATCH($A180,'DEMAND BY DATE'!$CA$3:$DV$3,0)))</f>
        <v>0</v>
      </c>
      <c r="U180" s="2">
        <f>IF(U$154="","",INDEX('DEMAND BY DATE'!$CA$4:$DV$203,MATCH(U$154,'DEMAND BY DATE'!$A$4:$A$203,0),MATCH($A180,'DEMAND BY DATE'!$CA$3:$DV$3,0)))</f>
        <v>0</v>
      </c>
      <c r="V180" s="2">
        <f>IF(V$154="","",INDEX('DEMAND BY DATE'!$CA$4:$DV$203,MATCH(V$154,'DEMAND BY DATE'!$A$4:$A$203,0),MATCH($A180,'DEMAND BY DATE'!$CA$3:$DV$3,0)))</f>
        <v>0</v>
      </c>
      <c r="W180" s="2">
        <f>IF(W$154="","",INDEX('DEMAND BY DATE'!$CA$4:$DV$203,MATCH(W$154,'DEMAND BY DATE'!$A$4:$A$203,0),MATCH($A180,'DEMAND BY DATE'!$CA$3:$DV$3,0)))</f>
        <v>0</v>
      </c>
      <c r="X180" s="2">
        <f>IF(X$154="","",INDEX('DEMAND BY DATE'!$CA$4:$DV$203,MATCH(X$154,'DEMAND BY DATE'!$A$4:$A$203,0),MATCH($A180,'DEMAND BY DATE'!$CA$3:$DV$3,0)))</f>
        <v>0</v>
      </c>
      <c r="Y180" s="2">
        <f>IF(Y$154="","",INDEX('DEMAND BY DATE'!$CA$4:$DV$203,MATCH(Y$154,'DEMAND BY DATE'!$A$4:$A$203,0),MATCH($A180,'DEMAND BY DATE'!$CA$3:$DV$3,0)))</f>
        <v>0</v>
      </c>
      <c r="Z180" s="2">
        <f>IF(Z$154="","",INDEX('DEMAND BY DATE'!$CA$4:$DV$203,MATCH(Z$154,'DEMAND BY DATE'!$A$4:$A$203,0),MATCH($A180,'DEMAND BY DATE'!$CA$3:$DV$3,0)))</f>
        <v>0</v>
      </c>
      <c r="AA180" s="2">
        <f>IF(AA$154="","",INDEX('DEMAND BY DATE'!$CA$4:$DV$203,MATCH(AA$154,'DEMAND BY DATE'!$A$4:$A$203,0),MATCH($A180,'DEMAND BY DATE'!$CA$3:$DV$3,0)))</f>
        <v>0</v>
      </c>
      <c r="AB180" s="2">
        <f>IF(AB$154="","",INDEX('DEMAND BY DATE'!$CA$4:$DV$203,MATCH(AB$154,'DEMAND BY DATE'!$A$4:$A$203,0),MATCH($A180,'DEMAND BY DATE'!$CA$3:$DV$3,0)))</f>
        <v>0</v>
      </c>
      <c r="AC180" s="2">
        <f>IF(AC$154="","",INDEX('DEMAND BY DATE'!$CA$4:$DV$203,MATCH(AC$154,'DEMAND BY DATE'!$A$4:$A$203,0),MATCH($A180,'DEMAND BY DATE'!$CA$3:$DV$3,0)))</f>
        <v>0</v>
      </c>
      <c r="AD180" s="2">
        <f>IF(AD$154="","",INDEX('DEMAND BY DATE'!$CA$4:$DV$203,MATCH(AD$154,'DEMAND BY DATE'!$A$4:$A$203,0),MATCH($A180,'DEMAND BY DATE'!$CA$3:$DV$3,0)))</f>
        <v>0</v>
      </c>
      <c r="AE180" s="2">
        <f>IF(AE$154="","",INDEX('DEMAND BY DATE'!$CA$4:$DV$203,MATCH(AE$154,'DEMAND BY DATE'!$A$4:$A$203,0),MATCH($A180,'DEMAND BY DATE'!$CA$3:$DV$3,0)))</f>
        <v>0</v>
      </c>
      <c r="AF180" s="2">
        <f>IF(AF$154="","",INDEX('DEMAND BY DATE'!$CA$4:$DV$203,MATCH(AF$154,'DEMAND BY DATE'!$A$4:$A$203,0),MATCH($A180,'DEMAND BY DATE'!$CA$3:$DV$3,0)))</f>
        <v>0</v>
      </c>
      <c r="AG180" s="2">
        <f>IF(AG$154="","",INDEX('DEMAND BY DATE'!$CA$4:$DV$203,MATCH(AG$154,'DEMAND BY DATE'!$A$4:$A$203,0),MATCH($A180,'DEMAND BY DATE'!$CA$3:$DV$3,0)))</f>
        <v>0</v>
      </c>
      <c r="AH180" s="2">
        <f>IF(AH$154="","",INDEX('DEMAND BY DATE'!$CA$4:$DV$203,MATCH(AH$154,'DEMAND BY DATE'!$A$4:$A$203,0),MATCH($A180,'DEMAND BY DATE'!$CA$3:$DV$3,0)))</f>
        <v>0</v>
      </c>
      <c r="AI180" s="2">
        <f>IF(AI$154="","",INDEX('DEMAND BY DATE'!$CA$4:$DV$203,MATCH(AI$154,'DEMAND BY DATE'!$A$4:$A$203,0),MATCH($A180,'DEMAND BY DATE'!$CA$3:$DV$3,0)))</f>
        <v>0</v>
      </c>
      <c r="AJ180" s="2">
        <f>IF(AJ$154="","",INDEX('DEMAND BY DATE'!$CA$4:$DV$203,MATCH(AJ$154,'DEMAND BY DATE'!$A$4:$A$203,0),MATCH($A180,'DEMAND BY DATE'!$CA$3:$DV$3,0)))</f>
        <v>0</v>
      </c>
      <c r="AK180" s="2">
        <f>IF(AK$154="","",INDEX('DEMAND BY DATE'!$CA$4:$DV$203,MATCH(AK$154,'DEMAND BY DATE'!$A$4:$A$203,0),MATCH($A180,'DEMAND BY DATE'!$CA$3:$DV$3,0)))</f>
        <v>0</v>
      </c>
    </row>
    <row r="181" spans="1:37">
      <c r="A181" s="2">
        <f>$A$59</f>
        <v>4525</v>
      </c>
      <c r="B181" s="2" t="str">
        <f>$AG$59</f>
        <v>NEEDS INPUT</v>
      </c>
      <c r="C181" s="2">
        <f>$AB$59</f>
        <v>30</v>
      </c>
      <c r="D181" s="2">
        <f>MAX($G181:$AK181)</f>
        <v>0</v>
      </c>
      <c r="F181" s="2" cm="1">
        <f t="array" ref="F181">SUMPRODUCT((ISNUMBER($G181:$AK181))*($G181:$AK181&gt;0)*($G$151:$AK$151="Y"))</f>
        <v>0</v>
      </c>
      <c r="G181" s="2">
        <f>IF(G$154="","",INDEX('DEMAND BY DATE'!$CA$4:$DV$203,MATCH(G$154,'DEMAND BY DATE'!$A$4:$A$203,0),MATCH($A181,'DEMAND BY DATE'!$CA$3:$DV$3,0)))</f>
        <v>0</v>
      </c>
      <c r="H181" s="2">
        <f>IF(H$154="","",INDEX('DEMAND BY DATE'!$CA$4:$DV$203,MATCH(H$154,'DEMAND BY DATE'!$A$4:$A$203,0),MATCH($A181,'DEMAND BY DATE'!$CA$3:$DV$3,0)))</f>
        <v>0</v>
      </c>
      <c r="I181" s="2">
        <f>IF(I$154="","",INDEX('DEMAND BY DATE'!$CA$4:$DV$203,MATCH(I$154,'DEMAND BY DATE'!$A$4:$A$203,0),MATCH($A181,'DEMAND BY DATE'!$CA$3:$DV$3,0)))</f>
        <v>0</v>
      </c>
      <c r="J181" s="2">
        <f>IF(J$154="","",INDEX('DEMAND BY DATE'!$CA$4:$DV$203,MATCH(J$154,'DEMAND BY DATE'!$A$4:$A$203,0),MATCH($A181,'DEMAND BY DATE'!$CA$3:$DV$3,0)))</f>
        <v>0</v>
      </c>
      <c r="K181" s="2">
        <f>IF(K$154="","",INDEX('DEMAND BY DATE'!$CA$4:$DV$203,MATCH(K$154,'DEMAND BY DATE'!$A$4:$A$203,0),MATCH($A181,'DEMAND BY DATE'!$CA$3:$DV$3,0)))</f>
        <v>0</v>
      </c>
      <c r="L181" s="2">
        <f>IF(L$154="","",INDEX('DEMAND BY DATE'!$CA$4:$DV$203,MATCH(L$154,'DEMAND BY DATE'!$A$4:$A$203,0),MATCH($A181,'DEMAND BY DATE'!$CA$3:$DV$3,0)))</f>
        <v>0</v>
      </c>
      <c r="M181" s="2">
        <f>IF(M$154="","",INDEX('DEMAND BY DATE'!$CA$4:$DV$203,MATCH(M$154,'DEMAND BY DATE'!$A$4:$A$203,0),MATCH($A181,'DEMAND BY DATE'!$CA$3:$DV$3,0)))</f>
        <v>0</v>
      </c>
      <c r="N181" s="2">
        <f>IF(N$154="","",INDEX('DEMAND BY DATE'!$CA$4:$DV$203,MATCH(N$154,'DEMAND BY DATE'!$A$4:$A$203,0),MATCH($A181,'DEMAND BY DATE'!$CA$3:$DV$3,0)))</f>
        <v>0</v>
      </c>
      <c r="O181" s="2">
        <f>IF(O$154="","",INDEX('DEMAND BY DATE'!$CA$4:$DV$203,MATCH(O$154,'DEMAND BY DATE'!$A$4:$A$203,0),MATCH($A181,'DEMAND BY DATE'!$CA$3:$DV$3,0)))</f>
        <v>0</v>
      </c>
      <c r="P181" s="2">
        <f>IF(P$154="","",INDEX('DEMAND BY DATE'!$CA$4:$DV$203,MATCH(P$154,'DEMAND BY DATE'!$A$4:$A$203,0),MATCH($A181,'DEMAND BY DATE'!$CA$3:$DV$3,0)))</f>
        <v>0</v>
      </c>
      <c r="Q181" s="2">
        <f>IF(Q$154="","",INDEX('DEMAND BY DATE'!$CA$4:$DV$203,MATCH(Q$154,'DEMAND BY DATE'!$A$4:$A$203,0),MATCH($A181,'DEMAND BY DATE'!$CA$3:$DV$3,0)))</f>
        <v>0</v>
      </c>
      <c r="R181" s="2">
        <f>IF(R$154="","",INDEX('DEMAND BY DATE'!$CA$4:$DV$203,MATCH(R$154,'DEMAND BY DATE'!$A$4:$A$203,0),MATCH($A181,'DEMAND BY DATE'!$CA$3:$DV$3,0)))</f>
        <v>0</v>
      </c>
      <c r="S181" s="2">
        <f>IF(S$154="","",INDEX('DEMAND BY DATE'!$CA$4:$DV$203,MATCH(S$154,'DEMAND BY DATE'!$A$4:$A$203,0),MATCH($A181,'DEMAND BY DATE'!$CA$3:$DV$3,0)))</f>
        <v>0</v>
      </c>
      <c r="T181" s="2">
        <f>IF(T$154="","",INDEX('DEMAND BY DATE'!$CA$4:$DV$203,MATCH(T$154,'DEMAND BY DATE'!$A$4:$A$203,0),MATCH($A181,'DEMAND BY DATE'!$CA$3:$DV$3,0)))</f>
        <v>0</v>
      </c>
      <c r="U181" s="2">
        <f>IF(U$154="","",INDEX('DEMAND BY DATE'!$CA$4:$DV$203,MATCH(U$154,'DEMAND BY DATE'!$A$4:$A$203,0),MATCH($A181,'DEMAND BY DATE'!$CA$3:$DV$3,0)))</f>
        <v>0</v>
      </c>
      <c r="V181" s="2">
        <f>IF(V$154="","",INDEX('DEMAND BY DATE'!$CA$4:$DV$203,MATCH(V$154,'DEMAND BY DATE'!$A$4:$A$203,0),MATCH($A181,'DEMAND BY DATE'!$CA$3:$DV$3,0)))</f>
        <v>0</v>
      </c>
      <c r="W181" s="2">
        <f>IF(W$154="","",INDEX('DEMAND BY DATE'!$CA$4:$DV$203,MATCH(W$154,'DEMAND BY DATE'!$A$4:$A$203,0),MATCH($A181,'DEMAND BY DATE'!$CA$3:$DV$3,0)))</f>
        <v>0</v>
      </c>
      <c r="X181" s="2">
        <f>IF(X$154="","",INDEX('DEMAND BY DATE'!$CA$4:$DV$203,MATCH(X$154,'DEMAND BY DATE'!$A$4:$A$203,0),MATCH($A181,'DEMAND BY DATE'!$CA$3:$DV$3,0)))</f>
        <v>0</v>
      </c>
      <c r="Y181" s="2">
        <f>IF(Y$154="","",INDEX('DEMAND BY DATE'!$CA$4:$DV$203,MATCH(Y$154,'DEMAND BY DATE'!$A$4:$A$203,0),MATCH($A181,'DEMAND BY DATE'!$CA$3:$DV$3,0)))</f>
        <v>0</v>
      </c>
      <c r="Z181" s="2">
        <f>IF(Z$154="","",INDEX('DEMAND BY DATE'!$CA$4:$DV$203,MATCH(Z$154,'DEMAND BY DATE'!$A$4:$A$203,0),MATCH($A181,'DEMAND BY DATE'!$CA$3:$DV$3,0)))</f>
        <v>0</v>
      </c>
      <c r="AA181" s="2">
        <f>IF(AA$154="","",INDEX('DEMAND BY DATE'!$CA$4:$DV$203,MATCH(AA$154,'DEMAND BY DATE'!$A$4:$A$203,0),MATCH($A181,'DEMAND BY DATE'!$CA$3:$DV$3,0)))</f>
        <v>0</v>
      </c>
      <c r="AB181" s="2">
        <f>IF(AB$154="","",INDEX('DEMAND BY DATE'!$CA$4:$DV$203,MATCH(AB$154,'DEMAND BY DATE'!$A$4:$A$203,0),MATCH($A181,'DEMAND BY DATE'!$CA$3:$DV$3,0)))</f>
        <v>0</v>
      </c>
      <c r="AC181" s="2">
        <f>IF(AC$154="","",INDEX('DEMAND BY DATE'!$CA$4:$DV$203,MATCH(AC$154,'DEMAND BY DATE'!$A$4:$A$203,0),MATCH($A181,'DEMAND BY DATE'!$CA$3:$DV$3,0)))</f>
        <v>0</v>
      </c>
      <c r="AD181" s="2">
        <f>IF(AD$154="","",INDEX('DEMAND BY DATE'!$CA$4:$DV$203,MATCH(AD$154,'DEMAND BY DATE'!$A$4:$A$203,0),MATCH($A181,'DEMAND BY DATE'!$CA$3:$DV$3,0)))</f>
        <v>0</v>
      </c>
      <c r="AE181" s="2">
        <f>IF(AE$154="","",INDEX('DEMAND BY DATE'!$CA$4:$DV$203,MATCH(AE$154,'DEMAND BY DATE'!$A$4:$A$203,0),MATCH($A181,'DEMAND BY DATE'!$CA$3:$DV$3,0)))</f>
        <v>0</v>
      </c>
      <c r="AF181" s="2">
        <f>IF(AF$154="","",INDEX('DEMAND BY DATE'!$CA$4:$DV$203,MATCH(AF$154,'DEMAND BY DATE'!$A$4:$A$203,0),MATCH($A181,'DEMAND BY DATE'!$CA$3:$DV$3,0)))</f>
        <v>0</v>
      </c>
      <c r="AG181" s="2">
        <f>IF(AG$154="","",INDEX('DEMAND BY DATE'!$CA$4:$DV$203,MATCH(AG$154,'DEMAND BY DATE'!$A$4:$A$203,0),MATCH($A181,'DEMAND BY DATE'!$CA$3:$DV$3,0)))</f>
        <v>0</v>
      </c>
      <c r="AH181" s="2">
        <f>IF(AH$154="","",INDEX('DEMAND BY DATE'!$CA$4:$DV$203,MATCH(AH$154,'DEMAND BY DATE'!$A$4:$A$203,0),MATCH($A181,'DEMAND BY DATE'!$CA$3:$DV$3,0)))</f>
        <v>0</v>
      </c>
      <c r="AI181" s="2">
        <f>IF(AI$154="","",INDEX('DEMAND BY DATE'!$CA$4:$DV$203,MATCH(AI$154,'DEMAND BY DATE'!$A$4:$A$203,0),MATCH($A181,'DEMAND BY DATE'!$CA$3:$DV$3,0)))</f>
        <v>0</v>
      </c>
      <c r="AJ181" s="2">
        <f>IF(AJ$154="","",INDEX('DEMAND BY DATE'!$CA$4:$DV$203,MATCH(AJ$154,'DEMAND BY DATE'!$A$4:$A$203,0),MATCH($A181,'DEMAND BY DATE'!$CA$3:$DV$3,0)))</f>
        <v>0</v>
      </c>
      <c r="AK181" s="2">
        <f>IF(AK$154="","",INDEX('DEMAND BY DATE'!$CA$4:$DV$203,MATCH(AK$154,'DEMAND BY DATE'!$A$4:$A$203,0),MATCH($A181,'DEMAND BY DATE'!$CA$3:$DV$3,0)))</f>
        <v>0</v>
      </c>
    </row>
    <row r="182" spans="1:37">
      <c r="A182" s="2" t="str">
        <f>$A$60</f>
        <v>Panty</v>
      </c>
      <c r="B182" s="2" t="str">
        <f>$AG$60</f>
        <v>PANTY</v>
      </c>
      <c r="C182" s="2">
        <f>$AB$60</f>
        <v>29.5</v>
      </c>
      <c r="D182" s="2">
        <f>MAX($G182:$AK182)</f>
        <v>0</v>
      </c>
      <c r="F182" s="2" cm="1">
        <f t="array" ref="F182">SUMPRODUCT((ISNUMBER($G182:$AK182))*($G182:$AK182&gt;0)*($G$151:$AK$151="Y"))</f>
        <v>0</v>
      </c>
      <c r="G182" s="2">
        <f>IF(G$154="","",INDEX('DEMAND BY DATE'!$CA$4:$DV$203,MATCH(G$154,'DEMAND BY DATE'!$A$4:$A$203,0),MATCH($A182,'DEMAND BY DATE'!$CA$3:$DV$3,0)))</f>
        <v>0</v>
      </c>
      <c r="H182" s="2">
        <f>IF(H$154="","",INDEX('DEMAND BY DATE'!$CA$4:$DV$203,MATCH(H$154,'DEMAND BY DATE'!$A$4:$A$203,0),MATCH($A182,'DEMAND BY DATE'!$CA$3:$DV$3,0)))</f>
        <v>0</v>
      </c>
      <c r="I182" s="2">
        <f>IF(I$154="","",INDEX('DEMAND BY DATE'!$CA$4:$DV$203,MATCH(I$154,'DEMAND BY DATE'!$A$4:$A$203,0),MATCH($A182,'DEMAND BY DATE'!$CA$3:$DV$3,0)))</f>
        <v>0</v>
      </c>
      <c r="J182" s="2">
        <f>IF(J$154="","",INDEX('DEMAND BY DATE'!$CA$4:$DV$203,MATCH(J$154,'DEMAND BY DATE'!$A$4:$A$203,0),MATCH($A182,'DEMAND BY DATE'!$CA$3:$DV$3,0)))</f>
        <v>0</v>
      </c>
      <c r="K182" s="2">
        <f>IF(K$154="","",INDEX('DEMAND BY DATE'!$CA$4:$DV$203,MATCH(K$154,'DEMAND BY DATE'!$A$4:$A$203,0),MATCH($A182,'DEMAND BY DATE'!$CA$3:$DV$3,0)))</f>
        <v>0</v>
      </c>
      <c r="L182" s="2">
        <f>IF(L$154="","",INDEX('DEMAND BY DATE'!$CA$4:$DV$203,MATCH(L$154,'DEMAND BY DATE'!$A$4:$A$203,0),MATCH($A182,'DEMAND BY DATE'!$CA$3:$DV$3,0)))</f>
        <v>0</v>
      </c>
      <c r="M182" s="2">
        <f>IF(M$154="","",INDEX('DEMAND BY DATE'!$CA$4:$DV$203,MATCH(M$154,'DEMAND BY DATE'!$A$4:$A$203,0),MATCH($A182,'DEMAND BY DATE'!$CA$3:$DV$3,0)))</f>
        <v>0</v>
      </c>
      <c r="N182" s="2">
        <f>IF(N$154="","",INDEX('DEMAND BY DATE'!$CA$4:$DV$203,MATCH(N$154,'DEMAND BY DATE'!$A$4:$A$203,0),MATCH($A182,'DEMAND BY DATE'!$CA$3:$DV$3,0)))</f>
        <v>0</v>
      </c>
      <c r="O182" s="2">
        <f>IF(O$154="","",INDEX('DEMAND BY DATE'!$CA$4:$DV$203,MATCH(O$154,'DEMAND BY DATE'!$A$4:$A$203,0),MATCH($A182,'DEMAND BY DATE'!$CA$3:$DV$3,0)))</f>
        <v>0</v>
      </c>
      <c r="P182" s="2">
        <f>IF(P$154="","",INDEX('DEMAND BY DATE'!$CA$4:$DV$203,MATCH(P$154,'DEMAND BY DATE'!$A$4:$A$203,0),MATCH($A182,'DEMAND BY DATE'!$CA$3:$DV$3,0)))</f>
        <v>0</v>
      </c>
      <c r="Q182" s="2">
        <f>IF(Q$154="","",INDEX('DEMAND BY DATE'!$CA$4:$DV$203,MATCH(Q$154,'DEMAND BY DATE'!$A$4:$A$203,0),MATCH($A182,'DEMAND BY DATE'!$CA$3:$DV$3,0)))</f>
        <v>0</v>
      </c>
      <c r="R182" s="2">
        <f>IF(R$154="","",INDEX('DEMAND BY DATE'!$CA$4:$DV$203,MATCH(R$154,'DEMAND BY DATE'!$A$4:$A$203,0),MATCH($A182,'DEMAND BY DATE'!$CA$3:$DV$3,0)))</f>
        <v>0</v>
      </c>
      <c r="S182" s="2">
        <f>IF(S$154="","",INDEX('DEMAND BY DATE'!$CA$4:$DV$203,MATCH(S$154,'DEMAND BY DATE'!$A$4:$A$203,0),MATCH($A182,'DEMAND BY DATE'!$CA$3:$DV$3,0)))</f>
        <v>0</v>
      </c>
      <c r="T182" s="2">
        <f>IF(T$154="","",INDEX('DEMAND BY DATE'!$CA$4:$DV$203,MATCH(T$154,'DEMAND BY DATE'!$A$4:$A$203,0),MATCH($A182,'DEMAND BY DATE'!$CA$3:$DV$3,0)))</f>
        <v>0</v>
      </c>
      <c r="U182" s="2">
        <f>IF(U$154="","",INDEX('DEMAND BY DATE'!$CA$4:$DV$203,MATCH(U$154,'DEMAND BY DATE'!$A$4:$A$203,0),MATCH($A182,'DEMAND BY DATE'!$CA$3:$DV$3,0)))</f>
        <v>0</v>
      </c>
      <c r="V182" s="2">
        <f>IF(V$154="","",INDEX('DEMAND BY DATE'!$CA$4:$DV$203,MATCH(V$154,'DEMAND BY DATE'!$A$4:$A$203,0),MATCH($A182,'DEMAND BY DATE'!$CA$3:$DV$3,0)))</f>
        <v>0</v>
      </c>
      <c r="W182" s="2">
        <f>IF(W$154="","",INDEX('DEMAND BY DATE'!$CA$4:$DV$203,MATCH(W$154,'DEMAND BY DATE'!$A$4:$A$203,0),MATCH($A182,'DEMAND BY DATE'!$CA$3:$DV$3,0)))</f>
        <v>0</v>
      </c>
      <c r="X182" s="2">
        <f>IF(X$154="","",INDEX('DEMAND BY DATE'!$CA$4:$DV$203,MATCH(X$154,'DEMAND BY DATE'!$A$4:$A$203,0),MATCH($A182,'DEMAND BY DATE'!$CA$3:$DV$3,0)))</f>
        <v>0</v>
      </c>
      <c r="Y182" s="2">
        <f>IF(Y$154="","",INDEX('DEMAND BY DATE'!$CA$4:$DV$203,MATCH(Y$154,'DEMAND BY DATE'!$A$4:$A$203,0),MATCH($A182,'DEMAND BY DATE'!$CA$3:$DV$3,0)))</f>
        <v>0</v>
      </c>
      <c r="Z182" s="2">
        <f>IF(Z$154="","",INDEX('DEMAND BY DATE'!$CA$4:$DV$203,MATCH(Z$154,'DEMAND BY DATE'!$A$4:$A$203,0),MATCH($A182,'DEMAND BY DATE'!$CA$3:$DV$3,0)))</f>
        <v>0</v>
      </c>
      <c r="AA182" s="2">
        <f>IF(AA$154="","",INDEX('DEMAND BY DATE'!$CA$4:$DV$203,MATCH(AA$154,'DEMAND BY DATE'!$A$4:$A$203,0),MATCH($A182,'DEMAND BY DATE'!$CA$3:$DV$3,0)))</f>
        <v>0</v>
      </c>
      <c r="AB182" s="2">
        <f>IF(AB$154="","",INDEX('DEMAND BY DATE'!$CA$4:$DV$203,MATCH(AB$154,'DEMAND BY DATE'!$A$4:$A$203,0),MATCH($A182,'DEMAND BY DATE'!$CA$3:$DV$3,0)))</f>
        <v>0</v>
      </c>
      <c r="AC182" s="2">
        <f>IF(AC$154="","",INDEX('DEMAND BY DATE'!$CA$4:$DV$203,MATCH(AC$154,'DEMAND BY DATE'!$A$4:$A$203,0),MATCH($A182,'DEMAND BY DATE'!$CA$3:$DV$3,0)))</f>
        <v>0</v>
      </c>
      <c r="AD182" s="2">
        <f>IF(AD$154="","",INDEX('DEMAND BY DATE'!$CA$4:$DV$203,MATCH(AD$154,'DEMAND BY DATE'!$A$4:$A$203,0),MATCH($A182,'DEMAND BY DATE'!$CA$3:$DV$3,0)))</f>
        <v>0</v>
      </c>
      <c r="AE182" s="2">
        <f>IF(AE$154="","",INDEX('DEMAND BY DATE'!$CA$4:$DV$203,MATCH(AE$154,'DEMAND BY DATE'!$A$4:$A$203,0),MATCH($A182,'DEMAND BY DATE'!$CA$3:$DV$3,0)))</f>
        <v>0</v>
      </c>
      <c r="AF182" s="2">
        <f>IF(AF$154="","",INDEX('DEMAND BY DATE'!$CA$4:$DV$203,MATCH(AF$154,'DEMAND BY DATE'!$A$4:$A$203,0),MATCH($A182,'DEMAND BY DATE'!$CA$3:$DV$3,0)))</f>
        <v>0</v>
      </c>
      <c r="AG182" s="2">
        <f>IF(AG$154="","",INDEX('DEMAND BY DATE'!$CA$4:$DV$203,MATCH(AG$154,'DEMAND BY DATE'!$A$4:$A$203,0),MATCH($A182,'DEMAND BY DATE'!$CA$3:$DV$3,0)))</f>
        <v>0</v>
      </c>
      <c r="AH182" s="2">
        <f>IF(AH$154="","",INDEX('DEMAND BY DATE'!$CA$4:$DV$203,MATCH(AH$154,'DEMAND BY DATE'!$A$4:$A$203,0),MATCH($A182,'DEMAND BY DATE'!$CA$3:$DV$3,0)))</f>
        <v>0</v>
      </c>
      <c r="AI182" s="2">
        <f>IF(AI$154="","",INDEX('DEMAND BY DATE'!$CA$4:$DV$203,MATCH(AI$154,'DEMAND BY DATE'!$A$4:$A$203,0),MATCH($A182,'DEMAND BY DATE'!$CA$3:$DV$3,0)))</f>
        <v>0</v>
      </c>
      <c r="AJ182" s="2">
        <f>IF(AJ$154="","",INDEX('DEMAND BY DATE'!$CA$4:$DV$203,MATCH(AJ$154,'DEMAND BY DATE'!$A$4:$A$203,0),MATCH($A182,'DEMAND BY DATE'!$CA$3:$DV$3,0)))</f>
        <v>0</v>
      </c>
      <c r="AK182" s="2">
        <f>IF(AK$154="","",INDEX('DEMAND BY DATE'!$CA$4:$DV$203,MATCH(AK$154,'DEMAND BY DATE'!$A$4:$A$203,0),MATCH($A182,'DEMAND BY DATE'!$CA$3:$DV$3,0)))</f>
        <v>0</v>
      </c>
    </row>
    <row r="183" spans="1:37">
      <c r="A183" s="2" t="str">
        <f>$A$61</f>
        <v>T Shirt</v>
      </c>
      <c r="B183" s="2" t="str">
        <f>$AG$61</f>
        <v>T SHIRT</v>
      </c>
      <c r="C183" s="2">
        <f>$AB$61</f>
        <v>14</v>
      </c>
      <c r="D183" s="2">
        <f>MAX($G183:$AK183)</f>
        <v>0</v>
      </c>
      <c r="F183" s="2" cm="1">
        <f t="array" ref="F183">SUMPRODUCT((ISNUMBER($G183:$AK183))*($G183:$AK183&gt;0)*($G$151:$AK$151="Y"))</f>
        <v>0</v>
      </c>
      <c r="G183" s="2">
        <f>IF(G$154="","",INDEX('DEMAND BY DATE'!$CA$4:$DV$203,MATCH(G$154,'DEMAND BY DATE'!$A$4:$A$203,0),MATCH($A183,'DEMAND BY DATE'!$CA$3:$DV$3,0)))</f>
        <v>0</v>
      </c>
      <c r="H183" s="2">
        <f>IF(H$154="","",INDEX('DEMAND BY DATE'!$CA$4:$DV$203,MATCH(H$154,'DEMAND BY DATE'!$A$4:$A$203,0),MATCH($A183,'DEMAND BY DATE'!$CA$3:$DV$3,0)))</f>
        <v>0</v>
      </c>
      <c r="I183" s="2">
        <f>IF(I$154="","",INDEX('DEMAND BY DATE'!$CA$4:$DV$203,MATCH(I$154,'DEMAND BY DATE'!$A$4:$A$203,0),MATCH($A183,'DEMAND BY DATE'!$CA$3:$DV$3,0)))</f>
        <v>0</v>
      </c>
      <c r="J183" s="2">
        <f>IF(J$154="","",INDEX('DEMAND BY DATE'!$CA$4:$DV$203,MATCH(J$154,'DEMAND BY DATE'!$A$4:$A$203,0),MATCH($A183,'DEMAND BY DATE'!$CA$3:$DV$3,0)))</f>
        <v>0</v>
      </c>
      <c r="K183" s="2">
        <f>IF(K$154="","",INDEX('DEMAND BY DATE'!$CA$4:$DV$203,MATCH(K$154,'DEMAND BY DATE'!$A$4:$A$203,0),MATCH($A183,'DEMAND BY DATE'!$CA$3:$DV$3,0)))</f>
        <v>0</v>
      </c>
      <c r="L183" s="2">
        <f>IF(L$154="","",INDEX('DEMAND BY DATE'!$CA$4:$DV$203,MATCH(L$154,'DEMAND BY DATE'!$A$4:$A$203,0),MATCH($A183,'DEMAND BY DATE'!$CA$3:$DV$3,0)))</f>
        <v>0</v>
      </c>
      <c r="M183" s="2">
        <f>IF(M$154="","",INDEX('DEMAND BY DATE'!$CA$4:$DV$203,MATCH(M$154,'DEMAND BY DATE'!$A$4:$A$203,0),MATCH($A183,'DEMAND BY DATE'!$CA$3:$DV$3,0)))</f>
        <v>0</v>
      </c>
      <c r="N183" s="2">
        <f>IF(N$154="","",INDEX('DEMAND BY DATE'!$CA$4:$DV$203,MATCH(N$154,'DEMAND BY DATE'!$A$4:$A$203,0),MATCH($A183,'DEMAND BY DATE'!$CA$3:$DV$3,0)))</f>
        <v>0</v>
      </c>
      <c r="O183" s="2">
        <f>IF(O$154="","",INDEX('DEMAND BY DATE'!$CA$4:$DV$203,MATCH(O$154,'DEMAND BY DATE'!$A$4:$A$203,0),MATCH($A183,'DEMAND BY DATE'!$CA$3:$DV$3,0)))</f>
        <v>0</v>
      </c>
      <c r="P183" s="2">
        <f>IF(P$154="","",INDEX('DEMAND BY DATE'!$CA$4:$DV$203,MATCH(P$154,'DEMAND BY DATE'!$A$4:$A$203,0),MATCH($A183,'DEMAND BY DATE'!$CA$3:$DV$3,0)))</f>
        <v>0</v>
      </c>
      <c r="Q183" s="2">
        <f>IF(Q$154="","",INDEX('DEMAND BY DATE'!$CA$4:$DV$203,MATCH(Q$154,'DEMAND BY DATE'!$A$4:$A$203,0),MATCH($A183,'DEMAND BY DATE'!$CA$3:$DV$3,0)))</f>
        <v>0</v>
      </c>
      <c r="R183" s="2">
        <f>IF(R$154="","",INDEX('DEMAND BY DATE'!$CA$4:$DV$203,MATCH(R$154,'DEMAND BY DATE'!$A$4:$A$203,0),MATCH($A183,'DEMAND BY DATE'!$CA$3:$DV$3,0)))</f>
        <v>0</v>
      </c>
      <c r="S183" s="2">
        <f>IF(S$154="","",INDEX('DEMAND BY DATE'!$CA$4:$DV$203,MATCH(S$154,'DEMAND BY DATE'!$A$4:$A$203,0),MATCH($A183,'DEMAND BY DATE'!$CA$3:$DV$3,0)))</f>
        <v>0</v>
      </c>
      <c r="T183" s="2">
        <f>IF(T$154="","",INDEX('DEMAND BY DATE'!$CA$4:$DV$203,MATCH(T$154,'DEMAND BY DATE'!$A$4:$A$203,0),MATCH($A183,'DEMAND BY DATE'!$CA$3:$DV$3,0)))</f>
        <v>0</v>
      </c>
      <c r="U183" s="2">
        <f>IF(U$154="","",INDEX('DEMAND BY DATE'!$CA$4:$DV$203,MATCH(U$154,'DEMAND BY DATE'!$A$4:$A$203,0),MATCH($A183,'DEMAND BY DATE'!$CA$3:$DV$3,0)))</f>
        <v>0</v>
      </c>
      <c r="V183" s="2">
        <f>IF(V$154="","",INDEX('DEMAND BY DATE'!$CA$4:$DV$203,MATCH(V$154,'DEMAND BY DATE'!$A$4:$A$203,0),MATCH($A183,'DEMAND BY DATE'!$CA$3:$DV$3,0)))</f>
        <v>0</v>
      </c>
      <c r="W183" s="2">
        <f>IF(W$154="","",INDEX('DEMAND BY DATE'!$CA$4:$DV$203,MATCH(W$154,'DEMAND BY DATE'!$A$4:$A$203,0),MATCH($A183,'DEMAND BY DATE'!$CA$3:$DV$3,0)))</f>
        <v>0</v>
      </c>
      <c r="X183" s="2">
        <f>IF(X$154="","",INDEX('DEMAND BY DATE'!$CA$4:$DV$203,MATCH(X$154,'DEMAND BY DATE'!$A$4:$A$203,0),MATCH($A183,'DEMAND BY DATE'!$CA$3:$DV$3,0)))</f>
        <v>0</v>
      </c>
      <c r="Y183" s="2">
        <f>IF(Y$154="","",INDEX('DEMAND BY DATE'!$CA$4:$DV$203,MATCH(Y$154,'DEMAND BY DATE'!$A$4:$A$203,0),MATCH($A183,'DEMAND BY DATE'!$CA$3:$DV$3,0)))</f>
        <v>0</v>
      </c>
      <c r="Z183" s="2">
        <f>IF(Z$154="","",INDEX('DEMAND BY DATE'!$CA$4:$DV$203,MATCH(Z$154,'DEMAND BY DATE'!$A$4:$A$203,0),MATCH($A183,'DEMAND BY DATE'!$CA$3:$DV$3,0)))</f>
        <v>0</v>
      </c>
      <c r="AA183" s="2">
        <f>IF(AA$154="","",INDEX('DEMAND BY DATE'!$CA$4:$DV$203,MATCH(AA$154,'DEMAND BY DATE'!$A$4:$A$203,0),MATCH($A183,'DEMAND BY DATE'!$CA$3:$DV$3,0)))</f>
        <v>0</v>
      </c>
      <c r="AB183" s="2">
        <f>IF(AB$154="","",INDEX('DEMAND BY DATE'!$CA$4:$DV$203,MATCH(AB$154,'DEMAND BY DATE'!$A$4:$A$203,0),MATCH($A183,'DEMAND BY DATE'!$CA$3:$DV$3,0)))</f>
        <v>0</v>
      </c>
      <c r="AC183" s="2">
        <f>IF(AC$154="","",INDEX('DEMAND BY DATE'!$CA$4:$DV$203,MATCH(AC$154,'DEMAND BY DATE'!$A$4:$A$203,0),MATCH($A183,'DEMAND BY DATE'!$CA$3:$DV$3,0)))</f>
        <v>0</v>
      </c>
      <c r="AD183" s="2">
        <f>IF(AD$154="","",INDEX('DEMAND BY DATE'!$CA$4:$DV$203,MATCH(AD$154,'DEMAND BY DATE'!$A$4:$A$203,0),MATCH($A183,'DEMAND BY DATE'!$CA$3:$DV$3,0)))</f>
        <v>0</v>
      </c>
      <c r="AE183" s="2">
        <f>IF(AE$154="","",INDEX('DEMAND BY DATE'!$CA$4:$DV$203,MATCH(AE$154,'DEMAND BY DATE'!$A$4:$A$203,0),MATCH($A183,'DEMAND BY DATE'!$CA$3:$DV$3,0)))</f>
        <v>0</v>
      </c>
      <c r="AF183" s="2">
        <f>IF(AF$154="","",INDEX('DEMAND BY DATE'!$CA$4:$DV$203,MATCH(AF$154,'DEMAND BY DATE'!$A$4:$A$203,0),MATCH($A183,'DEMAND BY DATE'!$CA$3:$DV$3,0)))</f>
        <v>0</v>
      </c>
      <c r="AG183" s="2">
        <f>IF(AG$154="","",INDEX('DEMAND BY DATE'!$CA$4:$DV$203,MATCH(AG$154,'DEMAND BY DATE'!$A$4:$A$203,0),MATCH($A183,'DEMAND BY DATE'!$CA$3:$DV$3,0)))</f>
        <v>0</v>
      </c>
      <c r="AH183" s="2">
        <f>IF(AH$154="","",INDEX('DEMAND BY DATE'!$CA$4:$DV$203,MATCH(AH$154,'DEMAND BY DATE'!$A$4:$A$203,0),MATCH($A183,'DEMAND BY DATE'!$CA$3:$DV$3,0)))</f>
        <v>0</v>
      </c>
      <c r="AI183" s="2">
        <f>IF(AI$154="","",INDEX('DEMAND BY DATE'!$CA$4:$DV$203,MATCH(AI$154,'DEMAND BY DATE'!$A$4:$A$203,0),MATCH($A183,'DEMAND BY DATE'!$CA$3:$DV$3,0)))</f>
        <v>0</v>
      </c>
      <c r="AJ183" s="2">
        <f>IF(AJ$154="","",INDEX('DEMAND BY DATE'!$CA$4:$DV$203,MATCH(AJ$154,'DEMAND BY DATE'!$A$4:$A$203,0),MATCH($A183,'DEMAND BY DATE'!$CA$3:$DV$3,0)))</f>
        <v>0</v>
      </c>
      <c r="AK183" s="2">
        <f>IF(AK$154="","",INDEX('DEMAND BY DATE'!$CA$4:$DV$203,MATCH(AK$154,'DEMAND BY DATE'!$A$4:$A$203,0),MATCH($A183,'DEMAND BY DATE'!$CA$3:$DV$3,0)))</f>
        <v>0</v>
      </c>
    </row>
    <row r="184" spans="1:37">
      <c r="A184" s="2" t="str">
        <f>$A$62</f>
        <v>RS-27</v>
      </c>
      <c r="B184" s="2" t="str">
        <f>$AG$62</f>
        <v>VEST</v>
      </c>
      <c r="C184" s="2">
        <f>$AB$62</f>
        <v>25</v>
      </c>
      <c r="D184" s="2">
        <f>MAX($G184:$AK184)</f>
        <v>0</v>
      </c>
      <c r="F184" s="2" cm="1">
        <f t="array" ref="F184">SUMPRODUCT((ISNUMBER($G184:$AK184))*($G184:$AK184&gt;0)*($G$151:$AK$151="Y"))</f>
        <v>0</v>
      </c>
      <c r="G184" s="2">
        <f>IF(G$154="","",INDEX('DEMAND BY DATE'!$CA$4:$DV$203,MATCH(G$154,'DEMAND BY DATE'!$A$4:$A$203,0),MATCH($A184,'DEMAND BY DATE'!$CA$3:$DV$3,0)))</f>
        <v>0</v>
      </c>
      <c r="H184" s="2">
        <f>IF(H$154="","",INDEX('DEMAND BY DATE'!$CA$4:$DV$203,MATCH(H$154,'DEMAND BY DATE'!$A$4:$A$203,0),MATCH($A184,'DEMAND BY DATE'!$CA$3:$DV$3,0)))</f>
        <v>0</v>
      </c>
      <c r="I184" s="2">
        <f>IF(I$154="","",INDEX('DEMAND BY DATE'!$CA$4:$DV$203,MATCH(I$154,'DEMAND BY DATE'!$A$4:$A$203,0),MATCH($A184,'DEMAND BY DATE'!$CA$3:$DV$3,0)))</f>
        <v>0</v>
      </c>
      <c r="J184" s="2">
        <f>IF(J$154="","",INDEX('DEMAND BY DATE'!$CA$4:$DV$203,MATCH(J$154,'DEMAND BY DATE'!$A$4:$A$203,0),MATCH($A184,'DEMAND BY DATE'!$CA$3:$DV$3,0)))</f>
        <v>0</v>
      </c>
      <c r="K184" s="2">
        <f>IF(K$154="","",INDEX('DEMAND BY DATE'!$CA$4:$DV$203,MATCH(K$154,'DEMAND BY DATE'!$A$4:$A$203,0),MATCH($A184,'DEMAND BY DATE'!$CA$3:$DV$3,0)))</f>
        <v>0</v>
      </c>
      <c r="L184" s="2">
        <f>IF(L$154="","",INDEX('DEMAND BY DATE'!$CA$4:$DV$203,MATCH(L$154,'DEMAND BY DATE'!$A$4:$A$203,0),MATCH($A184,'DEMAND BY DATE'!$CA$3:$DV$3,0)))</f>
        <v>0</v>
      </c>
      <c r="M184" s="2">
        <f>IF(M$154="","",INDEX('DEMAND BY DATE'!$CA$4:$DV$203,MATCH(M$154,'DEMAND BY DATE'!$A$4:$A$203,0),MATCH($A184,'DEMAND BY DATE'!$CA$3:$DV$3,0)))</f>
        <v>0</v>
      </c>
      <c r="N184" s="2">
        <f>IF(N$154="","",INDEX('DEMAND BY DATE'!$CA$4:$DV$203,MATCH(N$154,'DEMAND BY DATE'!$A$4:$A$203,0),MATCH($A184,'DEMAND BY DATE'!$CA$3:$DV$3,0)))</f>
        <v>0</v>
      </c>
      <c r="O184" s="2">
        <f>IF(O$154="","",INDEX('DEMAND BY DATE'!$CA$4:$DV$203,MATCH(O$154,'DEMAND BY DATE'!$A$4:$A$203,0),MATCH($A184,'DEMAND BY DATE'!$CA$3:$DV$3,0)))</f>
        <v>0</v>
      </c>
      <c r="P184" s="2">
        <f>IF(P$154="","",INDEX('DEMAND BY DATE'!$CA$4:$DV$203,MATCH(P$154,'DEMAND BY DATE'!$A$4:$A$203,0),MATCH($A184,'DEMAND BY DATE'!$CA$3:$DV$3,0)))</f>
        <v>0</v>
      </c>
      <c r="Q184" s="2">
        <f>IF(Q$154="","",INDEX('DEMAND BY DATE'!$CA$4:$DV$203,MATCH(Q$154,'DEMAND BY DATE'!$A$4:$A$203,0),MATCH($A184,'DEMAND BY DATE'!$CA$3:$DV$3,0)))</f>
        <v>0</v>
      </c>
      <c r="R184" s="2">
        <f>IF(R$154="","",INDEX('DEMAND BY DATE'!$CA$4:$DV$203,MATCH(R$154,'DEMAND BY DATE'!$A$4:$A$203,0),MATCH($A184,'DEMAND BY DATE'!$CA$3:$DV$3,0)))</f>
        <v>0</v>
      </c>
      <c r="S184" s="2">
        <f>IF(S$154="","",INDEX('DEMAND BY DATE'!$CA$4:$DV$203,MATCH(S$154,'DEMAND BY DATE'!$A$4:$A$203,0),MATCH($A184,'DEMAND BY DATE'!$CA$3:$DV$3,0)))</f>
        <v>0</v>
      </c>
      <c r="T184" s="2">
        <f>IF(T$154="","",INDEX('DEMAND BY DATE'!$CA$4:$DV$203,MATCH(T$154,'DEMAND BY DATE'!$A$4:$A$203,0),MATCH($A184,'DEMAND BY DATE'!$CA$3:$DV$3,0)))</f>
        <v>0</v>
      </c>
      <c r="U184" s="2">
        <f>IF(U$154="","",INDEX('DEMAND BY DATE'!$CA$4:$DV$203,MATCH(U$154,'DEMAND BY DATE'!$A$4:$A$203,0),MATCH($A184,'DEMAND BY DATE'!$CA$3:$DV$3,0)))</f>
        <v>0</v>
      </c>
      <c r="V184" s="2">
        <f>IF(V$154="","",INDEX('DEMAND BY DATE'!$CA$4:$DV$203,MATCH(V$154,'DEMAND BY DATE'!$A$4:$A$203,0),MATCH($A184,'DEMAND BY DATE'!$CA$3:$DV$3,0)))</f>
        <v>0</v>
      </c>
      <c r="W184" s="2">
        <f>IF(W$154="","",INDEX('DEMAND BY DATE'!$CA$4:$DV$203,MATCH(W$154,'DEMAND BY DATE'!$A$4:$A$203,0),MATCH($A184,'DEMAND BY DATE'!$CA$3:$DV$3,0)))</f>
        <v>0</v>
      </c>
      <c r="X184" s="2">
        <f>IF(X$154="","",INDEX('DEMAND BY DATE'!$CA$4:$DV$203,MATCH(X$154,'DEMAND BY DATE'!$A$4:$A$203,0),MATCH($A184,'DEMAND BY DATE'!$CA$3:$DV$3,0)))</f>
        <v>0</v>
      </c>
      <c r="Y184" s="2">
        <f>IF(Y$154="","",INDEX('DEMAND BY DATE'!$CA$4:$DV$203,MATCH(Y$154,'DEMAND BY DATE'!$A$4:$A$203,0),MATCH($A184,'DEMAND BY DATE'!$CA$3:$DV$3,0)))</f>
        <v>0</v>
      </c>
      <c r="Z184" s="2">
        <f>IF(Z$154="","",INDEX('DEMAND BY DATE'!$CA$4:$DV$203,MATCH(Z$154,'DEMAND BY DATE'!$A$4:$A$203,0),MATCH($A184,'DEMAND BY DATE'!$CA$3:$DV$3,0)))</f>
        <v>0</v>
      </c>
      <c r="AA184" s="2">
        <f>IF(AA$154="","",INDEX('DEMAND BY DATE'!$CA$4:$DV$203,MATCH(AA$154,'DEMAND BY DATE'!$A$4:$A$203,0),MATCH($A184,'DEMAND BY DATE'!$CA$3:$DV$3,0)))</f>
        <v>0</v>
      </c>
      <c r="AB184" s="2">
        <f>IF(AB$154="","",INDEX('DEMAND BY DATE'!$CA$4:$DV$203,MATCH(AB$154,'DEMAND BY DATE'!$A$4:$A$203,0),MATCH($A184,'DEMAND BY DATE'!$CA$3:$DV$3,0)))</f>
        <v>0</v>
      </c>
      <c r="AC184" s="2">
        <f>IF(AC$154="","",INDEX('DEMAND BY DATE'!$CA$4:$DV$203,MATCH(AC$154,'DEMAND BY DATE'!$A$4:$A$203,0),MATCH($A184,'DEMAND BY DATE'!$CA$3:$DV$3,0)))</f>
        <v>0</v>
      </c>
      <c r="AD184" s="2">
        <f>IF(AD$154="","",INDEX('DEMAND BY DATE'!$CA$4:$DV$203,MATCH(AD$154,'DEMAND BY DATE'!$A$4:$A$203,0),MATCH($A184,'DEMAND BY DATE'!$CA$3:$DV$3,0)))</f>
        <v>0</v>
      </c>
      <c r="AE184" s="2">
        <f>IF(AE$154="","",INDEX('DEMAND BY DATE'!$CA$4:$DV$203,MATCH(AE$154,'DEMAND BY DATE'!$A$4:$A$203,0),MATCH($A184,'DEMAND BY DATE'!$CA$3:$DV$3,0)))</f>
        <v>0</v>
      </c>
      <c r="AF184" s="2">
        <f>IF(AF$154="","",INDEX('DEMAND BY DATE'!$CA$4:$DV$203,MATCH(AF$154,'DEMAND BY DATE'!$A$4:$A$203,0),MATCH($A184,'DEMAND BY DATE'!$CA$3:$DV$3,0)))</f>
        <v>0</v>
      </c>
      <c r="AG184" s="2">
        <f>IF(AG$154="","",INDEX('DEMAND BY DATE'!$CA$4:$DV$203,MATCH(AG$154,'DEMAND BY DATE'!$A$4:$A$203,0),MATCH($A184,'DEMAND BY DATE'!$CA$3:$DV$3,0)))</f>
        <v>0</v>
      </c>
      <c r="AH184" s="2">
        <f>IF(AH$154="","",INDEX('DEMAND BY DATE'!$CA$4:$DV$203,MATCH(AH$154,'DEMAND BY DATE'!$A$4:$A$203,0),MATCH($A184,'DEMAND BY DATE'!$CA$3:$DV$3,0)))</f>
        <v>0</v>
      </c>
      <c r="AI184" s="2">
        <f>IF(AI$154="","",INDEX('DEMAND BY DATE'!$CA$4:$DV$203,MATCH(AI$154,'DEMAND BY DATE'!$A$4:$A$203,0),MATCH($A184,'DEMAND BY DATE'!$CA$3:$DV$3,0)))</f>
        <v>0</v>
      </c>
      <c r="AJ184" s="2">
        <f>IF(AJ$154="","",INDEX('DEMAND BY DATE'!$CA$4:$DV$203,MATCH(AJ$154,'DEMAND BY DATE'!$A$4:$A$203,0),MATCH($A184,'DEMAND BY DATE'!$CA$3:$DV$3,0)))</f>
        <v>0</v>
      </c>
      <c r="AK184" s="2">
        <f>IF(AK$154="","",INDEX('DEMAND BY DATE'!$CA$4:$DV$203,MATCH(AK$154,'DEMAND BY DATE'!$A$4:$A$203,0),MATCH($A184,'DEMAND BY DATE'!$CA$3:$DV$3,0)))</f>
        <v>0</v>
      </c>
    </row>
    <row r="185" spans="1:37">
      <c r="A185" s="2">
        <f>$A$63</f>
        <v>5201</v>
      </c>
      <c r="B185" s="2" t="str">
        <f>$AG$63</f>
        <v>NEEDS INPUT</v>
      </c>
      <c r="C185" s="2">
        <f>$AB$63</f>
        <v>24</v>
      </c>
      <c r="D185" s="2">
        <f>MAX($G185:$AK185)</f>
        <v>0</v>
      </c>
      <c r="F185" s="2" cm="1">
        <f t="array" ref="F185">SUMPRODUCT((ISNUMBER($G185:$AK185))*($G185:$AK185&gt;0)*($G$151:$AK$151="Y"))</f>
        <v>0</v>
      </c>
      <c r="G185" s="2">
        <f>IF(G$154="","",INDEX('DEMAND BY DATE'!$CA$4:$DV$203,MATCH(G$154,'DEMAND BY DATE'!$A$4:$A$203,0),MATCH($A185,'DEMAND BY DATE'!$CA$3:$DV$3,0)))</f>
        <v>0</v>
      </c>
      <c r="H185" s="2">
        <f>IF(H$154="","",INDEX('DEMAND BY DATE'!$CA$4:$DV$203,MATCH(H$154,'DEMAND BY DATE'!$A$4:$A$203,0),MATCH($A185,'DEMAND BY DATE'!$CA$3:$DV$3,0)))</f>
        <v>0</v>
      </c>
      <c r="I185" s="2">
        <f>IF(I$154="","",INDEX('DEMAND BY DATE'!$CA$4:$DV$203,MATCH(I$154,'DEMAND BY DATE'!$A$4:$A$203,0),MATCH($A185,'DEMAND BY DATE'!$CA$3:$DV$3,0)))</f>
        <v>0</v>
      </c>
      <c r="J185" s="2">
        <f>IF(J$154="","",INDEX('DEMAND BY DATE'!$CA$4:$DV$203,MATCH(J$154,'DEMAND BY DATE'!$A$4:$A$203,0),MATCH($A185,'DEMAND BY DATE'!$CA$3:$DV$3,0)))</f>
        <v>0</v>
      </c>
      <c r="K185" s="2">
        <f>IF(K$154="","",INDEX('DEMAND BY DATE'!$CA$4:$DV$203,MATCH(K$154,'DEMAND BY DATE'!$A$4:$A$203,0),MATCH($A185,'DEMAND BY DATE'!$CA$3:$DV$3,0)))</f>
        <v>0</v>
      </c>
      <c r="L185" s="2">
        <f>IF(L$154="","",INDEX('DEMAND BY DATE'!$CA$4:$DV$203,MATCH(L$154,'DEMAND BY DATE'!$A$4:$A$203,0),MATCH($A185,'DEMAND BY DATE'!$CA$3:$DV$3,0)))</f>
        <v>0</v>
      </c>
      <c r="M185" s="2">
        <f>IF(M$154="","",INDEX('DEMAND BY DATE'!$CA$4:$DV$203,MATCH(M$154,'DEMAND BY DATE'!$A$4:$A$203,0),MATCH($A185,'DEMAND BY DATE'!$CA$3:$DV$3,0)))</f>
        <v>0</v>
      </c>
      <c r="N185" s="2">
        <f>IF(N$154="","",INDEX('DEMAND BY DATE'!$CA$4:$DV$203,MATCH(N$154,'DEMAND BY DATE'!$A$4:$A$203,0),MATCH($A185,'DEMAND BY DATE'!$CA$3:$DV$3,0)))</f>
        <v>0</v>
      </c>
      <c r="O185" s="2">
        <f>IF(O$154="","",INDEX('DEMAND BY DATE'!$CA$4:$DV$203,MATCH(O$154,'DEMAND BY DATE'!$A$4:$A$203,0),MATCH($A185,'DEMAND BY DATE'!$CA$3:$DV$3,0)))</f>
        <v>0</v>
      </c>
      <c r="P185" s="2">
        <f>IF(P$154="","",INDEX('DEMAND BY DATE'!$CA$4:$DV$203,MATCH(P$154,'DEMAND BY DATE'!$A$4:$A$203,0),MATCH($A185,'DEMAND BY DATE'!$CA$3:$DV$3,0)))</f>
        <v>0</v>
      </c>
      <c r="Q185" s="2">
        <f>IF(Q$154="","",INDEX('DEMAND BY DATE'!$CA$4:$DV$203,MATCH(Q$154,'DEMAND BY DATE'!$A$4:$A$203,0),MATCH($A185,'DEMAND BY DATE'!$CA$3:$DV$3,0)))</f>
        <v>0</v>
      </c>
      <c r="R185" s="2">
        <f>IF(R$154="","",INDEX('DEMAND BY DATE'!$CA$4:$DV$203,MATCH(R$154,'DEMAND BY DATE'!$A$4:$A$203,0),MATCH($A185,'DEMAND BY DATE'!$CA$3:$DV$3,0)))</f>
        <v>0</v>
      </c>
      <c r="S185" s="2">
        <f>IF(S$154="","",INDEX('DEMAND BY DATE'!$CA$4:$DV$203,MATCH(S$154,'DEMAND BY DATE'!$A$4:$A$203,0),MATCH($A185,'DEMAND BY DATE'!$CA$3:$DV$3,0)))</f>
        <v>0</v>
      </c>
      <c r="T185" s="2">
        <f>IF(T$154="","",INDEX('DEMAND BY DATE'!$CA$4:$DV$203,MATCH(T$154,'DEMAND BY DATE'!$A$4:$A$203,0),MATCH($A185,'DEMAND BY DATE'!$CA$3:$DV$3,0)))</f>
        <v>0</v>
      </c>
      <c r="U185" s="2">
        <f>IF(U$154="","",INDEX('DEMAND BY DATE'!$CA$4:$DV$203,MATCH(U$154,'DEMAND BY DATE'!$A$4:$A$203,0),MATCH($A185,'DEMAND BY DATE'!$CA$3:$DV$3,0)))</f>
        <v>0</v>
      </c>
      <c r="V185" s="2">
        <f>IF(V$154="","",INDEX('DEMAND BY DATE'!$CA$4:$DV$203,MATCH(V$154,'DEMAND BY DATE'!$A$4:$A$203,0),MATCH($A185,'DEMAND BY DATE'!$CA$3:$DV$3,0)))</f>
        <v>0</v>
      </c>
      <c r="W185" s="2">
        <f>IF(W$154="","",INDEX('DEMAND BY DATE'!$CA$4:$DV$203,MATCH(W$154,'DEMAND BY DATE'!$A$4:$A$203,0),MATCH($A185,'DEMAND BY DATE'!$CA$3:$DV$3,0)))</f>
        <v>0</v>
      </c>
      <c r="X185" s="2">
        <f>IF(X$154="","",INDEX('DEMAND BY DATE'!$CA$4:$DV$203,MATCH(X$154,'DEMAND BY DATE'!$A$4:$A$203,0),MATCH($A185,'DEMAND BY DATE'!$CA$3:$DV$3,0)))</f>
        <v>0</v>
      </c>
      <c r="Y185" s="2">
        <f>IF(Y$154="","",INDEX('DEMAND BY DATE'!$CA$4:$DV$203,MATCH(Y$154,'DEMAND BY DATE'!$A$4:$A$203,0),MATCH($A185,'DEMAND BY DATE'!$CA$3:$DV$3,0)))</f>
        <v>0</v>
      </c>
      <c r="Z185" s="2">
        <f>IF(Z$154="","",INDEX('DEMAND BY DATE'!$CA$4:$DV$203,MATCH(Z$154,'DEMAND BY DATE'!$A$4:$A$203,0),MATCH($A185,'DEMAND BY DATE'!$CA$3:$DV$3,0)))</f>
        <v>0</v>
      </c>
      <c r="AA185" s="2">
        <f>IF(AA$154="","",INDEX('DEMAND BY DATE'!$CA$4:$DV$203,MATCH(AA$154,'DEMAND BY DATE'!$A$4:$A$203,0),MATCH($A185,'DEMAND BY DATE'!$CA$3:$DV$3,0)))</f>
        <v>0</v>
      </c>
      <c r="AB185" s="2">
        <f>IF(AB$154="","",INDEX('DEMAND BY DATE'!$CA$4:$DV$203,MATCH(AB$154,'DEMAND BY DATE'!$A$4:$A$203,0),MATCH($A185,'DEMAND BY DATE'!$CA$3:$DV$3,0)))</f>
        <v>0</v>
      </c>
      <c r="AC185" s="2">
        <f>IF(AC$154="","",INDEX('DEMAND BY DATE'!$CA$4:$DV$203,MATCH(AC$154,'DEMAND BY DATE'!$A$4:$A$203,0),MATCH($A185,'DEMAND BY DATE'!$CA$3:$DV$3,0)))</f>
        <v>0</v>
      </c>
      <c r="AD185" s="2">
        <f>IF(AD$154="","",INDEX('DEMAND BY DATE'!$CA$4:$DV$203,MATCH(AD$154,'DEMAND BY DATE'!$A$4:$A$203,0),MATCH($A185,'DEMAND BY DATE'!$CA$3:$DV$3,0)))</f>
        <v>0</v>
      </c>
      <c r="AE185" s="2">
        <f>IF(AE$154="","",INDEX('DEMAND BY DATE'!$CA$4:$DV$203,MATCH(AE$154,'DEMAND BY DATE'!$A$4:$A$203,0),MATCH($A185,'DEMAND BY DATE'!$CA$3:$DV$3,0)))</f>
        <v>0</v>
      </c>
      <c r="AF185" s="2">
        <f>IF(AF$154="","",INDEX('DEMAND BY DATE'!$CA$4:$DV$203,MATCH(AF$154,'DEMAND BY DATE'!$A$4:$A$203,0),MATCH($A185,'DEMAND BY DATE'!$CA$3:$DV$3,0)))</f>
        <v>0</v>
      </c>
      <c r="AG185" s="2">
        <f>IF(AG$154="","",INDEX('DEMAND BY DATE'!$CA$4:$DV$203,MATCH(AG$154,'DEMAND BY DATE'!$A$4:$A$203,0),MATCH($A185,'DEMAND BY DATE'!$CA$3:$DV$3,0)))</f>
        <v>0</v>
      </c>
      <c r="AH185" s="2">
        <f>IF(AH$154="","",INDEX('DEMAND BY DATE'!$CA$4:$DV$203,MATCH(AH$154,'DEMAND BY DATE'!$A$4:$A$203,0),MATCH($A185,'DEMAND BY DATE'!$CA$3:$DV$3,0)))</f>
        <v>0</v>
      </c>
      <c r="AI185" s="2">
        <f>IF(AI$154="","",INDEX('DEMAND BY DATE'!$CA$4:$DV$203,MATCH(AI$154,'DEMAND BY DATE'!$A$4:$A$203,0),MATCH($A185,'DEMAND BY DATE'!$CA$3:$DV$3,0)))</f>
        <v>0</v>
      </c>
      <c r="AJ185" s="2">
        <f>IF(AJ$154="","",INDEX('DEMAND BY DATE'!$CA$4:$DV$203,MATCH(AJ$154,'DEMAND BY DATE'!$A$4:$A$203,0),MATCH($A185,'DEMAND BY DATE'!$CA$3:$DV$3,0)))</f>
        <v>0</v>
      </c>
      <c r="AK185" s="2">
        <f>IF(AK$154="","",INDEX('DEMAND BY DATE'!$CA$4:$DV$203,MATCH(AK$154,'DEMAND BY DATE'!$A$4:$A$203,0),MATCH($A185,'DEMAND BY DATE'!$CA$3:$DV$3,0)))</f>
        <v>0</v>
      </c>
    </row>
    <row r="186" spans="1:37">
      <c r="A186" s="2">
        <f>$A$64</f>
        <v>4223</v>
      </c>
      <c r="B186" s="2" t="str">
        <f>$AG$64</f>
        <v>NEEDS INPUT</v>
      </c>
      <c r="C186" s="2">
        <f>$AB$64</f>
        <v>30</v>
      </c>
      <c r="D186" s="2">
        <f>MAX($G186:$AK186)</f>
        <v>0</v>
      </c>
      <c r="F186" s="2" cm="1">
        <f t="array" ref="F186">SUMPRODUCT((ISNUMBER($G186:$AK186))*($G186:$AK186&gt;0)*($G$151:$AK$151="Y"))</f>
        <v>0</v>
      </c>
      <c r="G186" s="2">
        <f>IF(G$154="","",INDEX('DEMAND BY DATE'!$CA$4:$DV$203,MATCH(G$154,'DEMAND BY DATE'!$A$4:$A$203,0),MATCH($A186,'DEMAND BY DATE'!$CA$3:$DV$3,0)))</f>
        <v>0</v>
      </c>
      <c r="H186" s="2">
        <f>IF(H$154="","",INDEX('DEMAND BY DATE'!$CA$4:$DV$203,MATCH(H$154,'DEMAND BY DATE'!$A$4:$A$203,0),MATCH($A186,'DEMAND BY DATE'!$CA$3:$DV$3,0)))</f>
        <v>0</v>
      </c>
      <c r="I186" s="2">
        <f>IF(I$154="","",INDEX('DEMAND BY DATE'!$CA$4:$DV$203,MATCH(I$154,'DEMAND BY DATE'!$A$4:$A$203,0),MATCH($A186,'DEMAND BY DATE'!$CA$3:$DV$3,0)))</f>
        <v>0</v>
      </c>
      <c r="J186" s="2">
        <f>IF(J$154="","",INDEX('DEMAND BY DATE'!$CA$4:$DV$203,MATCH(J$154,'DEMAND BY DATE'!$A$4:$A$203,0),MATCH($A186,'DEMAND BY DATE'!$CA$3:$DV$3,0)))</f>
        <v>0</v>
      </c>
      <c r="K186" s="2">
        <f>IF(K$154="","",INDEX('DEMAND BY DATE'!$CA$4:$DV$203,MATCH(K$154,'DEMAND BY DATE'!$A$4:$A$203,0),MATCH($A186,'DEMAND BY DATE'!$CA$3:$DV$3,0)))</f>
        <v>0</v>
      </c>
      <c r="L186" s="2">
        <f>IF(L$154="","",INDEX('DEMAND BY DATE'!$CA$4:$DV$203,MATCH(L$154,'DEMAND BY DATE'!$A$4:$A$203,0),MATCH($A186,'DEMAND BY DATE'!$CA$3:$DV$3,0)))</f>
        <v>0</v>
      </c>
      <c r="M186" s="2">
        <f>IF(M$154="","",INDEX('DEMAND BY DATE'!$CA$4:$DV$203,MATCH(M$154,'DEMAND BY DATE'!$A$4:$A$203,0),MATCH($A186,'DEMAND BY DATE'!$CA$3:$DV$3,0)))</f>
        <v>0</v>
      </c>
      <c r="N186" s="2">
        <f>IF(N$154="","",INDEX('DEMAND BY DATE'!$CA$4:$DV$203,MATCH(N$154,'DEMAND BY DATE'!$A$4:$A$203,0),MATCH($A186,'DEMAND BY DATE'!$CA$3:$DV$3,0)))</f>
        <v>0</v>
      </c>
      <c r="O186" s="2">
        <f>IF(O$154="","",INDEX('DEMAND BY DATE'!$CA$4:$DV$203,MATCH(O$154,'DEMAND BY DATE'!$A$4:$A$203,0),MATCH($A186,'DEMAND BY DATE'!$CA$3:$DV$3,0)))</f>
        <v>0</v>
      </c>
      <c r="P186" s="2">
        <f>IF(P$154="","",INDEX('DEMAND BY DATE'!$CA$4:$DV$203,MATCH(P$154,'DEMAND BY DATE'!$A$4:$A$203,0),MATCH($A186,'DEMAND BY DATE'!$CA$3:$DV$3,0)))</f>
        <v>0</v>
      </c>
      <c r="Q186" s="2">
        <f>IF(Q$154="","",INDEX('DEMAND BY DATE'!$CA$4:$DV$203,MATCH(Q$154,'DEMAND BY DATE'!$A$4:$A$203,0),MATCH($A186,'DEMAND BY DATE'!$CA$3:$DV$3,0)))</f>
        <v>0</v>
      </c>
      <c r="R186" s="2">
        <f>IF(R$154="","",INDEX('DEMAND BY DATE'!$CA$4:$DV$203,MATCH(R$154,'DEMAND BY DATE'!$A$4:$A$203,0),MATCH($A186,'DEMAND BY DATE'!$CA$3:$DV$3,0)))</f>
        <v>0</v>
      </c>
      <c r="S186" s="2">
        <f>IF(S$154="","",INDEX('DEMAND BY DATE'!$CA$4:$DV$203,MATCH(S$154,'DEMAND BY DATE'!$A$4:$A$203,0),MATCH($A186,'DEMAND BY DATE'!$CA$3:$DV$3,0)))</f>
        <v>0</v>
      </c>
      <c r="T186" s="2">
        <f>IF(T$154="","",INDEX('DEMAND BY DATE'!$CA$4:$DV$203,MATCH(T$154,'DEMAND BY DATE'!$A$4:$A$203,0),MATCH($A186,'DEMAND BY DATE'!$CA$3:$DV$3,0)))</f>
        <v>0</v>
      </c>
      <c r="U186" s="2">
        <f>IF(U$154="","",INDEX('DEMAND BY DATE'!$CA$4:$DV$203,MATCH(U$154,'DEMAND BY DATE'!$A$4:$A$203,0),MATCH($A186,'DEMAND BY DATE'!$CA$3:$DV$3,0)))</f>
        <v>0</v>
      </c>
      <c r="V186" s="2">
        <f>IF(V$154="","",INDEX('DEMAND BY DATE'!$CA$4:$DV$203,MATCH(V$154,'DEMAND BY DATE'!$A$4:$A$203,0),MATCH($A186,'DEMAND BY DATE'!$CA$3:$DV$3,0)))</f>
        <v>0</v>
      </c>
      <c r="W186" s="2">
        <f>IF(W$154="","",INDEX('DEMAND BY DATE'!$CA$4:$DV$203,MATCH(W$154,'DEMAND BY DATE'!$A$4:$A$203,0),MATCH($A186,'DEMAND BY DATE'!$CA$3:$DV$3,0)))</f>
        <v>0</v>
      </c>
      <c r="X186" s="2">
        <f>IF(X$154="","",INDEX('DEMAND BY DATE'!$CA$4:$DV$203,MATCH(X$154,'DEMAND BY DATE'!$A$4:$A$203,0),MATCH($A186,'DEMAND BY DATE'!$CA$3:$DV$3,0)))</f>
        <v>0</v>
      </c>
      <c r="Y186" s="2">
        <f>IF(Y$154="","",INDEX('DEMAND BY DATE'!$CA$4:$DV$203,MATCH(Y$154,'DEMAND BY DATE'!$A$4:$A$203,0),MATCH($A186,'DEMAND BY DATE'!$CA$3:$DV$3,0)))</f>
        <v>0</v>
      </c>
      <c r="Z186" s="2">
        <f>IF(Z$154="","",INDEX('DEMAND BY DATE'!$CA$4:$DV$203,MATCH(Z$154,'DEMAND BY DATE'!$A$4:$A$203,0),MATCH($A186,'DEMAND BY DATE'!$CA$3:$DV$3,0)))</f>
        <v>0</v>
      </c>
      <c r="AA186" s="2">
        <f>IF(AA$154="","",INDEX('DEMAND BY DATE'!$CA$4:$DV$203,MATCH(AA$154,'DEMAND BY DATE'!$A$4:$A$203,0),MATCH($A186,'DEMAND BY DATE'!$CA$3:$DV$3,0)))</f>
        <v>0</v>
      </c>
      <c r="AB186" s="2">
        <f>IF(AB$154="","",INDEX('DEMAND BY DATE'!$CA$4:$DV$203,MATCH(AB$154,'DEMAND BY DATE'!$A$4:$A$203,0),MATCH($A186,'DEMAND BY DATE'!$CA$3:$DV$3,0)))</f>
        <v>0</v>
      </c>
      <c r="AC186" s="2">
        <f>IF(AC$154="","",INDEX('DEMAND BY DATE'!$CA$4:$DV$203,MATCH(AC$154,'DEMAND BY DATE'!$A$4:$A$203,0),MATCH($A186,'DEMAND BY DATE'!$CA$3:$DV$3,0)))</f>
        <v>0</v>
      </c>
      <c r="AD186" s="2">
        <f>IF(AD$154="","",INDEX('DEMAND BY DATE'!$CA$4:$DV$203,MATCH(AD$154,'DEMAND BY DATE'!$A$4:$A$203,0),MATCH($A186,'DEMAND BY DATE'!$CA$3:$DV$3,0)))</f>
        <v>0</v>
      </c>
      <c r="AE186" s="2">
        <f>IF(AE$154="","",INDEX('DEMAND BY DATE'!$CA$4:$DV$203,MATCH(AE$154,'DEMAND BY DATE'!$A$4:$A$203,0),MATCH($A186,'DEMAND BY DATE'!$CA$3:$DV$3,0)))</f>
        <v>0</v>
      </c>
      <c r="AF186" s="2">
        <f>IF(AF$154="","",INDEX('DEMAND BY DATE'!$CA$4:$DV$203,MATCH(AF$154,'DEMAND BY DATE'!$A$4:$A$203,0),MATCH($A186,'DEMAND BY DATE'!$CA$3:$DV$3,0)))</f>
        <v>0</v>
      </c>
      <c r="AG186" s="2">
        <f>IF(AG$154="","",INDEX('DEMAND BY DATE'!$CA$4:$DV$203,MATCH(AG$154,'DEMAND BY DATE'!$A$4:$A$203,0),MATCH($A186,'DEMAND BY DATE'!$CA$3:$DV$3,0)))</f>
        <v>0</v>
      </c>
      <c r="AH186" s="2">
        <f>IF(AH$154="","",INDEX('DEMAND BY DATE'!$CA$4:$DV$203,MATCH(AH$154,'DEMAND BY DATE'!$A$4:$A$203,0),MATCH($A186,'DEMAND BY DATE'!$CA$3:$DV$3,0)))</f>
        <v>0</v>
      </c>
      <c r="AI186" s="2">
        <f>IF(AI$154="","",INDEX('DEMAND BY DATE'!$CA$4:$DV$203,MATCH(AI$154,'DEMAND BY DATE'!$A$4:$A$203,0),MATCH($A186,'DEMAND BY DATE'!$CA$3:$DV$3,0)))</f>
        <v>0</v>
      </c>
      <c r="AJ186" s="2">
        <f>IF(AJ$154="","",INDEX('DEMAND BY DATE'!$CA$4:$DV$203,MATCH(AJ$154,'DEMAND BY DATE'!$A$4:$A$203,0),MATCH($A186,'DEMAND BY DATE'!$CA$3:$DV$3,0)))</f>
        <v>0</v>
      </c>
      <c r="AK186" s="2">
        <f>IF(AK$154="","",INDEX('DEMAND BY DATE'!$CA$4:$DV$203,MATCH(AK$154,'DEMAND BY DATE'!$A$4:$A$203,0),MATCH($A186,'DEMAND BY DATE'!$CA$3:$DV$3,0)))</f>
        <v>0</v>
      </c>
    </row>
    <row r="187" spans="1:37">
      <c r="A187" s="2">
        <f>$A$65</f>
        <v>4222</v>
      </c>
      <c r="B187" s="2" t="str">
        <f>$AG$65</f>
        <v>NEEDS INPUT</v>
      </c>
      <c r="C187" s="2">
        <f>$AB$65</f>
        <v>25</v>
      </c>
      <c r="D187" s="2">
        <f>MAX($G187:$AK187)</f>
        <v>0</v>
      </c>
      <c r="F187" s="2" cm="1">
        <f t="array" ref="F187">SUMPRODUCT((ISNUMBER($G187:$AK187))*($G187:$AK187&gt;0)*($G$151:$AK$151="Y"))</f>
        <v>0</v>
      </c>
      <c r="G187" s="2">
        <f>IF(G$154="","",INDEX('DEMAND BY DATE'!$CA$4:$DV$203,MATCH(G$154,'DEMAND BY DATE'!$A$4:$A$203,0),MATCH($A187,'DEMAND BY DATE'!$CA$3:$DV$3,0)))</f>
        <v>0</v>
      </c>
      <c r="H187" s="2">
        <f>IF(H$154="","",INDEX('DEMAND BY DATE'!$CA$4:$DV$203,MATCH(H$154,'DEMAND BY DATE'!$A$4:$A$203,0),MATCH($A187,'DEMAND BY DATE'!$CA$3:$DV$3,0)))</f>
        <v>0</v>
      </c>
      <c r="I187" s="2">
        <f>IF(I$154="","",INDEX('DEMAND BY DATE'!$CA$4:$DV$203,MATCH(I$154,'DEMAND BY DATE'!$A$4:$A$203,0),MATCH($A187,'DEMAND BY DATE'!$CA$3:$DV$3,0)))</f>
        <v>0</v>
      </c>
      <c r="J187" s="2">
        <f>IF(J$154="","",INDEX('DEMAND BY DATE'!$CA$4:$DV$203,MATCH(J$154,'DEMAND BY DATE'!$A$4:$A$203,0),MATCH($A187,'DEMAND BY DATE'!$CA$3:$DV$3,0)))</f>
        <v>0</v>
      </c>
      <c r="K187" s="2">
        <f>IF(K$154="","",INDEX('DEMAND BY DATE'!$CA$4:$DV$203,MATCH(K$154,'DEMAND BY DATE'!$A$4:$A$203,0),MATCH($A187,'DEMAND BY DATE'!$CA$3:$DV$3,0)))</f>
        <v>0</v>
      </c>
      <c r="L187" s="2">
        <f>IF(L$154="","",INDEX('DEMAND BY DATE'!$CA$4:$DV$203,MATCH(L$154,'DEMAND BY DATE'!$A$4:$A$203,0),MATCH($A187,'DEMAND BY DATE'!$CA$3:$DV$3,0)))</f>
        <v>0</v>
      </c>
      <c r="M187" s="2">
        <f>IF(M$154="","",INDEX('DEMAND BY DATE'!$CA$4:$DV$203,MATCH(M$154,'DEMAND BY DATE'!$A$4:$A$203,0),MATCH($A187,'DEMAND BY DATE'!$CA$3:$DV$3,0)))</f>
        <v>0</v>
      </c>
      <c r="N187" s="2">
        <f>IF(N$154="","",INDEX('DEMAND BY DATE'!$CA$4:$DV$203,MATCH(N$154,'DEMAND BY DATE'!$A$4:$A$203,0),MATCH($A187,'DEMAND BY DATE'!$CA$3:$DV$3,0)))</f>
        <v>0</v>
      </c>
      <c r="O187" s="2">
        <f>IF(O$154="","",INDEX('DEMAND BY DATE'!$CA$4:$DV$203,MATCH(O$154,'DEMAND BY DATE'!$A$4:$A$203,0),MATCH($A187,'DEMAND BY DATE'!$CA$3:$DV$3,0)))</f>
        <v>0</v>
      </c>
      <c r="P187" s="2">
        <f>IF(P$154="","",INDEX('DEMAND BY DATE'!$CA$4:$DV$203,MATCH(P$154,'DEMAND BY DATE'!$A$4:$A$203,0),MATCH($A187,'DEMAND BY DATE'!$CA$3:$DV$3,0)))</f>
        <v>0</v>
      </c>
      <c r="Q187" s="2">
        <f>IF(Q$154="","",INDEX('DEMAND BY DATE'!$CA$4:$DV$203,MATCH(Q$154,'DEMAND BY DATE'!$A$4:$A$203,0),MATCH($A187,'DEMAND BY DATE'!$CA$3:$DV$3,0)))</f>
        <v>0</v>
      </c>
      <c r="R187" s="2">
        <f>IF(R$154="","",INDEX('DEMAND BY DATE'!$CA$4:$DV$203,MATCH(R$154,'DEMAND BY DATE'!$A$4:$A$203,0),MATCH($A187,'DEMAND BY DATE'!$CA$3:$DV$3,0)))</f>
        <v>0</v>
      </c>
      <c r="S187" s="2">
        <f>IF(S$154="","",INDEX('DEMAND BY DATE'!$CA$4:$DV$203,MATCH(S$154,'DEMAND BY DATE'!$A$4:$A$203,0),MATCH($A187,'DEMAND BY DATE'!$CA$3:$DV$3,0)))</f>
        <v>0</v>
      </c>
      <c r="T187" s="2">
        <f>IF(T$154="","",INDEX('DEMAND BY DATE'!$CA$4:$DV$203,MATCH(T$154,'DEMAND BY DATE'!$A$4:$A$203,0),MATCH($A187,'DEMAND BY DATE'!$CA$3:$DV$3,0)))</f>
        <v>0</v>
      </c>
      <c r="U187" s="2">
        <f>IF(U$154="","",INDEX('DEMAND BY DATE'!$CA$4:$DV$203,MATCH(U$154,'DEMAND BY DATE'!$A$4:$A$203,0),MATCH($A187,'DEMAND BY DATE'!$CA$3:$DV$3,0)))</f>
        <v>0</v>
      </c>
      <c r="V187" s="2">
        <f>IF(V$154="","",INDEX('DEMAND BY DATE'!$CA$4:$DV$203,MATCH(V$154,'DEMAND BY DATE'!$A$4:$A$203,0),MATCH($A187,'DEMAND BY DATE'!$CA$3:$DV$3,0)))</f>
        <v>0</v>
      </c>
      <c r="W187" s="2">
        <f>IF(W$154="","",INDEX('DEMAND BY DATE'!$CA$4:$DV$203,MATCH(W$154,'DEMAND BY DATE'!$A$4:$A$203,0),MATCH($A187,'DEMAND BY DATE'!$CA$3:$DV$3,0)))</f>
        <v>0</v>
      </c>
      <c r="X187" s="2">
        <f>IF(X$154="","",INDEX('DEMAND BY DATE'!$CA$4:$DV$203,MATCH(X$154,'DEMAND BY DATE'!$A$4:$A$203,0),MATCH($A187,'DEMAND BY DATE'!$CA$3:$DV$3,0)))</f>
        <v>0</v>
      </c>
      <c r="Y187" s="2">
        <f>IF(Y$154="","",INDEX('DEMAND BY DATE'!$CA$4:$DV$203,MATCH(Y$154,'DEMAND BY DATE'!$A$4:$A$203,0),MATCH($A187,'DEMAND BY DATE'!$CA$3:$DV$3,0)))</f>
        <v>0</v>
      </c>
      <c r="Z187" s="2">
        <f>IF(Z$154="","",INDEX('DEMAND BY DATE'!$CA$4:$DV$203,MATCH(Z$154,'DEMAND BY DATE'!$A$4:$A$203,0),MATCH($A187,'DEMAND BY DATE'!$CA$3:$DV$3,0)))</f>
        <v>0</v>
      </c>
      <c r="AA187" s="2">
        <f>IF(AA$154="","",INDEX('DEMAND BY DATE'!$CA$4:$DV$203,MATCH(AA$154,'DEMAND BY DATE'!$A$4:$A$203,0),MATCH($A187,'DEMAND BY DATE'!$CA$3:$DV$3,0)))</f>
        <v>0</v>
      </c>
      <c r="AB187" s="2">
        <f>IF(AB$154="","",INDEX('DEMAND BY DATE'!$CA$4:$DV$203,MATCH(AB$154,'DEMAND BY DATE'!$A$4:$A$203,0),MATCH($A187,'DEMAND BY DATE'!$CA$3:$DV$3,0)))</f>
        <v>0</v>
      </c>
      <c r="AC187" s="2">
        <f>IF(AC$154="","",INDEX('DEMAND BY DATE'!$CA$4:$DV$203,MATCH(AC$154,'DEMAND BY DATE'!$A$4:$A$203,0),MATCH($A187,'DEMAND BY DATE'!$CA$3:$DV$3,0)))</f>
        <v>0</v>
      </c>
      <c r="AD187" s="2">
        <f>IF(AD$154="","",INDEX('DEMAND BY DATE'!$CA$4:$DV$203,MATCH(AD$154,'DEMAND BY DATE'!$A$4:$A$203,0),MATCH($A187,'DEMAND BY DATE'!$CA$3:$DV$3,0)))</f>
        <v>0</v>
      </c>
      <c r="AE187" s="2">
        <f>IF(AE$154="","",INDEX('DEMAND BY DATE'!$CA$4:$DV$203,MATCH(AE$154,'DEMAND BY DATE'!$A$4:$A$203,0),MATCH($A187,'DEMAND BY DATE'!$CA$3:$DV$3,0)))</f>
        <v>0</v>
      </c>
      <c r="AF187" s="2">
        <f>IF(AF$154="","",INDEX('DEMAND BY DATE'!$CA$4:$DV$203,MATCH(AF$154,'DEMAND BY DATE'!$A$4:$A$203,0),MATCH($A187,'DEMAND BY DATE'!$CA$3:$DV$3,0)))</f>
        <v>0</v>
      </c>
      <c r="AG187" s="2">
        <f>IF(AG$154="","",INDEX('DEMAND BY DATE'!$CA$4:$DV$203,MATCH(AG$154,'DEMAND BY DATE'!$A$4:$A$203,0),MATCH($A187,'DEMAND BY DATE'!$CA$3:$DV$3,0)))</f>
        <v>0</v>
      </c>
      <c r="AH187" s="2">
        <f>IF(AH$154="","",INDEX('DEMAND BY DATE'!$CA$4:$DV$203,MATCH(AH$154,'DEMAND BY DATE'!$A$4:$A$203,0),MATCH($A187,'DEMAND BY DATE'!$CA$3:$DV$3,0)))</f>
        <v>0</v>
      </c>
      <c r="AI187" s="2">
        <f>IF(AI$154="","",INDEX('DEMAND BY DATE'!$CA$4:$DV$203,MATCH(AI$154,'DEMAND BY DATE'!$A$4:$A$203,0),MATCH($A187,'DEMAND BY DATE'!$CA$3:$DV$3,0)))</f>
        <v>0</v>
      </c>
      <c r="AJ187" s="2">
        <f>IF(AJ$154="","",INDEX('DEMAND BY DATE'!$CA$4:$DV$203,MATCH(AJ$154,'DEMAND BY DATE'!$A$4:$A$203,0),MATCH($A187,'DEMAND BY DATE'!$CA$3:$DV$3,0)))</f>
        <v>0</v>
      </c>
      <c r="AK187" s="2">
        <f>IF(AK$154="","",INDEX('DEMAND BY DATE'!$CA$4:$DV$203,MATCH(AK$154,'DEMAND BY DATE'!$A$4:$A$203,0),MATCH($A187,'DEMAND BY DATE'!$CA$3:$DV$3,0)))</f>
        <v>0</v>
      </c>
    </row>
    <row r="188" spans="1:37">
      <c r="A188" s="2">
        <f>$A$66</f>
        <v>4300</v>
      </c>
      <c r="B188" s="2" t="str">
        <f>$AG$66</f>
        <v>PAJAMA</v>
      </c>
      <c r="C188" s="2">
        <f>$AB$66</f>
        <v>37.5</v>
      </c>
      <c r="D188" s="2">
        <f>MAX($G188:$AK188)</f>
        <v>0</v>
      </c>
      <c r="F188" s="2" cm="1">
        <f t="array" ref="F188">SUMPRODUCT((ISNUMBER($G188:$AK188))*($G188:$AK188&gt;0)*($G$151:$AK$151="Y"))</f>
        <v>0</v>
      </c>
      <c r="G188" s="2">
        <f>IF(G$154="","",INDEX('DEMAND BY DATE'!$CA$4:$DV$203,MATCH(G$154,'DEMAND BY DATE'!$A$4:$A$203,0),MATCH($A188,'DEMAND BY DATE'!$CA$3:$DV$3,0)))</f>
        <v>0</v>
      </c>
      <c r="H188" s="2">
        <f>IF(H$154="","",INDEX('DEMAND BY DATE'!$CA$4:$DV$203,MATCH(H$154,'DEMAND BY DATE'!$A$4:$A$203,0),MATCH($A188,'DEMAND BY DATE'!$CA$3:$DV$3,0)))</f>
        <v>0</v>
      </c>
      <c r="I188" s="2">
        <f>IF(I$154="","",INDEX('DEMAND BY DATE'!$CA$4:$DV$203,MATCH(I$154,'DEMAND BY DATE'!$A$4:$A$203,0),MATCH($A188,'DEMAND BY DATE'!$CA$3:$DV$3,0)))</f>
        <v>0</v>
      </c>
      <c r="J188" s="2">
        <f>IF(J$154="","",INDEX('DEMAND BY DATE'!$CA$4:$DV$203,MATCH(J$154,'DEMAND BY DATE'!$A$4:$A$203,0),MATCH($A188,'DEMAND BY DATE'!$CA$3:$DV$3,0)))</f>
        <v>0</v>
      </c>
      <c r="K188" s="2">
        <f>IF(K$154="","",INDEX('DEMAND BY DATE'!$CA$4:$DV$203,MATCH(K$154,'DEMAND BY DATE'!$A$4:$A$203,0),MATCH($A188,'DEMAND BY DATE'!$CA$3:$DV$3,0)))</f>
        <v>0</v>
      </c>
      <c r="L188" s="2">
        <f>IF(L$154="","",INDEX('DEMAND BY DATE'!$CA$4:$DV$203,MATCH(L$154,'DEMAND BY DATE'!$A$4:$A$203,0),MATCH($A188,'DEMAND BY DATE'!$CA$3:$DV$3,0)))</f>
        <v>0</v>
      </c>
      <c r="M188" s="2">
        <f>IF(M$154="","",INDEX('DEMAND BY DATE'!$CA$4:$DV$203,MATCH(M$154,'DEMAND BY DATE'!$A$4:$A$203,0),MATCH($A188,'DEMAND BY DATE'!$CA$3:$DV$3,0)))</f>
        <v>0</v>
      </c>
      <c r="N188" s="2">
        <f>IF(N$154="","",INDEX('DEMAND BY DATE'!$CA$4:$DV$203,MATCH(N$154,'DEMAND BY DATE'!$A$4:$A$203,0),MATCH($A188,'DEMAND BY DATE'!$CA$3:$DV$3,0)))</f>
        <v>0</v>
      </c>
      <c r="O188" s="2">
        <f>IF(O$154="","",INDEX('DEMAND BY DATE'!$CA$4:$DV$203,MATCH(O$154,'DEMAND BY DATE'!$A$4:$A$203,0),MATCH($A188,'DEMAND BY DATE'!$CA$3:$DV$3,0)))</f>
        <v>0</v>
      </c>
      <c r="P188" s="2">
        <f>IF(P$154="","",INDEX('DEMAND BY DATE'!$CA$4:$DV$203,MATCH(P$154,'DEMAND BY DATE'!$A$4:$A$203,0),MATCH($A188,'DEMAND BY DATE'!$CA$3:$DV$3,0)))</f>
        <v>0</v>
      </c>
      <c r="Q188" s="2">
        <f>IF(Q$154="","",INDEX('DEMAND BY DATE'!$CA$4:$DV$203,MATCH(Q$154,'DEMAND BY DATE'!$A$4:$A$203,0),MATCH($A188,'DEMAND BY DATE'!$CA$3:$DV$3,0)))</f>
        <v>0</v>
      </c>
      <c r="R188" s="2">
        <f>IF(R$154="","",INDEX('DEMAND BY DATE'!$CA$4:$DV$203,MATCH(R$154,'DEMAND BY DATE'!$A$4:$A$203,0),MATCH($A188,'DEMAND BY DATE'!$CA$3:$DV$3,0)))</f>
        <v>0</v>
      </c>
      <c r="S188" s="2">
        <f>IF(S$154="","",INDEX('DEMAND BY DATE'!$CA$4:$DV$203,MATCH(S$154,'DEMAND BY DATE'!$A$4:$A$203,0),MATCH($A188,'DEMAND BY DATE'!$CA$3:$DV$3,0)))</f>
        <v>0</v>
      </c>
      <c r="T188" s="2">
        <f>IF(T$154="","",INDEX('DEMAND BY DATE'!$CA$4:$DV$203,MATCH(T$154,'DEMAND BY DATE'!$A$4:$A$203,0),MATCH($A188,'DEMAND BY DATE'!$CA$3:$DV$3,0)))</f>
        <v>0</v>
      </c>
      <c r="U188" s="2">
        <f>IF(U$154="","",INDEX('DEMAND BY DATE'!$CA$4:$DV$203,MATCH(U$154,'DEMAND BY DATE'!$A$4:$A$203,0),MATCH($A188,'DEMAND BY DATE'!$CA$3:$DV$3,0)))</f>
        <v>0</v>
      </c>
      <c r="V188" s="2">
        <f>IF(V$154="","",INDEX('DEMAND BY DATE'!$CA$4:$DV$203,MATCH(V$154,'DEMAND BY DATE'!$A$4:$A$203,0),MATCH($A188,'DEMAND BY DATE'!$CA$3:$DV$3,0)))</f>
        <v>0</v>
      </c>
      <c r="W188" s="2">
        <f>IF(W$154="","",INDEX('DEMAND BY DATE'!$CA$4:$DV$203,MATCH(W$154,'DEMAND BY DATE'!$A$4:$A$203,0),MATCH($A188,'DEMAND BY DATE'!$CA$3:$DV$3,0)))</f>
        <v>0</v>
      </c>
      <c r="X188" s="2">
        <f>IF(X$154="","",INDEX('DEMAND BY DATE'!$CA$4:$DV$203,MATCH(X$154,'DEMAND BY DATE'!$A$4:$A$203,0),MATCH($A188,'DEMAND BY DATE'!$CA$3:$DV$3,0)))</f>
        <v>0</v>
      </c>
      <c r="Y188" s="2">
        <f>IF(Y$154="","",INDEX('DEMAND BY DATE'!$CA$4:$DV$203,MATCH(Y$154,'DEMAND BY DATE'!$A$4:$A$203,0),MATCH($A188,'DEMAND BY DATE'!$CA$3:$DV$3,0)))</f>
        <v>0</v>
      </c>
      <c r="Z188" s="2">
        <f>IF(Z$154="","",INDEX('DEMAND BY DATE'!$CA$4:$DV$203,MATCH(Z$154,'DEMAND BY DATE'!$A$4:$A$203,0),MATCH($A188,'DEMAND BY DATE'!$CA$3:$DV$3,0)))</f>
        <v>0</v>
      </c>
      <c r="AA188" s="2">
        <f>IF(AA$154="","",INDEX('DEMAND BY DATE'!$CA$4:$DV$203,MATCH(AA$154,'DEMAND BY DATE'!$A$4:$A$203,0),MATCH($A188,'DEMAND BY DATE'!$CA$3:$DV$3,0)))</f>
        <v>0</v>
      </c>
      <c r="AB188" s="2">
        <f>IF(AB$154="","",INDEX('DEMAND BY DATE'!$CA$4:$DV$203,MATCH(AB$154,'DEMAND BY DATE'!$A$4:$A$203,0),MATCH($A188,'DEMAND BY DATE'!$CA$3:$DV$3,0)))</f>
        <v>0</v>
      </c>
      <c r="AC188" s="2">
        <f>IF(AC$154="","",INDEX('DEMAND BY DATE'!$CA$4:$DV$203,MATCH(AC$154,'DEMAND BY DATE'!$A$4:$A$203,0),MATCH($A188,'DEMAND BY DATE'!$CA$3:$DV$3,0)))</f>
        <v>0</v>
      </c>
      <c r="AD188" s="2">
        <f>IF(AD$154="","",INDEX('DEMAND BY DATE'!$CA$4:$DV$203,MATCH(AD$154,'DEMAND BY DATE'!$A$4:$A$203,0),MATCH($A188,'DEMAND BY DATE'!$CA$3:$DV$3,0)))</f>
        <v>0</v>
      </c>
      <c r="AE188" s="2">
        <f>IF(AE$154="","",INDEX('DEMAND BY DATE'!$CA$4:$DV$203,MATCH(AE$154,'DEMAND BY DATE'!$A$4:$A$203,0),MATCH($A188,'DEMAND BY DATE'!$CA$3:$DV$3,0)))</f>
        <v>0</v>
      </c>
      <c r="AF188" s="2">
        <f>IF(AF$154="","",INDEX('DEMAND BY DATE'!$CA$4:$DV$203,MATCH(AF$154,'DEMAND BY DATE'!$A$4:$A$203,0),MATCH($A188,'DEMAND BY DATE'!$CA$3:$DV$3,0)))</f>
        <v>0</v>
      </c>
      <c r="AG188" s="2">
        <f>IF(AG$154="","",INDEX('DEMAND BY DATE'!$CA$4:$DV$203,MATCH(AG$154,'DEMAND BY DATE'!$A$4:$A$203,0),MATCH($A188,'DEMAND BY DATE'!$CA$3:$DV$3,0)))</f>
        <v>0</v>
      </c>
      <c r="AH188" s="2">
        <f>IF(AH$154="","",INDEX('DEMAND BY DATE'!$CA$4:$DV$203,MATCH(AH$154,'DEMAND BY DATE'!$A$4:$A$203,0),MATCH($A188,'DEMAND BY DATE'!$CA$3:$DV$3,0)))</f>
        <v>0</v>
      </c>
      <c r="AI188" s="2">
        <f>IF(AI$154="","",INDEX('DEMAND BY DATE'!$CA$4:$DV$203,MATCH(AI$154,'DEMAND BY DATE'!$A$4:$A$203,0),MATCH($A188,'DEMAND BY DATE'!$CA$3:$DV$3,0)))</f>
        <v>0</v>
      </c>
      <c r="AJ188" s="2">
        <f>IF(AJ$154="","",INDEX('DEMAND BY DATE'!$CA$4:$DV$203,MATCH(AJ$154,'DEMAND BY DATE'!$A$4:$A$203,0),MATCH($A188,'DEMAND BY DATE'!$CA$3:$DV$3,0)))</f>
        <v>0</v>
      </c>
      <c r="AK188" s="2">
        <f>IF(AK$154="","",INDEX('DEMAND BY DATE'!$CA$4:$DV$203,MATCH(AK$154,'DEMAND BY DATE'!$A$4:$A$203,0),MATCH($A188,'DEMAND BY DATE'!$CA$3:$DV$3,0)))</f>
        <v>0</v>
      </c>
    </row>
    <row r="189" spans="1:37">
      <c r="A189" s="2">
        <f>$A$67</f>
        <v>4359</v>
      </c>
      <c r="B189" s="2" t="str">
        <f>$AG$67</f>
        <v>NEEDS INPUT</v>
      </c>
      <c r="C189" s="2">
        <f>$AB$67</f>
        <v>21.5</v>
      </c>
      <c r="D189" s="2">
        <f>MAX($G189:$AK189)</f>
        <v>0</v>
      </c>
      <c r="F189" s="2" cm="1">
        <f t="array" ref="F189">SUMPRODUCT((ISNUMBER($G189:$AK189))*($G189:$AK189&gt;0)*($G$151:$AK$151="Y"))</f>
        <v>0</v>
      </c>
      <c r="G189" s="2">
        <f>IF(G$154="","",INDEX('DEMAND BY DATE'!$CA$4:$DV$203,MATCH(G$154,'DEMAND BY DATE'!$A$4:$A$203,0),MATCH($A189,'DEMAND BY DATE'!$CA$3:$DV$3,0)))</f>
        <v>0</v>
      </c>
      <c r="H189" s="2">
        <f>IF(H$154="","",INDEX('DEMAND BY DATE'!$CA$4:$DV$203,MATCH(H$154,'DEMAND BY DATE'!$A$4:$A$203,0),MATCH($A189,'DEMAND BY DATE'!$CA$3:$DV$3,0)))</f>
        <v>0</v>
      </c>
      <c r="I189" s="2">
        <f>IF(I$154="","",INDEX('DEMAND BY DATE'!$CA$4:$DV$203,MATCH(I$154,'DEMAND BY DATE'!$A$4:$A$203,0),MATCH($A189,'DEMAND BY DATE'!$CA$3:$DV$3,0)))</f>
        <v>0</v>
      </c>
      <c r="J189" s="2">
        <f>IF(J$154="","",INDEX('DEMAND BY DATE'!$CA$4:$DV$203,MATCH(J$154,'DEMAND BY DATE'!$A$4:$A$203,0),MATCH($A189,'DEMAND BY DATE'!$CA$3:$DV$3,0)))</f>
        <v>0</v>
      </c>
      <c r="K189" s="2">
        <f>IF(K$154="","",INDEX('DEMAND BY DATE'!$CA$4:$DV$203,MATCH(K$154,'DEMAND BY DATE'!$A$4:$A$203,0),MATCH($A189,'DEMAND BY DATE'!$CA$3:$DV$3,0)))</f>
        <v>0</v>
      </c>
      <c r="L189" s="2">
        <f>IF(L$154="","",INDEX('DEMAND BY DATE'!$CA$4:$DV$203,MATCH(L$154,'DEMAND BY DATE'!$A$4:$A$203,0),MATCH($A189,'DEMAND BY DATE'!$CA$3:$DV$3,0)))</f>
        <v>0</v>
      </c>
      <c r="M189" s="2">
        <f>IF(M$154="","",INDEX('DEMAND BY DATE'!$CA$4:$DV$203,MATCH(M$154,'DEMAND BY DATE'!$A$4:$A$203,0),MATCH($A189,'DEMAND BY DATE'!$CA$3:$DV$3,0)))</f>
        <v>0</v>
      </c>
      <c r="N189" s="2">
        <f>IF(N$154="","",INDEX('DEMAND BY DATE'!$CA$4:$DV$203,MATCH(N$154,'DEMAND BY DATE'!$A$4:$A$203,0),MATCH($A189,'DEMAND BY DATE'!$CA$3:$DV$3,0)))</f>
        <v>0</v>
      </c>
      <c r="O189" s="2">
        <f>IF(O$154="","",INDEX('DEMAND BY DATE'!$CA$4:$DV$203,MATCH(O$154,'DEMAND BY DATE'!$A$4:$A$203,0),MATCH($A189,'DEMAND BY DATE'!$CA$3:$DV$3,0)))</f>
        <v>0</v>
      </c>
      <c r="P189" s="2">
        <f>IF(P$154="","",INDEX('DEMAND BY DATE'!$CA$4:$DV$203,MATCH(P$154,'DEMAND BY DATE'!$A$4:$A$203,0),MATCH($A189,'DEMAND BY DATE'!$CA$3:$DV$3,0)))</f>
        <v>0</v>
      </c>
      <c r="Q189" s="2">
        <f>IF(Q$154="","",INDEX('DEMAND BY DATE'!$CA$4:$DV$203,MATCH(Q$154,'DEMAND BY DATE'!$A$4:$A$203,0),MATCH($A189,'DEMAND BY DATE'!$CA$3:$DV$3,0)))</f>
        <v>0</v>
      </c>
      <c r="R189" s="2">
        <f>IF(R$154="","",INDEX('DEMAND BY DATE'!$CA$4:$DV$203,MATCH(R$154,'DEMAND BY DATE'!$A$4:$A$203,0),MATCH($A189,'DEMAND BY DATE'!$CA$3:$DV$3,0)))</f>
        <v>0</v>
      </c>
      <c r="S189" s="2">
        <f>IF(S$154="","",INDEX('DEMAND BY DATE'!$CA$4:$DV$203,MATCH(S$154,'DEMAND BY DATE'!$A$4:$A$203,0),MATCH($A189,'DEMAND BY DATE'!$CA$3:$DV$3,0)))</f>
        <v>0</v>
      </c>
      <c r="T189" s="2">
        <f>IF(T$154="","",INDEX('DEMAND BY DATE'!$CA$4:$DV$203,MATCH(T$154,'DEMAND BY DATE'!$A$4:$A$203,0),MATCH($A189,'DEMAND BY DATE'!$CA$3:$DV$3,0)))</f>
        <v>0</v>
      </c>
      <c r="U189" s="2">
        <f>IF(U$154="","",INDEX('DEMAND BY DATE'!$CA$4:$DV$203,MATCH(U$154,'DEMAND BY DATE'!$A$4:$A$203,0),MATCH($A189,'DEMAND BY DATE'!$CA$3:$DV$3,0)))</f>
        <v>0</v>
      </c>
      <c r="V189" s="2">
        <f>IF(V$154="","",INDEX('DEMAND BY DATE'!$CA$4:$DV$203,MATCH(V$154,'DEMAND BY DATE'!$A$4:$A$203,0),MATCH($A189,'DEMAND BY DATE'!$CA$3:$DV$3,0)))</f>
        <v>0</v>
      </c>
      <c r="W189" s="2">
        <f>IF(W$154="","",INDEX('DEMAND BY DATE'!$CA$4:$DV$203,MATCH(W$154,'DEMAND BY DATE'!$A$4:$A$203,0),MATCH($A189,'DEMAND BY DATE'!$CA$3:$DV$3,0)))</f>
        <v>0</v>
      </c>
      <c r="X189" s="2">
        <f>IF(X$154="","",INDEX('DEMAND BY DATE'!$CA$4:$DV$203,MATCH(X$154,'DEMAND BY DATE'!$A$4:$A$203,0),MATCH($A189,'DEMAND BY DATE'!$CA$3:$DV$3,0)))</f>
        <v>0</v>
      </c>
      <c r="Y189" s="2">
        <f>IF(Y$154="","",INDEX('DEMAND BY DATE'!$CA$4:$DV$203,MATCH(Y$154,'DEMAND BY DATE'!$A$4:$A$203,0),MATCH($A189,'DEMAND BY DATE'!$CA$3:$DV$3,0)))</f>
        <v>0</v>
      </c>
      <c r="Z189" s="2">
        <f>IF(Z$154="","",INDEX('DEMAND BY DATE'!$CA$4:$DV$203,MATCH(Z$154,'DEMAND BY DATE'!$A$4:$A$203,0),MATCH($A189,'DEMAND BY DATE'!$CA$3:$DV$3,0)))</f>
        <v>0</v>
      </c>
      <c r="AA189" s="2">
        <f>IF(AA$154="","",INDEX('DEMAND BY DATE'!$CA$4:$DV$203,MATCH(AA$154,'DEMAND BY DATE'!$A$4:$A$203,0),MATCH($A189,'DEMAND BY DATE'!$CA$3:$DV$3,0)))</f>
        <v>0</v>
      </c>
      <c r="AB189" s="2">
        <f>IF(AB$154="","",INDEX('DEMAND BY DATE'!$CA$4:$DV$203,MATCH(AB$154,'DEMAND BY DATE'!$A$4:$A$203,0),MATCH($A189,'DEMAND BY DATE'!$CA$3:$DV$3,0)))</f>
        <v>0</v>
      </c>
      <c r="AC189" s="2">
        <f>IF(AC$154="","",INDEX('DEMAND BY DATE'!$CA$4:$DV$203,MATCH(AC$154,'DEMAND BY DATE'!$A$4:$A$203,0),MATCH($A189,'DEMAND BY DATE'!$CA$3:$DV$3,0)))</f>
        <v>0</v>
      </c>
      <c r="AD189" s="2">
        <f>IF(AD$154="","",INDEX('DEMAND BY DATE'!$CA$4:$DV$203,MATCH(AD$154,'DEMAND BY DATE'!$A$4:$A$203,0),MATCH($A189,'DEMAND BY DATE'!$CA$3:$DV$3,0)))</f>
        <v>0</v>
      </c>
      <c r="AE189" s="2">
        <f>IF(AE$154="","",INDEX('DEMAND BY DATE'!$CA$4:$DV$203,MATCH(AE$154,'DEMAND BY DATE'!$A$4:$A$203,0),MATCH($A189,'DEMAND BY DATE'!$CA$3:$DV$3,0)))</f>
        <v>0</v>
      </c>
      <c r="AF189" s="2">
        <f>IF(AF$154="","",INDEX('DEMAND BY DATE'!$CA$4:$DV$203,MATCH(AF$154,'DEMAND BY DATE'!$A$4:$A$203,0),MATCH($A189,'DEMAND BY DATE'!$CA$3:$DV$3,0)))</f>
        <v>0</v>
      </c>
      <c r="AG189" s="2">
        <f>IF(AG$154="","",INDEX('DEMAND BY DATE'!$CA$4:$DV$203,MATCH(AG$154,'DEMAND BY DATE'!$A$4:$A$203,0),MATCH($A189,'DEMAND BY DATE'!$CA$3:$DV$3,0)))</f>
        <v>0</v>
      </c>
      <c r="AH189" s="2">
        <f>IF(AH$154="","",INDEX('DEMAND BY DATE'!$CA$4:$DV$203,MATCH(AH$154,'DEMAND BY DATE'!$A$4:$A$203,0),MATCH($A189,'DEMAND BY DATE'!$CA$3:$DV$3,0)))</f>
        <v>0</v>
      </c>
      <c r="AI189" s="2">
        <f>IF(AI$154="","",INDEX('DEMAND BY DATE'!$CA$4:$DV$203,MATCH(AI$154,'DEMAND BY DATE'!$A$4:$A$203,0),MATCH($A189,'DEMAND BY DATE'!$CA$3:$DV$3,0)))</f>
        <v>0</v>
      </c>
      <c r="AJ189" s="2">
        <f>IF(AJ$154="","",INDEX('DEMAND BY DATE'!$CA$4:$DV$203,MATCH(AJ$154,'DEMAND BY DATE'!$A$4:$A$203,0),MATCH($A189,'DEMAND BY DATE'!$CA$3:$DV$3,0)))</f>
        <v>0</v>
      </c>
      <c r="AK189" s="2">
        <f>IF(AK$154="","",INDEX('DEMAND BY DATE'!$CA$4:$DV$203,MATCH(AK$154,'DEMAND BY DATE'!$A$4:$A$203,0),MATCH($A189,'DEMAND BY DATE'!$CA$3:$DV$3,0)))</f>
        <v>0</v>
      </c>
    </row>
    <row r="190" spans="1:37">
      <c r="A190" s="2">
        <f>$A$68</f>
        <v>4301</v>
      </c>
      <c r="B190" s="2" t="str">
        <f>$AG$68</f>
        <v>PAJAMA</v>
      </c>
      <c r="C190" s="2">
        <f>$AB$68</f>
        <v>37.5</v>
      </c>
      <c r="D190" s="2">
        <f>MAX($G190:$AK190)</f>
        <v>0</v>
      </c>
      <c r="F190" s="2" cm="1">
        <f t="array" ref="F190">SUMPRODUCT((ISNUMBER($G190:$AK190))*($G190:$AK190&gt;0)*($G$151:$AK$151="Y"))</f>
        <v>0</v>
      </c>
      <c r="G190" s="2">
        <f>IF(G$154="","",INDEX('DEMAND BY DATE'!$CA$4:$DV$203,MATCH(G$154,'DEMAND BY DATE'!$A$4:$A$203,0),MATCH($A190,'DEMAND BY DATE'!$CA$3:$DV$3,0)))</f>
        <v>0</v>
      </c>
      <c r="H190" s="2">
        <f>IF(H$154="","",INDEX('DEMAND BY DATE'!$CA$4:$DV$203,MATCH(H$154,'DEMAND BY DATE'!$A$4:$A$203,0),MATCH($A190,'DEMAND BY DATE'!$CA$3:$DV$3,0)))</f>
        <v>0</v>
      </c>
      <c r="I190" s="2">
        <f>IF(I$154="","",INDEX('DEMAND BY DATE'!$CA$4:$DV$203,MATCH(I$154,'DEMAND BY DATE'!$A$4:$A$203,0),MATCH($A190,'DEMAND BY DATE'!$CA$3:$DV$3,0)))</f>
        <v>0</v>
      </c>
      <c r="J190" s="2">
        <f>IF(J$154="","",INDEX('DEMAND BY DATE'!$CA$4:$DV$203,MATCH(J$154,'DEMAND BY DATE'!$A$4:$A$203,0),MATCH($A190,'DEMAND BY DATE'!$CA$3:$DV$3,0)))</f>
        <v>0</v>
      </c>
      <c r="K190" s="2">
        <f>IF(K$154="","",INDEX('DEMAND BY DATE'!$CA$4:$DV$203,MATCH(K$154,'DEMAND BY DATE'!$A$4:$A$203,0),MATCH($A190,'DEMAND BY DATE'!$CA$3:$DV$3,0)))</f>
        <v>0</v>
      </c>
      <c r="L190" s="2">
        <f>IF(L$154="","",INDEX('DEMAND BY DATE'!$CA$4:$DV$203,MATCH(L$154,'DEMAND BY DATE'!$A$4:$A$203,0),MATCH($A190,'DEMAND BY DATE'!$CA$3:$DV$3,0)))</f>
        <v>0</v>
      </c>
      <c r="M190" s="2">
        <f>IF(M$154="","",INDEX('DEMAND BY DATE'!$CA$4:$DV$203,MATCH(M$154,'DEMAND BY DATE'!$A$4:$A$203,0),MATCH($A190,'DEMAND BY DATE'!$CA$3:$DV$3,0)))</f>
        <v>0</v>
      </c>
      <c r="N190" s="2">
        <f>IF(N$154="","",INDEX('DEMAND BY DATE'!$CA$4:$DV$203,MATCH(N$154,'DEMAND BY DATE'!$A$4:$A$203,0),MATCH($A190,'DEMAND BY DATE'!$CA$3:$DV$3,0)))</f>
        <v>0</v>
      </c>
      <c r="O190" s="2">
        <f>IF(O$154="","",INDEX('DEMAND BY DATE'!$CA$4:$DV$203,MATCH(O$154,'DEMAND BY DATE'!$A$4:$A$203,0),MATCH($A190,'DEMAND BY DATE'!$CA$3:$DV$3,0)))</f>
        <v>0</v>
      </c>
      <c r="P190" s="2">
        <f>IF(P$154="","",INDEX('DEMAND BY DATE'!$CA$4:$DV$203,MATCH(P$154,'DEMAND BY DATE'!$A$4:$A$203,0),MATCH($A190,'DEMAND BY DATE'!$CA$3:$DV$3,0)))</f>
        <v>0</v>
      </c>
      <c r="Q190" s="2">
        <f>IF(Q$154="","",INDEX('DEMAND BY DATE'!$CA$4:$DV$203,MATCH(Q$154,'DEMAND BY DATE'!$A$4:$A$203,0),MATCH($A190,'DEMAND BY DATE'!$CA$3:$DV$3,0)))</f>
        <v>0</v>
      </c>
      <c r="R190" s="2">
        <f>IF(R$154="","",INDEX('DEMAND BY DATE'!$CA$4:$DV$203,MATCH(R$154,'DEMAND BY DATE'!$A$4:$A$203,0),MATCH($A190,'DEMAND BY DATE'!$CA$3:$DV$3,0)))</f>
        <v>0</v>
      </c>
      <c r="S190" s="2">
        <f>IF(S$154="","",INDEX('DEMAND BY DATE'!$CA$4:$DV$203,MATCH(S$154,'DEMAND BY DATE'!$A$4:$A$203,0),MATCH($A190,'DEMAND BY DATE'!$CA$3:$DV$3,0)))</f>
        <v>0</v>
      </c>
      <c r="T190" s="2">
        <f>IF(T$154="","",INDEX('DEMAND BY DATE'!$CA$4:$DV$203,MATCH(T$154,'DEMAND BY DATE'!$A$4:$A$203,0),MATCH($A190,'DEMAND BY DATE'!$CA$3:$DV$3,0)))</f>
        <v>0</v>
      </c>
      <c r="U190" s="2">
        <f>IF(U$154="","",INDEX('DEMAND BY DATE'!$CA$4:$DV$203,MATCH(U$154,'DEMAND BY DATE'!$A$4:$A$203,0),MATCH($A190,'DEMAND BY DATE'!$CA$3:$DV$3,0)))</f>
        <v>0</v>
      </c>
      <c r="V190" s="2">
        <f>IF(V$154="","",INDEX('DEMAND BY DATE'!$CA$4:$DV$203,MATCH(V$154,'DEMAND BY DATE'!$A$4:$A$203,0),MATCH($A190,'DEMAND BY DATE'!$CA$3:$DV$3,0)))</f>
        <v>0</v>
      </c>
      <c r="W190" s="2">
        <f>IF(W$154="","",INDEX('DEMAND BY DATE'!$CA$4:$DV$203,MATCH(W$154,'DEMAND BY DATE'!$A$4:$A$203,0),MATCH($A190,'DEMAND BY DATE'!$CA$3:$DV$3,0)))</f>
        <v>0</v>
      </c>
      <c r="X190" s="2">
        <f>IF(X$154="","",INDEX('DEMAND BY DATE'!$CA$4:$DV$203,MATCH(X$154,'DEMAND BY DATE'!$A$4:$A$203,0),MATCH($A190,'DEMAND BY DATE'!$CA$3:$DV$3,0)))</f>
        <v>0</v>
      </c>
      <c r="Y190" s="2">
        <f>IF(Y$154="","",INDEX('DEMAND BY DATE'!$CA$4:$DV$203,MATCH(Y$154,'DEMAND BY DATE'!$A$4:$A$203,0),MATCH($A190,'DEMAND BY DATE'!$CA$3:$DV$3,0)))</f>
        <v>0</v>
      </c>
      <c r="Z190" s="2">
        <f>IF(Z$154="","",INDEX('DEMAND BY DATE'!$CA$4:$DV$203,MATCH(Z$154,'DEMAND BY DATE'!$A$4:$A$203,0),MATCH($A190,'DEMAND BY DATE'!$CA$3:$DV$3,0)))</f>
        <v>0</v>
      </c>
      <c r="AA190" s="2">
        <f>IF(AA$154="","",INDEX('DEMAND BY DATE'!$CA$4:$DV$203,MATCH(AA$154,'DEMAND BY DATE'!$A$4:$A$203,0),MATCH($A190,'DEMAND BY DATE'!$CA$3:$DV$3,0)))</f>
        <v>0</v>
      </c>
      <c r="AB190" s="2">
        <f>IF(AB$154="","",INDEX('DEMAND BY DATE'!$CA$4:$DV$203,MATCH(AB$154,'DEMAND BY DATE'!$A$4:$A$203,0),MATCH($A190,'DEMAND BY DATE'!$CA$3:$DV$3,0)))</f>
        <v>0</v>
      </c>
      <c r="AC190" s="2">
        <f>IF(AC$154="","",INDEX('DEMAND BY DATE'!$CA$4:$DV$203,MATCH(AC$154,'DEMAND BY DATE'!$A$4:$A$203,0),MATCH($A190,'DEMAND BY DATE'!$CA$3:$DV$3,0)))</f>
        <v>0</v>
      </c>
      <c r="AD190" s="2">
        <f>IF(AD$154="","",INDEX('DEMAND BY DATE'!$CA$4:$DV$203,MATCH(AD$154,'DEMAND BY DATE'!$A$4:$A$203,0),MATCH($A190,'DEMAND BY DATE'!$CA$3:$DV$3,0)))</f>
        <v>0</v>
      </c>
      <c r="AE190" s="2">
        <f>IF(AE$154="","",INDEX('DEMAND BY DATE'!$CA$4:$DV$203,MATCH(AE$154,'DEMAND BY DATE'!$A$4:$A$203,0),MATCH($A190,'DEMAND BY DATE'!$CA$3:$DV$3,0)))</f>
        <v>0</v>
      </c>
      <c r="AF190" s="2">
        <f>IF(AF$154="","",INDEX('DEMAND BY DATE'!$CA$4:$DV$203,MATCH(AF$154,'DEMAND BY DATE'!$A$4:$A$203,0),MATCH($A190,'DEMAND BY DATE'!$CA$3:$DV$3,0)))</f>
        <v>0</v>
      </c>
      <c r="AG190" s="2">
        <f>IF(AG$154="","",INDEX('DEMAND BY DATE'!$CA$4:$DV$203,MATCH(AG$154,'DEMAND BY DATE'!$A$4:$A$203,0),MATCH($A190,'DEMAND BY DATE'!$CA$3:$DV$3,0)))</f>
        <v>0</v>
      </c>
      <c r="AH190" s="2">
        <f>IF(AH$154="","",INDEX('DEMAND BY DATE'!$CA$4:$DV$203,MATCH(AH$154,'DEMAND BY DATE'!$A$4:$A$203,0),MATCH($A190,'DEMAND BY DATE'!$CA$3:$DV$3,0)))</f>
        <v>0</v>
      </c>
      <c r="AI190" s="2">
        <f>IF(AI$154="","",INDEX('DEMAND BY DATE'!$CA$4:$DV$203,MATCH(AI$154,'DEMAND BY DATE'!$A$4:$A$203,0),MATCH($A190,'DEMAND BY DATE'!$CA$3:$DV$3,0)))</f>
        <v>0</v>
      </c>
      <c r="AJ190" s="2">
        <f>IF(AJ$154="","",INDEX('DEMAND BY DATE'!$CA$4:$DV$203,MATCH(AJ$154,'DEMAND BY DATE'!$A$4:$A$203,0),MATCH($A190,'DEMAND BY DATE'!$CA$3:$DV$3,0)))</f>
        <v>0</v>
      </c>
      <c r="AK190" s="2">
        <f>IF(AK$154="","",INDEX('DEMAND BY DATE'!$CA$4:$DV$203,MATCH(AK$154,'DEMAND BY DATE'!$A$4:$A$203,0),MATCH($A190,'DEMAND BY DATE'!$CA$3:$DV$3,0)))</f>
        <v>0</v>
      </c>
    </row>
    <row r="191" spans="1:37">
      <c r="A191" s="2" t="str">
        <f>$A$69</f>
        <v>RS-92</v>
      </c>
      <c r="B191" s="2" t="str">
        <f>$AG$69</f>
        <v>NEEDS INPUT</v>
      </c>
      <c r="C191" s="2">
        <f>$AB$69</f>
        <v>27</v>
      </c>
      <c r="D191" s="2">
        <f>MAX($G191:$AK191)</f>
        <v>0</v>
      </c>
      <c r="F191" s="2" cm="1">
        <f t="array" ref="F191">SUMPRODUCT((ISNUMBER($G191:$AK191))*($G191:$AK191&gt;0)*($G$151:$AK$151="Y"))</f>
        <v>0</v>
      </c>
      <c r="G191" s="2">
        <f>IF(G$154="","",INDEX('DEMAND BY DATE'!$CA$4:$DV$203,MATCH(G$154,'DEMAND BY DATE'!$A$4:$A$203,0),MATCH($A191,'DEMAND BY DATE'!$CA$3:$DV$3,0)))</f>
        <v>0</v>
      </c>
      <c r="H191" s="2">
        <f>IF(H$154="","",INDEX('DEMAND BY DATE'!$CA$4:$DV$203,MATCH(H$154,'DEMAND BY DATE'!$A$4:$A$203,0),MATCH($A191,'DEMAND BY DATE'!$CA$3:$DV$3,0)))</f>
        <v>0</v>
      </c>
      <c r="I191" s="2">
        <f>IF(I$154="","",INDEX('DEMAND BY DATE'!$CA$4:$DV$203,MATCH(I$154,'DEMAND BY DATE'!$A$4:$A$203,0),MATCH($A191,'DEMAND BY DATE'!$CA$3:$DV$3,0)))</f>
        <v>0</v>
      </c>
      <c r="J191" s="2">
        <f>IF(J$154="","",INDEX('DEMAND BY DATE'!$CA$4:$DV$203,MATCH(J$154,'DEMAND BY DATE'!$A$4:$A$203,0),MATCH($A191,'DEMAND BY DATE'!$CA$3:$DV$3,0)))</f>
        <v>0</v>
      </c>
      <c r="K191" s="2">
        <f>IF(K$154="","",INDEX('DEMAND BY DATE'!$CA$4:$DV$203,MATCH(K$154,'DEMAND BY DATE'!$A$4:$A$203,0),MATCH($A191,'DEMAND BY DATE'!$CA$3:$DV$3,0)))</f>
        <v>0</v>
      </c>
      <c r="L191" s="2">
        <f>IF(L$154="","",INDEX('DEMAND BY DATE'!$CA$4:$DV$203,MATCH(L$154,'DEMAND BY DATE'!$A$4:$A$203,0),MATCH($A191,'DEMAND BY DATE'!$CA$3:$DV$3,0)))</f>
        <v>0</v>
      </c>
      <c r="M191" s="2">
        <f>IF(M$154="","",INDEX('DEMAND BY DATE'!$CA$4:$DV$203,MATCH(M$154,'DEMAND BY DATE'!$A$4:$A$203,0),MATCH($A191,'DEMAND BY DATE'!$CA$3:$DV$3,0)))</f>
        <v>0</v>
      </c>
      <c r="N191" s="2">
        <f>IF(N$154="","",INDEX('DEMAND BY DATE'!$CA$4:$DV$203,MATCH(N$154,'DEMAND BY DATE'!$A$4:$A$203,0),MATCH($A191,'DEMAND BY DATE'!$CA$3:$DV$3,0)))</f>
        <v>0</v>
      </c>
      <c r="O191" s="2">
        <f>IF(O$154="","",INDEX('DEMAND BY DATE'!$CA$4:$DV$203,MATCH(O$154,'DEMAND BY DATE'!$A$4:$A$203,0),MATCH($A191,'DEMAND BY DATE'!$CA$3:$DV$3,0)))</f>
        <v>0</v>
      </c>
      <c r="P191" s="2">
        <f>IF(P$154="","",INDEX('DEMAND BY DATE'!$CA$4:$DV$203,MATCH(P$154,'DEMAND BY DATE'!$A$4:$A$203,0),MATCH($A191,'DEMAND BY DATE'!$CA$3:$DV$3,0)))</f>
        <v>0</v>
      </c>
      <c r="Q191" s="2">
        <f>IF(Q$154="","",INDEX('DEMAND BY DATE'!$CA$4:$DV$203,MATCH(Q$154,'DEMAND BY DATE'!$A$4:$A$203,0),MATCH($A191,'DEMAND BY DATE'!$CA$3:$DV$3,0)))</f>
        <v>0</v>
      </c>
      <c r="R191" s="2">
        <f>IF(R$154="","",INDEX('DEMAND BY DATE'!$CA$4:$DV$203,MATCH(R$154,'DEMAND BY DATE'!$A$4:$A$203,0),MATCH($A191,'DEMAND BY DATE'!$CA$3:$DV$3,0)))</f>
        <v>0</v>
      </c>
      <c r="S191" s="2">
        <f>IF(S$154="","",INDEX('DEMAND BY DATE'!$CA$4:$DV$203,MATCH(S$154,'DEMAND BY DATE'!$A$4:$A$203,0),MATCH($A191,'DEMAND BY DATE'!$CA$3:$DV$3,0)))</f>
        <v>0</v>
      </c>
      <c r="T191" s="2">
        <f>IF(T$154="","",INDEX('DEMAND BY DATE'!$CA$4:$DV$203,MATCH(T$154,'DEMAND BY DATE'!$A$4:$A$203,0),MATCH($A191,'DEMAND BY DATE'!$CA$3:$DV$3,0)))</f>
        <v>0</v>
      </c>
      <c r="U191" s="2">
        <f>IF(U$154="","",INDEX('DEMAND BY DATE'!$CA$4:$DV$203,MATCH(U$154,'DEMAND BY DATE'!$A$4:$A$203,0),MATCH($A191,'DEMAND BY DATE'!$CA$3:$DV$3,0)))</f>
        <v>0</v>
      </c>
      <c r="V191" s="2">
        <f>IF(V$154="","",INDEX('DEMAND BY DATE'!$CA$4:$DV$203,MATCH(V$154,'DEMAND BY DATE'!$A$4:$A$203,0),MATCH($A191,'DEMAND BY DATE'!$CA$3:$DV$3,0)))</f>
        <v>0</v>
      </c>
      <c r="W191" s="2">
        <f>IF(W$154="","",INDEX('DEMAND BY DATE'!$CA$4:$DV$203,MATCH(W$154,'DEMAND BY DATE'!$A$4:$A$203,0),MATCH($A191,'DEMAND BY DATE'!$CA$3:$DV$3,0)))</f>
        <v>0</v>
      </c>
      <c r="X191" s="2">
        <f>IF(X$154="","",INDEX('DEMAND BY DATE'!$CA$4:$DV$203,MATCH(X$154,'DEMAND BY DATE'!$A$4:$A$203,0),MATCH($A191,'DEMAND BY DATE'!$CA$3:$DV$3,0)))</f>
        <v>0</v>
      </c>
      <c r="Y191" s="2">
        <f>IF(Y$154="","",INDEX('DEMAND BY DATE'!$CA$4:$DV$203,MATCH(Y$154,'DEMAND BY DATE'!$A$4:$A$203,0),MATCH($A191,'DEMAND BY DATE'!$CA$3:$DV$3,0)))</f>
        <v>0</v>
      </c>
      <c r="Z191" s="2">
        <f>IF(Z$154="","",INDEX('DEMAND BY DATE'!$CA$4:$DV$203,MATCH(Z$154,'DEMAND BY DATE'!$A$4:$A$203,0),MATCH($A191,'DEMAND BY DATE'!$CA$3:$DV$3,0)))</f>
        <v>0</v>
      </c>
      <c r="AA191" s="2">
        <f>IF(AA$154="","",INDEX('DEMAND BY DATE'!$CA$4:$DV$203,MATCH(AA$154,'DEMAND BY DATE'!$A$4:$A$203,0),MATCH($A191,'DEMAND BY DATE'!$CA$3:$DV$3,0)))</f>
        <v>0</v>
      </c>
      <c r="AB191" s="2">
        <f>IF(AB$154="","",INDEX('DEMAND BY DATE'!$CA$4:$DV$203,MATCH(AB$154,'DEMAND BY DATE'!$A$4:$A$203,0),MATCH($A191,'DEMAND BY DATE'!$CA$3:$DV$3,0)))</f>
        <v>0</v>
      </c>
      <c r="AC191" s="2">
        <f>IF(AC$154="","",INDEX('DEMAND BY DATE'!$CA$4:$DV$203,MATCH(AC$154,'DEMAND BY DATE'!$A$4:$A$203,0),MATCH($A191,'DEMAND BY DATE'!$CA$3:$DV$3,0)))</f>
        <v>0</v>
      </c>
      <c r="AD191" s="2">
        <f>IF(AD$154="","",INDEX('DEMAND BY DATE'!$CA$4:$DV$203,MATCH(AD$154,'DEMAND BY DATE'!$A$4:$A$203,0),MATCH($A191,'DEMAND BY DATE'!$CA$3:$DV$3,0)))</f>
        <v>0</v>
      </c>
      <c r="AE191" s="2">
        <f>IF(AE$154="","",INDEX('DEMAND BY DATE'!$CA$4:$DV$203,MATCH(AE$154,'DEMAND BY DATE'!$A$4:$A$203,0),MATCH($A191,'DEMAND BY DATE'!$CA$3:$DV$3,0)))</f>
        <v>0</v>
      </c>
      <c r="AF191" s="2">
        <f>IF(AF$154="","",INDEX('DEMAND BY DATE'!$CA$4:$DV$203,MATCH(AF$154,'DEMAND BY DATE'!$A$4:$A$203,0),MATCH($A191,'DEMAND BY DATE'!$CA$3:$DV$3,0)))</f>
        <v>0</v>
      </c>
      <c r="AG191" s="2">
        <f>IF(AG$154="","",INDEX('DEMAND BY DATE'!$CA$4:$DV$203,MATCH(AG$154,'DEMAND BY DATE'!$A$4:$A$203,0),MATCH($A191,'DEMAND BY DATE'!$CA$3:$DV$3,0)))</f>
        <v>0</v>
      </c>
      <c r="AH191" s="2">
        <f>IF(AH$154="","",INDEX('DEMAND BY DATE'!$CA$4:$DV$203,MATCH(AH$154,'DEMAND BY DATE'!$A$4:$A$203,0),MATCH($A191,'DEMAND BY DATE'!$CA$3:$DV$3,0)))</f>
        <v>0</v>
      </c>
      <c r="AI191" s="2">
        <f>IF(AI$154="","",INDEX('DEMAND BY DATE'!$CA$4:$DV$203,MATCH(AI$154,'DEMAND BY DATE'!$A$4:$A$203,0),MATCH($A191,'DEMAND BY DATE'!$CA$3:$DV$3,0)))</f>
        <v>0</v>
      </c>
      <c r="AJ191" s="2">
        <f>IF(AJ$154="","",INDEX('DEMAND BY DATE'!$CA$4:$DV$203,MATCH(AJ$154,'DEMAND BY DATE'!$A$4:$A$203,0),MATCH($A191,'DEMAND BY DATE'!$CA$3:$DV$3,0)))</f>
        <v>0</v>
      </c>
      <c r="AK191" s="2">
        <f>IF(AK$154="","",INDEX('DEMAND BY DATE'!$CA$4:$DV$203,MATCH(AK$154,'DEMAND BY DATE'!$A$4:$A$203,0),MATCH($A191,'DEMAND BY DATE'!$CA$3:$DV$3,0)))</f>
        <v>0</v>
      </c>
    </row>
    <row r="192" spans="1:37">
      <c r="A192" s="2" t="str">
        <f>$A$70</f>
        <v>BW-30</v>
      </c>
      <c r="B192" s="2" t="str">
        <f>$AG$70</f>
        <v>NEEDS INPUT</v>
      </c>
      <c r="C192" s="2">
        <f>$AB$70</f>
        <v>37</v>
      </c>
      <c r="D192" s="2">
        <f>MAX($G192:$AK192)</f>
        <v>0</v>
      </c>
      <c r="F192" s="2" cm="1">
        <f t="array" ref="F192">SUMPRODUCT((ISNUMBER($G192:$AK192))*($G192:$AK192&gt;0)*($G$151:$AK$151="Y"))</f>
        <v>0</v>
      </c>
      <c r="G192" s="2">
        <f>IF(G$154="","",INDEX('DEMAND BY DATE'!$CA$4:$DV$203,MATCH(G$154,'DEMAND BY DATE'!$A$4:$A$203,0),MATCH($A192,'DEMAND BY DATE'!$CA$3:$DV$3,0)))</f>
        <v>0</v>
      </c>
      <c r="H192" s="2">
        <f>IF(H$154="","",INDEX('DEMAND BY DATE'!$CA$4:$DV$203,MATCH(H$154,'DEMAND BY DATE'!$A$4:$A$203,0),MATCH($A192,'DEMAND BY DATE'!$CA$3:$DV$3,0)))</f>
        <v>0</v>
      </c>
      <c r="I192" s="2">
        <f>IF(I$154="","",INDEX('DEMAND BY DATE'!$CA$4:$DV$203,MATCH(I$154,'DEMAND BY DATE'!$A$4:$A$203,0),MATCH($A192,'DEMAND BY DATE'!$CA$3:$DV$3,0)))</f>
        <v>0</v>
      </c>
      <c r="J192" s="2">
        <f>IF(J$154="","",INDEX('DEMAND BY DATE'!$CA$4:$DV$203,MATCH(J$154,'DEMAND BY DATE'!$A$4:$A$203,0),MATCH($A192,'DEMAND BY DATE'!$CA$3:$DV$3,0)))</f>
        <v>0</v>
      </c>
      <c r="K192" s="2">
        <f>IF(K$154="","",INDEX('DEMAND BY DATE'!$CA$4:$DV$203,MATCH(K$154,'DEMAND BY DATE'!$A$4:$A$203,0),MATCH($A192,'DEMAND BY DATE'!$CA$3:$DV$3,0)))</f>
        <v>0</v>
      </c>
      <c r="L192" s="2">
        <f>IF(L$154="","",INDEX('DEMAND BY DATE'!$CA$4:$DV$203,MATCH(L$154,'DEMAND BY DATE'!$A$4:$A$203,0),MATCH($A192,'DEMAND BY DATE'!$CA$3:$DV$3,0)))</f>
        <v>0</v>
      </c>
      <c r="M192" s="2">
        <f>IF(M$154="","",INDEX('DEMAND BY DATE'!$CA$4:$DV$203,MATCH(M$154,'DEMAND BY DATE'!$A$4:$A$203,0),MATCH($A192,'DEMAND BY DATE'!$CA$3:$DV$3,0)))</f>
        <v>0</v>
      </c>
      <c r="N192" s="2">
        <f>IF(N$154="","",INDEX('DEMAND BY DATE'!$CA$4:$DV$203,MATCH(N$154,'DEMAND BY DATE'!$A$4:$A$203,0),MATCH($A192,'DEMAND BY DATE'!$CA$3:$DV$3,0)))</f>
        <v>0</v>
      </c>
      <c r="O192" s="2">
        <f>IF(O$154="","",INDEX('DEMAND BY DATE'!$CA$4:$DV$203,MATCH(O$154,'DEMAND BY DATE'!$A$4:$A$203,0),MATCH($A192,'DEMAND BY DATE'!$CA$3:$DV$3,0)))</f>
        <v>0</v>
      </c>
      <c r="P192" s="2">
        <f>IF(P$154="","",INDEX('DEMAND BY DATE'!$CA$4:$DV$203,MATCH(P$154,'DEMAND BY DATE'!$A$4:$A$203,0),MATCH($A192,'DEMAND BY DATE'!$CA$3:$DV$3,0)))</f>
        <v>0</v>
      </c>
      <c r="Q192" s="2">
        <f>IF(Q$154="","",INDEX('DEMAND BY DATE'!$CA$4:$DV$203,MATCH(Q$154,'DEMAND BY DATE'!$A$4:$A$203,0),MATCH($A192,'DEMAND BY DATE'!$CA$3:$DV$3,0)))</f>
        <v>0</v>
      </c>
      <c r="R192" s="2">
        <f>IF(R$154="","",INDEX('DEMAND BY DATE'!$CA$4:$DV$203,MATCH(R$154,'DEMAND BY DATE'!$A$4:$A$203,0),MATCH($A192,'DEMAND BY DATE'!$CA$3:$DV$3,0)))</f>
        <v>0</v>
      </c>
      <c r="S192" s="2">
        <f>IF(S$154="","",INDEX('DEMAND BY DATE'!$CA$4:$DV$203,MATCH(S$154,'DEMAND BY DATE'!$A$4:$A$203,0),MATCH($A192,'DEMAND BY DATE'!$CA$3:$DV$3,0)))</f>
        <v>0</v>
      </c>
      <c r="T192" s="2">
        <f>IF(T$154="","",INDEX('DEMAND BY DATE'!$CA$4:$DV$203,MATCH(T$154,'DEMAND BY DATE'!$A$4:$A$203,0),MATCH($A192,'DEMAND BY DATE'!$CA$3:$DV$3,0)))</f>
        <v>0</v>
      </c>
      <c r="U192" s="2">
        <f>IF(U$154="","",INDEX('DEMAND BY DATE'!$CA$4:$DV$203,MATCH(U$154,'DEMAND BY DATE'!$A$4:$A$203,0),MATCH($A192,'DEMAND BY DATE'!$CA$3:$DV$3,0)))</f>
        <v>0</v>
      </c>
      <c r="V192" s="2">
        <f>IF(V$154="","",INDEX('DEMAND BY DATE'!$CA$4:$DV$203,MATCH(V$154,'DEMAND BY DATE'!$A$4:$A$203,0),MATCH($A192,'DEMAND BY DATE'!$CA$3:$DV$3,0)))</f>
        <v>0</v>
      </c>
      <c r="W192" s="2">
        <f>IF(W$154="","",INDEX('DEMAND BY DATE'!$CA$4:$DV$203,MATCH(W$154,'DEMAND BY DATE'!$A$4:$A$203,0),MATCH($A192,'DEMAND BY DATE'!$CA$3:$DV$3,0)))</f>
        <v>0</v>
      </c>
      <c r="X192" s="2">
        <f>IF(X$154="","",INDEX('DEMAND BY DATE'!$CA$4:$DV$203,MATCH(X$154,'DEMAND BY DATE'!$A$4:$A$203,0),MATCH($A192,'DEMAND BY DATE'!$CA$3:$DV$3,0)))</f>
        <v>0</v>
      </c>
      <c r="Y192" s="2">
        <f>IF(Y$154="","",INDEX('DEMAND BY DATE'!$CA$4:$DV$203,MATCH(Y$154,'DEMAND BY DATE'!$A$4:$A$203,0),MATCH($A192,'DEMAND BY DATE'!$CA$3:$DV$3,0)))</f>
        <v>0</v>
      </c>
      <c r="Z192" s="2">
        <f>IF(Z$154="","",INDEX('DEMAND BY DATE'!$CA$4:$DV$203,MATCH(Z$154,'DEMAND BY DATE'!$A$4:$A$203,0),MATCH($A192,'DEMAND BY DATE'!$CA$3:$DV$3,0)))</f>
        <v>0</v>
      </c>
      <c r="AA192" s="2">
        <f>IF(AA$154="","",INDEX('DEMAND BY DATE'!$CA$4:$DV$203,MATCH(AA$154,'DEMAND BY DATE'!$A$4:$A$203,0),MATCH($A192,'DEMAND BY DATE'!$CA$3:$DV$3,0)))</f>
        <v>0</v>
      </c>
      <c r="AB192" s="2">
        <f>IF(AB$154="","",INDEX('DEMAND BY DATE'!$CA$4:$DV$203,MATCH(AB$154,'DEMAND BY DATE'!$A$4:$A$203,0),MATCH($A192,'DEMAND BY DATE'!$CA$3:$DV$3,0)))</f>
        <v>0</v>
      </c>
      <c r="AC192" s="2">
        <f>IF(AC$154="","",INDEX('DEMAND BY DATE'!$CA$4:$DV$203,MATCH(AC$154,'DEMAND BY DATE'!$A$4:$A$203,0),MATCH($A192,'DEMAND BY DATE'!$CA$3:$DV$3,0)))</f>
        <v>0</v>
      </c>
      <c r="AD192" s="2">
        <f>IF(AD$154="","",INDEX('DEMAND BY DATE'!$CA$4:$DV$203,MATCH(AD$154,'DEMAND BY DATE'!$A$4:$A$203,0),MATCH($A192,'DEMAND BY DATE'!$CA$3:$DV$3,0)))</f>
        <v>0</v>
      </c>
      <c r="AE192" s="2">
        <f>IF(AE$154="","",INDEX('DEMAND BY DATE'!$CA$4:$DV$203,MATCH(AE$154,'DEMAND BY DATE'!$A$4:$A$203,0),MATCH($A192,'DEMAND BY DATE'!$CA$3:$DV$3,0)))</f>
        <v>0</v>
      </c>
      <c r="AF192" s="2">
        <f>IF(AF$154="","",INDEX('DEMAND BY DATE'!$CA$4:$DV$203,MATCH(AF$154,'DEMAND BY DATE'!$A$4:$A$203,0),MATCH($A192,'DEMAND BY DATE'!$CA$3:$DV$3,0)))</f>
        <v>0</v>
      </c>
      <c r="AG192" s="2">
        <f>IF(AG$154="","",INDEX('DEMAND BY DATE'!$CA$4:$DV$203,MATCH(AG$154,'DEMAND BY DATE'!$A$4:$A$203,0),MATCH($A192,'DEMAND BY DATE'!$CA$3:$DV$3,0)))</f>
        <v>0</v>
      </c>
      <c r="AH192" s="2">
        <f>IF(AH$154="","",INDEX('DEMAND BY DATE'!$CA$4:$DV$203,MATCH(AH$154,'DEMAND BY DATE'!$A$4:$A$203,0),MATCH($A192,'DEMAND BY DATE'!$CA$3:$DV$3,0)))</f>
        <v>0</v>
      </c>
      <c r="AI192" s="2">
        <f>IF(AI$154="","",INDEX('DEMAND BY DATE'!$CA$4:$DV$203,MATCH(AI$154,'DEMAND BY DATE'!$A$4:$A$203,0),MATCH($A192,'DEMAND BY DATE'!$CA$3:$DV$3,0)))</f>
        <v>0</v>
      </c>
      <c r="AJ192" s="2">
        <f>IF(AJ$154="","",INDEX('DEMAND BY DATE'!$CA$4:$DV$203,MATCH(AJ$154,'DEMAND BY DATE'!$A$4:$A$203,0),MATCH($A192,'DEMAND BY DATE'!$CA$3:$DV$3,0)))</f>
        <v>0</v>
      </c>
      <c r="AK192" s="2">
        <f>IF(AK$154="","",INDEX('DEMAND BY DATE'!$CA$4:$DV$203,MATCH(AK$154,'DEMAND BY DATE'!$A$4:$A$203,0),MATCH($A192,'DEMAND BY DATE'!$CA$3:$DV$3,0)))</f>
        <v>0</v>
      </c>
    </row>
    <row r="193" spans="1:37">
      <c r="A193" s="2">
        <f>$A$71</f>
        <v>5200</v>
      </c>
      <c r="B193" s="2" t="str">
        <f>$AG$71</f>
        <v>NEEDS INPUT</v>
      </c>
      <c r="C193" s="2">
        <f>$AB$71</f>
        <v>20</v>
      </c>
      <c r="D193" s="2">
        <f>MAX($G193:$AK193)</f>
        <v>0</v>
      </c>
      <c r="F193" s="2" cm="1">
        <f t="array" ref="F193">SUMPRODUCT((ISNUMBER($G193:$AK193))*($G193:$AK193&gt;0)*($G$151:$AK$151="Y"))</f>
        <v>0</v>
      </c>
      <c r="G193" s="2">
        <f>IF(G$154="","",INDEX('DEMAND BY DATE'!$CA$4:$DV$203,MATCH(G$154,'DEMAND BY DATE'!$A$4:$A$203,0),MATCH($A193,'DEMAND BY DATE'!$CA$3:$DV$3,0)))</f>
        <v>0</v>
      </c>
      <c r="H193" s="2">
        <f>IF(H$154="","",INDEX('DEMAND BY DATE'!$CA$4:$DV$203,MATCH(H$154,'DEMAND BY DATE'!$A$4:$A$203,0),MATCH($A193,'DEMAND BY DATE'!$CA$3:$DV$3,0)))</f>
        <v>0</v>
      </c>
      <c r="I193" s="2">
        <f>IF(I$154="","",INDEX('DEMAND BY DATE'!$CA$4:$DV$203,MATCH(I$154,'DEMAND BY DATE'!$A$4:$A$203,0),MATCH($A193,'DEMAND BY DATE'!$CA$3:$DV$3,0)))</f>
        <v>0</v>
      </c>
      <c r="J193" s="2">
        <f>IF(J$154="","",INDEX('DEMAND BY DATE'!$CA$4:$DV$203,MATCH(J$154,'DEMAND BY DATE'!$A$4:$A$203,0),MATCH($A193,'DEMAND BY DATE'!$CA$3:$DV$3,0)))</f>
        <v>0</v>
      </c>
      <c r="K193" s="2">
        <f>IF(K$154="","",INDEX('DEMAND BY DATE'!$CA$4:$DV$203,MATCH(K$154,'DEMAND BY DATE'!$A$4:$A$203,0),MATCH($A193,'DEMAND BY DATE'!$CA$3:$DV$3,0)))</f>
        <v>0</v>
      </c>
      <c r="L193" s="2">
        <f>IF(L$154="","",INDEX('DEMAND BY DATE'!$CA$4:$DV$203,MATCH(L$154,'DEMAND BY DATE'!$A$4:$A$203,0),MATCH($A193,'DEMAND BY DATE'!$CA$3:$DV$3,0)))</f>
        <v>0</v>
      </c>
      <c r="M193" s="2">
        <f>IF(M$154="","",INDEX('DEMAND BY DATE'!$CA$4:$DV$203,MATCH(M$154,'DEMAND BY DATE'!$A$4:$A$203,0),MATCH($A193,'DEMAND BY DATE'!$CA$3:$DV$3,0)))</f>
        <v>0</v>
      </c>
      <c r="N193" s="2">
        <f>IF(N$154="","",INDEX('DEMAND BY DATE'!$CA$4:$DV$203,MATCH(N$154,'DEMAND BY DATE'!$A$4:$A$203,0),MATCH($A193,'DEMAND BY DATE'!$CA$3:$DV$3,0)))</f>
        <v>0</v>
      </c>
      <c r="O193" s="2">
        <f>IF(O$154="","",INDEX('DEMAND BY DATE'!$CA$4:$DV$203,MATCH(O$154,'DEMAND BY DATE'!$A$4:$A$203,0),MATCH($A193,'DEMAND BY DATE'!$CA$3:$DV$3,0)))</f>
        <v>0</v>
      </c>
      <c r="P193" s="2">
        <f>IF(P$154="","",INDEX('DEMAND BY DATE'!$CA$4:$DV$203,MATCH(P$154,'DEMAND BY DATE'!$A$4:$A$203,0),MATCH($A193,'DEMAND BY DATE'!$CA$3:$DV$3,0)))</f>
        <v>0</v>
      </c>
      <c r="Q193" s="2">
        <f>IF(Q$154="","",INDEX('DEMAND BY DATE'!$CA$4:$DV$203,MATCH(Q$154,'DEMAND BY DATE'!$A$4:$A$203,0),MATCH($A193,'DEMAND BY DATE'!$CA$3:$DV$3,0)))</f>
        <v>0</v>
      </c>
      <c r="R193" s="2">
        <f>IF(R$154="","",INDEX('DEMAND BY DATE'!$CA$4:$DV$203,MATCH(R$154,'DEMAND BY DATE'!$A$4:$A$203,0),MATCH($A193,'DEMAND BY DATE'!$CA$3:$DV$3,0)))</f>
        <v>0</v>
      </c>
      <c r="S193" s="2">
        <f>IF(S$154="","",INDEX('DEMAND BY DATE'!$CA$4:$DV$203,MATCH(S$154,'DEMAND BY DATE'!$A$4:$A$203,0),MATCH($A193,'DEMAND BY DATE'!$CA$3:$DV$3,0)))</f>
        <v>0</v>
      </c>
      <c r="T193" s="2">
        <f>IF(T$154="","",INDEX('DEMAND BY DATE'!$CA$4:$DV$203,MATCH(T$154,'DEMAND BY DATE'!$A$4:$A$203,0),MATCH($A193,'DEMAND BY DATE'!$CA$3:$DV$3,0)))</f>
        <v>0</v>
      </c>
      <c r="U193" s="2">
        <f>IF(U$154="","",INDEX('DEMAND BY DATE'!$CA$4:$DV$203,MATCH(U$154,'DEMAND BY DATE'!$A$4:$A$203,0),MATCH($A193,'DEMAND BY DATE'!$CA$3:$DV$3,0)))</f>
        <v>0</v>
      </c>
      <c r="V193" s="2">
        <f>IF(V$154="","",INDEX('DEMAND BY DATE'!$CA$4:$DV$203,MATCH(V$154,'DEMAND BY DATE'!$A$4:$A$203,0),MATCH($A193,'DEMAND BY DATE'!$CA$3:$DV$3,0)))</f>
        <v>0</v>
      </c>
      <c r="W193" s="2">
        <f>IF(W$154="","",INDEX('DEMAND BY DATE'!$CA$4:$DV$203,MATCH(W$154,'DEMAND BY DATE'!$A$4:$A$203,0),MATCH($A193,'DEMAND BY DATE'!$CA$3:$DV$3,0)))</f>
        <v>0</v>
      </c>
      <c r="X193" s="2">
        <f>IF(X$154="","",INDEX('DEMAND BY DATE'!$CA$4:$DV$203,MATCH(X$154,'DEMAND BY DATE'!$A$4:$A$203,0),MATCH($A193,'DEMAND BY DATE'!$CA$3:$DV$3,0)))</f>
        <v>0</v>
      </c>
      <c r="Y193" s="2">
        <f>IF(Y$154="","",INDEX('DEMAND BY DATE'!$CA$4:$DV$203,MATCH(Y$154,'DEMAND BY DATE'!$A$4:$A$203,0),MATCH($A193,'DEMAND BY DATE'!$CA$3:$DV$3,0)))</f>
        <v>0</v>
      </c>
      <c r="Z193" s="2">
        <f>IF(Z$154="","",INDEX('DEMAND BY DATE'!$CA$4:$DV$203,MATCH(Z$154,'DEMAND BY DATE'!$A$4:$A$203,0),MATCH($A193,'DEMAND BY DATE'!$CA$3:$DV$3,0)))</f>
        <v>0</v>
      </c>
      <c r="AA193" s="2">
        <f>IF(AA$154="","",INDEX('DEMAND BY DATE'!$CA$4:$DV$203,MATCH(AA$154,'DEMAND BY DATE'!$A$4:$A$203,0),MATCH($A193,'DEMAND BY DATE'!$CA$3:$DV$3,0)))</f>
        <v>0</v>
      </c>
      <c r="AB193" s="2">
        <f>IF(AB$154="","",INDEX('DEMAND BY DATE'!$CA$4:$DV$203,MATCH(AB$154,'DEMAND BY DATE'!$A$4:$A$203,0),MATCH($A193,'DEMAND BY DATE'!$CA$3:$DV$3,0)))</f>
        <v>0</v>
      </c>
      <c r="AC193" s="2">
        <f>IF(AC$154="","",INDEX('DEMAND BY DATE'!$CA$4:$DV$203,MATCH(AC$154,'DEMAND BY DATE'!$A$4:$A$203,0),MATCH($A193,'DEMAND BY DATE'!$CA$3:$DV$3,0)))</f>
        <v>0</v>
      </c>
      <c r="AD193" s="2">
        <f>IF(AD$154="","",INDEX('DEMAND BY DATE'!$CA$4:$DV$203,MATCH(AD$154,'DEMAND BY DATE'!$A$4:$A$203,0),MATCH($A193,'DEMAND BY DATE'!$CA$3:$DV$3,0)))</f>
        <v>0</v>
      </c>
      <c r="AE193" s="2">
        <f>IF(AE$154="","",INDEX('DEMAND BY DATE'!$CA$4:$DV$203,MATCH(AE$154,'DEMAND BY DATE'!$A$4:$A$203,0),MATCH($A193,'DEMAND BY DATE'!$CA$3:$DV$3,0)))</f>
        <v>0</v>
      </c>
      <c r="AF193" s="2">
        <f>IF(AF$154="","",INDEX('DEMAND BY DATE'!$CA$4:$DV$203,MATCH(AF$154,'DEMAND BY DATE'!$A$4:$A$203,0),MATCH($A193,'DEMAND BY DATE'!$CA$3:$DV$3,0)))</f>
        <v>0</v>
      </c>
      <c r="AG193" s="2">
        <f>IF(AG$154="","",INDEX('DEMAND BY DATE'!$CA$4:$DV$203,MATCH(AG$154,'DEMAND BY DATE'!$A$4:$A$203,0),MATCH($A193,'DEMAND BY DATE'!$CA$3:$DV$3,0)))</f>
        <v>0</v>
      </c>
      <c r="AH193" s="2">
        <f>IF(AH$154="","",INDEX('DEMAND BY DATE'!$CA$4:$DV$203,MATCH(AH$154,'DEMAND BY DATE'!$A$4:$A$203,0),MATCH($A193,'DEMAND BY DATE'!$CA$3:$DV$3,0)))</f>
        <v>0</v>
      </c>
      <c r="AI193" s="2">
        <f>IF(AI$154="","",INDEX('DEMAND BY DATE'!$CA$4:$DV$203,MATCH(AI$154,'DEMAND BY DATE'!$A$4:$A$203,0),MATCH($A193,'DEMAND BY DATE'!$CA$3:$DV$3,0)))</f>
        <v>0</v>
      </c>
      <c r="AJ193" s="2">
        <f>IF(AJ$154="","",INDEX('DEMAND BY DATE'!$CA$4:$DV$203,MATCH(AJ$154,'DEMAND BY DATE'!$A$4:$A$203,0),MATCH($A193,'DEMAND BY DATE'!$CA$3:$DV$3,0)))</f>
        <v>0</v>
      </c>
      <c r="AK193" s="2">
        <f>IF(AK$154="","",INDEX('DEMAND BY DATE'!$CA$4:$DV$203,MATCH(AK$154,'DEMAND BY DATE'!$A$4:$A$203,0),MATCH($A193,'DEMAND BY DATE'!$CA$3:$DV$3,0)))</f>
        <v>0</v>
      </c>
    </row>
    <row r="194" spans="1:37">
      <c r="A194" s="2">
        <f>$A$72</f>
        <v>5220</v>
      </c>
      <c r="B194" s="2" t="str">
        <f>$AG$72</f>
        <v>NEEDS INPUT</v>
      </c>
      <c r="C194" s="2">
        <f>$AB$72</f>
        <v>27</v>
      </c>
      <c r="D194" s="2">
        <f>MAX($G194:$AK194)</f>
        <v>0</v>
      </c>
      <c r="F194" s="2" cm="1">
        <f t="array" ref="F194">SUMPRODUCT((ISNUMBER($G194:$AK194))*($G194:$AK194&gt;0)*($G$151:$AK$151="Y"))</f>
        <v>0</v>
      </c>
      <c r="G194" s="2">
        <f>IF(G$154="","",INDEX('DEMAND BY DATE'!$CA$4:$DV$203,MATCH(G$154,'DEMAND BY DATE'!$A$4:$A$203,0),MATCH($A194,'DEMAND BY DATE'!$CA$3:$DV$3,0)))</f>
        <v>0</v>
      </c>
      <c r="H194" s="2">
        <f>IF(H$154="","",INDEX('DEMAND BY DATE'!$CA$4:$DV$203,MATCH(H$154,'DEMAND BY DATE'!$A$4:$A$203,0),MATCH($A194,'DEMAND BY DATE'!$CA$3:$DV$3,0)))</f>
        <v>0</v>
      </c>
      <c r="I194" s="2">
        <f>IF(I$154="","",INDEX('DEMAND BY DATE'!$CA$4:$DV$203,MATCH(I$154,'DEMAND BY DATE'!$A$4:$A$203,0),MATCH($A194,'DEMAND BY DATE'!$CA$3:$DV$3,0)))</f>
        <v>0</v>
      </c>
      <c r="J194" s="2">
        <f>IF(J$154="","",INDEX('DEMAND BY DATE'!$CA$4:$DV$203,MATCH(J$154,'DEMAND BY DATE'!$A$4:$A$203,0),MATCH($A194,'DEMAND BY DATE'!$CA$3:$DV$3,0)))</f>
        <v>0</v>
      </c>
      <c r="K194" s="2">
        <f>IF(K$154="","",INDEX('DEMAND BY DATE'!$CA$4:$DV$203,MATCH(K$154,'DEMAND BY DATE'!$A$4:$A$203,0),MATCH($A194,'DEMAND BY DATE'!$CA$3:$DV$3,0)))</f>
        <v>0</v>
      </c>
      <c r="L194" s="2">
        <f>IF(L$154="","",INDEX('DEMAND BY DATE'!$CA$4:$DV$203,MATCH(L$154,'DEMAND BY DATE'!$A$4:$A$203,0),MATCH($A194,'DEMAND BY DATE'!$CA$3:$DV$3,0)))</f>
        <v>0</v>
      </c>
      <c r="M194" s="2">
        <f>IF(M$154="","",INDEX('DEMAND BY DATE'!$CA$4:$DV$203,MATCH(M$154,'DEMAND BY DATE'!$A$4:$A$203,0),MATCH($A194,'DEMAND BY DATE'!$CA$3:$DV$3,0)))</f>
        <v>0</v>
      </c>
      <c r="N194" s="2">
        <f>IF(N$154="","",INDEX('DEMAND BY DATE'!$CA$4:$DV$203,MATCH(N$154,'DEMAND BY DATE'!$A$4:$A$203,0),MATCH($A194,'DEMAND BY DATE'!$CA$3:$DV$3,0)))</f>
        <v>0</v>
      </c>
      <c r="O194" s="2">
        <f>IF(O$154="","",INDEX('DEMAND BY DATE'!$CA$4:$DV$203,MATCH(O$154,'DEMAND BY DATE'!$A$4:$A$203,0),MATCH($A194,'DEMAND BY DATE'!$CA$3:$DV$3,0)))</f>
        <v>0</v>
      </c>
      <c r="P194" s="2">
        <f>IF(P$154="","",INDEX('DEMAND BY DATE'!$CA$4:$DV$203,MATCH(P$154,'DEMAND BY DATE'!$A$4:$A$203,0),MATCH($A194,'DEMAND BY DATE'!$CA$3:$DV$3,0)))</f>
        <v>0</v>
      </c>
      <c r="Q194" s="2">
        <f>IF(Q$154="","",INDEX('DEMAND BY DATE'!$CA$4:$DV$203,MATCH(Q$154,'DEMAND BY DATE'!$A$4:$A$203,0),MATCH($A194,'DEMAND BY DATE'!$CA$3:$DV$3,0)))</f>
        <v>0</v>
      </c>
      <c r="R194" s="2">
        <f>IF(R$154="","",INDEX('DEMAND BY DATE'!$CA$4:$DV$203,MATCH(R$154,'DEMAND BY DATE'!$A$4:$A$203,0),MATCH($A194,'DEMAND BY DATE'!$CA$3:$DV$3,0)))</f>
        <v>0</v>
      </c>
      <c r="S194" s="2">
        <f>IF(S$154="","",INDEX('DEMAND BY DATE'!$CA$4:$DV$203,MATCH(S$154,'DEMAND BY DATE'!$A$4:$A$203,0),MATCH($A194,'DEMAND BY DATE'!$CA$3:$DV$3,0)))</f>
        <v>0</v>
      </c>
      <c r="T194" s="2">
        <f>IF(T$154="","",INDEX('DEMAND BY DATE'!$CA$4:$DV$203,MATCH(T$154,'DEMAND BY DATE'!$A$4:$A$203,0),MATCH($A194,'DEMAND BY DATE'!$CA$3:$DV$3,0)))</f>
        <v>0</v>
      </c>
      <c r="U194" s="2">
        <f>IF(U$154="","",INDEX('DEMAND BY DATE'!$CA$4:$DV$203,MATCH(U$154,'DEMAND BY DATE'!$A$4:$A$203,0),MATCH($A194,'DEMAND BY DATE'!$CA$3:$DV$3,0)))</f>
        <v>0</v>
      </c>
      <c r="V194" s="2">
        <f>IF(V$154="","",INDEX('DEMAND BY DATE'!$CA$4:$DV$203,MATCH(V$154,'DEMAND BY DATE'!$A$4:$A$203,0),MATCH($A194,'DEMAND BY DATE'!$CA$3:$DV$3,0)))</f>
        <v>0</v>
      </c>
      <c r="W194" s="2">
        <f>IF(W$154="","",INDEX('DEMAND BY DATE'!$CA$4:$DV$203,MATCH(W$154,'DEMAND BY DATE'!$A$4:$A$203,0),MATCH($A194,'DEMAND BY DATE'!$CA$3:$DV$3,0)))</f>
        <v>0</v>
      </c>
      <c r="X194" s="2">
        <f>IF(X$154="","",INDEX('DEMAND BY DATE'!$CA$4:$DV$203,MATCH(X$154,'DEMAND BY DATE'!$A$4:$A$203,0),MATCH($A194,'DEMAND BY DATE'!$CA$3:$DV$3,0)))</f>
        <v>0</v>
      </c>
      <c r="Y194" s="2">
        <f>IF(Y$154="","",INDEX('DEMAND BY DATE'!$CA$4:$DV$203,MATCH(Y$154,'DEMAND BY DATE'!$A$4:$A$203,0),MATCH($A194,'DEMAND BY DATE'!$CA$3:$DV$3,0)))</f>
        <v>0</v>
      </c>
      <c r="Z194" s="2">
        <f>IF(Z$154="","",INDEX('DEMAND BY DATE'!$CA$4:$DV$203,MATCH(Z$154,'DEMAND BY DATE'!$A$4:$A$203,0),MATCH($A194,'DEMAND BY DATE'!$CA$3:$DV$3,0)))</f>
        <v>0</v>
      </c>
      <c r="AA194" s="2">
        <f>IF(AA$154="","",INDEX('DEMAND BY DATE'!$CA$4:$DV$203,MATCH(AA$154,'DEMAND BY DATE'!$A$4:$A$203,0),MATCH($A194,'DEMAND BY DATE'!$CA$3:$DV$3,0)))</f>
        <v>0</v>
      </c>
      <c r="AB194" s="2">
        <f>IF(AB$154="","",INDEX('DEMAND BY DATE'!$CA$4:$DV$203,MATCH(AB$154,'DEMAND BY DATE'!$A$4:$A$203,0),MATCH($A194,'DEMAND BY DATE'!$CA$3:$DV$3,0)))</f>
        <v>0</v>
      </c>
      <c r="AC194" s="2">
        <f>IF(AC$154="","",INDEX('DEMAND BY DATE'!$CA$4:$DV$203,MATCH(AC$154,'DEMAND BY DATE'!$A$4:$A$203,0),MATCH($A194,'DEMAND BY DATE'!$CA$3:$DV$3,0)))</f>
        <v>0</v>
      </c>
      <c r="AD194" s="2">
        <f>IF(AD$154="","",INDEX('DEMAND BY DATE'!$CA$4:$DV$203,MATCH(AD$154,'DEMAND BY DATE'!$A$4:$A$203,0),MATCH($A194,'DEMAND BY DATE'!$CA$3:$DV$3,0)))</f>
        <v>0</v>
      </c>
      <c r="AE194" s="2">
        <f>IF(AE$154="","",INDEX('DEMAND BY DATE'!$CA$4:$DV$203,MATCH(AE$154,'DEMAND BY DATE'!$A$4:$A$203,0),MATCH($A194,'DEMAND BY DATE'!$CA$3:$DV$3,0)))</f>
        <v>0</v>
      </c>
      <c r="AF194" s="2">
        <f>IF(AF$154="","",INDEX('DEMAND BY DATE'!$CA$4:$DV$203,MATCH(AF$154,'DEMAND BY DATE'!$A$4:$A$203,0),MATCH($A194,'DEMAND BY DATE'!$CA$3:$DV$3,0)))</f>
        <v>0</v>
      </c>
      <c r="AG194" s="2">
        <f>IF(AG$154="","",INDEX('DEMAND BY DATE'!$CA$4:$DV$203,MATCH(AG$154,'DEMAND BY DATE'!$A$4:$A$203,0),MATCH($A194,'DEMAND BY DATE'!$CA$3:$DV$3,0)))</f>
        <v>0</v>
      </c>
      <c r="AH194" s="2">
        <f>IF(AH$154="","",INDEX('DEMAND BY DATE'!$CA$4:$DV$203,MATCH(AH$154,'DEMAND BY DATE'!$A$4:$A$203,0),MATCH($A194,'DEMAND BY DATE'!$CA$3:$DV$3,0)))</f>
        <v>0</v>
      </c>
      <c r="AI194" s="2">
        <f>IF(AI$154="","",INDEX('DEMAND BY DATE'!$CA$4:$DV$203,MATCH(AI$154,'DEMAND BY DATE'!$A$4:$A$203,0),MATCH($A194,'DEMAND BY DATE'!$CA$3:$DV$3,0)))</f>
        <v>0</v>
      </c>
      <c r="AJ194" s="2">
        <f>IF(AJ$154="","",INDEX('DEMAND BY DATE'!$CA$4:$DV$203,MATCH(AJ$154,'DEMAND BY DATE'!$A$4:$A$203,0),MATCH($A194,'DEMAND BY DATE'!$CA$3:$DV$3,0)))</f>
        <v>0</v>
      </c>
      <c r="AK194" s="2">
        <f>IF(AK$154="","",INDEX('DEMAND BY DATE'!$CA$4:$DV$203,MATCH(AK$154,'DEMAND BY DATE'!$A$4:$A$203,0),MATCH($A194,'DEMAND BY DATE'!$CA$3:$DV$3,0)))</f>
        <v>0</v>
      </c>
    </row>
    <row r="195" spans="1:37">
      <c r="A195" s="2">
        <f>$A$73</f>
        <v>5500</v>
      </c>
      <c r="B195" s="2" t="str">
        <f>$AG$73</f>
        <v>NEEDS INPUT</v>
      </c>
      <c r="C195" s="2">
        <f>$AB$73</f>
        <v>14</v>
      </c>
      <c r="D195" s="2">
        <f>MAX($G195:$AK195)</f>
        <v>0</v>
      </c>
      <c r="F195" s="2" cm="1">
        <f t="array" ref="F195">SUMPRODUCT((ISNUMBER($G195:$AK195))*($G195:$AK195&gt;0)*($G$151:$AK$151="Y"))</f>
        <v>0</v>
      </c>
      <c r="G195" s="2">
        <f>IF(G$154="","",INDEX('DEMAND BY DATE'!$CA$4:$DV$203,MATCH(G$154,'DEMAND BY DATE'!$A$4:$A$203,0),MATCH($A195,'DEMAND BY DATE'!$CA$3:$DV$3,0)))</f>
        <v>0</v>
      </c>
      <c r="H195" s="2">
        <f>IF(H$154="","",INDEX('DEMAND BY DATE'!$CA$4:$DV$203,MATCH(H$154,'DEMAND BY DATE'!$A$4:$A$203,0),MATCH($A195,'DEMAND BY DATE'!$CA$3:$DV$3,0)))</f>
        <v>0</v>
      </c>
      <c r="I195" s="2">
        <f>IF(I$154="","",INDEX('DEMAND BY DATE'!$CA$4:$DV$203,MATCH(I$154,'DEMAND BY DATE'!$A$4:$A$203,0),MATCH($A195,'DEMAND BY DATE'!$CA$3:$DV$3,0)))</f>
        <v>0</v>
      </c>
      <c r="J195" s="2">
        <f>IF(J$154="","",INDEX('DEMAND BY DATE'!$CA$4:$DV$203,MATCH(J$154,'DEMAND BY DATE'!$A$4:$A$203,0),MATCH($A195,'DEMAND BY DATE'!$CA$3:$DV$3,0)))</f>
        <v>0</v>
      </c>
      <c r="K195" s="2">
        <f>IF(K$154="","",INDEX('DEMAND BY DATE'!$CA$4:$DV$203,MATCH(K$154,'DEMAND BY DATE'!$A$4:$A$203,0),MATCH($A195,'DEMAND BY DATE'!$CA$3:$DV$3,0)))</f>
        <v>0</v>
      </c>
      <c r="L195" s="2">
        <f>IF(L$154="","",INDEX('DEMAND BY DATE'!$CA$4:$DV$203,MATCH(L$154,'DEMAND BY DATE'!$A$4:$A$203,0),MATCH($A195,'DEMAND BY DATE'!$CA$3:$DV$3,0)))</f>
        <v>0</v>
      </c>
      <c r="M195" s="2">
        <f>IF(M$154="","",INDEX('DEMAND BY DATE'!$CA$4:$DV$203,MATCH(M$154,'DEMAND BY DATE'!$A$4:$A$203,0),MATCH($A195,'DEMAND BY DATE'!$CA$3:$DV$3,0)))</f>
        <v>0</v>
      </c>
      <c r="N195" s="2">
        <f>IF(N$154="","",INDEX('DEMAND BY DATE'!$CA$4:$DV$203,MATCH(N$154,'DEMAND BY DATE'!$A$4:$A$203,0),MATCH($A195,'DEMAND BY DATE'!$CA$3:$DV$3,0)))</f>
        <v>0</v>
      </c>
      <c r="O195" s="2">
        <f>IF(O$154="","",INDEX('DEMAND BY DATE'!$CA$4:$DV$203,MATCH(O$154,'DEMAND BY DATE'!$A$4:$A$203,0),MATCH($A195,'DEMAND BY DATE'!$CA$3:$DV$3,0)))</f>
        <v>0</v>
      </c>
      <c r="P195" s="2">
        <f>IF(P$154="","",INDEX('DEMAND BY DATE'!$CA$4:$DV$203,MATCH(P$154,'DEMAND BY DATE'!$A$4:$A$203,0),MATCH($A195,'DEMAND BY DATE'!$CA$3:$DV$3,0)))</f>
        <v>0</v>
      </c>
      <c r="Q195" s="2">
        <f>IF(Q$154="","",INDEX('DEMAND BY DATE'!$CA$4:$DV$203,MATCH(Q$154,'DEMAND BY DATE'!$A$4:$A$203,0),MATCH($A195,'DEMAND BY DATE'!$CA$3:$DV$3,0)))</f>
        <v>0</v>
      </c>
      <c r="R195" s="2">
        <f>IF(R$154="","",INDEX('DEMAND BY DATE'!$CA$4:$DV$203,MATCH(R$154,'DEMAND BY DATE'!$A$4:$A$203,0),MATCH($A195,'DEMAND BY DATE'!$CA$3:$DV$3,0)))</f>
        <v>0</v>
      </c>
      <c r="S195" s="2">
        <f>IF(S$154="","",INDEX('DEMAND BY DATE'!$CA$4:$DV$203,MATCH(S$154,'DEMAND BY DATE'!$A$4:$A$203,0),MATCH($A195,'DEMAND BY DATE'!$CA$3:$DV$3,0)))</f>
        <v>0</v>
      </c>
      <c r="T195" s="2">
        <f>IF(T$154="","",INDEX('DEMAND BY DATE'!$CA$4:$DV$203,MATCH(T$154,'DEMAND BY DATE'!$A$4:$A$203,0),MATCH($A195,'DEMAND BY DATE'!$CA$3:$DV$3,0)))</f>
        <v>0</v>
      </c>
      <c r="U195" s="2">
        <f>IF(U$154="","",INDEX('DEMAND BY DATE'!$CA$4:$DV$203,MATCH(U$154,'DEMAND BY DATE'!$A$4:$A$203,0),MATCH($A195,'DEMAND BY DATE'!$CA$3:$DV$3,0)))</f>
        <v>0</v>
      </c>
      <c r="V195" s="2">
        <f>IF(V$154="","",INDEX('DEMAND BY DATE'!$CA$4:$DV$203,MATCH(V$154,'DEMAND BY DATE'!$A$4:$A$203,0),MATCH($A195,'DEMAND BY DATE'!$CA$3:$DV$3,0)))</f>
        <v>0</v>
      </c>
      <c r="W195" s="2">
        <f>IF(W$154="","",INDEX('DEMAND BY DATE'!$CA$4:$DV$203,MATCH(W$154,'DEMAND BY DATE'!$A$4:$A$203,0),MATCH($A195,'DEMAND BY DATE'!$CA$3:$DV$3,0)))</f>
        <v>0</v>
      </c>
      <c r="X195" s="2">
        <f>IF(X$154="","",INDEX('DEMAND BY DATE'!$CA$4:$DV$203,MATCH(X$154,'DEMAND BY DATE'!$A$4:$A$203,0),MATCH($A195,'DEMAND BY DATE'!$CA$3:$DV$3,0)))</f>
        <v>0</v>
      </c>
      <c r="Y195" s="2">
        <f>IF(Y$154="","",INDEX('DEMAND BY DATE'!$CA$4:$DV$203,MATCH(Y$154,'DEMAND BY DATE'!$A$4:$A$203,0),MATCH($A195,'DEMAND BY DATE'!$CA$3:$DV$3,0)))</f>
        <v>0</v>
      </c>
      <c r="Z195" s="2">
        <f>IF(Z$154="","",INDEX('DEMAND BY DATE'!$CA$4:$DV$203,MATCH(Z$154,'DEMAND BY DATE'!$A$4:$A$203,0),MATCH($A195,'DEMAND BY DATE'!$CA$3:$DV$3,0)))</f>
        <v>0</v>
      </c>
      <c r="AA195" s="2">
        <f>IF(AA$154="","",INDEX('DEMAND BY DATE'!$CA$4:$DV$203,MATCH(AA$154,'DEMAND BY DATE'!$A$4:$A$203,0),MATCH($A195,'DEMAND BY DATE'!$CA$3:$DV$3,0)))</f>
        <v>0</v>
      </c>
      <c r="AB195" s="2">
        <f>IF(AB$154="","",INDEX('DEMAND BY DATE'!$CA$4:$DV$203,MATCH(AB$154,'DEMAND BY DATE'!$A$4:$A$203,0),MATCH($A195,'DEMAND BY DATE'!$CA$3:$DV$3,0)))</f>
        <v>0</v>
      </c>
      <c r="AC195" s="2">
        <f>IF(AC$154="","",INDEX('DEMAND BY DATE'!$CA$4:$DV$203,MATCH(AC$154,'DEMAND BY DATE'!$A$4:$A$203,0),MATCH($A195,'DEMAND BY DATE'!$CA$3:$DV$3,0)))</f>
        <v>0</v>
      </c>
      <c r="AD195" s="2">
        <f>IF(AD$154="","",INDEX('DEMAND BY DATE'!$CA$4:$DV$203,MATCH(AD$154,'DEMAND BY DATE'!$A$4:$A$203,0),MATCH($A195,'DEMAND BY DATE'!$CA$3:$DV$3,0)))</f>
        <v>0</v>
      </c>
      <c r="AE195" s="2">
        <f>IF(AE$154="","",INDEX('DEMAND BY DATE'!$CA$4:$DV$203,MATCH(AE$154,'DEMAND BY DATE'!$A$4:$A$203,0),MATCH($A195,'DEMAND BY DATE'!$CA$3:$DV$3,0)))</f>
        <v>0</v>
      </c>
      <c r="AF195" s="2">
        <f>IF(AF$154="","",INDEX('DEMAND BY DATE'!$CA$4:$DV$203,MATCH(AF$154,'DEMAND BY DATE'!$A$4:$A$203,0),MATCH($A195,'DEMAND BY DATE'!$CA$3:$DV$3,0)))</f>
        <v>0</v>
      </c>
      <c r="AG195" s="2">
        <f>IF(AG$154="","",INDEX('DEMAND BY DATE'!$CA$4:$DV$203,MATCH(AG$154,'DEMAND BY DATE'!$A$4:$A$203,0),MATCH($A195,'DEMAND BY DATE'!$CA$3:$DV$3,0)))</f>
        <v>0</v>
      </c>
      <c r="AH195" s="2">
        <f>IF(AH$154="","",INDEX('DEMAND BY DATE'!$CA$4:$DV$203,MATCH(AH$154,'DEMAND BY DATE'!$A$4:$A$203,0),MATCH($A195,'DEMAND BY DATE'!$CA$3:$DV$3,0)))</f>
        <v>0</v>
      </c>
      <c r="AI195" s="2">
        <f>IF(AI$154="","",INDEX('DEMAND BY DATE'!$CA$4:$DV$203,MATCH(AI$154,'DEMAND BY DATE'!$A$4:$A$203,0),MATCH($A195,'DEMAND BY DATE'!$CA$3:$DV$3,0)))</f>
        <v>0</v>
      </c>
      <c r="AJ195" s="2">
        <f>IF(AJ$154="","",INDEX('DEMAND BY DATE'!$CA$4:$DV$203,MATCH(AJ$154,'DEMAND BY DATE'!$A$4:$A$203,0),MATCH($A195,'DEMAND BY DATE'!$CA$3:$DV$3,0)))</f>
        <v>0</v>
      </c>
      <c r="AK195" s="2">
        <f>IF(AK$154="","",INDEX('DEMAND BY DATE'!$CA$4:$DV$203,MATCH(AK$154,'DEMAND BY DATE'!$A$4:$A$203,0),MATCH($A195,'DEMAND BY DATE'!$CA$3:$DV$3,0)))</f>
        <v>0</v>
      </c>
    </row>
    <row r="196" spans="1:37">
      <c r="A196" s="2">
        <f>$A$74</f>
        <v>5501</v>
      </c>
      <c r="B196" s="2" t="str">
        <f>$AG$74</f>
        <v>NEEDS INPUT</v>
      </c>
      <c r="C196" s="2">
        <f>$AB$74</f>
        <v>18</v>
      </c>
      <c r="D196" s="2">
        <f>MAX($G196:$AK196)</f>
        <v>0</v>
      </c>
      <c r="F196" s="2" cm="1">
        <f t="array" ref="F196">SUMPRODUCT((ISNUMBER($G196:$AK196))*($G196:$AK196&gt;0)*($G$151:$AK$151="Y"))</f>
        <v>0</v>
      </c>
      <c r="G196" s="2">
        <f>IF(G$154="","",INDEX('DEMAND BY DATE'!$CA$4:$DV$203,MATCH(G$154,'DEMAND BY DATE'!$A$4:$A$203,0),MATCH($A196,'DEMAND BY DATE'!$CA$3:$DV$3,0)))</f>
        <v>0</v>
      </c>
      <c r="H196" s="2">
        <f>IF(H$154="","",INDEX('DEMAND BY DATE'!$CA$4:$DV$203,MATCH(H$154,'DEMAND BY DATE'!$A$4:$A$203,0),MATCH($A196,'DEMAND BY DATE'!$CA$3:$DV$3,0)))</f>
        <v>0</v>
      </c>
      <c r="I196" s="2">
        <f>IF(I$154="","",INDEX('DEMAND BY DATE'!$CA$4:$DV$203,MATCH(I$154,'DEMAND BY DATE'!$A$4:$A$203,0),MATCH($A196,'DEMAND BY DATE'!$CA$3:$DV$3,0)))</f>
        <v>0</v>
      </c>
      <c r="J196" s="2">
        <f>IF(J$154="","",INDEX('DEMAND BY DATE'!$CA$4:$DV$203,MATCH(J$154,'DEMAND BY DATE'!$A$4:$A$203,0),MATCH($A196,'DEMAND BY DATE'!$CA$3:$DV$3,0)))</f>
        <v>0</v>
      </c>
      <c r="K196" s="2">
        <f>IF(K$154="","",INDEX('DEMAND BY DATE'!$CA$4:$DV$203,MATCH(K$154,'DEMAND BY DATE'!$A$4:$A$203,0),MATCH($A196,'DEMAND BY DATE'!$CA$3:$DV$3,0)))</f>
        <v>0</v>
      </c>
      <c r="L196" s="2">
        <f>IF(L$154="","",INDEX('DEMAND BY DATE'!$CA$4:$DV$203,MATCH(L$154,'DEMAND BY DATE'!$A$4:$A$203,0),MATCH($A196,'DEMAND BY DATE'!$CA$3:$DV$3,0)))</f>
        <v>0</v>
      </c>
      <c r="M196" s="2">
        <f>IF(M$154="","",INDEX('DEMAND BY DATE'!$CA$4:$DV$203,MATCH(M$154,'DEMAND BY DATE'!$A$4:$A$203,0),MATCH($A196,'DEMAND BY DATE'!$CA$3:$DV$3,0)))</f>
        <v>0</v>
      </c>
      <c r="N196" s="2">
        <f>IF(N$154="","",INDEX('DEMAND BY DATE'!$CA$4:$DV$203,MATCH(N$154,'DEMAND BY DATE'!$A$4:$A$203,0),MATCH($A196,'DEMAND BY DATE'!$CA$3:$DV$3,0)))</f>
        <v>0</v>
      </c>
      <c r="O196" s="2">
        <f>IF(O$154="","",INDEX('DEMAND BY DATE'!$CA$4:$DV$203,MATCH(O$154,'DEMAND BY DATE'!$A$4:$A$203,0),MATCH($A196,'DEMAND BY DATE'!$CA$3:$DV$3,0)))</f>
        <v>0</v>
      </c>
      <c r="P196" s="2">
        <f>IF(P$154="","",INDEX('DEMAND BY DATE'!$CA$4:$DV$203,MATCH(P$154,'DEMAND BY DATE'!$A$4:$A$203,0),MATCH($A196,'DEMAND BY DATE'!$CA$3:$DV$3,0)))</f>
        <v>0</v>
      </c>
      <c r="Q196" s="2">
        <f>IF(Q$154="","",INDEX('DEMAND BY DATE'!$CA$4:$DV$203,MATCH(Q$154,'DEMAND BY DATE'!$A$4:$A$203,0),MATCH($A196,'DEMAND BY DATE'!$CA$3:$DV$3,0)))</f>
        <v>0</v>
      </c>
      <c r="R196" s="2">
        <f>IF(R$154="","",INDEX('DEMAND BY DATE'!$CA$4:$DV$203,MATCH(R$154,'DEMAND BY DATE'!$A$4:$A$203,0),MATCH($A196,'DEMAND BY DATE'!$CA$3:$DV$3,0)))</f>
        <v>0</v>
      </c>
      <c r="S196" s="2">
        <f>IF(S$154="","",INDEX('DEMAND BY DATE'!$CA$4:$DV$203,MATCH(S$154,'DEMAND BY DATE'!$A$4:$A$203,0),MATCH($A196,'DEMAND BY DATE'!$CA$3:$DV$3,0)))</f>
        <v>0</v>
      </c>
      <c r="T196" s="2">
        <f>IF(T$154="","",INDEX('DEMAND BY DATE'!$CA$4:$DV$203,MATCH(T$154,'DEMAND BY DATE'!$A$4:$A$203,0),MATCH($A196,'DEMAND BY DATE'!$CA$3:$DV$3,0)))</f>
        <v>0</v>
      </c>
      <c r="U196" s="2">
        <f>IF(U$154="","",INDEX('DEMAND BY DATE'!$CA$4:$DV$203,MATCH(U$154,'DEMAND BY DATE'!$A$4:$A$203,0),MATCH($A196,'DEMAND BY DATE'!$CA$3:$DV$3,0)))</f>
        <v>0</v>
      </c>
      <c r="V196" s="2">
        <f>IF(V$154="","",INDEX('DEMAND BY DATE'!$CA$4:$DV$203,MATCH(V$154,'DEMAND BY DATE'!$A$4:$A$203,0),MATCH($A196,'DEMAND BY DATE'!$CA$3:$DV$3,0)))</f>
        <v>0</v>
      </c>
      <c r="W196" s="2">
        <f>IF(W$154="","",INDEX('DEMAND BY DATE'!$CA$4:$DV$203,MATCH(W$154,'DEMAND BY DATE'!$A$4:$A$203,0),MATCH($A196,'DEMAND BY DATE'!$CA$3:$DV$3,0)))</f>
        <v>0</v>
      </c>
      <c r="X196" s="2">
        <f>IF(X$154="","",INDEX('DEMAND BY DATE'!$CA$4:$DV$203,MATCH(X$154,'DEMAND BY DATE'!$A$4:$A$203,0),MATCH($A196,'DEMAND BY DATE'!$CA$3:$DV$3,0)))</f>
        <v>0</v>
      </c>
      <c r="Y196" s="2">
        <f>IF(Y$154="","",INDEX('DEMAND BY DATE'!$CA$4:$DV$203,MATCH(Y$154,'DEMAND BY DATE'!$A$4:$A$203,0),MATCH($A196,'DEMAND BY DATE'!$CA$3:$DV$3,0)))</f>
        <v>0</v>
      </c>
      <c r="Z196" s="2">
        <f>IF(Z$154="","",INDEX('DEMAND BY DATE'!$CA$4:$DV$203,MATCH(Z$154,'DEMAND BY DATE'!$A$4:$A$203,0),MATCH($A196,'DEMAND BY DATE'!$CA$3:$DV$3,0)))</f>
        <v>0</v>
      </c>
      <c r="AA196" s="2">
        <f>IF(AA$154="","",INDEX('DEMAND BY DATE'!$CA$4:$DV$203,MATCH(AA$154,'DEMAND BY DATE'!$A$4:$A$203,0),MATCH($A196,'DEMAND BY DATE'!$CA$3:$DV$3,0)))</f>
        <v>0</v>
      </c>
      <c r="AB196" s="2">
        <f>IF(AB$154="","",INDEX('DEMAND BY DATE'!$CA$4:$DV$203,MATCH(AB$154,'DEMAND BY DATE'!$A$4:$A$203,0),MATCH($A196,'DEMAND BY DATE'!$CA$3:$DV$3,0)))</f>
        <v>0</v>
      </c>
      <c r="AC196" s="2">
        <f>IF(AC$154="","",INDEX('DEMAND BY DATE'!$CA$4:$DV$203,MATCH(AC$154,'DEMAND BY DATE'!$A$4:$A$203,0),MATCH($A196,'DEMAND BY DATE'!$CA$3:$DV$3,0)))</f>
        <v>0</v>
      </c>
      <c r="AD196" s="2">
        <f>IF(AD$154="","",INDEX('DEMAND BY DATE'!$CA$4:$DV$203,MATCH(AD$154,'DEMAND BY DATE'!$A$4:$A$203,0),MATCH($A196,'DEMAND BY DATE'!$CA$3:$DV$3,0)))</f>
        <v>0</v>
      </c>
      <c r="AE196" s="2">
        <f>IF(AE$154="","",INDEX('DEMAND BY DATE'!$CA$4:$DV$203,MATCH(AE$154,'DEMAND BY DATE'!$A$4:$A$203,0),MATCH($A196,'DEMAND BY DATE'!$CA$3:$DV$3,0)))</f>
        <v>0</v>
      </c>
      <c r="AF196" s="2">
        <f>IF(AF$154="","",INDEX('DEMAND BY DATE'!$CA$4:$DV$203,MATCH(AF$154,'DEMAND BY DATE'!$A$4:$A$203,0),MATCH($A196,'DEMAND BY DATE'!$CA$3:$DV$3,0)))</f>
        <v>0</v>
      </c>
      <c r="AG196" s="2">
        <f>IF(AG$154="","",INDEX('DEMAND BY DATE'!$CA$4:$DV$203,MATCH(AG$154,'DEMAND BY DATE'!$A$4:$A$203,0),MATCH($A196,'DEMAND BY DATE'!$CA$3:$DV$3,0)))</f>
        <v>0</v>
      </c>
      <c r="AH196" s="2">
        <f>IF(AH$154="","",INDEX('DEMAND BY DATE'!$CA$4:$DV$203,MATCH(AH$154,'DEMAND BY DATE'!$A$4:$A$203,0),MATCH($A196,'DEMAND BY DATE'!$CA$3:$DV$3,0)))</f>
        <v>0</v>
      </c>
      <c r="AI196" s="2">
        <f>IF(AI$154="","",INDEX('DEMAND BY DATE'!$CA$4:$DV$203,MATCH(AI$154,'DEMAND BY DATE'!$A$4:$A$203,0),MATCH($A196,'DEMAND BY DATE'!$CA$3:$DV$3,0)))</f>
        <v>0</v>
      </c>
      <c r="AJ196" s="2">
        <f>IF(AJ$154="","",INDEX('DEMAND BY DATE'!$CA$4:$DV$203,MATCH(AJ$154,'DEMAND BY DATE'!$A$4:$A$203,0),MATCH($A196,'DEMAND BY DATE'!$CA$3:$DV$3,0)))</f>
        <v>0</v>
      </c>
      <c r="AK196" s="2">
        <f>IF(AK$154="","",INDEX('DEMAND BY DATE'!$CA$4:$DV$203,MATCH(AK$154,'DEMAND BY DATE'!$A$4:$A$203,0),MATCH($A196,'DEMAND BY DATE'!$CA$3:$DV$3,0)))</f>
        <v>0</v>
      </c>
    </row>
    <row r="197" spans="1:37">
      <c r="A197" s="2" t="str">
        <f>$A$75</f>
        <v>POLO</v>
      </c>
      <c r="B197" s="2" t="str">
        <f>$AG$75</f>
        <v>POLO</v>
      </c>
      <c r="C197" s="2">
        <f>$AB$75</f>
        <v>26</v>
      </c>
      <c r="D197" s="2">
        <f>MAX($G197:$AK197)</f>
        <v>0</v>
      </c>
      <c r="F197" s="2" cm="1">
        <f t="array" ref="F197">SUMPRODUCT((ISNUMBER($G197:$AK197))*($G197:$AK197&gt;0)*($G$151:$AK$151="Y"))</f>
        <v>0</v>
      </c>
      <c r="G197" s="2">
        <f>IF(G$154="","",INDEX('DEMAND BY DATE'!$CA$4:$DV$203,MATCH(G$154,'DEMAND BY DATE'!$A$4:$A$203,0),MATCH($A197,'DEMAND BY DATE'!$CA$3:$DV$3,0)))</f>
        <v>0</v>
      </c>
      <c r="H197" s="2">
        <f>IF(H$154="","",INDEX('DEMAND BY DATE'!$CA$4:$DV$203,MATCH(H$154,'DEMAND BY DATE'!$A$4:$A$203,0),MATCH($A197,'DEMAND BY DATE'!$CA$3:$DV$3,0)))</f>
        <v>0</v>
      </c>
      <c r="I197" s="2">
        <f>IF(I$154="","",INDEX('DEMAND BY DATE'!$CA$4:$DV$203,MATCH(I$154,'DEMAND BY DATE'!$A$4:$A$203,0),MATCH($A197,'DEMAND BY DATE'!$CA$3:$DV$3,0)))</f>
        <v>0</v>
      </c>
      <c r="J197" s="2">
        <f>IF(J$154="","",INDEX('DEMAND BY DATE'!$CA$4:$DV$203,MATCH(J$154,'DEMAND BY DATE'!$A$4:$A$203,0),MATCH($A197,'DEMAND BY DATE'!$CA$3:$DV$3,0)))</f>
        <v>0</v>
      </c>
      <c r="K197" s="2">
        <f>IF(K$154="","",INDEX('DEMAND BY DATE'!$CA$4:$DV$203,MATCH(K$154,'DEMAND BY DATE'!$A$4:$A$203,0),MATCH($A197,'DEMAND BY DATE'!$CA$3:$DV$3,0)))</f>
        <v>0</v>
      </c>
      <c r="L197" s="2">
        <f>IF(L$154="","",INDEX('DEMAND BY DATE'!$CA$4:$DV$203,MATCH(L$154,'DEMAND BY DATE'!$A$4:$A$203,0),MATCH($A197,'DEMAND BY DATE'!$CA$3:$DV$3,0)))</f>
        <v>0</v>
      </c>
      <c r="M197" s="2">
        <f>IF(M$154="","",INDEX('DEMAND BY DATE'!$CA$4:$DV$203,MATCH(M$154,'DEMAND BY DATE'!$A$4:$A$203,0),MATCH($A197,'DEMAND BY DATE'!$CA$3:$DV$3,0)))</f>
        <v>0</v>
      </c>
      <c r="N197" s="2">
        <f>IF(N$154="","",INDEX('DEMAND BY DATE'!$CA$4:$DV$203,MATCH(N$154,'DEMAND BY DATE'!$A$4:$A$203,0),MATCH($A197,'DEMAND BY DATE'!$CA$3:$DV$3,0)))</f>
        <v>0</v>
      </c>
      <c r="O197" s="2">
        <f>IF(O$154="","",INDEX('DEMAND BY DATE'!$CA$4:$DV$203,MATCH(O$154,'DEMAND BY DATE'!$A$4:$A$203,0),MATCH($A197,'DEMAND BY DATE'!$CA$3:$DV$3,0)))</f>
        <v>0</v>
      </c>
      <c r="P197" s="2">
        <f>IF(P$154="","",INDEX('DEMAND BY DATE'!$CA$4:$DV$203,MATCH(P$154,'DEMAND BY DATE'!$A$4:$A$203,0),MATCH($A197,'DEMAND BY DATE'!$CA$3:$DV$3,0)))</f>
        <v>0</v>
      </c>
      <c r="Q197" s="2">
        <f>IF(Q$154="","",INDEX('DEMAND BY DATE'!$CA$4:$DV$203,MATCH(Q$154,'DEMAND BY DATE'!$A$4:$A$203,0),MATCH($A197,'DEMAND BY DATE'!$CA$3:$DV$3,0)))</f>
        <v>0</v>
      </c>
      <c r="R197" s="2">
        <f>IF(R$154="","",INDEX('DEMAND BY DATE'!$CA$4:$DV$203,MATCH(R$154,'DEMAND BY DATE'!$A$4:$A$203,0),MATCH($A197,'DEMAND BY DATE'!$CA$3:$DV$3,0)))</f>
        <v>0</v>
      </c>
      <c r="S197" s="2">
        <f>IF(S$154="","",INDEX('DEMAND BY DATE'!$CA$4:$DV$203,MATCH(S$154,'DEMAND BY DATE'!$A$4:$A$203,0),MATCH($A197,'DEMAND BY DATE'!$CA$3:$DV$3,0)))</f>
        <v>0</v>
      </c>
      <c r="T197" s="2">
        <f>IF(T$154="","",INDEX('DEMAND BY DATE'!$CA$4:$DV$203,MATCH(T$154,'DEMAND BY DATE'!$A$4:$A$203,0),MATCH($A197,'DEMAND BY DATE'!$CA$3:$DV$3,0)))</f>
        <v>0</v>
      </c>
      <c r="U197" s="2">
        <f>IF(U$154="","",INDEX('DEMAND BY DATE'!$CA$4:$DV$203,MATCH(U$154,'DEMAND BY DATE'!$A$4:$A$203,0),MATCH($A197,'DEMAND BY DATE'!$CA$3:$DV$3,0)))</f>
        <v>0</v>
      </c>
      <c r="V197" s="2">
        <f>IF(V$154="","",INDEX('DEMAND BY DATE'!$CA$4:$DV$203,MATCH(V$154,'DEMAND BY DATE'!$A$4:$A$203,0),MATCH($A197,'DEMAND BY DATE'!$CA$3:$DV$3,0)))</f>
        <v>0</v>
      </c>
      <c r="W197" s="2">
        <f>IF(W$154="","",INDEX('DEMAND BY DATE'!$CA$4:$DV$203,MATCH(W$154,'DEMAND BY DATE'!$A$4:$A$203,0),MATCH($A197,'DEMAND BY DATE'!$CA$3:$DV$3,0)))</f>
        <v>0</v>
      </c>
      <c r="X197" s="2">
        <f>IF(X$154="","",INDEX('DEMAND BY DATE'!$CA$4:$DV$203,MATCH(X$154,'DEMAND BY DATE'!$A$4:$A$203,0),MATCH($A197,'DEMAND BY DATE'!$CA$3:$DV$3,0)))</f>
        <v>0</v>
      </c>
      <c r="Y197" s="2">
        <f>IF(Y$154="","",INDEX('DEMAND BY DATE'!$CA$4:$DV$203,MATCH(Y$154,'DEMAND BY DATE'!$A$4:$A$203,0),MATCH($A197,'DEMAND BY DATE'!$CA$3:$DV$3,0)))</f>
        <v>0</v>
      </c>
      <c r="Z197" s="2">
        <f>IF(Z$154="","",INDEX('DEMAND BY DATE'!$CA$4:$DV$203,MATCH(Z$154,'DEMAND BY DATE'!$A$4:$A$203,0),MATCH($A197,'DEMAND BY DATE'!$CA$3:$DV$3,0)))</f>
        <v>0</v>
      </c>
      <c r="AA197" s="2">
        <f>IF(AA$154="","",INDEX('DEMAND BY DATE'!$CA$4:$DV$203,MATCH(AA$154,'DEMAND BY DATE'!$A$4:$A$203,0),MATCH($A197,'DEMAND BY DATE'!$CA$3:$DV$3,0)))</f>
        <v>0</v>
      </c>
      <c r="AB197" s="2">
        <f>IF(AB$154="","",INDEX('DEMAND BY DATE'!$CA$4:$DV$203,MATCH(AB$154,'DEMAND BY DATE'!$A$4:$A$203,0),MATCH($A197,'DEMAND BY DATE'!$CA$3:$DV$3,0)))</f>
        <v>0</v>
      </c>
      <c r="AC197" s="2">
        <f>IF(AC$154="","",INDEX('DEMAND BY DATE'!$CA$4:$DV$203,MATCH(AC$154,'DEMAND BY DATE'!$A$4:$A$203,0),MATCH($A197,'DEMAND BY DATE'!$CA$3:$DV$3,0)))</f>
        <v>0</v>
      </c>
      <c r="AD197" s="2">
        <f>IF(AD$154="","",INDEX('DEMAND BY DATE'!$CA$4:$DV$203,MATCH(AD$154,'DEMAND BY DATE'!$A$4:$A$203,0),MATCH($A197,'DEMAND BY DATE'!$CA$3:$DV$3,0)))</f>
        <v>0</v>
      </c>
      <c r="AE197" s="2">
        <f>IF(AE$154="","",INDEX('DEMAND BY DATE'!$CA$4:$DV$203,MATCH(AE$154,'DEMAND BY DATE'!$A$4:$A$203,0),MATCH($A197,'DEMAND BY DATE'!$CA$3:$DV$3,0)))</f>
        <v>0</v>
      </c>
      <c r="AF197" s="2">
        <f>IF(AF$154="","",INDEX('DEMAND BY DATE'!$CA$4:$DV$203,MATCH(AF$154,'DEMAND BY DATE'!$A$4:$A$203,0),MATCH($A197,'DEMAND BY DATE'!$CA$3:$DV$3,0)))</f>
        <v>0</v>
      </c>
      <c r="AG197" s="2">
        <f>IF(AG$154="","",INDEX('DEMAND BY DATE'!$CA$4:$DV$203,MATCH(AG$154,'DEMAND BY DATE'!$A$4:$A$203,0),MATCH($A197,'DEMAND BY DATE'!$CA$3:$DV$3,0)))</f>
        <v>0</v>
      </c>
      <c r="AH197" s="2">
        <f>IF(AH$154="","",INDEX('DEMAND BY DATE'!$CA$4:$DV$203,MATCH(AH$154,'DEMAND BY DATE'!$A$4:$A$203,0),MATCH($A197,'DEMAND BY DATE'!$CA$3:$DV$3,0)))</f>
        <v>0</v>
      </c>
      <c r="AI197" s="2">
        <f>IF(AI$154="","",INDEX('DEMAND BY DATE'!$CA$4:$DV$203,MATCH(AI$154,'DEMAND BY DATE'!$A$4:$A$203,0),MATCH($A197,'DEMAND BY DATE'!$CA$3:$DV$3,0)))</f>
        <v>0</v>
      </c>
      <c r="AJ197" s="2">
        <f>IF(AJ$154="","",INDEX('DEMAND BY DATE'!$CA$4:$DV$203,MATCH(AJ$154,'DEMAND BY DATE'!$A$4:$A$203,0),MATCH($A197,'DEMAND BY DATE'!$CA$3:$DV$3,0)))</f>
        <v>0</v>
      </c>
      <c r="AK197" s="2">
        <f>IF(AK$154="","",INDEX('DEMAND BY DATE'!$CA$4:$DV$203,MATCH(AK$154,'DEMAND BY DATE'!$A$4:$A$203,0),MATCH($A197,'DEMAND BY DATE'!$CA$3:$DV$3,0)))</f>
        <v>0</v>
      </c>
    </row>
    <row r="198" spans="1:37">
      <c r="A198" s="2">
        <f>$A$76</f>
        <v>5503</v>
      </c>
      <c r="B198" s="2" t="str">
        <f>$AG$76</f>
        <v>NEEDS INPUT</v>
      </c>
      <c r="C198" s="2">
        <f>$AB$76</f>
        <v>21</v>
      </c>
      <c r="D198" s="2">
        <f>MAX($G198:$AK198)</f>
        <v>0</v>
      </c>
      <c r="F198" s="2" cm="1">
        <f t="array" ref="F198">SUMPRODUCT((ISNUMBER($G198:$AK198))*($G198:$AK198&gt;0)*($G$151:$AK$151="Y"))</f>
        <v>0</v>
      </c>
      <c r="G198" s="2">
        <f>IF(G$154="","",INDEX('DEMAND BY DATE'!$CA$4:$DV$203,MATCH(G$154,'DEMAND BY DATE'!$A$4:$A$203,0),MATCH($A198,'DEMAND BY DATE'!$CA$3:$DV$3,0)))</f>
        <v>0</v>
      </c>
      <c r="H198" s="2">
        <f>IF(H$154="","",INDEX('DEMAND BY DATE'!$CA$4:$DV$203,MATCH(H$154,'DEMAND BY DATE'!$A$4:$A$203,0),MATCH($A198,'DEMAND BY DATE'!$CA$3:$DV$3,0)))</f>
        <v>0</v>
      </c>
      <c r="I198" s="2">
        <f>IF(I$154="","",INDEX('DEMAND BY DATE'!$CA$4:$DV$203,MATCH(I$154,'DEMAND BY DATE'!$A$4:$A$203,0),MATCH($A198,'DEMAND BY DATE'!$CA$3:$DV$3,0)))</f>
        <v>0</v>
      </c>
      <c r="J198" s="2">
        <f>IF(J$154="","",INDEX('DEMAND BY DATE'!$CA$4:$DV$203,MATCH(J$154,'DEMAND BY DATE'!$A$4:$A$203,0),MATCH($A198,'DEMAND BY DATE'!$CA$3:$DV$3,0)))</f>
        <v>0</v>
      </c>
      <c r="K198" s="2">
        <f>IF(K$154="","",INDEX('DEMAND BY DATE'!$CA$4:$DV$203,MATCH(K$154,'DEMAND BY DATE'!$A$4:$A$203,0),MATCH($A198,'DEMAND BY DATE'!$CA$3:$DV$3,0)))</f>
        <v>0</v>
      </c>
      <c r="L198" s="2">
        <f>IF(L$154="","",INDEX('DEMAND BY DATE'!$CA$4:$DV$203,MATCH(L$154,'DEMAND BY DATE'!$A$4:$A$203,0),MATCH($A198,'DEMAND BY DATE'!$CA$3:$DV$3,0)))</f>
        <v>0</v>
      </c>
      <c r="M198" s="2">
        <f>IF(M$154="","",INDEX('DEMAND BY DATE'!$CA$4:$DV$203,MATCH(M$154,'DEMAND BY DATE'!$A$4:$A$203,0),MATCH($A198,'DEMAND BY DATE'!$CA$3:$DV$3,0)))</f>
        <v>0</v>
      </c>
      <c r="N198" s="2">
        <f>IF(N$154="","",INDEX('DEMAND BY DATE'!$CA$4:$DV$203,MATCH(N$154,'DEMAND BY DATE'!$A$4:$A$203,0),MATCH($A198,'DEMAND BY DATE'!$CA$3:$DV$3,0)))</f>
        <v>0</v>
      </c>
      <c r="O198" s="2">
        <f>IF(O$154="","",INDEX('DEMAND BY DATE'!$CA$4:$DV$203,MATCH(O$154,'DEMAND BY DATE'!$A$4:$A$203,0),MATCH($A198,'DEMAND BY DATE'!$CA$3:$DV$3,0)))</f>
        <v>0</v>
      </c>
      <c r="P198" s="2">
        <f>IF(P$154="","",INDEX('DEMAND BY DATE'!$CA$4:$DV$203,MATCH(P$154,'DEMAND BY DATE'!$A$4:$A$203,0),MATCH($A198,'DEMAND BY DATE'!$CA$3:$DV$3,0)))</f>
        <v>0</v>
      </c>
      <c r="Q198" s="2">
        <f>IF(Q$154="","",INDEX('DEMAND BY DATE'!$CA$4:$DV$203,MATCH(Q$154,'DEMAND BY DATE'!$A$4:$A$203,0),MATCH($A198,'DEMAND BY DATE'!$CA$3:$DV$3,0)))</f>
        <v>0</v>
      </c>
      <c r="R198" s="2">
        <f>IF(R$154="","",INDEX('DEMAND BY DATE'!$CA$4:$DV$203,MATCH(R$154,'DEMAND BY DATE'!$A$4:$A$203,0),MATCH($A198,'DEMAND BY DATE'!$CA$3:$DV$3,0)))</f>
        <v>0</v>
      </c>
      <c r="S198" s="2">
        <f>IF(S$154="","",INDEX('DEMAND BY DATE'!$CA$4:$DV$203,MATCH(S$154,'DEMAND BY DATE'!$A$4:$A$203,0),MATCH($A198,'DEMAND BY DATE'!$CA$3:$DV$3,0)))</f>
        <v>0</v>
      </c>
      <c r="T198" s="2">
        <f>IF(T$154="","",INDEX('DEMAND BY DATE'!$CA$4:$DV$203,MATCH(T$154,'DEMAND BY DATE'!$A$4:$A$203,0),MATCH($A198,'DEMAND BY DATE'!$CA$3:$DV$3,0)))</f>
        <v>0</v>
      </c>
      <c r="U198" s="2">
        <f>IF(U$154="","",INDEX('DEMAND BY DATE'!$CA$4:$DV$203,MATCH(U$154,'DEMAND BY DATE'!$A$4:$A$203,0),MATCH($A198,'DEMAND BY DATE'!$CA$3:$DV$3,0)))</f>
        <v>0</v>
      </c>
      <c r="V198" s="2">
        <f>IF(V$154="","",INDEX('DEMAND BY DATE'!$CA$4:$DV$203,MATCH(V$154,'DEMAND BY DATE'!$A$4:$A$203,0),MATCH($A198,'DEMAND BY DATE'!$CA$3:$DV$3,0)))</f>
        <v>0</v>
      </c>
      <c r="W198" s="2">
        <f>IF(W$154="","",INDEX('DEMAND BY DATE'!$CA$4:$DV$203,MATCH(W$154,'DEMAND BY DATE'!$A$4:$A$203,0),MATCH($A198,'DEMAND BY DATE'!$CA$3:$DV$3,0)))</f>
        <v>0</v>
      </c>
      <c r="X198" s="2">
        <f>IF(X$154="","",INDEX('DEMAND BY DATE'!$CA$4:$DV$203,MATCH(X$154,'DEMAND BY DATE'!$A$4:$A$203,0),MATCH($A198,'DEMAND BY DATE'!$CA$3:$DV$3,0)))</f>
        <v>0</v>
      </c>
      <c r="Y198" s="2">
        <f>IF(Y$154="","",INDEX('DEMAND BY DATE'!$CA$4:$DV$203,MATCH(Y$154,'DEMAND BY DATE'!$A$4:$A$203,0),MATCH($A198,'DEMAND BY DATE'!$CA$3:$DV$3,0)))</f>
        <v>0</v>
      </c>
      <c r="Z198" s="2">
        <f>IF(Z$154="","",INDEX('DEMAND BY DATE'!$CA$4:$DV$203,MATCH(Z$154,'DEMAND BY DATE'!$A$4:$A$203,0),MATCH($A198,'DEMAND BY DATE'!$CA$3:$DV$3,0)))</f>
        <v>0</v>
      </c>
      <c r="AA198" s="2">
        <f>IF(AA$154="","",INDEX('DEMAND BY DATE'!$CA$4:$DV$203,MATCH(AA$154,'DEMAND BY DATE'!$A$4:$A$203,0),MATCH($A198,'DEMAND BY DATE'!$CA$3:$DV$3,0)))</f>
        <v>0</v>
      </c>
      <c r="AB198" s="2">
        <f>IF(AB$154="","",INDEX('DEMAND BY DATE'!$CA$4:$DV$203,MATCH(AB$154,'DEMAND BY DATE'!$A$4:$A$203,0),MATCH($A198,'DEMAND BY DATE'!$CA$3:$DV$3,0)))</f>
        <v>0</v>
      </c>
      <c r="AC198" s="2">
        <f>IF(AC$154="","",INDEX('DEMAND BY DATE'!$CA$4:$DV$203,MATCH(AC$154,'DEMAND BY DATE'!$A$4:$A$203,0),MATCH($A198,'DEMAND BY DATE'!$CA$3:$DV$3,0)))</f>
        <v>0</v>
      </c>
      <c r="AD198" s="2">
        <f>IF(AD$154="","",INDEX('DEMAND BY DATE'!$CA$4:$DV$203,MATCH(AD$154,'DEMAND BY DATE'!$A$4:$A$203,0),MATCH($A198,'DEMAND BY DATE'!$CA$3:$DV$3,0)))</f>
        <v>0</v>
      </c>
      <c r="AE198" s="2">
        <f>IF(AE$154="","",INDEX('DEMAND BY DATE'!$CA$4:$DV$203,MATCH(AE$154,'DEMAND BY DATE'!$A$4:$A$203,0),MATCH($A198,'DEMAND BY DATE'!$CA$3:$DV$3,0)))</f>
        <v>0</v>
      </c>
      <c r="AF198" s="2">
        <f>IF(AF$154="","",INDEX('DEMAND BY DATE'!$CA$4:$DV$203,MATCH(AF$154,'DEMAND BY DATE'!$A$4:$A$203,0),MATCH($A198,'DEMAND BY DATE'!$CA$3:$DV$3,0)))</f>
        <v>0</v>
      </c>
      <c r="AG198" s="2">
        <f>IF(AG$154="","",INDEX('DEMAND BY DATE'!$CA$4:$DV$203,MATCH(AG$154,'DEMAND BY DATE'!$A$4:$A$203,0),MATCH($A198,'DEMAND BY DATE'!$CA$3:$DV$3,0)))</f>
        <v>0</v>
      </c>
      <c r="AH198" s="2">
        <f>IF(AH$154="","",INDEX('DEMAND BY DATE'!$CA$4:$DV$203,MATCH(AH$154,'DEMAND BY DATE'!$A$4:$A$203,0),MATCH($A198,'DEMAND BY DATE'!$CA$3:$DV$3,0)))</f>
        <v>0</v>
      </c>
      <c r="AI198" s="2">
        <f>IF(AI$154="","",INDEX('DEMAND BY DATE'!$CA$4:$DV$203,MATCH(AI$154,'DEMAND BY DATE'!$A$4:$A$203,0),MATCH($A198,'DEMAND BY DATE'!$CA$3:$DV$3,0)))</f>
        <v>0</v>
      </c>
      <c r="AJ198" s="2">
        <f>IF(AJ$154="","",INDEX('DEMAND BY DATE'!$CA$4:$DV$203,MATCH(AJ$154,'DEMAND BY DATE'!$A$4:$A$203,0),MATCH($A198,'DEMAND BY DATE'!$CA$3:$DV$3,0)))</f>
        <v>0</v>
      </c>
      <c r="AK198" s="2">
        <f>IF(AK$154="","",INDEX('DEMAND BY DATE'!$CA$4:$DV$203,MATCH(AK$154,'DEMAND BY DATE'!$A$4:$A$203,0),MATCH($A198,'DEMAND BY DATE'!$CA$3:$DV$3,0)))</f>
        <v>0</v>
      </c>
    </row>
    <row r="199" spans="1:37">
      <c r="A199" s="2" t="str">
        <f>$A$77</f>
        <v>TH-05</v>
      </c>
      <c r="B199" s="2" t="str">
        <f>$AG$77</f>
        <v>THERMAL</v>
      </c>
      <c r="C199" s="2">
        <f>$AB$77</f>
        <v>20</v>
      </c>
      <c r="D199" s="2">
        <f>MAX($G199:$AK199)</f>
        <v>0</v>
      </c>
      <c r="F199" s="2" cm="1">
        <f t="array" ref="F199">SUMPRODUCT((ISNUMBER($G199:$AK199))*($G199:$AK199&gt;0)*($G$151:$AK$151="Y"))</f>
        <v>0</v>
      </c>
      <c r="G199" s="2">
        <f>IF(G$154="","",INDEX('DEMAND BY DATE'!$CA$4:$DV$203,MATCH(G$154,'DEMAND BY DATE'!$A$4:$A$203,0),MATCH($A199,'DEMAND BY DATE'!$CA$3:$DV$3,0)))</f>
        <v>0</v>
      </c>
      <c r="H199" s="2">
        <f>IF(H$154="","",INDEX('DEMAND BY DATE'!$CA$4:$DV$203,MATCH(H$154,'DEMAND BY DATE'!$A$4:$A$203,0),MATCH($A199,'DEMAND BY DATE'!$CA$3:$DV$3,0)))</f>
        <v>0</v>
      </c>
      <c r="I199" s="2">
        <f>IF(I$154="","",INDEX('DEMAND BY DATE'!$CA$4:$DV$203,MATCH(I$154,'DEMAND BY DATE'!$A$4:$A$203,0),MATCH($A199,'DEMAND BY DATE'!$CA$3:$DV$3,0)))</f>
        <v>0</v>
      </c>
      <c r="J199" s="2">
        <f>IF(J$154="","",INDEX('DEMAND BY DATE'!$CA$4:$DV$203,MATCH(J$154,'DEMAND BY DATE'!$A$4:$A$203,0),MATCH($A199,'DEMAND BY DATE'!$CA$3:$DV$3,0)))</f>
        <v>0</v>
      </c>
      <c r="K199" s="2">
        <f>IF(K$154="","",INDEX('DEMAND BY DATE'!$CA$4:$DV$203,MATCH(K$154,'DEMAND BY DATE'!$A$4:$A$203,0),MATCH($A199,'DEMAND BY DATE'!$CA$3:$DV$3,0)))</f>
        <v>0</v>
      </c>
      <c r="L199" s="2">
        <f>IF(L$154="","",INDEX('DEMAND BY DATE'!$CA$4:$DV$203,MATCH(L$154,'DEMAND BY DATE'!$A$4:$A$203,0),MATCH($A199,'DEMAND BY DATE'!$CA$3:$DV$3,0)))</f>
        <v>0</v>
      </c>
      <c r="M199" s="2">
        <f>IF(M$154="","",INDEX('DEMAND BY DATE'!$CA$4:$DV$203,MATCH(M$154,'DEMAND BY DATE'!$A$4:$A$203,0),MATCH($A199,'DEMAND BY DATE'!$CA$3:$DV$3,0)))</f>
        <v>0</v>
      </c>
      <c r="N199" s="2">
        <f>IF(N$154="","",INDEX('DEMAND BY DATE'!$CA$4:$DV$203,MATCH(N$154,'DEMAND BY DATE'!$A$4:$A$203,0),MATCH($A199,'DEMAND BY DATE'!$CA$3:$DV$3,0)))</f>
        <v>0</v>
      </c>
      <c r="O199" s="2">
        <f>IF(O$154="","",INDEX('DEMAND BY DATE'!$CA$4:$DV$203,MATCH(O$154,'DEMAND BY DATE'!$A$4:$A$203,0),MATCH($A199,'DEMAND BY DATE'!$CA$3:$DV$3,0)))</f>
        <v>0</v>
      </c>
      <c r="P199" s="2">
        <f>IF(P$154="","",INDEX('DEMAND BY DATE'!$CA$4:$DV$203,MATCH(P$154,'DEMAND BY DATE'!$A$4:$A$203,0),MATCH($A199,'DEMAND BY DATE'!$CA$3:$DV$3,0)))</f>
        <v>0</v>
      </c>
      <c r="Q199" s="2">
        <f>IF(Q$154="","",INDEX('DEMAND BY DATE'!$CA$4:$DV$203,MATCH(Q$154,'DEMAND BY DATE'!$A$4:$A$203,0),MATCH($A199,'DEMAND BY DATE'!$CA$3:$DV$3,0)))</f>
        <v>0</v>
      </c>
      <c r="R199" s="2">
        <f>IF(R$154="","",INDEX('DEMAND BY DATE'!$CA$4:$DV$203,MATCH(R$154,'DEMAND BY DATE'!$A$4:$A$203,0),MATCH($A199,'DEMAND BY DATE'!$CA$3:$DV$3,0)))</f>
        <v>0</v>
      </c>
      <c r="S199" s="2">
        <f>IF(S$154="","",INDEX('DEMAND BY DATE'!$CA$4:$DV$203,MATCH(S$154,'DEMAND BY DATE'!$A$4:$A$203,0),MATCH($A199,'DEMAND BY DATE'!$CA$3:$DV$3,0)))</f>
        <v>0</v>
      </c>
      <c r="T199" s="2">
        <f>IF(T$154="","",INDEX('DEMAND BY DATE'!$CA$4:$DV$203,MATCH(T$154,'DEMAND BY DATE'!$A$4:$A$203,0),MATCH($A199,'DEMAND BY DATE'!$CA$3:$DV$3,0)))</f>
        <v>0</v>
      </c>
      <c r="U199" s="2">
        <f>IF(U$154="","",INDEX('DEMAND BY DATE'!$CA$4:$DV$203,MATCH(U$154,'DEMAND BY DATE'!$A$4:$A$203,0),MATCH($A199,'DEMAND BY DATE'!$CA$3:$DV$3,0)))</f>
        <v>0</v>
      </c>
      <c r="V199" s="2">
        <f>IF(V$154="","",INDEX('DEMAND BY DATE'!$CA$4:$DV$203,MATCH(V$154,'DEMAND BY DATE'!$A$4:$A$203,0),MATCH($A199,'DEMAND BY DATE'!$CA$3:$DV$3,0)))</f>
        <v>0</v>
      </c>
      <c r="W199" s="2">
        <f>IF(W$154="","",INDEX('DEMAND BY DATE'!$CA$4:$DV$203,MATCH(W$154,'DEMAND BY DATE'!$A$4:$A$203,0),MATCH($A199,'DEMAND BY DATE'!$CA$3:$DV$3,0)))</f>
        <v>0</v>
      </c>
      <c r="X199" s="2">
        <f>IF(X$154="","",INDEX('DEMAND BY DATE'!$CA$4:$DV$203,MATCH(X$154,'DEMAND BY DATE'!$A$4:$A$203,0),MATCH($A199,'DEMAND BY DATE'!$CA$3:$DV$3,0)))</f>
        <v>0</v>
      </c>
      <c r="Y199" s="2">
        <f>IF(Y$154="","",INDEX('DEMAND BY DATE'!$CA$4:$DV$203,MATCH(Y$154,'DEMAND BY DATE'!$A$4:$A$203,0),MATCH($A199,'DEMAND BY DATE'!$CA$3:$DV$3,0)))</f>
        <v>0</v>
      </c>
      <c r="Z199" s="2">
        <f>IF(Z$154="","",INDEX('DEMAND BY DATE'!$CA$4:$DV$203,MATCH(Z$154,'DEMAND BY DATE'!$A$4:$A$203,0),MATCH($A199,'DEMAND BY DATE'!$CA$3:$DV$3,0)))</f>
        <v>0</v>
      </c>
      <c r="AA199" s="2">
        <f>IF(AA$154="","",INDEX('DEMAND BY DATE'!$CA$4:$DV$203,MATCH(AA$154,'DEMAND BY DATE'!$A$4:$A$203,0),MATCH($A199,'DEMAND BY DATE'!$CA$3:$DV$3,0)))</f>
        <v>0</v>
      </c>
      <c r="AB199" s="2">
        <f>IF(AB$154="","",INDEX('DEMAND BY DATE'!$CA$4:$DV$203,MATCH(AB$154,'DEMAND BY DATE'!$A$4:$A$203,0),MATCH($A199,'DEMAND BY DATE'!$CA$3:$DV$3,0)))</f>
        <v>0</v>
      </c>
      <c r="AC199" s="2">
        <f>IF(AC$154="","",INDEX('DEMAND BY DATE'!$CA$4:$DV$203,MATCH(AC$154,'DEMAND BY DATE'!$A$4:$A$203,0),MATCH($A199,'DEMAND BY DATE'!$CA$3:$DV$3,0)))</f>
        <v>0</v>
      </c>
      <c r="AD199" s="2">
        <f>IF(AD$154="","",INDEX('DEMAND BY DATE'!$CA$4:$DV$203,MATCH(AD$154,'DEMAND BY DATE'!$A$4:$A$203,0),MATCH($A199,'DEMAND BY DATE'!$CA$3:$DV$3,0)))</f>
        <v>0</v>
      </c>
      <c r="AE199" s="2">
        <f>IF(AE$154="","",INDEX('DEMAND BY DATE'!$CA$4:$DV$203,MATCH(AE$154,'DEMAND BY DATE'!$A$4:$A$203,0),MATCH($A199,'DEMAND BY DATE'!$CA$3:$DV$3,0)))</f>
        <v>0</v>
      </c>
      <c r="AF199" s="2">
        <f>IF(AF$154="","",INDEX('DEMAND BY DATE'!$CA$4:$DV$203,MATCH(AF$154,'DEMAND BY DATE'!$A$4:$A$203,0),MATCH($A199,'DEMAND BY DATE'!$CA$3:$DV$3,0)))</f>
        <v>0</v>
      </c>
      <c r="AG199" s="2">
        <f>IF(AG$154="","",INDEX('DEMAND BY DATE'!$CA$4:$DV$203,MATCH(AG$154,'DEMAND BY DATE'!$A$4:$A$203,0),MATCH($A199,'DEMAND BY DATE'!$CA$3:$DV$3,0)))</f>
        <v>0</v>
      </c>
      <c r="AH199" s="2">
        <f>IF(AH$154="","",INDEX('DEMAND BY DATE'!$CA$4:$DV$203,MATCH(AH$154,'DEMAND BY DATE'!$A$4:$A$203,0),MATCH($A199,'DEMAND BY DATE'!$CA$3:$DV$3,0)))</f>
        <v>0</v>
      </c>
      <c r="AI199" s="2">
        <f>IF(AI$154="","",INDEX('DEMAND BY DATE'!$CA$4:$DV$203,MATCH(AI$154,'DEMAND BY DATE'!$A$4:$A$203,0),MATCH($A199,'DEMAND BY DATE'!$CA$3:$DV$3,0)))</f>
        <v>0</v>
      </c>
      <c r="AJ199" s="2">
        <f>IF(AJ$154="","",INDEX('DEMAND BY DATE'!$CA$4:$DV$203,MATCH(AJ$154,'DEMAND BY DATE'!$A$4:$A$203,0),MATCH($A199,'DEMAND BY DATE'!$CA$3:$DV$3,0)))</f>
        <v>0</v>
      </c>
      <c r="AK199" s="2">
        <f>IF(AK$154="","",INDEX('DEMAND BY DATE'!$CA$4:$DV$203,MATCH(AK$154,'DEMAND BY DATE'!$A$4:$A$203,0),MATCH($A199,'DEMAND BY DATE'!$CA$3:$DV$3,0)))</f>
        <v>0</v>
      </c>
    </row>
    <row r="200" spans="1:37">
      <c r="A200" s="2" t="str">
        <f>$A$78</f>
        <v>TH-06</v>
      </c>
      <c r="B200" s="2" t="str">
        <f>$AG$78</f>
        <v>THERMAL</v>
      </c>
      <c r="C200" s="2">
        <f>$AB$78</f>
        <v>24</v>
      </c>
      <c r="D200" s="2">
        <f>MAX($G200:$AK200)</f>
        <v>0</v>
      </c>
      <c r="F200" s="2" cm="1">
        <f t="array" ref="F200">SUMPRODUCT((ISNUMBER($G200:$AK200))*($G200:$AK200&gt;0)*($G$151:$AK$151="Y"))</f>
        <v>0</v>
      </c>
      <c r="G200" s="2">
        <f>IF(G$154="","",INDEX('DEMAND BY DATE'!$CA$4:$DV$203,MATCH(G$154,'DEMAND BY DATE'!$A$4:$A$203,0),MATCH($A200,'DEMAND BY DATE'!$CA$3:$DV$3,0)))</f>
        <v>0</v>
      </c>
      <c r="H200" s="2">
        <f>IF(H$154="","",INDEX('DEMAND BY DATE'!$CA$4:$DV$203,MATCH(H$154,'DEMAND BY DATE'!$A$4:$A$203,0),MATCH($A200,'DEMAND BY DATE'!$CA$3:$DV$3,0)))</f>
        <v>0</v>
      </c>
      <c r="I200" s="2">
        <f>IF(I$154="","",INDEX('DEMAND BY DATE'!$CA$4:$DV$203,MATCH(I$154,'DEMAND BY DATE'!$A$4:$A$203,0),MATCH($A200,'DEMAND BY DATE'!$CA$3:$DV$3,0)))</f>
        <v>0</v>
      </c>
      <c r="J200" s="2">
        <f>IF(J$154="","",INDEX('DEMAND BY DATE'!$CA$4:$DV$203,MATCH(J$154,'DEMAND BY DATE'!$A$4:$A$203,0),MATCH($A200,'DEMAND BY DATE'!$CA$3:$DV$3,0)))</f>
        <v>0</v>
      </c>
      <c r="K200" s="2">
        <f>IF(K$154="","",INDEX('DEMAND BY DATE'!$CA$4:$DV$203,MATCH(K$154,'DEMAND BY DATE'!$A$4:$A$203,0),MATCH($A200,'DEMAND BY DATE'!$CA$3:$DV$3,0)))</f>
        <v>0</v>
      </c>
      <c r="L200" s="2">
        <f>IF(L$154="","",INDEX('DEMAND BY DATE'!$CA$4:$DV$203,MATCH(L$154,'DEMAND BY DATE'!$A$4:$A$203,0),MATCH($A200,'DEMAND BY DATE'!$CA$3:$DV$3,0)))</f>
        <v>0</v>
      </c>
      <c r="M200" s="2">
        <f>IF(M$154="","",INDEX('DEMAND BY DATE'!$CA$4:$DV$203,MATCH(M$154,'DEMAND BY DATE'!$A$4:$A$203,0),MATCH($A200,'DEMAND BY DATE'!$CA$3:$DV$3,0)))</f>
        <v>0</v>
      </c>
      <c r="N200" s="2">
        <f>IF(N$154="","",INDEX('DEMAND BY DATE'!$CA$4:$DV$203,MATCH(N$154,'DEMAND BY DATE'!$A$4:$A$203,0),MATCH($A200,'DEMAND BY DATE'!$CA$3:$DV$3,0)))</f>
        <v>0</v>
      </c>
      <c r="O200" s="2">
        <f>IF(O$154="","",INDEX('DEMAND BY DATE'!$CA$4:$DV$203,MATCH(O$154,'DEMAND BY DATE'!$A$4:$A$203,0),MATCH($A200,'DEMAND BY DATE'!$CA$3:$DV$3,0)))</f>
        <v>0</v>
      </c>
      <c r="P200" s="2">
        <f>IF(P$154="","",INDEX('DEMAND BY DATE'!$CA$4:$DV$203,MATCH(P$154,'DEMAND BY DATE'!$A$4:$A$203,0),MATCH($A200,'DEMAND BY DATE'!$CA$3:$DV$3,0)))</f>
        <v>0</v>
      </c>
      <c r="Q200" s="2">
        <f>IF(Q$154="","",INDEX('DEMAND BY DATE'!$CA$4:$DV$203,MATCH(Q$154,'DEMAND BY DATE'!$A$4:$A$203,0),MATCH($A200,'DEMAND BY DATE'!$CA$3:$DV$3,0)))</f>
        <v>0</v>
      </c>
      <c r="R200" s="2">
        <f>IF(R$154="","",INDEX('DEMAND BY DATE'!$CA$4:$DV$203,MATCH(R$154,'DEMAND BY DATE'!$A$4:$A$203,0),MATCH($A200,'DEMAND BY DATE'!$CA$3:$DV$3,0)))</f>
        <v>0</v>
      </c>
      <c r="S200" s="2">
        <f>IF(S$154="","",INDEX('DEMAND BY DATE'!$CA$4:$DV$203,MATCH(S$154,'DEMAND BY DATE'!$A$4:$A$203,0),MATCH($A200,'DEMAND BY DATE'!$CA$3:$DV$3,0)))</f>
        <v>0</v>
      </c>
      <c r="T200" s="2">
        <f>IF(T$154="","",INDEX('DEMAND BY DATE'!$CA$4:$DV$203,MATCH(T$154,'DEMAND BY DATE'!$A$4:$A$203,0),MATCH($A200,'DEMAND BY DATE'!$CA$3:$DV$3,0)))</f>
        <v>0</v>
      </c>
      <c r="U200" s="2">
        <f>IF(U$154="","",INDEX('DEMAND BY DATE'!$CA$4:$DV$203,MATCH(U$154,'DEMAND BY DATE'!$A$4:$A$203,0),MATCH($A200,'DEMAND BY DATE'!$CA$3:$DV$3,0)))</f>
        <v>0</v>
      </c>
      <c r="V200" s="2">
        <f>IF(V$154="","",INDEX('DEMAND BY DATE'!$CA$4:$DV$203,MATCH(V$154,'DEMAND BY DATE'!$A$4:$A$203,0),MATCH($A200,'DEMAND BY DATE'!$CA$3:$DV$3,0)))</f>
        <v>0</v>
      </c>
      <c r="W200" s="2">
        <f>IF(W$154="","",INDEX('DEMAND BY DATE'!$CA$4:$DV$203,MATCH(W$154,'DEMAND BY DATE'!$A$4:$A$203,0),MATCH($A200,'DEMAND BY DATE'!$CA$3:$DV$3,0)))</f>
        <v>0</v>
      </c>
      <c r="X200" s="2">
        <f>IF(X$154="","",INDEX('DEMAND BY DATE'!$CA$4:$DV$203,MATCH(X$154,'DEMAND BY DATE'!$A$4:$A$203,0),MATCH($A200,'DEMAND BY DATE'!$CA$3:$DV$3,0)))</f>
        <v>0</v>
      </c>
      <c r="Y200" s="2">
        <f>IF(Y$154="","",INDEX('DEMAND BY DATE'!$CA$4:$DV$203,MATCH(Y$154,'DEMAND BY DATE'!$A$4:$A$203,0),MATCH($A200,'DEMAND BY DATE'!$CA$3:$DV$3,0)))</f>
        <v>0</v>
      </c>
      <c r="Z200" s="2">
        <f>IF(Z$154="","",INDEX('DEMAND BY DATE'!$CA$4:$DV$203,MATCH(Z$154,'DEMAND BY DATE'!$A$4:$A$203,0),MATCH($A200,'DEMAND BY DATE'!$CA$3:$DV$3,0)))</f>
        <v>0</v>
      </c>
      <c r="AA200" s="2">
        <f>IF(AA$154="","",INDEX('DEMAND BY DATE'!$CA$4:$DV$203,MATCH(AA$154,'DEMAND BY DATE'!$A$4:$A$203,0),MATCH($A200,'DEMAND BY DATE'!$CA$3:$DV$3,0)))</f>
        <v>0</v>
      </c>
      <c r="AB200" s="2">
        <f>IF(AB$154="","",INDEX('DEMAND BY DATE'!$CA$4:$DV$203,MATCH(AB$154,'DEMAND BY DATE'!$A$4:$A$203,0),MATCH($A200,'DEMAND BY DATE'!$CA$3:$DV$3,0)))</f>
        <v>0</v>
      </c>
      <c r="AC200" s="2">
        <f>IF(AC$154="","",INDEX('DEMAND BY DATE'!$CA$4:$DV$203,MATCH(AC$154,'DEMAND BY DATE'!$A$4:$A$203,0),MATCH($A200,'DEMAND BY DATE'!$CA$3:$DV$3,0)))</f>
        <v>0</v>
      </c>
      <c r="AD200" s="2">
        <f>IF(AD$154="","",INDEX('DEMAND BY DATE'!$CA$4:$DV$203,MATCH(AD$154,'DEMAND BY DATE'!$A$4:$A$203,0),MATCH($A200,'DEMAND BY DATE'!$CA$3:$DV$3,0)))</f>
        <v>0</v>
      </c>
      <c r="AE200" s="2">
        <f>IF(AE$154="","",INDEX('DEMAND BY DATE'!$CA$4:$DV$203,MATCH(AE$154,'DEMAND BY DATE'!$A$4:$A$203,0),MATCH($A200,'DEMAND BY DATE'!$CA$3:$DV$3,0)))</f>
        <v>0</v>
      </c>
      <c r="AF200" s="2">
        <f>IF(AF$154="","",INDEX('DEMAND BY DATE'!$CA$4:$DV$203,MATCH(AF$154,'DEMAND BY DATE'!$A$4:$A$203,0),MATCH($A200,'DEMAND BY DATE'!$CA$3:$DV$3,0)))</f>
        <v>0</v>
      </c>
      <c r="AG200" s="2">
        <f>IF(AG$154="","",INDEX('DEMAND BY DATE'!$CA$4:$DV$203,MATCH(AG$154,'DEMAND BY DATE'!$A$4:$A$203,0),MATCH($A200,'DEMAND BY DATE'!$CA$3:$DV$3,0)))</f>
        <v>0</v>
      </c>
      <c r="AH200" s="2">
        <f>IF(AH$154="","",INDEX('DEMAND BY DATE'!$CA$4:$DV$203,MATCH(AH$154,'DEMAND BY DATE'!$A$4:$A$203,0),MATCH($A200,'DEMAND BY DATE'!$CA$3:$DV$3,0)))</f>
        <v>0</v>
      </c>
      <c r="AI200" s="2">
        <f>IF(AI$154="","",INDEX('DEMAND BY DATE'!$CA$4:$DV$203,MATCH(AI$154,'DEMAND BY DATE'!$A$4:$A$203,0),MATCH($A200,'DEMAND BY DATE'!$CA$3:$DV$3,0)))</f>
        <v>0</v>
      </c>
      <c r="AJ200" s="2">
        <f>IF(AJ$154="","",INDEX('DEMAND BY DATE'!$CA$4:$DV$203,MATCH(AJ$154,'DEMAND BY DATE'!$A$4:$A$203,0),MATCH($A200,'DEMAND BY DATE'!$CA$3:$DV$3,0)))</f>
        <v>0</v>
      </c>
      <c r="AK200" s="2">
        <f>IF(AK$154="","",INDEX('DEMAND BY DATE'!$CA$4:$DV$203,MATCH(AK$154,'DEMAND BY DATE'!$A$4:$A$203,0),MATCH($A200,'DEMAND BY DATE'!$CA$3:$DV$3,0)))</f>
        <v>0</v>
      </c>
    </row>
    <row r="201" spans="1:37">
      <c r="A201" s="2">
        <f>$A$79</f>
        <v>5544</v>
      </c>
      <c r="B201" s="2" t="str">
        <f>$AG$79</f>
        <v>NEEDS INPUT</v>
      </c>
      <c r="C201" s="2">
        <f>$AB$79</f>
        <v>18</v>
      </c>
      <c r="D201" s="2">
        <f>MAX($G201:$AK201)</f>
        <v>0</v>
      </c>
      <c r="F201" s="2" cm="1">
        <f t="array" ref="F201">SUMPRODUCT((ISNUMBER($G201:$AK201))*($G201:$AK201&gt;0)*($G$151:$AK$151="Y"))</f>
        <v>0</v>
      </c>
      <c r="G201" s="2">
        <f>IF(G$154="","",INDEX('DEMAND BY DATE'!$CA$4:$DV$203,MATCH(G$154,'DEMAND BY DATE'!$A$4:$A$203,0),MATCH($A201,'DEMAND BY DATE'!$CA$3:$DV$3,0)))</f>
        <v>0</v>
      </c>
      <c r="H201" s="2">
        <f>IF(H$154="","",INDEX('DEMAND BY DATE'!$CA$4:$DV$203,MATCH(H$154,'DEMAND BY DATE'!$A$4:$A$203,0),MATCH($A201,'DEMAND BY DATE'!$CA$3:$DV$3,0)))</f>
        <v>0</v>
      </c>
      <c r="I201" s="2">
        <f>IF(I$154="","",INDEX('DEMAND BY DATE'!$CA$4:$DV$203,MATCH(I$154,'DEMAND BY DATE'!$A$4:$A$203,0),MATCH($A201,'DEMAND BY DATE'!$CA$3:$DV$3,0)))</f>
        <v>0</v>
      </c>
      <c r="J201" s="2">
        <f>IF(J$154="","",INDEX('DEMAND BY DATE'!$CA$4:$DV$203,MATCH(J$154,'DEMAND BY DATE'!$A$4:$A$203,0),MATCH($A201,'DEMAND BY DATE'!$CA$3:$DV$3,0)))</f>
        <v>0</v>
      </c>
      <c r="K201" s="2">
        <f>IF(K$154="","",INDEX('DEMAND BY DATE'!$CA$4:$DV$203,MATCH(K$154,'DEMAND BY DATE'!$A$4:$A$203,0),MATCH($A201,'DEMAND BY DATE'!$CA$3:$DV$3,0)))</f>
        <v>0</v>
      </c>
      <c r="L201" s="2">
        <f>IF(L$154="","",INDEX('DEMAND BY DATE'!$CA$4:$DV$203,MATCH(L$154,'DEMAND BY DATE'!$A$4:$A$203,0),MATCH($A201,'DEMAND BY DATE'!$CA$3:$DV$3,0)))</f>
        <v>0</v>
      </c>
      <c r="M201" s="2">
        <f>IF(M$154="","",INDEX('DEMAND BY DATE'!$CA$4:$DV$203,MATCH(M$154,'DEMAND BY DATE'!$A$4:$A$203,0),MATCH($A201,'DEMAND BY DATE'!$CA$3:$DV$3,0)))</f>
        <v>0</v>
      </c>
      <c r="N201" s="2">
        <f>IF(N$154="","",INDEX('DEMAND BY DATE'!$CA$4:$DV$203,MATCH(N$154,'DEMAND BY DATE'!$A$4:$A$203,0),MATCH($A201,'DEMAND BY DATE'!$CA$3:$DV$3,0)))</f>
        <v>0</v>
      </c>
      <c r="O201" s="2">
        <f>IF(O$154="","",INDEX('DEMAND BY DATE'!$CA$4:$DV$203,MATCH(O$154,'DEMAND BY DATE'!$A$4:$A$203,0),MATCH($A201,'DEMAND BY DATE'!$CA$3:$DV$3,0)))</f>
        <v>0</v>
      </c>
      <c r="P201" s="2">
        <f>IF(P$154="","",INDEX('DEMAND BY DATE'!$CA$4:$DV$203,MATCH(P$154,'DEMAND BY DATE'!$A$4:$A$203,0),MATCH($A201,'DEMAND BY DATE'!$CA$3:$DV$3,0)))</f>
        <v>0</v>
      </c>
      <c r="Q201" s="2">
        <f>IF(Q$154="","",INDEX('DEMAND BY DATE'!$CA$4:$DV$203,MATCH(Q$154,'DEMAND BY DATE'!$A$4:$A$203,0),MATCH($A201,'DEMAND BY DATE'!$CA$3:$DV$3,0)))</f>
        <v>0</v>
      </c>
      <c r="R201" s="2">
        <f>IF(R$154="","",INDEX('DEMAND BY DATE'!$CA$4:$DV$203,MATCH(R$154,'DEMAND BY DATE'!$A$4:$A$203,0),MATCH($A201,'DEMAND BY DATE'!$CA$3:$DV$3,0)))</f>
        <v>0</v>
      </c>
      <c r="S201" s="2">
        <f>IF(S$154="","",INDEX('DEMAND BY DATE'!$CA$4:$DV$203,MATCH(S$154,'DEMAND BY DATE'!$A$4:$A$203,0),MATCH($A201,'DEMAND BY DATE'!$CA$3:$DV$3,0)))</f>
        <v>0</v>
      </c>
      <c r="T201" s="2">
        <f>IF(T$154="","",INDEX('DEMAND BY DATE'!$CA$4:$DV$203,MATCH(T$154,'DEMAND BY DATE'!$A$4:$A$203,0),MATCH($A201,'DEMAND BY DATE'!$CA$3:$DV$3,0)))</f>
        <v>0</v>
      </c>
      <c r="U201" s="2">
        <f>IF(U$154="","",INDEX('DEMAND BY DATE'!$CA$4:$DV$203,MATCH(U$154,'DEMAND BY DATE'!$A$4:$A$203,0),MATCH($A201,'DEMAND BY DATE'!$CA$3:$DV$3,0)))</f>
        <v>0</v>
      </c>
      <c r="V201" s="2">
        <f>IF(V$154="","",INDEX('DEMAND BY DATE'!$CA$4:$DV$203,MATCH(V$154,'DEMAND BY DATE'!$A$4:$A$203,0),MATCH($A201,'DEMAND BY DATE'!$CA$3:$DV$3,0)))</f>
        <v>0</v>
      </c>
      <c r="W201" s="2">
        <f>IF(W$154="","",INDEX('DEMAND BY DATE'!$CA$4:$DV$203,MATCH(W$154,'DEMAND BY DATE'!$A$4:$A$203,0),MATCH($A201,'DEMAND BY DATE'!$CA$3:$DV$3,0)))</f>
        <v>0</v>
      </c>
      <c r="X201" s="2">
        <f>IF(X$154="","",INDEX('DEMAND BY DATE'!$CA$4:$DV$203,MATCH(X$154,'DEMAND BY DATE'!$A$4:$A$203,0),MATCH($A201,'DEMAND BY DATE'!$CA$3:$DV$3,0)))</f>
        <v>0</v>
      </c>
      <c r="Y201" s="2">
        <f>IF(Y$154="","",INDEX('DEMAND BY DATE'!$CA$4:$DV$203,MATCH(Y$154,'DEMAND BY DATE'!$A$4:$A$203,0),MATCH($A201,'DEMAND BY DATE'!$CA$3:$DV$3,0)))</f>
        <v>0</v>
      </c>
      <c r="Z201" s="2">
        <f>IF(Z$154="","",INDEX('DEMAND BY DATE'!$CA$4:$DV$203,MATCH(Z$154,'DEMAND BY DATE'!$A$4:$A$203,0),MATCH($A201,'DEMAND BY DATE'!$CA$3:$DV$3,0)))</f>
        <v>0</v>
      </c>
      <c r="AA201" s="2">
        <f>IF(AA$154="","",INDEX('DEMAND BY DATE'!$CA$4:$DV$203,MATCH(AA$154,'DEMAND BY DATE'!$A$4:$A$203,0),MATCH($A201,'DEMAND BY DATE'!$CA$3:$DV$3,0)))</f>
        <v>0</v>
      </c>
      <c r="AB201" s="2">
        <f>IF(AB$154="","",INDEX('DEMAND BY DATE'!$CA$4:$DV$203,MATCH(AB$154,'DEMAND BY DATE'!$A$4:$A$203,0),MATCH($A201,'DEMAND BY DATE'!$CA$3:$DV$3,0)))</f>
        <v>0</v>
      </c>
      <c r="AC201" s="2">
        <f>IF(AC$154="","",INDEX('DEMAND BY DATE'!$CA$4:$DV$203,MATCH(AC$154,'DEMAND BY DATE'!$A$4:$A$203,0),MATCH($A201,'DEMAND BY DATE'!$CA$3:$DV$3,0)))</f>
        <v>0</v>
      </c>
      <c r="AD201" s="2">
        <f>IF(AD$154="","",INDEX('DEMAND BY DATE'!$CA$4:$DV$203,MATCH(AD$154,'DEMAND BY DATE'!$A$4:$A$203,0),MATCH($A201,'DEMAND BY DATE'!$CA$3:$DV$3,0)))</f>
        <v>0</v>
      </c>
      <c r="AE201" s="2">
        <f>IF(AE$154="","",INDEX('DEMAND BY DATE'!$CA$4:$DV$203,MATCH(AE$154,'DEMAND BY DATE'!$A$4:$A$203,0),MATCH($A201,'DEMAND BY DATE'!$CA$3:$DV$3,0)))</f>
        <v>0</v>
      </c>
      <c r="AF201" s="2">
        <f>IF(AF$154="","",INDEX('DEMAND BY DATE'!$CA$4:$DV$203,MATCH(AF$154,'DEMAND BY DATE'!$A$4:$A$203,0),MATCH($A201,'DEMAND BY DATE'!$CA$3:$DV$3,0)))</f>
        <v>0</v>
      </c>
      <c r="AG201" s="2">
        <f>IF(AG$154="","",INDEX('DEMAND BY DATE'!$CA$4:$DV$203,MATCH(AG$154,'DEMAND BY DATE'!$A$4:$A$203,0),MATCH($A201,'DEMAND BY DATE'!$CA$3:$DV$3,0)))</f>
        <v>0</v>
      </c>
      <c r="AH201" s="2">
        <f>IF(AH$154="","",INDEX('DEMAND BY DATE'!$CA$4:$DV$203,MATCH(AH$154,'DEMAND BY DATE'!$A$4:$A$203,0),MATCH($A201,'DEMAND BY DATE'!$CA$3:$DV$3,0)))</f>
        <v>0</v>
      </c>
      <c r="AI201" s="2">
        <f>IF(AI$154="","",INDEX('DEMAND BY DATE'!$CA$4:$DV$203,MATCH(AI$154,'DEMAND BY DATE'!$A$4:$A$203,0),MATCH($A201,'DEMAND BY DATE'!$CA$3:$DV$3,0)))</f>
        <v>0</v>
      </c>
      <c r="AJ201" s="2">
        <f>IF(AJ$154="","",INDEX('DEMAND BY DATE'!$CA$4:$DV$203,MATCH(AJ$154,'DEMAND BY DATE'!$A$4:$A$203,0),MATCH($A201,'DEMAND BY DATE'!$CA$3:$DV$3,0)))</f>
        <v>0</v>
      </c>
      <c r="AK201" s="2">
        <f>IF(AK$154="","",INDEX('DEMAND BY DATE'!$CA$4:$DV$203,MATCH(AK$154,'DEMAND BY DATE'!$A$4:$A$203,0),MATCH($A201,'DEMAND BY DATE'!$CA$3:$DV$3,0)))</f>
        <v>0</v>
      </c>
    </row>
    <row r="202" spans="1:37">
      <c r="A202" s="2">
        <f>$A$80</f>
        <v>5543</v>
      </c>
      <c r="B202" s="2" t="str">
        <f>$AG$80</f>
        <v>NEEDS INPUT</v>
      </c>
      <c r="C202" s="2">
        <f>$AB$80</f>
        <v>19</v>
      </c>
      <c r="D202" s="2">
        <f>MAX($G202:$AK202)</f>
        <v>0</v>
      </c>
      <c r="F202" s="2" cm="1">
        <f t="array" ref="F202">SUMPRODUCT((ISNUMBER($G202:$AK202))*($G202:$AK202&gt;0)*($G$151:$AK$151="Y"))</f>
        <v>0</v>
      </c>
      <c r="G202" s="2">
        <f>IF(G$154="","",INDEX('DEMAND BY DATE'!$CA$4:$DV$203,MATCH(G$154,'DEMAND BY DATE'!$A$4:$A$203,0),MATCH($A202,'DEMAND BY DATE'!$CA$3:$DV$3,0)))</f>
        <v>0</v>
      </c>
      <c r="H202" s="2">
        <f>IF(H$154="","",INDEX('DEMAND BY DATE'!$CA$4:$DV$203,MATCH(H$154,'DEMAND BY DATE'!$A$4:$A$203,0),MATCH($A202,'DEMAND BY DATE'!$CA$3:$DV$3,0)))</f>
        <v>0</v>
      </c>
      <c r="I202" s="2">
        <f>IF(I$154="","",INDEX('DEMAND BY DATE'!$CA$4:$DV$203,MATCH(I$154,'DEMAND BY DATE'!$A$4:$A$203,0),MATCH($A202,'DEMAND BY DATE'!$CA$3:$DV$3,0)))</f>
        <v>0</v>
      </c>
      <c r="J202" s="2">
        <f>IF(J$154="","",INDEX('DEMAND BY DATE'!$CA$4:$DV$203,MATCH(J$154,'DEMAND BY DATE'!$A$4:$A$203,0),MATCH($A202,'DEMAND BY DATE'!$CA$3:$DV$3,0)))</f>
        <v>0</v>
      </c>
      <c r="K202" s="2">
        <f>IF(K$154="","",INDEX('DEMAND BY DATE'!$CA$4:$DV$203,MATCH(K$154,'DEMAND BY DATE'!$A$4:$A$203,0),MATCH($A202,'DEMAND BY DATE'!$CA$3:$DV$3,0)))</f>
        <v>0</v>
      </c>
      <c r="L202" s="2">
        <f>IF(L$154="","",INDEX('DEMAND BY DATE'!$CA$4:$DV$203,MATCH(L$154,'DEMAND BY DATE'!$A$4:$A$203,0),MATCH($A202,'DEMAND BY DATE'!$CA$3:$DV$3,0)))</f>
        <v>0</v>
      </c>
      <c r="M202" s="2">
        <f>IF(M$154="","",INDEX('DEMAND BY DATE'!$CA$4:$DV$203,MATCH(M$154,'DEMAND BY DATE'!$A$4:$A$203,0),MATCH($A202,'DEMAND BY DATE'!$CA$3:$DV$3,0)))</f>
        <v>0</v>
      </c>
      <c r="N202" s="2">
        <f>IF(N$154="","",INDEX('DEMAND BY DATE'!$CA$4:$DV$203,MATCH(N$154,'DEMAND BY DATE'!$A$4:$A$203,0),MATCH($A202,'DEMAND BY DATE'!$CA$3:$DV$3,0)))</f>
        <v>0</v>
      </c>
      <c r="O202" s="2">
        <f>IF(O$154="","",INDEX('DEMAND BY DATE'!$CA$4:$DV$203,MATCH(O$154,'DEMAND BY DATE'!$A$4:$A$203,0),MATCH($A202,'DEMAND BY DATE'!$CA$3:$DV$3,0)))</f>
        <v>0</v>
      </c>
      <c r="P202" s="2">
        <f>IF(P$154="","",INDEX('DEMAND BY DATE'!$CA$4:$DV$203,MATCH(P$154,'DEMAND BY DATE'!$A$4:$A$203,0),MATCH($A202,'DEMAND BY DATE'!$CA$3:$DV$3,0)))</f>
        <v>0</v>
      </c>
      <c r="Q202" s="2">
        <f>IF(Q$154="","",INDEX('DEMAND BY DATE'!$CA$4:$DV$203,MATCH(Q$154,'DEMAND BY DATE'!$A$4:$A$203,0),MATCH($A202,'DEMAND BY DATE'!$CA$3:$DV$3,0)))</f>
        <v>0</v>
      </c>
      <c r="R202" s="2">
        <f>IF(R$154="","",INDEX('DEMAND BY DATE'!$CA$4:$DV$203,MATCH(R$154,'DEMAND BY DATE'!$A$4:$A$203,0),MATCH($A202,'DEMAND BY DATE'!$CA$3:$DV$3,0)))</f>
        <v>0</v>
      </c>
      <c r="S202" s="2">
        <f>IF(S$154="","",INDEX('DEMAND BY DATE'!$CA$4:$DV$203,MATCH(S$154,'DEMAND BY DATE'!$A$4:$A$203,0),MATCH($A202,'DEMAND BY DATE'!$CA$3:$DV$3,0)))</f>
        <v>0</v>
      </c>
      <c r="T202" s="2">
        <f>IF(T$154="","",INDEX('DEMAND BY DATE'!$CA$4:$DV$203,MATCH(T$154,'DEMAND BY DATE'!$A$4:$A$203,0),MATCH($A202,'DEMAND BY DATE'!$CA$3:$DV$3,0)))</f>
        <v>0</v>
      </c>
      <c r="U202" s="2">
        <f>IF(U$154="","",INDEX('DEMAND BY DATE'!$CA$4:$DV$203,MATCH(U$154,'DEMAND BY DATE'!$A$4:$A$203,0),MATCH($A202,'DEMAND BY DATE'!$CA$3:$DV$3,0)))</f>
        <v>0</v>
      </c>
      <c r="V202" s="2">
        <f>IF(V$154="","",INDEX('DEMAND BY DATE'!$CA$4:$DV$203,MATCH(V$154,'DEMAND BY DATE'!$A$4:$A$203,0),MATCH($A202,'DEMAND BY DATE'!$CA$3:$DV$3,0)))</f>
        <v>0</v>
      </c>
      <c r="W202" s="2">
        <f>IF(W$154="","",INDEX('DEMAND BY DATE'!$CA$4:$DV$203,MATCH(W$154,'DEMAND BY DATE'!$A$4:$A$203,0),MATCH($A202,'DEMAND BY DATE'!$CA$3:$DV$3,0)))</f>
        <v>0</v>
      </c>
      <c r="X202" s="2">
        <f>IF(X$154="","",INDEX('DEMAND BY DATE'!$CA$4:$DV$203,MATCH(X$154,'DEMAND BY DATE'!$A$4:$A$203,0),MATCH($A202,'DEMAND BY DATE'!$CA$3:$DV$3,0)))</f>
        <v>0</v>
      </c>
      <c r="Y202" s="2">
        <f>IF(Y$154="","",INDEX('DEMAND BY DATE'!$CA$4:$DV$203,MATCH(Y$154,'DEMAND BY DATE'!$A$4:$A$203,0),MATCH($A202,'DEMAND BY DATE'!$CA$3:$DV$3,0)))</f>
        <v>0</v>
      </c>
      <c r="Z202" s="2">
        <f>IF(Z$154="","",INDEX('DEMAND BY DATE'!$CA$4:$DV$203,MATCH(Z$154,'DEMAND BY DATE'!$A$4:$A$203,0),MATCH($A202,'DEMAND BY DATE'!$CA$3:$DV$3,0)))</f>
        <v>0</v>
      </c>
      <c r="AA202" s="2">
        <f>IF(AA$154="","",INDEX('DEMAND BY DATE'!$CA$4:$DV$203,MATCH(AA$154,'DEMAND BY DATE'!$A$4:$A$203,0),MATCH($A202,'DEMAND BY DATE'!$CA$3:$DV$3,0)))</f>
        <v>0</v>
      </c>
      <c r="AB202" s="2">
        <f>IF(AB$154="","",INDEX('DEMAND BY DATE'!$CA$4:$DV$203,MATCH(AB$154,'DEMAND BY DATE'!$A$4:$A$203,0),MATCH($A202,'DEMAND BY DATE'!$CA$3:$DV$3,0)))</f>
        <v>0</v>
      </c>
      <c r="AC202" s="2">
        <f>IF(AC$154="","",INDEX('DEMAND BY DATE'!$CA$4:$DV$203,MATCH(AC$154,'DEMAND BY DATE'!$A$4:$A$203,0),MATCH($A202,'DEMAND BY DATE'!$CA$3:$DV$3,0)))</f>
        <v>0</v>
      </c>
      <c r="AD202" s="2">
        <f>IF(AD$154="","",INDEX('DEMAND BY DATE'!$CA$4:$DV$203,MATCH(AD$154,'DEMAND BY DATE'!$A$4:$A$203,0),MATCH($A202,'DEMAND BY DATE'!$CA$3:$DV$3,0)))</f>
        <v>0</v>
      </c>
      <c r="AE202" s="2">
        <f>IF(AE$154="","",INDEX('DEMAND BY DATE'!$CA$4:$DV$203,MATCH(AE$154,'DEMAND BY DATE'!$A$4:$A$203,0),MATCH($A202,'DEMAND BY DATE'!$CA$3:$DV$3,0)))</f>
        <v>0</v>
      </c>
      <c r="AF202" s="2">
        <f>IF(AF$154="","",INDEX('DEMAND BY DATE'!$CA$4:$DV$203,MATCH(AF$154,'DEMAND BY DATE'!$A$4:$A$203,0),MATCH($A202,'DEMAND BY DATE'!$CA$3:$DV$3,0)))</f>
        <v>0</v>
      </c>
      <c r="AG202" s="2">
        <f>IF(AG$154="","",INDEX('DEMAND BY DATE'!$CA$4:$DV$203,MATCH(AG$154,'DEMAND BY DATE'!$A$4:$A$203,0),MATCH($A202,'DEMAND BY DATE'!$CA$3:$DV$3,0)))</f>
        <v>0</v>
      </c>
      <c r="AH202" s="2">
        <f>IF(AH$154="","",INDEX('DEMAND BY DATE'!$CA$4:$DV$203,MATCH(AH$154,'DEMAND BY DATE'!$A$4:$A$203,0),MATCH($A202,'DEMAND BY DATE'!$CA$3:$DV$3,0)))</f>
        <v>0</v>
      </c>
      <c r="AI202" s="2">
        <f>IF(AI$154="","",INDEX('DEMAND BY DATE'!$CA$4:$DV$203,MATCH(AI$154,'DEMAND BY DATE'!$A$4:$A$203,0),MATCH($A202,'DEMAND BY DATE'!$CA$3:$DV$3,0)))</f>
        <v>0</v>
      </c>
      <c r="AJ202" s="2">
        <f>IF(AJ$154="","",INDEX('DEMAND BY DATE'!$CA$4:$DV$203,MATCH(AJ$154,'DEMAND BY DATE'!$A$4:$A$203,0),MATCH($A202,'DEMAND BY DATE'!$CA$3:$DV$3,0)))</f>
        <v>0</v>
      </c>
      <c r="AK202" s="2">
        <f>IF(AK$154="","",INDEX('DEMAND BY DATE'!$CA$4:$DV$203,MATCH(AK$154,'DEMAND BY DATE'!$A$4:$A$203,0),MATCH($A202,'DEMAND BY DATE'!$CA$3:$DV$3,0)))</f>
        <v>0</v>
      </c>
    </row>
    <row r="203" spans="1:37">
      <c r="A203" s="292" t="s">
        <v>420</v>
      </c>
      <c r="B203" s="292"/>
      <c r="C203" s="292"/>
      <c r="D203" s="292"/>
      <c r="E203" s="292"/>
      <c r="F203" s="292"/>
      <c r="G203" s="292">
        <f>IF(G$154="","",SUM(G$155:G$202))</f>
        <v>26</v>
      </c>
      <c r="H203" s="292">
        <f>IF(H$154="","",SUM(H$155:H$202))</f>
        <v>26</v>
      </c>
      <c r="I203" s="292">
        <f>IF(I$154="","",SUM(I$155:I$202))</f>
        <v>26</v>
      </c>
      <c r="J203" s="292">
        <f>IF(J$154="","",SUM(J$155:J$202))</f>
        <v>26</v>
      </c>
      <c r="K203" s="292">
        <f>IF(K$154="","",SUM(K$155:K$202))</f>
        <v>26</v>
      </c>
      <c r="L203" s="292">
        <f>IF(L$154="","",SUM(L$155:L$202))</f>
        <v>26</v>
      </c>
      <c r="M203" s="292">
        <f>IF(M$154="","",SUM(M$155:M$202))</f>
        <v>26</v>
      </c>
      <c r="N203" s="292">
        <f>IF(N$154="","",SUM(N$155:N$202))</f>
        <v>26</v>
      </c>
      <c r="O203" s="292">
        <f>IF(O$154="","",SUM(O$155:O$202))</f>
        <v>26</v>
      </c>
      <c r="P203" s="292">
        <f>IF(P$154="","",SUM(P$155:P$202))</f>
        <v>26</v>
      </c>
      <c r="Q203" s="292">
        <f>IF(Q$154="","",SUM(Q$155:Q$202))</f>
        <v>26</v>
      </c>
      <c r="R203" s="292">
        <f>IF(R$154="","",SUM(R$155:R$202))</f>
        <v>26</v>
      </c>
      <c r="S203" s="292">
        <f>IF(S$154="","",SUM(S$155:S$202))</f>
        <v>26</v>
      </c>
      <c r="T203" s="292">
        <f>IF(T$154="","",SUM(T$155:T$202))</f>
        <v>26</v>
      </c>
      <c r="U203" s="292">
        <f>IF(U$154="","",SUM(U$155:U$202))</f>
        <v>26</v>
      </c>
      <c r="V203" s="292">
        <f>IF(V$154="","",SUM(V$155:V$202))</f>
        <v>26</v>
      </c>
      <c r="W203" s="292">
        <f>IF(W$154="","",SUM(W$155:W$202))</f>
        <v>26</v>
      </c>
      <c r="X203" s="292">
        <f>IF(X$154="","",SUM(X$155:X$202))</f>
        <v>26</v>
      </c>
      <c r="Y203" s="292">
        <f>IF(Y$154="","",SUM(Y$155:Y$202))</f>
        <v>26</v>
      </c>
      <c r="Z203" s="292">
        <f>IF(Z$154="","",SUM(Z$155:Z$202))</f>
        <v>26</v>
      </c>
      <c r="AA203" s="292">
        <f>IF(AA$154="","",SUM(AA$155:AA$202))</f>
        <v>26</v>
      </c>
      <c r="AB203" s="292">
        <f>IF(AB$154="","",SUM(AB$155:AB$202))</f>
        <v>26</v>
      </c>
      <c r="AC203" s="292">
        <f>IF(AC$154="","",SUM(AC$155:AC$202))</f>
        <v>26</v>
      </c>
      <c r="AD203" s="292">
        <f>IF(AD$154="","",SUM(AD$155:AD$202))</f>
        <v>26</v>
      </c>
      <c r="AE203" s="292">
        <f>IF(AE$154="","",SUM(AE$155:AE$202))</f>
        <v>26</v>
      </c>
      <c r="AF203" s="292">
        <f>IF(AF$154="","",SUM(AF$155:AF$202))</f>
        <v>26</v>
      </c>
      <c r="AG203" s="292">
        <f>IF(AG$154="","",SUM(AG$155:AG$202))</f>
        <v>26</v>
      </c>
      <c r="AH203" s="292">
        <f>IF(AH$154="","",SUM(AH$155:AH$202))</f>
        <v>26</v>
      </c>
      <c r="AI203" s="292">
        <f>IF(AI$154="","",SUM(AI$155:AI$202))</f>
        <v>26</v>
      </c>
      <c r="AJ203" s="292">
        <f>IF(AJ$154="","",SUM(AJ$155:AJ$202))</f>
        <v>26</v>
      </c>
      <c r="AK203" s="292">
        <f>IF(AK$154="","",SUM(AK$155:AK$202))</f>
        <v>26</v>
      </c>
    </row>
  </sheetData>
  <sheetProtection sheet="1" objects="1" scenarios="1" formatCells="0" formatColumns="0" formatRows="0"/>
  <conditionalFormatting sqref="B123:B148">
    <cfRule type="containsText" dxfId="8" priority="3" operator="containsText" text="BUY">
      <formula>NOT(ISERROR(SEARCH("BUY",B123)))</formula>
    </cfRule>
    <cfRule type="containsText" dxfId="7" priority="4" operator="containsText" text="TIGHT">
      <formula>NOT(ISERROR(SEARCH("TIGHT",B123)))</formula>
    </cfRule>
    <cfRule type="containsText" dxfId="6" priority="5" operator="containsText" text="IDLE">
      <formula>NOT(ISERROR(SEARCH("IDLE",B123)))</formula>
    </cfRule>
    <cfRule type="containsText" dxfId="5" priority="6" operator="containsText" text="OK">
      <formula>NOT(ISERROR(SEARCH("OK",B123)))</formula>
    </cfRule>
  </conditionalFormatting>
  <conditionalFormatting sqref="E123:E148">
    <cfRule type="cellIs" dxfId="4" priority="7" operator="lessThan">
      <formula>0</formula>
    </cfRule>
  </conditionalFormatting>
  <conditionalFormatting sqref="G123:AK148">
    <cfRule type="expression" dxfId="3" priority="1">
      <formula>AND(G123&lt;&gt;"",G123&gt;$C123)</formula>
    </cfRule>
    <cfRule type="expression" dxfId="2" priority="2">
      <formula>G$151&lt;&gt;"Y"</formula>
    </cfRule>
  </conditionalFormatting>
  <conditionalFormatting sqref="G150:AK150">
    <cfRule type="cellIs" dxfId="1" priority="8" operator="greaterThan">
      <formula>0</formula>
    </cfRule>
  </conditionalFormatting>
  <conditionalFormatting sqref="AG33:AG80">
    <cfRule type="containsText" dxfId="0" priority="9" operator="containsText" text="NEEDS INPUT">
      <formula>NOT(ISERROR(SEARCH("NEEDS INPUT",AG33)))</formula>
    </cfRule>
  </conditionalFormatting>
  <dataValidations count="1">
    <dataValidation type="list" allowBlank="1" showInputMessage="1" showErrorMessage="1" errorTitle="Not in the garment master list" error="Pick a garment type from the list. To add a new one, type it in the GARMENT MASTER LIST at AJ33:AJ43 first." promptTitle="Garment type" prompt="Pick from the garment master list (AJ33:AJ43)." sqref="AG33:AG80" xr:uid="{833FDF58-3474-4A59-B074-56925FEDA3F6}">
      <formula1>$AJ$33:$AJ$43</formula1>
    </dataValidation>
  </dataValidations>
  <pageMargins left="0.7" right="0.7" top="0.75" bottom="0.75" header="0.3" footer="0.3"/>
  <pageSetup orientation="portrait" horizontalDpi="300" verticalDpi="300"/>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6FBC5E6-49D2-4B7D-86CC-98254D6B1BD5}">
          <x14:formula1>
            <xm:f>'DEMAND BY DATE'!$BE$27:$BE$30</xm:f>
          </x14:formula1>
          <xm:sqref>B120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2EA27-F6C2-447B-9876-EB83FD496152}">
  <sheetPr>
    <tabColor rgb="FF808080"/>
  </sheetPr>
  <dimension ref="A1:N59"/>
  <sheetViews>
    <sheetView topLeftCell="A41" zoomScale="133" workbookViewId="0">
      <selection activeCell="G46" sqref="G46"/>
    </sheetView>
    <sheetView workbookViewId="1"/>
  </sheetViews>
  <sheetFormatPr defaultRowHeight="15"/>
  <cols>
    <col min="1" max="1" width="8.140625" style="2" bestFit="1" customWidth="1"/>
    <col min="2" max="2" width="47.140625" style="2" bestFit="1" customWidth="1"/>
    <col min="3" max="3" width="32.28515625" style="2" bestFit="1" customWidth="1"/>
    <col min="4" max="4" width="8" style="2" bestFit="1" customWidth="1"/>
    <col min="5" max="5" width="6" style="2" bestFit="1" customWidth="1"/>
    <col min="6" max="6" width="5.140625" style="2" bestFit="1" customWidth="1"/>
    <col min="7" max="7" width="21" style="2" customWidth="1"/>
    <col min="8" max="9" width="9.140625" style="2"/>
    <col min="10" max="10" width="21" style="2" customWidth="1"/>
    <col min="11" max="12" width="12.42578125" style="2" customWidth="1"/>
    <col min="13" max="16384" width="9.140625" style="2"/>
  </cols>
  <sheetData>
    <row r="1" spans="1:14">
      <c r="A1" s="667" t="s">
        <v>29</v>
      </c>
      <c r="B1" s="668" t="s">
        <v>30</v>
      </c>
      <c r="C1" s="669" t="s">
        <v>31</v>
      </c>
      <c r="D1" s="670" t="s">
        <v>32</v>
      </c>
      <c r="E1" s="671" t="s">
        <v>33</v>
      </c>
      <c r="F1" s="672" t="s">
        <v>34</v>
      </c>
      <c r="G1" s="673" t="s">
        <v>177</v>
      </c>
      <c r="J1" s="674" t="s">
        <v>202</v>
      </c>
      <c r="N1" s="555" t="s">
        <v>477</v>
      </c>
    </row>
    <row r="2" spans="1:14">
      <c r="A2" s="675" t="s">
        <v>35</v>
      </c>
      <c r="B2" s="676" t="s">
        <v>36</v>
      </c>
      <c r="C2" s="677" t="s">
        <v>37</v>
      </c>
      <c r="D2" s="677" t="s">
        <v>38</v>
      </c>
      <c r="E2" s="677" t="s">
        <v>39</v>
      </c>
      <c r="F2" s="678">
        <v>55</v>
      </c>
      <c r="G2" s="679" t="s">
        <v>178</v>
      </c>
      <c r="J2" s="680" t="s">
        <v>177</v>
      </c>
      <c r="K2" s="680" t="s">
        <v>203</v>
      </c>
      <c r="L2" s="680" t="s">
        <v>204</v>
      </c>
    </row>
    <row r="3" spans="1:14">
      <c r="A3" s="681"/>
      <c r="B3" s="682" t="s">
        <v>36</v>
      </c>
      <c r="C3" s="683" t="s">
        <v>40</v>
      </c>
      <c r="D3" s="683" t="s">
        <v>41</v>
      </c>
      <c r="E3" s="683" t="s">
        <v>42</v>
      </c>
      <c r="F3" s="684">
        <v>90</v>
      </c>
      <c r="G3" s="679" t="s">
        <v>178</v>
      </c>
      <c r="J3" s="685" t="s">
        <v>178</v>
      </c>
      <c r="K3" s="686">
        <f>SUMIF($G$2:$G$58,$J3,$F$2:$F$58)</f>
        <v>183</v>
      </c>
      <c r="L3" s="687">
        <f>K3/$K$29</f>
        <v>0.209621993127148</v>
      </c>
    </row>
    <row r="4" spans="1:14">
      <c r="A4" s="681"/>
      <c r="B4" s="682" t="s">
        <v>43</v>
      </c>
      <c r="C4" s="683" t="s">
        <v>44</v>
      </c>
      <c r="D4" s="683" t="s">
        <v>41</v>
      </c>
      <c r="E4" s="683" t="s">
        <v>45</v>
      </c>
      <c r="F4" s="684">
        <v>33</v>
      </c>
      <c r="G4" s="679" t="s">
        <v>178</v>
      </c>
      <c r="J4" s="685" t="s">
        <v>179</v>
      </c>
      <c r="K4" s="686">
        <f t="shared" ref="K4:K28" si="0">SUMIF($G$2:$G$58,$J4,$F$2:$F$58)</f>
        <v>2</v>
      </c>
      <c r="L4" s="687">
        <f t="shared" ref="L4:L28" si="1">K4/$K$29</f>
        <v>0.00229095074455899</v>
      </c>
    </row>
    <row r="5" spans="1:14">
      <c r="A5" s="681"/>
      <c r="B5" s="682" t="s">
        <v>46</v>
      </c>
      <c r="C5" s="683" t="s">
        <v>47</v>
      </c>
      <c r="D5" s="683" t="s">
        <v>48</v>
      </c>
      <c r="E5" s="683" t="s">
        <v>39</v>
      </c>
      <c r="F5" s="684">
        <v>2</v>
      </c>
      <c r="G5" s="688" t="s">
        <v>179</v>
      </c>
      <c r="J5" s="685" t="s">
        <v>158</v>
      </c>
      <c r="K5" s="686">
        <f t="shared" si="0"/>
        <v>8</v>
      </c>
      <c r="L5" s="687">
        <f t="shared" si="1"/>
        <v>0.00916380297823597</v>
      </c>
    </row>
    <row r="6" spans="1:14">
      <c r="A6" s="675"/>
      <c r="B6" s="682" t="s">
        <v>49</v>
      </c>
      <c r="C6" s="683" t="s">
        <v>50</v>
      </c>
      <c r="D6" s="677" t="s">
        <v>48</v>
      </c>
      <c r="E6" s="683" t="s">
        <v>39</v>
      </c>
      <c r="F6" s="684">
        <v>5</v>
      </c>
      <c r="G6" s="688" t="s">
        <v>178</v>
      </c>
      <c r="J6" s="685" t="s">
        <v>190</v>
      </c>
      <c r="K6" s="686">
        <f t="shared" si="0"/>
        <v>8</v>
      </c>
      <c r="L6" s="687">
        <f t="shared" si="1"/>
        <v>0.00916380297823597</v>
      </c>
    </row>
    <row r="7" spans="1:14">
      <c r="A7" s="675"/>
      <c r="B7" s="682" t="s">
        <v>51</v>
      </c>
      <c r="C7" s="683" t="s">
        <v>52</v>
      </c>
      <c r="D7" s="677" t="s">
        <v>48</v>
      </c>
      <c r="E7" s="683" t="s">
        <v>39</v>
      </c>
      <c r="F7" s="684">
        <v>2</v>
      </c>
      <c r="G7" s="688" t="s">
        <v>158</v>
      </c>
      <c r="J7" s="685" t="s">
        <v>180</v>
      </c>
      <c r="K7" s="686">
        <f t="shared" si="0"/>
        <v>4</v>
      </c>
      <c r="L7" s="687">
        <f t="shared" si="1"/>
        <v>0.00458190148911798</v>
      </c>
    </row>
    <row r="8" spans="1:14">
      <c r="A8" s="689"/>
      <c r="B8" s="682" t="s">
        <v>51</v>
      </c>
      <c r="C8" s="683" t="s">
        <v>53</v>
      </c>
      <c r="D8" s="677" t="s">
        <v>41</v>
      </c>
      <c r="E8" s="683" t="s">
        <v>42</v>
      </c>
      <c r="F8" s="684">
        <v>6</v>
      </c>
      <c r="G8" s="688" t="s">
        <v>158</v>
      </c>
      <c r="J8" s="685" t="s">
        <v>191</v>
      </c>
      <c r="K8" s="686">
        <f t="shared" si="0"/>
        <v>2</v>
      </c>
      <c r="L8" s="687">
        <f t="shared" si="1"/>
        <v>0.00229095074455899</v>
      </c>
    </row>
    <row r="9" spans="1:14">
      <c r="A9" s="689"/>
      <c r="B9" s="690"/>
      <c r="C9" s="691"/>
      <c r="D9" s="692"/>
      <c r="E9" s="691"/>
      <c r="F9" s="693">
        <v>193</v>
      </c>
      <c r="G9" s="694"/>
      <c r="J9" s="685" t="s">
        <v>192</v>
      </c>
      <c r="K9" s="686">
        <f t="shared" si="0"/>
        <v>28</v>
      </c>
      <c r="L9" s="687">
        <f t="shared" si="1"/>
        <v>0.0320733104238259</v>
      </c>
    </row>
    <row r="10" spans="1:14">
      <c r="A10" s="675"/>
      <c r="B10" s="682" t="s">
        <v>54</v>
      </c>
      <c r="C10" s="683" t="s">
        <v>55</v>
      </c>
      <c r="D10" s="683" t="s">
        <v>48</v>
      </c>
      <c r="E10" s="683" t="s">
        <v>39</v>
      </c>
      <c r="F10" s="684">
        <v>8</v>
      </c>
      <c r="G10" s="679" t="s">
        <v>190</v>
      </c>
      <c r="J10" s="685" t="s">
        <v>193</v>
      </c>
      <c r="K10" s="686">
        <f t="shared" si="0"/>
        <v>3</v>
      </c>
      <c r="L10" s="687">
        <f t="shared" si="1"/>
        <v>0.00343642611683849</v>
      </c>
    </row>
    <row r="11" spans="1:14">
      <c r="A11" s="675"/>
      <c r="B11" s="682" t="s">
        <v>54</v>
      </c>
      <c r="C11" s="683" t="s">
        <v>56</v>
      </c>
      <c r="D11" s="683" t="s">
        <v>48</v>
      </c>
      <c r="E11" s="683" t="s">
        <v>39</v>
      </c>
      <c r="F11" s="684">
        <v>12</v>
      </c>
      <c r="G11" s="679" t="s">
        <v>192</v>
      </c>
      <c r="J11" s="685" t="s">
        <v>181</v>
      </c>
      <c r="K11" s="686">
        <f t="shared" si="0"/>
        <v>1</v>
      </c>
      <c r="L11" s="687">
        <f t="shared" si="1"/>
        <v>0.0011454753722795</v>
      </c>
    </row>
    <row r="12" spans="1:14">
      <c r="A12" s="675"/>
      <c r="B12" s="682" t="s">
        <v>57</v>
      </c>
      <c r="C12" s="683" t="s">
        <v>58</v>
      </c>
      <c r="D12" s="683" t="s">
        <v>59</v>
      </c>
      <c r="E12" s="683" t="s">
        <v>42</v>
      </c>
      <c r="F12" s="684">
        <v>4</v>
      </c>
      <c r="G12" s="688" t="s">
        <v>180</v>
      </c>
      <c r="J12" s="685" t="s">
        <v>184</v>
      </c>
      <c r="K12" s="686">
        <f t="shared" si="0"/>
        <v>285</v>
      </c>
      <c r="L12" s="687">
        <f t="shared" si="1"/>
        <v>0.326460481099656</v>
      </c>
    </row>
    <row r="13" spans="1:14">
      <c r="A13" s="675"/>
      <c r="B13" s="682" t="s">
        <v>60</v>
      </c>
      <c r="C13" s="683" t="s">
        <v>61</v>
      </c>
      <c r="D13" s="683" t="s">
        <v>62</v>
      </c>
      <c r="E13" s="683"/>
      <c r="F13" s="684">
        <v>2</v>
      </c>
      <c r="G13" s="688" t="s">
        <v>191</v>
      </c>
      <c r="J13" s="685" t="s">
        <v>185</v>
      </c>
      <c r="K13" s="686">
        <f t="shared" si="0"/>
        <v>29</v>
      </c>
      <c r="L13" s="687">
        <f t="shared" si="1"/>
        <v>0.0332187857961054</v>
      </c>
    </row>
    <row r="14" spans="1:14">
      <c r="A14" s="675"/>
      <c r="B14" s="682" t="s">
        <v>63</v>
      </c>
      <c r="C14" s="683" t="s">
        <v>64</v>
      </c>
      <c r="D14" s="683" t="s">
        <v>65</v>
      </c>
      <c r="E14" s="683" t="s">
        <v>45</v>
      </c>
      <c r="F14" s="684">
        <v>16</v>
      </c>
      <c r="G14" s="688" t="s">
        <v>192</v>
      </c>
      <c r="J14" s="685" t="s">
        <v>187</v>
      </c>
      <c r="K14" s="686">
        <f t="shared" si="0"/>
        <v>22</v>
      </c>
      <c r="L14" s="687">
        <f t="shared" si="1"/>
        <v>0.0252004581901489</v>
      </c>
    </row>
    <row r="15" spans="1:14">
      <c r="A15" s="675"/>
      <c r="B15" s="690"/>
      <c r="C15" s="691"/>
      <c r="D15" s="691"/>
      <c r="E15" s="691"/>
      <c r="F15" s="693">
        <v>42</v>
      </c>
      <c r="G15" s="694"/>
      <c r="J15" s="685" t="s">
        <v>194</v>
      </c>
      <c r="K15" s="686">
        <f t="shared" si="0"/>
        <v>49</v>
      </c>
      <c r="L15" s="687">
        <f t="shared" si="1"/>
        <v>0.0561282932416953</v>
      </c>
    </row>
    <row r="16" spans="1:14">
      <c r="A16" s="675"/>
      <c r="B16" s="682" t="s">
        <v>66</v>
      </c>
      <c r="C16" s="683" t="s">
        <v>67</v>
      </c>
      <c r="D16" s="683" t="s">
        <v>68</v>
      </c>
      <c r="E16" s="683" t="s">
        <v>39</v>
      </c>
      <c r="F16" s="684">
        <v>1</v>
      </c>
      <c r="G16" s="688" t="s">
        <v>193</v>
      </c>
      <c r="J16" s="685" t="s">
        <v>182</v>
      </c>
      <c r="K16" s="686">
        <f t="shared" si="0"/>
        <v>48</v>
      </c>
      <c r="L16" s="687">
        <f t="shared" si="1"/>
        <v>0.0549828178694158</v>
      </c>
    </row>
    <row r="17" spans="1:12">
      <c r="A17" s="675"/>
      <c r="B17" s="682" t="s">
        <v>66</v>
      </c>
      <c r="C17" s="683" t="s">
        <v>69</v>
      </c>
      <c r="D17" s="683" t="s">
        <v>48</v>
      </c>
      <c r="E17" s="683" t="s">
        <v>39</v>
      </c>
      <c r="F17" s="684">
        <v>1</v>
      </c>
      <c r="G17" s="688" t="s">
        <v>193</v>
      </c>
      <c r="J17" s="685" t="s">
        <v>195</v>
      </c>
      <c r="K17" s="686">
        <f t="shared" si="0"/>
        <v>34</v>
      </c>
      <c r="L17" s="687">
        <f t="shared" si="1"/>
        <v>0.0389461626575029</v>
      </c>
    </row>
    <row r="18" spans="1:12">
      <c r="A18" s="675"/>
      <c r="B18" s="682" t="s">
        <v>66</v>
      </c>
      <c r="C18" s="683" t="s">
        <v>70</v>
      </c>
      <c r="D18" s="683" t="s">
        <v>48</v>
      </c>
      <c r="E18" s="683" t="s">
        <v>39</v>
      </c>
      <c r="F18" s="684">
        <v>1</v>
      </c>
      <c r="G18" s="688" t="s">
        <v>193</v>
      </c>
      <c r="J18" s="685" t="s">
        <v>196</v>
      </c>
      <c r="K18" s="686">
        <f t="shared" si="0"/>
        <v>2</v>
      </c>
      <c r="L18" s="687">
        <f t="shared" si="1"/>
        <v>0.00229095074455899</v>
      </c>
    </row>
    <row r="19" spans="1:12">
      <c r="A19" s="675"/>
      <c r="B19" s="682" t="s">
        <v>71</v>
      </c>
      <c r="C19" s="683" t="s">
        <v>72</v>
      </c>
      <c r="D19" s="683" t="s">
        <v>48</v>
      </c>
      <c r="E19" s="683" t="s">
        <v>39</v>
      </c>
      <c r="F19" s="684">
        <v>1</v>
      </c>
      <c r="G19" s="688" t="s">
        <v>181</v>
      </c>
      <c r="J19" s="685" t="s">
        <v>111</v>
      </c>
      <c r="K19" s="686">
        <f t="shared" si="0"/>
        <v>10</v>
      </c>
      <c r="L19" s="687">
        <f t="shared" si="1"/>
        <v>0.011454753722795</v>
      </c>
    </row>
    <row r="20" spans="1:12">
      <c r="A20" s="675"/>
      <c r="B20" s="690"/>
      <c r="C20" s="691"/>
      <c r="D20" s="691"/>
      <c r="E20" s="691"/>
      <c r="F20" s="693">
        <v>4</v>
      </c>
      <c r="G20" s="694"/>
      <c r="J20" s="685" t="s">
        <v>186</v>
      </c>
      <c r="K20" s="686">
        <f t="shared" si="0"/>
        <v>2</v>
      </c>
      <c r="L20" s="687">
        <f t="shared" si="1"/>
        <v>0.00229095074455899</v>
      </c>
    </row>
    <row r="21" spans="1:12">
      <c r="A21" s="675"/>
      <c r="B21" s="682" t="s">
        <v>73</v>
      </c>
      <c r="C21" s="683" t="s">
        <v>74</v>
      </c>
      <c r="D21" s="683" t="s">
        <v>75</v>
      </c>
      <c r="E21" s="683" t="s">
        <v>39</v>
      </c>
      <c r="F21" s="684">
        <v>1</v>
      </c>
      <c r="G21" s="688" t="s">
        <v>185</v>
      </c>
      <c r="J21" s="685" t="s">
        <v>188</v>
      </c>
      <c r="K21" s="686">
        <f t="shared" si="0"/>
        <v>8</v>
      </c>
      <c r="L21" s="687">
        <f t="shared" si="1"/>
        <v>0.00916380297823597</v>
      </c>
    </row>
    <row r="22" spans="1:12">
      <c r="A22" s="689"/>
      <c r="B22" s="682" t="s">
        <v>76</v>
      </c>
      <c r="C22" s="683" t="s">
        <v>77</v>
      </c>
      <c r="D22" s="683" t="s">
        <v>75</v>
      </c>
      <c r="E22" s="683" t="s">
        <v>39</v>
      </c>
      <c r="F22" s="684">
        <v>5</v>
      </c>
      <c r="G22" s="688" t="s">
        <v>184</v>
      </c>
      <c r="J22" s="685" t="s">
        <v>197</v>
      </c>
      <c r="K22" s="686">
        <f t="shared" si="0"/>
        <v>3</v>
      </c>
      <c r="L22" s="687">
        <f t="shared" si="1"/>
        <v>0.00343642611683849</v>
      </c>
    </row>
    <row r="23" spans="1:12">
      <c r="A23" s="689"/>
      <c r="B23" s="682" t="s">
        <v>78</v>
      </c>
      <c r="C23" s="683" t="s">
        <v>79</v>
      </c>
      <c r="D23" s="683" t="s">
        <v>75</v>
      </c>
      <c r="E23" s="683" t="s">
        <v>39</v>
      </c>
      <c r="F23" s="684">
        <v>3</v>
      </c>
      <c r="G23" s="688" t="s">
        <v>184</v>
      </c>
      <c r="J23" s="685" t="s">
        <v>189</v>
      </c>
      <c r="K23" s="686">
        <f t="shared" si="0"/>
        <v>50</v>
      </c>
      <c r="L23" s="687">
        <f t="shared" si="1"/>
        <v>0.0572737686139748</v>
      </c>
    </row>
    <row r="24" spans="1:12">
      <c r="A24" s="689"/>
      <c r="B24" s="682" t="s">
        <v>80</v>
      </c>
      <c r="C24" s="683" t="s">
        <v>81</v>
      </c>
      <c r="D24" s="683" t="s">
        <v>75</v>
      </c>
      <c r="E24" s="683" t="s">
        <v>39</v>
      </c>
      <c r="F24" s="684">
        <v>72</v>
      </c>
      <c r="G24" s="688" t="s">
        <v>184</v>
      </c>
      <c r="J24" s="685" t="s">
        <v>198</v>
      </c>
      <c r="K24" s="686">
        <f t="shared" si="0"/>
        <v>27</v>
      </c>
      <c r="L24" s="687">
        <f t="shared" si="1"/>
        <v>0.0309278350515464</v>
      </c>
    </row>
    <row r="25" spans="1:12">
      <c r="A25" s="689"/>
      <c r="B25" s="682" t="s">
        <v>82</v>
      </c>
      <c r="C25" s="683" t="s">
        <v>83</v>
      </c>
      <c r="D25" s="683" t="s">
        <v>75</v>
      </c>
      <c r="E25" s="683" t="s">
        <v>39</v>
      </c>
      <c r="F25" s="684">
        <v>40</v>
      </c>
      <c r="G25" s="688" t="s">
        <v>184</v>
      </c>
      <c r="J25" s="685" t="s">
        <v>183</v>
      </c>
      <c r="K25" s="686">
        <f t="shared" si="0"/>
        <v>21</v>
      </c>
      <c r="L25" s="687">
        <f t="shared" si="1"/>
        <v>0.0240549828178694</v>
      </c>
    </row>
    <row r="26" spans="1:12">
      <c r="A26" s="689"/>
      <c r="B26" s="682" t="s">
        <v>84</v>
      </c>
      <c r="C26" s="683" t="s">
        <v>85</v>
      </c>
      <c r="D26" s="683" t="s">
        <v>75</v>
      </c>
      <c r="E26" s="683" t="s">
        <v>39</v>
      </c>
      <c r="F26" s="684">
        <v>30</v>
      </c>
      <c r="G26" s="688" t="s">
        <v>184</v>
      </c>
      <c r="H26" s="2">
        <v>262</v>
      </c>
      <c r="J26" s="685" t="s">
        <v>199</v>
      </c>
      <c r="K26" s="686">
        <f t="shared" si="0"/>
        <v>2</v>
      </c>
      <c r="L26" s="687">
        <f t="shared" si="1"/>
        <v>0.00229095074455899</v>
      </c>
    </row>
    <row r="27" spans="1:12">
      <c r="A27" s="689"/>
      <c r="B27" s="682" t="s">
        <v>86</v>
      </c>
      <c r="C27" s="683" t="s">
        <v>87</v>
      </c>
      <c r="D27" s="683" t="s">
        <v>75</v>
      </c>
      <c r="E27" s="683" t="s">
        <v>39</v>
      </c>
      <c r="F27" s="684">
        <v>22</v>
      </c>
      <c r="G27" s="688" t="s">
        <v>187</v>
      </c>
      <c r="H27" s="2">
        <v>30</v>
      </c>
      <c r="J27" s="685" t="s">
        <v>200</v>
      </c>
      <c r="K27" s="686">
        <f t="shared" si="0"/>
        <v>41</v>
      </c>
      <c r="L27" s="687">
        <f t="shared" si="1"/>
        <v>0.0469644902634593</v>
      </c>
    </row>
    <row r="28" spans="1:12">
      <c r="A28" s="689"/>
      <c r="B28" s="682" t="s">
        <v>88</v>
      </c>
      <c r="C28" s="683" t="s">
        <v>89</v>
      </c>
      <c r="D28" s="683" t="s">
        <v>41</v>
      </c>
      <c r="E28" s="683" t="s">
        <v>42</v>
      </c>
      <c r="F28" s="684">
        <v>8</v>
      </c>
      <c r="G28" s="688" t="s">
        <v>185</v>
      </c>
      <c r="H28" s="2">
        <v>30</v>
      </c>
      <c r="J28" s="685" t="s">
        <v>201</v>
      </c>
      <c r="K28" s="686">
        <f t="shared" si="0"/>
        <v>1</v>
      </c>
      <c r="L28" s="687">
        <f t="shared" si="1"/>
        <v>0.0011454753722795</v>
      </c>
    </row>
    <row r="29" spans="1:12">
      <c r="A29" s="689"/>
      <c r="B29" s="682" t="s">
        <v>90</v>
      </c>
      <c r="C29" s="683" t="s">
        <v>91</v>
      </c>
      <c r="D29" s="683" t="s">
        <v>75</v>
      </c>
      <c r="E29" s="683" t="s">
        <v>39</v>
      </c>
      <c r="F29" s="684">
        <v>13</v>
      </c>
      <c r="G29" s="688" t="s">
        <v>185</v>
      </c>
      <c r="J29" s="695" t="s">
        <v>34</v>
      </c>
      <c r="K29" s="696">
        <f>SUM(K3:K28)</f>
        <v>873</v>
      </c>
      <c r="L29" s="697">
        <f>SUM(L3:L28)</f>
        <v>1</v>
      </c>
    </row>
    <row r="30" spans="1:12">
      <c r="A30" s="689"/>
      <c r="B30" s="682" t="s">
        <v>90</v>
      </c>
      <c r="C30" s="683" t="s">
        <v>92</v>
      </c>
      <c r="D30" s="683" t="s">
        <v>75</v>
      </c>
      <c r="E30" s="683" t="s">
        <v>39</v>
      </c>
      <c r="F30" s="684">
        <v>5</v>
      </c>
      <c r="G30" s="688" t="s">
        <v>185</v>
      </c>
    </row>
    <row r="31" spans="1:12">
      <c r="A31" s="689"/>
      <c r="B31" s="682" t="s">
        <v>93</v>
      </c>
      <c r="C31" s="683" t="s">
        <v>94</v>
      </c>
      <c r="D31" s="683" t="s">
        <v>41</v>
      </c>
      <c r="E31" s="683" t="s">
        <v>42</v>
      </c>
      <c r="F31" s="684">
        <v>20</v>
      </c>
      <c r="G31" s="688" t="s">
        <v>184</v>
      </c>
    </row>
    <row r="32" spans="1:12">
      <c r="A32" s="675"/>
      <c r="B32" s="682" t="s">
        <v>93</v>
      </c>
      <c r="C32" s="683" t="s">
        <v>95</v>
      </c>
      <c r="D32" s="683" t="s">
        <v>41</v>
      </c>
      <c r="E32" s="683" t="s">
        <v>42</v>
      </c>
      <c r="F32" s="684">
        <v>105</v>
      </c>
      <c r="G32" s="688" t="s">
        <v>184</v>
      </c>
    </row>
    <row r="33" spans="1:7">
      <c r="A33" s="675"/>
      <c r="B33" s="682" t="s">
        <v>93</v>
      </c>
      <c r="C33" s="683" t="s">
        <v>96</v>
      </c>
      <c r="D33" s="683" t="s">
        <v>48</v>
      </c>
      <c r="E33" s="683" t="s">
        <v>39</v>
      </c>
      <c r="F33" s="684">
        <v>10</v>
      </c>
      <c r="G33" s="688" t="s">
        <v>184</v>
      </c>
    </row>
    <row r="34" spans="1:7">
      <c r="A34" s="675"/>
      <c r="B34" s="698" t="s">
        <v>97</v>
      </c>
      <c r="C34" s="683" t="s">
        <v>98</v>
      </c>
      <c r="D34" s="683" t="s">
        <v>75</v>
      </c>
      <c r="E34" s="683" t="s">
        <v>39</v>
      </c>
      <c r="F34" s="684">
        <v>2</v>
      </c>
      <c r="G34" s="688" t="s">
        <v>185</v>
      </c>
    </row>
    <row r="35" spans="1:7">
      <c r="A35" s="675"/>
      <c r="B35" s="699"/>
      <c r="C35" s="700"/>
      <c r="D35" s="700"/>
      <c r="E35" s="700"/>
      <c r="F35" s="693">
        <v>336</v>
      </c>
      <c r="G35" s="694"/>
    </row>
    <row r="36" spans="1:7">
      <c r="A36" s="675"/>
      <c r="B36" s="682" t="s">
        <v>99</v>
      </c>
      <c r="C36" s="683" t="s">
        <v>100</v>
      </c>
      <c r="D36" s="683" t="s">
        <v>75</v>
      </c>
      <c r="E36" s="683" t="s">
        <v>39</v>
      </c>
      <c r="F36" s="684">
        <v>5</v>
      </c>
      <c r="G36" s="688" t="s">
        <v>194</v>
      </c>
    </row>
    <row r="37" spans="1:7">
      <c r="A37" s="675"/>
      <c r="B37" s="682" t="s">
        <v>101</v>
      </c>
      <c r="C37" s="683" t="s">
        <v>102</v>
      </c>
      <c r="D37" s="683" t="s">
        <v>75</v>
      </c>
      <c r="E37" s="683" t="s">
        <v>39</v>
      </c>
      <c r="F37" s="684">
        <v>48</v>
      </c>
      <c r="G37" s="688" t="s">
        <v>182</v>
      </c>
    </row>
    <row r="38" spans="1:7">
      <c r="A38" s="675" t="s">
        <v>103</v>
      </c>
      <c r="B38" s="682" t="s">
        <v>101</v>
      </c>
      <c r="C38" s="683" t="s">
        <v>104</v>
      </c>
      <c r="D38" s="683" t="s">
        <v>75</v>
      </c>
      <c r="E38" s="683" t="s">
        <v>39</v>
      </c>
      <c r="F38" s="684">
        <v>15</v>
      </c>
      <c r="G38" s="688" t="s">
        <v>194</v>
      </c>
    </row>
    <row r="39" spans="1:7">
      <c r="A39" s="675"/>
      <c r="B39" s="682" t="s">
        <v>105</v>
      </c>
      <c r="C39" s="683" t="s">
        <v>106</v>
      </c>
      <c r="D39" s="683" t="s">
        <v>75</v>
      </c>
      <c r="E39" s="683" t="s">
        <v>39</v>
      </c>
      <c r="F39" s="684">
        <v>34</v>
      </c>
      <c r="G39" s="688" t="s">
        <v>195</v>
      </c>
    </row>
    <row r="40" spans="1:7">
      <c r="A40" s="675"/>
      <c r="B40" s="682" t="s">
        <v>107</v>
      </c>
      <c r="C40" s="683" t="s">
        <v>108</v>
      </c>
      <c r="D40" s="683" t="s">
        <v>75</v>
      </c>
      <c r="E40" s="683" t="s">
        <v>39</v>
      </c>
      <c r="F40" s="684">
        <v>2</v>
      </c>
      <c r="G40" s="688" t="s">
        <v>196</v>
      </c>
    </row>
    <row r="41" spans="1:7">
      <c r="A41" s="681"/>
      <c r="B41" s="682" t="s">
        <v>109</v>
      </c>
      <c r="C41" s="683" t="s">
        <v>110</v>
      </c>
      <c r="D41" s="683" t="s">
        <v>111</v>
      </c>
      <c r="E41" s="683" t="s">
        <v>39</v>
      </c>
      <c r="F41" s="684">
        <v>6</v>
      </c>
      <c r="G41" s="688" t="s">
        <v>111</v>
      </c>
    </row>
    <row r="42" spans="1:7">
      <c r="A42" s="681"/>
      <c r="B42" s="682" t="s">
        <v>109</v>
      </c>
      <c r="C42" s="683" t="s">
        <v>112</v>
      </c>
      <c r="D42" s="683" t="s">
        <v>111</v>
      </c>
      <c r="E42" s="683" t="s">
        <v>39</v>
      </c>
      <c r="F42" s="684">
        <v>4</v>
      </c>
      <c r="G42" s="688" t="s">
        <v>111</v>
      </c>
    </row>
    <row r="43" spans="1:7">
      <c r="A43" s="681"/>
      <c r="B43" s="682" t="s">
        <v>113</v>
      </c>
      <c r="C43" s="683" t="s">
        <v>114</v>
      </c>
      <c r="D43" s="683" t="s">
        <v>41</v>
      </c>
      <c r="E43" s="683" t="s">
        <v>42</v>
      </c>
      <c r="F43" s="684">
        <v>2</v>
      </c>
      <c r="G43" s="688" t="s">
        <v>186</v>
      </c>
    </row>
    <row r="44" spans="1:7">
      <c r="A44" s="681"/>
      <c r="B44" s="682" t="s">
        <v>115</v>
      </c>
      <c r="C44" s="683" t="s">
        <v>116</v>
      </c>
      <c r="D44" s="683" t="s">
        <v>75</v>
      </c>
      <c r="E44" s="683" t="s">
        <v>39</v>
      </c>
      <c r="F44" s="684">
        <v>8</v>
      </c>
      <c r="G44" s="688" t="s">
        <v>188</v>
      </c>
    </row>
    <row r="45" spans="1:7">
      <c r="A45" s="681"/>
      <c r="B45" s="682" t="s">
        <v>117</v>
      </c>
      <c r="C45" s="683" t="s">
        <v>118</v>
      </c>
      <c r="D45" s="683" t="s">
        <v>75</v>
      </c>
      <c r="E45" s="683" t="s">
        <v>39</v>
      </c>
      <c r="F45" s="684">
        <v>3</v>
      </c>
      <c r="G45" s="688" t="s">
        <v>197</v>
      </c>
    </row>
    <row r="46" spans="1:7">
      <c r="A46" s="681"/>
      <c r="B46" s="682" t="s">
        <v>117</v>
      </c>
      <c r="C46" s="683" t="s">
        <v>119</v>
      </c>
      <c r="D46" s="683" t="s">
        <v>75</v>
      </c>
      <c r="E46" s="683" t="s">
        <v>39</v>
      </c>
      <c r="F46" s="684">
        <v>6</v>
      </c>
      <c r="G46" s="688" t="s">
        <v>189</v>
      </c>
    </row>
    <row r="47" spans="1:7">
      <c r="A47" s="681"/>
      <c r="B47" s="698" t="s">
        <v>120</v>
      </c>
      <c r="C47" s="683" t="s">
        <v>121</v>
      </c>
      <c r="D47" s="683" t="s">
        <v>75</v>
      </c>
      <c r="E47" s="683" t="s">
        <v>39</v>
      </c>
      <c r="F47" s="684">
        <v>44</v>
      </c>
      <c r="G47" s="688" t="s">
        <v>189</v>
      </c>
    </row>
    <row r="48" spans="1:7">
      <c r="A48" s="681"/>
      <c r="B48" s="682" t="s">
        <v>122</v>
      </c>
      <c r="C48" s="683" t="s">
        <v>123</v>
      </c>
      <c r="D48" s="683" t="s">
        <v>48</v>
      </c>
      <c r="E48" s="683"/>
      <c r="F48" s="684">
        <v>29</v>
      </c>
      <c r="G48" s="688" t="s">
        <v>194</v>
      </c>
    </row>
    <row r="49" spans="1:7">
      <c r="A49" s="681"/>
      <c r="B49" s="682" t="s">
        <v>124</v>
      </c>
      <c r="C49" s="683" t="s">
        <v>125</v>
      </c>
      <c r="D49" s="683" t="s">
        <v>75</v>
      </c>
      <c r="E49" s="683" t="s">
        <v>39</v>
      </c>
      <c r="F49" s="684">
        <v>27</v>
      </c>
      <c r="G49" s="688" t="s">
        <v>198</v>
      </c>
    </row>
    <row r="50" spans="1:7">
      <c r="A50" s="681"/>
      <c r="B50" s="682" t="s">
        <v>126</v>
      </c>
      <c r="C50" s="683" t="s">
        <v>127</v>
      </c>
      <c r="D50" s="683" t="s">
        <v>128</v>
      </c>
      <c r="E50" s="683" t="s">
        <v>39</v>
      </c>
      <c r="F50" s="684">
        <v>21</v>
      </c>
      <c r="G50" s="688" t="s">
        <v>183</v>
      </c>
    </row>
    <row r="51" spans="1:7">
      <c r="A51" s="681"/>
      <c r="B51" s="701"/>
      <c r="C51" s="702" t="s">
        <v>129</v>
      </c>
      <c r="D51" s="701"/>
      <c r="E51" s="701"/>
      <c r="F51" s="684">
        <v>254</v>
      </c>
      <c r="G51" s="703"/>
    </row>
    <row r="52" spans="1:7">
      <c r="A52" s="681"/>
      <c r="B52" s="682"/>
      <c r="C52" s="683"/>
      <c r="D52" s="682"/>
      <c r="E52" s="682"/>
      <c r="F52" s="704">
        <v>829</v>
      </c>
      <c r="G52" s="705"/>
    </row>
    <row r="53" spans="1:7">
      <c r="A53" s="681"/>
      <c r="B53" s="682" t="s">
        <v>130</v>
      </c>
      <c r="C53" s="683" t="s">
        <v>131</v>
      </c>
      <c r="D53" s="683" t="s">
        <v>132</v>
      </c>
      <c r="E53" s="683" t="s">
        <v>133</v>
      </c>
      <c r="F53" s="684">
        <v>2</v>
      </c>
      <c r="G53" s="688" t="s">
        <v>199</v>
      </c>
    </row>
    <row r="54" spans="1:7">
      <c r="A54" s="681"/>
      <c r="B54" s="682" t="s">
        <v>134</v>
      </c>
      <c r="C54" s="683" t="s">
        <v>135</v>
      </c>
      <c r="D54" s="683" t="s">
        <v>136</v>
      </c>
      <c r="E54" s="683"/>
      <c r="F54" s="706">
        <v>17</v>
      </c>
      <c r="G54" s="679" t="s">
        <v>200</v>
      </c>
    </row>
    <row r="55" spans="1:7">
      <c r="A55" s="681"/>
      <c r="B55" s="682" t="s">
        <v>137</v>
      </c>
      <c r="C55" s="683" t="s">
        <v>138</v>
      </c>
      <c r="D55" s="683" t="s">
        <v>136</v>
      </c>
      <c r="E55" s="683"/>
      <c r="F55" s="706">
        <v>18</v>
      </c>
      <c r="G55" s="679" t="s">
        <v>200</v>
      </c>
    </row>
    <row r="56" spans="1:7">
      <c r="A56" s="681"/>
      <c r="B56" s="682" t="s">
        <v>134</v>
      </c>
      <c r="C56" s="683" t="s">
        <v>139</v>
      </c>
      <c r="D56" s="683" t="s">
        <v>140</v>
      </c>
      <c r="E56" s="683"/>
      <c r="F56" s="684">
        <v>5</v>
      </c>
      <c r="G56" s="679" t="s">
        <v>200</v>
      </c>
    </row>
    <row r="57" spans="1:7">
      <c r="A57" s="681" t="s">
        <v>141</v>
      </c>
      <c r="B57" s="682" t="s">
        <v>142</v>
      </c>
      <c r="C57" s="683" t="s">
        <v>143</v>
      </c>
      <c r="D57" s="683" t="s">
        <v>144</v>
      </c>
      <c r="E57" s="683" t="s">
        <v>39</v>
      </c>
      <c r="F57" s="684">
        <v>1</v>
      </c>
      <c r="G57" s="679" t="s">
        <v>200</v>
      </c>
    </row>
    <row r="58" spans="1:7">
      <c r="A58" s="681"/>
      <c r="B58" s="707" t="s">
        <v>145</v>
      </c>
      <c r="C58" s="708"/>
      <c r="D58" s="708" t="s">
        <v>146</v>
      </c>
      <c r="E58" s="708" t="s">
        <v>42</v>
      </c>
      <c r="F58" s="709">
        <v>1</v>
      </c>
      <c r="G58" s="688" t="s">
        <v>201</v>
      </c>
    </row>
    <row r="59" spans="1:7">
      <c r="A59" s="710"/>
      <c r="B59" s="702"/>
      <c r="C59" s="702"/>
      <c r="D59" s="702"/>
      <c r="E59" s="702"/>
      <c r="F59" s="704">
        <v>873</v>
      </c>
      <c r="G59" s="703"/>
    </row>
  </sheetData>
  <sheetProtection sheet="1" objects="1" scenarios="1" formatCells="0" formatColumns="0" formatRow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DF74F-C759-4791-802C-8991723E4B72}">
  <sheetPr>
    <tabColor rgb="FF808080"/>
  </sheetPr>
  <dimension ref="A1:T141"/>
  <sheetViews>
    <sheetView workbookViewId="0"/>
    <sheetView workbookViewId="1"/>
  </sheetViews>
  <sheetFormatPr defaultRowHeight="15"/>
  <cols>
    <col min="1" max="16384" width="9.140625" style="2"/>
  </cols>
  <sheetData>
    <row r="1" spans="1:20" ht="17.25">
      <c r="A1" s="548" t="s">
        <v>349</v>
      </c>
    </row>
    <row r="2" spans="1:20">
      <c r="A2" s="549" t="s">
        <v>350</v>
      </c>
    </row>
    <row r="4" spans="1:20">
      <c r="A4" s="9" t="s">
        <v>351</v>
      </c>
      <c r="B4" s="10"/>
      <c r="C4" s="10"/>
      <c r="D4" s="10"/>
      <c r="E4" s="10"/>
      <c r="F4" s="10"/>
      <c r="G4" s="10"/>
      <c r="H4" s="10"/>
    </row>
    <row r="5" spans="1:20">
      <c r="A5" s="11" t="s">
        <v>219</v>
      </c>
      <c r="B5" s="11" t="s">
        <v>298</v>
      </c>
      <c r="C5" s="11" t="s">
        <v>299</v>
      </c>
      <c r="D5" s="11" t="s">
        <v>300</v>
      </c>
      <c r="E5" s="11" t="s">
        <v>301</v>
      </c>
      <c r="F5" s="11" t="s">
        <v>302</v>
      </c>
      <c r="G5" s="11" t="s">
        <v>303</v>
      </c>
      <c r="H5" s="11" t="s">
        <v>352</v>
      </c>
      <c r="J5" s="11" t="s">
        <v>353</v>
      </c>
    </row>
    <row r="6" spans="1:20">
      <c r="A6" s="2">
        <f>'MC MAP'!$A87</f>
        <v>1</v>
      </c>
      <c r="B6" s="2">
        <f>'MC MAP'!$B87</f>
        <v>7926</v>
      </c>
      <c r="C6" s="550">
        <f>IF($H6&gt;999998,"",$H6)</f>
        <v>46317</v>
      </c>
      <c r="D6" s="2" t="str">
        <f>IFERROR(INDEX('LINE PLAN'!$B$36:$GS$61,MATCH($A6,'LINE PLAN'!$A$36:$A$61,0),MATCH($C6,'LINE PLAN'!$B$35:$GS$35,0)),"— no further change")</f>
        <v>VACCANT</v>
      </c>
      <c r="E6" s="551">
        <f>IFERROR(INDEX('MC MAP'!$AB$33:$AB$80,MATCH($B6,'MC MAP'!$A$33:$A$80,0)),0)</f>
        <v>37</v>
      </c>
      <c r="F6" s="551">
        <f>IFERROR(INDEX('MC MAP'!$AB$33:$AB$80,MATCH($D6,'MC MAP'!$A$33:$A$80,0)),"")</f>
        <v>0</v>
      </c>
      <c r="G6" s="552">
        <f>IF($F6="","",$F6-$E6)</f>
        <v>-37</v>
      </c>
      <c r="H6" s="52" cm="1">
        <f t="array" ref="H6">SUMPRODUCT(MIN(INDEX('LINE PLAN'!$B$66:$GS$91,MATCH($A6,'LINE PLAN'!$A$66:$A$91,0),0)*('LINE PLAN'!$B$35:$GS$35&gt;WORKINGS!$B$75)*'LINE PLAN'!$B$35:$GS$35+(1-INDEX('LINE PLAN'!$B$66:$GS$91,MATCH($A6,'LINE PLAN'!$A$66:$A$91,0),0)*('LINE PLAN'!$B$35:$GS$35&gt;WORKINGS!$B$75))*999999))</f>
        <v>46317</v>
      </c>
      <c r="I6" s="15" t="s">
        <v>354</v>
      </c>
      <c r="J6" s="15">
        <f>MIN($H$6:$H$31)</f>
        <v>46246</v>
      </c>
    </row>
    <row r="7" spans="1:20">
      <c r="A7" s="2">
        <f>'MC MAP'!$A88</f>
        <v>2</v>
      </c>
      <c r="B7" s="2" t="str">
        <f>'MC MAP'!$B88</f>
        <v>4300/4301</v>
      </c>
      <c r="C7" s="550">
        <f>IF($H7&gt;999998,"",$H7)</f>
        <v>46318</v>
      </c>
      <c r="D7" s="2" t="str">
        <f>IFERROR(INDEX('LINE PLAN'!$B$36:$GS$61,MATCH($A7,'LINE PLAN'!$A$36:$A$61,0),MATCH($C7,'LINE PLAN'!$B$35:$GS$35,0)),"— no further change")</f>
        <v>VACCANT</v>
      </c>
      <c r="E7" s="551">
        <f>IFERROR(INDEX('MC MAP'!$AB$33:$AB$80,MATCH($B7,'MC MAP'!$A$33:$A$80,0)),0)</f>
        <v>37.5</v>
      </c>
      <c r="F7" s="551">
        <f>IFERROR(INDEX('MC MAP'!$AB$33:$AB$80,MATCH($D7,'MC MAP'!$A$33:$A$80,0)),"")</f>
        <v>0</v>
      </c>
      <c r="G7" s="552">
        <f>IF($F7="","",$F7-$E7)</f>
        <v>-37.5</v>
      </c>
      <c r="H7" s="52" cm="1">
        <f t="array" ref="H7">SUMPRODUCT(MIN(INDEX('LINE PLAN'!$B$66:$GS$91,MATCH($A7,'LINE PLAN'!$A$66:$A$91,0),0)*('LINE PLAN'!$B$35:$GS$35&gt;WORKINGS!$B$75)*'LINE PLAN'!$B$35:$GS$35+(1-INDEX('LINE PLAN'!$B$66:$GS$91,MATCH($A7,'LINE PLAN'!$A$66:$A$91,0),0)*('LINE PLAN'!$B$35:$GS$35&gt;WORKINGS!$B$75))*999999))</f>
        <v>46318</v>
      </c>
      <c r="I7" s="15" t="s">
        <v>355</v>
      </c>
      <c r="J7" s="15">
        <f>IF($J$6&gt;999998,"",INDEX($A$6:$A$31,MATCH($J$6,$H$6:$H$31,0)))</f>
        <v>5</v>
      </c>
    </row>
    <row r="8" spans="1:20">
      <c r="A8" s="2">
        <f>'MC MAP'!$A89</f>
        <v>3</v>
      </c>
      <c r="B8" s="2">
        <f>'MC MAP'!$B89</f>
        <v>6137</v>
      </c>
      <c r="C8" s="550">
        <f>IF($H8&gt;999998,"",$H8)</f>
        <v>46248</v>
      </c>
      <c r="D8" s="2" t="str">
        <f>IFERROR(INDEX('LINE PLAN'!$B$36:$GS$61,MATCH($A8,'LINE PLAN'!$A$36:$A$61,0),MATCH($C8,'LINE PLAN'!$B$35:$GS$35,0)),"— no further change")</f>
        <v>VACCANT</v>
      </c>
      <c r="E8" s="551">
        <f>IFERROR(INDEX('MC MAP'!$AB$33:$AB$80,MATCH($B8,'MC MAP'!$A$33:$A$80,0)),0)</f>
        <v>29</v>
      </c>
      <c r="F8" s="551">
        <f>IFERROR(INDEX('MC MAP'!$AB$33:$AB$80,MATCH($D8,'MC MAP'!$A$33:$A$80,0)),"")</f>
        <v>0</v>
      </c>
      <c r="G8" s="552">
        <f>IF($F8="","",$F8-$E8)</f>
        <v>-29</v>
      </c>
      <c r="H8" s="52" cm="1">
        <f t="array" ref="H8">SUMPRODUCT(MIN(INDEX('LINE PLAN'!$B$66:$GS$91,MATCH($A8,'LINE PLAN'!$A$66:$A$91,0),0)*('LINE PLAN'!$B$35:$GS$35&gt;WORKINGS!$B$75)*'LINE PLAN'!$B$35:$GS$35+(1-INDEX('LINE PLAN'!$B$66:$GS$91,MATCH($A8,'LINE PLAN'!$A$66:$A$91,0),0)*('LINE PLAN'!$B$35:$GS$35&gt;WORKINGS!$B$75))*999999))</f>
        <v>46248</v>
      </c>
      <c r="I8" s="15" t="s">
        <v>356</v>
      </c>
      <c r="J8" s="15">
        <f>COUNTIF($H$6:$H$31,$J$6)</f>
        <v>1</v>
      </c>
    </row>
    <row r="9" spans="1:20">
      <c r="A9" s="2">
        <f>'MC MAP'!$A90</f>
        <v>4</v>
      </c>
      <c r="B9" s="2" t="str">
        <f>'MC MAP'!$B90</f>
        <v>RS 26/27</v>
      </c>
      <c r="C9" s="550">
        <f>IF($H9&gt;999998,"",$H9)</f>
        <v>46296</v>
      </c>
      <c r="D9" s="2" t="str">
        <f>IFERROR(INDEX('LINE PLAN'!$B$36:$GS$61,MATCH($A9,'LINE PLAN'!$A$36:$A$61,0),MATCH($C9,'LINE PLAN'!$B$35:$GS$35,0)),"— no further change")</f>
        <v>VACCANT</v>
      </c>
      <c r="E9" s="551">
        <f>IFERROR(INDEX('MC MAP'!$AB$33:$AB$80,MATCH($B9,'MC MAP'!$A$33:$A$80,0)),0)</f>
        <v>25</v>
      </c>
      <c r="F9" s="551">
        <f>IFERROR(INDEX('MC MAP'!$AB$33:$AB$80,MATCH($D9,'MC MAP'!$A$33:$A$80,0)),"")</f>
        <v>0</v>
      </c>
      <c r="G9" s="552">
        <f>IF($F9="","",$F9-$E9)</f>
        <v>-25</v>
      </c>
      <c r="H9" s="52" cm="1">
        <f t="array" ref="H9">SUMPRODUCT(MIN(INDEX('LINE PLAN'!$B$66:$GS$91,MATCH($A9,'LINE PLAN'!$A$66:$A$91,0),0)*('LINE PLAN'!$B$35:$GS$35&gt;WORKINGS!$B$75)*'LINE PLAN'!$B$35:$GS$35+(1-INDEX('LINE PLAN'!$B$66:$GS$91,MATCH($A9,'LINE PLAN'!$A$66:$A$91,0),0)*('LINE PLAN'!$B$35:$GS$35&gt;WORKINGS!$B$75))*999999))</f>
        <v>46296</v>
      </c>
    </row>
    <row r="10" spans="1:20">
      <c r="A10" s="2">
        <f>'MC MAP'!$A91</f>
        <v>5</v>
      </c>
      <c r="B10" s="2">
        <f>'MC MAP'!$B91</f>
        <v>6820</v>
      </c>
      <c r="C10" s="550">
        <f>IF($H10&gt;999998,"",$H10)</f>
        <v>46246</v>
      </c>
      <c r="D10" s="2" t="str">
        <f>IFERROR(INDEX('LINE PLAN'!$B$36:$GS$61,MATCH($A10,'LINE PLAN'!$A$36:$A$61,0),MATCH($C10,'LINE PLAN'!$B$35:$GS$35,0)),"— no further change")</f>
        <v>RS 26/27</v>
      </c>
      <c r="E10" s="551">
        <f>IFERROR(INDEX('MC MAP'!$AB$33:$AB$80,MATCH($B10,'MC MAP'!$A$33:$A$80,0)),0)</f>
        <v>32</v>
      </c>
      <c r="F10" s="551">
        <f>IFERROR(INDEX('MC MAP'!$AB$33:$AB$80,MATCH($D10,'MC MAP'!$A$33:$A$80,0)),"")</f>
        <v>25</v>
      </c>
      <c r="G10" s="552">
        <f>IF($F10="","",$F10-$E10)</f>
        <v>-7</v>
      </c>
      <c r="H10" s="52" cm="1">
        <f t="array" ref="H10">SUMPRODUCT(MIN(INDEX('LINE PLAN'!$B$66:$GS$91,MATCH($A10,'LINE PLAN'!$A$66:$A$91,0),0)*('LINE PLAN'!$B$35:$GS$35&gt;WORKINGS!$B$75)*'LINE PLAN'!$B$35:$GS$35+(1-INDEX('LINE PLAN'!$B$66:$GS$91,MATCH($A10,'LINE PLAN'!$A$66:$A$91,0),0)*('LINE PLAN'!$B$35:$GS$35&gt;WORKINGS!$B$75))*999999))</f>
        <v>46246</v>
      </c>
      <c r="N10" s="52" t="s">
        <v>447</v>
      </c>
      <c r="S10" s="52" t="s">
        <v>358</v>
      </c>
    </row>
    <row r="11" spans="1:20">
      <c r="A11" s="2">
        <f>'MC MAP'!$A92</f>
        <v>6</v>
      </c>
      <c r="B11" s="2">
        <f>'MC MAP'!$B92</f>
        <v>6820</v>
      </c>
      <c r="C11" s="550">
        <f>IF($H11&gt;999998,"",$H11)</f>
        <v>46285</v>
      </c>
      <c r="D11" s="2" t="str">
        <f>IFERROR(INDEX('LINE PLAN'!$B$36:$GS$61,MATCH($A11,'LINE PLAN'!$A$36:$A$61,0),MATCH($C11,'LINE PLAN'!$B$35:$GS$35,0)),"— no further change")</f>
        <v>VACCANT</v>
      </c>
      <c r="E11" s="551">
        <f>IFERROR(INDEX('MC MAP'!$AB$33:$AB$80,MATCH($B11,'MC MAP'!$A$33:$A$80,0)),0)</f>
        <v>32</v>
      </c>
      <c r="F11" s="551">
        <f>IFERROR(INDEX('MC MAP'!$AB$33:$AB$80,MATCH($D11,'MC MAP'!$A$33:$A$80,0)),"")</f>
        <v>0</v>
      </c>
      <c r="G11" s="552">
        <f>IF($F11="","",$F11-$E11)</f>
        <v>-32</v>
      </c>
      <c r="H11" s="52" cm="1">
        <f t="array" ref="H11">SUMPRODUCT(MIN(INDEX('LINE PLAN'!$B$66:$GS$91,MATCH($A11,'LINE PLAN'!$A$66:$A$91,0),0)*('LINE PLAN'!$B$35:$GS$35&gt;WORKINGS!$B$75)*'LINE PLAN'!$B$35:$GS$35+(1-INDEX('LINE PLAN'!$B$66:$GS$91,MATCH($A11,'LINE PLAN'!$A$66:$A$91,0),0)*('LINE PLAN'!$B$35:$GS$35&gt;WORKINGS!$B$75))*999999))</f>
        <v>46285</v>
      </c>
      <c r="M11" s="52" t="s">
        <v>357</v>
      </c>
      <c r="N11" s="292" t="s">
        <v>423</v>
      </c>
      <c r="O11" s="292" t="s">
        <v>424</v>
      </c>
      <c r="P11" s="292" t="s">
        <v>448</v>
      </c>
      <c r="Q11" s="292" t="s">
        <v>425</v>
      </c>
      <c r="R11" s="292" t="s">
        <v>426</v>
      </c>
      <c r="S11" s="281" t="s">
        <v>228</v>
      </c>
      <c r="T11" s="281" t="s">
        <v>231</v>
      </c>
    </row>
    <row r="12" spans="1:20">
      <c r="A12" s="2">
        <f>'MC MAP'!$A93</f>
        <v>7</v>
      </c>
      <c r="B12" s="2">
        <f>'MC MAP'!$B93</f>
        <v>6137</v>
      </c>
      <c r="C12" s="550">
        <f>IF($H12&gt;999998,"",$H12)</f>
        <v>46248</v>
      </c>
      <c r="D12" s="2" t="str">
        <f>IFERROR(INDEX('LINE PLAN'!$B$36:$GS$61,MATCH($A12,'LINE PLAN'!$A$36:$A$61,0),MATCH($C12,'LINE PLAN'!$B$35:$GS$35,0)),"— no further change")</f>
        <v>VACCANT</v>
      </c>
      <c r="E12" s="551">
        <f>IFERROR(INDEX('MC MAP'!$AB$33:$AB$80,MATCH($B12,'MC MAP'!$A$33:$A$80,0)),0)</f>
        <v>29</v>
      </c>
      <c r="F12" s="551">
        <f>IFERROR(INDEX('MC MAP'!$AB$33:$AB$80,MATCH($D12,'MC MAP'!$A$33:$A$80,0)),"")</f>
        <v>0</v>
      </c>
      <c r="G12" s="552">
        <f>IF($F12="","",$F12-$E12)</f>
        <v>-29</v>
      </c>
      <c r="H12" s="52" cm="1">
        <f t="array" ref="H12">SUMPRODUCT(MIN(INDEX('LINE PLAN'!$B$66:$GS$91,MATCH($A12,'LINE PLAN'!$A$66:$A$91,0),0)*('LINE PLAN'!$B$35:$GS$35&gt;WORKINGS!$B$75)*'LINE PLAN'!$B$35:$GS$35+(1-INDEX('LINE PLAN'!$B$66:$GS$91,MATCH($A12,'LINE PLAN'!$A$66:$A$91,0),0)*('LINE PLAN'!$B$35:$GS$35&gt;WORKINGS!$B$75))*999999))</f>
        <v>46248</v>
      </c>
      <c r="M12" s="2">
        <f>DASHBOARD!$E12+ROW()/100000</f>
        <v>33.00012</v>
      </c>
      <c r="N12" s="15" t="str">
        <f>IFERROR(INDEX('MC MAP'!$BX$5:$BX$30,MATCH(DASHBOARD!$B12,'MC MAP'!$BW$5:$BW$30,0)),"?")</f>
        <v>LOCK-STITCH</v>
      </c>
      <c r="O12" s="15" cm="1">
        <f t="array" ref="O12">SUMPRODUCT(($N$12:$N$37=$N12)*(DASHBOARD!$E$12:$E$37&gt;0)*DASHBOARD!$E$12:$E$37)-MAX(0,DASHBOARD!$E12)</f>
        <v>13</v>
      </c>
      <c r="P12" s="15" cm="1">
        <f t="array" ref="P12">SUMPRODUCT(($N$12:$N$37=$N12)*(DASHBOARD!$E$12:$E$37&lt;0)*(DASHBOARD!$E$12:$E$37&lt;DASHBOARD!$E12)*(-DASHBOARD!$E$12:$E$37))</f>
        <v>0</v>
      </c>
      <c r="Q12" s="15">
        <f>IF(DASHBOARD!$E12&lt;0,MIN(-DASHBOARD!$E12,MAX(0,$O12-$P12)),0)</f>
        <v>0</v>
      </c>
      <c r="R12" s="15">
        <f>IF(DASHBOARD!$E12&lt;0,-DASHBOARD!$E12-$Q12,0)</f>
        <v>0</v>
      </c>
      <c r="S12" s="2" t="str">
        <f>DASHBOARD!$B12</f>
        <v>SNLS</v>
      </c>
      <c r="T12" s="553">
        <f>DASHBOARD!$G12</f>
        <v>0.821621621621622</v>
      </c>
    </row>
    <row r="13" spans="1:20">
      <c r="A13" s="2">
        <f>'MC MAP'!$A94</f>
        <v>8</v>
      </c>
      <c r="B13" s="2">
        <f>'MC MAP'!$B94</f>
        <v>6109</v>
      </c>
      <c r="C13" s="550">
        <f>IF($H13&gt;999998,"",$H13)</f>
        <v>46305</v>
      </c>
      <c r="D13" s="2" t="str">
        <f>IFERROR(INDEX('LINE PLAN'!$B$36:$GS$61,MATCH($A13,'LINE PLAN'!$A$36:$A$61,0),MATCH($C13,'LINE PLAN'!$B$35:$GS$35,0)),"— no further change")</f>
        <v>VACCANT</v>
      </c>
      <c r="E13" s="551">
        <f>IFERROR(INDEX('MC MAP'!$AB$33:$AB$80,MATCH($B13,'MC MAP'!$A$33:$A$80,0)),0)</f>
        <v>30</v>
      </c>
      <c r="F13" s="551">
        <f>IFERROR(INDEX('MC MAP'!$AB$33:$AB$80,MATCH($D13,'MC MAP'!$A$33:$A$80,0)),"")</f>
        <v>0</v>
      </c>
      <c r="G13" s="552">
        <f>IF($F13="","",$F13-$E13)</f>
        <v>-30</v>
      </c>
      <c r="H13" s="52" cm="1">
        <f t="array" ref="H13">SUMPRODUCT(MIN(INDEX('LINE PLAN'!$B$66:$GS$91,MATCH($A13,'LINE PLAN'!$A$66:$A$91,0),0)*('LINE PLAN'!$B$35:$GS$35&gt;WORKINGS!$B$75)*'LINE PLAN'!$B$35:$GS$35+(1-INDEX('LINE PLAN'!$B$66:$GS$91,MATCH($A13,'LINE PLAN'!$A$66:$A$91,0),0)*('LINE PLAN'!$B$35:$GS$35&gt;WORKINGS!$B$75))*999999))</f>
        <v>46305</v>
      </c>
      <c r="M13" s="2">
        <f>DASHBOARD!$E13+ROW()/100000</f>
        <v>7.00013</v>
      </c>
      <c r="N13" s="15" t="str">
        <f>IFERROR(INDEX('MC MAP'!$BX$5:$BX$30,MATCH(DASHBOARD!$B13,'MC MAP'!$BW$5:$BW$30,0)),"?")</f>
        <v>LOCK-STITCH</v>
      </c>
      <c r="O13" s="15" cm="1">
        <f t="array" ref="O13">SUMPRODUCT(($N$12:$N$37=$N13)*(DASHBOARD!$E$12:$E$37&gt;0)*DASHBOARD!$E$12:$E$37)-MAX(0,DASHBOARD!$E13)</f>
        <v>39</v>
      </c>
      <c r="P13" s="15" cm="1">
        <f t="array" ref="P13">SUMPRODUCT(($N$12:$N$37=$N13)*(DASHBOARD!$E$12:$E$37&lt;0)*(DASHBOARD!$E$12:$E$37&lt;DASHBOARD!$E13)*(-DASHBOARD!$E$12:$E$37))</f>
        <v>0</v>
      </c>
      <c r="Q13" s="15">
        <f>IF(DASHBOARD!$E13&lt;0,MIN(-DASHBOARD!$E13,MAX(0,$O13-$P13)),0)</f>
        <v>0</v>
      </c>
      <c r="R13" s="15">
        <f>IF(DASHBOARD!$E13&lt;0,-DASHBOARD!$E13-$Q13,0)</f>
        <v>0</v>
      </c>
      <c r="S13" s="2" t="str">
        <f>DASHBOARD!$B13</f>
        <v>DNLS</v>
      </c>
      <c r="T13" s="553">
        <f>DASHBOARD!$G13</f>
        <v>0.125</v>
      </c>
    </row>
    <row r="14" spans="1:20">
      <c r="A14" s="2">
        <f>'MC MAP'!$A95</f>
        <v>9</v>
      </c>
      <c r="B14" s="2">
        <f>'MC MAP'!$B95</f>
        <v>6109</v>
      </c>
      <c r="C14" s="550">
        <f>IF($H14&gt;999998,"",$H14)</f>
        <v>46305</v>
      </c>
      <c r="D14" s="2" t="str">
        <f>IFERROR(INDEX('LINE PLAN'!$B$36:$GS$61,MATCH($A14,'LINE PLAN'!$A$36:$A$61,0),MATCH($C14,'LINE PLAN'!$B$35:$GS$35,0)),"— no further change")</f>
        <v>VACCANT</v>
      </c>
      <c r="E14" s="551">
        <f>IFERROR(INDEX('MC MAP'!$AB$33:$AB$80,MATCH($B14,'MC MAP'!$A$33:$A$80,0)),0)</f>
        <v>30</v>
      </c>
      <c r="F14" s="551">
        <f>IFERROR(INDEX('MC MAP'!$AB$33:$AB$80,MATCH($D14,'MC MAP'!$A$33:$A$80,0)),"")</f>
        <v>0</v>
      </c>
      <c r="G14" s="552">
        <f>IF($F14="","",$F14-$E14)</f>
        <v>-30</v>
      </c>
      <c r="H14" s="52" cm="1">
        <f t="array" ref="H14">SUMPRODUCT(MIN(INDEX('LINE PLAN'!$B$66:$GS$91,MATCH($A14,'LINE PLAN'!$A$66:$A$91,0),0)*('LINE PLAN'!$B$35:$GS$35&gt;WORKINGS!$B$75)*'LINE PLAN'!$B$35:$GS$35+(1-INDEX('LINE PLAN'!$B$66:$GS$91,MATCH($A14,'LINE PLAN'!$A$66:$A$91,0),0)*('LINE PLAN'!$B$35:$GS$35&gt;WORKINGS!$B$75))*999999))</f>
        <v>46305</v>
      </c>
      <c r="M14" s="2">
        <f>DASHBOARD!$E14+ROW()/100000</f>
        <v>2.00014</v>
      </c>
      <c r="N14" s="15" t="str">
        <f>IFERROR(INDEX('MC MAP'!$BX$5:$BX$30,MATCH(DASHBOARD!$B14,'MC MAP'!$BW$5:$BW$30,0)),"?")</f>
        <v>LOCK-STITCH</v>
      </c>
      <c r="O14" s="15" cm="1">
        <f t="array" ref="O14">SUMPRODUCT(($N$12:$N$37=$N14)*(DASHBOARD!$E$12:$E$37&gt;0)*DASHBOARD!$E$12:$E$37)-MAX(0,DASHBOARD!$E14)</f>
        <v>44</v>
      </c>
      <c r="P14" s="15" cm="1">
        <f t="array" ref="P14">SUMPRODUCT(($N$12:$N$37=$N14)*(DASHBOARD!$E$12:$E$37&lt;0)*(DASHBOARD!$E$12:$E$37&lt;DASHBOARD!$E14)*(-DASHBOARD!$E$12:$E$37))</f>
        <v>0</v>
      </c>
      <c r="Q14" s="15">
        <f>IF(DASHBOARD!$E14&lt;0,MIN(-DASHBOARD!$E14,MAX(0,$O14-$P14)),0)</f>
        <v>0</v>
      </c>
      <c r="R14" s="15">
        <f>IF(DASHBOARD!$E14&lt;0,-DASHBOARD!$E14-$Q14,0)</f>
        <v>0</v>
      </c>
      <c r="S14" s="2" t="str">
        <f>DASHBOARD!$B14</f>
        <v>SNLS - Edge cutter</v>
      </c>
      <c r="T14" s="553">
        <f>DASHBOARD!$G14</f>
        <v>0</v>
      </c>
    </row>
    <row r="15" spans="1:20">
      <c r="A15" s="2">
        <f>'MC MAP'!$A96</f>
        <v>10</v>
      </c>
      <c r="B15" s="2">
        <f>'MC MAP'!$B96</f>
        <v>6109</v>
      </c>
      <c r="C15" s="550">
        <f>IF($H15&gt;999998,"",$H15)</f>
        <v>46305</v>
      </c>
      <c r="D15" s="2" t="str">
        <f>IFERROR(INDEX('LINE PLAN'!$B$36:$GS$61,MATCH($A15,'LINE PLAN'!$A$36:$A$61,0),MATCH($C15,'LINE PLAN'!$B$35:$GS$35,0)),"— no further change")</f>
        <v>VACCANT</v>
      </c>
      <c r="E15" s="551">
        <f>IFERROR(INDEX('MC MAP'!$AB$33:$AB$80,MATCH($B15,'MC MAP'!$A$33:$A$80,0)),0)</f>
        <v>30</v>
      </c>
      <c r="F15" s="551">
        <f>IFERROR(INDEX('MC MAP'!$AB$33:$AB$80,MATCH($D15,'MC MAP'!$A$33:$A$80,0)),"")</f>
        <v>0</v>
      </c>
      <c r="G15" s="552">
        <f>IF($F15="","",$F15-$E15)</f>
        <v>-30</v>
      </c>
      <c r="H15" s="52" cm="1">
        <f t="array" ref="H15">SUMPRODUCT(MIN(INDEX('LINE PLAN'!$B$66:$GS$91,MATCH($A15,'LINE PLAN'!$A$66:$A$91,0),0)*('LINE PLAN'!$B$35:$GS$35&gt;WORKINGS!$B$75)*'LINE PLAN'!$B$35:$GS$35+(1-INDEX('LINE PLAN'!$B$66:$GS$91,MATCH($A15,'LINE PLAN'!$A$66:$A$91,0),0)*('LINE PLAN'!$B$35:$GS$35&gt;WORKINGS!$B$75))*999999))</f>
        <v>46305</v>
      </c>
      <c r="M15" s="2">
        <f>DASHBOARD!$E15+ROW()/100000</f>
        <v>4.00015</v>
      </c>
      <c r="N15" s="15" t="str">
        <f>IFERROR(INDEX('MC MAP'!$BX$5:$BX$30,MATCH(DASHBOARD!$B15,'MC MAP'!$BW$5:$BW$30,0)),"?")</f>
        <v>LOCK-STITCH</v>
      </c>
      <c r="O15" s="15" cm="1">
        <f t="array" ref="O15">SUMPRODUCT(($N$12:$N$37=$N15)*(DASHBOARD!$E$12:$E$37&gt;0)*DASHBOARD!$E$12:$E$37)-MAX(0,DASHBOARD!$E15)</f>
        <v>42</v>
      </c>
      <c r="P15" s="15" cm="1">
        <f t="array" ref="P15">SUMPRODUCT(($N$12:$N$37=$N15)*(DASHBOARD!$E$12:$E$37&lt;0)*(DASHBOARD!$E$12:$E$37&lt;DASHBOARD!$E15)*(-DASHBOARD!$E$12:$E$37))</f>
        <v>0</v>
      </c>
      <c r="Q15" s="15">
        <f>IF(DASHBOARD!$E15&lt;0,MIN(-DASHBOARD!$E15,MAX(0,$O15-$P15)),0)</f>
        <v>0</v>
      </c>
      <c r="R15" s="15">
        <f>IF(DASHBOARD!$E15&lt;0,-DASHBOARD!$E15-$Q15,0)</f>
        <v>0</v>
      </c>
      <c r="S15" s="2" t="str">
        <f>DASHBOARD!$B15</f>
        <v>Zig - Zag</v>
      </c>
      <c r="T15" s="553">
        <f>DASHBOARD!$G15</f>
        <v>0.5</v>
      </c>
    </row>
    <row r="16" spans="1:20">
      <c r="A16" s="2">
        <f>'MC MAP'!$A97</f>
        <v>11</v>
      </c>
      <c r="B16" s="2">
        <f>'MC MAP'!$B97</f>
        <v>6108</v>
      </c>
      <c r="C16" s="550">
        <f>IF($H16&gt;999998,"",$H16)</f>
        <v>46280</v>
      </c>
      <c r="D16" s="2">
        <f>IFERROR(INDEX('LINE PLAN'!$B$36:$GS$61,MATCH($A16,'LINE PLAN'!$A$36:$A$61,0),MATCH($C16,'LINE PLAN'!$B$35:$GS$35,0)),"— no further change")</f>
        <v>4117</v>
      </c>
      <c r="E16" s="551">
        <f>IFERROR(INDEX('MC MAP'!$AB$33:$AB$80,MATCH($B16,'MC MAP'!$A$33:$A$80,0)),0)</f>
        <v>31.5</v>
      </c>
      <c r="F16" s="551">
        <f>IFERROR(INDEX('MC MAP'!$AB$33:$AB$80,MATCH($D16,'MC MAP'!$A$33:$A$80,0)),"")</f>
        <v>30.5</v>
      </c>
      <c r="G16" s="552">
        <f>IF($F16="","",$F16-$E16)</f>
        <v>-1</v>
      </c>
      <c r="H16" s="52" cm="1">
        <f t="array" ref="H16">SUMPRODUCT(MIN(INDEX('LINE PLAN'!$B$66:$GS$91,MATCH($A16,'LINE PLAN'!$A$66:$A$91,0),0)*('LINE PLAN'!$B$35:$GS$35&gt;WORKINGS!$B$75)*'LINE PLAN'!$B$35:$GS$35+(1-INDEX('LINE PLAN'!$B$66:$GS$91,MATCH($A16,'LINE PLAN'!$A$66:$A$91,0),0)*('LINE PLAN'!$B$35:$GS$35&gt;WORKINGS!$B$75))*999999))</f>
        <v>46280</v>
      </c>
      <c r="M16" s="2">
        <f>DASHBOARD!$E16+ROW()/100000</f>
        <v>-11.99984</v>
      </c>
      <c r="N16" s="15" t="str">
        <f>IFERROR(INDEX('MC MAP'!$BX$5:$BX$30,MATCH(DASHBOARD!$B16,'MC MAP'!$BW$5:$BW$30,0)),"?")</f>
        <v>OVER-LOCK</v>
      </c>
      <c r="O16" s="15" cm="1">
        <f t="array" ref="O16">SUMPRODUCT(($N$12:$N$37=$N16)*(DASHBOARD!$E$12:$E$37&gt;0)*DASHBOARD!$E$12:$E$37)-MAX(0,DASHBOARD!$E16)</f>
        <v>5</v>
      </c>
      <c r="P16" s="15" cm="1">
        <f t="array" ref="P16">SUMPRODUCT(($N$12:$N$37=$N16)*(DASHBOARD!$E$12:$E$37&lt;0)*(DASHBOARD!$E$12:$E$37&lt;DASHBOARD!$E16)*(-DASHBOARD!$E$12:$E$37))</f>
        <v>0</v>
      </c>
      <c r="Q16" s="15">
        <f>IF(DASHBOARD!$E16&lt;0,MIN(-DASHBOARD!$E16,MAX(0,$O16-$P16)),0)</f>
        <v>5</v>
      </c>
      <c r="R16" s="15">
        <f>IF(DASHBOARD!$E16&lt;0,-DASHBOARD!$E16-$Q16,0)</f>
        <v>7</v>
      </c>
      <c r="S16" s="2" t="str">
        <f>DASHBOARD!$B16</f>
        <v>4th Overlock</v>
      </c>
      <c r="T16" s="553">
        <f>DASHBOARD!$G16</f>
        <v>1.04301075268817</v>
      </c>
    </row>
    <row r="17" spans="1:20">
      <c r="A17" s="2">
        <f>'MC MAP'!$A98</f>
        <v>12</v>
      </c>
      <c r="B17" s="2">
        <f>'MC MAP'!$B98</f>
        <v>6108</v>
      </c>
      <c r="C17" s="550">
        <f>IF($H17&gt;999998,"",$H17)</f>
        <v>46280</v>
      </c>
      <c r="D17" s="2">
        <f>IFERROR(INDEX('LINE PLAN'!$B$36:$GS$61,MATCH($A17,'LINE PLAN'!$A$36:$A$61,0),MATCH($C17,'LINE PLAN'!$B$35:$GS$35,0)),"— no further change")</f>
        <v>4117</v>
      </c>
      <c r="E17" s="551">
        <f>IFERROR(INDEX('MC MAP'!$AB$33:$AB$80,MATCH($B17,'MC MAP'!$A$33:$A$80,0)),0)</f>
        <v>31.5</v>
      </c>
      <c r="F17" s="551">
        <f>IFERROR(INDEX('MC MAP'!$AB$33:$AB$80,MATCH($D17,'MC MAP'!$A$33:$A$80,0)),"")</f>
        <v>30.5</v>
      </c>
      <c r="G17" s="552">
        <f>IF($F17="","",$F17-$E17)</f>
        <v>-1</v>
      </c>
      <c r="H17" s="52" cm="1">
        <f t="array" ref="H17">SUMPRODUCT(MIN(INDEX('LINE PLAN'!$B$66:$GS$91,MATCH($A17,'LINE PLAN'!$A$66:$A$91,0),0)*('LINE PLAN'!$B$35:$GS$35&gt;WORKINGS!$B$75)*'LINE PLAN'!$B$35:$GS$35+(1-INDEX('LINE PLAN'!$B$66:$GS$91,MATCH($A17,'LINE PLAN'!$A$66:$A$91,0),0)*('LINE PLAN'!$B$35:$GS$35&gt;WORKINGS!$B$75))*999999))</f>
        <v>46280</v>
      </c>
      <c r="M17" s="2">
        <f>DASHBOARD!$E17+ROW()/100000</f>
        <v>-0.99983</v>
      </c>
      <c r="N17" s="15" t="str">
        <f>IFERROR(INDEX('MC MAP'!$BX$5:$BX$30,MATCH(DASHBOARD!$B17,'MC MAP'!$BW$5:$BW$30,0)),"?")</f>
        <v>OVER-LOCK</v>
      </c>
      <c r="O17" s="15" cm="1">
        <f t="array" ref="O17">SUMPRODUCT(($N$12:$N$37=$N17)*(DASHBOARD!$E$12:$E$37&gt;0)*DASHBOARD!$E$12:$E$37)-MAX(0,DASHBOARD!$E17)</f>
        <v>5</v>
      </c>
      <c r="P17" s="15" cm="1">
        <f t="array" ref="P17">SUMPRODUCT(($N$12:$N$37=$N17)*(DASHBOARD!$E$12:$E$37&lt;0)*(DASHBOARD!$E$12:$E$37&lt;DASHBOARD!$E17)*(-DASHBOARD!$E$12:$E$37))</f>
        <v>19</v>
      </c>
      <c r="Q17" s="15">
        <f>IF(DASHBOARD!$E17&lt;0,MIN(-DASHBOARD!$E17,MAX(0,$O17-$P17)),0)</f>
        <v>0</v>
      </c>
      <c r="R17" s="15">
        <f>IF(DASHBOARD!$E17&lt;0,-DASHBOARD!$E17-$Q17,0)</f>
        <v>1</v>
      </c>
      <c r="S17" s="2" t="str">
        <f>DASHBOARD!$B17</f>
        <v>3th Overlock (Leg elastic)</v>
      </c>
      <c r="T17" s="553">
        <f>DASHBOARD!$G17</f>
        <v>1.03333333333333</v>
      </c>
    </row>
    <row r="18" spans="1:20">
      <c r="A18" s="2">
        <f>'MC MAP'!$A99</f>
        <v>13</v>
      </c>
      <c r="B18" s="2" t="str">
        <f>'MC MAP'!$B99</f>
        <v>RS17</v>
      </c>
      <c r="C18" s="550">
        <f>IF($H18&gt;999998,"",$H18)</f>
        <v>46285</v>
      </c>
      <c r="D18" s="2" t="str">
        <f>IFERROR(INDEX('LINE PLAN'!$B$36:$GS$61,MATCH($A18,'LINE PLAN'!$A$36:$A$61,0),MATCH($C18,'LINE PLAN'!$B$35:$GS$35,0)),"— no further change")</f>
        <v>VACCANT</v>
      </c>
      <c r="E18" s="551">
        <f>IFERROR(INDEX('MC MAP'!$AB$33:$AB$80,MATCH($B18,'MC MAP'!$A$33:$A$80,0)),0)</f>
        <v>30</v>
      </c>
      <c r="F18" s="551">
        <f>IFERROR(INDEX('MC MAP'!$AB$33:$AB$80,MATCH($D18,'MC MAP'!$A$33:$A$80,0)),"")</f>
        <v>0</v>
      </c>
      <c r="G18" s="552">
        <f>IF($F18="","",$F18-$E18)</f>
        <v>-30</v>
      </c>
      <c r="H18" s="52" cm="1">
        <f t="array" ref="H18">SUMPRODUCT(MIN(INDEX('LINE PLAN'!$B$66:$GS$91,MATCH($A18,'LINE PLAN'!$A$66:$A$91,0),0)*('LINE PLAN'!$B$35:$GS$35&gt;WORKINGS!$B$75)*'LINE PLAN'!$B$35:$GS$35+(1-INDEX('LINE PLAN'!$B$66:$GS$91,MATCH($A18,'LINE PLAN'!$A$66:$A$91,0),0)*('LINE PLAN'!$B$35:$GS$35&gt;WORKINGS!$B$75))*999999))</f>
        <v>46285</v>
      </c>
      <c r="M18" s="2">
        <f>DASHBOARD!$E18+ROW()/100000</f>
        <v>5.00018</v>
      </c>
      <c r="N18" s="15" t="str">
        <f>IFERROR(INDEX('MC MAP'!$BX$5:$BX$30,MATCH(DASHBOARD!$B18,'MC MAP'!$BW$5:$BW$30,0)),"?")</f>
        <v>OVER-LOCK</v>
      </c>
      <c r="O18" s="15" cm="1">
        <f t="array" ref="O18">SUMPRODUCT(($N$12:$N$37=$N18)*(DASHBOARD!$E$12:$E$37&gt;0)*DASHBOARD!$E$12:$E$37)-MAX(0,DASHBOARD!$E18)</f>
        <v>0</v>
      </c>
      <c r="P18" s="15" cm="1">
        <f t="array" ref="P18">SUMPRODUCT(($N$12:$N$37=$N18)*(DASHBOARD!$E$12:$E$37&lt;0)*(DASHBOARD!$E$12:$E$37&lt;DASHBOARD!$E18)*(-DASHBOARD!$E$12:$E$37))</f>
        <v>20</v>
      </c>
      <c r="Q18" s="15">
        <f>IF(DASHBOARD!$E18&lt;0,MIN(-DASHBOARD!$E18,MAX(0,$O18-$P18)),0)</f>
        <v>0</v>
      </c>
      <c r="R18" s="15">
        <f>IF(DASHBOARD!$E18&lt;0,-DASHBOARD!$E18-$Q18,0)</f>
        <v>0</v>
      </c>
      <c r="S18" s="2" t="str">
        <f>DASHBOARD!$B18</f>
        <v>5th Overlock</v>
      </c>
      <c r="T18" s="553">
        <f>DASHBOARD!$G18</f>
        <v>0</v>
      </c>
    </row>
    <row r="19" spans="1:20">
      <c r="A19" s="2">
        <f>'MC MAP'!$A100</f>
        <v>14</v>
      </c>
      <c r="B19" s="2">
        <f>'MC MAP'!$B100</f>
        <v>6137</v>
      </c>
      <c r="C19" s="550">
        <f>IF($H19&gt;999998,"",$H19)</f>
        <v>46248</v>
      </c>
      <c r="D19" s="2" t="str">
        <f>IFERROR(INDEX('LINE PLAN'!$B$36:$GS$61,MATCH($A19,'LINE PLAN'!$A$36:$A$61,0),MATCH($C19,'LINE PLAN'!$B$35:$GS$35,0)),"— no further change")</f>
        <v>VACCANT</v>
      </c>
      <c r="E19" s="551">
        <f>IFERROR(INDEX('MC MAP'!$AB$33:$AB$80,MATCH($B19,'MC MAP'!$A$33:$A$80,0)),0)</f>
        <v>29</v>
      </c>
      <c r="F19" s="551">
        <f>IFERROR(INDEX('MC MAP'!$AB$33:$AB$80,MATCH($D19,'MC MAP'!$A$33:$A$80,0)),"")</f>
        <v>0</v>
      </c>
      <c r="G19" s="552">
        <f>IF($F19="","",$F19-$E19)</f>
        <v>-29</v>
      </c>
      <c r="H19" s="52" cm="1">
        <f t="array" ref="H19">SUMPRODUCT(MIN(INDEX('LINE PLAN'!$B$66:$GS$91,MATCH($A19,'LINE PLAN'!$A$66:$A$91,0),0)*('LINE PLAN'!$B$35:$GS$35&gt;WORKINGS!$B$75)*'LINE PLAN'!$B$35:$GS$35+(1-INDEX('LINE PLAN'!$B$66:$GS$91,MATCH($A19,'LINE PLAN'!$A$66:$A$91,0),0)*('LINE PLAN'!$B$35:$GS$35&gt;WORKINGS!$B$75))*999999))</f>
        <v>46248</v>
      </c>
      <c r="M19" s="2">
        <f>DASHBOARD!$E19+ROW()/100000</f>
        <v>-6.99981</v>
      </c>
      <c r="N19" s="15" t="str">
        <f>IFERROR(INDEX('MC MAP'!$BX$5:$BX$30,MATCH(DASHBOARD!$B19,'MC MAP'!$BW$5:$BW$30,0)),"?")</f>
        <v>OVER-LOCK</v>
      </c>
      <c r="O19" s="15" cm="1">
        <f t="array" ref="O19">SUMPRODUCT(($N$12:$N$37=$N19)*(DASHBOARD!$E$12:$E$37&gt;0)*DASHBOARD!$E$12:$E$37)-MAX(0,DASHBOARD!$E19)</f>
        <v>5</v>
      </c>
      <c r="P19" s="15" cm="1">
        <f t="array" ref="P19">SUMPRODUCT(($N$12:$N$37=$N19)*(DASHBOARD!$E$12:$E$37&lt;0)*(DASHBOARD!$E$12:$E$37&lt;DASHBOARD!$E19)*(-DASHBOARD!$E$12:$E$37))</f>
        <v>12</v>
      </c>
      <c r="Q19" s="15">
        <f>IF(DASHBOARD!$E19&lt;0,MIN(-DASHBOARD!$E19,MAX(0,$O19-$P19)),0)</f>
        <v>0</v>
      </c>
      <c r="R19" s="15">
        <f>IF(DASHBOARD!$E19&lt;0,-DASHBOARD!$E19-$Q19,0)</f>
        <v>7</v>
      </c>
      <c r="S19" s="2" t="str">
        <f>DASHBOARD!$B19</f>
        <v>Overlock (Ring Elastic Attach)</v>
      </c>
      <c r="T19" s="553">
        <f>DASHBOARD!$G19</f>
        <v>1.24137931034483</v>
      </c>
    </row>
    <row r="20" spans="1:20">
      <c r="A20" s="2">
        <f>'MC MAP'!$A101</f>
        <v>15</v>
      </c>
      <c r="B20" s="2">
        <f>'MC MAP'!$B101</f>
        <v>6135</v>
      </c>
      <c r="C20" s="550">
        <f>IF($H20&gt;999998,"",$H20)</f>
        <v>46248</v>
      </c>
      <c r="D20" s="2" t="str">
        <f>IFERROR(INDEX('LINE PLAN'!$B$36:$GS$61,MATCH($A20,'LINE PLAN'!$A$36:$A$61,0),MATCH($C20,'LINE PLAN'!$B$35:$GS$35,0)),"— no further change")</f>
        <v>VACCANT</v>
      </c>
      <c r="E20" s="551">
        <f>IFERROR(INDEX('MC MAP'!$AB$33:$AB$80,MATCH($B20,'MC MAP'!$A$33:$A$80,0)),0)</f>
        <v>33.5</v>
      </c>
      <c r="F20" s="551">
        <f>IFERROR(INDEX('MC MAP'!$AB$33:$AB$80,MATCH($D20,'MC MAP'!$A$33:$A$80,0)),"")</f>
        <v>0</v>
      </c>
      <c r="G20" s="552">
        <f>IF($F20="","",$F20-$E20)</f>
        <v>-33.5</v>
      </c>
      <c r="H20" s="52" cm="1">
        <f t="array" ref="H20">SUMPRODUCT(MIN(INDEX('LINE PLAN'!$B$66:$GS$91,MATCH($A20,'LINE PLAN'!$A$66:$A$91,0),0)*('LINE PLAN'!$B$35:$GS$35&gt;WORKINGS!$B$75)*'LINE PLAN'!$B$35:$GS$35+(1-INDEX('LINE PLAN'!$B$66:$GS$91,MATCH($A20,'LINE PLAN'!$A$66:$A$91,0),0)*('LINE PLAN'!$B$35:$GS$35&gt;WORKINGS!$B$75))*999999))</f>
        <v>46248</v>
      </c>
      <c r="M20" s="2">
        <f>DASHBOARD!$E20+ROW()/100000</f>
        <v>11.5002</v>
      </c>
      <c r="N20" s="15" t="str">
        <f>IFERROR(INDEX('MC MAP'!$BX$5:$BX$30,MATCH(DASHBOARD!$B20,'MC MAP'!$BW$5:$BW$30,0)),"?")</f>
        <v>FLAT-LOCK</v>
      </c>
      <c r="O20" s="15" cm="1">
        <f t="array" ref="O20">SUMPRODUCT(($N$12:$N$37=$N20)*(DASHBOARD!$E$12:$E$37&gt;0)*DASHBOARD!$E$12:$E$37)-MAX(0,DASHBOARD!$E20)</f>
        <v>24</v>
      </c>
      <c r="P20" s="15" cm="1">
        <f t="array" ref="P20">SUMPRODUCT(($N$12:$N$37=$N20)*(DASHBOARD!$E$12:$E$37&lt;0)*(DASHBOARD!$E$12:$E$37&lt;DASHBOARD!$E20)*(-DASHBOARD!$E$12:$E$37))</f>
        <v>17.5</v>
      </c>
      <c r="Q20" s="15">
        <f>IF(DASHBOARD!$E20&lt;0,MIN(-DASHBOARD!$E20,MAX(0,$O20-$P20)),0)</f>
        <v>0</v>
      </c>
      <c r="R20" s="15">
        <f>IF(DASHBOARD!$E20&lt;0,-DASHBOARD!$E20-$Q20,0)</f>
        <v>0</v>
      </c>
      <c r="S20" s="2" t="str">
        <f>DASHBOARD!$B20</f>
        <v>Flatlock Hem</v>
      </c>
      <c r="T20" s="553">
        <f>DASHBOARD!$G20</f>
        <v>0.661764705882353</v>
      </c>
    </row>
    <row r="21" spans="1:20">
      <c r="A21" s="2">
        <f>'MC MAP'!$A102</f>
        <v>16</v>
      </c>
      <c r="B21" s="2" t="str">
        <f>'MC MAP'!$B102</f>
        <v>4406/10</v>
      </c>
      <c r="C21" s="550">
        <f>IF($H21&gt;999998,"",$H21)</f>
        <v>46315</v>
      </c>
      <c r="D21" s="2" t="str">
        <f>IFERROR(INDEX('LINE PLAN'!$B$36:$GS$61,MATCH($A21,'LINE PLAN'!$A$36:$A$61,0),MATCH($C21,'LINE PLAN'!$B$35:$GS$35,0)),"— no further change")</f>
        <v>VACCANT</v>
      </c>
      <c r="E21" s="551">
        <f>IFERROR(INDEX('MC MAP'!$AB$33:$AB$80,MATCH($B21,'MC MAP'!$A$33:$A$80,0)),0)</f>
        <v>29.5</v>
      </c>
      <c r="F21" s="551">
        <f>IFERROR(INDEX('MC MAP'!$AB$33:$AB$80,MATCH($D21,'MC MAP'!$A$33:$A$80,0)),"")</f>
        <v>0</v>
      </c>
      <c r="G21" s="552">
        <f>IF($F21="","",$F21-$E21)</f>
        <v>-29.5</v>
      </c>
      <c r="H21" s="52" cm="1">
        <f t="array" ref="H21">SUMPRODUCT(MIN(INDEX('LINE PLAN'!$B$66:$GS$91,MATCH($A21,'LINE PLAN'!$A$66:$A$91,0),0)*('LINE PLAN'!$B$35:$GS$35&gt;WORKINGS!$B$75)*'LINE PLAN'!$B$35:$GS$35+(1-INDEX('LINE PLAN'!$B$66:$GS$91,MATCH($A21,'LINE PLAN'!$A$66:$A$91,0),0)*('LINE PLAN'!$B$35:$GS$35&gt;WORKINGS!$B$75))*999999))</f>
        <v>46315</v>
      </c>
      <c r="M21" s="2">
        <f>DASHBOARD!$E21+ROW()/100000</f>
        <v>9.00021</v>
      </c>
      <c r="N21" s="15" t="str">
        <f>IFERROR(INDEX('MC MAP'!$BX$5:$BX$30,MATCH(DASHBOARD!$B21,'MC MAP'!$BW$5:$BW$30,0)),"?")</f>
        <v>FLAT-LOCK</v>
      </c>
      <c r="O21" s="15" cm="1">
        <f t="array" ref="O21">SUMPRODUCT(($N$12:$N$37=$N21)*(DASHBOARD!$E$12:$E$37&gt;0)*DASHBOARD!$E$12:$E$37)-MAX(0,DASHBOARD!$E21)</f>
        <v>26.5</v>
      </c>
      <c r="P21" s="15" cm="1">
        <f t="array" ref="P21">SUMPRODUCT(($N$12:$N$37=$N21)*(DASHBOARD!$E$12:$E$37&lt;0)*(DASHBOARD!$E$12:$E$37&lt;DASHBOARD!$E21)*(-DASHBOARD!$E$12:$E$37))</f>
        <v>17.5</v>
      </c>
      <c r="Q21" s="15">
        <f>IF(DASHBOARD!$E21&lt;0,MIN(-DASHBOARD!$E21,MAX(0,$O21-$P21)),0)</f>
        <v>0</v>
      </c>
      <c r="R21" s="15">
        <f>IF(DASHBOARD!$E21&lt;0,-DASHBOARD!$E21-$Q21,0)</f>
        <v>0</v>
      </c>
      <c r="S21" s="2" t="str">
        <f>DASHBOARD!$B21</f>
        <v>F/L (Coverseam / Waist COVER SEAM</v>
      </c>
      <c r="T21" s="553">
        <f>DASHBOARD!$G21</f>
        <v>0.307692307692308</v>
      </c>
    </row>
    <row r="22" spans="1:20">
      <c r="A22" s="2">
        <f>'MC MAP'!$A103</f>
        <v>17</v>
      </c>
      <c r="B22" s="2">
        <f>'MC MAP'!$B103</f>
        <v>4117</v>
      </c>
      <c r="C22" s="550">
        <f>IF($H22&gt;999998,"",$H22)</f>
        <v>46311</v>
      </c>
      <c r="D22" s="2" t="str">
        <f>IFERROR(INDEX('LINE PLAN'!$B$36:$GS$61,MATCH($A22,'LINE PLAN'!$A$36:$A$61,0),MATCH($C22,'LINE PLAN'!$B$35:$GS$35,0)),"— no further change")</f>
        <v>VACCANT</v>
      </c>
      <c r="E22" s="551">
        <f>IFERROR(INDEX('MC MAP'!$AB$33:$AB$80,MATCH($B22,'MC MAP'!$A$33:$A$80,0)),0)</f>
        <v>30.5</v>
      </c>
      <c r="F22" s="551">
        <f>IFERROR(INDEX('MC MAP'!$AB$33:$AB$80,MATCH($D22,'MC MAP'!$A$33:$A$80,0)),"")</f>
        <v>0</v>
      </c>
      <c r="G22" s="552">
        <f>IF($F22="","",$F22-$E22)</f>
        <v>-30.5</v>
      </c>
      <c r="H22" s="52" cm="1">
        <f t="array" ref="H22">SUMPRODUCT(MIN(INDEX('LINE PLAN'!$B$66:$GS$91,MATCH($A22,'LINE PLAN'!$A$66:$A$91,0),0)*('LINE PLAN'!$B$35:$GS$35&gt;WORKINGS!$B$75)*'LINE PLAN'!$B$35:$GS$35+(1-INDEX('LINE PLAN'!$B$66:$GS$91,MATCH($A22,'LINE PLAN'!$A$66:$A$91,0),0)*('LINE PLAN'!$B$35:$GS$35&gt;WORKINGS!$B$75))*999999))</f>
        <v>46311</v>
      </c>
      <c r="M22" s="2">
        <f>DASHBOARD!$E22+ROW()/100000</f>
        <v>-6.49978</v>
      </c>
      <c r="N22" s="15" t="str">
        <f>IFERROR(INDEX('MC MAP'!$BX$5:$BX$30,MATCH(DASHBOARD!$B22,'MC MAP'!$BW$5:$BW$30,0)),"?")</f>
        <v>FLAT-LOCK</v>
      </c>
      <c r="O22" s="15" cm="1">
        <f t="array" ref="O22">SUMPRODUCT(($N$12:$N$37=$N22)*(DASHBOARD!$E$12:$E$37&gt;0)*DASHBOARD!$E$12:$E$37)-MAX(0,DASHBOARD!$E22)</f>
        <v>35.5</v>
      </c>
      <c r="P22" s="15" cm="1">
        <f t="array" ref="P22">SUMPRODUCT(($N$12:$N$37=$N22)*(DASHBOARD!$E$12:$E$37&lt;0)*(DASHBOARD!$E$12:$E$37&lt;DASHBOARD!$E22)*(-DASHBOARD!$E$12:$E$37))</f>
        <v>11</v>
      </c>
      <c r="Q22" s="15">
        <f>IF(DASHBOARD!$E22&lt;0,MIN(-DASHBOARD!$E22,MAX(0,$O22-$P22)),0)</f>
        <v>6.5</v>
      </c>
      <c r="R22" s="15">
        <f>IF(DASHBOARD!$E22&lt;0,-DASHBOARD!$E22-$Q22,0)</f>
        <v>0</v>
      </c>
      <c r="S22" s="2" t="str">
        <f>DASHBOARD!$B22</f>
        <v>F/L (Coverseam )with pullar</v>
      </c>
      <c r="T22" s="553">
        <f>DASHBOARD!$G22</f>
        <v>1.17567567567568</v>
      </c>
    </row>
    <row r="23" spans="1:20">
      <c r="A23" s="2">
        <f>'MC MAP'!$A104</f>
        <v>18</v>
      </c>
      <c r="B23" s="2">
        <f>'MC MAP'!$B104</f>
        <v>4117</v>
      </c>
      <c r="C23" s="550">
        <f>IF($H23&gt;999998,"",$H23)</f>
        <v>46311</v>
      </c>
      <c r="D23" s="2" t="str">
        <f>IFERROR(INDEX('LINE PLAN'!$B$36:$GS$61,MATCH($A23,'LINE PLAN'!$A$36:$A$61,0),MATCH($C23,'LINE PLAN'!$B$35:$GS$35,0)),"— no further change")</f>
        <v>VACCANT</v>
      </c>
      <c r="E23" s="551">
        <f>IFERROR(INDEX('MC MAP'!$AB$33:$AB$80,MATCH($B23,'MC MAP'!$A$33:$A$80,0)),0)</f>
        <v>30.5</v>
      </c>
      <c r="F23" s="551">
        <f>IFERROR(INDEX('MC MAP'!$AB$33:$AB$80,MATCH($D23,'MC MAP'!$A$33:$A$80,0)),"")</f>
        <v>0</v>
      </c>
      <c r="G23" s="552">
        <f>IF($F23="","",$F23-$E23)</f>
        <v>-30.5</v>
      </c>
      <c r="H23" s="52" cm="1">
        <f t="array" ref="H23">SUMPRODUCT(MIN(INDEX('LINE PLAN'!$B$66:$GS$91,MATCH($A23,'LINE PLAN'!$A$66:$A$91,0),0)*('LINE PLAN'!$B$35:$GS$35&gt;WORKINGS!$B$75)*'LINE PLAN'!$B$35:$GS$35+(1-INDEX('LINE PLAN'!$B$66:$GS$91,MATCH($A23,'LINE PLAN'!$A$66:$A$91,0),0)*('LINE PLAN'!$B$35:$GS$35&gt;WORKINGS!$B$75))*999999))</f>
        <v>46311</v>
      </c>
      <c r="M23" s="2">
        <f>DASHBOARD!$E23+ROW()/100000</f>
        <v>-10.99977</v>
      </c>
      <c r="N23" s="15" t="str">
        <f>IFERROR(INDEX('MC MAP'!$BX$5:$BX$30,MATCH(DASHBOARD!$B23,'MC MAP'!$BW$5:$BW$30,0)),"?")</f>
        <v>FLAT-LOCK</v>
      </c>
      <c r="O23" s="15" cm="1">
        <f t="array" ref="O23">SUMPRODUCT(($N$12:$N$37=$N23)*(DASHBOARD!$E$12:$E$37&gt;0)*DASHBOARD!$E$12:$E$37)-MAX(0,DASHBOARD!$E23)</f>
        <v>35.5</v>
      </c>
      <c r="P23" s="15" cm="1">
        <f t="array" ref="P23">SUMPRODUCT(($N$12:$N$37=$N23)*(DASHBOARD!$E$12:$E$37&lt;0)*(DASHBOARD!$E$12:$E$37&lt;DASHBOARD!$E23)*(-DASHBOARD!$E$12:$E$37))</f>
        <v>0</v>
      </c>
      <c r="Q23" s="15">
        <f>IF(DASHBOARD!$E23&lt;0,MIN(-DASHBOARD!$E23,MAX(0,$O23-$P23)),0)</f>
        <v>11</v>
      </c>
      <c r="R23" s="15">
        <f>IF(DASHBOARD!$E23&lt;0,-DASHBOARD!$E23-$Q23,0)</f>
        <v>0</v>
      </c>
      <c r="S23" s="2" t="str">
        <f>DASHBOARD!$B23</f>
        <v>F/L (Coverseam )</v>
      </c>
      <c r="T23" s="553">
        <f>DASHBOARD!$G23</f>
        <v>2.83333333333333</v>
      </c>
    </row>
    <row r="24" spans="1:20">
      <c r="A24" s="2">
        <f>'MC MAP'!$A105</f>
        <v>19</v>
      </c>
      <c r="B24" s="2">
        <f>'MC MAP'!$B105</f>
        <v>4115</v>
      </c>
      <c r="C24" s="550">
        <f>IF($H24&gt;999998,"",$H24)</f>
        <v>46299</v>
      </c>
      <c r="D24" s="2" t="str">
        <f>IFERROR(INDEX('LINE PLAN'!$B$36:$GS$61,MATCH($A24,'LINE PLAN'!$A$36:$A$61,0),MATCH($C24,'LINE PLAN'!$B$35:$GS$35,0)),"— no further change")</f>
        <v>VACCANT</v>
      </c>
      <c r="E24" s="551">
        <f>IFERROR(INDEX('MC MAP'!$AB$33:$AB$80,MATCH($B24,'MC MAP'!$A$33:$A$80,0)),0)</f>
        <v>33.5</v>
      </c>
      <c r="F24" s="551">
        <f>IFERROR(INDEX('MC MAP'!$AB$33:$AB$80,MATCH($D24,'MC MAP'!$A$33:$A$80,0)),"")</f>
        <v>0</v>
      </c>
      <c r="G24" s="552">
        <f>IF($F24="","",$F24-$E24)</f>
        <v>-33.5</v>
      </c>
      <c r="H24" s="52" cm="1">
        <f t="array" ref="H24">SUMPRODUCT(MIN(INDEX('LINE PLAN'!$B$66:$GS$91,MATCH($A24,'LINE PLAN'!$A$66:$A$91,0),0)*('LINE PLAN'!$B$35:$GS$35&gt;WORKINGS!$B$75)*'LINE PLAN'!$B$35:$GS$35+(1-INDEX('LINE PLAN'!$B$66:$GS$91,MATCH($A24,'LINE PLAN'!$A$66:$A$91,0),0)*('LINE PLAN'!$B$35:$GS$35&gt;WORKINGS!$B$75))*999999))</f>
        <v>46299</v>
      </c>
      <c r="M24" s="2">
        <f>DASHBOARD!$E24+ROW()/100000</f>
        <v>7.00024</v>
      </c>
      <c r="N24" s="15" t="str">
        <f>IFERROR(INDEX('MC MAP'!$BX$5:$BX$30,MATCH(DASHBOARD!$B24,'MC MAP'!$BW$5:$BW$30,0)),"?")</f>
        <v>FLAT-LOCK</v>
      </c>
      <c r="O24" s="15" cm="1">
        <f t="array" ref="O24">SUMPRODUCT(($N$12:$N$37=$N24)*(DASHBOARD!$E$12:$E$37&gt;0)*DASHBOARD!$E$12:$E$37)-MAX(0,DASHBOARD!$E24)</f>
        <v>28.5</v>
      </c>
      <c r="P24" s="15" cm="1">
        <f t="array" ref="P24">SUMPRODUCT(($N$12:$N$37=$N24)*(DASHBOARD!$E$12:$E$37&lt;0)*(DASHBOARD!$E$12:$E$37&lt;DASHBOARD!$E24)*(-DASHBOARD!$E$12:$E$37))</f>
        <v>17.5</v>
      </c>
      <c r="Q24" s="15">
        <f>IF(DASHBOARD!$E24&lt;0,MIN(-DASHBOARD!$E24,MAX(0,$O24-$P24)),0)</f>
        <v>0</v>
      </c>
      <c r="R24" s="15">
        <f>IF(DASHBOARD!$E24&lt;0,-DASHBOARD!$E24-$Q24,0)</f>
        <v>0</v>
      </c>
      <c r="S24" s="2" t="str">
        <f>DASHBOARD!$B24</f>
        <v>3N5T-F/L -( TopStitch)</v>
      </c>
      <c r="T24" s="553">
        <f>DASHBOARD!$G24</f>
        <v>0.87037037037037</v>
      </c>
    </row>
    <row r="25" spans="1:20">
      <c r="A25" s="2">
        <f>'MC MAP'!$A106</f>
        <v>20</v>
      </c>
      <c r="B25" s="2">
        <f>'MC MAP'!$B106</f>
        <v>6137</v>
      </c>
      <c r="C25" s="550">
        <f>IF($H25&gt;999998,"",$H25)</f>
        <v>46248</v>
      </c>
      <c r="D25" s="2">
        <f>IFERROR(INDEX('LINE PLAN'!$B$36:$GS$61,MATCH($A25,'LINE PLAN'!$A$36:$A$61,0),MATCH($C25,'LINE PLAN'!$B$35:$GS$35,0)),"— no further change")</f>
        <v>6108</v>
      </c>
      <c r="E25" s="551">
        <f>IFERROR(INDEX('MC MAP'!$AB$33:$AB$80,MATCH($B25,'MC MAP'!$A$33:$A$80,0)),0)</f>
        <v>29</v>
      </c>
      <c r="F25" s="551">
        <f>IFERROR(INDEX('MC MAP'!$AB$33:$AB$80,MATCH($D25,'MC MAP'!$A$33:$A$80,0)),"")</f>
        <v>31.5</v>
      </c>
      <c r="G25" s="552">
        <f>IF($F25="","",$F25-$E25)</f>
        <v>2.5</v>
      </c>
      <c r="H25" s="52" cm="1">
        <f t="array" ref="H25">SUMPRODUCT(MIN(INDEX('LINE PLAN'!$B$66:$GS$91,MATCH($A25,'LINE PLAN'!$A$66:$A$91,0),0)*('LINE PLAN'!$B$35:$GS$35&gt;WORKINGS!$B$75)*'LINE PLAN'!$B$35:$GS$35+(1-INDEX('LINE PLAN'!$B$66:$GS$91,MATCH($A25,'LINE PLAN'!$A$66:$A$91,0),0)*('LINE PLAN'!$B$35:$GS$35&gt;WORKINGS!$B$75))*999999))</f>
        <v>46248</v>
      </c>
      <c r="M25" s="2">
        <f>DASHBOARD!$E25+ROW()/100000</f>
        <v>8.00025</v>
      </c>
      <c r="N25" s="15" t="str">
        <f>IFERROR(INDEX('MC MAP'!$BX$5:$BX$30,MATCH(DASHBOARD!$B25,'MC MAP'!$BW$5:$BW$30,0)),"?")</f>
        <v>FLAT-LOCK</v>
      </c>
      <c r="O25" s="15" cm="1">
        <f t="array" ref="O25">SUMPRODUCT(($N$12:$N$37=$N25)*(DASHBOARD!$E$12:$E$37&gt;0)*DASHBOARD!$E$12:$E$37)-MAX(0,DASHBOARD!$E25)</f>
        <v>27.5</v>
      </c>
      <c r="P25" s="15" cm="1">
        <f t="array" ref="P25">SUMPRODUCT(($N$12:$N$37=$N25)*(DASHBOARD!$E$12:$E$37&lt;0)*(DASHBOARD!$E$12:$E$37&lt;DASHBOARD!$E25)*(-DASHBOARD!$E$12:$E$37))</f>
        <v>17.5</v>
      </c>
      <c r="Q25" s="15">
        <f>IF(DASHBOARD!$E25&lt;0,MIN(-DASHBOARD!$E25,MAX(0,$O25-$P25)),0)</f>
        <v>0</v>
      </c>
      <c r="R25" s="15">
        <f>IF(DASHBOARD!$E25&lt;0,-DASHBOARD!$E25-$Q25,0)</f>
        <v>0</v>
      </c>
      <c r="S25" s="2" t="str">
        <f>DASHBOARD!$B25</f>
        <v>Flatlock (VT)</v>
      </c>
      <c r="T25" s="553">
        <f>DASHBOARD!$G25</f>
        <v>0.619047619047619</v>
      </c>
    </row>
    <row r="26" spans="1:20">
      <c r="A26" s="2">
        <f>'MC MAP'!$A107</f>
        <v>21</v>
      </c>
      <c r="B26" s="2">
        <f>'MC MAP'!$B107</f>
        <v>6137</v>
      </c>
      <c r="C26" s="550">
        <f>IF($H26&gt;999998,"",$H26)</f>
        <v>46248</v>
      </c>
      <c r="D26" s="2" t="str">
        <f>IFERROR(INDEX('LINE PLAN'!$B$36:$GS$61,MATCH($A26,'LINE PLAN'!$A$36:$A$61,0),MATCH($C26,'LINE PLAN'!$B$35:$GS$35,0)),"— no further change")</f>
        <v>VACCANT</v>
      </c>
      <c r="E26" s="551">
        <f>IFERROR(INDEX('MC MAP'!$AB$33:$AB$80,MATCH($B26,'MC MAP'!$A$33:$A$80,0)),0)</f>
        <v>29</v>
      </c>
      <c r="F26" s="551">
        <f>IFERROR(INDEX('MC MAP'!$AB$33:$AB$80,MATCH($D26,'MC MAP'!$A$33:$A$80,0)),"")</f>
        <v>0</v>
      </c>
      <c r="G26" s="552">
        <f>IF($F26="","",$F26-$E26)</f>
        <v>-29</v>
      </c>
      <c r="H26" s="52" cm="1">
        <f t="array" ref="H26">SUMPRODUCT(MIN(INDEX('LINE PLAN'!$B$66:$GS$91,MATCH($A26,'LINE PLAN'!$A$66:$A$91,0),0)*('LINE PLAN'!$B$35:$GS$35&gt;WORKINGS!$B$75)*'LINE PLAN'!$B$35:$GS$35+(1-INDEX('LINE PLAN'!$B$66:$GS$91,MATCH($A26,'LINE PLAN'!$A$66:$A$91,0),0)*('LINE PLAN'!$B$35:$GS$35&gt;WORKINGS!$B$75))*999999))</f>
        <v>46248</v>
      </c>
      <c r="M26" s="2">
        <f>DASHBOARD!$E26+ROW()/100000</f>
        <v>7.50026</v>
      </c>
      <c r="N26" s="15" t="str">
        <f>IFERROR(INDEX('MC MAP'!$BX$5:$BX$30,MATCH(DASHBOARD!$B26,'MC MAP'!$BW$5:$BW$30,0)),"?")</f>
        <v>OUTER ELASTIC</v>
      </c>
      <c r="O26" s="15" cm="1">
        <f t="array" ref="O26">SUMPRODUCT(($N$12:$N$37=$N26)*(DASHBOARD!$E$12:$E$37&gt;0)*DASHBOARD!$E$12:$E$37)-MAX(0,DASHBOARD!$E26)</f>
        <v>0</v>
      </c>
      <c r="P26" s="15" cm="1">
        <f t="array" ref="P26">SUMPRODUCT(($N$12:$N$37=$N26)*(DASHBOARD!$E$12:$E$37&lt;0)*(DASHBOARD!$E$12:$E$37&lt;DASHBOARD!$E26)*(-DASHBOARD!$E$12:$E$37))</f>
        <v>0</v>
      </c>
      <c r="Q26" s="15">
        <f>IF(DASHBOARD!$E26&lt;0,MIN(-DASHBOARD!$E26,MAX(0,$O26-$P26)),0)</f>
        <v>0</v>
      </c>
      <c r="R26" s="15">
        <f>IF(DASHBOARD!$E26&lt;0,-DASHBOARD!$E26-$Q26,0)</f>
        <v>0</v>
      </c>
      <c r="S26" s="2" t="str">
        <f>DASHBOARD!$B26</f>
        <v>Flatlock (Ring Elastic Attach)</v>
      </c>
      <c r="T26" s="553">
        <f>DASHBOARD!$G26</f>
        <v>0.821428571428571</v>
      </c>
    </row>
    <row r="27" spans="1:20">
      <c r="A27" s="2">
        <f>'MC MAP'!$A108</f>
        <v>22</v>
      </c>
      <c r="B27" s="2" t="str">
        <f>'MC MAP'!$B108</f>
        <v>TH-02</v>
      </c>
      <c r="C27" s="550">
        <f>IF($H27&gt;999998,"",$H27)</f>
        <v>46305</v>
      </c>
      <c r="D27" s="2" t="str">
        <f>IFERROR(INDEX('LINE PLAN'!$B$36:$GS$61,MATCH($A27,'LINE PLAN'!$A$36:$A$61,0),MATCH($C27,'LINE PLAN'!$B$35:$GS$35,0)),"— no further change")</f>
        <v>VACCANT</v>
      </c>
      <c r="E27" s="551">
        <f>IFERROR(INDEX('MC MAP'!$AB$33:$AB$80,MATCH($B27,'MC MAP'!$A$33:$A$80,0)),0)</f>
        <v>28</v>
      </c>
      <c r="F27" s="551">
        <f>IFERROR(INDEX('MC MAP'!$AB$33:$AB$80,MATCH($D27,'MC MAP'!$A$33:$A$80,0)),"")</f>
        <v>0</v>
      </c>
      <c r="G27" s="552">
        <f>IF($F27="","",$F27-$E27)</f>
        <v>-28</v>
      </c>
      <c r="H27" s="52" cm="1">
        <f t="array" ref="H27">SUMPRODUCT(MIN(INDEX('LINE PLAN'!$B$66:$GS$91,MATCH($A27,'LINE PLAN'!$A$66:$A$91,0),0)*('LINE PLAN'!$B$35:$GS$35&gt;WORKINGS!$B$75)*'LINE PLAN'!$B$35:$GS$35+(1-INDEX('LINE PLAN'!$B$66:$GS$91,MATCH($A27,'LINE PLAN'!$A$66:$A$91,0),0)*('LINE PLAN'!$B$35:$GS$35&gt;WORKINGS!$B$75))*999999))</f>
        <v>46305</v>
      </c>
      <c r="M27" s="2">
        <f>DASHBOARD!$E27+ROW()/100000</f>
        <v>18.00027</v>
      </c>
      <c r="N27" s="15" t="str">
        <f>IFERROR(INDEX('MC MAP'!$BX$5:$BX$30,MATCH(DASHBOARD!$B27,'MC MAP'!$BW$5:$BW$30,0)),"?")</f>
        <v>BINDING</v>
      </c>
      <c r="O27" s="15" cm="1">
        <f t="array" ref="O27">SUMPRODUCT(($N$12:$N$37=$N27)*(DASHBOARD!$E$12:$E$37&gt;0)*DASHBOARD!$E$12:$E$37)-MAX(0,DASHBOARD!$E27)</f>
        <v>0</v>
      </c>
      <c r="P27" s="15" cm="1">
        <f t="array" ref="P27">SUMPRODUCT(($N$12:$N$37=$N27)*(DASHBOARD!$E$12:$E$37&lt;0)*(DASHBOARD!$E$12:$E$37&lt;DASHBOARD!$E27)*(-DASHBOARD!$E$12:$E$37))</f>
        <v>0</v>
      </c>
      <c r="Q27" s="15">
        <f>IF(DASHBOARD!$E27&lt;0,MIN(-DASHBOARD!$E27,MAX(0,$O27-$P27)),0)</f>
        <v>0</v>
      </c>
      <c r="R27" s="15">
        <f>IF(DASHBOARD!$E27&lt;0,-DASHBOARD!$E27-$Q27,0)</f>
        <v>0</v>
      </c>
      <c r="S27" s="2" t="str">
        <f>DASHBOARD!$B27</f>
        <v>3N5T-F/L -BINDING</v>
      </c>
      <c r="T27" s="553">
        <f>DASHBOARD!$G27</f>
        <v>0.689655172413793</v>
      </c>
    </row>
    <row r="28" spans="1:20">
      <c r="A28" s="2">
        <f>'MC MAP'!$A109</f>
        <v>23</v>
      </c>
      <c r="B28" s="2">
        <f>'MC MAP'!$B109</f>
        <v>6135</v>
      </c>
      <c r="C28" s="550">
        <f>IF($H28&gt;999998,"",$H28)</f>
        <v>46271</v>
      </c>
      <c r="D28" s="2" t="str">
        <f>IFERROR(INDEX('LINE PLAN'!$B$36:$GS$61,MATCH($A28,'LINE PLAN'!$A$36:$A$61,0),MATCH($C28,'LINE PLAN'!$B$35:$GS$35,0)),"— no further change")</f>
        <v>VACCANT</v>
      </c>
      <c r="E28" s="551">
        <f>IFERROR(INDEX('MC MAP'!$AB$33:$AB$80,MATCH($B28,'MC MAP'!$A$33:$A$80,0)),0)</f>
        <v>33.5</v>
      </c>
      <c r="F28" s="551">
        <f>IFERROR(INDEX('MC MAP'!$AB$33:$AB$80,MATCH($D28,'MC MAP'!$A$33:$A$80,0)),"")</f>
        <v>0</v>
      </c>
      <c r="G28" s="552">
        <f>IF($F28="","",$F28-$E28)</f>
        <v>-33.5</v>
      </c>
      <c r="H28" s="52" cm="1">
        <f t="array" ref="H28">SUMPRODUCT(MIN(INDEX('LINE PLAN'!$B$66:$GS$91,MATCH($A28,'LINE PLAN'!$A$66:$A$91,0),0)*('LINE PLAN'!$B$35:$GS$35&gt;WORKINGS!$B$75)*'LINE PLAN'!$B$35:$GS$35+(1-INDEX('LINE PLAN'!$B$66:$GS$91,MATCH($A28,'LINE PLAN'!$A$66:$A$91,0),0)*('LINE PLAN'!$B$35:$GS$35&gt;WORKINGS!$B$75))*999999))</f>
        <v>46271</v>
      </c>
      <c r="M28" s="2">
        <f>DASHBOARD!$E28+ROW()/100000</f>
        <v>8.00028</v>
      </c>
      <c r="N28" s="15" t="str">
        <f>IFERROR(INDEX('MC MAP'!$BX$5:$BX$30,MATCH(DASHBOARD!$B28,'MC MAP'!$BW$5:$BW$30,0)),"?")</f>
        <v>FS</v>
      </c>
      <c r="O28" s="15" cm="1">
        <f t="array" ref="O28">SUMPRODUCT(($N$12:$N$37=$N28)*(DASHBOARD!$E$12:$E$37&gt;0)*DASHBOARD!$E$12:$E$37)-MAX(0,DASHBOARD!$E28)</f>
        <v>0</v>
      </c>
      <c r="P28" s="15" cm="1">
        <f t="array" ref="P28">SUMPRODUCT(($N$12:$N$37=$N28)*(DASHBOARD!$E$12:$E$37&lt;0)*(DASHBOARD!$E$12:$E$37&lt;DASHBOARD!$E28)*(-DASHBOARD!$E$12:$E$37))</f>
        <v>0</v>
      </c>
      <c r="Q28" s="15">
        <f>IF(DASHBOARD!$E28&lt;0,MIN(-DASHBOARD!$E28,MAX(0,$O28-$P28)),0)</f>
        <v>0</v>
      </c>
      <c r="R28" s="15">
        <f>IF(DASHBOARD!$E28&lt;0,-DASHBOARD!$E28-$Q28,0)</f>
        <v>0</v>
      </c>
      <c r="S28" s="2" t="str">
        <f>DASHBOARD!$B28</f>
        <v>FlatSeamer FS</v>
      </c>
      <c r="T28" s="553">
        <f>DASHBOARD!$G28</f>
        <v>0</v>
      </c>
    </row>
    <row r="29" spans="1:20">
      <c r="A29" s="2">
        <f>'MC MAP'!$A110</f>
        <v>24</v>
      </c>
      <c r="B29" s="2">
        <f>'MC MAP'!$B110</f>
        <v>5520</v>
      </c>
      <c r="C29" s="550">
        <f>IF($H29&gt;999998,"",$H29)</f>
        <v>46305</v>
      </c>
      <c r="D29" s="2" t="str">
        <f>IFERROR(INDEX('LINE PLAN'!$B$36:$GS$61,MATCH($A29,'LINE PLAN'!$A$36:$A$61,0),MATCH($C29,'LINE PLAN'!$B$35:$GS$35,0)),"— no further change")</f>
        <v>VACCANT</v>
      </c>
      <c r="E29" s="551">
        <f>IFERROR(INDEX('MC MAP'!$AB$33:$AB$80,MATCH($B29,'MC MAP'!$A$33:$A$80,0)),0)</f>
        <v>32</v>
      </c>
      <c r="F29" s="551">
        <f>IFERROR(INDEX('MC MAP'!$AB$33:$AB$80,MATCH($D29,'MC MAP'!$A$33:$A$80,0)),"")</f>
        <v>0</v>
      </c>
      <c r="G29" s="552">
        <f>IF($F29="","",$F29-$E29)</f>
        <v>-32</v>
      </c>
      <c r="H29" s="52" cm="1">
        <f t="array" ref="H29">SUMPRODUCT(MIN(INDEX('LINE PLAN'!$B$66:$GS$91,MATCH($A29,'LINE PLAN'!$A$66:$A$91,0),0)*('LINE PLAN'!$B$35:$GS$35&gt;WORKINGS!$B$75)*'LINE PLAN'!$B$35:$GS$35+(1-INDEX('LINE PLAN'!$B$66:$GS$91,MATCH($A29,'LINE PLAN'!$A$66:$A$91,0),0)*('LINE PLAN'!$B$35:$GS$35&gt;WORKINGS!$B$75))*999999))</f>
        <v>46305</v>
      </c>
      <c r="M29" s="2">
        <f>DASHBOARD!$E29+ROW()/100000</f>
        <v>5.00029</v>
      </c>
      <c r="N29" s="15" t="str">
        <f>IFERROR(INDEX('MC MAP'!$BX$5:$BX$30,MATCH(DASHBOARD!$B29,'MC MAP'!$BW$5:$BW$30,0)),"?")</f>
        <v>MULTI-NEEDLE</v>
      </c>
      <c r="O29" s="15" cm="1">
        <f t="array" ref="O29">SUMPRODUCT(($N$12:$N$37=$N29)*(DASHBOARD!$E$12:$E$37&gt;0)*DASHBOARD!$E$12:$E$37)-MAX(0,DASHBOARD!$E29)</f>
        <v>0</v>
      </c>
      <c r="P29" s="15" cm="1">
        <f t="array" ref="P29">SUMPRODUCT(($N$12:$N$37=$N29)*(DASHBOARD!$E$12:$E$37&lt;0)*(DASHBOARD!$E$12:$E$37&lt;DASHBOARD!$E29)*(-DASHBOARD!$E$12:$E$37))</f>
        <v>0</v>
      </c>
      <c r="Q29" s="15">
        <f>IF(DASHBOARD!$E29&lt;0,MIN(-DASHBOARD!$E29,MAX(0,$O29-$P29)),0)</f>
        <v>0</v>
      </c>
      <c r="R29" s="15">
        <f>IF(DASHBOARD!$E29&lt;0,-DASHBOARD!$E29-$Q29,0)</f>
        <v>0</v>
      </c>
      <c r="S29" s="2" t="str">
        <f>DASHBOARD!$B29</f>
        <v>Kansai</v>
      </c>
      <c r="T29" s="553">
        <f>DASHBOARD!$G29</f>
        <v>0.375</v>
      </c>
    </row>
    <row r="30" spans="1:20">
      <c r="A30" s="2">
        <f>'MC MAP'!$A111</f>
        <v>25</v>
      </c>
      <c r="B30" s="2">
        <f>'MC MAP'!$B111</f>
        <v>5520</v>
      </c>
      <c r="C30" s="550">
        <f>IF($H30&gt;999998,"",$H30)</f>
        <v>46305</v>
      </c>
      <c r="D30" s="2" t="str">
        <f>IFERROR(INDEX('LINE PLAN'!$B$36:$GS$61,MATCH($A30,'LINE PLAN'!$A$36:$A$61,0),MATCH($C30,'LINE PLAN'!$B$35:$GS$35,0)),"— no further change")</f>
        <v>VACCANT</v>
      </c>
      <c r="E30" s="551">
        <f>IFERROR(INDEX('MC MAP'!$AB$33:$AB$80,MATCH($B30,'MC MAP'!$A$33:$A$80,0)),0)</f>
        <v>32</v>
      </c>
      <c r="F30" s="551">
        <f>IFERROR(INDEX('MC MAP'!$AB$33:$AB$80,MATCH($D30,'MC MAP'!$A$33:$A$80,0)),"")</f>
        <v>0</v>
      </c>
      <c r="G30" s="552">
        <f>IF($F30="","",$F30-$E30)</f>
        <v>-32</v>
      </c>
      <c r="H30" s="52" cm="1">
        <f t="array" ref="H30">SUMPRODUCT(MIN(INDEX('LINE PLAN'!$B$66:$GS$91,MATCH($A30,'LINE PLAN'!$A$66:$A$91,0),0)*('LINE PLAN'!$B$35:$GS$35&gt;WORKINGS!$B$75)*'LINE PLAN'!$B$35:$GS$35+(1-INDEX('LINE PLAN'!$B$66:$GS$91,MATCH($A30,'LINE PLAN'!$A$66:$A$91,0),0)*('LINE PLAN'!$B$35:$GS$35&gt;WORKINGS!$B$75))*999999))</f>
        <v>46305</v>
      </c>
      <c r="M30" s="2">
        <f>DASHBOARD!$E30+ROW()/100000</f>
        <v>2.0003</v>
      </c>
      <c r="N30" s="15" t="str">
        <f>IFERROR(INDEX('MC MAP'!$BX$5:$BX$30,MATCH(DASHBOARD!$B30,'MC MAP'!$BW$5:$BW$30,0)),"?")</f>
        <v>CS-DNLS</v>
      </c>
      <c r="O30" s="15" cm="1">
        <f t="array" ref="O30">SUMPRODUCT(($N$12:$N$37=$N30)*(DASHBOARD!$E$12:$E$37&gt;0)*DASHBOARD!$E$12:$E$37)-MAX(0,DASHBOARD!$E30)</f>
        <v>0</v>
      </c>
      <c r="P30" s="15" cm="1">
        <f t="array" ref="P30">SUMPRODUCT(($N$12:$N$37=$N30)*(DASHBOARD!$E$12:$E$37&lt;0)*(DASHBOARD!$E$12:$E$37&lt;DASHBOARD!$E30)*(-DASHBOARD!$E$12:$E$37))</f>
        <v>0</v>
      </c>
      <c r="Q30" s="15">
        <f>IF(DASHBOARD!$E30&lt;0,MIN(-DASHBOARD!$E30,MAX(0,$O30-$P30)),0)</f>
        <v>0</v>
      </c>
      <c r="R30" s="15">
        <f>IF(DASHBOARD!$E30&lt;0,-DASHBOARD!$E30-$Q30,0)</f>
        <v>0</v>
      </c>
      <c r="S30" s="2" t="str">
        <f>DASHBOARD!$B30</f>
        <v>Chain stitch</v>
      </c>
      <c r="T30" s="553">
        <f>DASHBOARD!$G30</f>
        <v>0</v>
      </c>
    </row>
    <row r="31" spans="1:20">
      <c r="A31" s="2">
        <f>'MC MAP'!$A112</f>
        <v>26</v>
      </c>
      <c r="B31" s="2">
        <f>'MC MAP'!$B112</f>
        <v>6135</v>
      </c>
      <c r="C31" s="550">
        <f>IF($H31&gt;999998,"",$H31)</f>
        <v>46271</v>
      </c>
      <c r="D31" s="2" t="str">
        <f>IFERROR(INDEX('LINE PLAN'!$B$36:$GS$61,MATCH($A31,'LINE PLAN'!$A$36:$A$61,0),MATCH($C31,'LINE PLAN'!$B$35:$GS$35,0)),"— no further change")</f>
        <v>VACCANT</v>
      </c>
      <c r="E31" s="551">
        <f>IFERROR(INDEX('MC MAP'!$AB$33:$AB$80,MATCH($B31,'MC MAP'!$A$33:$A$80,0)),0)</f>
        <v>33.5</v>
      </c>
      <c r="F31" s="551">
        <f>IFERROR(INDEX('MC MAP'!$AB$33:$AB$80,MATCH($D31,'MC MAP'!$A$33:$A$80,0)),"")</f>
        <v>0</v>
      </c>
      <c r="G31" s="552">
        <f>IF($F31="","",$F31-$E31)</f>
        <v>-33.5</v>
      </c>
      <c r="H31" s="52" cm="1">
        <f t="array" ref="H31">SUMPRODUCT(MIN(INDEX('LINE PLAN'!$B$66:$GS$91,MATCH($A31,'LINE PLAN'!$A$66:$A$91,0),0)*('LINE PLAN'!$B$35:$GS$35&gt;WORKINGS!$B$75)*'LINE PLAN'!$B$35:$GS$35+(1-INDEX('LINE PLAN'!$B$66:$GS$91,MATCH($A31,'LINE PLAN'!$A$66:$A$91,0),0)*('LINE PLAN'!$B$35:$GS$35&gt;WORKINGS!$B$75))*999999))</f>
        <v>46271</v>
      </c>
      <c r="M31" s="2">
        <f>DASHBOARD!$E31+ROW()/100000</f>
        <v>4.00031</v>
      </c>
      <c r="N31" s="15" t="str">
        <f>IFERROR(INDEX('MC MAP'!$BX$5:$BX$30,MATCH(DASHBOARD!$B31,'MC MAP'!$BW$5:$BW$30,0)),"?")</f>
        <v>HT</v>
      </c>
      <c r="O31" s="15" cm="1">
        <f t="array" ref="O31">SUMPRODUCT(($N$12:$N$37=$N31)*(DASHBOARD!$E$12:$E$37&gt;0)*DASHBOARD!$E$12:$E$37)-MAX(0,DASHBOARD!$E31)</f>
        <v>0</v>
      </c>
      <c r="P31" s="15" cm="1">
        <f t="array" ref="P31">SUMPRODUCT(($N$12:$N$37=$N31)*(DASHBOARD!$E$12:$E$37&lt;0)*(DASHBOARD!$E$12:$E$37&lt;DASHBOARD!$E31)*(-DASHBOARD!$E$12:$E$37))</f>
        <v>0</v>
      </c>
      <c r="Q31" s="15">
        <f>IF(DASHBOARD!$E31&lt;0,MIN(-DASHBOARD!$E31,MAX(0,$O31-$P31)),0)</f>
        <v>0</v>
      </c>
      <c r="R31" s="15">
        <f>IF(DASHBOARD!$E31&lt;0,-DASHBOARD!$E31-$Q31,0)</f>
        <v>0</v>
      </c>
      <c r="S31" s="2" t="str">
        <f>DASHBOARD!$B31</f>
        <v>Heat Seal</v>
      </c>
      <c r="T31" s="553">
        <f>DASHBOARD!$G31</f>
        <v>0.885714285714286</v>
      </c>
    </row>
    <row r="32" spans="1:20">
      <c r="M32" s="2">
        <f>DASHBOARD!$E32+ROW()/100000</f>
        <v>0.00032</v>
      </c>
      <c r="N32" s="15" t="str">
        <f>IFERROR(INDEX('MC MAP'!$BX$5:$BX$30,MATCH(DASHBOARD!$B32,'MC MAP'!$BW$5:$BW$30,0)),"?")</f>
        <v>ILET</v>
      </c>
      <c r="O32" s="15" cm="1">
        <f t="array" ref="O32">SUMPRODUCT(($N$12:$N$37=$N32)*(DASHBOARD!$E$12:$E$37&gt;0)*DASHBOARD!$E$12:$E$37)-MAX(0,DASHBOARD!$E32)</f>
        <v>0</v>
      </c>
      <c r="P32" s="15" cm="1">
        <f t="array" ref="P32">SUMPRODUCT(($N$12:$N$37=$N32)*(DASHBOARD!$E$12:$E$37&lt;0)*(DASHBOARD!$E$12:$E$37&lt;DASHBOARD!$E32)*(-DASHBOARD!$E$12:$E$37))</f>
        <v>0</v>
      </c>
      <c r="Q32" s="15">
        <f>IF(DASHBOARD!$E32&lt;0,MIN(-DASHBOARD!$E32,MAX(0,$O32-$P32)),0)</f>
        <v>0</v>
      </c>
      <c r="R32" s="15">
        <f>IF(DASHBOARD!$E32&lt;0,-DASHBOARD!$E32-$Q32,0)</f>
        <v>0</v>
      </c>
      <c r="S32" s="2" t="str">
        <f>DASHBOARD!$B32</f>
        <v>Snap button</v>
      </c>
      <c r="T32" s="553">
        <f>DASHBOARD!$G32</f>
        <v>1</v>
      </c>
    </row>
    <row r="33" spans="1:20">
      <c r="M33" s="2">
        <f>DASHBOARD!$E33+ROW()/100000</f>
        <v>1.00033</v>
      </c>
      <c r="N33" s="15" t="str">
        <f>IFERROR(INDEX('MC MAP'!$BX$5:$BX$30,MATCH(DASHBOARD!$B33,'MC MAP'!$BW$5:$BW$30,0)),"?")</f>
        <v>BH</v>
      </c>
      <c r="O33" s="15" cm="1">
        <f t="array" ref="O33">SUMPRODUCT(($N$12:$N$37=$N33)*(DASHBOARD!$E$12:$E$37&gt;0)*DASHBOARD!$E$12:$E$37)-MAX(0,DASHBOARD!$E33)</f>
        <v>0</v>
      </c>
      <c r="P33" s="15" cm="1">
        <f t="array" ref="P33">SUMPRODUCT(($N$12:$N$37=$N33)*(DASHBOARD!$E$12:$E$37&lt;0)*(DASHBOARD!$E$12:$E$37&lt;DASHBOARD!$E33)*(-DASHBOARD!$E$12:$E$37))</f>
        <v>0</v>
      </c>
      <c r="Q33" s="15">
        <f>IF(DASHBOARD!$E33&lt;0,MIN(-DASHBOARD!$E33,MAX(0,$O33-$P33)),0)</f>
        <v>0</v>
      </c>
      <c r="R33" s="15">
        <f>IF(DASHBOARD!$E33&lt;0,-DASHBOARD!$E33-$Q33,0)</f>
        <v>0</v>
      </c>
      <c r="S33" s="2" t="str">
        <f>DASHBOARD!$B33</f>
        <v>Button Hole</v>
      </c>
      <c r="T33" s="553">
        <f>DASHBOARD!$G33</f>
        <v>0.666666666666667</v>
      </c>
    </row>
    <row r="34" spans="1:20">
      <c r="M34" s="2">
        <f>DASHBOARD!$E34+ROW()/100000</f>
        <v>1.00034</v>
      </c>
      <c r="N34" s="15" t="str">
        <f>IFERROR(INDEX('MC MAP'!$BX$5:$BX$30,MATCH(DASHBOARD!$B34,'MC MAP'!$BW$5:$BW$30,0)),"?")</f>
        <v>BA</v>
      </c>
      <c r="O34" s="15" cm="1">
        <f t="array" ref="O34">SUMPRODUCT(($N$12:$N$37=$N34)*(DASHBOARD!$E$12:$E$37&gt;0)*DASHBOARD!$E$12:$E$37)-MAX(0,DASHBOARD!$E34)</f>
        <v>0</v>
      </c>
      <c r="P34" s="15" cm="1">
        <f t="array" ref="P34">SUMPRODUCT(($N$12:$N$37=$N34)*(DASHBOARD!$E$12:$E$37&lt;0)*(DASHBOARD!$E$12:$E$37&lt;DASHBOARD!$E34)*(-DASHBOARD!$E$12:$E$37))</f>
        <v>0</v>
      </c>
      <c r="Q34" s="15">
        <f>IF(DASHBOARD!$E34&lt;0,MIN(-DASHBOARD!$E34,MAX(0,$O34-$P34)),0)</f>
        <v>0</v>
      </c>
      <c r="R34" s="15">
        <f>IF(DASHBOARD!$E34&lt;0,-DASHBOARD!$E34-$Q34,0)</f>
        <v>0</v>
      </c>
      <c r="S34" s="2" t="str">
        <f>DASHBOARD!$B34</f>
        <v>Button Attach</v>
      </c>
      <c r="T34" s="553">
        <f>DASHBOARD!$G34</f>
        <v>0</v>
      </c>
    </row>
    <row r="35" spans="1:20">
      <c r="M35" s="2">
        <f>DASHBOARD!$E35+ROW()/100000</f>
        <v>8.50035</v>
      </c>
      <c r="N35" s="15" t="str">
        <f>IFERROR(INDEX('MC MAP'!$BX$5:$BX$30,MATCH(DASHBOARD!$B35,'MC MAP'!$BW$5:$BW$30,0)),"?")</f>
        <v>BTK</v>
      </c>
      <c r="O35" s="15" cm="1">
        <f t="array" ref="O35">SUMPRODUCT(($N$12:$N$37=$N35)*(DASHBOARD!$E$12:$E$37&gt;0)*DASHBOARD!$E$12:$E$37)-MAX(0,DASHBOARD!$E35)</f>
        <v>0</v>
      </c>
      <c r="P35" s="15" cm="1">
        <f t="array" ref="P35">SUMPRODUCT(($N$12:$N$37=$N35)*(DASHBOARD!$E$12:$E$37&lt;0)*(DASHBOARD!$E$12:$E$37&lt;DASHBOARD!$E35)*(-DASHBOARD!$E$12:$E$37))</f>
        <v>0</v>
      </c>
      <c r="Q35" s="15">
        <f>IF(DASHBOARD!$E35&lt;0,MIN(-DASHBOARD!$E35,MAX(0,$O35-$P35)),0)</f>
        <v>0</v>
      </c>
      <c r="R35" s="15">
        <f>IF(DASHBOARD!$E35&lt;0,-DASHBOARD!$E35-$Q35,0)</f>
        <v>0</v>
      </c>
      <c r="S35" s="2" t="str">
        <f>DASHBOARD!$B35</f>
        <v>Bartack</v>
      </c>
      <c r="T35" s="553">
        <f>DASHBOARD!$G35</f>
        <v>0.346153846153846</v>
      </c>
    </row>
    <row r="36" spans="1:20">
      <c r="M36" s="2">
        <f>DASHBOARD!$E36+ROW()/100000</f>
        <v>2.00036</v>
      </c>
      <c r="N36" s="15" t="str">
        <f>IFERROR(INDEX('MC MAP'!$BX$5:$BX$30,MATCH(DASHBOARD!$B36,'MC MAP'!$BW$5:$BW$30,0)),"?")</f>
        <v>PATTERN-TACKER</v>
      </c>
      <c r="O36" s="15" cm="1">
        <f t="array" ref="O36">SUMPRODUCT(($N$12:$N$37=$N36)*(DASHBOARD!$E$12:$E$37&gt;0)*DASHBOARD!$E$12:$E$37)-MAX(0,DASHBOARD!$E36)</f>
        <v>6</v>
      </c>
      <c r="P36" s="15" cm="1">
        <f t="array" ref="P36">SUMPRODUCT(($N$12:$N$37=$N36)*(DASHBOARD!$E$12:$E$37&lt;0)*(DASHBOARD!$E$12:$E$37&lt;DASHBOARD!$E36)*(-DASHBOARD!$E$12:$E$37))</f>
        <v>0</v>
      </c>
      <c r="Q36" s="15">
        <f>IF(DASHBOARD!$E36&lt;0,MIN(-DASHBOARD!$E36,MAX(0,$O36-$P36)),0)</f>
        <v>0</v>
      </c>
      <c r="R36" s="15">
        <f>IF(DASHBOARD!$E36&lt;0,-DASHBOARD!$E36-$Q36,0)</f>
        <v>0</v>
      </c>
      <c r="S36" s="2" t="str">
        <f>DASHBOARD!$B36</f>
        <v>Bartack Pattern tacker (LABEL ATTACH )</v>
      </c>
      <c r="T36" s="553">
        <f>DASHBOARD!$G36</f>
        <v>0</v>
      </c>
    </row>
    <row r="37" spans="1:20">
      <c r="M37" s="2">
        <f>DASHBOARD!$E37+ROW()/100000</f>
        <v>6.00037</v>
      </c>
      <c r="N37" s="15" t="str">
        <f>IFERROR(INDEX('MC MAP'!$BX$5:$BX$30,MATCH(DASHBOARD!$B37,'MC MAP'!$BW$5:$BW$30,0)),"?")</f>
        <v>PATTERN-TACKER</v>
      </c>
      <c r="O37" s="15" cm="1">
        <f t="array" ref="O37">SUMPRODUCT(($N$12:$N$37=$N37)*(DASHBOARD!$E$12:$E$37&gt;0)*DASHBOARD!$E$12:$E$37)-MAX(0,DASHBOARD!$E37)</f>
        <v>2</v>
      </c>
      <c r="P37" s="15" cm="1">
        <f t="array" ref="P37">SUMPRODUCT(($N$12:$N$37=$N37)*(DASHBOARD!$E$12:$E$37&lt;0)*(DASHBOARD!$E$12:$E$37&lt;DASHBOARD!$E37)*(-DASHBOARD!$E$12:$E$37))</f>
        <v>0</v>
      </c>
      <c r="Q37" s="15">
        <f>IF(DASHBOARD!$E37&lt;0,MIN(-DASHBOARD!$E37,MAX(0,$O37-$P37)),0)</f>
        <v>0</v>
      </c>
      <c r="R37" s="15">
        <f>IF(DASHBOARD!$E37&lt;0,-DASHBOARD!$E37-$Q37,0)</f>
        <v>0</v>
      </c>
      <c r="S37" s="2" t="str">
        <f>DASHBOARD!$B37</f>
        <v>Bartack Pattern tacker</v>
      </c>
      <c r="T37" s="553">
        <f>DASHBOARD!$G37</f>
        <v>0.828571428571429</v>
      </c>
    </row>
    <row r="39" spans="1:20">
      <c r="A39" s="554" t="s">
        <v>363</v>
      </c>
    </row>
    <row r="40" spans="1:20">
      <c r="A40" s="50" t="s">
        <v>228</v>
      </c>
      <c r="B40" s="50" t="s">
        <v>364</v>
      </c>
      <c r="C40" s="50" t="s">
        <v>365</v>
      </c>
    </row>
    <row r="41" spans="1:20">
      <c r="A41" s="15" t="str">
        <f>INDEX('MC MASTER'!$B$3:$B$28,1)</f>
        <v>SNLS</v>
      </c>
      <c r="B41" s="15">
        <f>IFERROR(INDEX('MC MAP'!$BB$35:$CA$42,MATCH(DASHBOARD!$K$71,'MC MAP'!$BA$35:$BA$42,0),1),0)</f>
        <v>47</v>
      </c>
      <c r="C41" s="15">
        <f>$B41-ROW()/100000</f>
        <v>46.99959</v>
      </c>
    </row>
    <row r="42" spans="1:20">
      <c r="A42" s="15" t="str">
        <f>INDEX('MC MASTER'!$B$3:$B$28,2)</f>
        <v>DNLS</v>
      </c>
      <c r="B42" s="15">
        <f>IFERROR(INDEX('MC MAP'!$BB$35:$CA$42,MATCH(DASHBOARD!$K$71,'MC MAP'!$BA$35:$BA$42,0),2),0)</f>
        <v>0</v>
      </c>
      <c r="C42" s="15">
        <f>$B42-ROW()/100000</f>
        <v>-0.00042</v>
      </c>
    </row>
    <row r="43" spans="1:20">
      <c r="A43" s="15" t="str">
        <f>INDEX('MC MASTER'!$B$3:$B$28,3)</f>
        <v>SNLS - Edge cutter</v>
      </c>
      <c r="B43" s="15">
        <f>IFERROR(INDEX('MC MAP'!$BB$35:$CA$42,MATCH(DASHBOARD!$K$71,'MC MAP'!$BA$35:$BA$42,0),3),0)</f>
        <v>0</v>
      </c>
      <c r="C43" s="15">
        <f>$B43-ROW()/100000</f>
        <v>-0.00043</v>
      </c>
    </row>
    <row r="44" spans="1:20">
      <c r="A44" s="15" t="str">
        <f>INDEX('MC MASTER'!$B$3:$B$28,4)</f>
        <v>Zig - Zag</v>
      </c>
      <c r="B44" s="15">
        <f>IFERROR(INDEX('MC MAP'!$BB$35:$CA$42,MATCH(DASHBOARD!$K$71,'MC MAP'!$BA$35:$BA$42,0),4),0)</f>
        <v>0</v>
      </c>
      <c r="C44" s="15">
        <f>$B44-ROW()/100000</f>
        <v>-0.00044</v>
      </c>
    </row>
    <row r="45" spans="1:20">
      <c r="A45" s="15" t="str">
        <f>INDEX('MC MASTER'!$B$3:$B$28,5)</f>
        <v>4th Overlock</v>
      </c>
      <c r="B45" s="15">
        <f>IFERROR(INDEX('MC MAP'!$BB$35:$CA$42,MATCH(DASHBOARD!$K$71,'MC MAP'!$BA$35:$BA$42,0),5),0)</f>
        <v>76</v>
      </c>
      <c r="C45" s="15">
        <f>$B45-ROW()/100000</f>
        <v>75.99955</v>
      </c>
    </row>
    <row r="46" spans="1:20">
      <c r="A46" s="15" t="str">
        <f>INDEX('MC MASTER'!$B$3:$B$28,6)</f>
        <v>3th Overlock (Leg elastic)</v>
      </c>
      <c r="B46" s="15">
        <f>IFERROR(INDEX('MC MAP'!$BB$35:$CA$42,MATCH(DASHBOARD!$K$71,'MC MAP'!$BA$35:$BA$42,0),6),0)</f>
        <v>0</v>
      </c>
      <c r="C46" s="15">
        <f>$B46-ROW()/100000</f>
        <v>-0.00046</v>
      </c>
    </row>
    <row r="47" spans="1:20">
      <c r="A47" s="15" t="str">
        <f>INDEX('MC MASTER'!$B$3:$B$28,7)</f>
        <v>5th Overlock</v>
      </c>
      <c r="B47" s="15">
        <f>IFERROR(INDEX('MC MAP'!$BB$35:$CA$42,MATCH(DASHBOARD!$K$71,'MC MAP'!$BA$35:$BA$42,0),7),0)</f>
        <v>0</v>
      </c>
      <c r="C47" s="15">
        <f>$B47-ROW()/100000</f>
        <v>-0.00047</v>
      </c>
    </row>
    <row r="48" spans="1:20">
      <c r="A48" s="15" t="str">
        <f>INDEX('MC MASTER'!$B$3:$B$28,8)</f>
        <v>Overlock (Ring Elastic Attach)</v>
      </c>
      <c r="B48" s="15">
        <f>IFERROR(INDEX('MC MAP'!$BB$35:$CA$42,MATCH(DASHBOARD!$K$71,'MC MAP'!$BA$35:$BA$42,0),8),0)</f>
        <v>18</v>
      </c>
      <c r="C48" s="15">
        <f>$B48-ROW()/100000</f>
        <v>17.99952</v>
      </c>
    </row>
    <row r="49" spans="1:3">
      <c r="A49" s="15" t="str">
        <f>INDEX('MC MASTER'!$B$3:$B$28,9)</f>
        <v>Flatlock Hem</v>
      </c>
      <c r="B49" s="15">
        <f>IFERROR(INDEX('MC MAP'!$BB$35:$CA$42,MATCH(DASHBOARD!$K$71,'MC MAP'!$BA$35:$BA$42,0),9),0)</f>
        <v>7</v>
      </c>
      <c r="C49" s="15">
        <f>$B49-ROW()/100000</f>
        <v>6.99951</v>
      </c>
    </row>
    <row r="50" spans="1:3">
      <c r="A50" s="15" t="str">
        <f>INDEX('MC MASTER'!$B$3:$B$28,10)</f>
        <v>F/L (Coverseam / Waist COVER SEAM</v>
      </c>
      <c r="B50" s="15">
        <f>IFERROR(INDEX('MC MAP'!$BB$35:$CA$42,MATCH(DASHBOARD!$K$71,'MC MAP'!$BA$35:$BA$42,0),10),0)</f>
        <v>0</v>
      </c>
      <c r="C50" s="15">
        <f>$B50-ROW()/100000</f>
        <v>-0.0005</v>
      </c>
    </row>
    <row r="51" spans="1:3">
      <c r="A51" s="15" t="str">
        <f>INDEX('MC MASTER'!$B$3:$B$28,11)</f>
        <v>F/L (Coverseam )with pullar</v>
      </c>
      <c r="B51" s="15">
        <f>IFERROR(INDEX('MC MAP'!$BB$35:$CA$42,MATCH(DASHBOARD!$K$71,'MC MAP'!$BA$35:$BA$42,0),11),0)</f>
        <v>5</v>
      </c>
      <c r="C51" s="15">
        <f>$B51-ROW()/100000</f>
        <v>4.99949</v>
      </c>
    </row>
    <row r="52" spans="1:3">
      <c r="A52" s="15" t="str">
        <f>INDEX('MC MASTER'!$B$3:$B$28,12)</f>
        <v>F/L (Coverseam )</v>
      </c>
      <c r="B52" s="15">
        <f>IFERROR(INDEX('MC MAP'!$BB$35:$CA$42,MATCH(DASHBOARD!$K$71,'MC MAP'!$BA$35:$BA$42,0),12),0)</f>
        <v>9</v>
      </c>
      <c r="C52" s="15">
        <f>$B52-ROW()/100000</f>
        <v>8.99948</v>
      </c>
    </row>
    <row r="53" spans="1:3">
      <c r="A53" s="15" t="str">
        <f>INDEX('MC MASTER'!$B$3:$B$28,13)</f>
        <v>Flatlock (Ring Elastic Attach)</v>
      </c>
      <c r="B53" s="15">
        <f>IFERROR(INDEX('MC MAP'!$BB$35:$CA$42,MATCH(DASHBOARD!$K$71,'MC MAP'!$BA$35:$BA$42,0),13),0)</f>
        <v>16.5</v>
      </c>
      <c r="C53" s="15">
        <f>$B53-ROW()/100000</f>
        <v>16.49947</v>
      </c>
    </row>
    <row r="54" spans="1:3">
      <c r="A54" s="15" t="str">
        <f>INDEX('MC MASTER'!$B$3:$B$28,14)</f>
        <v>3N5T-F/L -BINDING</v>
      </c>
      <c r="B54" s="15">
        <f>IFERROR(INDEX('MC MAP'!$BB$35:$CA$42,MATCH(DASHBOARD!$K$71,'MC MAP'!$BA$35:$BA$42,0),14),0)</f>
        <v>17</v>
      </c>
      <c r="C54" s="15">
        <f>$B54-ROW()/100000</f>
        <v>16.99946</v>
      </c>
    </row>
    <row r="55" spans="1:3">
      <c r="A55" s="15" t="str">
        <f>INDEX('MC MASTER'!$B$3:$B$28,15)</f>
        <v>3N5T-F/L -( TopStitch)</v>
      </c>
      <c r="B55" s="15">
        <f>IFERROR(INDEX('MC MAP'!$BB$35:$CA$42,MATCH(DASHBOARD!$K$71,'MC MAP'!$BA$35:$BA$42,0),15),0)</f>
        <v>29</v>
      </c>
      <c r="C55" s="15">
        <f>$B55-ROW()/100000</f>
        <v>28.99945</v>
      </c>
    </row>
    <row r="56" spans="1:3">
      <c r="A56" s="15" t="str">
        <f>INDEX('MC MASTER'!$B$3:$B$28,16)</f>
        <v>FlatSeamer FS</v>
      </c>
      <c r="B56" s="15">
        <f>IFERROR(INDEX('MC MAP'!$BB$35:$CA$42,MATCH(DASHBOARD!$K$71,'MC MAP'!$BA$35:$BA$42,0),16),0)</f>
        <v>0</v>
      </c>
      <c r="C56" s="15">
        <f>$B56-ROW()/100000</f>
        <v>-0.00056</v>
      </c>
    </row>
    <row r="57" spans="1:3">
      <c r="A57" s="15" t="str">
        <f>INDEX('MC MASTER'!$B$3:$B$28,17)</f>
        <v>Kansai</v>
      </c>
      <c r="B57" s="15">
        <f>IFERROR(INDEX('MC MAP'!$BB$35:$CA$42,MATCH(DASHBOARD!$K$71,'MC MAP'!$BA$35:$BA$42,0),17),0)</f>
        <v>0</v>
      </c>
      <c r="C57" s="15">
        <f>$B57-ROW()/100000</f>
        <v>-0.00057</v>
      </c>
    </row>
    <row r="58" spans="1:3">
      <c r="A58" s="15" t="str">
        <f>INDEX('MC MASTER'!$B$3:$B$28,18)</f>
        <v>Chain stitch</v>
      </c>
      <c r="B58" s="15">
        <f>IFERROR(INDEX('MC MAP'!$BB$35:$CA$42,MATCH(DASHBOARD!$K$71,'MC MAP'!$BA$35:$BA$42,0),18),0)</f>
        <v>0</v>
      </c>
      <c r="C58" s="15">
        <f>$B58-ROW()/100000</f>
        <v>-0.00058</v>
      </c>
    </row>
    <row r="59" spans="1:3">
      <c r="A59" s="15" t="str">
        <f>INDEX('MC MASTER'!$B$3:$B$28,19)</f>
        <v>Flatlock (VT)</v>
      </c>
      <c r="B59" s="15">
        <f>IFERROR(INDEX('MC MAP'!$BB$35:$CA$42,MATCH(DASHBOARD!$K$71,'MC MAP'!$BA$35:$BA$42,0),19),0)</f>
        <v>1</v>
      </c>
      <c r="C59" s="15">
        <f>$B59-ROW()/100000</f>
        <v>0.99941</v>
      </c>
    </row>
    <row r="60" spans="1:3">
      <c r="A60" s="15" t="str">
        <f>INDEX('MC MASTER'!$B$3:$B$28,20)</f>
        <v>Heat Seal</v>
      </c>
      <c r="B60" s="15">
        <f>IFERROR(INDEX('MC MAP'!$BB$35:$CA$42,MATCH(DASHBOARD!$K$71,'MC MAP'!$BA$35:$BA$42,0),20),0)</f>
        <v>8</v>
      </c>
      <c r="C60" s="15">
        <f>$B60-ROW()/100000</f>
        <v>7.9994</v>
      </c>
    </row>
    <row r="61" spans="1:3">
      <c r="A61" s="15" t="str">
        <f>INDEX('MC MASTER'!$B$3:$B$28,21)</f>
        <v>Snap button</v>
      </c>
      <c r="B61" s="15">
        <f>IFERROR(INDEX('MC MAP'!$BB$35:$CA$42,MATCH(DASHBOARD!$K$71,'MC MAP'!$BA$35:$BA$42,0),21),0)</f>
        <v>0</v>
      </c>
      <c r="C61" s="15">
        <f>$B61-ROW()/100000</f>
        <v>-0.00061</v>
      </c>
    </row>
    <row r="62" spans="1:3">
      <c r="A62" s="15" t="str">
        <f>INDEX('MC MASTER'!$B$3:$B$28,22)</f>
        <v>Button Hole</v>
      </c>
      <c r="B62" s="15">
        <f>IFERROR(INDEX('MC MAP'!$BB$35:$CA$42,MATCH(DASHBOARD!$K$71,'MC MAP'!$BA$35:$BA$42,0),22),0)</f>
        <v>0</v>
      </c>
      <c r="C62" s="15">
        <f>$B62-ROW()/100000</f>
        <v>-0.00062</v>
      </c>
    </row>
    <row r="63" spans="1:3">
      <c r="A63" s="15" t="str">
        <f>INDEX('MC MASTER'!$B$3:$B$28,23)</f>
        <v>Button Attach</v>
      </c>
      <c r="B63" s="15">
        <f>IFERROR(INDEX('MC MAP'!$BB$35:$CA$42,MATCH(DASHBOARD!$K$71,'MC MAP'!$BA$35:$BA$42,0),23),0)</f>
        <v>0</v>
      </c>
      <c r="C63" s="15">
        <f>$B63-ROW()/100000</f>
        <v>-0.00063</v>
      </c>
    </row>
    <row r="64" spans="1:3">
      <c r="A64" s="15" t="str">
        <f>INDEX('MC MASTER'!$B$3:$B$28,24)</f>
        <v>Bartack</v>
      </c>
      <c r="B64" s="15">
        <f>IFERROR(INDEX('MC MAP'!$BB$35:$CA$42,MATCH(DASHBOARD!$K$71,'MC MAP'!$BA$35:$BA$42,0),24),0)</f>
        <v>0</v>
      </c>
      <c r="C64" s="15">
        <f>$B64-ROW()/100000</f>
        <v>-0.00064</v>
      </c>
    </row>
    <row r="65" spans="1:3">
      <c r="A65" s="15" t="str">
        <f>INDEX('MC MASTER'!$B$3:$B$28,25)</f>
        <v>Bartack Pattern tacker (LABEL ATTACH )</v>
      </c>
      <c r="B65" s="15">
        <f>IFERROR(INDEX('MC MAP'!$BB$35:$CA$42,MATCH(DASHBOARD!$K$71,'MC MAP'!$BA$35:$BA$42,0),25),0)</f>
        <v>0</v>
      </c>
      <c r="C65" s="15">
        <f>$B65-ROW()/100000</f>
        <v>-0.00065</v>
      </c>
    </row>
    <row r="66" spans="1:3">
      <c r="A66" s="15" t="str">
        <f>INDEX('MC MASTER'!$B$3:$B$28,26)</f>
        <v>Bartack Pattern tacker</v>
      </c>
      <c r="B66" s="15">
        <f>IFERROR(INDEX('MC MAP'!$BB$35:$CA$42,MATCH(DASHBOARD!$K$71,'MC MAP'!$BA$35:$BA$42,0),26),0)</f>
        <v>14</v>
      </c>
      <c r="C66" s="15">
        <f>$B66-ROW()/100000</f>
        <v>13.99934</v>
      </c>
    </row>
    <row r="68" spans="1:3">
      <c r="A68" s="555" t="s">
        <v>393</v>
      </c>
    </row>
    <row r="69" spans="1:3">
      <c r="A69" s="15" t="s">
        <v>394</v>
      </c>
      <c r="B69" s="15" t="str">
        <f>DASHBOARD!$C$4</f>
        <v>DAY</v>
      </c>
    </row>
    <row r="70" spans="1:3">
      <c r="A70" s="15" t="s">
        <v>395</v>
      </c>
      <c r="B70" s="556" t="s">
        <v>467</v>
      </c>
    </row>
    <row r="71" spans="1:3">
      <c r="A71" s="15" t="s">
        <v>381</v>
      </c>
      <c r="B71" s="15">
        <f>IFERROR(MATCH($B$70,'DEMAND BY DATE'!$BE$27:$BE$30,0),1)</f>
        <v>1</v>
      </c>
    </row>
    <row r="72" spans="1:3">
      <c r="A72" s="15" t="s">
        <v>396</v>
      </c>
      <c r="B72" s="15">
        <f>INDEX('DEMAND BY DATE'!$BK$27:$BK$30,$B$71)</f>
        <v>1</v>
      </c>
    </row>
    <row r="73" spans="1:3">
      <c r="A73" s="15" t="s">
        <v>397</v>
      </c>
      <c r="B73" s="15">
        <f>INDEX('DEMAND BY DATE'!$BL$27:$BL$30,$B$71)</f>
        <v>31</v>
      </c>
    </row>
    <row r="74" spans="1:3">
      <c r="A74" s="15" t="s">
        <v>398</v>
      </c>
      <c r="B74" s="557">
        <f ca="1">IFERROR(INDEX('DEMAND BY DATE'!$A$4:$A$203,MATCH(MAX(OFFSET('DEMAND BY DATE'!$BT$4,$B$72-1,0,$B$73,1)),OFFSET('DEMAND BY DATE'!$BT$4,$B$72-1,0,$B$73,1),0)+$B$72-1),INDEX('DEMAND BY DATE'!$A$4:$A$203,$B$72))</f>
        <v>46235</v>
      </c>
    </row>
    <row r="75" spans="1:3">
      <c r="A75" s="50" t="s">
        <v>399</v>
      </c>
      <c r="B75" s="558">
        <f>IF($B$69="MONTH PEAK",$B$74,IF($B$69="MONTH END",$B$79,DASHBOARD!$D$4))</f>
        <v>46242</v>
      </c>
    </row>
    <row r="76" spans="1:3">
      <c r="A76" s="15" t="s">
        <v>400</v>
      </c>
      <c r="B76" s="15">
        <f>INDEX('DEMAND BY DATE'!$BF$27:$BF$30,$B$71)</f>
        <v>26</v>
      </c>
    </row>
    <row r="77" spans="1:3">
      <c r="A77" s="15" t="s">
        <v>401</v>
      </c>
      <c r="B77" s="15">
        <f>INDEX('DEMAND BY DATE'!$BG$27:$BG$30,$B$71)</f>
        <v>797.769230769231</v>
      </c>
    </row>
    <row r="78" spans="1:3">
      <c r="A78" s="15" t="s">
        <v>402</v>
      </c>
      <c r="B78" s="15">
        <f ca="1">INDEX('DEMAND BY DATE'!$BH$27:$BH$30,$B$71)</f>
        <v>808</v>
      </c>
    </row>
    <row r="79" spans="1:3">
      <c r="A79" s="15" t="s">
        <v>403</v>
      </c>
      <c r="B79" s="557" cm="1">
        <f t="array" aca="1" ref="B79" ca="1">_xlfn.SINGLE(IFERROR(LOOKUP(2,1/(OFFSET('DEMAND BY DATE'!$BT$4,$B$72-1,0,$B$73,1)&gt;0),OFFSET('DEMAND BY DATE'!$A$4,$B$72-1,0,$B$73,1)),INDEX('DEMAND BY DATE'!$A$4:$A$203,$B$72)))</f>
        <v>46265</v>
      </c>
    </row>
    <row r="83" spans="1:5">
      <c r="A83" s="555" t="s">
        <v>409</v>
      </c>
    </row>
    <row r="84" spans="1:5">
      <c r="A84" s="50" t="s">
        <v>410</v>
      </c>
      <c r="B84" s="50" t="s">
        <v>209</v>
      </c>
      <c r="C84" s="50" t="s">
        <v>406</v>
      </c>
      <c r="D84" s="50" t="s">
        <v>235</v>
      </c>
      <c r="E84" s="50" t="s">
        <v>365</v>
      </c>
    </row>
    <row r="85" spans="1:5">
      <c r="A85" s="15" t="str">
        <f>INDEX('MC MASTER'!$B$3:$B$28,1)</f>
        <v>SNLS</v>
      </c>
      <c r="B85" s="15">
        <f>INDEX('MC MASTER'!$C$3:$C$28,1)</f>
        <v>185</v>
      </c>
      <c r="C85" s="15">
        <f ca="1">MAX(OFFSET('DEMAND BY DATE'!$B$4,'MC MAP'!$AY$120-1,MATCH($A85,'DEMAND BY DATE'!$B$3:$AA$3,0)-1,'MC MAP'!$AY$121,1))</f>
        <v>152</v>
      </c>
      <c r="D85" s="15">
        <f ca="1">$B85-$C85</f>
        <v>33</v>
      </c>
      <c r="E85" s="15">
        <f ca="1">$D85+ROW()/100000</f>
        <v>33.00085</v>
      </c>
    </row>
    <row r="86" spans="1:5">
      <c r="A86" s="15" t="str">
        <f>INDEX('MC MASTER'!$B$3:$B$28,2)</f>
        <v>DNLS</v>
      </c>
      <c r="B86" s="15">
        <f>INDEX('MC MASTER'!$C$3:$C$28,2)</f>
        <v>8</v>
      </c>
      <c r="C86" s="15">
        <f ca="1">MAX(OFFSET('DEMAND BY DATE'!$B$4,'MC MAP'!$AY$120-1,MATCH($A86,'DEMAND BY DATE'!$B$3:$AA$3,0)-1,'MC MAP'!$AY$121,1))</f>
        <v>1</v>
      </c>
      <c r="D86" s="15">
        <f ca="1">$B86-$C86</f>
        <v>7</v>
      </c>
      <c r="E86" s="15">
        <f ca="1">$D86+ROW()/100000</f>
        <v>7.00086</v>
      </c>
    </row>
    <row r="87" spans="1:5">
      <c r="A87" s="15" t="str">
        <f>INDEX('MC MASTER'!$B$3:$B$28,3)</f>
        <v>SNLS - Edge cutter</v>
      </c>
      <c r="B87" s="15">
        <f>INDEX('MC MASTER'!$C$3:$C$28,3)</f>
        <v>2</v>
      </c>
      <c r="C87" s="15">
        <f ca="1">MAX(OFFSET('DEMAND BY DATE'!$B$4,'MC MAP'!$AY$120-1,MATCH($A87,'DEMAND BY DATE'!$B$3:$AA$3,0)-1,'MC MAP'!$AY$121,1))</f>
        <v>0</v>
      </c>
      <c r="D87" s="15">
        <f ca="1">$B87-$C87</f>
        <v>2</v>
      </c>
      <c r="E87" s="15">
        <f ca="1">$D87+ROW()/100000</f>
        <v>2.00087</v>
      </c>
    </row>
    <row r="88" spans="1:5">
      <c r="A88" s="15" t="str">
        <f>INDEX('MC MASTER'!$B$3:$B$28,4)</f>
        <v>Zig - Zag</v>
      </c>
      <c r="B88" s="15">
        <f>INDEX('MC MASTER'!$C$3:$C$28,4)</f>
        <v>8</v>
      </c>
      <c r="C88" s="15">
        <f ca="1">MAX(OFFSET('DEMAND BY DATE'!$B$4,'MC MAP'!$AY$120-1,MATCH($A88,'DEMAND BY DATE'!$B$3:$AA$3,0)-1,'MC MAP'!$AY$121,1))</f>
        <v>4</v>
      </c>
      <c r="D88" s="15">
        <f ca="1">$B88-$C88</f>
        <v>4</v>
      </c>
      <c r="E88" s="15">
        <f ca="1">$D88+ROW()/100000</f>
        <v>4.00088</v>
      </c>
    </row>
    <row r="89" spans="1:5">
      <c r="A89" s="15" t="str">
        <f>INDEX('MC MASTER'!$B$3:$B$28,5)</f>
        <v>4th Overlock</v>
      </c>
      <c r="B89" s="15">
        <f>INDEX('MC MASTER'!$C$3:$C$28,5)</f>
        <v>279</v>
      </c>
      <c r="C89" s="15">
        <f ca="1">MAX(OFFSET('DEMAND BY DATE'!$B$4,'MC MAP'!$AY$120-1,MATCH($A89,'DEMAND BY DATE'!$B$3:$AA$3,0)-1,'MC MAP'!$AY$121,1))</f>
        <v>291</v>
      </c>
      <c r="D89" s="15">
        <f ca="1">$B89-$C89</f>
        <v>-12</v>
      </c>
      <c r="E89" s="15">
        <f ca="1">$D89+ROW()/100000</f>
        <v>-11.99911</v>
      </c>
    </row>
    <row r="90" spans="1:5">
      <c r="A90" s="15" t="str">
        <f>INDEX('MC MASTER'!$B$3:$B$28,6)</f>
        <v>3th Overlock (Leg elastic)</v>
      </c>
      <c r="B90" s="15">
        <f>INDEX('MC MASTER'!$C$3:$C$28,6)</f>
        <v>30</v>
      </c>
      <c r="C90" s="15">
        <f ca="1">MAX(OFFSET('DEMAND BY DATE'!$B$4,'MC MAP'!$AY$120-1,MATCH($A90,'DEMAND BY DATE'!$B$3:$AA$3,0)-1,'MC MAP'!$AY$121,1))</f>
        <v>31</v>
      </c>
      <c r="D90" s="15">
        <f ca="1">$B90-$C90</f>
        <v>-1</v>
      </c>
      <c r="E90" s="15">
        <f ca="1">$D90+ROW()/100000</f>
        <v>-0.9991</v>
      </c>
    </row>
    <row r="91" spans="1:5">
      <c r="A91" s="15" t="str">
        <f>INDEX('MC MASTER'!$B$3:$B$28,7)</f>
        <v>5th Overlock</v>
      </c>
      <c r="B91" s="15">
        <f>INDEX('MC MASTER'!$C$3:$C$28,7)</f>
        <v>5</v>
      </c>
      <c r="C91" s="15">
        <f ca="1">MAX(OFFSET('DEMAND BY DATE'!$B$4,'MC MAP'!$AY$120-1,MATCH($A91,'DEMAND BY DATE'!$B$3:$AA$3,0)-1,'MC MAP'!$AY$121,1))</f>
        <v>0</v>
      </c>
      <c r="D91" s="15">
        <f ca="1">$B91-$C91</f>
        <v>5</v>
      </c>
      <c r="E91" s="15">
        <f ca="1">$D91+ROW()/100000</f>
        <v>5.00091</v>
      </c>
    </row>
    <row r="92" spans="1:5">
      <c r="A92" s="15" t="str">
        <f>INDEX('MC MASTER'!$B$3:$B$28,8)</f>
        <v>Overlock (Ring Elastic Attach)</v>
      </c>
      <c r="B92" s="15">
        <f>INDEX('MC MASTER'!$C$3:$C$28,8)</f>
        <v>29</v>
      </c>
      <c r="C92" s="15">
        <f ca="1">MAX(OFFSET('DEMAND BY DATE'!$B$4,'MC MAP'!$AY$120-1,MATCH($A92,'DEMAND BY DATE'!$B$3:$AA$3,0)-1,'MC MAP'!$AY$121,1))</f>
        <v>36</v>
      </c>
      <c r="D92" s="15">
        <f ca="1">$B92-$C92</f>
        <v>-7</v>
      </c>
      <c r="E92" s="15">
        <f ca="1">$D92+ROW()/100000</f>
        <v>-6.99908</v>
      </c>
    </row>
    <row r="93" spans="1:5">
      <c r="A93" s="15" t="str">
        <f>INDEX('MC MASTER'!$B$3:$B$28,9)</f>
        <v>Flatlock Hem</v>
      </c>
      <c r="B93" s="15">
        <f>INDEX('MC MASTER'!$C$3:$C$28,9)</f>
        <v>34</v>
      </c>
      <c r="C93" s="15">
        <f ca="1">MAX(OFFSET('DEMAND BY DATE'!$B$4,'MC MAP'!$AY$120-1,MATCH($A93,'DEMAND BY DATE'!$B$3:$AA$3,0)-1,'MC MAP'!$AY$121,1))</f>
        <v>27.5</v>
      </c>
      <c r="D93" s="15">
        <f ca="1">$B93-$C93</f>
        <v>6.5</v>
      </c>
      <c r="E93" s="15">
        <f ca="1">$D93+ROW()/100000</f>
        <v>6.50093</v>
      </c>
    </row>
    <row r="94" spans="1:5">
      <c r="A94" s="15" t="str">
        <f>INDEX('MC MASTER'!$B$3:$B$28,10)</f>
        <v>F/L (Coverseam / Waist COVER SEAM</v>
      </c>
      <c r="B94" s="15">
        <f>INDEX('MC MASTER'!$C$3:$C$28,10)</f>
        <v>13</v>
      </c>
      <c r="C94" s="15">
        <f ca="1">MAX(OFFSET('DEMAND BY DATE'!$B$4,'MC MAP'!$AY$120-1,MATCH($A94,'DEMAND BY DATE'!$B$3:$AA$3,0)-1,'MC MAP'!$AY$121,1))</f>
        <v>12</v>
      </c>
      <c r="D94" s="15">
        <f ca="1">$B94-$C94</f>
        <v>1</v>
      </c>
      <c r="E94" s="15">
        <f ca="1">$D94+ROW()/100000</f>
        <v>1.00094</v>
      </c>
    </row>
    <row r="95" spans="1:5">
      <c r="A95" s="15" t="str">
        <f>INDEX('MC MASTER'!$B$3:$B$28,11)</f>
        <v>F/L (Coverseam )with pullar</v>
      </c>
      <c r="B95" s="15">
        <f>INDEX('MC MASTER'!$C$3:$C$28,11)</f>
        <v>37</v>
      </c>
      <c r="C95" s="15">
        <f ca="1">MAX(OFFSET('DEMAND BY DATE'!$B$4,'MC MAP'!$AY$120-1,MATCH($A95,'DEMAND BY DATE'!$B$3:$AA$3,0)-1,'MC MAP'!$AY$121,1))</f>
        <v>43.5</v>
      </c>
      <c r="D95" s="15">
        <f ca="1">$B95-$C95</f>
        <v>-6.5</v>
      </c>
      <c r="E95" s="15">
        <f ca="1">$D95+ROW()/100000</f>
        <v>-6.49905</v>
      </c>
    </row>
    <row r="96" spans="1:5">
      <c r="A96" s="15" t="str">
        <f>INDEX('MC MASTER'!$B$3:$B$28,12)</f>
        <v>F/L (Coverseam )</v>
      </c>
      <c r="B96" s="15">
        <f>INDEX('MC MASTER'!$C$3:$C$28,12)</f>
        <v>6</v>
      </c>
      <c r="C96" s="15">
        <f ca="1">MAX(OFFSET('DEMAND BY DATE'!$B$4,'MC MAP'!$AY$120-1,MATCH($A96,'DEMAND BY DATE'!$B$3:$AA$3,0)-1,'MC MAP'!$AY$121,1))</f>
        <v>17</v>
      </c>
      <c r="D96" s="15">
        <f ca="1">$B96-$C96</f>
        <v>-11</v>
      </c>
      <c r="E96" s="15">
        <f ca="1">$D96+ROW()/100000</f>
        <v>-10.99904</v>
      </c>
    </row>
    <row r="97" spans="1:5">
      <c r="A97" s="15" t="str">
        <f>INDEX('MC MASTER'!$B$3:$B$28,13)</f>
        <v>Flatlock (Ring Elastic Attach)</v>
      </c>
      <c r="B97" s="15">
        <f>INDEX('MC MASTER'!$C$3:$C$28,13)</f>
        <v>42</v>
      </c>
      <c r="C97" s="15">
        <f ca="1">MAX(OFFSET('DEMAND BY DATE'!$B$4,'MC MAP'!$AY$120-1,MATCH($A97,'DEMAND BY DATE'!$B$3:$AA$3,0)-1,'MC MAP'!$AY$121,1))</f>
        <v>34.5</v>
      </c>
      <c r="D97" s="15">
        <f ca="1">$B97-$C97</f>
        <v>7.5</v>
      </c>
      <c r="E97" s="15">
        <f ca="1">$D97+ROW()/100000</f>
        <v>7.50097</v>
      </c>
    </row>
    <row r="98" spans="1:5">
      <c r="A98" s="15" t="str">
        <f>INDEX('MC MASTER'!$B$3:$B$28,14)</f>
        <v>3N5T-F/L -BINDING</v>
      </c>
      <c r="B98" s="15">
        <f>INDEX('MC MASTER'!$C$3:$C$28,14)</f>
        <v>58</v>
      </c>
      <c r="C98" s="15">
        <f ca="1">MAX(OFFSET('DEMAND BY DATE'!$B$4,'MC MAP'!$AY$120-1,MATCH($A98,'DEMAND BY DATE'!$B$3:$AA$3,0)-1,'MC MAP'!$AY$121,1))</f>
        <v>42</v>
      </c>
      <c r="D98" s="15">
        <f ca="1">$B98-$C98</f>
        <v>16</v>
      </c>
      <c r="E98" s="15">
        <f ca="1">$D98+ROW()/100000</f>
        <v>16.00098</v>
      </c>
    </row>
    <row r="99" spans="1:5">
      <c r="A99" s="15" t="str">
        <f>INDEX('MC MASTER'!$B$3:$B$28,15)</f>
        <v>3N5T-F/L -( TopStitch)</v>
      </c>
      <c r="B99" s="15">
        <f>INDEX('MC MASTER'!$C$3:$C$28,15)</f>
        <v>54</v>
      </c>
      <c r="C99" s="15">
        <f ca="1">MAX(OFFSET('DEMAND BY DATE'!$B$4,'MC MAP'!$AY$120-1,MATCH($A99,'DEMAND BY DATE'!$B$3:$AA$3,0)-1,'MC MAP'!$AY$121,1))</f>
        <v>63</v>
      </c>
      <c r="D99" s="15">
        <f ca="1">$B99-$C99</f>
        <v>-9</v>
      </c>
      <c r="E99" s="15">
        <f ca="1">$D99+ROW()/100000</f>
        <v>-8.99901</v>
      </c>
    </row>
    <row r="100" spans="1:5">
      <c r="A100" s="15" t="str">
        <f>INDEX('MC MASTER'!$B$3:$B$28,16)</f>
        <v>FlatSeamer FS</v>
      </c>
      <c r="B100" s="15">
        <f>INDEX('MC MASTER'!$C$3:$C$28,16)</f>
        <v>8</v>
      </c>
      <c r="C100" s="15">
        <f ca="1">MAX(OFFSET('DEMAND BY DATE'!$B$4,'MC MAP'!$AY$120-1,MATCH($A100,'DEMAND BY DATE'!$B$3:$AA$3,0)-1,'MC MAP'!$AY$121,1))</f>
        <v>0</v>
      </c>
      <c r="D100" s="15">
        <f ca="1">$B100-$C100</f>
        <v>8</v>
      </c>
      <c r="E100" s="15">
        <f ca="1">$D100+ROW()/100000</f>
        <v>8.001</v>
      </c>
    </row>
    <row r="101" spans="1:5">
      <c r="A101" s="15" t="str">
        <f>INDEX('MC MASTER'!$B$3:$B$28,17)</f>
        <v>Kansai</v>
      </c>
      <c r="B101" s="15">
        <f>INDEX('MC MASTER'!$C$3:$C$28,17)</f>
        <v>8</v>
      </c>
      <c r="C101" s="15">
        <f ca="1">MAX(OFFSET('DEMAND BY DATE'!$B$4,'MC MAP'!$AY$120-1,MATCH($A101,'DEMAND BY DATE'!$B$3:$AA$3,0)-1,'MC MAP'!$AY$121,1))</f>
        <v>3</v>
      </c>
      <c r="D101" s="15">
        <f ca="1">$B101-$C101</f>
        <v>5</v>
      </c>
      <c r="E101" s="15">
        <f ca="1">$D101+ROW()/100000</f>
        <v>5.00101</v>
      </c>
    </row>
    <row r="102" spans="1:5">
      <c r="A102" s="15" t="str">
        <f>INDEX('MC MASTER'!$B$3:$B$28,18)</f>
        <v>Chain stitch</v>
      </c>
      <c r="B102" s="15">
        <f>INDEX('MC MASTER'!$C$3:$C$28,18)</f>
        <v>2</v>
      </c>
      <c r="C102" s="15">
        <f ca="1">MAX(OFFSET('DEMAND BY DATE'!$B$4,'MC MAP'!$AY$120-1,MATCH($A102,'DEMAND BY DATE'!$B$3:$AA$3,0)-1,'MC MAP'!$AY$121,1))</f>
        <v>0</v>
      </c>
      <c r="D102" s="15">
        <f ca="1">$B102-$C102</f>
        <v>2</v>
      </c>
      <c r="E102" s="15">
        <f ca="1">$D102+ROW()/100000</f>
        <v>2.00102</v>
      </c>
    </row>
    <row r="103" spans="1:5">
      <c r="A103" s="15" t="str">
        <f>INDEX('MC MASTER'!$B$3:$B$28,19)</f>
        <v>Flatlock (VT)</v>
      </c>
      <c r="B103" s="15">
        <f>INDEX('MC MASTER'!$C$3:$C$28,19)</f>
        <v>21</v>
      </c>
      <c r="C103" s="15">
        <f ca="1">MAX(OFFSET('DEMAND BY DATE'!$B$4,'MC MAP'!$AY$120-1,MATCH($A103,'DEMAND BY DATE'!$B$3:$AA$3,0)-1,'MC MAP'!$AY$121,1))</f>
        <v>15</v>
      </c>
      <c r="D103" s="15">
        <f ca="1">$B103-$C103</f>
        <v>6</v>
      </c>
      <c r="E103" s="15">
        <f ca="1">$D103+ROW()/100000</f>
        <v>6.00103</v>
      </c>
    </row>
    <row r="104" spans="1:5">
      <c r="A104" s="15" t="str">
        <f>INDEX('MC MASTER'!$B$3:$B$28,20)</f>
        <v>Heat Seal</v>
      </c>
      <c r="B104" s="15">
        <f>INDEX('MC MASTER'!$C$3:$C$28,20)</f>
        <v>35</v>
      </c>
      <c r="C104" s="15">
        <f ca="1">MAX(OFFSET('DEMAND BY DATE'!$B$4,'MC MAP'!$AY$120-1,MATCH($A104,'DEMAND BY DATE'!$B$3:$AA$3,0)-1,'MC MAP'!$AY$121,1))</f>
        <v>32.5</v>
      </c>
      <c r="D104" s="15">
        <f ca="1">$B104-$C104</f>
        <v>2.5</v>
      </c>
      <c r="E104" s="15">
        <f ca="1">$D104+ROW()/100000</f>
        <v>2.50104</v>
      </c>
    </row>
    <row r="105" spans="1:5">
      <c r="A105" s="15" t="str">
        <f>INDEX('MC MASTER'!$B$3:$B$28,21)</f>
        <v>Snap button</v>
      </c>
      <c r="B105" s="15">
        <f>INDEX('MC MASTER'!$C$3:$C$28,21)</f>
        <v>2</v>
      </c>
      <c r="C105" s="15">
        <f ca="1">MAX(OFFSET('DEMAND BY DATE'!$B$4,'MC MAP'!$AY$120-1,MATCH($A105,'DEMAND BY DATE'!$B$3:$AA$3,0)-1,'MC MAP'!$AY$121,1))</f>
        <v>2</v>
      </c>
      <c r="D105" s="15">
        <f ca="1">$B105-$C105</f>
        <v>0</v>
      </c>
      <c r="E105" s="15">
        <f ca="1">$D105+ROW()/100000</f>
        <v>0.00105</v>
      </c>
    </row>
    <row r="106" spans="1:5">
      <c r="A106" s="15" t="str">
        <f>INDEX('MC MASTER'!$B$3:$B$28,22)</f>
        <v>Button Hole</v>
      </c>
      <c r="B106" s="15">
        <f>INDEX('MC MASTER'!$C$3:$C$28,22)</f>
        <v>3</v>
      </c>
      <c r="C106" s="15">
        <f ca="1">MAX(OFFSET('DEMAND BY DATE'!$B$4,'MC MAP'!$AY$120-1,MATCH($A106,'DEMAND BY DATE'!$B$3:$AA$3,0)-1,'MC MAP'!$AY$121,1))</f>
        <v>2</v>
      </c>
      <c r="D106" s="15">
        <f ca="1">$B106-$C106</f>
        <v>1</v>
      </c>
      <c r="E106" s="15">
        <f ca="1">$D106+ROW()/100000</f>
        <v>1.00106</v>
      </c>
    </row>
    <row r="107" spans="1:5">
      <c r="A107" s="15" t="str">
        <f>INDEX('MC MASTER'!$B$3:$B$28,23)</f>
        <v>Button Attach</v>
      </c>
      <c r="B107" s="15">
        <f>INDEX('MC MASTER'!$C$3:$C$28,23)</f>
        <v>1</v>
      </c>
      <c r="C107" s="15">
        <f ca="1">MAX(OFFSET('DEMAND BY DATE'!$B$4,'MC MAP'!$AY$120-1,MATCH($A107,'DEMAND BY DATE'!$B$3:$AA$3,0)-1,'MC MAP'!$AY$121,1))</f>
        <v>0</v>
      </c>
      <c r="D107" s="15">
        <f ca="1">$B107-$C107</f>
        <v>1</v>
      </c>
      <c r="E107" s="15">
        <f ca="1">$D107+ROW()/100000</f>
        <v>1.00107</v>
      </c>
    </row>
    <row r="108" spans="1:5">
      <c r="A108" s="15" t="str">
        <f>INDEX('MC MASTER'!$B$3:$B$28,24)</f>
        <v>Bartack</v>
      </c>
      <c r="B108" s="15">
        <f>INDEX('MC MASTER'!$C$3:$C$28,24)</f>
        <v>13</v>
      </c>
      <c r="C108" s="15">
        <f ca="1">MAX(OFFSET('DEMAND BY DATE'!$B$4,'MC MAP'!$AY$120-1,MATCH($A108,'DEMAND BY DATE'!$B$3:$AA$3,0)-1,'MC MAP'!$AY$121,1))</f>
        <v>7.5</v>
      </c>
      <c r="D108" s="15">
        <f ca="1">$B108-$C108</f>
        <v>5.5</v>
      </c>
      <c r="E108" s="15">
        <f ca="1">$D108+ROW()/100000</f>
        <v>5.50108</v>
      </c>
    </row>
    <row r="109" spans="1:5">
      <c r="A109" s="15" t="str">
        <f>INDEX('MC MASTER'!$B$3:$B$28,25)</f>
        <v>Bartack Pattern tacker (LABEL ATTACH )</v>
      </c>
      <c r="B109" s="15">
        <f>INDEX('MC MASTER'!$C$3:$C$28,25)</f>
        <v>2</v>
      </c>
      <c r="C109" s="15">
        <f ca="1">MAX(OFFSET('DEMAND BY DATE'!$B$4,'MC MAP'!$AY$120-1,MATCH($A109,'DEMAND BY DATE'!$B$3:$AA$3,0)-1,'MC MAP'!$AY$121,1))</f>
        <v>0</v>
      </c>
      <c r="D109" s="15">
        <f ca="1">$B109-$C109</f>
        <v>2</v>
      </c>
      <c r="E109" s="15">
        <f ca="1">$D109+ROW()/100000</f>
        <v>2.00109</v>
      </c>
    </row>
    <row r="110" spans="1:5">
      <c r="A110" s="15" t="str">
        <f>INDEX('MC MASTER'!$B$3:$B$28,26)</f>
        <v>Bartack Pattern tacker</v>
      </c>
      <c r="B110" s="15">
        <f>INDEX('MC MASTER'!$C$3:$C$28,26)</f>
        <v>35</v>
      </c>
      <c r="C110" s="15">
        <f ca="1">MAX(OFFSET('DEMAND BY DATE'!$B$4,'MC MAP'!$AY$120-1,MATCH($A110,'DEMAND BY DATE'!$B$3:$AA$3,0)-1,'MC MAP'!$AY$121,1))</f>
        <v>29</v>
      </c>
      <c r="D110" s="15">
        <f ca="1">$B110-$C110</f>
        <v>6</v>
      </c>
      <c r="E110" s="15">
        <f ca="1">$D110+ROW()/100000</f>
        <v>6.0011</v>
      </c>
    </row>
    <row r="114" spans="1:4">
      <c r="A114" s="555" t="s">
        <v>471</v>
      </c>
    </row>
    <row r="115" spans="1:4">
      <c r="A115" s="50" t="s">
        <v>147</v>
      </c>
      <c r="B115" s="50" t="s">
        <v>255</v>
      </c>
      <c r="C115" s="50" t="s">
        <v>472</v>
      </c>
      <c r="D115" s="50" t="s">
        <v>473</v>
      </c>
    </row>
    <row r="116" spans="1:4">
      <c r="A116" s="15" t="str">
        <f>'MC MASTER'!$B3</f>
        <v>SNLS</v>
      </c>
      <c r="B116" s="15" t="str">
        <f>'MC MASTER'!$A3</f>
        <v>LOCK-STITCH</v>
      </c>
      <c r="C116" s="15">
        <f>MATCH($B116,'MC MASTER'!$A$3:$A$28,0)</f>
        <v>1</v>
      </c>
      <c r="D116" s="15">
        <f>$C116*1000+1</f>
        <v>1001</v>
      </c>
    </row>
    <row r="117" spans="1:4">
      <c r="A117" s="15" t="str">
        <f>'MC MASTER'!$B4</f>
        <v>DNLS</v>
      </c>
      <c r="B117" s="15" t="str">
        <f>'MC MASTER'!$A4</f>
        <v>LOCK-STITCH</v>
      </c>
      <c r="C117" s="15">
        <f>MATCH($B117,'MC MASTER'!$A$3:$A$28,0)</f>
        <v>1</v>
      </c>
      <c r="D117" s="15">
        <f>$C117*1000+2</f>
        <v>1002</v>
      </c>
    </row>
    <row r="118" spans="1:4">
      <c r="A118" s="15" t="str">
        <f>'MC MASTER'!$B5</f>
        <v>SNLS - Edge cutter</v>
      </c>
      <c r="B118" s="15" t="str">
        <f>'MC MASTER'!$A5</f>
        <v>LOCK-STITCH</v>
      </c>
      <c r="C118" s="15">
        <f>MATCH($B118,'MC MASTER'!$A$3:$A$28,0)</f>
        <v>1</v>
      </c>
      <c r="D118" s="15">
        <f>$C118*1000+3</f>
        <v>1003</v>
      </c>
    </row>
    <row r="119" spans="1:4">
      <c r="A119" s="15" t="str">
        <f>'MC MASTER'!$B6</f>
        <v>Zig - Zag</v>
      </c>
      <c r="B119" s="15" t="str">
        <f>'MC MASTER'!$A6</f>
        <v>LOCK-STITCH</v>
      </c>
      <c r="C119" s="15">
        <f>MATCH($B119,'MC MASTER'!$A$3:$A$28,0)</f>
        <v>1</v>
      </c>
      <c r="D119" s="15">
        <f>$C119*1000+4</f>
        <v>1004</v>
      </c>
    </row>
    <row r="120" spans="1:4">
      <c r="A120" s="15" t="str">
        <f>'MC MASTER'!$B7</f>
        <v>4th Overlock</v>
      </c>
      <c r="B120" s="15" t="str">
        <f>'MC MASTER'!$A7</f>
        <v>OVER-LOCK</v>
      </c>
      <c r="C120" s="15">
        <f>MATCH($B120,'MC MASTER'!$A$3:$A$28,0)</f>
        <v>5</v>
      </c>
      <c r="D120" s="15">
        <f>$C120*1000+5</f>
        <v>5005</v>
      </c>
    </row>
    <row r="121" spans="1:4">
      <c r="A121" s="15" t="str">
        <f>'MC MASTER'!$B8</f>
        <v>3th Overlock (Leg elastic)</v>
      </c>
      <c r="B121" s="15" t="str">
        <f>'MC MASTER'!$A8</f>
        <v>OVER-LOCK</v>
      </c>
      <c r="C121" s="15">
        <f>MATCH($B121,'MC MASTER'!$A$3:$A$28,0)</f>
        <v>5</v>
      </c>
      <c r="D121" s="15">
        <f>$C121*1000+6</f>
        <v>5006</v>
      </c>
    </row>
    <row r="122" spans="1:4">
      <c r="A122" s="15" t="str">
        <f>'MC MASTER'!$B9</f>
        <v>5th Overlock</v>
      </c>
      <c r="B122" s="15" t="str">
        <f>'MC MASTER'!$A9</f>
        <v>OVER-LOCK</v>
      </c>
      <c r="C122" s="15">
        <f>MATCH($B122,'MC MASTER'!$A$3:$A$28,0)</f>
        <v>5</v>
      </c>
      <c r="D122" s="15">
        <f>$C122*1000+7</f>
        <v>5007</v>
      </c>
    </row>
    <row r="123" spans="1:4">
      <c r="A123" s="15" t="str">
        <f>'MC MASTER'!$B10</f>
        <v>Overlock (Ring Elastic Attach)</v>
      </c>
      <c r="B123" s="15" t="str">
        <f>'MC MASTER'!$A10</f>
        <v>OVER-LOCK</v>
      </c>
      <c r="C123" s="15">
        <f>MATCH($B123,'MC MASTER'!$A$3:$A$28,0)</f>
        <v>5</v>
      </c>
      <c r="D123" s="15">
        <f>$C123*1000+8</f>
        <v>5008</v>
      </c>
    </row>
    <row r="124" spans="1:4">
      <c r="A124" s="15" t="str">
        <f>'MC MASTER'!$B11</f>
        <v>Flatlock Hem</v>
      </c>
      <c r="B124" s="15" t="str">
        <f>'MC MASTER'!$A11</f>
        <v>FLAT-LOCK</v>
      </c>
      <c r="C124" s="15">
        <f>MATCH($B124,'MC MASTER'!$A$3:$A$28,0)</f>
        <v>9</v>
      </c>
      <c r="D124" s="15">
        <f>$C124*1000+9</f>
        <v>9009</v>
      </c>
    </row>
    <row r="125" spans="1:4">
      <c r="A125" s="15" t="str">
        <f>'MC MASTER'!$B12</f>
        <v>F/L (Coverseam / Waist COVER SEAM</v>
      </c>
      <c r="B125" s="15" t="str">
        <f>'MC MASTER'!$A12</f>
        <v>FLAT-LOCK</v>
      </c>
      <c r="C125" s="15">
        <f>MATCH($B125,'MC MASTER'!$A$3:$A$28,0)</f>
        <v>9</v>
      </c>
      <c r="D125" s="15">
        <f>$C125*1000+10</f>
        <v>9010</v>
      </c>
    </row>
    <row r="126" spans="1:4">
      <c r="A126" s="15" t="str">
        <f>'MC MASTER'!$B13</f>
        <v>F/L (Coverseam )with pullar</v>
      </c>
      <c r="B126" s="15" t="str">
        <f>'MC MASTER'!$A13</f>
        <v>FLAT-LOCK</v>
      </c>
      <c r="C126" s="15">
        <f>MATCH($B126,'MC MASTER'!$A$3:$A$28,0)</f>
        <v>9</v>
      </c>
      <c r="D126" s="15">
        <f>$C126*1000+11</f>
        <v>9011</v>
      </c>
    </row>
    <row r="127" spans="1:4">
      <c r="A127" s="15" t="str">
        <f>'MC MASTER'!$B14</f>
        <v>F/L (Coverseam )</v>
      </c>
      <c r="B127" s="15" t="str">
        <f>'MC MASTER'!$A14</f>
        <v>FLAT-LOCK</v>
      </c>
      <c r="C127" s="15">
        <f>MATCH($B127,'MC MASTER'!$A$3:$A$28,0)</f>
        <v>9</v>
      </c>
      <c r="D127" s="15">
        <f>$C127*1000+12</f>
        <v>9012</v>
      </c>
    </row>
    <row r="128" spans="1:4">
      <c r="A128" s="15" t="str">
        <f>'MC MASTER'!$B15</f>
        <v>Flatlock (Ring Elastic Attach)</v>
      </c>
      <c r="B128" s="15" t="str">
        <f>'MC MASTER'!$A15</f>
        <v>OUTER ELASTIC</v>
      </c>
      <c r="C128" s="15">
        <f>MATCH($B128,'MC MASTER'!$A$3:$A$28,0)</f>
        <v>13</v>
      </c>
      <c r="D128" s="15">
        <f>$C128*1000+13</f>
        <v>13013</v>
      </c>
    </row>
    <row r="129" spans="1:4">
      <c r="A129" s="15" t="str">
        <f>'MC MASTER'!$B16</f>
        <v>3N5T-F/L -BINDING</v>
      </c>
      <c r="B129" s="15" t="str">
        <f>'MC MASTER'!$A16</f>
        <v>BINDING</v>
      </c>
      <c r="C129" s="15">
        <f>MATCH($B129,'MC MASTER'!$A$3:$A$28,0)</f>
        <v>14</v>
      </c>
      <c r="D129" s="15">
        <f>$C129*1000+14</f>
        <v>14014</v>
      </c>
    </row>
    <row r="130" spans="1:4">
      <c r="A130" s="15" t="str">
        <f>'MC MASTER'!$B17</f>
        <v>3N5T-F/L -( TopStitch)</v>
      </c>
      <c r="B130" s="15" t="str">
        <f>'MC MASTER'!$A17</f>
        <v>FLAT-LOCK</v>
      </c>
      <c r="C130" s="15">
        <f>MATCH($B130,'MC MASTER'!$A$3:$A$28,0)</f>
        <v>9</v>
      </c>
      <c r="D130" s="15">
        <f>$C130*1000+15</f>
        <v>9015</v>
      </c>
    </row>
    <row r="131" spans="1:4">
      <c r="A131" s="15" t="str">
        <f>'MC MASTER'!$B18</f>
        <v>FlatSeamer FS</v>
      </c>
      <c r="B131" s="15" t="str">
        <f>'MC MASTER'!$A18</f>
        <v>FS</v>
      </c>
      <c r="C131" s="15">
        <f>MATCH($B131,'MC MASTER'!$A$3:$A$28,0)</f>
        <v>16</v>
      </c>
      <c r="D131" s="15">
        <f>$C131*1000+16</f>
        <v>16016</v>
      </c>
    </row>
    <row r="132" spans="1:4">
      <c r="A132" s="15" t="str">
        <f>'MC MASTER'!$B19</f>
        <v>Kansai</v>
      </c>
      <c r="B132" s="15" t="str">
        <f>'MC MASTER'!$A19</f>
        <v>MULTI-NEEDLE</v>
      </c>
      <c r="C132" s="15">
        <f>MATCH($B132,'MC MASTER'!$A$3:$A$28,0)</f>
        <v>17</v>
      </c>
      <c r="D132" s="15">
        <f>$C132*1000+17</f>
        <v>17017</v>
      </c>
    </row>
    <row r="133" spans="1:4">
      <c r="A133" s="15" t="str">
        <f>'MC MASTER'!$B20</f>
        <v>Chain stitch</v>
      </c>
      <c r="B133" s="15" t="str">
        <f>'MC MASTER'!$A20</f>
        <v>CS-DNLS</v>
      </c>
      <c r="C133" s="15">
        <f>MATCH($B133,'MC MASTER'!$A$3:$A$28,0)</f>
        <v>18</v>
      </c>
      <c r="D133" s="15">
        <f>$C133*1000+18</f>
        <v>18018</v>
      </c>
    </row>
    <row r="134" spans="1:4">
      <c r="A134" s="15" t="str">
        <f>'MC MASTER'!$B21</f>
        <v>Flatlock (VT)</v>
      </c>
      <c r="B134" s="15" t="str">
        <f>'MC MASTER'!$A21</f>
        <v>FLAT-LOCK</v>
      </c>
      <c r="C134" s="15">
        <f>MATCH($B134,'MC MASTER'!$A$3:$A$28,0)</f>
        <v>9</v>
      </c>
      <c r="D134" s="15">
        <f>$C134*1000+19</f>
        <v>9019</v>
      </c>
    </row>
    <row r="135" spans="1:4">
      <c r="A135" s="15" t="str">
        <f>'MC MASTER'!$B22</f>
        <v>Heat Seal</v>
      </c>
      <c r="B135" s="15" t="str">
        <f>'MC MASTER'!$A22</f>
        <v>HT</v>
      </c>
      <c r="C135" s="15">
        <f>MATCH($B135,'MC MASTER'!$A$3:$A$28,0)</f>
        <v>20</v>
      </c>
      <c r="D135" s="15">
        <f>$C135*1000+20</f>
        <v>20020</v>
      </c>
    </row>
    <row r="136" spans="1:4">
      <c r="A136" s="15" t="str">
        <f>'MC MASTER'!$B23</f>
        <v>Snap button</v>
      </c>
      <c r="B136" s="15" t="str">
        <f>'MC MASTER'!$A23</f>
        <v>ILET</v>
      </c>
      <c r="C136" s="15">
        <f>MATCH($B136,'MC MASTER'!$A$3:$A$28,0)</f>
        <v>21</v>
      </c>
      <c r="D136" s="15">
        <f>$C136*1000+21</f>
        <v>21021</v>
      </c>
    </row>
    <row r="137" spans="1:4">
      <c r="A137" s="15" t="str">
        <f>'MC MASTER'!$B24</f>
        <v>Button Hole</v>
      </c>
      <c r="B137" s="15" t="str">
        <f>'MC MASTER'!$A24</f>
        <v>BH</v>
      </c>
      <c r="C137" s="15">
        <f>MATCH($B137,'MC MASTER'!$A$3:$A$28,0)</f>
        <v>22</v>
      </c>
      <c r="D137" s="15">
        <f>$C137*1000+22</f>
        <v>22022</v>
      </c>
    </row>
    <row r="138" spans="1:4">
      <c r="A138" s="15" t="str">
        <f>'MC MASTER'!$B25</f>
        <v>Button Attach</v>
      </c>
      <c r="B138" s="15" t="str">
        <f>'MC MASTER'!$A25</f>
        <v>BA</v>
      </c>
      <c r="C138" s="15">
        <f>MATCH($B138,'MC MASTER'!$A$3:$A$28,0)</f>
        <v>23</v>
      </c>
      <c r="D138" s="15">
        <f>$C138*1000+23</f>
        <v>23023</v>
      </c>
    </row>
    <row r="139" spans="1:4">
      <c r="A139" s="15" t="str">
        <f>'MC MASTER'!$B26</f>
        <v>Bartack</v>
      </c>
      <c r="B139" s="15" t="str">
        <f>'MC MASTER'!$A26</f>
        <v>BTK</v>
      </c>
      <c r="C139" s="15">
        <f>MATCH($B139,'MC MASTER'!$A$3:$A$28,0)</f>
        <v>24</v>
      </c>
      <c r="D139" s="15">
        <f>$C139*1000+24</f>
        <v>24024</v>
      </c>
    </row>
    <row r="140" spans="1:4">
      <c r="A140" s="15" t="str">
        <f>'MC MASTER'!$B27</f>
        <v>Bartack Pattern tacker (LABEL ATTACH )</v>
      </c>
      <c r="B140" s="15" t="str">
        <f>'MC MASTER'!$A27</f>
        <v>PATTERN-TACKER</v>
      </c>
      <c r="C140" s="15">
        <f>MATCH($B140,'MC MASTER'!$A$3:$A$28,0)</f>
        <v>25</v>
      </c>
      <c r="D140" s="15">
        <f>$C140*1000+25</f>
        <v>25025</v>
      </c>
    </row>
    <row r="141" spans="1:4">
      <c r="A141" s="15" t="str">
        <f>'MC MASTER'!$B28</f>
        <v>Bartack Pattern tacker</v>
      </c>
      <c r="B141" s="15" t="str">
        <f>'MC MASTER'!$A28</f>
        <v>PATTERN-TACKER</v>
      </c>
      <c r="C141" s="15">
        <f>MATCH($B141,'MC MASTER'!$A$3:$A$28,0)</f>
        <v>25</v>
      </c>
      <c r="D141" s="15">
        <f>$C141*1000+26</f>
        <v>25026</v>
      </c>
    </row>
  </sheetData>
  <sheetProtection sheet="1" objects="1" scenarios="1" formatCells="0" formatColumns="0" formatRow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GUIDE</vt:lpstr>
      <vt:lpstr>MD VIEW</vt:lpstr>
      <vt:lpstr>DASHBOARD</vt:lpstr>
      <vt:lpstr>PPC</vt:lpstr>
      <vt:lpstr>LINE PLAN</vt:lpstr>
      <vt:lpstr>MC MASTER</vt:lpstr>
      <vt:lpstr>EMBELISHMENT</vt:lpstr>
      <vt:lpstr>DEMAND BY DATE</vt:lpstr>
      <vt:lpstr>MC MAP</vt:lpstr>
      <vt:lpstr>MACHINE MASTER</vt:lpstr>
      <vt:lpstr>WORKINGS</vt:lpstr>
      <vt:lpstr>EMBELISHMENT!Print_Area</vt:lpstr>
      <vt:lpstr>'MD VIEW'!Print_Area</vt:lpstr>
      <vt:lpstr>EMBELISHMENT!Print_Titles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Tanmay Mandal</dc:creator>
  <cp:lastModifiedBy>Tanmay Mandal</cp:lastModifiedBy>
  <cp:lastPrinted>2026-08-10T09:49:04Z</cp:lastPrinted>
  <dcterms:created xsi:type="dcterms:W3CDTF">2026-08-05T09:13:02Z</dcterms:created>
  <dcterms:modified xsi:type="dcterms:W3CDTF">2026-08-17T04:48:32Z</dcterms:modified>
</cp:coreProperties>
</file>