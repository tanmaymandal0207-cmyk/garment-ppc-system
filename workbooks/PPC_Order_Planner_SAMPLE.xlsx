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Holi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m/yyyy"/>
    <numFmt numFmtId="165" formatCode="yyyy-mm-dd h:mm:ss"/>
  </numFmts>
  <fonts count="17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rgb="FF404040"/>
      <sz val="10"/>
      <scheme val="minor"/>
    </font>
    <font>
      <name val="Aptos"/>
      <family val="2"/>
      <b val="1"/>
      <color rgb="FFFFFFFF"/>
      <sz val="11"/>
    </font>
    <font>
      <name val="Aptos"/>
      <family val="2"/>
      <b val="1"/>
      <color rgb="FFFFFFFF"/>
      <sz val="10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ptos"/>
      <family val="2"/>
      <b val="1"/>
      <color rgb="FFFFFFFF"/>
      <sz val="16"/>
    </font>
    <font>
      <name val="Aptos"/>
      <family val="2"/>
      <b val="1"/>
      <color rgb="FF000000"/>
      <sz val="10"/>
    </font>
    <font>
      <name val="Aptos"/>
      <family val="2"/>
      <b val="1"/>
      <color rgb="FF17365D"/>
      <sz val="10"/>
    </font>
    <font>
      <name val="Aptos"/>
      <family val="2"/>
      <i val="1"/>
      <color rgb="FF1F1F1F"/>
      <sz val="10"/>
    </font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b val="1"/>
      <color rgb="FF404040"/>
      <sz val="10"/>
    </font>
    <font>
      <color rgb="FF404040"/>
      <sz val="10"/>
    </font>
  </fonts>
  <fills count="15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393939"/>
        <bgColor indexed="64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13" fillId="0" borderId="0"/>
    <xf numFmtId="0" fontId="13" fillId="0" borderId="0"/>
  </cellStyleXfs>
  <cellXfs count="75">
    <xf numFmtId="0" fontId="0" fillId="0" borderId="0" pivotButton="0" quotePrefix="0" xfId="0"/>
    <xf numFmtId="0" fontId="3" fillId="4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3" fontId="3" fillId="4" borderId="0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1" fontId="4" fillId="3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1" fontId="10" fillId="6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 wrapText="1"/>
    </xf>
    <xf numFmtId="9" fontId="3" fillId="4" borderId="0" applyAlignment="1" pivotButton="0" quotePrefix="0" xfId="0">
      <alignment vertical="center"/>
    </xf>
    <xf numFmtId="16" fontId="0" fillId="0" borderId="0" pivotButton="0" quotePrefix="0" xfId="0"/>
    <xf numFmtId="0" fontId="2" fillId="1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2" fillId="10" borderId="0" applyAlignment="1" pivotButton="0" quotePrefix="0" xfId="0">
      <alignment vertical="center" wrapText="1"/>
    </xf>
    <xf numFmtId="0" fontId="5" fillId="11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3" fontId="3" fillId="4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1" fontId="4" fillId="3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9" fontId="3" fillId="4" borderId="0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1" fontId="3" fillId="4" borderId="2" applyAlignment="1" pivotButton="0" quotePrefix="0" xfId="0">
      <alignment vertical="center"/>
    </xf>
    <xf numFmtId="3" fontId="3" fillId="4" borderId="2" applyAlignment="1" pivotButton="0" quotePrefix="0" xfId="0">
      <alignment vertical="center"/>
    </xf>
    <xf numFmtId="3" fontId="4" fillId="3" borderId="2" applyAlignment="1" pivotButton="0" quotePrefix="0" xfId="0">
      <alignment vertical="center"/>
    </xf>
    <xf numFmtId="164" fontId="3" fillId="4" borderId="2" applyAlignment="1" pivotButton="0" quotePrefix="0" xfId="0">
      <alignment vertical="center"/>
    </xf>
    <xf numFmtId="164" fontId="4" fillId="3" borderId="2" applyAlignment="1" pivotButton="0" quotePrefix="0" xfId="0">
      <alignment vertical="center"/>
    </xf>
    <xf numFmtId="1" fontId="4" fillId="3" borderId="2" applyAlignment="1" pivotButton="0" quotePrefix="0" xfId="0">
      <alignment vertical="center"/>
    </xf>
    <xf numFmtId="164" fontId="3" fillId="3" borderId="2" applyAlignment="1" pivotButton="0" quotePrefix="0" xfId="0">
      <alignment vertical="center"/>
    </xf>
    <xf numFmtId="9" fontId="3" fillId="4" borderId="2" applyAlignment="1" pivotButton="0" quotePrefix="0" xfId="0">
      <alignment vertical="center"/>
    </xf>
    <xf numFmtId="0" fontId="3" fillId="4" borderId="4" applyAlignment="1" pivotButton="0" quotePrefix="0" xfId="0">
      <alignment vertical="center"/>
    </xf>
    <xf numFmtId="1" fontId="3" fillId="4" borderId="4" applyAlignment="1" pivotButton="0" quotePrefix="0" xfId="0">
      <alignment vertical="center"/>
    </xf>
    <xf numFmtId="3" fontId="3" fillId="4" borderId="4" applyAlignment="1" pivotButton="0" quotePrefix="0" xfId="0">
      <alignment vertical="center"/>
    </xf>
    <xf numFmtId="3" fontId="4" fillId="3" borderId="4" applyAlignment="1" pivotButton="0" quotePrefix="0" xfId="0">
      <alignment vertical="center"/>
    </xf>
    <xf numFmtId="164" fontId="3" fillId="4" borderId="4" applyAlignment="1" pivotButton="0" quotePrefix="0" xfId="0">
      <alignment vertical="center"/>
    </xf>
    <xf numFmtId="164" fontId="4" fillId="3" borderId="4" applyAlignment="1" pivotButton="0" quotePrefix="0" xfId="0">
      <alignment vertical="center"/>
    </xf>
    <xf numFmtId="1" fontId="4" fillId="3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9" fontId="3" fillId="4" borderId="4" applyAlignment="1" pivotButton="0" quotePrefix="0" xfId="0">
      <alignment vertical="center"/>
    </xf>
    <xf numFmtId="0" fontId="3" fillId="4" borderId="3" applyAlignment="1" pivotButton="0" quotePrefix="0" xfId="0">
      <alignment vertical="center"/>
    </xf>
    <xf numFmtId="1" fontId="3" fillId="4" borderId="3" applyAlignment="1" pivotButton="0" quotePrefix="0" xfId="0">
      <alignment vertical="center"/>
    </xf>
    <xf numFmtId="3" fontId="3" fillId="4" borderId="3" applyAlignment="1" pivotButton="0" quotePrefix="0" xfId="0">
      <alignment vertical="center"/>
    </xf>
    <xf numFmtId="3" fontId="4" fillId="3" borderId="3" applyAlignment="1" pivotButton="0" quotePrefix="0" xfId="0">
      <alignment vertical="center"/>
    </xf>
    <xf numFmtId="164" fontId="3" fillId="4" borderId="3" applyAlignment="1" pivotButton="0" quotePrefix="0" xfId="0">
      <alignment vertical="center"/>
    </xf>
    <xf numFmtId="164" fontId="4" fillId="3" borderId="3" applyAlignment="1" pivotButton="0" quotePrefix="0" xfId="0">
      <alignment vertical="center"/>
    </xf>
    <xf numFmtId="1" fontId="4" fillId="3" borderId="3" applyAlignment="1" pivotButton="0" quotePrefix="0" xfId="0">
      <alignment vertical="center"/>
    </xf>
    <xf numFmtId="164" fontId="3" fillId="3" borderId="3" applyAlignment="1" pivotButton="0" quotePrefix="0" xfId="0">
      <alignment vertical="center"/>
    </xf>
    <xf numFmtId="9" fontId="3" fillId="4" borderId="3" applyAlignment="1" pivotButton="0" quotePrefix="0" xfId="0">
      <alignment vertical="center"/>
    </xf>
    <xf numFmtId="0" fontId="3" fillId="4" borderId="3" applyAlignment="1" pivotButton="0" quotePrefix="0" xfId="0">
      <alignment horizontal="left" vertical="center"/>
    </xf>
    <xf numFmtId="3" fontId="3" fillId="4" borderId="0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3" fontId="3" fillId="4" borderId="3" applyAlignment="1" pivotButton="0" quotePrefix="0" xfId="0">
      <alignment horizontal="center" vertical="center"/>
    </xf>
    <xf numFmtId="164" fontId="3" fillId="13" borderId="0" applyAlignment="1" pivotButton="0" quotePrefix="0" xfId="0">
      <alignment vertical="center"/>
    </xf>
    <xf numFmtId="164" fontId="3" fillId="13" borderId="4" applyAlignment="1" pivotButton="0" quotePrefix="0" xfId="0">
      <alignment vertical="center"/>
    </xf>
    <xf numFmtId="0" fontId="1" fillId="14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2">
    <cellStyle name="Normal" xfId="0" builtinId="0"/>
    <cellStyle name="Normal 2" xfId="1"/>
  </cellStyles>
  <dxfs count="5">
    <dxf>
      <font>
        <color rgb="FF7F4125"/>
      </font>
      <fill>
        <patternFill patternType="solid">
          <fgColor indexed="64"/>
          <bgColor rgb="FFF4B183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ill>
        <patternFill>
          <bgColor rgb="FFFFD1D1"/>
        </patternFill>
      </fill>
    </dxf>
    <dxf>
      <font>
        <b val="1"/>
        <color rgb="FF7F6000"/>
      </font>
      <fill>
        <patternFill patternType="solid">
          <bgColor rgb="FFFFE699"/>
        </patternFill>
      </fill>
    </dxf>
    <dxf>
      <font>
        <b val="1"/>
        <color rgb="FFC0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200"/>
  <sheetViews>
    <sheetView showGridLines="0" tabSelected="1" zoomScale="111" workbookViewId="0">
      <pane ySplit="2" topLeftCell="A3" activePane="bottomLeft" state="frozen"/>
      <selection activeCell="F1" sqref="F1"/>
      <selection pane="bottomLeft" activeCell="O7" sqref="O7"/>
    </sheetView>
  </sheetViews>
  <sheetFormatPr baseColWidth="8" defaultRowHeight="15"/>
  <cols>
    <col width="6.7109375" bestFit="1" customWidth="1" min="2" max="2"/>
    <col width="4.42578125" bestFit="1" customWidth="1" min="3" max="3"/>
    <col width="6.42578125" bestFit="1" customWidth="1" min="4" max="4"/>
    <col width="11.5703125" customWidth="1" min="5" max="5"/>
    <col width="9.28515625" bestFit="1" customWidth="1" min="6" max="6"/>
    <col width="16.42578125" bestFit="1" customWidth="1" min="7" max="7"/>
    <col width="8" bestFit="1" customWidth="1" min="8" max="8"/>
    <col width="11.5703125" bestFit="1" customWidth="1" min="9" max="10"/>
    <col width="5.85546875" bestFit="1" customWidth="1" min="11" max="11"/>
    <col width="15.85546875" bestFit="1" customWidth="1" min="12" max="12"/>
    <col width="9.42578125" bestFit="1" customWidth="1" min="13" max="13"/>
    <col width="11.28515625" bestFit="1" customWidth="1" min="14" max="14"/>
    <col width="13.140625" bestFit="1" customWidth="1" min="15" max="15"/>
    <col width="12.85546875" bestFit="1" customWidth="1" min="16" max="16"/>
    <col width="13.140625" bestFit="1" customWidth="1" min="17" max="17"/>
    <col width="4.28515625" bestFit="1" customWidth="1" min="18" max="18"/>
    <col width="15.42578125" bestFit="1" customWidth="1" min="19" max="19"/>
    <col width="20.5703125" customWidth="1" min="20" max="20"/>
    <col width="13.2" customWidth="1" min="21" max="21"/>
    <col width="11.5" customWidth="1" min="22" max="22"/>
    <col width="13.2" customWidth="1" min="23" max="23"/>
    <col width="3" customWidth="1" min="24" max="24"/>
    <col width="78" customWidth="1" min="25" max="25"/>
  </cols>
  <sheetData>
    <row r="1" ht="24" customHeight="1">
      <c r="B1" s="24" t="inlineStr">
        <is>
          <t>PPC Production Planning Template</t>
        </is>
      </c>
      <c r="U1" s="24" t="inlineStr">
        <is>
          <t>ACTUALS — enter after shipment</t>
        </is>
      </c>
      <c r="Y1" s="73" t="inlineStr">
        <is>
          <t>NOTES</t>
        </is>
      </c>
    </row>
    <row r="2" ht="32.1" customHeight="1">
      <c r="B2" s="21" t="inlineStr">
        <is>
          <t>Month</t>
        </is>
      </c>
      <c r="C2" s="21" t="inlineStr">
        <is>
          <t>Seq</t>
        </is>
      </c>
      <c r="D2" s="21" t="inlineStr">
        <is>
          <t>Style</t>
        </is>
      </c>
      <c r="E2" s="21" t="inlineStr">
        <is>
          <t>PO</t>
        </is>
      </c>
      <c r="F2" s="21" t="inlineStr">
        <is>
          <t>ODR. Qty</t>
        </is>
      </c>
      <c r="G2" s="21" t="inlineStr">
        <is>
          <t>Produce Till Date</t>
        </is>
      </c>
      <c r="H2" s="21" t="inlineStr">
        <is>
          <t>Balance</t>
        </is>
      </c>
      <c r="I2" s="21" t="inlineStr">
        <is>
          <t>Dely Date</t>
        </is>
      </c>
      <c r="J2" s="21" t="inlineStr">
        <is>
          <t>Ex-Factory</t>
        </is>
      </c>
      <c r="K2" s="21" t="inlineStr">
        <is>
          <t>Lines</t>
        </is>
      </c>
      <c r="L2" s="21" t="inlineStr">
        <is>
          <t>Production/LINE</t>
        </is>
      </c>
      <c r="M2" s="21" t="inlineStr">
        <is>
          <t>Days Req</t>
        </is>
      </c>
      <c r="N2" s="72" t="inlineStr">
        <is>
          <t>Manual Start</t>
        </is>
      </c>
      <c r="O2" s="21" t="inlineStr">
        <is>
          <t>Start Date</t>
        </is>
      </c>
      <c r="P2" s="21" t="inlineStr">
        <is>
          <t>End Date</t>
        </is>
      </c>
      <c r="Q2" s="21" t="inlineStr">
        <is>
          <t>Projected Ex-Fac</t>
        </is>
      </c>
      <c r="R2" s="21" t="inlineStr">
        <is>
          <t>Def</t>
        </is>
      </c>
      <c r="S2" s="21" t="inlineStr">
        <is>
          <t>Fabric/Trims I/H Date</t>
        </is>
      </c>
      <c r="T2" s="21" t="inlineStr">
        <is>
          <t>OTIF (Projected)</t>
        </is>
      </c>
      <c r="U2" s="21" t="inlineStr">
        <is>
          <t>Actual Ex-Fac</t>
        </is>
      </c>
      <c r="V2" s="21" t="inlineStr">
        <is>
          <t>Shipped Qty</t>
        </is>
      </c>
      <c r="W2" s="21" t="inlineStr">
        <is>
          <t>OTIF (Actual)</t>
        </is>
      </c>
      <c r="Y2" s="74" t="inlineStr">
        <is>
          <t>Blue cells are inputs; grey cells are formulas.</t>
        </is>
      </c>
    </row>
    <row r="3">
      <c r="B3" s="28" t="inlineStr">
        <is>
          <t>M5</t>
        </is>
      </c>
      <c r="C3" s="29" t="n">
        <v>1</v>
      </c>
      <c r="D3" s="28" t="n">
        <v>4300</v>
      </c>
      <c r="E3" s="28" t="n">
        <v>7111632906</v>
      </c>
      <c r="F3" s="30" t="n">
        <v>2678</v>
      </c>
      <c r="G3" s="68" t="n">
        <v>2678</v>
      </c>
      <c r="H3" s="31">
        <f>IF(OR(D3="",E3=""),"",IFERROR(F3-G3,"-"))</f>
        <v>0</v>
      </c>
      <c r="I3" s="32" t="n">
        <v>46239</v>
      </c>
      <c r="J3" s="33">
        <f>IF(I3="","",IFERROR(WORKDAY.INTL(I3,-10,"0000001",Holidays!$A$6:$A$55),"-"))</f>
        <v>46227</v>
      </c>
      <c r="K3" s="30" t="n"/>
      <c r="L3" s="30" t="n"/>
      <c r="M3" s="34" t="str">
        <f>IF(OR(D3="",E3="",F3="",K3="",L3=""),"",IFERROR(ROUNDUP(H3/(K3*L3),0),"-"))</f>
        <v/>
      </c>
      <c r="N3" s="70" t="inlineStr">
        <is>
          <t>Close</t>
        </is>
      </c>
      <c r="O3" s="33" t="str">
        <f t="array" ref="O3">IF(OR($D3="",$E3=""),"",IF($N3&lt;&gt;"",$N3,IFERROR(WORKDAY.INTL(LOOKUP(2,1/(($D$2:D2=$D3)*ISNUMBER($P$2:P2)),$P$2:P2),1,"0000001",Holidays!$A$6:$A$55),"")))</f>
        <v>Close</v>
      </c>
      <c r="P3" s="35" t="str">
        <f>IF(OR(O3="",H3="",K3="",L3=""),"",IFERROR(WORKDAY.INTL(O3-1,MAX(1,ROUNDUP(H3/(K3*L3),0)),"0000001",Holidays!$A$6:$A$55),"-"))</f>
        <v/>
      </c>
      <c r="Q3" s="33" t="str">
        <f>IF(P3="","",IFERROR(WORKDAY.INTL(P3,3,"0000001",Holidays!$A$6:$A$55),"-"))</f>
        <v/>
      </c>
      <c r="R3" s="34" t="str">
        <f>IF(OR(J3="",P3=""),"",IFERROR(NETWORKDAYS.INTL(P3+1,J3,"0000001",Holidays!$A$6:$A$55),"-"))</f>
        <v/>
      </c>
      <c r="S3" s="33" t="str">
        <f>IF(O3="","",IFERROR(WORKDAY.INTL(O3,-10,"0000001",Holidays!$A$6:$A$55),"-"))</f>
        <v>-</v>
      </c>
      <c r="T3" s="36" t="str">
        <f>IF(OR(I3="",Q3=""),"",IF(Q3&lt;=I3-4,1,0))</f>
        <v/>
      </c>
      <c r="U3" s="32" t="n"/>
      <c r="V3" s="30" t="n"/>
      <c r="W3" s="36" t="str">
        <f>IF(OR($U3="",$V3="",$I3=""),"",IF(AND($U3&lt;=$I3-4,$V3&gt;=$F3),1,0))</f>
        <v/>
      </c>
      <c r="Y3" s="74" t="inlineStr">
        <is>
          <t>Start Date: Manual Start wins. Otherwise the order starts 1 working day after the last planned end date of the same style above it.</t>
        </is>
      </c>
    </row>
    <row r="4">
      <c r="B4" s="28" t="inlineStr">
        <is>
          <t>M5</t>
        </is>
      </c>
      <c r="C4" s="29" t="n">
        <v>2</v>
      </c>
      <c r="D4" s="28" t="n">
        <v>4300</v>
      </c>
      <c r="E4" s="28" t="n">
        <v>7207749635</v>
      </c>
      <c r="F4" s="30" t="n">
        <v>2950</v>
      </c>
      <c r="G4" s="68" t="n">
        <v>0</v>
      </c>
      <c r="H4" s="31">
        <f>IF(OR(D4="",E4=""),"",IFERROR(F4-G4,"-"))</f>
        <v>2950</v>
      </c>
      <c r="I4" s="32" t="n">
        <v>46239</v>
      </c>
      <c r="J4" s="33">
        <f>IF(I4="","",IFERROR(WORKDAY.INTL(I4,-10,"0000001",Holidays!$A$6:$A$55),"-"))</f>
        <v>46227</v>
      </c>
      <c r="K4" s="30" t="n">
        <v>1</v>
      </c>
      <c r="L4" s="30" t="n">
        <v>850</v>
      </c>
      <c r="M4" s="34">
        <f>IF(OR(D4="",E4="",F4="",K4="",L4=""),"",IFERROR(ROUNDUP(H4/(K4*L4),0),"-"))</f>
        <v>4</v>
      </c>
      <c r="N4" s="32" t="n">
        <v>46258</v>
      </c>
      <c r="O4" s="33">
        <f t="array" ref="O4">IF(OR($D4="",$E4=""),"",IF($N4&lt;&gt;"",$N4,IFERROR(WORKDAY.INTL(LOOKUP(2,1/(($D$2:D3=$D4)*ISNUMBER($P$2:P3)),$P$2:P3),1,"0000001",Holidays!$A$6:$A$55),"")))</f>
        <v>46258</v>
      </c>
      <c r="P4" s="35">
        <f>IF(OR(O4="",H4="",K4="",L4=""),"",IFERROR(WORKDAY.INTL(O4-1,MAX(1,ROUNDUP(H4/(K4*L4),0)),"0000001",Holidays!$A$6:$A$55),"-"))</f>
        <v>46261</v>
      </c>
      <c r="Q4" s="33">
        <f>IF(P4="","",IFERROR(WORKDAY.INTL(P4,3,"0000001",Holidays!$A$6:$A$55),"-"))</f>
        <v>46266</v>
      </c>
      <c r="R4" s="34">
        <f>IF(OR(J4="",P4=""),"",IFERROR(NETWORKDAYS.INTL(P4+1,J4,"0000001",Holidays!$A$6:$A$55),"-"))</f>
        <v>-29</v>
      </c>
      <c r="S4" s="33">
        <f>IF(O4="","",IFERROR(WORKDAY.INTL(O4,-10,"0000001",Holidays!$A$6:$A$55),"-"))</f>
        <v>46245</v>
      </c>
      <c r="T4" s="36">
        <f>IF(OR(I4="",Q4=""),"",IF(Q4&lt;=I4-4,1,0))</f>
        <v>0</v>
      </c>
      <c r="U4" s="32" t="n"/>
      <c r="V4" s="30" t="n"/>
      <c r="W4" s="36" t="str">
        <f>IF(OR($U4="",$V4="",$I4=""),"",IF(AND($U4&lt;=$I4-4,$V4&gt;=$F4),1,0))</f>
        <v/>
      </c>
      <c r="Y4" s="74" t="inlineStr">
        <is>
          <t>Type "Close" in Manual Start for an order that is finished or not to be scheduled.</t>
        </is>
      </c>
    </row>
    <row r="5">
      <c r="B5" s="28" t="inlineStr">
        <is>
          <t>M6</t>
        </is>
      </c>
      <c r="C5" s="29" t="n">
        <v>3</v>
      </c>
      <c r="D5" s="28" t="n">
        <v>4300</v>
      </c>
      <c r="E5" s="28" t="n">
        <v>7837962265</v>
      </c>
      <c r="F5" s="30" t="n">
        <v>2580</v>
      </c>
      <c r="G5" s="68" t="n">
        <v>0</v>
      </c>
      <c r="H5" s="31">
        <f>IF(OR(D5="",E5=""),"",IFERROR(F5-G5,"-"))</f>
        <v>2580</v>
      </c>
      <c r="I5" s="32" t="n">
        <v>46262</v>
      </c>
      <c r="J5" s="33">
        <f>IF(I5="","",IFERROR(WORKDAY.INTL(I5,-10,"0000001",Holidays!$A$6:$A$55),"-"))</f>
        <v>46251</v>
      </c>
      <c r="K5" s="30" t="n">
        <v>1</v>
      </c>
      <c r="L5" s="30" t="n">
        <v>850</v>
      </c>
      <c r="M5" s="34">
        <f>IF(OR(D5="",E5="",F5="",K5="",L5=""),"",IFERROR(ROUNDUP(H5/(K5*L5),0),"-"))</f>
        <v>4</v>
      </c>
      <c r="N5" s="32" t="n">
        <v>46262</v>
      </c>
      <c r="O5" s="33">
        <f t="array" ref="O5">IF(OR($D5="",$E5=""),"",IF($N5&lt;&gt;"",$N5,IFERROR(WORKDAY.INTL(LOOKUP(2,1/(($D$2:D4=$D5)*ISNUMBER($P$2:P4)),$P$2:P4),1,"0000001",Holidays!$A$6:$A$55),"")))</f>
        <v>46262</v>
      </c>
      <c r="P5" s="35">
        <f>IF(OR(O5="",H5="",K5="",L5=""),"",IFERROR(WORKDAY.INTL(O5-1,MAX(1,ROUNDUP(H5/(K5*L5),0)),"0000001",Holidays!$A$6:$A$55),"-"))</f>
        <v>46267</v>
      </c>
      <c r="Q5" s="33">
        <f>IF(P5="","",IFERROR(WORKDAY.INTL(P5,3,"0000001",Holidays!$A$6:$A$55),"-"))</f>
        <v>46270</v>
      </c>
      <c r="R5" s="34">
        <f>IF(OR(J5="",P5=""),"",IFERROR(NETWORKDAYS.INTL(P5+1,J5,"0000001",Holidays!$A$6:$A$55),"-"))</f>
        <v>-15</v>
      </c>
      <c r="S5" s="33">
        <f>IF(O5="","",IFERROR(WORKDAY.INTL(O5,-10,"0000001",Holidays!$A$6:$A$55),"-"))</f>
        <v>46251</v>
      </c>
      <c r="T5" s="36">
        <f>IF(OR(I5="",Q5=""),"",IF(Q5&lt;=I5-4,1,0))</f>
        <v>0</v>
      </c>
      <c r="U5" s="32" t="n"/>
      <c r="V5" s="30" t="n"/>
      <c r="W5" s="36" t="str">
        <f>IF(OR($U5="",$V5="",$I5=""),"",IF(AND($U5&lt;=$I5-4,$V5&gt;=$F5),1,0))</f>
        <v/>
      </c>
      <c r="Y5" s="74" t="inlineStr">
        <is>
          <t>Planned Ex-Factory = Delivery date − 10 working days. Fabric/Trims in-house = Start − 10 working days.</t>
        </is>
      </c>
    </row>
    <row r="6">
      <c r="B6" s="28" t="inlineStr">
        <is>
          <t>M8</t>
        </is>
      </c>
      <c r="C6" s="29" t="n">
        <v>4</v>
      </c>
      <c r="D6" s="28" t="n">
        <v>4300</v>
      </c>
      <c r="E6" s="28" t="n">
        <v>7406530527</v>
      </c>
      <c r="F6" s="30" t="n">
        <v>731</v>
      </c>
      <c r="G6" s="68" t="n">
        <v>0</v>
      </c>
      <c r="H6" s="31">
        <f>IF(OR(D6="",E6=""),"",IFERROR(F6-G6,"-"))</f>
        <v>731</v>
      </c>
      <c r="I6" s="32" t="n">
        <v>46332</v>
      </c>
      <c r="J6" s="33">
        <f>IF(I6="","",IFERROR(WORKDAY.INTL(I6,-10,"0000001",Holidays!$A$6:$A$55),"-"))</f>
        <v>46321</v>
      </c>
      <c r="K6" s="30" t="n">
        <v>1</v>
      </c>
      <c r="L6" s="30" t="n">
        <v>850</v>
      </c>
      <c r="M6" s="34">
        <f>IF(OR(D6="",E6="",F6="",K6="",L6=""),"",IFERROR(ROUNDUP(H6/(K6*L6),0),"-"))</f>
        <v>1</v>
      </c>
      <c r="N6" s="32" t="n">
        <v>46314</v>
      </c>
      <c r="O6" s="33">
        <f t="array" ref="O6">IF(OR($D6="",$E6=""),"",IF($N6&lt;&gt;"",$N6,IFERROR(WORKDAY.INTL(LOOKUP(2,1/(($D$2:D5=$D6)*ISNUMBER($P$2:P5)),$P$2:P5),1,"0000001",Holidays!$A$6:$A$55),"")))</f>
        <v>46314</v>
      </c>
      <c r="P6" s="35">
        <f>IF(OR(O6="",H6="",K6="",L6=""),"",IFERROR(WORKDAY.INTL(O6-1,MAX(1,ROUNDUP(H6/(K6*L6),0)),"0000001",Holidays!$A$6:$A$55),"-"))</f>
        <v>46314</v>
      </c>
      <c r="Q6" s="33">
        <f>IF(P6="","",IFERROR(WORKDAY.INTL(P6,3,"0000001",Holidays!$A$6:$A$55),"-"))</f>
        <v>46318</v>
      </c>
      <c r="R6" s="34">
        <f>IF(OR(J6="",P6=""),"",IFERROR(NETWORKDAYS.INTL(P6+1,J6,"0000001",Holidays!$A$6:$A$55),"-"))</f>
        <v>5</v>
      </c>
      <c r="S6" s="33">
        <f>IF(O6="","",IFERROR(WORKDAY.INTL(O6,-10,"0000001",Holidays!$A$6:$A$55),"-"))</f>
        <v>46302</v>
      </c>
      <c r="T6" s="36">
        <f>IF(OR(I6="",Q6=""),"",IF(Q6&lt;=I6-4,1,0))</f>
        <v>1</v>
      </c>
      <c r="U6" s="32" t="n"/>
      <c r="V6" s="30" t="n"/>
      <c r="W6" s="36" t="str">
        <f>IF(OR($U6="",$V6="",$I6=""),"",IF(AND($U6&lt;=$I6-4,$V6&gt;=$F6),1,0))</f>
        <v/>
      </c>
      <c r="Y6" s="74" t="inlineStr">
        <is>
          <t>Projected Ex-Fac = End date + 3 working days. Def = working days of buffer between End date and Planned Ex-Factory (negative = late).</t>
        </is>
      </c>
    </row>
    <row r="7" ht="15.75" customHeight="1" thickBot="1">
      <c r="B7" s="37" t="inlineStr">
        <is>
          <t>M9</t>
        </is>
      </c>
      <c r="C7" s="38" t="n">
        <v>5</v>
      </c>
      <c r="D7" s="37" t="n">
        <v>4300</v>
      </c>
      <c r="E7" s="37" t="n">
        <v>7601081513</v>
      </c>
      <c r="F7" s="39" t="n">
        <v>1194</v>
      </c>
      <c r="G7" s="66" t="n">
        <v>0</v>
      </c>
      <c r="H7" s="40">
        <f>IF(OR(D7="",E7=""),"",IFERROR(F7-G7,"-"))</f>
        <v>1194</v>
      </c>
      <c r="I7" s="41" t="n">
        <v>46360</v>
      </c>
      <c r="J7" s="42">
        <f>IF(I7="","",IFERROR(WORKDAY.INTL(I7,-10,"0000001",Holidays!$A$6:$A$55),"-"))</f>
        <v>46349</v>
      </c>
      <c r="K7" s="39" t="n">
        <v>1</v>
      </c>
      <c r="L7" s="39" t="n">
        <v>850</v>
      </c>
      <c r="M7" s="43">
        <f>IF(OR(D7="",E7="",F7="",K7="",L7=""),"",IFERROR(ROUNDUP(H7/(K7*L7),0),"-"))</f>
        <v>2</v>
      </c>
      <c r="N7" s="41" t="n"/>
      <c r="O7" s="42">
        <f t="array" ref="O7">IF(OR($D7="",$E7=""),"",IF($N7&lt;&gt;"",$N7,IFERROR(WORKDAY.INTL(LOOKUP(2,1/(($D$2:D6=$D7)*ISNUMBER($P$2:P6)),$P$2:P6),1,"0000001",Holidays!$A$6:$A$55),"")))</f>
        <v>46316</v>
      </c>
      <c r="P7" s="44">
        <f>IF(OR(O7="",H7="",K7="",L7=""),"",IFERROR(WORKDAY.INTL(O7-1,MAX(1,ROUNDUP(H7/(K7*L7),0)),"0000001",Holidays!$A$6:$A$55),"-"))</f>
        <v>46317</v>
      </c>
      <c r="Q7" s="42">
        <f>IF(P7="","",IFERROR(WORKDAY.INTL(P7,3,"0000001",Holidays!$A$6:$A$55),"-"))</f>
        <v>46321</v>
      </c>
      <c r="R7" s="43">
        <f>IF(OR(J7="",P7=""),"",IFERROR(NETWORKDAYS.INTL(P7+1,J7,"0000001",Holidays!$A$6:$A$55),"-"))</f>
        <v>25</v>
      </c>
      <c r="S7" s="42">
        <f>IF(O7="","",IFERROR(WORKDAY.INTL(O7,-10,"0000001",Holidays!$A$6:$A$55),"-"))</f>
        <v>46303</v>
      </c>
      <c r="T7" s="45">
        <f>IF(OR(I7="",Q7=""),"",IF(Q7&lt;=I7-4,1,0))</f>
        <v>1</v>
      </c>
      <c r="U7" s="41" t="n"/>
      <c r="V7" s="39" t="n"/>
      <c r="W7" s="45" t="str">
        <f>IF(OR($U7="",$V7="",$I7=""),"",IF(AND($U7&lt;=$I7-4,$V7&gt;=$F7),1,0))</f>
        <v/>
      </c>
      <c r="Y7" s="74" t="inlineStr">
        <is>
          <t>OTIF (Projected) = 1 if Projected Ex-Fac is at least 4 days before the delivery date. It is a forecast, not a result.</t>
        </is>
      </c>
    </row>
    <row r="8">
      <c r="B8" s="28" t="inlineStr">
        <is>
          <t>M5</t>
        </is>
      </c>
      <c r="C8" s="29" t="n">
        <v>1</v>
      </c>
      <c r="D8" s="28" t="n">
        <v>4301</v>
      </c>
      <c r="E8" s="28" t="n">
        <v>7040935107</v>
      </c>
      <c r="F8" s="30" t="n">
        <v>4144</v>
      </c>
      <c r="G8" s="68" t="n">
        <v>4144</v>
      </c>
      <c r="H8" s="31">
        <f>IF(OR(D8="",E8=""),"",IFERROR(F8-G8,"-"))</f>
        <v>0</v>
      </c>
      <c r="I8" s="32" t="n">
        <v>46239</v>
      </c>
      <c r="J8" s="33">
        <f>IF(I8="","",IFERROR(WORKDAY.INTL(I8,-10,"0000001",Holidays!$A$6:$A$55),"-"))</f>
        <v>46227</v>
      </c>
      <c r="K8" s="30" t="n"/>
      <c r="L8" s="30" t="n"/>
      <c r="M8" s="34" t="str">
        <f>IF(OR(D8="",E8="",F8="",K8="",L8=""),"",IFERROR(ROUNDUP(H8/(K8*L8),0),"-"))</f>
        <v/>
      </c>
      <c r="N8" s="70" t="inlineStr">
        <is>
          <t>Close</t>
        </is>
      </c>
      <c r="O8" s="33" t="str">
        <f t="array" ref="O8">IF(OR($D8="",$E8=""),"",IF($N8&lt;&gt;"",$N8,IFERROR(WORKDAY.INTL(LOOKUP(2,1/(($D$2:D7=$D8)*ISNUMBER($P$2:P7)),$P$2:P7),1,"0000001",Holidays!$A$6:$A$55),"")))</f>
        <v>Close</v>
      </c>
      <c r="P8" s="35" t="str">
        <f>IF(OR(O8="",H8="",K8="",L8=""),"",IFERROR(WORKDAY.INTL(O8-1,MAX(1,ROUNDUP(H8/(K8*L8),0)),"0000001",Holidays!$A$6:$A$55),"-"))</f>
        <v/>
      </c>
      <c r="Q8" s="33" t="str">
        <f>IF(P8="","",IFERROR(WORKDAY.INTL(P8,3,"0000001",Holidays!$A$6:$A$55),"-"))</f>
        <v/>
      </c>
      <c r="R8" s="34" t="str">
        <f>IF(OR(J8="",P8=""),"",IFERROR(NETWORKDAYS.INTL(P8+1,J8,"0000001",Holidays!$A$6:$A$55),"-"))</f>
        <v/>
      </c>
      <c r="S8" s="33" t="str">
        <f>IF(O8="","",IFERROR(WORKDAY.INTL(O8,-10,"0000001",Holidays!$A$6:$A$55),"-"))</f>
        <v>-</v>
      </c>
      <c r="T8" s="36" t="str">
        <f>IF(OR(I8="",Q8=""),"",IF(Q8&lt;=I8-4,1,0))</f>
        <v/>
      </c>
      <c r="U8" s="32" t="n"/>
      <c r="V8" s="30" t="n"/>
      <c r="W8" s="36" t="str">
        <f>IF(OR($U8="",$V8="",$I8=""),"",IF(AND($U8&lt;=$I8-4,$V8&gt;=$F8),1,0))</f>
        <v/>
      </c>
      <c r="Y8" s="74" t="inlineStr">
        <is>
          <t>OTIF (Actual) = 1 only when the Actual Ex-Fac is at least 4 days before delivery AND Shipped Qty ≥ Order Qty.</t>
        </is>
      </c>
    </row>
    <row r="9">
      <c r="B9" s="28" t="inlineStr">
        <is>
          <t>M5</t>
        </is>
      </c>
      <c r="C9" s="29" t="n">
        <v>2</v>
      </c>
      <c r="D9" s="28" t="n">
        <v>4301</v>
      </c>
      <c r="E9" s="28" t="n">
        <v>7711945303</v>
      </c>
      <c r="F9" s="30" t="n">
        <v>1190</v>
      </c>
      <c r="G9" s="68" t="n">
        <v>1190</v>
      </c>
      <c r="H9" s="31">
        <f>IF(OR(D9="",E9=""),"",IFERROR(F9-G9,"-"))</f>
        <v>0</v>
      </c>
      <c r="I9" s="32" t="n">
        <v>46248</v>
      </c>
      <c r="J9" s="33">
        <f>IF(I9="","",IFERROR(WORKDAY.INTL(I9,-10,"0000001",Holidays!$A$6:$A$55),"-"))</f>
        <v>46237</v>
      </c>
      <c r="K9" s="30" t="n"/>
      <c r="L9" s="30" t="n"/>
      <c r="M9" s="34" t="str">
        <f>IF(OR(D9="",E9="",F9="",K9="",L9=""),"",IFERROR(ROUNDUP(H9/(K9*L9),0),"-"))</f>
        <v/>
      </c>
      <c r="N9" s="70" t="inlineStr">
        <is>
          <t>Close</t>
        </is>
      </c>
      <c r="O9" s="33" t="str">
        <f t="array" ref="O9">IF(OR($D9="",$E9=""),"",IF($N9&lt;&gt;"",$N9,IFERROR(WORKDAY.INTL(LOOKUP(2,1/(($D$2:D8=$D9)*ISNUMBER($P$2:P8)),$P$2:P8),1,"0000001",Holidays!$A$6:$A$55),"")))</f>
        <v>Close</v>
      </c>
      <c r="P9" s="35" t="str">
        <f>IF(OR(O9="",H9="",K9="",L9=""),"",IFERROR(WORKDAY.INTL(O9-1,MAX(1,ROUNDUP(H9/(K9*L9),0)),"0000001",Holidays!$A$6:$A$55),"-"))</f>
        <v/>
      </c>
      <c r="Q9" s="33" t="str">
        <f>IF(P9="","",IFERROR(WORKDAY.INTL(P9,3,"0000001",Holidays!$A$6:$A$55),"-"))</f>
        <v/>
      </c>
      <c r="R9" s="34" t="str">
        <f>IF(OR(J9="",P9=""),"",IFERROR(NETWORKDAYS.INTL(P9+1,J9,"0000001",Holidays!$A$6:$A$55),"-"))</f>
        <v/>
      </c>
      <c r="S9" s="33" t="str">
        <f>IF(O9="","",IFERROR(WORKDAY.INTL(O9,-10,"0000001",Holidays!$A$6:$A$55),"-"))</f>
        <v>-</v>
      </c>
      <c r="T9" s="36" t="str">
        <f>IF(OR(I9="",Q9=""),"",IF(Q9&lt;=I9-4,1,0))</f>
        <v/>
      </c>
      <c r="U9" s="32" t="n"/>
      <c r="V9" s="30" t="n"/>
      <c r="W9" s="36" t="str">
        <f>IF(OR($U9="",$V9="",$I9=""),"",IF(AND($U9&lt;=$I9-4,$V9&gt;=$F9),1,0))</f>
        <v/>
      </c>
      <c r="Y9" s="74" t="inlineStr">
        <is>
          <t>Amber Lines / Production per line = the order still has a balance but no capacity assigned, so it is not scheduled.</t>
        </is>
      </c>
    </row>
    <row r="10">
      <c r="B10" s="28" t="inlineStr">
        <is>
          <t>M5</t>
        </is>
      </c>
      <c r="C10" s="29" t="n">
        <v>3</v>
      </c>
      <c r="D10" s="28" t="n">
        <v>4301</v>
      </c>
      <c r="E10" s="28" t="n">
        <v>7243553175</v>
      </c>
      <c r="F10" s="30" t="n">
        <v>3693</v>
      </c>
      <c r="G10" s="68" t="n">
        <v>3693</v>
      </c>
      <c r="H10" s="31">
        <f>IF(OR(D10="",E10=""),"",IFERROR(F10-G10,"-"))</f>
        <v>0</v>
      </c>
      <c r="I10" s="32" t="n">
        <v>46239</v>
      </c>
      <c r="J10" s="33">
        <f>IF(I10="","",IFERROR(WORKDAY.INTL(I10,-10,"0000001",Holidays!$A$6:$A$55),"-"))</f>
        <v>46227</v>
      </c>
      <c r="K10" s="30" t="n"/>
      <c r="L10" s="30" t="n"/>
      <c r="M10" s="34" t="str">
        <f>IF(OR(D10="",E10="",F10="",K10="",L10=""),"",IFERROR(ROUNDUP(H10/(K10*L10),0),"-"))</f>
        <v/>
      </c>
      <c r="N10" s="70" t="inlineStr">
        <is>
          <t>Close</t>
        </is>
      </c>
      <c r="O10" s="33" t="str">
        <f t="array" ref="O10">IF(OR($D10="",$E10=""),"",IF($N10&lt;&gt;"",$N10,IFERROR(WORKDAY.INTL(LOOKUP(2,1/(($D$2:D9=$D10)*ISNUMBER($P$2:P9)),$P$2:P9),1,"0000001",Holidays!$A$6:$A$55),"")))</f>
        <v>Close</v>
      </c>
      <c r="P10" s="35" t="str">
        <f>IF(OR(O10="",H10="",K10="",L10=""),"",IFERROR(WORKDAY.INTL(O10-1,MAX(1,ROUNDUP(H10/(K10*L10),0)),"0000001",Holidays!$A$6:$A$55),"-"))</f>
        <v/>
      </c>
      <c r="Q10" s="33" t="str">
        <f>IF(P10="","",IFERROR(WORKDAY.INTL(P10,3,"0000001",Holidays!$A$6:$A$55),"-"))</f>
        <v/>
      </c>
      <c r="R10" s="34" t="str">
        <f>IF(OR(J10="",P10=""),"",IFERROR(NETWORKDAYS.INTL(P10+1,J10,"0000001",Holidays!$A$6:$A$55),"-"))</f>
        <v/>
      </c>
      <c r="S10" s="33" t="str">
        <f>IF(O10="","",IFERROR(WORKDAY.INTL(O10,-10,"0000001",Holidays!$A$6:$A$55),"-"))</f>
        <v>-</v>
      </c>
      <c r="T10" s="36" t="str">
        <f>IF(OR(I10="",Q10=""),"",IF(Q10&lt;=I10-4,1,0))</f>
        <v/>
      </c>
      <c r="U10" s="32" t="n"/>
      <c r="V10" s="30" t="n"/>
      <c r="W10" s="36" t="str">
        <f>IF(OR($U10="",$V10="",$I10=""),"",IF(AND($U10&lt;=$I10-4,$V10&gt;=$F10),1,0))</f>
        <v/>
      </c>
      <c r="Y10" s="74" t="inlineStr">
        <is>
          <t>Working days exclude Sundays and the dates listed on the Holidays sheet.</t>
        </is>
      </c>
    </row>
    <row r="11">
      <c r="B11" s="28" t="inlineStr">
        <is>
          <t>M5</t>
        </is>
      </c>
      <c r="C11" s="29" t="n">
        <v>4</v>
      </c>
      <c r="D11" s="28" t="n">
        <v>4301</v>
      </c>
      <c r="E11" s="28" t="n">
        <v>7906122198</v>
      </c>
      <c r="F11" s="30" t="n">
        <v>803</v>
      </c>
      <c r="G11" s="68" t="n">
        <v>586</v>
      </c>
      <c r="H11" s="31">
        <f>IF(OR(D11="",E11=""),"",IFERROR(F11-G11,"-"))</f>
        <v>217</v>
      </c>
      <c r="I11" s="32" t="n">
        <v>46239</v>
      </c>
      <c r="J11" s="33">
        <f>IF(I11="","",IFERROR(WORKDAY.INTL(I11,-10,"0000001",Holidays!$A$6:$A$55),"-"))</f>
        <v>46227</v>
      </c>
      <c r="K11" s="30" t="n"/>
      <c r="L11" s="30" t="n"/>
      <c r="M11" s="34" t="str">
        <f>IF(OR(D11="",E11="",F11="",K11="",L11=""),"",IFERROR(ROUNDUP(H11/(K11*L11),0),"-"))</f>
        <v/>
      </c>
      <c r="N11" s="70" t="inlineStr">
        <is>
          <t>Close</t>
        </is>
      </c>
      <c r="O11" s="33" t="str">
        <f t="array" ref="O11">IF(OR($D11="",$E11=""),"",IF($N11&lt;&gt;"",$N11,IFERROR(WORKDAY.INTL(LOOKUP(2,1/(($D$2:D10=$D11)*ISNUMBER($P$2:P10)),$P$2:P10),1,"0000001",Holidays!$A$6:$A$55),"")))</f>
        <v>Close</v>
      </c>
      <c r="P11" s="35" t="str">
        <f>IF(OR(O11="",H11="",K11="",L11=""),"",IFERROR(WORKDAY.INTL(O11-1,MAX(1,ROUNDUP(H11/(K11*L11),0)),"0000001",Holidays!$A$6:$A$55),"-"))</f>
        <v/>
      </c>
      <c r="Q11" s="33" t="str">
        <f>IF(P11="","",IFERROR(WORKDAY.INTL(P11,3,"0000001",Holidays!$A$6:$A$55),"-"))</f>
        <v/>
      </c>
      <c r="R11" s="34" t="str">
        <f>IF(OR(J11="",P11=""),"",IFERROR(NETWORKDAYS.INTL(P11+1,J11,"0000001",Holidays!$A$6:$A$55),"-"))</f>
        <v/>
      </c>
      <c r="S11" s="33" t="str">
        <f>IF(O11="","",IFERROR(WORKDAY.INTL(O11,-10,"0000001",Holidays!$A$6:$A$55),"-"))</f>
        <v>-</v>
      </c>
      <c r="T11" s="36" t="str">
        <f>IF(OR(I11="",Q11=""),"",IF(Q11&lt;=I11-4,1,0))</f>
        <v/>
      </c>
      <c r="U11" s="32" t="n"/>
      <c r="V11" s="30" t="n"/>
      <c r="W11" s="36" t="str">
        <f>IF(OR($U11="",$V11="",$I11=""),"",IF(AND($U11&lt;=$I11-4,$V11&gt;=$F11),1,0))</f>
        <v/>
      </c>
    </row>
    <row r="12">
      <c r="B12" s="28" t="inlineStr">
        <is>
          <t>M5</t>
        </is>
      </c>
      <c r="C12" s="29" t="n">
        <v>5</v>
      </c>
      <c r="D12" s="28" t="n">
        <v>4301</v>
      </c>
      <c r="E12" s="28" t="n">
        <v>7972816177</v>
      </c>
      <c r="F12" s="30" t="n">
        <v>3374</v>
      </c>
      <c r="G12" s="68" t="n">
        <v>0</v>
      </c>
      <c r="H12" s="31">
        <f>IF(OR(D12="",E12=""),"",IFERROR(F12-G12,"-"))</f>
        <v>3374</v>
      </c>
      <c r="I12" s="32" t="n">
        <v>46239</v>
      </c>
      <c r="J12" s="33">
        <f>IF(I12="","",IFERROR(WORKDAY.INTL(I12,-10,"0000001",Holidays!$A$6:$A$55),"-"))</f>
        <v>46227</v>
      </c>
      <c r="K12" s="30" t="n">
        <v>1</v>
      </c>
      <c r="L12" s="30" t="n">
        <v>850</v>
      </c>
      <c r="M12" s="34">
        <f>IF(OR(D12="",E12="",F12="",K12="",L12=""),"",IFERROR(ROUNDUP(H12/(K12*L12),0),"-"))</f>
        <v>4</v>
      </c>
      <c r="N12" s="32" t="n">
        <v>46247</v>
      </c>
      <c r="O12" s="33">
        <f t="array" ref="O12">IF(OR($D12="",$E12=""),"",IF($N12&lt;&gt;"",$N12,IFERROR(WORKDAY.INTL(LOOKUP(2,1/(($D$2:D11=$D12)*ISNUMBER($P$2:P11)),$P$2:P11),1,"0000001",Holidays!$A$6:$A$55),"")))</f>
        <v>46247</v>
      </c>
      <c r="P12" s="35">
        <f>IF(OR(O12="",H12="",K12="",L12=""),"",IFERROR(WORKDAY.INTL(O12-1,MAX(1,ROUNDUP(H12/(K12*L12),0)),"0000001",Holidays!$A$6:$A$55),"-"))</f>
        <v>46252</v>
      </c>
      <c r="Q12" s="33">
        <f>IF(P12="","",IFERROR(WORKDAY.INTL(P12,3,"0000001",Holidays!$A$6:$A$55),"-"))</f>
        <v>46255</v>
      </c>
      <c r="R12" s="34">
        <f>IF(OR(J12="",P12=""),"",IFERROR(NETWORKDAYS.INTL(P12+1,J12,"0000001",Holidays!$A$6:$A$55),"-"))</f>
        <v>-22</v>
      </c>
      <c r="S12" s="33">
        <f>IF(O12="","",IFERROR(WORKDAY.INTL(O12,-10,"0000001",Holidays!$A$6:$A$55),"-"))</f>
        <v>46235</v>
      </c>
      <c r="T12" s="36">
        <f>IF(OR(I12="",Q12=""),"",IF(Q12&lt;=I12-4,1,0))</f>
        <v>0</v>
      </c>
      <c r="U12" s="32" t="n"/>
      <c r="V12" s="30" t="n"/>
      <c r="W12" s="36" t="str">
        <f>IF(OR($U12="",$V12="",$I12=""),"",IF(AND($U12&lt;=$I12-4,$V12&gt;=$F12),1,0))</f>
        <v/>
      </c>
    </row>
    <row r="13">
      <c r="B13" s="28" t="inlineStr">
        <is>
          <t>M5</t>
        </is>
      </c>
      <c r="C13" s="29" t="n">
        <v>6</v>
      </c>
      <c r="D13" s="28" t="n">
        <v>4301</v>
      </c>
      <c r="E13" s="28" t="n">
        <v>7529999468</v>
      </c>
      <c r="F13" s="30" t="n">
        <v>574</v>
      </c>
      <c r="G13" s="68" t="n">
        <v>0</v>
      </c>
      <c r="H13" s="31">
        <f>IF(OR(D13="",E13=""),"",IFERROR(F13-G13,"-"))</f>
        <v>574</v>
      </c>
      <c r="I13" s="32" t="n">
        <v>46248</v>
      </c>
      <c r="J13" s="33">
        <f>IF(I13="","",IFERROR(WORKDAY.INTL(I13,-10,"0000001",Holidays!$A$6:$A$55),"-"))</f>
        <v>46237</v>
      </c>
      <c r="K13" s="30" t="n">
        <v>1</v>
      </c>
      <c r="L13" s="30" t="n">
        <v>850</v>
      </c>
      <c r="M13" s="34">
        <f>IF(OR(D13="",E13="",F13="",K13="",L13=""),"",IFERROR(ROUNDUP(H13/(K13*L13),0),"-"))</f>
        <v>1</v>
      </c>
      <c r="N13" s="32" t="n"/>
      <c r="O13" s="33">
        <f t="array" ref="O13">IF(OR($D13="",$E13=""),"",IF($N13&lt;&gt;"",$N13,IFERROR(WORKDAY.INTL(LOOKUP(2,1/(($D$2:D12=$D13)*ISNUMBER($P$2:P12)),$P$2:P12),1,"0000001",Holidays!$A$6:$A$55),"")))</f>
        <v>46253</v>
      </c>
      <c r="P13" s="35">
        <f>IF(OR(O13="",H13="",K13="",L13=""),"",IFERROR(WORKDAY.INTL(O13-1,MAX(1,ROUNDUP(H13/(K13*L13),0)),"0000001",Holidays!$A$6:$A$55),"-"))</f>
        <v>46253</v>
      </c>
      <c r="Q13" s="33">
        <f>IF(P13="","",IFERROR(WORKDAY.INTL(P13,3,"0000001",Holidays!$A$6:$A$55),"-"))</f>
        <v>46256</v>
      </c>
      <c r="R13" s="34">
        <f>IF(OR(J13="",P13=""),"",IFERROR(NETWORKDAYS.INTL(P13+1,J13,"0000001",Holidays!$A$6:$A$55),"-"))</f>
        <v>-15</v>
      </c>
      <c r="S13" s="33">
        <f>IF(O13="","",IFERROR(WORKDAY.INTL(O13,-10,"0000001",Holidays!$A$6:$A$55),"-"))</f>
        <v>46240</v>
      </c>
      <c r="T13" s="36">
        <f>IF(OR(I13="",Q13=""),"",IF(Q13&lt;=I13-4,1,0))</f>
        <v>0</v>
      </c>
      <c r="U13" s="32" t="n"/>
      <c r="V13" s="30" t="n"/>
      <c r="W13" s="36" t="str">
        <f>IF(OR($U13="",$V13="",$I13=""),"",IF(AND($U13&lt;=$I13-4,$V13&gt;=$F13),1,0))</f>
        <v/>
      </c>
    </row>
    <row r="14">
      <c r="B14" s="28" t="inlineStr">
        <is>
          <t>M6</t>
        </is>
      </c>
      <c r="C14" s="29" t="n">
        <v>7</v>
      </c>
      <c r="D14" s="28" t="n">
        <v>4301</v>
      </c>
      <c r="E14" s="28" t="n">
        <v>7532230827</v>
      </c>
      <c r="F14" s="30" t="n">
        <v>986</v>
      </c>
      <c r="G14" s="68" t="n">
        <v>0</v>
      </c>
      <c r="H14" s="31">
        <f>IF(OR(D14="",E14=""),"",IFERROR(F14-G14,"-"))</f>
        <v>986</v>
      </c>
      <c r="I14" s="32" t="n">
        <v>46276</v>
      </c>
      <c r="J14" s="33">
        <f>IF(I14="","",IFERROR(WORKDAY.INTL(I14,-10,"0000001",Holidays!$A$6:$A$55),"-"))</f>
        <v>46265</v>
      </c>
      <c r="K14" s="30" t="n">
        <v>1</v>
      </c>
      <c r="L14" s="30" t="n">
        <v>850</v>
      </c>
      <c r="M14" s="34">
        <f>IF(OR(D14="",E14="",F14="",K14="",L14=""),"",IFERROR(ROUNDUP(H14/(K14*L14),0),"-"))</f>
        <v>2</v>
      </c>
      <c r="N14" s="32" t="n">
        <v>46266</v>
      </c>
      <c r="O14" s="33">
        <f t="array" ref="O14">IF(OR($D14="",$E14=""),"",IF($N14&lt;&gt;"",$N14,IFERROR(WORKDAY.INTL(LOOKUP(2,1/(($D$2:D13=$D14)*ISNUMBER($P$2:P13)),$P$2:P13),1,"0000001",Holidays!$A$6:$A$55),"")))</f>
        <v>46266</v>
      </c>
      <c r="P14" s="35">
        <f>IF(OR(O14="",H14="",K14="",L14=""),"",IFERROR(WORKDAY.INTL(O14-1,MAX(1,ROUNDUP(H14/(K14*L14),0)),"0000001",Holidays!$A$6:$A$55),"-"))</f>
        <v>46267</v>
      </c>
      <c r="Q14" s="33">
        <f>IF(P14="","",IFERROR(WORKDAY.INTL(P14,3,"0000001",Holidays!$A$6:$A$55),"-"))</f>
        <v>46270</v>
      </c>
      <c r="R14" s="34">
        <f>IF(OR(J14="",P14=""),"",IFERROR(NETWORKDAYS.INTL(P14+1,J14,"0000001",Holidays!$A$6:$A$55),"-"))</f>
        <v>-4</v>
      </c>
      <c r="S14" s="33">
        <f>IF(O14="","",IFERROR(WORKDAY.INTL(O14,-10,"0000001",Holidays!$A$6:$A$55),"-"))</f>
        <v>46253</v>
      </c>
      <c r="T14" s="36">
        <f>IF(OR(I14="",Q14=""),"",IF(Q14&lt;=I14-4,1,0))</f>
        <v>1</v>
      </c>
      <c r="U14" s="32" t="n"/>
      <c r="V14" s="30" t="n"/>
      <c r="W14" s="36" t="str">
        <f>IF(OR($U14="",$V14="",$I14=""),"",IF(AND($U14&lt;=$I14-4,$V14&gt;=$F14),1,0))</f>
        <v/>
      </c>
    </row>
    <row r="15">
      <c r="B15" s="28" t="inlineStr">
        <is>
          <t>M6</t>
        </is>
      </c>
      <c r="C15" s="29" t="n">
        <v>8</v>
      </c>
      <c r="D15" s="28" t="n">
        <v>4301</v>
      </c>
      <c r="E15" s="28" t="n">
        <v>7114448904</v>
      </c>
      <c r="F15" s="30" t="n">
        <v>659</v>
      </c>
      <c r="G15" s="68" t="n">
        <v>659</v>
      </c>
      <c r="H15" s="31">
        <f>IF(OR(D15="",E15=""),"",IFERROR(F15-G15,"-"))</f>
        <v>0</v>
      </c>
      <c r="I15" s="32" t="n">
        <v>46276</v>
      </c>
      <c r="J15" s="33">
        <f>IF(I15="","",IFERROR(WORKDAY.INTL(I15,-10,"0000001",Holidays!$A$6:$A$55),"-"))</f>
        <v>46265</v>
      </c>
      <c r="K15" s="30" t="n">
        <v>1</v>
      </c>
      <c r="L15" s="30" t="n">
        <v>850</v>
      </c>
      <c r="M15" s="34">
        <f>IF(OR(D15="",E15="",F15="",K15="",L15=""),"",IFERROR(ROUNDUP(H15/(K15*L15),0),"-"))</f>
        <v>0</v>
      </c>
      <c r="N15" s="32" t="n">
        <v>46265</v>
      </c>
      <c r="O15" s="33">
        <f t="array" ref="O15">IF(OR($D15="",$E15=""),"",IF($N15&lt;&gt;"",$N15,IFERROR(WORKDAY.INTL(LOOKUP(2,1/(($D$2:D14=$D15)*ISNUMBER($P$2:P14)),$P$2:P14),1,"0000001",Holidays!$A$6:$A$55),"")))</f>
        <v>46265</v>
      </c>
      <c r="P15" s="35">
        <f>IF(OR(O15="",H15="",K15="",L15=""),"",IFERROR(WORKDAY.INTL(O15-1,MAX(1,ROUNDUP(H15/(K15*L15),0)),"0000001",Holidays!$A$6:$A$55),"-"))</f>
        <v>46265</v>
      </c>
      <c r="Q15" s="33">
        <f>IF(P15="","",IFERROR(WORKDAY.INTL(P15,3,"0000001",Holidays!$A$6:$A$55),"-"))</f>
        <v>46268</v>
      </c>
      <c r="R15" s="34">
        <f>IF(OR(J15="",P15=""),"",IFERROR(NETWORKDAYS.INTL(P15+1,J15,"0000001",Holidays!$A$6:$A$55),"-"))</f>
        <v>-2</v>
      </c>
      <c r="S15" s="33">
        <f>IF(O15="","",IFERROR(WORKDAY.INTL(O15,-10,"0000001",Holidays!$A$6:$A$55),"-"))</f>
        <v>46252</v>
      </c>
      <c r="T15" s="36">
        <f>IF(OR(I15="",Q15=""),"",IF(Q15&lt;=I15-4,1,0))</f>
        <v>1</v>
      </c>
      <c r="U15" s="32" t="n"/>
      <c r="V15" s="30" t="n"/>
      <c r="W15" s="36" t="str">
        <f>IF(OR($U15="",$V15="",$I15=""),"",IF(AND($U15&lt;=$I15-4,$V15&gt;=$F15),1,0))</f>
        <v/>
      </c>
    </row>
    <row r="16">
      <c r="B16" s="28" t="inlineStr">
        <is>
          <t>M6</t>
        </is>
      </c>
      <c r="C16" s="29" t="n">
        <v>9</v>
      </c>
      <c r="D16" s="28" t="n">
        <v>4301</v>
      </c>
      <c r="E16" s="28" t="n">
        <v>7373337622</v>
      </c>
      <c r="F16" s="30" t="n">
        <v>756</v>
      </c>
      <c r="G16" s="68" t="n">
        <v>0</v>
      </c>
      <c r="H16" s="31">
        <f>IF(OR(D16="",E16=""),"",IFERROR(F16-G16,"-"))</f>
        <v>756</v>
      </c>
      <c r="I16" s="32" t="n">
        <v>46276</v>
      </c>
      <c r="J16" s="33">
        <f>IF(I16="","",IFERROR(WORKDAY.INTL(I16,-10,"0000001",Holidays!$A$6:$A$55),"-"))</f>
        <v>46265</v>
      </c>
      <c r="K16" s="30" t="n">
        <v>1</v>
      </c>
      <c r="L16" s="30" t="n">
        <v>850</v>
      </c>
      <c r="M16" s="34">
        <f>IF(OR(D16="",E16="",F16="",K16="",L16=""),"",IFERROR(ROUNDUP(H16/(K16*L16),0),"-"))</f>
        <v>1</v>
      </c>
      <c r="N16" s="32" t="n">
        <v>46263</v>
      </c>
      <c r="O16" s="33">
        <f t="array" ref="O16">IF(OR($D16="",$E16=""),"",IF($N16&lt;&gt;"",$N16,IFERROR(WORKDAY.INTL(LOOKUP(2,1/(($D$2:D15=$D16)*ISNUMBER($P$2:P15)),$P$2:P15),1,"0000001",Holidays!$A$6:$A$55),"")))</f>
        <v>46263</v>
      </c>
      <c r="P16" s="35">
        <f>IF(OR(O16="",H16="",K16="",L16=""),"",IFERROR(WORKDAY.INTL(O16-1,MAX(1,ROUNDUP(H16/(K16*L16),0)),"0000001",Holidays!$A$6:$A$55),"-"))</f>
        <v>46263</v>
      </c>
      <c r="Q16" s="33">
        <f>IF(P16="","",IFERROR(WORKDAY.INTL(P16,3,"0000001",Holidays!$A$6:$A$55),"-"))</f>
        <v>46267</v>
      </c>
      <c r="R16" s="34">
        <f>IF(OR(J16="",P16=""),"",IFERROR(NETWORKDAYS.INTL(P16+1,J16,"0000001",Holidays!$A$6:$A$55),"-"))</f>
        <v>1</v>
      </c>
      <c r="S16" s="33">
        <f>IF(O16="","",IFERROR(WORKDAY.INTL(O16,-10,"0000001",Holidays!$A$6:$A$55),"-"))</f>
        <v>46251</v>
      </c>
      <c r="T16" s="36">
        <f>IF(OR(I16="",Q16=""),"",IF(Q16&lt;=I16-4,1,0))</f>
        <v>1</v>
      </c>
      <c r="U16" s="32" t="n"/>
      <c r="V16" s="30" t="n"/>
      <c r="W16" s="36" t="str">
        <f>IF(OR($U16="",$V16="",$I16=""),"",IF(AND($U16&lt;=$I16-4,$V16&gt;=$F16),1,0))</f>
        <v/>
      </c>
    </row>
    <row r="17">
      <c r="B17" s="28" t="inlineStr">
        <is>
          <t>M6</t>
        </is>
      </c>
      <c r="C17" s="29" t="n">
        <v>10</v>
      </c>
      <c r="D17" s="28" t="n">
        <v>4301</v>
      </c>
      <c r="E17" s="28" t="n">
        <v>7665397029</v>
      </c>
      <c r="F17" s="30" t="n">
        <v>2924</v>
      </c>
      <c r="G17" s="68" t="n">
        <v>0</v>
      </c>
      <c r="H17" s="31">
        <f>IF(OR(D17="",E17=""),"",IFERROR(F17-G17,"-"))</f>
        <v>2924</v>
      </c>
      <c r="I17" s="32" t="n">
        <v>46262</v>
      </c>
      <c r="J17" s="33">
        <f>IF(I17="","",IFERROR(WORKDAY.INTL(I17,-10,"0000001",Holidays!$A$6:$A$55),"-"))</f>
        <v>46251</v>
      </c>
      <c r="K17" s="30" t="n">
        <v>1</v>
      </c>
      <c r="L17" s="30" t="n">
        <v>850</v>
      </c>
      <c r="M17" s="34">
        <f>IF(OR(D17="",E17="",F17="",K17="",L17=""),"",IFERROR(ROUNDUP(H17/(K17*L17),0),"-"))</f>
        <v>4</v>
      </c>
      <c r="N17" s="32" t="n">
        <v>46267</v>
      </c>
      <c r="O17" s="33">
        <f t="array" ref="O17">IF(OR($D17="",$E17=""),"",IF($N17&lt;&gt;"",$N17,IFERROR(WORKDAY.INTL(LOOKUP(2,1/(($D$2:D16=$D17)*ISNUMBER($P$2:P16)),$P$2:P16),1,"0000001",Holidays!$A$6:$A$55),"")))</f>
        <v>46267</v>
      </c>
      <c r="P17" s="35">
        <f>IF(OR(O17="",H17="",K17="",L17=""),"",IFERROR(WORKDAY.INTL(O17-1,MAX(1,ROUNDUP(H17/(K17*L17),0)),"0000001",Holidays!$A$6:$A$55),"-"))</f>
        <v>46270</v>
      </c>
      <c r="Q17" s="33">
        <f>IF(P17="","",IFERROR(WORKDAY.INTL(P17,3,"0000001",Holidays!$A$6:$A$55),"-"))</f>
        <v>46274</v>
      </c>
      <c r="R17" s="34">
        <f>IF(OR(J17="",P17=""),"",IFERROR(NETWORKDAYS.INTL(P17+1,J17,"0000001",Holidays!$A$6:$A$55),"-"))</f>
        <v>-17</v>
      </c>
      <c r="S17" s="33">
        <f>IF(O17="","",IFERROR(WORKDAY.INTL(O17,-10,"0000001",Holidays!$A$6:$A$55),"-"))</f>
        <v>46254</v>
      </c>
      <c r="T17" s="36">
        <f>IF(OR(I17="",Q17=""),"",IF(Q17&lt;=I17-4,1,0))</f>
        <v>0</v>
      </c>
      <c r="U17" s="32" t="n"/>
      <c r="V17" s="30" t="n"/>
      <c r="W17" s="36" t="str">
        <f>IF(OR($U17="",$V17="",$I17=""),"",IF(AND($U17&lt;=$I17-4,$V17&gt;=$F17),1,0))</f>
        <v/>
      </c>
    </row>
    <row r="18">
      <c r="B18" s="28" t="inlineStr">
        <is>
          <t>M6</t>
        </is>
      </c>
      <c r="C18" s="29" t="n">
        <v>11</v>
      </c>
      <c r="D18" s="28" t="n">
        <v>4301</v>
      </c>
      <c r="E18" s="28" t="n">
        <v>7916958755</v>
      </c>
      <c r="F18" s="30" t="n">
        <v>727</v>
      </c>
      <c r="G18" s="68" t="n">
        <v>489</v>
      </c>
      <c r="H18" s="31">
        <f>IF(OR(D18="",E18=""),"",IFERROR(F18-G18,"-"))</f>
        <v>238</v>
      </c>
      <c r="I18" s="32" t="n">
        <v>46262</v>
      </c>
      <c r="J18" s="33">
        <f>IF(I18="","",IFERROR(WORKDAY.INTL(I18,-10,"0000001",Holidays!$A$6:$A$55),"-"))</f>
        <v>46251</v>
      </c>
      <c r="K18" s="30" t="n">
        <v>1</v>
      </c>
      <c r="L18" s="30" t="n">
        <v>850</v>
      </c>
      <c r="M18" s="34">
        <f>IF(OR(D18="",E18="",F18="",K18="",L18=""),"",IFERROR(ROUNDUP(H18/(K18*L18),0),"-"))</f>
        <v>1</v>
      </c>
      <c r="N18" s="32" t="n">
        <v>46270</v>
      </c>
      <c r="O18" s="33">
        <f t="array" ref="O18">IF(OR($D18="",$E18=""),"",IF($N18&lt;&gt;"",$N18,IFERROR(WORKDAY.INTL(LOOKUP(2,1/(($D$2:D17=$D18)*ISNUMBER($P$2:P17)),$P$2:P17),1,"0000001",Holidays!$A$6:$A$55),"")))</f>
        <v>46270</v>
      </c>
      <c r="P18" s="35">
        <f>IF(OR(O18="",H18="",K18="",L18=""),"",IFERROR(WORKDAY.INTL(O18-1,MAX(1,ROUNDUP(H18/(K18*L18),0)),"0000001",Holidays!$A$6:$A$55),"-"))</f>
        <v>46270</v>
      </c>
      <c r="Q18" s="33">
        <f>IF(P18="","",IFERROR(WORKDAY.INTL(P18,3,"0000001",Holidays!$A$6:$A$55),"-"))</f>
        <v>46274</v>
      </c>
      <c r="R18" s="34">
        <f>IF(OR(J18="",P18=""),"",IFERROR(NETWORKDAYS.INTL(P18+1,J18,"0000001",Holidays!$A$6:$A$55),"-"))</f>
        <v>-17</v>
      </c>
      <c r="S18" s="33">
        <f>IF(O18="","",IFERROR(WORKDAY.INTL(O18,-10,"0000001",Holidays!$A$6:$A$55),"-"))</f>
        <v>46258</v>
      </c>
      <c r="T18" s="36">
        <f>IF(OR(I18="",Q18=""),"",IF(Q18&lt;=I18-4,1,0))</f>
        <v>0</v>
      </c>
      <c r="U18" s="32" t="n"/>
      <c r="V18" s="30" t="n"/>
      <c r="W18" s="36" t="str">
        <f>IF(OR($U18="",$V18="",$I18=""),"",IF(AND($U18&lt;=$I18-4,$V18&gt;=$F18),1,0))</f>
        <v/>
      </c>
    </row>
    <row r="19">
      <c r="B19" s="28" t="inlineStr">
        <is>
          <t>M6</t>
        </is>
      </c>
      <c r="C19" s="29" t="n">
        <v>12</v>
      </c>
      <c r="D19" s="28" t="n">
        <v>4301</v>
      </c>
      <c r="E19" s="28" t="n">
        <v>7207612821</v>
      </c>
      <c r="F19" s="30" t="n">
        <v>1071</v>
      </c>
      <c r="G19" s="68" t="n">
        <v>1071</v>
      </c>
      <c r="H19" s="31">
        <f>IF(OR(D19="",E19=""),"",IFERROR(F19-G19,"-"))</f>
        <v>0</v>
      </c>
      <c r="I19" s="32" t="n">
        <v>46262</v>
      </c>
      <c r="J19" s="33">
        <f>IF(I19="","",IFERROR(WORKDAY.INTL(I19,-10,"0000001",Holidays!$A$6:$A$55),"-"))</f>
        <v>46251</v>
      </c>
      <c r="K19" s="30" t="n">
        <v>1</v>
      </c>
      <c r="L19" s="30" t="n">
        <v>850</v>
      </c>
      <c r="M19" s="34">
        <f>IF(OR(D19="",E19="",F19="",K19="",L19=""),"",IFERROR(ROUNDUP(H19/(K19*L19),0),"-"))</f>
        <v>0</v>
      </c>
      <c r="N19" s="32" t="n"/>
      <c r="O19" s="33">
        <f t="array" ref="O19">IF(OR($D19="",$E19=""),"",IF($N19&lt;&gt;"",$N19,IFERROR(WORKDAY.INTL(LOOKUP(2,1/(($D$2:D18=$D19)*ISNUMBER($P$2:P18)),$P$2:P18),1,"0000001",Holidays!$A$6:$A$55),"")))</f>
        <v>46272</v>
      </c>
      <c r="P19" s="35">
        <f>IF(OR(O19="",H19="",K19="",L19=""),"",IFERROR(WORKDAY.INTL(O19-1,MAX(1,ROUNDUP(H19/(K19*L19),0)),"0000001",Holidays!$A$6:$A$55),"-"))</f>
        <v>46272</v>
      </c>
      <c r="Q19" s="33">
        <f>IF(P19="","",IFERROR(WORKDAY.INTL(P19,3,"0000001",Holidays!$A$6:$A$55),"-"))</f>
        <v>46275</v>
      </c>
      <c r="R19" s="34">
        <f>IF(OR(J19="",P19=""),"",IFERROR(NETWORKDAYS.INTL(P19+1,J19,"0000001",Holidays!$A$6:$A$55),"-"))</f>
        <v>-19</v>
      </c>
      <c r="S19" s="33">
        <f>IF(O19="","",IFERROR(WORKDAY.INTL(O19,-10,"0000001",Holidays!$A$6:$A$55),"-"))</f>
        <v>46259</v>
      </c>
      <c r="T19" s="36">
        <f>IF(OR(I19="",Q19=""),"",IF(Q19&lt;=I19-4,1,0))</f>
        <v>0</v>
      </c>
      <c r="U19" s="32" t="n"/>
      <c r="V19" s="30" t="n"/>
      <c r="W19" s="36" t="str">
        <f>IF(OR($U19="",$V19="",$I19=""),"",IF(AND($U19&lt;=$I19-4,$V19&gt;=$F19),1,0))</f>
        <v/>
      </c>
    </row>
    <row r="20">
      <c r="B20" s="28" t="inlineStr">
        <is>
          <t>M6</t>
        </is>
      </c>
      <c r="C20" s="29" t="n">
        <v>13</v>
      </c>
      <c r="D20" s="28" t="n">
        <v>4301</v>
      </c>
      <c r="E20" s="28" t="n">
        <v>7883977575</v>
      </c>
      <c r="F20" s="30" t="n">
        <v>2520</v>
      </c>
      <c r="G20" s="68" t="n">
        <v>0</v>
      </c>
      <c r="H20" s="31">
        <f>IF(OR(D20="",E20=""),"",IFERROR(F20-G20,"-"))</f>
        <v>2520</v>
      </c>
      <c r="I20" s="32" t="n">
        <v>46267</v>
      </c>
      <c r="J20" s="33">
        <f>IF(I20="","",IFERROR(WORKDAY.INTL(I20,-10,"0000001",Holidays!$A$6:$A$55),"-"))</f>
        <v>46254</v>
      </c>
      <c r="K20" s="30" t="n">
        <v>1</v>
      </c>
      <c r="L20" s="30" t="n">
        <v>850</v>
      </c>
      <c r="M20" s="34">
        <f>IF(OR(D20="",E20="",F20="",K20="",L20=""),"",IFERROR(ROUNDUP(H20/(K20*L20),0),"-"))</f>
        <v>3</v>
      </c>
      <c r="N20" s="32" t="n"/>
      <c r="O20" s="33">
        <f t="array" ref="O20">IF(OR($D20="",$E20=""),"",IF($N20&lt;&gt;"",$N20,IFERROR(WORKDAY.INTL(LOOKUP(2,1/(($D$2:D19=$D20)*ISNUMBER($P$2:P19)),$P$2:P19),1,"0000001",Holidays!$A$6:$A$55),"")))</f>
        <v>46273</v>
      </c>
      <c r="P20" s="35">
        <f>IF(OR(O20="",H20="",K20="",L20=""),"",IFERROR(WORKDAY.INTL(O20-1,MAX(1,ROUNDUP(H20/(K20*L20),0)),"0000001",Holidays!$A$6:$A$55),"-"))</f>
        <v>46275</v>
      </c>
      <c r="Q20" s="33">
        <f>IF(P20="","",IFERROR(WORKDAY.INTL(P20,3,"0000001",Holidays!$A$6:$A$55),"-"))</f>
        <v>46279</v>
      </c>
      <c r="R20" s="34">
        <f>IF(OR(J20="",P20=""),"",IFERROR(NETWORKDAYS.INTL(P20+1,J20,"0000001",Holidays!$A$6:$A$55),"-"))</f>
        <v>-19</v>
      </c>
      <c r="S20" s="33">
        <f>IF(O20="","",IFERROR(WORKDAY.INTL(O20,-10,"0000001",Holidays!$A$6:$A$55),"-"))</f>
        <v>46260</v>
      </c>
      <c r="T20" s="36">
        <f>IF(OR(I20="",Q20=""),"",IF(Q20&lt;=I20-4,1,0))</f>
        <v>0</v>
      </c>
      <c r="U20" s="32" t="n"/>
      <c r="V20" s="30" t="n"/>
      <c r="W20" s="36" t="str">
        <f>IF(OR($U20="",$V20="",$I20=""),"",IF(AND($U20&lt;=$I20-4,$V20&gt;=$F20),1,0))</f>
        <v/>
      </c>
    </row>
    <row r="21">
      <c r="B21" s="28" t="inlineStr">
        <is>
          <t>M7</t>
        </is>
      </c>
      <c r="C21" s="29" t="n">
        <v>14</v>
      </c>
      <c r="D21" s="28" t="n">
        <v>4301</v>
      </c>
      <c r="E21" s="28" t="n">
        <v>7902771789</v>
      </c>
      <c r="F21" s="30" t="n">
        <v>3804</v>
      </c>
      <c r="G21" s="68" t="n">
        <v>0</v>
      </c>
      <c r="H21" s="31">
        <f>IF(OR(D21="",E21=""),"",IFERROR(F21-G21,"-"))</f>
        <v>3804</v>
      </c>
      <c r="I21" s="32" t="n">
        <v>46295</v>
      </c>
      <c r="J21" s="33">
        <f>IF(I21="","",IFERROR(WORKDAY.INTL(I21,-10,"0000001",Holidays!$A$6:$A$55),"-"))</f>
        <v>46283</v>
      </c>
      <c r="K21" s="30" t="n">
        <v>1</v>
      </c>
      <c r="L21" s="30" t="n">
        <v>850</v>
      </c>
      <c r="M21" s="34">
        <f>IF(OR(D21="",E21="",F21="",K21="",L21=""),"",IFERROR(ROUNDUP(H21/(K21*L21),0),"-"))</f>
        <v>5</v>
      </c>
      <c r="N21" s="32" t="n">
        <v>46277</v>
      </c>
      <c r="O21" s="33">
        <f t="array" ref="O21">IF(OR($D21="",$E21=""),"",IF($N21&lt;&gt;"",$N21,IFERROR(WORKDAY.INTL(LOOKUP(2,1/(($D$2:D20=$D21)*ISNUMBER($P$2:P20)),$P$2:P20),1,"0000001",Holidays!$A$6:$A$55),"")))</f>
        <v>46277</v>
      </c>
      <c r="P21" s="35">
        <f>IF(OR(O21="",H21="",K21="",L21=""),"",IFERROR(WORKDAY.INTL(O21-1,MAX(1,ROUNDUP(H21/(K21*L21),0)),"0000001",Holidays!$A$6:$A$55),"-"))</f>
        <v>46282</v>
      </c>
      <c r="Q21" s="33">
        <f>IF(P21="","",IFERROR(WORKDAY.INTL(P21,3,"0000001",Holidays!$A$6:$A$55),"-"))</f>
        <v>46286</v>
      </c>
      <c r="R21" s="34">
        <f>IF(OR(J21="",P21=""),"",IFERROR(NETWORKDAYS.INTL(P21+1,J21,"0000001",Holidays!$A$6:$A$55),"-"))</f>
        <v>1</v>
      </c>
      <c r="S21" s="33">
        <f>IF(O21="","",IFERROR(WORKDAY.INTL(O21,-10,"0000001",Holidays!$A$6:$A$55),"-"))</f>
        <v>46266</v>
      </c>
      <c r="T21" s="36">
        <f>IF(OR(I21="",Q21=""),"",IF(Q21&lt;=I21-4,1,0))</f>
        <v>1</v>
      </c>
      <c r="U21" s="32" t="n"/>
      <c r="V21" s="30" t="n"/>
      <c r="W21" s="36" t="str">
        <f>IF(OR($U21="",$V21="",$I21=""),"",IF(AND($U21&lt;=$I21-4,$V21&gt;=$F21),1,0))</f>
        <v/>
      </c>
    </row>
    <row r="22">
      <c r="B22" s="28" t="inlineStr">
        <is>
          <t>M7</t>
        </is>
      </c>
      <c r="C22" s="29" t="n">
        <v>15</v>
      </c>
      <c r="D22" s="28" t="n">
        <v>4301</v>
      </c>
      <c r="E22" s="28" t="n">
        <v>7861895544</v>
      </c>
      <c r="F22" s="30" t="n">
        <v>2495</v>
      </c>
      <c r="G22" s="68" t="n">
        <v>0</v>
      </c>
      <c r="H22" s="31">
        <f>IF(OR(D22="",E22=""),"",IFERROR(F22-G22,"-"))</f>
        <v>2495</v>
      </c>
      <c r="I22" s="32" t="n">
        <v>46295</v>
      </c>
      <c r="J22" s="33">
        <f>IF(I22="","",IFERROR(WORKDAY.INTL(I22,-10,"0000001",Holidays!$A$6:$A$55),"-"))</f>
        <v>46283</v>
      </c>
      <c r="K22" s="30" t="n">
        <v>1</v>
      </c>
      <c r="L22" s="30" t="n">
        <v>850</v>
      </c>
      <c r="M22" s="34">
        <f>IF(OR(D22="",E22="",F22="",K22="",L22=""),"",IFERROR(ROUNDUP(H22/(K22*L22),0),"-"))</f>
        <v>3</v>
      </c>
      <c r="N22" s="32" t="n"/>
      <c r="O22" s="33">
        <f t="array" ref="O22">IF(OR($D22="",$E22=""),"",IF($N22&lt;&gt;"",$N22,IFERROR(WORKDAY.INTL(LOOKUP(2,1/(($D$2:D21=$D22)*ISNUMBER($P$2:P21)),$P$2:P21),1,"0000001",Holidays!$A$6:$A$55),"")))</f>
        <v>46283</v>
      </c>
      <c r="P22" s="35">
        <f>IF(OR(O22="",H22="",K22="",L22=""),"",IFERROR(WORKDAY.INTL(O22-1,MAX(1,ROUNDUP(H22/(K22*L22),0)),"0000001",Holidays!$A$6:$A$55),"-"))</f>
        <v>46286</v>
      </c>
      <c r="Q22" s="33">
        <f>IF(P22="","",IFERROR(WORKDAY.INTL(P22,3,"0000001",Holidays!$A$6:$A$55),"-"))</f>
        <v>46289</v>
      </c>
      <c r="R22" s="34">
        <f>IF(OR(J22="",P22=""),"",IFERROR(NETWORKDAYS.INTL(P22+1,J22,"0000001",Holidays!$A$6:$A$55),"-"))</f>
        <v>-4</v>
      </c>
      <c r="S22" s="33">
        <f>IF(O22="","",IFERROR(WORKDAY.INTL(O22,-10,"0000001",Holidays!$A$6:$A$55),"-"))</f>
        <v>46272</v>
      </c>
      <c r="T22" s="36">
        <f>IF(OR(I22="",Q22=""),"",IF(Q22&lt;=I22-4,1,0))</f>
        <v>1</v>
      </c>
      <c r="U22" s="32" t="n"/>
      <c r="V22" s="30" t="n"/>
      <c r="W22" s="36" t="str">
        <f>IF(OR($U22="",$V22="",$I22=""),"",IF(AND($U22&lt;=$I22-4,$V22&gt;=$F22),1,0))</f>
        <v/>
      </c>
    </row>
    <row r="23">
      <c r="B23" s="28" t="inlineStr">
        <is>
          <t>M7</t>
        </is>
      </c>
      <c r="C23" s="29" t="n">
        <v>16</v>
      </c>
      <c r="D23" s="28" t="n">
        <v>4301</v>
      </c>
      <c r="E23" s="28" t="n">
        <v>7589302773</v>
      </c>
      <c r="F23" s="30" t="n">
        <v>926</v>
      </c>
      <c r="G23" s="68" t="n">
        <v>0</v>
      </c>
      <c r="H23" s="31">
        <f>IF(OR(D23="",E23=""),"",IFERROR(F23-G23,"-"))</f>
        <v>926</v>
      </c>
      <c r="I23" s="32" t="n">
        <v>46304</v>
      </c>
      <c r="J23" s="33">
        <f>IF(I23="","",IFERROR(WORKDAY.INTL(I23,-10,"0000001",Holidays!$A$6:$A$55),"-"))</f>
        <v>46291</v>
      </c>
      <c r="K23" s="30" t="n">
        <v>1</v>
      </c>
      <c r="L23" s="30" t="n">
        <v>850</v>
      </c>
      <c r="M23" s="34">
        <f>IF(OR(D23="",E23="",F23="",K23="",L23=""),"",IFERROR(ROUNDUP(H23/(K23*L23),0),"-"))</f>
        <v>2</v>
      </c>
      <c r="N23" s="32" t="n"/>
      <c r="O23" s="33">
        <f t="array" ref="O23">IF(OR($D23="",$E23=""),"",IF($N23&lt;&gt;"",$N23,IFERROR(WORKDAY.INTL(LOOKUP(2,1/(($D$2:D22=$D23)*ISNUMBER($P$2:P22)),$P$2:P22),1,"0000001",Holidays!$A$6:$A$55),"")))</f>
        <v>46287</v>
      </c>
      <c r="P23" s="35">
        <f>IF(OR(O23="",H23="",K23="",L23=""),"",IFERROR(WORKDAY.INTL(O23-1,MAX(1,ROUNDUP(H23/(K23*L23),0)),"0000001",Holidays!$A$6:$A$55),"-"))</f>
        <v>46288</v>
      </c>
      <c r="Q23" s="33">
        <f>IF(P23="","",IFERROR(WORKDAY.INTL(P23,3,"0000001",Holidays!$A$6:$A$55),"-"))</f>
        <v>46291</v>
      </c>
      <c r="R23" s="34">
        <f>IF(OR(J23="",P23=""),"",IFERROR(NETWORKDAYS.INTL(P23+1,J23,"0000001",Holidays!$A$6:$A$55),"-"))</f>
        <v>3</v>
      </c>
      <c r="S23" s="33">
        <f>IF(O23="","",IFERROR(WORKDAY.INTL(O23,-10,"0000001",Holidays!$A$6:$A$55),"-"))</f>
        <v>46275</v>
      </c>
      <c r="T23" s="36">
        <f>IF(OR(I23="",Q23=""),"",IF(Q23&lt;=I23-4,1,0))</f>
        <v>1</v>
      </c>
      <c r="U23" s="32" t="n"/>
      <c r="V23" s="30" t="n"/>
      <c r="W23" s="36" t="str">
        <f>IF(OR($U23="",$V23="",$I23=""),"",IF(AND($U23&lt;=$I23-4,$V23&gt;=$F23),1,0))</f>
        <v/>
      </c>
    </row>
    <row r="24">
      <c r="B24" s="28" t="inlineStr">
        <is>
          <t>M8</t>
        </is>
      </c>
      <c r="C24" s="29" t="n">
        <v>17</v>
      </c>
      <c r="D24" s="28" t="n">
        <v>4301</v>
      </c>
      <c r="E24" s="28" t="n">
        <v>7435315852</v>
      </c>
      <c r="F24" s="30" t="n">
        <v>544</v>
      </c>
      <c r="G24" s="68" t="n">
        <v>0</v>
      </c>
      <c r="H24" s="31">
        <f>IF(OR(D24="",E24=""),"",IFERROR(F24-G24,"-"))</f>
        <v>544</v>
      </c>
      <c r="I24" s="32" t="n">
        <v>46328</v>
      </c>
      <c r="J24" s="33">
        <f>IF(I24="","",IFERROR(WORKDAY.INTL(I24,-10,"0000001",Holidays!$A$6:$A$55),"-"))</f>
        <v>46316</v>
      </c>
      <c r="K24" s="30" t="n">
        <v>1</v>
      </c>
      <c r="L24" s="30" t="n">
        <v>850</v>
      </c>
      <c r="M24" s="34">
        <f>IF(OR(D24="",E24="",F24="",K24="",L24=""),"",IFERROR(ROUNDUP(H24/(K24*L24),0),"-"))</f>
        <v>1</v>
      </c>
      <c r="N24" s="32" t="n">
        <v>46288</v>
      </c>
      <c r="O24" s="33">
        <f t="array" ref="O24">IF(OR($D24="",$E24=""),"",IF($N24&lt;&gt;"",$N24,IFERROR(WORKDAY.INTL(LOOKUP(2,1/(($D$2:D23=$D24)*ISNUMBER($P$2:P23)),$P$2:P23),1,"0000001",Holidays!$A$6:$A$55),"")))</f>
        <v>46288</v>
      </c>
      <c r="P24" s="35">
        <f>IF(OR(O24="",H24="",K24="",L24=""),"",IFERROR(WORKDAY.INTL(O24-1,MAX(1,ROUNDUP(H24/(K24*L24),0)),"0000001",Holidays!$A$6:$A$55),"-"))</f>
        <v>46288</v>
      </c>
      <c r="Q24" s="33">
        <f>IF(P24="","",IFERROR(WORKDAY.INTL(P24,3,"0000001",Holidays!$A$6:$A$55),"-"))</f>
        <v>46291</v>
      </c>
      <c r="R24" s="34">
        <f>IF(OR(J24="",P24=""),"",IFERROR(NETWORKDAYS.INTL(P24+1,J24,"0000001",Holidays!$A$6:$A$55),"-"))</f>
        <v>22</v>
      </c>
      <c r="S24" s="33">
        <f>IF(O24="","",IFERROR(WORKDAY.INTL(O24,-10,"0000001",Holidays!$A$6:$A$55),"-"))</f>
        <v>46276</v>
      </c>
      <c r="T24" s="36">
        <f>IF(OR(I24="",Q24=""),"",IF(Q24&lt;=I24-4,1,0))</f>
        <v>1</v>
      </c>
      <c r="U24" s="32" t="n"/>
      <c r="V24" s="30" t="n"/>
      <c r="W24" s="36" t="str">
        <f>IF(OR($U24="",$V24="",$I24=""),"",IF(AND($U24&lt;=$I24-4,$V24&gt;=$F24),1,0))</f>
        <v/>
      </c>
    </row>
    <row r="25">
      <c r="B25" s="28" t="inlineStr">
        <is>
          <t>M8</t>
        </is>
      </c>
      <c r="C25" s="29" t="n">
        <v>18</v>
      </c>
      <c r="D25" s="28" t="n">
        <v>4301</v>
      </c>
      <c r="E25" s="28" t="n">
        <v>7879518413</v>
      </c>
      <c r="F25" s="30" t="n">
        <v>6668</v>
      </c>
      <c r="G25" s="68" t="n">
        <v>0</v>
      </c>
      <c r="H25" s="31">
        <f>IF(OR(D25="",E25=""),"",IFERROR(F25-G25,"-"))</f>
        <v>6668</v>
      </c>
      <c r="I25" s="32" t="n">
        <v>46318</v>
      </c>
      <c r="J25" s="33">
        <f>IF(I25="","",IFERROR(WORKDAY.INTL(I25,-10,"0000001",Holidays!$A$6:$A$55),"-"))</f>
        <v>46305</v>
      </c>
      <c r="K25" s="30" t="n">
        <v>1</v>
      </c>
      <c r="L25" s="30" t="n">
        <v>850</v>
      </c>
      <c r="M25" s="34">
        <f>IF(OR(D25="",E25="",F25="",K25="",L25=""),"",IFERROR(ROUNDUP(H25/(K25*L25),0),"-"))</f>
        <v>8</v>
      </c>
      <c r="N25" s="32" t="n"/>
      <c r="O25" s="33">
        <f t="array" ref="O25">IF(OR($D25="",$E25=""),"",IF($N25&lt;&gt;"",$N25,IFERROR(WORKDAY.INTL(LOOKUP(2,1/(($D$2:D24=$D25)*ISNUMBER($P$2:P24)),$P$2:P24),1,"0000001",Holidays!$A$6:$A$55),"")))</f>
        <v>46289</v>
      </c>
      <c r="P25" s="35">
        <f>IF(OR(O25="",H25="",K25="",L25=""),"",IFERROR(WORKDAY.INTL(O25-1,MAX(1,ROUNDUP(H25/(K25*L25),0)),"0000001",Holidays!$A$6:$A$55),"-"))</f>
        <v>46298</v>
      </c>
      <c r="Q25" s="33">
        <f>IF(P25="","",IFERROR(WORKDAY.INTL(P25,3,"0000001",Holidays!$A$6:$A$55),"-"))</f>
        <v>46302</v>
      </c>
      <c r="R25" s="34">
        <f>IF(OR(J25="",P25=""),"",IFERROR(NETWORKDAYS.INTL(P25+1,J25,"0000001",Holidays!$A$6:$A$55),"-"))</f>
        <v>6</v>
      </c>
      <c r="S25" s="33">
        <f>IF(O25="","",IFERROR(WORKDAY.INTL(O25,-10,"0000001",Holidays!$A$6:$A$55),"-"))</f>
        <v>46277</v>
      </c>
      <c r="T25" s="36">
        <f>IF(OR(I25="",Q25=""),"",IF(Q25&lt;=I25-4,1,0))</f>
        <v>1</v>
      </c>
      <c r="U25" s="32" t="n"/>
      <c r="V25" s="30" t="n"/>
      <c r="W25" s="36" t="str">
        <f>IF(OR($U25="",$V25="",$I25=""),"",IF(AND($U25&lt;=$I25-4,$V25&gt;=$F25),1,0))</f>
        <v/>
      </c>
    </row>
    <row r="26">
      <c r="B26" s="28" t="inlineStr">
        <is>
          <t>M8</t>
        </is>
      </c>
      <c r="C26" s="29" t="n">
        <v>19</v>
      </c>
      <c r="D26" s="28" t="n">
        <v>4301</v>
      </c>
      <c r="E26" s="28" t="n">
        <v>7352175804</v>
      </c>
      <c r="F26" s="30" t="n">
        <v>2231</v>
      </c>
      <c r="G26" s="68" t="n">
        <v>0</v>
      </c>
      <c r="H26" s="31">
        <f>IF(OR(D26="",E26=""),"",IFERROR(F26-G26,"-"))</f>
        <v>2231</v>
      </c>
      <c r="I26" s="32" t="n">
        <v>46318</v>
      </c>
      <c r="J26" s="33">
        <f>IF(I26="","",IFERROR(WORKDAY.INTL(I26,-10,"0000001",Holidays!$A$6:$A$55),"-"))</f>
        <v>46305</v>
      </c>
      <c r="K26" s="30" t="n">
        <v>1</v>
      </c>
      <c r="L26" s="30" t="n">
        <v>850</v>
      </c>
      <c r="M26" s="34">
        <f>IF(OR(D26="",E26="",F26="",K26="",L26=""),"",IFERROR(ROUNDUP(H26/(K26*L26),0),"-"))</f>
        <v>3</v>
      </c>
      <c r="N26" s="32" t="n"/>
      <c r="O26" s="33">
        <f t="array" ref="O26">IF(OR($D26="",$E26=""),"",IF($N26&lt;&gt;"",$N26,IFERROR(WORKDAY.INTL(LOOKUP(2,1/(($D$2:D25=$D26)*ISNUMBER($P$2:P25)),$P$2:P25),1,"0000001",Holidays!$A$6:$A$55),"")))</f>
        <v>46300</v>
      </c>
      <c r="P26" s="35">
        <f>IF(OR(O26="",H26="",K26="",L26=""),"",IFERROR(WORKDAY.INTL(O26-1,MAX(1,ROUNDUP(H26/(K26*L26),0)),"0000001",Holidays!$A$6:$A$55),"-"))</f>
        <v>46302</v>
      </c>
      <c r="Q26" s="33">
        <f>IF(P26="","",IFERROR(WORKDAY.INTL(P26,3,"0000001",Holidays!$A$6:$A$55),"-"))</f>
        <v>46305</v>
      </c>
      <c r="R26" s="34">
        <f>IF(OR(J26="",P26=""),"",IFERROR(NETWORKDAYS.INTL(P26+1,J26,"0000001",Holidays!$A$6:$A$55),"-"))</f>
        <v>3</v>
      </c>
      <c r="S26" s="33">
        <f>IF(O26="","",IFERROR(WORKDAY.INTL(O26,-10,"0000001",Holidays!$A$6:$A$55),"-"))</f>
        <v>46287</v>
      </c>
      <c r="T26" s="36">
        <f>IF(OR(I26="",Q26=""),"",IF(Q26&lt;=I26-4,1,0))</f>
        <v>1</v>
      </c>
      <c r="U26" s="32" t="n"/>
      <c r="V26" s="30" t="n"/>
      <c r="W26" s="36" t="str">
        <f>IF(OR($U26="",$V26="",$I26=""),"",IF(AND($U26&lt;=$I26-4,$V26&gt;=$F26),1,0))</f>
        <v/>
      </c>
    </row>
    <row r="27">
      <c r="B27" s="28" t="inlineStr">
        <is>
          <t>M8</t>
        </is>
      </c>
      <c r="C27" s="29" t="n">
        <v>20</v>
      </c>
      <c r="D27" s="28" t="n">
        <v>4301</v>
      </c>
      <c r="E27" s="28" t="n">
        <v>7345360217</v>
      </c>
      <c r="F27" s="30" t="n">
        <v>2796</v>
      </c>
      <c r="G27" s="68" t="n">
        <v>0</v>
      </c>
      <c r="H27" s="31">
        <f>IF(OR(D27="",E27=""),"",IFERROR(F27-G27,"-"))</f>
        <v>2796</v>
      </c>
      <c r="I27" s="32" t="n">
        <v>46318</v>
      </c>
      <c r="J27" s="33">
        <f>IF(I27="","",IFERROR(WORKDAY.INTL(I27,-10,"0000001",Holidays!$A$6:$A$55),"-"))</f>
        <v>46305</v>
      </c>
      <c r="K27" s="30" t="n">
        <v>1</v>
      </c>
      <c r="L27" s="30" t="n">
        <v>850</v>
      </c>
      <c r="M27" s="34">
        <f>IF(OR(D27="",E27="",F27="",K27="",L27=""),"",IFERROR(ROUNDUP(H27/(K27*L27),0),"-"))</f>
        <v>4</v>
      </c>
      <c r="N27" s="32" t="n"/>
      <c r="O27" s="33">
        <f t="array" ref="O27">IF(OR($D27="",$E27=""),"",IF($N27&lt;&gt;"",$N27,IFERROR(WORKDAY.INTL(LOOKUP(2,1/(($D$2:D26=$D27)*ISNUMBER($P$2:P26)),$P$2:P26),1,"0000001",Holidays!$A$6:$A$55),"")))</f>
        <v>46303</v>
      </c>
      <c r="P27" s="35">
        <f>IF(OR(O27="",H27="",K27="",L27=""),"",IFERROR(WORKDAY.INTL(O27-1,MAX(1,ROUNDUP(H27/(K27*L27),0)),"0000001",Holidays!$A$6:$A$55),"-"))</f>
        <v>46307</v>
      </c>
      <c r="Q27" s="33">
        <f>IF(P27="","",IFERROR(WORKDAY.INTL(P27,3,"0000001",Holidays!$A$6:$A$55),"-"))</f>
        <v>46310</v>
      </c>
      <c r="R27" s="34">
        <f>IF(OR(J27="",P27=""),"",IFERROR(NETWORKDAYS.INTL(P27+1,J27,"0000001",Holidays!$A$6:$A$55),"-"))</f>
        <v>-3</v>
      </c>
      <c r="S27" s="33">
        <f>IF(O27="","",IFERROR(WORKDAY.INTL(O27,-10,"0000001",Holidays!$A$6:$A$55),"-"))</f>
        <v>46290</v>
      </c>
      <c r="T27" s="36">
        <f>IF(OR(I27="",Q27=""),"",IF(Q27&lt;=I27-4,1,0))</f>
        <v>1</v>
      </c>
      <c r="U27" s="32" t="n"/>
      <c r="V27" s="30" t="n"/>
      <c r="W27" s="36" t="str">
        <f>IF(OR($U27="",$V27="",$I27=""),"",IF(AND($U27&lt;=$I27-4,$V27&gt;=$F27),1,0))</f>
        <v/>
      </c>
    </row>
    <row r="28">
      <c r="B28" s="28" t="inlineStr">
        <is>
          <t>M9</t>
        </is>
      </c>
      <c r="C28" s="29" t="n">
        <v>21</v>
      </c>
      <c r="D28" s="28" t="n">
        <v>4301</v>
      </c>
      <c r="E28" s="28" t="n">
        <v>7170179588</v>
      </c>
      <c r="F28" s="30" t="n">
        <v>3145</v>
      </c>
      <c r="G28" s="68" t="n">
        <v>0</v>
      </c>
      <c r="H28" s="31">
        <f>IF(OR(D28="",E28=""),"",IFERROR(F28-G28,"-"))</f>
        <v>3145</v>
      </c>
      <c r="I28" s="32" t="n">
        <v>46348</v>
      </c>
      <c r="J28" s="33">
        <f>IF(I28="","",IFERROR(WORKDAY.INTL(I28,-10,"0000001",Holidays!$A$6:$A$55),"-"))</f>
        <v>46336</v>
      </c>
      <c r="K28" s="30" t="n">
        <v>1</v>
      </c>
      <c r="L28" s="30" t="n">
        <v>850</v>
      </c>
      <c r="M28" s="34">
        <f>IF(OR(D28="",E28="",F28="",K28="",L28=""),"",IFERROR(ROUNDUP(H28/(K28*L28),0),"-"))</f>
        <v>4</v>
      </c>
      <c r="N28" s="32" t="n">
        <v>46307</v>
      </c>
      <c r="O28" s="33">
        <f t="array" ref="O28">IF(OR($D28="",$E28=""),"",IF($N28&lt;&gt;"",$N28,IFERROR(WORKDAY.INTL(LOOKUP(2,1/(($D$2:D27=$D28)*ISNUMBER($P$2:P27)),$P$2:P27),1,"0000001",Holidays!$A$6:$A$55),"")))</f>
        <v>46307</v>
      </c>
      <c r="P28" s="35">
        <f>IF(OR(O28="",H28="",K28="",L28=""),"",IFERROR(WORKDAY.INTL(O28-1,MAX(1,ROUNDUP(H28/(K28*L28),0)),"0000001",Holidays!$A$6:$A$55),"-"))</f>
        <v>46310</v>
      </c>
      <c r="Q28" s="33">
        <f>IF(P28="","",IFERROR(WORKDAY.INTL(P28,3,"0000001",Holidays!$A$6:$A$55),"-"))</f>
        <v>46314</v>
      </c>
      <c r="R28" s="34">
        <f>IF(OR(J28="",P28=""),"",IFERROR(NETWORKDAYS.INTL(P28+1,J28,"0000001",Holidays!$A$6:$A$55),"-"))</f>
        <v>20</v>
      </c>
      <c r="S28" s="33">
        <f>IF(O28="","",IFERROR(WORKDAY.INTL(O28,-10,"0000001",Holidays!$A$6:$A$55),"-"))</f>
        <v>46294</v>
      </c>
      <c r="T28" s="36">
        <f>IF(OR(I28="",Q28=""),"",IF(Q28&lt;=I28-4,1,0))</f>
        <v>1</v>
      </c>
      <c r="U28" s="32" t="n"/>
      <c r="V28" s="30" t="n"/>
      <c r="W28" s="36" t="str">
        <f>IF(OR($U28="",$V28="",$I28=""),"",IF(AND($U28&lt;=$I28-4,$V28&gt;=$F28),1,0))</f>
        <v/>
      </c>
    </row>
    <row r="29" ht="15.75" customHeight="1" thickBot="1">
      <c r="B29" s="37" t="inlineStr">
        <is>
          <t>M9</t>
        </is>
      </c>
      <c r="C29" s="38" t="n">
        <v>22</v>
      </c>
      <c r="D29" s="37" t="n">
        <v>4301</v>
      </c>
      <c r="E29" s="37" t="n">
        <v>7881088803</v>
      </c>
      <c r="F29" s="39" t="n">
        <v>1708</v>
      </c>
      <c r="G29" s="66" t="n">
        <v>0</v>
      </c>
      <c r="H29" s="40">
        <f>IF(OR(D29="",E29=""),"",IFERROR(F29-G29,"-"))</f>
        <v>1708</v>
      </c>
      <c r="I29" s="41" t="n">
        <v>46356</v>
      </c>
      <c r="J29" s="42">
        <f>IF(I29="","",IFERROR(WORKDAY.INTL(I29,-10,"0000001",Holidays!$A$6:$A$55),"-"))</f>
        <v>46344</v>
      </c>
      <c r="K29" s="30" t="n">
        <v>1</v>
      </c>
      <c r="L29" s="30" t="n">
        <v>850</v>
      </c>
      <c r="M29" s="43">
        <f>IF(OR(D29="",E29="",F29="",K29="",L29=""),"",IFERROR(ROUNDUP(H29/(K29*L29),0),"-"))</f>
        <v>3</v>
      </c>
      <c r="N29" s="41" t="n"/>
      <c r="O29" s="42">
        <f t="array" ref="O29">IF(OR($D29="",$E29=""),"",IF($N29&lt;&gt;"",$N29,IFERROR(WORKDAY.INTL(LOOKUP(2,1/(($D$2:D28=$D29)*ISNUMBER($P$2:P28)),$P$2:P28),1,"0000001",Holidays!$A$6:$A$55),"")))</f>
        <v>46311</v>
      </c>
      <c r="P29" s="44">
        <f>IF(OR(O29="",H29="",K29="",L29=""),"",IFERROR(WORKDAY.INTL(O29-1,MAX(1,ROUNDUP(H29/(K29*L29),0)),"0000001",Holidays!$A$6:$A$55),"-"))</f>
        <v>46314</v>
      </c>
      <c r="Q29" s="42">
        <f>IF(P29="","",IFERROR(WORKDAY.INTL(P29,3,"0000001",Holidays!$A$6:$A$55),"-"))</f>
        <v>46318</v>
      </c>
      <c r="R29" s="43">
        <f>IF(OR(J29="",P29=""),"",IFERROR(NETWORKDAYS.INTL(P29+1,J29,"0000001",Holidays!$A$6:$A$55),"-"))</f>
        <v>23</v>
      </c>
      <c r="S29" s="42">
        <f>IF(O29="","",IFERROR(WORKDAY.INTL(O29,-10,"0000001",Holidays!$A$6:$A$55),"-"))</f>
        <v>46300</v>
      </c>
      <c r="T29" s="45">
        <f>IF(OR(I29="",Q29=""),"",IF(Q29&lt;=I29-4,1,0))</f>
        <v>1</v>
      </c>
      <c r="U29" s="41" t="n"/>
      <c r="V29" s="39" t="n"/>
      <c r="W29" s="45" t="str">
        <f>IF(OR($U29="",$V29="",$I29=""),"",IF(AND($U29&lt;=$I29-4,$V29&gt;=$F29),1,0))</f>
        <v/>
      </c>
    </row>
    <row r="30">
      <c r="B30" s="46" t="inlineStr">
        <is>
          <t>M5</t>
        </is>
      </c>
      <c r="C30" s="47" t="n">
        <v>1</v>
      </c>
      <c r="D30" s="46" t="n">
        <v>6820</v>
      </c>
      <c r="E30" s="46" t="n">
        <v>7232615519</v>
      </c>
      <c r="F30" s="48" t="n">
        <v>64328</v>
      </c>
      <c r="G30" s="67" t="n">
        <v>64328</v>
      </c>
      <c r="H30" s="49">
        <f>IF(OR(D30="",E30=""),"",IFERROR(F30-G30,"-"))</f>
        <v>0</v>
      </c>
      <c r="I30" s="50" t="n">
        <v>46241</v>
      </c>
      <c r="J30" s="51">
        <f>IF(I30="","",IFERROR(WORKDAY.INTL(I30,-10,"0000001",Holidays!$A$6:$A$55),"-"))</f>
        <v>46230</v>
      </c>
      <c r="K30" s="48" t="n"/>
      <c r="L30" s="48" t="n"/>
      <c r="M30" s="52" t="str">
        <f>IF(OR(D30="",E30="",F30="",K30="",L30=""),"",IFERROR(ROUNDUP(H30/(K30*L30),0),"-"))</f>
        <v/>
      </c>
      <c r="N30" s="71" t="inlineStr">
        <is>
          <t>Close</t>
        </is>
      </c>
      <c r="O30" s="51" t="str">
        <f t="array" ref="O30">IF(OR($D30="",$E30=""),"",IF($N30&lt;&gt;"",$N30,IFERROR(WORKDAY.INTL(LOOKUP(2,1/(($D$2:D29=$D30)*ISNUMBER($P$2:P29)),$P$2:P29),1,"0000001",Holidays!$A$6:$A$55),"")))</f>
        <v>Close</v>
      </c>
      <c r="P30" s="53" t="str">
        <f>IF(OR(O30="",H30="",K30="",L30=""),"",IFERROR(WORKDAY.INTL(O30-1,MAX(1,ROUNDUP(H30/(K30*L30),0)),"0000001",Holidays!$A$6:$A$55),"-"))</f>
        <v/>
      </c>
      <c r="Q30" s="51" t="str">
        <f>IF(P30="","",IFERROR(WORKDAY.INTL(P30,3,"0000001",Holidays!$A$6:$A$55),"-"))</f>
        <v/>
      </c>
      <c r="R30" s="52" t="str">
        <f>IF(OR(J30="",P30=""),"",IFERROR(NETWORKDAYS.INTL(P30+1,J30,"0000001",Holidays!$A$6:$A$55),"-"))</f>
        <v/>
      </c>
      <c r="S30" s="51" t="str">
        <f>IF(O30="","",IFERROR(WORKDAY.INTL(O30,-10,"0000001",Holidays!$A$6:$A$55),"-"))</f>
        <v>-</v>
      </c>
      <c r="T30" s="54" t="str">
        <f>IF(OR(I30="",Q30=""),"",IF(Q30&lt;=I30-4,1,0))</f>
        <v/>
      </c>
      <c r="U30" s="50" t="n"/>
      <c r="V30" s="48" t="n"/>
      <c r="W30" s="54" t="str">
        <f>IF(OR($U30="",$V30="",$I30=""),"",IF(AND($U30&lt;=$I30-4,$V30&gt;=$F30),1,0))</f>
        <v/>
      </c>
    </row>
    <row r="31">
      <c r="B31" s="28" t="inlineStr">
        <is>
          <t>M5</t>
        </is>
      </c>
      <c r="C31" s="29" t="n">
        <v>2</v>
      </c>
      <c r="D31" s="28" t="n">
        <v>6820</v>
      </c>
      <c r="E31" s="28" t="n">
        <v>7121610466</v>
      </c>
      <c r="F31" s="30" t="n">
        <v>63716</v>
      </c>
      <c r="G31" s="68" t="n">
        <v>63716</v>
      </c>
      <c r="H31" s="31">
        <f>IF(OR(D31="",E31=""),"",IFERROR(F31-G31,"-"))</f>
        <v>0</v>
      </c>
      <c r="I31" s="32" t="n">
        <v>46241</v>
      </c>
      <c r="J31" s="33">
        <f>IF(I31="","",IFERROR(WORKDAY.INTL(I31,-10,"0000001",Holidays!$A$6:$A$55),"-"))</f>
        <v>46230</v>
      </c>
      <c r="K31" s="30" t="n"/>
      <c r="L31" s="30" t="n"/>
      <c r="M31" s="34" t="str">
        <f>IF(OR(D31="",E31="",F31="",K31="",L31=""),"",IFERROR(ROUNDUP(H31/(K31*L31),0),"-"))</f>
        <v/>
      </c>
      <c r="N31" s="33" t="inlineStr">
        <is>
          <t>Close</t>
        </is>
      </c>
      <c r="O31" s="32" t="str">
        <f t="array" ref="O31">IF(OR($D31="",$E31=""),"",IF($N31&lt;&gt;"",$N31,IFERROR(WORKDAY.INTL(LOOKUP(2,1/(($D$2:D30=$D31)*ISNUMBER($P$2:P30)),$P$2:P30),1,"0000001",Holidays!$A$6:$A$55),"")))</f>
        <v>Close</v>
      </c>
      <c r="P31" s="35" t="str">
        <f>IF(OR(O31="",H31="",K31="",L31=""),"",IFERROR(WORKDAY.INTL(O31-1,MAX(1,ROUNDUP(H31/(K31*L31),0)),"0000001",Holidays!$A$6:$A$55),"-"))</f>
        <v/>
      </c>
      <c r="Q31" s="33" t="str">
        <f>IF(P31="","",IFERROR(WORKDAY.INTL(P31,3,"0000001",Holidays!$A$6:$A$55),"-"))</f>
        <v/>
      </c>
      <c r="R31" s="34" t="str">
        <f>IF(OR(J31="",P31=""),"",IFERROR(NETWORKDAYS.INTL(P31+1,J31,"0000001",Holidays!$A$6:$A$55),"-"))</f>
        <v/>
      </c>
      <c r="S31" s="33" t="str">
        <f>IF(O31="","",IFERROR(WORKDAY.INTL(O31,-10,"0000001",Holidays!$A$6:$A$55),"-"))</f>
        <v>-</v>
      </c>
      <c r="T31" s="36" t="str">
        <f>IF(OR(I31="",Q31=""),"",IF(Q31&lt;=I31-4,1,0))</f>
        <v/>
      </c>
      <c r="U31" s="32" t="n"/>
      <c r="V31" s="30" t="n"/>
      <c r="W31" s="36" t="str">
        <f>IF(OR($U31="",$V31="",$I31=""),"",IF(AND($U31&lt;=$I31-4,$V31&gt;=$F31),1,0))</f>
        <v/>
      </c>
    </row>
    <row r="32">
      <c r="B32" s="28" t="inlineStr">
        <is>
          <t>M6</t>
        </is>
      </c>
      <c r="C32" s="29" t="n">
        <v>3</v>
      </c>
      <c r="D32" s="28" t="n">
        <v>6820</v>
      </c>
      <c r="E32" s="28" t="n">
        <v>7161255896</v>
      </c>
      <c r="F32" s="30" t="n">
        <v>51544</v>
      </c>
      <c r="G32" s="68" t="n">
        <v>51544</v>
      </c>
      <c r="H32" s="31">
        <f>IF(OR(D32="",E32=""),"",IFERROR(F32-G32,"-"))</f>
        <v>0</v>
      </c>
      <c r="I32" s="32" t="n">
        <v>46268</v>
      </c>
      <c r="J32" s="33">
        <f>IF(I32="","",IFERROR(WORKDAY.INTL(I32,-10,"0000001",Holidays!$A$6:$A$55),"-"))</f>
        <v>46255</v>
      </c>
      <c r="K32" s="30" t="n"/>
      <c r="L32" s="30" t="n"/>
      <c r="M32" s="34" t="str">
        <f>IF(OR(D32="",E32="",F32="",K32="",L32=""),"",IFERROR(ROUNDUP(H32/(K32*L32),0),"-"))</f>
        <v/>
      </c>
      <c r="N32" s="33" t="inlineStr">
        <is>
          <t>Close</t>
        </is>
      </c>
      <c r="O32" s="32" t="str">
        <f t="array" ref="O32">IF(OR($D32="",$E32=""),"",IF($N32&lt;&gt;"",$N32,IFERROR(WORKDAY.INTL(LOOKUP(2,1/(($D$2:D31=$D32)*ISNUMBER($P$2:P31)),$P$2:P31),1,"0000001",Holidays!$A$6:$A$55),"")))</f>
        <v>Close</v>
      </c>
      <c r="P32" s="35" t="str">
        <f>IF(OR(O32="",H32="",K32="",L32=""),"",IFERROR(WORKDAY.INTL(O32-1,MAX(1,ROUNDUP(H32/(K32*L32),0)),"0000001",Holidays!$A$6:$A$55),"-"))</f>
        <v/>
      </c>
      <c r="Q32" s="33" t="str">
        <f>IF(P32="","",IFERROR(WORKDAY.INTL(P32,3,"0000001",Holidays!$A$6:$A$55),"-"))</f>
        <v/>
      </c>
      <c r="R32" s="34" t="str">
        <f>IF(OR(J32="",P32=""),"",IFERROR(NETWORKDAYS.INTL(P32+1,J32,"0000001",Holidays!$A$6:$A$55),"-"))</f>
        <v/>
      </c>
      <c r="S32" s="33" t="str">
        <f>IF(O32="","",IFERROR(WORKDAY.INTL(O32,-10,"0000001",Holidays!$A$6:$A$55),"-"))</f>
        <v>-</v>
      </c>
      <c r="T32" s="36" t="str">
        <f>IF(OR(I32="",Q32=""),"",IF(Q32&lt;=I32-4,1,0))</f>
        <v/>
      </c>
      <c r="U32" s="32" t="n"/>
      <c r="V32" s="30" t="n"/>
      <c r="W32" s="36" t="str">
        <f>IF(OR($U32="",$V32="",$I32=""),"",IF(AND($U32&lt;=$I32-4,$V32&gt;=$F32),1,0))</f>
        <v/>
      </c>
    </row>
    <row r="33">
      <c r="B33" s="28" t="inlineStr">
        <is>
          <t>M6</t>
        </is>
      </c>
      <c r="C33" s="29" t="n">
        <v>4</v>
      </c>
      <c r="D33" s="28" t="n">
        <v>6820</v>
      </c>
      <c r="E33" s="28" t="n">
        <v>7330599164</v>
      </c>
      <c r="F33" s="30" t="n">
        <v>51136</v>
      </c>
      <c r="G33" s="68" t="n">
        <v>51136</v>
      </c>
      <c r="H33" s="31">
        <f>IF(OR(D33="",E33=""),"",IFERROR(F33-G33,"-"))</f>
        <v>0</v>
      </c>
      <c r="I33" s="32" t="n">
        <v>46268</v>
      </c>
      <c r="J33" s="33">
        <f>IF(I33="","",IFERROR(WORKDAY.INTL(I33,-10,"0000001",Holidays!$A$6:$A$55),"-"))</f>
        <v>46255</v>
      </c>
      <c r="K33" s="30" t="n"/>
      <c r="L33" s="30" t="n"/>
      <c r="M33" s="34" t="str">
        <f>IF(OR(D33="",E33="",F33="",K33="",L33=""),"",IFERROR(ROUNDUP(H33/(K33*L33),0),"-"))</f>
        <v/>
      </c>
      <c r="N33" s="33" t="inlineStr">
        <is>
          <t>Close</t>
        </is>
      </c>
      <c r="O33" s="32" t="str">
        <f t="array" ref="O33">IF(OR($D33="",$E33=""),"",IF($N33&lt;&gt;"",$N33,IFERROR(WORKDAY.INTL(LOOKUP(2,1/(($D$2:D32=$D33)*ISNUMBER($P$2:P32)),$P$2:P32),1,"0000001",Holidays!$A$6:$A$55),"")))</f>
        <v>Close</v>
      </c>
      <c r="P33" s="35" t="str">
        <f>IF(OR(O33="",H33="",K33="",L33=""),"",IFERROR(WORKDAY.INTL(O33-1,MAX(1,ROUNDUP(H33/(K33*L33),0)),"0000001",Holidays!$A$6:$A$55),"-"))</f>
        <v/>
      </c>
      <c r="Q33" s="33" t="str">
        <f>IF(P33="","",IFERROR(WORKDAY.INTL(P33,3,"0000001",Holidays!$A$6:$A$55),"-"))</f>
        <v/>
      </c>
      <c r="R33" s="34" t="str">
        <f>IF(OR(J33="",P33=""),"",IFERROR(NETWORKDAYS.INTL(P33+1,J33,"0000001",Holidays!$A$6:$A$55),"-"))</f>
        <v/>
      </c>
      <c r="S33" s="33" t="str">
        <f>IF(O33="","",IFERROR(WORKDAY.INTL(O33,-10,"0000001",Holidays!$A$6:$A$55),"-"))</f>
        <v>-</v>
      </c>
      <c r="T33" s="36" t="str">
        <f>IF(OR(I33="",Q33=""),"",IF(Q33&lt;=I33-4,1,0))</f>
        <v/>
      </c>
      <c r="U33" s="32" t="n"/>
      <c r="V33" s="30" t="n"/>
      <c r="W33" s="36" t="str">
        <f>IF(OR($U33="",$V33="",$I33=""),"",IF(AND($U33&lt;=$I33-4,$V33&gt;=$F33),1,0))</f>
        <v/>
      </c>
    </row>
    <row r="34">
      <c r="B34" s="28" t="inlineStr">
        <is>
          <t>M7</t>
        </is>
      </c>
      <c r="C34" s="29" t="n">
        <v>5</v>
      </c>
      <c r="D34" s="28" t="n">
        <v>6820</v>
      </c>
      <c r="E34" s="28" t="n">
        <v>7447514654</v>
      </c>
      <c r="F34" s="30" t="n">
        <v>59330</v>
      </c>
      <c r="G34" s="68" t="n">
        <v>44573</v>
      </c>
      <c r="H34" s="31">
        <f>IF(OR(D34="",E34=""),"",IFERROR(F34-G34,"-"))</f>
        <v>14757</v>
      </c>
      <c r="I34" s="32" t="n">
        <v>46302</v>
      </c>
      <c r="J34" s="33">
        <f>IF(I34="","",IFERROR(WORKDAY.INTL(I34,-10,"0000001",Holidays!$A$6:$A$55),"-"))</f>
        <v>46289</v>
      </c>
      <c r="K34" s="30" t="n">
        <v>1</v>
      </c>
      <c r="L34" s="30" t="n">
        <v>4250</v>
      </c>
      <c r="M34" s="34">
        <f>IF(OR(D34="",E34="",F34="",K34="",L34=""),"",IFERROR(ROUNDUP(H34/(K34*L34),0),"-"))</f>
        <v>4</v>
      </c>
      <c r="N34" s="33" t="n">
        <v>46247</v>
      </c>
      <c r="O34" s="32">
        <f t="array" ref="O34">IF(OR($D34="",$E34=""),"",IF($N34&lt;&gt;"",$N34,IFERROR(WORKDAY.INTL(LOOKUP(2,1/(($D$2:D33=$D34)*ISNUMBER($P$2:P33)),$P$2:P33),1,"0000001",Holidays!$A$6:$A$55),"")))</f>
        <v>46247</v>
      </c>
      <c r="P34" s="35">
        <f>IF(OR(O34="",H34="",K34="",L34=""),"",IFERROR(WORKDAY.INTL(O34-1,MAX(1,ROUNDUP(H34/(K34*L34),0)),"0000001",Holidays!$A$6:$A$55),"-"))</f>
        <v>46252</v>
      </c>
      <c r="Q34" s="33">
        <f>IF(P34="","",IFERROR(WORKDAY.INTL(P34,3,"0000001",Holidays!$A$6:$A$55),"-"))</f>
        <v>46255</v>
      </c>
      <c r="R34" s="34">
        <f>IF(OR(J34="",P34=""),"",IFERROR(NETWORKDAYS.INTL(P34+1,J34,"0000001",Holidays!$A$6:$A$55),"-"))</f>
        <v>31</v>
      </c>
      <c r="S34" s="33">
        <f>IF(O34="","",IFERROR(WORKDAY.INTL(O34,-10,"0000001",Holidays!$A$6:$A$55),"-"))</f>
        <v>46235</v>
      </c>
      <c r="T34" s="36">
        <f>IF(OR(I34="",Q34=""),"",IF(Q34&lt;=I34-4,1,0))</f>
        <v>1</v>
      </c>
      <c r="U34" s="32" t="n"/>
      <c r="V34" s="30" t="n"/>
      <c r="W34" s="36" t="str">
        <f>IF(OR($U34="",$V34="",$I34=""),"",IF(AND($U34&lt;=$I34-4,$V34&gt;=$F34),1,0))</f>
        <v/>
      </c>
    </row>
    <row r="35" ht="15.75" customHeight="1" thickBot="1">
      <c r="B35" s="37" t="inlineStr">
        <is>
          <t>M7</t>
        </is>
      </c>
      <c r="C35" s="38" t="n">
        <v>6</v>
      </c>
      <c r="D35" s="37" t="n">
        <v>6820</v>
      </c>
      <c r="E35" s="37" t="n">
        <v>7170997977</v>
      </c>
      <c r="F35" s="39" t="n">
        <v>41922</v>
      </c>
      <c r="G35" s="66" t="n">
        <v>0</v>
      </c>
      <c r="H35" s="40">
        <f>IF(OR(D35="",E35=""),"",IFERROR(F35-G35,"-"))</f>
        <v>41922</v>
      </c>
      <c r="I35" s="41" t="n">
        <v>46302</v>
      </c>
      <c r="J35" s="42">
        <f>IF(I35="","",IFERROR(WORKDAY.INTL(I35,-10,"0000001",Holidays!$A$6:$A$55),"-"))</f>
        <v>46289</v>
      </c>
      <c r="K35" s="39" t="n">
        <v>1</v>
      </c>
      <c r="L35" s="39" t="n">
        <v>4250</v>
      </c>
      <c r="M35" s="43">
        <f>IF(OR(D35="",E35="",F35="",K35="",L35=""),"",IFERROR(ROUNDUP(H35/(K35*L35),0),"-"))</f>
        <v>10</v>
      </c>
      <c r="N35" s="42" t="n">
        <v>46260</v>
      </c>
      <c r="O35" s="41">
        <f t="array" ref="O35">IF(OR($D35="",$E35=""),"",IF($N35&lt;&gt;"",$N35,IFERROR(WORKDAY.INTL(LOOKUP(2,1/(($D$2:D34=$D35)*ISNUMBER($P$2:P34)),$P$2:P34),1,"0000001",Holidays!$A$6:$A$55),"")))</f>
        <v>46260</v>
      </c>
      <c r="P35" s="44">
        <f>IF(OR(O35="",H35="",K35="",L35=""),"",IFERROR(WORKDAY.INTL(O35-1,MAX(1,ROUNDUP(H35/(K35*L35),0)),"0000001",Holidays!$A$6:$A$55),"-"))</f>
        <v>46272</v>
      </c>
      <c r="Q35" s="42">
        <f>IF(P35="","",IFERROR(WORKDAY.INTL(P35,3,"0000001",Holidays!$A$6:$A$55),"-"))</f>
        <v>46275</v>
      </c>
      <c r="R35" s="43">
        <f>IF(OR(J35="",P35=""),"",IFERROR(NETWORKDAYS.INTL(P35+1,J35,"0000001",Holidays!$A$6:$A$55),"-"))</f>
        <v>15</v>
      </c>
      <c r="S35" s="42">
        <f>IF(O35="","",IFERROR(WORKDAY.INTL(O35,-10,"0000001",Holidays!$A$6:$A$55),"-"))</f>
        <v>46247</v>
      </c>
      <c r="T35" s="45">
        <f>IF(OR(I35="",Q35=""),"",IF(Q35&lt;=I35-4,1,0))</f>
        <v>1</v>
      </c>
      <c r="U35" s="41" t="n"/>
      <c r="V35" s="39" t="n"/>
      <c r="W35" s="45" t="str">
        <f>IF(OR($U35="",$V35="",$I35=""),"",IF(AND($U35&lt;=$I35-4,$V35&gt;=$F35),1,0))</f>
        <v/>
      </c>
    </row>
    <row r="36">
      <c r="B36" s="28" t="inlineStr">
        <is>
          <t>M5</t>
        </is>
      </c>
      <c r="C36" s="29" t="n">
        <v>1</v>
      </c>
      <c r="D36" s="28" t="inlineStr">
        <is>
          <t>RS26</t>
        </is>
      </c>
      <c r="E36" s="28" t="n">
        <v>7627387866</v>
      </c>
      <c r="F36" s="30" t="n">
        <v>18062</v>
      </c>
      <c r="G36" s="68" t="n">
        <v>18062</v>
      </c>
      <c r="H36" s="31">
        <f>IF(OR(D36="",E36=""),"",IFERROR(F36-G36,"-"))</f>
        <v>0</v>
      </c>
      <c r="I36" s="32" t="n">
        <v>46247</v>
      </c>
      <c r="J36" s="33">
        <f>IF(I36="","",IFERROR(WORKDAY.INTL(I36,-10,"0000001",Holidays!$A$6:$A$55),"-"))</f>
        <v>46235</v>
      </c>
      <c r="K36" s="30" t="n"/>
      <c r="L36" s="30" t="n"/>
      <c r="M36" s="34" t="str">
        <f>IF(OR(D36="",E36="",F36="",K36="",L36=""),"",IFERROR(ROUNDUP(H36/(K36*L36),0),"-"))</f>
        <v/>
      </c>
      <c r="N36" s="33" t="inlineStr">
        <is>
          <t>Close</t>
        </is>
      </c>
      <c r="O36" s="32" t="str">
        <f t="array" ref="O36">IF(OR($D36="",$E36=""),"",IF($N36&lt;&gt;"",$N36,IFERROR(WORKDAY.INTL(LOOKUP(2,1/(($D$2:D35=$D36)*ISNUMBER($P$2:P35)),$P$2:P35),1,"0000001",Holidays!$A$6:$A$55),"")))</f>
        <v>Close</v>
      </c>
      <c r="P36" s="35" t="str">
        <f>IF(OR(O36="",H36="",K36="",L36=""),"",IFERROR(WORKDAY.INTL(O36-1,MAX(1,ROUNDUP(H36/(K36*L36),0)),"0000001",Holidays!$A$6:$A$55),"-"))</f>
        <v/>
      </c>
      <c r="Q36" s="33" t="str">
        <f>IF(P36="","",IFERROR(WORKDAY.INTL(P36,3,"0000001",Holidays!$A$6:$A$55),"-"))</f>
        <v/>
      </c>
      <c r="R36" s="34" t="str">
        <f>IF(OR(J36="",P36=""),"",IFERROR(NETWORKDAYS.INTL(P36+1,J36,"0000001",Holidays!$A$6:$A$55),"-"))</f>
        <v/>
      </c>
      <c r="S36" s="33" t="str">
        <f>IF(O36="","",IFERROR(WORKDAY.INTL(O36,-10,"0000001",Holidays!$A$6:$A$55),"-"))</f>
        <v>-</v>
      </c>
      <c r="T36" s="36" t="str">
        <f>IF(OR(I36="",Q36=""),"",IF(Q36&lt;=I36-4,1,0))</f>
        <v/>
      </c>
      <c r="U36" s="32" t="n"/>
      <c r="V36" s="30" t="n"/>
      <c r="W36" s="36" t="str">
        <f>IF(OR($U36="",$V36="",$I36=""),"",IF(AND($U36&lt;=$I36-4,$V36&gt;=$F36),1,0))</f>
        <v/>
      </c>
    </row>
    <row r="37">
      <c r="B37" s="28" t="inlineStr">
        <is>
          <t>M5</t>
        </is>
      </c>
      <c r="C37" s="29" t="n">
        <v>2</v>
      </c>
      <c r="D37" s="28" t="inlineStr">
        <is>
          <t>RS26</t>
        </is>
      </c>
      <c r="E37" s="28" t="n">
        <v>7644351419</v>
      </c>
      <c r="F37" s="30" t="n">
        <v>5453</v>
      </c>
      <c r="G37" s="68" t="n">
        <v>5453</v>
      </c>
      <c r="H37" s="31">
        <f>IF(OR(D37="",E37=""),"",IFERROR(F37-G37,"-"))</f>
        <v>0</v>
      </c>
      <c r="I37" s="32" t="n">
        <v>46247</v>
      </c>
      <c r="J37" s="33">
        <f>IF(I37="","",IFERROR(WORKDAY.INTL(I37,-10,"0000001",Holidays!$A$6:$A$55),"-"))</f>
        <v>46235</v>
      </c>
      <c r="K37" s="30" t="n"/>
      <c r="L37" s="30" t="n"/>
      <c r="M37" s="34" t="str">
        <f>IF(OR(D37="",E37="",F37="",K37="",L37=""),"",IFERROR(ROUNDUP(H37/(K37*L37),0),"-"))</f>
        <v/>
      </c>
      <c r="N37" s="33" t="inlineStr">
        <is>
          <t>Close</t>
        </is>
      </c>
      <c r="O37" s="32" t="str">
        <f t="array" ref="O37">IF(OR($D37="",$E37=""),"",IF($N37&lt;&gt;"",$N37,IFERROR(WORKDAY.INTL(LOOKUP(2,1/(($D$2:D36=$D37)*ISNUMBER($P$2:P36)),$P$2:P36),1,"0000001",Holidays!$A$6:$A$55),"")))</f>
        <v>Close</v>
      </c>
      <c r="P37" s="35" t="str">
        <f>IF(OR(O37="",H37="",K37="",L37=""),"",IFERROR(WORKDAY.INTL(O37-1,MAX(1,ROUNDUP(H37/(K37*L37),0)),"0000001",Holidays!$A$6:$A$55),"-"))</f>
        <v/>
      </c>
      <c r="Q37" s="33" t="str">
        <f>IF(P37="","",IFERROR(WORKDAY.INTL(P37,3,"0000001",Holidays!$A$6:$A$55),"-"))</f>
        <v/>
      </c>
      <c r="R37" s="34" t="str">
        <f>IF(OR(J37="",P37=""),"",IFERROR(NETWORKDAYS.INTL(P37+1,J37,"0000001",Holidays!$A$6:$A$55),"-"))</f>
        <v/>
      </c>
      <c r="S37" s="33" t="str">
        <f>IF(O37="","",IFERROR(WORKDAY.INTL(O37,-10,"0000001",Holidays!$A$6:$A$55),"-"))</f>
        <v>-</v>
      </c>
      <c r="T37" s="36" t="str">
        <f>IF(OR(I37="",Q37=""),"",IF(Q37&lt;=I37-4,1,0))</f>
        <v/>
      </c>
      <c r="U37" s="32" t="n"/>
      <c r="V37" s="30" t="n"/>
      <c r="W37" s="36" t="str">
        <f>IF(OR($U37="",$V37="",$I37=""),"",IF(AND($U37&lt;=$I37-4,$V37&gt;=$F37),1,0))</f>
        <v/>
      </c>
    </row>
    <row r="38">
      <c r="B38" s="28" t="inlineStr">
        <is>
          <t>M5</t>
        </is>
      </c>
      <c r="C38" s="29" t="n">
        <v>3</v>
      </c>
      <c r="D38" s="28" t="inlineStr">
        <is>
          <t>RS26</t>
        </is>
      </c>
      <c r="E38" s="28" t="n">
        <v>7143748653</v>
      </c>
      <c r="F38" s="30" t="n">
        <v>5958</v>
      </c>
      <c r="G38" s="68" t="n">
        <v>5958</v>
      </c>
      <c r="H38" s="31">
        <f>IF(OR(D38="",E38=""),"",IFERROR(F38-G38,"-"))</f>
        <v>0</v>
      </c>
      <c r="I38" s="32" t="n">
        <v>46247</v>
      </c>
      <c r="J38" s="33">
        <f>IF(I38="","",IFERROR(WORKDAY.INTL(I38,-10,"0000001",Holidays!$A$6:$A$55),"-"))</f>
        <v>46235</v>
      </c>
      <c r="K38" s="30" t="n"/>
      <c r="L38" s="30" t="n"/>
      <c r="M38" s="34" t="str">
        <f>IF(OR(D38="",E38="",F38="",K38="",L38=""),"",IFERROR(ROUNDUP(H38/(K38*L38),0),"-"))</f>
        <v/>
      </c>
      <c r="N38" s="33" t="inlineStr">
        <is>
          <t>Close</t>
        </is>
      </c>
      <c r="O38" s="32" t="str">
        <f t="array" ref="O38">IF(OR($D38="",$E38=""),"",IF($N38&lt;&gt;"",$N38,IFERROR(WORKDAY.INTL(LOOKUP(2,1/(($D$2:D37=$D38)*ISNUMBER($P$2:P37)),$P$2:P37),1,"0000001",Holidays!$A$6:$A$55),"")))</f>
        <v>Close</v>
      </c>
      <c r="P38" s="35" t="str">
        <f>IF(OR(O38="",H38="",K38="",L38=""),"",IFERROR(WORKDAY.INTL(O38-1,MAX(1,ROUNDUP(H38/(K38*L38),0)),"0000001",Holidays!$A$6:$A$55),"-"))</f>
        <v/>
      </c>
      <c r="Q38" s="33" t="str">
        <f>IF(P38="","",IFERROR(WORKDAY.INTL(P38,3,"0000001",Holidays!$A$6:$A$55),"-"))</f>
        <v/>
      </c>
      <c r="R38" s="34" t="str">
        <f>IF(OR(J38="",P38=""),"",IFERROR(NETWORKDAYS.INTL(P38+1,J38,"0000001",Holidays!$A$6:$A$55),"-"))</f>
        <v/>
      </c>
      <c r="S38" s="33" t="str">
        <f>IF(O38="","",IFERROR(WORKDAY.INTL(O38,-10,"0000001",Holidays!$A$6:$A$55),"-"))</f>
        <v>-</v>
      </c>
      <c r="T38" s="36" t="str">
        <f>IF(OR(I38="",Q38=""),"",IF(Q38&lt;=I38-4,1,0))</f>
        <v/>
      </c>
      <c r="U38" s="32" t="n"/>
      <c r="V38" s="30" t="n"/>
      <c r="W38" s="36" t="str">
        <f>IF(OR($U38="",$V38="",$I38=""),"",IF(AND($U38&lt;=$I38-4,$V38&gt;=$F38),1,0))</f>
        <v/>
      </c>
    </row>
    <row r="39">
      <c r="B39" s="28" t="inlineStr">
        <is>
          <t>M5</t>
        </is>
      </c>
      <c r="C39" s="29" t="n">
        <v>4</v>
      </c>
      <c r="D39" s="28" t="inlineStr">
        <is>
          <t>RS26</t>
        </is>
      </c>
      <c r="E39" s="28" t="n">
        <v>7704849162</v>
      </c>
      <c r="F39" s="30" t="n">
        <v>5504</v>
      </c>
      <c r="G39" s="68" t="n">
        <v>5504</v>
      </c>
      <c r="H39" s="31">
        <f>IF(OR(D39="",E39=""),"",IFERROR(F39-G39,"-"))</f>
        <v>0</v>
      </c>
      <c r="I39" s="32" t="n">
        <v>46247</v>
      </c>
      <c r="J39" s="33">
        <f>IF(I39="","",IFERROR(WORKDAY.INTL(I39,-10,"0000001",Holidays!$A$6:$A$55),"-"))</f>
        <v>46235</v>
      </c>
      <c r="K39" s="30" t="n"/>
      <c r="L39" s="30" t="n"/>
      <c r="M39" s="34" t="str">
        <f>IF(OR(D39="",E39="",F39="",K39="",L39=""),"",IFERROR(ROUNDUP(H39/(K39*L39),0),"-"))</f>
        <v/>
      </c>
      <c r="N39" s="33" t="inlineStr">
        <is>
          <t>Close</t>
        </is>
      </c>
      <c r="O39" s="32" t="str">
        <f t="array" ref="O39">IF(OR($D39="",$E39=""),"",IF($N39&lt;&gt;"",$N39,IFERROR(WORKDAY.INTL(LOOKUP(2,1/(($D$2:D38=$D39)*ISNUMBER($P$2:P38)),$P$2:P38),1,"0000001",Holidays!$A$6:$A$55),"")))</f>
        <v>Close</v>
      </c>
      <c r="P39" s="35" t="str">
        <f>IF(OR(O39="",H39="",K39="",L39=""),"",IFERROR(WORKDAY.INTL(O39-1,MAX(1,ROUNDUP(H39/(K39*L39),0)),"0000001",Holidays!$A$6:$A$55),"-"))</f>
        <v/>
      </c>
      <c r="Q39" s="33" t="str">
        <f>IF(P39="","",IFERROR(WORKDAY.INTL(P39,3,"0000001",Holidays!$A$6:$A$55),"-"))</f>
        <v/>
      </c>
      <c r="R39" s="34" t="str">
        <f>IF(OR(J39="",P39=""),"",IFERROR(NETWORKDAYS.INTL(P39+1,J39,"0000001",Holidays!$A$6:$A$55),"-"))</f>
        <v/>
      </c>
      <c r="S39" s="33" t="str">
        <f>IF(O39="","",IFERROR(WORKDAY.INTL(O39,-10,"0000001",Holidays!$A$6:$A$55),"-"))</f>
        <v>-</v>
      </c>
      <c r="T39" s="36" t="str">
        <f>IF(OR(I39="",Q39=""),"",IF(Q39&lt;=I39-4,1,0))</f>
        <v/>
      </c>
      <c r="U39" s="32" t="n"/>
      <c r="V39" s="30" t="n"/>
      <c r="W39" s="36" t="str">
        <f>IF(OR($U39="",$V39="",$I39=""),"",IF(AND($U39&lt;=$I39-4,$V39&gt;=$F39),1,0))</f>
        <v/>
      </c>
    </row>
    <row r="40">
      <c r="B40" s="28" t="inlineStr">
        <is>
          <t>M5</t>
        </is>
      </c>
      <c r="C40" s="29" t="n">
        <v>5</v>
      </c>
      <c r="D40" s="28" t="inlineStr">
        <is>
          <t>RS26</t>
        </is>
      </c>
      <c r="E40" s="28" t="n">
        <v>7493971231</v>
      </c>
      <c r="F40" s="30" t="n">
        <v>9524</v>
      </c>
      <c r="G40" s="68" t="n">
        <v>9524</v>
      </c>
      <c r="H40" s="31">
        <f>IF(OR(D40="",E40=""),"",IFERROR(F40-G40,"-"))</f>
        <v>0</v>
      </c>
      <c r="I40" s="32" t="n">
        <v>46251</v>
      </c>
      <c r="J40" s="33">
        <f>IF(I40="","",IFERROR(WORKDAY.INTL(I40,-10,"0000001",Holidays!$A$6:$A$55),"-"))</f>
        <v>46238</v>
      </c>
      <c r="K40" s="30" t="n"/>
      <c r="L40" s="30" t="inlineStr">
        <is>
          <t xml:space="preserve">   </t>
        </is>
      </c>
      <c r="M40" s="34" t="str">
        <f>IF(OR(D40="",E40="",F40="",K40="",L40=""),"",IFERROR(ROUNDUP(H40/(K40*L40),0),"-"))</f>
        <v/>
      </c>
      <c r="N40" s="33" t="inlineStr">
        <is>
          <t>Close</t>
        </is>
      </c>
      <c r="O40" s="32" t="str">
        <f t="array" ref="O40">IF(OR($D40="",$E40=""),"",IF($N40&lt;&gt;"",$N40,IFERROR(WORKDAY.INTL(LOOKUP(2,1/(($D$2:D39=$D40)*ISNUMBER($P$2:P39)),$P$2:P39),1,"0000001",Holidays!$A$6:$A$55),"")))</f>
        <v>Close</v>
      </c>
      <c r="P40" s="35" t="str">
        <f>IF(OR(O40="",H40="",K40="",L40=""),"",IFERROR(WORKDAY.INTL(O40-1,MAX(1,ROUNDUP(H40/(K40*L40),0)),"0000001",Holidays!$A$6:$A$55),"-"))</f>
        <v/>
      </c>
      <c r="Q40" s="33" t="str">
        <f>IF(P40="","",IFERROR(WORKDAY.INTL(P40,3,"0000001",Holidays!$A$6:$A$55),"-"))</f>
        <v/>
      </c>
      <c r="R40" s="34" t="str">
        <f>IF(OR(J40="",P40=""),"",IFERROR(NETWORKDAYS.INTL(P40+1,J40,"0000001",Holidays!$A$6:$A$55),"-"))</f>
        <v/>
      </c>
      <c r="S40" s="33" t="str">
        <f>IF(O40="","",IFERROR(WORKDAY.INTL(O40,-10,"0000001",Holidays!$A$6:$A$55),"-"))</f>
        <v>-</v>
      </c>
      <c r="T40" s="36" t="str">
        <f>IF(OR(I40="",Q40=""),"",IF(Q40&lt;=I40-4,1,0))</f>
        <v/>
      </c>
      <c r="U40" s="32" t="n"/>
      <c r="V40" s="30" t="n"/>
      <c r="W40" s="36" t="str">
        <f>IF(OR($U40="",$V40="",$I40=""),"",IF(AND($U40&lt;=$I40-4,$V40&gt;=$F40),1,0))</f>
        <v/>
      </c>
    </row>
    <row r="41">
      <c r="B41" s="28" t="inlineStr">
        <is>
          <t>M5</t>
        </is>
      </c>
      <c r="C41" s="29" t="n">
        <v>6</v>
      </c>
      <c r="D41" s="28" t="inlineStr">
        <is>
          <t>RS26</t>
        </is>
      </c>
      <c r="E41" s="28" t="n">
        <v>7533133898</v>
      </c>
      <c r="F41" s="30" t="n">
        <v>4467</v>
      </c>
      <c r="G41" s="68" t="n">
        <v>4467</v>
      </c>
      <c r="H41" s="31">
        <f>IF(OR(D41="",E41=""),"",IFERROR(F41-G41,"-"))</f>
        <v>0</v>
      </c>
      <c r="I41" s="32" t="n">
        <v>46251</v>
      </c>
      <c r="J41" s="33">
        <f>IF(I41="","",IFERROR(WORKDAY.INTL(I41,-10,"0000001",Holidays!$A$6:$A$55),"-"))</f>
        <v>46238</v>
      </c>
      <c r="K41" s="30" t="n"/>
      <c r="L41" s="30" t="n"/>
      <c r="M41" s="34" t="str">
        <f>IF(OR(D41="",E41="",F41="",K41="",L41=""),"",IFERROR(ROUNDUP(H41/(K41*L41),0),"-"))</f>
        <v/>
      </c>
      <c r="N41" s="33" t="inlineStr">
        <is>
          <t>Close</t>
        </is>
      </c>
      <c r="O41" s="32" t="str">
        <f t="array" ref="O41">IF(OR($D41="",$E41=""),"",IF($N41&lt;&gt;"",$N41,IFERROR(WORKDAY.INTL(LOOKUP(2,1/(($D$2:D40=$D41)*ISNUMBER($P$2:P40)),$P$2:P40),1,"0000001",Holidays!$A$6:$A$55),"")))</f>
        <v>Close</v>
      </c>
      <c r="P41" s="35" t="str">
        <f>IF(OR(O41="",H41="",K41="",L41=""),"",IFERROR(WORKDAY.INTL(O41-1,MAX(1,ROUNDUP(H41/(K41*L41),0)),"0000001",Holidays!$A$6:$A$55),"-"))</f>
        <v/>
      </c>
      <c r="Q41" s="33" t="str">
        <f>IF(P41="","",IFERROR(WORKDAY.INTL(P41,3,"0000001",Holidays!$A$6:$A$55),"-"))</f>
        <v/>
      </c>
      <c r="R41" s="34" t="str">
        <f>IF(OR(J41="",P41=""),"",IFERROR(NETWORKDAYS.INTL(P41+1,J41,"0000001",Holidays!$A$6:$A$55),"-"))</f>
        <v/>
      </c>
      <c r="S41" s="33" t="str">
        <f>IF(O41="","",IFERROR(WORKDAY.INTL(O41,-10,"0000001",Holidays!$A$6:$A$55),"-"))</f>
        <v>-</v>
      </c>
      <c r="T41" s="36" t="str">
        <f>IF(OR(I41="",Q41=""),"",IF(Q41&lt;=I41-4,1,0))</f>
        <v/>
      </c>
      <c r="U41" s="32" t="n"/>
      <c r="V41" s="30" t="n"/>
      <c r="W41" s="36" t="str">
        <f>IF(OR($U41="",$V41="",$I41=""),"",IF(AND($U41&lt;=$I41-4,$V41&gt;=$F41),1,0))</f>
        <v/>
      </c>
    </row>
    <row r="42">
      <c r="B42" s="28" t="inlineStr">
        <is>
          <t>M5</t>
        </is>
      </c>
      <c r="C42" s="29" t="n">
        <v>7</v>
      </c>
      <c r="D42" s="28" t="inlineStr">
        <is>
          <t>RS26</t>
        </is>
      </c>
      <c r="E42" s="28" t="n">
        <v>7502906215</v>
      </c>
      <c r="F42" s="30" t="n">
        <v>3961</v>
      </c>
      <c r="G42" s="68" t="n">
        <v>3961</v>
      </c>
      <c r="H42" s="31">
        <f>IF(OR(D42="",E42=""),"",IFERROR(F42-G42,"-"))</f>
        <v>0</v>
      </c>
      <c r="I42" s="32" t="n">
        <v>46251</v>
      </c>
      <c r="J42" s="33">
        <f>IF(I42="","",IFERROR(WORKDAY.INTL(I42,-10,"0000001",Holidays!$A$6:$A$55),"-"))</f>
        <v>46238</v>
      </c>
      <c r="K42" s="30" t="n"/>
      <c r="L42" s="30" t="n"/>
      <c r="M42" s="34" t="str">
        <f>IF(OR(D42="",E42="",F42="",K42="",L42=""),"",IFERROR(ROUNDUP(H42/(K42*L42),0),"-"))</f>
        <v/>
      </c>
      <c r="N42" s="33" t="inlineStr">
        <is>
          <t>Close</t>
        </is>
      </c>
      <c r="O42" s="32" t="str">
        <f t="array" ref="O42">IF(OR($D42="",$E42=""),"",IF($N42&lt;&gt;"",$N42,IFERROR(WORKDAY.INTL(LOOKUP(2,1/(($D$2:D41=$D42)*ISNUMBER($P$2:P41)),$P$2:P41),1,"0000001",Holidays!$A$6:$A$55),"")))</f>
        <v>Close</v>
      </c>
      <c r="P42" s="35" t="str">
        <f>IF(OR(O42="",H42="",K42="",L42=""),"",IFERROR(WORKDAY.INTL(O42-1,MAX(1,ROUNDUP(H42/(K42*L42),0)),"0000001",Holidays!$A$6:$A$55),"-"))</f>
        <v/>
      </c>
      <c r="Q42" s="33" t="str">
        <f>IF(P42="","",IFERROR(WORKDAY.INTL(P42,3,"0000001",Holidays!$A$6:$A$55),"-"))</f>
        <v/>
      </c>
      <c r="R42" s="34" t="str">
        <f>IF(OR(J42="",P42=""),"",IFERROR(NETWORKDAYS.INTL(P42+1,J42,"0000001",Holidays!$A$6:$A$55),"-"))</f>
        <v/>
      </c>
      <c r="S42" s="33" t="str">
        <f>IF(O42="","",IFERROR(WORKDAY.INTL(O42,-10,"0000001",Holidays!$A$6:$A$55),"-"))</f>
        <v>-</v>
      </c>
      <c r="T42" s="36" t="str">
        <f>IF(OR(I42="",Q42=""),"",IF(Q42&lt;=I42-4,1,0))</f>
        <v/>
      </c>
      <c r="U42" s="32" t="n"/>
      <c r="V42" s="30" t="n"/>
      <c r="W42" s="36" t="str">
        <f>IF(OR($U42="",$V42="",$I42=""),"",IF(AND($U42&lt;=$I42-4,$V42&gt;=$F42),1,0))</f>
        <v/>
      </c>
    </row>
    <row r="43">
      <c r="B43" s="28" t="inlineStr">
        <is>
          <t>M5</t>
        </is>
      </c>
      <c r="C43" s="29" t="n">
        <v>8</v>
      </c>
      <c r="D43" s="28" t="inlineStr">
        <is>
          <t>RS26</t>
        </is>
      </c>
      <c r="E43" s="28" t="n">
        <v>7294446425</v>
      </c>
      <c r="F43" s="30" t="n">
        <v>4752</v>
      </c>
      <c r="G43" s="68" t="n">
        <v>4752</v>
      </c>
      <c r="H43" s="31">
        <f>IF(OR(D43="",E43=""),"",IFERROR(F43-G43,"-"))</f>
        <v>0</v>
      </c>
      <c r="I43" s="32" t="n">
        <v>46251</v>
      </c>
      <c r="J43" s="33">
        <f>IF(I43="","",IFERROR(WORKDAY.INTL(I43,-10,"0000001",Holidays!$A$6:$A$55),"-"))</f>
        <v>46238</v>
      </c>
      <c r="K43" s="30" t="n"/>
      <c r="L43" s="30" t="n"/>
      <c r="M43" s="34" t="str">
        <f>IF(OR(D43="",E43="",F43="",K43="",L43=""),"",IFERROR(ROUNDUP(H43/(K43*L43),0),"-"))</f>
        <v/>
      </c>
      <c r="N43" s="33" t="inlineStr">
        <is>
          <t>Close</t>
        </is>
      </c>
      <c r="O43" s="32" t="str">
        <f t="array" ref="O43">IF(OR($D43="",$E43=""),"",IF($N43&lt;&gt;"",$N43,IFERROR(WORKDAY.INTL(LOOKUP(2,1/(($D$2:D42=$D43)*ISNUMBER($P$2:P42)),$P$2:P42),1,"0000001",Holidays!$A$6:$A$55),"")))</f>
        <v>Close</v>
      </c>
      <c r="P43" s="35" t="str">
        <f>IF(OR(O43="",H43="",K43="",L43=""),"",IFERROR(WORKDAY.INTL(O43-1,MAX(1,ROUNDUP(H43/(K43*L43),0)),"0000001",Holidays!$A$6:$A$55),"-"))</f>
        <v/>
      </c>
      <c r="Q43" s="33" t="str">
        <f>IF(P43="","",IFERROR(WORKDAY.INTL(P43,3,"0000001",Holidays!$A$6:$A$55),"-"))</f>
        <v/>
      </c>
      <c r="R43" s="34" t="str">
        <f>IF(OR(J43="",P43=""),"",IFERROR(NETWORKDAYS.INTL(P43+1,J43,"0000001",Holidays!$A$6:$A$55),"-"))</f>
        <v/>
      </c>
      <c r="S43" s="33" t="str">
        <f>IF(O43="","",IFERROR(WORKDAY.INTL(O43,-10,"0000001",Holidays!$A$6:$A$55),"-"))</f>
        <v>-</v>
      </c>
      <c r="T43" s="36" t="str">
        <f>IF(OR(I43="",Q43=""),"",IF(Q43&lt;=I43-4,1,0))</f>
        <v/>
      </c>
      <c r="U43" s="32" t="n"/>
      <c r="V43" s="30" t="n"/>
      <c r="W43" s="36" t="str">
        <f>IF(OR($U43="",$V43="",$I43=""),"",IF(AND($U43&lt;=$I43-4,$V43&gt;=$F43),1,0))</f>
        <v/>
      </c>
    </row>
    <row r="44">
      <c r="B44" s="28" t="inlineStr">
        <is>
          <t>M6</t>
        </is>
      </c>
      <c r="C44" s="29" t="n">
        <v>9</v>
      </c>
      <c r="D44" s="28" t="inlineStr">
        <is>
          <t>RS26</t>
        </is>
      </c>
      <c r="E44" s="28" t="n">
        <v>7977288978</v>
      </c>
      <c r="F44" s="30" t="n">
        <v>26533</v>
      </c>
      <c r="G44" s="68" t="n">
        <v>13695</v>
      </c>
      <c r="H44" s="31">
        <f>IF(OR(D44="",E44=""),"",IFERROR(F44-G44,"-"))</f>
        <v>12838</v>
      </c>
      <c r="I44" s="32" t="n">
        <v>46283</v>
      </c>
      <c r="J44" s="33">
        <f>IF(I44="","",IFERROR(WORKDAY.INTL(I44,-10,"0000001",Holidays!$A$6:$A$55),"-"))</f>
        <v>46272</v>
      </c>
      <c r="K44" s="30" t="n">
        <v>2</v>
      </c>
      <c r="L44" s="30" t="n">
        <v>2975</v>
      </c>
      <c r="M44" s="34">
        <f>IF(OR(D44="",E44="",F44="",K44="",L44=""),"",IFERROR(ROUNDUP(H44/(K44*L44),0),"-"))</f>
        <v>3</v>
      </c>
      <c r="N44" s="33" t="n">
        <v>46247</v>
      </c>
      <c r="O44" s="32">
        <f t="array" ref="O44">IF(OR($D44="",$E44=""),"",IF($N44&lt;&gt;"",$N44,IFERROR(WORKDAY.INTL(LOOKUP(2,1/(($D$2:D43=$D44)*ISNUMBER($P$2:P43)),$P$2:P43),1,"0000001",Holidays!$A$6:$A$55),"")))</f>
        <v>46247</v>
      </c>
      <c r="P44" s="35">
        <f>IF(OR(O44="",H44="",K44="",L44=""),"",IFERROR(WORKDAY.INTL(O44-1,MAX(1,ROUNDUP(H44/(K44*L44),0)),"0000001",Holidays!$A$6:$A$55),"-"))</f>
        <v>46251</v>
      </c>
      <c r="Q44" s="33">
        <f>IF(P44="","",IFERROR(WORKDAY.INTL(P44,3,"0000001",Holidays!$A$6:$A$55),"-"))</f>
        <v>46254</v>
      </c>
      <c r="R44" s="34">
        <f>IF(OR(J44="",P44=""),"",IFERROR(NETWORKDAYS.INTL(P44+1,J44,"0000001",Holidays!$A$6:$A$55),"-"))</f>
        <v>17</v>
      </c>
      <c r="S44" s="33">
        <f>IF(O44="","",IFERROR(WORKDAY.INTL(O44,-10,"0000001",Holidays!$A$6:$A$55),"-"))</f>
        <v>46235</v>
      </c>
      <c r="T44" s="36">
        <f>IF(OR(I44="",Q44=""),"",IF(Q44&lt;=I44-4,1,0))</f>
        <v>1</v>
      </c>
      <c r="U44" s="32" t="n"/>
      <c r="V44" s="30" t="n"/>
      <c r="W44" s="36" t="str">
        <f>IF(OR($U44="",$V44="",$I44=""),"",IF(AND($U44&lt;=$I44-4,$V44&gt;=$F44),1,0))</f>
        <v/>
      </c>
    </row>
    <row r="45">
      <c r="B45" s="28" t="inlineStr">
        <is>
          <t>M6</t>
        </is>
      </c>
      <c r="C45" s="29" t="n">
        <v>10</v>
      </c>
      <c r="D45" s="28" t="inlineStr">
        <is>
          <t>RS26</t>
        </is>
      </c>
      <c r="E45" s="28" t="n">
        <v>7702083978</v>
      </c>
      <c r="F45" s="30" t="n">
        <v>18883</v>
      </c>
      <c r="G45" s="68" t="n">
        <v>0</v>
      </c>
      <c r="H45" s="31">
        <f>IF(OR(D45="",E45=""),"",IFERROR(F45-G45,"-"))</f>
        <v>18883</v>
      </c>
      <c r="I45" s="32" t="n">
        <v>46283</v>
      </c>
      <c r="J45" s="33">
        <f>IF(I45="","",IFERROR(WORKDAY.INTL(I45,-10,"0000001",Holidays!$A$6:$A$55),"-"))</f>
        <v>46272</v>
      </c>
      <c r="K45" s="30" t="n">
        <v>2</v>
      </c>
      <c r="L45" s="30" t="n">
        <v>2975</v>
      </c>
      <c r="M45" s="34">
        <f>IF(OR(D45="",E45="",F45="",K45="",L45=""),"",IFERROR(ROUNDUP(H45/(K45*L45),0),"-"))</f>
        <v>4</v>
      </c>
      <c r="N45" s="33" t="n">
        <v>46254</v>
      </c>
      <c r="O45" s="32">
        <f t="array" ref="O45">IF(OR($D45="",$E45=""),"",IF($N45&lt;&gt;"",$N45,IFERROR(WORKDAY.INTL(LOOKUP(2,1/(($D$2:D44=$D45)*ISNUMBER($P$2:P44)),$P$2:P44),1,"0000001",Holidays!$A$6:$A$55),"")))</f>
        <v>46254</v>
      </c>
      <c r="P45" s="35">
        <f>IF(OR(O45="",H45="",K45="",L45=""),"",IFERROR(WORKDAY.INTL(O45-1,MAX(1,ROUNDUP(H45/(K45*L45),0)),"0000001",Holidays!$A$6:$A$55),"-"))</f>
        <v>46258</v>
      </c>
      <c r="Q45" s="33">
        <f>IF(P45="","",IFERROR(WORKDAY.INTL(P45,3,"0000001",Holidays!$A$6:$A$55),"-"))</f>
        <v>46261</v>
      </c>
      <c r="R45" s="34">
        <f>IF(OR(J45="",P45=""),"",IFERROR(NETWORKDAYS.INTL(P45+1,J45,"0000001",Holidays!$A$6:$A$55),"-"))</f>
        <v>11</v>
      </c>
      <c r="S45" s="33">
        <f>IF(O45="","",IFERROR(WORKDAY.INTL(O45,-10,"0000001",Holidays!$A$6:$A$55),"-"))</f>
        <v>46241</v>
      </c>
      <c r="T45" s="36">
        <f>IF(OR(I45="",Q45=""),"",IF(Q45&lt;=I45-4,1,0))</f>
        <v>1</v>
      </c>
      <c r="U45" s="32" t="n"/>
      <c r="V45" s="30" t="n"/>
      <c r="W45" s="36" t="str">
        <f>IF(OR($U45="",$V45="",$I45=""),"",IF(AND($U45&lt;=$I45-4,$V45&gt;=$F45),1,0))</f>
        <v/>
      </c>
    </row>
    <row r="46">
      <c r="B46" s="28" t="inlineStr">
        <is>
          <t>M6</t>
        </is>
      </c>
      <c r="C46" s="29" t="n">
        <v>11</v>
      </c>
      <c r="D46" s="28" t="inlineStr">
        <is>
          <t>RS26</t>
        </is>
      </c>
      <c r="E46" s="28" t="n">
        <v>7685354228</v>
      </c>
      <c r="F46" s="30" t="n">
        <v>20366</v>
      </c>
      <c r="G46" s="68" t="n">
        <v>0</v>
      </c>
      <c r="H46" s="31">
        <f>IF(OR(D46="",E46=""),"",IFERROR(F46-G46,"-"))</f>
        <v>20366</v>
      </c>
      <c r="I46" s="32" t="n">
        <v>46283</v>
      </c>
      <c r="J46" s="33">
        <f>IF(I46="","",IFERROR(WORKDAY.INTL(I46,-10,"0000001",Holidays!$A$6:$A$55),"-"))</f>
        <v>46272</v>
      </c>
      <c r="K46" s="30" t="n">
        <v>2</v>
      </c>
      <c r="L46" s="30" t="n">
        <v>2975</v>
      </c>
      <c r="M46" s="34">
        <f>IF(OR(D46="",E46="",F46="",K46="",L46=""),"",IFERROR(ROUNDUP(H46/(K46*L46),0),"-"))</f>
        <v>4</v>
      </c>
      <c r="N46" s="34" t="n"/>
      <c r="O46" s="32">
        <f t="array" ref="O46">IF(OR($D46="",$E46=""),"",IF($N46&lt;&gt;"",$N46,IFERROR(WORKDAY.INTL(LOOKUP(2,1/(($D$2:D45=$D46)*ISNUMBER($P$2:P45)),$P$2:P45),1,"0000001",Holidays!$A$6:$A$55),"")))</f>
        <v>46259</v>
      </c>
      <c r="P46" s="35">
        <f>IF(OR(O46="",H46="",K46="",L46=""),"",IFERROR(WORKDAY.INTL(O46-1,MAX(1,ROUNDUP(H46/(K46*L46),0)),"0000001",Holidays!$A$6:$A$55),"-"))</f>
        <v>46263</v>
      </c>
      <c r="Q46" s="33">
        <f>IF(P46="","",IFERROR(WORKDAY.INTL(P46,3,"0000001",Holidays!$A$6:$A$55),"-"))</f>
        <v>46267</v>
      </c>
      <c r="R46" s="34">
        <f>IF(OR(J46="",P46=""),"",IFERROR(NETWORKDAYS.INTL(P46+1,J46,"0000001",Holidays!$A$6:$A$55),"-"))</f>
        <v>7</v>
      </c>
      <c r="S46" s="33">
        <f>IF(O46="","",IFERROR(WORKDAY.INTL(O46,-10,"0000001",Holidays!$A$6:$A$55),"-"))</f>
        <v>46246</v>
      </c>
      <c r="T46" s="36">
        <f>IF(OR(I46="",Q46=""),"",IF(Q46&lt;=I46-4,1,0))</f>
        <v>1</v>
      </c>
      <c r="U46" s="32" t="n"/>
      <c r="V46" s="30" t="n"/>
      <c r="W46" s="36" t="str">
        <f>IF(OR($U46="",$V46="",$I46=""),"",IF(AND($U46&lt;=$I46-4,$V46&gt;=$F46),1,0))</f>
        <v/>
      </c>
    </row>
    <row r="47">
      <c r="B47" s="28" t="inlineStr">
        <is>
          <t>M6</t>
        </is>
      </c>
      <c r="C47" s="29" t="n">
        <v>12</v>
      </c>
      <c r="D47" s="28" t="inlineStr">
        <is>
          <t>RS26</t>
        </is>
      </c>
      <c r="E47" s="28" t="n">
        <v>7443774330</v>
      </c>
      <c r="F47" s="30" t="n">
        <v>7892</v>
      </c>
      <c r="G47" s="68" t="n">
        <v>0</v>
      </c>
      <c r="H47" s="31">
        <f>IF(OR(D47="",E47=""),"",IFERROR(F47-G47,"-"))</f>
        <v>7892</v>
      </c>
      <c r="I47" s="32" t="n">
        <v>46283</v>
      </c>
      <c r="J47" s="33">
        <f>IF(I47="","",IFERROR(WORKDAY.INTL(I47,-10,"0000001",Holidays!$A$6:$A$55),"-"))</f>
        <v>46272</v>
      </c>
      <c r="K47" s="30" t="n">
        <v>2</v>
      </c>
      <c r="L47" s="30" t="n">
        <v>2975</v>
      </c>
      <c r="M47" s="34">
        <f>IF(OR(D47="",E47="",F47="",K47="",L47=""),"",IFERROR(ROUNDUP(H47/(K47*L47),0),"-"))</f>
        <v>2</v>
      </c>
      <c r="N47" s="34" t="n"/>
      <c r="O47" s="32">
        <f t="array" ref="O47">IF(OR($D47="",$E47=""),"",IF($N47&lt;&gt;"",$N47,IFERROR(WORKDAY.INTL(LOOKUP(2,1/(($D$2:D46=$D47)*ISNUMBER($P$2:P46)),$P$2:P46),1,"0000001",Holidays!$A$6:$A$55),"")))</f>
        <v>46265</v>
      </c>
      <c r="P47" s="35">
        <f>IF(OR(O47="",H47="",K47="",L47=""),"",IFERROR(WORKDAY.INTL(O47-1,MAX(1,ROUNDUP(H47/(K47*L47),0)),"0000001",Holidays!$A$6:$A$55),"-"))</f>
        <v>46266</v>
      </c>
      <c r="Q47" s="33">
        <f>IF(P47="","",IFERROR(WORKDAY.INTL(P47,3,"0000001",Holidays!$A$6:$A$55),"-"))</f>
        <v>46269</v>
      </c>
      <c r="R47" s="34">
        <f>IF(OR(J47="",P47=""),"",IFERROR(NETWORKDAYS.INTL(P47+1,J47,"0000001",Holidays!$A$6:$A$55),"-"))</f>
        <v>5</v>
      </c>
      <c r="S47" s="33">
        <f>IF(O47="","",IFERROR(WORKDAY.INTL(O47,-10,"0000001",Holidays!$A$6:$A$55),"-"))</f>
        <v>46252</v>
      </c>
      <c r="T47" s="36">
        <f>IF(OR(I47="",Q47=""),"",IF(Q47&lt;=I47-4,1,0))</f>
        <v>1</v>
      </c>
      <c r="U47" s="32" t="n"/>
      <c r="V47" s="30" t="n"/>
      <c r="W47" s="36" t="str">
        <f>IF(OR($U47="",$V47="",$I47=""),"",IF(AND($U47&lt;=$I47-4,$V47&gt;=$F47),1,0))</f>
        <v/>
      </c>
    </row>
    <row r="48">
      <c r="B48" s="28" t="inlineStr">
        <is>
          <t>M6</t>
        </is>
      </c>
      <c r="C48" s="29" t="n">
        <v>13</v>
      </c>
      <c r="D48" s="28" t="inlineStr">
        <is>
          <t>RS26</t>
        </is>
      </c>
      <c r="E48" s="28" t="n">
        <v>7489342458</v>
      </c>
      <c r="F48" s="30" t="n">
        <v>3413</v>
      </c>
      <c r="G48" s="68" t="n">
        <v>0</v>
      </c>
      <c r="H48" s="31">
        <f>IF(OR(D48="",E48=""),"",IFERROR(F48-G48,"-"))</f>
        <v>3413</v>
      </c>
      <c r="I48" s="32" t="n">
        <v>46283</v>
      </c>
      <c r="J48" s="33">
        <f>IF(I48="","",IFERROR(WORKDAY.INTL(I48,-10,"0000001",Holidays!$A$6:$A$55),"-"))</f>
        <v>46272</v>
      </c>
      <c r="K48" s="30" t="n">
        <v>2</v>
      </c>
      <c r="L48" s="30" t="n">
        <v>2975</v>
      </c>
      <c r="M48" s="34">
        <f>IF(OR(D48="",E48="",F48="",K48="",L48=""),"",IFERROR(ROUNDUP(H48/(K48*L48),0),"-"))</f>
        <v>1</v>
      </c>
      <c r="N48" s="34" t="n"/>
      <c r="O48" s="32">
        <f t="array" ref="O48">IF(OR($D48="",$E48=""),"",IF($N48&lt;&gt;"",$N48,IFERROR(WORKDAY.INTL(LOOKUP(2,1/(($D$2:D47=$D48)*ISNUMBER($P$2:P47)),$P$2:P47),1,"0000001",Holidays!$A$6:$A$55),"")))</f>
        <v>46267</v>
      </c>
      <c r="P48" s="35">
        <f>IF(OR(O48="",H48="",K48="",L48=""),"",IFERROR(WORKDAY.INTL(O48-1,MAX(1,ROUNDUP(H48/(K48*L48),0)),"0000001",Holidays!$A$6:$A$55),"-"))</f>
        <v>46267</v>
      </c>
      <c r="Q48" s="33">
        <f>IF(P48="","",IFERROR(WORKDAY.INTL(P48,3,"0000001",Holidays!$A$6:$A$55),"-"))</f>
        <v>46270</v>
      </c>
      <c r="R48" s="34">
        <f>IF(OR(J48="",P48=""),"",IFERROR(NETWORKDAYS.INTL(P48+1,J48,"0000001",Holidays!$A$6:$A$55),"-"))</f>
        <v>4</v>
      </c>
      <c r="S48" s="33">
        <f>IF(O48="","",IFERROR(WORKDAY.INTL(O48,-10,"0000001",Holidays!$A$6:$A$55),"-"))</f>
        <v>46254</v>
      </c>
      <c r="T48" s="36">
        <f>IF(OR(I48="",Q48=""),"",IF(Q48&lt;=I48-4,1,0))</f>
        <v>1</v>
      </c>
      <c r="U48" s="32" t="n"/>
      <c r="V48" s="30" t="n"/>
      <c r="W48" s="36" t="str">
        <f>IF(OR($U48="",$V48="",$I48=""),"",IF(AND($U48&lt;=$I48-4,$V48&gt;=$F48),1,0))</f>
        <v/>
      </c>
    </row>
    <row r="49">
      <c r="B49" s="28" t="inlineStr">
        <is>
          <t>M6</t>
        </is>
      </c>
      <c r="C49" s="29" t="n">
        <v>14</v>
      </c>
      <c r="D49" s="28" t="inlineStr">
        <is>
          <t>RS26</t>
        </is>
      </c>
      <c r="E49" s="28" t="n">
        <v>7458868563</v>
      </c>
      <c r="F49" s="30" t="n">
        <v>15874</v>
      </c>
      <c r="G49" s="68" t="n">
        <v>2774</v>
      </c>
      <c r="H49" s="31">
        <f>IF(OR(D49="",E49=""),"",IFERROR(F49-G49,"-"))</f>
        <v>13100</v>
      </c>
      <c r="I49" s="32" t="n">
        <v>46283</v>
      </c>
      <c r="J49" s="33">
        <f>IF(I49="","",IFERROR(WORKDAY.INTL(I49,-10,"0000001",Holidays!$A$6:$A$55),"-"))</f>
        <v>46272</v>
      </c>
      <c r="K49" s="30" t="n">
        <v>2</v>
      </c>
      <c r="L49" s="30" t="n">
        <v>2975</v>
      </c>
      <c r="M49" s="34">
        <f>IF(OR(D49="",E49="",F49="",K49="",L49=""),"",IFERROR(ROUNDUP(H49/(K49*L49),0),"-"))</f>
        <v>3</v>
      </c>
      <c r="N49" s="34" t="n"/>
      <c r="O49" s="32">
        <f t="array" ref="O49">IF(OR($D49="",$E49=""),"",IF($N49&lt;&gt;"",$N49,IFERROR(WORKDAY.INTL(LOOKUP(2,1/(($D$2:D48=$D49)*ISNUMBER($P$2:P48)),$P$2:P48),1,"0000001",Holidays!$A$6:$A$55),"")))</f>
        <v>46268</v>
      </c>
      <c r="P49" s="35">
        <f>IF(OR(O49="",H49="",K49="",L49=""),"",IFERROR(WORKDAY.INTL(O49-1,MAX(1,ROUNDUP(H49/(K49*L49),0)),"0000001",Holidays!$A$6:$A$55),"-"))</f>
        <v>46270</v>
      </c>
      <c r="Q49" s="33">
        <f>IF(P49="","",IFERROR(WORKDAY.INTL(P49,3,"0000001",Holidays!$A$6:$A$55),"-"))</f>
        <v>46274</v>
      </c>
      <c r="R49" s="34">
        <f>IF(OR(J49="",P49=""),"",IFERROR(NETWORKDAYS.INTL(P49+1,J49,"0000001",Holidays!$A$6:$A$55),"-"))</f>
        <v>1</v>
      </c>
      <c r="S49" s="33">
        <f>IF(O49="","",IFERROR(WORKDAY.INTL(O49,-10,"0000001",Holidays!$A$6:$A$55),"-"))</f>
        <v>46255</v>
      </c>
      <c r="T49" s="36">
        <f>IF(OR(I49="",Q49=""),"",IF(Q49&lt;=I49-4,1,0))</f>
        <v>1</v>
      </c>
      <c r="U49" s="32" t="n"/>
      <c r="V49" s="30" t="n"/>
      <c r="W49" s="36" t="str">
        <f>IF(OR($U49="",$V49="",$I49=""),"",IF(AND($U49&lt;=$I49-4,$V49&gt;=$F49),1,0))</f>
        <v/>
      </c>
    </row>
    <row r="50">
      <c r="B50" s="28" t="inlineStr">
        <is>
          <t>M7</t>
        </is>
      </c>
      <c r="C50" s="29" t="n">
        <v>15</v>
      </c>
      <c r="D50" s="28" t="inlineStr">
        <is>
          <t>RS26</t>
        </is>
      </c>
      <c r="E50" s="28" t="n">
        <v>7962656881</v>
      </c>
      <c r="F50" s="30" t="n">
        <v>7042</v>
      </c>
      <c r="G50" s="68" t="n">
        <v>0</v>
      </c>
      <c r="H50" s="31">
        <f>IF(OR(D50="",E50=""),"",IFERROR(F50-G50,"-"))</f>
        <v>7042</v>
      </c>
      <c r="I50" s="32" t="n">
        <v>46289</v>
      </c>
      <c r="J50" s="33">
        <f>IF(I50="","",IFERROR(WORKDAY.INTL(I50,-10,"0000001",Holidays!$A$6:$A$55),"-"))</f>
        <v>46277</v>
      </c>
      <c r="K50" s="30" t="n">
        <v>2</v>
      </c>
      <c r="L50" s="30" t="n">
        <v>2975</v>
      </c>
      <c r="M50" s="34">
        <f>IF(OR(D50="",E50="",F50="",K50="",L50=""),"",IFERROR(ROUNDUP(H50/(K50*L50),0),"-"))</f>
        <v>2</v>
      </c>
      <c r="N50" s="33" t="n">
        <v>46277</v>
      </c>
      <c r="O50" s="32">
        <f t="array" ref="O50">IF(OR($D50="",$E50=""),"",IF($N50&lt;&gt;"",$N50,IFERROR(WORKDAY.INTL(LOOKUP(2,1/(($D$2:D49=$D50)*ISNUMBER($P$2:P49)),$P$2:P49),1,"0000001",Holidays!$A$6:$A$55),"")))</f>
        <v>46277</v>
      </c>
      <c r="P50" s="35">
        <f>IF(OR(O50="",H50="",K50="",L50=""),"",IFERROR(WORKDAY.INTL(O50-1,MAX(1,ROUNDUP(H50/(K50*L50),0)),"0000001",Holidays!$A$6:$A$55),"-"))</f>
        <v>46279</v>
      </c>
      <c r="Q50" s="33">
        <f>IF(P50="","",IFERROR(WORKDAY.INTL(P50,3,"0000001",Holidays!$A$6:$A$55),"-"))</f>
        <v>46282</v>
      </c>
      <c r="R50" s="34">
        <f>IF(OR(J50="",P50=""),"",IFERROR(NETWORKDAYS.INTL(P50+1,J50,"0000001",Holidays!$A$6:$A$55),"-"))</f>
        <v>-3</v>
      </c>
      <c r="S50" s="33">
        <f>IF(O50="","",IFERROR(WORKDAY.INTL(O50,-10,"0000001",Holidays!$A$6:$A$55),"-"))</f>
        <v>46266</v>
      </c>
      <c r="T50" s="36">
        <f>IF(OR(I50="",Q50=""),"",IF(Q50&lt;=I50-4,1,0))</f>
        <v>1</v>
      </c>
      <c r="U50" s="32" t="n"/>
      <c r="V50" s="30" t="n"/>
      <c r="W50" s="36" t="str">
        <f>IF(OR($U50="",$V50="",$I50=""),"",IF(AND($U50&lt;=$I50-4,$V50&gt;=$F50),1,0))</f>
        <v/>
      </c>
    </row>
    <row r="51">
      <c r="B51" s="28" t="inlineStr">
        <is>
          <t>M7</t>
        </is>
      </c>
      <c r="C51" s="29" t="n">
        <v>16</v>
      </c>
      <c r="D51" s="28" t="inlineStr">
        <is>
          <t>RS26</t>
        </is>
      </c>
      <c r="E51" s="28" t="n">
        <v>7355278063</v>
      </c>
      <c r="F51" s="30" t="n">
        <v>5908</v>
      </c>
      <c r="G51" s="68" t="n">
        <v>0</v>
      </c>
      <c r="H51" s="31">
        <f>IF(OR(D51="",E51=""),"",IFERROR(F51-G51,"-"))</f>
        <v>5908</v>
      </c>
      <c r="I51" s="32" t="n">
        <v>46303</v>
      </c>
      <c r="J51" s="33">
        <f>IF(I51="","",IFERROR(WORKDAY.INTL(I51,-10,"0000001",Holidays!$A$6:$A$55),"-"))</f>
        <v>46290</v>
      </c>
      <c r="K51" s="30" t="n">
        <v>2</v>
      </c>
      <c r="L51" s="30" t="n">
        <v>2975</v>
      </c>
      <c r="M51" s="34">
        <f>IF(OR(D51="",E51="",F51="",K51="",L51=""),"",IFERROR(ROUNDUP(H51/(K51*L51),0),"-"))</f>
        <v>1</v>
      </c>
      <c r="N51" s="33" t="n">
        <v>46279</v>
      </c>
      <c r="O51" s="32">
        <f t="array" ref="O51">IF(OR($D51="",$E51=""),"",IF($N51&lt;&gt;"",$N51,IFERROR(WORKDAY.INTL(LOOKUP(2,1/(($D$2:D50=$D51)*ISNUMBER($P$2:P50)),$P$2:P50),1,"0000001",Holidays!$A$6:$A$55),"")))</f>
        <v>46279</v>
      </c>
      <c r="P51" s="35">
        <f>IF(OR(O51="",H51="",K51="",L51=""),"",IFERROR(WORKDAY.INTL(O51-1,MAX(1,ROUNDUP(H51/(K51*L51),0)),"0000001",Holidays!$A$6:$A$55),"-"))</f>
        <v>46279</v>
      </c>
      <c r="Q51" s="33">
        <f>IF(P51="","",IFERROR(WORKDAY.INTL(P51,3,"0000001",Holidays!$A$6:$A$55),"-"))</f>
        <v>46282</v>
      </c>
      <c r="R51" s="34">
        <f>IF(OR(J51="",P51=""),"",IFERROR(NETWORKDAYS.INTL(P51+1,J51,"0000001",Holidays!$A$6:$A$55),"-"))</f>
        <v>10</v>
      </c>
      <c r="S51" s="33">
        <f>IF(O51="","",IFERROR(WORKDAY.INTL(O51,-10,"0000001",Holidays!$A$6:$A$55),"-"))</f>
        <v>46267</v>
      </c>
      <c r="T51" s="36">
        <f>IF(OR(I51="",Q51=""),"",IF(Q51&lt;=I51-4,1,0))</f>
        <v>1</v>
      </c>
      <c r="U51" s="32" t="n"/>
      <c r="V51" s="30" t="n"/>
      <c r="W51" s="36" t="str">
        <f>IF(OR($U51="",$V51="",$I51=""),"",IF(AND($U51&lt;=$I51-4,$V51&gt;=$F51),1,0))</f>
        <v/>
      </c>
    </row>
    <row r="52">
      <c r="B52" s="28" t="inlineStr">
        <is>
          <t>M7</t>
        </is>
      </c>
      <c r="C52" s="29" t="n">
        <v>17</v>
      </c>
      <c r="D52" s="28" t="inlineStr">
        <is>
          <t>RS26</t>
        </is>
      </c>
      <c r="E52" s="28" t="n">
        <v>7231619297</v>
      </c>
      <c r="F52" s="30" t="n">
        <v>7608</v>
      </c>
      <c r="G52" s="68" t="n">
        <v>0</v>
      </c>
      <c r="H52" s="31">
        <f>IF(OR(D52="",E52=""),"",IFERROR(F52-G52,"-"))</f>
        <v>7608</v>
      </c>
      <c r="I52" s="32" t="n">
        <v>46303</v>
      </c>
      <c r="J52" s="33">
        <f>IF(I52="","",IFERROR(WORKDAY.INTL(I52,-10,"0000001",Holidays!$A$6:$A$55),"-"))</f>
        <v>46290</v>
      </c>
      <c r="K52" s="30" t="n">
        <v>2</v>
      </c>
      <c r="L52" s="30" t="n">
        <v>2975</v>
      </c>
      <c r="M52" s="34">
        <f>IF(OR(D52="",E52="",F52="",K52="",L52=""),"",IFERROR(ROUNDUP(H52/(K52*L52),0),"-"))</f>
        <v>2</v>
      </c>
      <c r="N52" s="33" t="n">
        <v>46281</v>
      </c>
      <c r="O52" s="32">
        <f t="array" ref="O52">IF(OR($D52="",$E52=""),"",IF($N52&lt;&gt;"",$N52,IFERROR(WORKDAY.INTL(LOOKUP(2,1/(($D$2:D51=$D52)*ISNUMBER($P$2:P51)),$P$2:P51),1,"0000001",Holidays!$A$6:$A$55),"")))</f>
        <v>46281</v>
      </c>
      <c r="P52" s="35">
        <f>IF(OR(O52="",H52="",K52="",L52=""),"",IFERROR(WORKDAY.INTL(O52-1,MAX(1,ROUNDUP(H52/(K52*L52),0)),"0000001",Holidays!$A$6:$A$55),"-"))</f>
        <v>46282</v>
      </c>
      <c r="Q52" s="33">
        <f>IF(P52="","",IFERROR(WORKDAY.INTL(P52,3,"0000001",Holidays!$A$6:$A$55),"-"))</f>
        <v>46286</v>
      </c>
      <c r="R52" s="34">
        <f>IF(OR(J52="",P52=""),"",IFERROR(NETWORKDAYS.INTL(P52+1,J52,"0000001",Holidays!$A$6:$A$55),"-"))</f>
        <v>7</v>
      </c>
      <c r="S52" s="33">
        <f>IF(O52="","",IFERROR(WORKDAY.INTL(O52,-10,"0000001",Holidays!$A$6:$A$55),"-"))</f>
        <v>46269</v>
      </c>
      <c r="T52" s="36">
        <f>IF(OR(I52="",Q52=""),"",IF(Q52&lt;=I52-4,1,0))</f>
        <v>1</v>
      </c>
      <c r="U52" s="32" t="n"/>
      <c r="V52" s="30" t="n"/>
      <c r="W52" s="36" t="str">
        <f>IF(OR($U52="",$V52="",$I52=""),"",IF(AND($U52&lt;=$I52-4,$V52&gt;=$F52),1,0))</f>
        <v/>
      </c>
    </row>
    <row r="53">
      <c r="B53" s="28" t="inlineStr">
        <is>
          <t>M7</t>
        </is>
      </c>
      <c r="C53" s="29" t="n">
        <v>18</v>
      </c>
      <c r="D53" s="28" t="inlineStr">
        <is>
          <t>RS26</t>
        </is>
      </c>
      <c r="E53" s="28" t="n">
        <v>7673341236</v>
      </c>
      <c r="F53" s="30" t="n">
        <v>19019</v>
      </c>
      <c r="G53" s="68" t="n">
        <v>0</v>
      </c>
      <c r="H53" s="31">
        <f>IF(OR(D53="",E53=""),"",IFERROR(F53-G53,"-"))</f>
        <v>19019</v>
      </c>
      <c r="I53" s="32" t="n">
        <v>46311</v>
      </c>
      <c r="J53" s="33">
        <f>IF(I53="","",IFERROR(WORKDAY.INTL(I53,-10,"0000001",Holidays!$A$6:$A$55),"-"))</f>
        <v>46300</v>
      </c>
      <c r="K53" s="30" t="n">
        <v>2</v>
      </c>
      <c r="L53" s="30" t="n">
        <v>2975</v>
      </c>
      <c r="M53" s="34">
        <f>IF(OR(D53="",E53="",F53="",K53="",L53=""),"",IFERROR(ROUNDUP(H53/(K53*L53),0),"-"))</f>
        <v>4</v>
      </c>
      <c r="N53" s="33" t="n">
        <v>46286</v>
      </c>
      <c r="O53" s="32">
        <f t="array" ref="O53">IF(OR($D53="",$E53=""),"",IF($N53&lt;&gt;"",$N53,IFERROR(WORKDAY.INTL(LOOKUP(2,1/(($D$2:D52=$D53)*ISNUMBER($P$2:P52)),$P$2:P52),1,"0000001",Holidays!$A$6:$A$55),"")))</f>
        <v>46286</v>
      </c>
      <c r="P53" s="35">
        <f>IF(OR(O53="",H53="",K53="",L53=""),"",IFERROR(WORKDAY.INTL(O53-1,MAX(1,ROUNDUP(H53/(K53*L53),0)),"0000001",Holidays!$A$6:$A$55),"-"))</f>
        <v>46289</v>
      </c>
      <c r="Q53" s="33">
        <f>IF(P53="","",IFERROR(WORKDAY.INTL(P53,3,"0000001",Holidays!$A$6:$A$55),"-"))</f>
        <v>46293</v>
      </c>
      <c r="R53" s="34">
        <f>IF(OR(J53="",P53=""),"",IFERROR(NETWORKDAYS.INTL(P53+1,J53,"0000001",Holidays!$A$6:$A$55),"-"))</f>
        <v>8</v>
      </c>
      <c r="S53" s="33">
        <f>IF(O53="","",IFERROR(WORKDAY.INTL(O53,-10,"0000001",Holidays!$A$6:$A$55),"-"))</f>
        <v>46274</v>
      </c>
      <c r="T53" s="36">
        <f>IF(OR(I53="",Q53=""),"",IF(Q53&lt;=I53-4,1,0))</f>
        <v>1</v>
      </c>
      <c r="U53" s="32" t="n"/>
      <c r="V53" s="30" t="n"/>
      <c r="W53" s="36" t="str">
        <f>IF(OR($U53="",$V53="",$I53=""),"",IF(AND($U53&lt;=$I53-4,$V53&gt;=$F53),1,0))</f>
        <v/>
      </c>
    </row>
    <row r="54">
      <c r="B54" s="28" t="inlineStr">
        <is>
          <t>M7</t>
        </is>
      </c>
      <c r="C54" s="29" t="n">
        <v>19</v>
      </c>
      <c r="D54" s="28" t="inlineStr">
        <is>
          <t>RS26</t>
        </is>
      </c>
      <c r="E54" s="28" t="n">
        <v>7083400862</v>
      </c>
      <c r="F54" s="30" t="n">
        <v>5869</v>
      </c>
      <c r="G54" s="68" t="n">
        <v>0</v>
      </c>
      <c r="H54" s="31">
        <f>IF(OR(D54="",E54=""),"",IFERROR(F54-G54,"-"))</f>
        <v>5869</v>
      </c>
      <c r="I54" s="32" t="n">
        <v>46311</v>
      </c>
      <c r="J54" s="33">
        <f>IF(I54="","",IFERROR(WORKDAY.INTL(I54,-10,"0000001",Holidays!$A$6:$A$55),"-"))</f>
        <v>46300</v>
      </c>
      <c r="K54" s="30" t="n">
        <v>2</v>
      </c>
      <c r="L54" s="30" t="n">
        <v>2975</v>
      </c>
      <c r="M54" s="34">
        <f>IF(OR(D54="",E54="",F54="",K54="",L54=""),"",IFERROR(ROUNDUP(H54/(K54*L54),0),"-"))</f>
        <v>1</v>
      </c>
      <c r="N54" s="34" t="n"/>
      <c r="O54" s="32">
        <f t="array" ref="O54">IF(OR($D54="",$E54=""),"",IF($N54&lt;&gt;"",$N54,IFERROR(WORKDAY.INTL(LOOKUP(2,1/(($D$2:D53=$D54)*ISNUMBER($P$2:P53)),$P$2:P53),1,"0000001",Holidays!$A$6:$A$55),"")))</f>
        <v>46290</v>
      </c>
      <c r="P54" s="35">
        <f>IF(OR(O54="",H54="",K54="",L54=""),"",IFERROR(WORKDAY.INTL(O54-1,MAX(1,ROUNDUP(H54/(K54*L54),0)),"0000001",Holidays!$A$6:$A$55),"-"))</f>
        <v>46290</v>
      </c>
      <c r="Q54" s="33">
        <f>IF(P54="","",IFERROR(WORKDAY.INTL(P54,3,"0000001",Holidays!$A$6:$A$55),"-"))</f>
        <v>46294</v>
      </c>
      <c r="R54" s="34">
        <f>IF(OR(J54="",P54=""),"",IFERROR(NETWORKDAYS.INTL(P54+1,J54,"0000001",Holidays!$A$6:$A$55),"-"))</f>
        <v>7</v>
      </c>
      <c r="S54" s="33">
        <f>IF(O54="","",IFERROR(WORKDAY.INTL(O54,-10,"0000001",Holidays!$A$6:$A$55),"-"))</f>
        <v>46279</v>
      </c>
      <c r="T54" s="36">
        <f>IF(OR(I54="",Q54=""),"",IF(Q54&lt;=I54-4,1,0))</f>
        <v>1</v>
      </c>
      <c r="U54" s="32" t="n"/>
      <c r="V54" s="30" t="n"/>
      <c r="W54" s="36" t="str">
        <f>IF(OR($U54="",$V54="",$I54=""),"",IF(AND($U54&lt;=$I54-4,$V54&gt;=$F54),1,0))</f>
        <v/>
      </c>
    </row>
    <row r="55">
      <c r="B55" s="28" t="inlineStr">
        <is>
          <t>M7</t>
        </is>
      </c>
      <c r="C55" s="29" t="n">
        <v>20</v>
      </c>
      <c r="D55" s="28" t="inlineStr">
        <is>
          <t>RS26</t>
        </is>
      </c>
      <c r="E55" s="28" t="n">
        <v>7111923906</v>
      </c>
      <c r="F55" s="30" t="n">
        <v>1228</v>
      </c>
      <c r="G55" s="68" t="n">
        <v>0</v>
      </c>
      <c r="H55" s="31">
        <f>IF(OR(D55="",E55=""),"",IFERROR(F55-G55,"-"))</f>
        <v>1228</v>
      </c>
      <c r="I55" s="32" t="n">
        <v>46311</v>
      </c>
      <c r="J55" s="33">
        <f>IF(I55="","",IFERROR(WORKDAY.INTL(I55,-10,"0000001",Holidays!$A$6:$A$55),"-"))</f>
        <v>46300</v>
      </c>
      <c r="K55" s="30" t="n">
        <v>2</v>
      </c>
      <c r="L55" s="30" t="n">
        <v>2975</v>
      </c>
      <c r="M55" s="34">
        <f>IF(OR(D55="",E55="",F55="",K55="",L55=""),"",IFERROR(ROUNDUP(H55/(K55*L55),0),"-"))</f>
        <v>1</v>
      </c>
      <c r="N55" s="34" t="n"/>
      <c r="O55" s="32">
        <f t="array" ref="O55">IF(OR($D55="",$E55=""),"",IF($N55&lt;&gt;"",$N55,IFERROR(WORKDAY.INTL(LOOKUP(2,1/(($D$2:D54=$D55)*ISNUMBER($P$2:P54)),$P$2:P54),1,"0000001",Holidays!$A$6:$A$55),"")))</f>
        <v>46291</v>
      </c>
      <c r="P55" s="35">
        <f>IF(OR(O55="",H55="",K55="",L55=""),"",IFERROR(WORKDAY.INTL(O55-1,MAX(1,ROUNDUP(H55/(K55*L55),0)),"0000001",Holidays!$A$6:$A$55),"-"))</f>
        <v>46291</v>
      </c>
      <c r="Q55" s="33">
        <f>IF(P55="","",IFERROR(WORKDAY.INTL(P55,3,"0000001",Holidays!$A$6:$A$55),"-"))</f>
        <v>46295</v>
      </c>
      <c r="R55" s="34">
        <f>IF(OR(J55="",P55=""),"",IFERROR(NETWORKDAYS.INTL(P55+1,J55,"0000001",Holidays!$A$6:$A$55),"-"))</f>
        <v>6</v>
      </c>
      <c r="S55" s="33">
        <f>IF(O55="","",IFERROR(WORKDAY.INTL(O55,-10,"0000001",Holidays!$A$6:$A$55),"-"))</f>
        <v>46280</v>
      </c>
      <c r="T55" s="36">
        <f>IF(OR(I55="",Q55=""),"",IF(Q55&lt;=I55-4,1,0))</f>
        <v>1</v>
      </c>
      <c r="U55" s="32" t="n"/>
      <c r="V55" s="30" t="n"/>
      <c r="W55" s="36" t="str">
        <f>IF(OR($U55="",$V55="",$I55=""),"",IF(AND($U55&lt;=$I55-4,$V55&gt;=$F55),1,0))</f>
        <v/>
      </c>
    </row>
    <row r="56">
      <c r="B56" s="28" t="inlineStr">
        <is>
          <t>M7</t>
        </is>
      </c>
      <c r="C56" s="29" t="n">
        <v>21</v>
      </c>
      <c r="D56" s="28" t="inlineStr">
        <is>
          <t>RS26</t>
        </is>
      </c>
      <c r="E56" s="28" t="n">
        <v>7761246843</v>
      </c>
      <c r="F56" s="30" t="n">
        <v>4203</v>
      </c>
      <c r="G56" s="68" t="n">
        <v>0</v>
      </c>
      <c r="H56" s="31">
        <f>IF(OR(D56="",E56=""),"",IFERROR(F56-G56,"-"))</f>
        <v>4203</v>
      </c>
      <c r="I56" s="32" t="n">
        <v>46311</v>
      </c>
      <c r="J56" s="33">
        <f>IF(I56="","",IFERROR(WORKDAY.INTL(I56,-10,"0000001",Holidays!$A$6:$A$55),"-"))</f>
        <v>46300</v>
      </c>
      <c r="K56" s="30" t="n">
        <v>2</v>
      </c>
      <c r="L56" s="30" t="n">
        <v>2975</v>
      </c>
      <c r="M56" s="34">
        <f>IF(OR(D56="",E56="",F56="",K56="",L56=""),"",IFERROR(ROUNDUP(H56/(K56*L56),0),"-"))</f>
        <v>1</v>
      </c>
      <c r="N56" s="33" t="n">
        <v>46291</v>
      </c>
      <c r="O56" s="32">
        <f t="array" ref="O56">IF(OR($D56="",$E56=""),"",IF($N56&lt;&gt;"",$N56,IFERROR(WORKDAY.INTL(LOOKUP(2,1/(($D$2:D55=$D56)*ISNUMBER($P$2:P55)),$P$2:P55),1,"0000001",Holidays!$A$6:$A$55),"")))</f>
        <v>46291</v>
      </c>
      <c r="P56" s="35">
        <f>IF(OR(O56="",H56="",K56="",L56=""),"",IFERROR(WORKDAY.INTL(O56-1,MAX(1,ROUNDUP(H56/(K56*L56),0)),"0000001",Holidays!$A$6:$A$55),"-"))</f>
        <v>46291</v>
      </c>
      <c r="Q56" s="33">
        <f>IF(P56="","",IFERROR(WORKDAY.INTL(P56,3,"0000001",Holidays!$A$6:$A$55),"-"))</f>
        <v>46295</v>
      </c>
      <c r="R56" s="34">
        <f>IF(OR(J56="",P56=""),"",IFERROR(NETWORKDAYS.INTL(P56+1,J56,"0000001",Holidays!$A$6:$A$55),"-"))</f>
        <v>6</v>
      </c>
      <c r="S56" s="33">
        <f>IF(O56="","",IFERROR(WORKDAY.INTL(O56,-10,"0000001",Holidays!$A$6:$A$55),"-"))</f>
        <v>46280</v>
      </c>
      <c r="T56" s="36">
        <f>IF(OR(I56="",Q56=""),"",IF(Q56&lt;=I56-4,1,0))</f>
        <v>1</v>
      </c>
      <c r="U56" s="32" t="n"/>
      <c r="V56" s="30" t="n"/>
      <c r="W56" s="36" t="str">
        <f>IF(OR($U56="",$V56="",$I56=""),"",IF(AND($U56&lt;=$I56-4,$V56&gt;=$F56),1,0))</f>
        <v/>
      </c>
    </row>
    <row r="57" ht="15.75" customHeight="1" thickBot="1">
      <c r="B57" s="37" t="inlineStr">
        <is>
          <t>M7</t>
        </is>
      </c>
      <c r="C57" s="38" t="n">
        <v>22</v>
      </c>
      <c r="D57" s="37" t="inlineStr">
        <is>
          <t>RS26</t>
        </is>
      </c>
      <c r="E57" s="37" t="n">
        <v>7320124062</v>
      </c>
      <c r="F57" s="39" t="n">
        <v>2758</v>
      </c>
      <c r="G57" s="66" t="n">
        <v>0</v>
      </c>
      <c r="H57" s="40">
        <f>IF(OR(D57="",E57=""),"",IFERROR(F57-G57,"-"))</f>
        <v>2758</v>
      </c>
      <c r="I57" s="41" t="n">
        <v>46311</v>
      </c>
      <c r="J57" s="42">
        <f>IF(I57="","",IFERROR(WORKDAY.INTL(I57,-10,"0000001",Holidays!$A$6:$A$55),"-"))</f>
        <v>46300</v>
      </c>
      <c r="K57" s="39" t="n">
        <v>2</v>
      </c>
      <c r="L57" s="39" t="n">
        <v>2975</v>
      </c>
      <c r="M57" s="43">
        <f>IF(OR(D57="",E57="",F57="",K57="",L57=""),"",IFERROR(ROUNDUP(H57/(K57*L57),0),"-"))</f>
        <v>1</v>
      </c>
      <c r="N57" s="43" t="n"/>
      <c r="O57" s="41">
        <f t="array" ref="O57">IF(OR($D57="",$E57=""),"",IF($N57&lt;&gt;"",$N57,IFERROR(WORKDAY.INTL(LOOKUP(2,1/(($D$2:D56=$D57)*ISNUMBER($P$2:P56)),$P$2:P56),1,"0000001",Holidays!$A$6:$A$55),"")))</f>
        <v>46293</v>
      </c>
      <c r="P57" s="44">
        <f>IF(OR(O57="",H57="",K57="",L57=""),"",IFERROR(WORKDAY.INTL(O57-1,MAX(1,ROUNDUP(H57/(K57*L57),0)),"0000001",Holidays!$A$6:$A$55),"-"))</f>
        <v>46293</v>
      </c>
      <c r="Q57" s="42">
        <f>IF(P57="","",IFERROR(WORKDAY.INTL(P57,3,"0000001",Holidays!$A$6:$A$55),"-"))</f>
        <v>46296</v>
      </c>
      <c r="R57" s="43">
        <f>IF(OR(J57="",P57=""),"",IFERROR(NETWORKDAYS.INTL(P57+1,J57,"0000001",Holidays!$A$6:$A$55),"-"))</f>
        <v>5</v>
      </c>
      <c r="S57" s="42">
        <f>IF(O57="","",IFERROR(WORKDAY.INTL(O57,-10,"0000001",Holidays!$A$6:$A$55),"-"))</f>
        <v>46281</v>
      </c>
      <c r="T57" s="45">
        <f>IF(OR(I57="",Q57=""),"",IF(Q57&lt;=I57-4,1,0))</f>
        <v>1</v>
      </c>
      <c r="U57" s="41" t="n"/>
      <c r="V57" s="39" t="n"/>
      <c r="W57" s="45" t="str">
        <f>IF(OR($U57="",$V57="",$I57=""),"",IF(AND($U57&lt;=$I57-4,$V57&gt;=$F57),1,0))</f>
        <v/>
      </c>
    </row>
    <row r="58">
      <c r="B58" s="28" t="inlineStr">
        <is>
          <t>M5</t>
        </is>
      </c>
      <c r="C58" s="29" t="n">
        <v>1</v>
      </c>
      <c r="D58" s="28" t="inlineStr">
        <is>
          <t>RS27</t>
        </is>
      </c>
      <c r="E58" s="28" t="n">
        <v>7038570281</v>
      </c>
      <c r="F58" s="30" t="n">
        <v>2639</v>
      </c>
      <c r="G58" s="68" t="n">
        <v>2639</v>
      </c>
      <c r="H58" s="31">
        <f>IF(OR(D58="",E58=""),"",IFERROR(F58-G58,"-"))</f>
        <v>0</v>
      </c>
      <c r="I58" s="32" t="n">
        <v>46240</v>
      </c>
      <c r="J58" s="33">
        <f>IF(I58="","",IFERROR(WORKDAY.INTL(I58,-10,"0000001",Holidays!$A$6:$A$55),"-"))</f>
        <v>46228</v>
      </c>
      <c r="K58" s="30" t="n"/>
      <c r="L58" s="30" t="n"/>
      <c r="M58" s="34" t="str">
        <f>IF(OR(D58="",E58="",F58="",K58="",L58=""),"",IFERROR(ROUNDUP(H58/(K58*L58),0),"-"))</f>
        <v/>
      </c>
      <c r="N58" s="33" t="inlineStr">
        <is>
          <t>Close</t>
        </is>
      </c>
      <c r="O58" s="32" t="str">
        <f t="array" ref="O58">IF(OR($D58="",$E58=""),"",IF($N58&lt;&gt;"",$N58,IFERROR(WORKDAY.INTL(LOOKUP(2,1/(($D$2:D57=$D58)*ISNUMBER($P$2:P57)),$P$2:P57),1,"0000001",Holidays!$A$6:$A$55),"")))</f>
        <v>Close</v>
      </c>
      <c r="P58" s="35" t="str">
        <f>IF(OR(O58="",H58="",K58="",L58=""),"",IFERROR(WORKDAY.INTL(O58-1,MAX(1,ROUNDUP(H58/(K58*L58),0)),"0000001",Holidays!$A$6:$A$55),"-"))</f>
        <v/>
      </c>
      <c r="Q58" s="33" t="str">
        <f>IF(P58="","",IFERROR(WORKDAY.INTL(P58,3,"0000001",Holidays!$A$6:$A$55),"-"))</f>
        <v/>
      </c>
      <c r="R58" s="34" t="str">
        <f>IF(OR(J58="",P58=""),"",IFERROR(NETWORKDAYS.INTL(P58+1,J58,"0000001",Holidays!$A$6:$A$55),"-"))</f>
        <v/>
      </c>
      <c r="S58" s="33" t="str">
        <f>IF(O58="","",IFERROR(WORKDAY.INTL(O58,-10,"0000001",Holidays!$A$6:$A$55),"-"))</f>
        <v>-</v>
      </c>
      <c r="T58" s="36" t="str">
        <f>IF(OR(I58="",Q58=""),"",IF(Q58&lt;=I58-4,1,0))</f>
        <v/>
      </c>
      <c r="U58" s="32" t="n"/>
      <c r="V58" s="30" t="n"/>
      <c r="W58" s="36" t="str">
        <f>IF(OR($U58="",$V58="",$I58=""),"",IF(AND($U58&lt;=$I58-4,$V58&gt;=$F58),1,0))</f>
        <v/>
      </c>
    </row>
    <row r="59">
      <c r="B59" s="28" t="inlineStr">
        <is>
          <t>M5</t>
        </is>
      </c>
      <c r="C59" s="29" t="n">
        <v>2</v>
      </c>
      <c r="D59" s="28" t="inlineStr">
        <is>
          <t>RS27</t>
        </is>
      </c>
      <c r="E59" s="28" t="n">
        <v>7393155065</v>
      </c>
      <c r="F59" s="30" t="n">
        <v>4224</v>
      </c>
      <c r="G59" s="68" t="n">
        <v>4224</v>
      </c>
      <c r="H59" s="31">
        <f>IF(OR(D59="",E59=""),"",IFERROR(F59-G59,"-"))</f>
        <v>0</v>
      </c>
      <c r="I59" s="32" t="n">
        <v>46247</v>
      </c>
      <c r="J59" s="33">
        <f>IF(I59="","",IFERROR(WORKDAY.INTL(I59,-10,"0000001",Holidays!$A$6:$A$55),"-"))</f>
        <v>46235</v>
      </c>
      <c r="K59" s="30" t="n"/>
      <c r="L59" s="30" t="n"/>
      <c r="M59" s="34" t="str">
        <f>IF(OR(D59="",E59="",F59="",K59="",L59=""),"",IFERROR(ROUNDUP(H59/(K59*L59),0),"-"))</f>
        <v/>
      </c>
      <c r="N59" s="33" t="inlineStr">
        <is>
          <t>Close</t>
        </is>
      </c>
      <c r="O59" s="32" t="str">
        <f t="array" ref="O59">IF(OR($D59="",$E59=""),"",IF($N59&lt;&gt;"",$N59,IFERROR(WORKDAY.INTL(LOOKUP(2,1/(($D$2:D58=$D59)*ISNUMBER($P$2:P58)),$P$2:P58),1,"0000001",Holidays!$A$6:$A$55),"")))</f>
        <v>Close</v>
      </c>
      <c r="P59" s="35" t="str">
        <f>IF(OR(O59="",H59="",K59="",L59=""),"",IFERROR(WORKDAY.INTL(O59-1,MAX(1,ROUNDUP(H59/(K59*L59),0)),"0000001",Holidays!$A$6:$A$55),"-"))</f>
        <v/>
      </c>
      <c r="Q59" s="33" t="str">
        <f>IF(P59="","",IFERROR(WORKDAY.INTL(P59,3,"0000001",Holidays!$A$6:$A$55),"-"))</f>
        <v/>
      </c>
      <c r="R59" s="34" t="str">
        <f>IF(OR(J59="",P59=""),"",IFERROR(NETWORKDAYS.INTL(P59+1,J59,"0000001",Holidays!$A$6:$A$55),"-"))</f>
        <v/>
      </c>
      <c r="S59" s="33" t="str">
        <f>IF(O59="","",IFERROR(WORKDAY.INTL(O59,-10,"0000001",Holidays!$A$6:$A$55),"-"))</f>
        <v>-</v>
      </c>
      <c r="T59" s="36" t="str">
        <f>IF(OR(I59="",Q59=""),"",IF(Q59&lt;=I59-4,1,0))</f>
        <v/>
      </c>
      <c r="U59" s="32" t="n"/>
      <c r="V59" s="30" t="n"/>
      <c r="W59" s="36" t="str">
        <f>IF(OR($U59="",$V59="",$I59=""),"",IF(AND($U59&lt;=$I59-4,$V59&gt;=$F59),1,0))</f>
        <v/>
      </c>
    </row>
    <row r="60">
      <c r="B60" s="28" t="inlineStr">
        <is>
          <t>M5</t>
        </is>
      </c>
      <c r="C60" s="29" t="n">
        <v>3</v>
      </c>
      <c r="D60" s="28" t="inlineStr">
        <is>
          <t>RS27</t>
        </is>
      </c>
      <c r="E60" s="28" t="n">
        <v>7507379931</v>
      </c>
      <c r="F60" s="30" t="n">
        <v>1509</v>
      </c>
      <c r="G60" s="68" t="n">
        <v>1509</v>
      </c>
      <c r="H60" s="31">
        <f>IF(OR(D60="",E60=""),"",IFERROR(F60-G60,"-"))</f>
        <v>0</v>
      </c>
      <c r="I60" s="32" t="n">
        <v>46247</v>
      </c>
      <c r="J60" s="33">
        <f>IF(I60="","",IFERROR(WORKDAY.INTL(I60,-10,"0000001",Holidays!$A$6:$A$55),"-"))</f>
        <v>46235</v>
      </c>
      <c r="K60" s="30" t="n"/>
      <c r="L60" s="30" t="n"/>
      <c r="M60" s="34" t="str">
        <f>IF(OR(D60="",E60="",F60="",K60="",L60=""),"",IFERROR(ROUNDUP(H60/(K60*L60),0),"-"))</f>
        <v/>
      </c>
      <c r="N60" s="33" t="inlineStr">
        <is>
          <t>Close</t>
        </is>
      </c>
      <c r="O60" s="32" t="str">
        <f t="array" ref="O60">IF(OR($D60="",$E60=""),"",IF($N60&lt;&gt;"",$N60,IFERROR(WORKDAY.INTL(LOOKUP(2,1/(($D$2:D59=$D60)*ISNUMBER($P$2:P59)),$P$2:P59),1,"0000001",Holidays!$A$6:$A$55),"")))</f>
        <v>Close</v>
      </c>
      <c r="P60" s="35" t="str">
        <f>IF(OR(O60="",H60="",K60="",L60=""),"",IFERROR(WORKDAY.INTL(O60-1,MAX(1,ROUNDUP(H60/(K60*L60),0)),"0000001",Holidays!$A$6:$A$55),"-"))</f>
        <v/>
      </c>
      <c r="Q60" s="33" t="str">
        <f>IF(P60="","",IFERROR(WORKDAY.INTL(P60,3,"0000001",Holidays!$A$6:$A$55),"-"))</f>
        <v/>
      </c>
      <c r="R60" s="34" t="str">
        <f>IF(OR(J60="",P60=""),"",IFERROR(NETWORKDAYS.INTL(P60+1,J60,"0000001",Holidays!$A$6:$A$55),"-"))</f>
        <v/>
      </c>
      <c r="S60" s="33" t="str">
        <f>IF(O60="","",IFERROR(WORKDAY.INTL(O60,-10,"0000001",Holidays!$A$6:$A$55),"-"))</f>
        <v>-</v>
      </c>
      <c r="T60" s="36" t="str">
        <f>IF(OR(I60="",Q60=""),"",IF(Q60&lt;=I60-4,1,0))</f>
        <v/>
      </c>
      <c r="U60" s="32" t="n"/>
      <c r="V60" s="30" t="n"/>
      <c r="W60" s="36" t="str">
        <f>IF(OR($U60="",$V60="",$I60=""),"",IF(AND($U60&lt;=$I60-4,$V60&gt;=$F60),1,0))</f>
        <v/>
      </c>
    </row>
    <row r="61">
      <c r="B61" s="28" t="inlineStr">
        <is>
          <t>M6</t>
        </is>
      </c>
      <c r="C61" s="29" t="n">
        <v>4</v>
      </c>
      <c r="D61" s="28" t="inlineStr">
        <is>
          <t>RS27</t>
        </is>
      </c>
      <c r="E61" s="28" t="n">
        <v>7183629647</v>
      </c>
      <c r="F61" s="30" t="n">
        <v>5670</v>
      </c>
      <c r="G61" s="68" t="n">
        <v>0</v>
      </c>
      <c r="H61" s="31">
        <f>IF(OR(D61="",E61=""),"",IFERROR(F61-G61,"-"))</f>
        <v>5670</v>
      </c>
      <c r="I61" s="32" t="n">
        <v>46283</v>
      </c>
      <c r="J61" s="33">
        <f>IF(I61="","",IFERROR(WORKDAY.INTL(I61,-10,"0000001",Holidays!$A$6:$A$55),"-"))</f>
        <v>46272</v>
      </c>
      <c r="K61" s="30" t="n">
        <v>2</v>
      </c>
      <c r="L61" s="30" t="n">
        <v>2975</v>
      </c>
      <c r="M61" s="34">
        <f>IF(OR(D61="",E61="",F61="",K61="",L61=""),"",IFERROR(ROUNDUP(H61/(K61*L61),0),"-"))</f>
        <v>1</v>
      </c>
      <c r="N61" s="33" t="n">
        <v>46272</v>
      </c>
      <c r="O61" s="32">
        <f t="array" ref="O61">IF(OR($D61="",$E61=""),"",IF($N61&lt;&gt;"",$N61,IFERROR(WORKDAY.INTL(LOOKUP(2,1/(($D$2:D60=$D61)*ISNUMBER($P$2:P60)),$P$2:P60),1,"0000001",Holidays!$A$6:$A$55),"")))</f>
        <v>46272</v>
      </c>
      <c r="P61" s="35">
        <f>IF(OR(O61="",H61="",K61="",L61=""),"",IFERROR(WORKDAY.INTL(O61-1,MAX(1,ROUNDUP(H61/(K61*L61),0)),"0000001",Holidays!$A$6:$A$55),"-"))</f>
        <v>46272</v>
      </c>
      <c r="Q61" s="33">
        <f>IF(P61="","",IFERROR(WORKDAY.INTL(P61,3,"0000001",Holidays!$A$6:$A$55),"-"))</f>
        <v>46275</v>
      </c>
      <c r="R61" s="34">
        <f>IF(OR(J61="",P61=""),"",IFERROR(NETWORKDAYS.INTL(P61+1,J61,"0000001",Holidays!$A$6:$A$55),"-"))</f>
        <v>-2</v>
      </c>
      <c r="S61" s="33">
        <f>IF(O61="","",IFERROR(WORKDAY.INTL(O61,-10,"0000001",Holidays!$A$6:$A$55),"-"))</f>
        <v>46259</v>
      </c>
      <c r="T61" s="36">
        <f>IF(OR(I61="",Q61=""),"",IF(Q61&lt;=I61-4,1,0))</f>
        <v>1</v>
      </c>
      <c r="U61" s="32" t="n"/>
      <c r="V61" s="30" t="n"/>
      <c r="W61" s="36" t="str">
        <f>IF(OR($U61="",$V61="",$I61=""),"",IF(AND($U61&lt;=$I61-4,$V61&gt;=$F61),1,0))</f>
        <v/>
      </c>
    </row>
    <row r="62">
      <c r="B62" s="28" t="inlineStr">
        <is>
          <t>M6</t>
        </is>
      </c>
      <c r="C62" s="29" t="n">
        <v>5</v>
      </c>
      <c r="D62" s="28" t="inlineStr">
        <is>
          <t>RS27</t>
        </is>
      </c>
      <c r="E62" s="28" t="n">
        <v>7078111330</v>
      </c>
      <c r="F62" s="30" t="n">
        <v>2750</v>
      </c>
      <c r="G62" s="68" t="n">
        <v>0</v>
      </c>
      <c r="H62" s="31">
        <f>IF(OR(D62="",E62=""),"",IFERROR(F62-G62,"-"))</f>
        <v>2750</v>
      </c>
      <c r="I62" s="32" t="n">
        <v>46283</v>
      </c>
      <c r="J62" s="33">
        <f>IF(I62="","",IFERROR(WORKDAY.INTL(I62,-10,"0000001",Holidays!$A$6:$A$55),"-"))</f>
        <v>46272</v>
      </c>
      <c r="K62" s="30" t="n">
        <v>2</v>
      </c>
      <c r="L62" s="30" t="n">
        <v>2975</v>
      </c>
      <c r="M62" s="34">
        <f>IF(OR(D62="",E62="",F62="",K62="",L62=""),"",IFERROR(ROUNDUP(H62/(K62*L62),0),"-"))</f>
        <v>1</v>
      </c>
      <c r="N62" s="33" t="n">
        <v>46274</v>
      </c>
      <c r="O62" s="32">
        <f t="array" ref="O62">IF(OR($D62="",$E62=""),"",IF($N62&lt;&gt;"",$N62,IFERROR(WORKDAY.INTL(LOOKUP(2,1/(($D$2:D61=$D62)*ISNUMBER($P$2:P61)),$P$2:P61),1,"0000001",Holidays!$A$6:$A$55),"")))</f>
        <v>46274</v>
      </c>
      <c r="P62" s="35">
        <f>IF(OR(O62="",H62="",K62="",L62=""),"",IFERROR(WORKDAY.INTL(O62-1,MAX(1,ROUNDUP(H62/(K62*L62),0)),"0000001",Holidays!$A$6:$A$55),"-"))</f>
        <v>46274</v>
      </c>
      <c r="Q62" s="33">
        <f>IF(P62="","",IFERROR(WORKDAY.INTL(P62,3,"0000001",Holidays!$A$6:$A$55),"-"))</f>
        <v>46277</v>
      </c>
      <c r="R62" s="34">
        <f>IF(OR(J62="",P62=""),"",IFERROR(NETWORKDAYS.INTL(P62+1,J62,"0000001",Holidays!$A$6:$A$55),"-"))</f>
        <v>-4</v>
      </c>
      <c r="S62" s="33">
        <f>IF(O62="","",IFERROR(WORKDAY.INTL(O62,-10,"0000001",Holidays!$A$6:$A$55),"-"))</f>
        <v>46261</v>
      </c>
      <c r="T62" s="36">
        <f>IF(OR(I62="",Q62=""),"",IF(Q62&lt;=I62-4,1,0))</f>
        <v>1</v>
      </c>
      <c r="U62" s="32" t="n"/>
      <c r="V62" s="30" t="n"/>
      <c r="W62" s="36" t="str">
        <f>IF(OR($U62="",$V62="",$I62=""),"",IF(AND($U62&lt;=$I62-4,$V62&gt;=$F62),1,0))</f>
        <v/>
      </c>
    </row>
    <row r="63">
      <c r="B63" s="28" t="inlineStr">
        <is>
          <t>M6</t>
        </is>
      </c>
      <c r="C63" s="29" t="n">
        <v>6</v>
      </c>
      <c r="D63" s="28" t="inlineStr">
        <is>
          <t>RS27</t>
        </is>
      </c>
      <c r="E63" s="28" t="n">
        <v>7509168631</v>
      </c>
      <c r="F63" s="30" t="n">
        <v>6065</v>
      </c>
      <c r="G63" s="68" t="n">
        <v>0</v>
      </c>
      <c r="H63" s="31">
        <f>IF(OR(D63="",E63=""),"",IFERROR(F63-G63,"-"))</f>
        <v>6065</v>
      </c>
      <c r="I63" s="32" t="n">
        <v>46283</v>
      </c>
      <c r="J63" s="33">
        <f>IF(I63="","",IFERROR(WORKDAY.INTL(I63,-10,"0000001",Holidays!$A$6:$A$55),"-"))</f>
        <v>46272</v>
      </c>
      <c r="K63" s="30" t="n">
        <v>2</v>
      </c>
      <c r="L63" s="30" t="n">
        <v>2975</v>
      </c>
      <c r="M63" s="34">
        <f>IF(OR(D63="",E63="",F63="",K63="",L63=""),"",IFERROR(ROUNDUP(H63/(K63*L63),0),"-"))</f>
        <v>2</v>
      </c>
      <c r="N63" s="34" t="n"/>
      <c r="O63" s="32">
        <f t="array" ref="O63">IF(OR($D63="",$E63=""),"",IF($N63&lt;&gt;"",$N63,IFERROR(WORKDAY.INTL(LOOKUP(2,1/(($D$2:D62=$D63)*ISNUMBER($P$2:P62)),$P$2:P62),1,"0000001",Holidays!$A$6:$A$55),"")))</f>
        <v>46275</v>
      </c>
      <c r="P63" s="35">
        <f>IF(OR(O63="",H63="",K63="",L63=""),"",IFERROR(WORKDAY.INTL(O63-1,MAX(1,ROUNDUP(H63/(K63*L63),0)),"0000001",Holidays!$A$6:$A$55),"-"))</f>
        <v>46276</v>
      </c>
      <c r="Q63" s="33">
        <f>IF(P63="","",IFERROR(WORKDAY.INTL(P63,3,"0000001",Holidays!$A$6:$A$55),"-"))</f>
        <v>46280</v>
      </c>
      <c r="R63" s="34">
        <f>IF(OR(J63="",P63=""),"",IFERROR(NETWORKDAYS.INTL(P63+1,J63,"0000001",Holidays!$A$6:$A$55),"-"))</f>
        <v>-6</v>
      </c>
      <c r="S63" s="33">
        <f>IF(O63="","",IFERROR(WORKDAY.INTL(O63,-10,"0000001",Holidays!$A$6:$A$55),"-"))</f>
        <v>46263</v>
      </c>
      <c r="T63" s="36">
        <f>IF(OR(I63="",Q63=""),"",IF(Q63&lt;=I63-4,1,0))</f>
        <v>0</v>
      </c>
      <c r="U63" s="32" t="n"/>
      <c r="V63" s="30" t="n"/>
      <c r="W63" s="36" t="str">
        <f>IF(OR($U63="",$V63="",$I63=""),"",IF(AND($U63&lt;=$I63-4,$V63&gt;=$F63),1,0))</f>
        <v/>
      </c>
    </row>
    <row r="64">
      <c r="B64" s="28" t="inlineStr">
        <is>
          <t>M6</t>
        </is>
      </c>
      <c r="C64" s="29" t="n">
        <v>7</v>
      </c>
      <c r="D64" s="28" t="inlineStr">
        <is>
          <t>RS27</t>
        </is>
      </c>
      <c r="E64" s="28" t="n">
        <v>7650297685</v>
      </c>
      <c r="F64" s="30" t="n">
        <v>2257</v>
      </c>
      <c r="G64" s="68" t="n">
        <v>0</v>
      </c>
      <c r="H64" s="31">
        <f>IF(OR(D64="",E64=""),"",IFERROR(F64-G64,"-"))</f>
        <v>2257</v>
      </c>
      <c r="I64" s="32" t="n">
        <v>46283</v>
      </c>
      <c r="J64" s="33">
        <f>IF(I64="","",IFERROR(WORKDAY.INTL(I64,-10,"0000001",Holidays!$A$6:$A$55),"-"))</f>
        <v>46272</v>
      </c>
      <c r="K64" s="30" t="n">
        <v>2</v>
      </c>
      <c r="L64" s="30" t="n">
        <v>2975</v>
      </c>
      <c r="M64" s="34">
        <f>IF(OR(D64="",E64="",F64="",K64="",L64=""),"",IFERROR(ROUNDUP(H64/(K64*L64),0),"-"))</f>
        <v>1</v>
      </c>
      <c r="N64" s="33" t="n">
        <v>46276</v>
      </c>
      <c r="O64" s="32">
        <f t="array" ref="O64">IF(OR($D64="",$E64=""),"",IF($N64&lt;&gt;"",$N64,IFERROR(WORKDAY.INTL(LOOKUP(2,1/(($D$2:D63=$D64)*ISNUMBER($P$2:P63)),$P$2:P63),1,"0000001",Holidays!$A$6:$A$55),"")))</f>
        <v>46276</v>
      </c>
      <c r="P64" s="35">
        <f>IF(OR(O64="",H64="",K64="",L64=""),"",IFERROR(WORKDAY.INTL(O64-1,MAX(1,ROUNDUP(H64/(K64*L64),0)),"0000001",Holidays!$A$6:$A$55),"-"))</f>
        <v>46276</v>
      </c>
      <c r="Q64" s="33">
        <f>IF(P64="","",IFERROR(WORKDAY.INTL(P64,3,"0000001",Holidays!$A$6:$A$55),"-"))</f>
        <v>46280</v>
      </c>
      <c r="R64" s="34">
        <f>IF(OR(J64="",P64=""),"",IFERROR(NETWORKDAYS.INTL(P64+1,J64,"0000001",Holidays!$A$6:$A$55),"-"))</f>
        <v>-6</v>
      </c>
      <c r="S64" s="33">
        <f>IF(O64="","",IFERROR(WORKDAY.INTL(O64,-10,"0000001",Holidays!$A$6:$A$55),"-"))</f>
        <v>46265</v>
      </c>
      <c r="T64" s="36">
        <f>IF(OR(I64="",Q64=""),"",IF(Q64&lt;=I64-4,1,0))</f>
        <v>0</v>
      </c>
      <c r="U64" s="32" t="n"/>
      <c r="V64" s="30" t="n"/>
      <c r="W64" s="36" t="str">
        <f>IF(OR($U64="",$V64="",$I64=""),"",IF(AND($U64&lt;=$I64-4,$V64&gt;=$F64),1,0))</f>
        <v/>
      </c>
    </row>
    <row r="65">
      <c r="B65" s="28" t="inlineStr">
        <is>
          <t>M7</t>
        </is>
      </c>
      <c r="C65" s="29" t="n">
        <v>8</v>
      </c>
      <c r="D65" s="28" t="inlineStr">
        <is>
          <t>RS27</t>
        </is>
      </c>
      <c r="E65" s="28" t="n">
        <v>7626721491</v>
      </c>
      <c r="F65" s="30" t="n">
        <v>3714</v>
      </c>
      <c r="G65" s="68" t="n">
        <v>0</v>
      </c>
      <c r="H65" s="31">
        <f>IF(OR(D65="",E65=""),"",IFERROR(F65-G65,"-"))</f>
        <v>3714</v>
      </c>
      <c r="I65" s="32" t="n">
        <v>46303</v>
      </c>
      <c r="J65" s="33">
        <f>IF(I65="","",IFERROR(WORKDAY.INTL(I65,-10,"0000001",Holidays!$A$6:$A$55),"-"))</f>
        <v>46290</v>
      </c>
      <c r="K65" s="30" t="n">
        <v>2</v>
      </c>
      <c r="L65" s="30" t="n">
        <v>2975</v>
      </c>
      <c r="M65" s="34">
        <f>IF(OR(D65="",E65="",F65="",K65="",L65=""),"",IFERROR(ROUNDUP(H65/(K65*L65),0),"-"))</f>
        <v>1</v>
      </c>
      <c r="N65" s="33" t="n">
        <v>46283</v>
      </c>
      <c r="O65" s="32">
        <f t="array" ref="O65">IF(OR($D65="",$E65=""),"",IF($N65&lt;&gt;"",$N65,IFERROR(WORKDAY.INTL(LOOKUP(2,1/(($D$2:D64=$D65)*ISNUMBER($P$2:P64)),$P$2:P64),1,"0000001",Holidays!$A$6:$A$55),"")))</f>
        <v>46283</v>
      </c>
      <c r="P65" s="35">
        <f>IF(OR(O65="",H65="",K65="",L65=""),"",IFERROR(WORKDAY.INTL(O65-1,MAX(1,ROUNDUP(H65/(K65*L65),0)),"0000001",Holidays!$A$6:$A$55),"-"))</f>
        <v>46283</v>
      </c>
      <c r="Q65" s="33">
        <f>IF(P65="","",IFERROR(WORKDAY.INTL(P65,3,"0000001",Holidays!$A$6:$A$55),"-"))</f>
        <v>46287</v>
      </c>
      <c r="R65" s="34">
        <f>IF(OR(J65="",P65=""),"",IFERROR(NETWORKDAYS.INTL(P65+1,J65,"0000001",Holidays!$A$6:$A$55),"-"))</f>
        <v>6</v>
      </c>
      <c r="S65" s="33">
        <f>IF(O65="","",IFERROR(WORKDAY.INTL(O65,-10,"0000001",Holidays!$A$6:$A$55),"-"))</f>
        <v>46272</v>
      </c>
      <c r="T65" s="36">
        <f>IF(OR(I65="",Q65=""),"",IF(Q65&lt;=I65-4,1,0))</f>
        <v>1</v>
      </c>
      <c r="U65" s="32" t="n"/>
      <c r="V65" s="30" t="n"/>
      <c r="W65" s="36" t="str">
        <f>IF(OR($U65="",$V65="",$I65=""),"",IF(AND($U65&lt;=$I65-4,$V65&gt;=$F65),1,0))</f>
        <v/>
      </c>
    </row>
    <row r="66">
      <c r="B66" s="28" t="inlineStr">
        <is>
          <t>M7</t>
        </is>
      </c>
      <c r="C66" s="29" t="n">
        <v>9</v>
      </c>
      <c r="D66" s="28" t="inlineStr">
        <is>
          <t>RS27</t>
        </is>
      </c>
      <c r="E66" s="28" t="n">
        <v>7728084997</v>
      </c>
      <c r="F66" s="30" t="n">
        <v>404</v>
      </c>
      <c r="G66" s="68" t="n">
        <v>0</v>
      </c>
      <c r="H66" s="31">
        <f>IF(OR(D66="",E66=""),"",IFERROR(F66-G66,"-"))</f>
        <v>404</v>
      </c>
      <c r="I66" s="32" t="n">
        <v>46289</v>
      </c>
      <c r="J66" s="33">
        <f>IF(I66="","",IFERROR(WORKDAY.INTL(I66,-10,"0000001",Holidays!$A$6:$A$55),"-"))</f>
        <v>46277</v>
      </c>
      <c r="K66" s="30" t="n">
        <v>2</v>
      </c>
      <c r="L66" s="30" t="n">
        <v>2975</v>
      </c>
      <c r="M66" s="34">
        <f>IF(OR(D66="",E66="",F66="",K66="",L66=""),"",IFERROR(ROUNDUP(H66/(K66*L66),0),"-"))</f>
        <v>1</v>
      </c>
      <c r="N66" s="33" t="n">
        <v>46281</v>
      </c>
      <c r="O66" s="32">
        <f t="array" ref="O66">IF(OR($D66="",$E66=""),"",IF($N66&lt;&gt;"",$N66,IFERROR(WORKDAY.INTL(LOOKUP(2,1/(($D$2:D65=$D66)*ISNUMBER($P$2:P65)),$P$2:P65),1,"0000001",Holidays!$A$6:$A$55),"")))</f>
        <v>46281</v>
      </c>
      <c r="P66" s="35">
        <f>IF(OR(O66="",H66="",K66="",L66=""),"",IFERROR(WORKDAY.INTL(O66-1,MAX(1,ROUNDUP(H66/(K66*L66),0)),"0000001",Holidays!$A$6:$A$55),"-"))</f>
        <v>46281</v>
      </c>
      <c r="Q66" s="33">
        <f>IF(P66="","",IFERROR(WORKDAY.INTL(P66,3,"0000001",Holidays!$A$6:$A$55),"-"))</f>
        <v>46284</v>
      </c>
      <c r="R66" s="34">
        <f>IF(OR(J66="",P66=""),"",IFERROR(NETWORKDAYS.INTL(P66+1,J66,"0000001",Holidays!$A$6:$A$55),"-"))</f>
        <v>-5</v>
      </c>
      <c r="S66" s="33">
        <f>IF(O66="","",IFERROR(WORKDAY.INTL(O66,-10,"0000001",Holidays!$A$6:$A$55),"-"))</f>
        <v>46269</v>
      </c>
      <c r="T66" s="36">
        <f>IF(OR(I66="",Q66=""),"",IF(Q66&lt;=I66-4,1,0))</f>
        <v>1</v>
      </c>
      <c r="U66" s="32" t="n"/>
      <c r="V66" s="30" t="n"/>
      <c r="W66" s="36" t="str">
        <f>IF(OR($U66="",$V66="",$I66=""),"",IF(AND($U66&lt;=$I66-4,$V66&gt;=$F66),1,0))</f>
        <v/>
      </c>
    </row>
    <row r="67">
      <c r="B67" s="28" t="inlineStr">
        <is>
          <t>M7</t>
        </is>
      </c>
      <c r="C67" s="29" t="n">
        <v>10</v>
      </c>
      <c r="D67" s="28" t="inlineStr">
        <is>
          <t>RS27</t>
        </is>
      </c>
      <c r="E67" s="28" t="n">
        <v>7854863949</v>
      </c>
      <c r="F67" s="30" t="n">
        <v>1572</v>
      </c>
      <c r="G67" s="68" t="n">
        <v>0</v>
      </c>
      <c r="H67" s="31">
        <f>IF(OR(D67="",E67=""),"",IFERROR(F67-G67,"-"))</f>
        <v>1572</v>
      </c>
      <c r="I67" s="32" t="n">
        <v>46303</v>
      </c>
      <c r="J67" s="33">
        <f>IF(I67="","",IFERROR(WORKDAY.INTL(I67,-10,"0000001",Holidays!$A$6:$A$55),"-"))</f>
        <v>46290</v>
      </c>
      <c r="K67" s="30" t="n">
        <v>2</v>
      </c>
      <c r="L67" s="30" t="n">
        <v>2975</v>
      </c>
      <c r="M67" s="34">
        <f>IF(OR(D67="",E67="",F67="",K67="",L67=""),"",IFERROR(ROUNDUP(H67/(K67*L67),0),"-"))</f>
        <v>1</v>
      </c>
      <c r="N67" s="33" t="n">
        <v>46284</v>
      </c>
      <c r="O67" s="32">
        <f t="array" ref="O67">IF(OR($D67="",$E67=""),"",IF($N67&lt;&gt;"",$N67,IFERROR(WORKDAY.INTL(LOOKUP(2,1/(($D$2:D66=$D67)*ISNUMBER($P$2:P66)),$P$2:P66),1,"0000001",Holidays!$A$6:$A$55),"")))</f>
        <v>46284</v>
      </c>
      <c r="P67" s="35">
        <f>IF(OR(O67="",H67="",K67="",L67=""),"",IFERROR(WORKDAY.INTL(O67-1,MAX(1,ROUNDUP(H67/(K67*L67),0)),"0000001",Holidays!$A$6:$A$55),"-"))</f>
        <v>46284</v>
      </c>
      <c r="Q67" s="33">
        <f>IF(P67="","",IFERROR(WORKDAY.INTL(P67,3,"0000001",Holidays!$A$6:$A$55),"-"))</f>
        <v>46288</v>
      </c>
      <c r="R67" s="34">
        <f>IF(OR(J67="",P67=""),"",IFERROR(NETWORKDAYS.INTL(P67+1,J67,"0000001",Holidays!$A$6:$A$55),"-"))</f>
        <v>5</v>
      </c>
      <c r="S67" s="33">
        <f>IF(O67="","",IFERROR(WORKDAY.INTL(O67,-10,"0000001",Holidays!$A$6:$A$55),"-"))</f>
        <v>46273</v>
      </c>
      <c r="T67" s="36">
        <f>IF(OR(I67="",Q67=""),"",IF(Q67&lt;=I67-4,1,0))</f>
        <v>1</v>
      </c>
      <c r="U67" s="32" t="n"/>
      <c r="V67" s="30" t="n"/>
      <c r="W67" s="36" t="str">
        <f>IF(OR($U67="",$V67="",$I67=""),"",IF(AND($U67&lt;=$I67-4,$V67&gt;=$F67),1,0))</f>
        <v/>
      </c>
    </row>
    <row r="68">
      <c r="B68" s="28" t="inlineStr">
        <is>
          <t>M7</t>
        </is>
      </c>
      <c r="C68" s="29" t="n">
        <v>11</v>
      </c>
      <c r="D68" s="28" t="inlineStr">
        <is>
          <t>RS27</t>
        </is>
      </c>
      <c r="E68" s="28" t="n">
        <v>7606870570</v>
      </c>
      <c r="F68" s="30" t="n">
        <v>1768</v>
      </c>
      <c r="G68" s="68" t="n">
        <v>0</v>
      </c>
      <c r="H68" s="31">
        <f>IF(OR(D68="",E68=""),"",IFERROR(F68-G68,"-"))</f>
        <v>1768</v>
      </c>
      <c r="I68" s="32" t="n">
        <v>46303</v>
      </c>
      <c r="J68" s="33">
        <f>IF(I68="","",IFERROR(WORKDAY.INTL(I68,-10,"0000001",Holidays!$A$6:$A$55),"-"))</f>
        <v>46290</v>
      </c>
      <c r="K68" s="30" t="n">
        <v>2</v>
      </c>
      <c r="L68" s="30" t="n">
        <v>2975</v>
      </c>
      <c r="M68" s="34">
        <f>IF(OR(D68="",E68="",F68="",K68="",L68=""),"",IFERROR(ROUNDUP(H68/(K68*L68),0),"-"))</f>
        <v>1</v>
      </c>
      <c r="N68" s="33" t="n">
        <v>46284</v>
      </c>
      <c r="O68" s="32">
        <f t="array" ref="O68">IF(OR($D68="",$E68=""),"",IF($N68&lt;&gt;"",$N68,IFERROR(WORKDAY.INTL(LOOKUP(2,1/(($D$2:D67=$D68)*ISNUMBER($P$2:P67)),$P$2:P67),1,"0000001",Holidays!$A$6:$A$55),"")))</f>
        <v>46284</v>
      </c>
      <c r="P68" s="35">
        <f>IF(OR(O68="",H68="",K68="",L68=""),"",IFERROR(WORKDAY.INTL(O68-1,MAX(1,ROUNDUP(H68/(K68*L68),0)),"0000001",Holidays!$A$6:$A$55),"-"))</f>
        <v>46284</v>
      </c>
      <c r="Q68" s="33">
        <f>IF(P68="","",IFERROR(WORKDAY.INTL(P68,3,"0000001",Holidays!$A$6:$A$55),"-"))</f>
        <v>46288</v>
      </c>
      <c r="R68" s="34">
        <f>IF(OR(J68="",P68=""),"",IFERROR(NETWORKDAYS.INTL(P68+1,J68,"0000001",Holidays!$A$6:$A$55),"-"))</f>
        <v>5</v>
      </c>
      <c r="S68" s="33">
        <f>IF(O68="","",IFERROR(WORKDAY.INTL(O68,-10,"0000001",Holidays!$A$6:$A$55),"-"))</f>
        <v>46273</v>
      </c>
      <c r="T68" s="36">
        <f>IF(OR(I68="",Q68=""),"",IF(Q68&lt;=I68-4,1,0))</f>
        <v>1</v>
      </c>
      <c r="U68" s="32" t="n"/>
      <c r="V68" s="30" t="n"/>
      <c r="W68" s="36" t="str">
        <f>IF(OR($U68="",$V68="",$I68=""),"",IF(AND($U68&lt;=$I68-4,$V68&gt;=$F68),1,0))</f>
        <v/>
      </c>
    </row>
    <row r="69">
      <c r="B69" s="28" t="inlineStr">
        <is>
          <t>M7</t>
        </is>
      </c>
      <c r="C69" s="29" t="n">
        <v>12</v>
      </c>
      <c r="D69" s="28" t="inlineStr">
        <is>
          <t>RS27</t>
        </is>
      </c>
      <c r="E69" s="28" t="n">
        <v>7039924412</v>
      </c>
      <c r="F69" s="30" t="n">
        <v>1402</v>
      </c>
      <c r="G69" s="68" t="n">
        <v>0</v>
      </c>
      <c r="H69" s="31">
        <f>IF(OR(D69="",E69=""),"",IFERROR(F69-G69,"-"))</f>
        <v>1402</v>
      </c>
      <c r="I69" s="32" t="n">
        <v>46303</v>
      </c>
      <c r="J69" s="33">
        <f>IF(I69="","",IFERROR(WORKDAY.INTL(I69,-10,"0000001",Holidays!$A$6:$A$55),"-"))</f>
        <v>46290</v>
      </c>
      <c r="K69" s="30" t="n">
        <v>2</v>
      </c>
      <c r="L69" s="30" t="n">
        <v>2975</v>
      </c>
      <c r="M69" s="34">
        <f>IF(OR(D69="",E69="",F69="",K69="",L69=""),"",IFERROR(ROUNDUP(H69/(K69*L69),0),"-"))</f>
        <v>1</v>
      </c>
      <c r="N69" s="33" t="n">
        <v>46284</v>
      </c>
      <c r="O69" s="32">
        <f t="array" ref="O69">IF(OR($D69="",$E69=""),"",IF($N69&lt;&gt;"",$N69,IFERROR(WORKDAY.INTL(LOOKUP(2,1/(($D$2:D68=$D69)*ISNUMBER($P$2:P68)),$P$2:P68),1,"0000001",Holidays!$A$6:$A$55),"")))</f>
        <v>46284</v>
      </c>
      <c r="P69" s="35">
        <f>IF(OR(O69="",H69="",K69="",L69=""),"",IFERROR(WORKDAY.INTL(O69-1,MAX(1,ROUNDUP(H69/(K69*L69),0)),"0000001",Holidays!$A$6:$A$55),"-"))</f>
        <v>46284</v>
      </c>
      <c r="Q69" s="33">
        <f>IF(P69="","",IFERROR(WORKDAY.INTL(P69,3,"0000001",Holidays!$A$6:$A$55),"-"))</f>
        <v>46288</v>
      </c>
      <c r="R69" s="34">
        <f>IF(OR(J69="",P69=""),"",IFERROR(NETWORKDAYS.INTL(P69+1,J69,"0000001",Holidays!$A$6:$A$55),"-"))</f>
        <v>5</v>
      </c>
      <c r="S69" s="33">
        <f>IF(O69="","",IFERROR(WORKDAY.INTL(O69,-10,"0000001",Holidays!$A$6:$A$55),"-"))</f>
        <v>46273</v>
      </c>
      <c r="T69" s="36">
        <f>IF(OR(I69="",Q69=""),"",IF(Q69&lt;=I69-4,1,0))</f>
        <v>1</v>
      </c>
      <c r="U69" s="32" t="n"/>
      <c r="V69" s="30" t="n"/>
      <c r="W69" s="36" t="str">
        <f>IF(OR($U69="",$V69="",$I69=""),"",IF(AND($U69&lt;=$I69-4,$V69&gt;=$F69),1,0))</f>
        <v/>
      </c>
    </row>
    <row r="70">
      <c r="B70" s="28" t="inlineStr">
        <is>
          <t>M7</t>
        </is>
      </c>
      <c r="C70" s="29" t="n">
        <v>13</v>
      </c>
      <c r="D70" s="28" t="inlineStr">
        <is>
          <t>RS27</t>
        </is>
      </c>
      <c r="E70" s="28" t="n">
        <v>7849063489</v>
      </c>
      <c r="F70" s="30" t="n">
        <v>2197</v>
      </c>
      <c r="G70" s="68" t="n">
        <v>0</v>
      </c>
      <c r="H70" s="31">
        <f>IF(OR(D70="",E70=""),"",IFERROR(F70-G70,"-"))</f>
        <v>2197</v>
      </c>
      <c r="I70" s="32" t="n">
        <v>46311</v>
      </c>
      <c r="J70" s="33">
        <f>IF(I70="","",IFERROR(WORKDAY.INTL(I70,-10,"0000001",Holidays!$A$6:$A$55),"-"))</f>
        <v>46300</v>
      </c>
      <c r="K70" s="30" t="n">
        <v>2</v>
      </c>
      <c r="L70" s="30" t="n">
        <v>2975</v>
      </c>
      <c r="M70" s="34">
        <f>IF(OR(D70="",E70="",F70="",K70="",L70=""),"",IFERROR(ROUNDUP(H70/(K70*L70),0),"-"))</f>
        <v>1</v>
      </c>
      <c r="N70" s="33" t="n">
        <v>46294</v>
      </c>
      <c r="O70" s="32">
        <f t="array" ref="O70">IF(OR($D70="",$E70=""),"",IF($N70&lt;&gt;"",$N70,IFERROR(WORKDAY.INTL(LOOKUP(2,1/(($D$2:D69=$D70)*ISNUMBER($P$2:P69)),$P$2:P69),1,"0000001",Holidays!$A$6:$A$55),"")))</f>
        <v>46294</v>
      </c>
      <c r="P70" s="35">
        <f>IF(OR(O70="",H70="",K70="",L70=""),"",IFERROR(WORKDAY.INTL(O70-1,MAX(1,ROUNDUP(H70/(K70*L70),0)),"0000001",Holidays!$A$6:$A$55),"-"))</f>
        <v>46294</v>
      </c>
      <c r="Q70" s="33">
        <f>IF(P70="","",IFERROR(WORKDAY.INTL(P70,3,"0000001",Holidays!$A$6:$A$55),"-"))</f>
        <v>46298</v>
      </c>
      <c r="R70" s="34">
        <f>IF(OR(J70="",P70=""),"",IFERROR(NETWORKDAYS.INTL(P70+1,J70,"0000001",Holidays!$A$6:$A$55),"-"))</f>
        <v>4</v>
      </c>
      <c r="S70" s="33">
        <f>IF(O70="","",IFERROR(WORKDAY.INTL(O70,-10,"0000001",Holidays!$A$6:$A$55),"-"))</f>
        <v>46282</v>
      </c>
      <c r="T70" s="36">
        <f>IF(OR(I70="",Q70=""),"",IF(Q70&lt;=I70-4,1,0))</f>
        <v>1</v>
      </c>
      <c r="U70" s="32" t="n"/>
      <c r="V70" s="30" t="n"/>
      <c r="W70" s="36" t="str">
        <f>IF(OR($U70="",$V70="",$I70=""),"",IF(AND($U70&lt;=$I70-4,$V70&gt;=$F70),1,0))</f>
        <v/>
      </c>
    </row>
    <row r="71">
      <c r="B71" s="28" t="inlineStr">
        <is>
          <t>M7</t>
        </is>
      </c>
      <c r="C71" s="29" t="n">
        <v>14</v>
      </c>
      <c r="D71" s="28" t="inlineStr">
        <is>
          <t>RS27</t>
        </is>
      </c>
      <c r="E71" s="28" t="n">
        <v>7759903547</v>
      </c>
      <c r="F71" s="30" t="n">
        <v>2614</v>
      </c>
      <c r="G71" s="68" t="n">
        <v>0</v>
      </c>
      <c r="H71" s="31">
        <f>IF(OR(D71="",E71=""),"",IFERROR(F71-G71,"-"))</f>
        <v>2614</v>
      </c>
      <c r="I71" s="32" t="n">
        <v>46311</v>
      </c>
      <c r="J71" s="33">
        <f>IF(I71="","",IFERROR(WORKDAY.INTL(I71,-10,"0000001",Holidays!$A$6:$A$55),"-"))</f>
        <v>46300</v>
      </c>
      <c r="K71" s="30" t="n">
        <v>2</v>
      </c>
      <c r="L71" s="30" t="n">
        <v>2975</v>
      </c>
      <c r="M71" s="34">
        <f>IF(OR(D71="",E71="",F71="",K71="",L71=""),"",IFERROR(ROUNDUP(H71/(K71*L71),0),"-"))</f>
        <v>1</v>
      </c>
      <c r="N71" s="33" t="n">
        <v>46294</v>
      </c>
      <c r="O71" s="32">
        <f t="array" ref="O71">IF(OR($D71="",$E71=""),"",IF($N71&lt;&gt;"",$N71,IFERROR(WORKDAY.INTL(LOOKUP(2,1/(($D$2:D70=$D71)*ISNUMBER($P$2:P70)),$P$2:P70),1,"0000001",Holidays!$A$6:$A$55),"")))</f>
        <v>46294</v>
      </c>
      <c r="P71" s="35">
        <f>IF(OR(O71="",H71="",K71="",L71=""),"",IFERROR(WORKDAY.INTL(O71-1,MAX(1,ROUNDUP(H71/(K71*L71),0)),"0000001",Holidays!$A$6:$A$55),"-"))</f>
        <v>46294</v>
      </c>
      <c r="Q71" s="33">
        <f>IF(P71="","",IFERROR(WORKDAY.INTL(P71,3,"0000001",Holidays!$A$6:$A$55),"-"))</f>
        <v>46298</v>
      </c>
      <c r="R71" s="34">
        <f>IF(OR(J71="",P71=""),"",IFERROR(NETWORKDAYS.INTL(P71+1,J71,"0000001",Holidays!$A$6:$A$55),"-"))</f>
        <v>4</v>
      </c>
      <c r="S71" s="33">
        <f>IF(O71="","",IFERROR(WORKDAY.INTL(O71,-10,"0000001",Holidays!$A$6:$A$55),"-"))</f>
        <v>46282</v>
      </c>
      <c r="T71" s="36">
        <f>IF(OR(I71="",Q71=""),"",IF(Q71&lt;=I71-4,1,0))</f>
        <v>1</v>
      </c>
      <c r="U71" s="32" t="n"/>
      <c r="V71" s="30" t="n"/>
      <c r="W71" s="36" t="str">
        <f>IF(OR($U71="",$V71="",$I71=""),"",IF(AND($U71&lt;=$I71-4,$V71&gt;=$F71),1,0))</f>
        <v/>
      </c>
    </row>
    <row r="72">
      <c r="B72" s="28" t="inlineStr">
        <is>
          <t>M7</t>
        </is>
      </c>
      <c r="C72" s="29" t="n">
        <v>15</v>
      </c>
      <c r="D72" s="28" t="inlineStr">
        <is>
          <t>RS27</t>
        </is>
      </c>
      <c r="E72" s="28" t="n">
        <v>7084635043</v>
      </c>
      <c r="F72" s="30" t="n">
        <v>1517</v>
      </c>
      <c r="G72" s="68" t="n">
        <v>0</v>
      </c>
      <c r="H72" s="31">
        <f>IF(OR(D72="",E72=""),"",IFERROR(F72-G72,"-"))</f>
        <v>1517</v>
      </c>
      <c r="I72" s="32" t="n">
        <v>46311</v>
      </c>
      <c r="J72" s="33">
        <f>IF(I72="","",IFERROR(WORKDAY.INTL(I72,-10,"0000001",Holidays!$A$6:$A$55),"-"))</f>
        <v>46300</v>
      </c>
      <c r="K72" s="30" t="n">
        <v>2</v>
      </c>
      <c r="L72" s="30" t="n">
        <v>2975</v>
      </c>
      <c r="M72" s="34">
        <f>IF(OR(D72="",E72="",F72="",K72="",L72=""),"",IFERROR(ROUNDUP(H72/(K72*L72),0),"-"))</f>
        <v>1</v>
      </c>
      <c r="N72" s="34" t="n"/>
      <c r="O72" s="32">
        <f t="array" ref="O72">IF(OR($D72="",$E72=""),"",IF($N72&lt;&gt;"",$N72,IFERROR(WORKDAY.INTL(LOOKUP(2,1/(($D$2:D71=$D72)*ISNUMBER($P$2:P71)),$P$2:P71),1,"0000001",Holidays!$A$6:$A$55),"")))</f>
        <v>46295</v>
      </c>
      <c r="P72" s="35">
        <f>IF(OR(O72="",H72="",K72="",L72=""),"",IFERROR(WORKDAY.INTL(O72-1,MAX(1,ROUNDUP(H72/(K72*L72),0)),"0000001",Holidays!$A$6:$A$55),"-"))</f>
        <v>46295</v>
      </c>
      <c r="Q72" s="33">
        <f>IF(P72="","",IFERROR(WORKDAY.INTL(P72,3,"0000001",Holidays!$A$6:$A$55),"-"))</f>
        <v>46300</v>
      </c>
      <c r="R72" s="34">
        <f>IF(OR(J72="",P72=""),"",IFERROR(NETWORKDAYS.INTL(P72+1,J72,"0000001",Holidays!$A$6:$A$55),"-"))</f>
        <v>3</v>
      </c>
      <c r="S72" s="33">
        <f>IF(O72="","",IFERROR(WORKDAY.INTL(O72,-10,"0000001",Holidays!$A$6:$A$55),"-"))</f>
        <v>46283</v>
      </c>
      <c r="T72" s="36">
        <f>IF(OR(I72="",Q72=""),"",IF(Q72&lt;=I72-4,1,0))</f>
        <v>1</v>
      </c>
      <c r="U72" s="32" t="n"/>
      <c r="V72" s="30" t="n"/>
      <c r="W72" s="36" t="str">
        <f>IF(OR($U72="",$V72="",$I72=""),"",IF(AND($U72&lt;=$I72-4,$V72&gt;=$F72),1,0))</f>
        <v/>
      </c>
    </row>
    <row r="73" ht="15.75" customHeight="1" thickBot="1">
      <c r="B73" s="37" t="inlineStr">
        <is>
          <t>M7</t>
        </is>
      </c>
      <c r="C73" s="38" t="n">
        <v>16</v>
      </c>
      <c r="D73" s="37" t="inlineStr">
        <is>
          <t>RS27</t>
        </is>
      </c>
      <c r="E73" s="37" t="n">
        <v>7009990468</v>
      </c>
      <c r="F73" s="39" t="n">
        <v>1887</v>
      </c>
      <c r="G73" s="66" t="n">
        <v>0</v>
      </c>
      <c r="H73" s="40">
        <f>IF(OR(D73="",E73=""),"",IFERROR(F73-G73,"-"))</f>
        <v>1887</v>
      </c>
      <c r="I73" s="41" t="n">
        <v>46311</v>
      </c>
      <c r="J73" s="42">
        <f>IF(I73="","",IFERROR(WORKDAY.INTL(I73,-10,"0000001",Holidays!$A$6:$A$55),"-"))</f>
        <v>46300</v>
      </c>
      <c r="K73" s="30" t="n">
        <v>2</v>
      </c>
      <c r="L73" s="30" t="n">
        <v>2975</v>
      </c>
      <c r="M73" s="43">
        <f>IF(OR(D73="",E73="",F73="",K73="",L73=""),"",IFERROR(ROUNDUP(H73/(K73*L73),0),"-"))</f>
        <v>1</v>
      </c>
      <c r="N73" s="42" t="n">
        <v>46295</v>
      </c>
      <c r="O73" s="41">
        <f t="array" ref="O73">IF(OR($D73="",$E73=""),"",IF($N73&lt;&gt;"",$N73,IFERROR(WORKDAY.INTL(LOOKUP(2,1/(($D$2:D72=$D73)*ISNUMBER($P$2:P72)),$P$2:P72),1,"0000001",Holidays!$A$6:$A$55),"")))</f>
        <v>46295</v>
      </c>
      <c r="P73" s="44">
        <f>IF(OR(O73="",H73="",K73="",L73=""),"",IFERROR(WORKDAY.INTL(O73-1,MAX(1,ROUNDUP(H73/(K73*L73),0)),"0000001",Holidays!$A$6:$A$55),"-"))</f>
        <v>46295</v>
      </c>
      <c r="Q73" s="42">
        <f>IF(P73="","",IFERROR(WORKDAY.INTL(P73,3,"0000001",Holidays!$A$6:$A$55),"-"))</f>
        <v>46300</v>
      </c>
      <c r="R73" s="43">
        <f>IF(OR(J73="",P73=""),"",IFERROR(NETWORKDAYS.INTL(P73+1,J73,"0000001",Holidays!$A$6:$A$55),"-"))</f>
        <v>3</v>
      </c>
      <c r="S73" s="42">
        <f>IF(O73="","",IFERROR(WORKDAY.INTL(O73,-10,"0000001",Holidays!$A$6:$A$55),"-"))</f>
        <v>46283</v>
      </c>
      <c r="T73" s="45">
        <f>IF(OR(I73="",Q73=""),"",IF(Q73&lt;=I73-4,1,0))</f>
        <v>1</v>
      </c>
      <c r="U73" s="41" t="n"/>
      <c r="V73" s="39" t="n"/>
      <c r="W73" s="45" t="str">
        <f>IF(OR($U73="",$V73="",$I73=""),"",IF(AND($U73&lt;=$I73-4,$V73&gt;=$F73),1,0))</f>
        <v/>
      </c>
    </row>
    <row r="74" ht="15.75" customHeight="1" thickBot="1">
      <c r="B74" s="55" t="inlineStr">
        <is>
          <t>M5</t>
        </is>
      </c>
      <c r="C74" s="56" t="n">
        <v>1</v>
      </c>
      <c r="D74" s="64" t="n">
        <v>4406</v>
      </c>
      <c r="E74" s="55" t="n">
        <v>7448382145</v>
      </c>
      <c r="F74" s="57" t="n">
        <v>125154</v>
      </c>
      <c r="G74" s="69" t="n">
        <v>125154</v>
      </c>
      <c r="H74" s="58">
        <f>IF(OR(D74="",E74=""),"",IFERROR(F74-G74,"-"))</f>
        <v>0</v>
      </c>
      <c r="I74" s="59" t="n">
        <v>46237</v>
      </c>
      <c r="J74" s="60">
        <f>IF(I74="","",IFERROR(WORKDAY.INTL(I74,-10,"0000001",Holidays!$A$6:$A$55),"-"))</f>
        <v>46225</v>
      </c>
      <c r="K74" s="57" t="n"/>
      <c r="L74" s="57" t="n"/>
      <c r="M74" s="61" t="str">
        <f>IF(OR(D74="",E74="",F74="",K74="",L74=""),"",IFERROR(ROUNDUP(H74/(K74*L74),0),"-"))</f>
        <v/>
      </c>
      <c r="N74" s="60" t="inlineStr">
        <is>
          <t>Close</t>
        </is>
      </c>
      <c r="O74" s="59" t="str">
        <f t="array" ref="O74">IF(OR($D74="",$E74=""),"",IF($N74&lt;&gt;"",$N74,IFERROR(WORKDAY.INTL(LOOKUP(2,1/(($D$2:D73=$D74)*ISNUMBER($P$2:P73)),$P$2:P73),1,"0000001",Holidays!$A$6:$A$55),"")))</f>
        <v>Close</v>
      </c>
      <c r="P74" s="62" t="str">
        <f>IF(OR(O74="",H74="",K74="",L74=""),"",IFERROR(WORKDAY.INTL(O74-1,MAX(1,ROUNDUP(H74/(K74*L74),0)),"0000001",Holidays!$A$6:$A$55),"-"))</f>
        <v/>
      </c>
      <c r="Q74" s="60" t="str">
        <f>IF(P74="","",IFERROR(WORKDAY.INTL(P74,3,"0000001",Holidays!$A$6:$A$55),"-"))</f>
        <v/>
      </c>
      <c r="R74" s="61" t="str">
        <f>IF(OR(J74="",P74=""),"",IFERROR(NETWORKDAYS.INTL(P74+1,J74,"0000001",Holidays!$A$6:$A$55),"-"))</f>
        <v/>
      </c>
      <c r="S74" s="60" t="str">
        <f>IF(O74="","",IFERROR(WORKDAY.INTL(O74,-10,"0000001",Holidays!$A$6:$A$55),"-"))</f>
        <v>-</v>
      </c>
      <c r="T74" s="63" t="str">
        <f>IF(OR(I74="",Q74=""),"",IF(Q74&lt;=I74-4,1,0))</f>
        <v/>
      </c>
      <c r="U74" s="59" t="n"/>
      <c r="V74" s="57" t="n"/>
      <c r="W74" s="63" t="str">
        <f>IF(OR($U74="",$V74="",$I74=""),"",IF(AND($U74&lt;=$I74-4,$V74&gt;=$F74),1,0))</f>
        <v/>
      </c>
    </row>
    <row r="75">
      <c r="B75" s="28" t="inlineStr">
        <is>
          <t>M6</t>
        </is>
      </c>
      <c r="C75" s="29" t="n">
        <v>1</v>
      </c>
      <c r="D75" s="28" t="inlineStr">
        <is>
          <t>4406P</t>
        </is>
      </c>
      <c r="E75" s="28" t="n">
        <v>7248922049</v>
      </c>
      <c r="F75" s="30" t="n">
        <v>70533</v>
      </c>
      <c r="G75" s="68" t="n">
        <v>70533</v>
      </c>
      <c r="H75" s="31">
        <f>IF(OR(D75="",E75=""),"",IFERROR(F75-G75,"-"))</f>
        <v>0</v>
      </c>
      <c r="I75" s="32" t="n">
        <v>46269</v>
      </c>
      <c r="J75" s="33">
        <f>IF(I75="","",IFERROR(WORKDAY.INTL(I75,-10,"0000001",Holidays!$A$6:$A$55),"-"))</f>
        <v>46256</v>
      </c>
      <c r="K75" s="30" t="n"/>
      <c r="L75" s="30" t="n"/>
      <c r="M75" s="34" t="str">
        <f>IF(OR(D75="",E75="",F75="",K75="",L75=""),"",IFERROR(ROUNDUP(H75/(K75*L75),0),"-"))</f>
        <v/>
      </c>
      <c r="N75" s="33" t="inlineStr">
        <is>
          <t>Close</t>
        </is>
      </c>
      <c r="O75" s="32" t="str">
        <f t="array" ref="O75">IF(OR($D75="",$E75=""),"",IF($N75&lt;&gt;"",$N75,IFERROR(WORKDAY.INTL(LOOKUP(2,1/(($D$2:D74=$D75)*ISNUMBER($P$2:P74)),$P$2:P74),1,"0000001",Holidays!$A$6:$A$55),"")))</f>
        <v>Close</v>
      </c>
      <c r="P75" s="35" t="str">
        <f>IF(OR(O75="",H75="",K75="",L75=""),"",IFERROR(WORKDAY.INTL(O75-1,MAX(1,ROUNDUP(H75/(K75*L75),0)),"0000001",Holidays!$A$6:$A$55),"-"))</f>
        <v/>
      </c>
      <c r="Q75" s="33" t="str">
        <f>IF(P75="","",IFERROR(WORKDAY.INTL(P75,3,"0000001",Holidays!$A$6:$A$55),"-"))</f>
        <v/>
      </c>
      <c r="R75" s="34" t="str">
        <f>IF(OR(J75="",P75=""),"",IFERROR(NETWORKDAYS.INTL(P75+1,J75,"0000001",Holidays!$A$6:$A$55),"-"))</f>
        <v/>
      </c>
      <c r="S75" s="33" t="str">
        <f>IF(O75="","",IFERROR(WORKDAY.INTL(O75,-10,"0000001",Holidays!$A$6:$A$55),"-"))</f>
        <v>-</v>
      </c>
      <c r="T75" s="36" t="str">
        <f>IF(OR(I75="",Q75=""),"",IF(Q75&lt;=I75-4,1,0))</f>
        <v/>
      </c>
      <c r="U75" s="32" t="n"/>
      <c r="V75" s="30" t="n"/>
      <c r="W75" s="36" t="str">
        <f>IF(OR($U75="",$V75="",$I75=""),"",IF(AND($U75&lt;=$I75-4,$V75&gt;=$F75),1,0))</f>
        <v/>
      </c>
    </row>
    <row r="76">
      <c r="B76" s="28" t="inlineStr">
        <is>
          <t>M6</t>
        </is>
      </c>
      <c r="C76" s="29" t="n">
        <v>2</v>
      </c>
      <c r="D76" s="28" t="inlineStr">
        <is>
          <t>4406P</t>
        </is>
      </c>
      <c r="E76" s="28" t="n">
        <v>7290766807</v>
      </c>
      <c r="F76" s="30" t="n">
        <v>70584</v>
      </c>
      <c r="G76" s="68" t="n">
        <v>45140</v>
      </c>
      <c r="H76" s="31">
        <f>IF(OR(D76="",E76=""),"",IFERROR(F76-G76,"-"))</f>
        <v>25444</v>
      </c>
      <c r="I76" s="32" t="n">
        <v>46269</v>
      </c>
      <c r="J76" s="33">
        <f>IF(I76="","",IFERROR(WORKDAY.INTL(I76,-10,"0000001",Holidays!$A$6:$A$55),"-"))</f>
        <v>46256</v>
      </c>
      <c r="K76" s="30" t="n">
        <v>3</v>
      </c>
      <c r="L76" s="30" t="n">
        <v>4250</v>
      </c>
      <c r="M76" s="34">
        <f>IF(OR(D76="",E76="",F76="",K76="",L76=""),"",IFERROR(ROUNDUP(H76/(K76*L76),0),"-"))</f>
        <v>2</v>
      </c>
      <c r="N76" s="33" t="n">
        <v>46247</v>
      </c>
      <c r="O76" s="32">
        <f t="array" ref="O76">IF(OR($D76="",$E76=""),"",IF($N76&lt;&gt;"",$N76,IFERROR(WORKDAY.INTL(LOOKUP(2,1/(($D$2:D75=$D76)*ISNUMBER($P$2:P75)),$P$2:P75),1,"0000001",Holidays!$A$6:$A$55),"")))</f>
        <v>46247</v>
      </c>
      <c r="P76" s="35">
        <f>IF(OR(O76="",H76="",K76="",L76=""),"",IFERROR(WORKDAY.INTL(O76-1,MAX(1,ROUNDUP(H76/(K76*L76),0)),"0000001",Holidays!$A$6:$A$55),"-"))</f>
        <v>46248</v>
      </c>
      <c r="Q76" s="33">
        <f>IF(P76="","",IFERROR(WORKDAY.INTL(P76,3,"0000001",Holidays!$A$6:$A$55),"-"))</f>
        <v>46253</v>
      </c>
      <c r="R76" s="34">
        <f>IF(OR(J76="",P76=""),"",IFERROR(NETWORKDAYS.INTL(P76+1,J76,"0000001",Holidays!$A$6:$A$55),"-"))</f>
        <v>6</v>
      </c>
      <c r="S76" s="33">
        <f>IF(O76="","",IFERROR(WORKDAY.INTL(O76,-10,"0000001",Holidays!$A$6:$A$55),"-"))</f>
        <v>46235</v>
      </c>
      <c r="T76" s="36">
        <f>IF(OR(I76="",Q76=""),"",IF(Q76&lt;=I76-4,1,0))</f>
        <v>1</v>
      </c>
      <c r="U76" s="32" t="n"/>
      <c r="V76" s="30" t="n"/>
      <c r="W76" s="36" t="str">
        <f>IF(OR($U76="",$V76="",$I76=""),"",IF(AND($U76&lt;=$I76-4,$V76&gt;=$F76),1,0))</f>
        <v/>
      </c>
    </row>
    <row r="77">
      <c r="B77" s="28" t="inlineStr">
        <is>
          <t>M6</t>
        </is>
      </c>
      <c r="C77" s="29" t="n">
        <v>3</v>
      </c>
      <c r="D77" s="28" t="inlineStr">
        <is>
          <t>4406P</t>
        </is>
      </c>
      <c r="E77" s="28" t="n">
        <v>7966735389</v>
      </c>
      <c r="F77" s="30" t="n">
        <v>70482</v>
      </c>
      <c r="G77" s="68" t="n">
        <v>0</v>
      </c>
      <c r="H77" s="31">
        <f>IF(OR(D77="",E77=""),"",IFERROR(F77-G77,"-"))</f>
        <v>70482</v>
      </c>
      <c r="I77" s="32" t="n">
        <v>46269</v>
      </c>
      <c r="J77" s="33">
        <f>IF(I77="","",IFERROR(WORKDAY.INTL(I77,-10,"0000001",Holidays!$A$6:$A$55),"-"))</f>
        <v>46256</v>
      </c>
      <c r="K77" s="30" t="n">
        <v>3</v>
      </c>
      <c r="L77" s="30" t="n">
        <v>4250</v>
      </c>
      <c r="M77" s="34">
        <f>IF(OR(D77="",E77="",F77="",K77="",L77=""),"",IFERROR(ROUNDUP(H77/(K77*L77),0),"-"))</f>
        <v>6</v>
      </c>
      <c r="N77" s="33" t="n">
        <v>46256</v>
      </c>
      <c r="O77" s="32">
        <f t="array" ref="O77">IF(OR($D77="",$E77=""),"",IF($N77&lt;&gt;"",$N77,IFERROR(WORKDAY.INTL(LOOKUP(2,1/(($D$2:D76=$D77)*ISNUMBER($P$2:P76)),$P$2:P76),1,"0000001",Holidays!$A$6:$A$55),"")))</f>
        <v>46256</v>
      </c>
      <c r="P77" s="35">
        <f>IF(OR(O77="",H77="",K77="",L77=""),"",IFERROR(WORKDAY.INTL(O77-1,MAX(1,ROUNDUP(H77/(K77*L77),0)),"0000001",Holidays!$A$6:$A$55),"-"))</f>
        <v>46263</v>
      </c>
      <c r="Q77" s="33">
        <f>IF(P77="","",IFERROR(WORKDAY.INTL(P77,3,"0000001",Holidays!$A$6:$A$55),"-"))</f>
        <v>46267</v>
      </c>
      <c r="R77" s="34">
        <f>IF(OR(J77="",P77=""),"",IFERROR(NETWORKDAYS.INTL(P77+1,J77,"0000001",Holidays!$A$6:$A$55),"-"))</f>
        <v>-6</v>
      </c>
      <c r="S77" s="33">
        <f>IF(O77="","",IFERROR(WORKDAY.INTL(O77,-10,"0000001",Holidays!$A$6:$A$55),"-"))</f>
        <v>46244</v>
      </c>
      <c r="T77" s="36">
        <f>IF(OR(I77="",Q77=""),"",IF(Q77&lt;=I77-4,1,0))</f>
        <v>0</v>
      </c>
      <c r="U77" s="32" t="n"/>
      <c r="V77" s="30" t="n"/>
      <c r="W77" s="36" t="str">
        <f>IF(OR($U77="",$V77="",$I77=""),"",IF(AND($U77&lt;=$I77-4,$V77&gt;=$F77),1,0))</f>
        <v/>
      </c>
    </row>
    <row r="78">
      <c r="B78" s="28" t="inlineStr">
        <is>
          <t>M7</t>
        </is>
      </c>
      <c r="C78" s="29" t="n">
        <v>4</v>
      </c>
      <c r="D78" s="28" t="inlineStr">
        <is>
          <t>4406P</t>
        </is>
      </c>
      <c r="E78" s="28" t="n">
        <v>7295058260</v>
      </c>
      <c r="F78" s="30" t="n">
        <v>70278</v>
      </c>
      <c r="G78" s="68" t="n">
        <v>0</v>
      </c>
      <c r="H78" s="31">
        <f>IF(OR(D78="",E78=""),"",IFERROR(F78-G78,"-"))</f>
        <v>70278</v>
      </c>
      <c r="I78" s="32" t="n">
        <v>46290</v>
      </c>
      <c r="J78" s="33">
        <f>IF(I78="","",IFERROR(WORKDAY.INTL(I78,-10,"0000001",Holidays!$A$6:$A$55),"-"))</f>
        <v>46279</v>
      </c>
      <c r="K78" s="30" t="n">
        <v>3</v>
      </c>
      <c r="L78" s="30" t="n">
        <v>4250</v>
      </c>
      <c r="M78" s="34">
        <f>IF(OR(D78="",E78="",F78="",K78="",L78=""),"",IFERROR(ROUNDUP(H78/(K78*L78),0),"-"))</f>
        <v>6</v>
      </c>
      <c r="N78" s="33" t="n">
        <v>46270</v>
      </c>
      <c r="O78" s="32">
        <f t="array" ref="O78">IF(OR($D78="",$E78=""),"",IF($N78&lt;&gt;"",$N78,IFERROR(WORKDAY.INTL(LOOKUP(2,1/(($D$2:D77=$D78)*ISNUMBER($P$2:P77)),$P$2:P77),1,"0000001",Holidays!$A$6:$A$55),"")))</f>
        <v>46270</v>
      </c>
      <c r="P78" s="35">
        <f>IF(OR(O78="",H78="",K78="",L78=""),"",IFERROR(WORKDAY.INTL(O78-1,MAX(1,ROUNDUP(H78/(K78*L78),0)),"0000001",Holidays!$A$6:$A$55),"-"))</f>
        <v>46276</v>
      </c>
      <c r="Q78" s="33">
        <f>IF(P78="","",IFERROR(WORKDAY.INTL(P78,3,"0000001",Holidays!$A$6:$A$55),"-"))</f>
        <v>46280</v>
      </c>
      <c r="R78" s="34">
        <f>IF(OR(J78="",P78=""),"",IFERROR(NETWORKDAYS.INTL(P78+1,J78,"0000001",Holidays!$A$6:$A$55),"-"))</f>
        <v>2</v>
      </c>
      <c r="S78" s="33">
        <f>IF(O78="","",IFERROR(WORKDAY.INTL(O78,-10,"0000001",Holidays!$A$6:$A$55),"-"))</f>
        <v>46258</v>
      </c>
      <c r="T78" s="36">
        <f>IF(OR(I78="",Q78=""),"",IF(Q78&lt;=I78-4,1,0))</f>
        <v>1</v>
      </c>
      <c r="U78" s="32" t="n"/>
      <c r="V78" s="30" t="n"/>
      <c r="W78" s="36" t="str">
        <f>IF(OR($U78="",$V78="",$I78=""),"",IF(AND($U78&lt;=$I78-4,$V78&gt;=$F78),1,0))</f>
        <v/>
      </c>
    </row>
    <row r="79">
      <c r="B79" s="28" t="inlineStr">
        <is>
          <t>M7</t>
        </is>
      </c>
      <c r="C79" s="29" t="n">
        <v>5</v>
      </c>
      <c r="D79" s="28" t="inlineStr">
        <is>
          <t>4406P</t>
        </is>
      </c>
      <c r="E79" s="28" t="n">
        <v>7762431379</v>
      </c>
      <c r="F79" s="30" t="n">
        <v>70482</v>
      </c>
      <c r="G79" s="68" t="n">
        <v>0</v>
      </c>
      <c r="H79" s="31">
        <f>IF(OR(D79="",E79=""),"",IFERROR(F79-G79,"-"))</f>
        <v>70482</v>
      </c>
      <c r="I79" s="32" t="n">
        <v>46290</v>
      </c>
      <c r="J79" s="33">
        <f>IF(I79="","",IFERROR(WORKDAY.INTL(I79,-10,"0000001",Holidays!$A$6:$A$55),"-"))</f>
        <v>46279</v>
      </c>
      <c r="K79" s="30" t="n">
        <v>3</v>
      </c>
      <c r="L79" s="30" t="n">
        <v>4250</v>
      </c>
      <c r="M79" s="34">
        <f>IF(OR(D79="",E79="",F79="",K79="",L79=""),"",IFERROR(ROUNDUP(H79/(K79*L79),0),"-"))</f>
        <v>6</v>
      </c>
      <c r="N79" s="33" t="n">
        <v>46275</v>
      </c>
      <c r="O79" s="32">
        <f t="array" ref="O79">IF(OR($D79="",$E79=""),"",IF($N79&lt;&gt;"",$N79,IFERROR(WORKDAY.INTL(LOOKUP(2,1/(($D$2:D78=$D79)*ISNUMBER($P$2:P78)),$P$2:P78),1,"0000001",Holidays!$A$6:$A$55),"")))</f>
        <v>46275</v>
      </c>
      <c r="P79" s="35">
        <f>IF(OR(O79="",H79="",K79="",L79=""),"",IFERROR(WORKDAY.INTL(O79-1,MAX(1,ROUNDUP(H79/(K79*L79),0)),"0000001",Holidays!$A$6:$A$55),"-"))</f>
        <v>46281</v>
      </c>
      <c r="Q79" s="33">
        <f>IF(P79="","",IFERROR(WORKDAY.INTL(P79,3,"0000001",Holidays!$A$6:$A$55),"-"))</f>
        <v>46284</v>
      </c>
      <c r="R79" s="34">
        <f>IF(OR(J79="",P79=""),"",IFERROR(NETWORKDAYS.INTL(P79+1,J79,"0000001",Holidays!$A$6:$A$55),"-"))</f>
        <v>-4</v>
      </c>
      <c r="S79" s="33">
        <f>IF(O79="","",IFERROR(WORKDAY.INTL(O79,-10,"0000001",Holidays!$A$6:$A$55),"-"))</f>
        <v>46263</v>
      </c>
      <c r="T79" s="36">
        <f>IF(OR(I79="",Q79=""),"",IF(Q79&lt;=I79-4,1,0))</f>
        <v>1</v>
      </c>
      <c r="U79" s="32" t="n"/>
      <c r="V79" s="30" t="n"/>
      <c r="W79" s="36" t="str">
        <f>IF(OR($U79="",$V79="",$I79=""),"",IF(AND($U79&lt;=$I79-4,$V79&gt;=$F79),1,0))</f>
        <v/>
      </c>
    </row>
    <row r="80">
      <c r="B80" s="28" t="inlineStr">
        <is>
          <t>M7</t>
        </is>
      </c>
      <c r="C80" s="29" t="n">
        <v>6</v>
      </c>
      <c r="D80" s="28" t="inlineStr">
        <is>
          <t>4406P</t>
        </is>
      </c>
      <c r="E80" s="28" t="n">
        <v>7001886384</v>
      </c>
      <c r="F80" s="30" t="n">
        <v>70176</v>
      </c>
      <c r="G80" s="68" t="n">
        <v>0</v>
      </c>
      <c r="H80" s="31">
        <f>IF(OR(D80="",E80=""),"",IFERROR(F80-G80,"-"))</f>
        <v>70176</v>
      </c>
      <c r="I80" s="32" t="n">
        <v>46290</v>
      </c>
      <c r="J80" s="33">
        <f>IF(I80="","",IFERROR(WORKDAY.INTL(I80,-10,"0000001",Holidays!$A$6:$A$55),"-"))</f>
        <v>46279</v>
      </c>
      <c r="K80" s="30" t="n">
        <v>3</v>
      </c>
      <c r="L80" s="30" t="n">
        <v>4250</v>
      </c>
      <c r="M80" s="34">
        <f>IF(OR(D80="",E80="",F80="",K80="",L80=""),"",IFERROR(ROUNDUP(H80/(K80*L80),0),"-"))</f>
        <v>6</v>
      </c>
      <c r="N80" s="33" t="n">
        <v>46281</v>
      </c>
      <c r="O80" s="32">
        <f t="array" ref="O80">IF(OR($D80="",$E80=""),"",IF($N80&lt;&gt;"",$N80,IFERROR(WORKDAY.INTL(LOOKUP(2,1/(($D$2:D79=$D80)*ISNUMBER($P$2:P79)),$P$2:P79),1,"0000001",Holidays!$A$6:$A$55),"")))</f>
        <v>46281</v>
      </c>
      <c r="P80" s="35">
        <f>IF(OR(O80="",H80="",K80="",L80=""),"",IFERROR(WORKDAY.INTL(O80-1,MAX(1,ROUNDUP(H80/(K80*L80),0)),"0000001",Holidays!$A$6:$A$55),"-"))</f>
        <v>46287</v>
      </c>
      <c r="Q80" s="33">
        <f>IF(P80="","",IFERROR(WORKDAY.INTL(P80,3,"0000001",Holidays!$A$6:$A$55),"-"))</f>
        <v>46290</v>
      </c>
      <c r="R80" s="34">
        <f>IF(OR(J80="",P80=""),"",IFERROR(NETWORKDAYS.INTL(P80+1,J80,"0000001",Holidays!$A$6:$A$55),"-"))</f>
        <v>-9</v>
      </c>
      <c r="S80" s="33">
        <f>IF(O80="","",IFERROR(WORKDAY.INTL(O80,-10,"0000001",Holidays!$A$6:$A$55),"-"))</f>
        <v>46269</v>
      </c>
      <c r="T80" s="36">
        <f>IF(OR(I80="",Q80=""),"",IF(Q80&lt;=I80-4,1,0))</f>
        <v>0</v>
      </c>
      <c r="U80" s="32" t="n"/>
      <c r="V80" s="30" t="n"/>
      <c r="W80" s="36" t="str">
        <f>IF(OR($U80="",$V80="",$I80=""),"",IF(AND($U80&lt;=$I80-4,$V80&gt;=$F80),1,0))</f>
        <v/>
      </c>
    </row>
    <row r="81">
      <c r="B81" s="28" t="inlineStr">
        <is>
          <t>M8</t>
        </is>
      </c>
      <c r="C81" s="29" t="n">
        <v>7</v>
      </c>
      <c r="D81" s="28" t="inlineStr">
        <is>
          <t>4406P</t>
        </is>
      </c>
      <c r="E81" s="28" t="n">
        <v>7212591173</v>
      </c>
      <c r="F81" s="30" t="n">
        <v>99348</v>
      </c>
      <c r="G81" s="68" t="n">
        <v>0</v>
      </c>
      <c r="H81" s="31">
        <f>IF(OR(D81="",E81=""),"",IFERROR(F81-G81,"-"))</f>
        <v>99348</v>
      </c>
      <c r="I81" s="32" t="n">
        <v>46318</v>
      </c>
      <c r="J81" s="33">
        <f>IF(I81="","",IFERROR(WORKDAY.INTL(I81,-10,"0000001",Holidays!$A$6:$A$55),"-"))</f>
        <v>46305</v>
      </c>
      <c r="K81" s="30" t="n">
        <v>3</v>
      </c>
      <c r="L81" s="30" t="n">
        <v>4250</v>
      </c>
      <c r="M81" s="34">
        <f>IF(OR(D81="",E81="",F81="",K81="",L81=""),"",IFERROR(ROUNDUP(H81/(K81*L81),0),"-"))</f>
        <v>8</v>
      </c>
      <c r="N81" s="33" t="n">
        <v>46298</v>
      </c>
      <c r="O81" s="32">
        <f t="array" ref="O81">IF(OR($D81="",$E81=""),"",IF($N81&lt;&gt;"",$N81,IFERROR(WORKDAY.INTL(LOOKUP(2,1/(($D$2:D80=$D81)*ISNUMBER($P$2:P80)),$P$2:P80),1,"0000001",Holidays!$A$6:$A$55),"")))</f>
        <v>46298</v>
      </c>
      <c r="P81" s="35">
        <f>IF(OR(O81="",H81="",K81="",L81=""),"",IFERROR(WORKDAY.INTL(O81-1,MAX(1,ROUNDUP(H81/(K81*L81),0)),"0000001",Holidays!$A$6:$A$55),"-"))</f>
        <v>46307</v>
      </c>
      <c r="Q81" s="33">
        <f>IF(P81="","",IFERROR(WORKDAY.INTL(P81,3,"0000001",Holidays!$A$6:$A$55),"-"))</f>
        <v>46310</v>
      </c>
      <c r="R81" s="34">
        <f>IF(OR(J81="",P81=""),"",IFERROR(NETWORKDAYS.INTL(P81+1,J81,"0000001",Holidays!$A$6:$A$55),"-"))</f>
        <v>-3</v>
      </c>
      <c r="S81" s="33">
        <f>IF(O81="","",IFERROR(WORKDAY.INTL(O81,-10,"0000001",Holidays!$A$6:$A$55),"-"))</f>
        <v>46286</v>
      </c>
      <c r="T81" s="36">
        <f>IF(OR(I81="",Q81=""),"",IF(Q81&lt;=I81-4,1,0))</f>
        <v>1</v>
      </c>
      <c r="U81" s="32" t="n"/>
      <c r="V81" s="30" t="n"/>
      <c r="W81" s="36" t="str">
        <f>IF(OR($U81="",$V81="",$I81=""),"",IF(AND($U81&lt;=$I81-4,$V81&gt;=$F81),1,0))</f>
        <v/>
      </c>
    </row>
    <row r="82" ht="15.75" customHeight="1" thickBot="1">
      <c r="B82" s="37" t="inlineStr">
        <is>
          <t>M8</t>
        </is>
      </c>
      <c r="C82" s="38" t="n">
        <v>8</v>
      </c>
      <c r="D82" s="37" t="inlineStr">
        <is>
          <t>4406P</t>
        </is>
      </c>
      <c r="E82" s="37" t="n">
        <v>7497573053</v>
      </c>
      <c r="F82" s="39" t="n">
        <v>71196</v>
      </c>
      <c r="G82" s="66" t="n">
        <v>0</v>
      </c>
      <c r="H82" s="40">
        <f>IF(OR(D82="",E82=""),"",IFERROR(F82-G82,"-"))</f>
        <v>71196</v>
      </c>
      <c r="I82" s="41" t="n">
        <v>46339</v>
      </c>
      <c r="J82" s="42">
        <f>IF(I82="","",IFERROR(WORKDAY.INTL(I82,-10,"0000001",Holidays!$A$6:$A$55),"-"))</f>
        <v>46326</v>
      </c>
      <c r="K82" s="39" t="n">
        <v>3</v>
      </c>
      <c r="L82" s="39" t="n">
        <v>4250</v>
      </c>
      <c r="M82" s="43">
        <f>IF(OR(D82="",E82="",F82="",K82="",L82=""),"",IFERROR(ROUNDUP(H82/(K82*L82),0),"-"))</f>
        <v>6</v>
      </c>
      <c r="N82" s="43" t="n"/>
      <c r="O82" s="41">
        <f t="array" ref="O82">IF(OR($D82="",$E82=""),"",IF($N82&lt;&gt;"",$N82,IFERROR(WORKDAY.INTL(LOOKUP(2,1/(($D$2:D81=$D82)*ISNUMBER($P$2:P81)),$P$2:P81),1,"0000001",Holidays!$A$6:$A$55),"")))</f>
        <v>46308</v>
      </c>
      <c r="P82" s="44">
        <f>IF(OR(O82="",H82="",K82="",L82=""),"",IFERROR(WORKDAY.INTL(O82-1,MAX(1,ROUNDUP(H82/(K82*L82),0)),"0000001",Holidays!$A$6:$A$55),"-"))</f>
        <v>46314</v>
      </c>
      <c r="Q82" s="42">
        <f>IF(P82="","",IFERROR(WORKDAY.INTL(P82,3,"0000001",Holidays!$A$6:$A$55),"-"))</f>
        <v>46318</v>
      </c>
      <c r="R82" s="43">
        <f>IF(OR(J82="",P82=""),"",IFERROR(NETWORKDAYS.INTL(P82+1,J82,"0000001",Holidays!$A$6:$A$55),"-"))</f>
        <v>10</v>
      </c>
      <c r="S82" s="42">
        <f>IF(O82="","",IFERROR(WORKDAY.INTL(O82,-10,"0000001",Holidays!$A$6:$A$55),"-"))</f>
        <v>46295</v>
      </c>
      <c r="T82" s="45">
        <f>IF(OR(I82="",Q82=""),"",IF(Q82&lt;=I82-4,1,0))</f>
        <v>1</v>
      </c>
      <c r="U82" s="41" t="n"/>
      <c r="V82" s="39" t="n"/>
      <c r="W82" s="45" t="str">
        <f>IF(OR($U82="",$V82="",$I82=""),"",IF(AND($U82&lt;=$I82-4,$V82&gt;=$F82),1,0))</f>
        <v/>
      </c>
    </row>
    <row r="83">
      <c r="B83" s="28" t="inlineStr">
        <is>
          <t>M7</t>
        </is>
      </c>
      <c r="C83" s="29" t="n">
        <v>1</v>
      </c>
      <c r="D83" s="28" t="inlineStr">
        <is>
          <t>4410P</t>
        </is>
      </c>
      <c r="E83" s="28" t="n">
        <v>7492895374</v>
      </c>
      <c r="F83" s="30" t="n">
        <v>57426</v>
      </c>
      <c r="G83" s="68" t="n">
        <v>0</v>
      </c>
      <c r="H83" s="31">
        <f>IF(OR(D83="",E83=""),"",IFERROR(F83-G83,"-"))</f>
        <v>57426</v>
      </c>
      <c r="I83" s="32" t="n">
        <v>46289</v>
      </c>
      <c r="J83" s="33">
        <f>IF(I83="","",IFERROR(WORKDAY.INTL(I83,-10,"0000001",Holidays!$A$6:$A$55),"-"))</f>
        <v>46277</v>
      </c>
      <c r="K83" s="30" t="n">
        <v>3</v>
      </c>
      <c r="L83" s="30" t="n">
        <v>4250</v>
      </c>
      <c r="M83" s="34">
        <f>IF(OR(D83="",E83="",F83="",K83="",L83=""),"",IFERROR(ROUNDUP(H83/(K83*L83),0),"-"))</f>
        <v>5</v>
      </c>
      <c r="N83" s="33" t="n">
        <v>46265</v>
      </c>
      <c r="O83" s="32">
        <f t="array" ref="O83">IF(OR($D83="",$E83=""),"",IF($N83&lt;&gt;"",$N83,IFERROR(WORKDAY.INTL(LOOKUP(2,1/(($D$2:D82=$D83)*ISNUMBER($P$2:P82)),$P$2:P82),1,"0000001",Holidays!$A$6:$A$55),"")))</f>
        <v>46265</v>
      </c>
      <c r="P83" s="35">
        <f>IF(OR(O83="",H83="",K83="",L83=""),"",IFERROR(WORKDAY.INTL(O83-1,MAX(1,ROUNDUP(H83/(K83*L83),0)),"0000001",Holidays!$A$6:$A$55),"-"))</f>
        <v>46269</v>
      </c>
      <c r="Q83" s="33">
        <f>IF(P83="","",IFERROR(WORKDAY.INTL(P83,3,"0000001",Holidays!$A$6:$A$55),"-"))</f>
        <v>46273</v>
      </c>
      <c r="R83" s="34">
        <f>IF(OR(J83="",P83=""),"",IFERROR(NETWORKDAYS.INTL(P83+1,J83,"0000001",Holidays!$A$6:$A$55),"-"))</f>
        <v>7</v>
      </c>
      <c r="S83" s="33">
        <f>IF(O83="","",IFERROR(WORKDAY.INTL(O83,-10,"0000001",Holidays!$A$6:$A$55),"-"))</f>
        <v>46252</v>
      </c>
      <c r="T83" s="36">
        <f>IF(OR(I83="",Q83=""),"",IF(Q83&lt;=I83-4,1,0))</f>
        <v>1</v>
      </c>
      <c r="U83" s="32" t="n"/>
      <c r="V83" s="30" t="n"/>
      <c r="W83" s="36" t="str">
        <f>IF(OR($U83="",$V83="",$I83=""),"",IF(AND($U83&lt;=$I83-4,$V83&gt;=$F83),1,0))</f>
        <v/>
      </c>
    </row>
    <row r="84">
      <c r="B84" s="28" t="inlineStr">
        <is>
          <t>M7</t>
        </is>
      </c>
      <c r="C84" s="29" t="n">
        <v>2</v>
      </c>
      <c r="D84" s="28" t="inlineStr">
        <is>
          <t>4410P</t>
        </is>
      </c>
      <c r="E84" s="28" t="n">
        <v>7430234996</v>
      </c>
      <c r="F84" s="30" t="n">
        <v>48348</v>
      </c>
      <c r="G84" s="68" t="n">
        <v>0</v>
      </c>
      <c r="H84" s="31">
        <f>IF(OR(D84="",E84=""),"",IFERROR(F84-G84,"-"))</f>
        <v>48348</v>
      </c>
      <c r="I84" s="32" t="n">
        <v>46311</v>
      </c>
      <c r="J84" s="33">
        <f>IF(I84="","",IFERROR(WORKDAY.INTL(I84,-10,"0000001",Holidays!$A$6:$A$55),"-"))</f>
        <v>46300</v>
      </c>
      <c r="K84" s="30" t="n">
        <v>3</v>
      </c>
      <c r="L84" s="30" t="n">
        <v>4250</v>
      </c>
      <c r="M84" s="34">
        <f>IF(OR(D84="",E84="",F84="",K84="",L84=""),"",IFERROR(ROUNDUP(H84/(K84*L84),0),"-"))</f>
        <v>4</v>
      </c>
      <c r="N84" s="33" t="n">
        <v>46287</v>
      </c>
      <c r="O84" s="32">
        <f t="array" ref="O84">IF(OR($D84="",$E84=""),"",IF($N84&lt;&gt;"",$N84,IFERROR(WORKDAY.INTL(LOOKUP(2,1/(($D$2:D83=$D84)*ISNUMBER($P$2:P83)),$P$2:P83),1,"0000001",Holidays!$A$6:$A$55),"")))</f>
        <v>46287</v>
      </c>
      <c r="P84" s="35">
        <f>IF(OR(O84="",H84="",K84="",L84=""),"",IFERROR(WORKDAY.INTL(O84-1,MAX(1,ROUNDUP(H84/(K84*L84),0)),"0000001",Holidays!$A$6:$A$55),"-"))</f>
        <v>46290</v>
      </c>
      <c r="Q84" s="33">
        <f>IF(P84="","",IFERROR(WORKDAY.INTL(P84,3,"0000001",Holidays!$A$6:$A$55),"-"))</f>
        <v>46294</v>
      </c>
      <c r="R84" s="34">
        <f>IF(OR(J84="",P84=""),"",IFERROR(NETWORKDAYS.INTL(P84+1,J84,"0000001",Holidays!$A$6:$A$55),"-"))</f>
        <v>7</v>
      </c>
      <c r="S84" s="33">
        <f>IF(O84="","",IFERROR(WORKDAY.INTL(O84,-10,"0000001",Holidays!$A$6:$A$55),"-"))</f>
        <v>46275</v>
      </c>
      <c r="T84" s="36">
        <f>IF(OR(I84="",Q84=""),"",IF(Q84&lt;=I84-4,1,0))</f>
        <v>1</v>
      </c>
      <c r="U84" s="32" t="n"/>
      <c r="V84" s="30" t="n"/>
      <c r="W84" s="36" t="str">
        <f>IF(OR($U84="",$V84="",$I84=""),"",IF(AND($U84&lt;=$I84-4,$V84&gt;=$F84),1,0))</f>
        <v/>
      </c>
    </row>
    <row r="85" ht="15.75" customHeight="1" thickBot="1">
      <c r="B85" s="37" t="inlineStr">
        <is>
          <t>M8</t>
        </is>
      </c>
      <c r="C85" s="38" t="n">
        <v>3</v>
      </c>
      <c r="D85" s="37" t="inlineStr">
        <is>
          <t>4410P</t>
        </is>
      </c>
      <c r="E85" s="37" t="n">
        <v>7254570238</v>
      </c>
      <c r="F85" s="39" t="n">
        <v>51918</v>
      </c>
      <c r="G85" s="66" t="n">
        <v>0</v>
      </c>
      <c r="H85" s="40">
        <f>IF(OR(D85="",E85=""),"",IFERROR(F85-G85,"-"))</f>
        <v>51918</v>
      </c>
      <c r="I85" s="41" t="n">
        <v>46318</v>
      </c>
      <c r="J85" s="42">
        <f>IF(I85="","",IFERROR(WORKDAY.INTL(I85,-10,"0000001",Holidays!$A$6:$A$55),"-"))</f>
        <v>46305</v>
      </c>
      <c r="K85" s="39" t="n">
        <v>3</v>
      </c>
      <c r="L85" s="39" t="n">
        <v>4250</v>
      </c>
      <c r="M85" s="43">
        <f>IF(OR(D85="",E85="",F85="",K85="",L85=""),"",IFERROR(ROUNDUP(H85/(K85*L85),0),"-"))</f>
        <v>5</v>
      </c>
      <c r="N85" s="42" t="n">
        <v>46293</v>
      </c>
      <c r="O85" s="41">
        <f t="array" ref="O85">IF(OR($D85="",$E85=""),"",IF($N85&lt;&gt;"",$N85,IFERROR(WORKDAY.INTL(LOOKUP(2,1/(($D$2:D84=$D85)*ISNUMBER($P$2:P84)),$P$2:P84),1,"0000001",Holidays!$A$6:$A$55),"")))</f>
        <v>46293</v>
      </c>
      <c r="P85" s="44">
        <f>IF(OR(O85="",H85="",K85="",L85=""),"",IFERROR(WORKDAY.INTL(O85-1,MAX(1,ROUNDUP(H85/(K85*L85),0)),"0000001",Holidays!$A$6:$A$55),"-"))</f>
        <v>46298</v>
      </c>
      <c r="Q85" s="42">
        <f>IF(P85="","",IFERROR(WORKDAY.INTL(P85,3,"0000001",Holidays!$A$6:$A$55),"-"))</f>
        <v>46302</v>
      </c>
      <c r="R85" s="43">
        <f>IF(OR(J85="",P85=""),"",IFERROR(NETWORKDAYS.INTL(P85+1,J85,"0000001",Holidays!$A$6:$A$55),"-"))</f>
        <v>6</v>
      </c>
      <c r="S85" s="42">
        <f>IF(O85="","",IFERROR(WORKDAY.INTL(O85,-10,"0000001",Holidays!$A$6:$A$55),"-"))</f>
        <v>46281</v>
      </c>
      <c r="T85" s="45">
        <f>IF(OR(I85="",Q85=""),"",IF(Q85&lt;=I85-4,1,0))</f>
        <v>1</v>
      </c>
      <c r="U85" s="41" t="n"/>
      <c r="V85" s="39" t="n"/>
      <c r="W85" s="45" t="str">
        <f>IF(OR($U85="",$V85="",$I85=""),"",IF(AND($U85&lt;=$I85-4,$V85&gt;=$F85),1,0))</f>
        <v/>
      </c>
    </row>
    <row r="86">
      <c r="B86" s="28" t="inlineStr">
        <is>
          <t>M5</t>
        </is>
      </c>
      <c r="C86" s="29" t="n">
        <v>1</v>
      </c>
      <c r="D86" s="28" t="n">
        <v>6109</v>
      </c>
      <c r="E86" s="28" t="n">
        <v>7885379839</v>
      </c>
      <c r="F86" s="30" t="n">
        <v>28628</v>
      </c>
      <c r="G86" s="68" t="n">
        <v>28628</v>
      </c>
      <c r="H86" s="31">
        <f>IF(OR(D86="",E86=""),"",IFERROR(F86-G86,"-"))</f>
        <v>0</v>
      </c>
      <c r="I86" s="32" t="n">
        <v>46247</v>
      </c>
      <c r="J86" s="33">
        <f>IF(I86="","",IFERROR(WORKDAY.INTL(I86,-10,"0000001",Holidays!$A$6:$A$55),"-"))</f>
        <v>46235</v>
      </c>
      <c r="K86" s="30" t="n"/>
      <c r="L86" s="30" t="n"/>
      <c r="M86" s="34" t="str">
        <f>IF(OR(D86="",E86="",F86="",K86="",L86=""),"",IFERROR(ROUNDUP(H86/(K86*L86),0),"-"))</f>
        <v/>
      </c>
      <c r="N86" s="33" t="inlineStr">
        <is>
          <t>Close</t>
        </is>
      </c>
      <c r="O86" s="32" t="str">
        <f t="array" ref="O86">IF(OR($D86="",$E86=""),"",IF($N86&lt;&gt;"",$N86,IFERROR(WORKDAY.INTL(LOOKUP(2,1/(($D$2:D85=$D86)*ISNUMBER($P$2:P85)),$P$2:P85),1,"0000001",Holidays!$A$6:$A$55),"")))</f>
        <v>Close</v>
      </c>
      <c r="P86" s="35" t="str">
        <f>IF(OR(O86="",H86="",K86="",L86=""),"",IFERROR(WORKDAY.INTL(O86-1,MAX(1,ROUNDUP(H86/(K86*L86),0)),"0000001",Holidays!$A$6:$A$55),"-"))</f>
        <v/>
      </c>
      <c r="Q86" s="33" t="str">
        <f>IF(P86="","",IFERROR(WORKDAY.INTL(P86,3,"0000001",Holidays!$A$6:$A$55),"-"))</f>
        <v/>
      </c>
      <c r="R86" s="34" t="str">
        <f>IF(OR(J86="",P86=""),"",IFERROR(NETWORKDAYS.INTL(P86+1,J86,"0000001",Holidays!$A$6:$A$55),"-"))</f>
        <v/>
      </c>
      <c r="S86" s="33" t="str">
        <f>IF(O86="","",IFERROR(WORKDAY.INTL(O86,-10,"0000001",Holidays!$A$6:$A$55),"-"))</f>
        <v>-</v>
      </c>
      <c r="T86" s="36" t="str">
        <f>IF(OR(I86="",Q86=""),"",IF(Q86&lt;=I86-4,1,0))</f>
        <v/>
      </c>
      <c r="U86" s="32" t="n"/>
      <c r="V86" s="30" t="n"/>
      <c r="W86" s="36" t="str">
        <f>IF(OR($U86="",$V86="",$I86=""),"",IF(AND($U86&lt;=$I86-4,$V86&gt;=$F86),1,0))</f>
        <v/>
      </c>
    </row>
    <row r="87">
      <c r="B87" s="28" t="inlineStr">
        <is>
          <t>M5</t>
        </is>
      </c>
      <c r="C87" s="29" t="n">
        <v>2</v>
      </c>
      <c r="D87" s="28" t="n">
        <v>6109</v>
      </c>
      <c r="E87" s="28" t="n">
        <v>7236498977</v>
      </c>
      <c r="F87" s="30" t="n">
        <v>28628</v>
      </c>
      <c r="G87" s="68" t="n">
        <v>28628</v>
      </c>
      <c r="H87" s="31">
        <f>IF(OR(D87="",E87=""),"",IFERROR(F87-G87,"-"))</f>
        <v>0</v>
      </c>
      <c r="I87" s="32" t="n">
        <v>46247</v>
      </c>
      <c r="J87" s="33">
        <f>IF(I87="","",IFERROR(WORKDAY.INTL(I87,-10,"0000001",Holidays!$A$6:$A$55),"-"))</f>
        <v>46235</v>
      </c>
      <c r="K87" s="30" t="n"/>
      <c r="L87" s="30" t="n"/>
      <c r="M87" s="34" t="str">
        <f>IF(OR(D87="",E87="",F87="",K87="",L87=""),"",IFERROR(ROUNDUP(H87/(K87*L87),0),"-"))</f>
        <v/>
      </c>
      <c r="N87" s="33" t="inlineStr">
        <is>
          <t>Close</t>
        </is>
      </c>
      <c r="O87" s="32" t="str">
        <f t="array" ref="O87">IF(OR($D87="",$E87=""),"",IF($N87&lt;&gt;"",$N87,IFERROR(WORKDAY.INTL(LOOKUP(2,1/(($D$2:D86=$D87)*ISNUMBER($P$2:P86)),$P$2:P86),1,"0000001",Holidays!$A$6:$A$55),"")))</f>
        <v>Close</v>
      </c>
      <c r="P87" s="35" t="str">
        <f>IF(OR(O87="",H87="",K87="",L87=""),"",IFERROR(WORKDAY.INTL(O87-1,MAX(1,ROUNDUP(H87/(K87*L87),0)),"0000001",Holidays!$A$6:$A$55),"-"))</f>
        <v/>
      </c>
      <c r="Q87" s="33" t="str">
        <f>IF(P87="","",IFERROR(WORKDAY.INTL(P87,3,"0000001",Holidays!$A$6:$A$55),"-"))</f>
        <v/>
      </c>
      <c r="R87" s="34" t="str">
        <f>IF(OR(J87="",P87=""),"",IFERROR(NETWORKDAYS.INTL(P87+1,J87,"0000001",Holidays!$A$6:$A$55),"-"))</f>
        <v/>
      </c>
      <c r="S87" s="33" t="str">
        <f>IF(O87="","",IFERROR(WORKDAY.INTL(O87,-10,"0000001",Holidays!$A$6:$A$55),"-"))</f>
        <v>-</v>
      </c>
      <c r="T87" s="36" t="str">
        <f>IF(OR(I87="",Q87=""),"",IF(Q87&lt;=I87-4,1,0))</f>
        <v/>
      </c>
      <c r="U87" s="32" t="n"/>
      <c r="V87" s="30" t="n"/>
      <c r="W87" s="36" t="str">
        <f>IF(OR($U87="",$V87="",$I87=""),"",IF(AND($U87&lt;=$I87-4,$V87&gt;=$F87),1,0))</f>
        <v/>
      </c>
    </row>
    <row r="88">
      <c r="B88" s="28" t="inlineStr">
        <is>
          <t>M5</t>
        </is>
      </c>
      <c r="C88" s="29" t="n">
        <v>3</v>
      </c>
      <c r="D88" s="28" t="n">
        <v>6109</v>
      </c>
      <c r="E88" s="28" t="n">
        <v>7047253536</v>
      </c>
      <c r="F88" s="30" t="n">
        <v>45424</v>
      </c>
      <c r="G88" s="68" t="n">
        <v>45424</v>
      </c>
      <c r="H88" s="31">
        <f>IF(OR(D88="",E88=""),"",IFERROR(F88-G88,"-"))</f>
        <v>0</v>
      </c>
      <c r="I88" s="32" t="n">
        <v>46251</v>
      </c>
      <c r="J88" s="33">
        <f>IF(I88="","",IFERROR(WORKDAY.INTL(I88,-10,"0000001",Holidays!$A$6:$A$55),"-"))</f>
        <v>46238</v>
      </c>
      <c r="K88" s="30" t="n"/>
      <c r="L88" s="30" t="n"/>
      <c r="M88" s="34" t="str">
        <f>IF(OR(D88="",E88="",F88="",K88="",L88=""),"",IFERROR(ROUNDUP(H88/(K88*L88),0),"-"))</f>
        <v/>
      </c>
      <c r="N88" s="33" t="inlineStr">
        <is>
          <t>Close</t>
        </is>
      </c>
      <c r="O88" s="32" t="str">
        <f t="array" ref="O88">IF(OR($D88="",$E88=""),"",IF($N88&lt;&gt;"",$N88,IFERROR(WORKDAY.INTL(LOOKUP(2,1/(($D$2:D87=$D88)*ISNUMBER($P$2:P87)),$P$2:P87),1,"0000001",Holidays!$A$6:$A$55),"")))</f>
        <v>Close</v>
      </c>
      <c r="P88" s="35" t="str">
        <f>IF(OR(O88="",H88="",K88="",L88=""),"",IFERROR(WORKDAY.INTL(O88-1,MAX(1,ROUNDUP(H88/(K88*L88),0)),"0000001",Holidays!$A$6:$A$55),"-"))</f>
        <v/>
      </c>
      <c r="Q88" s="33" t="str">
        <f>IF(P88="","",IFERROR(WORKDAY.INTL(P88,3,"0000001",Holidays!$A$6:$A$55),"-"))</f>
        <v/>
      </c>
      <c r="R88" s="34" t="str">
        <f>IF(OR(J88="",P88=""),"",IFERROR(NETWORKDAYS.INTL(P88+1,J88,"0000001",Holidays!$A$6:$A$55),"-"))</f>
        <v/>
      </c>
      <c r="S88" s="33" t="str">
        <f>IF(O88="","",IFERROR(WORKDAY.INTL(O88,-10,"0000001",Holidays!$A$6:$A$55),"-"))</f>
        <v>-</v>
      </c>
      <c r="T88" s="36" t="str">
        <f>IF(OR(I88="",Q88=""),"",IF(Q88&lt;=I88-4,1,0))</f>
        <v/>
      </c>
      <c r="U88" s="32" t="n"/>
      <c r="V88" s="30" t="n"/>
      <c r="W88" s="36" t="str">
        <f>IF(OR($U88="",$V88="",$I88=""),"",IF(AND($U88&lt;=$I88-4,$V88&gt;=$F88),1,0))</f>
        <v/>
      </c>
    </row>
    <row r="89">
      <c r="B89" s="28" t="inlineStr">
        <is>
          <t>M6</t>
        </is>
      </c>
      <c r="C89" s="29" t="n">
        <v>4</v>
      </c>
      <c r="D89" s="28" t="n">
        <v>6109</v>
      </c>
      <c r="E89" s="28" t="n">
        <v>7901407660</v>
      </c>
      <c r="F89" s="30" t="n">
        <v>78540</v>
      </c>
      <c r="G89" s="68" t="n">
        <v>78540</v>
      </c>
      <c r="H89" s="31">
        <f>IF(OR(D89="",E89=""),"",IFERROR(F89-G89,"-"))</f>
        <v>0</v>
      </c>
      <c r="I89" s="32" t="n">
        <v>46256</v>
      </c>
      <c r="J89" s="33">
        <f>IF(I89="","",IFERROR(WORKDAY.INTL(I89,-10,"0000001",Holidays!$A$6:$A$55),"-"))</f>
        <v>46244</v>
      </c>
      <c r="K89" s="30" t="n">
        <v>4</v>
      </c>
      <c r="L89" s="30" t="n">
        <v>2550</v>
      </c>
      <c r="M89" s="34">
        <f>IF(OR(D89="",E89="",F89="",K89="",L89=""),"",IFERROR(ROUNDUP(H89/(K89*L89),0),"-"))</f>
        <v>0</v>
      </c>
      <c r="N89" s="33" t="n">
        <v>46247</v>
      </c>
      <c r="O89" s="32">
        <f t="array" ref="O89">IF(OR($D89="",$E89=""),"",IF($N89&lt;&gt;"",$N89,IFERROR(WORKDAY.INTL(LOOKUP(2,1/(($D$2:D88=$D89)*ISNUMBER($P$2:P88)),$P$2:P88),1,"0000001",Holidays!$A$6:$A$55),"")))</f>
        <v>46247</v>
      </c>
      <c r="P89" s="35">
        <f>IF(OR(O89="",H89="",K89="",L89=""),"",IFERROR(WORKDAY.INTL(O89-1,MAX(1,ROUNDUP(H89/(K89*L89),0)),"0000001",Holidays!$A$6:$A$55),"-"))</f>
        <v>46247</v>
      </c>
      <c r="Q89" s="33">
        <f>IF(P89="","",IFERROR(WORKDAY.INTL(P89,3,"0000001",Holidays!$A$6:$A$55),"-"))</f>
        <v>46252</v>
      </c>
      <c r="R89" s="34">
        <f>IF(OR(J89="",P89=""),"",IFERROR(NETWORKDAYS.INTL(P89+1,J89,"0000001",Holidays!$A$6:$A$55),"-"))</f>
        <v>-5</v>
      </c>
      <c r="S89" s="33">
        <f>IF(O89="","",IFERROR(WORKDAY.INTL(O89,-10,"0000001",Holidays!$A$6:$A$55),"-"))</f>
        <v>46235</v>
      </c>
      <c r="T89" s="36">
        <f>IF(OR(I89="",Q89=""),"",IF(Q89&lt;=I89-4,1,0))</f>
        <v>1</v>
      </c>
      <c r="U89" s="32" t="n"/>
      <c r="V89" s="30" t="n"/>
      <c r="W89" s="36" t="str">
        <f>IF(OR($U89="",$V89="",$I89=""),"",IF(AND($U89&lt;=$I89-4,$V89&gt;=$F89),1,0))</f>
        <v/>
      </c>
    </row>
    <row r="90">
      <c r="B90" s="28" t="inlineStr">
        <is>
          <t>M6</t>
        </is>
      </c>
      <c r="C90" s="29" t="n">
        <v>5</v>
      </c>
      <c r="D90" s="28" t="n">
        <v>6109</v>
      </c>
      <c r="E90" s="28" t="n">
        <v>7853440581</v>
      </c>
      <c r="F90" s="30" t="n">
        <v>44846</v>
      </c>
      <c r="G90" s="68" t="n">
        <v>6983</v>
      </c>
      <c r="H90" s="31">
        <f>IF(OR(D90="",E90=""),"",IFERROR(F90-G90,"-"))</f>
        <v>37863</v>
      </c>
      <c r="I90" s="32" t="n">
        <v>46266</v>
      </c>
      <c r="J90" s="33">
        <f>IF(I90="","",IFERROR(WORKDAY.INTL(I90,-10,"0000001",Holidays!$A$6:$A$55),"-"))</f>
        <v>46253</v>
      </c>
      <c r="K90" s="30" t="n">
        <v>4</v>
      </c>
      <c r="L90" s="30" t="n">
        <v>2550</v>
      </c>
      <c r="M90" s="34">
        <f>IF(OR(D90="",E90="",F90="",K90="",L90=""),"",IFERROR(ROUNDUP(H90/(K90*L90),0),"-"))</f>
        <v>4</v>
      </c>
      <c r="N90" s="33" t="n">
        <v>46251</v>
      </c>
      <c r="O90" s="32">
        <f t="array" ref="O90">IF(OR($D90="",$E90=""),"",IF($N90&lt;&gt;"",$N90,IFERROR(WORKDAY.INTL(LOOKUP(2,1/(($D$2:D89=$D90)*ISNUMBER($P$2:P89)),$P$2:P89),1,"0000001",Holidays!$A$6:$A$55),"")))</f>
        <v>46251</v>
      </c>
      <c r="P90" s="35">
        <f>IF(OR(O90="",H90="",K90="",L90=""),"",IFERROR(WORKDAY.INTL(O90-1,MAX(1,ROUNDUP(H90/(K90*L90),0)),"0000001",Holidays!$A$6:$A$55),"-"))</f>
        <v>46254</v>
      </c>
      <c r="Q90" s="33">
        <f>IF(P90="","",IFERROR(WORKDAY.INTL(P90,3,"0000001",Holidays!$A$6:$A$55),"-"))</f>
        <v>46258</v>
      </c>
      <c r="R90" s="34">
        <f>IF(OR(J90="",P90=""),"",IFERROR(NETWORKDAYS.INTL(P90+1,J90,"0000001",Holidays!$A$6:$A$55),"-"))</f>
        <v>-3</v>
      </c>
      <c r="S90" s="33">
        <f>IF(O90="","",IFERROR(WORKDAY.INTL(O90,-10,"0000001",Holidays!$A$6:$A$55),"-"))</f>
        <v>46238</v>
      </c>
      <c r="T90" s="36">
        <f>IF(OR(I90="",Q90=""),"",IF(Q90&lt;=I90-4,1,0))</f>
        <v>1</v>
      </c>
      <c r="U90" s="32" t="n"/>
      <c r="V90" s="30" t="n"/>
      <c r="W90" s="36" t="str">
        <f>IF(OR($U90="",$V90="",$I90=""),"",IF(AND($U90&lt;=$I90-4,$V90&gt;=$F90),1,0))</f>
        <v/>
      </c>
    </row>
    <row r="91">
      <c r="B91" s="28" t="inlineStr">
        <is>
          <t>M6</t>
        </is>
      </c>
      <c r="C91" s="29" t="n">
        <v>6</v>
      </c>
      <c r="D91" s="28" t="n">
        <v>6109</v>
      </c>
      <c r="E91" s="28" t="n">
        <v>7211958562</v>
      </c>
      <c r="F91" s="30" t="n">
        <v>44710</v>
      </c>
      <c r="G91" s="68" t="n">
        <v>0</v>
      </c>
      <c r="H91" s="31">
        <f>IF(OR(D91="",E91=""),"",IFERROR(F91-G91,"-"))</f>
        <v>44710</v>
      </c>
      <c r="I91" s="32" t="n">
        <v>46272</v>
      </c>
      <c r="J91" s="33">
        <f>IF(I91="","",IFERROR(WORKDAY.INTL(I91,-10,"0000001",Holidays!$A$6:$A$55),"-"))</f>
        <v>46259</v>
      </c>
      <c r="K91" s="30" t="n">
        <v>4</v>
      </c>
      <c r="L91" s="30" t="n">
        <v>2550</v>
      </c>
      <c r="M91" s="34">
        <f>IF(OR(D91="",E91="",F91="",K91="",L91=""),"",IFERROR(ROUNDUP(H91/(K91*L91),0),"-"))</f>
        <v>5</v>
      </c>
      <c r="N91" s="33" t="n">
        <v>46259</v>
      </c>
      <c r="O91" s="32">
        <f t="array" ref="O91">IF(OR($D91="",$E91=""),"",IF($N91&lt;&gt;"",$N91,IFERROR(WORKDAY.INTL(LOOKUP(2,1/(($D$2:D90=$D91)*ISNUMBER($P$2:P90)),$P$2:P90),1,"0000001",Holidays!$A$6:$A$55),"")))</f>
        <v>46259</v>
      </c>
      <c r="P91" s="35">
        <f>IF(OR(O91="",H91="",K91="",L91=""),"",IFERROR(WORKDAY.INTL(O91-1,MAX(1,ROUNDUP(H91/(K91*L91),0)),"0000001",Holidays!$A$6:$A$55),"-"))</f>
        <v>46265</v>
      </c>
      <c r="Q91" s="33">
        <f>IF(P91="","",IFERROR(WORKDAY.INTL(P91,3,"0000001",Holidays!$A$6:$A$55),"-"))</f>
        <v>46268</v>
      </c>
      <c r="R91" s="34">
        <f>IF(OR(J91="",P91=""),"",IFERROR(NETWORKDAYS.INTL(P91+1,J91,"0000001",Holidays!$A$6:$A$55),"-"))</f>
        <v>-6</v>
      </c>
      <c r="S91" s="33">
        <f>IF(O91="","",IFERROR(WORKDAY.INTL(O91,-10,"0000001",Holidays!$A$6:$A$55),"-"))</f>
        <v>46246</v>
      </c>
      <c r="T91" s="36">
        <f>IF(OR(I91="",Q91=""),"",IF(Q91&lt;=I91-4,1,0))</f>
        <v>1</v>
      </c>
      <c r="U91" s="32" t="n"/>
      <c r="V91" s="30" t="n"/>
      <c r="W91" s="36" t="str">
        <f>IF(OR($U91="",$V91="",$I91=""),"",IF(AND($U91&lt;=$I91-4,$V91&gt;=$F91),1,0))</f>
        <v/>
      </c>
    </row>
    <row r="92">
      <c r="B92" s="28" t="inlineStr">
        <is>
          <t>M6</t>
        </is>
      </c>
      <c r="C92" s="29" t="n">
        <v>7</v>
      </c>
      <c r="D92" s="28" t="n">
        <v>6109</v>
      </c>
      <c r="E92" s="28" t="n">
        <v>7453883288</v>
      </c>
      <c r="F92" s="30" t="n">
        <v>49776</v>
      </c>
      <c r="G92" s="68" t="n">
        <v>0</v>
      </c>
      <c r="H92" s="31">
        <f>IF(OR(D92="",E92=""),"",IFERROR(F92-G92,"-"))</f>
        <v>49776</v>
      </c>
      <c r="I92" s="32" t="n">
        <v>46283</v>
      </c>
      <c r="J92" s="33">
        <f>IF(I92="","",IFERROR(WORKDAY.INTL(I92,-10,"0000001",Holidays!$A$6:$A$55),"-"))</f>
        <v>46272</v>
      </c>
      <c r="K92" s="30" t="n">
        <v>4</v>
      </c>
      <c r="L92" s="30" t="n">
        <v>2550</v>
      </c>
      <c r="M92" s="34">
        <f>IF(OR(D92="",E92="",F92="",K92="",L92=""),"",IFERROR(ROUNDUP(H92/(K92*L92),0),"-"))</f>
        <v>5</v>
      </c>
      <c r="N92" s="33" t="n">
        <v>46267</v>
      </c>
      <c r="O92" s="32">
        <f t="array" ref="O92">IF(OR($D92="",$E92=""),"",IF($N92&lt;&gt;"",$N92,IFERROR(WORKDAY.INTL(LOOKUP(2,1/(($D$2:D91=$D92)*ISNUMBER($P$2:P91)),$P$2:P91),1,"0000001",Holidays!$A$6:$A$55),"")))</f>
        <v>46267</v>
      </c>
      <c r="P92" s="35">
        <f>IF(OR(O92="",H92="",K92="",L92=""),"",IFERROR(WORKDAY.INTL(O92-1,MAX(1,ROUNDUP(H92/(K92*L92),0)),"0000001",Holidays!$A$6:$A$55),"-"))</f>
        <v>46272</v>
      </c>
      <c r="Q92" s="33">
        <f>IF(P92="","",IFERROR(WORKDAY.INTL(P92,3,"0000001",Holidays!$A$6:$A$55),"-"))</f>
        <v>46275</v>
      </c>
      <c r="R92" s="34">
        <f>IF(OR(J92="",P92=""),"",IFERROR(NETWORKDAYS.INTL(P92+1,J92,"0000001",Holidays!$A$6:$A$55),"-"))</f>
        <v>-2</v>
      </c>
      <c r="S92" s="33">
        <f>IF(O92="","",IFERROR(WORKDAY.INTL(O92,-10,"0000001",Holidays!$A$6:$A$55),"-"))</f>
        <v>46254</v>
      </c>
      <c r="T92" s="36">
        <f>IF(OR(I92="",Q92=""),"",IF(Q92&lt;=I92-4,1,0))</f>
        <v>1</v>
      </c>
      <c r="U92" s="32" t="n"/>
      <c r="V92" s="30" t="n"/>
      <c r="W92" s="36" t="str">
        <f>IF(OR($U92="",$V92="",$I92=""),"",IF(AND($U92&lt;=$I92-4,$V92&gt;=$F92),1,0))</f>
        <v/>
      </c>
    </row>
    <row r="93">
      <c r="B93" s="28" t="inlineStr">
        <is>
          <t>M6</t>
        </is>
      </c>
      <c r="C93" s="29" t="n">
        <v>8</v>
      </c>
      <c r="D93" s="28" t="n">
        <v>6109</v>
      </c>
      <c r="E93" s="28" t="n">
        <v>7345257873</v>
      </c>
      <c r="F93" s="30" t="n">
        <v>44752</v>
      </c>
      <c r="G93" s="68" t="n">
        <v>0</v>
      </c>
      <c r="H93" s="31">
        <f>IF(OR(D93="",E93=""),"",IFERROR(F93-G93,"-"))</f>
        <v>44752</v>
      </c>
      <c r="I93" s="32" t="n">
        <v>46283</v>
      </c>
      <c r="J93" s="33">
        <f>IF(I93="","",IFERROR(WORKDAY.INTL(I93,-10,"0000001",Holidays!$A$6:$A$55),"-"))</f>
        <v>46272</v>
      </c>
      <c r="K93" s="30" t="n">
        <v>4</v>
      </c>
      <c r="L93" s="30" t="n">
        <v>2550</v>
      </c>
      <c r="M93" s="34">
        <f>IF(OR(D93="",E93="",F93="",K93="",L93=""),"",IFERROR(ROUNDUP(H93/(K93*L93),0),"-"))</f>
        <v>5</v>
      </c>
      <c r="N93" s="33" t="n">
        <v>46275</v>
      </c>
      <c r="O93" s="32">
        <f t="array" ref="O93">IF(OR($D93="",$E93=""),"",IF($N93&lt;&gt;"",$N93,IFERROR(WORKDAY.INTL(LOOKUP(2,1/(($D$2:D92=$D93)*ISNUMBER($P$2:P92)),$P$2:P92),1,"0000001",Holidays!$A$6:$A$55),"")))</f>
        <v>46275</v>
      </c>
      <c r="P93" s="35">
        <f>IF(OR(O93="",H93="",K93="",L93=""),"",IFERROR(WORKDAY.INTL(O93-1,MAX(1,ROUNDUP(H93/(K93*L93),0)),"0000001",Holidays!$A$6:$A$55),"-"))</f>
        <v>46280</v>
      </c>
      <c r="Q93" s="33">
        <f>IF(P93="","",IFERROR(WORKDAY.INTL(P93,3,"0000001",Holidays!$A$6:$A$55),"-"))</f>
        <v>46283</v>
      </c>
      <c r="R93" s="34">
        <f>IF(OR(J93="",P93=""),"",IFERROR(NETWORKDAYS.INTL(P93+1,J93,"0000001",Holidays!$A$6:$A$55),"-"))</f>
        <v>-9</v>
      </c>
      <c r="S93" s="33">
        <f>IF(O93="","",IFERROR(WORKDAY.INTL(O93,-10,"0000001",Holidays!$A$6:$A$55),"-"))</f>
        <v>46263</v>
      </c>
      <c r="T93" s="36">
        <f>IF(OR(I93="",Q93=""),"",IF(Q93&lt;=I93-4,1,0))</f>
        <v>0</v>
      </c>
      <c r="U93" s="32" t="n"/>
      <c r="V93" s="30" t="n"/>
      <c r="W93" s="36" t="str">
        <f>IF(OR($U93="",$V93="",$I93=""),"",IF(AND($U93&lt;=$I93-4,$V93&gt;=$F93),1,0))</f>
        <v/>
      </c>
    </row>
    <row r="94">
      <c r="B94" s="28" t="inlineStr">
        <is>
          <t>M7</t>
        </is>
      </c>
      <c r="C94" s="29" t="n">
        <v>9</v>
      </c>
      <c r="D94" s="28" t="n">
        <v>6109</v>
      </c>
      <c r="E94" s="28" t="n">
        <v>7080451197</v>
      </c>
      <c r="F94" s="30" t="n">
        <v>62730</v>
      </c>
      <c r="G94" s="68" t="n">
        <v>0</v>
      </c>
      <c r="H94" s="31">
        <f>IF(OR(D94="",E94=""),"",IFERROR(F94-G94,"-"))</f>
        <v>62730</v>
      </c>
      <c r="I94" s="32" t="n">
        <v>46291</v>
      </c>
      <c r="J94" s="33">
        <f>IF(I94="","",IFERROR(WORKDAY.INTL(I94,-10,"0000001",Holidays!$A$6:$A$55),"-"))</f>
        <v>46280</v>
      </c>
      <c r="K94" s="30" t="n">
        <v>4</v>
      </c>
      <c r="L94" s="30" t="n">
        <v>2550</v>
      </c>
      <c r="M94" s="34">
        <f>IF(OR(D94="",E94="",F94="",K94="",L94=""),"",IFERROR(ROUNDUP(H94/(K94*L94),0),"-"))</f>
        <v>7</v>
      </c>
      <c r="N94" s="33" t="n">
        <v>46280</v>
      </c>
      <c r="O94" s="32">
        <f t="array" ref="O94">IF(OR($D94="",$E94=""),"",IF($N94&lt;&gt;"",$N94,IFERROR(WORKDAY.INTL(LOOKUP(2,1/(($D$2:D93=$D94)*ISNUMBER($P$2:P93)),$P$2:P93),1,"0000001",Holidays!$A$6:$A$55),"")))</f>
        <v>46280</v>
      </c>
      <c r="P94" s="35">
        <f>IF(OR(O94="",H94="",K94="",L94=""),"",IFERROR(WORKDAY.INTL(O94-1,MAX(1,ROUNDUP(H94/(K94*L94),0)),"0000001",Holidays!$A$6:$A$55),"-"))</f>
        <v>46287</v>
      </c>
      <c r="Q94" s="33">
        <f>IF(P94="","",IFERROR(WORKDAY.INTL(P94,3,"0000001",Holidays!$A$6:$A$55),"-"))</f>
        <v>46290</v>
      </c>
      <c r="R94" s="34">
        <f>IF(OR(J94="",P94=""),"",IFERROR(NETWORKDAYS.INTL(P94+1,J94,"0000001",Holidays!$A$6:$A$55),"-"))</f>
        <v>-8</v>
      </c>
      <c r="S94" s="33">
        <f>IF(O94="","",IFERROR(WORKDAY.INTL(O94,-10,"0000001",Holidays!$A$6:$A$55),"-"))</f>
        <v>46268</v>
      </c>
      <c r="T94" s="36">
        <f>IF(OR(I94="",Q94=""),"",IF(Q94&lt;=I94-4,1,0))</f>
        <v>0</v>
      </c>
      <c r="U94" s="32" t="n"/>
      <c r="V94" s="30" t="n"/>
      <c r="W94" s="36" t="str">
        <f>IF(OR($U94="",$V94="",$I94=""),"",IF(AND($U94&lt;=$I94-4,$V94&gt;=$F94),1,0))</f>
        <v/>
      </c>
    </row>
    <row r="95">
      <c r="B95" s="28" t="inlineStr">
        <is>
          <t>M7</t>
        </is>
      </c>
      <c r="C95" s="29" t="n">
        <v>10</v>
      </c>
      <c r="D95" s="28" t="n">
        <v>6109</v>
      </c>
      <c r="E95" s="28" t="n">
        <v>7358802573</v>
      </c>
      <c r="F95" s="30" t="n">
        <v>76262</v>
      </c>
      <c r="G95" s="68" t="n">
        <v>0</v>
      </c>
      <c r="H95" s="31">
        <f>IF(OR(D95="",E95=""),"",IFERROR(F95-G95,"-"))</f>
        <v>76262</v>
      </c>
      <c r="I95" s="32" t="n">
        <v>46296</v>
      </c>
      <c r="J95" s="33">
        <f>IF(I95="","",IFERROR(WORKDAY.INTL(I95,-10,"0000001",Holidays!$A$6:$A$55),"-"))</f>
        <v>46284</v>
      </c>
      <c r="K95" s="30" t="n">
        <v>4</v>
      </c>
      <c r="L95" s="30" t="n">
        <v>2550</v>
      </c>
      <c r="M95" s="34">
        <f>IF(OR(D95="",E95="",F95="",K95="",L95=""),"",IFERROR(ROUNDUP(H95/(K95*L95),0),"-"))</f>
        <v>8</v>
      </c>
      <c r="N95" s="33" t="n">
        <v>46286</v>
      </c>
      <c r="O95" s="32">
        <f t="array" ref="O95">IF(OR($D95="",$E95=""),"",IF($N95&lt;&gt;"",$N95,IFERROR(WORKDAY.INTL(LOOKUP(2,1/(($D$2:D94=$D95)*ISNUMBER($P$2:P94)),$P$2:P94),1,"0000001",Holidays!$A$6:$A$55),"")))</f>
        <v>46286</v>
      </c>
      <c r="P95" s="35">
        <f>IF(OR(O95="",H95="",K95="",L95=""),"",IFERROR(WORKDAY.INTL(O95-1,MAX(1,ROUNDUP(H95/(K95*L95),0)),"0000001",Holidays!$A$6:$A$55),"-"))</f>
        <v>46294</v>
      </c>
      <c r="Q95" s="33">
        <f>IF(P95="","",IFERROR(WORKDAY.INTL(P95,3,"0000001",Holidays!$A$6:$A$55),"-"))</f>
        <v>46298</v>
      </c>
      <c r="R95" s="34">
        <f>IF(OR(J95="",P95=""),"",IFERROR(NETWORKDAYS.INTL(P95+1,J95,"0000001",Holidays!$A$6:$A$55),"-"))</f>
        <v>-10</v>
      </c>
      <c r="S95" s="33">
        <f>IF(O95="","",IFERROR(WORKDAY.INTL(O95,-10,"0000001",Holidays!$A$6:$A$55),"-"))</f>
        <v>46274</v>
      </c>
      <c r="T95" s="36">
        <f>IF(OR(I95="",Q95=""),"",IF(Q95&lt;=I95-4,1,0))</f>
        <v>0</v>
      </c>
      <c r="U95" s="32" t="n"/>
      <c r="V95" s="30" t="n"/>
      <c r="W95" s="36" t="str">
        <f>IF(OR($U95="",$V95="",$I95=""),"",IF(AND($U95&lt;=$I95-4,$V95&gt;=$F95),1,0))</f>
        <v/>
      </c>
    </row>
    <row r="96" ht="15.75" customHeight="1" thickBot="1">
      <c r="B96" s="37" t="inlineStr">
        <is>
          <t>M7</t>
        </is>
      </c>
      <c r="C96" s="38" t="n">
        <v>11</v>
      </c>
      <c r="D96" s="37" t="n">
        <v>6109</v>
      </c>
      <c r="E96" s="37" t="n">
        <v>7799635923</v>
      </c>
      <c r="F96" s="39" t="n">
        <v>57392</v>
      </c>
      <c r="G96" s="66" t="n">
        <v>0</v>
      </c>
      <c r="H96" s="40">
        <f>IF(OR(D96="",E96=""),"",IFERROR(F96-G96,"-"))</f>
        <v>57392</v>
      </c>
      <c r="I96" s="41" t="n">
        <v>46305</v>
      </c>
      <c r="J96" s="42">
        <f>IF(I96="","",IFERROR(WORKDAY.INTL(I96,-10,"0000001",Holidays!$A$6:$A$55),"-"))</f>
        <v>46293</v>
      </c>
      <c r="K96" s="39" t="n">
        <v>4</v>
      </c>
      <c r="L96" s="39" t="n">
        <v>2550</v>
      </c>
      <c r="M96" s="43">
        <f>IF(OR(D96="",E96="",F96="",K96="",L96=""),"",IFERROR(ROUNDUP(H96/(K96*L96),0),"-"))</f>
        <v>6</v>
      </c>
      <c r="N96" s="42" t="n">
        <v>46296</v>
      </c>
      <c r="O96" s="41">
        <f t="array" ref="O96">IF(OR($D96="",$E96=""),"",IF($N96&lt;&gt;"",$N96,IFERROR(WORKDAY.INTL(LOOKUP(2,1/(($D$2:D95=$D96)*ISNUMBER($P$2:P95)),$P$2:P95),1,"0000001",Holidays!$A$6:$A$55),"")))</f>
        <v>46296</v>
      </c>
      <c r="P96" s="44">
        <f>IF(OR(O96="",H96="",K96="",L96=""),"",IFERROR(WORKDAY.INTL(O96-1,MAX(1,ROUNDUP(H96/(K96*L96),0)),"0000001",Holidays!$A$6:$A$55),"-"))</f>
        <v>46303</v>
      </c>
      <c r="Q96" s="42">
        <f>IF(P96="","",IFERROR(WORKDAY.INTL(P96,3,"0000001",Holidays!$A$6:$A$55),"-"))</f>
        <v>46307</v>
      </c>
      <c r="R96" s="43">
        <f>IF(OR(J96="",P96=""),"",IFERROR(NETWORKDAYS.INTL(P96+1,J96,"0000001",Holidays!$A$6:$A$55),"-"))</f>
        <v>-10</v>
      </c>
      <c r="S96" s="42">
        <f>IF(O96="","",IFERROR(WORKDAY.INTL(O96,-10,"0000001",Holidays!$A$6:$A$55),"-"))</f>
        <v>46284</v>
      </c>
      <c r="T96" s="45">
        <f>IF(OR(I96="",Q96=""),"",IF(Q96&lt;=I96-4,1,0))</f>
        <v>0</v>
      </c>
      <c r="U96" s="41" t="n"/>
      <c r="V96" s="39" t="n"/>
      <c r="W96" s="45" t="str">
        <f>IF(OR($U96="",$V96="",$I96=""),"",IF(AND($U96&lt;=$I96-4,$V96&gt;=$F96),1,0))</f>
        <v/>
      </c>
    </row>
    <row r="97">
      <c r="B97" s="28" t="inlineStr">
        <is>
          <t>M5</t>
        </is>
      </c>
      <c r="C97" s="29" t="n">
        <v>1</v>
      </c>
      <c r="D97" s="28" t="n">
        <v>4115</v>
      </c>
      <c r="E97" s="28" t="n">
        <v>7239433937</v>
      </c>
      <c r="F97" s="30" t="n">
        <v>60180</v>
      </c>
      <c r="G97" s="68" t="n">
        <v>60180</v>
      </c>
      <c r="H97" s="31">
        <f>IF(OR(D97="",E97=""),"",IFERROR(F97-G97,"-"))</f>
        <v>0</v>
      </c>
      <c r="I97" s="32" t="n">
        <v>46244</v>
      </c>
      <c r="J97" s="33">
        <f>IF(I97="","",IFERROR(WORKDAY.INTL(I97,-10,"0000001",Holidays!$A$6:$A$55),"-"))</f>
        <v>46232</v>
      </c>
      <c r="K97" s="30" t="n"/>
      <c r="L97" s="30" t="n"/>
      <c r="M97" s="34" t="str">
        <f>IF(OR(D97="",E97="",F97="",K97="",L97=""),"",IFERROR(ROUNDUP(H97/(K97*L97),0),"-"))</f>
        <v/>
      </c>
      <c r="N97" s="33" t="inlineStr">
        <is>
          <t>Close</t>
        </is>
      </c>
      <c r="O97" s="32" t="str">
        <f t="array" ref="O97">IF(OR($D97="",$E97=""),"",IF($N97&lt;&gt;"",$N97,IFERROR(WORKDAY.INTL(LOOKUP(2,1/(($D$2:D96=$D97)*ISNUMBER($P$2:P96)),$P$2:P96),1,"0000001",Holidays!$A$6:$A$55),"")))</f>
        <v>Close</v>
      </c>
      <c r="P97" s="35" t="str">
        <f>IF(OR(O97="",H97="",K97="",L97=""),"",IFERROR(WORKDAY.INTL(O97-1,MAX(1,ROUNDUP(H97/(K97*L97),0)),"0000001",Holidays!$A$6:$A$55),"-"))</f>
        <v/>
      </c>
      <c r="Q97" s="33" t="str">
        <f>IF(P97="","",IFERROR(WORKDAY.INTL(P97,3,"0000001",Holidays!$A$6:$A$55),"-"))</f>
        <v/>
      </c>
      <c r="R97" s="34" t="str">
        <f>IF(OR(J97="",P97=""),"",IFERROR(NETWORKDAYS.INTL(P97+1,J97,"0000001",Holidays!$A$6:$A$55),"-"))</f>
        <v/>
      </c>
      <c r="S97" s="33" t="str">
        <f>IF(O97="","",IFERROR(WORKDAY.INTL(O97,-10,"0000001",Holidays!$A$6:$A$55),"-"))</f>
        <v>-</v>
      </c>
      <c r="T97" s="36" t="str">
        <f>IF(OR(I97="",Q97=""),"",IF(Q97&lt;=I97-4,1,0))</f>
        <v/>
      </c>
      <c r="U97" s="32" t="n"/>
      <c r="V97" s="30" t="n"/>
      <c r="W97" s="36" t="str">
        <f>IF(OR($U97="",$V97="",$I97=""),"",IF(AND($U97&lt;=$I97-4,$V97&gt;=$F97),1,0))</f>
        <v/>
      </c>
    </row>
    <row r="98">
      <c r="B98" s="28" t="inlineStr">
        <is>
          <t>M6</t>
        </is>
      </c>
      <c r="C98" s="29" t="n">
        <v>2</v>
      </c>
      <c r="D98" s="28" t="n">
        <v>4115</v>
      </c>
      <c r="E98" s="28" t="n">
        <v>7018291935</v>
      </c>
      <c r="F98" s="30" t="n">
        <v>29962</v>
      </c>
      <c r="G98" s="68" t="n">
        <v>1479</v>
      </c>
      <c r="H98" s="31">
        <f>IF(OR(D98="",E98=""),"",IFERROR(F98-G98,"-"))</f>
        <v>28483</v>
      </c>
      <c r="I98" s="32" t="n">
        <v>46279</v>
      </c>
      <c r="J98" s="33">
        <f>IF(I98="","",IFERROR(WORKDAY.INTL(I98,-10,"0000001",Holidays!$A$6:$A$55),"-"))</f>
        <v>46267</v>
      </c>
      <c r="K98" s="30" t="n">
        <v>2</v>
      </c>
      <c r="L98" s="30" t="n">
        <v>2125</v>
      </c>
      <c r="M98" s="34">
        <f>IF(OR(D98="",E98="",F98="",K98="",L98=""),"",IFERROR(ROUNDUP(H98/(K98*L98),0),"-"))</f>
        <v>7</v>
      </c>
      <c r="N98" s="33" t="n">
        <v>46247</v>
      </c>
      <c r="O98" s="32">
        <f t="array" ref="O98">IF(OR($D98="",$E98=""),"",IF($N98&lt;&gt;"",$N98,IFERROR(WORKDAY.INTL(LOOKUP(2,1/(($D$2:D97=$D98)*ISNUMBER($P$2:P97)),$P$2:P97),1,"0000001",Holidays!$A$6:$A$55),"")))</f>
        <v>46247</v>
      </c>
      <c r="P98" s="35">
        <f>IF(OR(O98="",H98="",K98="",L98=""),"",IFERROR(WORKDAY.INTL(O98-1,MAX(1,ROUNDUP(H98/(K98*L98),0)),"0000001",Holidays!$A$6:$A$55),"-"))</f>
        <v>46255</v>
      </c>
      <c r="Q98" s="33">
        <f>IF(P98="","",IFERROR(WORKDAY.INTL(P98,3,"0000001",Holidays!$A$6:$A$55),"-"))</f>
        <v>46259</v>
      </c>
      <c r="R98" s="34">
        <f>IF(OR(J98="",P98=""),"",IFERROR(NETWORKDAYS.INTL(P98+1,J98,"0000001",Holidays!$A$6:$A$55),"-"))</f>
        <v>9</v>
      </c>
      <c r="S98" s="33">
        <f>IF(O98="","",IFERROR(WORKDAY.INTL(O98,-10,"0000001",Holidays!$A$6:$A$55),"-"))</f>
        <v>46235</v>
      </c>
      <c r="T98" s="36">
        <f>IF(OR(I98="",Q98=""),"",IF(Q98&lt;=I98-4,1,0))</f>
        <v>1</v>
      </c>
      <c r="U98" s="32" t="n"/>
      <c r="V98" s="30" t="n"/>
      <c r="W98" s="36" t="str">
        <f>IF(OR($U98="",$V98="",$I98=""),"",IF(AND($U98&lt;=$I98-4,$V98&gt;=$F98),1,0))</f>
        <v/>
      </c>
    </row>
    <row r="99">
      <c r="B99" s="28" t="inlineStr">
        <is>
          <t>M6</t>
        </is>
      </c>
      <c r="C99" s="29" t="n">
        <v>3</v>
      </c>
      <c r="D99" s="28" t="n">
        <v>4115</v>
      </c>
      <c r="E99" s="28" t="n">
        <v>7590742470</v>
      </c>
      <c r="F99" s="30" t="n">
        <v>22066</v>
      </c>
      <c r="G99" s="68" t="n">
        <v>0</v>
      </c>
      <c r="H99" s="31">
        <f>IF(OR(D99="",E99=""),"",IFERROR(F99-G99,"-"))</f>
        <v>22066</v>
      </c>
      <c r="I99" s="32" t="n">
        <v>46279</v>
      </c>
      <c r="J99" s="33">
        <f>IF(I99="","",IFERROR(WORKDAY.INTL(I99,-10,"0000001",Holidays!$A$6:$A$55),"-"))</f>
        <v>46267</v>
      </c>
      <c r="K99" s="30" t="n">
        <v>2</v>
      </c>
      <c r="L99" s="30" t="n">
        <v>2125</v>
      </c>
      <c r="M99" s="34">
        <f>IF(OR(D99="",E99="",F99="",K99="",L99=""),"",IFERROR(ROUNDUP(H99/(K99*L99),0),"-"))</f>
        <v>6</v>
      </c>
      <c r="N99" s="33" t="n">
        <v>46259</v>
      </c>
      <c r="O99" s="32">
        <f t="array" ref="O99">IF(OR($D99="",$E99=""),"",IF($N99&lt;&gt;"",$N99,IFERROR(WORKDAY.INTL(LOOKUP(2,1/(($D$2:D98=$D99)*ISNUMBER($P$2:P98)),$P$2:P98),1,"0000001",Holidays!$A$6:$A$55),"")))</f>
        <v>46259</v>
      </c>
      <c r="P99" s="35">
        <f>IF(OR(O99="",H99="",K99="",L99=""),"",IFERROR(WORKDAY.INTL(O99-1,MAX(1,ROUNDUP(H99/(K99*L99),0)),"0000001",Holidays!$A$6:$A$55),"-"))</f>
        <v>46266</v>
      </c>
      <c r="Q99" s="33">
        <f>IF(P99="","",IFERROR(WORKDAY.INTL(P99,3,"0000001",Holidays!$A$6:$A$55),"-"))</f>
        <v>46269</v>
      </c>
      <c r="R99" s="34">
        <f>IF(OR(J99="",P99=""),"",IFERROR(NETWORKDAYS.INTL(P99+1,J99,"0000001",Holidays!$A$6:$A$55),"-"))</f>
        <v>1</v>
      </c>
      <c r="S99" s="33">
        <f>IF(O99="","",IFERROR(WORKDAY.INTL(O99,-10,"0000001",Holidays!$A$6:$A$55),"-"))</f>
        <v>46246</v>
      </c>
      <c r="T99" s="36">
        <f>IF(OR(I99="",Q99=""),"",IF(Q99&lt;=I99-4,1,0))</f>
        <v>1</v>
      </c>
      <c r="U99" s="32" t="n"/>
      <c r="V99" s="30" t="n"/>
      <c r="W99" s="36" t="str">
        <f>IF(OR($U99="",$V99="",$I99=""),"",IF(AND($U99&lt;=$I99-4,$V99&gt;=$F99),1,0))</f>
        <v/>
      </c>
    </row>
    <row r="100">
      <c r="B100" s="28" t="inlineStr">
        <is>
          <t>M7</t>
        </is>
      </c>
      <c r="C100" s="29" t="n">
        <v>4</v>
      </c>
      <c r="D100" s="28" t="n">
        <v>4115</v>
      </c>
      <c r="E100" s="28" t="n">
        <v>7621755697</v>
      </c>
      <c r="F100" s="30" t="n">
        <v>26206</v>
      </c>
      <c r="G100" s="68" t="n">
        <v>0</v>
      </c>
      <c r="H100" s="31">
        <f>IF(OR(D100="",E100=""),"",IFERROR(F100-G100,"-"))</f>
        <v>26206</v>
      </c>
      <c r="I100" s="32" t="n">
        <v>46303</v>
      </c>
      <c r="J100" s="33">
        <f>IF(I100="","",IFERROR(WORKDAY.INTL(I100,-10,"0000001",Holidays!$A$6:$A$55),"-"))</f>
        <v>46290</v>
      </c>
      <c r="K100" s="30" t="n">
        <v>2</v>
      </c>
      <c r="L100" s="30" t="n">
        <v>2125</v>
      </c>
      <c r="M100" s="34">
        <f>IF(OR(D100="",E100="",F100="",K100="",L100=""),"",IFERROR(ROUNDUP(H100/(K100*L100),0),"-"))</f>
        <v>7</v>
      </c>
      <c r="N100" s="33" t="n">
        <v>46272</v>
      </c>
      <c r="O100" s="32">
        <f t="array" ref="O100">IF(OR($D100="",$E100=""),"",IF($N100&lt;&gt;"",$N100,IFERROR(WORKDAY.INTL(LOOKUP(2,1/(($D$2:D99=$D100)*ISNUMBER($P$2:P99)),$P$2:P99),1,"0000001",Holidays!$A$6:$A$55),"")))</f>
        <v>46272</v>
      </c>
      <c r="P100" s="35">
        <f>IF(OR(O100="",H100="",K100="",L100=""),"",IFERROR(WORKDAY.INTL(O100-1,MAX(1,ROUNDUP(H100/(K100*L100),0)),"0000001",Holidays!$A$6:$A$55),"-"))</f>
        <v>46279</v>
      </c>
      <c r="Q100" s="33">
        <f>IF(P100="","",IFERROR(WORKDAY.INTL(P100,3,"0000001",Holidays!$A$6:$A$55),"-"))</f>
        <v>46282</v>
      </c>
      <c r="R100" s="34">
        <f>IF(OR(J100="",P100=""),"",IFERROR(NETWORKDAYS.INTL(P100+1,J100,"0000001",Holidays!$A$6:$A$55),"-"))</f>
        <v>10</v>
      </c>
      <c r="S100" s="33">
        <f>IF(O100="","",IFERROR(WORKDAY.INTL(O100,-10,"0000001",Holidays!$A$6:$A$55),"-"))</f>
        <v>46259</v>
      </c>
      <c r="T100" s="36">
        <f>IF(OR(I100="",Q100=""),"",IF(Q100&lt;=I100-4,1,0))</f>
        <v>1</v>
      </c>
      <c r="U100" s="32" t="n"/>
      <c r="V100" s="30" t="n"/>
      <c r="W100" s="36" t="str">
        <f>IF(OR($U100="",$V100="",$I100=""),"",IF(AND($U100&lt;=$I100-4,$V100&gt;=$F100),1,0))</f>
        <v/>
      </c>
    </row>
    <row r="101">
      <c r="B101" s="28" t="inlineStr">
        <is>
          <t>M7</t>
        </is>
      </c>
      <c r="C101" s="29" t="n">
        <v>5</v>
      </c>
      <c r="D101" s="28" t="n">
        <v>4115</v>
      </c>
      <c r="E101" s="28" t="n">
        <v>7663665933</v>
      </c>
      <c r="F101" s="30" t="n">
        <v>10038</v>
      </c>
      <c r="G101" s="68" t="n">
        <v>0</v>
      </c>
      <c r="H101" s="31">
        <f>IF(OR(D101="",E101=""),"",IFERROR(F101-G101,"-"))</f>
        <v>10038</v>
      </c>
      <c r="I101" s="32" t="n">
        <v>46305</v>
      </c>
      <c r="J101" s="33">
        <f>IF(I101="","",IFERROR(WORKDAY.INTL(I101,-10,"0000001",Holidays!$A$6:$A$55),"-"))</f>
        <v>46293</v>
      </c>
      <c r="K101" s="30" t="n">
        <v>2</v>
      </c>
      <c r="L101" s="30" t="n">
        <v>2125</v>
      </c>
      <c r="M101" s="34">
        <f>IF(OR(D101="",E101="",F101="",K101="",L101=""),"",IFERROR(ROUNDUP(H101/(K101*L101),0),"-"))</f>
        <v>3</v>
      </c>
      <c r="N101" s="33" t="n">
        <v>46284</v>
      </c>
      <c r="O101" s="32">
        <f t="array" ref="O101">IF(OR($D101="",$E101=""),"",IF($N101&lt;&gt;"",$N101,IFERROR(WORKDAY.INTL(LOOKUP(2,1/(($D$2:D100=$D101)*ISNUMBER($P$2:P100)),$P$2:P100),1,"0000001",Holidays!$A$6:$A$55),"")))</f>
        <v>46284</v>
      </c>
      <c r="P101" s="35">
        <f>IF(OR(O101="",H101="",K101="",L101=""),"",IFERROR(WORKDAY.INTL(O101-1,MAX(1,ROUNDUP(H101/(K101*L101),0)),"0000001",Holidays!$A$6:$A$55),"-"))</f>
        <v>46287</v>
      </c>
      <c r="Q101" s="33">
        <f>IF(P101="","",IFERROR(WORKDAY.INTL(P101,3,"0000001",Holidays!$A$6:$A$55),"-"))</f>
        <v>46290</v>
      </c>
      <c r="R101" s="34">
        <f>IF(OR(J101="",P101=""),"",IFERROR(NETWORKDAYS.INTL(P101+1,J101,"0000001",Holidays!$A$6:$A$55),"-"))</f>
        <v>5</v>
      </c>
      <c r="S101" s="33">
        <f>IF(O101="","",IFERROR(WORKDAY.INTL(O101,-10,"0000001",Holidays!$A$6:$A$55),"-"))</f>
        <v>46273</v>
      </c>
      <c r="T101" s="36">
        <f>IF(OR(I101="",Q101=""),"",IF(Q101&lt;=I101-4,1,0))</f>
        <v>1</v>
      </c>
      <c r="U101" s="32" t="n"/>
      <c r="V101" s="30" t="n"/>
      <c r="W101" s="36" t="str">
        <f>IF(OR($U101="",$V101="",$I101=""),"",IF(AND($U101&lt;=$I101-4,$V101&gt;=$F101),1,0))</f>
        <v/>
      </c>
    </row>
    <row r="102" ht="15.75" customHeight="1" thickBot="1">
      <c r="B102" s="37" t="inlineStr">
        <is>
          <t>M7</t>
        </is>
      </c>
      <c r="C102" s="38" t="n">
        <v>6</v>
      </c>
      <c r="D102" s="37" t="n">
        <v>4115</v>
      </c>
      <c r="E102" s="37" t="n">
        <v>7525222549</v>
      </c>
      <c r="F102" s="39" t="n">
        <v>16600</v>
      </c>
      <c r="G102" s="66" t="n">
        <v>0</v>
      </c>
      <c r="H102" s="40">
        <f>IF(OR(D102="",E102=""),"",IFERROR(F102-G102,"-"))</f>
        <v>16600</v>
      </c>
      <c r="I102" s="41" t="n">
        <v>46311</v>
      </c>
      <c r="J102" s="42">
        <f>IF(I102="","",IFERROR(WORKDAY.INTL(I102,-10,"0000001",Holidays!$A$6:$A$55),"-"))</f>
        <v>46300</v>
      </c>
      <c r="K102" s="39" t="n">
        <v>2</v>
      </c>
      <c r="L102" s="39" t="n">
        <v>2125</v>
      </c>
      <c r="M102" s="43">
        <f>IF(OR(D102="",E102="",F102="",K102="",L102=""),"",IFERROR(ROUNDUP(H102/(K102*L102),0),"-"))</f>
        <v>4</v>
      </c>
      <c r="N102" s="42" t="n">
        <v>46289</v>
      </c>
      <c r="O102" s="41">
        <f t="array" ref="O102">IF(OR($D102="",$E102=""),"",IF($N102&lt;&gt;"",$N102,IFERROR(WORKDAY.INTL(LOOKUP(2,1/(($D$2:D101=$D102)*ISNUMBER($P$2:P101)),$P$2:P101),1,"0000001",Holidays!$A$6:$A$55),"")))</f>
        <v>46289</v>
      </c>
      <c r="P102" s="44">
        <f>IF(OR(O102="",H102="",K102="",L102=""),"",IFERROR(WORKDAY.INTL(O102-1,MAX(1,ROUNDUP(H102/(K102*L102),0)),"0000001",Holidays!$A$6:$A$55),"-"))</f>
        <v>46293</v>
      </c>
      <c r="Q102" s="42">
        <f>IF(P102="","",IFERROR(WORKDAY.INTL(P102,3,"0000001",Holidays!$A$6:$A$55),"-"))</f>
        <v>46296</v>
      </c>
      <c r="R102" s="43">
        <f>IF(OR(J102="",P102=""),"",IFERROR(NETWORKDAYS.INTL(P102+1,J102,"0000001",Holidays!$A$6:$A$55),"-"))</f>
        <v>5</v>
      </c>
      <c r="S102" s="42">
        <f>IF(O102="","",IFERROR(WORKDAY.INTL(O102,-10,"0000001",Holidays!$A$6:$A$55),"-"))</f>
        <v>46277</v>
      </c>
      <c r="T102" s="45">
        <f>IF(OR(I102="",Q102=""),"",IF(Q102&lt;=I102-4,1,0))</f>
        <v>1</v>
      </c>
      <c r="U102" s="41" t="n"/>
      <c r="V102" s="39" t="n"/>
      <c r="W102" s="45" t="str">
        <f>IF(OR($U102="",$V102="",$I102=""),"",IF(AND($U102&lt;=$I102-4,$V102&gt;=$F102),1,0))</f>
        <v/>
      </c>
    </row>
    <row r="103">
      <c r="B103" s="28" t="inlineStr">
        <is>
          <t>M5</t>
        </is>
      </c>
      <c r="C103" s="29" t="n">
        <v>1</v>
      </c>
      <c r="D103" s="28" t="n">
        <v>4117</v>
      </c>
      <c r="E103" s="28" t="n">
        <v>7281269433</v>
      </c>
      <c r="F103" s="30" t="n">
        <v>46410</v>
      </c>
      <c r="G103" s="68" t="n">
        <v>46410</v>
      </c>
      <c r="H103" s="31">
        <f>IF(OR(D103="",E103=""),"",IFERROR(F103-G103,"-"))</f>
        <v>0</v>
      </c>
      <c r="I103" s="32" t="n">
        <v>46244</v>
      </c>
      <c r="J103" s="33">
        <f>IF(I103="","",IFERROR(WORKDAY.INTL(I103,-10,"0000001",Holidays!$A$6:$A$55),"-"))</f>
        <v>46232</v>
      </c>
      <c r="K103" s="30" t="n"/>
      <c r="L103" s="30" t="n"/>
      <c r="M103" s="34" t="str">
        <f>IF(OR(D103="",E103="",F103="",K103="",L103=""),"",IFERROR(ROUNDUP(H103/(K103*L103),0),"-"))</f>
        <v/>
      </c>
      <c r="N103" s="33" t="inlineStr">
        <is>
          <t>Close</t>
        </is>
      </c>
      <c r="O103" s="32" t="str">
        <f t="array" ref="O103">IF(OR($D103="",$E103=""),"",IF($N103&lt;&gt;"",$N103,IFERROR(WORKDAY.INTL(LOOKUP(2,1/(($D$2:D102=$D103)*ISNUMBER($P$2:P102)),$P$2:P102),1,"0000001",Holidays!$A$6:$A$55),"")))</f>
        <v>Close</v>
      </c>
      <c r="P103" s="35" t="str">
        <f>IF(OR(O103="",H103="",K103="",L103=""),"",IFERROR(WORKDAY.INTL(O103-1,MAX(1,ROUNDUP(H103/(K103*L103),0)),"0000001",Holidays!$A$6:$A$55),"-"))</f>
        <v/>
      </c>
      <c r="Q103" s="33" t="str">
        <f>IF(P103="","",IFERROR(WORKDAY.INTL(P103,3,"0000001",Holidays!$A$6:$A$55),"-"))</f>
        <v/>
      </c>
      <c r="R103" s="34" t="str">
        <f>IF(OR(J103="",P103=""),"",IFERROR(NETWORKDAYS.INTL(P103+1,J103,"0000001",Holidays!$A$6:$A$55),"-"))</f>
        <v/>
      </c>
      <c r="S103" s="33" t="str">
        <f>IF(O103="","",IFERROR(WORKDAY.INTL(O103,-10,"0000001",Holidays!$A$6:$A$55),"-"))</f>
        <v>-</v>
      </c>
      <c r="T103" s="36" t="str">
        <f>IF(OR(I103="",Q103=""),"",IF(Q103&lt;=I103-4,1,0))</f>
        <v/>
      </c>
      <c r="U103" s="32" t="n"/>
      <c r="V103" s="30" t="n"/>
      <c r="W103" s="36" t="str">
        <f>IF(OR($U103="",$V103="",$I103=""),"",IF(AND($U103&lt;=$I103-4,$V103&gt;=$F103),1,0))</f>
        <v/>
      </c>
    </row>
    <row r="104">
      <c r="B104" s="28" t="inlineStr">
        <is>
          <t>M5</t>
        </is>
      </c>
      <c r="C104" s="29" t="n">
        <v>2</v>
      </c>
      <c r="D104" s="28" t="n">
        <v>4117</v>
      </c>
      <c r="E104" s="28" t="n">
        <v>7399065641</v>
      </c>
      <c r="F104" s="30" t="n">
        <v>46410</v>
      </c>
      <c r="G104" s="68" t="n">
        <v>46410</v>
      </c>
      <c r="H104" s="31">
        <f>IF(OR(D104="",E104=""),"",IFERROR(F104-G104,"-"))</f>
        <v>0</v>
      </c>
      <c r="I104" s="32" t="n">
        <v>46244</v>
      </c>
      <c r="J104" s="33">
        <f>IF(I104="","",IFERROR(WORKDAY.INTL(I104,-10,"0000001",Holidays!$A$6:$A$55),"-"))</f>
        <v>46232</v>
      </c>
      <c r="K104" s="30" t="n"/>
      <c r="L104" s="30" t="n"/>
      <c r="M104" s="34" t="str">
        <f>IF(OR(D104="",E104="",F104="",K104="",L104=""),"",IFERROR(ROUNDUP(H104/(K104*L104),0),"-"))</f>
        <v/>
      </c>
      <c r="N104" s="33" t="inlineStr">
        <is>
          <t>Close</t>
        </is>
      </c>
      <c r="O104" s="32" t="str">
        <f t="array" ref="O104">IF(OR($D104="",$E104=""),"",IF($N104&lt;&gt;"",$N104,IFERROR(WORKDAY.INTL(LOOKUP(2,1/(($D$2:D103=$D104)*ISNUMBER($P$2:P103)),$P$2:P103),1,"0000001",Holidays!$A$6:$A$55),"")))</f>
        <v>Close</v>
      </c>
      <c r="P104" s="35" t="str">
        <f>IF(OR(O104="",H104="",K104="",L104=""),"",IFERROR(WORKDAY.INTL(O104-1,MAX(1,ROUNDUP(H104/(K104*L104),0)),"0000001",Holidays!$A$6:$A$55),"-"))</f>
        <v/>
      </c>
      <c r="Q104" s="33" t="str">
        <f>IF(P104="","",IFERROR(WORKDAY.INTL(P104,3,"0000001",Holidays!$A$6:$A$55),"-"))</f>
        <v/>
      </c>
      <c r="R104" s="34" t="str">
        <f>IF(OR(J104="",P104=""),"",IFERROR(NETWORKDAYS.INTL(P104+1,J104,"0000001",Holidays!$A$6:$A$55),"-"))</f>
        <v/>
      </c>
      <c r="S104" s="33" t="str">
        <f>IF(O104="","",IFERROR(WORKDAY.INTL(O104,-10,"0000001",Holidays!$A$6:$A$55),"-"))</f>
        <v>-</v>
      </c>
      <c r="T104" s="36" t="str">
        <f>IF(OR(I104="",Q104=""),"",IF(Q104&lt;=I104-4,1,0))</f>
        <v/>
      </c>
      <c r="U104" s="32" t="n"/>
      <c r="V104" s="30" t="n"/>
      <c r="W104" s="36" t="str">
        <f>IF(OR($U104="",$V104="",$I104=""),"",IF(AND($U104&lt;=$I104-4,$V104&gt;=$F104),1,0))</f>
        <v/>
      </c>
    </row>
    <row r="105">
      <c r="B105" s="28" t="inlineStr">
        <is>
          <t>M5</t>
        </is>
      </c>
      <c r="C105" s="29" t="n">
        <v>3</v>
      </c>
      <c r="D105" s="28" t="n">
        <v>4117</v>
      </c>
      <c r="E105" s="28" t="n">
        <v>7160494479</v>
      </c>
      <c r="F105" s="30" t="n">
        <v>23715</v>
      </c>
      <c r="G105" s="68" t="n">
        <v>23715</v>
      </c>
      <c r="H105" s="31">
        <f>IF(OR(D105="",E105=""),"",IFERROR(F105-G105,"-"))</f>
        <v>0</v>
      </c>
      <c r="I105" s="32" t="n">
        <v>46249</v>
      </c>
      <c r="J105" s="33">
        <f>IF(I105="","",IFERROR(WORKDAY.INTL(I105,-10,"0000001",Holidays!$A$6:$A$55),"-"))</f>
        <v>46238</v>
      </c>
      <c r="K105" s="30" t="n"/>
      <c r="L105" s="30" t="n"/>
      <c r="M105" s="34" t="str">
        <f>IF(OR(D105="",E105="",F105="",K105="",L105=""),"",IFERROR(ROUNDUP(H105/(K105*L105),0),"-"))</f>
        <v/>
      </c>
      <c r="N105" s="33" t="inlineStr">
        <is>
          <t>Close</t>
        </is>
      </c>
      <c r="O105" s="32" t="str">
        <f t="array" ref="O105">IF(OR($D105="",$E105=""),"",IF($N105&lt;&gt;"",$N105,IFERROR(WORKDAY.INTL(LOOKUP(2,1/(($D$2:D104=$D105)*ISNUMBER($P$2:P104)),$P$2:P104),1,"0000001",Holidays!$A$6:$A$55),"")))</f>
        <v>Close</v>
      </c>
      <c r="P105" s="35" t="str">
        <f>IF(OR(O105="",H105="",K105="",L105=""),"",IFERROR(WORKDAY.INTL(O105-1,MAX(1,ROUNDUP(H105/(K105*L105),0)),"0000001",Holidays!$A$6:$A$55),"-"))</f>
        <v/>
      </c>
      <c r="Q105" s="33" t="str">
        <f>IF(P105="","",IFERROR(WORKDAY.INTL(P105,3,"0000001",Holidays!$A$6:$A$55),"-"))</f>
        <v/>
      </c>
      <c r="R105" s="34" t="str">
        <f>IF(OR(J105="",P105=""),"",IFERROR(NETWORKDAYS.INTL(P105+1,J105,"0000001",Holidays!$A$6:$A$55),"-"))</f>
        <v/>
      </c>
      <c r="S105" s="33" t="str">
        <f>IF(O105="","",IFERROR(WORKDAY.INTL(O105,-10,"0000001",Holidays!$A$6:$A$55),"-"))</f>
        <v>-</v>
      </c>
      <c r="T105" s="36" t="str">
        <f>IF(OR(I105="",Q105=""),"",IF(Q105&lt;=I105-4,1,0))</f>
        <v/>
      </c>
      <c r="U105" s="32" t="n"/>
      <c r="V105" s="30" t="n"/>
      <c r="W105" s="36" t="str">
        <f>IF(OR($U105="",$V105="",$I105=""),"",IF(AND($U105&lt;=$I105-4,$V105&gt;=$F105),1,0))</f>
        <v/>
      </c>
    </row>
    <row r="106">
      <c r="B106" s="28" t="inlineStr">
        <is>
          <t>M5</t>
        </is>
      </c>
      <c r="C106" s="29" t="n">
        <v>4</v>
      </c>
      <c r="D106" s="28" t="n">
        <v>4117</v>
      </c>
      <c r="E106" s="28" t="n">
        <v>7393933546</v>
      </c>
      <c r="F106" s="30" t="n">
        <v>8126</v>
      </c>
      <c r="G106" s="68" t="n">
        <v>8126</v>
      </c>
      <c r="H106" s="31">
        <f>IF(OR(D106="",E106=""),"",IFERROR(F106-G106,"-"))</f>
        <v>0</v>
      </c>
      <c r="I106" s="32" t="n">
        <v>46254</v>
      </c>
      <c r="J106" s="33">
        <f>IF(I106="","",IFERROR(WORKDAY.INTL(I106,-10,"0000001",Holidays!$A$6:$A$55),"-"))</f>
        <v>46241</v>
      </c>
      <c r="K106" s="30" t="n"/>
      <c r="L106" s="30" t="n"/>
      <c r="M106" s="34" t="str">
        <f>IF(OR(D106="",E106="",F106="",K106="",L106=""),"",IFERROR(ROUNDUP(H106/(K106*L106),0),"-"))</f>
        <v/>
      </c>
      <c r="N106" s="33" t="inlineStr">
        <is>
          <t>Close</t>
        </is>
      </c>
      <c r="O106" s="32" t="str">
        <f t="array" ref="O106">IF(OR($D106="",$E106=""),"",IF($N106&lt;&gt;"",$N106,IFERROR(WORKDAY.INTL(LOOKUP(2,1/(($D$2:D105=$D106)*ISNUMBER($P$2:P105)),$P$2:P105),1,"0000001",Holidays!$A$6:$A$55),"")))</f>
        <v>Close</v>
      </c>
      <c r="P106" s="35" t="str">
        <f>IF(OR(O106="",H106="",K106="",L106=""),"",IFERROR(WORKDAY.INTL(O106-1,MAX(1,ROUNDUP(H106/(K106*L106),0)),"0000001",Holidays!$A$6:$A$55),"-"))</f>
        <v/>
      </c>
      <c r="Q106" s="33" t="str">
        <f>IF(P106="","",IFERROR(WORKDAY.INTL(P106,3,"0000001",Holidays!$A$6:$A$55),"-"))</f>
        <v/>
      </c>
      <c r="R106" s="34" t="str">
        <f>IF(OR(J106="",P106=""),"",IFERROR(NETWORKDAYS.INTL(P106+1,J106,"0000001",Holidays!$A$6:$A$55),"-"))</f>
        <v/>
      </c>
      <c r="S106" s="33" t="str">
        <f>IF(O106="","",IFERROR(WORKDAY.INTL(O106,-10,"0000001",Holidays!$A$6:$A$55),"-"))</f>
        <v>-</v>
      </c>
      <c r="T106" s="36" t="str">
        <f>IF(OR(I106="",Q106=""),"",IF(Q106&lt;=I106-4,1,0))</f>
        <v/>
      </c>
      <c r="U106" s="32" t="n"/>
      <c r="V106" s="30" t="n"/>
      <c r="W106" s="36" t="str">
        <f>IF(OR($U106="",$V106="",$I106=""),"",IF(AND($U106&lt;=$I106-4,$V106&gt;=$F106),1,0))</f>
        <v/>
      </c>
    </row>
    <row r="107">
      <c r="B107" s="28" t="inlineStr">
        <is>
          <t>M5</t>
        </is>
      </c>
      <c r="C107" s="29" t="n">
        <v>5</v>
      </c>
      <c r="D107" s="28" t="n">
        <v>4117</v>
      </c>
      <c r="E107" s="28" t="n">
        <v>7883578058</v>
      </c>
      <c r="F107" s="30" t="n">
        <v>5550</v>
      </c>
      <c r="G107" s="68" t="n">
        <v>5550</v>
      </c>
      <c r="H107" s="31">
        <f>IF(OR(D107="",E107=""),"",IFERROR(F107-G107,"-"))</f>
        <v>0</v>
      </c>
      <c r="I107" s="32" t="n">
        <v>46251</v>
      </c>
      <c r="J107" s="33">
        <f>IF(I107="","",IFERROR(WORKDAY.INTL(I107,-10,"0000001",Holidays!$A$6:$A$55),"-"))</f>
        <v>46238</v>
      </c>
      <c r="K107" s="30" t="n"/>
      <c r="L107" s="30" t="n"/>
      <c r="M107" s="34" t="str">
        <f>IF(OR(D107="",E107="",F107="",K107="",L107=""),"",IFERROR(ROUNDUP(H107/(K107*L107),0),"-"))</f>
        <v/>
      </c>
      <c r="N107" s="33" t="inlineStr">
        <is>
          <t>Close</t>
        </is>
      </c>
      <c r="O107" s="32" t="str">
        <f t="array" ref="O107">IF(OR($D107="",$E107=""),"",IF($N107&lt;&gt;"",$N107,IFERROR(WORKDAY.INTL(LOOKUP(2,1/(($D$2:D106=$D107)*ISNUMBER($P$2:P106)),$P$2:P106),1,"0000001",Holidays!$A$6:$A$55),"")))</f>
        <v>Close</v>
      </c>
      <c r="P107" s="35" t="str">
        <f>IF(OR(O107="",H107="",K107="",L107=""),"",IFERROR(WORKDAY.INTL(O107-1,MAX(1,ROUNDUP(H107/(K107*L107),0)),"0000001",Holidays!$A$6:$A$55),"-"))</f>
        <v/>
      </c>
      <c r="Q107" s="33" t="str">
        <f>IF(P107="","",IFERROR(WORKDAY.INTL(P107,3,"0000001",Holidays!$A$6:$A$55),"-"))</f>
        <v/>
      </c>
      <c r="R107" s="34" t="str">
        <f>IF(OR(J107="",P107=""),"",IFERROR(NETWORKDAYS.INTL(P107+1,J107,"0000001",Holidays!$A$6:$A$55),"-"))</f>
        <v/>
      </c>
      <c r="S107" s="33" t="str">
        <f>IF(O107="","",IFERROR(WORKDAY.INTL(O107,-10,"0000001",Holidays!$A$6:$A$55),"-"))</f>
        <v>-</v>
      </c>
      <c r="T107" s="36" t="str">
        <f>IF(OR(I107="",Q107=""),"",IF(Q107&lt;=I107-4,1,0))</f>
        <v/>
      </c>
      <c r="U107" s="32" t="n"/>
      <c r="V107" s="30" t="n"/>
      <c r="W107" s="36" t="str">
        <f>IF(OR($U107="",$V107="",$I107=""),"",IF(AND($U107&lt;=$I107-4,$V107&gt;=$F107),1,0))</f>
        <v/>
      </c>
    </row>
    <row r="108">
      <c r="B108" s="28" t="inlineStr">
        <is>
          <t>M6</t>
        </is>
      </c>
      <c r="C108" s="29" t="n">
        <v>6</v>
      </c>
      <c r="D108" s="28" t="n">
        <v>4117</v>
      </c>
      <c r="E108" s="28" t="n">
        <v>7910126782</v>
      </c>
      <c r="F108" s="30" t="n">
        <v>22372</v>
      </c>
      <c r="G108" s="68" t="n">
        <v>19574</v>
      </c>
      <c r="H108" s="31">
        <f>IF(OR(D108="",E108=""),"",IFERROR(F108-G108,"-"))</f>
        <v>2798</v>
      </c>
      <c r="I108" s="32" t="n">
        <v>46272</v>
      </c>
      <c r="J108" s="33">
        <f>IF(I108="","",IFERROR(WORKDAY.INTL(I108,-10,"0000001",Holidays!$A$6:$A$55),"-"))</f>
        <v>46259</v>
      </c>
      <c r="K108" s="30" t="n">
        <v>1</v>
      </c>
      <c r="L108" s="30" t="n">
        <v>2125</v>
      </c>
      <c r="M108" s="34">
        <f>IF(OR(D108="",E108="",F108="",K108="",L108=""),"",IFERROR(ROUNDUP(H108/(K108*L108),0),"-"))</f>
        <v>2</v>
      </c>
      <c r="N108" s="33" t="n">
        <v>46247</v>
      </c>
      <c r="O108" s="32">
        <f t="array" ref="O108">IF(OR($D108="",$E108=""),"",IF($N108&lt;&gt;"",$N108,IFERROR(WORKDAY.INTL(LOOKUP(2,1/(($D$2:D107=$D108)*ISNUMBER($P$2:P107)),$P$2:P107),1,"0000001",Holidays!$A$6:$A$55),"")))</f>
        <v>46247</v>
      </c>
      <c r="P108" s="35">
        <f>IF(OR(O108="",H108="",K108="",L108=""),"",IFERROR(WORKDAY.INTL(O108-1,MAX(1,ROUNDUP(H108/(K108*L108),0)),"0000001",Holidays!$A$6:$A$55),"-"))</f>
        <v>46248</v>
      </c>
      <c r="Q108" s="33">
        <f>IF(P108="","",IFERROR(WORKDAY.INTL(P108,3,"0000001",Holidays!$A$6:$A$55),"-"))</f>
        <v>46253</v>
      </c>
      <c r="R108" s="34">
        <f>IF(OR(J108="",P108=""),"",IFERROR(NETWORKDAYS.INTL(P108+1,J108,"0000001",Holidays!$A$6:$A$55),"-"))</f>
        <v>8</v>
      </c>
      <c r="S108" s="33">
        <f>IF(O108="","",IFERROR(WORKDAY.INTL(O108,-10,"0000001",Holidays!$A$6:$A$55),"-"))</f>
        <v>46235</v>
      </c>
      <c r="T108" s="36">
        <f>IF(OR(I108="",Q108=""),"",IF(Q108&lt;=I108-4,1,0))</f>
        <v>1</v>
      </c>
      <c r="U108" s="32" t="n"/>
      <c r="V108" s="30" t="n"/>
      <c r="W108" s="36" t="str">
        <f>IF(OR($U108="",$V108="",$I108=""),"",IF(AND($U108&lt;=$I108-4,$V108&gt;=$F108),1,0))</f>
        <v/>
      </c>
    </row>
    <row r="109">
      <c r="B109" s="28" t="inlineStr">
        <is>
          <t>M6</t>
        </is>
      </c>
      <c r="C109" s="29" t="n">
        <v>7</v>
      </c>
      <c r="D109" s="28" t="n">
        <v>4117</v>
      </c>
      <c r="E109" s="28" t="n">
        <v>7432281470</v>
      </c>
      <c r="F109" s="30" t="n">
        <v>10370</v>
      </c>
      <c r="G109" s="68" t="n">
        <v>6584</v>
      </c>
      <c r="H109" s="31">
        <f>IF(OR(D109="",E109=""),"",IFERROR(F109-G109,"-"))</f>
        <v>3786</v>
      </c>
      <c r="I109" s="32" t="n">
        <v>46272</v>
      </c>
      <c r="J109" s="33">
        <f>IF(I109="","",IFERROR(WORKDAY.INTL(I109,-10,"0000001",Holidays!$A$6:$A$55),"-"))</f>
        <v>46259</v>
      </c>
      <c r="K109" s="30" t="n">
        <v>1</v>
      </c>
      <c r="L109" s="30" t="n">
        <v>2125</v>
      </c>
      <c r="M109" s="34">
        <f>IF(OR(D109="",E109="",F109="",K109="",L109=""),"",IFERROR(ROUNDUP(H109/(K109*L109),0),"-"))</f>
        <v>2</v>
      </c>
      <c r="N109" s="33" t="n">
        <v>46248</v>
      </c>
      <c r="O109" s="32">
        <f t="array" ref="O109">IF(OR($D109="",$E109=""),"",IF($N109&lt;&gt;"",$N109,IFERROR(WORKDAY.INTL(LOOKUP(2,1/(($D$2:D108=$D109)*ISNUMBER($P$2:P108)),$P$2:P108),1,"0000001",Holidays!$A$6:$A$55),"")))</f>
        <v>46248</v>
      </c>
      <c r="P109" s="35">
        <f>IF(OR(O109="",H109="",K109="",L109=""),"",IFERROR(WORKDAY.INTL(O109-1,MAX(1,ROUNDUP(H109/(K109*L109),0)),"0000001",Holidays!$A$6:$A$55),"-"))</f>
        <v>46251</v>
      </c>
      <c r="Q109" s="33">
        <f>IF(P109="","",IFERROR(WORKDAY.INTL(P109,3,"0000001",Holidays!$A$6:$A$55),"-"))</f>
        <v>46254</v>
      </c>
      <c r="R109" s="34">
        <f>IF(OR(J109="",P109=""),"",IFERROR(NETWORKDAYS.INTL(P109+1,J109,"0000001",Holidays!$A$6:$A$55),"-"))</f>
        <v>7</v>
      </c>
      <c r="S109" s="33">
        <f>IF(O109="","",IFERROR(WORKDAY.INTL(O109,-10,"0000001",Holidays!$A$6:$A$55),"-"))</f>
        <v>46237</v>
      </c>
      <c r="T109" s="36">
        <f>IF(OR(I109="",Q109=""),"",IF(Q109&lt;=I109-4,1,0))</f>
        <v>1</v>
      </c>
      <c r="U109" s="32" t="n"/>
      <c r="V109" s="30" t="n"/>
      <c r="W109" s="36" t="str">
        <f>IF(OR($U109="",$V109="",$I109=""),"",IF(AND($U109&lt;=$I109-4,$V109&gt;=$F109),1,0))</f>
        <v/>
      </c>
    </row>
    <row r="110">
      <c r="B110" s="28" t="inlineStr">
        <is>
          <t>M6</t>
        </is>
      </c>
      <c r="C110" s="29" t="n">
        <v>8</v>
      </c>
      <c r="D110" s="28" t="n">
        <v>4117</v>
      </c>
      <c r="E110" s="28" t="n">
        <v>7715760122</v>
      </c>
      <c r="F110" s="30" t="n">
        <v>64702</v>
      </c>
      <c r="G110" s="68" t="n">
        <v>6791</v>
      </c>
      <c r="H110" s="31">
        <f>IF(OR(D110="",E110=""),"",IFERROR(F110-G110,"-"))</f>
        <v>57911</v>
      </c>
      <c r="I110" s="32" t="n">
        <v>46279</v>
      </c>
      <c r="J110" s="33">
        <f>IF(I110="","",IFERROR(WORKDAY.INTL(I110,-10,"0000001",Holidays!$A$6:$A$55),"-"))</f>
        <v>46267</v>
      </c>
      <c r="K110" s="30" t="n">
        <v>1</v>
      </c>
      <c r="L110" s="30" t="n">
        <v>2125</v>
      </c>
      <c r="M110" s="34">
        <f>IF(OR(D110="",E110="",F110="",K110="",L110=""),"",IFERROR(ROUNDUP(H110/(K110*L110),0),"-"))</f>
        <v>28</v>
      </c>
      <c r="N110" s="33" t="n">
        <v>46255</v>
      </c>
      <c r="O110" s="32">
        <f t="array" ref="O110">IF(OR($D110="",$E110=""),"",IF($N110&lt;&gt;"",$N110,IFERROR(WORKDAY.INTL(LOOKUP(2,1/(($D$2:D109=$D110)*ISNUMBER($P$2:P109)),$P$2:P109),1,"0000001",Holidays!$A$6:$A$55),"")))</f>
        <v>46255</v>
      </c>
      <c r="P110" s="35">
        <f>IF(OR(O110="",H110="",K110="",L110=""),"",IFERROR(WORKDAY.INTL(O110-1,MAX(1,ROUNDUP(H110/(K110*L110),0)),"0000001",Holidays!$A$6:$A$55),"-"))</f>
        <v>46288</v>
      </c>
      <c r="Q110" s="33">
        <f>IF(P110="","",IFERROR(WORKDAY.INTL(P110,3,"0000001",Holidays!$A$6:$A$55),"-"))</f>
        <v>46291</v>
      </c>
      <c r="R110" s="34">
        <f>IF(OR(J110="",P110=""),"",IFERROR(NETWORKDAYS.INTL(P110+1,J110,"0000001",Holidays!$A$6:$A$55),"-"))</f>
        <v>-20</v>
      </c>
      <c r="S110" s="33">
        <f>IF(O110="","",IFERROR(WORKDAY.INTL(O110,-10,"0000001",Holidays!$A$6:$A$55),"-"))</f>
        <v>46242</v>
      </c>
      <c r="T110" s="36">
        <f>IF(OR(I110="",Q110=""),"",IF(Q110&lt;=I110-4,1,0))</f>
        <v>0</v>
      </c>
      <c r="U110" s="32" t="n"/>
      <c r="V110" s="30" t="n"/>
      <c r="W110" s="36" t="str">
        <f>IF(OR($U110="",$V110="",$I110=""),"",IF(AND($U110&lt;=$I110-4,$V110&gt;=$F110),1,0))</f>
        <v/>
      </c>
    </row>
    <row r="111">
      <c r="B111" s="28" t="inlineStr">
        <is>
          <t>M7</t>
        </is>
      </c>
      <c r="C111" s="29" t="n">
        <v>9</v>
      </c>
      <c r="D111" s="28" t="n">
        <v>4117</v>
      </c>
      <c r="E111" s="28" t="n">
        <v>7964904788</v>
      </c>
      <c r="F111" s="30" t="n">
        <v>64770</v>
      </c>
      <c r="G111" s="68" t="n">
        <v>0</v>
      </c>
      <c r="H111" s="31">
        <f>IF(OR(D111="",E111=""),"",IFERROR(F111-G111,"-"))</f>
        <v>64770</v>
      </c>
      <c r="I111" s="32" t="n">
        <v>46293</v>
      </c>
      <c r="J111" s="33">
        <f>IF(I111="","",IFERROR(WORKDAY.INTL(I111,-10,"0000001",Holidays!$A$6:$A$55),"-"))</f>
        <v>46281</v>
      </c>
      <c r="K111" s="30" t="n">
        <v>1</v>
      </c>
      <c r="L111" s="30" t="n">
        <v>2125</v>
      </c>
      <c r="M111" s="34">
        <f>IF(OR(D111="",E111="",F111="",K111="",L111=""),"",IFERROR(ROUNDUP(H111/(K111*L111),0),"-"))</f>
        <v>31</v>
      </c>
      <c r="N111" s="33" t="n">
        <v>46275</v>
      </c>
      <c r="O111" s="32">
        <f t="array" ref="O111">IF(OR($D111="",$E111=""),"",IF($N111&lt;&gt;"",$N111,IFERROR(WORKDAY.INTL(LOOKUP(2,1/(($D$2:D110=$D111)*ISNUMBER($P$2:P110)),$P$2:P110),1,"0000001",Holidays!$A$6:$A$55),"")))</f>
        <v>46275</v>
      </c>
      <c r="P111" s="35">
        <f>IF(OR(O111="",H111="",K111="",L111=""),"",IFERROR(WORKDAY.INTL(O111-1,MAX(1,ROUNDUP(H111/(K111*L111),0)),"0000001",Holidays!$A$6:$A$55),"-"))</f>
        <v>46311</v>
      </c>
      <c r="Q111" s="33">
        <f>IF(P111="","",IFERROR(WORKDAY.INTL(P111,3,"0000001",Holidays!$A$6:$A$55),"-"))</f>
        <v>46316</v>
      </c>
      <c r="R111" s="34">
        <f>IF(OR(J111="",P111=""),"",IFERROR(NETWORKDAYS.INTL(P111+1,J111,"0000001",Holidays!$A$6:$A$55),"-"))</f>
        <v>-27</v>
      </c>
      <c r="S111" s="33">
        <f>IF(O111="","",IFERROR(WORKDAY.INTL(O111,-10,"0000001",Holidays!$A$6:$A$55),"-"))</f>
        <v>46263</v>
      </c>
      <c r="T111" s="36">
        <f>IF(OR(I111="",Q111=""),"",IF(Q111&lt;=I111-4,1,0))</f>
        <v>0</v>
      </c>
      <c r="U111" s="32" t="n"/>
      <c r="V111" s="30" t="n"/>
      <c r="W111" s="36" t="str">
        <f>IF(OR($U111="",$V111="",$I111=""),"",IF(AND($U111&lt;=$I111-4,$V111&gt;=$F111),1,0))</f>
        <v/>
      </c>
    </row>
    <row r="112">
      <c r="B112" s="28" t="inlineStr">
        <is>
          <t>M7</t>
        </is>
      </c>
      <c r="C112" s="29" t="n">
        <v>10</v>
      </c>
      <c r="D112" s="28" t="n">
        <v>4117</v>
      </c>
      <c r="E112" s="28" t="n">
        <v>7364057889</v>
      </c>
      <c r="F112" s="30" t="n">
        <v>71077</v>
      </c>
      <c r="G112" s="68" t="n">
        <v>0</v>
      </c>
      <c r="H112" s="31">
        <f>IF(OR(D112="",E112=""),"",IFERROR(F112-G112,"-"))</f>
        <v>71077</v>
      </c>
      <c r="I112" s="32" t="n">
        <v>46310</v>
      </c>
      <c r="J112" s="33">
        <f>IF(I112="","",IFERROR(WORKDAY.INTL(I112,-10,"0000001",Holidays!$A$6:$A$55),"-"))</f>
        <v>46298</v>
      </c>
      <c r="K112" s="30" t="n">
        <v>1</v>
      </c>
      <c r="L112" s="30" t="n">
        <v>2125</v>
      </c>
      <c r="M112" s="34">
        <f>IF(OR(D112="",E112="",F112="",K112="",L112=""),"",IFERROR(ROUNDUP(H112/(K112*L112),0),"-"))</f>
        <v>34</v>
      </c>
      <c r="N112" s="33" t="n">
        <v>46288</v>
      </c>
      <c r="O112" s="32">
        <f t="array" ref="O112">IF(OR($D112="",$E112=""),"",IF($N112&lt;&gt;"",$N112,IFERROR(WORKDAY.INTL(LOOKUP(2,1/(($D$2:D111=$D112)*ISNUMBER($P$2:P111)),$P$2:P111),1,"0000001",Holidays!$A$6:$A$55),"")))</f>
        <v>46288</v>
      </c>
      <c r="P112" s="35">
        <f>IF(OR(O112="",H112="",K112="",L112=""),"",IFERROR(WORKDAY.INTL(O112-1,MAX(1,ROUNDUP(H112/(K112*L112),0)),"0000001",Holidays!$A$6:$A$55),"-"))</f>
        <v>46329</v>
      </c>
      <c r="Q112" s="33">
        <f>IF(P112="","",IFERROR(WORKDAY.INTL(P112,3,"0000001",Holidays!$A$6:$A$55),"-"))</f>
        <v>46332</v>
      </c>
      <c r="R112" s="34">
        <f>IF(OR(J112="",P112=""),"",IFERROR(NETWORKDAYS.INTL(P112+1,J112,"0000001",Holidays!$A$6:$A$55),"-"))</f>
        <v>-27</v>
      </c>
      <c r="S112" s="33">
        <f>IF(O112="","",IFERROR(WORKDAY.INTL(O112,-10,"0000001",Holidays!$A$6:$A$55),"-"))</f>
        <v>46276</v>
      </c>
      <c r="T112" s="36">
        <f>IF(OR(I112="",Q112=""),"",IF(Q112&lt;=I112-4,1,0))</f>
        <v>0</v>
      </c>
      <c r="U112" s="32" t="n"/>
      <c r="V112" s="30" t="n"/>
      <c r="W112" s="36" t="str">
        <f>IF(OR($U112="",$V112="",$I112=""),"",IF(AND($U112&lt;=$I112-4,$V112&gt;=$F112),1,0))</f>
        <v/>
      </c>
    </row>
    <row r="113">
      <c r="B113" s="28" t="inlineStr">
        <is>
          <t>M7</t>
        </is>
      </c>
      <c r="C113" s="29" t="n">
        <v>11</v>
      </c>
      <c r="D113" s="28" t="n">
        <v>4117</v>
      </c>
      <c r="E113" s="28" t="n">
        <v>7349215618</v>
      </c>
      <c r="F113" s="30" t="n">
        <v>71111</v>
      </c>
      <c r="G113" s="68" t="n">
        <v>0</v>
      </c>
      <c r="H113" s="31">
        <f>IF(OR(D113="",E113=""),"",IFERROR(F113-G113,"-"))</f>
        <v>71111</v>
      </c>
      <c r="I113" s="32" t="n">
        <v>46310</v>
      </c>
      <c r="J113" s="33">
        <f>IF(I113="","",IFERROR(WORKDAY.INTL(I113,-10,"0000001",Holidays!$A$6:$A$55),"-"))</f>
        <v>46298</v>
      </c>
      <c r="K113" s="30" t="n">
        <v>1</v>
      </c>
      <c r="L113" s="30" t="n">
        <v>2125</v>
      </c>
      <c r="M113" s="34">
        <f>IF(OR(D113="",E113="",F113="",K113="",L113=""),"",IFERROR(ROUNDUP(H113/(K113*L113),0),"-"))</f>
        <v>34</v>
      </c>
      <c r="N113" s="33" t="n">
        <v>46293</v>
      </c>
      <c r="O113" s="32">
        <f t="array" ref="O113">IF(OR($D113="",$E113=""),"",IF($N113&lt;&gt;"",$N113,IFERROR(WORKDAY.INTL(LOOKUP(2,1/(($D$2:D112=$D113)*ISNUMBER($P$2:P112)),$P$2:P112),1,"0000001",Holidays!$A$6:$A$55),"")))</f>
        <v>46293</v>
      </c>
      <c r="P113" s="35">
        <f>IF(OR(O113="",H113="",K113="",L113=""),"",IFERROR(WORKDAY.INTL(O113-1,MAX(1,ROUNDUP(H113/(K113*L113),0)),"0000001",Holidays!$A$6:$A$55),"-"))</f>
        <v>46335</v>
      </c>
      <c r="Q113" s="33">
        <f>IF(P113="","",IFERROR(WORKDAY.INTL(P113,3,"0000001",Holidays!$A$6:$A$55),"-"))</f>
        <v>46338</v>
      </c>
      <c r="R113" s="34">
        <f>IF(OR(J113="",P113=""),"",IFERROR(NETWORKDAYS.INTL(P113+1,J113,"0000001",Holidays!$A$6:$A$55),"-"))</f>
        <v>-31</v>
      </c>
      <c r="S113" s="33">
        <f>IF(O113="","",IFERROR(WORKDAY.INTL(O113,-10,"0000001",Holidays!$A$6:$A$55),"-"))</f>
        <v>46281</v>
      </c>
      <c r="T113" s="36">
        <f>IF(OR(I113="",Q113=""),"",IF(Q113&lt;=I113-4,1,0))</f>
        <v>0</v>
      </c>
      <c r="U113" s="32" t="n"/>
      <c r="V113" s="30" t="n"/>
      <c r="W113" s="36" t="str">
        <f>IF(OR($U113="",$V113="",$I113=""),"",IF(AND($U113&lt;=$I113-4,$V113&gt;=$F113),1,0))</f>
        <v/>
      </c>
    </row>
    <row r="114" ht="15.75" customHeight="1" thickBot="1">
      <c r="B114" s="37" t="inlineStr">
        <is>
          <t>M7</t>
        </is>
      </c>
      <c r="C114" s="38" t="n">
        <v>12</v>
      </c>
      <c r="D114" s="37" t="n">
        <v>4117</v>
      </c>
      <c r="E114" s="37" t="n">
        <v>7510045022</v>
      </c>
      <c r="F114" s="39" t="n">
        <v>110313</v>
      </c>
      <c r="G114" s="66" t="n">
        <v>0</v>
      </c>
      <c r="H114" s="40">
        <f>IF(OR(D114="",E114=""),"",IFERROR(F114-G114,"-"))</f>
        <v>110313</v>
      </c>
      <c r="I114" s="41" t="n">
        <v>46311</v>
      </c>
      <c r="J114" s="42">
        <f>IF(I114="","",IFERROR(WORKDAY.INTL(I114,-10,"0000001",Holidays!$A$6:$A$55),"-"))</f>
        <v>46300</v>
      </c>
      <c r="K114" s="39" t="n">
        <v>1</v>
      </c>
      <c r="L114" s="39" t="n">
        <v>2125</v>
      </c>
      <c r="M114" s="43">
        <f>IF(OR(D114="",E114="",F114="",K114="",L114=""),"",IFERROR(ROUNDUP(H114/(K114*L114),0),"-"))</f>
        <v>52</v>
      </c>
      <c r="N114" s="42" t="n">
        <v>46298</v>
      </c>
      <c r="O114" s="41">
        <f t="array" ref="O114">IF(OR($D114="",$E114=""),"",IF($N114&lt;&gt;"",$N114,IFERROR(WORKDAY.INTL(LOOKUP(2,1/(($D$2:D113=$D114)*ISNUMBER($P$2:P113)),$P$2:P113),1,"0000001",Holidays!$A$6:$A$55),"")))</f>
        <v>46298</v>
      </c>
      <c r="P114" s="44">
        <f>IF(OR(O114="",H114="",K114="",L114=""),"",IFERROR(WORKDAY.INTL(O114-1,MAX(1,ROUNDUP(H114/(K114*L114),0)),"0000001",Holidays!$A$6:$A$55),"-"))</f>
        <v>46361</v>
      </c>
      <c r="Q114" s="42">
        <f>IF(P114="","",IFERROR(WORKDAY.INTL(P114,3,"0000001",Holidays!$A$6:$A$55),"-"))</f>
        <v>46365</v>
      </c>
      <c r="R114" s="43">
        <f>IF(OR(J114="",P114=""),"",IFERROR(NETWORKDAYS.INTL(P114+1,J114,"0000001",Holidays!$A$6:$A$55),"-"))</f>
        <v>-51</v>
      </c>
      <c r="S114" s="42">
        <f>IF(O114="","",IFERROR(WORKDAY.INTL(O114,-10,"0000001",Holidays!$A$6:$A$55),"-"))</f>
        <v>46286</v>
      </c>
      <c r="T114" s="45">
        <f>IF(OR(I114="",Q114=""),"",IF(Q114&lt;=I114-4,1,0))</f>
        <v>0</v>
      </c>
      <c r="U114" s="41" t="n"/>
      <c r="V114" s="39" t="n"/>
      <c r="W114" s="45" t="str">
        <f>IF(OR($U114="",$V114="",$I114=""),"",IF(AND($U114&lt;=$I114-4,$V114&gt;=$F114),1,0))</f>
        <v/>
      </c>
    </row>
    <row r="115">
      <c r="B115" s="28" t="inlineStr">
        <is>
          <t>M5</t>
        </is>
      </c>
      <c r="C115" s="29" t="n">
        <v>1</v>
      </c>
      <c r="D115" s="28" t="n">
        <v>6108</v>
      </c>
      <c r="E115" s="28" t="n">
        <v>7955138037</v>
      </c>
      <c r="F115" s="30" t="n">
        <v>24310</v>
      </c>
      <c r="G115" s="68" t="n">
        <v>24310</v>
      </c>
      <c r="H115" s="31">
        <f>IF(OR(D115="",E115=""),"",IFERROR(F115-G115,"-"))</f>
        <v>0</v>
      </c>
      <c r="I115" s="32" t="n">
        <v>46239</v>
      </c>
      <c r="J115" s="33">
        <f>IF(I115="","",IFERROR(WORKDAY.INTL(I115,-10,"0000001",Holidays!$A$6:$A$55),"-"))</f>
        <v>46227</v>
      </c>
      <c r="K115" s="30" t="n"/>
      <c r="L115" s="30" t="n"/>
      <c r="M115" s="34" t="str">
        <f>IF(OR(D115="",E115="",F115="",K115="",L115=""),"",IFERROR(ROUNDUP(H115/(K115*L115),0),"-"))</f>
        <v/>
      </c>
      <c r="N115" s="33" t="inlineStr">
        <is>
          <t>Close</t>
        </is>
      </c>
      <c r="O115" s="32" t="str">
        <f t="array" ref="O115">IF(OR($D115="",$E115=""),"",IF($N115&lt;&gt;"",$N115,IFERROR(WORKDAY.INTL(LOOKUP(2,1/(($D$2:D114=$D115)*ISNUMBER($P$2:P114)),$P$2:P114),1,"0000001",Holidays!$A$6:$A$55),"")))</f>
        <v>Close</v>
      </c>
      <c r="P115" s="35" t="str">
        <f>IF(OR(O115="",H115="",K115="",L115=""),"",IFERROR(WORKDAY.INTL(O115-1,MAX(1,ROUNDUP(H115/(K115*L115),0)),"0000001",Holidays!$A$6:$A$55),"-"))</f>
        <v/>
      </c>
      <c r="Q115" s="33" t="str">
        <f>IF(P115="","",IFERROR(WORKDAY.INTL(P115,3,"0000001",Holidays!$A$6:$A$55),"-"))</f>
        <v/>
      </c>
      <c r="R115" s="34" t="str">
        <f>IF(OR(J115="",P115=""),"",IFERROR(NETWORKDAYS.INTL(P115+1,J115,"0000001",Holidays!$A$6:$A$55),"-"))</f>
        <v/>
      </c>
      <c r="S115" s="33" t="str">
        <f>IF(O115="","",IFERROR(WORKDAY.INTL(O115,-10,"0000001",Holidays!$A$6:$A$55),"-"))</f>
        <v>-</v>
      </c>
      <c r="T115" s="36" t="str">
        <f>IF(OR(I115="",Q115=""),"",IF(Q115&lt;=I115-4,1,0))</f>
        <v/>
      </c>
      <c r="U115" s="32" t="n"/>
      <c r="V115" s="30" t="n"/>
      <c r="W115" s="36" t="str">
        <f>IF(OR($U115="",$V115="",$I115=""),"",IF(AND($U115&lt;=$I115-4,$V115&gt;=$F115),1,0))</f>
        <v/>
      </c>
    </row>
    <row r="116">
      <c r="B116" s="28" t="inlineStr">
        <is>
          <t>M5</t>
        </is>
      </c>
      <c r="C116" s="29" t="n">
        <v>2</v>
      </c>
      <c r="D116" s="28" t="n">
        <v>6108</v>
      </c>
      <c r="E116" s="28" t="n">
        <v>7823249423</v>
      </c>
      <c r="F116" s="30" t="n">
        <v>4012</v>
      </c>
      <c r="G116" s="68" t="n">
        <v>4012</v>
      </c>
      <c r="H116" s="31">
        <f>IF(OR(D116="",E116=""),"",IFERROR(F116-G116,"-"))</f>
        <v>0</v>
      </c>
      <c r="I116" s="32" t="n">
        <v>46247</v>
      </c>
      <c r="J116" s="33">
        <f>IF(I116="","",IFERROR(WORKDAY.INTL(I116,-10,"0000001",Holidays!$A$6:$A$55),"-"))</f>
        <v>46235</v>
      </c>
      <c r="K116" s="30" t="n"/>
      <c r="L116" s="30" t="n"/>
      <c r="M116" s="34" t="str">
        <f>IF(OR(D116="",E116="",F116="",K116="",L116=""),"",IFERROR(ROUNDUP(H116/(K116*L116),0),"-"))</f>
        <v/>
      </c>
      <c r="N116" s="33" t="inlineStr">
        <is>
          <t>Close</t>
        </is>
      </c>
      <c r="O116" s="32" t="str">
        <f t="array" ref="O116">IF(OR($D116="",$E116=""),"",IF($N116&lt;&gt;"",$N116,IFERROR(WORKDAY.INTL(LOOKUP(2,1/(($D$2:D115=$D116)*ISNUMBER($P$2:P115)),$P$2:P115),1,"0000001",Holidays!$A$6:$A$55),"")))</f>
        <v>Close</v>
      </c>
      <c r="P116" s="35" t="str">
        <f>IF(OR(O116="",H116="",K116="",L116=""),"",IFERROR(WORKDAY.INTL(O116-1,MAX(1,ROUNDUP(H116/(K116*L116),0)),"0000001",Holidays!$A$6:$A$55),"-"))</f>
        <v/>
      </c>
      <c r="Q116" s="33" t="str">
        <f>IF(P116="","",IFERROR(WORKDAY.INTL(P116,3,"0000001",Holidays!$A$6:$A$55),"-"))</f>
        <v/>
      </c>
      <c r="R116" s="34" t="str">
        <f>IF(OR(J116="",P116=""),"",IFERROR(NETWORKDAYS.INTL(P116+1,J116,"0000001",Holidays!$A$6:$A$55),"-"))</f>
        <v/>
      </c>
      <c r="S116" s="33" t="str">
        <f>IF(O116="","",IFERROR(WORKDAY.INTL(O116,-10,"0000001",Holidays!$A$6:$A$55),"-"))</f>
        <v>-</v>
      </c>
      <c r="T116" s="36" t="str">
        <f>IF(OR(I116="",Q116=""),"",IF(Q116&lt;=I116-4,1,0))</f>
        <v/>
      </c>
      <c r="U116" s="32" t="n"/>
      <c r="V116" s="30" t="n"/>
      <c r="W116" s="36" t="str">
        <f>IF(OR($U116="",$V116="",$I116=""),"",IF(AND($U116&lt;=$I116-4,$V116&gt;=$F116),1,0))</f>
        <v/>
      </c>
    </row>
    <row r="117">
      <c r="B117" s="28" t="inlineStr">
        <is>
          <t>M5</t>
        </is>
      </c>
      <c r="C117" s="29" t="n">
        <v>3</v>
      </c>
      <c r="D117" s="28" t="n">
        <v>6108</v>
      </c>
      <c r="E117" s="28" t="n">
        <v>7595169996</v>
      </c>
      <c r="F117" s="30" t="n">
        <v>3774</v>
      </c>
      <c r="G117" s="68" t="n">
        <v>3774</v>
      </c>
      <c r="H117" s="31">
        <f>IF(OR(D117="",E117=""),"",IFERROR(F117-G117,"-"))</f>
        <v>0</v>
      </c>
      <c r="I117" s="32" t="n">
        <v>46249</v>
      </c>
      <c r="J117" s="33">
        <f>IF(I117="","",IFERROR(WORKDAY.INTL(I117,-10,"0000001",Holidays!$A$6:$A$55),"-"))</f>
        <v>46238</v>
      </c>
      <c r="K117" s="30" t="n"/>
      <c r="L117" s="30" t="n"/>
      <c r="M117" s="34" t="str">
        <f>IF(OR(D117="",E117="",F117="",K117="",L117=""),"",IFERROR(ROUNDUP(H117/(K117*L117),0),"-"))</f>
        <v/>
      </c>
      <c r="N117" s="33" t="inlineStr">
        <is>
          <t>Close</t>
        </is>
      </c>
      <c r="O117" s="32" t="str">
        <f t="array" ref="O117">IF(OR($D117="",$E117=""),"",IF($N117&lt;&gt;"",$N117,IFERROR(WORKDAY.INTL(LOOKUP(2,1/(($D$2:D116=$D117)*ISNUMBER($P$2:P116)),$P$2:P116),1,"0000001",Holidays!$A$6:$A$55),"")))</f>
        <v>Close</v>
      </c>
      <c r="P117" s="35" t="str">
        <f>IF(OR(O117="",H117="",K117="",L117=""),"",IFERROR(WORKDAY.INTL(O117-1,MAX(1,ROUNDUP(H117/(K117*L117),0)),"0000001",Holidays!$A$6:$A$55),"-"))</f>
        <v/>
      </c>
      <c r="Q117" s="33" t="str">
        <f>IF(P117="","",IFERROR(WORKDAY.INTL(P117,3,"0000001",Holidays!$A$6:$A$55),"-"))</f>
        <v/>
      </c>
      <c r="R117" s="34" t="str">
        <f>IF(OR(J117="",P117=""),"",IFERROR(NETWORKDAYS.INTL(P117+1,J117,"0000001",Holidays!$A$6:$A$55),"-"))</f>
        <v/>
      </c>
      <c r="S117" s="33" t="str">
        <f>IF(O117="","",IFERROR(WORKDAY.INTL(O117,-10,"0000001",Holidays!$A$6:$A$55),"-"))</f>
        <v>-</v>
      </c>
      <c r="T117" s="36" t="str">
        <f>IF(OR(I117="",Q117=""),"",IF(Q117&lt;=I117-4,1,0))</f>
        <v/>
      </c>
      <c r="U117" s="32" t="n"/>
      <c r="V117" s="30" t="n"/>
      <c r="W117" s="36" t="str">
        <f>IF(OR($U117="",$V117="",$I117=""),"",IF(AND($U117&lt;=$I117-4,$V117&gt;=$F117),1,0))</f>
        <v/>
      </c>
    </row>
    <row r="118">
      <c r="B118" s="28" t="inlineStr">
        <is>
          <t>M6</t>
        </is>
      </c>
      <c r="C118" s="29" t="n">
        <v>4</v>
      </c>
      <c r="D118" s="28" t="n">
        <v>6108</v>
      </c>
      <c r="E118" s="28" t="n">
        <v>7178507238</v>
      </c>
      <c r="F118" s="30" t="n">
        <v>50320</v>
      </c>
      <c r="G118" s="68" t="n">
        <v>50320</v>
      </c>
      <c r="H118" s="31">
        <f>IF(OR(D118="",E118=""),"",IFERROR(F118-G118,"-"))</f>
        <v>0</v>
      </c>
      <c r="I118" s="32" t="n">
        <v>46279</v>
      </c>
      <c r="J118" s="33">
        <f>IF(I118="","",IFERROR(WORKDAY.INTL(I118,-10,"0000001",Holidays!$A$6:$A$55),"-"))</f>
        <v>46267</v>
      </c>
      <c r="K118" s="30" t="n">
        <v>3</v>
      </c>
      <c r="L118" s="30" t="n">
        <v>2550</v>
      </c>
      <c r="M118" s="34">
        <f>IF(OR(D118="",E118="",F118="",K118="",L118=""),"",IFERROR(ROUNDUP(H118/(K118*L118),0),"-"))</f>
        <v>0</v>
      </c>
      <c r="N118" s="33" t="n">
        <v>46247</v>
      </c>
      <c r="O118" s="32">
        <f t="array" ref="O118">IF(OR($D118="",$E118=""),"",IF($N118&lt;&gt;"",$N118,IFERROR(WORKDAY.INTL(LOOKUP(2,1/(($D$2:D117=$D118)*ISNUMBER($P$2:P117)),$P$2:P117),1,"0000001",Holidays!$A$6:$A$55),"")))</f>
        <v>46247</v>
      </c>
      <c r="P118" s="35">
        <f>IF(OR(O118="",H118="",K118="",L118=""),"",IFERROR(WORKDAY.INTL(O118-1,MAX(1,ROUNDUP(H118/(K118*L118),0)),"0000001",Holidays!$A$6:$A$55),"-"))</f>
        <v>46247</v>
      </c>
      <c r="Q118" s="33">
        <f>IF(P118="","",IFERROR(WORKDAY.INTL(P118,3,"0000001",Holidays!$A$6:$A$55),"-"))</f>
        <v>46252</v>
      </c>
      <c r="R118" s="34">
        <f>IF(OR(J118="",P118=""),"",IFERROR(NETWORKDAYS.INTL(P118+1,J118,"0000001",Holidays!$A$6:$A$55),"-"))</f>
        <v>15</v>
      </c>
      <c r="S118" s="33">
        <f>IF(O118="","",IFERROR(WORKDAY.INTL(O118,-10,"0000001",Holidays!$A$6:$A$55),"-"))</f>
        <v>46235</v>
      </c>
      <c r="T118" s="36">
        <f>IF(OR(I118="",Q118=""),"",IF(Q118&lt;=I118-4,1,0))</f>
        <v>1</v>
      </c>
      <c r="U118" s="32" t="n"/>
      <c r="V118" s="30" t="n"/>
      <c r="W118" s="36" t="str">
        <f>IF(OR($U118="",$V118="",$I118=""),"",IF(AND($U118&lt;=$I118-4,$V118&gt;=$F118),1,0))</f>
        <v/>
      </c>
    </row>
    <row r="119">
      <c r="B119" s="28" t="inlineStr">
        <is>
          <t>M6</t>
        </is>
      </c>
      <c r="C119" s="29" t="n">
        <v>5</v>
      </c>
      <c r="D119" s="28" t="n">
        <v>6108</v>
      </c>
      <c r="E119" s="28" t="n">
        <v>7641277284</v>
      </c>
      <c r="F119" s="30" t="n">
        <v>31450</v>
      </c>
      <c r="G119" s="68" t="n">
        <v>14787</v>
      </c>
      <c r="H119" s="31">
        <f>IF(OR(D119="",E119=""),"",IFERROR(F119-G119,"-"))</f>
        <v>16663</v>
      </c>
      <c r="I119" s="32" t="n">
        <v>46283</v>
      </c>
      <c r="J119" s="33">
        <f>IF(I119="","",IFERROR(WORKDAY.INTL(I119,-10,"0000001",Holidays!$A$6:$A$55),"-"))</f>
        <v>46272</v>
      </c>
      <c r="K119" s="30" t="n">
        <v>3</v>
      </c>
      <c r="L119" s="30" t="n">
        <v>2550</v>
      </c>
      <c r="M119" s="34">
        <f>IF(OR(D119="",E119="",F119="",K119="",L119=""),"",IFERROR(ROUNDUP(H119/(K119*L119),0),"-"))</f>
        <v>3</v>
      </c>
      <c r="N119" s="33" t="n">
        <v>46247</v>
      </c>
      <c r="O119" s="32">
        <f t="array" ref="O119">IF(OR($D119="",$E119=""),"",IF($N119&lt;&gt;"",$N119,IFERROR(WORKDAY.INTL(LOOKUP(2,1/(($D$2:D118=$D119)*ISNUMBER($P$2:P118)),$P$2:P118),1,"0000001",Holidays!$A$6:$A$55),"")))</f>
        <v>46247</v>
      </c>
      <c r="P119" s="35">
        <f>IF(OR(O119="",H119="",K119="",L119=""),"",IFERROR(WORKDAY.INTL(O119-1,MAX(1,ROUNDUP(H119/(K119*L119),0)),"0000001",Holidays!$A$6:$A$55),"-"))</f>
        <v>46251</v>
      </c>
      <c r="Q119" s="33">
        <f>IF(P119="","",IFERROR(WORKDAY.INTL(P119,3,"0000001",Holidays!$A$6:$A$55),"-"))</f>
        <v>46254</v>
      </c>
      <c r="R119" s="34">
        <f>IF(OR(J119="",P119=""),"",IFERROR(NETWORKDAYS.INTL(P119+1,J119,"0000001",Holidays!$A$6:$A$55),"-"))</f>
        <v>17</v>
      </c>
      <c r="S119" s="33">
        <f>IF(O119="","",IFERROR(WORKDAY.INTL(O119,-10,"0000001",Holidays!$A$6:$A$55),"-"))</f>
        <v>46235</v>
      </c>
      <c r="T119" s="36">
        <f>IF(OR(I119="",Q119=""),"",IF(Q119&lt;=I119-4,1,0))</f>
        <v>1</v>
      </c>
      <c r="U119" s="32" t="n"/>
      <c r="V119" s="30" t="n"/>
      <c r="W119" s="36" t="str">
        <f>IF(OR($U119="",$V119="",$I119=""),"",IF(AND($U119&lt;=$I119-4,$V119&gt;=$F119),1,0))</f>
        <v/>
      </c>
    </row>
    <row r="120">
      <c r="B120" s="28" t="inlineStr">
        <is>
          <t>M6</t>
        </is>
      </c>
      <c r="C120" s="29" t="n">
        <v>6</v>
      </c>
      <c r="D120" s="28" t="n">
        <v>6108</v>
      </c>
      <c r="E120" s="28" t="n">
        <v>7252595077</v>
      </c>
      <c r="F120" s="30" t="n">
        <v>48348</v>
      </c>
      <c r="G120" s="68" t="n">
        <v>0</v>
      </c>
      <c r="H120" s="31">
        <f>IF(OR(D120="",E120=""),"",IFERROR(F120-G120,"-"))</f>
        <v>48348</v>
      </c>
      <c r="I120" s="32" t="n">
        <v>46283</v>
      </c>
      <c r="J120" s="33">
        <f>IF(I120="","",IFERROR(WORKDAY.INTL(I120,-10,"0000001",Holidays!$A$6:$A$55),"-"))</f>
        <v>46272</v>
      </c>
      <c r="K120" s="30" t="n">
        <v>3</v>
      </c>
      <c r="L120" s="30" t="n">
        <v>2550</v>
      </c>
      <c r="M120" s="34">
        <f>IF(OR(D120="",E120="",F120="",K120="",L120=""),"",IFERROR(ROUNDUP(H120/(K120*L120),0),"-"))</f>
        <v>7</v>
      </c>
      <c r="N120" s="33" t="n">
        <v>46255</v>
      </c>
      <c r="O120" s="32">
        <f t="array" ref="O120">IF(OR($D120="",$E120=""),"",IF($N120&lt;&gt;"",$N120,IFERROR(WORKDAY.INTL(LOOKUP(2,1/(($D$2:D119=$D120)*ISNUMBER($P$2:P119)),$P$2:P119),1,"0000001",Holidays!$A$6:$A$55),"")))</f>
        <v>46255</v>
      </c>
      <c r="P120" s="35">
        <f>IF(OR(O120="",H120="",K120="",L120=""),"",IFERROR(WORKDAY.INTL(O120-1,MAX(1,ROUNDUP(H120/(K120*L120),0)),"0000001",Holidays!$A$6:$A$55),"-"))</f>
        <v>46263</v>
      </c>
      <c r="Q120" s="33">
        <f>IF(P120="","",IFERROR(WORKDAY.INTL(P120,3,"0000001",Holidays!$A$6:$A$55),"-"))</f>
        <v>46267</v>
      </c>
      <c r="R120" s="34">
        <f>IF(OR(J120="",P120=""),"",IFERROR(NETWORKDAYS.INTL(P120+1,J120,"0000001",Holidays!$A$6:$A$55),"-"))</f>
        <v>7</v>
      </c>
      <c r="S120" s="33">
        <f>IF(O120="","",IFERROR(WORKDAY.INTL(O120,-10,"0000001",Holidays!$A$6:$A$55),"-"))</f>
        <v>46242</v>
      </c>
      <c r="T120" s="36">
        <f>IF(OR(I120="",Q120=""),"",IF(Q120&lt;=I120-4,1,0))</f>
        <v>1</v>
      </c>
      <c r="U120" s="32" t="n"/>
      <c r="V120" s="30" t="n"/>
      <c r="W120" s="36" t="str">
        <f>IF(OR($U120="",$V120="",$I120=""),"",IF(AND($U120&lt;=$I120-4,$V120&gt;=$F120),1,0))</f>
        <v/>
      </c>
    </row>
    <row r="121">
      <c r="B121" s="28" t="inlineStr">
        <is>
          <t>M6</t>
        </is>
      </c>
      <c r="C121" s="29" t="n">
        <v>1</v>
      </c>
      <c r="D121" s="28" t="n">
        <v>6108</v>
      </c>
      <c r="E121" s="28" t="n">
        <v>7488511959</v>
      </c>
      <c r="F121" s="30" t="n">
        <v>71060</v>
      </c>
      <c r="G121" s="68" t="n">
        <v>0</v>
      </c>
      <c r="H121" s="31">
        <f>IF(OR(D121="",E121=""),"",IFERROR(F121-G121,"-"))</f>
        <v>71060</v>
      </c>
      <c r="I121" s="32" t="n">
        <v>46283</v>
      </c>
      <c r="J121" s="33">
        <f>IF(I121="","",IFERROR(WORKDAY.INTL(I121,-10,"0000001",Holidays!$A$6:$A$55),"-"))</f>
        <v>46272</v>
      </c>
      <c r="K121" s="30" t="n">
        <v>3</v>
      </c>
      <c r="L121" s="30" t="n">
        <v>2550</v>
      </c>
      <c r="M121" s="34">
        <f>IF(OR(D121="",E121="",F121="",K121="",L121=""),"",IFERROR(ROUNDUP(H121/(K121*L121),0),"-"))</f>
        <v>10</v>
      </c>
      <c r="N121" s="34" t="n"/>
      <c r="O121" s="32">
        <f t="array" ref="O121">IF(OR($D121="",$E121=""),"",IF($N121&lt;&gt;"",$N121,IFERROR(WORKDAY.INTL(LOOKUP(2,1/(($D$2:D120=$D121)*ISNUMBER($P$2:P120)),$P$2:P120),1,"0000001",Holidays!$A$6:$A$55),"")))</f>
        <v>46265</v>
      </c>
      <c r="P121" s="35">
        <f>IF(OR(O121="",H121="",K121="",L121=""),"",IFERROR(WORKDAY.INTL(O121-1,MAX(1,ROUNDUP(H121/(K121*L121),0)),"0000001",Holidays!$A$6:$A$55),"-"))</f>
        <v>46275</v>
      </c>
      <c r="Q121" s="33">
        <f>IF(P121="","",IFERROR(WORKDAY.INTL(P121,3,"0000001",Holidays!$A$6:$A$55),"-"))</f>
        <v>46279</v>
      </c>
      <c r="R121" s="34">
        <f>IF(OR(J121="",P121=""),"",IFERROR(NETWORKDAYS.INTL(P121+1,J121,"0000001",Holidays!$A$6:$A$55),"-"))</f>
        <v>-5</v>
      </c>
      <c r="S121" s="33">
        <f>IF(O121="","",IFERROR(WORKDAY.INTL(O121,-10,"0000001",Holidays!$A$6:$A$55),"-"))</f>
        <v>46252</v>
      </c>
      <c r="T121" s="36">
        <f>IF(OR(I121="",Q121=""),"",IF(Q121&lt;=I121-4,1,0))</f>
        <v>1</v>
      </c>
      <c r="U121" s="32" t="n"/>
      <c r="V121" s="30" t="n"/>
      <c r="W121" s="36" t="str">
        <f>IF(OR($U121="",$V121="",$I121=""),"",IF(AND($U121&lt;=$I121-4,$V121&gt;=$F121),1,0))</f>
        <v/>
      </c>
    </row>
    <row r="122">
      <c r="B122" s="28" t="inlineStr">
        <is>
          <t>M5</t>
        </is>
      </c>
      <c r="C122" s="29" t="n">
        <v>2</v>
      </c>
      <c r="D122" s="28" t="n">
        <v>6135</v>
      </c>
      <c r="E122" s="28" t="n">
        <v>7887760028</v>
      </c>
      <c r="F122" s="30" t="n">
        <v>44064</v>
      </c>
      <c r="G122" s="68" t="n">
        <v>44064</v>
      </c>
      <c r="H122" s="31">
        <f>IF(OR(D122="",E122=""),"",IFERROR(F122-G122,"-"))</f>
        <v>0</v>
      </c>
      <c r="I122" s="32" t="n">
        <v>46239</v>
      </c>
      <c r="J122" s="33">
        <f>IF(I122="","",IFERROR(WORKDAY.INTL(I122,-10,"0000001",Holidays!$A$6:$A$55),"-"))</f>
        <v>46227</v>
      </c>
      <c r="K122" s="30" t="n"/>
      <c r="L122" s="30" t="n"/>
      <c r="M122" s="34" t="str">
        <f>IF(OR(D122="",E122="",F122="",K122="",L122=""),"",IFERROR(ROUNDUP(H122/(K122*L122),0),"-"))</f>
        <v/>
      </c>
      <c r="N122" s="33" t="inlineStr">
        <is>
          <t>Close</t>
        </is>
      </c>
      <c r="O122" s="32" t="str">
        <f t="array" ref="O122">IF(OR($D122="",$E122=""),"",IF($N122&lt;&gt;"",$N122,IFERROR(WORKDAY.INTL(LOOKUP(2,1/(($D$2:D121=$D122)*ISNUMBER($P$2:P121)),$P$2:P121),1,"0000001",Holidays!$A$6:$A$55),"")))</f>
        <v>Close</v>
      </c>
      <c r="P122" s="35" t="str">
        <f>IF(OR(O122="",H122="",K122="",L122=""),"",IFERROR(WORKDAY.INTL(O122-1,MAX(1,ROUNDUP(H122/(K122*L122),0)),"0000001",Holidays!$A$6:$A$55),"-"))</f>
        <v/>
      </c>
      <c r="Q122" s="33" t="str">
        <f>IF(P122="","",IFERROR(WORKDAY.INTL(P122,3,"0000001",Holidays!$A$6:$A$55),"-"))</f>
        <v/>
      </c>
      <c r="R122" s="34" t="str">
        <f>IF(OR(J122="",P122=""),"",IFERROR(NETWORKDAYS.INTL(P122+1,J122,"0000001",Holidays!$A$6:$A$55),"-"))</f>
        <v/>
      </c>
      <c r="S122" s="33" t="str">
        <f>IF(O122="","",IFERROR(WORKDAY.INTL(O122,-10,"0000001",Holidays!$A$6:$A$55),"-"))</f>
        <v>-</v>
      </c>
      <c r="T122" s="36" t="str">
        <f>IF(OR(I122="",Q122=""),"",IF(Q122&lt;=I122-4,1,0))</f>
        <v/>
      </c>
      <c r="U122" s="32" t="n"/>
      <c r="V122" s="30" t="n"/>
      <c r="W122" s="36" t="str">
        <f>IF(OR($U122="",$V122="",$I122=""),"",IF(AND($U122&lt;=$I122-4,$V122&gt;=$F122),1,0))</f>
        <v/>
      </c>
    </row>
    <row r="123">
      <c r="B123" s="28" t="inlineStr">
        <is>
          <t>M5</t>
        </is>
      </c>
      <c r="C123" s="29" t="n">
        <v>3</v>
      </c>
      <c r="D123" s="28" t="n">
        <v>6135</v>
      </c>
      <c r="E123" s="28" t="n">
        <v>7912888321</v>
      </c>
      <c r="F123" s="30" t="n">
        <v>44166</v>
      </c>
      <c r="G123" s="68" t="n">
        <v>44166</v>
      </c>
      <c r="H123" s="31">
        <f>IF(OR(D123="",E123=""),"",IFERROR(F123-G123,"-"))</f>
        <v>0</v>
      </c>
      <c r="I123" s="32" t="n">
        <v>46239</v>
      </c>
      <c r="J123" s="33">
        <f>IF(I123="","",IFERROR(WORKDAY.INTL(I123,-10,"0000001",Holidays!$A$6:$A$55),"-"))</f>
        <v>46227</v>
      </c>
      <c r="K123" s="30" t="n"/>
      <c r="L123" s="30" t="n"/>
      <c r="M123" s="34" t="str">
        <f>IF(OR(D123="",E123="",F123="",K123="",L123=""),"",IFERROR(ROUNDUP(H123/(K123*L123),0),"-"))</f>
        <v/>
      </c>
      <c r="N123" s="33" t="inlineStr">
        <is>
          <t>Close</t>
        </is>
      </c>
      <c r="O123" s="32" t="str">
        <f t="array" ref="O123">IF(OR($D123="",$E123=""),"",IF($N123&lt;&gt;"",$N123,IFERROR(WORKDAY.INTL(LOOKUP(2,1/(($D$2:D122=$D123)*ISNUMBER($P$2:P122)),$P$2:P122),1,"0000001",Holidays!$A$6:$A$55),"")))</f>
        <v>Close</v>
      </c>
      <c r="P123" s="35" t="str">
        <f>IF(OR(O123="",H123="",K123="",L123=""),"",IFERROR(WORKDAY.INTL(O123-1,MAX(1,ROUNDUP(H123/(K123*L123),0)),"0000001",Holidays!$A$6:$A$55),"-"))</f>
        <v/>
      </c>
      <c r="Q123" s="33" t="str">
        <f>IF(P123="","",IFERROR(WORKDAY.INTL(P123,3,"0000001",Holidays!$A$6:$A$55),"-"))</f>
        <v/>
      </c>
      <c r="R123" s="34" t="str">
        <f>IF(OR(J123="",P123=""),"",IFERROR(NETWORKDAYS.INTL(P123+1,J123,"0000001",Holidays!$A$6:$A$55),"-"))</f>
        <v/>
      </c>
      <c r="S123" s="33" t="str">
        <f>IF(O123="","",IFERROR(WORKDAY.INTL(O123,-10,"0000001",Holidays!$A$6:$A$55),"-"))</f>
        <v>-</v>
      </c>
      <c r="T123" s="36" t="str">
        <f>IF(OR(I123="",Q123=""),"",IF(Q123&lt;=I123-4,1,0))</f>
        <v/>
      </c>
      <c r="U123" s="32" t="n"/>
      <c r="V123" s="30" t="n"/>
      <c r="W123" s="36" t="str">
        <f>IF(OR($U123="",$V123="",$I123=""),"",IF(AND($U123&lt;=$I123-4,$V123&gt;=$F123),1,0))</f>
        <v/>
      </c>
    </row>
    <row r="124">
      <c r="B124" s="28" t="inlineStr">
        <is>
          <t>M5</t>
        </is>
      </c>
      <c r="C124" s="29" t="n">
        <v>4</v>
      </c>
      <c r="D124" s="28" t="n">
        <v>6135</v>
      </c>
      <c r="E124" s="28" t="n">
        <v>7696645600</v>
      </c>
      <c r="F124" s="30" t="n">
        <v>46818</v>
      </c>
      <c r="G124" s="68" t="n">
        <v>46818</v>
      </c>
      <c r="H124" s="31">
        <f>IF(OR(D124="",E124=""),"",IFERROR(F124-G124,"-"))</f>
        <v>0</v>
      </c>
      <c r="I124" s="32" t="n">
        <v>46254</v>
      </c>
      <c r="J124" s="33">
        <f>IF(I124="","",IFERROR(WORKDAY.INTL(I124,-10,"0000001",Holidays!$A$6:$A$55),"-"))</f>
        <v>46241</v>
      </c>
      <c r="K124" s="30" t="n"/>
      <c r="L124" s="30" t="n"/>
      <c r="M124" s="34" t="str">
        <f>IF(OR(D124="",E124="",F124="",K124="",L124=""),"",IFERROR(ROUNDUP(H124/(K124*L124),0),"-"))</f>
        <v/>
      </c>
      <c r="N124" s="33" t="inlineStr">
        <is>
          <t>Close</t>
        </is>
      </c>
      <c r="O124" s="32" t="str">
        <f t="array" ref="O124">IF(OR($D124="",$E124=""),"",IF($N124&lt;&gt;"",$N124,IFERROR(WORKDAY.INTL(LOOKUP(2,1/(($D$2:D123=$D124)*ISNUMBER($P$2:P123)),$P$2:P123),1,"0000001",Holidays!$A$6:$A$55),"")))</f>
        <v>Close</v>
      </c>
      <c r="P124" s="35" t="str">
        <f>IF(OR(O124="",H124="",K124="",L124=""),"",IFERROR(WORKDAY.INTL(O124-1,MAX(1,ROUNDUP(H124/(K124*L124),0)),"0000001",Holidays!$A$6:$A$55),"-"))</f>
        <v/>
      </c>
      <c r="Q124" s="33" t="str">
        <f>IF(P124="","",IFERROR(WORKDAY.INTL(P124,3,"0000001",Holidays!$A$6:$A$55),"-"))</f>
        <v/>
      </c>
      <c r="R124" s="34" t="str">
        <f>IF(OR(J124="",P124=""),"",IFERROR(NETWORKDAYS.INTL(P124+1,J124,"0000001",Holidays!$A$6:$A$55),"-"))</f>
        <v/>
      </c>
      <c r="S124" s="33" t="str">
        <f>IF(O124="","",IFERROR(WORKDAY.INTL(O124,-10,"0000001",Holidays!$A$6:$A$55),"-"))</f>
        <v>-</v>
      </c>
      <c r="T124" s="36" t="str">
        <f>IF(OR(I124="",Q124=""),"",IF(Q124&lt;=I124-4,1,0))</f>
        <v/>
      </c>
      <c r="U124" s="32" t="n"/>
      <c r="V124" s="30" t="n"/>
      <c r="W124" s="36" t="str">
        <f>IF(OR($U124="",$V124="",$I124=""),"",IF(AND($U124&lt;=$I124-4,$V124&gt;=$F124),1,0))</f>
        <v/>
      </c>
    </row>
    <row r="125">
      <c r="B125" s="28" t="inlineStr">
        <is>
          <t>M5</t>
        </is>
      </c>
      <c r="C125" s="29" t="n">
        <v>5</v>
      </c>
      <c r="D125" s="28" t="n">
        <v>6135</v>
      </c>
      <c r="E125" s="28" t="n">
        <v>7259723755</v>
      </c>
      <c r="F125" s="30" t="n">
        <v>47226</v>
      </c>
      <c r="G125" s="68" t="n">
        <v>47226</v>
      </c>
      <c r="H125" s="31">
        <f>IF(OR(D125="",E125=""),"",IFERROR(F125-G125,"-"))</f>
        <v>0</v>
      </c>
      <c r="I125" s="32" t="n">
        <v>46254</v>
      </c>
      <c r="J125" s="33">
        <f>IF(I125="","",IFERROR(WORKDAY.INTL(I125,-10,"0000001",Holidays!$A$6:$A$55),"-"))</f>
        <v>46241</v>
      </c>
      <c r="K125" s="30" t="n">
        <v>3</v>
      </c>
      <c r="L125" s="30" t="n">
        <v>2550</v>
      </c>
      <c r="M125" s="34">
        <f>IF(OR(D125="",E125="",F125="",K125="",L125=""),"",IFERROR(ROUNDUP(H125/(K125*L125),0),"-"))</f>
        <v>0</v>
      </c>
      <c r="N125" s="33" t="n">
        <v>46247</v>
      </c>
      <c r="O125" s="32">
        <f t="array" ref="O125">IF(OR($D125="",$E125=""),"",IF($N125&lt;&gt;"",$N125,IFERROR(WORKDAY.INTL(LOOKUP(2,1/(($D$2:D124=$D125)*ISNUMBER($P$2:P124)),$P$2:P124),1,"0000001",Holidays!$A$6:$A$55),"")))</f>
        <v>46247</v>
      </c>
      <c r="P125" s="35">
        <f>IF(OR(O125="",H125="",K125="",L125=""),"",IFERROR(WORKDAY.INTL(O125-1,MAX(1,ROUNDUP(H125/(K125*L125),0)),"0000001",Holidays!$A$6:$A$55),"-"))</f>
        <v>46247</v>
      </c>
      <c r="Q125" s="33">
        <f>IF(P125="","",IFERROR(WORKDAY.INTL(P125,3,"0000001",Holidays!$A$6:$A$55),"-"))</f>
        <v>46252</v>
      </c>
      <c r="R125" s="34">
        <f>IF(OR(J125="",P125=""),"",IFERROR(NETWORKDAYS.INTL(P125+1,J125,"0000001",Holidays!$A$6:$A$55),"-"))</f>
        <v>-7</v>
      </c>
      <c r="S125" s="33">
        <f>IF(O125="","",IFERROR(WORKDAY.INTL(O125,-10,"0000001",Holidays!$A$6:$A$55),"-"))</f>
        <v>46235</v>
      </c>
      <c r="T125" s="36">
        <f>IF(OR(I125="",Q125=""),"",IF(Q125&lt;=I125-4,1,0))</f>
        <v>0</v>
      </c>
      <c r="U125" s="32" t="n"/>
      <c r="V125" s="30" t="n"/>
      <c r="W125" s="36" t="str">
        <f>IF(OR($U125="",$V125="",$I125=""),"",IF(AND($U125&lt;=$I125-4,$V125&gt;=$F125),1,0))</f>
        <v/>
      </c>
    </row>
    <row r="126">
      <c r="B126" s="28" t="inlineStr">
        <is>
          <t>M5</t>
        </is>
      </c>
      <c r="C126" s="29" t="n">
        <v>6</v>
      </c>
      <c r="D126" s="28" t="n">
        <v>6135</v>
      </c>
      <c r="E126" s="28" t="n">
        <v>7081702050</v>
      </c>
      <c r="F126" s="30" t="n">
        <v>15376</v>
      </c>
      <c r="G126" s="68" t="n">
        <v>15376</v>
      </c>
      <c r="H126" s="31">
        <f>IF(OR(D126="",E126=""),"",IFERROR(F126-G126,"-"))</f>
        <v>0</v>
      </c>
      <c r="I126" s="32" t="n">
        <v>46247</v>
      </c>
      <c r="J126" s="33">
        <f>IF(I126="","",IFERROR(WORKDAY.INTL(I126,-10,"0000001",Holidays!$A$6:$A$55),"-"))</f>
        <v>46235</v>
      </c>
      <c r="K126" s="30" t="n"/>
      <c r="L126" s="30" t="n"/>
      <c r="M126" s="34" t="str">
        <f>IF(OR(D126="",E126="",F126="",K126="",L126=""),"",IFERROR(ROUNDUP(H126/(K126*L126),0),"-"))</f>
        <v/>
      </c>
      <c r="N126" s="33" t="inlineStr">
        <is>
          <t>Close</t>
        </is>
      </c>
      <c r="O126" s="32" t="str">
        <f t="array" ref="O126">IF(OR($D126="",$E126=""),"",IF($N126&lt;&gt;"",$N126,IFERROR(WORKDAY.INTL(LOOKUP(2,1/(($D$2:D125=$D126)*ISNUMBER($P$2:P125)),$P$2:P125),1,"0000001",Holidays!$A$6:$A$55),"")))</f>
        <v>Close</v>
      </c>
      <c r="P126" s="35" t="str">
        <f>IF(OR(O126="",H126="",K126="",L126=""),"",IFERROR(WORKDAY.INTL(O126-1,MAX(1,ROUNDUP(H126/(K126*L126),0)),"0000001",Holidays!$A$6:$A$55),"-"))</f>
        <v/>
      </c>
      <c r="Q126" s="33" t="str">
        <f>IF(P126="","",IFERROR(WORKDAY.INTL(P126,3,"0000001",Holidays!$A$6:$A$55),"-"))</f>
        <v/>
      </c>
      <c r="R126" s="34" t="str">
        <f>IF(OR(J126="",P126=""),"",IFERROR(NETWORKDAYS.INTL(P126+1,J126,"0000001",Holidays!$A$6:$A$55),"-"))</f>
        <v/>
      </c>
      <c r="S126" s="33" t="str">
        <f>IF(O126="","",IFERROR(WORKDAY.INTL(O126,-10,"0000001",Holidays!$A$6:$A$55),"-"))</f>
        <v>-</v>
      </c>
      <c r="T126" s="36" t="str">
        <f>IF(OR(I126="",Q126=""),"",IF(Q126&lt;=I126-4,1,0))</f>
        <v/>
      </c>
      <c r="U126" s="32" t="n"/>
      <c r="V126" s="30" t="n"/>
      <c r="W126" s="36" t="str">
        <f>IF(OR($U126="",$V126="",$I126=""),"",IF(AND($U126&lt;=$I126-4,$V126&gt;=$F126),1,0))</f>
        <v/>
      </c>
    </row>
    <row r="127">
      <c r="B127" s="28" t="inlineStr">
        <is>
          <t>M5</t>
        </is>
      </c>
      <c r="C127" s="29" t="n">
        <v>7</v>
      </c>
      <c r="D127" s="28" t="n">
        <v>6135</v>
      </c>
      <c r="E127" s="28" t="n">
        <v>7827988163</v>
      </c>
      <c r="F127" s="30" t="n">
        <v>34612</v>
      </c>
      <c r="G127" s="68" t="n">
        <v>34612</v>
      </c>
      <c r="H127" s="31">
        <f>IF(OR(D127="",E127=""),"",IFERROR(F127-G127,"-"))</f>
        <v>0</v>
      </c>
      <c r="I127" s="32" t="n">
        <v>46247</v>
      </c>
      <c r="J127" s="33">
        <f>IF(I127="","",IFERROR(WORKDAY.INTL(I127,-10,"0000001",Holidays!$A$6:$A$55),"-"))</f>
        <v>46235</v>
      </c>
      <c r="K127" s="30" t="n"/>
      <c r="L127" s="30" t="n"/>
      <c r="M127" s="34" t="str">
        <f>IF(OR(D127="",E127="",F127="",K127="",L127=""),"",IFERROR(ROUNDUP(H127/(K127*L127),0),"-"))</f>
        <v/>
      </c>
      <c r="N127" s="33" t="inlineStr">
        <is>
          <t>Close</t>
        </is>
      </c>
      <c r="O127" s="32" t="str">
        <f t="array" ref="O127">IF(OR($D127="",$E127=""),"",IF($N127&lt;&gt;"",$N127,IFERROR(WORKDAY.INTL(LOOKUP(2,1/(($D$2:D126=$D127)*ISNUMBER($P$2:P126)),$P$2:P126),1,"0000001",Holidays!$A$6:$A$55),"")))</f>
        <v>Close</v>
      </c>
      <c r="P127" s="35" t="str">
        <f>IF(OR(O127="",H127="",K127="",L127=""),"",IFERROR(WORKDAY.INTL(O127-1,MAX(1,ROUNDUP(H127/(K127*L127),0)),"0000001",Holidays!$A$6:$A$55),"-"))</f>
        <v/>
      </c>
      <c r="Q127" s="33" t="str">
        <f>IF(P127="","",IFERROR(WORKDAY.INTL(P127,3,"0000001",Holidays!$A$6:$A$55),"-"))</f>
        <v/>
      </c>
      <c r="R127" s="34" t="str">
        <f>IF(OR(J127="",P127=""),"",IFERROR(NETWORKDAYS.INTL(P127+1,J127,"0000001",Holidays!$A$6:$A$55),"-"))</f>
        <v/>
      </c>
      <c r="S127" s="33" t="str">
        <f>IF(O127="","",IFERROR(WORKDAY.INTL(O127,-10,"0000001",Holidays!$A$6:$A$55),"-"))</f>
        <v>-</v>
      </c>
      <c r="T127" s="36" t="str">
        <f>IF(OR(I127="",Q127=""),"",IF(Q127&lt;=I127-4,1,0))</f>
        <v/>
      </c>
      <c r="U127" s="32" t="n"/>
      <c r="V127" s="30" t="n"/>
      <c r="W127" s="36" t="str">
        <f>IF(OR($U127="",$V127="",$I127=""),"",IF(AND($U127&lt;=$I127-4,$V127&gt;=$F127),1,0))</f>
        <v/>
      </c>
    </row>
    <row r="128">
      <c r="B128" s="28" t="inlineStr">
        <is>
          <t>M6</t>
        </is>
      </c>
      <c r="C128" s="29" t="n">
        <v>8</v>
      </c>
      <c r="D128" s="28" t="n">
        <v>6135</v>
      </c>
      <c r="E128" s="28" t="n">
        <v>7867355411</v>
      </c>
      <c r="F128" s="30" t="n">
        <v>12444</v>
      </c>
      <c r="G128" s="68" t="n">
        <v>0</v>
      </c>
      <c r="H128" s="31">
        <f>IF(OR(D128="",E128=""),"",IFERROR(F128-G128,"-"))</f>
        <v>12444</v>
      </c>
      <c r="I128" s="32" t="n">
        <v>46279</v>
      </c>
      <c r="J128" s="33">
        <f>IF(I128="","",IFERROR(WORKDAY.INTL(I128,-10,"0000001",Holidays!$A$6:$A$55),"-"))</f>
        <v>46267</v>
      </c>
      <c r="K128" s="30" t="n">
        <v>3</v>
      </c>
      <c r="L128" s="30" t="n">
        <v>2550</v>
      </c>
      <c r="M128" s="34">
        <f>IF(OR(D128="",E128="",F128="",K128="",L128=""),"",IFERROR(ROUNDUP(H128/(K128*L128),0),"-"))</f>
        <v>2</v>
      </c>
      <c r="N128" s="34" t="n"/>
      <c r="O128" s="32">
        <f t="array" ref="O128">IF(OR($D128="",$E128=""),"",IF($N128&lt;&gt;"",$N128,IFERROR(WORKDAY.INTL(LOOKUP(2,1/(($D$2:D127=$D128)*ISNUMBER($P$2:P127)),$P$2:P127),1,"0000001",Holidays!$A$6:$A$55),"")))</f>
        <v>46248</v>
      </c>
      <c r="P128" s="35">
        <f>IF(OR(O128="",H128="",K128="",L128=""),"",IFERROR(WORKDAY.INTL(O128-1,MAX(1,ROUNDUP(H128/(K128*L128),0)),"0000001",Holidays!$A$6:$A$55),"-"))</f>
        <v>46251</v>
      </c>
      <c r="Q128" s="33">
        <f>IF(P128="","",IFERROR(WORKDAY.INTL(P128,3,"0000001",Holidays!$A$6:$A$55),"-"))</f>
        <v>46254</v>
      </c>
      <c r="R128" s="34">
        <f>IF(OR(J128="",P128=""),"",IFERROR(NETWORKDAYS.INTL(P128+1,J128,"0000001",Holidays!$A$6:$A$55),"-"))</f>
        <v>13</v>
      </c>
      <c r="S128" s="33">
        <f>IF(O128="","",IFERROR(WORKDAY.INTL(O128,-10,"0000001",Holidays!$A$6:$A$55),"-"))</f>
        <v>46237</v>
      </c>
      <c r="T128" s="36">
        <f>IF(OR(I128="",Q128=""),"",IF(Q128&lt;=I128-4,1,0))</f>
        <v>1</v>
      </c>
      <c r="U128" s="32" t="n"/>
      <c r="V128" s="30" t="n"/>
      <c r="W128" s="36" t="str">
        <f>IF(OR($U128="",$V128="",$I128=""),"",IF(AND($U128&lt;=$I128-4,$V128&gt;=$F128),1,0))</f>
        <v/>
      </c>
    </row>
    <row r="129">
      <c r="B129" s="28" t="inlineStr">
        <is>
          <t>M6</t>
        </is>
      </c>
      <c r="C129" s="29" t="n">
        <v>9</v>
      </c>
      <c r="D129" s="28" t="n">
        <v>6135</v>
      </c>
      <c r="E129" s="28" t="n">
        <v>7143941962</v>
      </c>
      <c r="F129" s="30" t="n">
        <v>49572</v>
      </c>
      <c r="G129" s="68" t="n">
        <v>0</v>
      </c>
      <c r="H129" s="31">
        <f>IF(OR(D129="",E129=""),"",IFERROR(F129-G129,"-"))</f>
        <v>49572</v>
      </c>
      <c r="I129" s="32" t="n">
        <v>46283</v>
      </c>
      <c r="J129" s="33">
        <f>IF(I129="","",IFERROR(WORKDAY.INTL(I129,-10,"0000001",Holidays!$A$6:$A$55),"-"))</f>
        <v>46272</v>
      </c>
      <c r="K129" s="30" t="n">
        <v>3</v>
      </c>
      <c r="L129" s="30" t="n">
        <v>2550</v>
      </c>
      <c r="M129" s="34">
        <f>IF(OR(D129="",E129="",F129="",K129="",L129=""),"",IFERROR(ROUNDUP(H129/(K129*L129),0),"-"))</f>
        <v>7</v>
      </c>
      <c r="N129" s="33" t="n">
        <v>46254</v>
      </c>
      <c r="O129" s="32">
        <f t="array" ref="O129">IF(OR($D129="",$E129=""),"",IF($N129&lt;&gt;"",$N129,IFERROR(WORKDAY.INTL(LOOKUP(2,1/(($D$2:D128=$D129)*ISNUMBER($P$2:P128)),$P$2:P128),1,"0000001",Holidays!$A$6:$A$55),"")))</f>
        <v>46254</v>
      </c>
      <c r="P129" s="35">
        <f>IF(OR(O129="",H129="",K129="",L129=""),"",IFERROR(WORKDAY.INTL(O129-1,MAX(1,ROUNDUP(H129/(K129*L129),0)),"0000001",Holidays!$A$6:$A$55),"-"))</f>
        <v>46261</v>
      </c>
      <c r="Q129" s="33">
        <f>IF(P129="","",IFERROR(WORKDAY.INTL(P129,3,"0000001",Holidays!$A$6:$A$55),"-"))</f>
        <v>46266</v>
      </c>
      <c r="R129" s="34">
        <f>IF(OR(J129="",P129=""),"",IFERROR(NETWORKDAYS.INTL(P129+1,J129,"0000001",Holidays!$A$6:$A$55),"-"))</f>
        <v>8</v>
      </c>
      <c r="S129" s="33">
        <f>IF(O129="","",IFERROR(WORKDAY.INTL(O129,-10,"0000001",Holidays!$A$6:$A$55),"-"))</f>
        <v>46241</v>
      </c>
      <c r="T129" s="36">
        <f>IF(OR(I129="",Q129=""),"",IF(Q129&lt;=I129-4,1,0))</f>
        <v>1</v>
      </c>
      <c r="U129" s="32" t="n"/>
      <c r="V129" s="30" t="n"/>
      <c r="W129" s="36" t="str">
        <f>IF(OR($U129="",$V129="",$I129=""),"",IF(AND($U129&lt;=$I129-4,$V129&gt;=$F129),1,0))</f>
        <v/>
      </c>
    </row>
    <row r="130" ht="15.75" customHeight="1" thickBot="1">
      <c r="B130" s="37" t="inlineStr">
        <is>
          <t>M7</t>
        </is>
      </c>
      <c r="C130" s="38" t="n">
        <v>10</v>
      </c>
      <c r="D130" s="37" t="n">
        <v>6135</v>
      </c>
      <c r="E130" s="37" t="n">
        <v>7448809399</v>
      </c>
      <c r="F130" s="39" t="n">
        <v>17408</v>
      </c>
      <c r="G130" s="66" t="n">
        <v>0</v>
      </c>
      <c r="H130" s="40">
        <f>IF(OR(D130="",E130=""),"",IFERROR(F130-G130,"-"))</f>
        <v>17408</v>
      </c>
      <c r="I130" s="41" t="n">
        <v>46305</v>
      </c>
      <c r="J130" s="42">
        <f>IF(I130="","",IFERROR(WORKDAY.INTL(I130,-10,"0000001",Holidays!$A$6:$A$55),"-"))</f>
        <v>46293</v>
      </c>
      <c r="K130" s="39" t="n">
        <v>3</v>
      </c>
      <c r="L130" s="39" t="n">
        <v>2550</v>
      </c>
      <c r="M130" s="43">
        <f>IF(OR(D130="",E130="",F130="",K130="",L130=""),"",IFERROR(ROUNDUP(H130/(K130*L130),0),"-"))</f>
        <v>3</v>
      </c>
      <c r="N130" s="42" t="n">
        <v>46267</v>
      </c>
      <c r="O130" s="41">
        <f t="array" ref="O130">IF(OR($D130="",$E130=""),"",IF($N130&lt;&gt;"",$N130,IFERROR(WORKDAY.INTL(LOOKUP(2,1/(($D$2:D129=$D130)*ISNUMBER($P$2:P129)),$P$2:P129),1,"0000001",Holidays!$A$6:$A$55),"")))</f>
        <v>46267</v>
      </c>
      <c r="P130" s="44">
        <f>IF(OR(O130="",H130="",K130="",L130=""),"",IFERROR(WORKDAY.INTL(O130-1,MAX(1,ROUNDUP(H130/(K130*L130),0)),"0000001",Holidays!$A$6:$A$55),"-"))</f>
        <v>46269</v>
      </c>
      <c r="Q130" s="42">
        <f>IF(P130="","",IFERROR(WORKDAY.INTL(P130,3,"0000001",Holidays!$A$6:$A$55),"-"))</f>
        <v>46273</v>
      </c>
      <c r="R130" s="43">
        <f>IF(OR(J130="",P130=""),"",IFERROR(NETWORKDAYS.INTL(P130+1,J130,"0000001",Holidays!$A$6:$A$55),"-"))</f>
        <v>20</v>
      </c>
      <c r="S130" s="42">
        <f>IF(O130="","",IFERROR(WORKDAY.INTL(O130,-10,"0000001",Holidays!$A$6:$A$55),"-"))</f>
        <v>46254</v>
      </c>
      <c r="T130" s="45">
        <f>IF(OR(I130="",Q130=""),"",IF(Q130&lt;=I130-4,1,0))</f>
        <v>1</v>
      </c>
      <c r="U130" s="41" t="n"/>
      <c r="V130" s="39" t="n"/>
      <c r="W130" s="45" t="str">
        <f>IF(OR($U130="",$V130="",$I130=""),"",IF(AND($U130&lt;=$I130-4,$V130&gt;=$F130),1,0))</f>
        <v/>
      </c>
    </row>
    <row r="131">
      <c r="B131" s="28" t="inlineStr">
        <is>
          <t>M6</t>
        </is>
      </c>
      <c r="C131" s="29" t="n">
        <v>1</v>
      </c>
      <c r="D131" s="28" t="inlineStr">
        <is>
          <t>RS17</t>
        </is>
      </c>
      <c r="E131" s="28" t="n">
        <v>7184169015</v>
      </c>
      <c r="F131" s="30" t="n">
        <v>71740</v>
      </c>
      <c r="G131" s="68" t="n">
        <v>41423</v>
      </c>
      <c r="H131" s="31">
        <f>IF(OR(D131="",E131=""),"",IFERROR(F131-G131,"-"))</f>
        <v>30317</v>
      </c>
      <c r="I131" s="32" t="n">
        <v>46263</v>
      </c>
      <c r="J131" s="33">
        <f>IF(I131="","",IFERROR(WORKDAY.INTL(I131,-10,"0000001",Holidays!$A$6:$A$55),"-"))</f>
        <v>46251</v>
      </c>
      <c r="K131" s="30" t="n">
        <v>3</v>
      </c>
      <c r="L131" s="30" t="n">
        <v>2125</v>
      </c>
      <c r="M131" s="34">
        <f>IF(OR(D131="",E131="",F131="",K131="",L131=""),"",IFERROR(ROUNDUP(H131/(K131*L131),0),"-"))</f>
        <v>5</v>
      </c>
      <c r="N131" s="33" t="n">
        <v>46263</v>
      </c>
      <c r="O131" s="32">
        <f t="array" ref="O131">IF(OR($D131="",$E131=""),"",IF($N131&lt;&gt;"",$N131,IFERROR(WORKDAY.INTL(LOOKUP(2,1/(($D$2:D130=$D131)*ISNUMBER($P$2:P130)),$P$2:P130),1,"0000001",Holidays!$A$6:$A$55),"")))</f>
        <v>46263</v>
      </c>
      <c r="P131" s="35">
        <f>IF(OR(O131="",H131="",K131="",L131=""),"",IFERROR(WORKDAY.INTL(O131-1,MAX(1,ROUNDUP(H131/(K131*L131),0)),"0000001",Holidays!$A$6:$A$55),"-"))</f>
        <v>46268</v>
      </c>
      <c r="Q131" s="33">
        <f>IF(P131="","",IFERROR(WORKDAY.INTL(P131,3,"0000001",Holidays!$A$6:$A$55),"-"))</f>
        <v>46272</v>
      </c>
      <c r="R131" s="34">
        <f>IF(OR(J131="",P131=""),"",IFERROR(NETWORKDAYS.INTL(P131+1,J131,"0000001",Holidays!$A$6:$A$55),"-"))</f>
        <v>-16</v>
      </c>
      <c r="S131" s="33">
        <f>IF(O131="","",IFERROR(WORKDAY.INTL(O131,-10,"0000001",Holidays!$A$6:$A$55),"-"))</f>
        <v>46251</v>
      </c>
      <c r="T131" s="36">
        <f>IF(OR(I131="",Q131=""),"",IF(Q131&lt;=I131-4,1,0))</f>
        <v>0</v>
      </c>
      <c r="U131" s="32" t="n"/>
      <c r="V131" s="30" t="n"/>
      <c r="W131" s="36" t="str">
        <f>IF(OR($U131="",$V131="",$I131=""),"",IF(AND($U131&lt;=$I131-4,$V131&gt;=$F131),1,0))</f>
        <v/>
      </c>
    </row>
    <row r="132">
      <c r="B132" s="28" t="inlineStr">
        <is>
          <t>M6</t>
        </is>
      </c>
      <c r="C132" s="29" t="n">
        <v>2</v>
      </c>
      <c r="D132" s="28" t="inlineStr">
        <is>
          <t>RS17</t>
        </is>
      </c>
      <c r="E132" s="28" t="n">
        <v>7259213452</v>
      </c>
      <c r="F132" s="30" t="n">
        <v>65195</v>
      </c>
      <c r="G132" s="68" t="n">
        <v>0</v>
      </c>
      <c r="H132" s="31">
        <f>IF(OR(D132="",E132=""),"",IFERROR(F132-G132,"-"))</f>
        <v>65195</v>
      </c>
      <c r="I132" s="32" t="n">
        <v>46279</v>
      </c>
      <c r="J132" s="33">
        <f>IF(I132="","",IFERROR(WORKDAY.INTL(I132,-10,"0000001",Holidays!$A$6:$A$55),"-"))</f>
        <v>46267</v>
      </c>
      <c r="K132" s="30" t="n">
        <v>3</v>
      </c>
      <c r="L132" s="30" t="n">
        <v>2125</v>
      </c>
      <c r="M132" s="34">
        <f>IF(OR(D132="",E132="",F132="",K132="",L132=""),"",IFERROR(ROUNDUP(H132/(K132*L132),0),"-"))</f>
        <v>11</v>
      </c>
      <c r="N132" s="33" t="n">
        <v>46279</v>
      </c>
      <c r="O132" s="32">
        <f t="array" ref="O132">IF(OR($D132="",$E132=""),"",IF($N132&lt;&gt;"",$N132,IFERROR(WORKDAY.INTL(LOOKUP(2,1/(($D$2:D131=$D132)*ISNUMBER($P$2:P131)),$P$2:P131),1,"0000001",Holidays!$A$6:$A$55),"")))</f>
        <v>46279</v>
      </c>
      <c r="P132" s="35">
        <f>IF(OR(O132="",H132="",K132="",L132=""),"",IFERROR(WORKDAY.INTL(O132-1,MAX(1,ROUNDUP(H132/(K132*L132),0)),"0000001",Holidays!$A$6:$A$55),"-"))</f>
        <v>46290</v>
      </c>
      <c r="Q132" s="33">
        <f>IF(P132="","",IFERROR(WORKDAY.INTL(P132,3,"0000001",Holidays!$A$6:$A$55),"-"))</f>
        <v>46294</v>
      </c>
      <c r="R132" s="34">
        <f>IF(OR(J132="",P132=""),"",IFERROR(NETWORKDAYS.INTL(P132+1,J132,"0000001",Holidays!$A$6:$A$55),"-"))</f>
        <v>-22</v>
      </c>
      <c r="S132" s="33">
        <f>IF(O132="","",IFERROR(WORKDAY.INTL(O132,-10,"0000001",Holidays!$A$6:$A$55),"-"))</f>
        <v>46267</v>
      </c>
      <c r="T132" s="36">
        <f>IF(OR(I132="",Q132=""),"",IF(Q132&lt;=I132-4,1,0))</f>
        <v>0</v>
      </c>
      <c r="U132" s="32" t="n"/>
      <c r="V132" s="30" t="n"/>
      <c r="W132" s="36" t="str">
        <f>IF(OR($U132="",$V132="",$I132=""),"",IF(AND($U132&lt;=$I132-4,$V132&gt;=$F132),1,0))</f>
        <v/>
      </c>
    </row>
    <row r="133">
      <c r="B133" s="28" t="inlineStr">
        <is>
          <t>M6</t>
        </is>
      </c>
      <c r="C133" s="29" t="n">
        <v>3</v>
      </c>
      <c r="D133" s="28" t="inlineStr">
        <is>
          <t>RS17</t>
        </is>
      </c>
      <c r="E133" s="28" t="n">
        <v>7551311007</v>
      </c>
      <c r="F133" s="30" t="n">
        <v>17289</v>
      </c>
      <c r="G133" s="68" t="n">
        <v>0</v>
      </c>
      <c r="H133" s="31">
        <f>IF(OR(D133="",E133=""),"",IFERROR(F133-G133,"-"))</f>
        <v>17289</v>
      </c>
      <c r="I133" s="32" t="n">
        <v>46279</v>
      </c>
      <c r="J133" s="33">
        <f>IF(I133="","",IFERROR(WORKDAY.INTL(I133,-10,"0000001",Holidays!$A$6:$A$55),"-"))</f>
        <v>46267</v>
      </c>
      <c r="K133" s="30" t="n">
        <v>3</v>
      </c>
      <c r="L133" s="30" t="n">
        <v>2125</v>
      </c>
      <c r="M133" s="34">
        <f>IF(OR(D133="",E133="",F133="",K133="",L133=""),"",IFERROR(ROUNDUP(H133/(K133*L133),0),"-"))</f>
        <v>3</v>
      </c>
      <c r="N133" s="33" t="n">
        <v>46279</v>
      </c>
      <c r="O133" s="32">
        <f t="array" ref="O133">IF(OR($D133="",$E133=""),"",IF($N133&lt;&gt;"",$N133,IFERROR(WORKDAY.INTL(LOOKUP(2,1/(($D$2:D132=$D133)*ISNUMBER($P$2:P132)),$P$2:P132),1,"0000001",Holidays!$A$6:$A$55),"")))</f>
        <v>46279</v>
      </c>
      <c r="P133" s="35">
        <f>IF(OR(O133="",H133="",K133="",L133=""),"",IFERROR(WORKDAY.INTL(O133-1,MAX(1,ROUNDUP(H133/(K133*L133),0)),"0000001",Holidays!$A$6:$A$55),"-"))</f>
        <v>46281</v>
      </c>
      <c r="Q133" s="33">
        <f>IF(P133="","",IFERROR(WORKDAY.INTL(P133,3,"0000001",Holidays!$A$6:$A$55),"-"))</f>
        <v>46284</v>
      </c>
      <c r="R133" s="34">
        <f>IF(OR(J133="",P133=""),"",IFERROR(NETWORKDAYS.INTL(P133+1,J133,"0000001",Holidays!$A$6:$A$55),"-"))</f>
        <v>-14</v>
      </c>
      <c r="S133" s="33">
        <f>IF(O133="","",IFERROR(WORKDAY.INTL(O133,-10,"0000001",Holidays!$A$6:$A$55),"-"))</f>
        <v>46267</v>
      </c>
      <c r="T133" s="36">
        <f>IF(OR(I133="",Q133=""),"",IF(Q133&lt;=I133-4,1,0))</f>
        <v>0</v>
      </c>
      <c r="U133" s="32" t="n"/>
      <c r="V133" s="30" t="n"/>
      <c r="W133" s="36" t="str">
        <f>IF(OR($U133="",$V133="",$I133=""),"",IF(AND($U133&lt;=$I133-4,$V133&gt;=$F133),1,0))</f>
        <v/>
      </c>
    </row>
    <row r="134" ht="15.75" customHeight="1" thickBot="1">
      <c r="B134" s="37" t="inlineStr">
        <is>
          <t>M7</t>
        </is>
      </c>
      <c r="C134" s="38" t="n">
        <v>4</v>
      </c>
      <c r="D134" s="37" t="inlineStr">
        <is>
          <t>RS17</t>
        </is>
      </c>
      <c r="E134" s="37" t="n">
        <v>7928146074</v>
      </c>
      <c r="F134" s="39" t="n">
        <v>47056</v>
      </c>
      <c r="G134" s="66" t="n">
        <v>0</v>
      </c>
      <c r="H134" s="40">
        <f>IF(OR(D134="",E134=""),"",IFERROR(F134-G134,"-"))</f>
        <v>47056</v>
      </c>
      <c r="I134" s="41" t="n">
        <v>46311</v>
      </c>
      <c r="J134" s="42">
        <f>IF(I134="","",IFERROR(WORKDAY.INTL(I134,-10,"0000001",Holidays!$A$6:$A$55),"-"))</f>
        <v>46300</v>
      </c>
      <c r="K134" s="39" t="n">
        <v>3</v>
      </c>
      <c r="L134" s="39" t="n">
        <v>2125</v>
      </c>
      <c r="M134" s="43">
        <f>IF(OR(D134="",E134="",F134="",K134="",L134=""),"",IFERROR(ROUNDUP(H134/(K134*L134),0),"-"))</f>
        <v>8</v>
      </c>
      <c r="N134" s="42" t="n">
        <v>46311</v>
      </c>
      <c r="O134" s="41">
        <f t="array" ref="O134">IF(OR($D134="",$E134=""),"",IF($N134&lt;&gt;"",$N134,IFERROR(WORKDAY.INTL(LOOKUP(2,1/(($D$2:D133=$D134)*ISNUMBER($P$2:P133)),$P$2:P133),1,"0000001",Holidays!$A$6:$A$55),"")))</f>
        <v>46311</v>
      </c>
      <c r="P134" s="44">
        <f>IF(OR(O134="",H134="",K134="",L134=""),"",IFERROR(WORKDAY.INTL(O134-1,MAX(1,ROUNDUP(H134/(K134*L134),0)),"0000001",Holidays!$A$6:$A$55),"-"))</f>
        <v>46321</v>
      </c>
      <c r="Q134" s="42">
        <f>IF(P134="","",IFERROR(WORKDAY.INTL(P134,3,"0000001",Holidays!$A$6:$A$55),"-"))</f>
        <v>46324</v>
      </c>
      <c r="R134" s="43">
        <f>IF(OR(J134="",P134=""),"",IFERROR(NETWORKDAYS.INTL(P134+1,J134,"0000001",Holidays!$A$6:$A$55),"-"))</f>
        <v>-19</v>
      </c>
      <c r="S134" s="42">
        <f>IF(O134="","",IFERROR(WORKDAY.INTL(O134,-10,"0000001",Holidays!$A$6:$A$55),"-"))</f>
        <v>46300</v>
      </c>
      <c r="T134" s="45">
        <f>IF(OR(I134="",Q134=""),"",IF(Q134&lt;=I134-4,1,0))</f>
        <v>0</v>
      </c>
      <c r="U134" s="41" t="n"/>
      <c r="V134" s="39" t="n"/>
      <c r="W134" s="45" t="str">
        <f>IF(OR($U134="",$V134="",$I134=""),"",IF(AND($U134&lt;=$I134-4,$V134&gt;=$F134),1,0))</f>
        <v/>
      </c>
    </row>
    <row r="135">
      <c r="B135" s="28" t="inlineStr">
        <is>
          <t>M5</t>
        </is>
      </c>
      <c r="C135" s="29" t="n">
        <v>1</v>
      </c>
      <c r="D135" s="28" t="n">
        <v>6137</v>
      </c>
      <c r="E135" s="28" t="n">
        <v>7745344159</v>
      </c>
      <c r="F135" s="30" t="n">
        <v>57936</v>
      </c>
      <c r="G135" s="68" t="n">
        <v>57936</v>
      </c>
      <c r="H135" s="31">
        <f>IF(OR(D135="",E135=""),"",IFERROR(F135-G135,"-"))</f>
        <v>0</v>
      </c>
      <c r="I135" s="32" t="n">
        <v>46249</v>
      </c>
      <c r="J135" s="33">
        <f>IF(I135="","",IFERROR(WORKDAY.INTL(I135,-10,"0000001",Holidays!$A$6:$A$55),"-"))</f>
        <v>46238</v>
      </c>
      <c r="K135" s="30" t="n">
        <v>2</v>
      </c>
      <c r="L135" s="30" t="n">
        <v>2550</v>
      </c>
      <c r="M135" s="34">
        <f>IF(OR(D135="",E135="",F135="",K135="",L135=""),"",IFERROR(ROUNDUP(H135/(K135*L135),0),"-"))</f>
        <v>0</v>
      </c>
      <c r="N135" s="33" t="n">
        <v>46249</v>
      </c>
      <c r="O135" s="32">
        <f t="array" ref="O135">IF(OR($D135="",$E135=""),"",IF($N135&lt;&gt;"",$N135,IFERROR(WORKDAY.INTL(LOOKUP(2,1/(($D$2:D134=$D135)*ISNUMBER($P$2:P134)),$P$2:P134),1,"0000001",Holidays!$A$6:$A$55),"")))</f>
        <v>46249</v>
      </c>
      <c r="P135" s="35">
        <f>IF(OR(O135="",H135="",K135="",L135=""),"",IFERROR(WORKDAY.INTL(O135-1,MAX(1,ROUNDUP(H135/(K135*L135),0)),"0000001",Holidays!$A$6:$A$55),"-"))</f>
        <v>46251</v>
      </c>
      <c r="Q135" s="33">
        <f>IF(P135="","",IFERROR(WORKDAY.INTL(P135,3,"0000001",Holidays!$A$6:$A$55),"-"))</f>
        <v>46254</v>
      </c>
      <c r="R135" s="34">
        <f>IF(OR(J135="",P135=""),"",IFERROR(NETWORKDAYS.INTL(P135+1,J135,"0000001",Holidays!$A$6:$A$55),"-"))</f>
        <v>-12</v>
      </c>
      <c r="S135" s="33">
        <f>IF(O135="","",IFERROR(WORKDAY.INTL(O135,-10,"0000001",Holidays!$A$6:$A$55),"-"))</f>
        <v>46238</v>
      </c>
      <c r="T135" s="36">
        <f>IF(OR(I135="",Q135=""),"",IF(Q135&lt;=I135-4,1,0))</f>
        <v>0</v>
      </c>
      <c r="U135" s="32" t="n"/>
      <c r="V135" s="30" t="n"/>
      <c r="W135" s="36" t="str">
        <f>IF(OR($U135="",$V135="",$I135=""),"",IF(AND($U135&lt;=$I135-4,$V135&gt;=$F135),1,0))</f>
        <v/>
      </c>
    </row>
    <row r="136">
      <c r="B136" s="28" t="inlineStr">
        <is>
          <t>M5</t>
        </is>
      </c>
      <c r="C136" s="29" t="n">
        <v>2</v>
      </c>
      <c r="D136" s="28" t="n">
        <v>6137</v>
      </c>
      <c r="E136" s="28" t="n">
        <v>7067945047</v>
      </c>
      <c r="F136" s="30" t="n">
        <v>36448</v>
      </c>
      <c r="G136" s="68" t="n">
        <v>36448</v>
      </c>
      <c r="H136" s="31">
        <f>IF(OR(D136="",E136=""),"",IFERROR(F136-G136,"-"))</f>
        <v>0</v>
      </c>
      <c r="I136" s="32" t="n">
        <v>46249</v>
      </c>
      <c r="J136" s="33">
        <f>IF(I136="","",IFERROR(WORKDAY.INTL(I136,-10,"0000001",Holidays!$A$6:$A$55),"-"))</f>
        <v>46238</v>
      </c>
      <c r="K136" s="30" t="n">
        <v>2</v>
      </c>
      <c r="L136" s="30" t="n">
        <v>2550</v>
      </c>
      <c r="M136" s="34">
        <f>IF(OR(D136="",E136="",F136="",K136="",L136=""),"",IFERROR(ROUNDUP(H136/(K136*L136),0),"-"))</f>
        <v>0</v>
      </c>
      <c r="N136" s="33" t="n">
        <v>46249</v>
      </c>
      <c r="O136" s="32">
        <f t="array" ref="O136">IF(OR($D136="",$E136=""),"",IF($N136&lt;&gt;"",$N136,IFERROR(WORKDAY.INTL(LOOKUP(2,1/(($D$2:D135=$D136)*ISNUMBER($P$2:P135)),$P$2:P135),1,"0000001",Holidays!$A$6:$A$55),"")))</f>
        <v>46249</v>
      </c>
      <c r="P136" s="35">
        <f>IF(OR(O136="",H136="",K136="",L136=""),"",IFERROR(WORKDAY.INTL(O136-1,MAX(1,ROUNDUP(H136/(K136*L136),0)),"0000001",Holidays!$A$6:$A$55),"-"))</f>
        <v>46251</v>
      </c>
      <c r="Q136" s="33">
        <f>IF(P136="","",IFERROR(WORKDAY.INTL(P136,3,"0000001",Holidays!$A$6:$A$55),"-"))</f>
        <v>46254</v>
      </c>
      <c r="R136" s="34">
        <f>IF(OR(J136="",P136=""),"",IFERROR(NETWORKDAYS.INTL(P136+1,J136,"0000001",Holidays!$A$6:$A$55),"-"))</f>
        <v>-12</v>
      </c>
      <c r="S136" s="33">
        <f>IF(O136="","",IFERROR(WORKDAY.INTL(O136,-10,"0000001",Holidays!$A$6:$A$55),"-"))</f>
        <v>46238</v>
      </c>
      <c r="T136" s="36">
        <f>IF(OR(I136="",Q136=""),"",IF(Q136&lt;=I136-4,1,0))</f>
        <v>0</v>
      </c>
      <c r="U136" s="32" t="n"/>
      <c r="V136" s="30" t="n"/>
      <c r="W136" s="36" t="str">
        <f>IF(OR($U136="",$V136="",$I136=""),"",IF(AND($U136&lt;=$I136-4,$V136&gt;=$F136),1,0))</f>
        <v/>
      </c>
    </row>
    <row r="137" ht="15.75" customHeight="1" thickBot="1">
      <c r="B137" s="37" t="inlineStr">
        <is>
          <t>M7</t>
        </is>
      </c>
      <c r="C137" s="38" t="n">
        <v>3</v>
      </c>
      <c r="D137" s="37" t="n">
        <v>6137</v>
      </c>
      <c r="E137" s="37" t="n">
        <v>7736519635</v>
      </c>
      <c r="F137" s="39" t="n">
        <v>12512</v>
      </c>
      <c r="G137" s="66" t="n">
        <v>0</v>
      </c>
      <c r="H137" s="40">
        <f>IF(OR(D137="",E137=""),"",IFERROR(F137-G137,"-"))</f>
        <v>12512</v>
      </c>
      <c r="I137" s="41" t="n">
        <v>46305</v>
      </c>
      <c r="J137" s="42">
        <f>IF(I137="","",IFERROR(WORKDAY.INTL(I137,-10,"0000001",Holidays!$A$6:$A$55),"-"))</f>
        <v>46293</v>
      </c>
      <c r="K137" s="30" t="n">
        <v>2</v>
      </c>
      <c r="L137" s="30" t="n">
        <v>2550</v>
      </c>
      <c r="M137" s="43">
        <f>IF(OR(D137="",E137="",F137="",K137="",L137=""),"",IFERROR(ROUNDUP(H137/(K137*L137),0),"-"))</f>
        <v>3</v>
      </c>
      <c r="N137" s="42" t="n">
        <v>46305</v>
      </c>
      <c r="O137" s="41">
        <f t="array" ref="O137">IF(OR($D137="",$E137=""),"",IF($N137&lt;&gt;"",$N137,IFERROR(WORKDAY.INTL(LOOKUP(2,1/(($D$2:D136=$D137)*ISNUMBER($P$2:P136)),$P$2:P136),1,"0000001",Holidays!$A$6:$A$55),"")))</f>
        <v>46305</v>
      </c>
      <c r="P137" s="44">
        <f>IF(OR(O137="",H137="",K137="",L137=""),"",IFERROR(WORKDAY.INTL(O137-1,MAX(1,ROUNDUP(H137/(K137*L137),0)),"0000001",Holidays!$A$6:$A$55),"-"))</f>
        <v>46308</v>
      </c>
      <c r="Q137" s="42">
        <f>IF(P137="","",IFERROR(WORKDAY.INTL(P137,3,"0000001",Holidays!$A$6:$A$55),"-"))</f>
        <v>46311</v>
      </c>
      <c r="R137" s="43">
        <f>IF(OR(J137="",P137=""),"",IFERROR(NETWORKDAYS.INTL(P137+1,J137,"0000001",Holidays!$A$6:$A$55),"-"))</f>
        <v>-14</v>
      </c>
      <c r="S137" s="42">
        <f>IF(O137="","",IFERROR(WORKDAY.INTL(O137,-10,"0000001",Holidays!$A$6:$A$55),"-"))</f>
        <v>46293</v>
      </c>
      <c r="T137" s="45">
        <f>IF(OR(I137="",Q137=""),"",IF(Q137&lt;=I137-4,1,0))</f>
        <v>0</v>
      </c>
      <c r="U137" s="41" t="n"/>
      <c r="V137" s="39" t="n"/>
      <c r="W137" s="45" t="str">
        <f>IF(OR($U137="",$V137="",$I137=""),"",IF(AND($U137&lt;=$I137-4,$V137&gt;=$F137),1,0))</f>
        <v/>
      </c>
    </row>
    <row r="138" ht="15.75" customHeight="1" thickBot="1">
      <c r="B138" s="55" t="inlineStr">
        <is>
          <t>M7</t>
        </is>
      </c>
      <c r="C138" s="56" t="n">
        <v>1</v>
      </c>
      <c r="D138" s="55" t="n">
        <v>4110</v>
      </c>
      <c r="E138" s="55" t="n">
        <v>7915846327</v>
      </c>
      <c r="F138" s="57" t="n">
        <v>45067</v>
      </c>
      <c r="G138" s="69" t="n">
        <v>0</v>
      </c>
      <c r="H138" s="58">
        <f>IF(OR(D138="",E138=""),"",IFERROR(F138-G138,"-"))</f>
        <v>45067</v>
      </c>
      <c r="I138" s="59" t="n">
        <v>46289</v>
      </c>
      <c r="J138" s="60">
        <f>IF(I138="","",IFERROR(WORKDAY.INTL(I138,-10,"0000001",Holidays!$A$6:$A$55),"-"))</f>
        <v>46277</v>
      </c>
      <c r="K138" s="57" t="n">
        <v>2</v>
      </c>
      <c r="L138" s="57" t="n">
        <v>2550</v>
      </c>
      <c r="M138" s="61">
        <f>IF(OR(D138="",E138="",F138="",K138="",L138=""),"",IFERROR(ROUNDUP(H138/(K138*L138),0),"-"))</f>
        <v>9</v>
      </c>
      <c r="N138" s="60" t="n">
        <v>46289</v>
      </c>
      <c r="O138" s="59">
        <f t="array" ref="O138">IF(OR($D138="",$E138=""),"",IF($N138&lt;&gt;"",$N138,IFERROR(WORKDAY.INTL(LOOKUP(2,1/(($D$2:D137=$D138)*ISNUMBER($P$2:P137)),$P$2:P137),1,"0000001",Holidays!$A$6:$A$55),"")))</f>
        <v>46289</v>
      </c>
      <c r="P138" s="62">
        <f>IF(OR(O138="",H138="",K138="",L138=""),"",IFERROR(WORKDAY.INTL(O138-1,MAX(1,ROUNDUP(H138/(K138*L138),0)),"0000001",Holidays!$A$6:$A$55),"-"))</f>
        <v>46300</v>
      </c>
      <c r="Q138" s="60">
        <f>IF(P138="","",IFERROR(WORKDAY.INTL(P138,3,"0000001",Holidays!$A$6:$A$55),"-"))</f>
        <v>46303</v>
      </c>
      <c r="R138" s="61">
        <f>IF(OR(J138="",P138=""),"",IFERROR(NETWORKDAYS.INTL(P138+1,J138,"0000001",Holidays!$A$6:$A$55),"-"))</f>
        <v>-20</v>
      </c>
      <c r="S138" s="60">
        <f>IF(O138="","",IFERROR(WORKDAY.INTL(O138,-10,"0000001",Holidays!$A$6:$A$55),"-"))</f>
        <v>46277</v>
      </c>
      <c r="T138" s="63">
        <f>IF(OR(I138="",Q138=""),"",IF(Q138&lt;=I138-4,1,0))</f>
        <v>0</v>
      </c>
      <c r="U138" s="59" t="n"/>
      <c r="V138" s="57" t="n"/>
      <c r="W138" s="63" t="str">
        <f>IF(OR($U138="",$V138="",$I138=""),"",IF(AND($U138&lt;=$I138-4,$V138&gt;=$F138),1,0))</f>
        <v/>
      </c>
    </row>
    <row r="139">
      <c r="B139" s="28" t="inlineStr">
        <is>
          <t>M5</t>
        </is>
      </c>
      <c r="C139" s="29" t="n">
        <v>1</v>
      </c>
      <c r="D139" s="28" t="n">
        <v>5501</v>
      </c>
      <c r="E139" s="28" t="n">
        <v>7040000085</v>
      </c>
      <c r="F139" s="30" t="n">
        <v>1742</v>
      </c>
      <c r="G139" s="68" t="n">
        <v>1742</v>
      </c>
      <c r="H139" s="31">
        <f>IF(OR(D139="",E139=""),"",IFERROR(F139-G139,"-"))</f>
        <v>0</v>
      </c>
      <c r="I139" s="32" t="n">
        <v>46254</v>
      </c>
      <c r="J139" s="33">
        <f>IF(I139="","",IFERROR(WORKDAY.INTL(I139,-10,"0000001",Holidays!$A$6:$A$55),"-"))</f>
        <v>46241</v>
      </c>
      <c r="K139" s="30" t="n"/>
      <c r="L139" s="30" t="n"/>
      <c r="M139" s="34" t="str">
        <f>IF(OR(D139="",E139="",F139="",K139="",L139=""),"",IFERROR(ROUNDUP(H139/(K139*L139),0),"-"))</f>
        <v/>
      </c>
      <c r="N139" s="33" t="n">
        <v>46254</v>
      </c>
      <c r="O139" s="32">
        <f t="array" ref="O139">IF(OR($D139="",$E139=""),"",IF($N139&lt;&gt;"",$N139,IFERROR(WORKDAY.INTL(LOOKUP(2,1/(($D$2:D138=$D139)*ISNUMBER($P$2:P138)),$P$2:P138),1,"0000001",Holidays!$A$6:$A$55),"")))</f>
        <v>46254</v>
      </c>
      <c r="P139" s="35" t="str">
        <f>IF(OR(O139="",H139="",K139="",L139=""),"",IFERROR(WORKDAY.INTL(O139-1,MAX(1,ROUNDUP(H139/(K139*L139),0)),"0000001",Holidays!$A$6:$A$55),"-"))</f>
        <v/>
      </c>
      <c r="Q139" s="33" t="str">
        <f>IF(P139="","",IFERROR(WORKDAY.INTL(P139,3,"0000001",Holidays!$A$6:$A$55),"-"))</f>
        <v/>
      </c>
      <c r="R139" s="34" t="str">
        <f>IF(OR(J139="",P139=""),"",IFERROR(NETWORKDAYS.INTL(P139+1,J139,"0000001",Holidays!$A$6:$A$55),"-"))</f>
        <v/>
      </c>
      <c r="S139" s="33">
        <f>IF(O139="","",IFERROR(WORKDAY.INTL(O139,-10,"0000001",Holidays!$A$6:$A$55),"-"))</f>
        <v>46241</v>
      </c>
      <c r="T139" s="36" t="str">
        <f>IF(OR(I139="",Q139=""),"",IF(Q139&lt;=I139-4,1,0))</f>
        <v/>
      </c>
      <c r="U139" s="32" t="n"/>
      <c r="V139" s="30" t="n"/>
      <c r="W139" s="36" t="str">
        <f>IF(OR($U139="",$V139="",$I139=""),"",IF(AND($U139&lt;=$I139-4,$V139&gt;=$F139),1,0))</f>
        <v/>
      </c>
    </row>
    <row r="140">
      <c r="B140" s="28" t="inlineStr">
        <is>
          <t>M5</t>
        </is>
      </c>
      <c r="C140" s="29" t="n">
        <v>2</v>
      </c>
      <c r="D140" s="28" t="n">
        <v>5501</v>
      </c>
      <c r="E140" s="28" t="n">
        <v>7498532452</v>
      </c>
      <c r="F140" s="30" t="n">
        <v>2231</v>
      </c>
      <c r="G140" s="68" t="n">
        <v>0</v>
      </c>
      <c r="H140" s="31">
        <f>IF(OR(D140="",E140=""),"",IFERROR(F140-G140,"-"))</f>
        <v>2231</v>
      </c>
      <c r="I140" s="32" t="n">
        <v>46254</v>
      </c>
      <c r="J140" s="33">
        <f>IF(I140="","",IFERROR(WORKDAY.INTL(I140,-10,"0000001",Holidays!$A$6:$A$55),"-"))</f>
        <v>46241</v>
      </c>
      <c r="K140" s="30" t="n"/>
      <c r="L140" s="30" t="n"/>
      <c r="M140" s="34" t="str">
        <f>IF(OR(D140="",E140="",F140="",K140="",L140=""),"",IFERROR(ROUNDUP(H140/(K140*L140),0),"-"))</f>
        <v/>
      </c>
      <c r="N140" s="33" t="n">
        <v>46254</v>
      </c>
      <c r="O140" s="32">
        <f t="array" ref="O140">IF(OR($D140="",$E140=""),"",IF($N140&lt;&gt;"",$N140,IFERROR(WORKDAY.INTL(LOOKUP(2,1/(($D$2:D139=$D140)*ISNUMBER($P$2:P139)),$P$2:P139),1,"0000001",Holidays!$A$6:$A$55),"")))</f>
        <v>46254</v>
      </c>
      <c r="P140" s="35" t="str">
        <f>IF(OR(O140="",H140="",K140="",L140=""),"",IFERROR(WORKDAY.INTL(O140-1,MAX(1,ROUNDUP(H140/(K140*L140),0)),"0000001",Holidays!$A$6:$A$55),"-"))</f>
        <v/>
      </c>
      <c r="Q140" s="33" t="str">
        <f>IF(P140="","",IFERROR(WORKDAY.INTL(P140,3,"0000001",Holidays!$A$6:$A$55),"-"))</f>
        <v/>
      </c>
      <c r="R140" s="34" t="str">
        <f>IF(OR(J140="",P140=""),"",IFERROR(NETWORKDAYS.INTL(P140+1,J140,"0000001",Holidays!$A$6:$A$55),"-"))</f>
        <v/>
      </c>
      <c r="S140" s="33">
        <f>IF(O140="","",IFERROR(WORKDAY.INTL(O140,-10,"0000001",Holidays!$A$6:$A$55),"-"))</f>
        <v>46241</v>
      </c>
      <c r="T140" s="36" t="str">
        <f>IF(OR(I140="",Q140=""),"",IF(Q140&lt;=I140-4,1,0))</f>
        <v/>
      </c>
      <c r="U140" s="32" t="n"/>
      <c r="V140" s="30" t="n"/>
      <c r="W140" s="36" t="str">
        <f>IF(OR($U140="",$V140="",$I140=""),"",IF(AND($U140&lt;=$I140-4,$V140&gt;=$F140),1,0))</f>
        <v/>
      </c>
    </row>
    <row r="141">
      <c r="B141" s="28" t="inlineStr">
        <is>
          <t>M5</t>
        </is>
      </c>
      <c r="C141" s="29" t="n">
        <v>3</v>
      </c>
      <c r="D141" s="28" t="n">
        <v>5501</v>
      </c>
      <c r="E141" s="28" t="n">
        <v>7757901305</v>
      </c>
      <c r="F141" s="30" t="n">
        <v>1764</v>
      </c>
      <c r="G141" s="68" t="n">
        <v>1764</v>
      </c>
      <c r="H141" s="31">
        <f>IF(OR(D141="",E141=""),"",IFERROR(F141-G141,"-"))</f>
        <v>0</v>
      </c>
      <c r="I141" s="32" t="n">
        <v>46254</v>
      </c>
      <c r="J141" s="33">
        <f>IF(I141="","",IFERROR(WORKDAY.INTL(I141,-10,"0000001",Holidays!$A$6:$A$55),"-"))</f>
        <v>46241</v>
      </c>
      <c r="K141" s="30" t="n"/>
      <c r="L141" s="30" t="n"/>
      <c r="M141" s="34" t="str">
        <f>IF(OR(D141="",E141="",F141="",K141="",L141=""),"",IFERROR(ROUNDUP(H141/(K141*L141),0),"-"))</f>
        <v/>
      </c>
      <c r="N141" s="33" t="n">
        <v>46254</v>
      </c>
      <c r="O141" s="32">
        <f t="array" ref="O141">IF(OR($D141="",$E141=""),"",IF($N141&lt;&gt;"",$N141,IFERROR(WORKDAY.INTL(LOOKUP(2,1/(($D$2:D140=$D141)*ISNUMBER($P$2:P140)),$P$2:P140),1,"0000001",Holidays!$A$6:$A$55),"")))</f>
        <v>46254</v>
      </c>
      <c r="P141" s="35" t="str">
        <f>IF(OR(O141="",H141="",K141="",L141=""),"",IFERROR(WORKDAY.INTL(O141-1,MAX(1,ROUNDUP(H141/(K141*L141),0)),"0000001",Holidays!$A$6:$A$55),"-"))</f>
        <v/>
      </c>
      <c r="Q141" s="33" t="str">
        <f>IF(P141="","",IFERROR(WORKDAY.INTL(P141,3,"0000001",Holidays!$A$6:$A$55),"-"))</f>
        <v/>
      </c>
      <c r="R141" s="34" t="str">
        <f>IF(OR(J141="",P141=""),"",IFERROR(NETWORKDAYS.INTL(P141+1,J141,"0000001",Holidays!$A$6:$A$55),"-"))</f>
        <v/>
      </c>
      <c r="S141" s="33">
        <f>IF(O141="","",IFERROR(WORKDAY.INTL(O141,-10,"0000001",Holidays!$A$6:$A$55),"-"))</f>
        <v>46241</v>
      </c>
      <c r="T141" s="36" t="str">
        <f>IF(OR(I141="",Q141=""),"",IF(Q141&lt;=I141-4,1,0))</f>
        <v/>
      </c>
      <c r="U141" s="32" t="n"/>
      <c r="V141" s="30" t="n"/>
      <c r="W141" s="36" t="str">
        <f>IF(OR($U141="",$V141="",$I141=""),"",IF(AND($U141&lt;=$I141-4,$V141&gt;=$F141),1,0))</f>
        <v/>
      </c>
    </row>
    <row r="142">
      <c r="B142" s="28" t="inlineStr">
        <is>
          <t>M5</t>
        </is>
      </c>
      <c r="C142" s="29" t="n">
        <v>4</v>
      </c>
      <c r="D142" s="28" t="n">
        <v>5501</v>
      </c>
      <c r="E142" s="28" t="n">
        <v>7580454116</v>
      </c>
      <c r="F142" s="30" t="n">
        <v>850</v>
      </c>
      <c r="G142" s="68" t="n">
        <v>850</v>
      </c>
      <c r="H142" s="31">
        <f>IF(OR(D142="",E142=""),"",IFERROR(F142-G142,"-"))</f>
        <v>0</v>
      </c>
      <c r="I142" s="32" t="n">
        <v>46254</v>
      </c>
      <c r="J142" s="33">
        <f>IF(I142="","",IFERROR(WORKDAY.INTL(I142,-10,"0000001",Holidays!$A$6:$A$55),"-"))</f>
        <v>46241</v>
      </c>
      <c r="K142" s="30" t="n"/>
      <c r="L142" s="30" t="n"/>
      <c r="M142" s="34" t="str">
        <f>IF(OR(D142="",E142="",F142="",K142="",L142=""),"",IFERROR(ROUNDUP(H142/(K142*L142),0),"-"))</f>
        <v/>
      </c>
      <c r="N142" s="33" t="n">
        <v>46254</v>
      </c>
      <c r="O142" s="32">
        <f t="array" ref="O142">IF(OR($D142="",$E142=""),"",IF($N142&lt;&gt;"",$N142,IFERROR(WORKDAY.INTL(LOOKUP(2,1/(($D$2:D141=$D142)*ISNUMBER($P$2:P141)),$P$2:P141),1,"0000001",Holidays!$A$6:$A$55),"")))</f>
        <v>46254</v>
      </c>
      <c r="P142" s="35" t="str">
        <f>IF(OR(O142="",H142="",K142="",L142=""),"",IFERROR(WORKDAY.INTL(O142-1,MAX(1,ROUNDUP(H142/(K142*L142),0)),"0000001",Holidays!$A$6:$A$55),"-"))</f>
        <v/>
      </c>
      <c r="Q142" s="33" t="str">
        <f>IF(P142="","",IFERROR(WORKDAY.INTL(P142,3,"0000001",Holidays!$A$6:$A$55),"-"))</f>
        <v/>
      </c>
      <c r="R142" s="34" t="str">
        <f>IF(OR(J142="",P142=""),"",IFERROR(NETWORKDAYS.INTL(P142+1,J142,"0000001",Holidays!$A$6:$A$55),"-"))</f>
        <v/>
      </c>
      <c r="S142" s="33">
        <f>IF(O142="","",IFERROR(WORKDAY.INTL(O142,-10,"0000001",Holidays!$A$6:$A$55),"-"))</f>
        <v>46241</v>
      </c>
      <c r="T142" s="36" t="str">
        <f>IF(OR(I142="",Q142=""),"",IF(Q142&lt;=I142-4,1,0))</f>
        <v/>
      </c>
      <c r="U142" s="32" t="n"/>
      <c r="V142" s="30" t="n"/>
      <c r="W142" s="36" t="str">
        <f>IF(OR($U142="",$V142="",$I142=""),"",IF(AND($U142&lt;=$I142-4,$V142&gt;=$F142),1,0))</f>
        <v/>
      </c>
    </row>
    <row r="143">
      <c r="B143" s="28" t="inlineStr">
        <is>
          <t>M6</t>
        </is>
      </c>
      <c r="C143" s="29" t="n">
        <v>5</v>
      </c>
      <c r="D143" s="28" t="n">
        <v>5501</v>
      </c>
      <c r="E143" s="28" t="n">
        <v>7796826790</v>
      </c>
      <c r="F143" s="30" t="n">
        <v>2338</v>
      </c>
      <c r="G143" s="68" t="n">
        <v>567</v>
      </c>
      <c r="H143" s="31">
        <f>IF(OR(D143="",E143=""),"",IFERROR(F143-G143,"-"))</f>
        <v>1771</v>
      </c>
      <c r="I143" s="32" t="n">
        <v>46282</v>
      </c>
      <c r="J143" s="33">
        <f>IF(I143="","",IFERROR(WORKDAY.INTL(I143,-10,"0000001",Holidays!$A$6:$A$55),"-"))</f>
        <v>46270</v>
      </c>
      <c r="K143" s="30" t="n"/>
      <c r="L143" s="30" t="n"/>
      <c r="M143" s="34" t="str">
        <f>IF(OR(D143="",E143="",F143="",K143="",L143=""),"",IFERROR(ROUNDUP(H143/(K143*L143),0),"-"))</f>
        <v/>
      </c>
      <c r="N143" s="33" t="n">
        <v>46282</v>
      </c>
      <c r="O143" s="32">
        <f t="array" ref="O143">IF(OR($D143="",$E143=""),"",IF($N143&lt;&gt;"",$N143,IFERROR(WORKDAY.INTL(LOOKUP(2,1/(($D$2:D142=$D143)*ISNUMBER($P$2:P142)),$P$2:P142),1,"0000001",Holidays!$A$6:$A$55),"")))</f>
        <v>46282</v>
      </c>
      <c r="P143" s="35" t="str">
        <f>IF(OR(O143="",H143="",K143="",L143=""),"",IFERROR(WORKDAY.INTL(O143-1,MAX(1,ROUNDUP(H143/(K143*L143),0)),"0000001",Holidays!$A$6:$A$55),"-"))</f>
        <v/>
      </c>
      <c r="Q143" s="33" t="str">
        <f>IF(P143="","",IFERROR(WORKDAY.INTL(P143,3,"0000001",Holidays!$A$6:$A$55),"-"))</f>
        <v/>
      </c>
      <c r="R143" s="34" t="str">
        <f>IF(OR(J143="",P143=""),"",IFERROR(NETWORKDAYS.INTL(P143+1,J143,"0000001",Holidays!$A$6:$A$55),"-"))</f>
        <v/>
      </c>
      <c r="S143" s="33">
        <f>IF(O143="","",IFERROR(WORKDAY.INTL(O143,-10,"0000001",Holidays!$A$6:$A$55),"-"))</f>
        <v>46270</v>
      </c>
      <c r="T143" s="36" t="str">
        <f>IF(OR(I143="",Q143=""),"",IF(Q143&lt;=I143-4,1,0))</f>
        <v/>
      </c>
      <c r="U143" s="32" t="n"/>
      <c r="V143" s="30" t="n"/>
      <c r="W143" s="36" t="str">
        <f>IF(OR($U143="",$V143="",$I143=""),"",IF(AND($U143&lt;=$I143-4,$V143&gt;=$F143),1,0))</f>
        <v/>
      </c>
    </row>
    <row r="144">
      <c r="B144" s="28" t="inlineStr">
        <is>
          <t>M6</t>
        </is>
      </c>
      <c r="C144" s="29" t="n">
        <v>6</v>
      </c>
      <c r="D144" s="28" t="n">
        <v>5501</v>
      </c>
      <c r="E144" s="28" t="n">
        <v>7080992907</v>
      </c>
      <c r="F144" s="30" t="n">
        <v>2954</v>
      </c>
      <c r="G144" s="68" t="n">
        <v>0</v>
      </c>
      <c r="H144" s="31">
        <f>IF(OR(D144="",E144=""),"",IFERROR(F144-G144,"-"))</f>
        <v>2954</v>
      </c>
      <c r="I144" s="32" t="n">
        <v>46282</v>
      </c>
      <c r="J144" s="33">
        <f>IF(I144="","",IFERROR(WORKDAY.INTL(I144,-10,"0000001",Holidays!$A$6:$A$55),"-"))</f>
        <v>46270</v>
      </c>
      <c r="K144" s="30" t="n"/>
      <c r="L144" s="30" t="n"/>
      <c r="M144" s="34" t="str">
        <f>IF(OR(D144="",E144="",F144="",K144="",L144=""),"",IFERROR(ROUNDUP(H144/(K144*L144),0),"-"))</f>
        <v/>
      </c>
      <c r="N144" s="33" t="n">
        <v>46282</v>
      </c>
      <c r="O144" s="32">
        <f t="array" ref="O144">IF(OR($D144="",$E144=""),"",IF($N144&lt;&gt;"",$N144,IFERROR(WORKDAY.INTL(LOOKUP(2,1/(($D$2:D143=$D144)*ISNUMBER($P$2:P143)),$P$2:P143),1,"0000001",Holidays!$A$6:$A$55),"")))</f>
        <v>46282</v>
      </c>
      <c r="P144" s="35" t="str">
        <f>IF(OR(O144="",H144="",K144="",L144=""),"",IFERROR(WORKDAY.INTL(O144-1,MAX(1,ROUNDUP(H144/(K144*L144),0)),"0000001",Holidays!$A$6:$A$55),"-"))</f>
        <v/>
      </c>
      <c r="Q144" s="33" t="str">
        <f>IF(P144="","",IFERROR(WORKDAY.INTL(P144,3,"0000001",Holidays!$A$6:$A$55),"-"))</f>
        <v/>
      </c>
      <c r="R144" s="34" t="str">
        <f>IF(OR(J144="",P144=""),"",IFERROR(NETWORKDAYS.INTL(P144+1,J144,"0000001",Holidays!$A$6:$A$55),"-"))</f>
        <v/>
      </c>
      <c r="S144" s="33">
        <f>IF(O144="","",IFERROR(WORKDAY.INTL(O144,-10,"0000001",Holidays!$A$6:$A$55),"-"))</f>
        <v>46270</v>
      </c>
      <c r="T144" s="36" t="str">
        <f>IF(OR(I144="",Q144=""),"",IF(Q144&lt;=I144-4,1,0))</f>
        <v/>
      </c>
      <c r="U144" s="32" t="n"/>
      <c r="V144" s="30" t="n"/>
      <c r="W144" s="36" t="str">
        <f>IF(OR($U144="",$V144="",$I144=""),"",IF(AND($U144&lt;=$I144-4,$V144&gt;=$F144),1,0))</f>
        <v/>
      </c>
    </row>
    <row r="145">
      <c r="B145" s="28" t="inlineStr">
        <is>
          <t>M6</t>
        </is>
      </c>
      <c r="C145" s="29" t="n">
        <v>7</v>
      </c>
      <c r="D145" s="28" t="n">
        <v>5501</v>
      </c>
      <c r="E145" s="28" t="n">
        <v>7487079398</v>
      </c>
      <c r="F145" s="30" t="n">
        <v>2359</v>
      </c>
      <c r="G145" s="68" t="n">
        <v>2359</v>
      </c>
      <c r="H145" s="31">
        <f>IF(OR(D145="",E145=""),"",IFERROR(F145-G145,"-"))</f>
        <v>0</v>
      </c>
      <c r="I145" s="32" t="n">
        <v>46282</v>
      </c>
      <c r="J145" s="33">
        <f>IF(I145="","",IFERROR(WORKDAY.INTL(I145,-10,"0000001",Holidays!$A$6:$A$55),"-"))</f>
        <v>46270</v>
      </c>
      <c r="K145" s="30" t="n"/>
      <c r="L145" s="30" t="n"/>
      <c r="M145" s="34" t="str">
        <f>IF(OR(D145="",E145="",F145="",K145="",L145=""),"",IFERROR(ROUNDUP(H145/(K145*L145),0),"-"))</f>
        <v/>
      </c>
      <c r="N145" s="33" t="n">
        <v>46282</v>
      </c>
      <c r="O145" s="32">
        <f t="array" ref="O145">IF(OR($D145="",$E145=""),"",IF($N145&lt;&gt;"",$N145,IFERROR(WORKDAY.INTL(LOOKUP(2,1/(($D$2:D144=$D145)*ISNUMBER($P$2:P144)),$P$2:P144),1,"0000001",Holidays!$A$6:$A$55),"")))</f>
        <v>46282</v>
      </c>
      <c r="P145" s="35" t="str">
        <f>IF(OR(O145="",H145="",K145="",L145=""),"",IFERROR(WORKDAY.INTL(O145-1,MAX(1,ROUNDUP(H145/(K145*L145),0)),"0000001",Holidays!$A$6:$A$55),"-"))</f>
        <v/>
      </c>
      <c r="Q145" s="33" t="str">
        <f>IF(P145="","",IFERROR(WORKDAY.INTL(P145,3,"0000001",Holidays!$A$6:$A$55),"-"))</f>
        <v/>
      </c>
      <c r="R145" s="34" t="str">
        <f>IF(OR(J145="",P145=""),"",IFERROR(NETWORKDAYS.INTL(P145+1,J145,"0000001",Holidays!$A$6:$A$55),"-"))</f>
        <v/>
      </c>
      <c r="S145" s="33">
        <f>IF(O145="","",IFERROR(WORKDAY.INTL(O145,-10,"0000001",Holidays!$A$6:$A$55),"-"))</f>
        <v>46270</v>
      </c>
      <c r="T145" s="36" t="str">
        <f>IF(OR(I145="",Q145=""),"",IF(Q145&lt;=I145-4,1,0))</f>
        <v/>
      </c>
      <c r="U145" s="32" t="n"/>
      <c r="V145" s="30" t="n"/>
      <c r="W145" s="36" t="str">
        <f>IF(OR($U145="",$V145="",$I145=""),"",IF(AND($U145&lt;=$I145-4,$V145&gt;=$F145),1,0))</f>
        <v/>
      </c>
    </row>
    <row r="146" ht="15.75" customHeight="1" thickBot="1">
      <c r="B146" s="37" t="inlineStr">
        <is>
          <t>M6</t>
        </is>
      </c>
      <c r="C146" s="38" t="n">
        <v>8</v>
      </c>
      <c r="D146" s="37" t="n">
        <v>5501</v>
      </c>
      <c r="E146" s="37" t="n">
        <v>7359668717</v>
      </c>
      <c r="F146" s="39" t="n">
        <v>1148</v>
      </c>
      <c r="G146" s="66" t="n">
        <v>565</v>
      </c>
      <c r="H146" s="40">
        <f>IF(OR(D146="",E146=""),"",IFERROR(F146-G146,"-"))</f>
        <v>583</v>
      </c>
      <c r="I146" s="41" t="n">
        <v>46282</v>
      </c>
      <c r="J146" s="42">
        <f>IF(I146="","",IFERROR(WORKDAY.INTL(I146,-10,"0000001",Holidays!$A$6:$A$55),"-"))</f>
        <v>46270</v>
      </c>
      <c r="K146" s="39" t="n"/>
      <c r="L146" s="39" t="n"/>
      <c r="M146" s="43" t="str">
        <f>IF(OR(D146="",E146="",F146="",K146="",L146=""),"",IFERROR(ROUNDUP(H146/(K146*L146),0),"-"))</f>
        <v/>
      </c>
      <c r="N146" s="42" t="n">
        <v>46282</v>
      </c>
      <c r="O146" s="41">
        <f t="array" ref="O146">IF(OR($D146="",$E146=""),"",IF($N146&lt;&gt;"",$N146,IFERROR(WORKDAY.INTL(LOOKUP(2,1/(($D$2:D145=$D146)*ISNUMBER($P$2:P145)),$P$2:P145),1,"0000001",Holidays!$A$6:$A$55),"")))</f>
        <v>46282</v>
      </c>
      <c r="P146" s="44" t="str">
        <f>IF(OR(O146="",H146="",K146="",L146=""),"",IFERROR(WORKDAY.INTL(O146-1,MAX(1,ROUNDUP(H146/(K146*L146),0)),"0000001",Holidays!$A$6:$A$55),"-"))</f>
        <v/>
      </c>
      <c r="Q146" s="42" t="str">
        <f>IF(P146="","",IFERROR(WORKDAY.INTL(P146,3,"0000001",Holidays!$A$6:$A$55),"-"))</f>
        <v/>
      </c>
      <c r="R146" s="43" t="str">
        <f>IF(OR(J146="",P146=""),"",IFERROR(NETWORKDAYS.INTL(P146+1,J146,"0000001",Holidays!$A$6:$A$55),"-"))</f>
        <v/>
      </c>
      <c r="S146" s="42">
        <f>IF(O146="","",IFERROR(WORKDAY.INTL(O146,-10,"0000001",Holidays!$A$6:$A$55),"-"))</f>
        <v>46270</v>
      </c>
      <c r="T146" s="45" t="str">
        <f>IF(OR(I146="",Q146=""),"",IF(Q146&lt;=I146-4,1,0))</f>
        <v/>
      </c>
      <c r="U146" s="41" t="n"/>
      <c r="V146" s="39" t="n"/>
      <c r="W146" s="45" t="str">
        <f>IF(OR($U146="",$V146="",$I146=""),"",IF(AND($U146&lt;=$I146-4,$V146&gt;=$F146),1,0))</f>
        <v/>
      </c>
    </row>
    <row r="147">
      <c r="B147" s="28" t="inlineStr">
        <is>
          <t>M5</t>
        </is>
      </c>
      <c r="C147" s="29" t="n"/>
      <c r="D147" s="28" t="inlineStr">
        <is>
          <t>TH04</t>
        </is>
      </c>
      <c r="E147" s="28" t="n">
        <v>7387752475</v>
      </c>
      <c r="F147" s="30" t="n">
        <v>1275</v>
      </c>
      <c r="G147" s="68" t="n">
        <v>1275</v>
      </c>
      <c r="H147" s="31">
        <f>IF(OR(D147="",E147=""),"",IFERROR(F147-G147,"-"))</f>
        <v>0</v>
      </c>
      <c r="I147" s="32" t="n">
        <v>46254</v>
      </c>
      <c r="J147" s="33">
        <f>IF(I147="","",IFERROR(WORKDAY.INTL(I147,-10,"0000001",Holidays!$A$6:$A$55),"-"))</f>
        <v>46241</v>
      </c>
      <c r="K147" s="30" t="n">
        <v>4</v>
      </c>
      <c r="L147" s="30" t="n">
        <v>850</v>
      </c>
      <c r="M147" s="34">
        <f>IF(OR(D147="",E147="",F147="",K147="",L147=""),"",IFERROR(ROUNDUP(H147/(K147*L147),0),"-"))</f>
        <v>0</v>
      </c>
      <c r="N147" s="33" t="n">
        <v>46254</v>
      </c>
      <c r="O147" s="32">
        <f t="array" ref="O147">IF(OR($D147="",$E147=""),"",IF($N147&lt;&gt;"",$N147,IFERROR(WORKDAY.INTL(LOOKUP(2,1/(($D$2:D146=$D147)*ISNUMBER($P$2:P146)),$P$2:P146),1,"0000001",Holidays!$A$6:$A$55),"")))</f>
        <v>46254</v>
      </c>
      <c r="P147" s="35">
        <f>IF(OR(O147="",H147="",K147="",L147=""),"",IFERROR(WORKDAY.INTL(O147-1,MAX(1,ROUNDUP(H147/(K147*L147),0)),"0000001",Holidays!$A$6:$A$55),"-"))</f>
        <v>46254</v>
      </c>
      <c r="Q147" s="33">
        <f>IF(P147="","",IFERROR(WORKDAY.INTL(P147,3,"0000001",Holidays!$A$6:$A$55),"-"))</f>
        <v>46258</v>
      </c>
      <c r="R147" s="34">
        <f>IF(OR(J147="",P147=""),"",IFERROR(NETWORKDAYS.INTL(P147+1,J147,"0000001",Holidays!$A$6:$A$55),"-"))</f>
        <v>-12</v>
      </c>
      <c r="S147" s="33">
        <f>IF(O147="","",IFERROR(WORKDAY.INTL(O147,-10,"0000001",Holidays!$A$6:$A$55),"-"))</f>
        <v>46241</v>
      </c>
      <c r="T147" s="36">
        <f>IF(OR(I147="",Q147=""),"",IF(Q147&lt;=I147-4,1,0))</f>
        <v>0</v>
      </c>
      <c r="U147" s="32" t="n"/>
      <c r="V147" s="30" t="n"/>
      <c r="W147" s="36" t="str">
        <f>IF(OR($U147="",$V147="",$I147=""),"",IF(AND($U147&lt;=$I147-4,$V147&gt;=$F147),1,0))</f>
        <v/>
      </c>
    </row>
    <row r="148">
      <c r="B148" s="28" t="inlineStr">
        <is>
          <t>M5</t>
        </is>
      </c>
      <c r="C148" s="29" t="n"/>
      <c r="D148" s="28" t="inlineStr">
        <is>
          <t>TH04</t>
        </is>
      </c>
      <c r="E148" s="28" t="n">
        <v>7033569591</v>
      </c>
      <c r="F148" s="30" t="n">
        <v>892</v>
      </c>
      <c r="G148" s="68" t="n">
        <v>892</v>
      </c>
      <c r="H148" s="31">
        <f>IF(OR(D148="",E148=""),"",IFERROR(F148-G148,"-"))</f>
        <v>0</v>
      </c>
      <c r="I148" s="32" t="n">
        <v>46254</v>
      </c>
      <c r="J148" s="33">
        <f>IF(I148="","",IFERROR(WORKDAY.INTL(I148,-10,"0000001",Holidays!$A$6:$A$55),"-"))</f>
        <v>46241</v>
      </c>
      <c r="K148" s="30" t="n">
        <v>4</v>
      </c>
      <c r="L148" s="30" t="n">
        <v>850</v>
      </c>
      <c r="M148" s="34">
        <f>IF(OR(D148="",E148="",F148="",K148="",L148=""),"",IFERROR(ROUNDUP(H148/(K148*L148),0),"-"))</f>
        <v>0</v>
      </c>
      <c r="N148" s="33" t="n">
        <v>46254</v>
      </c>
      <c r="O148" s="32">
        <f t="array" ref="O148">IF(OR($D148="",$E148=""),"",IF($N148&lt;&gt;"",$N148,IFERROR(WORKDAY.INTL(LOOKUP(2,1/(($D$2:D147=$D148)*ISNUMBER($P$2:P147)),$P$2:P147),1,"0000001",Holidays!$A$6:$A$55),"")))</f>
        <v>46254</v>
      </c>
      <c r="P148" s="35">
        <f>IF(OR(O148="",H148="",K148="",L148=""),"",IFERROR(WORKDAY.INTL(O148-1,MAX(1,ROUNDUP(H148/(K148*L148),0)),"0000001",Holidays!$A$6:$A$55),"-"))</f>
        <v>46254</v>
      </c>
      <c r="Q148" s="33">
        <f>IF(P148="","",IFERROR(WORKDAY.INTL(P148,3,"0000001",Holidays!$A$6:$A$55),"-"))</f>
        <v>46258</v>
      </c>
      <c r="R148" s="34">
        <f>IF(OR(J148="",P148=""),"",IFERROR(NETWORKDAYS.INTL(P148+1,J148,"0000001",Holidays!$A$6:$A$55),"-"))</f>
        <v>-12</v>
      </c>
      <c r="S148" s="33">
        <f>IF(O148="","",IFERROR(WORKDAY.INTL(O148,-10,"0000001",Holidays!$A$6:$A$55),"-"))</f>
        <v>46241</v>
      </c>
      <c r="T148" s="36">
        <f>IF(OR(I148="",Q148=""),"",IF(Q148&lt;=I148-4,1,0))</f>
        <v>0</v>
      </c>
      <c r="U148" s="32" t="n"/>
      <c r="V148" s="30" t="n"/>
      <c r="W148" s="36" t="str">
        <f>IF(OR($U148="",$V148="",$I148=""),"",IF(AND($U148&lt;=$I148-4,$V148&gt;=$F148),1,0))</f>
        <v/>
      </c>
    </row>
    <row r="149">
      <c r="B149" s="28" t="inlineStr">
        <is>
          <t>M6</t>
        </is>
      </c>
      <c r="C149" s="29" t="n"/>
      <c r="D149" s="28" t="inlineStr">
        <is>
          <t>TH04</t>
        </is>
      </c>
      <c r="E149" s="28" t="n">
        <v>7533864431</v>
      </c>
      <c r="F149" s="30" t="n">
        <v>1679</v>
      </c>
      <c r="G149" s="68" t="n">
        <v>0</v>
      </c>
      <c r="H149" s="31">
        <f>IF(OR(D149="",E149=""),"",IFERROR(F149-G149,"-"))</f>
        <v>1679</v>
      </c>
      <c r="I149" s="32" t="n">
        <v>46282</v>
      </c>
      <c r="J149" s="33">
        <f>IF(I149="","",IFERROR(WORKDAY.INTL(I149,-10,"0000001",Holidays!$A$6:$A$55),"-"))</f>
        <v>46270</v>
      </c>
      <c r="K149" s="30" t="n">
        <v>4</v>
      </c>
      <c r="L149" s="30" t="n">
        <v>850</v>
      </c>
      <c r="M149" s="34">
        <f>IF(OR(D149="",E149="",F149="",K149="",L149=""),"",IFERROR(ROUNDUP(H149/(K149*L149),0),"-"))</f>
        <v>1</v>
      </c>
      <c r="N149" s="33" t="n">
        <v>46282</v>
      </c>
      <c r="O149" s="32">
        <f t="array" ref="O149">IF(OR($D149="",$E149=""),"",IF($N149&lt;&gt;"",$N149,IFERROR(WORKDAY.INTL(LOOKUP(2,1/(($D$2:D148=$D149)*ISNUMBER($P$2:P148)),$P$2:P148),1,"0000001",Holidays!$A$6:$A$55),"")))</f>
        <v>46282</v>
      </c>
      <c r="P149" s="35">
        <f>IF(OR(O149="",H149="",K149="",L149=""),"",IFERROR(WORKDAY.INTL(O149-1,MAX(1,ROUNDUP(H149/(K149*L149),0)),"0000001",Holidays!$A$6:$A$55),"-"))</f>
        <v>46282</v>
      </c>
      <c r="Q149" s="33">
        <f>IF(P149="","",IFERROR(WORKDAY.INTL(P149,3,"0000001",Holidays!$A$6:$A$55),"-"))</f>
        <v>46286</v>
      </c>
      <c r="R149" s="34">
        <f>IF(OR(J149="",P149=""),"",IFERROR(NETWORKDAYS.INTL(P149+1,J149,"0000001",Holidays!$A$6:$A$55),"-"))</f>
        <v>-12</v>
      </c>
      <c r="S149" s="33">
        <f>IF(O149="","",IFERROR(WORKDAY.INTL(O149,-10,"0000001",Holidays!$A$6:$A$55),"-"))</f>
        <v>46270</v>
      </c>
      <c r="T149" s="36">
        <f>IF(OR(I149="",Q149=""),"",IF(Q149&lt;=I149-4,1,0))</f>
        <v>0</v>
      </c>
      <c r="U149" s="32" t="n"/>
      <c r="V149" s="30" t="n"/>
      <c r="W149" s="36" t="str">
        <f>IF(OR($U149="",$V149="",$I149=""),"",IF(AND($U149&lt;=$I149-4,$V149&gt;=$F149),1,0))</f>
        <v/>
      </c>
    </row>
    <row r="150">
      <c r="B150" s="28" t="inlineStr">
        <is>
          <t>M6</t>
        </is>
      </c>
      <c r="C150" s="29" t="n"/>
      <c r="D150" s="28" t="inlineStr">
        <is>
          <t>TH04</t>
        </is>
      </c>
      <c r="E150" s="28" t="n">
        <v>7722747154</v>
      </c>
      <c r="F150" s="30" t="n">
        <v>1169</v>
      </c>
      <c r="G150" s="68" t="n">
        <v>0</v>
      </c>
      <c r="H150" s="31">
        <f>IF(OR(D150="",E150=""),"",IFERROR(F150-G150,"-"))</f>
        <v>1169</v>
      </c>
      <c r="I150" s="32" t="n">
        <v>46282</v>
      </c>
      <c r="J150" s="33">
        <f>IF(I150="","",IFERROR(WORKDAY.INTL(I150,-10,"0000001",Holidays!$A$6:$A$55),"-"))</f>
        <v>46270</v>
      </c>
      <c r="K150" s="30" t="n">
        <v>4</v>
      </c>
      <c r="L150" s="30" t="n">
        <v>850</v>
      </c>
      <c r="M150" s="34">
        <f>IF(OR(D150="",E150="",F150="",K150="",L150=""),"",IFERROR(ROUNDUP(H150/(K150*L150),0),"-"))</f>
        <v>1</v>
      </c>
      <c r="N150" s="33" t="n">
        <v>46282</v>
      </c>
      <c r="O150" s="32">
        <f t="array" ref="O150">IF(OR($D150="",$E150=""),"",IF($N150&lt;&gt;"",$N150,IFERROR(WORKDAY.INTL(LOOKUP(2,1/(($D$2:D149=$D150)*ISNUMBER($P$2:P149)),$P$2:P149),1,"0000001",Holidays!$A$6:$A$55),"")))</f>
        <v>46282</v>
      </c>
      <c r="P150" s="35">
        <f>IF(OR(O150="",H150="",K150="",L150=""),"",IFERROR(WORKDAY.INTL(O150-1,MAX(1,ROUNDUP(H150/(K150*L150),0)),"0000001",Holidays!$A$6:$A$55),"-"))</f>
        <v>46282</v>
      </c>
      <c r="Q150" s="33">
        <f>IF(P150="","",IFERROR(WORKDAY.INTL(P150,3,"0000001",Holidays!$A$6:$A$55),"-"))</f>
        <v>46286</v>
      </c>
      <c r="R150" s="34">
        <f>IF(OR(J150="",P150=""),"",IFERROR(NETWORKDAYS.INTL(P150+1,J150,"0000001",Holidays!$A$6:$A$55),"-"))</f>
        <v>-12</v>
      </c>
      <c r="S150" s="33">
        <f>IF(O150="","",IFERROR(WORKDAY.INTL(O150,-10,"0000001",Holidays!$A$6:$A$55),"-"))</f>
        <v>46270</v>
      </c>
      <c r="T150" s="36">
        <f>IF(OR(I150="",Q150=""),"",IF(Q150&lt;=I150-4,1,0))</f>
        <v>0</v>
      </c>
      <c r="U150" s="32" t="n"/>
      <c r="V150" s="30" t="n"/>
      <c r="W150" s="36" t="str">
        <f>IF(OR($U150="",$V150="",$I150=""),"",IF(AND($U150&lt;=$I150-4,$V150&gt;=$F150),1,0))</f>
        <v/>
      </c>
    </row>
    <row r="151">
      <c r="B151" s="28" t="inlineStr">
        <is>
          <t>M7</t>
        </is>
      </c>
      <c r="C151" s="29" t="n"/>
      <c r="D151" s="28" t="inlineStr">
        <is>
          <t>TH04</t>
        </is>
      </c>
      <c r="E151" s="28" t="n">
        <v>7909212191</v>
      </c>
      <c r="F151" s="30" t="n">
        <v>722</v>
      </c>
      <c r="G151" s="68" t="n">
        <v>0</v>
      </c>
      <c r="H151" s="31">
        <f>IF(OR(D151="",E151=""),"",IFERROR(F151-G151,"-"))</f>
        <v>722</v>
      </c>
      <c r="I151" s="32" t="n">
        <v>46309</v>
      </c>
      <c r="J151" s="33">
        <f>IF(I151="","",IFERROR(WORKDAY.INTL(I151,-10,"0000001",Holidays!$A$6:$A$55),"-"))</f>
        <v>46296</v>
      </c>
      <c r="K151" s="30" t="n">
        <v>4</v>
      </c>
      <c r="L151" s="30" t="n">
        <v>850</v>
      </c>
      <c r="M151" s="34">
        <f>IF(OR(D151="",E151="",F151="",K151="",L151=""),"",IFERROR(ROUNDUP(H151/(K151*L151),0),"-"))</f>
        <v>1</v>
      </c>
      <c r="N151" s="33" t="n">
        <v>46309</v>
      </c>
      <c r="O151" s="32">
        <f t="array" ref="O151">IF(OR($D151="",$E151=""),"",IF($N151&lt;&gt;"",$N151,IFERROR(WORKDAY.INTL(LOOKUP(2,1/(($D$2:D150=$D151)*ISNUMBER($P$2:P150)),$P$2:P150),1,"0000001",Holidays!$A$6:$A$55),"")))</f>
        <v>46309</v>
      </c>
      <c r="P151" s="35">
        <f>IF(OR(O151="",H151="",K151="",L151=""),"",IFERROR(WORKDAY.INTL(O151-1,MAX(1,ROUNDUP(H151/(K151*L151),0)),"0000001",Holidays!$A$6:$A$55),"-"))</f>
        <v>46309</v>
      </c>
      <c r="Q151" s="33">
        <f>IF(P151="","",IFERROR(WORKDAY.INTL(P151,3,"0000001",Holidays!$A$6:$A$55),"-"))</f>
        <v>46312</v>
      </c>
      <c r="R151" s="34">
        <f>IF(OR(J151="",P151=""),"",IFERROR(NETWORKDAYS.INTL(P151+1,J151,"0000001",Holidays!$A$6:$A$55),"-"))</f>
        <v>-12</v>
      </c>
      <c r="S151" s="33">
        <f>IF(O151="","",IFERROR(WORKDAY.INTL(O151,-10,"0000001",Holidays!$A$6:$A$55),"-"))</f>
        <v>46296</v>
      </c>
      <c r="T151" s="36">
        <f>IF(OR(I151="",Q151=""),"",IF(Q151&lt;=I151-4,1,0))</f>
        <v>0</v>
      </c>
      <c r="U151" s="32" t="n"/>
      <c r="V151" s="30" t="n"/>
      <c r="W151" s="36" t="str">
        <f>IF(OR($U151="",$V151="",$I151=""),"",IF(AND($U151&lt;=$I151-4,$V151&gt;=$F151),1,0))</f>
        <v/>
      </c>
    </row>
    <row r="152">
      <c r="B152" s="28" t="inlineStr">
        <is>
          <t>M7</t>
        </is>
      </c>
      <c r="C152" s="29" t="n"/>
      <c r="D152" s="28" t="inlineStr">
        <is>
          <t>TH04</t>
        </is>
      </c>
      <c r="E152" s="28" t="n">
        <v>7058983870</v>
      </c>
      <c r="F152" s="30" t="n">
        <v>744</v>
      </c>
      <c r="G152" s="68" t="n">
        <v>0</v>
      </c>
      <c r="H152" s="31">
        <f>IF(OR(D152="",E152=""),"",IFERROR(F152-G152,"-"))</f>
        <v>744</v>
      </c>
      <c r="I152" s="32" t="n">
        <v>46309</v>
      </c>
      <c r="J152" s="33">
        <f>IF(I152="","",IFERROR(WORKDAY.INTL(I152,-10,"0000001",Holidays!$A$6:$A$55),"-"))</f>
        <v>46296</v>
      </c>
      <c r="K152" s="30" t="n">
        <v>4</v>
      </c>
      <c r="L152" s="30" t="n">
        <v>850</v>
      </c>
      <c r="M152" s="34">
        <f>IF(OR(D152="",E152="",F152="",K152="",L152=""),"",IFERROR(ROUNDUP(H152/(K152*L152),0),"-"))</f>
        <v>1</v>
      </c>
      <c r="N152" s="33" t="n">
        <v>46309</v>
      </c>
      <c r="O152" s="32">
        <f t="array" ref="O152">IF(OR($D152="",$E152=""),"",IF($N152&lt;&gt;"",$N152,IFERROR(WORKDAY.INTL(LOOKUP(2,1/(($D$2:D151=$D152)*ISNUMBER($P$2:P151)),$P$2:P151),1,"0000001",Holidays!$A$6:$A$55),"")))</f>
        <v>46309</v>
      </c>
      <c r="P152" s="35">
        <f>IF(OR(O152="",H152="",K152="",L152=""),"",IFERROR(WORKDAY.INTL(O152-1,MAX(1,ROUNDUP(H152/(K152*L152),0)),"0000001",Holidays!$A$6:$A$55),"-"))</f>
        <v>46309</v>
      </c>
      <c r="Q152" s="33">
        <f>IF(P152="","",IFERROR(WORKDAY.INTL(P152,3,"0000001",Holidays!$A$6:$A$55),"-"))</f>
        <v>46312</v>
      </c>
      <c r="R152" s="34">
        <f>IF(OR(J152="",P152=""),"",IFERROR(NETWORKDAYS.INTL(P152+1,J152,"0000001",Holidays!$A$6:$A$55),"-"))</f>
        <v>-12</v>
      </c>
      <c r="S152" s="33">
        <f>IF(O152="","",IFERROR(WORKDAY.INTL(O152,-10,"0000001",Holidays!$A$6:$A$55),"-"))</f>
        <v>46296</v>
      </c>
      <c r="T152" s="36">
        <f>IF(OR(I152="",Q152=""),"",IF(Q152&lt;=I152-4,1,0))</f>
        <v>0</v>
      </c>
      <c r="U152" s="32" t="n"/>
      <c r="V152" s="30" t="n"/>
      <c r="W152" s="36" t="str">
        <f>IF(OR($U152="",$V152="",$I152=""),"",IF(AND($U152&lt;=$I152-4,$V152&gt;=$F152),1,0))</f>
        <v/>
      </c>
    </row>
    <row r="153">
      <c r="B153" s="28" t="inlineStr">
        <is>
          <t>M5</t>
        </is>
      </c>
      <c r="C153" s="29" t="n"/>
      <c r="D153" s="28" t="inlineStr">
        <is>
          <t>TH02</t>
        </is>
      </c>
      <c r="E153" s="28" t="n">
        <v>7888791922</v>
      </c>
      <c r="F153" s="30" t="n">
        <v>8500</v>
      </c>
      <c r="G153" s="68" t="n">
        <v>4646</v>
      </c>
      <c r="H153" s="31">
        <f>IF(OR(D153="",E153=""),"",IFERROR(F153-G153,"-"))</f>
        <v>3854</v>
      </c>
      <c r="I153" s="32" t="n">
        <v>46254</v>
      </c>
      <c r="J153" s="33">
        <f>IF(I153="","",IFERROR(WORKDAY.INTL(I153,-10,"0000001",Holidays!$A$6:$A$55),"-"))</f>
        <v>46241</v>
      </c>
      <c r="K153" s="30" t="n">
        <v>4</v>
      </c>
      <c r="L153" s="30" t="n">
        <v>850</v>
      </c>
      <c r="M153" s="34">
        <f>IF(OR(D153="",E153="",F153="",K153="",L153=""),"",IFERROR(ROUNDUP(H153/(K153*L153),0),"-"))</f>
        <v>2</v>
      </c>
      <c r="N153" s="33" t="n">
        <v>46254</v>
      </c>
      <c r="O153" s="32">
        <f t="array" ref="O153">IF(OR($D153="",$E153=""),"",IF($N153&lt;&gt;"",$N153,IFERROR(WORKDAY.INTL(LOOKUP(2,1/(($D$2:D152=$D153)*ISNUMBER($P$2:P152)),$P$2:P152),1,"0000001",Holidays!$A$6:$A$55),"")))</f>
        <v>46254</v>
      </c>
      <c r="P153" s="35">
        <f>IF(OR(O153="",H153="",K153="",L153=""),"",IFERROR(WORKDAY.INTL(O153-1,MAX(1,ROUNDUP(H153/(K153*L153),0)),"0000001",Holidays!$A$6:$A$55),"-"))</f>
        <v>46255</v>
      </c>
      <c r="Q153" s="33">
        <f>IF(P153="","",IFERROR(WORKDAY.INTL(P153,3,"0000001",Holidays!$A$6:$A$55),"-"))</f>
        <v>46259</v>
      </c>
      <c r="R153" s="34">
        <f>IF(OR(J153="",P153=""),"",IFERROR(NETWORKDAYS.INTL(P153+1,J153,"0000001",Holidays!$A$6:$A$55),"-"))</f>
        <v>-13</v>
      </c>
      <c r="S153" s="33">
        <f>IF(O153="","",IFERROR(WORKDAY.INTL(O153,-10,"0000001",Holidays!$A$6:$A$55),"-"))</f>
        <v>46241</v>
      </c>
      <c r="T153" s="36">
        <f>IF(OR(I153="",Q153=""),"",IF(Q153&lt;=I153-4,1,0))</f>
        <v>0</v>
      </c>
      <c r="U153" s="32" t="n"/>
      <c r="V153" s="30" t="n"/>
      <c r="W153" s="36" t="str">
        <f>IF(OR($U153="",$V153="",$I153=""),"",IF(AND($U153&lt;=$I153-4,$V153&gt;=$F153),1,0))</f>
        <v/>
      </c>
    </row>
    <row r="154">
      <c r="B154" s="28" t="inlineStr">
        <is>
          <t>M5</t>
        </is>
      </c>
      <c r="C154" s="29" t="n"/>
      <c r="D154" s="28" t="inlineStr">
        <is>
          <t>TH02</t>
        </is>
      </c>
      <c r="E154" s="28" t="n">
        <v>7373050972</v>
      </c>
      <c r="F154" s="30" t="n">
        <v>5419</v>
      </c>
      <c r="G154" s="68" t="n">
        <v>5313</v>
      </c>
      <c r="H154" s="31">
        <f>IF(OR(D154="",E154=""),"",IFERROR(F154-G154,"-"))</f>
        <v>106</v>
      </c>
      <c r="I154" s="32" t="n">
        <v>46254</v>
      </c>
      <c r="J154" s="33">
        <f>IF(I154="","",IFERROR(WORKDAY.INTL(I154,-10,"0000001",Holidays!$A$6:$A$55),"-"))</f>
        <v>46241</v>
      </c>
      <c r="K154" s="30" t="n">
        <v>4</v>
      </c>
      <c r="L154" s="30" t="n">
        <v>850</v>
      </c>
      <c r="M154" s="34">
        <f>IF(OR(D154="",E154="",F154="",K154="",L154=""),"",IFERROR(ROUNDUP(H154/(K154*L154),0),"-"))</f>
        <v>1</v>
      </c>
      <c r="N154" s="33" t="n">
        <v>46254</v>
      </c>
      <c r="O154" s="32">
        <f t="array" ref="O154">IF(OR($D154="",$E154=""),"",IF($N154&lt;&gt;"",$N154,IFERROR(WORKDAY.INTL(LOOKUP(2,1/(($D$2:D153=$D154)*ISNUMBER($P$2:P153)),$P$2:P153),1,"0000001",Holidays!$A$6:$A$55),"")))</f>
        <v>46254</v>
      </c>
      <c r="P154" s="35">
        <f>IF(OR(O154="",H154="",K154="",L154=""),"",IFERROR(WORKDAY.INTL(O154-1,MAX(1,ROUNDUP(H154/(K154*L154),0)),"0000001",Holidays!$A$6:$A$55),"-"))</f>
        <v>46254</v>
      </c>
      <c r="Q154" s="33">
        <f>IF(P154="","",IFERROR(WORKDAY.INTL(P154,3,"0000001",Holidays!$A$6:$A$55),"-"))</f>
        <v>46258</v>
      </c>
      <c r="R154" s="34">
        <f>IF(OR(J154="",P154=""),"",IFERROR(NETWORKDAYS.INTL(P154+1,J154,"0000001",Holidays!$A$6:$A$55),"-"))</f>
        <v>-12</v>
      </c>
      <c r="S154" s="33">
        <f>IF(O154="","",IFERROR(WORKDAY.INTL(O154,-10,"0000001",Holidays!$A$6:$A$55),"-"))</f>
        <v>46241</v>
      </c>
      <c r="T154" s="36">
        <f>IF(OR(I154="",Q154=""),"",IF(Q154&lt;=I154-4,1,0))</f>
        <v>0</v>
      </c>
      <c r="U154" s="32" t="n"/>
      <c r="V154" s="30" t="n"/>
      <c r="W154" s="36" t="str">
        <f>IF(OR($U154="",$V154="",$I154=""),"",IF(AND($U154&lt;=$I154-4,$V154&gt;=$F154),1,0))</f>
        <v/>
      </c>
    </row>
    <row r="155">
      <c r="B155" s="28" t="inlineStr">
        <is>
          <t>M6</t>
        </is>
      </c>
      <c r="C155" s="29" t="n"/>
      <c r="D155" s="28" t="inlineStr">
        <is>
          <t>TH02</t>
        </is>
      </c>
      <c r="E155" s="28" t="n">
        <v>7793510346</v>
      </c>
      <c r="F155" s="30" t="n">
        <v>11262</v>
      </c>
      <c r="G155" s="68" t="n">
        <v>61</v>
      </c>
      <c r="H155" s="31">
        <f>IF(OR(D155="",E155=""),"",IFERROR(F155-G155,"-"))</f>
        <v>11201</v>
      </c>
      <c r="I155" s="32" t="n">
        <v>46282</v>
      </c>
      <c r="J155" s="33">
        <f>IF(I155="","",IFERROR(WORKDAY.INTL(I155,-10,"0000001",Holidays!$A$6:$A$55),"-"))</f>
        <v>46270</v>
      </c>
      <c r="K155" s="30" t="n">
        <v>4</v>
      </c>
      <c r="L155" s="30" t="n">
        <v>850</v>
      </c>
      <c r="M155" s="34">
        <f>IF(OR(D155="",E155="",F155="",K155="",L155=""),"",IFERROR(ROUNDUP(H155/(K155*L155),0),"-"))</f>
        <v>4</v>
      </c>
      <c r="N155" s="33" t="n">
        <v>46282</v>
      </c>
      <c r="O155" s="32">
        <f t="array" ref="O155">IF(OR($D155="",$E155=""),"",IF($N155&lt;&gt;"",$N155,IFERROR(WORKDAY.INTL(LOOKUP(2,1/(($D$2:D154=$D155)*ISNUMBER($P$2:P154)),$P$2:P154),1,"0000001",Holidays!$A$6:$A$55),"")))</f>
        <v>46282</v>
      </c>
      <c r="P155" s="35">
        <f>IF(OR(O155="",H155="",K155="",L155=""),"",IFERROR(WORKDAY.INTL(O155-1,MAX(1,ROUNDUP(H155/(K155*L155),0)),"0000001",Holidays!$A$6:$A$55),"-"))</f>
        <v>46286</v>
      </c>
      <c r="Q155" s="33">
        <f>IF(P155="","",IFERROR(WORKDAY.INTL(P155,3,"0000001",Holidays!$A$6:$A$55),"-"))</f>
        <v>46289</v>
      </c>
      <c r="R155" s="34">
        <f>IF(OR(J155="",P155=""),"",IFERROR(NETWORKDAYS.INTL(P155+1,J155,"0000001",Holidays!$A$6:$A$55),"-"))</f>
        <v>-15</v>
      </c>
      <c r="S155" s="33">
        <f>IF(O155="","",IFERROR(WORKDAY.INTL(O155,-10,"0000001",Holidays!$A$6:$A$55),"-"))</f>
        <v>46270</v>
      </c>
      <c r="T155" s="36">
        <f>IF(OR(I155="",Q155=""),"",IF(Q155&lt;=I155-4,1,0))</f>
        <v>0</v>
      </c>
      <c r="U155" s="32" t="n"/>
      <c r="V155" s="30" t="n"/>
      <c r="W155" s="36" t="str">
        <f>IF(OR($U155="",$V155="",$I155=""),"",IF(AND($U155&lt;=$I155-4,$V155&gt;=$F155),1,0))</f>
        <v/>
      </c>
    </row>
    <row r="156">
      <c r="B156" s="28" t="inlineStr">
        <is>
          <t>M6</t>
        </is>
      </c>
      <c r="C156" s="29" t="n"/>
      <c r="D156" s="28" t="inlineStr">
        <is>
          <t>TH02</t>
        </is>
      </c>
      <c r="E156" s="28" t="n">
        <v>7735945942</v>
      </c>
      <c r="F156" s="30" t="n">
        <v>7182</v>
      </c>
      <c r="G156" s="68" t="n">
        <v>0</v>
      </c>
      <c r="H156" s="31">
        <f>IF(OR(D156="",E156=""),"",IFERROR(F156-G156,"-"))</f>
        <v>7182</v>
      </c>
      <c r="I156" s="32" t="n">
        <v>46282</v>
      </c>
      <c r="J156" s="33">
        <f>IF(I156="","",IFERROR(WORKDAY.INTL(I156,-10,"0000001",Holidays!$A$6:$A$55),"-"))</f>
        <v>46270</v>
      </c>
      <c r="K156" s="30" t="n">
        <v>4</v>
      </c>
      <c r="L156" s="30" t="n">
        <v>850</v>
      </c>
      <c r="M156" s="34">
        <f>IF(OR(D156="",E156="",F156="",K156="",L156=""),"",IFERROR(ROUNDUP(H156/(K156*L156),0),"-"))</f>
        <v>3</v>
      </c>
      <c r="N156" s="33" t="n">
        <v>46282</v>
      </c>
      <c r="O156" s="32">
        <f t="array" ref="O156">IF(OR($D156="",$E156=""),"",IF($N156&lt;&gt;"",$N156,IFERROR(WORKDAY.INTL(LOOKUP(2,1/(($D$2:D155=$D156)*ISNUMBER($P$2:P155)),$P$2:P155),1,"0000001",Holidays!$A$6:$A$55),"")))</f>
        <v>46282</v>
      </c>
      <c r="P156" s="35">
        <f>IF(OR(O156="",H156="",K156="",L156=""),"",IFERROR(WORKDAY.INTL(O156-1,MAX(1,ROUNDUP(H156/(K156*L156),0)),"0000001",Holidays!$A$6:$A$55),"-"))</f>
        <v>46284</v>
      </c>
      <c r="Q156" s="33">
        <f>IF(P156="","",IFERROR(WORKDAY.INTL(P156,3,"0000001",Holidays!$A$6:$A$55),"-"))</f>
        <v>46288</v>
      </c>
      <c r="R156" s="34">
        <f>IF(OR(J156="",P156=""),"",IFERROR(NETWORKDAYS.INTL(P156+1,J156,"0000001",Holidays!$A$6:$A$55),"-"))</f>
        <v>-13</v>
      </c>
      <c r="S156" s="33">
        <f>IF(O156="","",IFERROR(WORKDAY.INTL(O156,-10,"0000001",Holidays!$A$6:$A$55),"-"))</f>
        <v>46270</v>
      </c>
      <c r="T156" s="36">
        <f>IF(OR(I156="",Q156=""),"",IF(Q156&lt;=I156-4,1,0))</f>
        <v>0</v>
      </c>
      <c r="U156" s="32" t="n"/>
      <c r="V156" s="30" t="n"/>
      <c r="W156" s="36" t="str">
        <f>IF(OR($U156="",$V156="",$I156=""),"",IF(AND($U156&lt;=$I156-4,$V156&gt;=$F156),1,0))</f>
        <v/>
      </c>
    </row>
    <row r="157">
      <c r="B157" s="28" t="inlineStr">
        <is>
          <t>M7</t>
        </is>
      </c>
      <c r="C157" s="29" t="n"/>
      <c r="D157" s="28" t="inlineStr">
        <is>
          <t>TH02</t>
        </is>
      </c>
      <c r="E157" s="28" t="n">
        <v>7673517982</v>
      </c>
      <c r="F157" s="30" t="n">
        <v>3464</v>
      </c>
      <c r="G157" s="68" t="n">
        <v>0</v>
      </c>
      <c r="H157" s="31">
        <f>IF(OR(D157="",E157=""),"",IFERROR(F157-G157,"-"))</f>
        <v>3464</v>
      </c>
      <c r="I157" s="32" t="n">
        <v>46309</v>
      </c>
      <c r="J157" s="33">
        <f>IF(I157="","",IFERROR(WORKDAY.INTL(I157,-10,"0000001",Holidays!$A$6:$A$55),"-"))</f>
        <v>46296</v>
      </c>
      <c r="K157" s="30" t="n">
        <v>4</v>
      </c>
      <c r="L157" s="30" t="n">
        <v>850</v>
      </c>
      <c r="M157" s="34">
        <f>IF(OR(D157="",E157="",F157="",K157="",L157=""),"",IFERROR(ROUNDUP(H157/(K157*L157),0),"-"))</f>
        <v>2</v>
      </c>
      <c r="N157" s="33" t="n">
        <v>46309</v>
      </c>
      <c r="O157" s="32">
        <f t="array" ref="O157">IF(OR($D157="",$E157=""),"",IF($N157&lt;&gt;"",$N157,IFERROR(WORKDAY.INTL(LOOKUP(2,1/(($D$2:D156=$D157)*ISNUMBER($P$2:P156)),$P$2:P156),1,"0000001",Holidays!$A$6:$A$55),"")))</f>
        <v>46309</v>
      </c>
      <c r="P157" s="35">
        <f>IF(OR(O157="",H157="",K157="",L157=""),"",IFERROR(WORKDAY.INTL(O157-1,MAX(1,ROUNDUP(H157/(K157*L157),0)),"0000001",Holidays!$A$6:$A$55),"-"))</f>
        <v>46310</v>
      </c>
      <c r="Q157" s="33">
        <f>IF(P157="","",IFERROR(WORKDAY.INTL(P157,3,"0000001",Holidays!$A$6:$A$55),"-"))</f>
        <v>46314</v>
      </c>
      <c r="R157" s="34">
        <f>IF(OR(J157="",P157=""),"",IFERROR(NETWORKDAYS.INTL(P157+1,J157,"0000001",Holidays!$A$6:$A$55),"-"))</f>
        <v>-13</v>
      </c>
      <c r="S157" s="33">
        <f>IF(O157="","",IFERROR(WORKDAY.INTL(O157,-10,"0000001",Holidays!$A$6:$A$55),"-"))</f>
        <v>46296</v>
      </c>
      <c r="T157" s="36">
        <f>IF(OR(I157="",Q157=""),"",IF(Q157&lt;=I157-4,1,0))</f>
        <v>0</v>
      </c>
      <c r="U157" s="32" t="n"/>
      <c r="V157" s="30" t="n"/>
      <c r="W157" s="36" t="str">
        <f>IF(OR($U157="",$V157="",$I157=""),"",IF(AND($U157&lt;=$I157-4,$V157&gt;=$F157),1,0))</f>
        <v/>
      </c>
    </row>
    <row r="158">
      <c r="B158" s="28" t="inlineStr">
        <is>
          <t>M7</t>
        </is>
      </c>
      <c r="C158" s="29" t="n"/>
      <c r="D158" s="28" t="inlineStr">
        <is>
          <t>TH02</t>
        </is>
      </c>
      <c r="E158" s="28" t="n">
        <v>7476533018</v>
      </c>
      <c r="F158" s="30" t="n">
        <v>5584</v>
      </c>
      <c r="G158" s="68" t="n">
        <v>0</v>
      </c>
      <c r="H158" s="31">
        <f>IF(OR(D158="",E158=""),"",IFERROR(F158-G158,"-"))</f>
        <v>5584</v>
      </c>
      <c r="I158" s="32" t="n">
        <v>46309</v>
      </c>
      <c r="J158" s="33">
        <f>IF(I158="","",IFERROR(WORKDAY.INTL(I158,-10,"0000001",Holidays!$A$6:$A$55),"-"))</f>
        <v>46296</v>
      </c>
      <c r="K158" s="30" t="n">
        <v>4</v>
      </c>
      <c r="L158" s="30" t="n">
        <v>850</v>
      </c>
      <c r="M158" s="34">
        <f>IF(OR(D158="",E158="",F158="",K158="",L158=""),"",IFERROR(ROUNDUP(H158/(K158*L158),0),"-"))</f>
        <v>2</v>
      </c>
      <c r="N158" s="33" t="n">
        <v>46309</v>
      </c>
      <c r="O158" s="32">
        <f t="array" ref="O158">IF(OR($D158="",$E158=""),"",IF($N158&lt;&gt;"",$N158,IFERROR(WORKDAY.INTL(LOOKUP(2,1/(($D$2:D157=$D158)*ISNUMBER($P$2:P157)),$P$2:P157),1,"0000001",Holidays!$A$6:$A$55),"")))</f>
        <v>46309</v>
      </c>
      <c r="P158" s="35">
        <f>IF(OR(O158="",H158="",K158="",L158=""),"",IFERROR(WORKDAY.INTL(O158-1,MAX(1,ROUNDUP(H158/(K158*L158),0)),"0000001",Holidays!$A$6:$A$55),"-"))</f>
        <v>46310</v>
      </c>
      <c r="Q158" s="33">
        <f>IF(P158="","",IFERROR(WORKDAY.INTL(P158,3,"0000001",Holidays!$A$6:$A$55),"-"))</f>
        <v>46314</v>
      </c>
      <c r="R158" s="34">
        <f>IF(OR(J158="",P158=""),"",IFERROR(NETWORKDAYS.INTL(P158+1,J158,"0000001",Holidays!$A$6:$A$55),"-"))</f>
        <v>-13</v>
      </c>
      <c r="S158" s="33">
        <f>IF(O158="","",IFERROR(WORKDAY.INTL(O158,-10,"0000001",Holidays!$A$6:$A$55),"-"))</f>
        <v>46296</v>
      </c>
      <c r="T158" s="36">
        <f>IF(OR(I158="",Q158=""),"",IF(Q158&lt;=I158-4,1,0))</f>
        <v>0</v>
      </c>
      <c r="U158" s="32" t="n"/>
      <c r="V158" s="30" t="n"/>
      <c r="W158" s="36" t="str">
        <f>IF(OR($U158="",$V158="",$I158=""),"",IF(AND($U158&lt;=$I158-4,$V158&gt;=$F158),1,0))</f>
        <v/>
      </c>
    </row>
    <row r="159">
      <c r="B159" s="28" t="inlineStr">
        <is>
          <t>M7</t>
        </is>
      </c>
      <c r="C159" s="29" t="n"/>
      <c r="D159" s="28" t="inlineStr">
        <is>
          <t>TH06</t>
        </is>
      </c>
      <c r="E159" s="28" t="n">
        <v>7147565668</v>
      </c>
      <c r="F159" s="30" t="n">
        <v>15938</v>
      </c>
      <c r="G159" s="68" t="n">
        <v>0</v>
      </c>
      <c r="H159" s="31">
        <f>IF(OR(D159="",E159=""),"",IFERROR(F159-G159,"-"))</f>
        <v>15938</v>
      </c>
      <c r="I159" s="32" t="n">
        <v>46309</v>
      </c>
      <c r="J159" s="33">
        <f>IF(I159="","",IFERROR(WORKDAY.INTL(I159,-10,"0000001",Holidays!$A$6:$A$55),"-"))</f>
        <v>46296</v>
      </c>
      <c r="K159" s="30" t="n">
        <v>4</v>
      </c>
      <c r="L159" s="30" t="n">
        <v>850</v>
      </c>
      <c r="M159" s="34">
        <f>IF(OR(D159="",E159="",F159="",K159="",L159=""),"",IFERROR(ROUNDUP(H159/(K159*L159),0),"-"))</f>
        <v>5</v>
      </c>
      <c r="N159" s="33" t="n">
        <v>46309</v>
      </c>
      <c r="O159" s="32">
        <f t="array" ref="O159">IF(OR($D159="",$E159=""),"",IF($N159&lt;&gt;"",$N159,IFERROR(WORKDAY.INTL(LOOKUP(2,1/(($D$2:D158=$D159)*ISNUMBER($P$2:P158)),$P$2:P158),1,"0000001",Holidays!$A$6:$A$55),"")))</f>
        <v>46309</v>
      </c>
      <c r="P159" s="35">
        <f>IF(OR(O159="",H159="",K159="",L159=""),"",IFERROR(WORKDAY.INTL(O159-1,MAX(1,ROUNDUP(H159/(K159*L159),0)),"0000001",Holidays!$A$6:$A$55),"-"))</f>
        <v>46314</v>
      </c>
      <c r="Q159" s="33">
        <f>IF(P159="","",IFERROR(WORKDAY.INTL(P159,3,"0000001",Holidays!$A$6:$A$55),"-"))</f>
        <v>46318</v>
      </c>
      <c r="R159" s="34">
        <f>IF(OR(J159="",P159=""),"",IFERROR(NETWORKDAYS.INTL(P159+1,J159,"0000001",Holidays!$A$6:$A$55),"-"))</f>
        <v>-15</v>
      </c>
      <c r="S159" s="33">
        <f>IF(O159="","",IFERROR(WORKDAY.INTL(O159,-10,"0000001",Holidays!$A$6:$A$55),"-"))</f>
        <v>46296</v>
      </c>
      <c r="T159" s="36">
        <f>IF(OR(I159="",Q159=""),"",IF(Q159&lt;=I159-4,1,0))</f>
        <v>0</v>
      </c>
      <c r="U159" s="32" t="n"/>
      <c r="V159" s="30" t="n"/>
      <c r="W159" s="36" t="str">
        <f>IF(OR($U159="",$V159="",$I159=""),"",IF(AND($U159&lt;=$I159-4,$V159&gt;=$F159),1,0))</f>
        <v/>
      </c>
    </row>
    <row r="160">
      <c r="B160" s="28" t="inlineStr">
        <is>
          <t>M7</t>
        </is>
      </c>
      <c r="C160" s="29" t="n"/>
      <c r="D160" s="28" t="inlineStr">
        <is>
          <t>TH06</t>
        </is>
      </c>
      <c r="E160" s="28" t="n">
        <v>7663426096</v>
      </c>
      <c r="F160" s="30" t="n">
        <v>12125</v>
      </c>
      <c r="G160" s="68" t="n">
        <v>0</v>
      </c>
      <c r="H160" s="31">
        <f>IF(OR(D160="",E160=""),"",IFERROR(F160-G160,"-"))</f>
        <v>12125</v>
      </c>
      <c r="I160" s="32" t="n">
        <v>46309</v>
      </c>
      <c r="J160" s="33">
        <f>IF(I160="","",IFERROR(WORKDAY.INTL(I160,-10,"0000001",Holidays!$A$6:$A$55),"-"))</f>
        <v>46296</v>
      </c>
      <c r="K160" s="30" t="n">
        <v>4</v>
      </c>
      <c r="L160" s="30" t="n">
        <v>850</v>
      </c>
      <c r="M160" s="34">
        <f>IF(OR(D160="",E160="",F160="",K160="",L160=""),"",IFERROR(ROUNDUP(H160/(K160*L160),0),"-"))</f>
        <v>4</v>
      </c>
      <c r="N160" s="33" t="n">
        <v>46309</v>
      </c>
      <c r="O160" s="32">
        <f t="array" ref="O160">IF(OR($D160="",$E160=""),"",IF($N160&lt;&gt;"",$N160,IFERROR(WORKDAY.INTL(LOOKUP(2,1/(($D$2:D159=$D160)*ISNUMBER($P$2:P159)),$P$2:P159),1,"0000001",Holidays!$A$6:$A$55),"")))</f>
        <v>46309</v>
      </c>
      <c r="P160" s="35">
        <f>IF(OR(O160="",H160="",K160="",L160=""),"",IFERROR(WORKDAY.INTL(O160-1,MAX(1,ROUNDUP(H160/(K160*L160),0)),"0000001",Holidays!$A$6:$A$55),"-"))</f>
        <v>46312</v>
      </c>
      <c r="Q160" s="33">
        <f>IF(P160="","",IFERROR(WORKDAY.INTL(P160,3,"0000001",Holidays!$A$6:$A$55),"-"))</f>
        <v>46317</v>
      </c>
      <c r="R160" s="34">
        <f>IF(OR(J160="",P160=""),"",IFERROR(NETWORKDAYS.INTL(P160+1,J160,"0000001",Holidays!$A$6:$A$55),"-"))</f>
        <v>-14</v>
      </c>
      <c r="S160" s="33">
        <f>IF(O160="","",IFERROR(WORKDAY.INTL(O160,-10,"0000001",Holidays!$A$6:$A$55),"-"))</f>
        <v>46296</v>
      </c>
      <c r="T160" s="36">
        <f>IF(OR(I160="",Q160=""),"",IF(Q160&lt;=I160-4,1,0))</f>
        <v>0</v>
      </c>
      <c r="U160" s="32" t="n"/>
      <c r="V160" s="30" t="n"/>
      <c r="W160" s="36" t="str">
        <f>IF(OR($U160="",$V160="",$I160=""),"",IF(AND($U160&lt;=$I160-4,$V160&gt;=$F160),1,0))</f>
        <v/>
      </c>
    </row>
    <row r="161">
      <c r="B161" s="28" t="inlineStr">
        <is>
          <t>M7</t>
        </is>
      </c>
      <c r="C161" s="29" t="n"/>
      <c r="D161" s="28" t="inlineStr">
        <is>
          <t>TH07</t>
        </is>
      </c>
      <c r="E161" s="28" t="n">
        <v>7290518147</v>
      </c>
      <c r="F161" s="30" t="n">
        <v>2805</v>
      </c>
      <c r="G161" s="68" t="n">
        <v>0</v>
      </c>
      <c r="H161" s="31">
        <f>IF(OR(D161="",E161=""),"",IFERROR(F161-G161,"-"))</f>
        <v>2805</v>
      </c>
      <c r="I161" s="32" t="n">
        <v>46309</v>
      </c>
      <c r="J161" s="33">
        <f>IF(I161="","",IFERROR(WORKDAY.INTL(I161,-10,"0000001",Holidays!$A$6:$A$55),"-"))</f>
        <v>46296</v>
      </c>
      <c r="K161" s="30" t="n">
        <v>4</v>
      </c>
      <c r="L161" s="30" t="n">
        <v>850</v>
      </c>
      <c r="M161" s="34">
        <f>IF(OR(D161="",E161="",F161="",K161="",L161=""),"",IFERROR(ROUNDUP(H161/(K161*L161),0),"-"))</f>
        <v>1</v>
      </c>
      <c r="N161" s="33" t="n">
        <v>46309</v>
      </c>
      <c r="O161" s="32">
        <f t="array" ref="O161">IF(OR($D161="",$E161=""),"",IF($N161&lt;&gt;"",$N161,IFERROR(WORKDAY.INTL(LOOKUP(2,1/(($D$2:D160=$D161)*ISNUMBER($P$2:P160)),$P$2:P160),1,"0000001",Holidays!$A$6:$A$55),"")))</f>
        <v>46309</v>
      </c>
      <c r="P161" s="35">
        <f>IF(OR(O161="",H161="",K161="",L161=""),"",IFERROR(WORKDAY.INTL(O161-1,MAX(1,ROUNDUP(H161/(K161*L161),0)),"0000001",Holidays!$A$6:$A$55),"-"))</f>
        <v>46309</v>
      </c>
      <c r="Q161" s="33">
        <f>IF(P161="","",IFERROR(WORKDAY.INTL(P161,3,"0000001",Holidays!$A$6:$A$55),"-"))</f>
        <v>46312</v>
      </c>
      <c r="R161" s="34">
        <f>IF(OR(J161="",P161=""),"",IFERROR(NETWORKDAYS.INTL(P161+1,J161,"0000001",Holidays!$A$6:$A$55),"-"))</f>
        <v>-12</v>
      </c>
      <c r="S161" s="33">
        <f>IF(O161="","",IFERROR(WORKDAY.INTL(O161,-10,"0000001",Holidays!$A$6:$A$55),"-"))</f>
        <v>46296</v>
      </c>
      <c r="T161" s="36">
        <f>IF(OR(I161="",Q161=""),"",IF(Q161&lt;=I161-4,1,0))</f>
        <v>0</v>
      </c>
      <c r="U161" s="32" t="n"/>
      <c r="V161" s="30" t="n"/>
      <c r="W161" s="36" t="str">
        <f>IF(OR($U161="",$V161="",$I161=""),"",IF(AND($U161&lt;=$I161-4,$V161&gt;=$F161),1,0))</f>
        <v/>
      </c>
    </row>
    <row r="162">
      <c r="B162" s="28" t="inlineStr">
        <is>
          <t>M7</t>
        </is>
      </c>
      <c r="C162" s="29" t="n"/>
      <c r="D162" s="28" t="inlineStr">
        <is>
          <t>TH07</t>
        </is>
      </c>
      <c r="E162" s="28" t="n">
        <v>7012259170</v>
      </c>
      <c r="F162" s="30" t="n">
        <v>956</v>
      </c>
      <c r="G162" s="68" t="n">
        <v>0</v>
      </c>
      <c r="H162" s="31">
        <f>IF(OR(D162="",E162=""),"",IFERROR(F162-G162,"-"))</f>
        <v>956</v>
      </c>
      <c r="I162" s="32" t="n">
        <v>46309</v>
      </c>
      <c r="J162" s="33">
        <f>IF(I162="","",IFERROR(WORKDAY.INTL(I162,-10,"0000001",Holidays!$A$6:$A$55),"-"))</f>
        <v>46296</v>
      </c>
      <c r="K162" s="30" t="n">
        <v>4</v>
      </c>
      <c r="L162" s="30" t="n">
        <v>850</v>
      </c>
      <c r="M162" s="34">
        <f>IF(OR(D162="",E162="",F162="",K162="",L162=""),"",IFERROR(ROUNDUP(H162/(K162*L162),0),"-"))</f>
        <v>1</v>
      </c>
      <c r="N162" s="33" t="n">
        <v>46309</v>
      </c>
      <c r="O162" s="32">
        <f t="array" ref="O162">IF(OR($D162="",$E162=""),"",IF($N162&lt;&gt;"",$N162,IFERROR(WORKDAY.INTL(LOOKUP(2,1/(($D$2:D161=$D162)*ISNUMBER($P$2:P161)),$P$2:P161),1,"0000001",Holidays!$A$6:$A$55),"")))</f>
        <v>46309</v>
      </c>
      <c r="P162" s="35">
        <f>IF(OR(O162="",H162="",K162="",L162=""),"",IFERROR(WORKDAY.INTL(O162-1,MAX(1,ROUNDUP(H162/(K162*L162),0)),"0000001",Holidays!$A$6:$A$55),"-"))</f>
        <v>46309</v>
      </c>
      <c r="Q162" s="33">
        <f>IF(P162="","",IFERROR(WORKDAY.INTL(P162,3,"0000001",Holidays!$A$6:$A$55),"-"))</f>
        <v>46312</v>
      </c>
      <c r="R162" s="34">
        <f>IF(OR(J162="",P162=""),"",IFERROR(NETWORKDAYS.INTL(P162+1,J162,"0000001",Holidays!$A$6:$A$55),"-"))</f>
        <v>-12</v>
      </c>
      <c r="S162" s="33">
        <f>IF(O162="","",IFERROR(WORKDAY.INTL(O162,-10,"0000001",Holidays!$A$6:$A$55),"-"))</f>
        <v>46296</v>
      </c>
      <c r="T162" s="36">
        <f>IF(OR(I162="",Q162=""),"",IF(Q162&lt;=I162-4,1,0))</f>
        <v>0</v>
      </c>
      <c r="U162" s="32" t="n"/>
      <c r="V162" s="30" t="n"/>
      <c r="W162" s="36" t="str">
        <f>IF(OR($U162="",$V162="",$I162=""),"",IF(AND($U162&lt;=$I162-4,$V162&gt;=$F162),1,0))</f>
        <v/>
      </c>
    </row>
    <row r="163">
      <c r="B163" s="28" t="inlineStr">
        <is>
          <t>M5</t>
        </is>
      </c>
      <c r="C163" s="29" t="n"/>
      <c r="D163" s="28" t="inlineStr">
        <is>
          <t>TH01</t>
        </is>
      </c>
      <c r="E163" s="28" t="n">
        <v>7805283513</v>
      </c>
      <c r="F163" s="30" t="n">
        <v>6672</v>
      </c>
      <c r="G163" s="68" t="n">
        <v>6266</v>
      </c>
      <c r="H163" s="31">
        <f>IF(OR(D163="",E163=""),"",IFERROR(F163-G163,"-"))</f>
        <v>406</v>
      </c>
      <c r="I163" s="32" t="n">
        <v>46254</v>
      </c>
      <c r="J163" s="33">
        <f>IF(I163="","",IFERROR(WORKDAY.INTL(I163,-10,"0000001",Holidays!$A$6:$A$55),"-"))</f>
        <v>46241</v>
      </c>
      <c r="K163" s="30" t="n">
        <v>4</v>
      </c>
      <c r="L163" s="30" t="n">
        <v>850</v>
      </c>
      <c r="M163" s="34">
        <f>IF(OR(D163="",E163="",F163="",K163="",L163=""),"",IFERROR(ROUNDUP(H163/(K163*L163),0),"-"))</f>
        <v>1</v>
      </c>
      <c r="N163" s="33" t="n">
        <v>46254</v>
      </c>
      <c r="O163" s="32">
        <f t="array" ref="O163">IF(OR($D163="",$E163=""),"",IF($N163&lt;&gt;"",$N163,IFERROR(WORKDAY.INTL(LOOKUP(2,1/(($D$2:D162=$D163)*ISNUMBER($P$2:P162)),$P$2:P162),1,"0000001",Holidays!$A$6:$A$55),"")))</f>
        <v>46254</v>
      </c>
      <c r="P163" s="35">
        <f>IF(OR(O163="",H163="",K163="",L163=""),"",IFERROR(WORKDAY.INTL(O163-1,MAX(1,ROUNDUP(H163/(K163*L163),0)),"0000001",Holidays!$A$6:$A$55),"-"))</f>
        <v>46254</v>
      </c>
      <c r="Q163" s="33">
        <f>IF(P163="","",IFERROR(WORKDAY.INTL(P163,3,"0000001",Holidays!$A$6:$A$55),"-"))</f>
        <v>46258</v>
      </c>
      <c r="R163" s="34">
        <f>IF(OR(J163="",P163=""),"",IFERROR(NETWORKDAYS.INTL(P163+1,J163,"0000001",Holidays!$A$6:$A$55),"-"))</f>
        <v>-12</v>
      </c>
      <c r="S163" s="33">
        <f>IF(O163="","",IFERROR(WORKDAY.INTL(O163,-10,"0000001",Holidays!$A$6:$A$55),"-"))</f>
        <v>46241</v>
      </c>
      <c r="T163" s="36">
        <f>IF(OR(I163="",Q163=""),"",IF(Q163&lt;=I163-4,1,0))</f>
        <v>0</v>
      </c>
      <c r="U163" s="32" t="n"/>
      <c r="V163" s="30" t="n"/>
      <c r="W163" s="36" t="str">
        <f>IF(OR($U163="",$V163="",$I163=""),"",IF(AND($U163&lt;=$I163-4,$V163&gt;=$F163),1,0))</f>
        <v/>
      </c>
    </row>
    <row r="164">
      <c r="B164" s="28" t="inlineStr">
        <is>
          <t>M5</t>
        </is>
      </c>
      <c r="C164" s="29" t="n"/>
      <c r="D164" s="28" t="inlineStr">
        <is>
          <t>TH01</t>
        </is>
      </c>
      <c r="E164" s="28" t="n">
        <v>7849081934</v>
      </c>
      <c r="F164" s="30" t="n">
        <v>2975</v>
      </c>
      <c r="G164" s="68" t="n">
        <v>2975</v>
      </c>
      <c r="H164" s="31">
        <f>IF(OR(D164="",E164=""),"",IFERROR(F164-G164,"-"))</f>
        <v>0</v>
      </c>
      <c r="I164" s="32" t="n">
        <v>46254</v>
      </c>
      <c r="J164" s="33">
        <f>IF(I164="","",IFERROR(WORKDAY.INTL(I164,-10,"0000001",Holidays!$A$6:$A$55),"-"))</f>
        <v>46241</v>
      </c>
      <c r="K164" s="30" t="n">
        <v>4</v>
      </c>
      <c r="L164" s="30" t="n">
        <v>850</v>
      </c>
      <c r="M164" s="34">
        <f>IF(OR(D164="",E164="",F164="",K164="",L164=""),"",IFERROR(ROUNDUP(H164/(K164*L164),0),"-"))</f>
        <v>0</v>
      </c>
      <c r="N164" s="33" t="n">
        <v>46254</v>
      </c>
      <c r="O164" s="32">
        <f t="array" ref="O164">IF(OR($D164="",$E164=""),"",IF($N164&lt;&gt;"",$N164,IFERROR(WORKDAY.INTL(LOOKUP(2,1/(($D$2:D163=$D164)*ISNUMBER($P$2:P163)),$P$2:P163),1,"0000001",Holidays!$A$6:$A$55),"")))</f>
        <v>46254</v>
      </c>
      <c r="P164" s="35">
        <f>IF(OR(O164="",H164="",K164="",L164=""),"",IFERROR(WORKDAY.INTL(O164-1,MAX(1,ROUNDUP(H164/(K164*L164),0)),"0000001",Holidays!$A$6:$A$55),"-"))</f>
        <v>46254</v>
      </c>
      <c r="Q164" s="33">
        <f>IF(P164="","",IFERROR(WORKDAY.INTL(P164,3,"0000001",Holidays!$A$6:$A$55),"-"))</f>
        <v>46258</v>
      </c>
      <c r="R164" s="34">
        <f>IF(OR(J164="",P164=""),"",IFERROR(NETWORKDAYS.INTL(P164+1,J164,"0000001",Holidays!$A$6:$A$55),"-"))</f>
        <v>-12</v>
      </c>
      <c r="S164" s="33">
        <f>IF(O164="","",IFERROR(WORKDAY.INTL(O164,-10,"0000001",Holidays!$A$6:$A$55),"-"))</f>
        <v>46241</v>
      </c>
      <c r="T164" s="36">
        <f>IF(OR(I164="",Q164=""),"",IF(Q164&lt;=I164-4,1,0))</f>
        <v>0</v>
      </c>
      <c r="U164" s="32" t="n"/>
      <c r="V164" s="30" t="n"/>
      <c r="W164" s="36" t="str">
        <f>IF(OR($U164="",$V164="",$I164=""),"",IF(AND($U164&lt;=$I164-4,$V164&gt;=$F164),1,0))</f>
        <v/>
      </c>
    </row>
    <row r="165">
      <c r="B165" s="28" t="inlineStr">
        <is>
          <t>M6</t>
        </is>
      </c>
      <c r="C165" s="29" t="n"/>
      <c r="D165" s="28" t="inlineStr">
        <is>
          <t>TH01</t>
        </is>
      </c>
      <c r="E165" s="28" t="n">
        <v>7305497885</v>
      </c>
      <c r="F165" s="30" t="n">
        <v>8861</v>
      </c>
      <c r="G165" s="68" t="n">
        <v>0</v>
      </c>
      <c r="H165" s="31">
        <f>IF(OR(D165="",E165=""),"",IFERROR(F165-G165,"-"))</f>
        <v>8861</v>
      </c>
      <c r="I165" s="32" t="n">
        <v>46282</v>
      </c>
      <c r="J165" s="33">
        <f>IF(I165="","",IFERROR(WORKDAY.INTL(I165,-10,"0000001",Holidays!$A$6:$A$55),"-"))</f>
        <v>46270</v>
      </c>
      <c r="K165" s="30" t="n">
        <v>4</v>
      </c>
      <c r="L165" s="30" t="n">
        <v>850</v>
      </c>
      <c r="M165" s="34">
        <f>IF(OR(D165="",E165="",F165="",K165="",L165=""),"",IFERROR(ROUNDUP(H165/(K165*L165),0),"-"))</f>
        <v>3</v>
      </c>
      <c r="N165" s="33" t="n">
        <v>46282</v>
      </c>
      <c r="O165" s="32">
        <f t="array" ref="O165">IF(OR($D165="",$E165=""),"",IF($N165&lt;&gt;"",$N165,IFERROR(WORKDAY.INTL(LOOKUP(2,1/(($D$2:D164=$D165)*ISNUMBER($P$2:P164)),$P$2:P164),1,"0000001",Holidays!$A$6:$A$55),"")))</f>
        <v>46282</v>
      </c>
      <c r="P165" s="35">
        <f>IF(OR(O165="",H165="",K165="",L165=""),"",IFERROR(WORKDAY.INTL(O165-1,MAX(1,ROUNDUP(H165/(K165*L165),0)),"0000001",Holidays!$A$6:$A$55),"-"))</f>
        <v>46284</v>
      </c>
      <c r="Q165" s="33">
        <f>IF(P165="","",IFERROR(WORKDAY.INTL(P165,3,"0000001",Holidays!$A$6:$A$55),"-"))</f>
        <v>46288</v>
      </c>
      <c r="R165" s="34">
        <f>IF(OR(J165="",P165=""),"",IFERROR(NETWORKDAYS.INTL(P165+1,J165,"0000001",Holidays!$A$6:$A$55),"-"))</f>
        <v>-13</v>
      </c>
      <c r="S165" s="33">
        <f>IF(O165="","",IFERROR(WORKDAY.INTL(O165,-10,"0000001",Holidays!$A$6:$A$55),"-"))</f>
        <v>46270</v>
      </c>
      <c r="T165" s="36">
        <f>IF(OR(I165="",Q165=""),"",IF(Q165&lt;=I165-4,1,0))</f>
        <v>0</v>
      </c>
      <c r="U165" s="32" t="n"/>
      <c r="V165" s="30" t="n"/>
      <c r="W165" s="36" t="str">
        <f>IF(OR($U165="",$V165="",$I165=""),"",IF(AND($U165&lt;=$I165-4,$V165&gt;=$F165),1,0))</f>
        <v/>
      </c>
    </row>
    <row r="166">
      <c r="B166" s="28" t="inlineStr">
        <is>
          <t>M6</t>
        </is>
      </c>
      <c r="C166" s="29" t="n"/>
      <c r="D166" s="28" t="inlineStr">
        <is>
          <t>TH01</t>
        </is>
      </c>
      <c r="E166" s="28" t="n">
        <v>7176995317</v>
      </c>
      <c r="F166" s="30" t="n">
        <v>3952</v>
      </c>
      <c r="G166" s="68" t="n">
        <v>0</v>
      </c>
      <c r="H166" s="31">
        <f>IF(OR(D166="",E166=""),"",IFERROR(F166-G166,"-"))</f>
        <v>3952</v>
      </c>
      <c r="I166" s="32" t="n">
        <v>46282</v>
      </c>
      <c r="J166" s="33">
        <f>IF(I166="","",IFERROR(WORKDAY.INTL(I166,-10,"0000001",Holidays!$A$6:$A$55),"-"))</f>
        <v>46270</v>
      </c>
      <c r="K166" s="30" t="n">
        <v>4</v>
      </c>
      <c r="L166" s="30" t="n">
        <v>850</v>
      </c>
      <c r="M166" s="34">
        <f>IF(OR(D166="",E166="",F166="",K166="",L166=""),"",IFERROR(ROUNDUP(H166/(K166*L166),0),"-"))</f>
        <v>2</v>
      </c>
      <c r="N166" s="33" t="n">
        <v>46282</v>
      </c>
      <c r="O166" s="32">
        <f t="array" ref="O166">IF(OR($D166="",$E166=""),"",IF($N166&lt;&gt;"",$N166,IFERROR(WORKDAY.INTL(LOOKUP(2,1/(($D$2:D165=$D166)*ISNUMBER($P$2:P165)),$P$2:P165),1,"0000001",Holidays!$A$6:$A$55),"")))</f>
        <v>46282</v>
      </c>
      <c r="P166" s="35">
        <f>IF(OR(O166="",H166="",K166="",L166=""),"",IFERROR(WORKDAY.INTL(O166-1,MAX(1,ROUNDUP(H166/(K166*L166),0)),"0000001",Holidays!$A$6:$A$55),"-"))</f>
        <v>46283</v>
      </c>
      <c r="Q166" s="33">
        <f>IF(P166="","",IFERROR(WORKDAY.INTL(P166,3,"0000001",Holidays!$A$6:$A$55),"-"))</f>
        <v>46287</v>
      </c>
      <c r="R166" s="34">
        <f>IF(OR(J166="",P166=""),"",IFERROR(NETWORKDAYS.INTL(P166+1,J166,"0000001",Holidays!$A$6:$A$55),"-"))</f>
        <v>-13</v>
      </c>
      <c r="S166" s="33">
        <f>IF(O166="","",IFERROR(WORKDAY.INTL(O166,-10,"0000001",Holidays!$A$6:$A$55),"-"))</f>
        <v>46270</v>
      </c>
      <c r="T166" s="36">
        <f>IF(OR(I166="",Q166=""),"",IF(Q166&lt;=I166-4,1,0))</f>
        <v>0</v>
      </c>
      <c r="U166" s="32" t="n"/>
      <c r="V166" s="30" t="n"/>
      <c r="W166" s="36" t="str">
        <f>IF(OR($U166="",$V166="",$I166=""),"",IF(AND($U166&lt;=$I166-4,$V166&gt;=$F166),1,0))</f>
        <v/>
      </c>
    </row>
    <row r="167">
      <c r="B167" s="28" t="inlineStr">
        <is>
          <t>M7</t>
        </is>
      </c>
      <c r="C167" s="29" t="n"/>
      <c r="D167" s="28" t="inlineStr">
        <is>
          <t>TH01</t>
        </is>
      </c>
      <c r="E167" s="28" t="n">
        <v>7373845001</v>
      </c>
      <c r="F167" s="30" t="n">
        <v>4378</v>
      </c>
      <c r="G167" s="68" t="n">
        <v>0</v>
      </c>
      <c r="H167" s="31">
        <f>IF(OR(D167="",E167=""),"",IFERROR(F167-G167,"-"))</f>
        <v>4378</v>
      </c>
      <c r="I167" s="32" t="n">
        <v>46309</v>
      </c>
      <c r="J167" s="33">
        <f>IF(I167="","",IFERROR(WORKDAY.INTL(I167,-10,"0000001",Holidays!$A$6:$A$55),"-"))</f>
        <v>46296</v>
      </c>
      <c r="K167" s="30" t="n">
        <v>4</v>
      </c>
      <c r="L167" s="30" t="n">
        <v>850</v>
      </c>
      <c r="M167" s="34">
        <f>IF(OR(D167="",E167="",F167="",K167="",L167=""),"",IFERROR(ROUNDUP(H167/(K167*L167),0),"-"))</f>
        <v>2</v>
      </c>
      <c r="N167" s="33" t="n">
        <v>46309</v>
      </c>
      <c r="O167" s="32">
        <f t="array" ref="O167">IF(OR($D167="",$E167=""),"",IF($N167&lt;&gt;"",$N167,IFERROR(WORKDAY.INTL(LOOKUP(2,1/(($D$2:D166=$D167)*ISNUMBER($P$2:P166)),$P$2:P166),1,"0000001",Holidays!$A$6:$A$55),"")))</f>
        <v>46309</v>
      </c>
      <c r="P167" s="35">
        <f>IF(OR(O167="",H167="",K167="",L167=""),"",IFERROR(WORKDAY.INTL(O167-1,MAX(1,ROUNDUP(H167/(K167*L167),0)),"0000001",Holidays!$A$6:$A$55),"-"))</f>
        <v>46310</v>
      </c>
      <c r="Q167" s="33">
        <f>IF(P167="","",IFERROR(WORKDAY.INTL(P167,3,"0000001",Holidays!$A$6:$A$55),"-"))</f>
        <v>46314</v>
      </c>
      <c r="R167" s="34">
        <f>IF(OR(J167="",P167=""),"",IFERROR(NETWORKDAYS.INTL(P167+1,J167,"0000001",Holidays!$A$6:$A$55),"-"))</f>
        <v>-13</v>
      </c>
      <c r="S167" s="33">
        <f>IF(O167="","",IFERROR(WORKDAY.INTL(O167,-10,"0000001",Holidays!$A$6:$A$55),"-"))</f>
        <v>46296</v>
      </c>
      <c r="T167" s="36">
        <f>IF(OR(I167="",Q167=""),"",IF(Q167&lt;=I167-4,1,0))</f>
        <v>0</v>
      </c>
      <c r="U167" s="32" t="n"/>
      <c r="V167" s="30" t="n"/>
      <c r="W167" s="36" t="str">
        <f>IF(OR($U167="",$V167="",$I167=""),"",IF(AND($U167&lt;=$I167-4,$V167&gt;=$F167),1,0))</f>
        <v/>
      </c>
    </row>
    <row r="168">
      <c r="B168" s="28" t="inlineStr">
        <is>
          <t>M7</t>
        </is>
      </c>
      <c r="C168" s="29" t="n"/>
      <c r="D168" s="28" t="inlineStr">
        <is>
          <t>TH01</t>
        </is>
      </c>
      <c r="E168" s="28" t="n">
        <v>7301720304</v>
      </c>
      <c r="F168" s="30" t="n">
        <v>2571</v>
      </c>
      <c r="G168" s="68" t="n">
        <v>0</v>
      </c>
      <c r="H168" s="31">
        <f>IF(OR(D168="",E168=""),"",IFERROR(F168-G168,"-"))</f>
        <v>2571</v>
      </c>
      <c r="I168" s="32" t="n">
        <v>46309</v>
      </c>
      <c r="J168" s="33">
        <f>IF(I168="","",IFERROR(WORKDAY.INTL(I168,-10,"0000001",Holidays!$A$6:$A$55),"-"))</f>
        <v>46296</v>
      </c>
      <c r="K168" s="30" t="n">
        <v>4</v>
      </c>
      <c r="L168" s="30" t="n">
        <v>850</v>
      </c>
      <c r="M168" s="34">
        <f>IF(OR(D168="",E168="",F168="",K168="",L168=""),"",IFERROR(ROUNDUP(H168/(K168*L168),0),"-"))</f>
        <v>1</v>
      </c>
      <c r="N168" s="33" t="n">
        <v>46309</v>
      </c>
      <c r="O168" s="32">
        <f t="array" ref="O168">IF(OR($D168="",$E168=""),"",IF($N168&lt;&gt;"",$N168,IFERROR(WORKDAY.INTL(LOOKUP(2,1/(($D$2:D167=$D168)*ISNUMBER($P$2:P167)),$P$2:P167),1,"0000001",Holidays!$A$6:$A$55),"")))</f>
        <v>46309</v>
      </c>
      <c r="P168" s="35">
        <f>IF(OR(O168="",H168="",K168="",L168=""),"",IFERROR(WORKDAY.INTL(O168-1,MAX(1,ROUNDUP(H168/(K168*L168),0)),"0000001",Holidays!$A$6:$A$55),"-"))</f>
        <v>46309</v>
      </c>
      <c r="Q168" s="33">
        <f>IF(P168="","",IFERROR(WORKDAY.INTL(P168,3,"0000001",Holidays!$A$6:$A$55),"-"))</f>
        <v>46312</v>
      </c>
      <c r="R168" s="34">
        <f>IF(OR(J168="",P168=""),"",IFERROR(NETWORKDAYS.INTL(P168+1,J168,"0000001",Holidays!$A$6:$A$55),"-"))</f>
        <v>-12</v>
      </c>
      <c r="S168" s="33">
        <f>IF(O168="","",IFERROR(WORKDAY.INTL(O168,-10,"0000001",Holidays!$A$6:$A$55),"-"))</f>
        <v>46296</v>
      </c>
      <c r="T168" s="36">
        <f>IF(OR(I168="",Q168=""),"",IF(Q168&lt;=I168-4,1,0))</f>
        <v>0</v>
      </c>
      <c r="U168" s="32" t="n"/>
      <c r="V168" s="30" t="n"/>
      <c r="W168" s="36" t="str">
        <f>IF(OR($U168="",$V168="",$I168=""),"",IF(AND($U168&lt;=$I168-4,$V168&gt;=$F168),1,0))</f>
        <v/>
      </c>
    </row>
    <row r="169">
      <c r="B169" s="28" t="inlineStr">
        <is>
          <t>M7</t>
        </is>
      </c>
      <c r="C169" s="29" t="n"/>
      <c r="D169" s="28" t="inlineStr">
        <is>
          <t>TH05</t>
        </is>
      </c>
      <c r="E169" s="28" t="n">
        <v>7373434405</v>
      </c>
      <c r="F169" s="30" t="n">
        <v>5716</v>
      </c>
      <c r="G169" s="68" t="n">
        <v>0</v>
      </c>
      <c r="H169" s="31">
        <f>IF(OR(D169="",E169=""),"",IFERROR(F169-G169,"-"))</f>
        <v>5716</v>
      </c>
      <c r="I169" s="32" t="n">
        <v>46309</v>
      </c>
      <c r="J169" s="33">
        <f>IF(I169="","",IFERROR(WORKDAY.INTL(I169,-10,"0000001",Holidays!$A$6:$A$55),"-"))</f>
        <v>46296</v>
      </c>
      <c r="K169" s="30" t="n">
        <v>4</v>
      </c>
      <c r="L169" s="30" t="n">
        <v>850</v>
      </c>
      <c r="M169" s="34">
        <f>IF(OR(D169="",E169="",F169="",K169="",L169=""),"",IFERROR(ROUNDUP(H169/(K169*L169),0),"-"))</f>
        <v>2</v>
      </c>
      <c r="N169" s="33" t="n">
        <v>46309</v>
      </c>
      <c r="O169" s="32">
        <f t="array" ref="O169">IF(OR($D169="",$E169=""),"",IF($N169&lt;&gt;"",$N169,IFERROR(WORKDAY.INTL(LOOKUP(2,1/(($D$2:D168=$D169)*ISNUMBER($P$2:P168)),$P$2:P168),1,"0000001",Holidays!$A$6:$A$55),"")))</f>
        <v>46309</v>
      </c>
      <c r="P169" s="35">
        <f>IF(OR(O169="",H169="",K169="",L169=""),"",IFERROR(WORKDAY.INTL(O169-1,MAX(1,ROUNDUP(H169/(K169*L169),0)),"0000001",Holidays!$A$6:$A$55),"-"))</f>
        <v>46310</v>
      </c>
      <c r="Q169" s="33">
        <f>IF(P169="","",IFERROR(WORKDAY.INTL(P169,3,"0000001",Holidays!$A$6:$A$55),"-"))</f>
        <v>46314</v>
      </c>
      <c r="R169" s="34">
        <f>IF(OR(J169="",P169=""),"",IFERROR(NETWORKDAYS.INTL(P169+1,J169,"0000001",Holidays!$A$6:$A$55),"-"))</f>
        <v>-13</v>
      </c>
      <c r="S169" s="33">
        <f>IF(O169="","",IFERROR(WORKDAY.INTL(O169,-10,"0000001",Holidays!$A$6:$A$55),"-"))</f>
        <v>46296</v>
      </c>
      <c r="T169" s="36">
        <f>IF(OR(I169="",Q169=""),"",IF(Q169&lt;=I169-4,1,0))</f>
        <v>0</v>
      </c>
      <c r="U169" s="32" t="n"/>
      <c r="V169" s="30" t="n"/>
      <c r="W169" s="36" t="str">
        <f>IF(OR($U169="",$V169="",$I169=""),"",IF(AND($U169&lt;=$I169-4,$V169&gt;=$F169),1,0))</f>
        <v/>
      </c>
    </row>
    <row r="170" ht="15.75" customHeight="1" thickBot="1">
      <c r="B170" s="37" t="inlineStr">
        <is>
          <t>M7</t>
        </is>
      </c>
      <c r="C170" s="38" t="n"/>
      <c r="D170" s="37" t="inlineStr">
        <is>
          <t>TH05</t>
        </is>
      </c>
      <c r="E170" s="37" t="n">
        <v>7758243055</v>
      </c>
      <c r="F170" s="39" t="n">
        <v>8798</v>
      </c>
      <c r="G170" s="66" t="n">
        <v>0</v>
      </c>
      <c r="H170" s="40">
        <f>IF(OR(D170="",E170=""),"",IFERROR(F170-G170,"-"))</f>
        <v>8798</v>
      </c>
      <c r="I170" s="41" t="n">
        <v>46309</v>
      </c>
      <c r="J170" s="42">
        <f>IF(I170="","",IFERROR(WORKDAY.INTL(I170,-10,"0000001",Holidays!$A$6:$A$55),"-"))</f>
        <v>46296</v>
      </c>
      <c r="K170" s="39" t="n">
        <v>4</v>
      </c>
      <c r="L170" s="39" t="n">
        <v>850</v>
      </c>
      <c r="M170" s="43">
        <f>IF(OR(D170="",E170="",F170="",K170="",L170=""),"",IFERROR(ROUNDUP(H170/(K170*L170),0),"-"))</f>
        <v>3</v>
      </c>
      <c r="N170" s="42" t="n">
        <v>46309</v>
      </c>
      <c r="O170" s="41">
        <f t="array" ref="O170">IF(OR($D170="",$E170=""),"",IF($N170&lt;&gt;"",$N170,IFERROR(WORKDAY.INTL(LOOKUP(2,1/(($D$2:D169=$D170)*ISNUMBER($P$2:P169)),$P$2:P169),1,"0000001",Holidays!$A$6:$A$55),"")))</f>
        <v>46309</v>
      </c>
      <c r="P170" s="44">
        <f>IF(OR(O170="",H170="",K170="",L170=""),"",IFERROR(WORKDAY.INTL(O170-1,MAX(1,ROUNDUP(H170/(K170*L170),0)),"0000001",Holidays!$A$6:$A$55),"-"))</f>
        <v>46311</v>
      </c>
      <c r="Q170" s="42">
        <f>IF(P170="","",IFERROR(WORKDAY.INTL(P170,3,"0000001",Holidays!$A$6:$A$55),"-"))</f>
        <v>46316</v>
      </c>
      <c r="R170" s="43">
        <f>IF(OR(J170="",P170=""),"",IFERROR(NETWORKDAYS.INTL(P170+1,J170,"0000001",Holidays!$A$6:$A$55),"-"))</f>
        <v>-14</v>
      </c>
      <c r="S170" s="42">
        <f>IF(O170="","",IFERROR(WORKDAY.INTL(O170,-10,"0000001",Holidays!$A$6:$A$55),"-"))</f>
        <v>46296</v>
      </c>
      <c r="T170" s="45">
        <f>IF(OR(I170="",Q170=""),"",IF(Q170&lt;=I170-4,1,0))</f>
        <v>0</v>
      </c>
      <c r="U170" s="41" t="n"/>
      <c r="V170" s="39" t="n"/>
      <c r="W170" s="45" t="str">
        <f>IF(OR($U170="",$V170="",$I170=""),"",IF(AND($U170&lt;=$I170-4,$V170&gt;=$F170),1,0))</f>
        <v/>
      </c>
    </row>
    <row r="171">
      <c r="B171" s="28" t="inlineStr">
        <is>
          <t>M5</t>
        </is>
      </c>
      <c r="C171" s="29" t="n"/>
      <c r="D171" s="28" t="n">
        <v>5520</v>
      </c>
      <c r="E171" s="28" t="n">
        <v>7713625537</v>
      </c>
      <c r="F171" s="30" t="n">
        <v>11071</v>
      </c>
      <c r="G171" s="68" t="n">
        <v>11071</v>
      </c>
      <c r="H171" s="31">
        <f>IF(OR(D171="",E171=""),"",IFERROR(F171-G171,"-"))</f>
        <v>0</v>
      </c>
      <c r="I171" s="32" t="n">
        <v>46254</v>
      </c>
      <c r="J171" s="33">
        <f>IF(I171="","",IFERROR(WORKDAY.INTL(I171,-10,"0000001",Holidays!$A$6:$A$55),"-"))</f>
        <v>46241</v>
      </c>
      <c r="K171" s="30" t="n">
        <v>4</v>
      </c>
      <c r="L171" s="30" t="n">
        <v>850</v>
      </c>
      <c r="M171" s="34">
        <f>IF(OR(D171="",E171="",F171="",K171="",L171=""),"",IFERROR(ROUNDUP(H171/(K171*L171),0),"-"))</f>
        <v>0</v>
      </c>
      <c r="N171" s="33" t="n">
        <v>46254</v>
      </c>
      <c r="O171" s="32">
        <f t="array" ref="O171">IF(OR($D171="",$E171=""),"",IF($N171&lt;&gt;"",$N171,IFERROR(WORKDAY.INTL(LOOKUP(2,1/(($D$2:D170=$D171)*ISNUMBER($P$2:P170)),$P$2:P170),1,"0000001",Holidays!$A$6:$A$55),"")))</f>
        <v>46254</v>
      </c>
      <c r="P171" s="35">
        <f>IF(OR(O171="",H171="",K171="",L171=""),"",IFERROR(WORKDAY.INTL(O171-1,MAX(1,ROUNDUP(H171/(K171*L171),0)),"0000001",Holidays!$A$6:$A$55),"-"))</f>
        <v>46254</v>
      </c>
      <c r="Q171" s="33">
        <f>IF(P171="","",IFERROR(WORKDAY.INTL(P171,3,"0000001",Holidays!$A$6:$A$55),"-"))</f>
        <v>46258</v>
      </c>
      <c r="R171" s="34">
        <f>IF(OR(J171="",P171=""),"",IFERROR(NETWORKDAYS.INTL(P171+1,J171,"0000001",Holidays!$A$6:$A$55),"-"))</f>
        <v>-12</v>
      </c>
      <c r="S171" s="33">
        <f>IF(O171="","",IFERROR(WORKDAY.INTL(O171,-10,"0000001",Holidays!$A$6:$A$55),"-"))</f>
        <v>46241</v>
      </c>
      <c r="T171" s="36">
        <f>IF(OR(I171="",Q171=""),"",IF(Q171&lt;=I171-4,1,0))</f>
        <v>0</v>
      </c>
      <c r="U171" s="32" t="n"/>
      <c r="V171" s="30" t="n"/>
      <c r="W171" s="36" t="str">
        <f>IF(OR($U171="",$V171="",$I171=""),"",IF(AND($U171&lt;=$I171-4,$V171&gt;=$F171),1,0))</f>
        <v/>
      </c>
    </row>
    <row r="172">
      <c r="B172" s="28" t="inlineStr">
        <is>
          <t>M5</t>
        </is>
      </c>
      <c r="C172" s="29" t="n"/>
      <c r="D172" s="28" t="n">
        <v>5520</v>
      </c>
      <c r="E172" s="28" t="n">
        <v>7020412717</v>
      </c>
      <c r="F172" s="30" t="n">
        <v>18360</v>
      </c>
      <c r="G172" s="68" t="n">
        <v>0</v>
      </c>
      <c r="H172" s="31">
        <f>IF(OR(D172="",E172=""),"",IFERROR(F172-G172,"-"))</f>
        <v>18360</v>
      </c>
      <c r="I172" s="32" t="n">
        <v>46254</v>
      </c>
      <c r="J172" s="33">
        <f>IF(I172="","",IFERROR(WORKDAY.INTL(I172,-10,"0000001",Holidays!$A$6:$A$55),"-"))</f>
        <v>46241</v>
      </c>
      <c r="K172" s="30" t="n">
        <v>4</v>
      </c>
      <c r="L172" s="30" t="n">
        <v>850</v>
      </c>
      <c r="M172" s="34">
        <f>IF(OR(D172="",E172="",F172="",K172="",L172=""),"",IFERROR(ROUNDUP(H172/(K172*L172),0),"-"))</f>
        <v>6</v>
      </c>
      <c r="N172" s="33" t="n">
        <v>46254</v>
      </c>
      <c r="O172" s="32">
        <f t="array" ref="O172">IF(OR($D172="",$E172=""),"",IF($N172&lt;&gt;"",$N172,IFERROR(WORKDAY.INTL(LOOKUP(2,1/(($D$2:D171=$D172)*ISNUMBER($P$2:P171)),$P$2:P171),1,"0000001",Holidays!$A$6:$A$55),"")))</f>
        <v>46254</v>
      </c>
      <c r="P172" s="35">
        <f>IF(OR(O172="",H172="",K172="",L172=""),"",IFERROR(WORKDAY.INTL(O172-1,MAX(1,ROUNDUP(H172/(K172*L172),0)),"0000001",Holidays!$A$6:$A$55),"-"))</f>
        <v>46260</v>
      </c>
      <c r="Q172" s="33">
        <f>IF(P172="","",IFERROR(WORKDAY.INTL(P172,3,"0000001",Holidays!$A$6:$A$55),"-"))</f>
        <v>46265</v>
      </c>
      <c r="R172" s="34">
        <f>IF(OR(J172="",P172=""),"",IFERROR(NETWORKDAYS.INTL(P172+1,J172,"0000001",Holidays!$A$6:$A$55),"-"))</f>
        <v>-17</v>
      </c>
      <c r="S172" s="33">
        <f>IF(O172="","",IFERROR(WORKDAY.INTL(O172,-10,"0000001",Holidays!$A$6:$A$55),"-"))</f>
        <v>46241</v>
      </c>
      <c r="T172" s="36">
        <f>IF(OR(I172="",Q172=""),"",IF(Q172&lt;=I172-4,1,0))</f>
        <v>0</v>
      </c>
      <c r="U172" s="32" t="n"/>
      <c r="V172" s="30" t="n"/>
      <c r="W172" s="36" t="str">
        <f>IF(OR($U172="",$V172="",$I172=""),"",IF(AND($U172&lt;=$I172-4,$V172&gt;=$F172),1,0))</f>
        <v/>
      </c>
    </row>
    <row r="173">
      <c r="B173" s="28" t="inlineStr">
        <is>
          <t>M5</t>
        </is>
      </c>
      <c r="C173" s="29" t="n"/>
      <c r="D173" s="28" t="n">
        <v>5520</v>
      </c>
      <c r="E173" s="28" t="n">
        <v>7551910352</v>
      </c>
      <c r="F173" s="30" t="n">
        <v>5865</v>
      </c>
      <c r="G173" s="68" t="n">
        <v>5865</v>
      </c>
      <c r="H173" s="31">
        <f>IF(OR(D173="",E173=""),"",IFERROR(F173-G173,"-"))</f>
        <v>0</v>
      </c>
      <c r="I173" s="32" t="n">
        <v>46254</v>
      </c>
      <c r="J173" s="33">
        <f>IF(I173="","",IFERROR(WORKDAY.INTL(I173,-10,"0000001",Holidays!$A$6:$A$55),"-"))</f>
        <v>46241</v>
      </c>
      <c r="K173" s="30" t="n">
        <v>4</v>
      </c>
      <c r="L173" s="30" t="n">
        <v>850</v>
      </c>
      <c r="M173" s="34">
        <f>IF(OR(D173="",E173="",F173="",K173="",L173=""),"",IFERROR(ROUNDUP(H173/(K173*L173),0),"-"))</f>
        <v>0</v>
      </c>
      <c r="N173" s="33" t="n">
        <v>46254</v>
      </c>
      <c r="O173" s="32">
        <f t="array" ref="O173">IF(OR($D173="",$E173=""),"",IF($N173&lt;&gt;"",$N173,IFERROR(WORKDAY.INTL(LOOKUP(2,1/(($D$2:D172=$D173)*ISNUMBER($P$2:P172)),$P$2:P172),1,"0000001",Holidays!$A$6:$A$55),"")))</f>
        <v>46254</v>
      </c>
      <c r="P173" s="35">
        <f>IF(OR(O173="",H173="",K173="",L173=""),"",IFERROR(WORKDAY.INTL(O173-1,MAX(1,ROUNDUP(H173/(K173*L173),0)),"0000001",Holidays!$A$6:$A$55),"-"))</f>
        <v>46254</v>
      </c>
      <c r="Q173" s="33">
        <f>IF(P173="","",IFERROR(WORKDAY.INTL(P173,3,"0000001",Holidays!$A$6:$A$55),"-"))</f>
        <v>46258</v>
      </c>
      <c r="R173" s="34">
        <f>IF(OR(J173="",P173=""),"",IFERROR(NETWORKDAYS.INTL(P173+1,J173,"0000001",Holidays!$A$6:$A$55),"-"))</f>
        <v>-12</v>
      </c>
      <c r="S173" s="33">
        <f>IF(O173="","",IFERROR(WORKDAY.INTL(O173,-10,"0000001",Holidays!$A$6:$A$55),"-"))</f>
        <v>46241</v>
      </c>
      <c r="T173" s="36">
        <f>IF(OR(I173="",Q173=""),"",IF(Q173&lt;=I173-4,1,0))</f>
        <v>0</v>
      </c>
      <c r="U173" s="32" t="n"/>
      <c r="V173" s="30" t="n"/>
      <c r="W173" s="36" t="str">
        <f>IF(OR($U173="",$V173="",$I173=""),"",IF(AND($U173&lt;=$I173-4,$V173&gt;=$F173),1,0))</f>
        <v/>
      </c>
    </row>
    <row r="174">
      <c r="B174" s="28" t="inlineStr">
        <is>
          <t>M5</t>
        </is>
      </c>
      <c r="C174" s="29" t="n"/>
      <c r="D174" s="28" t="n">
        <v>5520</v>
      </c>
      <c r="E174" s="28" t="n">
        <v>7530244571</v>
      </c>
      <c r="F174" s="30" t="n">
        <v>4462</v>
      </c>
      <c r="G174" s="68" t="n">
        <v>4462</v>
      </c>
      <c r="H174" s="31">
        <f>IF(OR(D174="",E174=""),"",IFERROR(F174-G174,"-"))</f>
        <v>0</v>
      </c>
      <c r="I174" s="32" t="n">
        <v>46254</v>
      </c>
      <c r="J174" s="33">
        <f>IF(I174="","",IFERROR(WORKDAY.INTL(I174,-10,"0000001",Holidays!$A$6:$A$55),"-"))</f>
        <v>46241</v>
      </c>
      <c r="K174" s="30" t="n">
        <v>4</v>
      </c>
      <c r="L174" s="30" t="n">
        <v>850</v>
      </c>
      <c r="M174" s="34">
        <f>IF(OR(D174="",E174="",F174="",K174="",L174=""),"",IFERROR(ROUNDUP(H174/(K174*L174),0),"-"))</f>
        <v>0</v>
      </c>
      <c r="N174" s="33" t="n">
        <v>46254</v>
      </c>
      <c r="O174" s="32">
        <f t="array" ref="O174">IF(OR($D174="",$E174=""),"",IF($N174&lt;&gt;"",$N174,IFERROR(WORKDAY.INTL(LOOKUP(2,1/(($D$2:D173=$D174)*ISNUMBER($P$2:P173)),$P$2:P173),1,"0000001",Holidays!$A$6:$A$55),"")))</f>
        <v>46254</v>
      </c>
      <c r="P174" s="35">
        <f>IF(OR(O174="",H174="",K174="",L174=""),"",IFERROR(WORKDAY.INTL(O174-1,MAX(1,ROUNDUP(H174/(K174*L174),0)),"0000001",Holidays!$A$6:$A$55),"-"))</f>
        <v>46254</v>
      </c>
      <c r="Q174" s="33">
        <f>IF(P174="","",IFERROR(WORKDAY.INTL(P174,3,"0000001",Holidays!$A$6:$A$55),"-"))</f>
        <v>46258</v>
      </c>
      <c r="R174" s="34">
        <f>IF(OR(J174="",P174=""),"",IFERROR(NETWORKDAYS.INTL(P174+1,J174,"0000001",Holidays!$A$6:$A$55),"-"))</f>
        <v>-12</v>
      </c>
      <c r="S174" s="33">
        <f>IF(O174="","",IFERROR(WORKDAY.INTL(O174,-10,"0000001",Holidays!$A$6:$A$55),"-"))</f>
        <v>46241</v>
      </c>
      <c r="T174" s="36">
        <f>IF(OR(I174="",Q174=""),"",IF(Q174&lt;=I174-4,1,0))</f>
        <v>0</v>
      </c>
      <c r="U174" s="32" t="n"/>
      <c r="V174" s="30" t="n"/>
      <c r="W174" s="36" t="str">
        <f>IF(OR($U174="",$V174="",$I174=""),"",IF(AND($U174&lt;=$I174-4,$V174&gt;=$F174),1,0))</f>
        <v/>
      </c>
    </row>
    <row r="175">
      <c r="B175" s="28" t="inlineStr">
        <is>
          <t>M6</t>
        </is>
      </c>
      <c r="C175" s="29" t="n"/>
      <c r="D175" s="28" t="n">
        <v>5520</v>
      </c>
      <c r="E175" s="28" t="n">
        <v>7821026671</v>
      </c>
      <c r="F175" s="30" t="n">
        <v>14726</v>
      </c>
      <c r="G175" s="68" t="n">
        <v>0</v>
      </c>
      <c r="H175" s="31">
        <f>IF(OR(D175="",E175=""),"",IFERROR(F175-G175,"-"))</f>
        <v>14726</v>
      </c>
      <c r="I175" s="32" t="n">
        <v>46282</v>
      </c>
      <c r="J175" s="33">
        <f>IF(I175="","",IFERROR(WORKDAY.INTL(I175,-10,"0000001",Holidays!$A$6:$A$55),"-"))</f>
        <v>46270</v>
      </c>
      <c r="K175" s="30" t="n">
        <v>4</v>
      </c>
      <c r="L175" s="30" t="n">
        <v>850</v>
      </c>
      <c r="M175" s="34">
        <f>IF(OR(D175="",E175="",F175="",K175="",L175=""),"",IFERROR(ROUNDUP(H175/(K175*L175),0),"-"))</f>
        <v>5</v>
      </c>
      <c r="N175" s="33" t="n">
        <v>46282</v>
      </c>
      <c r="O175" s="32">
        <f t="array" ref="O175">IF(OR($D175="",$E175=""),"",IF($N175&lt;&gt;"",$N175,IFERROR(WORKDAY.INTL(LOOKUP(2,1/(($D$2:D174=$D175)*ISNUMBER($P$2:P174)),$P$2:P174),1,"0000001",Holidays!$A$6:$A$55),"")))</f>
        <v>46282</v>
      </c>
      <c r="P175" s="35">
        <f>IF(OR(O175="",H175="",K175="",L175=""),"",IFERROR(WORKDAY.INTL(O175-1,MAX(1,ROUNDUP(H175/(K175*L175),0)),"0000001",Holidays!$A$6:$A$55),"-"))</f>
        <v>46287</v>
      </c>
      <c r="Q175" s="33">
        <f>IF(P175="","",IFERROR(WORKDAY.INTL(P175,3,"0000001",Holidays!$A$6:$A$55),"-"))</f>
        <v>46290</v>
      </c>
      <c r="R175" s="34">
        <f>IF(OR(J175="",P175=""),"",IFERROR(NETWORKDAYS.INTL(P175+1,J175,"0000001",Holidays!$A$6:$A$55),"-"))</f>
        <v>-16</v>
      </c>
      <c r="S175" s="33">
        <f>IF(O175="","",IFERROR(WORKDAY.INTL(O175,-10,"0000001",Holidays!$A$6:$A$55),"-"))</f>
        <v>46270</v>
      </c>
      <c r="T175" s="36">
        <f>IF(OR(I175="",Q175=""),"",IF(Q175&lt;=I175-4,1,0))</f>
        <v>0</v>
      </c>
      <c r="U175" s="32" t="n"/>
      <c r="V175" s="30" t="n"/>
      <c r="W175" s="36" t="str">
        <f>IF(OR($U175="",$V175="",$I175=""),"",IF(AND($U175&lt;=$I175-4,$V175&gt;=$F175),1,0))</f>
        <v/>
      </c>
    </row>
    <row r="176">
      <c r="B176" s="28" t="inlineStr">
        <is>
          <t>M6</t>
        </is>
      </c>
      <c r="C176" s="29" t="n"/>
      <c r="D176" s="28" t="n">
        <v>5520</v>
      </c>
      <c r="E176" s="28" t="n">
        <v>7603926568</v>
      </c>
      <c r="F176" s="30" t="n">
        <v>24374</v>
      </c>
      <c r="G176" s="68" t="n">
        <v>0</v>
      </c>
      <c r="H176" s="31">
        <f>IF(OR(D176="",E176=""),"",IFERROR(F176-G176,"-"))</f>
        <v>24374</v>
      </c>
      <c r="I176" s="32" t="n">
        <v>46282</v>
      </c>
      <c r="J176" s="33">
        <f>IF(I176="","",IFERROR(WORKDAY.INTL(I176,-10,"0000001",Holidays!$A$6:$A$55),"-"))</f>
        <v>46270</v>
      </c>
      <c r="K176" s="30" t="n">
        <v>4</v>
      </c>
      <c r="L176" s="30" t="n">
        <v>850</v>
      </c>
      <c r="M176" s="34">
        <f>IF(OR(D176="",E176="",F176="",K176="",L176=""),"",IFERROR(ROUNDUP(H176/(K176*L176),0),"-"))</f>
        <v>8</v>
      </c>
      <c r="N176" s="33" t="n">
        <v>46282</v>
      </c>
      <c r="O176" s="32">
        <f t="array" ref="O176">IF(OR($D176="",$E176=""),"",IF($N176&lt;&gt;"",$N176,IFERROR(WORKDAY.INTL(LOOKUP(2,1/(($D$2:D175=$D176)*ISNUMBER($P$2:P175)),$P$2:P175),1,"0000001",Holidays!$A$6:$A$55),"")))</f>
        <v>46282</v>
      </c>
      <c r="P176" s="35">
        <f>IF(OR(O176="",H176="",K176="",L176=""),"",IFERROR(WORKDAY.INTL(O176-1,MAX(1,ROUNDUP(H176/(K176*L176),0)),"0000001",Holidays!$A$6:$A$55),"-"))</f>
        <v>46290</v>
      </c>
      <c r="Q176" s="33">
        <f>IF(P176="","",IFERROR(WORKDAY.INTL(P176,3,"0000001",Holidays!$A$6:$A$55),"-"))</f>
        <v>46294</v>
      </c>
      <c r="R176" s="34">
        <f>IF(OR(J176="",P176=""),"",IFERROR(NETWORKDAYS.INTL(P176+1,J176,"0000001",Holidays!$A$6:$A$55),"-"))</f>
        <v>-19</v>
      </c>
      <c r="S176" s="33">
        <f>IF(O176="","",IFERROR(WORKDAY.INTL(O176,-10,"0000001",Holidays!$A$6:$A$55),"-"))</f>
        <v>46270</v>
      </c>
      <c r="T176" s="36">
        <f>IF(OR(I176="",Q176=""),"",IF(Q176&lt;=I176-4,1,0))</f>
        <v>0</v>
      </c>
      <c r="U176" s="32" t="n"/>
      <c r="V176" s="30" t="n"/>
      <c r="W176" s="36" t="str">
        <f>IF(OR($U176="",$V176="",$I176=""),"",IF(AND($U176&lt;=$I176-4,$V176&gt;=$F176),1,0))</f>
        <v/>
      </c>
    </row>
    <row r="177">
      <c r="B177" s="28" t="inlineStr">
        <is>
          <t>M6</t>
        </is>
      </c>
      <c r="C177" s="29" t="n"/>
      <c r="D177" s="28" t="n">
        <v>5520</v>
      </c>
      <c r="E177" s="28" t="n">
        <v>7357771959</v>
      </c>
      <c r="F177" s="30" t="n">
        <v>7756</v>
      </c>
      <c r="G177" s="68" t="n">
        <v>2562</v>
      </c>
      <c r="H177" s="31">
        <f>IF(OR(D177="",E177=""),"",IFERROR(F177-G177,"-"))</f>
        <v>5194</v>
      </c>
      <c r="I177" s="32" t="n">
        <v>46282</v>
      </c>
      <c r="J177" s="33">
        <f>IF(I177="","",IFERROR(WORKDAY.INTL(I177,-10,"0000001",Holidays!$A$6:$A$55),"-"))</f>
        <v>46270</v>
      </c>
      <c r="K177" s="30" t="n">
        <v>4</v>
      </c>
      <c r="L177" s="30" t="n">
        <v>850</v>
      </c>
      <c r="M177" s="34">
        <f>IF(OR(D177="",E177="",F177="",K177="",L177=""),"",IFERROR(ROUNDUP(H177/(K177*L177),0),"-"))</f>
        <v>2</v>
      </c>
      <c r="N177" s="33" t="n">
        <v>46282</v>
      </c>
      <c r="O177" s="32">
        <f t="array" ref="O177">IF(OR($D177="",$E177=""),"",IF($N177&lt;&gt;"",$N177,IFERROR(WORKDAY.INTL(LOOKUP(2,1/(($D$2:D176=$D177)*ISNUMBER($P$2:P176)),$P$2:P176),1,"0000001",Holidays!$A$6:$A$55),"")))</f>
        <v>46282</v>
      </c>
      <c r="P177" s="35">
        <f>IF(OR(O177="",H177="",K177="",L177=""),"",IFERROR(WORKDAY.INTL(O177-1,MAX(1,ROUNDUP(H177/(K177*L177),0)),"0000001",Holidays!$A$6:$A$55),"-"))</f>
        <v>46283</v>
      </c>
      <c r="Q177" s="33">
        <f>IF(P177="","",IFERROR(WORKDAY.INTL(P177,3,"0000001",Holidays!$A$6:$A$55),"-"))</f>
        <v>46287</v>
      </c>
      <c r="R177" s="34">
        <f>IF(OR(J177="",P177=""),"",IFERROR(NETWORKDAYS.INTL(P177+1,J177,"0000001",Holidays!$A$6:$A$55),"-"))</f>
        <v>-13</v>
      </c>
      <c r="S177" s="33">
        <f>IF(O177="","",IFERROR(WORKDAY.INTL(O177,-10,"0000001",Holidays!$A$6:$A$55),"-"))</f>
        <v>46270</v>
      </c>
      <c r="T177" s="36">
        <f>IF(OR(I177="",Q177=""),"",IF(Q177&lt;=I177-4,1,0))</f>
        <v>0</v>
      </c>
      <c r="U177" s="32" t="n"/>
      <c r="V177" s="30" t="n"/>
      <c r="W177" s="36" t="str">
        <f>IF(OR($U177="",$V177="",$I177=""),"",IF(AND($U177&lt;=$I177-4,$V177&gt;=$F177),1,0))</f>
        <v/>
      </c>
    </row>
    <row r="178" ht="15.75" customHeight="1" thickBot="1">
      <c r="B178" s="37" t="inlineStr">
        <is>
          <t>M6</t>
        </is>
      </c>
      <c r="C178" s="38" t="n"/>
      <c r="D178" s="37" t="n">
        <v>5520</v>
      </c>
      <c r="E178" s="37" t="n">
        <v>7925096465</v>
      </c>
      <c r="F178" s="39" t="n">
        <v>5950</v>
      </c>
      <c r="G178" s="66" t="n">
        <v>0</v>
      </c>
      <c r="H178" s="40">
        <f>IF(OR(D178="",E178=""),"",IFERROR(F178-G178,"-"))</f>
        <v>5950</v>
      </c>
      <c r="I178" s="41" t="n">
        <v>46282</v>
      </c>
      <c r="J178" s="42">
        <f>IF(I178="","",IFERROR(WORKDAY.INTL(I178,-10,"0000001",Holidays!$A$6:$A$55),"-"))</f>
        <v>46270</v>
      </c>
      <c r="K178" s="39" t="n">
        <v>4</v>
      </c>
      <c r="L178" s="39" t="n">
        <v>850</v>
      </c>
      <c r="M178" s="43">
        <f>IF(OR(D178="",E178="",F178="",K178="",L178=""),"",IFERROR(ROUNDUP(H178/(K178*L178),0),"-"))</f>
        <v>2</v>
      </c>
      <c r="N178" s="42" t="n">
        <v>46282</v>
      </c>
      <c r="O178" s="41">
        <f t="array" ref="O178">IF(OR($D178="",$E178=""),"",IF($N178&lt;&gt;"",$N178,IFERROR(WORKDAY.INTL(LOOKUP(2,1/(($D$2:D177=$D178)*ISNUMBER($P$2:P177)),$P$2:P177),1,"0000001",Holidays!$A$6:$A$55),"")))</f>
        <v>46282</v>
      </c>
      <c r="P178" s="44">
        <f>IF(OR(O178="",H178="",K178="",L178=""),"",IFERROR(WORKDAY.INTL(O178-1,MAX(1,ROUNDUP(H178/(K178*L178),0)),"0000001",Holidays!$A$6:$A$55),"-"))</f>
        <v>46283</v>
      </c>
      <c r="Q178" s="42">
        <f>IF(P178="","",IFERROR(WORKDAY.INTL(P178,3,"0000001",Holidays!$A$6:$A$55),"-"))</f>
        <v>46287</v>
      </c>
      <c r="R178" s="43">
        <f>IF(OR(J178="",P178=""),"",IFERROR(NETWORKDAYS.INTL(P178+1,J178,"0000001",Holidays!$A$6:$A$55),"-"))</f>
        <v>-13</v>
      </c>
      <c r="S178" s="42">
        <f>IF(O178="","",IFERROR(WORKDAY.INTL(O178,-10,"0000001",Holidays!$A$6:$A$55),"-"))</f>
        <v>46270</v>
      </c>
      <c r="T178" s="45">
        <f>IF(OR(I178="",Q178=""),"",IF(Q178&lt;=I178-4,1,0))</f>
        <v>0</v>
      </c>
      <c r="U178" s="41" t="n"/>
      <c r="V178" s="39" t="n"/>
      <c r="W178" s="45" t="str">
        <f>IF(OR($U178="",$V178="",$I178=""),"",IF(AND($U178&lt;=$I178-4,$V178&gt;=$F178),1,0))</f>
        <v/>
      </c>
    </row>
    <row r="179">
      <c r="B179" s="28" t="inlineStr">
        <is>
          <t>M4</t>
        </is>
      </c>
      <c r="C179" s="29" t="n"/>
      <c r="D179" s="28" t="n">
        <v>7926</v>
      </c>
      <c r="E179" s="28" t="n">
        <v>7364711569</v>
      </c>
      <c r="F179" s="30" t="n">
        <v>987</v>
      </c>
      <c r="G179" s="68" t="n">
        <v>0</v>
      </c>
      <c r="H179" s="31">
        <f>IF(OR(D179="",E179=""),"",IFERROR(F179-G179,"-"))</f>
        <v>987</v>
      </c>
      <c r="I179" s="32" t="n">
        <v>46213</v>
      </c>
      <c r="J179" s="33">
        <f>IF(I179="","",IFERROR(WORKDAY.INTL(I179,-10,"0000001",Holidays!$A$6:$A$55),"-"))</f>
        <v>46202</v>
      </c>
      <c r="K179" s="30" t="n"/>
      <c r="L179" s="30" t="n"/>
      <c r="M179" s="34" t="str">
        <f>IF(OR(D179="",E179="",F179="",K179="",L179=""),"",IFERROR(ROUNDUP(H179/(K179*L179),0),"-"))</f>
        <v/>
      </c>
      <c r="N179" s="33" t="n">
        <v>46213</v>
      </c>
      <c r="O179" s="32">
        <f t="array" ref="O179">IF(OR($D179="",$E179=""),"",IF($N179&lt;&gt;"",$N179,IFERROR(WORKDAY.INTL(LOOKUP(2,1/(($D$2:D178=$D179)*ISNUMBER($P$2:P178)),$P$2:P178),1,"0000001",Holidays!$A$6:$A$55),"")))</f>
        <v>46213</v>
      </c>
      <c r="P179" s="35" t="str">
        <f>IF(OR(O179="",H179="",K179="",L179=""),"",IFERROR(WORKDAY.INTL(O179-1,MAX(1,ROUNDUP(H179/(K179*L179),0)),"0000001",Holidays!$A$6:$A$55),"-"))</f>
        <v/>
      </c>
      <c r="Q179" s="33" t="str">
        <f>IF(P179="","",IFERROR(WORKDAY.INTL(P179,3,"0000001",Holidays!$A$6:$A$55),"-"))</f>
        <v/>
      </c>
      <c r="R179" s="34" t="str">
        <f>IF(OR(J179="",P179=""),"",IFERROR(NETWORKDAYS.INTL(P179+1,J179,"0000001",Holidays!$A$6:$A$55),"-"))</f>
        <v/>
      </c>
      <c r="S179" s="33">
        <f>IF(O179="","",IFERROR(WORKDAY.INTL(O179,-10,"0000001",Holidays!$A$6:$A$55),"-"))</f>
        <v>46202</v>
      </c>
      <c r="T179" s="36" t="str">
        <f>IF(OR(I179="",Q179=""),"",IF(Q179&lt;=I179-4,1,0))</f>
        <v/>
      </c>
      <c r="U179" s="32" t="n"/>
      <c r="V179" s="30" t="n"/>
      <c r="W179" s="36" t="str">
        <f>IF(OR($U179="",$V179="",$I179=""),"",IF(AND($U179&lt;=$I179-4,$V179&gt;=$F179),1,0))</f>
        <v/>
      </c>
    </row>
    <row r="180">
      <c r="B180" s="28" t="inlineStr">
        <is>
          <t>M5</t>
        </is>
      </c>
      <c r="C180" s="29" t="n"/>
      <c r="D180" s="28" t="n">
        <v>7926</v>
      </c>
      <c r="E180" s="28" t="n">
        <v>7919779616</v>
      </c>
      <c r="F180" s="30" t="n">
        <v>4029</v>
      </c>
      <c r="G180" s="68" t="n">
        <v>3123</v>
      </c>
      <c r="H180" s="31">
        <f>IF(OR(D180="",E180=""),"",IFERROR(F180-G180,"-"))</f>
        <v>906</v>
      </c>
      <c r="I180" s="32" t="n">
        <v>46241</v>
      </c>
      <c r="J180" s="33">
        <f>IF(I180="","",IFERROR(WORKDAY.INTL(I180,-10,"0000001",Holidays!$A$6:$A$55),"-"))</f>
        <v>46230</v>
      </c>
      <c r="K180" s="30" t="n"/>
      <c r="L180" s="30" t="n"/>
      <c r="M180" s="34" t="str">
        <f>IF(OR(D180="",E180="",F180="",K180="",L180=""),"",IFERROR(ROUNDUP(H180/(K180*L180),0),"-"))</f>
        <v/>
      </c>
      <c r="N180" s="33" t="n">
        <v>46241</v>
      </c>
      <c r="O180" s="32">
        <f t="array" ref="O180">IF(OR($D180="",$E180=""),"",IF($N180&lt;&gt;"",$N180,IFERROR(WORKDAY.INTL(LOOKUP(2,1/(($D$2:D179=$D180)*ISNUMBER($P$2:P179)),$P$2:P179),1,"0000001",Holidays!$A$6:$A$55),"")))</f>
        <v>46241</v>
      </c>
      <c r="P180" s="35" t="str">
        <f>IF(OR(O180="",H180="",K180="",L180=""),"",IFERROR(WORKDAY.INTL(O180-1,MAX(1,ROUNDUP(H180/(K180*L180),0)),"0000001",Holidays!$A$6:$A$55),"-"))</f>
        <v/>
      </c>
      <c r="Q180" s="33" t="str">
        <f>IF(P180="","",IFERROR(WORKDAY.INTL(P180,3,"0000001",Holidays!$A$6:$A$55),"-"))</f>
        <v/>
      </c>
      <c r="R180" s="34" t="str">
        <f>IF(OR(J180="",P180=""),"",IFERROR(NETWORKDAYS.INTL(P180+1,J180,"0000001",Holidays!$A$6:$A$55),"-"))</f>
        <v/>
      </c>
      <c r="S180" s="33">
        <f>IF(O180="","",IFERROR(WORKDAY.INTL(O180,-10,"0000001",Holidays!$A$6:$A$55),"-"))</f>
        <v>46230</v>
      </c>
      <c r="T180" s="36" t="str">
        <f>IF(OR(I180="",Q180=""),"",IF(Q180&lt;=I180-4,1,0))</f>
        <v/>
      </c>
      <c r="U180" s="32" t="n"/>
      <c r="V180" s="30" t="n"/>
      <c r="W180" s="36" t="str">
        <f>IF(OR($U180="",$V180="",$I180=""),"",IF(AND($U180&lt;=$I180-4,$V180&gt;=$F180),1,0))</f>
        <v/>
      </c>
    </row>
    <row r="181">
      <c r="B181" s="28" t="inlineStr">
        <is>
          <t>M5</t>
        </is>
      </c>
      <c r="C181" s="29" t="n"/>
      <c r="D181" s="28" t="n">
        <v>7926</v>
      </c>
      <c r="E181" s="28" t="n">
        <v>7681092268</v>
      </c>
      <c r="F181" s="30" t="n">
        <v>4590</v>
      </c>
      <c r="G181" s="68" t="n">
        <v>4590</v>
      </c>
      <c r="H181" s="31">
        <f>IF(OR(D181="",E181=""),"",IFERROR(F181-G181,"-"))</f>
        <v>0</v>
      </c>
      <c r="I181" s="32" t="n">
        <v>46241</v>
      </c>
      <c r="J181" s="33">
        <f>IF(I181="","",IFERROR(WORKDAY.INTL(I181,-10,"0000001",Holidays!$A$6:$A$55),"-"))</f>
        <v>46230</v>
      </c>
      <c r="K181" s="30" t="n"/>
      <c r="L181" s="30" t="n"/>
      <c r="M181" s="34" t="str">
        <f>IF(OR(D181="",E181="",F181="",K181="",L181=""),"",IFERROR(ROUNDUP(H181/(K181*L181),0),"-"))</f>
        <v/>
      </c>
      <c r="N181" s="33" t="n">
        <v>46241</v>
      </c>
      <c r="O181" s="32">
        <f t="array" ref="O181">IF(OR($D181="",$E181=""),"",IF($N181&lt;&gt;"",$N181,IFERROR(WORKDAY.INTL(LOOKUP(2,1/(($D$2:D180=$D181)*ISNUMBER($P$2:P180)),$P$2:P180),1,"0000001",Holidays!$A$6:$A$55),"")))</f>
        <v>46241</v>
      </c>
      <c r="P181" s="35" t="str">
        <f>IF(OR(O181="",H181="",K181="",L181=""),"",IFERROR(WORKDAY.INTL(O181-1,MAX(1,ROUNDUP(H181/(K181*L181),0)),"0000001",Holidays!$A$6:$A$55),"-"))</f>
        <v/>
      </c>
      <c r="Q181" s="33" t="str">
        <f>IF(P181="","",IFERROR(WORKDAY.INTL(P181,3,"0000001",Holidays!$A$6:$A$55),"-"))</f>
        <v/>
      </c>
      <c r="R181" s="34" t="str">
        <f>IF(OR(J181="",P181=""),"",IFERROR(NETWORKDAYS.INTL(P181+1,J181,"0000001",Holidays!$A$6:$A$55),"-"))</f>
        <v/>
      </c>
      <c r="S181" s="33">
        <f>IF(O181="","",IFERROR(WORKDAY.INTL(O181,-10,"0000001",Holidays!$A$6:$A$55),"-"))</f>
        <v>46230</v>
      </c>
      <c r="T181" s="36" t="str">
        <f>IF(OR(I181="",Q181=""),"",IF(Q181&lt;=I181-4,1,0))</f>
        <v/>
      </c>
      <c r="U181" s="32" t="n"/>
      <c r="V181" s="30" t="n"/>
      <c r="W181" s="36" t="str">
        <f>IF(OR($U181="",$V181="",$I181=""),"",IF(AND($U181&lt;=$I181-4,$V181&gt;=$F181),1,0))</f>
        <v/>
      </c>
    </row>
    <row r="182">
      <c r="B182" s="28" t="inlineStr">
        <is>
          <t>M5</t>
        </is>
      </c>
      <c r="C182" s="29" t="n"/>
      <c r="D182" s="28" t="n">
        <v>7926</v>
      </c>
      <c r="E182" s="28" t="n">
        <v>7405917663</v>
      </c>
      <c r="F182" s="30" t="n">
        <v>7296</v>
      </c>
      <c r="G182" s="68" t="n">
        <v>6260</v>
      </c>
      <c r="H182" s="31">
        <f>IF(OR(D182="",E182=""),"",IFERROR(F182-G182,"-"))</f>
        <v>1036</v>
      </c>
      <c r="I182" s="32" t="n">
        <v>46239</v>
      </c>
      <c r="J182" s="33">
        <f>IF(I182="","",IFERROR(WORKDAY.INTL(I182,-10,"0000001",Holidays!$A$6:$A$55),"-"))</f>
        <v>46227</v>
      </c>
      <c r="K182" s="30" t="n"/>
      <c r="L182" s="30" t="n"/>
      <c r="M182" s="34" t="str">
        <f>IF(OR(D182="",E182="",F182="",K182="",L182=""),"",IFERROR(ROUNDUP(H182/(K182*L182),0),"-"))</f>
        <v/>
      </c>
      <c r="N182" s="33" t="n">
        <v>46239</v>
      </c>
      <c r="O182" s="32">
        <f t="array" ref="O182">IF(OR($D182="",$E182=""),"",IF($N182&lt;&gt;"",$N182,IFERROR(WORKDAY.INTL(LOOKUP(2,1/(($D$2:D181=$D182)*ISNUMBER($P$2:P181)),$P$2:P181),1,"0000001",Holidays!$A$6:$A$55),"")))</f>
        <v>46239</v>
      </c>
      <c r="P182" s="35" t="str">
        <f>IF(OR(O182="",H182="",K182="",L182=""),"",IFERROR(WORKDAY.INTL(O182-1,MAX(1,ROUNDUP(H182/(K182*L182),0)),"0000001",Holidays!$A$6:$A$55),"-"))</f>
        <v/>
      </c>
      <c r="Q182" s="33" t="str">
        <f>IF(P182="","",IFERROR(WORKDAY.INTL(P182,3,"0000001",Holidays!$A$6:$A$55),"-"))</f>
        <v/>
      </c>
      <c r="R182" s="34" t="str">
        <f>IF(OR(J182="",P182=""),"",IFERROR(NETWORKDAYS.INTL(P182+1,J182,"0000001",Holidays!$A$6:$A$55),"-"))</f>
        <v/>
      </c>
      <c r="S182" s="33">
        <f>IF(O182="","",IFERROR(WORKDAY.INTL(O182,-10,"0000001",Holidays!$A$6:$A$55),"-"))</f>
        <v>46227</v>
      </c>
      <c r="T182" s="36" t="str">
        <f>IF(OR(I182="",Q182=""),"",IF(Q182&lt;=I182-4,1,0))</f>
        <v/>
      </c>
      <c r="U182" s="32" t="n"/>
      <c r="V182" s="30" t="n"/>
      <c r="W182" s="36" t="str">
        <f>IF(OR($U182="",$V182="",$I182=""),"",IF(AND($U182&lt;=$I182-4,$V182&gt;=$F182),1,0))</f>
        <v/>
      </c>
    </row>
    <row r="183">
      <c r="B183" s="28" t="inlineStr">
        <is>
          <t>M5</t>
        </is>
      </c>
      <c r="C183" s="29" t="n"/>
      <c r="D183" s="28" t="n">
        <v>7926</v>
      </c>
      <c r="E183" s="28" t="n">
        <v>7719305527</v>
      </c>
      <c r="F183" s="30" t="n">
        <v>8548</v>
      </c>
      <c r="G183" s="68" t="n">
        <v>6208</v>
      </c>
      <c r="H183" s="31">
        <f>IF(OR(D183="",E183=""),"",IFERROR(F183-G183,"-"))</f>
        <v>2340</v>
      </c>
      <c r="I183" s="32" t="n">
        <v>46239</v>
      </c>
      <c r="J183" s="33">
        <f>IF(I183="","",IFERROR(WORKDAY.INTL(I183,-10,"0000001",Holidays!$A$6:$A$55),"-"))</f>
        <v>46227</v>
      </c>
      <c r="K183" s="30" t="n"/>
      <c r="L183" s="30" t="n"/>
      <c r="M183" s="34" t="str">
        <f>IF(OR(D183="",E183="",F183="",K183="",L183=""),"",IFERROR(ROUNDUP(H183/(K183*L183),0),"-"))</f>
        <v/>
      </c>
      <c r="N183" s="33" t="n">
        <v>46239</v>
      </c>
      <c r="O183" s="32">
        <f t="array" ref="O183">IF(OR($D183="",$E183=""),"",IF($N183&lt;&gt;"",$N183,IFERROR(WORKDAY.INTL(LOOKUP(2,1/(($D$2:D182=$D183)*ISNUMBER($P$2:P182)),$P$2:P182),1,"0000001",Holidays!$A$6:$A$55),"")))</f>
        <v>46239</v>
      </c>
      <c r="P183" s="35" t="str">
        <f>IF(OR(O183="",H183="",K183="",L183=""),"",IFERROR(WORKDAY.INTL(O183-1,MAX(1,ROUNDUP(H183/(K183*L183),0)),"0000001",Holidays!$A$6:$A$55),"-"))</f>
        <v/>
      </c>
      <c r="Q183" s="33" t="str">
        <f>IF(P183="","",IFERROR(WORKDAY.INTL(P183,3,"0000001",Holidays!$A$6:$A$55),"-"))</f>
        <v/>
      </c>
      <c r="R183" s="34" t="str">
        <f>IF(OR(J183="",P183=""),"",IFERROR(NETWORKDAYS.INTL(P183+1,J183,"0000001",Holidays!$A$6:$A$55),"-"))</f>
        <v/>
      </c>
      <c r="S183" s="33">
        <f>IF(O183="","",IFERROR(WORKDAY.INTL(O183,-10,"0000001",Holidays!$A$6:$A$55),"-"))</f>
        <v>46227</v>
      </c>
      <c r="T183" s="36" t="str">
        <f>IF(OR(I183="",Q183=""),"",IF(Q183&lt;=I183-4,1,0))</f>
        <v/>
      </c>
      <c r="U183" s="32" t="n"/>
      <c r="V183" s="30" t="n"/>
      <c r="W183" s="36" t="str">
        <f>IF(OR($U183="",$V183="",$I183=""),"",IF(AND($U183&lt;=$I183-4,$V183&gt;=$F183),1,0))</f>
        <v/>
      </c>
    </row>
    <row r="184">
      <c r="B184" s="28" t="inlineStr">
        <is>
          <t>M5</t>
        </is>
      </c>
      <c r="C184" s="29" t="n"/>
      <c r="D184" s="28" t="n">
        <v>7926</v>
      </c>
      <c r="E184" s="28" t="n">
        <v>7785972195</v>
      </c>
      <c r="F184" s="30" t="n">
        <v>1336</v>
      </c>
      <c r="G184" s="68" t="n">
        <v>0</v>
      </c>
      <c r="H184" s="31">
        <f>IF(OR(D184="",E184=""),"",IFERROR(F184-G184,"-"))</f>
        <v>1336</v>
      </c>
      <c r="I184" s="32" t="n">
        <v>46239</v>
      </c>
      <c r="J184" s="33">
        <f>IF(I184="","",IFERROR(WORKDAY.INTL(I184,-10,"0000001",Holidays!$A$6:$A$55),"-"))</f>
        <v>46227</v>
      </c>
      <c r="K184" s="30" t="n"/>
      <c r="L184" s="30" t="n"/>
      <c r="M184" s="34" t="str">
        <f>IF(OR(D184="",E184="",F184="",K184="",L184=""),"",IFERROR(ROUNDUP(H184/(K184*L184),0),"-"))</f>
        <v/>
      </c>
      <c r="N184" s="33" t="n">
        <v>46239</v>
      </c>
      <c r="O184" s="32">
        <f t="array" ref="O184">IF(OR($D184="",$E184=""),"",IF($N184&lt;&gt;"",$N184,IFERROR(WORKDAY.INTL(LOOKUP(2,1/(($D$2:D183=$D184)*ISNUMBER($P$2:P183)),$P$2:P183),1,"0000001",Holidays!$A$6:$A$55),"")))</f>
        <v>46239</v>
      </c>
      <c r="P184" s="35" t="str">
        <f>IF(OR(O184="",H184="",K184="",L184=""),"",IFERROR(WORKDAY.INTL(O184-1,MAX(1,ROUNDUP(H184/(K184*L184),0)),"0000001",Holidays!$A$6:$A$55),"-"))</f>
        <v/>
      </c>
      <c r="Q184" s="33" t="str">
        <f>IF(P184="","",IFERROR(WORKDAY.INTL(P184,3,"0000001",Holidays!$A$6:$A$55),"-"))</f>
        <v/>
      </c>
      <c r="R184" s="34" t="str">
        <f>IF(OR(J184="",P184=""),"",IFERROR(NETWORKDAYS.INTL(P184+1,J184,"0000001",Holidays!$A$6:$A$55),"-"))</f>
        <v/>
      </c>
      <c r="S184" s="33">
        <f>IF(O184="","",IFERROR(WORKDAY.INTL(O184,-10,"0000001",Holidays!$A$6:$A$55),"-"))</f>
        <v>46227</v>
      </c>
      <c r="T184" s="36" t="str">
        <f>IF(OR(I184="",Q184=""),"",IF(Q184&lt;=I184-4,1,0))</f>
        <v/>
      </c>
      <c r="U184" s="32" t="n"/>
      <c r="V184" s="30" t="n"/>
      <c r="W184" s="36" t="str">
        <f>IF(OR($U184="",$V184="",$I184=""),"",IF(AND($U184&lt;=$I184-4,$V184&gt;=$F184),1,0))</f>
        <v/>
      </c>
    </row>
    <row r="185">
      <c r="B185" s="28" t="inlineStr">
        <is>
          <t>M6</t>
        </is>
      </c>
      <c r="C185" s="29" t="n"/>
      <c r="D185" s="28" t="n">
        <v>7926</v>
      </c>
      <c r="E185" s="28" t="n">
        <v>7884512003</v>
      </c>
      <c r="F185" s="30" t="n">
        <v>3458</v>
      </c>
      <c r="G185" s="68" t="n">
        <v>0</v>
      </c>
      <c r="H185" s="31">
        <f>IF(OR(D185="",E185=""),"",IFERROR(F185-G185,"-"))</f>
        <v>3458</v>
      </c>
      <c r="I185" s="32" t="n">
        <v>46262</v>
      </c>
      <c r="J185" s="33">
        <f>IF(I185="","",IFERROR(WORKDAY.INTL(I185,-10,"0000001",Holidays!$A$6:$A$55),"-"))</f>
        <v>46251</v>
      </c>
      <c r="K185" s="30" t="n"/>
      <c r="L185" s="30" t="n"/>
      <c r="M185" s="34" t="str">
        <f>IF(OR(D185="",E185="",F185="",K185="",L185=""),"",IFERROR(ROUNDUP(H185/(K185*L185),0),"-"))</f>
        <v/>
      </c>
      <c r="N185" s="33" t="n">
        <v>46262</v>
      </c>
      <c r="O185" s="32">
        <f t="array" ref="O185">IF(OR($D185="",$E185=""),"",IF($N185&lt;&gt;"",$N185,IFERROR(WORKDAY.INTL(LOOKUP(2,1/(($D$2:D184=$D185)*ISNUMBER($P$2:P184)),$P$2:P184),1,"0000001",Holidays!$A$6:$A$55),"")))</f>
        <v>46262</v>
      </c>
      <c r="P185" s="35" t="str">
        <f>IF(OR(O185="",H185="",K185="",L185=""),"",IFERROR(WORKDAY.INTL(O185-1,MAX(1,ROUNDUP(H185/(K185*L185),0)),"0000001",Holidays!$A$6:$A$55),"-"))</f>
        <v/>
      </c>
      <c r="Q185" s="33" t="str">
        <f>IF(P185="","",IFERROR(WORKDAY.INTL(P185,3,"0000001",Holidays!$A$6:$A$55),"-"))</f>
        <v/>
      </c>
      <c r="R185" s="34" t="str">
        <f>IF(OR(J185="",P185=""),"",IFERROR(NETWORKDAYS.INTL(P185+1,J185,"0000001",Holidays!$A$6:$A$55),"-"))</f>
        <v/>
      </c>
      <c r="S185" s="33">
        <f>IF(O185="","",IFERROR(WORKDAY.INTL(O185,-10,"0000001",Holidays!$A$6:$A$55),"-"))</f>
        <v>46251</v>
      </c>
      <c r="T185" s="36" t="str">
        <f>IF(OR(I185="",Q185=""),"",IF(Q185&lt;=I185-4,1,0))</f>
        <v/>
      </c>
      <c r="U185" s="32" t="n"/>
      <c r="V185" s="30" t="n"/>
      <c r="W185" s="36" t="str">
        <f>IF(OR($U185="",$V185="",$I185=""),"",IF(AND($U185&lt;=$I185-4,$V185&gt;=$F185),1,0))</f>
        <v/>
      </c>
    </row>
    <row r="186">
      <c r="B186" s="28" t="inlineStr">
        <is>
          <t>M6</t>
        </is>
      </c>
      <c r="C186" s="29" t="n"/>
      <c r="D186" s="28" t="n">
        <v>7926</v>
      </c>
      <c r="E186" s="28" t="n">
        <v>7198974414</v>
      </c>
      <c r="F186" s="30" t="n">
        <v>1907</v>
      </c>
      <c r="G186" s="68" t="n">
        <v>0</v>
      </c>
      <c r="H186" s="31">
        <f>IF(OR(D186="",E186=""),"",IFERROR(F186-G186,"-"))</f>
        <v>1907</v>
      </c>
      <c r="I186" s="32" t="n">
        <v>46262</v>
      </c>
      <c r="J186" s="33">
        <f>IF(I186="","",IFERROR(WORKDAY.INTL(I186,-10,"0000001",Holidays!$A$6:$A$55),"-"))</f>
        <v>46251</v>
      </c>
      <c r="K186" s="30" t="n"/>
      <c r="L186" s="30" t="n"/>
      <c r="M186" s="34" t="str">
        <f>IF(OR(D186="",E186="",F186="",K186="",L186=""),"",IFERROR(ROUNDUP(H186/(K186*L186),0),"-"))</f>
        <v/>
      </c>
      <c r="N186" s="33" t="n">
        <v>46262</v>
      </c>
      <c r="O186" s="32">
        <f t="array" ref="O186">IF(OR($D186="",$E186=""),"",IF($N186&lt;&gt;"",$N186,IFERROR(WORKDAY.INTL(LOOKUP(2,1/(($D$2:D185=$D186)*ISNUMBER($P$2:P185)),$P$2:P185),1,"0000001",Holidays!$A$6:$A$55),"")))</f>
        <v>46262</v>
      </c>
      <c r="P186" s="35" t="str">
        <f>IF(OR(O186="",H186="",K186="",L186=""),"",IFERROR(WORKDAY.INTL(O186-1,MAX(1,ROUNDUP(H186/(K186*L186),0)),"0000001",Holidays!$A$6:$A$55),"-"))</f>
        <v/>
      </c>
      <c r="Q186" s="33" t="str">
        <f>IF(P186="","",IFERROR(WORKDAY.INTL(P186,3,"0000001",Holidays!$A$6:$A$55),"-"))</f>
        <v/>
      </c>
      <c r="R186" s="34" t="str">
        <f>IF(OR(J186="",P186=""),"",IFERROR(NETWORKDAYS.INTL(P186+1,J186,"0000001",Holidays!$A$6:$A$55),"-"))</f>
        <v/>
      </c>
      <c r="S186" s="33">
        <f>IF(O186="","",IFERROR(WORKDAY.INTL(O186,-10,"0000001",Holidays!$A$6:$A$55),"-"))</f>
        <v>46251</v>
      </c>
      <c r="T186" s="36" t="str">
        <f>IF(OR(I186="",Q186=""),"",IF(Q186&lt;=I186-4,1,0))</f>
        <v/>
      </c>
      <c r="U186" s="32" t="n"/>
      <c r="V186" s="30" t="n"/>
      <c r="W186" s="36" t="str">
        <f>IF(OR($U186="",$V186="",$I186=""),"",IF(AND($U186&lt;=$I186-4,$V186&gt;=$F186),1,0))</f>
        <v/>
      </c>
    </row>
    <row r="187">
      <c r="B187" s="28" t="inlineStr">
        <is>
          <t>M6</t>
        </is>
      </c>
      <c r="C187" s="29" t="n"/>
      <c r="D187" s="28" t="n">
        <v>7926</v>
      </c>
      <c r="E187" s="28" t="n">
        <v>7842433484</v>
      </c>
      <c r="F187" s="30" t="n">
        <v>5607</v>
      </c>
      <c r="G187" s="68" t="n">
        <v>0</v>
      </c>
      <c r="H187" s="31">
        <f>IF(OR(D187="",E187=""),"",IFERROR(F187-G187,"-"))</f>
        <v>5607</v>
      </c>
      <c r="I187" s="32" t="n">
        <v>46262</v>
      </c>
      <c r="J187" s="33">
        <f>IF(I187="","",IFERROR(WORKDAY.INTL(I187,-10,"0000001",Holidays!$A$6:$A$55),"-"))</f>
        <v>46251</v>
      </c>
      <c r="K187" s="30" t="n"/>
      <c r="L187" s="30" t="n"/>
      <c r="M187" s="34" t="str">
        <f>IF(OR(D187="",E187="",F187="",K187="",L187=""),"",IFERROR(ROUNDUP(H187/(K187*L187),0),"-"))</f>
        <v/>
      </c>
      <c r="N187" s="33" t="n">
        <v>46262</v>
      </c>
      <c r="O187" s="32">
        <f t="array" ref="O187">IF(OR($D187="",$E187=""),"",IF($N187&lt;&gt;"",$N187,IFERROR(WORKDAY.INTL(LOOKUP(2,1/(($D$2:D186=$D187)*ISNUMBER($P$2:P186)),$P$2:P186),1,"0000001",Holidays!$A$6:$A$55),"")))</f>
        <v>46262</v>
      </c>
      <c r="P187" s="35" t="str">
        <f>IF(OR(O187="",H187="",K187="",L187=""),"",IFERROR(WORKDAY.INTL(O187-1,MAX(1,ROUNDUP(H187/(K187*L187),0)),"0000001",Holidays!$A$6:$A$55),"-"))</f>
        <v/>
      </c>
      <c r="Q187" s="33" t="str">
        <f>IF(P187="","",IFERROR(WORKDAY.INTL(P187,3,"0000001",Holidays!$A$6:$A$55),"-"))</f>
        <v/>
      </c>
      <c r="R187" s="34" t="str">
        <f>IF(OR(J187="",P187=""),"",IFERROR(NETWORKDAYS.INTL(P187+1,J187,"0000001",Holidays!$A$6:$A$55),"-"))</f>
        <v/>
      </c>
      <c r="S187" s="33">
        <f>IF(O187="","",IFERROR(WORKDAY.INTL(O187,-10,"0000001",Holidays!$A$6:$A$55),"-"))</f>
        <v>46251</v>
      </c>
      <c r="T187" s="36" t="str">
        <f>IF(OR(I187="",Q187=""),"",IF(Q187&lt;=I187-4,1,0))</f>
        <v/>
      </c>
      <c r="U187" s="32" t="n"/>
      <c r="V187" s="30" t="n"/>
      <c r="W187" s="36" t="str">
        <f>IF(OR($U187="",$V187="",$I187=""),"",IF(AND($U187&lt;=$I187-4,$V187&gt;=$F187),1,0))</f>
        <v/>
      </c>
    </row>
    <row r="188">
      <c r="B188" s="28" t="inlineStr">
        <is>
          <t>M7</t>
        </is>
      </c>
      <c r="C188" s="29" t="n"/>
      <c r="D188" s="28" t="n">
        <v>7926</v>
      </c>
      <c r="E188" s="28" t="n">
        <v>7142432145</v>
      </c>
      <c r="F188" s="30" t="n">
        <v>6199</v>
      </c>
      <c r="G188" s="68" t="n">
        <v>0</v>
      </c>
      <c r="H188" s="31">
        <f>IF(OR(D188="",E188=""),"",IFERROR(F188-G188,"-"))</f>
        <v>6199</v>
      </c>
      <c r="I188" s="32" t="n">
        <v>46290</v>
      </c>
      <c r="J188" s="33">
        <f>IF(I188="","",IFERROR(WORKDAY.INTL(I188,-10,"0000001",Holidays!$A$6:$A$55),"-"))</f>
        <v>46279</v>
      </c>
      <c r="K188" s="30" t="n"/>
      <c r="L188" s="30" t="n"/>
      <c r="M188" s="34" t="str">
        <f>IF(OR(D188="",E188="",F188="",K188="",L188=""),"",IFERROR(ROUNDUP(H188/(K188*L188),0),"-"))</f>
        <v/>
      </c>
      <c r="N188" s="33" t="n">
        <v>46290</v>
      </c>
      <c r="O188" s="32">
        <f t="array" ref="O188">IF(OR($D188="",$E188=""),"",IF($N188&lt;&gt;"",$N188,IFERROR(WORKDAY.INTL(LOOKUP(2,1/(($D$2:D187=$D188)*ISNUMBER($P$2:P187)),$P$2:P187),1,"0000001",Holidays!$A$6:$A$55),"")))</f>
        <v>46290</v>
      </c>
      <c r="P188" s="35" t="str">
        <f>IF(OR(O188="",H188="",K188="",L188=""),"",IFERROR(WORKDAY.INTL(O188-1,MAX(1,ROUNDUP(H188/(K188*L188),0)),"0000001",Holidays!$A$6:$A$55),"-"))</f>
        <v/>
      </c>
      <c r="Q188" s="33" t="str">
        <f>IF(P188="","",IFERROR(WORKDAY.INTL(P188,3,"0000001",Holidays!$A$6:$A$55),"-"))</f>
        <v/>
      </c>
      <c r="R188" s="34" t="str">
        <f>IF(OR(J188="",P188=""),"",IFERROR(NETWORKDAYS.INTL(P188+1,J188,"0000001",Holidays!$A$6:$A$55),"-"))</f>
        <v/>
      </c>
      <c r="S188" s="33">
        <f>IF(O188="","",IFERROR(WORKDAY.INTL(O188,-10,"0000001",Holidays!$A$6:$A$55),"-"))</f>
        <v>46279</v>
      </c>
      <c r="T188" s="36" t="str">
        <f>IF(OR(I188="",Q188=""),"",IF(Q188&lt;=I188-4,1,0))</f>
        <v/>
      </c>
      <c r="U188" s="32" t="n"/>
      <c r="V188" s="30" t="n"/>
      <c r="W188" s="36" t="str">
        <f>IF(OR($U188="",$V188="",$I188=""),"",IF(AND($U188&lt;=$I188-4,$V188&gt;=$F188),1,0))</f>
        <v/>
      </c>
    </row>
    <row r="189">
      <c r="B189" s="28" t="inlineStr">
        <is>
          <t>M7</t>
        </is>
      </c>
      <c r="C189" s="29" t="n"/>
      <c r="D189" s="28" t="n">
        <v>7926</v>
      </c>
      <c r="E189" s="28" t="n">
        <v>7833055688</v>
      </c>
      <c r="F189" s="30" t="n">
        <v>5350</v>
      </c>
      <c r="G189" s="68" t="n">
        <v>0</v>
      </c>
      <c r="H189" s="31">
        <f>IF(OR(D189="",E189=""),"",IFERROR(F189-G189,"-"))</f>
        <v>5350</v>
      </c>
      <c r="I189" s="32" t="n">
        <v>46290</v>
      </c>
      <c r="J189" s="33">
        <f>IF(I189="","",IFERROR(WORKDAY.INTL(I189,-10,"0000001",Holidays!$A$6:$A$55),"-"))</f>
        <v>46279</v>
      </c>
      <c r="K189" s="30" t="n"/>
      <c r="L189" s="30" t="n"/>
      <c r="M189" s="34" t="str">
        <f>IF(OR(D189="",E189="",F189="",K189="",L189=""),"",IFERROR(ROUNDUP(H189/(K189*L189),0),"-"))</f>
        <v/>
      </c>
      <c r="N189" s="33" t="n">
        <v>46290</v>
      </c>
      <c r="O189" s="32">
        <f t="array" ref="O189">IF(OR($D189="",$E189=""),"",IF($N189&lt;&gt;"",$N189,IFERROR(WORKDAY.INTL(LOOKUP(2,1/(($D$2:D188=$D189)*ISNUMBER($P$2:P188)),$P$2:P188),1,"0000001",Holidays!$A$6:$A$55),"")))</f>
        <v>46290</v>
      </c>
      <c r="P189" s="35" t="str">
        <f>IF(OR(O189="",H189="",K189="",L189=""),"",IFERROR(WORKDAY.INTL(O189-1,MAX(1,ROUNDUP(H189/(K189*L189),0)),"0000001",Holidays!$A$6:$A$55),"-"))</f>
        <v/>
      </c>
      <c r="Q189" s="33" t="str">
        <f>IF(P189="","",IFERROR(WORKDAY.INTL(P189,3,"0000001",Holidays!$A$6:$A$55),"-"))</f>
        <v/>
      </c>
      <c r="R189" s="34" t="str">
        <f>IF(OR(J189="",P189=""),"",IFERROR(NETWORKDAYS.INTL(P189+1,J189,"0000001",Holidays!$A$6:$A$55),"-"))</f>
        <v/>
      </c>
      <c r="S189" s="33">
        <f>IF(O189="","",IFERROR(WORKDAY.INTL(O189,-10,"0000001",Holidays!$A$6:$A$55),"-"))</f>
        <v>46279</v>
      </c>
      <c r="T189" s="36" t="str">
        <f>IF(OR(I189="",Q189=""),"",IF(Q189&lt;=I189-4,1,0))</f>
        <v/>
      </c>
      <c r="U189" s="32" t="n"/>
      <c r="V189" s="30" t="n"/>
      <c r="W189" s="36" t="str">
        <f>IF(OR($U189="",$V189="",$I189=""),"",IF(AND($U189&lt;=$I189-4,$V189&gt;=$F189),1,0))</f>
        <v/>
      </c>
    </row>
    <row r="190">
      <c r="B190" s="28" t="inlineStr">
        <is>
          <t>M7</t>
        </is>
      </c>
      <c r="C190" s="29" t="n"/>
      <c r="D190" s="28" t="n">
        <v>7926</v>
      </c>
      <c r="E190" s="28" t="n">
        <v>7955295810</v>
      </c>
      <c r="F190" s="30" t="n">
        <v>1691</v>
      </c>
      <c r="G190" s="68" t="n">
        <v>0</v>
      </c>
      <c r="H190" s="31">
        <f>IF(OR(D190="",E190=""),"",IFERROR(F190-G190,"-"))</f>
        <v>1691</v>
      </c>
      <c r="I190" s="32" t="n">
        <v>46290</v>
      </c>
      <c r="J190" s="33">
        <f>IF(I190="","",IFERROR(WORKDAY.INTL(I190,-10,"0000001",Holidays!$A$6:$A$55),"-"))</f>
        <v>46279</v>
      </c>
      <c r="K190" s="30" t="n"/>
      <c r="L190" s="30" t="n"/>
      <c r="M190" s="34" t="str">
        <f>IF(OR(D190="",E190="",F190="",K190="",L190=""),"",IFERROR(ROUNDUP(H190/(K190*L190),0),"-"))</f>
        <v/>
      </c>
      <c r="N190" s="33" t="n">
        <v>46290</v>
      </c>
      <c r="O190" s="32">
        <f t="array" ref="O190">IF(OR($D190="",$E190=""),"",IF($N190&lt;&gt;"",$N190,IFERROR(WORKDAY.INTL(LOOKUP(2,1/(($D$2:D189=$D190)*ISNUMBER($P$2:P189)),$P$2:P189),1,"0000001",Holidays!$A$6:$A$55),"")))</f>
        <v>46290</v>
      </c>
      <c r="P190" s="35" t="str">
        <f>IF(OR(O190="",H190="",K190="",L190=""),"",IFERROR(WORKDAY.INTL(O190-1,MAX(1,ROUNDUP(H190/(K190*L190),0)),"0000001",Holidays!$A$6:$A$55),"-"))</f>
        <v/>
      </c>
      <c r="Q190" s="33" t="str">
        <f>IF(P190="","",IFERROR(WORKDAY.INTL(P190,3,"0000001",Holidays!$A$6:$A$55),"-"))</f>
        <v/>
      </c>
      <c r="R190" s="34" t="str">
        <f>IF(OR(J190="",P190=""),"",IFERROR(NETWORKDAYS.INTL(P190+1,J190,"0000001",Holidays!$A$6:$A$55),"-"))</f>
        <v/>
      </c>
      <c r="S190" s="33">
        <f>IF(O190="","",IFERROR(WORKDAY.INTL(O190,-10,"0000001",Holidays!$A$6:$A$55),"-"))</f>
        <v>46279</v>
      </c>
      <c r="T190" s="36" t="str">
        <f>IF(OR(I190="",Q190=""),"",IF(Q190&lt;=I190-4,1,0))</f>
        <v/>
      </c>
      <c r="U190" s="32" t="n"/>
      <c r="V190" s="30" t="n"/>
      <c r="W190" s="36" t="str">
        <f>IF(OR($U190="",$V190="",$I190=""),"",IF(AND($U190&lt;=$I190-4,$V190&gt;=$F190),1,0))</f>
        <v/>
      </c>
    </row>
    <row r="191">
      <c r="B191" s="28" t="inlineStr">
        <is>
          <t>M8</t>
        </is>
      </c>
      <c r="C191" s="29" t="n"/>
      <c r="D191" s="28" t="n">
        <v>7926</v>
      </c>
      <c r="E191" s="28" t="n">
        <v>7988247306</v>
      </c>
      <c r="F191" s="30" t="n">
        <v>4562</v>
      </c>
      <c r="G191" s="68" t="n">
        <v>0</v>
      </c>
      <c r="H191" s="31">
        <f>IF(OR(D191="",E191=""),"",IFERROR(F191-G191,"-"))</f>
        <v>4562</v>
      </c>
      <c r="I191" s="32" t="n">
        <v>46323</v>
      </c>
      <c r="J191" s="33">
        <f>IF(I191="","",IFERROR(WORKDAY.INTL(I191,-10,"0000001",Holidays!$A$6:$A$55),"-"))</f>
        <v>46310</v>
      </c>
      <c r="K191" s="30" t="n"/>
      <c r="L191" s="30" t="n"/>
      <c r="M191" s="34" t="str">
        <f>IF(OR(D191="",E191="",F191="",K191="",L191=""),"",IFERROR(ROUNDUP(H191/(K191*L191),0),"-"))</f>
        <v/>
      </c>
      <c r="N191" s="33" t="n">
        <v>46323</v>
      </c>
      <c r="O191" s="32">
        <f t="array" ref="O191">IF(OR($D191="",$E191=""),"",IF($N191&lt;&gt;"",$N191,IFERROR(WORKDAY.INTL(LOOKUP(2,1/(($D$2:D190=$D191)*ISNUMBER($P$2:P190)),$P$2:P190),1,"0000001",Holidays!$A$6:$A$55),"")))</f>
        <v>46323</v>
      </c>
      <c r="P191" s="35" t="str">
        <f>IF(OR(O191="",H191="",K191="",L191=""),"",IFERROR(WORKDAY.INTL(O191-1,MAX(1,ROUNDUP(H191/(K191*L191),0)),"0000001",Holidays!$A$6:$A$55),"-"))</f>
        <v/>
      </c>
      <c r="Q191" s="33" t="str">
        <f>IF(P191="","",IFERROR(WORKDAY.INTL(P191,3,"0000001",Holidays!$A$6:$A$55),"-"))</f>
        <v/>
      </c>
      <c r="R191" s="34" t="str">
        <f>IF(OR(J191="",P191=""),"",IFERROR(NETWORKDAYS.INTL(P191+1,J191,"0000001",Holidays!$A$6:$A$55),"-"))</f>
        <v/>
      </c>
      <c r="S191" s="33">
        <f>IF(O191="","",IFERROR(WORKDAY.INTL(O191,-10,"0000001",Holidays!$A$6:$A$55),"-"))</f>
        <v>46310</v>
      </c>
      <c r="T191" s="36" t="str">
        <f>IF(OR(I191="",Q191=""),"",IF(Q191&lt;=I191-4,1,0))</f>
        <v/>
      </c>
      <c r="U191" s="32" t="n"/>
      <c r="V191" s="30" t="n"/>
      <c r="W191" s="36" t="str">
        <f>IF(OR($U191="",$V191="",$I191=""),"",IF(AND($U191&lt;=$I191-4,$V191&gt;=$F191),1,0))</f>
        <v/>
      </c>
    </row>
    <row r="192">
      <c r="B192" s="28" t="inlineStr">
        <is>
          <t>M8</t>
        </is>
      </c>
      <c r="C192" s="29" t="n"/>
      <c r="D192" s="28" t="n">
        <v>7926</v>
      </c>
      <c r="E192" s="28" t="n">
        <v>7289218292</v>
      </c>
      <c r="F192" s="30" t="n">
        <v>6737</v>
      </c>
      <c r="G192" s="68" t="n">
        <v>0</v>
      </c>
      <c r="H192" s="31">
        <f>IF(OR(D192="",E192=""),"",IFERROR(F192-G192,"-"))</f>
        <v>6737</v>
      </c>
      <c r="I192" s="32" t="n">
        <v>46318</v>
      </c>
      <c r="J192" s="33">
        <f>IF(I192="","",IFERROR(WORKDAY.INTL(I192,-10,"0000001",Holidays!$A$6:$A$55),"-"))</f>
        <v>46305</v>
      </c>
      <c r="K192" s="30" t="n"/>
      <c r="L192" s="30" t="n"/>
      <c r="M192" s="34" t="str">
        <f>IF(OR(D192="",E192="",F192="",K192="",L192=""),"",IFERROR(ROUNDUP(H192/(K192*L192),0),"-"))</f>
        <v/>
      </c>
      <c r="N192" s="33" t="n">
        <v>46318</v>
      </c>
      <c r="O192" s="32">
        <f t="array" ref="O192">IF(OR($D192="",$E192=""),"",IF($N192&lt;&gt;"",$N192,IFERROR(WORKDAY.INTL(LOOKUP(2,1/(($D$2:D191=$D192)*ISNUMBER($P$2:P191)),$P$2:P191),1,"0000001",Holidays!$A$6:$A$55),"")))</f>
        <v>46318</v>
      </c>
      <c r="P192" s="35" t="str">
        <f>IF(OR(O192="",H192="",K192="",L192=""),"",IFERROR(WORKDAY.INTL(O192-1,MAX(1,ROUNDUP(H192/(K192*L192),0)),"0000001",Holidays!$A$6:$A$55),"-"))</f>
        <v/>
      </c>
      <c r="Q192" s="33" t="str">
        <f>IF(P192="","",IFERROR(WORKDAY.INTL(P192,3,"0000001",Holidays!$A$6:$A$55),"-"))</f>
        <v/>
      </c>
      <c r="R192" s="34" t="str">
        <f>IF(OR(J192="",P192=""),"",IFERROR(NETWORKDAYS.INTL(P192+1,J192,"0000001",Holidays!$A$6:$A$55),"-"))</f>
        <v/>
      </c>
      <c r="S192" s="33">
        <f>IF(O192="","",IFERROR(WORKDAY.INTL(O192,-10,"0000001",Holidays!$A$6:$A$55),"-"))</f>
        <v>46305</v>
      </c>
      <c r="T192" s="36" t="str">
        <f>IF(OR(I192="",Q192=""),"",IF(Q192&lt;=I192-4,1,0))</f>
        <v/>
      </c>
      <c r="U192" s="32" t="n"/>
      <c r="V192" s="30" t="n"/>
      <c r="W192" s="36" t="str">
        <f>IF(OR($U192="",$V192="",$I192=""),"",IF(AND($U192&lt;=$I192-4,$V192&gt;=$F192),1,0))</f>
        <v/>
      </c>
    </row>
    <row r="193" ht="15.75" customHeight="1" thickBot="1">
      <c r="B193" s="37" t="inlineStr">
        <is>
          <t>M8</t>
        </is>
      </c>
      <c r="C193" s="38" t="n"/>
      <c r="D193" s="37" t="n">
        <v>7926</v>
      </c>
      <c r="E193" s="37" t="n">
        <v>7044217852</v>
      </c>
      <c r="F193" s="39" t="n">
        <v>4738</v>
      </c>
      <c r="G193" s="66" t="n">
        <v>0</v>
      </c>
      <c r="H193" s="40">
        <f>IF(OR(D193="",E193=""),"",IFERROR(F193-G193,"-"))</f>
        <v>4738</v>
      </c>
      <c r="I193" s="41" t="n">
        <v>46332</v>
      </c>
      <c r="J193" s="42">
        <f>IF(I193="","",IFERROR(WORKDAY.INTL(I193,-10,"0000001",Holidays!$A$6:$A$55),"-"))</f>
        <v>46321</v>
      </c>
      <c r="K193" s="39" t="n"/>
      <c r="L193" s="39" t="n"/>
      <c r="M193" s="43" t="str">
        <f>IF(OR(D193="",E193="",F193="",K193="",L193=""),"",IFERROR(ROUNDUP(H193/(K193*L193),0),"-"))</f>
        <v/>
      </c>
      <c r="N193" s="42" t="n">
        <v>46332</v>
      </c>
      <c r="O193" s="41">
        <f t="array" ref="O193">IF(OR($D193="",$E193=""),"",IF($N193&lt;&gt;"",$N193,IFERROR(WORKDAY.INTL(LOOKUP(2,1/(($D$2:D192=$D193)*ISNUMBER($P$2:P192)),$P$2:P192),1,"0000001",Holidays!$A$6:$A$55),"")))</f>
        <v>46332</v>
      </c>
      <c r="P193" s="44" t="str">
        <f>IF(OR(O193="",H193="",K193="",L193=""),"",IFERROR(WORKDAY.INTL(O193-1,MAX(1,ROUNDUP(H193/(K193*L193),0)),"0000001",Holidays!$A$6:$A$55),"-"))</f>
        <v/>
      </c>
      <c r="Q193" s="42" t="str">
        <f>IF(P193="","",IFERROR(WORKDAY.INTL(P193,3,"0000001",Holidays!$A$6:$A$55),"-"))</f>
        <v/>
      </c>
      <c r="R193" s="43" t="str">
        <f>IF(OR(J193="",P193=""),"",IFERROR(NETWORKDAYS.INTL(P193+1,J193,"0000001",Holidays!$A$6:$A$55),"-"))</f>
        <v/>
      </c>
      <c r="S193" s="42">
        <f>IF(O193="","",IFERROR(WORKDAY.INTL(O193,-10,"0000001",Holidays!$A$6:$A$55),"-"))</f>
        <v>46321</v>
      </c>
      <c r="T193" s="45" t="str">
        <f>IF(OR(I193="",Q193=""),"",IF(Q193&lt;=I193-4,1,0))</f>
        <v/>
      </c>
      <c r="U193" s="41" t="n"/>
      <c r="V193" s="39" t="n"/>
      <c r="W193" s="45" t="str">
        <f>IF(OR($U193="",$V193="",$I193=""),"",IF(AND($U193&lt;=$I193-4,$V193&gt;=$F193),1,0))</f>
        <v/>
      </c>
    </row>
    <row r="194">
      <c r="B194" s="28" t="n"/>
      <c r="C194" s="29" t="n"/>
      <c r="D194" s="28" t="n"/>
      <c r="E194" s="28" t="n"/>
      <c r="F194" s="30" t="n"/>
      <c r="G194" s="30" t="n"/>
      <c r="H194" s="31" t="str">
        <f>IF(OR(D194="",E194=""),"",IFERROR(F194-G194,"-"))</f>
        <v/>
      </c>
      <c r="I194" s="32" t="n"/>
      <c r="J194" s="33" t="str">
        <f>IF(I194="","",IFERROR(WORKDAY.INTL(I194,-10,"0000001",Holidays!$A$6:$A$55),"-"))</f>
        <v/>
      </c>
      <c r="K194" s="30" t="n"/>
      <c r="L194" s="30" t="n"/>
      <c r="M194" s="34" t="str">
        <f>IF(OR(D194="",E194="",F194="",K194="",L194=""),"",IFERROR(ROUNDUP(H194/(K194*L194),0),"-"))</f>
        <v/>
      </c>
      <c r="N194" s="34" t="n"/>
      <c r="O194" s="32" t="str">
        <f t="array" ref="O194">IF(OR($D194="",$E194=""),"",IF($N194&lt;&gt;"",$N194,IFERROR(WORKDAY.INTL(LOOKUP(2,1/(($D$2:D193=$D194)*ISNUMBER($P$2:P193)),$P$2:P193),1,"0000001",Holidays!$A$6:$A$55),"")))</f>
        <v/>
      </c>
      <c r="P194" s="35" t="str">
        <f>IF(OR(O194="",H194="",K194="",L194=""),"",IFERROR(WORKDAY.INTL(O194-1,MAX(1,ROUNDUP(H194/(K194*L194),0)),"0000001",Holidays!$A$6:$A$55),"-"))</f>
        <v/>
      </c>
      <c r="Q194" s="33" t="str">
        <f>IF(P194="","",IFERROR(WORKDAY.INTL(P194,3,"0000001",Holidays!$A$6:$A$55),"-"))</f>
        <v/>
      </c>
      <c r="R194" s="34" t="str">
        <f>IF(OR(J194="",P194=""),"",IFERROR(NETWORKDAYS.INTL(P194+1,J194,"0000001",Holidays!$A$6:$A$55),"-"))</f>
        <v/>
      </c>
      <c r="S194" s="33" t="str">
        <f>IF(O194="","",IFERROR(WORKDAY.INTL(O194,-10,"0000001",Holidays!$A$6:$A$55),"-"))</f>
        <v/>
      </c>
      <c r="T194" s="36" t="str">
        <f>IF(OR(I194="",Q194=""),"",IF(Q194&lt;=I194-4,1,0))</f>
        <v/>
      </c>
      <c r="U194" s="32" t="n"/>
      <c r="V194" s="30" t="n"/>
      <c r="W194" s="36" t="str">
        <f>IF(OR($U194="",$V194="",$I194=""),"",IF(AND($U194&lt;=$I194-4,$V194&gt;=$F194),1,0))</f>
        <v/>
      </c>
    </row>
    <row r="195">
      <c r="B195" s="28" t="n"/>
      <c r="C195" s="29" t="n"/>
      <c r="D195" s="28" t="n"/>
      <c r="E195" s="28" t="n"/>
      <c r="F195" s="30" t="n"/>
      <c r="G195" s="30" t="n"/>
      <c r="H195" s="31" t="str">
        <f>IF(OR(D195="",E195=""),"",IFERROR(F195-G195,"-"))</f>
        <v/>
      </c>
      <c r="I195" s="32" t="n"/>
      <c r="J195" s="33" t="str">
        <f>IF(I195="","",IFERROR(WORKDAY.INTL(I195,-10,"0000001",Holidays!$A$6:$A$55),"-"))</f>
        <v/>
      </c>
      <c r="K195" s="30" t="n"/>
      <c r="L195" s="30" t="n"/>
      <c r="M195" s="34" t="str">
        <f>IF(OR(D195="",E195="",F195="",K195="",L195=""),"",IFERROR(ROUNDUP(H195/(K195*L195),0),"-"))</f>
        <v/>
      </c>
      <c r="N195" s="34" t="n"/>
      <c r="O195" s="32" t="str">
        <f t="array" ref="O195">IF(OR($D195="",$E195=""),"",IF($N195&lt;&gt;"",$N195,IFERROR(WORKDAY.INTL(LOOKUP(2,1/(($D$2:D194=$D195)*ISNUMBER($P$2:P194)),$P$2:P194),1,"0000001",Holidays!$A$6:$A$55),"")))</f>
        <v/>
      </c>
      <c r="P195" s="35" t="str">
        <f>IF(OR(O195="",H195="",K195="",L195=""),"",IFERROR(WORKDAY.INTL(O195-1,MAX(1,ROUNDUP(H195/(K195*L195),0)),"0000001",Holidays!$A$6:$A$55),"-"))</f>
        <v/>
      </c>
      <c r="Q195" s="33" t="str">
        <f>IF(P195="","",IFERROR(WORKDAY.INTL(P195,3,"0000001",Holidays!$A$6:$A$55),"-"))</f>
        <v/>
      </c>
      <c r="R195" s="34" t="str">
        <f>IF(OR(J195="",P195=""),"",IFERROR(NETWORKDAYS.INTL(P195+1,J195,"0000001",Holidays!$A$6:$A$55),"-"))</f>
        <v/>
      </c>
      <c r="S195" s="33" t="str">
        <f>IF(O195="","",IFERROR(WORKDAY.INTL(O195,-10,"0000001",Holidays!$A$6:$A$55),"-"))</f>
        <v/>
      </c>
      <c r="T195" s="36" t="str">
        <f>IF(OR(I195="",Q195=""),"",IF(Q195&lt;=I195-4,1,0))</f>
        <v/>
      </c>
      <c r="U195" s="32" t="n"/>
      <c r="V195" s="30" t="n"/>
      <c r="W195" s="36" t="str">
        <f>IF(OR($U195="",$V195="",$I195=""),"",IF(AND($U195&lt;=$I195-4,$V195&gt;=$F195),1,0))</f>
        <v/>
      </c>
    </row>
    <row r="196">
      <c r="B196" s="28" t="n"/>
      <c r="C196" s="29" t="n"/>
      <c r="D196" s="28" t="n"/>
      <c r="E196" s="28" t="n"/>
      <c r="F196" s="30" t="n"/>
      <c r="G196" s="30" t="n"/>
      <c r="H196" s="31" t="str">
        <f>IF(OR(D196="",E196=""),"",IFERROR(F196-G196,"-"))</f>
        <v/>
      </c>
      <c r="I196" s="32" t="n"/>
      <c r="J196" s="33" t="str">
        <f>IF(I196="","",IFERROR(WORKDAY.INTL(I196,-10,"0000001",Holidays!$A$6:$A$55),"-"))</f>
        <v/>
      </c>
      <c r="K196" s="30" t="n"/>
      <c r="L196" s="30" t="n"/>
      <c r="M196" s="34" t="str">
        <f>IF(OR(D196="",E196="",F196="",K196="",L196=""),"",IFERROR(ROUNDUP(H196/(K196*L196),0),"-"))</f>
        <v/>
      </c>
      <c r="N196" s="34" t="n"/>
      <c r="O196" s="32" t="str">
        <f t="array" ref="O196">IF(OR($D196="",$E196=""),"",IF($N196&lt;&gt;"",$N196,IFERROR(WORKDAY.INTL(LOOKUP(2,1/(($D$2:D195=$D196)*ISNUMBER($P$2:P195)),$P$2:P195),1,"0000001",Holidays!$A$6:$A$55),"")))</f>
        <v/>
      </c>
      <c r="P196" s="35" t="str">
        <f>IF(OR(O196="",H196="",K196="",L196=""),"",IFERROR(WORKDAY.INTL(O196-1,MAX(1,ROUNDUP(H196/(K196*L196),0)),"0000001",Holidays!$A$6:$A$55),"-"))</f>
        <v/>
      </c>
      <c r="Q196" s="33" t="str">
        <f>IF(P196="","",IFERROR(WORKDAY.INTL(P196,3,"0000001",Holidays!$A$6:$A$55),"-"))</f>
        <v/>
      </c>
      <c r="R196" s="34" t="str">
        <f>IF(OR(J196="",P196=""),"",IFERROR(NETWORKDAYS.INTL(P196+1,J196,"0000001",Holidays!$A$6:$A$55),"-"))</f>
        <v/>
      </c>
      <c r="S196" s="33" t="str">
        <f>IF(O196="","",IFERROR(WORKDAY.INTL(O196,-10,"0000001",Holidays!$A$6:$A$55),"-"))</f>
        <v/>
      </c>
      <c r="T196" s="36" t="str">
        <f>IF(OR(I196="",Q196=""),"",IF(Q196&lt;=I196-4,1,0))</f>
        <v/>
      </c>
      <c r="U196" s="32" t="n"/>
      <c r="V196" s="30" t="n"/>
      <c r="W196" s="36" t="str">
        <f>IF(OR($U196="",$V196="",$I196=""),"",IF(AND($U196&lt;=$I196-4,$V196&gt;=$F196),1,0))</f>
        <v/>
      </c>
    </row>
    <row r="197">
      <c r="B197" s="28" t="n"/>
      <c r="C197" s="29" t="n"/>
      <c r="D197" s="28" t="n"/>
      <c r="E197" s="28" t="n"/>
      <c r="F197" s="30" t="n"/>
      <c r="G197" s="30" t="n"/>
      <c r="H197" s="31" t="str">
        <f>IF(OR(D197="",E197=""),"",IFERROR(F197-G197,"-"))</f>
        <v/>
      </c>
      <c r="I197" s="32" t="n"/>
      <c r="J197" s="33" t="str">
        <f>IF(I197="","",IFERROR(WORKDAY.INTL(I197,-10,"0000001",Holidays!$A$6:$A$55),"-"))</f>
        <v/>
      </c>
      <c r="K197" s="30" t="n"/>
      <c r="L197" s="30" t="n"/>
      <c r="M197" s="34" t="str">
        <f>IF(OR(D197="",E197="",F197="",K197="",L197=""),"",IFERROR(ROUNDUP(H197/(K197*L197),0),"-"))</f>
        <v/>
      </c>
      <c r="N197" s="34" t="n"/>
      <c r="O197" s="32" t="str">
        <f t="array" ref="O197">IF(OR($D197="",$E197=""),"",IF($N197&lt;&gt;"",$N197,IFERROR(WORKDAY.INTL(LOOKUP(2,1/(($D$2:D196=$D197)*ISNUMBER($P$2:P196)),$P$2:P196),1,"0000001",Holidays!$A$6:$A$55),"")))</f>
        <v/>
      </c>
      <c r="P197" s="35" t="str">
        <f>IF(OR(O197="",H197="",K197="",L197=""),"",IFERROR(WORKDAY.INTL(O197-1,MAX(1,ROUNDUP(H197/(K197*L197),0)),"0000001",Holidays!$A$6:$A$55),"-"))</f>
        <v/>
      </c>
      <c r="Q197" s="33" t="str">
        <f>IF(P197="","",IFERROR(WORKDAY.INTL(P197,3,"0000001",Holidays!$A$6:$A$55),"-"))</f>
        <v/>
      </c>
      <c r="R197" s="34" t="str">
        <f>IF(OR(J197="",P197=""),"",IFERROR(NETWORKDAYS.INTL(P197+1,J197,"0000001",Holidays!$A$6:$A$55),"-"))</f>
        <v/>
      </c>
      <c r="S197" s="33" t="str">
        <f>IF(O197="","",IFERROR(WORKDAY.INTL(O197,-10,"0000001",Holidays!$A$6:$A$55),"-"))</f>
        <v/>
      </c>
      <c r="T197" s="36" t="str">
        <f>IF(OR(I197="",Q197=""),"",IF(Q197&lt;=I197-4,1,0))</f>
        <v/>
      </c>
      <c r="U197" s="32" t="n"/>
      <c r="V197" s="30" t="n"/>
      <c r="W197" s="36" t="str">
        <f>IF(OR($U197="",$V197="",$I197=""),"",IF(AND($U197&lt;=$I197-4,$V197&gt;=$F197),1,0))</f>
        <v/>
      </c>
    </row>
    <row r="198">
      <c r="B198" s="28" t="n"/>
      <c r="C198" s="29" t="n"/>
      <c r="D198" s="28" t="n"/>
      <c r="E198" s="28" t="n"/>
      <c r="F198" s="30" t="n"/>
      <c r="G198" s="30" t="n"/>
      <c r="H198" s="31" t="str">
        <f>IF(OR(D198="",E198=""),"",IFERROR(F198-G198,"-"))</f>
        <v/>
      </c>
      <c r="I198" s="32" t="n"/>
      <c r="J198" s="33" t="str">
        <f>IF(I198="","",IFERROR(WORKDAY.INTL(I198,-10,"0000001",Holidays!$A$6:$A$55),"-"))</f>
        <v/>
      </c>
      <c r="K198" s="30" t="n"/>
      <c r="L198" s="30" t="n"/>
      <c r="M198" s="34" t="str">
        <f>IF(OR(D198="",E198="",F198="",K198="",L198=""),"",IFERROR(ROUNDUP(H198/(K198*L198),0),"-"))</f>
        <v/>
      </c>
      <c r="N198" s="34" t="n"/>
      <c r="O198" s="32" t="str">
        <f t="array" ref="O198">IF(OR($D198="",$E198=""),"",IF($N198&lt;&gt;"",$N198,IFERROR(WORKDAY.INTL(LOOKUP(2,1/(($D$2:D197=$D198)*ISNUMBER($P$2:P197)),$P$2:P197),1,"0000001",Holidays!$A$6:$A$55),"")))</f>
        <v/>
      </c>
      <c r="P198" s="35" t="str">
        <f>IF(OR(O198="",H198="",K198="",L198=""),"",IFERROR(WORKDAY.INTL(O198-1,MAX(1,ROUNDUP(H198/(K198*L198),0)),"0000001",Holidays!$A$6:$A$55),"-"))</f>
        <v/>
      </c>
      <c r="Q198" s="33" t="str">
        <f>IF(P198="","",IFERROR(WORKDAY.INTL(P198,3,"0000001",Holidays!$A$6:$A$55),"-"))</f>
        <v/>
      </c>
      <c r="R198" s="34" t="str">
        <f>IF(OR(J198="",P198=""),"",IFERROR(NETWORKDAYS.INTL(P198+1,J198,"0000001",Holidays!$A$6:$A$55),"-"))</f>
        <v/>
      </c>
      <c r="S198" s="33" t="str">
        <f>IF(O198="","",IFERROR(WORKDAY.INTL(O198,-10,"0000001",Holidays!$A$6:$A$55),"-"))</f>
        <v/>
      </c>
      <c r="T198" s="36" t="str">
        <f>IF(OR(I198="",Q198=""),"",IF(Q198&lt;=I198-4,1,0))</f>
        <v/>
      </c>
      <c r="U198" s="32" t="n"/>
      <c r="V198" s="30" t="n"/>
      <c r="W198" s="36" t="str">
        <f>IF(OR($U198="",$V198="",$I198=""),"",IF(AND($U198&lt;=$I198-4,$V198&gt;=$F198),1,0))</f>
        <v/>
      </c>
    </row>
    <row r="199">
      <c r="B199" s="28" t="n"/>
      <c r="C199" s="29" t="n"/>
      <c r="D199" s="28" t="n"/>
      <c r="E199" s="28" t="n"/>
      <c r="F199" s="30" t="n"/>
      <c r="G199" s="30" t="n"/>
      <c r="H199" s="31" t="str">
        <f>IF(OR(D199="",E199=""),"",IFERROR(F199-G199,"-"))</f>
        <v/>
      </c>
      <c r="I199" s="32" t="n"/>
      <c r="J199" s="33" t="str">
        <f>IF(I199="","",IFERROR(WORKDAY.INTL(I199,-10,"0000001",Holidays!$A$6:$A$55),"-"))</f>
        <v/>
      </c>
      <c r="K199" s="30" t="n"/>
      <c r="L199" s="30" t="n"/>
      <c r="M199" s="34" t="str">
        <f>IF(OR(D199="",E199="",F199="",K199="",L199=""),"",IFERROR(ROUNDUP(H199/(K199*L199),0),"-"))</f>
        <v/>
      </c>
      <c r="N199" s="34" t="n"/>
      <c r="O199" s="32" t="str">
        <f t="array" ref="O199">IF(OR($D199="",$E199=""),"",IF($N199&lt;&gt;"",$N199,IFERROR(WORKDAY.INTL(LOOKUP(2,1/(($D$2:D198=$D199)*ISNUMBER($P$2:P198)),$P$2:P198),1,"0000001",Holidays!$A$6:$A$55),"")))</f>
        <v/>
      </c>
      <c r="P199" s="35" t="str">
        <f>IF(OR(O199="",H199="",K199="",L199=""),"",IFERROR(WORKDAY.INTL(O199-1,MAX(1,ROUNDUP(H199/(K199*L199),0)),"0000001",Holidays!$A$6:$A$55),"-"))</f>
        <v/>
      </c>
      <c r="Q199" s="33" t="str">
        <f>IF(P199="","",IFERROR(WORKDAY.INTL(P199,3,"0000001",Holidays!$A$6:$A$55),"-"))</f>
        <v/>
      </c>
      <c r="R199" s="34" t="str">
        <f>IF(OR(J199="",P199=""),"",IFERROR(NETWORKDAYS.INTL(P199+1,J199,"0000001",Holidays!$A$6:$A$55),"-"))</f>
        <v/>
      </c>
      <c r="S199" s="33" t="str">
        <f>IF(O199="","",IFERROR(WORKDAY.INTL(O199,-10,"0000001",Holidays!$A$6:$A$55),"-"))</f>
        <v/>
      </c>
      <c r="T199" s="36" t="str">
        <f>IF(OR(I199="",Q199=""),"",IF(Q199&lt;=I199-4,1,0))</f>
        <v/>
      </c>
      <c r="U199" s="32" t="n"/>
      <c r="V199" s="30" t="n"/>
      <c r="W199" s="36" t="str">
        <f>IF(OR($U199="",$V199="",$I199=""),"",IF(AND($U199&lt;=$I199-4,$V199&gt;=$F199),1,0))</f>
        <v/>
      </c>
    </row>
    <row r="200">
      <c r="B200" s="28" t="n"/>
      <c r="C200" s="29" t="n"/>
      <c r="D200" s="28" t="n"/>
      <c r="E200" s="28" t="n"/>
      <c r="F200" s="30" t="n"/>
      <c r="G200" s="30" t="n"/>
      <c r="H200" s="31" t="str">
        <f>IF(OR(D200="",E200=""),"",IFERROR(F200-G200,"-"))</f>
        <v/>
      </c>
      <c r="I200" s="32" t="n"/>
      <c r="J200" s="33" t="str">
        <f>IF(I200="","",IFERROR(WORKDAY.INTL(I200,-10,"0000001",Holidays!$A$6:$A$55),"-"))</f>
        <v/>
      </c>
      <c r="K200" s="30" t="n"/>
      <c r="L200" s="30" t="n"/>
      <c r="M200" s="34" t="str">
        <f>IF(OR(D200="",E200="",F200="",K200="",L200=""),"",IFERROR(ROUNDUP(H200/(K200*L200),0),"-"))</f>
        <v/>
      </c>
      <c r="N200" s="34" t="n"/>
      <c r="O200" s="32" t="str">
        <f t="array" ref="O200">IF(OR($D200="",$E200=""),"",IF($N200&lt;&gt;"",$N200,IFERROR(WORKDAY.INTL(LOOKUP(2,1/(($D$2:D199=$D200)*ISNUMBER($P$2:P199)),$P$2:P199),1,"0000001",Holidays!$A$6:$A$55),"")))</f>
        <v/>
      </c>
      <c r="P200" s="35" t="str">
        <f>IF(OR(O200="",H200="",K200="",L200=""),"",IFERROR(WORKDAY.INTL(O200-1,MAX(1,ROUNDUP(H200/(K200*L200),0)),"0000001",Holidays!$A$6:$A$55),"-"))</f>
        <v/>
      </c>
      <c r="Q200" s="33" t="str">
        <f>IF(P200="","",IFERROR(WORKDAY.INTL(P200,3,"0000001",Holidays!$A$6:$A$55),"-"))</f>
        <v/>
      </c>
      <c r="R200" s="34" t="str">
        <f>IF(OR(J200="",P200=""),"",IFERROR(NETWORKDAYS.INTL(P200+1,J200,"0000001",Holidays!$A$6:$A$55),"-"))</f>
        <v/>
      </c>
      <c r="S200" s="33" t="str">
        <f>IF(O200="","",IFERROR(WORKDAY.INTL(O200,-10,"0000001",Holidays!$A$6:$A$55),"-"))</f>
        <v/>
      </c>
      <c r="T200" s="36" t="str">
        <f>IF(OR(I200="",Q200=""),"",IF(Q200&lt;=I200-4,1,0))</f>
        <v/>
      </c>
      <c r="U200" s="32" t="n"/>
      <c r="V200" s="30" t="n"/>
      <c r="W200" s="36" t="str">
        <f>IF(OR($U200="",$V200="",$I200=""),"",IF(AND($U200&lt;=$I200-4,$V200&gt;=$F200),1,0))</f>
        <v/>
      </c>
    </row>
  </sheetData>
  <mergeCells count="2">
    <mergeCell ref="U1:W1"/>
    <mergeCell ref="B1:T1"/>
  </mergeCells>
  <conditionalFormatting sqref="O3:O200">
    <cfRule type="cellIs" priority="2" operator="equal" dxfId="2">
      <formula>"Close"</formula>
    </cfRule>
  </conditionalFormatting>
  <conditionalFormatting sqref="K3:L200">
    <cfRule type="expression" priority="3" dxfId="3">
      <formula>AND(ISNUMBER($H3),$H3&gt;0,$N3&lt;&gt;"Close",OR($K3="",$L3=""))</formula>
    </cfRule>
  </conditionalFormatting>
  <conditionalFormatting sqref="R3:R200">
    <cfRule type="cellIs" priority="4" operator="lessThan" dxfId="4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1"/>
  <sheetViews>
    <sheetView workbookViewId="0">
      <pane ySplit="5" topLeftCell="A6" activePane="bottomLeft" state="frozen"/>
      <selection pane="bottomLeft" activeCell="B7" sqref="B7"/>
    </sheetView>
  </sheetViews>
  <sheetFormatPr baseColWidth="8" defaultRowHeight="15"/>
  <cols>
    <col width="13.28515625" bestFit="1" customWidth="1" min="1" max="1"/>
    <col width="12.7109375" bestFit="1" customWidth="1" min="2" max="2"/>
    <col width="6" bestFit="1" customWidth="1" min="3" max="3"/>
    <col width="10.140625" customWidth="1" min="4" max="4"/>
    <col width="14.42578125" customWidth="1" min="5" max="5"/>
    <col width="10" customWidth="1" min="6" max="6"/>
    <col width="14.7109375" customWidth="1" min="7" max="7"/>
    <col width="11.42578125" customWidth="1" min="8" max="8"/>
    <col width="11.5703125" customWidth="1" min="9" max="9"/>
    <col width="9.5703125" customWidth="1" min="10" max="10"/>
  </cols>
  <sheetData>
    <row r="1" ht="30" customHeight="1">
      <c r="A1" s="25" t="inlineStr">
        <is>
          <t>HOLIDAYS &amp; WORKING CALENDAR</t>
        </is>
      </c>
    </row>
    <row r="2" ht="21.95" customHeight="1">
      <c r="A2" s="10" t="inlineStr">
        <is>
          <t>Calendar Year</t>
        </is>
      </c>
      <c r="B2" s="11" t="n">
        <v>2026</v>
      </c>
      <c r="C2" s="10" t="n"/>
      <c r="D2" s="9" t="n"/>
      <c r="E2" s="12" t="inlineStr">
        <is>
          <t>Legend</t>
        </is>
      </c>
      <c r="F2" s="13" t="inlineStr">
        <is>
          <t>Working</t>
        </is>
      </c>
      <c r="G2" s="14" t="inlineStr">
        <is>
          <t>Sunday</t>
        </is>
      </c>
      <c r="H2" s="15" t="inlineStr">
        <is>
          <t>Holiday</t>
        </is>
      </c>
      <c r="I2" s="9" t="n"/>
      <c r="J2" s="9" t="n"/>
    </row>
    <row r="3" ht="30" customHeight="1">
      <c r="A3" s="26" t="inlineStr">
        <is>
          <t>Edit the yellow cells only: set the year in B2 and list holiday dates (and names) in A6:B55. Sundays are excluded automatically.</t>
        </is>
      </c>
    </row>
    <row r="4" ht="21.95" customHeight="1">
      <c r="A4" s="27" t="inlineStr">
        <is>
          <t>Holiday Register</t>
        </is>
      </c>
      <c r="D4" s="9" t="n"/>
      <c r="E4" s="27" t="inlineStr">
        <is>
          <t>Annual Working Calendar</t>
        </is>
      </c>
    </row>
    <row r="5" ht="21.95" customHeight="1">
      <c r="A5" s="16" t="inlineStr">
        <is>
          <t>Holiday Date</t>
        </is>
      </c>
      <c r="B5" s="16" t="inlineStr">
        <is>
          <t>Holiday Name</t>
        </is>
      </c>
      <c r="C5" s="16" t="inlineStr">
        <is>
          <t>Notes</t>
        </is>
      </c>
      <c r="D5" s="9" t="n"/>
      <c r="E5" s="16" t="inlineStr">
        <is>
          <t>Date</t>
        </is>
      </c>
      <c r="F5" s="16" t="inlineStr">
        <is>
          <t>Month</t>
        </is>
      </c>
      <c r="G5" s="16" t="inlineStr">
        <is>
          <t>Week</t>
        </is>
      </c>
      <c r="H5" s="16" t="inlineStr">
        <is>
          <t>Day</t>
        </is>
      </c>
      <c r="I5" s="16" t="inlineStr">
        <is>
          <t>Status</t>
        </is>
      </c>
      <c r="J5" s="16" t="inlineStr">
        <is>
          <t>Counted?</t>
        </is>
      </c>
    </row>
    <row r="6">
      <c r="A6" s="17" t="n">
        <v>46048</v>
      </c>
      <c r="B6" s="18" t="n"/>
      <c r="C6" s="18" t="n"/>
      <c r="D6" s="9" t="n"/>
      <c r="E6" s="19">
        <f>DATE($B$2,1,1)</f>
        <v>46023</v>
      </c>
      <c r="F6" s="20" t="str">
        <f>IF(E6="","",TEXT(E6,"mmm"))</f>
        <v>Jan</v>
      </c>
      <c r="G6" s="20">
        <f>IF(E6="","",WEEKNUM(E6,2))</f>
        <v>1</v>
      </c>
      <c r="H6" s="20" t="str">
        <f>IF(E6="","",TEXT(E6,"ddd"))</f>
        <v>Thu</v>
      </c>
      <c r="I6" s="20" t="str">
        <f>IF(E6="","",IF(COUNTIF($A$6:$A$55,E6)&gt;0,"Holiday",IF(WEEKDAY(E6,2)=7,"Sunday","Working")))</f>
        <v>Working</v>
      </c>
      <c r="J6" s="20" t="str">
        <f>IF(E6="","",IF(OR(WEEKDAY(E6,2)=7,COUNTIF($A$6:$A$55,E6)&gt;0),"No","Yes"))</f>
        <v>Yes</v>
      </c>
    </row>
    <row r="7">
      <c r="A7" s="17" t="n">
        <v>46249</v>
      </c>
      <c r="B7" s="18" t="n"/>
      <c r="C7" s="18" t="n"/>
      <c r="D7" s="9" t="n"/>
      <c r="E7" s="19">
        <f>IF(E6="","",IF(E6&lt;DATE($B$2+1,1,1)-1,E6+1,""))</f>
        <v>46024</v>
      </c>
      <c r="F7" s="20" t="str">
        <f>IF(E7="","",TEXT(E7,"mmm"))</f>
        <v>Jan</v>
      </c>
      <c r="G7" s="20">
        <f>IF(E7="","",WEEKNUM(E7,2))</f>
        <v>1</v>
      </c>
      <c r="H7" s="20" t="str">
        <f>IF(E7="","",TEXT(E7,"ddd"))</f>
        <v>Fri</v>
      </c>
      <c r="I7" s="20" t="str">
        <f>IF(E7="","",IF(COUNTIF($A$6:$A$55,E7)&gt;0,"Holiday",IF(WEEKDAY(E7,2)=7,"Sunday","Working")))</f>
        <v>Working</v>
      </c>
      <c r="J7" s="20" t="str">
        <f>IF(E7="","",IF(OR(WEEKDAY(E7,2)=7,COUNTIF($A$6:$A$55,E7)&gt;0),"No","Yes"))</f>
        <v>Yes</v>
      </c>
    </row>
    <row r="8">
      <c r="A8" s="17" t="n">
        <v>46262</v>
      </c>
      <c r="B8" s="18" t="n"/>
      <c r="C8" s="18" t="n"/>
      <c r="D8" s="9" t="n"/>
      <c r="E8" s="19">
        <f>IF(E7="","",IF(E7&lt;DATE($B$2+1,1,1)-1,E7+1,""))</f>
        <v>46025</v>
      </c>
      <c r="F8" s="20" t="str">
        <f>IF(E8="","",TEXT(E8,"mmm"))</f>
        <v>Jan</v>
      </c>
      <c r="G8" s="20">
        <f>IF(E8="","",WEEKNUM(E8,2))</f>
        <v>1</v>
      </c>
      <c r="H8" s="20" t="str">
        <f>IF(E8="","",TEXT(E8,"ddd"))</f>
        <v>Sat</v>
      </c>
      <c r="I8" s="20" t="str">
        <f>IF(E8="","",IF(COUNTIF($A$6:$A$55,E8)&gt;0,"Holiday",IF(WEEKDAY(E8,2)=7,"Sunday","Working")))</f>
        <v>Working</v>
      </c>
      <c r="J8" s="20" t="str">
        <f>IF(E8="","",IF(OR(WEEKDAY(E8,2)=7,COUNTIF($A$6:$A$55,E8)&gt;0),"No","Yes"))</f>
        <v>Yes</v>
      </c>
      <c r="M8" s="23" t="n"/>
    </row>
    <row r="9">
      <c r="A9" s="17" t="n">
        <v>46297</v>
      </c>
      <c r="B9" s="18" t="n"/>
      <c r="C9" s="18" t="n"/>
      <c r="D9" s="9" t="n"/>
      <c r="E9" s="19">
        <f>IF(E8="","",IF(E8&lt;DATE($B$2+1,1,1)-1,E8+1,""))</f>
        <v>46026</v>
      </c>
      <c r="F9" s="20" t="str">
        <f>IF(E9="","",TEXT(E9,"mmm"))</f>
        <v>Jan</v>
      </c>
      <c r="G9" s="20">
        <f>IF(E9="","",WEEKNUM(E9,2))</f>
        <v>1</v>
      </c>
      <c r="H9" s="20" t="str">
        <f>IF(E9="","",TEXT(E9,"ddd"))</f>
        <v>Sun</v>
      </c>
      <c r="I9" s="20" t="str">
        <f>IF(E9="","",IF(COUNTIF($A$6:$A$55,E9)&gt;0,"Holiday",IF(WEEKDAY(E9,2)=7,"Sunday","Working")))</f>
        <v>Sunday</v>
      </c>
      <c r="J9" s="20" t="str">
        <f>IF(E9="","",IF(OR(WEEKDAY(E9,2)=7,COUNTIF($A$6:$A$55,E9)&gt;0),"No","Yes"))</f>
        <v>No</v>
      </c>
      <c r="M9" s="23" t="n"/>
    </row>
    <row r="10">
      <c r="A10" s="17" t="n">
        <v>46315</v>
      </c>
      <c r="B10" s="18" t="n"/>
      <c r="C10" s="18" t="n"/>
      <c r="D10" s="9" t="n"/>
      <c r="E10" s="19">
        <f>IF(E9="","",IF(E9&lt;DATE($B$2+1,1,1)-1,E9+1,""))</f>
        <v>46027</v>
      </c>
      <c r="F10" s="20" t="str">
        <f>IF(E10="","",TEXT(E10,"mmm"))</f>
        <v>Jan</v>
      </c>
      <c r="G10" s="20">
        <f>IF(E10="","",WEEKNUM(E10,2))</f>
        <v>2</v>
      </c>
      <c r="H10" s="20" t="str">
        <f>IF(E10="","",TEXT(E10,"ddd"))</f>
        <v>Mon</v>
      </c>
      <c r="I10" s="20" t="str">
        <f>IF(E10="","",IF(COUNTIF($A$6:$A$55,E10)&gt;0,"Holiday",IF(WEEKDAY(E10,2)=7,"Sunday","Working")))</f>
        <v>Working</v>
      </c>
      <c r="J10" s="20" t="str">
        <f>IF(E10="","",IF(OR(WEEKDAY(E10,2)=7,COUNTIF($A$6:$A$55,E10)&gt;0),"No","Yes"))</f>
        <v>Yes</v>
      </c>
      <c r="M10" s="23" t="n"/>
    </row>
    <row r="11">
      <c r="A11" s="17" t="n">
        <v>46333</v>
      </c>
      <c r="B11" s="18" t="n"/>
      <c r="C11" s="18" t="n"/>
      <c r="D11" s="9" t="n"/>
      <c r="E11" s="19">
        <f>IF(E10="","",IF(E10&lt;DATE($B$2+1,1,1)-1,E10+1,""))</f>
        <v>46028</v>
      </c>
      <c r="F11" s="20" t="str">
        <f>IF(E11="","",TEXT(E11,"mmm"))</f>
        <v>Jan</v>
      </c>
      <c r="G11" s="20">
        <f>IF(E11="","",WEEKNUM(E11,2))</f>
        <v>2</v>
      </c>
      <c r="H11" s="20" t="str">
        <f>IF(E11="","",TEXT(E11,"ddd"))</f>
        <v>Tue</v>
      </c>
      <c r="I11" s="20" t="str">
        <f>IF(E11="","",IF(COUNTIF($A$6:$A$55,E11)&gt;0,"Holiday",IF(WEEKDAY(E11,2)=7,"Sunday","Working")))</f>
        <v>Working</v>
      </c>
      <c r="J11" s="20" t="str">
        <f>IF(E11="","",IF(OR(WEEKDAY(E11,2)=7,COUNTIF($A$6:$A$55,E11)&gt;0),"No","Yes"))</f>
        <v>Yes</v>
      </c>
      <c r="M11" s="23" t="n"/>
    </row>
    <row r="12">
      <c r="A12" s="17" t="n">
        <v>46342</v>
      </c>
      <c r="B12" s="18" t="n"/>
      <c r="C12" s="18" t="n"/>
      <c r="D12" s="9" t="n"/>
      <c r="E12" s="19">
        <f>IF(E11="","",IF(E11&lt;DATE($B$2+1,1,1)-1,E11+1,""))</f>
        <v>46029</v>
      </c>
      <c r="F12" s="20" t="str">
        <f>IF(E12="","",TEXT(E12,"mmm"))</f>
        <v>Jan</v>
      </c>
      <c r="G12" s="20">
        <f>IF(E12="","",WEEKNUM(E12,2))</f>
        <v>2</v>
      </c>
      <c r="H12" s="20" t="str">
        <f>IF(E12="","",TEXT(E12,"ddd"))</f>
        <v>Wed</v>
      </c>
      <c r="I12" s="20" t="str">
        <f>IF(E12="","",IF(COUNTIF($A$6:$A$55,E12)&gt;0,"Holiday",IF(WEEKDAY(E12,2)=7,"Sunday","Working")))</f>
        <v>Working</v>
      </c>
      <c r="J12" s="20" t="str">
        <f>IF(E12="","",IF(OR(WEEKDAY(E12,2)=7,COUNTIF($A$6:$A$55,E12)&gt;0),"No","Yes"))</f>
        <v>Yes</v>
      </c>
      <c r="M12" s="23" t="n"/>
    </row>
    <row r="13">
      <c r="A13" s="17" t="n"/>
      <c r="B13" s="18" t="n"/>
      <c r="C13" s="18" t="n"/>
      <c r="D13" s="9" t="n"/>
      <c r="E13" s="19">
        <f>IF(E12="","",IF(E12&lt;DATE($B$2+1,1,1)-1,E12+1,""))</f>
        <v>46030</v>
      </c>
      <c r="F13" s="20" t="str">
        <f>IF(E13="","",TEXT(E13,"mmm"))</f>
        <v>Jan</v>
      </c>
      <c r="G13" s="20">
        <f>IF(E13="","",WEEKNUM(E13,2))</f>
        <v>2</v>
      </c>
      <c r="H13" s="20" t="str">
        <f>IF(E13="","",TEXT(E13,"ddd"))</f>
        <v>Thu</v>
      </c>
      <c r="I13" s="20" t="str">
        <f>IF(E13="","",IF(COUNTIF($A$6:$A$55,E13)&gt;0,"Holiday",IF(WEEKDAY(E13,2)=7,"Sunday","Working")))</f>
        <v>Working</v>
      </c>
      <c r="J13" s="20" t="str">
        <f>IF(E13="","",IF(OR(WEEKDAY(E13,2)=7,COUNTIF($A$6:$A$55,E13)&gt;0),"No","Yes"))</f>
        <v>Yes</v>
      </c>
      <c r="M13" s="23" t="n"/>
    </row>
    <row r="14">
      <c r="A14" s="17" t="n"/>
      <c r="B14" s="18" t="n"/>
      <c r="C14" s="18" t="n"/>
      <c r="D14" s="9" t="n"/>
      <c r="E14" s="19">
        <f>IF(E13="","",IF(E13&lt;DATE($B$2+1,1,1)-1,E13+1,""))</f>
        <v>46031</v>
      </c>
      <c r="F14" s="20" t="str">
        <f>IF(E14="","",TEXT(E14,"mmm"))</f>
        <v>Jan</v>
      </c>
      <c r="G14" s="20">
        <f>IF(E14="","",WEEKNUM(E14,2))</f>
        <v>2</v>
      </c>
      <c r="H14" s="20" t="str">
        <f>IF(E14="","",TEXT(E14,"ddd"))</f>
        <v>Fri</v>
      </c>
      <c r="I14" s="20" t="str">
        <f>IF(E14="","",IF(COUNTIF($A$6:$A$55,E14)&gt;0,"Holiday",IF(WEEKDAY(E14,2)=7,"Sunday","Working")))</f>
        <v>Working</v>
      </c>
      <c r="J14" s="20" t="str">
        <f>IF(E14="","",IF(OR(WEEKDAY(E14,2)=7,COUNTIF($A$6:$A$55,E14)&gt;0),"No","Yes"))</f>
        <v>Yes</v>
      </c>
      <c r="M14" s="23" t="n"/>
    </row>
    <row r="15">
      <c r="A15" s="17" t="n"/>
      <c r="B15" s="18" t="n"/>
      <c r="C15" s="18" t="n"/>
      <c r="D15" s="9" t="n"/>
      <c r="E15" s="19">
        <f>IF(E14="","",IF(E14&lt;DATE($B$2+1,1,1)-1,E14+1,""))</f>
        <v>46032</v>
      </c>
      <c r="F15" s="20" t="str">
        <f>IF(E15="","",TEXT(E15,"mmm"))</f>
        <v>Jan</v>
      </c>
      <c r="G15" s="20">
        <f>IF(E15="","",WEEKNUM(E15,2))</f>
        <v>2</v>
      </c>
      <c r="H15" s="20" t="str">
        <f>IF(E15="","",TEXT(E15,"ddd"))</f>
        <v>Sat</v>
      </c>
      <c r="I15" s="20" t="str">
        <f>IF(E15="","",IF(COUNTIF($A$6:$A$55,E15)&gt;0,"Holiday",IF(WEEKDAY(E15,2)=7,"Sunday","Working")))</f>
        <v>Working</v>
      </c>
      <c r="J15" s="20" t="str">
        <f>IF(E15="","",IF(OR(WEEKDAY(E15,2)=7,COUNTIF($A$6:$A$55,E15)&gt;0),"No","Yes"))</f>
        <v>Yes</v>
      </c>
      <c r="M15" s="23" t="n"/>
    </row>
    <row r="16">
      <c r="A16" s="17" t="n"/>
      <c r="B16" s="18" t="n"/>
      <c r="C16" s="18" t="n"/>
      <c r="D16" s="9" t="n"/>
      <c r="E16" s="19">
        <f>IF(E15="","",IF(E15&lt;DATE($B$2+1,1,1)-1,E15+1,""))</f>
        <v>46033</v>
      </c>
      <c r="F16" s="20" t="str">
        <f>IF(E16="","",TEXT(E16,"mmm"))</f>
        <v>Jan</v>
      </c>
      <c r="G16" s="20">
        <f>IF(E16="","",WEEKNUM(E16,2))</f>
        <v>2</v>
      </c>
      <c r="H16" s="20" t="str">
        <f>IF(E16="","",TEXT(E16,"ddd"))</f>
        <v>Sun</v>
      </c>
      <c r="I16" s="20" t="str">
        <f>IF(E16="","",IF(COUNTIF($A$6:$A$55,E16)&gt;0,"Holiday",IF(WEEKDAY(E16,2)=7,"Sunday","Working")))</f>
        <v>Sunday</v>
      </c>
      <c r="J16" s="20" t="str">
        <f>IF(E16="","",IF(OR(WEEKDAY(E16,2)=7,COUNTIF($A$6:$A$55,E16)&gt;0),"No","Yes"))</f>
        <v>No</v>
      </c>
    </row>
    <row r="17">
      <c r="A17" s="17" t="n"/>
      <c r="B17" s="18" t="n"/>
      <c r="C17" s="18" t="n"/>
      <c r="D17" s="9" t="n"/>
      <c r="E17" s="19">
        <f>IF(E16="","",IF(E16&lt;DATE($B$2+1,1,1)-1,E16+1,""))</f>
        <v>46034</v>
      </c>
      <c r="F17" s="20" t="str">
        <f>IF(E17="","",TEXT(E17,"mmm"))</f>
        <v>Jan</v>
      </c>
      <c r="G17" s="20">
        <f>IF(E17="","",WEEKNUM(E17,2))</f>
        <v>3</v>
      </c>
      <c r="H17" s="20" t="str">
        <f>IF(E17="","",TEXT(E17,"ddd"))</f>
        <v>Mon</v>
      </c>
      <c r="I17" s="20" t="str">
        <f>IF(E17="","",IF(COUNTIF($A$6:$A$55,E17)&gt;0,"Holiday",IF(WEEKDAY(E17,2)=7,"Sunday","Working")))</f>
        <v>Working</v>
      </c>
      <c r="J17" s="20" t="str">
        <f>IF(E17="","",IF(OR(WEEKDAY(E17,2)=7,COUNTIF($A$6:$A$55,E17)&gt;0),"No","Yes"))</f>
        <v>Yes</v>
      </c>
    </row>
    <row r="18">
      <c r="A18" s="17" t="n"/>
      <c r="B18" s="18" t="n"/>
      <c r="C18" s="18" t="n"/>
      <c r="D18" s="9" t="n"/>
      <c r="E18" s="19">
        <f>IF(E17="","",IF(E17&lt;DATE($B$2+1,1,1)-1,E17+1,""))</f>
        <v>46035</v>
      </c>
      <c r="F18" s="20" t="str">
        <f>IF(E18="","",TEXT(E18,"mmm"))</f>
        <v>Jan</v>
      </c>
      <c r="G18" s="20">
        <f>IF(E18="","",WEEKNUM(E18,2))</f>
        <v>3</v>
      </c>
      <c r="H18" s="20" t="str">
        <f>IF(E18="","",TEXT(E18,"ddd"))</f>
        <v>Tue</v>
      </c>
      <c r="I18" s="20" t="str">
        <f>IF(E18="","",IF(COUNTIF($A$6:$A$55,E18)&gt;0,"Holiday",IF(WEEKDAY(E18,2)=7,"Sunday","Working")))</f>
        <v>Working</v>
      </c>
      <c r="J18" s="20" t="str">
        <f>IF(E18="","",IF(OR(WEEKDAY(E18,2)=7,COUNTIF($A$6:$A$55,E18)&gt;0),"No","Yes"))</f>
        <v>Yes</v>
      </c>
    </row>
    <row r="19">
      <c r="A19" s="17" t="n"/>
      <c r="B19" s="18" t="n"/>
      <c r="C19" s="18" t="n"/>
      <c r="D19" s="9" t="n"/>
      <c r="E19" s="19">
        <f>IF(E18="","",IF(E18&lt;DATE($B$2+1,1,1)-1,E18+1,""))</f>
        <v>46036</v>
      </c>
      <c r="F19" s="20" t="str">
        <f>IF(E19="","",TEXT(E19,"mmm"))</f>
        <v>Jan</v>
      </c>
      <c r="G19" s="20">
        <f>IF(E19="","",WEEKNUM(E19,2))</f>
        <v>3</v>
      </c>
      <c r="H19" s="20" t="str">
        <f>IF(E19="","",TEXT(E19,"ddd"))</f>
        <v>Wed</v>
      </c>
      <c r="I19" s="20" t="str">
        <f>IF(E19="","",IF(COUNTIF($A$6:$A$55,E19)&gt;0,"Holiday",IF(WEEKDAY(E19,2)=7,"Sunday","Working")))</f>
        <v>Working</v>
      </c>
      <c r="J19" s="20" t="str">
        <f>IF(E19="","",IF(OR(WEEKDAY(E19,2)=7,COUNTIF($A$6:$A$55,E19)&gt;0),"No","Yes"))</f>
        <v>Yes</v>
      </c>
    </row>
    <row r="20">
      <c r="A20" s="17" t="n"/>
      <c r="B20" s="18" t="n"/>
      <c r="C20" s="18" t="n"/>
      <c r="D20" s="9" t="n"/>
      <c r="E20" s="19">
        <f>IF(E19="","",IF(E19&lt;DATE($B$2+1,1,1)-1,E19+1,""))</f>
        <v>46037</v>
      </c>
      <c r="F20" s="20" t="str">
        <f>IF(E20="","",TEXT(E20,"mmm"))</f>
        <v>Jan</v>
      </c>
      <c r="G20" s="20">
        <f>IF(E20="","",WEEKNUM(E20,2))</f>
        <v>3</v>
      </c>
      <c r="H20" s="20" t="str">
        <f>IF(E20="","",TEXT(E20,"ddd"))</f>
        <v>Thu</v>
      </c>
      <c r="I20" s="20" t="str">
        <f>IF(E20="","",IF(COUNTIF($A$6:$A$55,E20)&gt;0,"Holiday",IF(WEEKDAY(E20,2)=7,"Sunday","Working")))</f>
        <v>Working</v>
      </c>
      <c r="J20" s="20" t="str">
        <f>IF(E20="","",IF(OR(WEEKDAY(E20,2)=7,COUNTIF($A$6:$A$55,E20)&gt;0),"No","Yes"))</f>
        <v>Yes</v>
      </c>
      <c r="Q20" s="23" t="n">
        <v>46264</v>
      </c>
    </row>
    <row r="21">
      <c r="A21" s="17" t="n"/>
      <c r="B21" s="18" t="n"/>
      <c r="C21" s="18" t="n"/>
      <c r="D21" s="9" t="n"/>
      <c r="E21" s="19">
        <f>IF(E20="","",IF(E20&lt;DATE($B$2+1,1,1)-1,E20+1,""))</f>
        <v>46038</v>
      </c>
      <c r="F21" s="20" t="str">
        <f>IF(E21="","",TEXT(E21,"mmm"))</f>
        <v>Jan</v>
      </c>
      <c r="G21" s="20">
        <f>IF(E21="","",WEEKNUM(E21,2))</f>
        <v>3</v>
      </c>
      <c r="H21" s="20" t="str">
        <f>IF(E21="","",TEXT(E21,"ddd"))</f>
        <v>Fri</v>
      </c>
      <c r="I21" s="20" t="str">
        <f>IF(E21="","",IF(COUNTIF($A$6:$A$55,E21)&gt;0,"Holiday",IF(WEEKDAY(E21,2)=7,"Sunday","Working")))</f>
        <v>Working</v>
      </c>
      <c r="J21" s="20" t="str">
        <f>IF(E21="","",IF(OR(WEEKDAY(E21,2)=7,COUNTIF($A$6:$A$55,E21)&gt;0),"No","Yes"))</f>
        <v>Yes</v>
      </c>
      <c r="Q21" s="23" t="n">
        <v>46285</v>
      </c>
    </row>
    <row r="22">
      <c r="A22" s="17" t="n"/>
      <c r="B22" s="18" t="n"/>
      <c r="C22" s="18" t="n"/>
      <c r="D22" s="9" t="n"/>
      <c r="E22" s="19">
        <f>IF(E21="","",IF(E21&lt;DATE($B$2+1,1,1)-1,E21+1,""))</f>
        <v>46039</v>
      </c>
      <c r="F22" s="20" t="str">
        <f>IF(E22="","",TEXT(E22,"mmm"))</f>
        <v>Jan</v>
      </c>
      <c r="G22" s="20">
        <f>IF(E22="","",WEEKNUM(E22,2))</f>
        <v>3</v>
      </c>
      <c r="H22" s="20" t="str">
        <f>IF(E22="","",TEXT(E22,"ddd"))</f>
        <v>Sat</v>
      </c>
      <c r="I22" s="20" t="str">
        <f>IF(E22="","",IF(COUNTIF($A$6:$A$55,E22)&gt;0,"Holiday",IF(WEEKDAY(E22,2)=7,"Sunday","Working")))</f>
        <v>Working</v>
      </c>
      <c r="J22" s="20" t="str">
        <f>IF(E22="","",IF(OR(WEEKDAY(E22,2)=7,COUNTIF($A$6:$A$55,E22)&gt;0),"No","Yes"))</f>
        <v>Yes</v>
      </c>
      <c r="Q22" s="23" t="n">
        <v>46313</v>
      </c>
    </row>
    <row r="23">
      <c r="A23" s="17" t="n"/>
      <c r="B23" s="18" t="n"/>
      <c r="C23" s="18" t="n"/>
      <c r="D23" s="9" t="n"/>
      <c r="E23" s="19">
        <f>IF(E22="","",IF(E22&lt;DATE($B$2+1,1,1)-1,E22+1,""))</f>
        <v>46040</v>
      </c>
      <c r="F23" s="20" t="str">
        <f>IF(E23="","",TEXT(E23,"mmm"))</f>
        <v>Jan</v>
      </c>
      <c r="G23" s="20">
        <f>IF(E23="","",WEEKNUM(E23,2))</f>
        <v>3</v>
      </c>
      <c r="H23" s="20" t="str">
        <f>IF(E23="","",TEXT(E23,"ddd"))</f>
        <v>Sun</v>
      </c>
      <c r="I23" s="20" t="str">
        <f>IF(E23="","",IF(COUNTIF($A$6:$A$55,E23)&gt;0,"Holiday",IF(WEEKDAY(E23,2)=7,"Sunday","Working")))</f>
        <v>Sunday</v>
      </c>
      <c r="J23" s="20" t="str">
        <f>IF(E23="","",IF(OR(WEEKDAY(E23,2)=7,COUNTIF($A$6:$A$55,E23)&gt;0),"No","Yes"))</f>
        <v>No</v>
      </c>
    </row>
    <row r="24">
      <c r="A24" s="17" t="n"/>
      <c r="B24" s="18" t="n"/>
      <c r="C24" s="18" t="n"/>
      <c r="D24" s="9" t="n"/>
      <c r="E24" s="19">
        <f>IF(E23="","",IF(E23&lt;DATE($B$2+1,1,1)-1,E23+1,""))</f>
        <v>46041</v>
      </c>
      <c r="F24" s="20" t="str">
        <f>IF(E24="","",TEXT(E24,"mmm"))</f>
        <v>Jan</v>
      </c>
      <c r="G24" s="20">
        <f>IF(E24="","",WEEKNUM(E24,2))</f>
        <v>4</v>
      </c>
      <c r="H24" s="20" t="str">
        <f>IF(E24="","",TEXT(E24,"ddd"))</f>
        <v>Mon</v>
      </c>
      <c r="I24" s="20" t="str">
        <f>IF(E24="","",IF(COUNTIF($A$6:$A$55,E24)&gt;0,"Holiday",IF(WEEKDAY(E24,2)=7,"Sunday","Working")))</f>
        <v>Working</v>
      </c>
      <c r="J24" s="20" t="str">
        <f>IF(E24="","",IF(OR(WEEKDAY(E24,2)=7,COUNTIF($A$6:$A$55,E24)&gt;0),"No","Yes"))</f>
        <v>Yes</v>
      </c>
    </row>
    <row r="25">
      <c r="A25" s="17" t="n"/>
      <c r="B25" s="18" t="n"/>
      <c r="C25" s="18" t="n"/>
      <c r="D25" s="9" t="n"/>
      <c r="E25" s="19">
        <f>IF(E24="","",IF(E24&lt;DATE($B$2+1,1,1)-1,E24+1,""))</f>
        <v>46042</v>
      </c>
      <c r="F25" s="20" t="str">
        <f>IF(E25="","",TEXT(E25,"mmm"))</f>
        <v>Jan</v>
      </c>
      <c r="G25" s="20">
        <f>IF(E25="","",WEEKNUM(E25,2))</f>
        <v>4</v>
      </c>
      <c r="H25" s="20" t="str">
        <f>IF(E25="","",TEXT(E25,"ddd"))</f>
        <v>Tue</v>
      </c>
      <c r="I25" s="20" t="str">
        <f>IF(E25="","",IF(COUNTIF($A$6:$A$55,E25)&gt;0,"Holiday",IF(WEEKDAY(E25,2)=7,"Sunday","Working")))</f>
        <v>Working</v>
      </c>
      <c r="J25" s="20" t="str">
        <f>IF(E25="","",IF(OR(WEEKDAY(E25,2)=7,COUNTIF($A$6:$A$55,E25)&gt;0),"No","Yes"))</f>
        <v>Yes</v>
      </c>
    </row>
    <row r="26">
      <c r="A26" s="17" t="n"/>
      <c r="B26" s="18" t="n"/>
      <c r="C26" s="18" t="n"/>
      <c r="D26" s="9" t="n"/>
      <c r="E26" s="19">
        <f>IF(E25="","",IF(E25&lt;DATE($B$2+1,1,1)-1,E25+1,""))</f>
        <v>46043</v>
      </c>
      <c r="F26" s="20" t="str">
        <f>IF(E26="","",TEXT(E26,"mmm"))</f>
        <v>Jan</v>
      </c>
      <c r="G26" s="20">
        <f>IF(E26="","",WEEKNUM(E26,2))</f>
        <v>4</v>
      </c>
      <c r="H26" s="20" t="str">
        <f>IF(E26="","",TEXT(E26,"ddd"))</f>
        <v>Wed</v>
      </c>
      <c r="I26" s="20" t="str">
        <f>IF(E26="","",IF(COUNTIF($A$6:$A$55,E26)&gt;0,"Holiday",IF(WEEKDAY(E26,2)=7,"Sunday","Working")))</f>
        <v>Working</v>
      </c>
      <c r="J26" s="20" t="str">
        <f>IF(E26="","",IF(OR(WEEKDAY(E26,2)=7,COUNTIF($A$6:$A$55,E26)&gt;0),"No","Yes"))</f>
        <v>Yes</v>
      </c>
    </row>
    <row r="27">
      <c r="A27" s="17" t="n"/>
      <c r="B27" s="18" t="n"/>
      <c r="C27" s="18" t="n"/>
      <c r="D27" s="9" t="n"/>
      <c r="E27" s="19">
        <f>IF(E26="","",IF(E26&lt;DATE($B$2+1,1,1)-1,E26+1,""))</f>
        <v>46044</v>
      </c>
      <c r="F27" s="20" t="str">
        <f>IF(E27="","",TEXT(E27,"mmm"))</f>
        <v>Jan</v>
      </c>
      <c r="G27" s="20">
        <f>IF(E27="","",WEEKNUM(E27,2))</f>
        <v>4</v>
      </c>
      <c r="H27" s="20" t="str">
        <f>IF(E27="","",TEXT(E27,"ddd"))</f>
        <v>Thu</v>
      </c>
      <c r="I27" s="20" t="str">
        <f>IF(E27="","",IF(COUNTIF($A$6:$A$55,E27)&gt;0,"Holiday",IF(WEEKDAY(E27,2)=7,"Sunday","Working")))</f>
        <v>Working</v>
      </c>
      <c r="J27" s="20" t="str">
        <f>IF(E27="","",IF(OR(WEEKDAY(E27,2)=7,COUNTIF($A$6:$A$55,E27)&gt;0),"No","Yes"))</f>
        <v>Yes</v>
      </c>
    </row>
    <row r="28">
      <c r="A28" s="17" t="n"/>
      <c r="B28" s="18" t="n"/>
      <c r="C28" s="18" t="n"/>
      <c r="D28" s="9" t="n"/>
      <c r="E28" s="19">
        <f>IF(E27="","",IF(E27&lt;DATE($B$2+1,1,1)-1,E27+1,""))</f>
        <v>46045</v>
      </c>
      <c r="F28" s="20" t="str">
        <f>IF(E28="","",TEXT(E28,"mmm"))</f>
        <v>Jan</v>
      </c>
      <c r="G28" s="20">
        <f>IF(E28="","",WEEKNUM(E28,2))</f>
        <v>4</v>
      </c>
      <c r="H28" s="20" t="str">
        <f>IF(E28="","",TEXT(E28,"ddd"))</f>
        <v>Fri</v>
      </c>
      <c r="I28" s="20" t="str">
        <f>IF(E28="","",IF(COUNTIF($A$6:$A$55,E28)&gt;0,"Holiday",IF(WEEKDAY(E28,2)=7,"Sunday","Working")))</f>
        <v>Working</v>
      </c>
      <c r="J28" s="20" t="str">
        <f>IF(E28="","",IF(OR(WEEKDAY(E28,2)=7,COUNTIF($A$6:$A$55,E28)&gt;0),"No","Yes"))</f>
        <v>Yes</v>
      </c>
    </row>
    <row r="29">
      <c r="A29" s="17" t="n"/>
      <c r="B29" s="18" t="n"/>
      <c r="C29" s="18" t="n"/>
      <c r="D29" s="9" t="n"/>
      <c r="E29" s="19">
        <f>IF(E28="","",IF(E28&lt;DATE($B$2+1,1,1)-1,E28+1,""))</f>
        <v>46046</v>
      </c>
      <c r="F29" s="20" t="str">
        <f>IF(E29="","",TEXT(E29,"mmm"))</f>
        <v>Jan</v>
      </c>
      <c r="G29" s="20">
        <f>IF(E29="","",WEEKNUM(E29,2))</f>
        <v>4</v>
      </c>
      <c r="H29" s="20" t="str">
        <f>IF(E29="","",TEXT(E29,"ddd"))</f>
        <v>Sat</v>
      </c>
      <c r="I29" s="20" t="str">
        <f>IF(E29="","",IF(COUNTIF($A$6:$A$55,E29)&gt;0,"Holiday",IF(WEEKDAY(E29,2)=7,"Sunday","Working")))</f>
        <v>Working</v>
      </c>
      <c r="J29" s="20" t="str">
        <f>IF(E29="","",IF(OR(WEEKDAY(E29,2)=7,COUNTIF($A$6:$A$55,E29)&gt;0),"No","Yes"))</f>
        <v>Yes</v>
      </c>
    </row>
    <row r="30">
      <c r="A30" s="17" t="n"/>
      <c r="B30" s="18" t="n"/>
      <c r="C30" s="18" t="n"/>
      <c r="D30" s="9" t="n"/>
      <c r="E30" s="19">
        <f>IF(E29="","",IF(E29&lt;DATE($B$2+1,1,1)-1,E29+1,""))</f>
        <v>46047</v>
      </c>
      <c r="F30" s="20" t="str">
        <f>IF(E30="","",TEXT(E30,"mmm"))</f>
        <v>Jan</v>
      </c>
      <c r="G30" s="20">
        <f>IF(E30="","",WEEKNUM(E30,2))</f>
        <v>4</v>
      </c>
      <c r="H30" s="20" t="str">
        <f>IF(E30="","",TEXT(E30,"ddd"))</f>
        <v>Sun</v>
      </c>
      <c r="I30" s="20" t="str">
        <f>IF(E30="","",IF(COUNTIF($A$6:$A$55,E30)&gt;0,"Holiday",IF(WEEKDAY(E30,2)=7,"Sunday","Working")))</f>
        <v>Sunday</v>
      </c>
      <c r="J30" s="20" t="str">
        <f>IF(E30="","",IF(OR(WEEKDAY(E30,2)=7,COUNTIF($A$6:$A$55,E30)&gt;0),"No","Yes"))</f>
        <v>No</v>
      </c>
    </row>
    <row r="31">
      <c r="A31" s="17" t="n"/>
      <c r="B31" s="18" t="n"/>
      <c r="C31" s="18" t="n"/>
      <c r="D31" s="9" t="n"/>
      <c r="E31" s="19">
        <f>IF(E30="","",IF(E30&lt;DATE($B$2+1,1,1)-1,E30+1,""))</f>
        <v>46048</v>
      </c>
      <c r="F31" s="20" t="str">
        <f>IF(E31="","",TEXT(E31,"mmm"))</f>
        <v>Jan</v>
      </c>
      <c r="G31" s="20">
        <f>IF(E31="","",WEEKNUM(E31,2))</f>
        <v>5</v>
      </c>
      <c r="H31" s="20" t="str">
        <f>IF(E31="","",TEXT(E31,"ddd"))</f>
        <v>Mon</v>
      </c>
      <c r="I31" s="20" t="str">
        <f>IF(E31="","",IF(COUNTIF($A$6:$A$55,E31)&gt;0,"Holiday",IF(WEEKDAY(E31,2)=7,"Sunday","Working")))</f>
        <v>Holiday</v>
      </c>
      <c r="J31" s="20" t="str">
        <f>IF(E31="","",IF(OR(WEEKDAY(E31,2)=7,COUNTIF($A$6:$A$55,E31)&gt;0),"No","Yes"))</f>
        <v>No</v>
      </c>
    </row>
    <row r="32">
      <c r="A32" s="17" t="n"/>
      <c r="B32" s="18" t="n"/>
      <c r="C32" s="18" t="n"/>
      <c r="D32" s="9" t="n"/>
      <c r="E32" s="19">
        <f>IF(E31="","",IF(E31&lt;DATE($B$2+1,1,1)-1,E31+1,""))</f>
        <v>46049</v>
      </c>
      <c r="F32" s="20" t="str">
        <f>IF(E32="","",TEXT(E32,"mmm"))</f>
        <v>Jan</v>
      </c>
      <c r="G32" s="20">
        <f>IF(E32="","",WEEKNUM(E32,2))</f>
        <v>5</v>
      </c>
      <c r="H32" s="20" t="str">
        <f>IF(E32="","",TEXT(E32,"ddd"))</f>
        <v>Tue</v>
      </c>
      <c r="I32" s="20" t="str">
        <f>IF(E32="","",IF(COUNTIF($A$6:$A$55,E32)&gt;0,"Holiday",IF(WEEKDAY(E32,2)=7,"Sunday","Working")))</f>
        <v>Working</v>
      </c>
      <c r="J32" s="20" t="str">
        <f>IF(E32="","",IF(OR(WEEKDAY(E32,2)=7,COUNTIF($A$6:$A$55,E32)&gt;0),"No","Yes"))</f>
        <v>Yes</v>
      </c>
    </row>
    <row r="33">
      <c r="A33" s="17" t="n"/>
      <c r="B33" s="18" t="n"/>
      <c r="C33" s="18" t="n"/>
      <c r="D33" s="9" t="n"/>
      <c r="E33" s="19">
        <f>IF(E32="","",IF(E32&lt;DATE($B$2+1,1,1)-1,E32+1,""))</f>
        <v>46050</v>
      </c>
      <c r="F33" s="20" t="str">
        <f>IF(E33="","",TEXT(E33,"mmm"))</f>
        <v>Jan</v>
      </c>
      <c r="G33" s="20">
        <f>IF(E33="","",WEEKNUM(E33,2))</f>
        <v>5</v>
      </c>
      <c r="H33" s="20" t="str">
        <f>IF(E33="","",TEXT(E33,"ddd"))</f>
        <v>Wed</v>
      </c>
      <c r="I33" s="20" t="str">
        <f>IF(E33="","",IF(COUNTIF($A$6:$A$55,E33)&gt;0,"Holiday",IF(WEEKDAY(E33,2)=7,"Sunday","Working")))</f>
        <v>Working</v>
      </c>
      <c r="J33" s="20" t="str">
        <f>IF(E33="","",IF(OR(WEEKDAY(E33,2)=7,COUNTIF($A$6:$A$55,E33)&gt;0),"No","Yes"))</f>
        <v>Yes</v>
      </c>
    </row>
    <row r="34">
      <c r="A34" s="17" t="n"/>
      <c r="B34" s="18" t="n"/>
      <c r="C34" s="18" t="n"/>
      <c r="D34" s="9" t="n"/>
      <c r="E34" s="19">
        <f>IF(E33="","",IF(E33&lt;DATE($B$2+1,1,1)-1,E33+1,""))</f>
        <v>46051</v>
      </c>
      <c r="F34" s="20" t="str">
        <f>IF(E34="","",TEXT(E34,"mmm"))</f>
        <v>Jan</v>
      </c>
      <c r="G34" s="20">
        <f>IF(E34="","",WEEKNUM(E34,2))</f>
        <v>5</v>
      </c>
      <c r="H34" s="20" t="str">
        <f>IF(E34="","",TEXT(E34,"ddd"))</f>
        <v>Thu</v>
      </c>
      <c r="I34" s="20" t="str">
        <f>IF(E34="","",IF(COUNTIF($A$6:$A$55,E34)&gt;0,"Holiday",IF(WEEKDAY(E34,2)=7,"Sunday","Working")))</f>
        <v>Working</v>
      </c>
      <c r="J34" s="20" t="str">
        <f>IF(E34="","",IF(OR(WEEKDAY(E34,2)=7,COUNTIF($A$6:$A$55,E34)&gt;0),"No","Yes"))</f>
        <v>Yes</v>
      </c>
    </row>
    <row r="35">
      <c r="A35" s="17" t="n"/>
      <c r="B35" s="18" t="n"/>
      <c r="C35" s="18" t="n"/>
      <c r="D35" s="9" t="n"/>
      <c r="E35" s="19">
        <f>IF(E34="","",IF(E34&lt;DATE($B$2+1,1,1)-1,E34+1,""))</f>
        <v>46052</v>
      </c>
      <c r="F35" s="20" t="str">
        <f>IF(E35="","",TEXT(E35,"mmm"))</f>
        <v>Jan</v>
      </c>
      <c r="G35" s="20">
        <f>IF(E35="","",WEEKNUM(E35,2))</f>
        <v>5</v>
      </c>
      <c r="H35" s="20" t="str">
        <f>IF(E35="","",TEXT(E35,"ddd"))</f>
        <v>Fri</v>
      </c>
      <c r="I35" s="20" t="str">
        <f>IF(E35="","",IF(COUNTIF($A$6:$A$55,E35)&gt;0,"Holiday",IF(WEEKDAY(E35,2)=7,"Sunday","Working")))</f>
        <v>Working</v>
      </c>
      <c r="J35" s="20" t="str">
        <f>IF(E35="","",IF(OR(WEEKDAY(E35,2)=7,COUNTIF($A$6:$A$55,E35)&gt;0),"No","Yes"))</f>
        <v>Yes</v>
      </c>
    </row>
    <row r="36">
      <c r="A36" s="17" t="n"/>
      <c r="B36" s="18" t="n"/>
      <c r="C36" s="18" t="n"/>
      <c r="D36" s="9" t="n"/>
      <c r="E36" s="19">
        <f>IF(E35="","",IF(E35&lt;DATE($B$2+1,1,1)-1,E35+1,""))</f>
        <v>46053</v>
      </c>
      <c r="F36" s="20" t="str">
        <f>IF(E36="","",TEXT(E36,"mmm"))</f>
        <v>Jan</v>
      </c>
      <c r="G36" s="20">
        <f>IF(E36="","",WEEKNUM(E36,2))</f>
        <v>5</v>
      </c>
      <c r="H36" s="20" t="str">
        <f>IF(E36="","",TEXT(E36,"ddd"))</f>
        <v>Sat</v>
      </c>
      <c r="I36" s="20" t="str">
        <f>IF(E36="","",IF(COUNTIF($A$6:$A$55,E36)&gt;0,"Holiday",IF(WEEKDAY(E36,2)=7,"Sunday","Working")))</f>
        <v>Working</v>
      </c>
      <c r="J36" s="20" t="str">
        <f>IF(E36="","",IF(OR(WEEKDAY(E36,2)=7,COUNTIF($A$6:$A$55,E36)&gt;0),"No","Yes"))</f>
        <v>Yes</v>
      </c>
    </row>
    <row r="37">
      <c r="A37" s="17" t="n"/>
      <c r="B37" s="18" t="n"/>
      <c r="C37" s="18" t="n"/>
      <c r="D37" s="9" t="n"/>
      <c r="E37" s="19">
        <f>IF(E36="","",IF(E36&lt;DATE($B$2+1,1,1)-1,E36+1,""))</f>
        <v>46054</v>
      </c>
      <c r="F37" s="20" t="str">
        <f>IF(E37="","",TEXT(E37,"mmm"))</f>
        <v>Feb</v>
      </c>
      <c r="G37" s="20">
        <f>IF(E37="","",WEEKNUM(E37,2))</f>
        <v>5</v>
      </c>
      <c r="H37" s="20" t="str">
        <f>IF(E37="","",TEXT(E37,"ddd"))</f>
        <v>Sun</v>
      </c>
      <c r="I37" s="20" t="str">
        <f>IF(E37="","",IF(COUNTIF($A$6:$A$55,E37)&gt;0,"Holiday",IF(WEEKDAY(E37,2)=7,"Sunday","Working")))</f>
        <v>Sunday</v>
      </c>
      <c r="J37" s="20" t="str">
        <f>IF(E37="","",IF(OR(WEEKDAY(E37,2)=7,COUNTIF($A$6:$A$55,E37)&gt;0),"No","Yes"))</f>
        <v>No</v>
      </c>
    </row>
    <row r="38">
      <c r="A38" s="17" t="n"/>
      <c r="B38" s="18" t="n"/>
      <c r="C38" s="18" t="n"/>
      <c r="D38" s="9" t="n"/>
      <c r="E38" s="19">
        <f>IF(E37="","",IF(E37&lt;DATE($B$2+1,1,1)-1,E37+1,""))</f>
        <v>46055</v>
      </c>
      <c r="F38" s="20" t="str">
        <f>IF(E38="","",TEXT(E38,"mmm"))</f>
        <v>Feb</v>
      </c>
      <c r="G38" s="20">
        <f>IF(E38="","",WEEKNUM(E38,2))</f>
        <v>6</v>
      </c>
      <c r="H38" s="20" t="str">
        <f>IF(E38="","",TEXT(E38,"ddd"))</f>
        <v>Mon</v>
      </c>
      <c r="I38" s="20" t="str">
        <f>IF(E38="","",IF(COUNTIF($A$6:$A$55,E38)&gt;0,"Holiday",IF(WEEKDAY(E38,2)=7,"Sunday","Working")))</f>
        <v>Working</v>
      </c>
      <c r="J38" s="20" t="str">
        <f>IF(E38="","",IF(OR(WEEKDAY(E38,2)=7,COUNTIF($A$6:$A$55,E38)&gt;0),"No","Yes"))</f>
        <v>Yes</v>
      </c>
    </row>
    <row r="39">
      <c r="A39" s="17" t="n"/>
      <c r="B39" s="18" t="n"/>
      <c r="C39" s="18" t="n"/>
      <c r="D39" s="9" t="n"/>
      <c r="E39" s="19">
        <f>IF(E38="","",IF(E38&lt;DATE($B$2+1,1,1)-1,E38+1,""))</f>
        <v>46056</v>
      </c>
      <c r="F39" s="20" t="str">
        <f>IF(E39="","",TEXT(E39,"mmm"))</f>
        <v>Feb</v>
      </c>
      <c r="G39" s="20">
        <f>IF(E39="","",WEEKNUM(E39,2))</f>
        <v>6</v>
      </c>
      <c r="H39" s="20" t="str">
        <f>IF(E39="","",TEXT(E39,"ddd"))</f>
        <v>Tue</v>
      </c>
      <c r="I39" s="20" t="str">
        <f>IF(E39="","",IF(COUNTIF($A$6:$A$55,E39)&gt;0,"Holiday",IF(WEEKDAY(E39,2)=7,"Sunday","Working")))</f>
        <v>Working</v>
      </c>
      <c r="J39" s="20" t="str">
        <f>IF(E39="","",IF(OR(WEEKDAY(E39,2)=7,COUNTIF($A$6:$A$55,E39)&gt;0),"No","Yes"))</f>
        <v>Yes</v>
      </c>
    </row>
    <row r="40">
      <c r="A40" s="17" t="n"/>
      <c r="B40" s="18" t="n"/>
      <c r="C40" s="18" t="n"/>
      <c r="D40" s="9" t="n"/>
      <c r="E40" s="19">
        <f>IF(E39="","",IF(E39&lt;DATE($B$2+1,1,1)-1,E39+1,""))</f>
        <v>46057</v>
      </c>
      <c r="F40" s="20" t="str">
        <f>IF(E40="","",TEXT(E40,"mmm"))</f>
        <v>Feb</v>
      </c>
      <c r="G40" s="20">
        <f>IF(E40="","",WEEKNUM(E40,2))</f>
        <v>6</v>
      </c>
      <c r="H40" s="20" t="str">
        <f>IF(E40="","",TEXT(E40,"ddd"))</f>
        <v>Wed</v>
      </c>
      <c r="I40" s="20" t="str">
        <f>IF(E40="","",IF(COUNTIF($A$6:$A$55,E40)&gt;0,"Holiday",IF(WEEKDAY(E40,2)=7,"Sunday","Working")))</f>
        <v>Working</v>
      </c>
      <c r="J40" s="20" t="str">
        <f>IF(E40="","",IF(OR(WEEKDAY(E40,2)=7,COUNTIF($A$6:$A$55,E40)&gt;0),"No","Yes"))</f>
        <v>Yes</v>
      </c>
    </row>
    <row r="41">
      <c r="A41" s="17" t="n"/>
      <c r="B41" s="18" t="n"/>
      <c r="C41" s="18" t="n"/>
      <c r="D41" s="9" t="n"/>
      <c r="E41" s="19">
        <f>IF(E40="","",IF(E40&lt;DATE($B$2+1,1,1)-1,E40+1,""))</f>
        <v>46058</v>
      </c>
      <c r="F41" s="20" t="str">
        <f>IF(E41="","",TEXT(E41,"mmm"))</f>
        <v>Feb</v>
      </c>
      <c r="G41" s="20">
        <f>IF(E41="","",WEEKNUM(E41,2))</f>
        <v>6</v>
      </c>
      <c r="H41" s="20" t="str">
        <f>IF(E41="","",TEXT(E41,"ddd"))</f>
        <v>Thu</v>
      </c>
      <c r="I41" s="20" t="str">
        <f>IF(E41="","",IF(COUNTIF($A$6:$A$55,E41)&gt;0,"Holiday",IF(WEEKDAY(E41,2)=7,"Sunday","Working")))</f>
        <v>Working</v>
      </c>
      <c r="J41" s="20" t="str">
        <f>IF(E41="","",IF(OR(WEEKDAY(E41,2)=7,COUNTIF($A$6:$A$55,E41)&gt;0),"No","Yes"))</f>
        <v>Yes</v>
      </c>
    </row>
    <row r="42">
      <c r="A42" s="17" t="n"/>
      <c r="B42" s="18" t="n"/>
      <c r="C42" s="18" t="n"/>
      <c r="D42" s="9" t="n"/>
      <c r="E42" s="19">
        <f>IF(E41="","",IF(E41&lt;DATE($B$2+1,1,1)-1,E41+1,""))</f>
        <v>46059</v>
      </c>
      <c r="F42" s="20" t="str">
        <f>IF(E42="","",TEXT(E42,"mmm"))</f>
        <v>Feb</v>
      </c>
      <c r="G42" s="20">
        <f>IF(E42="","",WEEKNUM(E42,2))</f>
        <v>6</v>
      </c>
      <c r="H42" s="20" t="str">
        <f>IF(E42="","",TEXT(E42,"ddd"))</f>
        <v>Fri</v>
      </c>
      <c r="I42" s="20" t="str">
        <f>IF(E42="","",IF(COUNTIF($A$6:$A$55,E42)&gt;0,"Holiday",IF(WEEKDAY(E42,2)=7,"Sunday","Working")))</f>
        <v>Working</v>
      </c>
      <c r="J42" s="20" t="str">
        <f>IF(E42="","",IF(OR(WEEKDAY(E42,2)=7,COUNTIF($A$6:$A$55,E42)&gt;0),"No","Yes"))</f>
        <v>Yes</v>
      </c>
    </row>
    <row r="43">
      <c r="A43" s="17" t="n"/>
      <c r="B43" s="18" t="n"/>
      <c r="C43" s="18" t="n"/>
      <c r="D43" s="9" t="n"/>
      <c r="E43" s="19">
        <f>IF(E42="","",IF(E42&lt;DATE($B$2+1,1,1)-1,E42+1,""))</f>
        <v>46060</v>
      </c>
      <c r="F43" s="20" t="str">
        <f>IF(E43="","",TEXT(E43,"mmm"))</f>
        <v>Feb</v>
      </c>
      <c r="G43" s="20">
        <f>IF(E43="","",WEEKNUM(E43,2))</f>
        <v>6</v>
      </c>
      <c r="H43" s="20" t="str">
        <f>IF(E43="","",TEXT(E43,"ddd"))</f>
        <v>Sat</v>
      </c>
      <c r="I43" s="20" t="str">
        <f>IF(E43="","",IF(COUNTIF($A$6:$A$55,E43)&gt;0,"Holiday",IF(WEEKDAY(E43,2)=7,"Sunday","Working")))</f>
        <v>Working</v>
      </c>
      <c r="J43" s="20" t="str">
        <f>IF(E43="","",IF(OR(WEEKDAY(E43,2)=7,COUNTIF($A$6:$A$55,E43)&gt;0),"No","Yes"))</f>
        <v>Yes</v>
      </c>
    </row>
    <row r="44">
      <c r="A44" s="17" t="n"/>
      <c r="B44" s="18" t="n"/>
      <c r="C44" s="18" t="n"/>
      <c r="D44" s="9" t="n"/>
      <c r="E44" s="19">
        <f>IF(E43="","",IF(E43&lt;DATE($B$2+1,1,1)-1,E43+1,""))</f>
        <v>46061</v>
      </c>
      <c r="F44" s="20" t="str">
        <f>IF(E44="","",TEXT(E44,"mmm"))</f>
        <v>Feb</v>
      </c>
      <c r="G44" s="20">
        <f>IF(E44="","",WEEKNUM(E44,2))</f>
        <v>6</v>
      </c>
      <c r="H44" s="20" t="str">
        <f>IF(E44="","",TEXT(E44,"ddd"))</f>
        <v>Sun</v>
      </c>
      <c r="I44" s="20" t="str">
        <f>IF(E44="","",IF(COUNTIF($A$6:$A$55,E44)&gt;0,"Holiday",IF(WEEKDAY(E44,2)=7,"Sunday","Working")))</f>
        <v>Sunday</v>
      </c>
      <c r="J44" s="20" t="str">
        <f>IF(E44="","",IF(OR(WEEKDAY(E44,2)=7,COUNTIF($A$6:$A$55,E44)&gt;0),"No","Yes"))</f>
        <v>No</v>
      </c>
    </row>
    <row r="45">
      <c r="A45" s="17" t="n"/>
      <c r="B45" s="18" t="n"/>
      <c r="C45" s="18" t="n"/>
      <c r="D45" s="9" t="n"/>
      <c r="E45" s="19">
        <f>IF(E44="","",IF(E44&lt;DATE($B$2+1,1,1)-1,E44+1,""))</f>
        <v>46062</v>
      </c>
      <c r="F45" s="20" t="str">
        <f>IF(E45="","",TEXT(E45,"mmm"))</f>
        <v>Feb</v>
      </c>
      <c r="G45" s="20">
        <f>IF(E45="","",WEEKNUM(E45,2))</f>
        <v>7</v>
      </c>
      <c r="H45" s="20" t="str">
        <f>IF(E45="","",TEXT(E45,"ddd"))</f>
        <v>Mon</v>
      </c>
      <c r="I45" s="20" t="str">
        <f>IF(E45="","",IF(COUNTIF($A$6:$A$55,E45)&gt;0,"Holiday",IF(WEEKDAY(E45,2)=7,"Sunday","Working")))</f>
        <v>Working</v>
      </c>
      <c r="J45" s="20" t="str">
        <f>IF(E45="","",IF(OR(WEEKDAY(E45,2)=7,COUNTIF($A$6:$A$55,E45)&gt;0),"No","Yes"))</f>
        <v>Yes</v>
      </c>
    </row>
    <row r="46">
      <c r="A46" s="17" t="n"/>
      <c r="B46" s="18" t="n"/>
      <c r="C46" s="18" t="n"/>
      <c r="D46" s="9" t="n"/>
      <c r="E46" s="19">
        <f>IF(E45="","",IF(E45&lt;DATE($B$2+1,1,1)-1,E45+1,""))</f>
        <v>46063</v>
      </c>
      <c r="F46" s="20" t="str">
        <f>IF(E46="","",TEXT(E46,"mmm"))</f>
        <v>Feb</v>
      </c>
      <c r="G46" s="20">
        <f>IF(E46="","",WEEKNUM(E46,2))</f>
        <v>7</v>
      </c>
      <c r="H46" s="20" t="str">
        <f>IF(E46="","",TEXT(E46,"ddd"))</f>
        <v>Tue</v>
      </c>
      <c r="I46" s="20" t="str">
        <f>IF(E46="","",IF(COUNTIF($A$6:$A$55,E46)&gt;0,"Holiday",IF(WEEKDAY(E46,2)=7,"Sunday","Working")))</f>
        <v>Working</v>
      </c>
      <c r="J46" s="20" t="str">
        <f>IF(E46="","",IF(OR(WEEKDAY(E46,2)=7,COUNTIF($A$6:$A$55,E46)&gt;0),"No","Yes"))</f>
        <v>Yes</v>
      </c>
    </row>
    <row r="47">
      <c r="A47" s="17" t="n"/>
      <c r="B47" s="18" t="n"/>
      <c r="C47" s="18" t="n"/>
      <c r="D47" s="9" t="n"/>
      <c r="E47" s="19">
        <f>IF(E46="","",IF(E46&lt;DATE($B$2+1,1,1)-1,E46+1,""))</f>
        <v>46064</v>
      </c>
      <c r="F47" s="20" t="str">
        <f>IF(E47="","",TEXT(E47,"mmm"))</f>
        <v>Feb</v>
      </c>
      <c r="G47" s="20">
        <f>IF(E47="","",WEEKNUM(E47,2))</f>
        <v>7</v>
      </c>
      <c r="H47" s="20" t="str">
        <f>IF(E47="","",TEXT(E47,"ddd"))</f>
        <v>Wed</v>
      </c>
      <c r="I47" s="20" t="str">
        <f>IF(E47="","",IF(COUNTIF($A$6:$A$55,E47)&gt;0,"Holiday",IF(WEEKDAY(E47,2)=7,"Sunday","Working")))</f>
        <v>Working</v>
      </c>
      <c r="J47" s="20" t="str">
        <f>IF(E47="","",IF(OR(WEEKDAY(E47,2)=7,COUNTIF($A$6:$A$55,E47)&gt;0),"No","Yes"))</f>
        <v>Yes</v>
      </c>
    </row>
    <row r="48">
      <c r="A48" s="17" t="n"/>
      <c r="B48" s="18" t="n"/>
      <c r="C48" s="18" t="n"/>
      <c r="D48" s="9" t="n"/>
      <c r="E48" s="19">
        <f>IF(E47="","",IF(E47&lt;DATE($B$2+1,1,1)-1,E47+1,""))</f>
        <v>46065</v>
      </c>
      <c r="F48" s="20" t="str">
        <f>IF(E48="","",TEXT(E48,"mmm"))</f>
        <v>Feb</v>
      </c>
      <c r="G48" s="20">
        <f>IF(E48="","",WEEKNUM(E48,2))</f>
        <v>7</v>
      </c>
      <c r="H48" s="20" t="str">
        <f>IF(E48="","",TEXT(E48,"ddd"))</f>
        <v>Thu</v>
      </c>
      <c r="I48" s="20" t="str">
        <f>IF(E48="","",IF(COUNTIF($A$6:$A$55,E48)&gt;0,"Holiday",IF(WEEKDAY(E48,2)=7,"Sunday","Working")))</f>
        <v>Working</v>
      </c>
      <c r="J48" s="20" t="str">
        <f>IF(E48="","",IF(OR(WEEKDAY(E48,2)=7,COUNTIF($A$6:$A$55,E48)&gt;0),"No","Yes"))</f>
        <v>Yes</v>
      </c>
    </row>
    <row r="49">
      <c r="A49" s="17" t="n"/>
      <c r="B49" s="18" t="n"/>
      <c r="C49" s="18" t="n"/>
      <c r="D49" s="9" t="n"/>
      <c r="E49" s="19">
        <f>IF(E48="","",IF(E48&lt;DATE($B$2+1,1,1)-1,E48+1,""))</f>
        <v>46066</v>
      </c>
      <c r="F49" s="20" t="str">
        <f>IF(E49="","",TEXT(E49,"mmm"))</f>
        <v>Feb</v>
      </c>
      <c r="G49" s="20">
        <f>IF(E49="","",WEEKNUM(E49,2))</f>
        <v>7</v>
      </c>
      <c r="H49" s="20" t="str">
        <f>IF(E49="","",TEXT(E49,"ddd"))</f>
        <v>Fri</v>
      </c>
      <c r="I49" s="20" t="str">
        <f>IF(E49="","",IF(COUNTIF($A$6:$A$55,E49)&gt;0,"Holiday",IF(WEEKDAY(E49,2)=7,"Sunday","Working")))</f>
        <v>Working</v>
      </c>
      <c r="J49" s="20" t="str">
        <f>IF(E49="","",IF(OR(WEEKDAY(E49,2)=7,COUNTIF($A$6:$A$55,E49)&gt;0),"No","Yes"))</f>
        <v>Yes</v>
      </c>
    </row>
    <row r="50">
      <c r="A50" s="17" t="n"/>
      <c r="B50" s="18" t="n"/>
      <c r="C50" s="18" t="n"/>
      <c r="D50" s="9" t="n"/>
      <c r="E50" s="19">
        <f>IF(E49="","",IF(E49&lt;DATE($B$2+1,1,1)-1,E49+1,""))</f>
        <v>46067</v>
      </c>
      <c r="F50" s="20" t="str">
        <f>IF(E50="","",TEXT(E50,"mmm"))</f>
        <v>Feb</v>
      </c>
      <c r="G50" s="20">
        <f>IF(E50="","",WEEKNUM(E50,2))</f>
        <v>7</v>
      </c>
      <c r="H50" s="20" t="str">
        <f>IF(E50="","",TEXT(E50,"ddd"))</f>
        <v>Sat</v>
      </c>
      <c r="I50" s="20" t="str">
        <f>IF(E50="","",IF(COUNTIF($A$6:$A$55,E50)&gt;0,"Holiday",IF(WEEKDAY(E50,2)=7,"Sunday","Working")))</f>
        <v>Working</v>
      </c>
      <c r="J50" s="20" t="str">
        <f>IF(E50="","",IF(OR(WEEKDAY(E50,2)=7,COUNTIF($A$6:$A$55,E50)&gt;0),"No","Yes"))</f>
        <v>Yes</v>
      </c>
    </row>
    <row r="51">
      <c r="A51" s="17" t="n"/>
      <c r="B51" s="18" t="n"/>
      <c r="C51" s="18" t="n"/>
      <c r="D51" s="9" t="n"/>
      <c r="E51" s="19">
        <f>IF(E50="","",IF(E50&lt;DATE($B$2+1,1,1)-1,E50+1,""))</f>
        <v>46068</v>
      </c>
      <c r="F51" s="20" t="str">
        <f>IF(E51="","",TEXT(E51,"mmm"))</f>
        <v>Feb</v>
      </c>
      <c r="G51" s="20">
        <f>IF(E51="","",WEEKNUM(E51,2))</f>
        <v>7</v>
      </c>
      <c r="H51" s="20" t="str">
        <f>IF(E51="","",TEXT(E51,"ddd"))</f>
        <v>Sun</v>
      </c>
      <c r="I51" s="20" t="str">
        <f>IF(E51="","",IF(COUNTIF($A$6:$A$55,E51)&gt;0,"Holiday",IF(WEEKDAY(E51,2)=7,"Sunday","Working")))</f>
        <v>Sunday</v>
      </c>
      <c r="J51" s="20" t="str">
        <f>IF(E51="","",IF(OR(WEEKDAY(E51,2)=7,COUNTIF($A$6:$A$55,E51)&gt;0),"No","Yes"))</f>
        <v>No</v>
      </c>
    </row>
    <row r="52">
      <c r="A52" s="17" t="n"/>
      <c r="B52" s="18" t="n"/>
      <c r="C52" s="18" t="n"/>
      <c r="D52" s="9" t="n"/>
      <c r="E52" s="19">
        <f>IF(E51="","",IF(E51&lt;DATE($B$2+1,1,1)-1,E51+1,""))</f>
        <v>46069</v>
      </c>
      <c r="F52" s="20" t="str">
        <f>IF(E52="","",TEXT(E52,"mmm"))</f>
        <v>Feb</v>
      </c>
      <c r="G52" s="20">
        <f>IF(E52="","",WEEKNUM(E52,2))</f>
        <v>8</v>
      </c>
      <c r="H52" s="20" t="str">
        <f>IF(E52="","",TEXT(E52,"ddd"))</f>
        <v>Mon</v>
      </c>
      <c r="I52" s="20" t="str">
        <f>IF(E52="","",IF(COUNTIF($A$6:$A$55,E52)&gt;0,"Holiday",IF(WEEKDAY(E52,2)=7,"Sunday","Working")))</f>
        <v>Working</v>
      </c>
      <c r="J52" s="20" t="str">
        <f>IF(E52="","",IF(OR(WEEKDAY(E52,2)=7,COUNTIF($A$6:$A$55,E52)&gt;0),"No","Yes"))</f>
        <v>Yes</v>
      </c>
    </row>
    <row r="53">
      <c r="A53" s="17" t="n"/>
      <c r="B53" s="18" t="n"/>
      <c r="C53" s="18" t="n"/>
      <c r="D53" s="9" t="n"/>
      <c r="E53" s="19">
        <f>IF(E52="","",IF(E52&lt;DATE($B$2+1,1,1)-1,E52+1,""))</f>
        <v>46070</v>
      </c>
      <c r="F53" s="20" t="str">
        <f>IF(E53="","",TEXT(E53,"mmm"))</f>
        <v>Feb</v>
      </c>
      <c r="G53" s="20">
        <f>IF(E53="","",WEEKNUM(E53,2))</f>
        <v>8</v>
      </c>
      <c r="H53" s="20" t="str">
        <f>IF(E53="","",TEXT(E53,"ddd"))</f>
        <v>Tue</v>
      </c>
      <c r="I53" s="20" t="str">
        <f>IF(E53="","",IF(COUNTIF($A$6:$A$55,E53)&gt;0,"Holiday",IF(WEEKDAY(E53,2)=7,"Sunday","Working")))</f>
        <v>Working</v>
      </c>
      <c r="J53" s="20" t="str">
        <f>IF(E53="","",IF(OR(WEEKDAY(E53,2)=7,COUNTIF($A$6:$A$55,E53)&gt;0),"No","Yes"))</f>
        <v>Yes</v>
      </c>
    </row>
    <row r="54">
      <c r="A54" s="17" t="n"/>
      <c r="B54" s="18" t="n"/>
      <c r="C54" s="18" t="n"/>
      <c r="D54" s="9" t="n"/>
      <c r="E54" s="19">
        <f>IF(E53="","",IF(E53&lt;DATE($B$2+1,1,1)-1,E53+1,""))</f>
        <v>46071</v>
      </c>
      <c r="F54" s="20" t="str">
        <f>IF(E54="","",TEXT(E54,"mmm"))</f>
        <v>Feb</v>
      </c>
      <c r="G54" s="20">
        <f>IF(E54="","",WEEKNUM(E54,2))</f>
        <v>8</v>
      </c>
      <c r="H54" s="20" t="str">
        <f>IF(E54="","",TEXT(E54,"ddd"))</f>
        <v>Wed</v>
      </c>
      <c r="I54" s="20" t="str">
        <f>IF(E54="","",IF(COUNTIF($A$6:$A$55,E54)&gt;0,"Holiday",IF(WEEKDAY(E54,2)=7,"Sunday","Working")))</f>
        <v>Working</v>
      </c>
      <c r="J54" s="20" t="str">
        <f>IF(E54="","",IF(OR(WEEKDAY(E54,2)=7,COUNTIF($A$6:$A$55,E54)&gt;0),"No","Yes"))</f>
        <v>Yes</v>
      </c>
    </row>
    <row r="55">
      <c r="A55" s="17" t="n"/>
      <c r="B55" s="18" t="n"/>
      <c r="C55" s="18" t="n"/>
      <c r="D55" s="9" t="n"/>
      <c r="E55" s="19">
        <f>IF(E54="","",IF(E54&lt;DATE($B$2+1,1,1)-1,E54+1,""))</f>
        <v>46072</v>
      </c>
      <c r="F55" s="20" t="str">
        <f>IF(E55="","",TEXT(E55,"mmm"))</f>
        <v>Feb</v>
      </c>
      <c r="G55" s="20">
        <f>IF(E55="","",WEEKNUM(E55,2))</f>
        <v>8</v>
      </c>
      <c r="H55" s="20" t="str">
        <f>IF(E55="","",TEXT(E55,"ddd"))</f>
        <v>Thu</v>
      </c>
      <c r="I55" s="20" t="str">
        <f>IF(E55="","",IF(COUNTIF($A$6:$A$55,E55)&gt;0,"Holiday",IF(WEEKDAY(E55,2)=7,"Sunday","Working")))</f>
        <v>Working</v>
      </c>
      <c r="J55" s="20" t="str">
        <f>IF(E55="","",IF(OR(WEEKDAY(E55,2)=7,COUNTIF($A$6:$A$55,E55)&gt;0),"No","Yes"))</f>
        <v>Yes</v>
      </c>
    </row>
    <row r="56">
      <c r="A56" s="9" t="n"/>
      <c r="B56" s="9" t="n"/>
      <c r="C56" s="9" t="n"/>
      <c r="D56" s="9" t="n"/>
      <c r="E56" s="19">
        <f>IF(E55="","",IF(E55&lt;DATE($B$2+1,1,1)-1,E55+1,""))</f>
        <v>46073</v>
      </c>
      <c r="F56" s="20" t="str">
        <f>IF(E56="","",TEXT(E56,"mmm"))</f>
        <v>Feb</v>
      </c>
      <c r="G56" s="20">
        <f>IF(E56="","",WEEKNUM(E56,2))</f>
        <v>8</v>
      </c>
      <c r="H56" s="20" t="str">
        <f>IF(E56="","",TEXT(E56,"ddd"))</f>
        <v>Fri</v>
      </c>
      <c r="I56" s="20" t="str">
        <f>IF(E56="","",IF(COUNTIF($A$6:$A$55,E56)&gt;0,"Holiday",IF(WEEKDAY(E56,2)=7,"Sunday","Working")))</f>
        <v>Working</v>
      </c>
      <c r="J56" s="20" t="str">
        <f>IF(E56="","",IF(OR(WEEKDAY(E56,2)=7,COUNTIF($A$6:$A$55,E56)&gt;0),"No","Yes"))</f>
        <v>Yes</v>
      </c>
    </row>
    <row r="57">
      <c r="A57" s="9" t="n"/>
      <c r="B57" s="9" t="n"/>
      <c r="C57" s="9" t="n"/>
      <c r="D57" s="9" t="n"/>
      <c r="E57" s="19">
        <f>IF(E56="","",IF(E56&lt;DATE($B$2+1,1,1)-1,E56+1,""))</f>
        <v>46074</v>
      </c>
      <c r="F57" s="20" t="str">
        <f>IF(E57="","",TEXT(E57,"mmm"))</f>
        <v>Feb</v>
      </c>
      <c r="G57" s="20">
        <f>IF(E57="","",WEEKNUM(E57,2))</f>
        <v>8</v>
      </c>
      <c r="H57" s="20" t="str">
        <f>IF(E57="","",TEXT(E57,"ddd"))</f>
        <v>Sat</v>
      </c>
      <c r="I57" s="20" t="str">
        <f>IF(E57="","",IF(COUNTIF($A$6:$A$55,E57)&gt;0,"Holiday",IF(WEEKDAY(E57,2)=7,"Sunday","Working")))</f>
        <v>Working</v>
      </c>
      <c r="J57" s="20" t="str">
        <f>IF(E57="","",IF(OR(WEEKDAY(E57,2)=7,COUNTIF($A$6:$A$55,E57)&gt;0),"No","Yes"))</f>
        <v>Yes</v>
      </c>
    </row>
    <row r="58">
      <c r="A58" s="9" t="n"/>
      <c r="B58" s="9" t="n"/>
      <c r="C58" s="9" t="n"/>
      <c r="D58" s="9" t="n"/>
      <c r="E58" s="19">
        <f>IF(E57="","",IF(E57&lt;DATE($B$2+1,1,1)-1,E57+1,""))</f>
        <v>46075</v>
      </c>
      <c r="F58" s="20" t="str">
        <f>IF(E58="","",TEXT(E58,"mmm"))</f>
        <v>Feb</v>
      </c>
      <c r="G58" s="20">
        <f>IF(E58="","",WEEKNUM(E58,2))</f>
        <v>8</v>
      </c>
      <c r="H58" s="20" t="str">
        <f>IF(E58="","",TEXT(E58,"ddd"))</f>
        <v>Sun</v>
      </c>
      <c r="I58" s="20" t="str">
        <f>IF(E58="","",IF(COUNTIF($A$6:$A$55,E58)&gt;0,"Holiday",IF(WEEKDAY(E58,2)=7,"Sunday","Working")))</f>
        <v>Sunday</v>
      </c>
      <c r="J58" s="20" t="str">
        <f>IF(E58="","",IF(OR(WEEKDAY(E58,2)=7,COUNTIF($A$6:$A$55,E58)&gt;0),"No","Yes"))</f>
        <v>No</v>
      </c>
    </row>
    <row r="59">
      <c r="A59" s="9" t="n"/>
      <c r="B59" s="9" t="n"/>
      <c r="C59" s="9" t="n"/>
      <c r="D59" s="9" t="n"/>
      <c r="E59" s="19">
        <f>IF(E58="","",IF(E58&lt;DATE($B$2+1,1,1)-1,E58+1,""))</f>
        <v>46076</v>
      </c>
      <c r="F59" s="20" t="str">
        <f>IF(E59="","",TEXT(E59,"mmm"))</f>
        <v>Feb</v>
      </c>
      <c r="G59" s="20">
        <f>IF(E59="","",WEEKNUM(E59,2))</f>
        <v>9</v>
      </c>
      <c r="H59" s="20" t="str">
        <f>IF(E59="","",TEXT(E59,"ddd"))</f>
        <v>Mon</v>
      </c>
      <c r="I59" s="20" t="str">
        <f>IF(E59="","",IF(COUNTIF($A$6:$A$55,E59)&gt;0,"Holiday",IF(WEEKDAY(E59,2)=7,"Sunday","Working")))</f>
        <v>Working</v>
      </c>
      <c r="J59" s="20" t="str">
        <f>IF(E59="","",IF(OR(WEEKDAY(E59,2)=7,COUNTIF($A$6:$A$55,E59)&gt;0),"No","Yes"))</f>
        <v>Yes</v>
      </c>
    </row>
    <row r="60">
      <c r="A60" s="9" t="n"/>
      <c r="B60" s="9" t="n"/>
      <c r="C60" s="9" t="n"/>
      <c r="D60" s="9" t="n"/>
      <c r="E60" s="19">
        <f>IF(E59="","",IF(E59&lt;DATE($B$2+1,1,1)-1,E59+1,""))</f>
        <v>46077</v>
      </c>
      <c r="F60" s="20" t="str">
        <f>IF(E60="","",TEXT(E60,"mmm"))</f>
        <v>Feb</v>
      </c>
      <c r="G60" s="20">
        <f>IF(E60="","",WEEKNUM(E60,2))</f>
        <v>9</v>
      </c>
      <c r="H60" s="20" t="str">
        <f>IF(E60="","",TEXT(E60,"ddd"))</f>
        <v>Tue</v>
      </c>
      <c r="I60" s="20" t="str">
        <f>IF(E60="","",IF(COUNTIF($A$6:$A$55,E60)&gt;0,"Holiday",IF(WEEKDAY(E60,2)=7,"Sunday","Working")))</f>
        <v>Working</v>
      </c>
      <c r="J60" s="20" t="str">
        <f>IF(E60="","",IF(OR(WEEKDAY(E60,2)=7,COUNTIF($A$6:$A$55,E60)&gt;0),"No","Yes"))</f>
        <v>Yes</v>
      </c>
    </row>
    <row r="61">
      <c r="A61" s="9" t="n"/>
      <c r="B61" s="9" t="n"/>
      <c r="C61" s="9" t="n"/>
      <c r="D61" s="9" t="n"/>
      <c r="E61" s="19">
        <f>IF(E60="","",IF(E60&lt;DATE($B$2+1,1,1)-1,E60+1,""))</f>
        <v>46078</v>
      </c>
      <c r="F61" s="20" t="str">
        <f>IF(E61="","",TEXT(E61,"mmm"))</f>
        <v>Feb</v>
      </c>
      <c r="G61" s="20">
        <f>IF(E61="","",WEEKNUM(E61,2))</f>
        <v>9</v>
      </c>
      <c r="H61" s="20" t="str">
        <f>IF(E61="","",TEXT(E61,"ddd"))</f>
        <v>Wed</v>
      </c>
      <c r="I61" s="20" t="str">
        <f>IF(E61="","",IF(COUNTIF($A$6:$A$55,E61)&gt;0,"Holiday",IF(WEEKDAY(E61,2)=7,"Sunday","Working")))</f>
        <v>Working</v>
      </c>
      <c r="J61" s="20" t="str">
        <f>IF(E61="","",IF(OR(WEEKDAY(E61,2)=7,COUNTIF($A$6:$A$55,E61)&gt;0),"No","Yes"))</f>
        <v>Yes</v>
      </c>
    </row>
    <row r="62">
      <c r="A62" s="9" t="n"/>
      <c r="B62" s="9" t="n"/>
      <c r="C62" s="9" t="n"/>
      <c r="D62" s="9" t="n"/>
      <c r="E62" s="19">
        <f>IF(E61="","",IF(E61&lt;DATE($B$2+1,1,1)-1,E61+1,""))</f>
        <v>46079</v>
      </c>
      <c r="F62" s="20" t="str">
        <f>IF(E62="","",TEXT(E62,"mmm"))</f>
        <v>Feb</v>
      </c>
      <c r="G62" s="20">
        <f>IF(E62="","",WEEKNUM(E62,2))</f>
        <v>9</v>
      </c>
      <c r="H62" s="20" t="str">
        <f>IF(E62="","",TEXT(E62,"ddd"))</f>
        <v>Thu</v>
      </c>
      <c r="I62" s="20" t="str">
        <f>IF(E62="","",IF(COUNTIF($A$6:$A$55,E62)&gt;0,"Holiday",IF(WEEKDAY(E62,2)=7,"Sunday","Working")))</f>
        <v>Working</v>
      </c>
      <c r="J62" s="20" t="str">
        <f>IF(E62="","",IF(OR(WEEKDAY(E62,2)=7,COUNTIF($A$6:$A$55,E62)&gt;0),"No","Yes"))</f>
        <v>Yes</v>
      </c>
    </row>
    <row r="63">
      <c r="A63" s="9" t="n"/>
      <c r="B63" s="9" t="n"/>
      <c r="C63" s="9" t="n"/>
      <c r="D63" s="9" t="n"/>
      <c r="E63" s="19">
        <f>IF(E62="","",IF(E62&lt;DATE($B$2+1,1,1)-1,E62+1,""))</f>
        <v>46080</v>
      </c>
      <c r="F63" s="20" t="str">
        <f>IF(E63="","",TEXT(E63,"mmm"))</f>
        <v>Feb</v>
      </c>
      <c r="G63" s="20">
        <f>IF(E63="","",WEEKNUM(E63,2))</f>
        <v>9</v>
      </c>
      <c r="H63" s="20" t="str">
        <f>IF(E63="","",TEXT(E63,"ddd"))</f>
        <v>Fri</v>
      </c>
      <c r="I63" s="20" t="str">
        <f>IF(E63="","",IF(COUNTIF($A$6:$A$55,E63)&gt;0,"Holiday",IF(WEEKDAY(E63,2)=7,"Sunday","Working")))</f>
        <v>Working</v>
      </c>
      <c r="J63" s="20" t="str">
        <f>IF(E63="","",IF(OR(WEEKDAY(E63,2)=7,COUNTIF($A$6:$A$55,E63)&gt;0),"No","Yes"))</f>
        <v>Yes</v>
      </c>
    </row>
    <row r="64">
      <c r="A64" s="9" t="n"/>
      <c r="B64" s="9" t="n"/>
      <c r="C64" s="9" t="n"/>
      <c r="D64" s="9" t="n"/>
      <c r="E64" s="19">
        <f>IF(E63="","",IF(E63&lt;DATE($B$2+1,1,1)-1,E63+1,""))</f>
        <v>46081</v>
      </c>
      <c r="F64" s="20" t="str">
        <f>IF(E64="","",TEXT(E64,"mmm"))</f>
        <v>Feb</v>
      </c>
      <c r="G64" s="20">
        <f>IF(E64="","",WEEKNUM(E64,2))</f>
        <v>9</v>
      </c>
      <c r="H64" s="20" t="str">
        <f>IF(E64="","",TEXT(E64,"ddd"))</f>
        <v>Sat</v>
      </c>
      <c r="I64" s="20" t="str">
        <f>IF(E64="","",IF(COUNTIF($A$6:$A$55,E64)&gt;0,"Holiday",IF(WEEKDAY(E64,2)=7,"Sunday","Working")))</f>
        <v>Working</v>
      </c>
      <c r="J64" s="20" t="str">
        <f>IF(E64="","",IF(OR(WEEKDAY(E64,2)=7,COUNTIF($A$6:$A$55,E64)&gt;0),"No","Yes"))</f>
        <v>Yes</v>
      </c>
    </row>
    <row r="65">
      <c r="A65" s="9" t="n"/>
      <c r="B65" s="9" t="n"/>
      <c r="C65" s="9" t="n"/>
      <c r="D65" s="9" t="n"/>
      <c r="E65" s="19">
        <f>IF(E64="","",IF(E64&lt;DATE($B$2+1,1,1)-1,E64+1,""))</f>
        <v>46082</v>
      </c>
      <c r="F65" s="20" t="str">
        <f>IF(E65="","",TEXT(E65,"mmm"))</f>
        <v>Mar</v>
      </c>
      <c r="G65" s="20">
        <f>IF(E65="","",WEEKNUM(E65,2))</f>
        <v>9</v>
      </c>
      <c r="H65" s="20" t="str">
        <f>IF(E65="","",TEXT(E65,"ddd"))</f>
        <v>Sun</v>
      </c>
      <c r="I65" s="20" t="str">
        <f>IF(E65="","",IF(COUNTIF($A$6:$A$55,E65)&gt;0,"Holiday",IF(WEEKDAY(E65,2)=7,"Sunday","Working")))</f>
        <v>Sunday</v>
      </c>
      <c r="J65" s="20" t="str">
        <f>IF(E65="","",IF(OR(WEEKDAY(E65,2)=7,COUNTIF($A$6:$A$55,E65)&gt;0),"No","Yes"))</f>
        <v>No</v>
      </c>
    </row>
    <row r="66">
      <c r="A66" s="9" t="n"/>
      <c r="B66" s="9" t="n"/>
      <c r="C66" s="9" t="n"/>
      <c r="D66" s="9" t="n"/>
      <c r="E66" s="19">
        <f>IF(E65="","",IF(E65&lt;DATE($B$2+1,1,1)-1,E65+1,""))</f>
        <v>46083</v>
      </c>
      <c r="F66" s="20" t="str">
        <f>IF(E66="","",TEXT(E66,"mmm"))</f>
        <v>Mar</v>
      </c>
      <c r="G66" s="20">
        <f>IF(E66="","",WEEKNUM(E66,2))</f>
        <v>10</v>
      </c>
      <c r="H66" s="20" t="str">
        <f>IF(E66="","",TEXT(E66,"ddd"))</f>
        <v>Mon</v>
      </c>
      <c r="I66" s="20" t="str">
        <f>IF(E66="","",IF(COUNTIF($A$6:$A$55,E66)&gt;0,"Holiday",IF(WEEKDAY(E66,2)=7,"Sunday","Working")))</f>
        <v>Working</v>
      </c>
      <c r="J66" s="20" t="str">
        <f>IF(E66="","",IF(OR(WEEKDAY(E66,2)=7,COUNTIF($A$6:$A$55,E66)&gt;0),"No","Yes"))</f>
        <v>Yes</v>
      </c>
    </row>
    <row r="67">
      <c r="A67" s="9" t="n"/>
      <c r="B67" s="9" t="n"/>
      <c r="C67" s="9" t="n"/>
      <c r="D67" s="9" t="n"/>
      <c r="E67" s="19">
        <f>IF(E66="","",IF(E66&lt;DATE($B$2+1,1,1)-1,E66+1,""))</f>
        <v>46084</v>
      </c>
      <c r="F67" s="20" t="str">
        <f>IF(E67="","",TEXT(E67,"mmm"))</f>
        <v>Mar</v>
      </c>
      <c r="G67" s="20">
        <f>IF(E67="","",WEEKNUM(E67,2))</f>
        <v>10</v>
      </c>
      <c r="H67" s="20" t="str">
        <f>IF(E67="","",TEXT(E67,"ddd"))</f>
        <v>Tue</v>
      </c>
      <c r="I67" s="20" t="str">
        <f>IF(E67="","",IF(COUNTIF($A$6:$A$55,E67)&gt;0,"Holiday",IF(WEEKDAY(E67,2)=7,"Sunday","Working")))</f>
        <v>Working</v>
      </c>
      <c r="J67" s="20" t="str">
        <f>IF(E67="","",IF(OR(WEEKDAY(E67,2)=7,COUNTIF($A$6:$A$55,E67)&gt;0),"No","Yes"))</f>
        <v>Yes</v>
      </c>
    </row>
    <row r="68">
      <c r="A68" s="9" t="n"/>
      <c r="B68" s="9" t="n"/>
      <c r="C68" s="9" t="n"/>
      <c r="D68" s="9" t="n"/>
      <c r="E68" s="19">
        <f>IF(E67="","",IF(E67&lt;DATE($B$2+1,1,1)-1,E67+1,""))</f>
        <v>46085</v>
      </c>
      <c r="F68" s="20" t="str">
        <f>IF(E68="","",TEXT(E68,"mmm"))</f>
        <v>Mar</v>
      </c>
      <c r="G68" s="20">
        <f>IF(E68="","",WEEKNUM(E68,2))</f>
        <v>10</v>
      </c>
      <c r="H68" s="20" t="str">
        <f>IF(E68="","",TEXT(E68,"ddd"))</f>
        <v>Wed</v>
      </c>
      <c r="I68" s="20" t="str">
        <f>IF(E68="","",IF(COUNTIF($A$6:$A$55,E68)&gt;0,"Holiday",IF(WEEKDAY(E68,2)=7,"Sunday","Working")))</f>
        <v>Working</v>
      </c>
      <c r="J68" s="20" t="str">
        <f>IF(E68="","",IF(OR(WEEKDAY(E68,2)=7,COUNTIF($A$6:$A$55,E68)&gt;0),"No","Yes"))</f>
        <v>Yes</v>
      </c>
    </row>
    <row r="69">
      <c r="A69" s="9" t="n"/>
      <c r="B69" s="9" t="n"/>
      <c r="C69" s="9" t="n"/>
      <c r="D69" s="9" t="n"/>
      <c r="E69" s="19">
        <f>IF(E68="","",IF(E68&lt;DATE($B$2+1,1,1)-1,E68+1,""))</f>
        <v>46086</v>
      </c>
      <c r="F69" s="20" t="str">
        <f>IF(E69="","",TEXT(E69,"mmm"))</f>
        <v>Mar</v>
      </c>
      <c r="G69" s="20">
        <f>IF(E69="","",WEEKNUM(E69,2))</f>
        <v>10</v>
      </c>
      <c r="H69" s="20" t="str">
        <f>IF(E69="","",TEXT(E69,"ddd"))</f>
        <v>Thu</v>
      </c>
      <c r="I69" s="20" t="str">
        <f>IF(E69="","",IF(COUNTIF($A$6:$A$55,E69)&gt;0,"Holiday",IF(WEEKDAY(E69,2)=7,"Sunday","Working")))</f>
        <v>Working</v>
      </c>
      <c r="J69" s="20" t="str">
        <f>IF(E69="","",IF(OR(WEEKDAY(E69,2)=7,COUNTIF($A$6:$A$55,E69)&gt;0),"No","Yes"))</f>
        <v>Yes</v>
      </c>
    </row>
    <row r="70">
      <c r="A70" s="9" t="n"/>
      <c r="B70" s="9" t="n"/>
      <c r="C70" s="9" t="n"/>
      <c r="D70" s="9" t="n"/>
      <c r="E70" s="19">
        <f>IF(E69="","",IF(E69&lt;DATE($B$2+1,1,1)-1,E69+1,""))</f>
        <v>46087</v>
      </c>
      <c r="F70" s="20" t="str">
        <f>IF(E70="","",TEXT(E70,"mmm"))</f>
        <v>Mar</v>
      </c>
      <c r="G70" s="20">
        <f>IF(E70="","",WEEKNUM(E70,2))</f>
        <v>10</v>
      </c>
      <c r="H70" s="20" t="str">
        <f>IF(E70="","",TEXT(E70,"ddd"))</f>
        <v>Fri</v>
      </c>
      <c r="I70" s="20" t="str">
        <f>IF(E70="","",IF(COUNTIF($A$6:$A$55,E70)&gt;0,"Holiday",IF(WEEKDAY(E70,2)=7,"Sunday","Working")))</f>
        <v>Working</v>
      </c>
      <c r="J70" s="20" t="str">
        <f>IF(E70="","",IF(OR(WEEKDAY(E70,2)=7,COUNTIF($A$6:$A$55,E70)&gt;0),"No","Yes"))</f>
        <v>Yes</v>
      </c>
    </row>
    <row r="71">
      <c r="A71" s="9" t="n"/>
      <c r="B71" s="9" t="n"/>
      <c r="C71" s="9" t="n"/>
      <c r="D71" s="9" t="n"/>
      <c r="E71" s="19">
        <f>IF(E70="","",IF(E70&lt;DATE($B$2+1,1,1)-1,E70+1,""))</f>
        <v>46088</v>
      </c>
      <c r="F71" s="20" t="str">
        <f>IF(E71="","",TEXT(E71,"mmm"))</f>
        <v>Mar</v>
      </c>
      <c r="G71" s="20">
        <f>IF(E71="","",WEEKNUM(E71,2))</f>
        <v>10</v>
      </c>
      <c r="H71" s="20" t="str">
        <f>IF(E71="","",TEXT(E71,"ddd"))</f>
        <v>Sat</v>
      </c>
      <c r="I71" s="20" t="str">
        <f>IF(E71="","",IF(COUNTIF($A$6:$A$55,E71)&gt;0,"Holiday",IF(WEEKDAY(E71,2)=7,"Sunday","Working")))</f>
        <v>Working</v>
      </c>
      <c r="J71" s="20" t="str">
        <f>IF(E71="","",IF(OR(WEEKDAY(E71,2)=7,COUNTIF($A$6:$A$55,E71)&gt;0),"No","Yes"))</f>
        <v>Yes</v>
      </c>
    </row>
    <row r="72">
      <c r="A72" s="9" t="n"/>
      <c r="B72" s="9" t="n"/>
      <c r="C72" s="9" t="n"/>
      <c r="D72" s="9" t="n"/>
      <c r="E72" s="19">
        <f>IF(E71="","",IF(E71&lt;DATE($B$2+1,1,1)-1,E71+1,""))</f>
        <v>46089</v>
      </c>
      <c r="F72" s="20" t="str">
        <f>IF(E72="","",TEXT(E72,"mmm"))</f>
        <v>Mar</v>
      </c>
      <c r="G72" s="20">
        <f>IF(E72="","",WEEKNUM(E72,2))</f>
        <v>10</v>
      </c>
      <c r="H72" s="20" t="str">
        <f>IF(E72="","",TEXT(E72,"ddd"))</f>
        <v>Sun</v>
      </c>
      <c r="I72" s="20" t="str">
        <f>IF(E72="","",IF(COUNTIF($A$6:$A$55,E72)&gt;0,"Holiday",IF(WEEKDAY(E72,2)=7,"Sunday","Working")))</f>
        <v>Sunday</v>
      </c>
      <c r="J72" s="20" t="str">
        <f>IF(E72="","",IF(OR(WEEKDAY(E72,2)=7,COUNTIF($A$6:$A$55,E72)&gt;0),"No","Yes"))</f>
        <v>No</v>
      </c>
    </row>
    <row r="73">
      <c r="A73" s="9" t="n"/>
      <c r="B73" s="9" t="n"/>
      <c r="C73" s="9" t="n"/>
      <c r="D73" s="9" t="n"/>
      <c r="E73" s="19">
        <f>IF(E72="","",IF(E72&lt;DATE($B$2+1,1,1)-1,E72+1,""))</f>
        <v>46090</v>
      </c>
      <c r="F73" s="20" t="str">
        <f>IF(E73="","",TEXT(E73,"mmm"))</f>
        <v>Mar</v>
      </c>
      <c r="G73" s="20">
        <f>IF(E73="","",WEEKNUM(E73,2))</f>
        <v>11</v>
      </c>
      <c r="H73" s="20" t="str">
        <f>IF(E73="","",TEXT(E73,"ddd"))</f>
        <v>Mon</v>
      </c>
      <c r="I73" s="20" t="str">
        <f>IF(E73="","",IF(COUNTIF($A$6:$A$55,E73)&gt;0,"Holiday",IF(WEEKDAY(E73,2)=7,"Sunday","Working")))</f>
        <v>Working</v>
      </c>
      <c r="J73" s="20" t="str">
        <f>IF(E73="","",IF(OR(WEEKDAY(E73,2)=7,COUNTIF($A$6:$A$55,E73)&gt;0),"No","Yes"))</f>
        <v>Yes</v>
      </c>
    </row>
    <row r="74">
      <c r="A74" s="9" t="n"/>
      <c r="B74" s="9" t="n"/>
      <c r="C74" s="9" t="n"/>
      <c r="D74" s="9" t="n"/>
      <c r="E74" s="19">
        <f>IF(E73="","",IF(E73&lt;DATE($B$2+1,1,1)-1,E73+1,""))</f>
        <v>46091</v>
      </c>
      <c r="F74" s="20" t="str">
        <f>IF(E74="","",TEXT(E74,"mmm"))</f>
        <v>Mar</v>
      </c>
      <c r="G74" s="20">
        <f>IF(E74="","",WEEKNUM(E74,2))</f>
        <v>11</v>
      </c>
      <c r="H74" s="20" t="str">
        <f>IF(E74="","",TEXT(E74,"ddd"))</f>
        <v>Tue</v>
      </c>
      <c r="I74" s="20" t="str">
        <f>IF(E74="","",IF(COUNTIF($A$6:$A$55,E74)&gt;0,"Holiday",IF(WEEKDAY(E74,2)=7,"Sunday","Working")))</f>
        <v>Working</v>
      </c>
      <c r="J74" s="20" t="str">
        <f>IF(E74="","",IF(OR(WEEKDAY(E74,2)=7,COUNTIF($A$6:$A$55,E74)&gt;0),"No","Yes"))</f>
        <v>Yes</v>
      </c>
    </row>
    <row r="75">
      <c r="A75" s="9" t="n"/>
      <c r="B75" s="9" t="n"/>
      <c r="C75" s="9" t="n"/>
      <c r="D75" s="9" t="n"/>
      <c r="E75" s="19">
        <f>IF(E74="","",IF(E74&lt;DATE($B$2+1,1,1)-1,E74+1,""))</f>
        <v>46092</v>
      </c>
      <c r="F75" s="20" t="str">
        <f>IF(E75="","",TEXT(E75,"mmm"))</f>
        <v>Mar</v>
      </c>
      <c r="G75" s="20">
        <f>IF(E75="","",WEEKNUM(E75,2))</f>
        <v>11</v>
      </c>
      <c r="H75" s="20" t="str">
        <f>IF(E75="","",TEXT(E75,"ddd"))</f>
        <v>Wed</v>
      </c>
      <c r="I75" s="20" t="str">
        <f>IF(E75="","",IF(COUNTIF($A$6:$A$55,E75)&gt;0,"Holiday",IF(WEEKDAY(E75,2)=7,"Sunday","Working")))</f>
        <v>Working</v>
      </c>
      <c r="J75" s="20" t="str">
        <f>IF(E75="","",IF(OR(WEEKDAY(E75,2)=7,COUNTIF($A$6:$A$55,E75)&gt;0),"No","Yes"))</f>
        <v>Yes</v>
      </c>
    </row>
    <row r="76">
      <c r="A76" s="9" t="n"/>
      <c r="B76" s="9" t="n"/>
      <c r="C76" s="9" t="n"/>
      <c r="D76" s="9" t="n"/>
      <c r="E76" s="19">
        <f>IF(E75="","",IF(E75&lt;DATE($B$2+1,1,1)-1,E75+1,""))</f>
        <v>46093</v>
      </c>
      <c r="F76" s="20" t="str">
        <f>IF(E76="","",TEXT(E76,"mmm"))</f>
        <v>Mar</v>
      </c>
      <c r="G76" s="20">
        <f>IF(E76="","",WEEKNUM(E76,2))</f>
        <v>11</v>
      </c>
      <c r="H76" s="20" t="str">
        <f>IF(E76="","",TEXT(E76,"ddd"))</f>
        <v>Thu</v>
      </c>
      <c r="I76" s="20" t="str">
        <f>IF(E76="","",IF(COUNTIF($A$6:$A$55,E76)&gt;0,"Holiday",IF(WEEKDAY(E76,2)=7,"Sunday","Working")))</f>
        <v>Working</v>
      </c>
      <c r="J76" s="20" t="str">
        <f>IF(E76="","",IF(OR(WEEKDAY(E76,2)=7,COUNTIF($A$6:$A$55,E76)&gt;0),"No","Yes"))</f>
        <v>Yes</v>
      </c>
    </row>
    <row r="77">
      <c r="A77" s="9" t="n"/>
      <c r="B77" s="9" t="n"/>
      <c r="C77" s="9" t="n"/>
      <c r="D77" s="9" t="n"/>
      <c r="E77" s="19">
        <f>IF(E76="","",IF(E76&lt;DATE($B$2+1,1,1)-1,E76+1,""))</f>
        <v>46094</v>
      </c>
      <c r="F77" s="20" t="str">
        <f>IF(E77="","",TEXT(E77,"mmm"))</f>
        <v>Mar</v>
      </c>
      <c r="G77" s="20">
        <f>IF(E77="","",WEEKNUM(E77,2))</f>
        <v>11</v>
      </c>
      <c r="H77" s="20" t="str">
        <f>IF(E77="","",TEXT(E77,"ddd"))</f>
        <v>Fri</v>
      </c>
      <c r="I77" s="20" t="str">
        <f>IF(E77="","",IF(COUNTIF($A$6:$A$55,E77)&gt;0,"Holiday",IF(WEEKDAY(E77,2)=7,"Sunday","Working")))</f>
        <v>Working</v>
      </c>
      <c r="J77" s="20" t="str">
        <f>IF(E77="","",IF(OR(WEEKDAY(E77,2)=7,COUNTIF($A$6:$A$55,E77)&gt;0),"No","Yes"))</f>
        <v>Yes</v>
      </c>
    </row>
    <row r="78">
      <c r="A78" s="9" t="n"/>
      <c r="B78" s="9" t="n"/>
      <c r="C78" s="9" t="n"/>
      <c r="D78" s="9" t="n"/>
      <c r="E78" s="19">
        <f>IF(E77="","",IF(E77&lt;DATE($B$2+1,1,1)-1,E77+1,""))</f>
        <v>46095</v>
      </c>
      <c r="F78" s="20" t="str">
        <f>IF(E78="","",TEXT(E78,"mmm"))</f>
        <v>Mar</v>
      </c>
      <c r="G78" s="20">
        <f>IF(E78="","",WEEKNUM(E78,2))</f>
        <v>11</v>
      </c>
      <c r="H78" s="20" t="str">
        <f>IF(E78="","",TEXT(E78,"ddd"))</f>
        <v>Sat</v>
      </c>
      <c r="I78" s="20" t="str">
        <f>IF(E78="","",IF(COUNTIF($A$6:$A$55,E78)&gt;0,"Holiday",IF(WEEKDAY(E78,2)=7,"Sunday","Working")))</f>
        <v>Working</v>
      </c>
      <c r="J78" s="20" t="str">
        <f>IF(E78="","",IF(OR(WEEKDAY(E78,2)=7,COUNTIF($A$6:$A$55,E78)&gt;0),"No","Yes"))</f>
        <v>Yes</v>
      </c>
    </row>
    <row r="79">
      <c r="A79" s="9" t="n"/>
      <c r="B79" s="9" t="n"/>
      <c r="C79" s="9" t="n"/>
      <c r="D79" s="9" t="n"/>
      <c r="E79" s="19">
        <f>IF(E78="","",IF(E78&lt;DATE($B$2+1,1,1)-1,E78+1,""))</f>
        <v>46096</v>
      </c>
      <c r="F79" s="20" t="str">
        <f>IF(E79="","",TEXT(E79,"mmm"))</f>
        <v>Mar</v>
      </c>
      <c r="G79" s="20">
        <f>IF(E79="","",WEEKNUM(E79,2))</f>
        <v>11</v>
      </c>
      <c r="H79" s="20" t="str">
        <f>IF(E79="","",TEXT(E79,"ddd"))</f>
        <v>Sun</v>
      </c>
      <c r="I79" s="20" t="str">
        <f>IF(E79="","",IF(COUNTIF($A$6:$A$55,E79)&gt;0,"Holiday",IF(WEEKDAY(E79,2)=7,"Sunday","Working")))</f>
        <v>Sunday</v>
      </c>
      <c r="J79" s="20" t="str">
        <f>IF(E79="","",IF(OR(WEEKDAY(E79,2)=7,COUNTIF($A$6:$A$55,E79)&gt;0),"No","Yes"))</f>
        <v>No</v>
      </c>
    </row>
    <row r="80">
      <c r="A80" s="9" t="n"/>
      <c r="B80" s="9" t="n"/>
      <c r="C80" s="9" t="n"/>
      <c r="D80" s="9" t="n"/>
      <c r="E80" s="19">
        <f>IF(E79="","",IF(E79&lt;DATE($B$2+1,1,1)-1,E79+1,""))</f>
        <v>46097</v>
      </c>
      <c r="F80" s="20" t="str">
        <f>IF(E80="","",TEXT(E80,"mmm"))</f>
        <v>Mar</v>
      </c>
      <c r="G80" s="20">
        <f>IF(E80="","",WEEKNUM(E80,2))</f>
        <v>12</v>
      </c>
      <c r="H80" s="20" t="str">
        <f>IF(E80="","",TEXT(E80,"ddd"))</f>
        <v>Mon</v>
      </c>
      <c r="I80" s="20" t="str">
        <f>IF(E80="","",IF(COUNTIF($A$6:$A$55,E80)&gt;0,"Holiday",IF(WEEKDAY(E80,2)=7,"Sunday","Working")))</f>
        <v>Working</v>
      </c>
      <c r="J80" s="20" t="str">
        <f>IF(E80="","",IF(OR(WEEKDAY(E80,2)=7,COUNTIF($A$6:$A$55,E80)&gt;0),"No","Yes"))</f>
        <v>Yes</v>
      </c>
    </row>
    <row r="81">
      <c r="A81" s="9" t="n"/>
      <c r="B81" s="9" t="n"/>
      <c r="C81" s="9" t="n"/>
      <c r="D81" s="9" t="n"/>
      <c r="E81" s="19">
        <f>IF(E80="","",IF(E80&lt;DATE($B$2+1,1,1)-1,E80+1,""))</f>
        <v>46098</v>
      </c>
      <c r="F81" s="20" t="str">
        <f>IF(E81="","",TEXT(E81,"mmm"))</f>
        <v>Mar</v>
      </c>
      <c r="G81" s="20">
        <f>IF(E81="","",WEEKNUM(E81,2))</f>
        <v>12</v>
      </c>
      <c r="H81" s="20" t="str">
        <f>IF(E81="","",TEXT(E81,"ddd"))</f>
        <v>Tue</v>
      </c>
      <c r="I81" s="20" t="str">
        <f>IF(E81="","",IF(COUNTIF($A$6:$A$55,E81)&gt;0,"Holiday",IF(WEEKDAY(E81,2)=7,"Sunday","Working")))</f>
        <v>Working</v>
      </c>
      <c r="J81" s="20" t="str">
        <f>IF(E81="","",IF(OR(WEEKDAY(E81,2)=7,COUNTIF($A$6:$A$55,E81)&gt;0),"No","Yes"))</f>
        <v>Yes</v>
      </c>
    </row>
    <row r="82">
      <c r="A82" s="9" t="n"/>
      <c r="B82" s="9" t="n"/>
      <c r="C82" s="9" t="n"/>
      <c r="D82" s="9" t="n"/>
      <c r="E82" s="19">
        <f>IF(E81="","",IF(E81&lt;DATE($B$2+1,1,1)-1,E81+1,""))</f>
        <v>46099</v>
      </c>
      <c r="F82" s="20" t="str">
        <f>IF(E82="","",TEXT(E82,"mmm"))</f>
        <v>Mar</v>
      </c>
      <c r="G82" s="20">
        <f>IF(E82="","",WEEKNUM(E82,2))</f>
        <v>12</v>
      </c>
      <c r="H82" s="20" t="str">
        <f>IF(E82="","",TEXT(E82,"ddd"))</f>
        <v>Wed</v>
      </c>
      <c r="I82" s="20" t="str">
        <f>IF(E82="","",IF(COUNTIF($A$6:$A$55,E82)&gt;0,"Holiday",IF(WEEKDAY(E82,2)=7,"Sunday","Working")))</f>
        <v>Working</v>
      </c>
      <c r="J82" s="20" t="str">
        <f>IF(E82="","",IF(OR(WEEKDAY(E82,2)=7,COUNTIF($A$6:$A$55,E82)&gt;0),"No","Yes"))</f>
        <v>Yes</v>
      </c>
    </row>
    <row r="83">
      <c r="A83" s="9" t="n"/>
      <c r="B83" s="9" t="n"/>
      <c r="C83" s="9" t="n"/>
      <c r="D83" s="9" t="n"/>
      <c r="E83" s="19">
        <f>IF(E82="","",IF(E82&lt;DATE($B$2+1,1,1)-1,E82+1,""))</f>
        <v>46100</v>
      </c>
      <c r="F83" s="20" t="str">
        <f>IF(E83="","",TEXT(E83,"mmm"))</f>
        <v>Mar</v>
      </c>
      <c r="G83" s="20">
        <f>IF(E83="","",WEEKNUM(E83,2))</f>
        <v>12</v>
      </c>
      <c r="H83" s="20" t="str">
        <f>IF(E83="","",TEXT(E83,"ddd"))</f>
        <v>Thu</v>
      </c>
      <c r="I83" s="20" t="str">
        <f>IF(E83="","",IF(COUNTIF($A$6:$A$55,E83)&gt;0,"Holiday",IF(WEEKDAY(E83,2)=7,"Sunday","Working")))</f>
        <v>Working</v>
      </c>
      <c r="J83" s="20" t="str">
        <f>IF(E83="","",IF(OR(WEEKDAY(E83,2)=7,COUNTIF($A$6:$A$55,E83)&gt;0),"No","Yes"))</f>
        <v>Yes</v>
      </c>
    </row>
    <row r="84">
      <c r="A84" s="9" t="n"/>
      <c r="B84" s="9" t="n"/>
      <c r="C84" s="9" t="n"/>
      <c r="D84" s="9" t="n"/>
      <c r="E84" s="19">
        <f>IF(E83="","",IF(E83&lt;DATE($B$2+1,1,1)-1,E83+1,""))</f>
        <v>46101</v>
      </c>
      <c r="F84" s="20" t="str">
        <f>IF(E84="","",TEXT(E84,"mmm"))</f>
        <v>Mar</v>
      </c>
      <c r="G84" s="20">
        <f>IF(E84="","",WEEKNUM(E84,2))</f>
        <v>12</v>
      </c>
      <c r="H84" s="20" t="str">
        <f>IF(E84="","",TEXT(E84,"ddd"))</f>
        <v>Fri</v>
      </c>
      <c r="I84" s="20" t="str">
        <f>IF(E84="","",IF(COUNTIF($A$6:$A$55,E84)&gt;0,"Holiday",IF(WEEKDAY(E84,2)=7,"Sunday","Working")))</f>
        <v>Working</v>
      </c>
      <c r="J84" s="20" t="str">
        <f>IF(E84="","",IF(OR(WEEKDAY(E84,2)=7,COUNTIF($A$6:$A$55,E84)&gt;0),"No","Yes"))</f>
        <v>Yes</v>
      </c>
    </row>
    <row r="85">
      <c r="A85" s="9" t="n"/>
      <c r="B85" s="9" t="n"/>
      <c r="C85" s="9" t="n"/>
      <c r="D85" s="9" t="n"/>
      <c r="E85" s="19">
        <f>IF(E84="","",IF(E84&lt;DATE($B$2+1,1,1)-1,E84+1,""))</f>
        <v>46102</v>
      </c>
      <c r="F85" s="20" t="str">
        <f>IF(E85="","",TEXT(E85,"mmm"))</f>
        <v>Mar</v>
      </c>
      <c r="G85" s="20">
        <f>IF(E85="","",WEEKNUM(E85,2))</f>
        <v>12</v>
      </c>
      <c r="H85" s="20" t="str">
        <f>IF(E85="","",TEXT(E85,"ddd"))</f>
        <v>Sat</v>
      </c>
      <c r="I85" s="20" t="str">
        <f>IF(E85="","",IF(COUNTIF($A$6:$A$55,E85)&gt;0,"Holiday",IF(WEEKDAY(E85,2)=7,"Sunday","Working")))</f>
        <v>Working</v>
      </c>
      <c r="J85" s="20" t="str">
        <f>IF(E85="","",IF(OR(WEEKDAY(E85,2)=7,COUNTIF($A$6:$A$55,E85)&gt;0),"No","Yes"))</f>
        <v>Yes</v>
      </c>
    </row>
    <row r="86">
      <c r="A86" s="9" t="n"/>
      <c r="B86" s="9" t="n"/>
      <c r="C86" s="9" t="n"/>
      <c r="D86" s="9" t="n"/>
      <c r="E86" s="19">
        <f>IF(E85="","",IF(E85&lt;DATE($B$2+1,1,1)-1,E85+1,""))</f>
        <v>46103</v>
      </c>
      <c r="F86" s="20" t="str">
        <f>IF(E86="","",TEXT(E86,"mmm"))</f>
        <v>Mar</v>
      </c>
      <c r="G86" s="20">
        <f>IF(E86="","",WEEKNUM(E86,2))</f>
        <v>12</v>
      </c>
      <c r="H86" s="20" t="str">
        <f>IF(E86="","",TEXT(E86,"ddd"))</f>
        <v>Sun</v>
      </c>
      <c r="I86" s="20" t="str">
        <f>IF(E86="","",IF(COUNTIF($A$6:$A$55,E86)&gt;0,"Holiday",IF(WEEKDAY(E86,2)=7,"Sunday","Working")))</f>
        <v>Sunday</v>
      </c>
      <c r="J86" s="20" t="str">
        <f>IF(E86="","",IF(OR(WEEKDAY(E86,2)=7,COUNTIF($A$6:$A$55,E86)&gt;0),"No","Yes"))</f>
        <v>No</v>
      </c>
    </row>
    <row r="87">
      <c r="A87" s="9" t="n"/>
      <c r="B87" s="9" t="n"/>
      <c r="C87" s="9" t="n"/>
      <c r="D87" s="9" t="n"/>
      <c r="E87" s="19">
        <f>IF(E86="","",IF(E86&lt;DATE($B$2+1,1,1)-1,E86+1,""))</f>
        <v>46104</v>
      </c>
      <c r="F87" s="20" t="str">
        <f>IF(E87="","",TEXT(E87,"mmm"))</f>
        <v>Mar</v>
      </c>
      <c r="G87" s="20">
        <f>IF(E87="","",WEEKNUM(E87,2))</f>
        <v>13</v>
      </c>
      <c r="H87" s="20" t="str">
        <f>IF(E87="","",TEXT(E87,"ddd"))</f>
        <v>Mon</v>
      </c>
      <c r="I87" s="20" t="str">
        <f>IF(E87="","",IF(COUNTIF($A$6:$A$55,E87)&gt;0,"Holiday",IF(WEEKDAY(E87,2)=7,"Sunday","Working")))</f>
        <v>Working</v>
      </c>
      <c r="J87" s="20" t="str">
        <f>IF(E87="","",IF(OR(WEEKDAY(E87,2)=7,COUNTIF($A$6:$A$55,E87)&gt;0),"No","Yes"))</f>
        <v>Yes</v>
      </c>
    </row>
    <row r="88">
      <c r="A88" s="9" t="n"/>
      <c r="B88" s="9" t="n"/>
      <c r="C88" s="9" t="n"/>
      <c r="D88" s="9" t="n"/>
      <c r="E88" s="19">
        <f>IF(E87="","",IF(E87&lt;DATE($B$2+1,1,1)-1,E87+1,""))</f>
        <v>46105</v>
      </c>
      <c r="F88" s="20" t="str">
        <f>IF(E88="","",TEXT(E88,"mmm"))</f>
        <v>Mar</v>
      </c>
      <c r="G88" s="20">
        <f>IF(E88="","",WEEKNUM(E88,2))</f>
        <v>13</v>
      </c>
      <c r="H88" s="20" t="str">
        <f>IF(E88="","",TEXT(E88,"ddd"))</f>
        <v>Tue</v>
      </c>
      <c r="I88" s="20" t="str">
        <f>IF(E88="","",IF(COUNTIF($A$6:$A$55,E88)&gt;0,"Holiday",IF(WEEKDAY(E88,2)=7,"Sunday","Working")))</f>
        <v>Working</v>
      </c>
      <c r="J88" s="20" t="str">
        <f>IF(E88="","",IF(OR(WEEKDAY(E88,2)=7,COUNTIF($A$6:$A$55,E88)&gt;0),"No","Yes"))</f>
        <v>Yes</v>
      </c>
    </row>
    <row r="89">
      <c r="A89" s="9" t="n"/>
      <c r="B89" s="9" t="n"/>
      <c r="C89" s="9" t="n"/>
      <c r="D89" s="9" t="n"/>
      <c r="E89" s="19">
        <f>IF(E88="","",IF(E88&lt;DATE($B$2+1,1,1)-1,E88+1,""))</f>
        <v>46106</v>
      </c>
      <c r="F89" s="20" t="str">
        <f>IF(E89="","",TEXT(E89,"mmm"))</f>
        <v>Mar</v>
      </c>
      <c r="G89" s="20">
        <f>IF(E89="","",WEEKNUM(E89,2))</f>
        <v>13</v>
      </c>
      <c r="H89" s="20" t="str">
        <f>IF(E89="","",TEXT(E89,"ddd"))</f>
        <v>Wed</v>
      </c>
      <c r="I89" s="20" t="str">
        <f>IF(E89="","",IF(COUNTIF($A$6:$A$55,E89)&gt;0,"Holiday",IF(WEEKDAY(E89,2)=7,"Sunday","Working")))</f>
        <v>Working</v>
      </c>
      <c r="J89" s="20" t="str">
        <f>IF(E89="","",IF(OR(WEEKDAY(E89,2)=7,COUNTIF($A$6:$A$55,E89)&gt;0),"No","Yes"))</f>
        <v>Yes</v>
      </c>
    </row>
    <row r="90">
      <c r="A90" s="9" t="n"/>
      <c r="B90" s="9" t="n"/>
      <c r="C90" s="9" t="n"/>
      <c r="D90" s="9" t="n"/>
      <c r="E90" s="19">
        <f>IF(E89="","",IF(E89&lt;DATE($B$2+1,1,1)-1,E89+1,""))</f>
        <v>46107</v>
      </c>
      <c r="F90" s="20" t="str">
        <f>IF(E90="","",TEXT(E90,"mmm"))</f>
        <v>Mar</v>
      </c>
      <c r="G90" s="20">
        <f>IF(E90="","",WEEKNUM(E90,2))</f>
        <v>13</v>
      </c>
      <c r="H90" s="20" t="str">
        <f>IF(E90="","",TEXT(E90,"ddd"))</f>
        <v>Thu</v>
      </c>
      <c r="I90" s="20" t="str">
        <f>IF(E90="","",IF(COUNTIF($A$6:$A$55,E90)&gt;0,"Holiday",IF(WEEKDAY(E90,2)=7,"Sunday","Working")))</f>
        <v>Working</v>
      </c>
      <c r="J90" s="20" t="str">
        <f>IF(E90="","",IF(OR(WEEKDAY(E90,2)=7,COUNTIF($A$6:$A$55,E90)&gt;0),"No","Yes"))</f>
        <v>Yes</v>
      </c>
    </row>
    <row r="91">
      <c r="A91" s="9" t="n"/>
      <c r="B91" s="9" t="n"/>
      <c r="C91" s="9" t="n"/>
      <c r="D91" s="9" t="n"/>
      <c r="E91" s="19">
        <f>IF(E90="","",IF(E90&lt;DATE($B$2+1,1,1)-1,E90+1,""))</f>
        <v>46108</v>
      </c>
      <c r="F91" s="20" t="str">
        <f>IF(E91="","",TEXT(E91,"mmm"))</f>
        <v>Mar</v>
      </c>
      <c r="G91" s="20">
        <f>IF(E91="","",WEEKNUM(E91,2))</f>
        <v>13</v>
      </c>
      <c r="H91" s="20" t="str">
        <f>IF(E91="","",TEXT(E91,"ddd"))</f>
        <v>Fri</v>
      </c>
      <c r="I91" s="20" t="str">
        <f>IF(E91="","",IF(COUNTIF($A$6:$A$55,E91)&gt;0,"Holiday",IF(WEEKDAY(E91,2)=7,"Sunday","Working")))</f>
        <v>Working</v>
      </c>
      <c r="J91" s="20" t="str">
        <f>IF(E91="","",IF(OR(WEEKDAY(E91,2)=7,COUNTIF($A$6:$A$55,E91)&gt;0),"No","Yes"))</f>
        <v>Yes</v>
      </c>
    </row>
    <row r="92">
      <c r="A92" s="9" t="n"/>
      <c r="B92" s="9" t="n"/>
      <c r="C92" s="9" t="n"/>
      <c r="D92" s="9" t="n"/>
      <c r="E92" s="19">
        <f>IF(E91="","",IF(E91&lt;DATE($B$2+1,1,1)-1,E91+1,""))</f>
        <v>46109</v>
      </c>
      <c r="F92" s="20" t="str">
        <f>IF(E92="","",TEXT(E92,"mmm"))</f>
        <v>Mar</v>
      </c>
      <c r="G92" s="20">
        <f>IF(E92="","",WEEKNUM(E92,2))</f>
        <v>13</v>
      </c>
      <c r="H92" s="20" t="str">
        <f>IF(E92="","",TEXT(E92,"ddd"))</f>
        <v>Sat</v>
      </c>
      <c r="I92" s="20" t="str">
        <f>IF(E92="","",IF(COUNTIF($A$6:$A$55,E92)&gt;0,"Holiday",IF(WEEKDAY(E92,2)=7,"Sunday","Working")))</f>
        <v>Working</v>
      </c>
      <c r="J92" s="20" t="str">
        <f>IF(E92="","",IF(OR(WEEKDAY(E92,2)=7,COUNTIF($A$6:$A$55,E92)&gt;0),"No","Yes"))</f>
        <v>Yes</v>
      </c>
    </row>
    <row r="93">
      <c r="A93" s="9" t="n"/>
      <c r="B93" s="9" t="n"/>
      <c r="C93" s="9" t="n"/>
      <c r="D93" s="9" t="n"/>
      <c r="E93" s="19">
        <f>IF(E92="","",IF(E92&lt;DATE($B$2+1,1,1)-1,E92+1,""))</f>
        <v>46110</v>
      </c>
      <c r="F93" s="20" t="str">
        <f>IF(E93="","",TEXT(E93,"mmm"))</f>
        <v>Mar</v>
      </c>
      <c r="G93" s="20">
        <f>IF(E93="","",WEEKNUM(E93,2))</f>
        <v>13</v>
      </c>
      <c r="H93" s="20" t="str">
        <f>IF(E93="","",TEXT(E93,"ddd"))</f>
        <v>Sun</v>
      </c>
      <c r="I93" s="20" t="str">
        <f>IF(E93="","",IF(COUNTIF($A$6:$A$55,E93)&gt;0,"Holiday",IF(WEEKDAY(E93,2)=7,"Sunday","Working")))</f>
        <v>Sunday</v>
      </c>
      <c r="J93" s="20" t="str">
        <f>IF(E93="","",IF(OR(WEEKDAY(E93,2)=7,COUNTIF($A$6:$A$55,E93)&gt;0),"No","Yes"))</f>
        <v>No</v>
      </c>
    </row>
    <row r="94">
      <c r="A94" s="9" t="n"/>
      <c r="B94" s="9" t="n"/>
      <c r="C94" s="9" t="n"/>
      <c r="D94" s="9" t="n"/>
      <c r="E94" s="19">
        <f>IF(E93="","",IF(E93&lt;DATE($B$2+1,1,1)-1,E93+1,""))</f>
        <v>46111</v>
      </c>
      <c r="F94" s="20" t="str">
        <f>IF(E94="","",TEXT(E94,"mmm"))</f>
        <v>Mar</v>
      </c>
      <c r="G94" s="20">
        <f>IF(E94="","",WEEKNUM(E94,2))</f>
        <v>14</v>
      </c>
      <c r="H94" s="20" t="str">
        <f>IF(E94="","",TEXT(E94,"ddd"))</f>
        <v>Mon</v>
      </c>
      <c r="I94" s="20" t="str">
        <f>IF(E94="","",IF(COUNTIF($A$6:$A$55,E94)&gt;0,"Holiday",IF(WEEKDAY(E94,2)=7,"Sunday","Working")))</f>
        <v>Working</v>
      </c>
      <c r="J94" s="20" t="str">
        <f>IF(E94="","",IF(OR(WEEKDAY(E94,2)=7,COUNTIF($A$6:$A$55,E94)&gt;0),"No","Yes"))</f>
        <v>Yes</v>
      </c>
    </row>
    <row r="95">
      <c r="A95" s="9" t="n"/>
      <c r="B95" s="9" t="n"/>
      <c r="C95" s="9" t="n"/>
      <c r="D95" s="9" t="n"/>
      <c r="E95" s="19">
        <f>IF(E94="","",IF(E94&lt;DATE($B$2+1,1,1)-1,E94+1,""))</f>
        <v>46112</v>
      </c>
      <c r="F95" s="20" t="str">
        <f>IF(E95="","",TEXT(E95,"mmm"))</f>
        <v>Mar</v>
      </c>
      <c r="G95" s="20">
        <f>IF(E95="","",WEEKNUM(E95,2))</f>
        <v>14</v>
      </c>
      <c r="H95" s="20" t="str">
        <f>IF(E95="","",TEXT(E95,"ddd"))</f>
        <v>Tue</v>
      </c>
      <c r="I95" s="20" t="str">
        <f>IF(E95="","",IF(COUNTIF($A$6:$A$55,E95)&gt;0,"Holiday",IF(WEEKDAY(E95,2)=7,"Sunday","Working")))</f>
        <v>Working</v>
      </c>
      <c r="J95" s="20" t="str">
        <f>IF(E95="","",IF(OR(WEEKDAY(E95,2)=7,COUNTIF($A$6:$A$55,E95)&gt;0),"No","Yes"))</f>
        <v>Yes</v>
      </c>
    </row>
    <row r="96">
      <c r="A96" s="9" t="n"/>
      <c r="B96" s="9" t="n"/>
      <c r="C96" s="9" t="n"/>
      <c r="D96" s="9" t="n"/>
      <c r="E96" s="19">
        <f>IF(E95="","",IF(E95&lt;DATE($B$2+1,1,1)-1,E95+1,""))</f>
        <v>46113</v>
      </c>
      <c r="F96" s="20" t="str">
        <f>IF(E96="","",TEXT(E96,"mmm"))</f>
        <v>Apr</v>
      </c>
      <c r="G96" s="20">
        <f>IF(E96="","",WEEKNUM(E96,2))</f>
        <v>14</v>
      </c>
      <c r="H96" s="20" t="str">
        <f>IF(E96="","",TEXT(E96,"ddd"))</f>
        <v>Wed</v>
      </c>
      <c r="I96" s="20" t="str">
        <f>IF(E96="","",IF(COUNTIF($A$6:$A$55,E96)&gt;0,"Holiday",IF(WEEKDAY(E96,2)=7,"Sunday","Working")))</f>
        <v>Working</v>
      </c>
      <c r="J96" s="20" t="str">
        <f>IF(E96="","",IF(OR(WEEKDAY(E96,2)=7,COUNTIF($A$6:$A$55,E96)&gt;0),"No","Yes"))</f>
        <v>Yes</v>
      </c>
    </row>
    <row r="97">
      <c r="A97" s="9" t="n"/>
      <c r="B97" s="9" t="n"/>
      <c r="C97" s="9" t="n"/>
      <c r="D97" s="9" t="n"/>
      <c r="E97" s="19">
        <f>IF(E96="","",IF(E96&lt;DATE($B$2+1,1,1)-1,E96+1,""))</f>
        <v>46114</v>
      </c>
      <c r="F97" s="20" t="str">
        <f>IF(E97="","",TEXT(E97,"mmm"))</f>
        <v>Apr</v>
      </c>
      <c r="G97" s="20">
        <f>IF(E97="","",WEEKNUM(E97,2))</f>
        <v>14</v>
      </c>
      <c r="H97" s="20" t="str">
        <f>IF(E97="","",TEXT(E97,"ddd"))</f>
        <v>Thu</v>
      </c>
      <c r="I97" s="20" t="str">
        <f>IF(E97="","",IF(COUNTIF($A$6:$A$55,E97)&gt;0,"Holiday",IF(WEEKDAY(E97,2)=7,"Sunday","Working")))</f>
        <v>Working</v>
      </c>
      <c r="J97" s="20" t="str">
        <f>IF(E97="","",IF(OR(WEEKDAY(E97,2)=7,COUNTIF($A$6:$A$55,E97)&gt;0),"No","Yes"))</f>
        <v>Yes</v>
      </c>
    </row>
    <row r="98">
      <c r="A98" s="9" t="n"/>
      <c r="B98" s="9" t="n"/>
      <c r="C98" s="9" t="n"/>
      <c r="D98" s="9" t="n"/>
      <c r="E98" s="19">
        <f>IF(E97="","",IF(E97&lt;DATE($B$2+1,1,1)-1,E97+1,""))</f>
        <v>46115</v>
      </c>
      <c r="F98" s="20" t="str">
        <f>IF(E98="","",TEXT(E98,"mmm"))</f>
        <v>Apr</v>
      </c>
      <c r="G98" s="20">
        <f>IF(E98="","",WEEKNUM(E98,2))</f>
        <v>14</v>
      </c>
      <c r="H98" s="20" t="str">
        <f>IF(E98="","",TEXT(E98,"ddd"))</f>
        <v>Fri</v>
      </c>
      <c r="I98" s="20" t="str">
        <f>IF(E98="","",IF(COUNTIF($A$6:$A$55,E98)&gt;0,"Holiday",IF(WEEKDAY(E98,2)=7,"Sunday","Working")))</f>
        <v>Working</v>
      </c>
      <c r="J98" s="20" t="str">
        <f>IF(E98="","",IF(OR(WEEKDAY(E98,2)=7,COUNTIF($A$6:$A$55,E98)&gt;0),"No","Yes"))</f>
        <v>Yes</v>
      </c>
    </row>
    <row r="99">
      <c r="A99" s="9" t="n"/>
      <c r="B99" s="9" t="n"/>
      <c r="C99" s="9" t="n"/>
      <c r="D99" s="9" t="n"/>
      <c r="E99" s="19">
        <f>IF(E98="","",IF(E98&lt;DATE($B$2+1,1,1)-1,E98+1,""))</f>
        <v>46116</v>
      </c>
      <c r="F99" s="20" t="str">
        <f>IF(E99="","",TEXT(E99,"mmm"))</f>
        <v>Apr</v>
      </c>
      <c r="G99" s="20">
        <f>IF(E99="","",WEEKNUM(E99,2))</f>
        <v>14</v>
      </c>
      <c r="H99" s="20" t="str">
        <f>IF(E99="","",TEXT(E99,"ddd"))</f>
        <v>Sat</v>
      </c>
      <c r="I99" s="20" t="str">
        <f>IF(E99="","",IF(COUNTIF($A$6:$A$55,E99)&gt;0,"Holiday",IF(WEEKDAY(E99,2)=7,"Sunday","Working")))</f>
        <v>Working</v>
      </c>
      <c r="J99" s="20" t="str">
        <f>IF(E99="","",IF(OR(WEEKDAY(E99,2)=7,COUNTIF($A$6:$A$55,E99)&gt;0),"No","Yes"))</f>
        <v>Yes</v>
      </c>
    </row>
    <row r="100">
      <c r="A100" s="9" t="n"/>
      <c r="B100" s="9" t="n"/>
      <c r="C100" s="9" t="n"/>
      <c r="D100" s="9" t="n"/>
      <c r="E100" s="19">
        <f>IF(E99="","",IF(E99&lt;DATE($B$2+1,1,1)-1,E99+1,""))</f>
        <v>46117</v>
      </c>
      <c r="F100" s="20" t="str">
        <f>IF(E100="","",TEXT(E100,"mmm"))</f>
        <v>Apr</v>
      </c>
      <c r="G100" s="20">
        <f>IF(E100="","",WEEKNUM(E100,2))</f>
        <v>14</v>
      </c>
      <c r="H100" s="20" t="str">
        <f>IF(E100="","",TEXT(E100,"ddd"))</f>
        <v>Sun</v>
      </c>
      <c r="I100" s="20" t="str">
        <f>IF(E100="","",IF(COUNTIF($A$6:$A$55,E100)&gt;0,"Holiday",IF(WEEKDAY(E100,2)=7,"Sunday","Working")))</f>
        <v>Sunday</v>
      </c>
      <c r="J100" s="20" t="str">
        <f>IF(E100="","",IF(OR(WEEKDAY(E100,2)=7,COUNTIF($A$6:$A$55,E100)&gt;0),"No","Yes"))</f>
        <v>No</v>
      </c>
    </row>
    <row r="101">
      <c r="A101" s="9" t="n"/>
      <c r="B101" s="9" t="n"/>
      <c r="C101" s="9" t="n"/>
      <c r="D101" s="9" t="n"/>
      <c r="E101" s="19">
        <f>IF(E100="","",IF(E100&lt;DATE($B$2+1,1,1)-1,E100+1,""))</f>
        <v>46118</v>
      </c>
      <c r="F101" s="20" t="str">
        <f>IF(E101="","",TEXT(E101,"mmm"))</f>
        <v>Apr</v>
      </c>
      <c r="G101" s="20">
        <f>IF(E101="","",WEEKNUM(E101,2))</f>
        <v>15</v>
      </c>
      <c r="H101" s="20" t="str">
        <f>IF(E101="","",TEXT(E101,"ddd"))</f>
        <v>Mon</v>
      </c>
      <c r="I101" s="20" t="str">
        <f>IF(E101="","",IF(COUNTIF($A$6:$A$55,E101)&gt;0,"Holiday",IF(WEEKDAY(E101,2)=7,"Sunday","Working")))</f>
        <v>Working</v>
      </c>
      <c r="J101" s="20" t="str">
        <f>IF(E101="","",IF(OR(WEEKDAY(E101,2)=7,COUNTIF($A$6:$A$55,E101)&gt;0),"No","Yes"))</f>
        <v>Yes</v>
      </c>
    </row>
    <row r="102">
      <c r="A102" s="9" t="n"/>
      <c r="B102" s="9" t="n"/>
      <c r="C102" s="9" t="n"/>
      <c r="D102" s="9" t="n"/>
      <c r="E102" s="19">
        <f>IF(E101="","",IF(E101&lt;DATE($B$2+1,1,1)-1,E101+1,""))</f>
        <v>46119</v>
      </c>
      <c r="F102" s="20" t="str">
        <f>IF(E102="","",TEXT(E102,"mmm"))</f>
        <v>Apr</v>
      </c>
      <c r="G102" s="20">
        <f>IF(E102="","",WEEKNUM(E102,2))</f>
        <v>15</v>
      </c>
      <c r="H102" s="20" t="str">
        <f>IF(E102="","",TEXT(E102,"ddd"))</f>
        <v>Tue</v>
      </c>
      <c r="I102" s="20" t="str">
        <f>IF(E102="","",IF(COUNTIF($A$6:$A$55,E102)&gt;0,"Holiday",IF(WEEKDAY(E102,2)=7,"Sunday","Working")))</f>
        <v>Working</v>
      </c>
      <c r="J102" s="20" t="str">
        <f>IF(E102="","",IF(OR(WEEKDAY(E102,2)=7,COUNTIF($A$6:$A$55,E102)&gt;0),"No","Yes"))</f>
        <v>Yes</v>
      </c>
    </row>
    <row r="103">
      <c r="A103" s="9" t="n"/>
      <c r="B103" s="9" t="n"/>
      <c r="C103" s="9" t="n"/>
      <c r="D103" s="9" t="n"/>
      <c r="E103" s="19">
        <f>IF(E102="","",IF(E102&lt;DATE($B$2+1,1,1)-1,E102+1,""))</f>
        <v>46120</v>
      </c>
      <c r="F103" s="20" t="str">
        <f>IF(E103="","",TEXT(E103,"mmm"))</f>
        <v>Apr</v>
      </c>
      <c r="G103" s="20">
        <f>IF(E103="","",WEEKNUM(E103,2))</f>
        <v>15</v>
      </c>
      <c r="H103" s="20" t="str">
        <f>IF(E103="","",TEXT(E103,"ddd"))</f>
        <v>Wed</v>
      </c>
      <c r="I103" s="20" t="str">
        <f>IF(E103="","",IF(COUNTIF($A$6:$A$55,E103)&gt;0,"Holiday",IF(WEEKDAY(E103,2)=7,"Sunday","Working")))</f>
        <v>Working</v>
      </c>
      <c r="J103" s="20" t="str">
        <f>IF(E103="","",IF(OR(WEEKDAY(E103,2)=7,COUNTIF($A$6:$A$55,E103)&gt;0),"No","Yes"))</f>
        <v>Yes</v>
      </c>
    </row>
    <row r="104">
      <c r="A104" s="9" t="n"/>
      <c r="B104" s="9" t="n"/>
      <c r="C104" s="9" t="n"/>
      <c r="D104" s="9" t="n"/>
      <c r="E104" s="19">
        <f>IF(E103="","",IF(E103&lt;DATE($B$2+1,1,1)-1,E103+1,""))</f>
        <v>46121</v>
      </c>
      <c r="F104" s="20" t="str">
        <f>IF(E104="","",TEXT(E104,"mmm"))</f>
        <v>Apr</v>
      </c>
      <c r="G104" s="20">
        <f>IF(E104="","",WEEKNUM(E104,2))</f>
        <v>15</v>
      </c>
      <c r="H104" s="20" t="str">
        <f>IF(E104="","",TEXT(E104,"ddd"))</f>
        <v>Thu</v>
      </c>
      <c r="I104" s="20" t="str">
        <f>IF(E104="","",IF(COUNTIF($A$6:$A$55,E104)&gt;0,"Holiday",IF(WEEKDAY(E104,2)=7,"Sunday","Working")))</f>
        <v>Working</v>
      </c>
      <c r="J104" s="20" t="str">
        <f>IF(E104="","",IF(OR(WEEKDAY(E104,2)=7,COUNTIF($A$6:$A$55,E104)&gt;0),"No","Yes"))</f>
        <v>Yes</v>
      </c>
    </row>
    <row r="105">
      <c r="A105" s="9" t="n"/>
      <c r="B105" s="9" t="n"/>
      <c r="C105" s="9" t="n"/>
      <c r="D105" s="9" t="n"/>
      <c r="E105" s="19">
        <f>IF(E104="","",IF(E104&lt;DATE($B$2+1,1,1)-1,E104+1,""))</f>
        <v>46122</v>
      </c>
      <c r="F105" s="20" t="str">
        <f>IF(E105="","",TEXT(E105,"mmm"))</f>
        <v>Apr</v>
      </c>
      <c r="G105" s="20">
        <f>IF(E105="","",WEEKNUM(E105,2))</f>
        <v>15</v>
      </c>
      <c r="H105" s="20" t="str">
        <f>IF(E105="","",TEXT(E105,"ddd"))</f>
        <v>Fri</v>
      </c>
      <c r="I105" s="20" t="str">
        <f>IF(E105="","",IF(COUNTIF($A$6:$A$55,E105)&gt;0,"Holiday",IF(WEEKDAY(E105,2)=7,"Sunday","Working")))</f>
        <v>Working</v>
      </c>
      <c r="J105" s="20" t="str">
        <f>IF(E105="","",IF(OR(WEEKDAY(E105,2)=7,COUNTIF($A$6:$A$55,E105)&gt;0),"No","Yes"))</f>
        <v>Yes</v>
      </c>
    </row>
    <row r="106">
      <c r="A106" s="9" t="n"/>
      <c r="B106" s="9" t="n"/>
      <c r="C106" s="9" t="n"/>
      <c r="D106" s="9" t="n"/>
      <c r="E106" s="19">
        <f>IF(E105="","",IF(E105&lt;DATE($B$2+1,1,1)-1,E105+1,""))</f>
        <v>46123</v>
      </c>
      <c r="F106" s="20" t="str">
        <f>IF(E106="","",TEXT(E106,"mmm"))</f>
        <v>Apr</v>
      </c>
      <c r="G106" s="20">
        <f>IF(E106="","",WEEKNUM(E106,2))</f>
        <v>15</v>
      </c>
      <c r="H106" s="20" t="str">
        <f>IF(E106="","",TEXT(E106,"ddd"))</f>
        <v>Sat</v>
      </c>
      <c r="I106" s="20" t="str">
        <f>IF(E106="","",IF(COUNTIF($A$6:$A$55,E106)&gt;0,"Holiday",IF(WEEKDAY(E106,2)=7,"Sunday","Working")))</f>
        <v>Working</v>
      </c>
      <c r="J106" s="20" t="str">
        <f>IF(E106="","",IF(OR(WEEKDAY(E106,2)=7,COUNTIF($A$6:$A$55,E106)&gt;0),"No","Yes"))</f>
        <v>Yes</v>
      </c>
    </row>
    <row r="107">
      <c r="A107" s="9" t="n"/>
      <c r="B107" s="9" t="n"/>
      <c r="C107" s="9" t="n"/>
      <c r="D107" s="9" t="n"/>
      <c r="E107" s="19">
        <f>IF(E106="","",IF(E106&lt;DATE($B$2+1,1,1)-1,E106+1,""))</f>
        <v>46124</v>
      </c>
      <c r="F107" s="20" t="str">
        <f>IF(E107="","",TEXT(E107,"mmm"))</f>
        <v>Apr</v>
      </c>
      <c r="G107" s="20">
        <f>IF(E107="","",WEEKNUM(E107,2))</f>
        <v>15</v>
      </c>
      <c r="H107" s="20" t="str">
        <f>IF(E107="","",TEXT(E107,"ddd"))</f>
        <v>Sun</v>
      </c>
      <c r="I107" s="20" t="str">
        <f>IF(E107="","",IF(COUNTIF($A$6:$A$55,E107)&gt;0,"Holiday",IF(WEEKDAY(E107,2)=7,"Sunday","Working")))</f>
        <v>Sunday</v>
      </c>
      <c r="J107" s="20" t="str">
        <f>IF(E107="","",IF(OR(WEEKDAY(E107,2)=7,COUNTIF($A$6:$A$55,E107)&gt;0),"No","Yes"))</f>
        <v>No</v>
      </c>
    </row>
    <row r="108">
      <c r="A108" s="9" t="n"/>
      <c r="B108" s="9" t="n"/>
      <c r="C108" s="9" t="n"/>
      <c r="D108" s="9" t="n"/>
      <c r="E108" s="19">
        <f>IF(E107="","",IF(E107&lt;DATE($B$2+1,1,1)-1,E107+1,""))</f>
        <v>46125</v>
      </c>
      <c r="F108" s="20" t="str">
        <f>IF(E108="","",TEXT(E108,"mmm"))</f>
        <v>Apr</v>
      </c>
      <c r="G108" s="20">
        <f>IF(E108="","",WEEKNUM(E108,2))</f>
        <v>16</v>
      </c>
      <c r="H108" s="20" t="str">
        <f>IF(E108="","",TEXT(E108,"ddd"))</f>
        <v>Mon</v>
      </c>
      <c r="I108" s="20" t="str">
        <f>IF(E108="","",IF(COUNTIF($A$6:$A$55,E108)&gt;0,"Holiday",IF(WEEKDAY(E108,2)=7,"Sunday","Working")))</f>
        <v>Working</v>
      </c>
      <c r="J108" s="20" t="str">
        <f>IF(E108="","",IF(OR(WEEKDAY(E108,2)=7,COUNTIF($A$6:$A$55,E108)&gt;0),"No","Yes"))</f>
        <v>Yes</v>
      </c>
    </row>
    <row r="109">
      <c r="A109" s="9" t="n"/>
      <c r="B109" s="9" t="n"/>
      <c r="C109" s="9" t="n"/>
      <c r="D109" s="9" t="n"/>
      <c r="E109" s="19">
        <f>IF(E108="","",IF(E108&lt;DATE($B$2+1,1,1)-1,E108+1,""))</f>
        <v>46126</v>
      </c>
      <c r="F109" s="20" t="str">
        <f>IF(E109="","",TEXT(E109,"mmm"))</f>
        <v>Apr</v>
      </c>
      <c r="G109" s="20">
        <f>IF(E109="","",WEEKNUM(E109,2))</f>
        <v>16</v>
      </c>
      <c r="H109" s="20" t="str">
        <f>IF(E109="","",TEXT(E109,"ddd"))</f>
        <v>Tue</v>
      </c>
      <c r="I109" s="20" t="str">
        <f>IF(E109="","",IF(COUNTIF($A$6:$A$55,E109)&gt;0,"Holiday",IF(WEEKDAY(E109,2)=7,"Sunday","Working")))</f>
        <v>Working</v>
      </c>
      <c r="J109" s="20" t="str">
        <f>IF(E109="","",IF(OR(WEEKDAY(E109,2)=7,COUNTIF($A$6:$A$55,E109)&gt;0),"No","Yes"))</f>
        <v>Yes</v>
      </c>
    </row>
    <row r="110">
      <c r="A110" s="9" t="n"/>
      <c r="B110" s="9" t="n"/>
      <c r="C110" s="9" t="n"/>
      <c r="D110" s="9" t="n"/>
      <c r="E110" s="19">
        <f>IF(E109="","",IF(E109&lt;DATE($B$2+1,1,1)-1,E109+1,""))</f>
        <v>46127</v>
      </c>
      <c r="F110" s="20" t="str">
        <f>IF(E110="","",TEXT(E110,"mmm"))</f>
        <v>Apr</v>
      </c>
      <c r="G110" s="20">
        <f>IF(E110="","",WEEKNUM(E110,2))</f>
        <v>16</v>
      </c>
      <c r="H110" s="20" t="str">
        <f>IF(E110="","",TEXT(E110,"ddd"))</f>
        <v>Wed</v>
      </c>
      <c r="I110" s="20" t="str">
        <f>IF(E110="","",IF(COUNTIF($A$6:$A$55,E110)&gt;0,"Holiday",IF(WEEKDAY(E110,2)=7,"Sunday","Working")))</f>
        <v>Working</v>
      </c>
      <c r="J110" s="20" t="str">
        <f>IF(E110="","",IF(OR(WEEKDAY(E110,2)=7,COUNTIF($A$6:$A$55,E110)&gt;0),"No","Yes"))</f>
        <v>Yes</v>
      </c>
    </row>
    <row r="111">
      <c r="A111" s="9" t="n"/>
      <c r="B111" s="9" t="n"/>
      <c r="C111" s="9" t="n"/>
      <c r="D111" s="9" t="n"/>
      <c r="E111" s="19">
        <f>IF(E110="","",IF(E110&lt;DATE($B$2+1,1,1)-1,E110+1,""))</f>
        <v>46128</v>
      </c>
      <c r="F111" s="20" t="str">
        <f>IF(E111="","",TEXT(E111,"mmm"))</f>
        <v>Apr</v>
      </c>
      <c r="G111" s="20">
        <f>IF(E111="","",WEEKNUM(E111,2))</f>
        <v>16</v>
      </c>
      <c r="H111" s="20" t="str">
        <f>IF(E111="","",TEXT(E111,"ddd"))</f>
        <v>Thu</v>
      </c>
      <c r="I111" s="20" t="str">
        <f>IF(E111="","",IF(COUNTIF($A$6:$A$55,E111)&gt;0,"Holiday",IF(WEEKDAY(E111,2)=7,"Sunday","Working")))</f>
        <v>Working</v>
      </c>
      <c r="J111" s="20" t="str">
        <f>IF(E111="","",IF(OR(WEEKDAY(E111,2)=7,COUNTIF($A$6:$A$55,E111)&gt;0),"No","Yes"))</f>
        <v>Yes</v>
      </c>
    </row>
    <row r="112">
      <c r="A112" s="9" t="n"/>
      <c r="B112" s="9" t="n"/>
      <c r="C112" s="9" t="n"/>
      <c r="D112" s="9" t="n"/>
      <c r="E112" s="19">
        <f>IF(E111="","",IF(E111&lt;DATE($B$2+1,1,1)-1,E111+1,""))</f>
        <v>46129</v>
      </c>
      <c r="F112" s="20" t="str">
        <f>IF(E112="","",TEXT(E112,"mmm"))</f>
        <v>Apr</v>
      </c>
      <c r="G112" s="20">
        <f>IF(E112="","",WEEKNUM(E112,2))</f>
        <v>16</v>
      </c>
      <c r="H112" s="20" t="str">
        <f>IF(E112="","",TEXT(E112,"ddd"))</f>
        <v>Fri</v>
      </c>
      <c r="I112" s="20" t="str">
        <f>IF(E112="","",IF(COUNTIF($A$6:$A$55,E112)&gt;0,"Holiday",IF(WEEKDAY(E112,2)=7,"Sunday","Working")))</f>
        <v>Working</v>
      </c>
      <c r="J112" s="20" t="str">
        <f>IF(E112="","",IF(OR(WEEKDAY(E112,2)=7,COUNTIF($A$6:$A$55,E112)&gt;0),"No","Yes"))</f>
        <v>Yes</v>
      </c>
    </row>
    <row r="113">
      <c r="A113" s="9" t="n"/>
      <c r="B113" s="9" t="n"/>
      <c r="C113" s="9" t="n"/>
      <c r="D113" s="9" t="n"/>
      <c r="E113" s="19">
        <f>IF(E112="","",IF(E112&lt;DATE($B$2+1,1,1)-1,E112+1,""))</f>
        <v>46130</v>
      </c>
      <c r="F113" s="20" t="str">
        <f>IF(E113="","",TEXT(E113,"mmm"))</f>
        <v>Apr</v>
      </c>
      <c r="G113" s="20">
        <f>IF(E113="","",WEEKNUM(E113,2))</f>
        <v>16</v>
      </c>
      <c r="H113" s="20" t="str">
        <f>IF(E113="","",TEXT(E113,"ddd"))</f>
        <v>Sat</v>
      </c>
      <c r="I113" s="20" t="str">
        <f>IF(E113="","",IF(COUNTIF($A$6:$A$55,E113)&gt;0,"Holiday",IF(WEEKDAY(E113,2)=7,"Sunday","Working")))</f>
        <v>Working</v>
      </c>
      <c r="J113" s="20" t="str">
        <f>IF(E113="","",IF(OR(WEEKDAY(E113,2)=7,COUNTIF($A$6:$A$55,E113)&gt;0),"No","Yes"))</f>
        <v>Yes</v>
      </c>
    </row>
    <row r="114">
      <c r="A114" s="9" t="n"/>
      <c r="B114" s="9" t="n"/>
      <c r="C114" s="9" t="n"/>
      <c r="D114" s="9" t="n"/>
      <c r="E114" s="19">
        <f>IF(E113="","",IF(E113&lt;DATE($B$2+1,1,1)-1,E113+1,""))</f>
        <v>46131</v>
      </c>
      <c r="F114" s="20" t="str">
        <f>IF(E114="","",TEXT(E114,"mmm"))</f>
        <v>Apr</v>
      </c>
      <c r="G114" s="20">
        <f>IF(E114="","",WEEKNUM(E114,2))</f>
        <v>16</v>
      </c>
      <c r="H114" s="20" t="str">
        <f>IF(E114="","",TEXT(E114,"ddd"))</f>
        <v>Sun</v>
      </c>
      <c r="I114" s="20" t="str">
        <f>IF(E114="","",IF(COUNTIF($A$6:$A$55,E114)&gt;0,"Holiday",IF(WEEKDAY(E114,2)=7,"Sunday","Working")))</f>
        <v>Sunday</v>
      </c>
      <c r="J114" s="20" t="str">
        <f>IF(E114="","",IF(OR(WEEKDAY(E114,2)=7,COUNTIF($A$6:$A$55,E114)&gt;0),"No","Yes"))</f>
        <v>No</v>
      </c>
    </row>
    <row r="115">
      <c r="A115" s="9" t="n"/>
      <c r="B115" s="9" t="n"/>
      <c r="C115" s="9" t="n"/>
      <c r="D115" s="9" t="n"/>
      <c r="E115" s="19">
        <f>IF(E114="","",IF(E114&lt;DATE($B$2+1,1,1)-1,E114+1,""))</f>
        <v>46132</v>
      </c>
      <c r="F115" s="20" t="str">
        <f>IF(E115="","",TEXT(E115,"mmm"))</f>
        <v>Apr</v>
      </c>
      <c r="G115" s="20">
        <f>IF(E115="","",WEEKNUM(E115,2))</f>
        <v>17</v>
      </c>
      <c r="H115" s="20" t="str">
        <f>IF(E115="","",TEXT(E115,"ddd"))</f>
        <v>Mon</v>
      </c>
      <c r="I115" s="20" t="str">
        <f>IF(E115="","",IF(COUNTIF($A$6:$A$55,E115)&gt;0,"Holiday",IF(WEEKDAY(E115,2)=7,"Sunday","Working")))</f>
        <v>Working</v>
      </c>
      <c r="J115" s="20" t="str">
        <f>IF(E115="","",IF(OR(WEEKDAY(E115,2)=7,COUNTIF($A$6:$A$55,E115)&gt;0),"No","Yes"))</f>
        <v>Yes</v>
      </c>
    </row>
    <row r="116">
      <c r="A116" s="9" t="n"/>
      <c r="B116" s="9" t="n"/>
      <c r="C116" s="9" t="n"/>
      <c r="D116" s="9" t="n"/>
      <c r="E116" s="19">
        <f>IF(E115="","",IF(E115&lt;DATE($B$2+1,1,1)-1,E115+1,""))</f>
        <v>46133</v>
      </c>
      <c r="F116" s="20" t="str">
        <f>IF(E116="","",TEXT(E116,"mmm"))</f>
        <v>Apr</v>
      </c>
      <c r="G116" s="20">
        <f>IF(E116="","",WEEKNUM(E116,2))</f>
        <v>17</v>
      </c>
      <c r="H116" s="20" t="str">
        <f>IF(E116="","",TEXT(E116,"ddd"))</f>
        <v>Tue</v>
      </c>
      <c r="I116" s="20" t="str">
        <f>IF(E116="","",IF(COUNTIF($A$6:$A$55,E116)&gt;0,"Holiday",IF(WEEKDAY(E116,2)=7,"Sunday","Working")))</f>
        <v>Working</v>
      </c>
      <c r="J116" s="20" t="str">
        <f>IF(E116="","",IF(OR(WEEKDAY(E116,2)=7,COUNTIF($A$6:$A$55,E116)&gt;0),"No","Yes"))</f>
        <v>Yes</v>
      </c>
    </row>
    <row r="117">
      <c r="A117" s="9" t="n"/>
      <c r="B117" s="9" t="n"/>
      <c r="C117" s="9" t="n"/>
      <c r="D117" s="9" t="n"/>
      <c r="E117" s="19">
        <f>IF(E116="","",IF(E116&lt;DATE($B$2+1,1,1)-1,E116+1,""))</f>
        <v>46134</v>
      </c>
      <c r="F117" s="20" t="str">
        <f>IF(E117="","",TEXT(E117,"mmm"))</f>
        <v>Apr</v>
      </c>
      <c r="G117" s="20">
        <f>IF(E117="","",WEEKNUM(E117,2))</f>
        <v>17</v>
      </c>
      <c r="H117" s="20" t="str">
        <f>IF(E117="","",TEXT(E117,"ddd"))</f>
        <v>Wed</v>
      </c>
      <c r="I117" s="20" t="str">
        <f>IF(E117="","",IF(COUNTIF($A$6:$A$55,E117)&gt;0,"Holiday",IF(WEEKDAY(E117,2)=7,"Sunday","Working")))</f>
        <v>Working</v>
      </c>
      <c r="J117" s="20" t="str">
        <f>IF(E117="","",IF(OR(WEEKDAY(E117,2)=7,COUNTIF($A$6:$A$55,E117)&gt;0),"No","Yes"))</f>
        <v>Yes</v>
      </c>
    </row>
    <row r="118">
      <c r="A118" s="9" t="n"/>
      <c r="B118" s="9" t="n"/>
      <c r="C118" s="9" t="n"/>
      <c r="D118" s="9" t="n"/>
      <c r="E118" s="19">
        <f>IF(E117="","",IF(E117&lt;DATE($B$2+1,1,1)-1,E117+1,""))</f>
        <v>46135</v>
      </c>
      <c r="F118" s="20" t="str">
        <f>IF(E118="","",TEXT(E118,"mmm"))</f>
        <v>Apr</v>
      </c>
      <c r="G118" s="20">
        <f>IF(E118="","",WEEKNUM(E118,2))</f>
        <v>17</v>
      </c>
      <c r="H118" s="20" t="str">
        <f>IF(E118="","",TEXT(E118,"ddd"))</f>
        <v>Thu</v>
      </c>
      <c r="I118" s="20" t="str">
        <f>IF(E118="","",IF(COUNTIF($A$6:$A$55,E118)&gt;0,"Holiday",IF(WEEKDAY(E118,2)=7,"Sunday","Working")))</f>
        <v>Working</v>
      </c>
      <c r="J118" s="20" t="str">
        <f>IF(E118="","",IF(OR(WEEKDAY(E118,2)=7,COUNTIF($A$6:$A$55,E118)&gt;0),"No","Yes"))</f>
        <v>Yes</v>
      </c>
    </row>
    <row r="119">
      <c r="A119" s="9" t="n"/>
      <c r="B119" s="9" t="n"/>
      <c r="C119" s="9" t="n"/>
      <c r="D119" s="9" t="n"/>
      <c r="E119" s="19">
        <f>IF(E118="","",IF(E118&lt;DATE($B$2+1,1,1)-1,E118+1,""))</f>
        <v>46136</v>
      </c>
      <c r="F119" s="20" t="str">
        <f>IF(E119="","",TEXT(E119,"mmm"))</f>
        <v>Apr</v>
      </c>
      <c r="G119" s="20">
        <f>IF(E119="","",WEEKNUM(E119,2))</f>
        <v>17</v>
      </c>
      <c r="H119" s="20" t="str">
        <f>IF(E119="","",TEXT(E119,"ddd"))</f>
        <v>Fri</v>
      </c>
      <c r="I119" s="20" t="str">
        <f>IF(E119="","",IF(COUNTIF($A$6:$A$55,E119)&gt;0,"Holiday",IF(WEEKDAY(E119,2)=7,"Sunday","Working")))</f>
        <v>Working</v>
      </c>
      <c r="J119" s="20" t="str">
        <f>IF(E119="","",IF(OR(WEEKDAY(E119,2)=7,COUNTIF($A$6:$A$55,E119)&gt;0),"No","Yes"))</f>
        <v>Yes</v>
      </c>
    </row>
    <row r="120">
      <c r="A120" s="9" t="n"/>
      <c r="B120" s="9" t="n"/>
      <c r="C120" s="9" t="n"/>
      <c r="D120" s="9" t="n"/>
      <c r="E120" s="19">
        <f>IF(E119="","",IF(E119&lt;DATE($B$2+1,1,1)-1,E119+1,""))</f>
        <v>46137</v>
      </c>
      <c r="F120" s="20" t="str">
        <f>IF(E120="","",TEXT(E120,"mmm"))</f>
        <v>Apr</v>
      </c>
      <c r="G120" s="20">
        <f>IF(E120="","",WEEKNUM(E120,2))</f>
        <v>17</v>
      </c>
      <c r="H120" s="20" t="str">
        <f>IF(E120="","",TEXT(E120,"ddd"))</f>
        <v>Sat</v>
      </c>
      <c r="I120" s="20" t="str">
        <f>IF(E120="","",IF(COUNTIF($A$6:$A$55,E120)&gt;0,"Holiday",IF(WEEKDAY(E120,2)=7,"Sunday","Working")))</f>
        <v>Working</v>
      </c>
      <c r="J120" s="20" t="str">
        <f>IF(E120="","",IF(OR(WEEKDAY(E120,2)=7,COUNTIF($A$6:$A$55,E120)&gt;0),"No","Yes"))</f>
        <v>Yes</v>
      </c>
    </row>
    <row r="121">
      <c r="A121" s="9" t="n"/>
      <c r="B121" s="9" t="n"/>
      <c r="C121" s="9" t="n"/>
      <c r="D121" s="9" t="n"/>
      <c r="E121" s="19">
        <f>IF(E120="","",IF(E120&lt;DATE($B$2+1,1,1)-1,E120+1,""))</f>
        <v>46138</v>
      </c>
      <c r="F121" s="20" t="str">
        <f>IF(E121="","",TEXT(E121,"mmm"))</f>
        <v>Apr</v>
      </c>
      <c r="G121" s="20">
        <f>IF(E121="","",WEEKNUM(E121,2))</f>
        <v>17</v>
      </c>
      <c r="H121" s="20" t="str">
        <f>IF(E121="","",TEXT(E121,"ddd"))</f>
        <v>Sun</v>
      </c>
      <c r="I121" s="20" t="str">
        <f>IF(E121="","",IF(COUNTIF($A$6:$A$55,E121)&gt;0,"Holiday",IF(WEEKDAY(E121,2)=7,"Sunday","Working")))</f>
        <v>Sunday</v>
      </c>
      <c r="J121" s="20" t="str">
        <f>IF(E121="","",IF(OR(WEEKDAY(E121,2)=7,COUNTIF($A$6:$A$55,E121)&gt;0),"No","Yes"))</f>
        <v>No</v>
      </c>
    </row>
    <row r="122">
      <c r="A122" s="9" t="n"/>
      <c r="B122" s="9" t="n"/>
      <c r="C122" s="9" t="n"/>
      <c r="D122" s="9" t="n"/>
      <c r="E122" s="19">
        <f>IF(E121="","",IF(E121&lt;DATE($B$2+1,1,1)-1,E121+1,""))</f>
        <v>46139</v>
      </c>
      <c r="F122" s="20" t="str">
        <f>IF(E122="","",TEXT(E122,"mmm"))</f>
        <v>Apr</v>
      </c>
      <c r="G122" s="20">
        <f>IF(E122="","",WEEKNUM(E122,2))</f>
        <v>18</v>
      </c>
      <c r="H122" s="20" t="str">
        <f>IF(E122="","",TEXT(E122,"ddd"))</f>
        <v>Mon</v>
      </c>
      <c r="I122" s="20" t="str">
        <f>IF(E122="","",IF(COUNTIF($A$6:$A$55,E122)&gt;0,"Holiday",IF(WEEKDAY(E122,2)=7,"Sunday","Working")))</f>
        <v>Working</v>
      </c>
      <c r="J122" s="20" t="str">
        <f>IF(E122="","",IF(OR(WEEKDAY(E122,2)=7,COUNTIF($A$6:$A$55,E122)&gt;0),"No","Yes"))</f>
        <v>Yes</v>
      </c>
    </row>
    <row r="123">
      <c r="A123" s="9" t="n"/>
      <c r="B123" s="9" t="n"/>
      <c r="C123" s="9" t="n"/>
      <c r="D123" s="9" t="n"/>
      <c r="E123" s="19">
        <f>IF(E122="","",IF(E122&lt;DATE($B$2+1,1,1)-1,E122+1,""))</f>
        <v>46140</v>
      </c>
      <c r="F123" s="20" t="str">
        <f>IF(E123="","",TEXT(E123,"mmm"))</f>
        <v>Apr</v>
      </c>
      <c r="G123" s="20">
        <f>IF(E123="","",WEEKNUM(E123,2))</f>
        <v>18</v>
      </c>
      <c r="H123" s="20" t="str">
        <f>IF(E123="","",TEXT(E123,"ddd"))</f>
        <v>Tue</v>
      </c>
      <c r="I123" s="20" t="str">
        <f>IF(E123="","",IF(COUNTIF($A$6:$A$55,E123)&gt;0,"Holiday",IF(WEEKDAY(E123,2)=7,"Sunday","Working")))</f>
        <v>Working</v>
      </c>
      <c r="J123" s="20" t="str">
        <f>IF(E123="","",IF(OR(WEEKDAY(E123,2)=7,COUNTIF($A$6:$A$55,E123)&gt;0),"No","Yes"))</f>
        <v>Yes</v>
      </c>
    </row>
    <row r="124">
      <c r="A124" s="9" t="n"/>
      <c r="B124" s="9" t="n"/>
      <c r="C124" s="9" t="n"/>
      <c r="D124" s="9" t="n"/>
      <c r="E124" s="19">
        <f>IF(E123="","",IF(E123&lt;DATE($B$2+1,1,1)-1,E123+1,""))</f>
        <v>46141</v>
      </c>
      <c r="F124" s="20" t="str">
        <f>IF(E124="","",TEXT(E124,"mmm"))</f>
        <v>Apr</v>
      </c>
      <c r="G124" s="20">
        <f>IF(E124="","",WEEKNUM(E124,2))</f>
        <v>18</v>
      </c>
      <c r="H124" s="20" t="str">
        <f>IF(E124="","",TEXT(E124,"ddd"))</f>
        <v>Wed</v>
      </c>
      <c r="I124" s="20" t="str">
        <f>IF(E124="","",IF(COUNTIF($A$6:$A$55,E124)&gt;0,"Holiday",IF(WEEKDAY(E124,2)=7,"Sunday","Working")))</f>
        <v>Working</v>
      </c>
      <c r="J124" s="20" t="str">
        <f>IF(E124="","",IF(OR(WEEKDAY(E124,2)=7,COUNTIF($A$6:$A$55,E124)&gt;0),"No","Yes"))</f>
        <v>Yes</v>
      </c>
    </row>
    <row r="125">
      <c r="A125" s="9" t="n"/>
      <c r="B125" s="9" t="n"/>
      <c r="C125" s="9" t="n"/>
      <c r="D125" s="9" t="n"/>
      <c r="E125" s="19">
        <f>IF(E124="","",IF(E124&lt;DATE($B$2+1,1,1)-1,E124+1,""))</f>
        <v>46142</v>
      </c>
      <c r="F125" s="20" t="str">
        <f>IF(E125="","",TEXT(E125,"mmm"))</f>
        <v>Apr</v>
      </c>
      <c r="G125" s="20">
        <f>IF(E125="","",WEEKNUM(E125,2))</f>
        <v>18</v>
      </c>
      <c r="H125" s="20" t="str">
        <f>IF(E125="","",TEXT(E125,"ddd"))</f>
        <v>Thu</v>
      </c>
      <c r="I125" s="20" t="str">
        <f>IF(E125="","",IF(COUNTIF($A$6:$A$55,E125)&gt;0,"Holiday",IF(WEEKDAY(E125,2)=7,"Sunday","Working")))</f>
        <v>Working</v>
      </c>
      <c r="J125" s="20" t="str">
        <f>IF(E125="","",IF(OR(WEEKDAY(E125,2)=7,COUNTIF($A$6:$A$55,E125)&gt;0),"No","Yes"))</f>
        <v>Yes</v>
      </c>
    </row>
    <row r="126">
      <c r="A126" s="9" t="n"/>
      <c r="B126" s="9" t="n"/>
      <c r="C126" s="9" t="n"/>
      <c r="D126" s="9" t="n"/>
      <c r="E126" s="19">
        <f>IF(E125="","",IF(E125&lt;DATE($B$2+1,1,1)-1,E125+1,""))</f>
        <v>46143</v>
      </c>
      <c r="F126" s="20" t="str">
        <f>IF(E126="","",TEXT(E126,"mmm"))</f>
        <v>May</v>
      </c>
      <c r="G126" s="20">
        <f>IF(E126="","",WEEKNUM(E126,2))</f>
        <v>18</v>
      </c>
      <c r="H126" s="20" t="str">
        <f>IF(E126="","",TEXT(E126,"ddd"))</f>
        <v>Fri</v>
      </c>
      <c r="I126" s="20" t="str">
        <f>IF(E126="","",IF(COUNTIF($A$6:$A$55,E126)&gt;0,"Holiday",IF(WEEKDAY(E126,2)=7,"Sunday","Working")))</f>
        <v>Working</v>
      </c>
      <c r="J126" s="20" t="str">
        <f>IF(E126="","",IF(OR(WEEKDAY(E126,2)=7,COUNTIF($A$6:$A$55,E126)&gt;0),"No","Yes"))</f>
        <v>Yes</v>
      </c>
    </row>
    <row r="127">
      <c r="A127" s="9" t="n"/>
      <c r="B127" s="9" t="n"/>
      <c r="C127" s="9" t="n"/>
      <c r="D127" s="9" t="n"/>
      <c r="E127" s="19">
        <f>IF(E126="","",IF(E126&lt;DATE($B$2+1,1,1)-1,E126+1,""))</f>
        <v>46144</v>
      </c>
      <c r="F127" s="20" t="str">
        <f>IF(E127="","",TEXT(E127,"mmm"))</f>
        <v>May</v>
      </c>
      <c r="G127" s="20">
        <f>IF(E127="","",WEEKNUM(E127,2))</f>
        <v>18</v>
      </c>
      <c r="H127" s="20" t="str">
        <f>IF(E127="","",TEXT(E127,"ddd"))</f>
        <v>Sat</v>
      </c>
      <c r="I127" s="20" t="str">
        <f>IF(E127="","",IF(COUNTIF($A$6:$A$55,E127)&gt;0,"Holiday",IF(WEEKDAY(E127,2)=7,"Sunday","Working")))</f>
        <v>Working</v>
      </c>
      <c r="J127" s="20" t="str">
        <f>IF(E127="","",IF(OR(WEEKDAY(E127,2)=7,COUNTIF($A$6:$A$55,E127)&gt;0),"No","Yes"))</f>
        <v>Yes</v>
      </c>
    </row>
    <row r="128">
      <c r="A128" s="9" t="n"/>
      <c r="B128" s="9" t="n"/>
      <c r="C128" s="9" t="n"/>
      <c r="D128" s="9" t="n"/>
      <c r="E128" s="19">
        <f>IF(E127="","",IF(E127&lt;DATE($B$2+1,1,1)-1,E127+1,""))</f>
        <v>46145</v>
      </c>
      <c r="F128" s="20" t="str">
        <f>IF(E128="","",TEXT(E128,"mmm"))</f>
        <v>May</v>
      </c>
      <c r="G128" s="20">
        <f>IF(E128="","",WEEKNUM(E128,2))</f>
        <v>18</v>
      </c>
      <c r="H128" s="20" t="str">
        <f>IF(E128="","",TEXT(E128,"ddd"))</f>
        <v>Sun</v>
      </c>
      <c r="I128" s="20" t="str">
        <f>IF(E128="","",IF(COUNTIF($A$6:$A$55,E128)&gt;0,"Holiday",IF(WEEKDAY(E128,2)=7,"Sunday","Working")))</f>
        <v>Sunday</v>
      </c>
      <c r="J128" s="20" t="str">
        <f>IF(E128="","",IF(OR(WEEKDAY(E128,2)=7,COUNTIF($A$6:$A$55,E128)&gt;0),"No","Yes"))</f>
        <v>No</v>
      </c>
    </row>
    <row r="129">
      <c r="A129" s="9" t="n"/>
      <c r="B129" s="9" t="n"/>
      <c r="C129" s="9" t="n"/>
      <c r="D129" s="9" t="n"/>
      <c r="E129" s="19">
        <f>IF(E128="","",IF(E128&lt;DATE($B$2+1,1,1)-1,E128+1,""))</f>
        <v>46146</v>
      </c>
      <c r="F129" s="20" t="str">
        <f>IF(E129="","",TEXT(E129,"mmm"))</f>
        <v>May</v>
      </c>
      <c r="G129" s="20">
        <f>IF(E129="","",WEEKNUM(E129,2))</f>
        <v>19</v>
      </c>
      <c r="H129" s="20" t="str">
        <f>IF(E129="","",TEXT(E129,"ddd"))</f>
        <v>Mon</v>
      </c>
      <c r="I129" s="20" t="str">
        <f>IF(E129="","",IF(COUNTIF($A$6:$A$55,E129)&gt;0,"Holiday",IF(WEEKDAY(E129,2)=7,"Sunday","Working")))</f>
        <v>Working</v>
      </c>
      <c r="J129" s="20" t="str">
        <f>IF(E129="","",IF(OR(WEEKDAY(E129,2)=7,COUNTIF($A$6:$A$55,E129)&gt;0),"No","Yes"))</f>
        <v>Yes</v>
      </c>
    </row>
    <row r="130">
      <c r="A130" s="9" t="n"/>
      <c r="B130" s="9" t="n"/>
      <c r="C130" s="9" t="n"/>
      <c r="D130" s="9" t="n"/>
      <c r="E130" s="19">
        <f>IF(E129="","",IF(E129&lt;DATE($B$2+1,1,1)-1,E129+1,""))</f>
        <v>46147</v>
      </c>
      <c r="F130" s="20" t="str">
        <f>IF(E130="","",TEXT(E130,"mmm"))</f>
        <v>May</v>
      </c>
      <c r="G130" s="20">
        <f>IF(E130="","",WEEKNUM(E130,2))</f>
        <v>19</v>
      </c>
      <c r="H130" s="20" t="str">
        <f>IF(E130="","",TEXT(E130,"ddd"))</f>
        <v>Tue</v>
      </c>
      <c r="I130" s="20" t="str">
        <f>IF(E130="","",IF(COUNTIF($A$6:$A$55,E130)&gt;0,"Holiday",IF(WEEKDAY(E130,2)=7,"Sunday","Working")))</f>
        <v>Working</v>
      </c>
      <c r="J130" s="20" t="str">
        <f>IF(E130="","",IF(OR(WEEKDAY(E130,2)=7,COUNTIF($A$6:$A$55,E130)&gt;0),"No","Yes"))</f>
        <v>Yes</v>
      </c>
    </row>
    <row r="131">
      <c r="A131" s="9" t="n"/>
      <c r="B131" s="9" t="n"/>
      <c r="C131" s="9" t="n"/>
      <c r="D131" s="9" t="n"/>
      <c r="E131" s="19">
        <f>IF(E130="","",IF(E130&lt;DATE($B$2+1,1,1)-1,E130+1,""))</f>
        <v>46148</v>
      </c>
      <c r="F131" s="20" t="str">
        <f>IF(E131="","",TEXT(E131,"mmm"))</f>
        <v>May</v>
      </c>
      <c r="G131" s="20">
        <f>IF(E131="","",WEEKNUM(E131,2))</f>
        <v>19</v>
      </c>
      <c r="H131" s="20" t="str">
        <f>IF(E131="","",TEXT(E131,"ddd"))</f>
        <v>Wed</v>
      </c>
      <c r="I131" s="20" t="str">
        <f>IF(E131="","",IF(COUNTIF($A$6:$A$55,E131)&gt;0,"Holiday",IF(WEEKDAY(E131,2)=7,"Sunday","Working")))</f>
        <v>Working</v>
      </c>
      <c r="J131" s="20" t="str">
        <f>IF(E131="","",IF(OR(WEEKDAY(E131,2)=7,COUNTIF($A$6:$A$55,E131)&gt;0),"No","Yes"))</f>
        <v>Yes</v>
      </c>
    </row>
    <row r="132">
      <c r="A132" s="9" t="n"/>
      <c r="B132" s="9" t="n"/>
      <c r="C132" s="9" t="n"/>
      <c r="D132" s="9" t="n"/>
      <c r="E132" s="19">
        <f>IF(E131="","",IF(E131&lt;DATE($B$2+1,1,1)-1,E131+1,""))</f>
        <v>46149</v>
      </c>
      <c r="F132" s="20" t="str">
        <f>IF(E132="","",TEXT(E132,"mmm"))</f>
        <v>May</v>
      </c>
      <c r="G132" s="20">
        <f>IF(E132="","",WEEKNUM(E132,2))</f>
        <v>19</v>
      </c>
      <c r="H132" s="20" t="str">
        <f>IF(E132="","",TEXT(E132,"ddd"))</f>
        <v>Thu</v>
      </c>
      <c r="I132" s="20" t="str">
        <f>IF(E132="","",IF(COUNTIF($A$6:$A$55,E132)&gt;0,"Holiday",IF(WEEKDAY(E132,2)=7,"Sunday","Working")))</f>
        <v>Working</v>
      </c>
      <c r="J132" s="20" t="str">
        <f>IF(E132="","",IF(OR(WEEKDAY(E132,2)=7,COUNTIF($A$6:$A$55,E132)&gt;0),"No","Yes"))</f>
        <v>Yes</v>
      </c>
    </row>
    <row r="133">
      <c r="A133" s="9" t="n"/>
      <c r="B133" s="9" t="n"/>
      <c r="C133" s="9" t="n"/>
      <c r="D133" s="9" t="n"/>
      <c r="E133" s="19">
        <f>IF(E132="","",IF(E132&lt;DATE($B$2+1,1,1)-1,E132+1,""))</f>
        <v>46150</v>
      </c>
      <c r="F133" s="20" t="str">
        <f>IF(E133="","",TEXT(E133,"mmm"))</f>
        <v>May</v>
      </c>
      <c r="G133" s="20">
        <f>IF(E133="","",WEEKNUM(E133,2))</f>
        <v>19</v>
      </c>
      <c r="H133" s="20" t="str">
        <f>IF(E133="","",TEXT(E133,"ddd"))</f>
        <v>Fri</v>
      </c>
      <c r="I133" s="20" t="str">
        <f>IF(E133="","",IF(COUNTIF($A$6:$A$55,E133)&gt;0,"Holiday",IF(WEEKDAY(E133,2)=7,"Sunday","Working")))</f>
        <v>Working</v>
      </c>
      <c r="J133" s="20" t="str">
        <f>IF(E133="","",IF(OR(WEEKDAY(E133,2)=7,COUNTIF($A$6:$A$55,E133)&gt;0),"No","Yes"))</f>
        <v>Yes</v>
      </c>
    </row>
    <row r="134">
      <c r="A134" s="9" t="n"/>
      <c r="B134" s="9" t="n"/>
      <c r="C134" s="9" t="n"/>
      <c r="D134" s="9" t="n"/>
      <c r="E134" s="19">
        <f>IF(E133="","",IF(E133&lt;DATE($B$2+1,1,1)-1,E133+1,""))</f>
        <v>46151</v>
      </c>
      <c r="F134" s="20" t="str">
        <f>IF(E134="","",TEXT(E134,"mmm"))</f>
        <v>May</v>
      </c>
      <c r="G134" s="20">
        <f>IF(E134="","",WEEKNUM(E134,2))</f>
        <v>19</v>
      </c>
      <c r="H134" s="20" t="str">
        <f>IF(E134="","",TEXT(E134,"ddd"))</f>
        <v>Sat</v>
      </c>
      <c r="I134" s="20" t="str">
        <f>IF(E134="","",IF(COUNTIF($A$6:$A$55,E134)&gt;0,"Holiday",IF(WEEKDAY(E134,2)=7,"Sunday","Working")))</f>
        <v>Working</v>
      </c>
      <c r="J134" s="20" t="str">
        <f>IF(E134="","",IF(OR(WEEKDAY(E134,2)=7,COUNTIF($A$6:$A$55,E134)&gt;0),"No","Yes"))</f>
        <v>Yes</v>
      </c>
    </row>
    <row r="135">
      <c r="A135" s="9" t="n"/>
      <c r="B135" s="9" t="n"/>
      <c r="C135" s="9" t="n"/>
      <c r="D135" s="9" t="n"/>
      <c r="E135" s="19">
        <f>IF(E134="","",IF(E134&lt;DATE($B$2+1,1,1)-1,E134+1,""))</f>
        <v>46152</v>
      </c>
      <c r="F135" s="20" t="str">
        <f>IF(E135="","",TEXT(E135,"mmm"))</f>
        <v>May</v>
      </c>
      <c r="G135" s="20">
        <f>IF(E135="","",WEEKNUM(E135,2))</f>
        <v>19</v>
      </c>
      <c r="H135" s="20" t="str">
        <f>IF(E135="","",TEXT(E135,"ddd"))</f>
        <v>Sun</v>
      </c>
      <c r="I135" s="20" t="str">
        <f>IF(E135="","",IF(COUNTIF($A$6:$A$55,E135)&gt;0,"Holiday",IF(WEEKDAY(E135,2)=7,"Sunday","Working")))</f>
        <v>Sunday</v>
      </c>
      <c r="J135" s="20" t="str">
        <f>IF(E135="","",IF(OR(WEEKDAY(E135,2)=7,COUNTIF($A$6:$A$55,E135)&gt;0),"No","Yes"))</f>
        <v>No</v>
      </c>
    </row>
    <row r="136">
      <c r="A136" s="9" t="n"/>
      <c r="B136" s="9" t="n"/>
      <c r="C136" s="9" t="n"/>
      <c r="D136" s="9" t="n"/>
      <c r="E136" s="19">
        <f>IF(E135="","",IF(E135&lt;DATE($B$2+1,1,1)-1,E135+1,""))</f>
        <v>46153</v>
      </c>
      <c r="F136" s="20" t="str">
        <f>IF(E136="","",TEXT(E136,"mmm"))</f>
        <v>May</v>
      </c>
      <c r="G136" s="20">
        <f>IF(E136="","",WEEKNUM(E136,2))</f>
        <v>20</v>
      </c>
      <c r="H136" s="20" t="str">
        <f>IF(E136="","",TEXT(E136,"ddd"))</f>
        <v>Mon</v>
      </c>
      <c r="I136" s="20" t="str">
        <f>IF(E136="","",IF(COUNTIF($A$6:$A$55,E136)&gt;0,"Holiday",IF(WEEKDAY(E136,2)=7,"Sunday","Working")))</f>
        <v>Working</v>
      </c>
      <c r="J136" s="20" t="str">
        <f>IF(E136="","",IF(OR(WEEKDAY(E136,2)=7,COUNTIF($A$6:$A$55,E136)&gt;0),"No","Yes"))</f>
        <v>Yes</v>
      </c>
    </row>
    <row r="137">
      <c r="A137" s="9" t="n"/>
      <c r="B137" s="9" t="n"/>
      <c r="C137" s="9" t="n"/>
      <c r="D137" s="9" t="n"/>
      <c r="E137" s="19">
        <f>IF(E136="","",IF(E136&lt;DATE($B$2+1,1,1)-1,E136+1,""))</f>
        <v>46154</v>
      </c>
      <c r="F137" s="20" t="str">
        <f>IF(E137="","",TEXT(E137,"mmm"))</f>
        <v>May</v>
      </c>
      <c r="G137" s="20">
        <f>IF(E137="","",WEEKNUM(E137,2))</f>
        <v>20</v>
      </c>
      <c r="H137" s="20" t="str">
        <f>IF(E137="","",TEXT(E137,"ddd"))</f>
        <v>Tue</v>
      </c>
      <c r="I137" s="20" t="str">
        <f>IF(E137="","",IF(COUNTIF($A$6:$A$55,E137)&gt;0,"Holiday",IF(WEEKDAY(E137,2)=7,"Sunday","Working")))</f>
        <v>Working</v>
      </c>
      <c r="J137" s="20" t="str">
        <f>IF(E137="","",IF(OR(WEEKDAY(E137,2)=7,COUNTIF($A$6:$A$55,E137)&gt;0),"No","Yes"))</f>
        <v>Yes</v>
      </c>
    </row>
    <row r="138">
      <c r="A138" s="9" t="n"/>
      <c r="B138" s="9" t="n"/>
      <c r="C138" s="9" t="n"/>
      <c r="D138" s="9" t="n"/>
      <c r="E138" s="19">
        <f>IF(E137="","",IF(E137&lt;DATE($B$2+1,1,1)-1,E137+1,""))</f>
        <v>46155</v>
      </c>
      <c r="F138" s="20" t="str">
        <f>IF(E138="","",TEXT(E138,"mmm"))</f>
        <v>May</v>
      </c>
      <c r="G138" s="20">
        <f>IF(E138="","",WEEKNUM(E138,2))</f>
        <v>20</v>
      </c>
      <c r="H138" s="20" t="str">
        <f>IF(E138="","",TEXT(E138,"ddd"))</f>
        <v>Wed</v>
      </c>
      <c r="I138" s="20" t="str">
        <f>IF(E138="","",IF(COUNTIF($A$6:$A$55,E138)&gt;0,"Holiday",IF(WEEKDAY(E138,2)=7,"Sunday","Working")))</f>
        <v>Working</v>
      </c>
      <c r="J138" s="20" t="str">
        <f>IF(E138="","",IF(OR(WEEKDAY(E138,2)=7,COUNTIF($A$6:$A$55,E138)&gt;0),"No","Yes"))</f>
        <v>Yes</v>
      </c>
    </row>
    <row r="139">
      <c r="A139" s="9" t="n"/>
      <c r="B139" s="9" t="n"/>
      <c r="C139" s="9" t="n"/>
      <c r="D139" s="9" t="n"/>
      <c r="E139" s="19">
        <f>IF(E138="","",IF(E138&lt;DATE($B$2+1,1,1)-1,E138+1,""))</f>
        <v>46156</v>
      </c>
      <c r="F139" s="20" t="str">
        <f>IF(E139="","",TEXT(E139,"mmm"))</f>
        <v>May</v>
      </c>
      <c r="G139" s="20">
        <f>IF(E139="","",WEEKNUM(E139,2))</f>
        <v>20</v>
      </c>
      <c r="H139" s="20" t="str">
        <f>IF(E139="","",TEXT(E139,"ddd"))</f>
        <v>Thu</v>
      </c>
      <c r="I139" s="20" t="str">
        <f>IF(E139="","",IF(COUNTIF($A$6:$A$55,E139)&gt;0,"Holiday",IF(WEEKDAY(E139,2)=7,"Sunday","Working")))</f>
        <v>Working</v>
      </c>
      <c r="J139" s="20" t="str">
        <f>IF(E139="","",IF(OR(WEEKDAY(E139,2)=7,COUNTIF($A$6:$A$55,E139)&gt;0),"No","Yes"))</f>
        <v>Yes</v>
      </c>
    </row>
    <row r="140">
      <c r="A140" s="9" t="n"/>
      <c r="B140" s="9" t="n"/>
      <c r="C140" s="9" t="n"/>
      <c r="D140" s="9" t="n"/>
      <c r="E140" s="19">
        <f>IF(E139="","",IF(E139&lt;DATE($B$2+1,1,1)-1,E139+1,""))</f>
        <v>46157</v>
      </c>
      <c r="F140" s="20" t="str">
        <f>IF(E140="","",TEXT(E140,"mmm"))</f>
        <v>May</v>
      </c>
      <c r="G140" s="20">
        <f>IF(E140="","",WEEKNUM(E140,2))</f>
        <v>20</v>
      </c>
      <c r="H140" s="20" t="str">
        <f>IF(E140="","",TEXT(E140,"ddd"))</f>
        <v>Fri</v>
      </c>
      <c r="I140" s="20" t="str">
        <f>IF(E140="","",IF(COUNTIF($A$6:$A$55,E140)&gt;0,"Holiday",IF(WEEKDAY(E140,2)=7,"Sunday","Working")))</f>
        <v>Working</v>
      </c>
      <c r="J140" s="20" t="str">
        <f>IF(E140="","",IF(OR(WEEKDAY(E140,2)=7,COUNTIF($A$6:$A$55,E140)&gt;0),"No","Yes"))</f>
        <v>Yes</v>
      </c>
    </row>
    <row r="141">
      <c r="A141" s="9" t="n"/>
      <c r="B141" s="9" t="n"/>
      <c r="C141" s="9" t="n"/>
      <c r="D141" s="9" t="n"/>
      <c r="E141" s="19">
        <f>IF(E140="","",IF(E140&lt;DATE($B$2+1,1,1)-1,E140+1,""))</f>
        <v>46158</v>
      </c>
      <c r="F141" s="20" t="str">
        <f>IF(E141="","",TEXT(E141,"mmm"))</f>
        <v>May</v>
      </c>
      <c r="G141" s="20">
        <f>IF(E141="","",WEEKNUM(E141,2))</f>
        <v>20</v>
      </c>
      <c r="H141" s="20" t="str">
        <f>IF(E141="","",TEXT(E141,"ddd"))</f>
        <v>Sat</v>
      </c>
      <c r="I141" s="20" t="str">
        <f>IF(E141="","",IF(COUNTIF($A$6:$A$55,E141)&gt;0,"Holiday",IF(WEEKDAY(E141,2)=7,"Sunday","Working")))</f>
        <v>Working</v>
      </c>
      <c r="J141" s="20" t="str">
        <f>IF(E141="","",IF(OR(WEEKDAY(E141,2)=7,COUNTIF($A$6:$A$55,E141)&gt;0),"No","Yes"))</f>
        <v>Yes</v>
      </c>
    </row>
    <row r="142">
      <c r="A142" s="9" t="n"/>
      <c r="B142" s="9" t="n"/>
      <c r="C142" s="9" t="n"/>
      <c r="D142" s="9" t="n"/>
      <c r="E142" s="19">
        <f>IF(E141="","",IF(E141&lt;DATE($B$2+1,1,1)-1,E141+1,""))</f>
        <v>46159</v>
      </c>
      <c r="F142" s="20" t="str">
        <f>IF(E142="","",TEXT(E142,"mmm"))</f>
        <v>May</v>
      </c>
      <c r="G142" s="20">
        <f>IF(E142="","",WEEKNUM(E142,2))</f>
        <v>20</v>
      </c>
      <c r="H142" s="20" t="str">
        <f>IF(E142="","",TEXT(E142,"ddd"))</f>
        <v>Sun</v>
      </c>
      <c r="I142" s="20" t="str">
        <f>IF(E142="","",IF(COUNTIF($A$6:$A$55,E142)&gt;0,"Holiday",IF(WEEKDAY(E142,2)=7,"Sunday","Working")))</f>
        <v>Sunday</v>
      </c>
      <c r="J142" s="20" t="str">
        <f>IF(E142="","",IF(OR(WEEKDAY(E142,2)=7,COUNTIF($A$6:$A$55,E142)&gt;0),"No","Yes"))</f>
        <v>No</v>
      </c>
    </row>
    <row r="143">
      <c r="A143" s="9" t="n"/>
      <c r="B143" s="9" t="n"/>
      <c r="C143" s="9" t="n"/>
      <c r="D143" s="9" t="n"/>
      <c r="E143" s="19">
        <f>IF(E142="","",IF(E142&lt;DATE($B$2+1,1,1)-1,E142+1,""))</f>
        <v>46160</v>
      </c>
      <c r="F143" s="20" t="str">
        <f>IF(E143="","",TEXT(E143,"mmm"))</f>
        <v>May</v>
      </c>
      <c r="G143" s="20">
        <f>IF(E143="","",WEEKNUM(E143,2))</f>
        <v>21</v>
      </c>
      <c r="H143" s="20" t="str">
        <f>IF(E143="","",TEXT(E143,"ddd"))</f>
        <v>Mon</v>
      </c>
      <c r="I143" s="20" t="str">
        <f>IF(E143="","",IF(COUNTIF($A$6:$A$55,E143)&gt;0,"Holiday",IF(WEEKDAY(E143,2)=7,"Sunday","Working")))</f>
        <v>Working</v>
      </c>
      <c r="J143" s="20" t="str">
        <f>IF(E143="","",IF(OR(WEEKDAY(E143,2)=7,COUNTIF($A$6:$A$55,E143)&gt;0),"No","Yes"))</f>
        <v>Yes</v>
      </c>
    </row>
    <row r="144">
      <c r="A144" s="9" t="n"/>
      <c r="B144" s="9" t="n"/>
      <c r="C144" s="9" t="n"/>
      <c r="D144" s="9" t="n"/>
      <c r="E144" s="19">
        <f>IF(E143="","",IF(E143&lt;DATE($B$2+1,1,1)-1,E143+1,""))</f>
        <v>46161</v>
      </c>
      <c r="F144" s="20" t="str">
        <f>IF(E144="","",TEXT(E144,"mmm"))</f>
        <v>May</v>
      </c>
      <c r="G144" s="20">
        <f>IF(E144="","",WEEKNUM(E144,2))</f>
        <v>21</v>
      </c>
      <c r="H144" s="20" t="str">
        <f>IF(E144="","",TEXT(E144,"ddd"))</f>
        <v>Tue</v>
      </c>
      <c r="I144" s="20" t="str">
        <f>IF(E144="","",IF(COUNTIF($A$6:$A$55,E144)&gt;0,"Holiday",IF(WEEKDAY(E144,2)=7,"Sunday","Working")))</f>
        <v>Working</v>
      </c>
      <c r="J144" s="20" t="str">
        <f>IF(E144="","",IF(OR(WEEKDAY(E144,2)=7,COUNTIF($A$6:$A$55,E144)&gt;0),"No","Yes"))</f>
        <v>Yes</v>
      </c>
    </row>
    <row r="145">
      <c r="A145" s="9" t="n"/>
      <c r="B145" s="9" t="n"/>
      <c r="C145" s="9" t="n"/>
      <c r="D145" s="9" t="n"/>
      <c r="E145" s="19">
        <f>IF(E144="","",IF(E144&lt;DATE($B$2+1,1,1)-1,E144+1,""))</f>
        <v>46162</v>
      </c>
      <c r="F145" s="20" t="str">
        <f>IF(E145="","",TEXT(E145,"mmm"))</f>
        <v>May</v>
      </c>
      <c r="G145" s="20">
        <f>IF(E145="","",WEEKNUM(E145,2))</f>
        <v>21</v>
      </c>
      <c r="H145" s="20" t="str">
        <f>IF(E145="","",TEXT(E145,"ddd"))</f>
        <v>Wed</v>
      </c>
      <c r="I145" s="20" t="str">
        <f>IF(E145="","",IF(COUNTIF($A$6:$A$55,E145)&gt;0,"Holiday",IF(WEEKDAY(E145,2)=7,"Sunday","Working")))</f>
        <v>Working</v>
      </c>
      <c r="J145" s="20" t="str">
        <f>IF(E145="","",IF(OR(WEEKDAY(E145,2)=7,COUNTIF($A$6:$A$55,E145)&gt;0),"No","Yes"))</f>
        <v>Yes</v>
      </c>
    </row>
    <row r="146">
      <c r="A146" s="9" t="n"/>
      <c r="B146" s="9" t="n"/>
      <c r="C146" s="9" t="n"/>
      <c r="D146" s="9" t="n"/>
      <c r="E146" s="19">
        <f>IF(E145="","",IF(E145&lt;DATE($B$2+1,1,1)-1,E145+1,""))</f>
        <v>46163</v>
      </c>
      <c r="F146" s="20" t="str">
        <f>IF(E146="","",TEXT(E146,"mmm"))</f>
        <v>May</v>
      </c>
      <c r="G146" s="20">
        <f>IF(E146="","",WEEKNUM(E146,2))</f>
        <v>21</v>
      </c>
      <c r="H146" s="20" t="str">
        <f>IF(E146="","",TEXT(E146,"ddd"))</f>
        <v>Thu</v>
      </c>
      <c r="I146" s="20" t="str">
        <f>IF(E146="","",IF(COUNTIF($A$6:$A$55,E146)&gt;0,"Holiday",IF(WEEKDAY(E146,2)=7,"Sunday","Working")))</f>
        <v>Working</v>
      </c>
      <c r="J146" s="20" t="str">
        <f>IF(E146="","",IF(OR(WEEKDAY(E146,2)=7,COUNTIF($A$6:$A$55,E146)&gt;0),"No","Yes"))</f>
        <v>Yes</v>
      </c>
    </row>
    <row r="147">
      <c r="A147" s="9" t="n"/>
      <c r="B147" s="9" t="n"/>
      <c r="C147" s="9" t="n"/>
      <c r="D147" s="9" t="n"/>
      <c r="E147" s="19">
        <f>IF(E146="","",IF(E146&lt;DATE($B$2+1,1,1)-1,E146+1,""))</f>
        <v>46164</v>
      </c>
      <c r="F147" s="20" t="str">
        <f>IF(E147="","",TEXT(E147,"mmm"))</f>
        <v>May</v>
      </c>
      <c r="G147" s="20">
        <f>IF(E147="","",WEEKNUM(E147,2))</f>
        <v>21</v>
      </c>
      <c r="H147" s="20" t="str">
        <f>IF(E147="","",TEXT(E147,"ddd"))</f>
        <v>Fri</v>
      </c>
      <c r="I147" s="20" t="str">
        <f>IF(E147="","",IF(COUNTIF($A$6:$A$55,E147)&gt;0,"Holiday",IF(WEEKDAY(E147,2)=7,"Sunday","Working")))</f>
        <v>Working</v>
      </c>
      <c r="J147" s="20" t="str">
        <f>IF(E147="","",IF(OR(WEEKDAY(E147,2)=7,COUNTIF($A$6:$A$55,E147)&gt;0),"No","Yes"))</f>
        <v>Yes</v>
      </c>
    </row>
    <row r="148">
      <c r="A148" s="9" t="n"/>
      <c r="B148" s="9" t="n"/>
      <c r="C148" s="9" t="n"/>
      <c r="D148" s="9" t="n"/>
      <c r="E148" s="19">
        <f>IF(E147="","",IF(E147&lt;DATE($B$2+1,1,1)-1,E147+1,""))</f>
        <v>46165</v>
      </c>
      <c r="F148" s="20" t="str">
        <f>IF(E148="","",TEXT(E148,"mmm"))</f>
        <v>May</v>
      </c>
      <c r="G148" s="20">
        <f>IF(E148="","",WEEKNUM(E148,2))</f>
        <v>21</v>
      </c>
      <c r="H148" s="20" t="str">
        <f>IF(E148="","",TEXT(E148,"ddd"))</f>
        <v>Sat</v>
      </c>
      <c r="I148" s="20" t="str">
        <f>IF(E148="","",IF(COUNTIF($A$6:$A$55,E148)&gt;0,"Holiday",IF(WEEKDAY(E148,2)=7,"Sunday","Working")))</f>
        <v>Working</v>
      </c>
      <c r="J148" s="20" t="str">
        <f>IF(E148="","",IF(OR(WEEKDAY(E148,2)=7,COUNTIF($A$6:$A$55,E148)&gt;0),"No","Yes"))</f>
        <v>Yes</v>
      </c>
    </row>
    <row r="149">
      <c r="A149" s="9" t="n"/>
      <c r="B149" s="9" t="n"/>
      <c r="C149" s="9" t="n"/>
      <c r="D149" s="9" t="n"/>
      <c r="E149" s="19">
        <f>IF(E148="","",IF(E148&lt;DATE($B$2+1,1,1)-1,E148+1,""))</f>
        <v>46166</v>
      </c>
      <c r="F149" s="20" t="str">
        <f>IF(E149="","",TEXT(E149,"mmm"))</f>
        <v>May</v>
      </c>
      <c r="G149" s="20">
        <f>IF(E149="","",WEEKNUM(E149,2))</f>
        <v>21</v>
      </c>
      <c r="H149" s="20" t="str">
        <f>IF(E149="","",TEXT(E149,"ddd"))</f>
        <v>Sun</v>
      </c>
      <c r="I149" s="20" t="str">
        <f>IF(E149="","",IF(COUNTIF($A$6:$A$55,E149)&gt;0,"Holiday",IF(WEEKDAY(E149,2)=7,"Sunday","Working")))</f>
        <v>Sunday</v>
      </c>
      <c r="J149" s="20" t="str">
        <f>IF(E149="","",IF(OR(WEEKDAY(E149,2)=7,COUNTIF($A$6:$A$55,E149)&gt;0),"No","Yes"))</f>
        <v>No</v>
      </c>
    </row>
    <row r="150">
      <c r="A150" s="9" t="n"/>
      <c r="B150" s="9" t="n"/>
      <c r="C150" s="9" t="n"/>
      <c r="D150" s="9" t="n"/>
      <c r="E150" s="19">
        <f>IF(E149="","",IF(E149&lt;DATE($B$2+1,1,1)-1,E149+1,""))</f>
        <v>46167</v>
      </c>
      <c r="F150" s="20" t="str">
        <f>IF(E150="","",TEXT(E150,"mmm"))</f>
        <v>May</v>
      </c>
      <c r="G150" s="20">
        <f>IF(E150="","",WEEKNUM(E150,2))</f>
        <v>22</v>
      </c>
      <c r="H150" s="20" t="str">
        <f>IF(E150="","",TEXT(E150,"ddd"))</f>
        <v>Mon</v>
      </c>
      <c r="I150" s="20" t="str">
        <f>IF(E150="","",IF(COUNTIF($A$6:$A$55,E150)&gt;0,"Holiday",IF(WEEKDAY(E150,2)=7,"Sunday","Working")))</f>
        <v>Working</v>
      </c>
      <c r="J150" s="20" t="str">
        <f>IF(E150="","",IF(OR(WEEKDAY(E150,2)=7,COUNTIF($A$6:$A$55,E150)&gt;0),"No","Yes"))</f>
        <v>Yes</v>
      </c>
    </row>
    <row r="151">
      <c r="A151" s="9" t="n"/>
      <c r="B151" s="9" t="n"/>
      <c r="C151" s="9" t="n"/>
      <c r="D151" s="9" t="n"/>
      <c r="E151" s="19">
        <f>IF(E150="","",IF(E150&lt;DATE($B$2+1,1,1)-1,E150+1,""))</f>
        <v>46168</v>
      </c>
      <c r="F151" s="20" t="str">
        <f>IF(E151="","",TEXT(E151,"mmm"))</f>
        <v>May</v>
      </c>
      <c r="G151" s="20">
        <f>IF(E151="","",WEEKNUM(E151,2))</f>
        <v>22</v>
      </c>
      <c r="H151" s="20" t="str">
        <f>IF(E151="","",TEXT(E151,"ddd"))</f>
        <v>Tue</v>
      </c>
      <c r="I151" s="20" t="str">
        <f>IF(E151="","",IF(COUNTIF($A$6:$A$55,E151)&gt;0,"Holiday",IF(WEEKDAY(E151,2)=7,"Sunday","Working")))</f>
        <v>Working</v>
      </c>
      <c r="J151" s="20" t="str">
        <f>IF(E151="","",IF(OR(WEEKDAY(E151,2)=7,COUNTIF($A$6:$A$55,E151)&gt;0),"No","Yes"))</f>
        <v>Yes</v>
      </c>
    </row>
    <row r="152">
      <c r="A152" s="9" t="n"/>
      <c r="B152" s="9" t="n"/>
      <c r="C152" s="9" t="n"/>
      <c r="D152" s="9" t="n"/>
      <c r="E152" s="19">
        <f>IF(E151="","",IF(E151&lt;DATE($B$2+1,1,1)-1,E151+1,""))</f>
        <v>46169</v>
      </c>
      <c r="F152" s="20" t="str">
        <f>IF(E152="","",TEXT(E152,"mmm"))</f>
        <v>May</v>
      </c>
      <c r="G152" s="20">
        <f>IF(E152="","",WEEKNUM(E152,2))</f>
        <v>22</v>
      </c>
      <c r="H152" s="20" t="str">
        <f>IF(E152="","",TEXT(E152,"ddd"))</f>
        <v>Wed</v>
      </c>
      <c r="I152" s="20" t="str">
        <f>IF(E152="","",IF(COUNTIF($A$6:$A$55,E152)&gt;0,"Holiday",IF(WEEKDAY(E152,2)=7,"Sunday","Working")))</f>
        <v>Working</v>
      </c>
      <c r="J152" s="20" t="str">
        <f>IF(E152="","",IF(OR(WEEKDAY(E152,2)=7,COUNTIF($A$6:$A$55,E152)&gt;0),"No","Yes"))</f>
        <v>Yes</v>
      </c>
    </row>
    <row r="153">
      <c r="A153" s="9" t="n"/>
      <c r="B153" s="9" t="n"/>
      <c r="C153" s="9" t="n"/>
      <c r="D153" s="9" t="n"/>
      <c r="E153" s="19">
        <f>IF(E152="","",IF(E152&lt;DATE($B$2+1,1,1)-1,E152+1,""))</f>
        <v>46170</v>
      </c>
      <c r="F153" s="20" t="str">
        <f>IF(E153="","",TEXT(E153,"mmm"))</f>
        <v>May</v>
      </c>
      <c r="G153" s="20">
        <f>IF(E153="","",WEEKNUM(E153,2))</f>
        <v>22</v>
      </c>
      <c r="H153" s="20" t="str">
        <f>IF(E153="","",TEXT(E153,"ddd"))</f>
        <v>Thu</v>
      </c>
      <c r="I153" s="20" t="str">
        <f>IF(E153="","",IF(COUNTIF($A$6:$A$55,E153)&gt;0,"Holiday",IF(WEEKDAY(E153,2)=7,"Sunday","Working")))</f>
        <v>Working</v>
      </c>
      <c r="J153" s="20" t="str">
        <f>IF(E153="","",IF(OR(WEEKDAY(E153,2)=7,COUNTIF($A$6:$A$55,E153)&gt;0),"No","Yes"))</f>
        <v>Yes</v>
      </c>
    </row>
    <row r="154">
      <c r="A154" s="9" t="n"/>
      <c r="B154" s="9" t="n"/>
      <c r="C154" s="9" t="n"/>
      <c r="D154" s="9" t="n"/>
      <c r="E154" s="19">
        <f>IF(E153="","",IF(E153&lt;DATE($B$2+1,1,1)-1,E153+1,""))</f>
        <v>46171</v>
      </c>
      <c r="F154" s="20" t="str">
        <f>IF(E154="","",TEXT(E154,"mmm"))</f>
        <v>May</v>
      </c>
      <c r="G154" s="20">
        <f>IF(E154="","",WEEKNUM(E154,2))</f>
        <v>22</v>
      </c>
      <c r="H154" s="20" t="str">
        <f>IF(E154="","",TEXT(E154,"ddd"))</f>
        <v>Fri</v>
      </c>
      <c r="I154" s="20" t="str">
        <f>IF(E154="","",IF(COUNTIF($A$6:$A$55,E154)&gt;0,"Holiday",IF(WEEKDAY(E154,2)=7,"Sunday","Working")))</f>
        <v>Working</v>
      </c>
      <c r="J154" s="20" t="str">
        <f>IF(E154="","",IF(OR(WEEKDAY(E154,2)=7,COUNTIF($A$6:$A$55,E154)&gt;0),"No","Yes"))</f>
        <v>Yes</v>
      </c>
    </row>
    <row r="155">
      <c r="A155" s="9" t="n"/>
      <c r="B155" s="9" t="n"/>
      <c r="C155" s="9" t="n"/>
      <c r="D155" s="9" t="n"/>
      <c r="E155" s="19">
        <f>IF(E154="","",IF(E154&lt;DATE($B$2+1,1,1)-1,E154+1,""))</f>
        <v>46172</v>
      </c>
      <c r="F155" s="20" t="str">
        <f>IF(E155="","",TEXT(E155,"mmm"))</f>
        <v>May</v>
      </c>
      <c r="G155" s="20">
        <f>IF(E155="","",WEEKNUM(E155,2))</f>
        <v>22</v>
      </c>
      <c r="H155" s="20" t="str">
        <f>IF(E155="","",TEXT(E155,"ddd"))</f>
        <v>Sat</v>
      </c>
      <c r="I155" s="20" t="str">
        <f>IF(E155="","",IF(COUNTIF($A$6:$A$55,E155)&gt;0,"Holiday",IF(WEEKDAY(E155,2)=7,"Sunday","Working")))</f>
        <v>Working</v>
      </c>
      <c r="J155" s="20" t="str">
        <f>IF(E155="","",IF(OR(WEEKDAY(E155,2)=7,COUNTIF($A$6:$A$55,E155)&gt;0),"No","Yes"))</f>
        <v>Yes</v>
      </c>
    </row>
    <row r="156">
      <c r="A156" s="9" t="n"/>
      <c r="B156" s="9" t="n"/>
      <c r="C156" s="9" t="n"/>
      <c r="D156" s="9" t="n"/>
      <c r="E156" s="19">
        <f>IF(E155="","",IF(E155&lt;DATE($B$2+1,1,1)-1,E155+1,""))</f>
        <v>46173</v>
      </c>
      <c r="F156" s="20" t="str">
        <f>IF(E156="","",TEXT(E156,"mmm"))</f>
        <v>May</v>
      </c>
      <c r="G156" s="20">
        <f>IF(E156="","",WEEKNUM(E156,2))</f>
        <v>22</v>
      </c>
      <c r="H156" s="20" t="str">
        <f>IF(E156="","",TEXT(E156,"ddd"))</f>
        <v>Sun</v>
      </c>
      <c r="I156" s="20" t="str">
        <f>IF(E156="","",IF(COUNTIF($A$6:$A$55,E156)&gt;0,"Holiday",IF(WEEKDAY(E156,2)=7,"Sunday","Working")))</f>
        <v>Sunday</v>
      </c>
      <c r="J156" s="20" t="str">
        <f>IF(E156="","",IF(OR(WEEKDAY(E156,2)=7,COUNTIF($A$6:$A$55,E156)&gt;0),"No","Yes"))</f>
        <v>No</v>
      </c>
    </row>
    <row r="157">
      <c r="A157" s="9" t="n"/>
      <c r="B157" s="9" t="n"/>
      <c r="C157" s="9" t="n"/>
      <c r="D157" s="9" t="n"/>
      <c r="E157" s="19">
        <f>IF(E156="","",IF(E156&lt;DATE($B$2+1,1,1)-1,E156+1,""))</f>
        <v>46174</v>
      </c>
      <c r="F157" s="20" t="str">
        <f>IF(E157="","",TEXT(E157,"mmm"))</f>
        <v>Jun</v>
      </c>
      <c r="G157" s="20">
        <f>IF(E157="","",WEEKNUM(E157,2))</f>
        <v>23</v>
      </c>
      <c r="H157" s="20" t="str">
        <f>IF(E157="","",TEXT(E157,"ddd"))</f>
        <v>Mon</v>
      </c>
      <c r="I157" s="20" t="str">
        <f>IF(E157="","",IF(COUNTIF($A$6:$A$55,E157)&gt;0,"Holiday",IF(WEEKDAY(E157,2)=7,"Sunday","Working")))</f>
        <v>Working</v>
      </c>
      <c r="J157" s="20" t="str">
        <f>IF(E157="","",IF(OR(WEEKDAY(E157,2)=7,COUNTIF($A$6:$A$55,E157)&gt;0),"No","Yes"))</f>
        <v>Yes</v>
      </c>
    </row>
    <row r="158">
      <c r="A158" s="9" t="n"/>
      <c r="B158" s="9" t="n"/>
      <c r="C158" s="9" t="n"/>
      <c r="D158" s="9" t="n"/>
      <c r="E158" s="19">
        <f>IF(E157="","",IF(E157&lt;DATE($B$2+1,1,1)-1,E157+1,""))</f>
        <v>46175</v>
      </c>
      <c r="F158" s="20" t="str">
        <f>IF(E158="","",TEXT(E158,"mmm"))</f>
        <v>Jun</v>
      </c>
      <c r="G158" s="20">
        <f>IF(E158="","",WEEKNUM(E158,2))</f>
        <v>23</v>
      </c>
      <c r="H158" s="20" t="str">
        <f>IF(E158="","",TEXT(E158,"ddd"))</f>
        <v>Tue</v>
      </c>
      <c r="I158" s="20" t="str">
        <f>IF(E158="","",IF(COUNTIF($A$6:$A$55,E158)&gt;0,"Holiday",IF(WEEKDAY(E158,2)=7,"Sunday","Working")))</f>
        <v>Working</v>
      </c>
      <c r="J158" s="20" t="str">
        <f>IF(E158="","",IF(OR(WEEKDAY(E158,2)=7,COUNTIF($A$6:$A$55,E158)&gt;0),"No","Yes"))</f>
        <v>Yes</v>
      </c>
    </row>
    <row r="159">
      <c r="A159" s="9" t="n"/>
      <c r="B159" s="9" t="n"/>
      <c r="C159" s="9" t="n"/>
      <c r="D159" s="9" t="n"/>
      <c r="E159" s="19">
        <f>IF(E158="","",IF(E158&lt;DATE($B$2+1,1,1)-1,E158+1,""))</f>
        <v>46176</v>
      </c>
      <c r="F159" s="20" t="str">
        <f>IF(E159="","",TEXT(E159,"mmm"))</f>
        <v>Jun</v>
      </c>
      <c r="G159" s="20">
        <f>IF(E159="","",WEEKNUM(E159,2))</f>
        <v>23</v>
      </c>
      <c r="H159" s="20" t="str">
        <f>IF(E159="","",TEXT(E159,"ddd"))</f>
        <v>Wed</v>
      </c>
      <c r="I159" s="20" t="str">
        <f>IF(E159="","",IF(COUNTIF($A$6:$A$55,E159)&gt;0,"Holiday",IF(WEEKDAY(E159,2)=7,"Sunday","Working")))</f>
        <v>Working</v>
      </c>
      <c r="J159" s="20" t="str">
        <f>IF(E159="","",IF(OR(WEEKDAY(E159,2)=7,COUNTIF($A$6:$A$55,E159)&gt;0),"No","Yes"))</f>
        <v>Yes</v>
      </c>
    </row>
    <row r="160">
      <c r="A160" s="9" t="n"/>
      <c r="B160" s="9" t="n"/>
      <c r="C160" s="9" t="n"/>
      <c r="D160" s="9" t="n"/>
      <c r="E160" s="19">
        <f>IF(E159="","",IF(E159&lt;DATE($B$2+1,1,1)-1,E159+1,""))</f>
        <v>46177</v>
      </c>
      <c r="F160" s="20" t="str">
        <f>IF(E160="","",TEXT(E160,"mmm"))</f>
        <v>Jun</v>
      </c>
      <c r="G160" s="20">
        <f>IF(E160="","",WEEKNUM(E160,2))</f>
        <v>23</v>
      </c>
      <c r="H160" s="20" t="str">
        <f>IF(E160="","",TEXT(E160,"ddd"))</f>
        <v>Thu</v>
      </c>
      <c r="I160" s="20" t="str">
        <f>IF(E160="","",IF(COUNTIF($A$6:$A$55,E160)&gt;0,"Holiday",IF(WEEKDAY(E160,2)=7,"Sunday","Working")))</f>
        <v>Working</v>
      </c>
      <c r="J160" s="20" t="str">
        <f>IF(E160="","",IF(OR(WEEKDAY(E160,2)=7,COUNTIF($A$6:$A$55,E160)&gt;0),"No","Yes"))</f>
        <v>Yes</v>
      </c>
    </row>
    <row r="161">
      <c r="A161" s="9" t="n"/>
      <c r="B161" s="9" t="n"/>
      <c r="C161" s="9" t="n"/>
      <c r="D161" s="9" t="n"/>
      <c r="E161" s="19">
        <f>IF(E160="","",IF(E160&lt;DATE($B$2+1,1,1)-1,E160+1,""))</f>
        <v>46178</v>
      </c>
      <c r="F161" s="20" t="str">
        <f>IF(E161="","",TEXT(E161,"mmm"))</f>
        <v>Jun</v>
      </c>
      <c r="G161" s="20">
        <f>IF(E161="","",WEEKNUM(E161,2))</f>
        <v>23</v>
      </c>
      <c r="H161" s="20" t="str">
        <f>IF(E161="","",TEXT(E161,"ddd"))</f>
        <v>Fri</v>
      </c>
      <c r="I161" s="20" t="str">
        <f>IF(E161="","",IF(COUNTIF($A$6:$A$55,E161)&gt;0,"Holiday",IF(WEEKDAY(E161,2)=7,"Sunday","Working")))</f>
        <v>Working</v>
      </c>
      <c r="J161" s="20" t="str">
        <f>IF(E161="","",IF(OR(WEEKDAY(E161,2)=7,COUNTIF($A$6:$A$55,E161)&gt;0),"No","Yes"))</f>
        <v>Yes</v>
      </c>
    </row>
    <row r="162">
      <c r="A162" s="9" t="n"/>
      <c r="B162" s="9" t="n"/>
      <c r="C162" s="9" t="n"/>
      <c r="D162" s="9" t="n"/>
      <c r="E162" s="19">
        <f>IF(E161="","",IF(E161&lt;DATE($B$2+1,1,1)-1,E161+1,""))</f>
        <v>46179</v>
      </c>
      <c r="F162" s="20" t="str">
        <f>IF(E162="","",TEXT(E162,"mmm"))</f>
        <v>Jun</v>
      </c>
      <c r="G162" s="20">
        <f>IF(E162="","",WEEKNUM(E162,2))</f>
        <v>23</v>
      </c>
      <c r="H162" s="20" t="str">
        <f>IF(E162="","",TEXT(E162,"ddd"))</f>
        <v>Sat</v>
      </c>
      <c r="I162" s="20" t="str">
        <f>IF(E162="","",IF(COUNTIF($A$6:$A$55,E162)&gt;0,"Holiday",IF(WEEKDAY(E162,2)=7,"Sunday","Working")))</f>
        <v>Working</v>
      </c>
      <c r="J162" s="20" t="str">
        <f>IF(E162="","",IF(OR(WEEKDAY(E162,2)=7,COUNTIF($A$6:$A$55,E162)&gt;0),"No","Yes"))</f>
        <v>Yes</v>
      </c>
    </row>
    <row r="163">
      <c r="A163" s="9" t="n"/>
      <c r="B163" s="9" t="n"/>
      <c r="C163" s="9" t="n"/>
      <c r="D163" s="9" t="n"/>
      <c r="E163" s="19">
        <f>IF(E162="","",IF(E162&lt;DATE($B$2+1,1,1)-1,E162+1,""))</f>
        <v>46180</v>
      </c>
      <c r="F163" s="20" t="str">
        <f>IF(E163="","",TEXT(E163,"mmm"))</f>
        <v>Jun</v>
      </c>
      <c r="G163" s="20">
        <f>IF(E163="","",WEEKNUM(E163,2))</f>
        <v>23</v>
      </c>
      <c r="H163" s="20" t="str">
        <f>IF(E163="","",TEXT(E163,"ddd"))</f>
        <v>Sun</v>
      </c>
      <c r="I163" s="20" t="str">
        <f>IF(E163="","",IF(COUNTIF($A$6:$A$55,E163)&gt;0,"Holiday",IF(WEEKDAY(E163,2)=7,"Sunday","Working")))</f>
        <v>Sunday</v>
      </c>
      <c r="J163" s="20" t="str">
        <f>IF(E163="","",IF(OR(WEEKDAY(E163,2)=7,COUNTIF($A$6:$A$55,E163)&gt;0),"No","Yes"))</f>
        <v>No</v>
      </c>
    </row>
    <row r="164">
      <c r="A164" s="9" t="n"/>
      <c r="B164" s="9" t="n"/>
      <c r="C164" s="9" t="n"/>
      <c r="D164" s="9" t="n"/>
      <c r="E164" s="19">
        <f>IF(E163="","",IF(E163&lt;DATE($B$2+1,1,1)-1,E163+1,""))</f>
        <v>46181</v>
      </c>
      <c r="F164" s="20" t="str">
        <f>IF(E164="","",TEXT(E164,"mmm"))</f>
        <v>Jun</v>
      </c>
      <c r="G164" s="20">
        <f>IF(E164="","",WEEKNUM(E164,2))</f>
        <v>24</v>
      </c>
      <c r="H164" s="20" t="str">
        <f>IF(E164="","",TEXT(E164,"ddd"))</f>
        <v>Mon</v>
      </c>
      <c r="I164" s="20" t="str">
        <f>IF(E164="","",IF(COUNTIF($A$6:$A$55,E164)&gt;0,"Holiday",IF(WEEKDAY(E164,2)=7,"Sunday","Working")))</f>
        <v>Working</v>
      </c>
      <c r="J164" s="20" t="str">
        <f>IF(E164="","",IF(OR(WEEKDAY(E164,2)=7,COUNTIF($A$6:$A$55,E164)&gt;0),"No","Yes"))</f>
        <v>Yes</v>
      </c>
    </row>
    <row r="165">
      <c r="A165" s="9" t="n"/>
      <c r="B165" s="9" t="n"/>
      <c r="C165" s="9" t="n"/>
      <c r="D165" s="9" t="n"/>
      <c r="E165" s="19">
        <f>IF(E164="","",IF(E164&lt;DATE($B$2+1,1,1)-1,E164+1,""))</f>
        <v>46182</v>
      </c>
      <c r="F165" s="20" t="str">
        <f>IF(E165="","",TEXT(E165,"mmm"))</f>
        <v>Jun</v>
      </c>
      <c r="G165" s="20">
        <f>IF(E165="","",WEEKNUM(E165,2))</f>
        <v>24</v>
      </c>
      <c r="H165" s="20" t="str">
        <f>IF(E165="","",TEXT(E165,"ddd"))</f>
        <v>Tue</v>
      </c>
      <c r="I165" s="20" t="str">
        <f>IF(E165="","",IF(COUNTIF($A$6:$A$55,E165)&gt;0,"Holiday",IF(WEEKDAY(E165,2)=7,"Sunday","Working")))</f>
        <v>Working</v>
      </c>
      <c r="J165" s="20" t="str">
        <f>IF(E165="","",IF(OR(WEEKDAY(E165,2)=7,COUNTIF($A$6:$A$55,E165)&gt;0),"No","Yes"))</f>
        <v>Yes</v>
      </c>
    </row>
    <row r="166">
      <c r="A166" s="9" t="n"/>
      <c r="B166" s="9" t="n"/>
      <c r="C166" s="9" t="n"/>
      <c r="D166" s="9" t="n"/>
      <c r="E166" s="19">
        <f>IF(E165="","",IF(E165&lt;DATE($B$2+1,1,1)-1,E165+1,""))</f>
        <v>46183</v>
      </c>
      <c r="F166" s="20" t="str">
        <f>IF(E166="","",TEXT(E166,"mmm"))</f>
        <v>Jun</v>
      </c>
      <c r="G166" s="20">
        <f>IF(E166="","",WEEKNUM(E166,2))</f>
        <v>24</v>
      </c>
      <c r="H166" s="20" t="str">
        <f>IF(E166="","",TEXT(E166,"ddd"))</f>
        <v>Wed</v>
      </c>
      <c r="I166" s="20" t="str">
        <f>IF(E166="","",IF(COUNTIF($A$6:$A$55,E166)&gt;0,"Holiday",IF(WEEKDAY(E166,2)=7,"Sunday","Working")))</f>
        <v>Working</v>
      </c>
      <c r="J166" s="20" t="str">
        <f>IF(E166="","",IF(OR(WEEKDAY(E166,2)=7,COUNTIF($A$6:$A$55,E166)&gt;0),"No","Yes"))</f>
        <v>Yes</v>
      </c>
    </row>
    <row r="167">
      <c r="A167" s="9" t="n"/>
      <c r="B167" s="9" t="n"/>
      <c r="C167" s="9" t="n"/>
      <c r="D167" s="9" t="n"/>
      <c r="E167" s="19">
        <f>IF(E166="","",IF(E166&lt;DATE($B$2+1,1,1)-1,E166+1,""))</f>
        <v>46184</v>
      </c>
      <c r="F167" s="20" t="str">
        <f>IF(E167="","",TEXT(E167,"mmm"))</f>
        <v>Jun</v>
      </c>
      <c r="G167" s="20">
        <f>IF(E167="","",WEEKNUM(E167,2))</f>
        <v>24</v>
      </c>
      <c r="H167" s="20" t="str">
        <f>IF(E167="","",TEXT(E167,"ddd"))</f>
        <v>Thu</v>
      </c>
      <c r="I167" s="20" t="str">
        <f>IF(E167="","",IF(COUNTIF($A$6:$A$55,E167)&gt;0,"Holiday",IF(WEEKDAY(E167,2)=7,"Sunday","Working")))</f>
        <v>Working</v>
      </c>
      <c r="J167" s="20" t="str">
        <f>IF(E167="","",IF(OR(WEEKDAY(E167,2)=7,COUNTIF($A$6:$A$55,E167)&gt;0),"No","Yes"))</f>
        <v>Yes</v>
      </c>
    </row>
    <row r="168">
      <c r="A168" s="9" t="n"/>
      <c r="B168" s="9" t="n"/>
      <c r="C168" s="9" t="n"/>
      <c r="D168" s="9" t="n"/>
      <c r="E168" s="19">
        <f>IF(E167="","",IF(E167&lt;DATE($B$2+1,1,1)-1,E167+1,""))</f>
        <v>46185</v>
      </c>
      <c r="F168" s="20" t="str">
        <f>IF(E168="","",TEXT(E168,"mmm"))</f>
        <v>Jun</v>
      </c>
      <c r="G168" s="20">
        <f>IF(E168="","",WEEKNUM(E168,2))</f>
        <v>24</v>
      </c>
      <c r="H168" s="20" t="str">
        <f>IF(E168="","",TEXT(E168,"ddd"))</f>
        <v>Fri</v>
      </c>
      <c r="I168" s="20" t="str">
        <f>IF(E168="","",IF(COUNTIF($A$6:$A$55,E168)&gt;0,"Holiday",IF(WEEKDAY(E168,2)=7,"Sunday","Working")))</f>
        <v>Working</v>
      </c>
      <c r="J168" s="20" t="str">
        <f>IF(E168="","",IF(OR(WEEKDAY(E168,2)=7,COUNTIF($A$6:$A$55,E168)&gt;0),"No","Yes"))</f>
        <v>Yes</v>
      </c>
    </row>
    <row r="169">
      <c r="A169" s="9" t="n"/>
      <c r="B169" s="9" t="n"/>
      <c r="C169" s="9" t="n"/>
      <c r="D169" s="9" t="n"/>
      <c r="E169" s="19">
        <f>IF(E168="","",IF(E168&lt;DATE($B$2+1,1,1)-1,E168+1,""))</f>
        <v>46186</v>
      </c>
      <c r="F169" s="20" t="str">
        <f>IF(E169="","",TEXT(E169,"mmm"))</f>
        <v>Jun</v>
      </c>
      <c r="G169" s="20">
        <f>IF(E169="","",WEEKNUM(E169,2))</f>
        <v>24</v>
      </c>
      <c r="H169" s="20" t="str">
        <f>IF(E169="","",TEXT(E169,"ddd"))</f>
        <v>Sat</v>
      </c>
      <c r="I169" s="20" t="str">
        <f>IF(E169="","",IF(COUNTIF($A$6:$A$55,E169)&gt;0,"Holiday",IF(WEEKDAY(E169,2)=7,"Sunday","Working")))</f>
        <v>Working</v>
      </c>
      <c r="J169" s="20" t="str">
        <f>IF(E169="","",IF(OR(WEEKDAY(E169,2)=7,COUNTIF($A$6:$A$55,E169)&gt;0),"No","Yes"))</f>
        <v>Yes</v>
      </c>
    </row>
    <row r="170">
      <c r="A170" s="9" t="n"/>
      <c r="B170" s="9" t="n"/>
      <c r="C170" s="9" t="n"/>
      <c r="D170" s="9" t="n"/>
      <c r="E170" s="19">
        <f>IF(E169="","",IF(E169&lt;DATE($B$2+1,1,1)-1,E169+1,""))</f>
        <v>46187</v>
      </c>
      <c r="F170" s="20" t="str">
        <f>IF(E170="","",TEXT(E170,"mmm"))</f>
        <v>Jun</v>
      </c>
      <c r="G170" s="20">
        <f>IF(E170="","",WEEKNUM(E170,2))</f>
        <v>24</v>
      </c>
      <c r="H170" s="20" t="str">
        <f>IF(E170="","",TEXT(E170,"ddd"))</f>
        <v>Sun</v>
      </c>
      <c r="I170" s="20" t="str">
        <f>IF(E170="","",IF(COUNTIF($A$6:$A$55,E170)&gt;0,"Holiday",IF(WEEKDAY(E170,2)=7,"Sunday","Working")))</f>
        <v>Sunday</v>
      </c>
      <c r="J170" s="20" t="str">
        <f>IF(E170="","",IF(OR(WEEKDAY(E170,2)=7,COUNTIF($A$6:$A$55,E170)&gt;0),"No","Yes"))</f>
        <v>No</v>
      </c>
    </row>
    <row r="171">
      <c r="A171" s="9" t="n"/>
      <c r="B171" s="9" t="n"/>
      <c r="C171" s="9" t="n"/>
      <c r="D171" s="9" t="n"/>
      <c r="E171" s="19">
        <f>IF(E170="","",IF(E170&lt;DATE($B$2+1,1,1)-1,E170+1,""))</f>
        <v>46188</v>
      </c>
      <c r="F171" s="20" t="str">
        <f>IF(E171="","",TEXT(E171,"mmm"))</f>
        <v>Jun</v>
      </c>
      <c r="G171" s="20">
        <f>IF(E171="","",WEEKNUM(E171,2))</f>
        <v>25</v>
      </c>
      <c r="H171" s="20" t="str">
        <f>IF(E171="","",TEXT(E171,"ddd"))</f>
        <v>Mon</v>
      </c>
      <c r="I171" s="20" t="str">
        <f>IF(E171="","",IF(COUNTIF($A$6:$A$55,E171)&gt;0,"Holiday",IF(WEEKDAY(E171,2)=7,"Sunday","Working")))</f>
        <v>Working</v>
      </c>
      <c r="J171" s="20" t="str">
        <f>IF(E171="","",IF(OR(WEEKDAY(E171,2)=7,COUNTIF($A$6:$A$55,E171)&gt;0),"No","Yes"))</f>
        <v>Yes</v>
      </c>
    </row>
    <row r="172">
      <c r="A172" s="9" t="n"/>
      <c r="B172" s="9" t="n"/>
      <c r="C172" s="9" t="n"/>
      <c r="D172" s="9" t="n"/>
      <c r="E172" s="19">
        <f>IF(E171="","",IF(E171&lt;DATE($B$2+1,1,1)-1,E171+1,""))</f>
        <v>46189</v>
      </c>
      <c r="F172" s="20" t="str">
        <f>IF(E172="","",TEXT(E172,"mmm"))</f>
        <v>Jun</v>
      </c>
      <c r="G172" s="20">
        <f>IF(E172="","",WEEKNUM(E172,2))</f>
        <v>25</v>
      </c>
      <c r="H172" s="20" t="str">
        <f>IF(E172="","",TEXT(E172,"ddd"))</f>
        <v>Tue</v>
      </c>
      <c r="I172" s="20" t="str">
        <f>IF(E172="","",IF(COUNTIF($A$6:$A$55,E172)&gt;0,"Holiday",IF(WEEKDAY(E172,2)=7,"Sunday","Working")))</f>
        <v>Working</v>
      </c>
      <c r="J172" s="20" t="str">
        <f>IF(E172="","",IF(OR(WEEKDAY(E172,2)=7,COUNTIF($A$6:$A$55,E172)&gt;0),"No","Yes"))</f>
        <v>Yes</v>
      </c>
    </row>
    <row r="173">
      <c r="A173" s="9" t="n"/>
      <c r="B173" s="9" t="n"/>
      <c r="C173" s="9" t="n"/>
      <c r="D173" s="9" t="n"/>
      <c r="E173" s="19">
        <f>IF(E172="","",IF(E172&lt;DATE($B$2+1,1,1)-1,E172+1,""))</f>
        <v>46190</v>
      </c>
      <c r="F173" s="20" t="str">
        <f>IF(E173="","",TEXT(E173,"mmm"))</f>
        <v>Jun</v>
      </c>
      <c r="G173" s="20">
        <f>IF(E173="","",WEEKNUM(E173,2))</f>
        <v>25</v>
      </c>
      <c r="H173" s="20" t="str">
        <f>IF(E173="","",TEXT(E173,"ddd"))</f>
        <v>Wed</v>
      </c>
      <c r="I173" s="20" t="str">
        <f>IF(E173="","",IF(COUNTIF($A$6:$A$55,E173)&gt;0,"Holiday",IF(WEEKDAY(E173,2)=7,"Sunday","Working")))</f>
        <v>Working</v>
      </c>
      <c r="J173" s="20" t="str">
        <f>IF(E173="","",IF(OR(WEEKDAY(E173,2)=7,COUNTIF($A$6:$A$55,E173)&gt;0),"No","Yes"))</f>
        <v>Yes</v>
      </c>
    </row>
    <row r="174">
      <c r="A174" s="9" t="n"/>
      <c r="B174" s="9" t="n"/>
      <c r="C174" s="9" t="n"/>
      <c r="D174" s="9" t="n"/>
      <c r="E174" s="19">
        <f>IF(E173="","",IF(E173&lt;DATE($B$2+1,1,1)-1,E173+1,""))</f>
        <v>46191</v>
      </c>
      <c r="F174" s="20" t="str">
        <f>IF(E174="","",TEXT(E174,"mmm"))</f>
        <v>Jun</v>
      </c>
      <c r="G174" s="20">
        <f>IF(E174="","",WEEKNUM(E174,2))</f>
        <v>25</v>
      </c>
      <c r="H174" s="20" t="str">
        <f>IF(E174="","",TEXT(E174,"ddd"))</f>
        <v>Thu</v>
      </c>
      <c r="I174" s="20" t="str">
        <f>IF(E174="","",IF(COUNTIF($A$6:$A$55,E174)&gt;0,"Holiday",IF(WEEKDAY(E174,2)=7,"Sunday","Working")))</f>
        <v>Working</v>
      </c>
      <c r="J174" s="20" t="str">
        <f>IF(E174="","",IF(OR(WEEKDAY(E174,2)=7,COUNTIF($A$6:$A$55,E174)&gt;0),"No","Yes"))</f>
        <v>Yes</v>
      </c>
    </row>
    <row r="175">
      <c r="A175" s="9" t="n"/>
      <c r="B175" s="9" t="n"/>
      <c r="C175" s="9" t="n"/>
      <c r="D175" s="9" t="n"/>
      <c r="E175" s="19">
        <f>IF(E174="","",IF(E174&lt;DATE($B$2+1,1,1)-1,E174+1,""))</f>
        <v>46192</v>
      </c>
      <c r="F175" s="20" t="str">
        <f>IF(E175="","",TEXT(E175,"mmm"))</f>
        <v>Jun</v>
      </c>
      <c r="G175" s="20">
        <f>IF(E175="","",WEEKNUM(E175,2))</f>
        <v>25</v>
      </c>
      <c r="H175" s="20" t="str">
        <f>IF(E175="","",TEXT(E175,"ddd"))</f>
        <v>Fri</v>
      </c>
      <c r="I175" s="20" t="str">
        <f>IF(E175="","",IF(COUNTIF($A$6:$A$55,E175)&gt;0,"Holiday",IF(WEEKDAY(E175,2)=7,"Sunday","Working")))</f>
        <v>Working</v>
      </c>
      <c r="J175" s="20" t="str">
        <f>IF(E175="","",IF(OR(WEEKDAY(E175,2)=7,COUNTIF($A$6:$A$55,E175)&gt;0),"No","Yes"))</f>
        <v>Yes</v>
      </c>
    </row>
    <row r="176">
      <c r="A176" s="9" t="n"/>
      <c r="B176" s="9" t="n"/>
      <c r="C176" s="9" t="n"/>
      <c r="D176" s="9" t="n"/>
      <c r="E176" s="19">
        <f>IF(E175="","",IF(E175&lt;DATE($B$2+1,1,1)-1,E175+1,""))</f>
        <v>46193</v>
      </c>
      <c r="F176" s="20" t="str">
        <f>IF(E176="","",TEXT(E176,"mmm"))</f>
        <v>Jun</v>
      </c>
      <c r="G176" s="20">
        <f>IF(E176="","",WEEKNUM(E176,2))</f>
        <v>25</v>
      </c>
      <c r="H176" s="20" t="str">
        <f>IF(E176="","",TEXT(E176,"ddd"))</f>
        <v>Sat</v>
      </c>
      <c r="I176" s="20" t="str">
        <f>IF(E176="","",IF(COUNTIF($A$6:$A$55,E176)&gt;0,"Holiday",IF(WEEKDAY(E176,2)=7,"Sunday","Working")))</f>
        <v>Working</v>
      </c>
      <c r="J176" s="20" t="str">
        <f>IF(E176="","",IF(OR(WEEKDAY(E176,2)=7,COUNTIF($A$6:$A$55,E176)&gt;0),"No","Yes"))</f>
        <v>Yes</v>
      </c>
    </row>
    <row r="177">
      <c r="A177" s="9" t="n"/>
      <c r="B177" s="9" t="n"/>
      <c r="C177" s="9" t="n"/>
      <c r="D177" s="9" t="n"/>
      <c r="E177" s="19">
        <f>IF(E176="","",IF(E176&lt;DATE($B$2+1,1,1)-1,E176+1,""))</f>
        <v>46194</v>
      </c>
      <c r="F177" s="20" t="str">
        <f>IF(E177="","",TEXT(E177,"mmm"))</f>
        <v>Jun</v>
      </c>
      <c r="G177" s="20">
        <f>IF(E177="","",WEEKNUM(E177,2))</f>
        <v>25</v>
      </c>
      <c r="H177" s="20" t="str">
        <f>IF(E177="","",TEXT(E177,"ddd"))</f>
        <v>Sun</v>
      </c>
      <c r="I177" s="20" t="str">
        <f>IF(E177="","",IF(COUNTIF($A$6:$A$55,E177)&gt;0,"Holiday",IF(WEEKDAY(E177,2)=7,"Sunday","Working")))</f>
        <v>Sunday</v>
      </c>
      <c r="J177" s="20" t="str">
        <f>IF(E177="","",IF(OR(WEEKDAY(E177,2)=7,COUNTIF($A$6:$A$55,E177)&gt;0),"No","Yes"))</f>
        <v>No</v>
      </c>
    </row>
    <row r="178">
      <c r="A178" s="9" t="n"/>
      <c r="B178" s="9" t="n"/>
      <c r="C178" s="9" t="n"/>
      <c r="D178" s="9" t="n"/>
      <c r="E178" s="19">
        <f>IF(E177="","",IF(E177&lt;DATE($B$2+1,1,1)-1,E177+1,""))</f>
        <v>46195</v>
      </c>
      <c r="F178" s="20" t="str">
        <f>IF(E178="","",TEXT(E178,"mmm"))</f>
        <v>Jun</v>
      </c>
      <c r="G178" s="20">
        <f>IF(E178="","",WEEKNUM(E178,2))</f>
        <v>26</v>
      </c>
      <c r="H178" s="20" t="str">
        <f>IF(E178="","",TEXT(E178,"ddd"))</f>
        <v>Mon</v>
      </c>
      <c r="I178" s="20" t="str">
        <f>IF(E178="","",IF(COUNTIF($A$6:$A$55,E178)&gt;0,"Holiday",IF(WEEKDAY(E178,2)=7,"Sunday","Working")))</f>
        <v>Working</v>
      </c>
      <c r="J178" s="20" t="str">
        <f>IF(E178="","",IF(OR(WEEKDAY(E178,2)=7,COUNTIF($A$6:$A$55,E178)&gt;0),"No","Yes"))</f>
        <v>Yes</v>
      </c>
    </row>
    <row r="179">
      <c r="A179" s="9" t="n"/>
      <c r="B179" s="9" t="n"/>
      <c r="C179" s="9" t="n"/>
      <c r="D179" s="9" t="n"/>
      <c r="E179" s="19">
        <f>IF(E178="","",IF(E178&lt;DATE($B$2+1,1,1)-1,E178+1,""))</f>
        <v>46196</v>
      </c>
      <c r="F179" s="20" t="str">
        <f>IF(E179="","",TEXT(E179,"mmm"))</f>
        <v>Jun</v>
      </c>
      <c r="G179" s="20">
        <f>IF(E179="","",WEEKNUM(E179,2))</f>
        <v>26</v>
      </c>
      <c r="H179" s="20" t="str">
        <f>IF(E179="","",TEXT(E179,"ddd"))</f>
        <v>Tue</v>
      </c>
      <c r="I179" s="20" t="str">
        <f>IF(E179="","",IF(COUNTIF($A$6:$A$55,E179)&gt;0,"Holiday",IF(WEEKDAY(E179,2)=7,"Sunday","Working")))</f>
        <v>Working</v>
      </c>
      <c r="J179" s="20" t="str">
        <f>IF(E179="","",IF(OR(WEEKDAY(E179,2)=7,COUNTIF($A$6:$A$55,E179)&gt;0),"No","Yes"))</f>
        <v>Yes</v>
      </c>
    </row>
    <row r="180">
      <c r="A180" s="9" t="n"/>
      <c r="B180" s="9" t="n"/>
      <c r="C180" s="9" t="n"/>
      <c r="D180" s="9" t="n"/>
      <c r="E180" s="19">
        <f>IF(E179="","",IF(E179&lt;DATE($B$2+1,1,1)-1,E179+1,""))</f>
        <v>46197</v>
      </c>
      <c r="F180" s="20" t="str">
        <f>IF(E180="","",TEXT(E180,"mmm"))</f>
        <v>Jun</v>
      </c>
      <c r="G180" s="20">
        <f>IF(E180="","",WEEKNUM(E180,2))</f>
        <v>26</v>
      </c>
      <c r="H180" s="20" t="str">
        <f>IF(E180="","",TEXT(E180,"ddd"))</f>
        <v>Wed</v>
      </c>
      <c r="I180" s="20" t="str">
        <f>IF(E180="","",IF(COUNTIF($A$6:$A$55,E180)&gt;0,"Holiday",IF(WEEKDAY(E180,2)=7,"Sunday","Working")))</f>
        <v>Working</v>
      </c>
      <c r="J180" s="20" t="str">
        <f>IF(E180="","",IF(OR(WEEKDAY(E180,2)=7,COUNTIF($A$6:$A$55,E180)&gt;0),"No","Yes"))</f>
        <v>Yes</v>
      </c>
    </row>
    <row r="181">
      <c r="A181" s="9" t="n"/>
      <c r="B181" s="9" t="n"/>
      <c r="C181" s="9" t="n"/>
      <c r="D181" s="9" t="n"/>
      <c r="E181" s="19">
        <f>IF(E180="","",IF(E180&lt;DATE($B$2+1,1,1)-1,E180+1,""))</f>
        <v>46198</v>
      </c>
      <c r="F181" s="20" t="str">
        <f>IF(E181="","",TEXT(E181,"mmm"))</f>
        <v>Jun</v>
      </c>
      <c r="G181" s="20">
        <f>IF(E181="","",WEEKNUM(E181,2))</f>
        <v>26</v>
      </c>
      <c r="H181" s="20" t="str">
        <f>IF(E181="","",TEXT(E181,"ddd"))</f>
        <v>Thu</v>
      </c>
      <c r="I181" s="20" t="str">
        <f>IF(E181="","",IF(COUNTIF($A$6:$A$55,E181)&gt;0,"Holiday",IF(WEEKDAY(E181,2)=7,"Sunday","Working")))</f>
        <v>Working</v>
      </c>
      <c r="J181" s="20" t="str">
        <f>IF(E181="","",IF(OR(WEEKDAY(E181,2)=7,COUNTIF($A$6:$A$55,E181)&gt;0),"No","Yes"))</f>
        <v>Yes</v>
      </c>
    </row>
    <row r="182">
      <c r="A182" s="9" t="n"/>
      <c r="B182" s="9" t="n"/>
      <c r="C182" s="9" t="n"/>
      <c r="D182" s="9" t="n"/>
      <c r="E182" s="19">
        <f>IF(E181="","",IF(E181&lt;DATE($B$2+1,1,1)-1,E181+1,""))</f>
        <v>46199</v>
      </c>
      <c r="F182" s="20" t="str">
        <f>IF(E182="","",TEXT(E182,"mmm"))</f>
        <v>Jun</v>
      </c>
      <c r="G182" s="20">
        <f>IF(E182="","",WEEKNUM(E182,2))</f>
        <v>26</v>
      </c>
      <c r="H182" s="20" t="str">
        <f>IF(E182="","",TEXT(E182,"ddd"))</f>
        <v>Fri</v>
      </c>
      <c r="I182" s="20" t="str">
        <f>IF(E182="","",IF(COUNTIF($A$6:$A$55,E182)&gt;0,"Holiday",IF(WEEKDAY(E182,2)=7,"Sunday","Working")))</f>
        <v>Working</v>
      </c>
      <c r="J182" s="20" t="str">
        <f>IF(E182="","",IF(OR(WEEKDAY(E182,2)=7,COUNTIF($A$6:$A$55,E182)&gt;0),"No","Yes"))</f>
        <v>Yes</v>
      </c>
    </row>
    <row r="183">
      <c r="A183" s="9" t="n"/>
      <c r="B183" s="9" t="n"/>
      <c r="C183" s="9" t="n"/>
      <c r="D183" s="9" t="n"/>
      <c r="E183" s="19">
        <f>IF(E182="","",IF(E182&lt;DATE($B$2+1,1,1)-1,E182+1,""))</f>
        <v>46200</v>
      </c>
      <c r="F183" s="20" t="str">
        <f>IF(E183="","",TEXT(E183,"mmm"))</f>
        <v>Jun</v>
      </c>
      <c r="G183" s="20">
        <f>IF(E183="","",WEEKNUM(E183,2))</f>
        <v>26</v>
      </c>
      <c r="H183" s="20" t="str">
        <f>IF(E183="","",TEXT(E183,"ddd"))</f>
        <v>Sat</v>
      </c>
      <c r="I183" s="20" t="str">
        <f>IF(E183="","",IF(COUNTIF($A$6:$A$55,E183)&gt;0,"Holiday",IF(WEEKDAY(E183,2)=7,"Sunday","Working")))</f>
        <v>Working</v>
      </c>
      <c r="J183" s="20" t="str">
        <f>IF(E183="","",IF(OR(WEEKDAY(E183,2)=7,COUNTIF($A$6:$A$55,E183)&gt;0),"No","Yes"))</f>
        <v>Yes</v>
      </c>
    </row>
    <row r="184">
      <c r="A184" s="9" t="n"/>
      <c r="B184" s="9" t="n"/>
      <c r="C184" s="9" t="n"/>
      <c r="D184" s="9" t="n"/>
      <c r="E184" s="19">
        <f>IF(E183="","",IF(E183&lt;DATE($B$2+1,1,1)-1,E183+1,""))</f>
        <v>46201</v>
      </c>
      <c r="F184" s="20" t="str">
        <f>IF(E184="","",TEXT(E184,"mmm"))</f>
        <v>Jun</v>
      </c>
      <c r="G184" s="20">
        <f>IF(E184="","",WEEKNUM(E184,2))</f>
        <v>26</v>
      </c>
      <c r="H184" s="20" t="str">
        <f>IF(E184="","",TEXT(E184,"ddd"))</f>
        <v>Sun</v>
      </c>
      <c r="I184" s="20" t="str">
        <f>IF(E184="","",IF(COUNTIF($A$6:$A$55,E184)&gt;0,"Holiday",IF(WEEKDAY(E184,2)=7,"Sunday","Working")))</f>
        <v>Sunday</v>
      </c>
      <c r="J184" s="20" t="str">
        <f>IF(E184="","",IF(OR(WEEKDAY(E184,2)=7,COUNTIF($A$6:$A$55,E184)&gt;0),"No","Yes"))</f>
        <v>No</v>
      </c>
    </row>
    <row r="185">
      <c r="A185" s="9" t="n"/>
      <c r="B185" s="9" t="n"/>
      <c r="C185" s="9" t="n"/>
      <c r="D185" s="9" t="n"/>
      <c r="E185" s="19">
        <f>IF(E184="","",IF(E184&lt;DATE($B$2+1,1,1)-1,E184+1,""))</f>
        <v>46202</v>
      </c>
      <c r="F185" s="20" t="str">
        <f>IF(E185="","",TEXT(E185,"mmm"))</f>
        <v>Jun</v>
      </c>
      <c r="G185" s="20">
        <f>IF(E185="","",WEEKNUM(E185,2))</f>
        <v>27</v>
      </c>
      <c r="H185" s="20" t="str">
        <f>IF(E185="","",TEXT(E185,"ddd"))</f>
        <v>Mon</v>
      </c>
      <c r="I185" s="20" t="str">
        <f>IF(E185="","",IF(COUNTIF($A$6:$A$55,E185)&gt;0,"Holiday",IF(WEEKDAY(E185,2)=7,"Sunday","Working")))</f>
        <v>Working</v>
      </c>
      <c r="J185" s="20" t="str">
        <f>IF(E185="","",IF(OR(WEEKDAY(E185,2)=7,COUNTIF($A$6:$A$55,E185)&gt;0),"No","Yes"))</f>
        <v>Yes</v>
      </c>
    </row>
    <row r="186">
      <c r="A186" s="9" t="n"/>
      <c r="B186" s="9" t="n"/>
      <c r="C186" s="9" t="n"/>
      <c r="D186" s="9" t="n"/>
      <c r="E186" s="19">
        <f>IF(E185="","",IF(E185&lt;DATE($B$2+1,1,1)-1,E185+1,""))</f>
        <v>46203</v>
      </c>
      <c r="F186" s="20" t="str">
        <f>IF(E186="","",TEXT(E186,"mmm"))</f>
        <v>Jun</v>
      </c>
      <c r="G186" s="20">
        <f>IF(E186="","",WEEKNUM(E186,2))</f>
        <v>27</v>
      </c>
      <c r="H186" s="20" t="str">
        <f>IF(E186="","",TEXT(E186,"ddd"))</f>
        <v>Tue</v>
      </c>
      <c r="I186" s="20" t="str">
        <f>IF(E186="","",IF(COUNTIF($A$6:$A$55,E186)&gt;0,"Holiday",IF(WEEKDAY(E186,2)=7,"Sunday","Working")))</f>
        <v>Working</v>
      </c>
      <c r="J186" s="20" t="str">
        <f>IF(E186="","",IF(OR(WEEKDAY(E186,2)=7,COUNTIF($A$6:$A$55,E186)&gt;0),"No","Yes"))</f>
        <v>Yes</v>
      </c>
    </row>
    <row r="187">
      <c r="A187" s="9" t="n"/>
      <c r="B187" s="9" t="n"/>
      <c r="C187" s="9" t="n"/>
      <c r="D187" s="9" t="n"/>
      <c r="E187" s="19">
        <f>IF(E186="","",IF(E186&lt;DATE($B$2+1,1,1)-1,E186+1,""))</f>
        <v>46204</v>
      </c>
      <c r="F187" s="20" t="str">
        <f>IF(E187="","",TEXT(E187,"mmm"))</f>
        <v>Jul</v>
      </c>
      <c r="G187" s="20">
        <f>IF(E187="","",WEEKNUM(E187,2))</f>
        <v>27</v>
      </c>
      <c r="H187" s="20" t="str">
        <f>IF(E187="","",TEXT(E187,"ddd"))</f>
        <v>Wed</v>
      </c>
      <c r="I187" s="20" t="str">
        <f>IF(E187="","",IF(COUNTIF($A$6:$A$55,E187)&gt;0,"Holiday",IF(WEEKDAY(E187,2)=7,"Sunday","Working")))</f>
        <v>Working</v>
      </c>
      <c r="J187" s="20" t="str">
        <f>IF(E187="","",IF(OR(WEEKDAY(E187,2)=7,COUNTIF($A$6:$A$55,E187)&gt;0),"No","Yes"))</f>
        <v>Yes</v>
      </c>
    </row>
    <row r="188">
      <c r="A188" s="9" t="n"/>
      <c r="B188" s="9" t="n"/>
      <c r="C188" s="9" t="n"/>
      <c r="D188" s="9" t="n"/>
      <c r="E188" s="19">
        <f>IF(E187="","",IF(E187&lt;DATE($B$2+1,1,1)-1,E187+1,""))</f>
        <v>46205</v>
      </c>
      <c r="F188" s="20" t="str">
        <f>IF(E188="","",TEXT(E188,"mmm"))</f>
        <v>Jul</v>
      </c>
      <c r="G188" s="20">
        <f>IF(E188="","",WEEKNUM(E188,2))</f>
        <v>27</v>
      </c>
      <c r="H188" s="20" t="str">
        <f>IF(E188="","",TEXT(E188,"ddd"))</f>
        <v>Thu</v>
      </c>
      <c r="I188" s="20" t="str">
        <f>IF(E188="","",IF(COUNTIF($A$6:$A$55,E188)&gt;0,"Holiday",IF(WEEKDAY(E188,2)=7,"Sunday","Working")))</f>
        <v>Working</v>
      </c>
      <c r="J188" s="20" t="str">
        <f>IF(E188="","",IF(OR(WEEKDAY(E188,2)=7,COUNTIF($A$6:$A$55,E188)&gt;0),"No","Yes"))</f>
        <v>Yes</v>
      </c>
    </row>
    <row r="189">
      <c r="A189" s="9" t="n"/>
      <c r="B189" s="9" t="n"/>
      <c r="C189" s="9" t="n"/>
      <c r="D189" s="9" t="n"/>
      <c r="E189" s="19">
        <f>IF(E188="","",IF(E188&lt;DATE($B$2+1,1,1)-1,E188+1,""))</f>
        <v>46206</v>
      </c>
      <c r="F189" s="20" t="str">
        <f>IF(E189="","",TEXT(E189,"mmm"))</f>
        <v>Jul</v>
      </c>
      <c r="G189" s="20">
        <f>IF(E189="","",WEEKNUM(E189,2))</f>
        <v>27</v>
      </c>
      <c r="H189" s="20" t="str">
        <f>IF(E189="","",TEXT(E189,"ddd"))</f>
        <v>Fri</v>
      </c>
      <c r="I189" s="20" t="str">
        <f>IF(E189="","",IF(COUNTIF($A$6:$A$55,E189)&gt;0,"Holiday",IF(WEEKDAY(E189,2)=7,"Sunday","Working")))</f>
        <v>Working</v>
      </c>
      <c r="J189" s="20" t="str">
        <f>IF(E189="","",IF(OR(WEEKDAY(E189,2)=7,COUNTIF($A$6:$A$55,E189)&gt;0),"No","Yes"))</f>
        <v>Yes</v>
      </c>
    </row>
    <row r="190">
      <c r="A190" s="9" t="n"/>
      <c r="B190" s="9" t="n"/>
      <c r="C190" s="9" t="n"/>
      <c r="D190" s="9" t="n"/>
      <c r="E190" s="19">
        <f>IF(E189="","",IF(E189&lt;DATE($B$2+1,1,1)-1,E189+1,""))</f>
        <v>46207</v>
      </c>
      <c r="F190" s="20" t="str">
        <f>IF(E190="","",TEXT(E190,"mmm"))</f>
        <v>Jul</v>
      </c>
      <c r="G190" s="20">
        <f>IF(E190="","",WEEKNUM(E190,2))</f>
        <v>27</v>
      </c>
      <c r="H190" s="20" t="str">
        <f>IF(E190="","",TEXT(E190,"ddd"))</f>
        <v>Sat</v>
      </c>
      <c r="I190" s="20" t="str">
        <f>IF(E190="","",IF(COUNTIF($A$6:$A$55,E190)&gt;0,"Holiday",IF(WEEKDAY(E190,2)=7,"Sunday","Working")))</f>
        <v>Working</v>
      </c>
      <c r="J190" s="20" t="str">
        <f>IF(E190="","",IF(OR(WEEKDAY(E190,2)=7,COUNTIF($A$6:$A$55,E190)&gt;0),"No","Yes"))</f>
        <v>Yes</v>
      </c>
    </row>
    <row r="191">
      <c r="A191" s="9" t="n"/>
      <c r="B191" s="9" t="n"/>
      <c r="C191" s="9" t="n"/>
      <c r="D191" s="9" t="n"/>
      <c r="E191" s="19">
        <f>IF(E190="","",IF(E190&lt;DATE($B$2+1,1,1)-1,E190+1,""))</f>
        <v>46208</v>
      </c>
      <c r="F191" s="20" t="str">
        <f>IF(E191="","",TEXT(E191,"mmm"))</f>
        <v>Jul</v>
      </c>
      <c r="G191" s="20">
        <f>IF(E191="","",WEEKNUM(E191,2))</f>
        <v>27</v>
      </c>
      <c r="H191" s="20" t="str">
        <f>IF(E191="","",TEXT(E191,"ddd"))</f>
        <v>Sun</v>
      </c>
      <c r="I191" s="20" t="str">
        <f>IF(E191="","",IF(COUNTIF($A$6:$A$55,E191)&gt;0,"Holiday",IF(WEEKDAY(E191,2)=7,"Sunday","Working")))</f>
        <v>Sunday</v>
      </c>
      <c r="J191" s="20" t="str">
        <f>IF(E191="","",IF(OR(WEEKDAY(E191,2)=7,COUNTIF($A$6:$A$55,E191)&gt;0),"No","Yes"))</f>
        <v>No</v>
      </c>
    </row>
    <row r="192">
      <c r="A192" s="9" t="n"/>
      <c r="B192" s="9" t="n"/>
      <c r="C192" s="9" t="n"/>
      <c r="D192" s="9" t="n"/>
      <c r="E192" s="19">
        <f>IF(E191="","",IF(E191&lt;DATE($B$2+1,1,1)-1,E191+1,""))</f>
        <v>46209</v>
      </c>
      <c r="F192" s="20" t="str">
        <f>IF(E192="","",TEXT(E192,"mmm"))</f>
        <v>Jul</v>
      </c>
      <c r="G192" s="20">
        <f>IF(E192="","",WEEKNUM(E192,2))</f>
        <v>28</v>
      </c>
      <c r="H192" s="20" t="str">
        <f>IF(E192="","",TEXT(E192,"ddd"))</f>
        <v>Mon</v>
      </c>
      <c r="I192" s="20" t="str">
        <f>IF(E192="","",IF(COUNTIF($A$6:$A$55,E192)&gt;0,"Holiday",IF(WEEKDAY(E192,2)=7,"Sunday","Working")))</f>
        <v>Working</v>
      </c>
      <c r="J192" s="20" t="str">
        <f>IF(E192="","",IF(OR(WEEKDAY(E192,2)=7,COUNTIF($A$6:$A$55,E192)&gt;0),"No","Yes"))</f>
        <v>Yes</v>
      </c>
    </row>
    <row r="193">
      <c r="A193" s="9" t="n"/>
      <c r="B193" s="9" t="n"/>
      <c r="C193" s="9" t="n"/>
      <c r="D193" s="9" t="n"/>
      <c r="E193" s="19">
        <f>IF(E192="","",IF(E192&lt;DATE($B$2+1,1,1)-1,E192+1,""))</f>
        <v>46210</v>
      </c>
      <c r="F193" s="20" t="str">
        <f>IF(E193="","",TEXT(E193,"mmm"))</f>
        <v>Jul</v>
      </c>
      <c r="G193" s="20">
        <f>IF(E193="","",WEEKNUM(E193,2))</f>
        <v>28</v>
      </c>
      <c r="H193" s="20" t="str">
        <f>IF(E193="","",TEXT(E193,"ddd"))</f>
        <v>Tue</v>
      </c>
      <c r="I193" s="20" t="str">
        <f>IF(E193="","",IF(COUNTIF($A$6:$A$55,E193)&gt;0,"Holiday",IF(WEEKDAY(E193,2)=7,"Sunday","Working")))</f>
        <v>Working</v>
      </c>
      <c r="J193" s="20" t="str">
        <f>IF(E193="","",IF(OR(WEEKDAY(E193,2)=7,COUNTIF($A$6:$A$55,E193)&gt;0),"No","Yes"))</f>
        <v>Yes</v>
      </c>
    </row>
    <row r="194">
      <c r="A194" s="9" t="n"/>
      <c r="B194" s="9" t="n"/>
      <c r="C194" s="9" t="n"/>
      <c r="D194" s="9" t="n"/>
      <c r="E194" s="19">
        <f>IF(E193="","",IF(E193&lt;DATE($B$2+1,1,1)-1,E193+1,""))</f>
        <v>46211</v>
      </c>
      <c r="F194" s="20" t="str">
        <f>IF(E194="","",TEXT(E194,"mmm"))</f>
        <v>Jul</v>
      </c>
      <c r="G194" s="20">
        <f>IF(E194="","",WEEKNUM(E194,2))</f>
        <v>28</v>
      </c>
      <c r="H194" s="20" t="str">
        <f>IF(E194="","",TEXT(E194,"ddd"))</f>
        <v>Wed</v>
      </c>
      <c r="I194" s="20" t="str">
        <f>IF(E194="","",IF(COUNTIF($A$6:$A$55,E194)&gt;0,"Holiday",IF(WEEKDAY(E194,2)=7,"Sunday","Working")))</f>
        <v>Working</v>
      </c>
      <c r="J194" s="20" t="str">
        <f>IF(E194="","",IF(OR(WEEKDAY(E194,2)=7,COUNTIF($A$6:$A$55,E194)&gt;0),"No","Yes"))</f>
        <v>Yes</v>
      </c>
    </row>
    <row r="195">
      <c r="A195" s="9" t="n"/>
      <c r="B195" s="9" t="n"/>
      <c r="C195" s="9" t="n"/>
      <c r="D195" s="9" t="n"/>
      <c r="E195" s="19">
        <f>IF(E194="","",IF(E194&lt;DATE($B$2+1,1,1)-1,E194+1,""))</f>
        <v>46212</v>
      </c>
      <c r="F195" s="20" t="str">
        <f>IF(E195="","",TEXT(E195,"mmm"))</f>
        <v>Jul</v>
      </c>
      <c r="G195" s="20">
        <f>IF(E195="","",WEEKNUM(E195,2))</f>
        <v>28</v>
      </c>
      <c r="H195" s="20" t="str">
        <f>IF(E195="","",TEXT(E195,"ddd"))</f>
        <v>Thu</v>
      </c>
      <c r="I195" s="20" t="str">
        <f>IF(E195="","",IF(COUNTIF($A$6:$A$55,E195)&gt;0,"Holiday",IF(WEEKDAY(E195,2)=7,"Sunday","Working")))</f>
        <v>Working</v>
      </c>
      <c r="J195" s="20" t="str">
        <f>IF(E195="","",IF(OR(WEEKDAY(E195,2)=7,COUNTIF($A$6:$A$55,E195)&gt;0),"No","Yes"))</f>
        <v>Yes</v>
      </c>
    </row>
    <row r="196">
      <c r="A196" s="9" t="n"/>
      <c r="B196" s="9" t="n"/>
      <c r="C196" s="9" t="n"/>
      <c r="D196" s="9" t="n"/>
      <c r="E196" s="19">
        <f>IF(E195="","",IF(E195&lt;DATE($B$2+1,1,1)-1,E195+1,""))</f>
        <v>46213</v>
      </c>
      <c r="F196" s="20" t="str">
        <f>IF(E196="","",TEXT(E196,"mmm"))</f>
        <v>Jul</v>
      </c>
      <c r="G196" s="20">
        <f>IF(E196="","",WEEKNUM(E196,2))</f>
        <v>28</v>
      </c>
      <c r="H196" s="20" t="str">
        <f>IF(E196="","",TEXT(E196,"ddd"))</f>
        <v>Fri</v>
      </c>
      <c r="I196" s="20" t="str">
        <f>IF(E196="","",IF(COUNTIF($A$6:$A$55,E196)&gt;0,"Holiday",IF(WEEKDAY(E196,2)=7,"Sunday","Working")))</f>
        <v>Working</v>
      </c>
      <c r="J196" s="20" t="str">
        <f>IF(E196="","",IF(OR(WEEKDAY(E196,2)=7,COUNTIF($A$6:$A$55,E196)&gt;0),"No","Yes"))</f>
        <v>Yes</v>
      </c>
    </row>
    <row r="197">
      <c r="A197" s="9" t="n"/>
      <c r="B197" s="9" t="n"/>
      <c r="C197" s="9" t="n"/>
      <c r="D197" s="9" t="n"/>
      <c r="E197" s="19">
        <f>IF(E196="","",IF(E196&lt;DATE($B$2+1,1,1)-1,E196+1,""))</f>
        <v>46214</v>
      </c>
      <c r="F197" s="20" t="str">
        <f>IF(E197="","",TEXT(E197,"mmm"))</f>
        <v>Jul</v>
      </c>
      <c r="G197" s="20">
        <f>IF(E197="","",WEEKNUM(E197,2))</f>
        <v>28</v>
      </c>
      <c r="H197" s="20" t="str">
        <f>IF(E197="","",TEXT(E197,"ddd"))</f>
        <v>Sat</v>
      </c>
      <c r="I197" s="20" t="str">
        <f>IF(E197="","",IF(COUNTIF($A$6:$A$55,E197)&gt;0,"Holiday",IF(WEEKDAY(E197,2)=7,"Sunday","Working")))</f>
        <v>Working</v>
      </c>
      <c r="J197" s="20" t="str">
        <f>IF(E197="","",IF(OR(WEEKDAY(E197,2)=7,COUNTIF($A$6:$A$55,E197)&gt;0),"No","Yes"))</f>
        <v>Yes</v>
      </c>
    </row>
    <row r="198">
      <c r="A198" s="9" t="n"/>
      <c r="B198" s="9" t="n"/>
      <c r="C198" s="9" t="n"/>
      <c r="D198" s="9" t="n"/>
      <c r="E198" s="19">
        <f>IF(E197="","",IF(E197&lt;DATE($B$2+1,1,1)-1,E197+1,""))</f>
        <v>46215</v>
      </c>
      <c r="F198" s="20" t="str">
        <f>IF(E198="","",TEXT(E198,"mmm"))</f>
        <v>Jul</v>
      </c>
      <c r="G198" s="20">
        <f>IF(E198="","",WEEKNUM(E198,2))</f>
        <v>28</v>
      </c>
      <c r="H198" s="20" t="str">
        <f>IF(E198="","",TEXT(E198,"ddd"))</f>
        <v>Sun</v>
      </c>
      <c r="I198" s="20" t="str">
        <f>IF(E198="","",IF(COUNTIF($A$6:$A$55,E198)&gt;0,"Holiday",IF(WEEKDAY(E198,2)=7,"Sunday","Working")))</f>
        <v>Sunday</v>
      </c>
      <c r="J198" s="20" t="str">
        <f>IF(E198="","",IF(OR(WEEKDAY(E198,2)=7,COUNTIF($A$6:$A$55,E198)&gt;0),"No","Yes"))</f>
        <v>No</v>
      </c>
    </row>
    <row r="199">
      <c r="A199" s="9" t="n"/>
      <c r="B199" s="9" t="n"/>
      <c r="C199" s="9" t="n"/>
      <c r="D199" s="9" t="n"/>
      <c r="E199" s="19">
        <f>IF(E198="","",IF(E198&lt;DATE($B$2+1,1,1)-1,E198+1,""))</f>
        <v>46216</v>
      </c>
      <c r="F199" s="20" t="str">
        <f>IF(E199="","",TEXT(E199,"mmm"))</f>
        <v>Jul</v>
      </c>
      <c r="G199" s="20">
        <f>IF(E199="","",WEEKNUM(E199,2))</f>
        <v>29</v>
      </c>
      <c r="H199" s="20" t="str">
        <f>IF(E199="","",TEXT(E199,"ddd"))</f>
        <v>Mon</v>
      </c>
      <c r="I199" s="20" t="str">
        <f>IF(E199="","",IF(COUNTIF($A$6:$A$55,E199)&gt;0,"Holiday",IF(WEEKDAY(E199,2)=7,"Sunday","Working")))</f>
        <v>Working</v>
      </c>
      <c r="J199" s="20" t="str">
        <f>IF(E199="","",IF(OR(WEEKDAY(E199,2)=7,COUNTIF($A$6:$A$55,E199)&gt;0),"No","Yes"))</f>
        <v>Yes</v>
      </c>
    </row>
    <row r="200">
      <c r="A200" s="9" t="n"/>
      <c r="B200" s="9" t="n"/>
      <c r="C200" s="9" t="n"/>
      <c r="D200" s="9" t="n"/>
      <c r="E200" s="19">
        <f>IF(E199="","",IF(E199&lt;DATE($B$2+1,1,1)-1,E199+1,""))</f>
        <v>46217</v>
      </c>
      <c r="F200" s="20" t="str">
        <f>IF(E200="","",TEXT(E200,"mmm"))</f>
        <v>Jul</v>
      </c>
      <c r="G200" s="20">
        <f>IF(E200="","",WEEKNUM(E200,2))</f>
        <v>29</v>
      </c>
      <c r="H200" s="20" t="str">
        <f>IF(E200="","",TEXT(E200,"ddd"))</f>
        <v>Tue</v>
      </c>
      <c r="I200" s="20" t="str">
        <f>IF(E200="","",IF(COUNTIF($A$6:$A$55,E200)&gt;0,"Holiday",IF(WEEKDAY(E200,2)=7,"Sunday","Working")))</f>
        <v>Working</v>
      </c>
      <c r="J200" s="20" t="str">
        <f>IF(E200="","",IF(OR(WEEKDAY(E200,2)=7,COUNTIF($A$6:$A$55,E200)&gt;0),"No","Yes"))</f>
        <v>Yes</v>
      </c>
    </row>
    <row r="201">
      <c r="A201" s="9" t="n"/>
      <c r="B201" s="9" t="n"/>
      <c r="C201" s="9" t="n"/>
      <c r="D201" s="9" t="n"/>
      <c r="E201" s="19">
        <f>IF(E200="","",IF(E200&lt;DATE($B$2+1,1,1)-1,E200+1,""))</f>
        <v>46218</v>
      </c>
      <c r="F201" s="20" t="str">
        <f>IF(E201="","",TEXT(E201,"mmm"))</f>
        <v>Jul</v>
      </c>
      <c r="G201" s="20">
        <f>IF(E201="","",WEEKNUM(E201,2))</f>
        <v>29</v>
      </c>
      <c r="H201" s="20" t="str">
        <f>IF(E201="","",TEXT(E201,"ddd"))</f>
        <v>Wed</v>
      </c>
      <c r="I201" s="20" t="str">
        <f>IF(E201="","",IF(COUNTIF($A$6:$A$55,E201)&gt;0,"Holiday",IF(WEEKDAY(E201,2)=7,"Sunday","Working")))</f>
        <v>Working</v>
      </c>
      <c r="J201" s="20" t="str">
        <f>IF(E201="","",IF(OR(WEEKDAY(E201,2)=7,COUNTIF($A$6:$A$55,E201)&gt;0),"No","Yes"))</f>
        <v>Yes</v>
      </c>
    </row>
    <row r="202">
      <c r="A202" s="9" t="n"/>
      <c r="B202" s="9" t="n"/>
      <c r="C202" s="9" t="n"/>
      <c r="D202" s="9" t="n"/>
      <c r="E202" s="19">
        <f>IF(E201="","",IF(E201&lt;DATE($B$2+1,1,1)-1,E201+1,""))</f>
        <v>46219</v>
      </c>
      <c r="F202" s="20" t="str">
        <f>IF(E202="","",TEXT(E202,"mmm"))</f>
        <v>Jul</v>
      </c>
      <c r="G202" s="20">
        <f>IF(E202="","",WEEKNUM(E202,2))</f>
        <v>29</v>
      </c>
      <c r="H202" s="20" t="str">
        <f>IF(E202="","",TEXT(E202,"ddd"))</f>
        <v>Thu</v>
      </c>
      <c r="I202" s="20" t="str">
        <f>IF(E202="","",IF(COUNTIF($A$6:$A$55,E202)&gt;0,"Holiday",IF(WEEKDAY(E202,2)=7,"Sunday","Working")))</f>
        <v>Working</v>
      </c>
      <c r="J202" s="20" t="str">
        <f>IF(E202="","",IF(OR(WEEKDAY(E202,2)=7,COUNTIF($A$6:$A$55,E202)&gt;0),"No","Yes"))</f>
        <v>Yes</v>
      </c>
    </row>
    <row r="203">
      <c r="A203" s="9" t="n"/>
      <c r="B203" s="9" t="n"/>
      <c r="C203" s="9" t="n"/>
      <c r="D203" s="9" t="n"/>
      <c r="E203" s="19">
        <f>IF(E202="","",IF(E202&lt;DATE($B$2+1,1,1)-1,E202+1,""))</f>
        <v>46220</v>
      </c>
      <c r="F203" s="20" t="str">
        <f>IF(E203="","",TEXT(E203,"mmm"))</f>
        <v>Jul</v>
      </c>
      <c r="G203" s="20">
        <f>IF(E203="","",WEEKNUM(E203,2))</f>
        <v>29</v>
      </c>
      <c r="H203" s="20" t="str">
        <f>IF(E203="","",TEXT(E203,"ddd"))</f>
        <v>Fri</v>
      </c>
      <c r="I203" s="20" t="str">
        <f>IF(E203="","",IF(COUNTIF($A$6:$A$55,E203)&gt;0,"Holiday",IF(WEEKDAY(E203,2)=7,"Sunday","Working")))</f>
        <v>Working</v>
      </c>
      <c r="J203" s="20" t="str">
        <f>IF(E203="","",IF(OR(WEEKDAY(E203,2)=7,COUNTIF($A$6:$A$55,E203)&gt;0),"No","Yes"))</f>
        <v>Yes</v>
      </c>
    </row>
    <row r="204">
      <c r="A204" s="9" t="n"/>
      <c r="B204" s="9" t="n"/>
      <c r="C204" s="9" t="n"/>
      <c r="D204" s="9" t="n"/>
      <c r="E204" s="19">
        <f>IF(E203="","",IF(E203&lt;DATE($B$2+1,1,1)-1,E203+1,""))</f>
        <v>46221</v>
      </c>
      <c r="F204" s="20" t="str">
        <f>IF(E204="","",TEXT(E204,"mmm"))</f>
        <v>Jul</v>
      </c>
      <c r="G204" s="20">
        <f>IF(E204="","",WEEKNUM(E204,2))</f>
        <v>29</v>
      </c>
      <c r="H204" s="20" t="str">
        <f>IF(E204="","",TEXT(E204,"ddd"))</f>
        <v>Sat</v>
      </c>
      <c r="I204" s="20" t="str">
        <f>IF(E204="","",IF(COUNTIF($A$6:$A$55,E204)&gt;0,"Holiday",IF(WEEKDAY(E204,2)=7,"Sunday","Working")))</f>
        <v>Working</v>
      </c>
      <c r="J204" s="20" t="str">
        <f>IF(E204="","",IF(OR(WEEKDAY(E204,2)=7,COUNTIF($A$6:$A$55,E204)&gt;0),"No","Yes"))</f>
        <v>Yes</v>
      </c>
    </row>
    <row r="205">
      <c r="A205" s="9" t="n"/>
      <c r="B205" s="9" t="n"/>
      <c r="C205" s="9" t="n"/>
      <c r="D205" s="9" t="n"/>
      <c r="E205" s="19">
        <f>IF(E204="","",IF(E204&lt;DATE($B$2+1,1,1)-1,E204+1,""))</f>
        <v>46222</v>
      </c>
      <c r="F205" s="20" t="str">
        <f>IF(E205="","",TEXT(E205,"mmm"))</f>
        <v>Jul</v>
      </c>
      <c r="G205" s="20">
        <f>IF(E205="","",WEEKNUM(E205,2))</f>
        <v>29</v>
      </c>
      <c r="H205" s="20" t="str">
        <f>IF(E205="","",TEXT(E205,"ddd"))</f>
        <v>Sun</v>
      </c>
      <c r="I205" s="20" t="str">
        <f>IF(E205="","",IF(COUNTIF($A$6:$A$55,E205)&gt;0,"Holiday",IF(WEEKDAY(E205,2)=7,"Sunday","Working")))</f>
        <v>Sunday</v>
      </c>
      <c r="J205" s="20" t="str">
        <f>IF(E205="","",IF(OR(WEEKDAY(E205,2)=7,COUNTIF($A$6:$A$55,E205)&gt;0),"No","Yes"))</f>
        <v>No</v>
      </c>
    </row>
    <row r="206">
      <c r="A206" s="9" t="n"/>
      <c r="B206" s="9" t="n"/>
      <c r="C206" s="9" t="n"/>
      <c r="D206" s="9" t="n"/>
      <c r="E206" s="19">
        <f>IF(E205="","",IF(E205&lt;DATE($B$2+1,1,1)-1,E205+1,""))</f>
        <v>46223</v>
      </c>
      <c r="F206" s="20" t="str">
        <f>IF(E206="","",TEXT(E206,"mmm"))</f>
        <v>Jul</v>
      </c>
      <c r="G206" s="20">
        <f>IF(E206="","",WEEKNUM(E206,2))</f>
        <v>30</v>
      </c>
      <c r="H206" s="20" t="str">
        <f>IF(E206="","",TEXT(E206,"ddd"))</f>
        <v>Mon</v>
      </c>
      <c r="I206" s="20" t="str">
        <f>IF(E206="","",IF(COUNTIF($A$6:$A$55,E206)&gt;0,"Holiday",IF(WEEKDAY(E206,2)=7,"Sunday","Working")))</f>
        <v>Working</v>
      </c>
      <c r="J206" s="20" t="str">
        <f>IF(E206="","",IF(OR(WEEKDAY(E206,2)=7,COUNTIF($A$6:$A$55,E206)&gt;0),"No","Yes"))</f>
        <v>Yes</v>
      </c>
    </row>
    <row r="207">
      <c r="A207" s="9" t="n"/>
      <c r="B207" s="9" t="n"/>
      <c r="C207" s="9" t="n"/>
      <c r="D207" s="9" t="n"/>
      <c r="E207" s="19">
        <f>IF(E206="","",IF(E206&lt;DATE($B$2+1,1,1)-1,E206+1,""))</f>
        <v>46224</v>
      </c>
      <c r="F207" s="20" t="str">
        <f>IF(E207="","",TEXT(E207,"mmm"))</f>
        <v>Jul</v>
      </c>
      <c r="G207" s="20">
        <f>IF(E207="","",WEEKNUM(E207,2))</f>
        <v>30</v>
      </c>
      <c r="H207" s="20" t="str">
        <f>IF(E207="","",TEXT(E207,"ddd"))</f>
        <v>Tue</v>
      </c>
      <c r="I207" s="20" t="str">
        <f>IF(E207="","",IF(COUNTIF($A$6:$A$55,E207)&gt;0,"Holiday",IF(WEEKDAY(E207,2)=7,"Sunday","Working")))</f>
        <v>Working</v>
      </c>
      <c r="J207" s="20" t="str">
        <f>IF(E207="","",IF(OR(WEEKDAY(E207,2)=7,COUNTIF($A$6:$A$55,E207)&gt;0),"No","Yes"))</f>
        <v>Yes</v>
      </c>
    </row>
    <row r="208">
      <c r="A208" s="9" t="n"/>
      <c r="B208" s="9" t="n"/>
      <c r="C208" s="9" t="n"/>
      <c r="D208" s="9" t="n"/>
      <c r="E208" s="19">
        <f>IF(E207="","",IF(E207&lt;DATE($B$2+1,1,1)-1,E207+1,""))</f>
        <v>46225</v>
      </c>
      <c r="F208" s="20" t="str">
        <f>IF(E208="","",TEXT(E208,"mmm"))</f>
        <v>Jul</v>
      </c>
      <c r="G208" s="20">
        <f>IF(E208="","",WEEKNUM(E208,2))</f>
        <v>30</v>
      </c>
      <c r="H208" s="20" t="str">
        <f>IF(E208="","",TEXT(E208,"ddd"))</f>
        <v>Wed</v>
      </c>
      <c r="I208" s="20" t="str">
        <f>IF(E208="","",IF(COUNTIF($A$6:$A$55,E208)&gt;0,"Holiday",IF(WEEKDAY(E208,2)=7,"Sunday","Working")))</f>
        <v>Working</v>
      </c>
      <c r="J208" s="20" t="str">
        <f>IF(E208="","",IF(OR(WEEKDAY(E208,2)=7,COUNTIF($A$6:$A$55,E208)&gt;0),"No","Yes"))</f>
        <v>Yes</v>
      </c>
    </row>
    <row r="209">
      <c r="A209" s="9" t="n"/>
      <c r="B209" s="9" t="n"/>
      <c r="C209" s="9" t="n"/>
      <c r="D209" s="9" t="n"/>
      <c r="E209" s="19">
        <f>IF(E208="","",IF(E208&lt;DATE($B$2+1,1,1)-1,E208+1,""))</f>
        <v>46226</v>
      </c>
      <c r="F209" s="20" t="str">
        <f>IF(E209="","",TEXT(E209,"mmm"))</f>
        <v>Jul</v>
      </c>
      <c r="G209" s="20">
        <f>IF(E209="","",WEEKNUM(E209,2))</f>
        <v>30</v>
      </c>
      <c r="H209" s="20" t="str">
        <f>IF(E209="","",TEXT(E209,"ddd"))</f>
        <v>Thu</v>
      </c>
      <c r="I209" s="20" t="str">
        <f>IF(E209="","",IF(COUNTIF($A$6:$A$55,E209)&gt;0,"Holiday",IF(WEEKDAY(E209,2)=7,"Sunday","Working")))</f>
        <v>Working</v>
      </c>
      <c r="J209" s="20" t="str">
        <f>IF(E209="","",IF(OR(WEEKDAY(E209,2)=7,COUNTIF($A$6:$A$55,E209)&gt;0),"No","Yes"))</f>
        <v>Yes</v>
      </c>
    </row>
    <row r="210">
      <c r="A210" s="9" t="n"/>
      <c r="B210" s="9" t="n"/>
      <c r="C210" s="9" t="n"/>
      <c r="D210" s="9" t="n"/>
      <c r="E210" s="19">
        <f>IF(E209="","",IF(E209&lt;DATE($B$2+1,1,1)-1,E209+1,""))</f>
        <v>46227</v>
      </c>
      <c r="F210" s="20" t="str">
        <f>IF(E210="","",TEXT(E210,"mmm"))</f>
        <v>Jul</v>
      </c>
      <c r="G210" s="20">
        <f>IF(E210="","",WEEKNUM(E210,2))</f>
        <v>30</v>
      </c>
      <c r="H210" s="20" t="str">
        <f>IF(E210="","",TEXT(E210,"ddd"))</f>
        <v>Fri</v>
      </c>
      <c r="I210" s="20" t="str">
        <f>IF(E210="","",IF(COUNTIF($A$6:$A$55,E210)&gt;0,"Holiday",IF(WEEKDAY(E210,2)=7,"Sunday","Working")))</f>
        <v>Working</v>
      </c>
      <c r="J210" s="20" t="str">
        <f>IF(E210="","",IF(OR(WEEKDAY(E210,2)=7,COUNTIF($A$6:$A$55,E210)&gt;0),"No","Yes"))</f>
        <v>Yes</v>
      </c>
    </row>
    <row r="211">
      <c r="A211" s="9" t="n"/>
      <c r="B211" s="9" t="n"/>
      <c r="C211" s="9" t="n"/>
      <c r="D211" s="9" t="n"/>
      <c r="E211" s="19">
        <f>IF(E210="","",IF(E210&lt;DATE($B$2+1,1,1)-1,E210+1,""))</f>
        <v>46228</v>
      </c>
      <c r="F211" s="20" t="str">
        <f>IF(E211="","",TEXT(E211,"mmm"))</f>
        <v>Jul</v>
      </c>
      <c r="G211" s="20">
        <f>IF(E211="","",WEEKNUM(E211,2))</f>
        <v>30</v>
      </c>
      <c r="H211" s="20" t="str">
        <f>IF(E211="","",TEXT(E211,"ddd"))</f>
        <v>Sat</v>
      </c>
      <c r="I211" s="20" t="str">
        <f>IF(E211="","",IF(COUNTIF($A$6:$A$55,E211)&gt;0,"Holiday",IF(WEEKDAY(E211,2)=7,"Sunday","Working")))</f>
        <v>Working</v>
      </c>
      <c r="J211" s="20" t="str">
        <f>IF(E211="","",IF(OR(WEEKDAY(E211,2)=7,COUNTIF($A$6:$A$55,E211)&gt;0),"No","Yes"))</f>
        <v>Yes</v>
      </c>
    </row>
    <row r="212">
      <c r="A212" s="9" t="n"/>
      <c r="B212" s="9" t="n"/>
      <c r="C212" s="9" t="n"/>
      <c r="D212" s="9" t="n"/>
      <c r="E212" s="19">
        <f>IF(E211="","",IF(E211&lt;DATE($B$2+1,1,1)-1,E211+1,""))</f>
        <v>46229</v>
      </c>
      <c r="F212" s="20" t="str">
        <f>IF(E212="","",TEXT(E212,"mmm"))</f>
        <v>Jul</v>
      </c>
      <c r="G212" s="20">
        <f>IF(E212="","",WEEKNUM(E212,2))</f>
        <v>30</v>
      </c>
      <c r="H212" s="20" t="str">
        <f>IF(E212="","",TEXT(E212,"ddd"))</f>
        <v>Sun</v>
      </c>
      <c r="I212" s="20" t="str">
        <f>IF(E212="","",IF(COUNTIF($A$6:$A$55,E212)&gt;0,"Holiday",IF(WEEKDAY(E212,2)=7,"Sunday","Working")))</f>
        <v>Sunday</v>
      </c>
      <c r="J212" s="20" t="str">
        <f>IF(E212="","",IF(OR(WEEKDAY(E212,2)=7,COUNTIF($A$6:$A$55,E212)&gt;0),"No","Yes"))</f>
        <v>No</v>
      </c>
    </row>
    <row r="213">
      <c r="A213" s="9" t="n"/>
      <c r="B213" s="9" t="n"/>
      <c r="C213" s="9" t="n"/>
      <c r="D213" s="9" t="n"/>
      <c r="E213" s="19">
        <f>IF(E212="","",IF(E212&lt;DATE($B$2+1,1,1)-1,E212+1,""))</f>
        <v>46230</v>
      </c>
      <c r="F213" s="20" t="str">
        <f>IF(E213="","",TEXT(E213,"mmm"))</f>
        <v>Jul</v>
      </c>
      <c r="G213" s="20">
        <f>IF(E213="","",WEEKNUM(E213,2))</f>
        <v>31</v>
      </c>
      <c r="H213" s="20" t="str">
        <f>IF(E213="","",TEXT(E213,"ddd"))</f>
        <v>Mon</v>
      </c>
      <c r="I213" s="20" t="str">
        <f>IF(E213="","",IF(COUNTIF($A$6:$A$55,E213)&gt;0,"Holiday",IF(WEEKDAY(E213,2)=7,"Sunday","Working")))</f>
        <v>Working</v>
      </c>
      <c r="J213" s="20" t="str">
        <f>IF(E213="","",IF(OR(WEEKDAY(E213,2)=7,COUNTIF($A$6:$A$55,E213)&gt;0),"No","Yes"))</f>
        <v>Yes</v>
      </c>
    </row>
    <row r="214">
      <c r="A214" s="9" t="n"/>
      <c r="B214" s="9" t="n"/>
      <c r="C214" s="9" t="n"/>
      <c r="D214" s="9" t="n"/>
      <c r="E214" s="19">
        <f>IF(E213="","",IF(E213&lt;DATE($B$2+1,1,1)-1,E213+1,""))</f>
        <v>46231</v>
      </c>
      <c r="F214" s="20" t="str">
        <f>IF(E214="","",TEXT(E214,"mmm"))</f>
        <v>Jul</v>
      </c>
      <c r="G214" s="20">
        <f>IF(E214="","",WEEKNUM(E214,2))</f>
        <v>31</v>
      </c>
      <c r="H214" s="20" t="str">
        <f>IF(E214="","",TEXT(E214,"ddd"))</f>
        <v>Tue</v>
      </c>
      <c r="I214" s="20" t="str">
        <f>IF(E214="","",IF(COUNTIF($A$6:$A$55,E214)&gt;0,"Holiday",IF(WEEKDAY(E214,2)=7,"Sunday","Working")))</f>
        <v>Working</v>
      </c>
      <c r="J214" s="20" t="str">
        <f>IF(E214="","",IF(OR(WEEKDAY(E214,2)=7,COUNTIF($A$6:$A$55,E214)&gt;0),"No","Yes"))</f>
        <v>Yes</v>
      </c>
    </row>
    <row r="215">
      <c r="A215" s="9" t="n"/>
      <c r="B215" s="9" t="n"/>
      <c r="C215" s="9" t="n"/>
      <c r="D215" s="9" t="n"/>
      <c r="E215" s="19">
        <f>IF(E214="","",IF(E214&lt;DATE($B$2+1,1,1)-1,E214+1,""))</f>
        <v>46232</v>
      </c>
      <c r="F215" s="20" t="str">
        <f>IF(E215="","",TEXT(E215,"mmm"))</f>
        <v>Jul</v>
      </c>
      <c r="G215" s="20">
        <f>IF(E215="","",WEEKNUM(E215,2))</f>
        <v>31</v>
      </c>
      <c r="H215" s="20" t="str">
        <f>IF(E215="","",TEXT(E215,"ddd"))</f>
        <v>Wed</v>
      </c>
      <c r="I215" s="20" t="str">
        <f>IF(E215="","",IF(COUNTIF($A$6:$A$55,E215)&gt;0,"Holiday",IF(WEEKDAY(E215,2)=7,"Sunday","Working")))</f>
        <v>Working</v>
      </c>
      <c r="J215" s="20" t="str">
        <f>IF(E215="","",IF(OR(WEEKDAY(E215,2)=7,COUNTIF($A$6:$A$55,E215)&gt;0),"No","Yes"))</f>
        <v>Yes</v>
      </c>
    </row>
    <row r="216">
      <c r="A216" s="9" t="n"/>
      <c r="B216" s="9" t="n"/>
      <c r="C216" s="9" t="n"/>
      <c r="D216" s="9" t="n"/>
      <c r="E216" s="19">
        <f>IF(E215="","",IF(E215&lt;DATE($B$2+1,1,1)-1,E215+1,""))</f>
        <v>46233</v>
      </c>
      <c r="F216" s="20" t="str">
        <f>IF(E216="","",TEXT(E216,"mmm"))</f>
        <v>Jul</v>
      </c>
      <c r="G216" s="20">
        <f>IF(E216="","",WEEKNUM(E216,2))</f>
        <v>31</v>
      </c>
      <c r="H216" s="20" t="str">
        <f>IF(E216="","",TEXT(E216,"ddd"))</f>
        <v>Thu</v>
      </c>
      <c r="I216" s="20" t="str">
        <f>IF(E216="","",IF(COUNTIF($A$6:$A$55,E216)&gt;0,"Holiday",IF(WEEKDAY(E216,2)=7,"Sunday","Working")))</f>
        <v>Working</v>
      </c>
      <c r="J216" s="20" t="str">
        <f>IF(E216="","",IF(OR(WEEKDAY(E216,2)=7,COUNTIF($A$6:$A$55,E216)&gt;0),"No","Yes"))</f>
        <v>Yes</v>
      </c>
    </row>
    <row r="217">
      <c r="A217" s="9" t="n"/>
      <c r="B217" s="9" t="n"/>
      <c r="C217" s="9" t="n"/>
      <c r="D217" s="9" t="n"/>
      <c r="E217" s="19">
        <f>IF(E216="","",IF(E216&lt;DATE($B$2+1,1,1)-1,E216+1,""))</f>
        <v>46234</v>
      </c>
      <c r="F217" s="20" t="str">
        <f>IF(E217="","",TEXT(E217,"mmm"))</f>
        <v>Jul</v>
      </c>
      <c r="G217" s="20">
        <f>IF(E217="","",WEEKNUM(E217,2))</f>
        <v>31</v>
      </c>
      <c r="H217" s="20" t="str">
        <f>IF(E217="","",TEXT(E217,"ddd"))</f>
        <v>Fri</v>
      </c>
      <c r="I217" s="20" t="str">
        <f>IF(E217="","",IF(COUNTIF($A$6:$A$55,E217)&gt;0,"Holiday",IF(WEEKDAY(E217,2)=7,"Sunday","Working")))</f>
        <v>Working</v>
      </c>
      <c r="J217" s="20" t="str">
        <f>IF(E217="","",IF(OR(WEEKDAY(E217,2)=7,COUNTIF($A$6:$A$55,E217)&gt;0),"No","Yes"))</f>
        <v>Yes</v>
      </c>
    </row>
    <row r="218">
      <c r="A218" s="9" t="n"/>
      <c r="B218" s="9" t="n"/>
      <c r="C218" s="9" t="n"/>
      <c r="D218" s="9" t="n"/>
      <c r="E218" s="19">
        <f>IF(E217="","",IF(E217&lt;DATE($B$2+1,1,1)-1,E217+1,""))</f>
        <v>46235</v>
      </c>
      <c r="F218" s="20" t="str">
        <f>IF(E218="","",TEXT(E218,"mmm"))</f>
        <v>Aug</v>
      </c>
      <c r="G218" s="20">
        <f>IF(E218="","",WEEKNUM(E218,2))</f>
        <v>31</v>
      </c>
      <c r="H218" s="20" t="str">
        <f>IF(E218="","",TEXT(E218,"ddd"))</f>
        <v>Sat</v>
      </c>
      <c r="I218" s="20" t="str">
        <f>IF(E218="","",IF(COUNTIF($A$6:$A$55,E218)&gt;0,"Holiday",IF(WEEKDAY(E218,2)=7,"Sunday","Working")))</f>
        <v>Working</v>
      </c>
      <c r="J218" s="20" t="str">
        <f>IF(E218="","",IF(OR(WEEKDAY(E218,2)=7,COUNTIF($A$6:$A$55,E218)&gt;0),"No","Yes"))</f>
        <v>Yes</v>
      </c>
    </row>
    <row r="219">
      <c r="A219" s="9" t="n"/>
      <c r="B219" s="9" t="n"/>
      <c r="C219" s="9" t="n"/>
      <c r="D219" s="9" t="n"/>
      <c r="E219" s="19">
        <f>IF(E218="","",IF(E218&lt;DATE($B$2+1,1,1)-1,E218+1,""))</f>
        <v>46236</v>
      </c>
      <c r="F219" s="20" t="str">
        <f>IF(E219="","",TEXT(E219,"mmm"))</f>
        <v>Aug</v>
      </c>
      <c r="G219" s="20">
        <f>IF(E219="","",WEEKNUM(E219,2))</f>
        <v>31</v>
      </c>
      <c r="H219" s="20" t="str">
        <f>IF(E219="","",TEXT(E219,"ddd"))</f>
        <v>Sun</v>
      </c>
      <c r="I219" s="20" t="str">
        <f>IF(E219="","",IF(COUNTIF($A$6:$A$55,E219)&gt;0,"Holiday",IF(WEEKDAY(E219,2)=7,"Sunday","Working")))</f>
        <v>Sunday</v>
      </c>
      <c r="J219" s="20" t="str">
        <f>IF(E219="","",IF(OR(WEEKDAY(E219,2)=7,COUNTIF($A$6:$A$55,E219)&gt;0),"No","Yes"))</f>
        <v>No</v>
      </c>
    </row>
    <row r="220">
      <c r="A220" s="9" t="n"/>
      <c r="B220" s="9" t="n"/>
      <c r="C220" s="9" t="n"/>
      <c r="D220" s="9" t="n"/>
      <c r="E220" s="19">
        <f>IF(E219="","",IF(E219&lt;DATE($B$2+1,1,1)-1,E219+1,""))</f>
        <v>46237</v>
      </c>
      <c r="F220" s="20" t="str">
        <f>IF(E220="","",TEXT(E220,"mmm"))</f>
        <v>Aug</v>
      </c>
      <c r="G220" s="20">
        <f>IF(E220="","",WEEKNUM(E220,2))</f>
        <v>32</v>
      </c>
      <c r="H220" s="20" t="str">
        <f>IF(E220="","",TEXT(E220,"ddd"))</f>
        <v>Mon</v>
      </c>
      <c r="I220" s="20" t="str">
        <f>IF(E220="","",IF(COUNTIF($A$6:$A$55,E220)&gt;0,"Holiday",IF(WEEKDAY(E220,2)=7,"Sunday","Working")))</f>
        <v>Working</v>
      </c>
      <c r="J220" s="20" t="str">
        <f>IF(E220="","",IF(OR(WEEKDAY(E220,2)=7,COUNTIF($A$6:$A$55,E220)&gt;0),"No","Yes"))</f>
        <v>Yes</v>
      </c>
    </row>
    <row r="221">
      <c r="A221" s="9" t="n"/>
      <c r="B221" s="9" t="n"/>
      <c r="C221" s="9" t="n"/>
      <c r="D221" s="9" t="n"/>
      <c r="E221" s="19">
        <f>IF(E220="","",IF(E220&lt;DATE($B$2+1,1,1)-1,E220+1,""))</f>
        <v>46238</v>
      </c>
      <c r="F221" s="20" t="str">
        <f>IF(E221="","",TEXT(E221,"mmm"))</f>
        <v>Aug</v>
      </c>
      <c r="G221" s="20">
        <f>IF(E221="","",WEEKNUM(E221,2))</f>
        <v>32</v>
      </c>
      <c r="H221" s="20" t="str">
        <f>IF(E221="","",TEXT(E221,"ddd"))</f>
        <v>Tue</v>
      </c>
      <c r="I221" s="20" t="str">
        <f>IF(E221="","",IF(COUNTIF($A$6:$A$55,E221)&gt;0,"Holiday",IF(WEEKDAY(E221,2)=7,"Sunday","Working")))</f>
        <v>Working</v>
      </c>
      <c r="J221" s="20" t="str">
        <f>IF(E221="","",IF(OR(WEEKDAY(E221,2)=7,COUNTIF($A$6:$A$55,E221)&gt;0),"No","Yes"))</f>
        <v>Yes</v>
      </c>
    </row>
    <row r="222">
      <c r="A222" s="9" t="n"/>
      <c r="B222" s="9" t="n"/>
      <c r="C222" s="9" t="n"/>
      <c r="D222" s="9" t="n"/>
      <c r="E222" s="19">
        <f>IF(E221="","",IF(E221&lt;DATE($B$2+1,1,1)-1,E221+1,""))</f>
        <v>46239</v>
      </c>
      <c r="F222" s="20" t="str">
        <f>IF(E222="","",TEXT(E222,"mmm"))</f>
        <v>Aug</v>
      </c>
      <c r="G222" s="20">
        <f>IF(E222="","",WEEKNUM(E222,2))</f>
        <v>32</v>
      </c>
      <c r="H222" s="20" t="str">
        <f>IF(E222="","",TEXT(E222,"ddd"))</f>
        <v>Wed</v>
      </c>
      <c r="I222" s="20" t="str">
        <f>IF(E222="","",IF(COUNTIF($A$6:$A$55,E222)&gt;0,"Holiday",IF(WEEKDAY(E222,2)=7,"Sunday","Working")))</f>
        <v>Working</v>
      </c>
      <c r="J222" s="20" t="str">
        <f>IF(E222="","",IF(OR(WEEKDAY(E222,2)=7,COUNTIF($A$6:$A$55,E222)&gt;0),"No","Yes"))</f>
        <v>Yes</v>
      </c>
    </row>
    <row r="223">
      <c r="A223" s="9" t="n"/>
      <c r="B223" s="9" t="n"/>
      <c r="C223" s="9" t="n"/>
      <c r="D223" s="9" t="n"/>
      <c r="E223" s="19">
        <f>IF(E222="","",IF(E222&lt;DATE($B$2+1,1,1)-1,E222+1,""))</f>
        <v>46240</v>
      </c>
      <c r="F223" s="20" t="str">
        <f>IF(E223="","",TEXT(E223,"mmm"))</f>
        <v>Aug</v>
      </c>
      <c r="G223" s="20">
        <f>IF(E223="","",WEEKNUM(E223,2))</f>
        <v>32</v>
      </c>
      <c r="H223" s="20" t="str">
        <f>IF(E223="","",TEXT(E223,"ddd"))</f>
        <v>Thu</v>
      </c>
      <c r="I223" s="20" t="str">
        <f>IF(E223="","",IF(COUNTIF($A$6:$A$55,E223)&gt;0,"Holiday",IF(WEEKDAY(E223,2)=7,"Sunday","Working")))</f>
        <v>Working</v>
      </c>
      <c r="J223" s="20" t="str">
        <f>IF(E223="","",IF(OR(WEEKDAY(E223,2)=7,COUNTIF($A$6:$A$55,E223)&gt;0),"No","Yes"))</f>
        <v>Yes</v>
      </c>
    </row>
    <row r="224">
      <c r="A224" s="9" t="n"/>
      <c r="B224" s="9" t="n"/>
      <c r="C224" s="9" t="n"/>
      <c r="D224" s="9" t="n"/>
      <c r="E224" s="19">
        <f>IF(E223="","",IF(E223&lt;DATE($B$2+1,1,1)-1,E223+1,""))</f>
        <v>46241</v>
      </c>
      <c r="F224" s="20" t="str">
        <f>IF(E224="","",TEXT(E224,"mmm"))</f>
        <v>Aug</v>
      </c>
      <c r="G224" s="20">
        <f>IF(E224="","",WEEKNUM(E224,2))</f>
        <v>32</v>
      </c>
      <c r="H224" s="20" t="str">
        <f>IF(E224="","",TEXT(E224,"ddd"))</f>
        <v>Fri</v>
      </c>
      <c r="I224" s="20" t="str">
        <f>IF(E224="","",IF(COUNTIF($A$6:$A$55,E224)&gt;0,"Holiday",IF(WEEKDAY(E224,2)=7,"Sunday","Working")))</f>
        <v>Working</v>
      </c>
      <c r="J224" s="20" t="str">
        <f>IF(E224="","",IF(OR(WEEKDAY(E224,2)=7,COUNTIF($A$6:$A$55,E224)&gt;0),"No","Yes"))</f>
        <v>Yes</v>
      </c>
    </row>
    <row r="225">
      <c r="A225" s="9" t="n"/>
      <c r="B225" s="9" t="n"/>
      <c r="C225" s="9" t="n"/>
      <c r="D225" s="9" t="n"/>
      <c r="E225" s="19">
        <f>IF(E224="","",IF(E224&lt;DATE($B$2+1,1,1)-1,E224+1,""))</f>
        <v>46242</v>
      </c>
      <c r="F225" s="20" t="str">
        <f>IF(E225="","",TEXT(E225,"mmm"))</f>
        <v>Aug</v>
      </c>
      <c r="G225" s="20">
        <f>IF(E225="","",WEEKNUM(E225,2))</f>
        <v>32</v>
      </c>
      <c r="H225" s="20" t="str">
        <f>IF(E225="","",TEXT(E225,"ddd"))</f>
        <v>Sat</v>
      </c>
      <c r="I225" s="20" t="str">
        <f>IF(E225="","",IF(COUNTIF($A$6:$A$55,E225)&gt;0,"Holiday",IF(WEEKDAY(E225,2)=7,"Sunday","Working")))</f>
        <v>Working</v>
      </c>
      <c r="J225" s="20" t="str">
        <f>IF(E225="","",IF(OR(WEEKDAY(E225,2)=7,COUNTIF($A$6:$A$55,E225)&gt;0),"No","Yes"))</f>
        <v>Yes</v>
      </c>
    </row>
    <row r="226">
      <c r="A226" s="9" t="n"/>
      <c r="B226" s="9" t="n"/>
      <c r="C226" s="9" t="n"/>
      <c r="D226" s="9" t="n"/>
      <c r="E226" s="19">
        <f>IF(E225="","",IF(E225&lt;DATE($B$2+1,1,1)-1,E225+1,""))</f>
        <v>46243</v>
      </c>
      <c r="F226" s="20" t="str">
        <f>IF(E226="","",TEXT(E226,"mmm"))</f>
        <v>Aug</v>
      </c>
      <c r="G226" s="20">
        <f>IF(E226="","",WEEKNUM(E226,2))</f>
        <v>32</v>
      </c>
      <c r="H226" s="20" t="str">
        <f>IF(E226="","",TEXT(E226,"ddd"))</f>
        <v>Sun</v>
      </c>
      <c r="I226" s="20" t="str">
        <f>IF(E226="","",IF(COUNTIF($A$6:$A$55,E226)&gt;0,"Holiday",IF(WEEKDAY(E226,2)=7,"Sunday","Working")))</f>
        <v>Sunday</v>
      </c>
      <c r="J226" s="20" t="str">
        <f>IF(E226="","",IF(OR(WEEKDAY(E226,2)=7,COUNTIF($A$6:$A$55,E226)&gt;0),"No","Yes"))</f>
        <v>No</v>
      </c>
    </row>
    <row r="227">
      <c r="A227" s="9" t="n"/>
      <c r="B227" s="9" t="n"/>
      <c r="C227" s="9" t="n"/>
      <c r="D227" s="9" t="n"/>
      <c r="E227" s="19">
        <f>IF(E226="","",IF(E226&lt;DATE($B$2+1,1,1)-1,E226+1,""))</f>
        <v>46244</v>
      </c>
      <c r="F227" s="20" t="str">
        <f>IF(E227="","",TEXT(E227,"mmm"))</f>
        <v>Aug</v>
      </c>
      <c r="G227" s="20">
        <f>IF(E227="","",WEEKNUM(E227,2))</f>
        <v>33</v>
      </c>
      <c r="H227" s="20" t="str">
        <f>IF(E227="","",TEXT(E227,"ddd"))</f>
        <v>Mon</v>
      </c>
      <c r="I227" s="20" t="str">
        <f>IF(E227="","",IF(COUNTIF($A$6:$A$55,E227)&gt;0,"Holiday",IF(WEEKDAY(E227,2)=7,"Sunday","Working")))</f>
        <v>Working</v>
      </c>
      <c r="J227" s="20" t="str">
        <f>IF(E227="","",IF(OR(WEEKDAY(E227,2)=7,COUNTIF($A$6:$A$55,E227)&gt;0),"No","Yes"))</f>
        <v>Yes</v>
      </c>
    </row>
    <row r="228">
      <c r="A228" s="9" t="n"/>
      <c r="B228" s="9" t="n"/>
      <c r="C228" s="9" t="n"/>
      <c r="D228" s="9" t="n"/>
      <c r="E228" s="19">
        <f>IF(E227="","",IF(E227&lt;DATE($B$2+1,1,1)-1,E227+1,""))</f>
        <v>46245</v>
      </c>
      <c r="F228" s="20" t="str">
        <f>IF(E228="","",TEXT(E228,"mmm"))</f>
        <v>Aug</v>
      </c>
      <c r="G228" s="20">
        <f>IF(E228="","",WEEKNUM(E228,2))</f>
        <v>33</v>
      </c>
      <c r="H228" s="20" t="str">
        <f>IF(E228="","",TEXT(E228,"ddd"))</f>
        <v>Tue</v>
      </c>
      <c r="I228" s="20" t="str">
        <f>IF(E228="","",IF(COUNTIF($A$6:$A$55,E228)&gt;0,"Holiday",IF(WEEKDAY(E228,2)=7,"Sunday","Working")))</f>
        <v>Working</v>
      </c>
      <c r="J228" s="20" t="str">
        <f>IF(E228="","",IF(OR(WEEKDAY(E228,2)=7,COUNTIF($A$6:$A$55,E228)&gt;0),"No","Yes"))</f>
        <v>Yes</v>
      </c>
    </row>
    <row r="229">
      <c r="A229" s="9" t="n"/>
      <c r="B229" s="9" t="n"/>
      <c r="C229" s="9" t="n"/>
      <c r="D229" s="9" t="n"/>
      <c r="E229" s="19">
        <f>IF(E228="","",IF(E228&lt;DATE($B$2+1,1,1)-1,E228+1,""))</f>
        <v>46246</v>
      </c>
      <c r="F229" s="20" t="str">
        <f>IF(E229="","",TEXT(E229,"mmm"))</f>
        <v>Aug</v>
      </c>
      <c r="G229" s="20">
        <f>IF(E229="","",WEEKNUM(E229,2))</f>
        <v>33</v>
      </c>
      <c r="H229" s="20" t="str">
        <f>IF(E229="","",TEXT(E229,"ddd"))</f>
        <v>Wed</v>
      </c>
      <c r="I229" s="20" t="str">
        <f>IF(E229="","",IF(COUNTIF($A$6:$A$55,E229)&gt;0,"Holiday",IF(WEEKDAY(E229,2)=7,"Sunday","Working")))</f>
        <v>Working</v>
      </c>
      <c r="J229" s="20" t="str">
        <f>IF(E229="","",IF(OR(WEEKDAY(E229,2)=7,COUNTIF($A$6:$A$55,E229)&gt;0),"No","Yes"))</f>
        <v>Yes</v>
      </c>
    </row>
    <row r="230">
      <c r="A230" s="9" t="n"/>
      <c r="B230" s="9" t="n"/>
      <c r="C230" s="9" t="n"/>
      <c r="D230" s="9" t="n"/>
      <c r="E230" s="19">
        <f>IF(E229="","",IF(E229&lt;DATE($B$2+1,1,1)-1,E229+1,""))</f>
        <v>46247</v>
      </c>
      <c r="F230" s="20" t="str">
        <f>IF(E230="","",TEXT(E230,"mmm"))</f>
        <v>Aug</v>
      </c>
      <c r="G230" s="20">
        <f>IF(E230="","",WEEKNUM(E230,2))</f>
        <v>33</v>
      </c>
      <c r="H230" s="20" t="str">
        <f>IF(E230="","",TEXT(E230,"ddd"))</f>
        <v>Thu</v>
      </c>
      <c r="I230" s="20" t="str">
        <f>IF(E230="","",IF(COUNTIF($A$6:$A$55,E230)&gt;0,"Holiday",IF(WEEKDAY(E230,2)=7,"Sunday","Working")))</f>
        <v>Working</v>
      </c>
      <c r="J230" s="20" t="str">
        <f>IF(E230="","",IF(OR(WEEKDAY(E230,2)=7,COUNTIF($A$6:$A$55,E230)&gt;0),"No","Yes"))</f>
        <v>Yes</v>
      </c>
    </row>
    <row r="231">
      <c r="A231" s="9" t="n"/>
      <c r="B231" s="9" t="n"/>
      <c r="C231" s="9" t="n"/>
      <c r="D231" s="9" t="n"/>
      <c r="E231" s="19">
        <f>IF(E230="","",IF(E230&lt;DATE($B$2+1,1,1)-1,E230+1,""))</f>
        <v>46248</v>
      </c>
      <c r="F231" s="20" t="str">
        <f>IF(E231="","",TEXT(E231,"mmm"))</f>
        <v>Aug</v>
      </c>
      <c r="G231" s="20">
        <f>IF(E231="","",WEEKNUM(E231,2))</f>
        <v>33</v>
      </c>
      <c r="H231" s="20" t="str">
        <f>IF(E231="","",TEXT(E231,"ddd"))</f>
        <v>Fri</v>
      </c>
      <c r="I231" s="20" t="str">
        <f>IF(E231="","",IF(COUNTIF($A$6:$A$55,E231)&gt;0,"Holiday",IF(WEEKDAY(E231,2)=7,"Sunday","Working")))</f>
        <v>Working</v>
      </c>
      <c r="J231" s="20" t="str">
        <f>IF(E231="","",IF(OR(WEEKDAY(E231,2)=7,COUNTIF($A$6:$A$55,E231)&gt;0),"No","Yes"))</f>
        <v>Yes</v>
      </c>
    </row>
    <row r="232">
      <c r="A232" s="9" t="n"/>
      <c r="B232" s="9" t="n"/>
      <c r="C232" s="9" t="n"/>
      <c r="D232" s="9" t="n"/>
      <c r="E232" s="19">
        <f>IF(E231="","",IF(E231&lt;DATE($B$2+1,1,1)-1,E231+1,""))</f>
        <v>46249</v>
      </c>
      <c r="F232" s="20" t="str">
        <f>IF(E232="","",TEXT(E232,"mmm"))</f>
        <v>Aug</v>
      </c>
      <c r="G232" s="20">
        <f>IF(E232="","",WEEKNUM(E232,2))</f>
        <v>33</v>
      </c>
      <c r="H232" s="20" t="str">
        <f>IF(E232="","",TEXT(E232,"ddd"))</f>
        <v>Sat</v>
      </c>
      <c r="I232" s="20" t="str">
        <f>IF(E232="","",IF(COUNTIF($A$6:$A$55,E232)&gt;0,"Holiday",IF(WEEKDAY(E232,2)=7,"Sunday","Working")))</f>
        <v>Holiday</v>
      </c>
      <c r="J232" s="20" t="str">
        <f>IF(E232="","",IF(OR(WEEKDAY(E232,2)=7,COUNTIF($A$6:$A$55,E232)&gt;0),"No","Yes"))</f>
        <v>No</v>
      </c>
    </row>
    <row r="233">
      <c r="A233" s="9" t="n"/>
      <c r="B233" s="9" t="n"/>
      <c r="C233" s="9" t="n"/>
      <c r="D233" s="9" t="n"/>
      <c r="E233" s="19">
        <f>IF(E232="","",IF(E232&lt;DATE($B$2+1,1,1)-1,E232+1,""))</f>
        <v>46250</v>
      </c>
      <c r="F233" s="20" t="str">
        <f>IF(E233="","",TEXT(E233,"mmm"))</f>
        <v>Aug</v>
      </c>
      <c r="G233" s="20">
        <f>IF(E233="","",WEEKNUM(E233,2))</f>
        <v>33</v>
      </c>
      <c r="H233" s="20" t="str">
        <f>IF(E233="","",TEXT(E233,"ddd"))</f>
        <v>Sun</v>
      </c>
      <c r="I233" s="20" t="str">
        <f>IF(E233="","",IF(COUNTIF($A$6:$A$55,E233)&gt;0,"Holiday",IF(WEEKDAY(E233,2)=7,"Sunday","Working")))</f>
        <v>Sunday</v>
      </c>
      <c r="J233" s="20" t="str">
        <f>IF(E233="","",IF(OR(WEEKDAY(E233,2)=7,COUNTIF($A$6:$A$55,E233)&gt;0),"No","Yes"))</f>
        <v>No</v>
      </c>
    </row>
    <row r="234">
      <c r="A234" s="9" t="n"/>
      <c r="B234" s="9" t="n"/>
      <c r="C234" s="9" t="n"/>
      <c r="D234" s="9" t="n"/>
      <c r="E234" s="19">
        <f>IF(E233="","",IF(E233&lt;DATE($B$2+1,1,1)-1,E233+1,""))</f>
        <v>46251</v>
      </c>
      <c r="F234" s="20" t="str">
        <f>IF(E234="","",TEXT(E234,"mmm"))</f>
        <v>Aug</v>
      </c>
      <c r="G234" s="20">
        <f>IF(E234="","",WEEKNUM(E234,2))</f>
        <v>34</v>
      </c>
      <c r="H234" s="20" t="str">
        <f>IF(E234="","",TEXT(E234,"ddd"))</f>
        <v>Mon</v>
      </c>
      <c r="I234" s="20" t="str">
        <f>IF(E234="","",IF(COUNTIF($A$6:$A$55,E234)&gt;0,"Holiday",IF(WEEKDAY(E234,2)=7,"Sunday","Working")))</f>
        <v>Working</v>
      </c>
      <c r="J234" s="20" t="str">
        <f>IF(E234="","",IF(OR(WEEKDAY(E234,2)=7,COUNTIF($A$6:$A$55,E234)&gt;0),"No","Yes"))</f>
        <v>Yes</v>
      </c>
    </row>
    <row r="235">
      <c r="A235" s="9" t="n"/>
      <c r="B235" s="9" t="n"/>
      <c r="C235" s="9" t="n"/>
      <c r="D235" s="9" t="n"/>
      <c r="E235" s="19">
        <f>IF(E234="","",IF(E234&lt;DATE($B$2+1,1,1)-1,E234+1,""))</f>
        <v>46252</v>
      </c>
      <c r="F235" s="20" t="str">
        <f>IF(E235="","",TEXT(E235,"mmm"))</f>
        <v>Aug</v>
      </c>
      <c r="G235" s="20">
        <f>IF(E235="","",WEEKNUM(E235,2))</f>
        <v>34</v>
      </c>
      <c r="H235" s="20" t="str">
        <f>IF(E235="","",TEXT(E235,"ddd"))</f>
        <v>Tue</v>
      </c>
      <c r="I235" s="20" t="str">
        <f>IF(E235="","",IF(COUNTIF($A$6:$A$55,E235)&gt;0,"Holiday",IF(WEEKDAY(E235,2)=7,"Sunday","Working")))</f>
        <v>Working</v>
      </c>
      <c r="J235" s="20" t="str">
        <f>IF(E235="","",IF(OR(WEEKDAY(E235,2)=7,COUNTIF($A$6:$A$55,E235)&gt;0),"No","Yes"))</f>
        <v>Yes</v>
      </c>
    </row>
    <row r="236">
      <c r="A236" s="9" t="n"/>
      <c r="B236" s="9" t="n"/>
      <c r="C236" s="9" t="n"/>
      <c r="D236" s="9" t="n"/>
      <c r="E236" s="19">
        <f>IF(E235="","",IF(E235&lt;DATE($B$2+1,1,1)-1,E235+1,""))</f>
        <v>46253</v>
      </c>
      <c r="F236" s="20" t="str">
        <f>IF(E236="","",TEXT(E236,"mmm"))</f>
        <v>Aug</v>
      </c>
      <c r="G236" s="20">
        <f>IF(E236="","",WEEKNUM(E236,2))</f>
        <v>34</v>
      </c>
      <c r="H236" s="20" t="str">
        <f>IF(E236="","",TEXT(E236,"ddd"))</f>
        <v>Wed</v>
      </c>
      <c r="I236" s="20" t="str">
        <f>IF(E236="","",IF(COUNTIF($A$6:$A$55,E236)&gt;0,"Holiday",IF(WEEKDAY(E236,2)=7,"Sunday","Working")))</f>
        <v>Working</v>
      </c>
      <c r="J236" s="20" t="str">
        <f>IF(E236="","",IF(OR(WEEKDAY(E236,2)=7,COUNTIF($A$6:$A$55,E236)&gt;0),"No","Yes"))</f>
        <v>Yes</v>
      </c>
    </row>
    <row r="237">
      <c r="A237" s="9" t="n"/>
      <c r="B237" s="9" t="n"/>
      <c r="C237" s="9" t="n"/>
      <c r="D237" s="9" t="n"/>
      <c r="E237" s="19">
        <f>IF(E236="","",IF(E236&lt;DATE($B$2+1,1,1)-1,E236+1,""))</f>
        <v>46254</v>
      </c>
      <c r="F237" s="20" t="str">
        <f>IF(E237="","",TEXT(E237,"mmm"))</f>
        <v>Aug</v>
      </c>
      <c r="G237" s="20">
        <f>IF(E237="","",WEEKNUM(E237,2))</f>
        <v>34</v>
      </c>
      <c r="H237" s="20" t="str">
        <f>IF(E237="","",TEXT(E237,"ddd"))</f>
        <v>Thu</v>
      </c>
      <c r="I237" s="20" t="str">
        <f>IF(E237="","",IF(COUNTIF($A$6:$A$55,E237)&gt;0,"Holiday",IF(WEEKDAY(E237,2)=7,"Sunday","Working")))</f>
        <v>Working</v>
      </c>
      <c r="J237" s="20" t="str">
        <f>IF(E237="","",IF(OR(WEEKDAY(E237,2)=7,COUNTIF($A$6:$A$55,E237)&gt;0),"No","Yes"))</f>
        <v>Yes</v>
      </c>
    </row>
    <row r="238">
      <c r="A238" s="9" t="n"/>
      <c r="B238" s="9" t="n"/>
      <c r="C238" s="9" t="n"/>
      <c r="D238" s="9" t="n"/>
      <c r="E238" s="19">
        <f>IF(E237="","",IF(E237&lt;DATE($B$2+1,1,1)-1,E237+1,""))</f>
        <v>46255</v>
      </c>
      <c r="F238" s="20" t="str">
        <f>IF(E238="","",TEXT(E238,"mmm"))</f>
        <v>Aug</v>
      </c>
      <c r="G238" s="20">
        <f>IF(E238="","",WEEKNUM(E238,2))</f>
        <v>34</v>
      </c>
      <c r="H238" s="20" t="str">
        <f>IF(E238="","",TEXT(E238,"ddd"))</f>
        <v>Fri</v>
      </c>
      <c r="I238" s="20" t="str">
        <f>IF(E238="","",IF(COUNTIF($A$6:$A$55,E238)&gt;0,"Holiday",IF(WEEKDAY(E238,2)=7,"Sunday","Working")))</f>
        <v>Working</v>
      </c>
      <c r="J238" s="20" t="str">
        <f>IF(E238="","",IF(OR(WEEKDAY(E238,2)=7,COUNTIF($A$6:$A$55,E238)&gt;0),"No","Yes"))</f>
        <v>Yes</v>
      </c>
    </row>
    <row r="239">
      <c r="A239" s="9" t="n"/>
      <c r="B239" s="9" t="n"/>
      <c r="C239" s="9" t="n"/>
      <c r="D239" s="9" t="n"/>
      <c r="E239" s="19">
        <f>IF(E238="","",IF(E238&lt;DATE($B$2+1,1,1)-1,E238+1,""))</f>
        <v>46256</v>
      </c>
      <c r="F239" s="20" t="str">
        <f>IF(E239="","",TEXT(E239,"mmm"))</f>
        <v>Aug</v>
      </c>
      <c r="G239" s="20">
        <f>IF(E239="","",WEEKNUM(E239,2))</f>
        <v>34</v>
      </c>
      <c r="H239" s="20" t="str">
        <f>IF(E239="","",TEXT(E239,"ddd"))</f>
        <v>Sat</v>
      </c>
      <c r="I239" s="20" t="str">
        <f>IF(E239="","",IF(COUNTIF($A$6:$A$55,E239)&gt;0,"Holiday",IF(WEEKDAY(E239,2)=7,"Sunday","Working")))</f>
        <v>Working</v>
      </c>
      <c r="J239" s="20" t="str">
        <f>IF(E239="","",IF(OR(WEEKDAY(E239,2)=7,COUNTIF($A$6:$A$55,E239)&gt;0),"No","Yes"))</f>
        <v>Yes</v>
      </c>
    </row>
    <row r="240">
      <c r="A240" s="9" t="n"/>
      <c r="B240" s="9" t="n"/>
      <c r="C240" s="9" t="n"/>
      <c r="D240" s="9" t="n"/>
      <c r="E240" s="19">
        <f>IF(E239="","",IF(E239&lt;DATE($B$2+1,1,1)-1,E239+1,""))</f>
        <v>46257</v>
      </c>
      <c r="F240" s="20" t="str">
        <f>IF(E240="","",TEXT(E240,"mmm"))</f>
        <v>Aug</v>
      </c>
      <c r="G240" s="20">
        <f>IF(E240="","",WEEKNUM(E240,2))</f>
        <v>34</v>
      </c>
      <c r="H240" s="20" t="str">
        <f>IF(E240="","",TEXT(E240,"ddd"))</f>
        <v>Sun</v>
      </c>
      <c r="I240" s="20" t="str">
        <f>IF(E240="","",IF(COUNTIF($A$6:$A$55,E240)&gt;0,"Holiday",IF(WEEKDAY(E240,2)=7,"Sunday","Working")))</f>
        <v>Sunday</v>
      </c>
      <c r="J240" s="20" t="str">
        <f>IF(E240="","",IF(OR(WEEKDAY(E240,2)=7,COUNTIF($A$6:$A$55,E240)&gt;0),"No","Yes"))</f>
        <v>No</v>
      </c>
    </row>
    <row r="241">
      <c r="A241" s="9" t="n"/>
      <c r="B241" s="9" t="n"/>
      <c r="C241" s="9" t="n"/>
      <c r="D241" s="9" t="n"/>
      <c r="E241" s="19">
        <f>IF(E240="","",IF(E240&lt;DATE($B$2+1,1,1)-1,E240+1,""))</f>
        <v>46258</v>
      </c>
      <c r="F241" s="20" t="str">
        <f>IF(E241="","",TEXT(E241,"mmm"))</f>
        <v>Aug</v>
      </c>
      <c r="G241" s="20">
        <f>IF(E241="","",WEEKNUM(E241,2))</f>
        <v>35</v>
      </c>
      <c r="H241" s="20" t="str">
        <f>IF(E241="","",TEXT(E241,"ddd"))</f>
        <v>Mon</v>
      </c>
      <c r="I241" s="20" t="str">
        <f>IF(E241="","",IF(COUNTIF($A$6:$A$55,E241)&gt;0,"Holiday",IF(WEEKDAY(E241,2)=7,"Sunday","Working")))</f>
        <v>Working</v>
      </c>
      <c r="J241" s="20" t="str">
        <f>IF(E241="","",IF(OR(WEEKDAY(E241,2)=7,COUNTIF($A$6:$A$55,E241)&gt;0),"No","Yes"))</f>
        <v>Yes</v>
      </c>
    </row>
    <row r="242">
      <c r="A242" s="9" t="n"/>
      <c r="B242" s="9" t="n"/>
      <c r="C242" s="9" t="n"/>
      <c r="D242" s="9" t="n"/>
      <c r="E242" s="19">
        <f>IF(E241="","",IF(E241&lt;DATE($B$2+1,1,1)-1,E241+1,""))</f>
        <v>46259</v>
      </c>
      <c r="F242" s="20" t="str">
        <f>IF(E242="","",TEXT(E242,"mmm"))</f>
        <v>Aug</v>
      </c>
      <c r="G242" s="20">
        <f>IF(E242="","",WEEKNUM(E242,2))</f>
        <v>35</v>
      </c>
      <c r="H242" s="20" t="str">
        <f>IF(E242="","",TEXT(E242,"ddd"))</f>
        <v>Tue</v>
      </c>
      <c r="I242" s="20" t="str">
        <f>IF(E242="","",IF(COUNTIF($A$6:$A$55,E242)&gt;0,"Holiday",IF(WEEKDAY(E242,2)=7,"Sunday","Working")))</f>
        <v>Working</v>
      </c>
      <c r="J242" s="20" t="str">
        <f>IF(E242="","",IF(OR(WEEKDAY(E242,2)=7,COUNTIF($A$6:$A$55,E242)&gt;0),"No","Yes"))</f>
        <v>Yes</v>
      </c>
    </row>
    <row r="243">
      <c r="A243" s="9" t="n"/>
      <c r="B243" s="9" t="n"/>
      <c r="C243" s="9" t="n"/>
      <c r="D243" s="9" t="n"/>
      <c r="E243" s="19">
        <f>IF(E242="","",IF(E242&lt;DATE($B$2+1,1,1)-1,E242+1,""))</f>
        <v>46260</v>
      </c>
      <c r="F243" s="20" t="str">
        <f>IF(E243="","",TEXT(E243,"mmm"))</f>
        <v>Aug</v>
      </c>
      <c r="G243" s="20">
        <f>IF(E243="","",WEEKNUM(E243,2))</f>
        <v>35</v>
      </c>
      <c r="H243" s="20" t="str">
        <f>IF(E243="","",TEXT(E243,"ddd"))</f>
        <v>Wed</v>
      </c>
      <c r="I243" s="20" t="str">
        <f>IF(E243="","",IF(COUNTIF($A$6:$A$55,E243)&gt;0,"Holiday",IF(WEEKDAY(E243,2)=7,"Sunday","Working")))</f>
        <v>Working</v>
      </c>
      <c r="J243" s="20" t="str">
        <f>IF(E243="","",IF(OR(WEEKDAY(E243,2)=7,COUNTIF($A$6:$A$55,E243)&gt;0),"No","Yes"))</f>
        <v>Yes</v>
      </c>
    </row>
    <row r="244">
      <c r="A244" s="9" t="n"/>
      <c r="B244" s="9" t="n"/>
      <c r="C244" s="9" t="n"/>
      <c r="D244" s="9" t="n"/>
      <c r="E244" s="19">
        <f>IF(E243="","",IF(E243&lt;DATE($B$2+1,1,1)-1,E243+1,""))</f>
        <v>46261</v>
      </c>
      <c r="F244" s="20" t="str">
        <f>IF(E244="","",TEXT(E244,"mmm"))</f>
        <v>Aug</v>
      </c>
      <c r="G244" s="20">
        <f>IF(E244="","",WEEKNUM(E244,2))</f>
        <v>35</v>
      </c>
      <c r="H244" s="20" t="str">
        <f>IF(E244="","",TEXT(E244,"ddd"))</f>
        <v>Thu</v>
      </c>
      <c r="I244" s="20" t="str">
        <f>IF(E244="","",IF(COUNTIF($A$6:$A$55,E244)&gt;0,"Holiday",IF(WEEKDAY(E244,2)=7,"Sunday","Working")))</f>
        <v>Working</v>
      </c>
      <c r="J244" s="20" t="str">
        <f>IF(E244="","",IF(OR(WEEKDAY(E244,2)=7,COUNTIF($A$6:$A$55,E244)&gt;0),"No","Yes"))</f>
        <v>Yes</v>
      </c>
    </row>
    <row r="245">
      <c r="A245" s="9" t="n"/>
      <c r="B245" s="9" t="n"/>
      <c r="C245" s="9" t="n"/>
      <c r="D245" s="9" t="n"/>
      <c r="E245" s="19">
        <f>IF(E244="","",IF(E244&lt;DATE($B$2+1,1,1)-1,E244+1,""))</f>
        <v>46262</v>
      </c>
      <c r="F245" s="20" t="str">
        <f>IF(E245="","",TEXT(E245,"mmm"))</f>
        <v>Aug</v>
      </c>
      <c r="G245" s="20">
        <f>IF(E245="","",WEEKNUM(E245,2))</f>
        <v>35</v>
      </c>
      <c r="H245" s="20" t="str">
        <f>IF(E245="","",TEXT(E245,"ddd"))</f>
        <v>Fri</v>
      </c>
      <c r="I245" s="20" t="str">
        <f>IF(E245="","",IF(COUNTIF($A$6:$A$55,E245)&gt;0,"Holiday",IF(WEEKDAY(E245,2)=7,"Sunday","Working")))</f>
        <v>Holiday</v>
      </c>
      <c r="J245" s="20" t="str">
        <f>IF(E245="","",IF(OR(WEEKDAY(E245,2)=7,COUNTIF($A$6:$A$55,E245)&gt;0),"No","Yes"))</f>
        <v>No</v>
      </c>
    </row>
    <row r="246">
      <c r="A246" s="9" t="n"/>
      <c r="B246" s="9" t="n"/>
      <c r="C246" s="9" t="n"/>
      <c r="D246" s="9" t="n"/>
      <c r="E246" s="19">
        <f>IF(E245="","",IF(E245&lt;DATE($B$2+1,1,1)-1,E245+1,""))</f>
        <v>46263</v>
      </c>
      <c r="F246" s="20" t="str">
        <f>IF(E246="","",TEXT(E246,"mmm"))</f>
        <v>Aug</v>
      </c>
      <c r="G246" s="20">
        <f>IF(E246="","",WEEKNUM(E246,2))</f>
        <v>35</v>
      </c>
      <c r="H246" s="20" t="str">
        <f>IF(E246="","",TEXT(E246,"ddd"))</f>
        <v>Sat</v>
      </c>
      <c r="I246" s="20" t="str">
        <f>IF(E246="","",IF(COUNTIF($A$6:$A$55,E246)&gt;0,"Holiday",IF(WEEKDAY(E246,2)=7,"Sunday","Working")))</f>
        <v>Working</v>
      </c>
      <c r="J246" s="20" t="str">
        <f>IF(E246="","",IF(OR(WEEKDAY(E246,2)=7,COUNTIF($A$6:$A$55,E246)&gt;0),"No","Yes"))</f>
        <v>Yes</v>
      </c>
    </row>
    <row r="247">
      <c r="A247" s="9" t="n"/>
      <c r="B247" s="9" t="n"/>
      <c r="C247" s="9" t="n"/>
      <c r="D247" s="9" t="n"/>
      <c r="E247" s="19">
        <f>IF(E246="","",IF(E246&lt;DATE($B$2+1,1,1)-1,E246+1,""))</f>
        <v>46264</v>
      </c>
      <c r="F247" s="20" t="str">
        <f>IF(E247="","",TEXT(E247,"mmm"))</f>
        <v>Aug</v>
      </c>
      <c r="G247" s="20">
        <f>IF(E247="","",WEEKNUM(E247,2))</f>
        <v>35</v>
      </c>
      <c r="H247" s="20" t="str">
        <f>IF(E247="","",TEXT(E247,"ddd"))</f>
        <v>Sun</v>
      </c>
      <c r="I247" s="20" t="str">
        <f>IF(E247="","",IF(COUNTIF($A$6:$A$55,E247)&gt;0,"Holiday",IF(WEEKDAY(E247,2)=7,"Sunday","Working")))</f>
        <v>Sunday</v>
      </c>
      <c r="J247" s="20" t="str">
        <f>IF(E247="","",IF(OR(WEEKDAY(E247,2)=7,COUNTIF($A$6:$A$55,E247)&gt;0),"No","Yes"))</f>
        <v>No</v>
      </c>
    </row>
    <row r="248">
      <c r="A248" s="9" t="n"/>
      <c r="B248" s="9" t="n"/>
      <c r="C248" s="9" t="n"/>
      <c r="D248" s="9" t="n"/>
      <c r="E248" s="19">
        <f>IF(E247="","",IF(E247&lt;DATE($B$2+1,1,1)-1,E247+1,""))</f>
        <v>46265</v>
      </c>
      <c r="F248" s="20" t="str">
        <f>IF(E248="","",TEXT(E248,"mmm"))</f>
        <v>Aug</v>
      </c>
      <c r="G248" s="20">
        <f>IF(E248="","",WEEKNUM(E248,2))</f>
        <v>36</v>
      </c>
      <c r="H248" s="20" t="str">
        <f>IF(E248="","",TEXT(E248,"ddd"))</f>
        <v>Mon</v>
      </c>
      <c r="I248" s="20" t="str">
        <f>IF(E248="","",IF(COUNTIF($A$6:$A$55,E248)&gt;0,"Holiday",IF(WEEKDAY(E248,2)=7,"Sunday","Working")))</f>
        <v>Working</v>
      </c>
      <c r="J248" s="20" t="str">
        <f>IF(E248="","",IF(OR(WEEKDAY(E248,2)=7,COUNTIF($A$6:$A$55,E248)&gt;0),"No","Yes"))</f>
        <v>Yes</v>
      </c>
    </row>
    <row r="249">
      <c r="A249" s="9" t="n"/>
      <c r="B249" s="9" t="n"/>
      <c r="C249" s="9" t="n"/>
      <c r="D249" s="9" t="n"/>
      <c r="E249" s="19">
        <f>IF(E248="","",IF(E248&lt;DATE($B$2+1,1,1)-1,E248+1,""))</f>
        <v>46266</v>
      </c>
      <c r="F249" s="20" t="str">
        <f>IF(E249="","",TEXT(E249,"mmm"))</f>
        <v>Sep</v>
      </c>
      <c r="G249" s="20">
        <f>IF(E249="","",WEEKNUM(E249,2))</f>
        <v>36</v>
      </c>
      <c r="H249" s="20" t="str">
        <f>IF(E249="","",TEXT(E249,"ddd"))</f>
        <v>Tue</v>
      </c>
      <c r="I249" s="20" t="str">
        <f>IF(E249="","",IF(COUNTIF($A$6:$A$55,E249)&gt;0,"Holiday",IF(WEEKDAY(E249,2)=7,"Sunday","Working")))</f>
        <v>Working</v>
      </c>
      <c r="J249" s="20" t="str">
        <f>IF(E249="","",IF(OR(WEEKDAY(E249,2)=7,COUNTIF($A$6:$A$55,E249)&gt;0),"No","Yes"))</f>
        <v>Yes</v>
      </c>
    </row>
    <row r="250">
      <c r="A250" s="9" t="n"/>
      <c r="B250" s="9" t="n"/>
      <c r="C250" s="9" t="n"/>
      <c r="D250" s="9" t="n"/>
      <c r="E250" s="19">
        <f>IF(E249="","",IF(E249&lt;DATE($B$2+1,1,1)-1,E249+1,""))</f>
        <v>46267</v>
      </c>
      <c r="F250" s="20" t="str">
        <f>IF(E250="","",TEXT(E250,"mmm"))</f>
        <v>Sep</v>
      </c>
      <c r="G250" s="20">
        <f>IF(E250="","",WEEKNUM(E250,2))</f>
        <v>36</v>
      </c>
      <c r="H250" s="20" t="str">
        <f>IF(E250="","",TEXT(E250,"ddd"))</f>
        <v>Wed</v>
      </c>
      <c r="I250" s="20" t="str">
        <f>IF(E250="","",IF(COUNTIF($A$6:$A$55,E250)&gt;0,"Holiday",IF(WEEKDAY(E250,2)=7,"Sunday","Working")))</f>
        <v>Working</v>
      </c>
      <c r="J250" s="20" t="str">
        <f>IF(E250="","",IF(OR(WEEKDAY(E250,2)=7,COUNTIF($A$6:$A$55,E250)&gt;0),"No","Yes"))</f>
        <v>Yes</v>
      </c>
    </row>
    <row r="251">
      <c r="A251" s="9" t="n"/>
      <c r="B251" s="9" t="n"/>
      <c r="C251" s="9" t="n"/>
      <c r="D251" s="9" t="n"/>
      <c r="E251" s="19">
        <f>IF(E250="","",IF(E250&lt;DATE($B$2+1,1,1)-1,E250+1,""))</f>
        <v>46268</v>
      </c>
      <c r="F251" s="20" t="str">
        <f>IF(E251="","",TEXT(E251,"mmm"))</f>
        <v>Sep</v>
      </c>
      <c r="G251" s="20">
        <f>IF(E251="","",WEEKNUM(E251,2))</f>
        <v>36</v>
      </c>
      <c r="H251" s="20" t="str">
        <f>IF(E251="","",TEXT(E251,"ddd"))</f>
        <v>Thu</v>
      </c>
      <c r="I251" s="20" t="str">
        <f>IF(E251="","",IF(COUNTIF($A$6:$A$55,E251)&gt;0,"Holiday",IF(WEEKDAY(E251,2)=7,"Sunday","Working")))</f>
        <v>Working</v>
      </c>
      <c r="J251" s="20" t="str">
        <f>IF(E251="","",IF(OR(WEEKDAY(E251,2)=7,COUNTIF($A$6:$A$55,E251)&gt;0),"No","Yes"))</f>
        <v>Yes</v>
      </c>
    </row>
    <row r="252">
      <c r="A252" s="9" t="n"/>
      <c r="B252" s="9" t="n"/>
      <c r="C252" s="9" t="n"/>
      <c r="D252" s="9" t="n"/>
      <c r="E252" s="19">
        <f>IF(E251="","",IF(E251&lt;DATE($B$2+1,1,1)-1,E251+1,""))</f>
        <v>46269</v>
      </c>
      <c r="F252" s="20" t="str">
        <f>IF(E252="","",TEXT(E252,"mmm"))</f>
        <v>Sep</v>
      </c>
      <c r="G252" s="20">
        <f>IF(E252="","",WEEKNUM(E252,2))</f>
        <v>36</v>
      </c>
      <c r="H252" s="20" t="str">
        <f>IF(E252="","",TEXT(E252,"ddd"))</f>
        <v>Fri</v>
      </c>
      <c r="I252" s="20" t="str">
        <f>IF(E252="","",IF(COUNTIF($A$6:$A$55,E252)&gt;0,"Holiday",IF(WEEKDAY(E252,2)=7,"Sunday","Working")))</f>
        <v>Working</v>
      </c>
      <c r="J252" s="20" t="str">
        <f>IF(E252="","",IF(OR(WEEKDAY(E252,2)=7,COUNTIF($A$6:$A$55,E252)&gt;0),"No","Yes"))</f>
        <v>Yes</v>
      </c>
    </row>
    <row r="253">
      <c r="A253" s="9" t="n"/>
      <c r="B253" s="9" t="n"/>
      <c r="C253" s="9" t="n"/>
      <c r="D253" s="9" t="n"/>
      <c r="E253" s="19">
        <f>IF(E252="","",IF(E252&lt;DATE($B$2+1,1,1)-1,E252+1,""))</f>
        <v>46270</v>
      </c>
      <c r="F253" s="20" t="str">
        <f>IF(E253="","",TEXT(E253,"mmm"))</f>
        <v>Sep</v>
      </c>
      <c r="G253" s="20">
        <f>IF(E253="","",WEEKNUM(E253,2))</f>
        <v>36</v>
      </c>
      <c r="H253" s="20" t="str">
        <f>IF(E253="","",TEXT(E253,"ddd"))</f>
        <v>Sat</v>
      </c>
      <c r="I253" s="20" t="str">
        <f>IF(E253="","",IF(COUNTIF($A$6:$A$55,E253)&gt;0,"Holiday",IF(WEEKDAY(E253,2)=7,"Sunday","Working")))</f>
        <v>Working</v>
      </c>
      <c r="J253" s="20" t="str">
        <f>IF(E253="","",IF(OR(WEEKDAY(E253,2)=7,COUNTIF($A$6:$A$55,E253)&gt;0),"No","Yes"))</f>
        <v>Yes</v>
      </c>
    </row>
    <row r="254">
      <c r="A254" s="9" t="n"/>
      <c r="B254" s="9" t="n"/>
      <c r="C254" s="9" t="n"/>
      <c r="D254" s="9" t="n"/>
      <c r="E254" s="19">
        <f>IF(E253="","",IF(E253&lt;DATE($B$2+1,1,1)-1,E253+1,""))</f>
        <v>46271</v>
      </c>
      <c r="F254" s="20" t="str">
        <f>IF(E254="","",TEXT(E254,"mmm"))</f>
        <v>Sep</v>
      </c>
      <c r="G254" s="20">
        <f>IF(E254="","",WEEKNUM(E254,2))</f>
        <v>36</v>
      </c>
      <c r="H254" s="20" t="str">
        <f>IF(E254="","",TEXT(E254,"ddd"))</f>
        <v>Sun</v>
      </c>
      <c r="I254" s="20" t="str">
        <f>IF(E254="","",IF(COUNTIF($A$6:$A$55,E254)&gt;0,"Holiday",IF(WEEKDAY(E254,2)=7,"Sunday","Working")))</f>
        <v>Sunday</v>
      </c>
      <c r="J254" s="20" t="str">
        <f>IF(E254="","",IF(OR(WEEKDAY(E254,2)=7,COUNTIF($A$6:$A$55,E254)&gt;0),"No","Yes"))</f>
        <v>No</v>
      </c>
    </row>
    <row r="255">
      <c r="A255" s="9" t="n"/>
      <c r="B255" s="9" t="n"/>
      <c r="C255" s="9" t="n"/>
      <c r="D255" s="9" t="n"/>
      <c r="E255" s="19">
        <f>IF(E254="","",IF(E254&lt;DATE($B$2+1,1,1)-1,E254+1,""))</f>
        <v>46272</v>
      </c>
      <c r="F255" s="20" t="str">
        <f>IF(E255="","",TEXT(E255,"mmm"))</f>
        <v>Sep</v>
      </c>
      <c r="G255" s="20">
        <f>IF(E255="","",WEEKNUM(E255,2))</f>
        <v>37</v>
      </c>
      <c r="H255" s="20" t="str">
        <f>IF(E255="","",TEXT(E255,"ddd"))</f>
        <v>Mon</v>
      </c>
      <c r="I255" s="20" t="str">
        <f>IF(E255="","",IF(COUNTIF($A$6:$A$55,E255)&gt;0,"Holiday",IF(WEEKDAY(E255,2)=7,"Sunday","Working")))</f>
        <v>Working</v>
      </c>
      <c r="J255" s="20" t="str">
        <f>IF(E255="","",IF(OR(WEEKDAY(E255,2)=7,COUNTIF($A$6:$A$55,E255)&gt;0),"No","Yes"))</f>
        <v>Yes</v>
      </c>
    </row>
    <row r="256">
      <c r="A256" s="9" t="n"/>
      <c r="B256" s="9" t="n"/>
      <c r="C256" s="9" t="n"/>
      <c r="D256" s="9" t="n"/>
      <c r="E256" s="19">
        <f>IF(E255="","",IF(E255&lt;DATE($B$2+1,1,1)-1,E255+1,""))</f>
        <v>46273</v>
      </c>
      <c r="F256" s="20" t="str">
        <f>IF(E256="","",TEXT(E256,"mmm"))</f>
        <v>Sep</v>
      </c>
      <c r="G256" s="20">
        <f>IF(E256="","",WEEKNUM(E256,2))</f>
        <v>37</v>
      </c>
      <c r="H256" s="20" t="str">
        <f>IF(E256="","",TEXT(E256,"ddd"))</f>
        <v>Tue</v>
      </c>
      <c r="I256" s="20" t="str">
        <f>IF(E256="","",IF(COUNTIF($A$6:$A$55,E256)&gt;0,"Holiday",IF(WEEKDAY(E256,2)=7,"Sunday","Working")))</f>
        <v>Working</v>
      </c>
      <c r="J256" s="20" t="str">
        <f>IF(E256="","",IF(OR(WEEKDAY(E256,2)=7,COUNTIF($A$6:$A$55,E256)&gt;0),"No","Yes"))</f>
        <v>Yes</v>
      </c>
    </row>
    <row r="257">
      <c r="A257" s="9" t="n"/>
      <c r="B257" s="9" t="n"/>
      <c r="C257" s="9" t="n"/>
      <c r="D257" s="9" t="n"/>
      <c r="E257" s="19">
        <f>IF(E256="","",IF(E256&lt;DATE($B$2+1,1,1)-1,E256+1,""))</f>
        <v>46274</v>
      </c>
      <c r="F257" s="20" t="str">
        <f>IF(E257="","",TEXT(E257,"mmm"))</f>
        <v>Sep</v>
      </c>
      <c r="G257" s="20">
        <f>IF(E257="","",WEEKNUM(E257,2))</f>
        <v>37</v>
      </c>
      <c r="H257" s="20" t="str">
        <f>IF(E257="","",TEXT(E257,"ddd"))</f>
        <v>Wed</v>
      </c>
      <c r="I257" s="20" t="str">
        <f>IF(E257="","",IF(COUNTIF($A$6:$A$55,E257)&gt;0,"Holiday",IF(WEEKDAY(E257,2)=7,"Sunday","Working")))</f>
        <v>Working</v>
      </c>
      <c r="J257" s="20" t="str">
        <f>IF(E257="","",IF(OR(WEEKDAY(E257,2)=7,COUNTIF($A$6:$A$55,E257)&gt;0),"No","Yes"))</f>
        <v>Yes</v>
      </c>
    </row>
    <row r="258">
      <c r="A258" s="9" t="n"/>
      <c r="B258" s="9" t="n"/>
      <c r="C258" s="9" t="n"/>
      <c r="D258" s="9" t="n"/>
      <c r="E258" s="19">
        <f>IF(E257="","",IF(E257&lt;DATE($B$2+1,1,1)-1,E257+1,""))</f>
        <v>46275</v>
      </c>
      <c r="F258" s="20" t="str">
        <f>IF(E258="","",TEXT(E258,"mmm"))</f>
        <v>Sep</v>
      </c>
      <c r="G258" s="20">
        <f>IF(E258="","",WEEKNUM(E258,2))</f>
        <v>37</v>
      </c>
      <c r="H258" s="20" t="str">
        <f>IF(E258="","",TEXT(E258,"ddd"))</f>
        <v>Thu</v>
      </c>
      <c r="I258" s="20" t="str">
        <f>IF(E258="","",IF(COUNTIF($A$6:$A$55,E258)&gt;0,"Holiday",IF(WEEKDAY(E258,2)=7,"Sunday","Working")))</f>
        <v>Working</v>
      </c>
      <c r="J258" s="20" t="str">
        <f>IF(E258="","",IF(OR(WEEKDAY(E258,2)=7,COUNTIF($A$6:$A$55,E258)&gt;0),"No","Yes"))</f>
        <v>Yes</v>
      </c>
    </row>
    <row r="259">
      <c r="A259" s="9" t="n"/>
      <c r="B259" s="9" t="n"/>
      <c r="C259" s="9" t="n"/>
      <c r="D259" s="9" t="n"/>
      <c r="E259" s="19">
        <f>IF(E258="","",IF(E258&lt;DATE($B$2+1,1,1)-1,E258+1,""))</f>
        <v>46276</v>
      </c>
      <c r="F259" s="20" t="str">
        <f>IF(E259="","",TEXT(E259,"mmm"))</f>
        <v>Sep</v>
      </c>
      <c r="G259" s="20">
        <f>IF(E259="","",WEEKNUM(E259,2))</f>
        <v>37</v>
      </c>
      <c r="H259" s="20" t="str">
        <f>IF(E259="","",TEXT(E259,"ddd"))</f>
        <v>Fri</v>
      </c>
      <c r="I259" s="20" t="str">
        <f>IF(E259="","",IF(COUNTIF($A$6:$A$55,E259)&gt;0,"Holiday",IF(WEEKDAY(E259,2)=7,"Sunday","Working")))</f>
        <v>Working</v>
      </c>
      <c r="J259" s="20" t="str">
        <f>IF(E259="","",IF(OR(WEEKDAY(E259,2)=7,COUNTIF($A$6:$A$55,E259)&gt;0),"No","Yes"))</f>
        <v>Yes</v>
      </c>
    </row>
    <row r="260">
      <c r="A260" s="9" t="n"/>
      <c r="B260" s="9" t="n"/>
      <c r="C260" s="9" t="n"/>
      <c r="D260" s="9" t="n"/>
      <c r="E260" s="19">
        <f>IF(E259="","",IF(E259&lt;DATE($B$2+1,1,1)-1,E259+1,""))</f>
        <v>46277</v>
      </c>
      <c r="F260" s="20" t="str">
        <f>IF(E260="","",TEXT(E260,"mmm"))</f>
        <v>Sep</v>
      </c>
      <c r="G260" s="20">
        <f>IF(E260="","",WEEKNUM(E260,2))</f>
        <v>37</v>
      </c>
      <c r="H260" s="20" t="str">
        <f>IF(E260="","",TEXT(E260,"ddd"))</f>
        <v>Sat</v>
      </c>
      <c r="I260" s="20" t="str">
        <f>IF(E260="","",IF(COUNTIF($A$6:$A$55,E260)&gt;0,"Holiday",IF(WEEKDAY(E260,2)=7,"Sunday","Working")))</f>
        <v>Working</v>
      </c>
      <c r="J260" s="20" t="str">
        <f>IF(E260="","",IF(OR(WEEKDAY(E260,2)=7,COUNTIF($A$6:$A$55,E260)&gt;0),"No","Yes"))</f>
        <v>Yes</v>
      </c>
    </row>
    <row r="261">
      <c r="A261" s="9" t="n"/>
      <c r="B261" s="9" t="n"/>
      <c r="C261" s="9" t="n"/>
      <c r="D261" s="9" t="n"/>
      <c r="E261" s="19">
        <f>IF(E260="","",IF(E260&lt;DATE($B$2+1,1,1)-1,E260+1,""))</f>
        <v>46278</v>
      </c>
      <c r="F261" s="20" t="str">
        <f>IF(E261="","",TEXT(E261,"mmm"))</f>
        <v>Sep</v>
      </c>
      <c r="G261" s="20">
        <f>IF(E261="","",WEEKNUM(E261,2))</f>
        <v>37</v>
      </c>
      <c r="H261" s="20" t="str">
        <f>IF(E261="","",TEXT(E261,"ddd"))</f>
        <v>Sun</v>
      </c>
      <c r="I261" s="20" t="str">
        <f>IF(E261="","",IF(COUNTIF($A$6:$A$55,E261)&gt;0,"Holiday",IF(WEEKDAY(E261,2)=7,"Sunday","Working")))</f>
        <v>Sunday</v>
      </c>
      <c r="J261" s="20" t="str">
        <f>IF(E261="","",IF(OR(WEEKDAY(E261,2)=7,COUNTIF($A$6:$A$55,E261)&gt;0),"No","Yes"))</f>
        <v>No</v>
      </c>
    </row>
    <row r="262">
      <c r="A262" s="9" t="n"/>
      <c r="B262" s="9" t="n"/>
      <c r="C262" s="9" t="n"/>
      <c r="D262" s="9" t="n"/>
      <c r="E262" s="19">
        <f>IF(E261="","",IF(E261&lt;DATE($B$2+1,1,1)-1,E261+1,""))</f>
        <v>46279</v>
      </c>
      <c r="F262" s="20" t="str">
        <f>IF(E262="","",TEXT(E262,"mmm"))</f>
        <v>Sep</v>
      </c>
      <c r="G262" s="20">
        <f>IF(E262="","",WEEKNUM(E262,2))</f>
        <v>38</v>
      </c>
      <c r="H262" s="20" t="str">
        <f>IF(E262="","",TEXT(E262,"ddd"))</f>
        <v>Mon</v>
      </c>
      <c r="I262" s="20" t="str">
        <f>IF(E262="","",IF(COUNTIF($A$6:$A$55,E262)&gt;0,"Holiday",IF(WEEKDAY(E262,2)=7,"Sunday","Working")))</f>
        <v>Working</v>
      </c>
      <c r="J262" s="20" t="str">
        <f>IF(E262="","",IF(OR(WEEKDAY(E262,2)=7,COUNTIF($A$6:$A$55,E262)&gt;0),"No","Yes"))</f>
        <v>Yes</v>
      </c>
    </row>
    <row r="263">
      <c r="A263" s="9" t="n"/>
      <c r="B263" s="9" t="n"/>
      <c r="C263" s="9" t="n"/>
      <c r="D263" s="9" t="n"/>
      <c r="E263" s="19">
        <f>IF(E262="","",IF(E262&lt;DATE($B$2+1,1,1)-1,E262+1,""))</f>
        <v>46280</v>
      </c>
      <c r="F263" s="20" t="str">
        <f>IF(E263="","",TEXT(E263,"mmm"))</f>
        <v>Sep</v>
      </c>
      <c r="G263" s="20">
        <f>IF(E263="","",WEEKNUM(E263,2))</f>
        <v>38</v>
      </c>
      <c r="H263" s="20" t="str">
        <f>IF(E263="","",TEXT(E263,"ddd"))</f>
        <v>Tue</v>
      </c>
      <c r="I263" s="20" t="str">
        <f>IF(E263="","",IF(COUNTIF($A$6:$A$55,E263)&gt;0,"Holiday",IF(WEEKDAY(E263,2)=7,"Sunday","Working")))</f>
        <v>Working</v>
      </c>
      <c r="J263" s="20" t="str">
        <f>IF(E263="","",IF(OR(WEEKDAY(E263,2)=7,COUNTIF($A$6:$A$55,E263)&gt;0),"No","Yes"))</f>
        <v>Yes</v>
      </c>
    </row>
    <row r="264">
      <c r="A264" s="9" t="n"/>
      <c r="B264" s="9" t="n"/>
      <c r="C264" s="9" t="n"/>
      <c r="D264" s="9" t="n"/>
      <c r="E264" s="19">
        <f>IF(E263="","",IF(E263&lt;DATE($B$2+1,1,1)-1,E263+1,""))</f>
        <v>46281</v>
      </c>
      <c r="F264" s="20" t="str">
        <f>IF(E264="","",TEXT(E264,"mmm"))</f>
        <v>Sep</v>
      </c>
      <c r="G264" s="20">
        <f>IF(E264="","",WEEKNUM(E264,2))</f>
        <v>38</v>
      </c>
      <c r="H264" s="20" t="str">
        <f>IF(E264="","",TEXT(E264,"ddd"))</f>
        <v>Wed</v>
      </c>
      <c r="I264" s="20" t="str">
        <f>IF(E264="","",IF(COUNTIF($A$6:$A$55,E264)&gt;0,"Holiday",IF(WEEKDAY(E264,2)=7,"Sunday","Working")))</f>
        <v>Working</v>
      </c>
      <c r="J264" s="20" t="str">
        <f>IF(E264="","",IF(OR(WEEKDAY(E264,2)=7,COUNTIF($A$6:$A$55,E264)&gt;0),"No","Yes"))</f>
        <v>Yes</v>
      </c>
    </row>
    <row r="265">
      <c r="A265" s="9" t="n"/>
      <c r="B265" s="9" t="n"/>
      <c r="C265" s="9" t="n"/>
      <c r="D265" s="9" t="n"/>
      <c r="E265" s="19">
        <f>IF(E264="","",IF(E264&lt;DATE($B$2+1,1,1)-1,E264+1,""))</f>
        <v>46282</v>
      </c>
      <c r="F265" s="20" t="str">
        <f>IF(E265="","",TEXT(E265,"mmm"))</f>
        <v>Sep</v>
      </c>
      <c r="G265" s="20">
        <f>IF(E265="","",WEEKNUM(E265,2))</f>
        <v>38</v>
      </c>
      <c r="H265" s="20" t="str">
        <f>IF(E265="","",TEXT(E265,"ddd"))</f>
        <v>Thu</v>
      </c>
      <c r="I265" s="20" t="str">
        <f>IF(E265="","",IF(COUNTIF($A$6:$A$55,E265)&gt;0,"Holiday",IF(WEEKDAY(E265,2)=7,"Sunday","Working")))</f>
        <v>Working</v>
      </c>
      <c r="J265" s="20" t="str">
        <f>IF(E265="","",IF(OR(WEEKDAY(E265,2)=7,COUNTIF($A$6:$A$55,E265)&gt;0),"No","Yes"))</f>
        <v>Yes</v>
      </c>
    </row>
    <row r="266">
      <c r="A266" s="9" t="n"/>
      <c r="B266" s="9" t="n"/>
      <c r="C266" s="9" t="n"/>
      <c r="D266" s="9" t="n"/>
      <c r="E266" s="19">
        <f>IF(E265="","",IF(E265&lt;DATE($B$2+1,1,1)-1,E265+1,""))</f>
        <v>46283</v>
      </c>
      <c r="F266" s="20" t="str">
        <f>IF(E266="","",TEXT(E266,"mmm"))</f>
        <v>Sep</v>
      </c>
      <c r="G266" s="20">
        <f>IF(E266="","",WEEKNUM(E266,2))</f>
        <v>38</v>
      </c>
      <c r="H266" s="20" t="str">
        <f>IF(E266="","",TEXT(E266,"ddd"))</f>
        <v>Fri</v>
      </c>
      <c r="I266" s="20" t="str">
        <f>IF(E266="","",IF(COUNTIF($A$6:$A$55,E266)&gt;0,"Holiday",IF(WEEKDAY(E266,2)=7,"Sunday","Working")))</f>
        <v>Working</v>
      </c>
      <c r="J266" s="20" t="str">
        <f>IF(E266="","",IF(OR(WEEKDAY(E266,2)=7,COUNTIF($A$6:$A$55,E266)&gt;0),"No","Yes"))</f>
        <v>Yes</v>
      </c>
    </row>
    <row r="267">
      <c r="A267" s="9" t="n"/>
      <c r="B267" s="9" t="n"/>
      <c r="C267" s="9" t="n"/>
      <c r="D267" s="9" t="n"/>
      <c r="E267" s="19">
        <f>IF(E266="","",IF(E266&lt;DATE($B$2+1,1,1)-1,E266+1,""))</f>
        <v>46284</v>
      </c>
      <c r="F267" s="20" t="str">
        <f>IF(E267="","",TEXT(E267,"mmm"))</f>
        <v>Sep</v>
      </c>
      <c r="G267" s="20">
        <f>IF(E267="","",WEEKNUM(E267,2))</f>
        <v>38</v>
      </c>
      <c r="H267" s="20" t="str">
        <f>IF(E267="","",TEXT(E267,"ddd"))</f>
        <v>Sat</v>
      </c>
      <c r="I267" s="20" t="str">
        <f>IF(E267="","",IF(COUNTIF($A$6:$A$55,E267)&gt;0,"Holiday",IF(WEEKDAY(E267,2)=7,"Sunday","Working")))</f>
        <v>Working</v>
      </c>
      <c r="J267" s="20" t="str">
        <f>IF(E267="","",IF(OR(WEEKDAY(E267,2)=7,COUNTIF($A$6:$A$55,E267)&gt;0),"No","Yes"))</f>
        <v>Yes</v>
      </c>
    </row>
    <row r="268">
      <c r="A268" s="9" t="n"/>
      <c r="B268" s="9" t="n"/>
      <c r="C268" s="9" t="n"/>
      <c r="D268" s="9" t="n"/>
      <c r="E268" s="19">
        <f>IF(E267="","",IF(E267&lt;DATE($B$2+1,1,1)-1,E267+1,""))</f>
        <v>46285</v>
      </c>
      <c r="F268" s="20" t="str">
        <f>IF(E268="","",TEXT(E268,"mmm"))</f>
        <v>Sep</v>
      </c>
      <c r="G268" s="20">
        <f>IF(E268="","",WEEKNUM(E268,2))</f>
        <v>38</v>
      </c>
      <c r="H268" s="20" t="str">
        <f>IF(E268="","",TEXT(E268,"ddd"))</f>
        <v>Sun</v>
      </c>
      <c r="I268" s="20" t="str">
        <f>IF(E268="","",IF(COUNTIF($A$6:$A$55,E268)&gt;0,"Holiday",IF(WEEKDAY(E268,2)=7,"Sunday","Working")))</f>
        <v>Sunday</v>
      </c>
      <c r="J268" s="20" t="str">
        <f>IF(E268="","",IF(OR(WEEKDAY(E268,2)=7,COUNTIF($A$6:$A$55,E268)&gt;0),"No","Yes"))</f>
        <v>No</v>
      </c>
    </row>
    <row r="269">
      <c r="A269" s="9" t="n"/>
      <c r="B269" s="9" t="n"/>
      <c r="C269" s="9" t="n"/>
      <c r="D269" s="9" t="n"/>
      <c r="E269" s="19">
        <f>IF(E268="","",IF(E268&lt;DATE($B$2+1,1,1)-1,E268+1,""))</f>
        <v>46286</v>
      </c>
      <c r="F269" s="20" t="str">
        <f>IF(E269="","",TEXT(E269,"mmm"))</f>
        <v>Sep</v>
      </c>
      <c r="G269" s="20">
        <f>IF(E269="","",WEEKNUM(E269,2))</f>
        <v>39</v>
      </c>
      <c r="H269" s="20" t="str">
        <f>IF(E269="","",TEXT(E269,"ddd"))</f>
        <v>Mon</v>
      </c>
      <c r="I269" s="20" t="str">
        <f>IF(E269="","",IF(COUNTIF($A$6:$A$55,E269)&gt;0,"Holiday",IF(WEEKDAY(E269,2)=7,"Sunday","Working")))</f>
        <v>Working</v>
      </c>
      <c r="J269" s="20" t="str">
        <f>IF(E269="","",IF(OR(WEEKDAY(E269,2)=7,COUNTIF($A$6:$A$55,E269)&gt;0),"No","Yes"))</f>
        <v>Yes</v>
      </c>
    </row>
    <row r="270">
      <c r="A270" s="9" t="n"/>
      <c r="B270" s="9" t="n"/>
      <c r="C270" s="9" t="n"/>
      <c r="D270" s="9" t="n"/>
      <c r="E270" s="19">
        <f>IF(E269="","",IF(E269&lt;DATE($B$2+1,1,1)-1,E269+1,""))</f>
        <v>46287</v>
      </c>
      <c r="F270" s="20" t="str">
        <f>IF(E270="","",TEXT(E270,"mmm"))</f>
        <v>Sep</v>
      </c>
      <c r="G270" s="20">
        <f>IF(E270="","",WEEKNUM(E270,2))</f>
        <v>39</v>
      </c>
      <c r="H270" s="20" t="str">
        <f>IF(E270="","",TEXT(E270,"ddd"))</f>
        <v>Tue</v>
      </c>
      <c r="I270" s="20" t="str">
        <f>IF(E270="","",IF(COUNTIF($A$6:$A$55,E270)&gt;0,"Holiday",IF(WEEKDAY(E270,2)=7,"Sunday","Working")))</f>
        <v>Working</v>
      </c>
      <c r="J270" s="20" t="str">
        <f>IF(E270="","",IF(OR(WEEKDAY(E270,2)=7,COUNTIF($A$6:$A$55,E270)&gt;0),"No","Yes"))</f>
        <v>Yes</v>
      </c>
    </row>
    <row r="271">
      <c r="A271" s="9" t="n"/>
      <c r="B271" s="9" t="n"/>
      <c r="C271" s="9" t="n"/>
      <c r="D271" s="9" t="n"/>
      <c r="E271" s="19">
        <f>IF(E270="","",IF(E270&lt;DATE($B$2+1,1,1)-1,E270+1,""))</f>
        <v>46288</v>
      </c>
      <c r="F271" s="20" t="str">
        <f>IF(E271="","",TEXT(E271,"mmm"))</f>
        <v>Sep</v>
      </c>
      <c r="G271" s="20">
        <f>IF(E271="","",WEEKNUM(E271,2))</f>
        <v>39</v>
      </c>
      <c r="H271" s="20" t="str">
        <f>IF(E271="","",TEXT(E271,"ddd"))</f>
        <v>Wed</v>
      </c>
      <c r="I271" s="20" t="str">
        <f>IF(E271="","",IF(COUNTIF($A$6:$A$55,E271)&gt;0,"Holiday",IF(WEEKDAY(E271,2)=7,"Sunday","Working")))</f>
        <v>Working</v>
      </c>
      <c r="J271" s="20" t="str">
        <f>IF(E271="","",IF(OR(WEEKDAY(E271,2)=7,COUNTIF($A$6:$A$55,E271)&gt;0),"No","Yes"))</f>
        <v>Yes</v>
      </c>
    </row>
    <row r="272">
      <c r="A272" s="9" t="n"/>
      <c r="B272" s="9" t="n"/>
      <c r="C272" s="9" t="n"/>
      <c r="D272" s="9" t="n"/>
      <c r="E272" s="19">
        <f>IF(E271="","",IF(E271&lt;DATE($B$2+1,1,1)-1,E271+1,""))</f>
        <v>46289</v>
      </c>
      <c r="F272" s="20" t="str">
        <f>IF(E272="","",TEXT(E272,"mmm"))</f>
        <v>Sep</v>
      </c>
      <c r="G272" s="20">
        <f>IF(E272="","",WEEKNUM(E272,2))</f>
        <v>39</v>
      </c>
      <c r="H272" s="20" t="str">
        <f>IF(E272="","",TEXT(E272,"ddd"))</f>
        <v>Thu</v>
      </c>
      <c r="I272" s="20" t="str">
        <f>IF(E272="","",IF(COUNTIF($A$6:$A$55,E272)&gt;0,"Holiday",IF(WEEKDAY(E272,2)=7,"Sunday","Working")))</f>
        <v>Working</v>
      </c>
      <c r="J272" s="20" t="str">
        <f>IF(E272="","",IF(OR(WEEKDAY(E272,2)=7,COUNTIF($A$6:$A$55,E272)&gt;0),"No","Yes"))</f>
        <v>Yes</v>
      </c>
    </row>
    <row r="273">
      <c r="A273" s="9" t="n"/>
      <c r="B273" s="9" t="n"/>
      <c r="C273" s="9" t="n"/>
      <c r="D273" s="9" t="n"/>
      <c r="E273" s="19">
        <f>IF(E272="","",IF(E272&lt;DATE($B$2+1,1,1)-1,E272+1,""))</f>
        <v>46290</v>
      </c>
      <c r="F273" s="20" t="str">
        <f>IF(E273="","",TEXT(E273,"mmm"))</f>
        <v>Sep</v>
      </c>
      <c r="G273" s="20">
        <f>IF(E273="","",WEEKNUM(E273,2))</f>
        <v>39</v>
      </c>
      <c r="H273" s="20" t="str">
        <f>IF(E273="","",TEXT(E273,"ddd"))</f>
        <v>Fri</v>
      </c>
      <c r="I273" s="20" t="str">
        <f>IF(E273="","",IF(COUNTIF($A$6:$A$55,E273)&gt;0,"Holiday",IF(WEEKDAY(E273,2)=7,"Sunday","Working")))</f>
        <v>Working</v>
      </c>
      <c r="J273" s="20" t="str">
        <f>IF(E273="","",IF(OR(WEEKDAY(E273,2)=7,COUNTIF($A$6:$A$55,E273)&gt;0),"No","Yes"))</f>
        <v>Yes</v>
      </c>
    </row>
    <row r="274">
      <c r="A274" s="9" t="n"/>
      <c r="B274" s="9" t="n"/>
      <c r="C274" s="9" t="n"/>
      <c r="D274" s="9" t="n"/>
      <c r="E274" s="19">
        <f>IF(E273="","",IF(E273&lt;DATE($B$2+1,1,1)-1,E273+1,""))</f>
        <v>46291</v>
      </c>
      <c r="F274" s="20" t="str">
        <f>IF(E274="","",TEXT(E274,"mmm"))</f>
        <v>Sep</v>
      </c>
      <c r="G274" s="20">
        <f>IF(E274="","",WEEKNUM(E274,2))</f>
        <v>39</v>
      </c>
      <c r="H274" s="20" t="str">
        <f>IF(E274="","",TEXT(E274,"ddd"))</f>
        <v>Sat</v>
      </c>
      <c r="I274" s="20" t="str">
        <f>IF(E274="","",IF(COUNTIF($A$6:$A$55,E274)&gt;0,"Holiday",IF(WEEKDAY(E274,2)=7,"Sunday","Working")))</f>
        <v>Working</v>
      </c>
      <c r="J274" s="20" t="str">
        <f>IF(E274="","",IF(OR(WEEKDAY(E274,2)=7,COUNTIF($A$6:$A$55,E274)&gt;0),"No","Yes"))</f>
        <v>Yes</v>
      </c>
    </row>
    <row r="275">
      <c r="A275" s="9" t="n"/>
      <c r="B275" s="9" t="n"/>
      <c r="C275" s="9" t="n"/>
      <c r="D275" s="9" t="n"/>
      <c r="E275" s="19">
        <f>IF(E274="","",IF(E274&lt;DATE($B$2+1,1,1)-1,E274+1,""))</f>
        <v>46292</v>
      </c>
      <c r="F275" s="20" t="str">
        <f>IF(E275="","",TEXT(E275,"mmm"))</f>
        <v>Sep</v>
      </c>
      <c r="G275" s="20">
        <f>IF(E275="","",WEEKNUM(E275,2))</f>
        <v>39</v>
      </c>
      <c r="H275" s="20" t="str">
        <f>IF(E275="","",TEXT(E275,"ddd"))</f>
        <v>Sun</v>
      </c>
      <c r="I275" s="20" t="str">
        <f>IF(E275="","",IF(COUNTIF($A$6:$A$55,E275)&gt;0,"Holiday",IF(WEEKDAY(E275,2)=7,"Sunday","Working")))</f>
        <v>Sunday</v>
      </c>
      <c r="J275" s="20" t="str">
        <f>IF(E275="","",IF(OR(WEEKDAY(E275,2)=7,COUNTIF($A$6:$A$55,E275)&gt;0),"No","Yes"))</f>
        <v>No</v>
      </c>
    </row>
    <row r="276">
      <c r="A276" s="9" t="n"/>
      <c r="B276" s="9" t="n"/>
      <c r="C276" s="9" t="n"/>
      <c r="D276" s="9" t="n"/>
      <c r="E276" s="19">
        <f>IF(E275="","",IF(E275&lt;DATE($B$2+1,1,1)-1,E275+1,""))</f>
        <v>46293</v>
      </c>
      <c r="F276" s="20" t="str">
        <f>IF(E276="","",TEXT(E276,"mmm"))</f>
        <v>Sep</v>
      </c>
      <c r="G276" s="20">
        <f>IF(E276="","",WEEKNUM(E276,2))</f>
        <v>40</v>
      </c>
      <c r="H276" s="20" t="str">
        <f>IF(E276="","",TEXT(E276,"ddd"))</f>
        <v>Mon</v>
      </c>
      <c r="I276" s="20" t="str">
        <f>IF(E276="","",IF(COUNTIF($A$6:$A$55,E276)&gt;0,"Holiday",IF(WEEKDAY(E276,2)=7,"Sunday","Working")))</f>
        <v>Working</v>
      </c>
      <c r="J276" s="20" t="str">
        <f>IF(E276="","",IF(OR(WEEKDAY(E276,2)=7,COUNTIF($A$6:$A$55,E276)&gt;0),"No","Yes"))</f>
        <v>Yes</v>
      </c>
    </row>
    <row r="277">
      <c r="A277" s="9" t="n"/>
      <c r="B277" s="9" t="n"/>
      <c r="C277" s="9" t="n"/>
      <c r="D277" s="9" t="n"/>
      <c r="E277" s="19">
        <f>IF(E276="","",IF(E276&lt;DATE($B$2+1,1,1)-1,E276+1,""))</f>
        <v>46294</v>
      </c>
      <c r="F277" s="20" t="str">
        <f>IF(E277="","",TEXT(E277,"mmm"))</f>
        <v>Sep</v>
      </c>
      <c r="G277" s="20">
        <f>IF(E277="","",WEEKNUM(E277,2))</f>
        <v>40</v>
      </c>
      <c r="H277" s="20" t="str">
        <f>IF(E277="","",TEXT(E277,"ddd"))</f>
        <v>Tue</v>
      </c>
      <c r="I277" s="20" t="str">
        <f>IF(E277="","",IF(COUNTIF($A$6:$A$55,E277)&gt;0,"Holiday",IF(WEEKDAY(E277,2)=7,"Sunday","Working")))</f>
        <v>Working</v>
      </c>
      <c r="J277" s="20" t="str">
        <f>IF(E277="","",IF(OR(WEEKDAY(E277,2)=7,COUNTIF($A$6:$A$55,E277)&gt;0),"No","Yes"))</f>
        <v>Yes</v>
      </c>
    </row>
    <row r="278">
      <c r="A278" s="9" t="n"/>
      <c r="B278" s="9" t="n"/>
      <c r="C278" s="9" t="n"/>
      <c r="D278" s="9" t="n"/>
      <c r="E278" s="19">
        <f>IF(E277="","",IF(E277&lt;DATE($B$2+1,1,1)-1,E277+1,""))</f>
        <v>46295</v>
      </c>
      <c r="F278" s="20" t="str">
        <f>IF(E278="","",TEXT(E278,"mmm"))</f>
        <v>Sep</v>
      </c>
      <c r="G278" s="20">
        <f>IF(E278="","",WEEKNUM(E278,2))</f>
        <v>40</v>
      </c>
      <c r="H278" s="20" t="str">
        <f>IF(E278="","",TEXT(E278,"ddd"))</f>
        <v>Wed</v>
      </c>
      <c r="I278" s="20" t="str">
        <f>IF(E278="","",IF(COUNTIF($A$6:$A$55,E278)&gt;0,"Holiday",IF(WEEKDAY(E278,2)=7,"Sunday","Working")))</f>
        <v>Working</v>
      </c>
      <c r="J278" s="20" t="str">
        <f>IF(E278="","",IF(OR(WEEKDAY(E278,2)=7,COUNTIF($A$6:$A$55,E278)&gt;0),"No","Yes"))</f>
        <v>Yes</v>
      </c>
    </row>
    <row r="279">
      <c r="A279" s="9" t="n"/>
      <c r="B279" s="9" t="n"/>
      <c r="C279" s="9" t="n"/>
      <c r="D279" s="9" t="n"/>
      <c r="E279" s="19">
        <f>IF(E278="","",IF(E278&lt;DATE($B$2+1,1,1)-1,E278+1,""))</f>
        <v>46296</v>
      </c>
      <c r="F279" s="20" t="str">
        <f>IF(E279="","",TEXT(E279,"mmm"))</f>
        <v>Oct</v>
      </c>
      <c r="G279" s="20">
        <f>IF(E279="","",WEEKNUM(E279,2))</f>
        <v>40</v>
      </c>
      <c r="H279" s="20" t="str">
        <f>IF(E279="","",TEXT(E279,"ddd"))</f>
        <v>Thu</v>
      </c>
      <c r="I279" s="20" t="str">
        <f>IF(E279="","",IF(COUNTIF($A$6:$A$55,E279)&gt;0,"Holiday",IF(WEEKDAY(E279,2)=7,"Sunday","Working")))</f>
        <v>Working</v>
      </c>
      <c r="J279" s="20" t="str">
        <f>IF(E279="","",IF(OR(WEEKDAY(E279,2)=7,COUNTIF($A$6:$A$55,E279)&gt;0),"No","Yes"))</f>
        <v>Yes</v>
      </c>
    </row>
    <row r="280">
      <c r="A280" s="9" t="n"/>
      <c r="B280" s="9" t="n"/>
      <c r="C280" s="9" t="n"/>
      <c r="D280" s="9" t="n"/>
      <c r="E280" s="19">
        <f>IF(E279="","",IF(E279&lt;DATE($B$2+1,1,1)-1,E279+1,""))</f>
        <v>46297</v>
      </c>
      <c r="F280" s="20" t="str">
        <f>IF(E280="","",TEXT(E280,"mmm"))</f>
        <v>Oct</v>
      </c>
      <c r="G280" s="20">
        <f>IF(E280="","",WEEKNUM(E280,2))</f>
        <v>40</v>
      </c>
      <c r="H280" s="20" t="str">
        <f>IF(E280="","",TEXT(E280,"ddd"))</f>
        <v>Fri</v>
      </c>
      <c r="I280" s="20" t="str">
        <f>IF(E280="","",IF(COUNTIF($A$6:$A$55,E280)&gt;0,"Holiday",IF(WEEKDAY(E280,2)=7,"Sunday","Working")))</f>
        <v>Holiday</v>
      </c>
      <c r="J280" s="20" t="str">
        <f>IF(E280="","",IF(OR(WEEKDAY(E280,2)=7,COUNTIF($A$6:$A$55,E280)&gt;0),"No","Yes"))</f>
        <v>No</v>
      </c>
    </row>
    <row r="281">
      <c r="A281" s="9" t="n"/>
      <c r="B281" s="9" t="n"/>
      <c r="C281" s="9" t="n"/>
      <c r="D281" s="9" t="n"/>
      <c r="E281" s="19">
        <f>IF(E280="","",IF(E280&lt;DATE($B$2+1,1,1)-1,E280+1,""))</f>
        <v>46298</v>
      </c>
      <c r="F281" s="20" t="str">
        <f>IF(E281="","",TEXT(E281,"mmm"))</f>
        <v>Oct</v>
      </c>
      <c r="G281" s="20">
        <f>IF(E281="","",WEEKNUM(E281,2))</f>
        <v>40</v>
      </c>
      <c r="H281" s="20" t="str">
        <f>IF(E281="","",TEXT(E281,"ddd"))</f>
        <v>Sat</v>
      </c>
      <c r="I281" s="20" t="str">
        <f>IF(E281="","",IF(COUNTIF($A$6:$A$55,E281)&gt;0,"Holiday",IF(WEEKDAY(E281,2)=7,"Sunday","Working")))</f>
        <v>Working</v>
      </c>
      <c r="J281" s="20" t="str">
        <f>IF(E281="","",IF(OR(WEEKDAY(E281,2)=7,COUNTIF($A$6:$A$55,E281)&gt;0),"No","Yes"))</f>
        <v>Yes</v>
      </c>
    </row>
    <row r="282">
      <c r="A282" s="9" t="n"/>
      <c r="B282" s="9" t="n"/>
      <c r="C282" s="9" t="n"/>
      <c r="D282" s="9" t="n"/>
      <c r="E282" s="19">
        <f>IF(E281="","",IF(E281&lt;DATE($B$2+1,1,1)-1,E281+1,""))</f>
        <v>46299</v>
      </c>
      <c r="F282" s="20" t="str">
        <f>IF(E282="","",TEXT(E282,"mmm"))</f>
        <v>Oct</v>
      </c>
      <c r="G282" s="20">
        <f>IF(E282="","",WEEKNUM(E282,2))</f>
        <v>40</v>
      </c>
      <c r="H282" s="20" t="str">
        <f>IF(E282="","",TEXT(E282,"ddd"))</f>
        <v>Sun</v>
      </c>
      <c r="I282" s="20" t="str">
        <f>IF(E282="","",IF(COUNTIF($A$6:$A$55,E282)&gt;0,"Holiday",IF(WEEKDAY(E282,2)=7,"Sunday","Working")))</f>
        <v>Sunday</v>
      </c>
      <c r="J282" s="20" t="str">
        <f>IF(E282="","",IF(OR(WEEKDAY(E282,2)=7,COUNTIF($A$6:$A$55,E282)&gt;0),"No","Yes"))</f>
        <v>No</v>
      </c>
    </row>
    <row r="283">
      <c r="A283" s="9" t="n"/>
      <c r="B283" s="9" t="n"/>
      <c r="C283" s="9" t="n"/>
      <c r="D283" s="9" t="n"/>
      <c r="E283" s="19">
        <f>IF(E282="","",IF(E282&lt;DATE($B$2+1,1,1)-1,E282+1,""))</f>
        <v>46300</v>
      </c>
      <c r="F283" s="20" t="str">
        <f>IF(E283="","",TEXT(E283,"mmm"))</f>
        <v>Oct</v>
      </c>
      <c r="G283" s="20">
        <f>IF(E283="","",WEEKNUM(E283,2))</f>
        <v>41</v>
      </c>
      <c r="H283" s="20" t="str">
        <f>IF(E283="","",TEXT(E283,"ddd"))</f>
        <v>Mon</v>
      </c>
      <c r="I283" s="20" t="str">
        <f>IF(E283="","",IF(COUNTIF($A$6:$A$55,E283)&gt;0,"Holiday",IF(WEEKDAY(E283,2)=7,"Sunday","Working")))</f>
        <v>Working</v>
      </c>
      <c r="J283" s="20" t="str">
        <f>IF(E283="","",IF(OR(WEEKDAY(E283,2)=7,COUNTIF($A$6:$A$55,E283)&gt;0),"No","Yes"))</f>
        <v>Yes</v>
      </c>
    </row>
    <row r="284">
      <c r="A284" s="9" t="n"/>
      <c r="B284" s="9" t="n"/>
      <c r="C284" s="9" t="n"/>
      <c r="D284" s="9" t="n"/>
      <c r="E284" s="19">
        <f>IF(E283="","",IF(E283&lt;DATE($B$2+1,1,1)-1,E283+1,""))</f>
        <v>46301</v>
      </c>
      <c r="F284" s="20" t="str">
        <f>IF(E284="","",TEXT(E284,"mmm"))</f>
        <v>Oct</v>
      </c>
      <c r="G284" s="20">
        <f>IF(E284="","",WEEKNUM(E284,2))</f>
        <v>41</v>
      </c>
      <c r="H284" s="20" t="str">
        <f>IF(E284="","",TEXT(E284,"ddd"))</f>
        <v>Tue</v>
      </c>
      <c r="I284" s="20" t="str">
        <f>IF(E284="","",IF(COUNTIF($A$6:$A$55,E284)&gt;0,"Holiday",IF(WEEKDAY(E284,2)=7,"Sunday","Working")))</f>
        <v>Working</v>
      </c>
      <c r="J284" s="20" t="str">
        <f>IF(E284="","",IF(OR(WEEKDAY(E284,2)=7,COUNTIF($A$6:$A$55,E284)&gt;0),"No","Yes"))</f>
        <v>Yes</v>
      </c>
    </row>
    <row r="285">
      <c r="A285" s="9" t="n"/>
      <c r="B285" s="9" t="n"/>
      <c r="C285" s="9" t="n"/>
      <c r="D285" s="9" t="n"/>
      <c r="E285" s="19">
        <f>IF(E284="","",IF(E284&lt;DATE($B$2+1,1,1)-1,E284+1,""))</f>
        <v>46302</v>
      </c>
      <c r="F285" s="20" t="str">
        <f>IF(E285="","",TEXT(E285,"mmm"))</f>
        <v>Oct</v>
      </c>
      <c r="G285" s="20">
        <f>IF(E285="","",WEEKNUM(E285,2))</f>
        <v>41</v>
      </c>
      <c r="H285" s="20" t="str">
        <f>IF(E285="","",TEXT(E285,"ddd"))</f>
        <v>Wed</v>
      </c>
      <c r="I285" s="20" t="str">
        <f>IF(E285="","",IF(COUNTIF($A$6:$A$55,E285)&gt;0,"Holiday",IF(WEEKDAY(E285,2)=7,"Sunday","Working")))</f>
        <v>Working</v>
      </c>
      <c r="J285" s="20" t="str">
        <f>IF(E285="","",IF(OR(WEEKDAY(E285,2)=7,COUNTIF($A$6:$A$55,E285)&gt;0),"No","Yes"))</f>
        <v>Yes</v>
      </c>
    </row>
    <row r="286">
      <c r="A286" s="9" t="n"/>
      <c r="B286" s="9" t="n"/>
      <c r="C286" s="9" t="n"/>
      <c r="D286" s="9" t="n"/>
      <c r="E286" s="19">
        <f>IF(E285="","",IF(E285&lt;DATE($B$2+1,1,1)-1,E285+1,""))</f>
        <v>46303</v>
      </c>
      <c r="F286" s="20" t="str">
        <f>IF(E286="","",TEXT(E286,"mmm"))</f>
        <v>Oct</v>
      </c>
      <c r="G286" s="20">
        <f>IF(E286="","",WEEKNUM(E286,2))</f>
        <v>41</v>
      </c>
      <c r="H286" s="20" t="str">
        <f>IF(E286="","",TEXT(E286,"ddd"))</f>
        <v>Thu</v>
      </c>
      <c r="I286" s="20" t="str">
        <f>IF(E286="","",IF(COUNTIF($A$6:$A$55,E286)&gt;0,"Holiday",IF(WEEKDAY(E286,2)=7,"Sunday","Working")))</f>
        <v>Working</v>
      </c>
      <c r="J286" s="20" t="str">
        <f>IF(E286="","",IF(OR(WEEKDAY(E286,2)=7,COUNTIF($A$6:$A$55,E286)&gt;0),"No","Yes"))</f>
        <v>Yes</v>
      </c>
    </row>
    <row r="287">
      <c r="A287" s="9" t="n"/>
      <c r="B287" s="9" t="n"/>
      <c r="C287" s="9" t="n"/>
      <c r="D287" s="9" t="n"/>
      <c r="E287" s="19">
        <f>IF(E286="","",IF(E286&lt;DATE($B$2+1,1,1)-1,E286+1,""))</f>
        <v>46304</v>
      </c>
      <c r="F287" s="20" t="str">
        <f>IF(E287="","",TEXT(E287,"mmm"))</f>
        <v>Oct</v>
      </c>
      <c r="G287" s="20">
        <f>IF(E287="","",WEEKNUM(E287,2))</f>
        <v>41</v>
      </c>
      <c r="H287" s="20" t="str">
        <f>IF(E287="","",TEXT(E287,"ddd"))</f>
        <v>Fri</v>
      </c>
      <c r="I287" s="20" t="str">
        <f>IF(E287="","",IF(COUNTIF($A$6:$A$55,E287)&gt;0,"Holiday",IF(WEEKDAY(E287,2)=7,"Sunday","Working")))</f>
        <v>Working</v>
      </c>
      <c r="J287" s="20" t="str">
        <f>IF(E287="","",IF(OR(WEEKDAY(E287,2)=7,COUNTIF($A$6:$A$55,E287)&gt;0),"No","Yes"))</f>
        <v>Yes</v>
      </c>
    </row>
    <row r="288">
      <c r="A288" s="9" t="n"/>
      <c r="B288" s="9" t="n"/>
      <c r="C288" s="9" t="n"/>
      <c r="D288" s="9" t="n"/>
      <c r="E288" s="19">
        <f>IF(E287="","",IF(E287&lt;DATE($B$2+1,1,1)-1,E287+1,""))</f>
        <v>46305</v>
      </c>
      <c r="F288" s="20" t="str">
        <f>IF(E288="","",TEXT(E288,"mmm"))</f>
        <v>Oct</v>
      </c>
      <c r="G288" s="20">
        <f>IF(E288="","",WEEKNUM(E288,2))</f>
        <v>41</v>
      </c>
      <c r="H288" s="20" t="str">
        <f>IF(E288="","",TEXT(E288,"ddd"))</f>
        <v>Sat</v>
      </c>
      <c r="I288" s="20" t="str">
        <f>IF(E288="","",IF(COUNTIF($A$6:$A$55,E288)&gt;0,"Holiday",IF(WEEKDAY(E288,2)=7,"Sunday","Working")))</f>
        <v>Working</v>
      </c>
      <c r="J288" s="20" t="str">
        <f>IF(E288="","",IF(OR(WEEKDAY(E288,2)=7,COUNTIF($A$6:$A$55,E288)&gt;0),"No","Yes"))</f>
        <v>Yes</v>
      </c>
    </row>
    <row r="289">
      <c r="A289" s="9" t="n"/>
      <c r="B289" s="9" t="n"/>
      <c r="C289" s="9" t="n"/>
      <c r="D289" s="9" t="n"/>
      <c r="E289" s="19">
        <f>IF(E288="","",IF(E288&lt;DATE($B$2+1,1,1)-1,E288+1,""))</f>
        <v>46306</v>
      </c>
      <c r="F289" s="20" t="str">
        <f>IF(E289="","",TEXT(E289,"mmm"))</f>
        <v>Oct</v>
      </c>
      <c r="G289" s="20">
        <f>IF(E289="","",WEEKNUM(E289,2))</f>
        <v>41</v>
      </c>
      <c r="H289" s="20" t="str">
        <f>IF(E289="","",TEXT(E289,"ddd"))</f>
        <v>Sun</v>
      </c>
      <c r="I289" s="20" t="str">
        <f>IF(E289="","",IF(COUNTIF($A$6:$A$55,E289)&gt;0,"Holiday",IF(WEEKDAY(E289,2)=7,"Sunday","Working")))</f>
        <v>Sunday</v>
      </c>
      <c r="J289" s="20" t="str">
        <f>IF(E289="","",IF(OR(WEEKDAY(E289,2)=7,COUNTIF($A$6:$A$55,E289)&gt;0),"No","Yes"))</f>
        <v>No</v>
      </c>
    </row>
    <row r="290">
      <c r="A290" s="9" t="n"/>
      <c r="B290" s="9" t="n"/>
      <c r="C290" s="9" t="n"/>
      <c r="D290" s="9" t="n"/>
      <c r="E290" s="19">
        <f>IF(E289="","",IF(E289&lt;DATE($B$2+1,1,1)-1,E289+1,""))</f>
        <v>46307</v>
      </c>
      <c r="F290" s="20" t="str">
        <f>IF(E290="","",TEXT(E290,"mmm"))</f>
        <v>Oct</v>
      </c>
      <c r="G290" s="20">
        <f>IF(E290="","",WEEKNUM(E290,2))</f>
        <v>42</v>
      </c>
      <c r="H290" s="20" t="str">
        <f>IF(E290="","",TEXT(E290,"ddd"))</f>
        <v>Mon</v>
      </c>
      <c r="I290" s="20" t="str">
        <f>IF(E290="","",IF(COUNTIF($A$6:$A$55,E290)&gt;0,"Holiday",IF(WEEKDAY(E290,2)=7,"Sunday","Working")))</f>
        <v>Working</v>
      </c>
      <c r="J290" s="20" t="str">
        <f>IF(E290="","",IF(OR(WEEKDAY(E290,2)=7,COUNTIF($A$6:$A$55,E290)&gt;0),"No","Yes"))</f>
        <v>Yes</v>
      </c>
    </row>
    <row r="291">
      <c r="A291" s="9" t="n"/>
      <c r="B291" s="9" t="n"/>
      <c r="C291" s="9" t="n"/>
      <c r="D291" s="9" t="n"/>
      <c r="E291" s="19">
        <f>IF(E290="","",IF(E290&lt;DATE($B$2+1,1,1)-1,E290+1,""))</f>
        <v>46308</v>
      </c>
      <c r="F291" s="20" t="str">
        <f>IF(E291="","",TEXT(E291,"mmm"))</f>
        <v>Oct</v>
      </c>
      <c r="G291" s="20">
        <f>IF(E291="","",WEEKNUM(E291,2))</f>
        <v>42</v>
      </c>
      <c r="H291" s="20" t="str">
        <f>IF(E291="","",TEXT(E291,"ddd"))</f>
        <v>Tue</v>
      </c>
      <c r="I291" s="20" t="str">
        <f>IF(E291="","",IF(COUNTIF($A$6:$A$55,E291)&gt;0,"Holiday",IF(WEEKDAY(E291,2)=7,"Sunday","Working")))</f>
        <v>Working</v>
      </c>
      <c r="J291" s="20" t="str">
        <f>IF(E291="","",IF(OR(WEEKDAY(E291,2)=7,COUNTIF($A$6:$A$55,E291)&gt;0),"No","Yes"))</f>
        <v>Yes</v>
      </c>
    </row>
    <row r="292">
      <c r="A292" s="9" t="n"/>
      <c r="B292" s="9" t="n"/>
      <c r="C292" s="9" t="n"/>
      <c r="D292" s="9" t="n"/>
      <c r="E292" s="19">
        <f>IF(E291="","",IF(E291&lt;DATE($B$2+1,1,1)-1,E291+1,""))</f>
        <v>46309</v>
      </c>
      <c r="F292" s="20" t="str">
        <f>IF(E292="","",TEXT(E292,"mmm"))</f>
        <v>Oct</v>
      </c>
      <c r="G292" s="20">
        <f>IF(E292="","",WEEKNUM(E292,2))</f>
        <v>42</v>
      </c>
      <c r="H292" s="20" t="str">
        <f>IF(E292="","",TEXT(E292,"ddd"))</f>
        <v>Wed</v>
      </c>
      <c r="I292" s="20" t="str">
        <f>IF(E292="","",IF(COUNTIF($A$6:$A$55,E292)&gt;0,"Holiday",IF(WEEKDAY(E292,2)=7,"Sunday","Working")))</f>
        <v>Working</v>
      </c>
      <c r="J292" s="20" t="str">
        <f>IF(E292="","",IF(OR(WEEKDAY(E292,2)=7,COUNTIF($A$6:$A$55,E292)&gt;0),"No","Yes"))</f>
        <v>Yes</v>
      </c>
    </row>
    <row r="293">
      <c r="A293" s="9" t="n"/>
      <c r="B293" s="9" t="n"/>
      <c r="C293" s="9" t="n"/>
      <c r="D293" s="9" t="n"/>
      <c r="E293" s="19">
        <f>IF(E292="","",IF(E292&lt;DATE($B$2+1,1,1)-1,E292+1,""))</f>
        <v>46310</v>
      </c>
      <c r="F293" s="20" t="str">
        <f>IF(E293="","",TEXT(E293,"mmm"))</f>
        <v>Oct</v>
      </c>
      <c r="G293" s="20">
        <f>IF(E293="","",WEEKNUM(E293,2))</f>
        <v>42</v>
      </c>
      <c r="H293" s="20" t="str">
        <f>IF(E293="","",TEXT(E293,"ddd"))</f>
        <v>Thu</v>
      </c>
      <c r="I293" s="20" t="str">
        <f>IF(E293="","",IF(COUNTIF($A$6:$A$55,E293)&gt;0,"Holiday",IF(WEEKDAY(E293,2)=7,"Sunday","Working")))</f>
        <v>Working</v>
      </c>
      <c r="J293" s="20" t="str">
        <f>IF(E293="","",IF(OR(WEEKDAY(E293,2)=7,COUNTIF($A$6:$A$55,E293)&gt;0),"No","Yes"))</f>
        <v>Yes</v>
      </c>
    </row>
    <row r="294">
      <c r="A294" s="9" t="n"/>
      <c r="B294" s="9" t="n"/>
      <c r="C294" s="9" t="n"/>
      <c r="D294" s="9" t="n"/>
      <c r="E294" s="19">
        <f>IF(E293="","",IF(E293&lt;DATE($B$2+1,1,1)-1,E293+1,""))</f>
        <v>46311</v>
      </c>
      <c r="F294" s="20" t="str">
        <f>IF(E294="","",TEXT(E294,"mmm"))</f>
        <v>Oct</v>
      </c>
      <c r="G294" s="20">
        <f>IF(E294="","",WEEKNUM(E294,2))</f>
        <v>42</v>
      </c>
      <c r="H294" s="20" t="str">
        <f>IF(E294="","",TEXT(E294,"ddd"))</f>
        <v>Fri</v>
      </c>
      <c r="I294" s="20" t="str">
        <f>IF(E294="","",IF(COUNTIF($A$6:$A$55,E294)&gt;0,"Holiday",IF(WEEKDAY(E294,2)=7,"Sunday","Working")))</f>
        <v>Working</v>
      </c>
      <c r="J294" s="20" t="str">
        <f>IF(E294="","",IF(OR(WEEKDAY(E294,2)=7,COUNTIF($A$6:$A$55,E294)&gt;0),"No","Yes"))</f>
        <v>Yes</v>
      </c>
    </row>
    <row r="295">
      <c r="A295" s="9" t="n"/>
      <c r="B295" s="9" t="n"/>
      <c r="C295" s="9" t="n"/>
      <c r="D295" s="9" t="n"/>
      <c r="E295" s="19">
        <f>IF(E294="","",IF(E294&lt;DATE($B$2+1,1,1)-1,E294+1,""))</f>
        <v>46312</v>
      </c>
      <c r="F295" s="20" t="str">
        <f>IF(E295="","",TEXT(E295,"mmm"))</f>
        <v>Oct</v>
      </c>
      <c r="G295" s="20">
        <f>IF(E295="","",WEEKNUM(E295,2))</f>
        <v>42</v>
      </c>
      <c r="H295" s="20" t="str">
        <f>IF(E295="","",TEXT(E295,"ddd"))</f>
        <v>Sat</v>
      </c>
      <c r="I295" s="20" t="str">
        <f>IF(E295="","",IF(COUNTIF($A$6:$A$55,E295)&gt;0,"Holiday",IF(WEEKDAY(E295,2)=7,"Sunday","Working")))</f>
        <v>Working</v>
      </c>
      <c r="J295" s="20" t="str">
        <f>IF(E295="","",IF(OR(WEEKDAY(E295,2)=7,COUNTIF($A$6:$A$55,E295)&gt;0),"No","Yes"))</f>
        <v>Yes</v>
      </c>
    </row>
    <row r="296">
      <c r="A296" s="9" t="n"/>
      <c r="B296" s="9" t="n"/>
      <c r="C296" s="9" t="n"/>
      <c r="D296" s="9" t="n"/>
      <c r="E296" s="19">
        <f>IF(E295="","",IF(E295&lt;DATE($B$2+1,1,1)-1,E295+1,""))</f>
        <v>46313</v>
      </c>
      <c r="F296" s="20" t="str">
        <f>IF(E296="","",TEXT(E296,"mmm"))</f>
        <v>Oct</v>
      </c>
      <c r="G296" s="20">
        <f>IF(E296="","",WEEKNUM(E296,2))</f>
        <v>42</v>
      </c>
      <c r="H296" s="20" t="str">
        <f>IF(E296="","",TEXT(E296,"ddd"))</f>
        <v>Sun</v>
      </c>
      <c r="I296" s="20" t="str">
        <f>IF(E296="","",IF(COUNTIF($A$6:$A$55,E296)&gt;0,"Holiday",IF(WEEKDAY(E296,2)=7,"Sunday","Working")))</f>
        <v>Sunday</v>
      </c>
      <c r="J296" s="20" t="str">
        <f>IF(E296="","",IF(OR(WEEKDAY(E296,2)=7,COUNTIF($A$6:$A$55,E296)&gt;0),"No","Yes"))</f>
        <v>No</v>
      </c>
    </row>
    <row r="297">
      <c r="A297" s="9" t="n"/>
      <c r="B297" s="9" t="n"/>
      <c r="C297" s="9" t="n"/>
      <c r="D297" s="9" t="n"/>
      <c r="E297" s="19">
        <f>IF(E296="","",IF(E296&lt;DATE($B$2+1,1,1)-1,E296+1,""))</f>
        <v>46314</v>
      </c>
      <c r="F297" s="20" t="str">
        <f>IF(E297="","",TEXT(E297,"mmm"))</f>
        <v>Oct</v>
      </c>
      <c r="G297" s="20">
        <f>IF(E297="","",WEEKNUM(E297,2))</f>
        <v>43</v>
      </c>
      <c r="H297" s="20" t="str">
        <f>IF(E297="","",TEXT(E297,"ddd"))</f>
        <v>Mon</v>
      </c>
      <c r="I297" s="20" t="str">
        <f>IF(E297="","",IF(COUNTIF($A$6:$A$55,E297)&gt;0,"Holiday",IF(WEEKDAY(E297,2)=7,"Sunday","Working")))</f>
        <v>Working</v>
      </c>
      <c r="J297" s="20" t="str">
        <f>IF(E297="","",IF(OR(WEEKDAY(E297,2)=7,COUNTIF($A$6:$A$55,E297)&gt;0),"No","Yes"))</f>
        <v>Yes</v>
      </c>
    </row>
    <row r="298">
      <c r="A298" s="9" t="n"/>
      <c r="B298" s="9" t="n"/>
      <c r="C298" s="9" t="n"/>
      <c r="D298" s="9" t="n"/>
      <c r="E298" s="19">
        <f>IF(E297="","",IF(E297&lt;DATE($B$2+1,1,1)-1,E297+1,""))</f>
        <v>46315</v>
      </c>
      <c r="F298" s="20" t="str">
        <f>IF(E298="","",TEXT(E298,"mmm"))</f>
        <v>Oct</v>
      </c>
      <c r="G298" s="20">
        <f>IF(E298="","",WEEKNUM(E298,2))</f>
        <v>43</v>
      </c>
      <c r="H298" s="20" t="str">
        <f>IF(E298="","",TEXT(E298,"ddd"))</f>
        <v>Tue</v>
      </c>
      <c r="I298" s="20" t="str">
        <f>IF(E298="","",IF(COUNTIF($A$6:$A$55,E298)&gt;0,"Holiday",IF(WEEKDAY(E298,2)=7,"Sunday","Working")))</f>
        <v>Holiday</v>
      </c>
      <c r="J298" s="20" t="str">
        <f>IF(E298="","",IF(OR(WEEKDAY(E298,2)=7,COUNTIF($A$6:$A$55,E298)&gt;0),"No","Yes"))</f>
        <v>No</v>
      </c>
    </row>
    <row r="299">
      <c r="A299" s="9" t="n"/>
      <c r="B299" s="9" t="n"/>
      <c r="C299" s="9" t="n"/>
      <c r="D299" s="9" t="n"/>
      <c r="E299" s="19">
        <f>IF(E298="","",IF(E298&lt;DATE($B$2+1,1,1)-1,E298+1,""))</f>
        <v>46316</v>
      </c>
      <c r="F299" s="20" t="str">
        <f>IF(E299="","",TEXT(E299,"mmm"))</f>
        <v>Oct</v>
      </c>
      <c r="G299" s="20">
        <f>IF(E299="","",WEEKNUM(E299,2))</f>
        <v>43</v>
      </c>
      <c r="H299" s="20" t="str">
        <f>IF(E299="","",TEXT(E299,"ddd"))</f>
        <v>Wed</v>
      </c>
      <c r="I299" s="20" t="str">
        <f>IF(E299="","",IF(COUNTIF($A$6:$A$55,E299)&gt;0,"Holiday",IF(WEEKDAY(E299,2)=7,"Sunday","Working")))</f>
        <v>Working</v>
      </c>
      <c r="J299" s="20" t="str">
        <f>IF(E299="","",IF(OR(WEEKDAY(E299,2)=7,COUNTIF($A$6:$A$55,E299)&gt;0),"No","Yes"))</f>
        <v>Yes</v>
      </c>
    </row>
    <row r="300">
      <c r="A300" s="9" t="n"/>
      <c r="B300" s="9" t="n"/>
      <c r="C300" s="9" t="n"/>
      <c r="D300" s="9" t="n"/>
      <c r="E300" s="19">
        <f>IF(E299="","",IF(E299&lt;DATE($B$2+1,1,1)-1,E299+1,""))</f>
        <v>46317</v>
      </c>
      <c r="F300" s="20" t="str">
        <f>IF(E300="","",TEXT(E300,"mmm"))</f>
        <v>Oct</v>
      </c>
      <c r="G300" s="20">
        <f>IF(E300="","",WEEKNUM(E300,2))</f>
        <v>43</v>
      </c>
      <c r="H300" s="20" t="str">
        <f>IF(E300="","",TEXT(E300,"ddd"))</f>
        <v>Thu</v>
      </c>
      <c r="I300" s="20" t="str">
        <f>IF(E300="","",IF(COUNTIF($A$6:$A$55,E300)&gt;0,"Holiday",IF(WEEKDAY(E300,2)=7,"Sunday","Working")))</f>
        <v>Working</v>
      </c>
      <c r="J300" s="20" t="str">
        <f>IF(E300="","",IF(OR(WEEKDAY(E300,2)=7,COUNTIF($A$6:$A$55,E300)&gt;0),"No","Yes"))</f>
        <v>Yes</v>
      </c>
    </row>
    <row r="301">
      <c r="A301" s="9" t="n"/>
      <c r="B301" s="9" t="n"/>
      <c r="C301" s="9" t="n"/>
      <c r="D301" s="9" t="n"/>
      <c r="E301" s="19">
        <f>IF(E300="","",IF(E300&lt;DATE($B$2+1,1,1)-1,E300+1,""))</f>
        <v>46318</v>
      </c>
      <c r="F301" s="20" t="str">
        <f>IF(E301="","",TEXT(E301,"mmm"))</f>
        <v>Oct</v>
      </c>
      <c r="G301" s="20">
        <f>IF(E301="","",WEEKNUM(E301,2))</f>
        <v>43</v>
      </c>
      <c r="H301" s="20" t="str">
        <f>IF(E301="","",TEXT(E301,"ddd"))</f>
        <v>Fri</v>
      </c>
      <c r="I301" s="20" t="str">
        <f>IF(E301="","",IF(COUNTIF($A$6:$A$55,E301)&gt;0,"Holiday",IF(WEEKDAY(E301,2)=7,"Sunday","Working")))</f>
        <v>Working</v>
      </c>
      <c r="J301" s="20" t="str">
        <f>IF(E301="","",IF(OR(WEEKDAY(E301,2)=7,COUNTIF($A$6:$A$55,E301)&gt;0),"No","Yes"))</f>
        <v>Yes</v>
      </c>
    </row>
    <row r="302">
      <c r="A302" s="9" t="n"/>
      <c r="B302" s="9" t="n"/>
      <c r="C302" s="9" t="n"/>
      <c r="D302" s="9" t="n"/>
      <c r="E302" s="19">
        <f>IF(E301="","",IF(E301&lt;DATE($B$2+1,1,1)-1,E301+1,""))</f>
        <v>46319</v>
      </c>
      <c r="F302" s="20" t="str">
        <f>IF(E302="","",TEXT(E302,"mmm"))</f>
        <v>Oct</v>
      </c>
      <c r="G302" s="20">
        <f>IF(E302="","",WEEKNUM(E302,2))</f>
        <v>43</v>
      </c>
      <c r="H302" s="20" t="str">
        <f>IF(E302="","",TEXT(E302,"ddd"))</f>
        <v>Sat</v>
      </c>
      <c r="I302" s="20" t="str">
        <f>IF(E302="","",IF(COUNTIF($A$6:$A$55,E302)&gt;0,"Holiday",IF(WEEKDAY(E302,2)=7,"Sunday","Working")))</f>
        <v>Working</v>
      </c>
      <c r="J302" s="20" t="str">
        <f>IF(E302="","",IF(OR(WEEKDAY(E302,2)=7,COUNTIF($A$6:$A$55,E302)&gt;0),"No","Yes"))</f>
        <v>Yes</v>
      </c>
    </row>
    <row r="303">
      <c r="A303" s="9" t="n"/>
      <c r="B303" s="9" t="n"/>
      <c r="C303" s="9" t="n"/>
      <c r="D303" s="9" t="n"/>
      <c r="E303" s="19">
        <f>IF(E302="","",IF(E302&lt;DATE($B$2+1,1,1)-1,E302+1,""))</f>
        <v>46320</v>
      </c>
      <c r="F303" s="20" t="str">
        <f>IF(E303="","",TEXT(E303,"mmm"))</f>
        <v>Oct</v>
      </c>
      <c r="G303" s="20">
        <f>IF(E303="","",WEEKNUM(E303,2))</f>
        <v>43</v>
      </c>
      <c r="H303" s="20" t="str">
        <f>IF(E303="","",TEXT(E303,"ddd"))</f>
        <v>Sun</v>
      </c>
      <c r="I303" s="20" t="str">
        <f>IF(E303="","",IF(COUNTIF($A$6:$A$55,E303)&gt;0,"Holiday",IF(WEEKDAY(E303,2)=7,"Sunday","Working")))</f>
        <v>Sunday</v>
      </c>
      <c r="J303" s="20" t="str">
        <f>IF(E303="","",IF(OR(WEEKDAY(E303,2)=7,COUNTIF($A$6:$A$55,E303)&gt;0),"No","Yes"))</f>
        <v>No</v>
      </c>
    </row>
    <row r="304">
      <c r="A304" s="9" t="n"/>
      <c r="B304" s="9" t="n"/>
      <c r="C304" s="9" t="n"/>
      <c r="D304" s="9" t="n"/>
      <c r="E304" s="19">
        <f>IF(E303="","",IF(E303&lt;DATE($B$2+1,1,1)-1,E303+1,""))</f>
        <v>46321</v>
      </c>
      <c r="F304" s="20" t="str">
        <f>IF(E304="","",TEXT(E304,"mmm"))</f>
        <v>Oct</v>
      </c>
      <c r="G304" s="20">
        <f>IF(E304="","",WEEKNUM(E304,2))</f>
        <v>44</v>
      </c>
      <c r="H304" s="20" t="str">
        <f>IF(E304="","",TEXT(E304,"ddd"))</f>
        <v>Mon</v>
      </c>
      <c r="I304" s="20" t="str">
        <f>IF(E304="","",IF(COUNTIF($A$6:$A$55,E304)&gt;0,"Holiday",IF(WEEKDAY(E304,2)=7,"Sunday","Working")))</f>
        <v>Working</v>
      </c>
      <c r="J304" s="20" t="str">
        <f>IF(E304="","",IF(OR(WEEKDAY(E304,2)=7,COUNTIF($A$6:$A$55,E304)&gt;0),"No","Yes"))</f>
        <v>Yes</v>
      </c>
    </row>
    <row r="305">
      <c r="A305" s="9" t="n"/>
      <c r="B305" s="9" t="n"/>
      <c r="C305" s="9" t="n"/>
      <c r="D305" s="9" t="n"/>
      <c r="E305" s="19">
        <f>IF(E304="","",IF(E304&lt;DATE($B$2+1,1,1)-1,E304+1,""))</f>
        <v>46322</v>
      </c>
      <c r="F305" s="20" t="str">
        <f>IF(E305="","",TEXT(E305,"mmm"))</f>
        <v>Oct</v>
      </c>
      <c r="G305" s="20">
        <f>IF(E305="","",WEEKNUM(E305,2))</f>
        <v>44</v>
      </c>
      <c r="H305" s="20" t="str">
        <f>IF(E305="","",TEXT(E305,"ddd"))</f>
        <v>Tue</v>
      </c>
      <c r="I305" s="20" t="str">
        <f>IF(E305="","",IF(COUNTIF($A$6:$A$55,E305)&gt;0,"Holiday",IF(WEEKDAY(E305,2)=7,"Sunday","Working")))</f>
        <v>Working</v>
      </c>
      <c r="J305" s="20" t="str">
        <f>IF(E305="","",IF(OR(WEEKDAY(E305,2)=7,COUNTIF($A$6:$A$55,E305)&gt;0),"No","Yes"))</f>
        <v>Yes</v>
      </c>
    </row>
    <row r="306">
      <c r="A306" s="9" t="n"/>
      <c r="B306" s="9" t="n"/>
      <c r="C306" s="9" t="n"/>
      <c r="D306" s="9" t="n"/>
      <c r="E306" s="19">
        <f>IF(E305="","",IF(E305&lt;DATE($B$2+1,1,1)-1,E305+1,""))</f>
        <v>46323</v>
      </c>
      <c r="F306" s="20" t="str">
        <f>IF(E306="","",TEXT(E306,"mmm"))</f>
        <v>Oct</v>
      </c>
      <c r="G306" s="20">
        <f>IF(E306="","",WEEKNUM(E306,2))</f>
        <v>44</v>
      </c>
      <c r="H306" s="20" t="str">
        <f>IF(E306="","",TEXT(E306,"ddd"))</f>
        <v>Wed</v>
      </c>
      <c r="I306" s="20" t="str">
        <f>IF(E306="","",IF(COUNTIF($A$6:$A$55,E306)&gt;0,"Holiday",IF(WEEKDAY(E306,2)=7,"Sunday","Working")))</f>
        <v>Working</v>
      </c>
      <c r="J306" s="20" t="str">
        <f>IF(E306="","",IF(OR(WEEKDAY(E306,2)=7,COUNTIF($A$6:$A$55,E306)&gt;0),"No","Yes"))</f>
        <v>Yes</v>
      </c>
    </row>
    <row r="307">
      <c r="A307" s="9" t="n"/>
      <c r="B307" s="9" t="n"/>
      <c r="C307" s="9" t="n"/>
      <c r="D307" s="9" t="n"/>
      <c r="E307" s="19">
        <f>IF(E306="","",IF(E306&lt;DATE($B$2+1,1,1)-1,E306+1,""))</f>
        <v>46324</v>
      </c>
      <c r="F307" s="20" t="str">
        <f>IF(E307="","",TEXT(E307,"mmm"))</f>
        <v>Oct</v>
      </c>
      <c r="G307" s="20">
        <f>IF(E307="","",WEEKNUM(E307,2))</f>
        <v>44</v>
      </c>
      <c r="H307" s="20" t="str">
        <f>IF(E307="","",TEXT(E307,"ddd"))</f>
        <v>Thu</v>
      </c>
      <c r="I307" s="20" t="str">
        <f>IF(E307="","",IF(COUNTIF($A$6:$A$55,E307)&gt;0,"Holiday",IF(WEEKDAY(E307,2)=7,"Sunday","Working")))</f>
        <v>Working</v>
      </c>
      <c r="J307" s="20" t="str">
        <f>IF(E307="","",IF(OR(WEEKDAY(E307,2)=7,COUNTIF($A$6:$A$55,E307)&gt;0),"No","Yes"))</f>
        <v>Yes</v>
      </c>
    </row>
    <row r="308">
      <c r="A308" s="9" t="n"/>
      <c r="B308" s="9" t="n"/>
      <c r="C308" s="9" t="n"/>
      <c r="D308" s="9" t="n"/>
      <c r="E308" s="19">
        <f>IF(E307="","",IF(E307&lt;DATE($B$2+1,1,1)-1,E307+1,""))</f>
        <v>46325</v>
      </c>
      <c r="F308" s="20" t="str">
        <f>IF(E308="","",TEXT(E308,"mmm"))</f>
        <v>Oct</v>
      </c>
      <c r="G308" s="20">
        <f>IF(E308="","",WEEKNUM(E308,2))</f>
        <v>44</v>
      </c>
      <c r="H308" s="20" t="str">
        <f>IF(E308="","",TEXT(E308,"ddd"))</f>
        <v>Fri</v>
      </c>
      <c r="I308" s="20" t="str">
        <f>IF(E308="","",IF(COUNTIF($A$6:$A$55,E308)&gt;0,"Holiday",IF(WEEKDAY(E308,2)=7,"Sunday","Working")))</f>
        <v>Working</v>
      </c>
      <c r="J308" s="20" t="str">
        <f>IF(E308="","",IF(OR(WEEKDAY(E308,2)=7,COUNTIF($A$6:$A$55,E308)&gt;0),"No","Yes"))</f>
        <v>Yes</v>
      </c>
    </row>
    <row r="309">
      <c r="A309" s="9" t="n"/>
      <c r="B309" s="9" t="n"/>
      <c r="C309" s="9" t="n"/>
      <c r="D309" s="9" t="n"/>
      <c r="E309" s="19">
        <f>IF(E308="","",IF(E308&lt;DATE($B$2+1,1,1)-1,E308+1,""))</f>
        <v>46326</v>
      </c>
      <c r="F309" s="20" t="str">
        <f>IF(E309="","",TEXT(E309,"mmm"))</f>
        <v>Oct</v>
      </c>
      <c r="G309" s="20">
        <f>IF(E309="","",WEEKNUM(E309,2))</f>
        <v>44</v>
      </c>
      <c r="H309" s="20" t="str">
        <f>IF(E309="","",TEXT(E309,"ddd"))</f>
        <v>Sat</v>
      </c>
      <c r="I309" s="20" t="str">
        <f>IF(E309="","",IF(COUNTIF($A$6:$A$55,E309)&gt;0,"Holiday",IF(WEEKDAY(E309,2)=7,"Sunday","Working")))</f>
        <v>Working</v>
      </c>
      <c r="J309" s="20" t="str">
        <f>IF(E309="","",IF(OR(WEEKDAY(E309,2)=7,COUNTIF($A$6:$A$55,E309)&gt;0),"No","Yes"))</f>
        <v>Yes</v>
      </c>
    </row>
    <row r="310">
      <c r="A310" s="9" t="n"/>
      <c r="B310" s="9" t="n"/>
      <c r="C310" s="9" t="n"/>
      <c r="D310" s="9" t="n"/>
      <c r="E310" s="19">
        <f>IF(E309="","",IF(E309&lt;DATE($B$2+1,1,1)-1,E309+1,""))</f>
        <v>46327</v>
      </c>
      <c r="F310" s="20" t="str">
        <f>IF(E310="","",TEXT(E310,"mmm"))</f>
        <v>Nov</v>
      </c>
      <c r="G310" s="20">
        <f>IF(E310="","",WEEKNUM(E310,2))</f>
        <v>44</v>
      </c>
      <c r="H310" s="20" t="str">
        <f>IF(E310="","",TEXT(E310,"ddd"))</f>
        <v>Sun</v>
      </c>
      <c r="I310" s="20" t="str">
        <f>IF(E310="","",IF(COUNTIF($A$6:$A$55,E310)&gt;0,"Holiday",IF(WEEKDAY(E310,2)=7,"Sunday","Working")))</f>
        <v>Sunday</v>
      </c>
      <c r="J310" s="20" t="str">
        <f>IF(E310="","",IF(OR(WEEKDAY(E310,2)=7,COUNTIF($A$6:$A$55,E310)&gt;0),"No","Yes"))</f>
        <v>No</v>
      </c>
    </row>
    <row r="311">
      <c r="A311" s="9" t="n"/>
      <c r="B311" s="9" t="n"/>
      <c r="C311" s="9" t="n"/>
      <c r="D311" s="9" t="n"/>
      <c r="E311" s="19">
        <f>IF(E310="","",IF(E310&lt;DATE($B$2+1,1,1)-1,E310+1,""))</f>
        <v>46328</v>
      </c>
      <c r="F311" s="20" t="str">
        <f>IF(E311="","",TEXT(E311,"mmm"))</f>
        <v>Nov</v>
      </c>
      <c r="G311" s="20">
        <f>IF(E311="","",WEEKNUM(E311,2))</f>
        <v>45</v>
      </c>
      <c r="H311" s="20" t="str">
        <f>IF(E311="","",TEXT(E311,"ddd"))</f>
        <v>Mon</v>
      </c>
      <c r="I311" s="20" t="str">
        <f>IF(E311="","",IF(COUNTIF($A$6:$A$55,E311)&gt;0,"Holiday",IF(WEEKDAY(E311,2)=7,"Sunday","Working")))</f>
        <v>Working</v>
      </c>
      <c r="J311" s="20" t="str">
        <f>IF(E311="","",IF(OR(WEEKDAY(E311,2)=7,COUNTIF($A$6:$A$55,E311)&gt;0),"No","Yes"))</f>
        <v>Yes</v>
      </c>
    </row>
    <row r="312">
      <c r="A312" s="9" t="n"/>
      <c r="B312" s="9" t="n"/>
      <c r="C312" s="9" t="n"/>
      <c r="D312" s="9" t="n"/>
      <c r="E312" s="19">
        <f>IF(E311="","",IF(E311&lt;DATE($B$2+1,1,1)-1,E311+1,""))</f>
        <v>46329</v>
      </c>
      <c r="F312" s="20" t="str">
        <f>IF(E312="","",TEXT(E312,"mmm"))</f>
        <v>Nov</v>
      </c>
      <c r="G312" s="20">
        <f>IF(E312="","",WEEKNUM(E312,2))</f>
        <v>45</v>
      </c>
      <c r="H312" s="20" t="str">
        <f>IF(E312="","",TEXT(E312,"ddd"))</f>
        <v>Tue</v>
      </c>
      <c r="I312" s="20" t="str">
        <f>IF(E312="","",IF(COUNTIF($A$6:$A$55,E312)&gt;0,"Holiday",IF(WEEKDAY(E312,2)=7,"Sunday","Working")))</f>
        <v>Working</v>
      </c>
      <c r="J312" s="20" t="str">
        <f>IF(E312="","",IF(OR(WEEKDAY(E312,2)=7,COUNTIF($A$6:$A$55,E312)&gt;0),"No","Yes"))</f>
        <v>Yes</v>
      </c>
    </row>
    <row r="313">
      <c r="A313" s="9" t="n"/>
      <c r="B313" s="9" t="n"/>
      <c r="C313" s="9" t="n"/>
      <c r="D313" s="9" t="n"/>
      <c r="E313" s="19">
        <f>IF(E312="","",IF(E312&lt;DATE($B$2+1,1,1)-1,E312+1,""))</f>
        <v>46330</v>
      </c>
      <c r="F313" s="20" t="str">
        <f>IF(E313="","",TEXT(E313,"mmm"))</f>
        <v>Nov</v>
      </c>
      <c r="G313" s="20">
        <f>IF(E313="","",WEEKNUM(E313,2))</f>
        <v>45</v>
      </c>
      <c r="H313" s="20" t="str">
        <f>IF(E313="","",TEXT(E313,"ddd"))</f>
        <v>Wed</v>
      </c>
      <c r="I313" s="20" t="str">
        <f>IF(E313="","",IF(COUNTIF($A$6:$A$55,E313)&gt;0,"Holiday",IF(WEEKDAY(E313,2)=7,"Sunday","Working")))</f>
        <v>Working</v>
      </c>
      <c r="J313" s="20" t="str">
        <f>IF(E313="","",IF(OR(WEEKDAY(E313,2)=7,COUNTIF($A$6:$A$55,E313)&gt;0),"No","Yes"))</f>
        <v>Yes</v>
      </c>
    </row>
    <row r="314">
      <c r="A314" s="9" t="n"/>
      <c r="B314" s="9" t="n"/>
      <c r="C314" s="9" t="n"/>
      <c r="D314" s="9" t="n"/>
      <c r="E314" s="19">
        <f>IF(E313="","",IF(E313&lt;DATE($B$2+1,1,1)-1,E313+1,""))</f>
        <v>46331</v>
      </c>
      <c r="F314" s="20" t="str">
        <f>IF(E314="","",TEXT(E314,"mmm"))</f>
        <v>Nov</v>
      </c>
      <c r="G314" s="20">
        <f>IF(E314="","",WEEKNUM(E314,2))</f>
        <v>45</v>
      </c>
      <c r="H314" s="20" t="str">
        <f>IF(E314="","",TEXT(E314,"ddd"))</f>
        <v>Thu</v>
      </c>
      <c r="I314" s="20" t="str">
        <f>IF(E314="","",IF(COUNTIF($A$6:$A$55,E314)&gt;0,"Holiday",IF(WEEKDAY(E314,2)=7,"Sunday","Working")))</f>
        <v>Working</v>
      </c>
      <c r="J314" s="20" t="str">
        <f>IF(E314="","",IF(OR(WEEKDAY(E314,2)=7,COUNTIF($A$6:$A$55,E314)&gt;0),"No","Yes"))</f>
        <v>Yes</v>
      </c>
    </row>
    <row r="315">
      <c r="A315" s="9" t="n"/>
      <c r="B315" s="9" t="n"/>
      <c r="C315" s="9" t="n"/>
      <c r="D315" s="9" t="n"/>
      <c r="E315" s="19">
        <f>IF(E314="","",IF(E314&lt;DATE($B$2+1,1,1)-1,E314+1,""))</f>
        <v>46332</v>
      </c>
      <c r="F315" s="20" t="str">
        <f>IF(E315="","",TEXT(E315,"mmm"))</f>
        <v>Nov</v>
      </c>
      <c r="G315" s="20">
        <f>IF(E315="","",WEEKNUM(E315,2))</f>
        <v>45</v>
      </c>
      <c r="H315" s="20" t="str">
        <f>IF(E315="","",TEXT(E315,"ddd"))</f>
        <v>Fri</v>
      </c>
      <c r="I315" s="20" t="str">
        <f>IF(E315="","",IF(COUNTIF($A$6:$A$55,E315)&gt;0,"Holiday",IF(WEEKDAY(E315,2)=7,"Sunday","Working")))</f>
        <v>Working</v>
      </c>
      <c r="J315" s="20" t="str">
        <f>IF(E315="","",IF(OR(WEEKDAY(E315,2)=7,COUNTIF($A$6:$A$55,E315)&gt;0),"No","Yes"))</f>
        <v>Yes</v>
      </c>
    </row>
    <row r="316">
      <c r="A316" s="9" t="n"/>
      <c r="B316" s="9" t="n"/>
      <c r="C316" s="9" t="n"/>
      <c r="D316" s="9" t="n"/>
      <c r="E316" s="19">
        <f>IF(E315="","",IF(E315&lt;DATE($B$2+1,1,1)-1,E315+1,""))</f>
        <v>46333</v>
      </c>
      <c r="F316" s="20" t="str">
        <f>IF(E316="","",TEXT(E316,"mmm"))</f>
        <v>Nov</v>
      </c>
      <c r="G316" s="20">
        <f>IF(E316="","",WEEKNUM(E316,2))</f>
        <v>45</v>
      </c>
      <c r="H316" s="20" t="str">
        <f>IF(E316="","",TEXT(E316,"ddd"))</f>
        <v>Sat</v>
      </c>
      <c r="I316" s="20" t="str">
        <f>IF(E316="","",IF(COUNTIF($A$6:$A$55,E316)&gt;0,"Holiday",IF(WEEKDAY(E316,2)=7,"Sunday","Working")))</f>
        <v>Holiday</v>
      </c>
      <c r="J316" s="20" t="str">
        <f>IF(E316="","",IF(OR(WEEKDAY(E316,2)=7,COUNTIF($A$6:$A$55,E316)&gt;0),"No","Yes"))</f>
        <v>No</v>
      </c>
    </row>
    <row r="317">
      <c r="A317" s="9" t="n"/>
      <c r="B317" s="9" t="n"/>
      <c r="C317" s="9" t="n"/>
      <c r="D317" s="9" t="n"/>
      <c r="E317" s="19">
        <f>IF(E316="","",IF(E316&lt;DATE($B$2+1,1,1)-1,E316+1,""))</f>
        <v>46334</v>
      </c>
      <c r="F317" s="20" t="str">
        <f>IF(E317="","",TEXT(E317,"mmm"))</f>
        <v>Nov</v>
      </c>
      <c r="G317" s="20">
        <f>IF(E317="","",WEEKNUM(E317,2))</f>
        <v>45</v>
      </c>
      <c r="H317" s="20" t="str">
        <f>IF(E317="","",TEXT(E317,"ddd"))</f>
        <v>Sun</v>
      </c>
      <c r="I317" s="20" t="str">
        <f>IF(E317="","",IF(COUNTIF($A$6:$A$55,E317)&gt;0,"Holiday",IF(WEEKDAY(E317,2)=7,"Sunday","Working")))</f>
        <v>Sunday</v>
      </c>
      <c r="J317" s="20" t="str">
        <f>IF(E317="","",IF(OR(WEEKDAY(E317,2)=7,COUNTIF($A$6:$A$55,E317)&gt;0),"No","Yes"))</f>
        <v>No</v>
      </c>
    </row>
    <row r="318">
      <c r="A318" s="9" t="n"/>
      <c r="B318" s="9" t="n"/>
      <c r="C318" s="9" t="n"/>
      <c r="D318" s="9" t="n"/>
      <c r="E318" s="19">
        <f>IF(E317="","",IF(E317&lt;DATE($B$2+1,1,1)-1,E317+1,""))</f>
        <v>46335</v>
      </c>
      <c r="F318" s="20" t="str">
        <f>IF(E318="","",TEXT(E318,"mmm"))</f>
        <v>Nov</v>
      </c>
      <c r="G318" s="20">
        <f>IF(E318="","",WEEKNUM(E318,2))</f>
        <v>46</v>
      </c>
      <c r="H318" s="20" t="str">
        <f>IF(E318="","",TEXT(E318,"ddd"))</f>
        <v>Mon</v>
      </c>
      <c r="I318" s="20" t="str">
        <f>IF(E318="","",IF(COUNTIF($A$6:$A$55,E318)&gt;0,"Holiday",IF(WEEKDAY(E318,2)=7,"Sunday","Working")))</f>
        <v>Working</v>
      </c>
      <c r="J318" s="20" t="str">
        <f>IF(E318="","",IF(OR(WEEKDAY(E318,2)=7,COUNTIF($A$6:$A$55,E318)&gt;0),"No","Yes"))</f>
        <v>Yes</v>
      </c>
    </row>
    <row r="319">
      <c r="A319" s="9" t="n"/>
      <c r="B319" s="9" t="n"/>
      <c r="C319" s="9" t="n"/>
      <c r="D319" s="9" t="n"/>
      <c r="E319" s="19">
        <f>IF(E318="","",IF(E318&lt;DATE($B$2+1,1,1)-1,E318+1,""))</f>
        <v>46336</v>
      </c>
      <c r="F319" s="20" t="str">
        <f>IF(E319="","",TEXT(E319,"mmm"))</f>
        <v>Nov</v>
      </c>
      <c r="G319" s="20">
        <f>IF(E319="","",WEEKNUM(E319,2))</f>
        <v>46</v>
      </c>
      <c r="H319" s="20" t="str">
        <f>IF(E319="","",TEXT(E319,"ddd"))</f>
        <v>Tue</v>
      </c>
      <c r="I319" s="20" t="str">
        <f>IF(E319="","",IF(COUNTIF($A$6:$A$55,E319)&gt;0,"Holiday",IF(WEEKDAY(E319,2)=7,"Sunday","Working")))</f>
        <v>Working</v>
      </c>
      <c r="J319" s="20" t="str">
        <f>IF(E319="","",IF(OR(WEEKDAY(E319,2)=7,COUNTIF($A$6:$A$55,E319)&gt;0),"No","Yes"))</f>
        <v>Yes</v>
      </c>
    </row>
    <row r="320">
      <c r="A320" s="9" t="n"/>
      <c r="B320" s="9" t="n"/>
      <c r="C320" s="9" t="n"/>
      <c r="D320" s="9" t="n"/>
      <c r="E320" s="19">
        <f>IF(E319="","",IF(E319&lt;DATE($B$2+1,1,1)-1,E319+1,""))</f>
        <v>46337</v>
      </c>
      <c r="F320" s="20" t="str">
        <f>IF(E320="","",TEXT(E320,"mmm"))</f>
        <v>Nov</v>
      </c>
      <c r="G320" s="20">
        <f>IF(E320="","",WEEKNUM(E320,2))</f>
        <v>46</v>
      </c>
      <c r="H320" s="20" t="str">
        <f>IF(E320="","",TEXT(E320,"ddd"))</f>
        <v>Wed</v>
      </c>
      <c r="I320" s="20" t="str">
        <f>IF(E320="","",IF(COUNTIF($A$6:$A$55,E320)&gt;0,"Holiday",IF(WEEKDAY(E320,2)=7,"Sunday","Working")))</f>
        <v>Working</v>
      </c>
      <c r="J320" s="20" t="str">
        <f>IF(E320="","",IF(OR(WEEKDAY(E320,2)=7,COUNTIF($A$6:$A$55,E320)&gt;0),"No","Yes"))</f>
        <v>Yes</v>
      </c>
    </row>
    <row r="321">
      <c r="A321" s="9" t="n"/>
      <c r="B321" s="9" t="n"/>
      <c r="C321" s="9" t="n"/>
      <c r="D321" s="9" t="n"/>
      <c r="E321" s="19">
        <f>IF(E320="","",IF(E320&lt;DATE($B$2+1,1,1)-1,E320+1,""))</f>
        <v>46338</v>
      </c>
      <c r="F321" s="20" t="str">
        <f>IF(E321="","",TEXT(E321,"mmm"))</f>
        <v>Nov</v>
      </c>
      <c r="G321" s="20">
        <f>IF(E321="","",WEEKNUM(E321,2))</f>
        <v>46</v>
      </c>
      <c r="H321" s="20" t="str">
        <f>IF(E321="","",TEXT(E321,"ddd"))</f>
        <v>Thu</v>
      </c>
      <c r="I321" s="20" t="str">
        <f>IF(E321="","",IF(COUNTIF($A$6:$A$55,E321)&gt;0,"Holiday",IF(WEEKDAY(E321,2)=7,"Sunday","Working")))</f>
        <v>Working</v>
      </c>
      <c r="J321" s="20" t="str">
        <f>IF(E321="","",IF(OR(WEEKDAY(E321,2)=7,COUNTIF($A$6:$A$55,E321)&gt;0),"No","Yes"))</f>
        <v>Yes</v>
      </c>
    </row>
    <row r="322">
      <c r="A322" s="9" t="n"/>
      <c r="B322" s="9" t="n"/>
      <c r="C322" s="9" t="n"/>
      <c r="D322" s="9" t="n"/>
      <c r="E322" s="19">
        <f>IF(E321="","",IF(E321&lt;DATE($B$2+1,1,1)-1,E321+1,""))</f>
        <v>46339</v>
      </c>
      <c r="F322" s="20" t="str">
        <f>IF(E322="","",TEXT(E322,"mmm"))</f>
        <v>Nov</v>
      </c>
      <c r="G322" s="20">
        <f>IF(E322="","",WEEKNUM(E322,2))</f>
        <v>46</v>
      </c>
      <c r="H322" s="20" t="str">
        <f>IF(E322="","",TEXT(E322,"ddd"))</f>
        <v>Fri</v>
      </c>
      <c r="I322" s="20" t="str">
        <f>IF(E322="","",IF(COUNTIF($A$6:$A$55,E322)&gt;0,"Holiday",IF(WEEKDAY(E322,2)=7,"Sunday","Working")))</f>
        <v>Working</v>
      </c>
      <c r="J322" s="20" t="str">
        <f>IF(E322="","",IF(OR(WEEKDAY(E322,2)=7,COUNTIF($A$6:$A$55,E322)&gt;0),"No","Yes"))</f>
        <v>Yes</v>
      </c>
    </row>
    <row r="323">
      <c r="A323" s="9" t="n"/>
      <c r="B323" s="9" t="n"/>
      <c r="C323" s="9" t="n"/>
      <c r="D323" s="9" t="n"/>
      <c r="E323" s="19">
        <f>IF(E322="","",IF(E322&lt;DATE($B$2+1,1,1)-1,E322+1,""))</f>
        <v>46340</v>
      </c>
      <c r="F323" s="20" t="str">
        <f>IF(E323="","",TEXT(E323,"mmm"))</f>
        <v>Nov</v>
      </c>
      <c r="G323" s="20">
        <f>IF(E323="","",WEEKNUM(E323,2))</f>
        <v>46</v>
      </c>
      <c r="H323" s="20" t="str">
        <f>IF(E323="","",TEXT(E323,"ddd"))</f>
        <v>Sat</v>
      </c>
      <c r="I323" s="20" t="str">
        <f>IF(E323="","",IF(COUNTIF($A$6:$A$55,E323)&gt;0,"Holiday",IF(WEEKDAY(E323,2)=7,"Sunday","Working")))</f>
        <v>Working</v>
      </c>
      <c r="J323" s="20" t="str">
        <f>IF(E323="","",IF(OR(WEEKDAY(E323,2)=7,COUNTIF($A$6:$A$55,E323)&gt;0),"No","Yes"))</f>
        <v>Yes</v>
      </c>
    </row>
    <row r="324">
      <c r="A324" s="9" t="n"/>
      <c r="B324" s="9" t="n"/>
      <c r="C324" s="9" t="n"/>
      <c r="D324" s="9" t="n"/>
      <c r="E324" s="19">
        <f>IF(E323="","",IF(E323&lt;DATE($B$2+1,1,1)-1,E323+1,""))</f>
        <v>46341</v>
      </c>
      <c r="F324" s="20" t="str">
        <f>IF(E324="","",TEXT(E324,"mmm"))</f>
        <v>Nov</v>
      </c>
      <c r="G324" s="20">
        <f>IF(E324="","",WEEKNUM(E324,2))</f>
        <v>46</v>
      </c>
      <c r="H324" s="20" t="str">
        <f>IF(E324="","",TEXT(E324,"ddd"))</f>
        <v>Sun</v>
      </c>
      <c r="I324" s="20" t="str">
        <f>IF(E324="","",IF(COUNTIF($A$6:$A$55,E324)&gt;0,"Holiday",IF(WEEKDAY(E324,2)=7,"Sunday","Working")))</f>
        <v>Sunday</v>
      </c>
      <c r="J324" s="20" t="str">
        <f>IF(E324="","",IF(OR(WEEKDAY(E324,2)=7,COUNTIF($A$6:$A$55,E324)&gt;0),"No","Yes"))</f>
        <v>No</v>
      </c>
    </row>
    <row r="325">
      <c r="A325" s="9" t="n"/>
      <c r="B325" s="9" t="n"/>
      <c r="C325" s="9" t="n"/>
      <c r="D325" s="9" t="n"/>
      <c r="E325" s="19">
        <f>IF(E324="","",IF(E324&lt;DATE($B$2+1,1,1)-1,E324+1,""))</f>
        <v>46342</v>
      </c>
      <c r="F325" s="20" t="str">
        <f>IF(E325="","",TEXT(E325,"mmm"))</f>
        <v>Nov</v>
      </c>
      <c r="G325" s="20">
        <f>IF(E325="","",WEEKNUM(E325,2))</f>
        <v>47</v>
      </c>
      <c r="H325" s="20" t="str">
        <f>IF(E325="","",TEXT(E325,"ddd"))</f>
        <v>Mon</v>
      </c>
      <c r="I325" s="20" t="str">
        <f>IF(E325="","",IF(COUNTIF($A$6:$A$55,E325)&gt;0,"Holiday",IF(WEEKDAY(E325,2)=7,"Sunday","Working")))</f>
        <v>Holiday</v>
      </c>
      <c r="J325" s="20" t="str">
        <f>IF(E325="","",IF(OR(WEEKDAY(E325,2)=7,COUNTIF($A$6:$A$55,E325)&gt;0),"No","Yes"))</f>
        <v>No</v>
      </c>
    </row>
    <row r="326">
      <c r="A326" s="9" t="n"/>
      <c r="B326" s="9" t="n"/>
      <c r="C326" s="9" t="n"/>
      <c r="D326" s="9" t="n"/>
      <c r="E326" s="19">
        <f>IF(E325="","",IF(E325&lt;DATE($B$2+1,1,1)-1,E325+1,""))</f>
        <v>46343</v>
      </c>
      <c r="F326" s="20" t="str">
        <f>IF(E326="","",TEXT(E326,"mmm"))</f>
        <v>Nov</v>
      </c>
      <c r="G326" s="20">
        <f>IF(E326="","",WEEKNUM(E326,2))</f>
        <v>47</v>
      </c>
      <c r="H326" s="20" t="str">
        <f>IF(E326="","",TEXT(E326,"ddd"))</f>
        <v>Tue</v>
      </c>
      <c r="I326" s="20" t="str">
        <f>IF(E326="","",IF(COUNTIF($A$6:$A$55,E326)&gt;0,"Holiday",IF(WEEKDAY(E326,2)=7,"Sunday","Working")))</f>
        <v>Working</v>
      </c>
      <c r="J326" s="20" t="str">
        <f>IF(E326="","",IF(OR(WEEKDAY(E326,2)=7,COUNTIF($A$6:$A$55,E326)&gt;0),"No","Yes"))</f>
        <v>Yes</v>
      </c>
    </row>
    <row r="327">
      <c r="A327" s="9" t="n"/>
      <c r="B327" s="9" t="n"/>
      <c r="C327" s="9" t="n"/>
      <c r="D327" s="9" t="n"/>
      <c r="E327" s="19">
        <f>IF(E326="","",IF(E326&lt;DATE($B$2+1,1,1)-1,E326+1,""))</f>
        <v>46344</v>
      </c>
      <c r="F327" s="20" t="str">
        <f>IF(E327="","",TEXT(E327,"mmm"))</f>
        <v>Nov</v>
      </c>
      <c r="G327" s="20">
        <f>IF(E327="","",WEEKNUM(E327,2))</f>
        <v>47</v>
      </c>
      <c r="H327" s="20" t="str">
        <f>IF(E327="","",TEXT(E327,"ddd"))</f>
        <v>Wed</v>
      </c>
      <c r="I327" s="20" t="str">
        <f>IF(E327="","",IF(COUNTIF($A$6:$A$55,E327)&gt;0,"Holiday",IF(WEEKDAY(E327,2)=7,"Sunday","Working")))</f>
        <v>Working</v>
      </c>
      <c r="J327" s="20" t="str">
        <f>IF(E327="","",IF(OR(WEEKDAY(E327,2)=7,COUNTIF($A$6:$A$55,E327)&gt;0),"No","Yes"))</f>
        <v>Yes</v>
      </c>
    </row>
    <row r="328">
      <c r="A328" s="9" t="n"/>
      <c r="B328" s="9" t="n"/>
      <c r="C328" s="9" t="n"/>
      <c r="D328" s="9" t="n"/>
      <c r="E328" s="19">
        <f>IF(E327="","",IF(E327&lt;DATE($B$2+1,1,1)-1,E327+1,""))</f>
        <v>46345</v>
      </c>
      <c r="F328" s="20" t="str">
        <f>IF(E328="","",TEXT(E328,"mmm"))</f>
        <v>Nov</v>
      </c>
      <c r="G328" s="20">
        <f>IF(E328="","",WEEKNUM(E328,2))</f>
        <v>47</v>
      </c>
      <c r="H328" s="20" t="str">
        <f>IF(E328="","",TEXT(E328,"ddd"))</f>
        <v>Thu</v>
      </c>
      <c r="I328" s="20" t="str">
        <f>IF(E328="","",IF(COUNTIF($A$6:$A$55,E328)&gt;0,"Holiday",IF(WEEKDAY(E328,2)=7,"Sunday","Working")))</f>
        <v>Working</v>
      </c>
      <c r="J328" s="20" t="str">
        <f>IF(E328="","",IF(OR(WEEKDAY(E328,2)=7,COUNTIF($A$6:$A$55,E328)&gt;0),"No","Yes"))</f>
        <v>Yes</v>
      </c>
    </row>
    <row r="329">
      <c r="A329" s="9" t="n"/>
      <c r="B329" s="9" t="n"/>
      <c r="C329" s="9" t="n"/>
      <c r="D329" s="9" t="n"/>
      <c r="E329" s="19">
        <f>IF(E328="","",IF(E328&lt;DATE($B$2+1,1,1)-1,E328+1,""))</f>
        <v>46346</v>
      </c>
      <c r="F329" s="20" t="str">
        <f>IF(E329="","",TEXT(E329,"mmm"))</f>
        <v>Nov</v>
      </c>
      <c r="G329" s="20">
        <f>IF(E329="","",WEEKNUM(E329,2))</f>
        <v>47</v>
      </c>
      <c r="H329" s="20" t="str">
        <f>IF(E329="","",TEXT(E329,"ddd"))</f>
        <v>Fri</v>
      </c>
      <c r="I329" s="20" t="str">
        <f>IF(E329="","",IF(COUNTIF($A$6:$A$55,E329)&gt;0,"Holiday",IF(WEEKDAY(E329,2)=7,"Sunday","Working")))</f>
        <v>Working</v>
      </c>
      <c r="J329" s="20" t="str">
        <f>IF(E329="","",IF(OR(WEEKDAY(E329,2)=7,COUNTIF($A$6:$A$55,E329)&gt;0),"No","Yes"))</f>
        <v>Yes</v>
      </c>
    </row>
    <row r="330">
      <c r="A330" s="9" t="n"/>
      <c r="B330" s="9" t="n"/>
      <c r="C330" s="9" t="n"/>
      <c r="D330" s="9" t="n"/>
      <c r="E330" s="19">
        <f>IF(E329="","",IF(E329&lt;DATE($B$2+1,1,1)-1,E329+1,""))</f>
        <v>46347</v>
      </c>
      <c r="F330" s="20" t="str">
        <f>IF(E330="","",TEXT(E330,"mmm"))</f>
        <v>Nov</v>
      </c>
      <c r="G330" s="20">
        <f>IF(E330="","",WEEKNUM(E330,2))</f>
        <v>47</v>
      </c>
      <c r="H330" s="20" t="str">
        <f>IF(E330="","",TEXT(E330,"ddd"))</f>
        <v>Sat</v>
      </c>
      <c r="I330" s="20" t="str">
        <f>IF(E330="","",IF(COUNTIF($A$6:$A$55,E330)&gt;0,"Holiday",IF(WEEKDAY(E330,2)=7,"Sunday","Working")))</f>
        <v>Working</v>
      </c>
      <c r="J330" s="20" t="str">
        <f>IF(E330="","",IF(OR(WEEKDAY(E330,2)=7,COUNTIF($A$6:$A$55,E330)&gt;0),"No","Yes"))</f>
        <v>Yes</v>
      </c>
    </row>
    <row r="331">
      <c r="A331" s="9" t="n"/>
      <c r="B331" s="9" t="n"/>
      <c r="C331" s="9" t="n"/>
      <c r="D331" s="9" t="n"/>
      <c r="E331" s="19">
        <f>IF(E330="","",IF(E330&lt;DATE($B$2+1,1,1)-1,E330+1,""))</f>
        <v>46348</v>
      </c>
      <c r="F331" s="20" t="str">
        <f>IF(E331="","",TEXT(E331,"mmm"))</f>
        <v>Nov</v>
      </c>
      <c r="G331" s="20">
        <f>IF(E331="","",WEEKNUM(E331,2))</f>
        <v>47</v>
      </c>
      <c r="H331" s="20" t="str">
        <f>IF(E331="","",TEXT(E331,"ddd"))</f>
        <v>Sun</v>
      </c>
      <c r="I331" s="20" t="str">
        <f>IF(E331="","",IF(COUNTIF($A$6:$A$55,E331)&gt;0,"Holiday",IF(WEEKDAY(E331,2)=7,"Sunday","Working")))</f>
        <v>Sunday</v>
      </c>
      <c r="J331" s="20" t="str">
        <f>IF(E331="","",IF(OR(WEEKDAY(E331,2)=7,COUNTIF($A$6:$A$55,E331)&gt;0),"No","Yes"))</f>
        <v>No</v>
      </c>
    </row>
    <row r="332">
      <c r="A332" s="9" t="n"/>
      <c r="B332" s="9" t="n"/>
      <c r="C332" s="9" t="n"/>
      <c r="D332" s="9" t="n"/>
      <c r="E332" s="19">
        <f>IF(E331="","",IF(E331&lt;DATE($B$2+1,1,1)-1,E331+1,""))</f>
        <v>46349</v>
      </c>
      <c r="F332" s="20" t="str">
        <f>IF(E332="","",TEXT(E332,"mmm"))</f>
        <v>Nov</v>
      </c>
      <c r="G332" s="20">
        <f>IF(E332="","",WEEKNUM(E332,2))</f>
        <v>48</v>
      </c>
      <c r="H332" s="20" t="str">
        <f>IF(E332="","",TEXT(E332,"ddd"))</f>
        <v>Mon</v>
      </c>
      <c r="I332" s="20" t="str">
        <f>IF(E332="","",IF(COUNTIF($A$6:$A$55,E332)&gt;0,"Holiday",IF(WEEKDAY(E332,2)=7,"Sunday","Working")))</f>
        <v>Working</v>
      </c>
      <c r="J332" s="20" t="str">
        <f>IF(E332="","",IF(OR(WEEKDAY(E332,2)=7,COUNTIF($A$6:$A$55,E332)&gt;0),"No","Yes"))</f>
        <v>Yes</v>
      </c>
    </row>
    <row r="333">
      <c r="A333" s="9" t="n"/>
      <c r="B333" s="9" t="n"/>
      <c r="C333" s="9" t="n"/>
      <c r="D333" s="9" t="n"/>
      <c r="E333" s="19">
        <f>IF(E332="","",IF(E332&lt;DATE($B$2+1,1,1)-1,E332+1,""))</f>
        <v>46350</v>
      </c>
      <c r="F333" s="20" t="str">
        <f>IF(E333="","",TEXT(E333,"mmm"))</f>
        <v>Nov</v>
      </c>
      <c r="G333" s="20">
        <f>IF(E333="","",WEEKNUM(E333,2))</f>
        <v>48</v>
      </c>
      <c r="H333" s="20" t="str">
        <f>IF(E333="","",TEXT(E333,"ddd"))</f>
        <v>Tue</v>
      </c>
      <c r="I333" s="20" t="str">
        <f>IF(E333="","",IF(COUNTIF($A$6:$A$55,E333)&gt;0,"Holiday",IF(WEEKDAY(E333,2)=7,"Sunday","Working")))</f>
        <v>Working</v>
      </c>
      <c r="J333" s="20" t="str">
        <f>IF(E333="","",IF(OR(WEEKDAY(E333,2)=7,COUNTIF($A$6:$A$55,E333)&gt;0),"No","Yes"))</f>
        <v>Yes</v>
      </c>
    </row>
    <row r="334">
      <c r="A334" s="9" t="n"/>
      <c r="B334" s="9" t="n"/>
      <c r="C334" s="9" t="n"/>
      <c r="D334" s="9" t="n"/>
      <c r="E334" s="19">
        <f>IF(E333="","",IF(E333&lt;DATE($B$2+1,1,1)-1,E333+1,""))</f>
        <v>46351</v>
      </c>
      <c r="F334" s="20" t="str">
        <f>IF(E334="","",TEXT(E334,"mmm"))</f>
        <v>Nov</v>
      </c>
      <c r="G334" s="20">
        <f>IF(E334="","",WEEKNUM(E334,2))</f>
        <v>48</v>
      </c>
      <c r="H334" s="20" t="str">
        <f>IF(E334="","",TEXT(E334,"ddd"))</f>
        <v>Wed</v>
      </c>
      <c r="I334" s="20" t="str">
        <f>IF(E334="","",IF(COUNTIF($A$6:$A$55,E334)&gt;0,"Holiday",IF(WEEKDAY(E334,2)=7,"Sunday","Working")))</f>
        <v>Working</v>
      </c>
      <c r="J334" s="20" t="str">
        <f>IF(E334="","",IF(OR(WEEKDAY(E334,2)=7,COUNTIF($A$6:$A$55,E334)&gt;0),"No","Yes"))</f>
        <v>Yes</v>
      </c>
    </row>
    <row r="335">
      <c r="A335" s="9" t="n"/>
      <c r="B335" s="9" t="n"/>
      <c r="C335" s="9" t="n"/>
      <c r="D335" s="9" t="n"/>
      <c r="E335" s="19">
        <f>IF(E334="","",IF(E334&lt;DATE($B$2+1,1,1)-1,E334+1,""))</f>
        <v>46352</v>
      </c>
      <c r="F335" s="20" t="str">
        <f>IF(E335="","",TEXT(E335,"mmm"))</f>
        <v>Nov</v>
      </c>
      <c r="G335" s="20">
        <f>IF(E335="","",WEEKNUM(E335,2))</f>
        <v>48</v>
      </c>
      <c r="H335" s="20" t="str">
        <f>IF(E335="","",TEXT(E335,"ddd"))</f>
        <v>Thu</v>
      </c>
      <c r="I335" s="20" t="str">
        <f>IF(E335="","",IF(COUNTIF($A$6:$A$55,E335)&gt;0,"Holiday",IF(WEEKDAY(E335,2)=7,"Sunday","Working")))</f>
        <v>Working</v>
      </c>
      <c r="J335" s="20" t="str">
        <f>IF(E335="","",IF(OR(WEEKDAY(E335,2)=7,COUNTIF($A$6:$A$55,E335)&gt;0),"No","Yes"))</f>
        <v>Yes</v>
      </c>
    </row>
    <row r="336">
      <c r="A336" s="9" t="n"/>
      <c r="B336" s="9" t="n"/>
      <c r="C336" s="9" t="n"/>
      <c r="D336" s="9" t="n"/>
      <c r="E336" s="19">
        <f>IF(E335="","",IF(E335&lt;DATE($B$2+1,1,1)-1,E335+1,""))</f>
        <v>46353</v>
      </c>
      <c r="F336" s="20" t="str">
        <f>IF(E336="","",TEXT(E336,"mmm"))</f>
        <v>Nov</v>
      </c>
      <c r="G336" s="20">
        <f>IF(E336="","",WEEKNUM(E336,2))</f>
        <v>48</v>
      </c>
      <c r="H336" s="20" t="str">
        <f>IF(E336="","",TEXT(E336,"ddd"))</f>
        <v>Fri</v>
      </c>
      <c r="I336" s="20" t="str">
        <f>IF(E336="","",IF(COUNTIF($A$6:$A$55,E336)&gt;0,"Holiday",IF(WEEKDAY(E336,2)=7,"Sunday","Working")))</f>
        <v>Working</v>
      </c>
      <c r="J336" s="20" t="str">
        <f>IF(E336="","",IF(OR(WEEKDAY(E336,2)=7,COUNTIF($A$6:$A$55,E336)&gt;0),"No","Yes"))</f>
        <v>Yes</v>
      </c>
    </row>
    <row r="337">
      <c r="A337" s="9" t="n"/>
      <c r="B337" s="9" t="n"/>
      <c r="C337" s="9" t="n"/>
      <c r="D337" s="9" t="n"/>
      <c r="E337" s="19">
        <f>IF(E336="","",IF(E336&lt;DATE($B$2+1,1,1)-1,E336+1,""))</f>
        <v>46354</v>
      </c>
      <c r="F337" s="20" t="str">
        <f>IF(E337="","",TEXT(E337,"mmm"))</f>
        <v>Nov</v>
      </c>
      <c r="G337" s="20">
        <f>IF(E337="","",WEEKNUM(E337,2))</f>
        <v>48</v>
      </c>
      <c r="H337" s="20" t="str">
        <f>IF(E337="","",TEXT(E337,"ddd"))</f>
        <v>Sat</v>
      </c>
      <c r="I337" s="20" t="str">
        <f>IF(E337="","",IF(COUNTIF($A$6:$A$55,E337)&gt;0,"Holiday",IF(WEEKDAY(E337,2)=7,"Sunday","Working")))</f>
        <v>Working</v>
      </c>
      <c r="J337" s="20" t="str">
        <f>IF(E337="","",IF(OR(WEEKDAY(E337,2)=7,COUNTIF($A$6:$A$55,E337)&gt;0),"No","Yes"))</f>
        <v>Yes</v>
      </c>
    </row>
    <row r="338">
      <c r="A338" s="9" t="n"/>
      <c r="B338" s="9" t="n"/>
      <c r="C338" s="9" t="n"/>
      <c r="D338" s="9" t="n"/>
      <c r="E338" s="19">
        <f>IF(E337="","",IF(E337&lt;DATE($B$2+1,1,1)-1,E337+1,""))</f>
        <v>46355</v>
      </c>
      <c r="F338" s="20" t="str">
        <f>IF(E338="","",TEXT(E338,"mmm"))</f>
        <v>Nov</v>
      </c>
      <c r="G338" s="20">
        <f>IF(E338="","",WEEKNUM(E338,2))</f>
        <v>48</v>
      </c>
      <c r="H338" s="20" t="str">
        <f>IF(E338="","",TEXT(E338,"ddd"))</f>
        <v>Sun</v>
      </c>
      <c r="I338" s="20" t="str">
        <f>IF(E338="","",IF(COUNTIF($A$6:$A$55,E338)&gt;0,"Holiday",IF(WEEKDAY(E338,2)=7,"Sunday","Working")))</f>
        <v>Sunday</v>
      </c>
      <c r="J338" s="20" t="str">
        <f>IF(E338="","",IF(OR(WEEKDAY(E338,2)=7,COUNTIF($A$6:$A$55,E338)&gt;0),"No","Yes"))</f>
        <v>No</v>
      </c>
    </row>
    <row r="339">
      <c r="A339" s="9" t="n"/>
      <c r="B339" s="9" t="n"/>
      <c r="C339" s="9" t="n"/>
      <c r="D339" s="9" t="n"/>
      <c r="E339" s="19">
        <f>IF(E338="","",IF(E338&lt;DATE($B$2+1,1,1)-1,E338+1,""))</f>
        <v>46356</v>
      </c>
      <c r="F339" s="20" t="str">
        <f>IF(E339="","",TEXT(E339,"mmm"))</f>
        <v>Nov</v>
      </c>
      <c r="G339" s="20">
        <f>IF(E339="","",WEEKNUM(E339,2))</f>
        <v>49</v>
      </c>
      <c r="H339" s="20" t="str">
        <f>IF(E339="","",TEXT(E339,"ddd"))</f>
        <v>Mon</v>
      </c>
      <c r="I339" s="20" t="str">
        <f>IF(E339="","",IF(COUNTIF($A$6:$A$55,E339)&gt;0,"Holiday",IF(WEEKDAY(E339,2)=7,"Sunday","Working")))</f>
        <v>Working</v>
      </c>
      <c r="J339" s="20" t="str">
        <f>IF(E339="","",IF(OR(WEEKDAY(E339,2)=7,COUNTIF($A$6:$A$55,E339)&gt;0),"No","Yes"))</f>
        <v>Yes</v>
      </c>
    </row>
    <row r="340">
      <c r="A340" s="9" t="n"/>
      <c r="B340" s="9" t="n"/>
      <c r="C340" s="9" t="n"/>
      <c r="D340" s="9" t="n"/>
      <c r="E340" s="19">
        <f>IF(E339="","",IF(E339&lt;DATE($B$2+1,1,1)-1,E339+1,""))</f>
        <v>46357</v>
      </c>
      <c r="F340" s="20" t="str">
        <f>IF(E340="","",TEXT(E340,"mmm"))</f>
        <v>Dec</v>
      </c>
      <c r="G340" s="20">
        <f>IF(E340="","",WEEKNUM(E340,2))</f>
        <v>49</v>
      </c>
      <c r="H340" s="20" t="str">
        <f>IF(E340="","",TEXT(E340,"ddd"))</f>
        <v>Tue</v>
      </c>
      <c r="I340" s="20" t="str">
        <f>IF(E340="","",IF(COUNTIF($A$6:$A$55,E340)&gt;0,"Holiday",IF(WEEKDAY(E340,2)=7,"Sunday","Working")))</f>
        <v>Working</v>
      </c>
      <c r="J340" s="20" t="str">
        <f>IF(E340="","",IF(OR(WEEKDAY(E340,2)=7,COUNTIF($A$6:$A$55,E340)&gt;0),"No","Yes"))</f>
        <v>Yes</v>
      </c>
    </row>
    <row r="341">
      <c r="A341" s="9" t="n"/>
      <c r="B341" s="9" t="n"/>
      <c r="C341" s="9" t="n"/>
      <c r="D341" s="9" t="n"/>
      <c r="E341" s="19">
        <f>IF(E340="","",IF(E340&lt;DATE($B$2+1,1,1)-1,E340+1,""))</f>
        <v>46358</v>
      </c>
      <c r="F341" s="20" t="str">
        <f>IF(E341="","",TEXT(E341,"mmm"))</f>
        <v>Dec</v>
      </c>
      <c r="G341" s="20">
        <f>IF(E341="","",WEEKNUM(E341,2))</f>
        <v>49</v>
      </c>
      <c r="H341" s="20" t="str">
        <f>IF(E341="","",TEXT(E341,"ddd"))</f>
        <v>Wed</v>
      </c>
      <c r="I341" s="20" t="str">
        <f>IF(E341="","",IF(COUNTIF($A$6:$A$55,E341)&gt;0,"Holiday",IF(WEEKDAY(E341,2)=7,"Sunday","Working")))</f>
        <v>Working</v>
      </c>
      <c r="J341" s="20" t="str">
        <f>IF(E341="","",IF(OR(WEEKDAY(E341,2)=7,COUNTIF($A$6:$A$55,E341)&gt;0),"No","Yes"))</f>
        <v>Yes</v>
      </c>
    </row>
    <row r="342">
      <c r="A342" s="9" t="n"/>
      <c r="B342" s="9" t="n"/>
      <c r="C342" s="9" t="n"/>
      <c r="D342" s="9" t="n"/>
      <c r="E342" s="19">
        <f>IF(E341="","",IF(E341&lt;DATE($B$2+1,1,1)-1,E341+1,""))</f>
        <v>46359</v>
      </c>
      <c r="F342" s="20" t="str">
        <f>IF(E342="","",TEXT(E342,"mmm"))</f>
        <v>Dec</v>
      </c>
      <c r="G342" s="20">
        <f>IF(E342="","",WEEKNUM(E342,2))</f>
        <v>49</v>
      </c>
      <c r="H342" s="20" t="str">
        <f>IF(E342="","",TEXT(E342,"ddd"))</f>
        <v>Thu</v>
      </c>
      <c r="I342" s="20" t="str">
        <f>IF(E342="","",IF(COUNTIF($A$6:$A$55,E342)&gt;0,"Holiday",IF(WEEKDAY(E342,2)=7,"Sunday","Working")))</f>
        <v>Working</v>
      </c>
      <c r="J342" s="20" t="str">
        <f>IF(E342="","",IF(OR(WEEKDAY(E342,2)=7,COUNTIF($A$6:$A$55,E342)&gt;0),"No","Yes"))</f>
        <v>Yes</v>
      </c>
    </row>
    <row r="343">
      <c r="A343" s="9" t="n"/>
      <c r="B343" s="9" t="n"/>
      <c r="C343" s="9" t="n"/>
      <c r="D343" s="9" t="n"/>
      <c r="E343" s="19">
        <f>IF(E342="","",IF(E342&lt;DATE($B$2+1,1,1)-1,E342+1,""))</f>
        <v>46360</v>
      </c>
      <c r="F343" s="20" t="str">
        <f>IF(E343="","",TEXT(E343,"mmm"))</f>
        <v>Dec</v>
      </c>
      <c r="G343" s="20">
        <f>IF(E343="","",WEEKNUM(E343,2))</f>
        <v>49</v>
      </c>
      <c r="H343" s="20" t="str">
        <f>IF(E343="","",TEXT(E343,"ddd"))</f>
        <v>Fri</v>
      </c>
      <c r="I343" s="20" t="str">
        <f>IF(E343="","",IF(COUNTIF($A$6:$A$55,E343)&gt;0,"Holiday",IF(WEEKDAY(E343,2)=7,"Sunday","Working")))</f>
        <v>Working</v>
      </c>
      <c r="J343" s="20" t="str">
        <f>IF(E343="","",IF(OR(WEEKDAY(E343,2)=7,COUNTIF($A$6:$A$55,E343)&gt;0),"No","Yes"))</f>
        <v>Yes</v>
      </c>
    </row>
    <row r="344">
      <c r="A344" s="9" t="n"/>
      <c r="B344" s="9" t="n"/>
      <c r="C344" s="9" t="n"/>
      <c r="D344" s="9" t="n"/>
      <c r="E344" s="19">
        <f>IF(E343="","",IF(E343&lt;DATE($B$2+1,1,1)-1,E343+1,""))</f>
        <v>46361</v>
      </c>
      <c r="F344" s="20" t="str">
        <f>IF(E344="","",TEXT(E344,"mmm"))</f>
        <v>Dec</v>
      </c>
      <c r="G344" s="20">
        <f>IF(E344="","",WEEKNUM(E344,2))</f>
        <v>49</v>
      </c>
      <c r="H344" s="20" t="str">
        <f>IF(E344="","",TEXT(E344,"ddd"))</f>
        <v>Sat</v>
      </c>
      <c r="I344" s="20" t="str">
        <f>IF(E344="","",IF(COUNTIF($A$6:$A$55,E344)&gt;0,"Holiday",IF(WEEKDAY(E344,2)=7,"Sunday","Working")))</f>
        <v>Working</v>
      </c>
      <c r="J344" s="20" t="str">
        <f>IF(E344="","",IF(OR(WEEKDAY(E344,2)=7,COUNTIF($A$6:$A$55,E344)&gt;0),"No","Yes"))</f>
        <v>Yes</v>
      </c>
    </row>
    <row r="345">
      <c r="A345" s="9" t="n"/>
      <c r="B345" s="9" t="n"/>
      <c r="C345" s="9" t="n"/>
      <c r="D345" s="9" t="n"/>
      <c r="E345" s="19">
        <f>IF(E344="","",IF(E344&lt;DATE($B$2+1,1,1)-1,E344+1,""))</f>
        <v>46362</v>
      </c>
      <c r="F345" s="20" t="str">
        <f>IF(E345="","",TEXT(E345,"mmm"))</f>
        <v>Dec</v>
      </c>
      <c r="G345" s="20">
        <f>IF(E345="","",WEEKNUM(E345,2))</f>
        <v>49</v>
      </c>
      <c r="H345" s="20" t="str">
        <f>IF(E345="","",TEXT(E345,"ddd"))</f>
        <v>Sun</v>
      </c>
      <c r="I345" s="20" t="str">
        <f>IF(E345="","",IF(COUNTIF($A$6:$A$55,E345)&gt;0,"Holiday",IF(WEEKDAY(E345,2)=7,"Sunday","Working")))</f>
        <v>Sunday</v>
      </c>
      <c r="J345" s="20" t="str">
        <f>IF(E345="","",IF(OR(WEEKDAY(E345,2)=7,COUNTIF($A$6:$A$55,E345)&gt;0),"No","Yes"))</f>
        <v>No</v>
      </c>
    </row>
    <row r="346">
      <c r="A346" s="9" t="n"/>
      <c r="B346" s="9" t="n"/>
      <c r="C346" s="9" t="n"/>
      <c r="D346" s="9" t="n"/>
      <c r="E346" s="19">
        <f>IF(E345="","",IF(E345&lt;DATE($B$2+1,1,1)-1,E345+1,""))</f>
        <v>46363</v>
      </c>
      <c r="F346" s="20" t="str">
        <f>IF(E346="","",TEXT(E346,"mmm"))</f>
        <v>Dec</v>
      </c>
      <c r="G346" s="20">
        <f>IF(E346="","",WEEKNUM(E346,2))</f>
        <v>50</v>
      </c>
      <c r="H346" s="20" t="str">
        <f>IF(E346="","",TEXT(E346,"ddd"))</f>
        <v>Mon</v>
      </c>
      <c r="I346" s="20" t="str">
        <f>IF(E346="","",IF(COUNTIF($A$6:$A$55,E346)&gt;0,"Holiday",IF(WEEKDAY(E346,2)=7,"Sunday","Working")))</f>
        <v>Working</v>
      </c>
      <c r="J346" s="20" t="str">
        <f>IF(E346="","",IF(OR(WEEKDAY(E346,2)=7,COUNTIF($A$6:$A$55,E346)&gt;0),"No","Yes"))</f>
        <v>Yes</v>
      </c>
    </row>
    <row r="347">
      <c r="A347" s="9" t="n"/>
      <c r="B347" s="9" t="n"/>
      <c r="C347" s="9" t="n"/>
      <c r="D347" s="9" t="n"/>
      <c r="E347" s="19">
        <f>IF(E346="","",IF(E346&lt;DATE($B$2+1,1,1)-1,E346+1,""))</f>
        <v>46364</v>
      </c>
      <c r="F347" s="20" t="str">
        <f>IF(E347="","",TEXT(E347,"mmm"))</f>
        <v>Dec</v>
      </c>
      <c r="G347" s="20">
        <f>IF(E347="","",WEEKNUM(E347,2))</f>
        <v>50</v>
      </c>
      <c r="H347" s="20" t="str">
        <f>IF(E347="","",TEXT(E347,"ddd"))</f>
        <v>Tue</v>
      </c>
      <c r="I347" s="20" t="str">
        <f>IF(E347="","",IF(COUNTIF($A$6:$A$55,E347)&gt;0,"Holiday",IF(WEEKDAY(E347,2)=7,"Sunday","Working")))</f>
        <v>Working</v>
      </c>
      <c r="J347" s="20" t="str">
        <f>IF(E347="","",IF(OR(WEEKDAY(E347,2)=7,COUNTIF($A$6:$A$55,E347)&gt;0),"No","Yes"))</f>
        <v>Yes</v>
      </c>
    </row>
    <row r="348">
      <c r="A348" s="9" t="n"/>
      <c r="B348" s="9" t="n"/>
      <c r="C348" s="9" t="n"/>
      <c r="D348" s="9" t="n"/>
      <c r="E348" s="19">
        <f>IF(E347="","",IF(E347&lt;DATE($B$2+1,1,1)-1,E347+1,""))</f>
        <v>46365</v>
      </c>
      <c r="F348" s="20" t="str">
        <f>IF(E348="","",TEXT(E348,"mmm"))</f>
        <v>Dec</v>
      </c>
      <c r="G348" s="20">
        <f>IF(E348="","",WEEKNUM(E348,2))</f>
        <v>50</v>
      </c>
      <c r="H348" s="20" t="str">
        <f>IF(E348="","",TEXT(E348,"ddd"))</f>
        <v>Wed</v>
      </c>
      <c r="I348" s="20" t="str">
        <f>IF(E348="","",IF(COUNTIF($A$6:$A$55,E348)&gt;0,"Holiday",IF(WEEKDAY(E348,2)=7,"Sunday","Working")))</f>
        <v>Working</v>
      </c>
      <c r="J348" s="20" t="str">
        <f>IF(E348="","",IF(OR(WEEKDAY(E348,2)=7,COUNTIF($A$6:$A$55,E348)&gt;0),"No","Yes"))</f>
        <v>Yes</v>
      </c>
    </row>
    <row r="349">
      <c r="A349" s="9" t="n"/>
      <c r="B349" s="9" t="n"/>
      <c r="C349" s="9" t="n"/>
      <c r="D349" s="9" t="n"/>
      <c r="E349" s="19">
        <f>IF(E348="","",IF(E348&lt;DATE($B$2+1,1,1)-1,E348+1,""))</f>
        <v>46366</v>
      </c>
      <c r="F349" s="20" t="str">
        <f>IF(E349="","",TEXT(E349,"mmm"))</f>
        <v>Dec</v>
      </c>
      <c r="G349" s="20">
        <f>IF(E349="","",WEEKNUM(E349,2))</f>
        <v>50</v>
      </c>
      <c r="H349" s="20" t="str">
        <f>IF(E349="","",TEXT(E349,"ddd"))</f>
        <v>Thu</v>
      </c>
      <c r="I349" s="20" t="str">
        <f>IF(E349="","",IF(COUNTIF($A$6:$A$55,E349)&gt;0,"Holiday",IF(WEEKDAY(E349,2)=7,"Sunday","Working")))</f>
        <v>Working</v>
      </c>
      <c r="J349" s="20" t="str">
        <f>IF(E349="","",IF(OR(WEEKDAY(E349,2)=7,COUNTIF($A$6:$A$55,E349)&gt;0),"No","Yes"))</f>
        <v>Yes</v>
      </c>
    </row>
    <row r="350">
      <c r="A350" s="9" t="n"/>
      <c r="B350" s="9" t="n"/>
      <c r="C350" s="9" t="n"/>
      <c r="D350" s="9" t="n"/>
      <c r="E350" s="19">
        <f>IF(E349="","",IF(E349&lt;DATE($B$2+1,1,1)-1,E349+1,""))</f>
        <v>46367</v>
      </c>
      <c r="F350" s="20" t="str">
        <f>IF(E350="","",TEXT(E350,"mmm"))</f>
        <v>Dec</v>
      </c>
      <c r="G350" s="20">
        <f>IF(E350="","",WEEKNUM(E350,2))</f>
        <v>50</v>
      </c>
      <c r="H350" s="20" t="str">
        <f>IF(E350="","",TEXT(E350,"ddd"))</f>
        <v>Fri</v>
      </c>
      <c r="I350" s="20" t="str">
        <f>IF(E350="","",IF(COUNTIF($A$6:$A$55,E350)&gt;0,"Holiday",IF(WEEKDAY(E350,2)=7,"Sunday","Working")))</f>
        <v>Working</v>
      </c>
      <c r="J350" s="20" t="str">
        <f>IF(E350="","",IF(OR(WEEKDAY(E350,2)=7,COUNTIF($A$6:$A$55,E350)&gt;0),"No","Yes"))</f>
        <v>Yes</v>
      </c>
    </row>
    <row r="351">
      <c r="A351" s="9" t="n"/>
      <c r="B351" s="9" t="n"/>
      <c r="C351" s="9" t="n"/>
      <c r="D351" s="9" t="n"/>
      <c r="E351" s="19">
        <f>IF(E350="","",IF(E350&lt;DATE($B$2+1,1,1)-1,E350+1,""))</f>
        <v>46368</v>
      </c>
      <c r="F351" s="20" t="str">
        <f>IF(E351="","",TEXT(E351,"mmm"))</f>
        <v>Dec</v>
      </c>
      <c r="G351" s="20">
        <f>IF(E351="","",WEEKNUM(E351,2))</f>
        <v>50</v>
      </c>
      <c r="H351" s="20" t="str">
        <f>IF(E351="","",TEXT(E351,"ddd"))</f>
        <v>Sat</v>
      </c>
      <c r="I351" s="20" t="str">
        <f>IF(E351="","",IF(COUNTIF($A$6:$A$55,E351)&gt;0,"Holiday",IF(WEEKDAY(E351,2)=7,"Sunday","Working")))</f>
        <v>Working</v>
      </c>
      <c r="J351" s="20" t="str">
        <f>IF(E351="","",IF(OR(WEEKDAY(E351,2)=7,COUNTIF($A$6:$A$55,E351)&gt;0),"No","Yes"))</f>
        <v>Yes</v>
      </c>
    </row>
    <row r="352">
      <c r="A352" s="9" t="n"/>
      <c r="B352" s="9" t="n"/>
      <c r="C352" s="9" t="n"/>
      <c r="D352" s="9" t="n"/>
      <c r="E352" s="19">
        <f>IF(E351="","",IF(E351&lt;DATE($B$2+1,1,1)-1,E351+1,""))</f>
        <v>46369</v>
      </c>
      <c r="F352" s="20" t="str">
        <f>IF(E352="","",TEXT(E352,"mmm"))</f>
        <v>Dec</v>
      </c>
      <c r="G352" s="20">
        <f>IF(E352="","",WEEKNUM(E352,2))</f>
        <v>50</v>
      </c>
      <c r="H352" s="20" t="str">
        <f>IF(E352="","",TEXT(E352,"ddd"))</f>
        <v>Sun</v>
      </c>
      <c r="I352" s="20" t="str">
        <f>IF(E352="","",IF(COUNTIF($A$6:$A$55,E352)&gt;0,"Holiday",IF(WEEKDAY(E352,2)=7,"Sunday","Working")))</f>
        <v>Sunday</v>
      </c>
      <c r="J352" s="20" t="str">
        <f>IF(E352="","",IF(OR(WEEKDAY(E352,2)=7,COUNTIF($A$6:$A$55,E352)&gt;0),"No","Yes"))</f>
        <v>No</v>
      </c>
    </row>
    <row r="353">
      <c r="A353" s="9" t="n"/>
      <c r="B353" s="9" t="n"/>
      <c r="C353" s="9" t="n"/>
      <c r="D353" s="9" t="n"/>
      <c r="E353" s="19">
        <f>IF(E352="","",IF(E352&lt;DATE($B$2+1,1,1)-1,E352+1,""))</f>
        <v>46370</v>
      </c>
      <c r="F353" s="20" t="str">
        <f>IF(E353="","",TEXT(E353,"mmm"))</f>
        <v>Dec</v>
      </c>
      <c r="G353" s="20">
        <f>IF(E353="","",WEEKNUM(E353,2))</f>
        <v>51</v>
      </c>
      <c r="H353" s="20" t="str">
        <f>IF(E353="","",TEXT(E353,"ddd"))</f>
        <v>Mon</v>
      </c>
      <c r="I353" s="20" t="str">
        <f>IF(E353="","",IF(COUNTIF($A$6:$A$55,E353)&gt;0,"Holiday",IF(WEEKDAY(E353,2)=7,"Sunday","Working")))</f>
        <v>Working</v>
      </c>
      <c r="J353" s="20" t="str">
        <f>IF(E353="","",IF(OR(WEEKDAY(E353,2)=7,COUNTIF($A$6:$A$55,E353)&gt;0),"No","Yes"))</f>
        <v>Yes</v>
      </c>
    </row>
    <row r="354">
      <c r="A354" s="9" t="n"/>
      <c r="B354" s="9" t="n"/>
      <c r="C354" s="9" t="n"/>
      <c r="D354" s="9" t="n"/>
      <c r="E354" s="19">
        <f>IF(E353="","",IF(E353&lt;DATE($B$2+1,1,1)-1,E353+1,""))</f>
        <v>46371</v>
      </c>
      <c r="F354" s="20" t="str">
        <f>IF(E354="","",TEXT(E354,"mmm"))</f>
        <v>Dec</v>
      </c>
      <c r="G354" s="20">
        <f>IF(E354="","",WEEKNUM(E354,2))</f>
        <v>51</v>
      </c>
      <c r="H354" s="20" t="str">
        <f>IF(E354="","",TEXT(E354,"ddd"))</f>
        <v>Tue</v>
      </c>
      <c r="I354" s="20" t="str">
        <f>IF(E354="","",IF(COUNTIF($A$6:$A$55,E354)&gt;0,"Holiday",IF(WEEKDAY(E354,2)=7,"Sunday","Working")))</f>
        <v>Working</v>
      </c>
      <c r="J354" s="20" t="str">
        <f>IF(E354="","",IF(OR(WEEKDAY(E354,2)=7,COUNTIF($A$6:$A$55,E354)&gt;0),"No","Yes"))</f>
        <v>Yes</v>
      </c>
    </row>
    <row r="355">
      <c r="A355" s="9" t="n"/>
      <c r="B355" s="9" t="n"/>
      <c r="C355" s="9" t="n"/>
      <c r="D355" s="9" t="n"/>
      <c r="E355" s="19">
        <f>IF(E354="","",IF(E354&lt;DATE($B$2+1,1,1)-1,E354+1,""))</f>
        <v>46372</v>
      </c>
      <c r="F355" s="20" t="str">
        <f>IF(E355="","",TEXT(E355,"mmm"))</f>
        <v>Dec</v>
      </c>
      <c r="G355" s="20">
        <f>IF(E355="","",WEEKNUM(E355,2))</f>
        <v>51</v>
      </c>
      <c r="H355" s="20" t="str">
        <f>IF(E355="","",TEXT(E355,"ddd"))</f>
        <v>Wed</v>
      </c>
      <c r="I355" s="20" t="str">
        <f>IF(E355="","",IF(COUNTIF($A$6:$A$55,E355)&gt;0,"Holiday",IF(WEEKDAY(E355,2)=7,"Sunday","Working")))</f>
        <v>Working</v>
      </c>
      <c r="J355" s="20" t="str">
        <f>IF(E355="","",IF(OR(WEEKDAY(E355,2)=7,COUNTIF($A$6:$A$55,E355)&gt;0),"No","Yes"))</f>
        <v>Yes</v>
      </c>
    </row>
    <row r="356">
      <c r="A356" s="9" t="n"/>
      <c r="B356" s="9" t="n"/>
      <c r="C356" s="9" t="n"/>
      <c r="D356" s="9" t="n"/>
      <c r="E356" s="19">
        <f>IF(E355="","",IF(E355&lt;DATE($B$2+1,1,1)-1,E355+1,""))</f>
        <v>46373</v>
      </c>
      <c r="F356" s="20" t="str">
        <f>IF(E356="","",TEXT(E356,"mmm"))</f>
        <v>Dec</v>
      </c>
      <c r="G356" s="20">
        <f>IF(E356="","",WEEKNUM(E356,2))</f>
        <v>51</v>
      </c>
      <c r="H356" s="20" t="str">
        <f>IF(E356="","",TEXT(E356,"ddd"))</f>
        <v>Thu</v>
      </c>
      <c r="I356" s="20" t="str">
        <f>IF(E356="","",IF(COUNTIF($A$6:$A$55,E356)&gt;0,"Holiday",IF(WEEKDAY(E356,2)=7,"Sunday","Working")))</f>
        <v>Working</v>
      </c>
      <c r="J356" s="20" t="str">
        <f>IF(E356="","",IF(OR(WEEKDAY(E356,2)=7,COUNTIF($A$6:$A$55,E356)&gt;0),"No","Yes"))</f>
        <v>Yes</v>
      </c>
    </row>
    <row r="357">
      <c r="A357" s="9" t="n"/>
      <c r="B357" s="9" t="n"/>
      <c r="C357" s="9" t="n"/>
      <c r="D357" s="9" t="n"/>
      <c r="E357" s="19">
        <f>IF(E356="","",IF(E356&lt;DATE($B$2+1,1,1)-1,E356+1,""))</f>
        <v>46374</v>
      </c>
      <c r="F357" s="20" t="str">
        <f>IF(E357="","",TEXT(E357,"mmm"))</f>
        <v>Dec</v>
      </c>
      <c r="G357" s="20">
        <f>IF(E357="","",WEEKNUM(E357,2))</f>
        <v>51</v>
      </c>
      <c r="H357" s="20" t="str">
        <f>IF(E357="","",TEXT(E357,"ddd"))</f>
        <v>Fri</v>
      </c>
      <c r="I357" s="20" t="str">
        <f>IF(E357="","",IF(COUNTIF($A$6:$A$55,E357)&gt;0,"Holiday",IF(WEEKDAY(E357,2)=7,"Sunday","Working")))</f>
        <v>Working</v>
      </c>
      <c r="J357" s="20" t="str">
        <f>IF(E357="","",IF(OR(WEEKDAY(E357,2)=7,COUNTIF($A$6:$A$55,E357)&gt;0),"No","Yes"))</f>
        <v>Yes</v>
      </c>
    </row>
    <row r="358">
      <c r="A358" s="9" t="n"/>
      <c r="B358" s="9" t="n"/>
      <c r="C358" s="9" t="n"/>
      <c r="D358" s="9" t="n"/>
      <c r="E358" s="19">
        <f>IF(E357="","",IF(E357&lt;DATE($B$2+1,1,1)-1,E357+1,""))</f>
        <v>46375</v>
      </c>
      <c r="F358" s="20" t="str">
        <f>IF(E358="","",TEXT(E358,"mmm"))</f>
        <v>Dec</v>
      </c>
      <c r="G358" s="20">
        <f>IF(E358="","",WEEKNUM(E358,2))</f>
        <v>51</v>
      </c>
      <c r="H358" s="20" t="str">
        <f>IF(E358="","",TEXT(E358,"ddd"))</f>
        <v>Sat</v>
      </c>
      <c r="I358" s="20" t="str">
        <f>IF(E358="","",IF(COUNTIF($A$6:$A$55,E358)&gt;0,"Holiday",IF(WEEKDAY(E358,2)=7,"Sunday","Working")))</f>
        <v>Working</v>
      </c>
      <c r="J358" s="20" t="str">
        <f>IF(E358="","",IF(OR(WEEKDAY(E358,2)=7,COUNTIF($A$6:$A$55,E358)&gt;0),"No","Yes"))</f>
        <v>Yes</v>
      </c>
    </row>
    <row r="359">
      <c r="A359" s="9" t="n"/>
      <c r="B359" s="9" t="n"/>
      <c r="C359" s="9" t="n"/>
      <c r="D359" s="9" t="n"/>
      <c r="E359" s="19">
        <f>IF(E358="","",IF(E358&lt;DATE($B$2+1,1,1)-1,E358+1,""))</f>
        <v>46376</v>
      </c>
      <c r="F359" s="20" t="str">
        <f>IF(E359="","",TEXT(E359,"mmm"))</f>
        <v>Dec</v>
      </c>
      <c r="G359" s="20">
        <f>IF(E359="","",WEEKNUM(E359,2))</f>
        <v>51</v>
      </c>
      <c r="H359" s="20" t="str">
        <f>IF(E359="","",TEXT(E359,"ddd"))</f>
        <v>Sun</v>
      </c>
      <c r="I359" s="20" t="str">
        <f>IF(E359="","",IF(COUNTIF($A$6:$A$55,E359)&gt;0,"Holiday",IF(WEEKDAY(E359,2)=7,"Sunday","Working")))</f>
        <v>Sunday</v>
      </c>
      <c r="J359" s="20" t="str">
        <f>IF(E359="","",IF(OR(WEEKDAY(E359,2)=7,COUNTIF($A$6:$A$55,E359)&gt;0),"No","Yes"))</f>
        <v>No</v>
      </c>
    </row>
    <row r="360">
      <c r="A360" s="9" t="n"/>
      <c r="B360" s="9" t="n"/>
      <c r="C360" s="9" t="n"/>
      <c r="D360" s="9" t="n"/>
      <c r="E360" s="19">
        <f>IF(E359="","",IF(E359&lt;DATE($B$2+1,1,1)-1,E359+1,""))</f>
        <v>46377</v>
      </c>
      <c r="F360" s="20" t="str">
        <f>IF(E360="","",TEXT(E360,"mmm"))</f>
        <v>Dec</v>
      </c>
      <c r="G360" s="20">
        <f>IF(E360="","",WEEKNUM(E360,2))</f>
        <v>52</v>
      </c>
      <c r="H360" s="20" t="str">
        <f>IF(E360="","",TEXT(E360,"ddd"))</f>
        <v>Mon</v>
      </c>
      <c r="I360" s="20" t="str">
        <f>IF(E360="","",IF(COUNTIF($A$6:$A$55,E360)&gt;0,"Holiday",IF(WEEKDAY(E360,2)=7,"Sunday","Working")))</f>
        <v>Working</v>
      </c>
      <c r="J360" s="20" t="str">
        <f>IF(E360="","",IF(OR(WEEKDAY(E360,2)=7,COUNTIF($A$6:$A$55,E360)&gt;0),"No","Yes"))</f>
        <v>Yes</v>
      </c>
    </row>
    <row r="361">
      <c r="A361" s="9" t="n"/>
      <c r="B361" s="9" t="n"/>
      <c r="C361" s="9" t="n"/>
      <c r="D361" s="9" t="n"/>
      <c r="E361" s="19">
        <f>IF(E360="","",IF(E360&lt;DATE($B$2+1,1,1)-1,E360+1,""))</f>
        <v>46378</v>
      </c>
      <c r="F361" s="20" t="str">
        <f>IF(E361="","",TEXT(E361,"mmm"))</f>
        <v>Dec</v>
      </c>
      <c r="G361" s="20">
        <f>IF(E361="","",WEEKNUM(E361,2))</f>
        <v>52</v>
      </c>
      <c r="H361" s="20" t="str">
        <f>IF(E361="","",TEXT(E361,"ddd"))</f>
        <v>Tue</v>
      </c>
      <c r="I361" s="20" t="str">
        <f>IF(E361="","",IF(COUNTIF($A$6:$A$55,E361)&gt;0,"Holiday",IF(WEEKDAY(E361,2)=7,"Sunday","Working")))</f>
        <v>Working</v>
      </c>
      <c r="J361" s="20" t="str">
        <f>IF(E361="","",IF(OR(WEEKDAY(E361,2)=7,COUNTIF($A$6:$A$55,E361)&gt;0),"No","Yes"))</f>
        <v>Yes</v>
      </c>
    </row>
    <row r="362">
      <c r="A362" s="9" t="n"/>
      <c r="B362" s="9" t="n"/>
      <c r="C362" s="9" t="n"/>
      <c r="D362" s="9" t="n"/>
      <c r="E362" s="19">
        <f>IF(E361="","",IF(E361&lt;DATE($B$2+1,1,1)-1,E361+1,""))</f>
        <v>46379</v>
      </c>
      <c r="F362" s="20" t="str">
        <f>IF(E362="","",TEXT(E362,"mmm"))</f>
        <v>Dec</v>
      </c>
      <c r="G362" s="20">
        <f>IF(E362="","",WEEKNUM(E362,2))</f>
        <v>52</v>
      </c>
      <c r="H362" s="20" t="str">
        <f>IF(E362="","",TEXT(E362,"ddd"))</f>
        <v>Wed</v>
      </c>
      <c r="I362" s="20" t="str">
        <f>IF(E362="","",IF(COUNTIF($A$6:$A$55,E362)&gt;0,"Holiday",IF(WEEKDAY(E362,2)=7,"Sunday","Working")))</f>
        <v>Working</v>
      </c>
      <c r="J362" s="20" t="str">
        <f>IF(E362="","",IF(OR(WEEKDAY(E362,2)=7,COUNTIF($A$6:$A$55,E362)&gt;0),"No","Yes"))</f>
        <v>Yes</v>
      </c>
    </row>
    <row r="363">
      <c r="A363" s="9" t="n"/>
      <c r="B363" s="9" t="n"/>
      <c r="C363" s="9" t="n"/>
      <c r="D363" s="9" t="n"/>
      <c r="E363" s="19">
        <f>IF(E362="","",IF(E362&lt;DATE($B$2+1,1,1)-1,E362+1,""))</f>
        <v>46380</v>
      </c>
      <c r="F363" s="20" t="str">
        <f>IF(E363="","",TEXT(E363,"mmm"))</f>
        <v>Dec</v>
      </c>
      <c r="G363" s="20">
        <f>IF(E363="","",WEEKNUM(E363,2))</f>
        <v>52</v>
      </c>
      <c r="H363" s="20" t="str">
        <f>IF(E363="","",TEXT(E363,"ddd"))</f>
        <v>Thu</v>
      </c>
      <c r="I363" s="20" t="str">
        <f>IF(E363="","",IF(COUNTIF($A$6:$A$55,E363)&gt;0,"Holiday",IF(WEEKDAY(E363,2)=7,"Sunday","Working")))</f>
        <v>Working</v>
      </c>
      <c r="J363" s="20" t="str">
        <f>IF(E363="","",IF(OR(WEEKDAY(E363,2)=7,COUNTIF($A$6:$A$55,E363)&gt;0),"No","Yes"))</f>
        <v>Yes</v>
      </c>
    </row>
    <row r="364">
      <c r="A364" s="9" t="n"/>
      <c r="B364" s="9" t="n"/>
      <c r="C364" s="9" t="n"/>
      <c r="D364" s="9" t="n"/>
      <c r="E364" s="19">
        <f>IF(E363="","",IF(E363&lt;DATE($B$2+1,1,1)-1,E363+1,""))</f>
        <v>46381</v>
      </c>
      <c r="F364" s="20" t="str">
        <f>IF(E364="","",TEXT(E364,"mmm"))</f>
        <v>Dec</v>
      </c>
      <c r="G364" s="20">
        <f>IF(E364="","",WEEKNUM(E364,2))</f>
        <v>52</v>
      </c>
      <c r="H364" s="20" t="str">
        <f>IF(E364="","",TEXT(E364,"ddd"))</f>
        <v>Fri</v>
      </c>
      <c r="I364" s="20" t="str">
        <f>IF(E364="","",IF(COUNTIF($A$6:$A$55,E364)&gt;0,"Holiday",IF(WEEKDAY(E364,2)=7,"Sunday","Working")))</f>
        <v>Working</v>
      </c>
      <c r="J364" s="20" t="str">
        <f>IF(E364="","",IF(OR(WEEKDAY(E364,2)=7,COUNTIF($A$6:$A$55,E364)&gt;0),"No","Yes"))</f>
        <v>Yes</v>
      </c>
    </row>
    <row r="365">
      <c r="A365" s="9" t="n"/>
      <c r="B365" s="9" t="n"/>
      <c r="C365" s="9" t="n"/>
      <c r="D365" s="9" t="n"/>
      <c r="E365" s="19">
        <f>IF(E364="","",IF(E364&lt;DATE($B$2+1,1,1)-1,E364+1,""))</f>
        <v>46382</v>
      </c>
      <c r="F365" s="20" t="str">
        <f>IF(E365="","",TEXT(E365,"mmm"))</f>
        <v>Dec</v>
      </c>
      <c r="G365" s="20">
        <f>IF(E365="","",WEEKNUM(E365,2))</f>
        <v>52</v>
      </c>
      <c r="H365" s="20" t="str">
        <f>IF(E365="","",TEXT(E365,"ddd"))</f>
        <v>Sat</v>
      </c>
      <c r="I365" s="20" t="str">
        <f>IF(E365="","",IF(COUNTIF($A$6:$A$55,E365)&gt;0,"Holiday",IF(WEEKDAY(E365,2)=7,"Sunday","Working")))</f>
        <v>Working</v>
      </c>
      <c r="J365" s="20" t="str">
        <f>IF(E365="","",IF(OR(WEEKDAY(E365,2)=7,COUNTIF($A$6:$A$55,E365)&gt;0),"No","Yes"))</f>
        <v>Yes</v>
      </c>
    </row>
    <row r="366">
      <c r="A366" s="9" t="n"/>
      <c r="B366" s="9" t="n"/>
      <c r="C366" s="9" t="n"/>
      <c r="D366" s="9" t="n"/>
      <c r="E366" s="19">
        <f>IF(E365="","",IF(E365&lt;DATE($B$2+1,1,1)-1,E365+1,""))</f>
        <v>46383</v>
      </c>
      <c r="F366" s="20" t="str">
        <f>IF(E366="","",TEXT(E366,"mmm"))</f>
        <v>Dec</v>
      </c>
      <c r="G366" s="20">
        <f>IF(E366="","",WEEKNUM(E366,2))</f>
        <v>52</v>
      </c>
      <c r="H366" s="20" t="str">
        <f>IF(E366="","",TEXT(E366,"ddd"))</f>
        <v>Sun</v>
      </c>
      <c r="I366" s="20" t="str">
        <f>IF(E366="","",IF(COUNTIF($A$6:$A$55,E366)&gt;0,"Holiday",IF(WEEKDAY(E366,2)=7,"Sunday","Working")))</f>
        <v>Sunday</v>
      </c>
      <c r="J366" s="20" t="str">
        <f>IF(E366="","",IF(OR(WEEKDAY(E366,2)=7,COUNTIF($A$6:$A$55,E366)&gt;0),"No","Yes"))</f>
        <v>No</v>
      </c>
    </row>
    <row r="367">
      <c r="A367" s="9" t="n"/>
      <c r="B367" s="9" t="n"/>
      <c r="C367" s="9" t="n"/>
      <c r="D367" s="9" t="n"/>
      <c r="E367" s="19">
        <f>IF(E366="","",IF(E366&lt;DATE($B$2+1,1,1)-1,E366+1,""))</f>
        <v>46384</v>
      </c>
      <c r="F367" s="20" t="str">
        <f>IF(E367="","",TEXT(E367,"mmm"))</f>
        <v>Dec</v>
      </c>
      <c r="G367" s="20">
        <f>IF(E367="","",WEEKNUM(E367,2))</f>
        <v>53</v>
      </c>
      <c r="H367" s="20" t="str">
        <f>IF(E367="","",TEXT(E367,"ddd"))</f>
        <v>Mon</v>
      </c>
      <c r="I367" s="20" t="str">
        <f>IF(E367="","",IF(COUNTIF($A$6:$A$55,E367)&gt;0,"Holiday",IF(WEEKDAY(E367,2)=7,"Sunday","Working")))</f>
        <v>Working</v>
      </c>
      <c r="J367" s="20" t="str">
        <f>IF(E367="","",IF(OR(WEEKDAY(E367,2)=7,COUNTIF($A$6:$A$55,E367)&gt;0),"No","Yes"))</f>
        <v>Yes</v>
      </c>
    </row>
    <row r="368">
      <c r="A368" s="9" t="n"/>
      <c r="B368" s="9" t="n"/>
      <c r="C368" s="9" t="n"/>
      <c r="D368" s="9" t="n"/>
      <c r="E368" s="19">
        <f>IF(E367="","",IF(E367&lt;DATE($B$2+1,1,1)-1,E367+1,""))</f>
        <v>46385</v>
      </c>
      <c r="F368" s="20" t="str">
        <f>IF(E368="","",TEXT(E368,"mmm"))</f>
        <v>Dec</v>
      </c>
      <c r="G368" s="20">
        <f>IF(E368="","",WEEKNUM(E368,2))</f>
        <v>53</v>
      </c>
      <c r="H368" s="20" t="str">
        <f>IF(E368="","",TEXT(E368,"ddd"))</f>
        <v>Tue</v>
      </c>
      <c r="I368" s="20" t="str">
        <f>IF(E368="","",IF(COUNTIF($A$6:$A$55,E368)&gt;0,"Holiday",IF(WEEKDAY(E368,2)=7,"Sunday","Working")))</f>
        <v>Working</v>
      </c>
      <c r="J368" s="20" t="str">
        <f>IF(E368="","",IF(OR(WEEKDAY(E368,2)=7,COUNTIF($A$6:$A$55,E368)&gt;0),"No","Yes"))</f>
        <v>Yes</v>
      </c>
    </row>
    <row r="369">
      <c r="A369" s="9" t="n"/>
      <c r="B369" s="9" t="n"/>
      <c r="C369" s="9" t="n"/>
      <c r="D369" s="9" t="n"/>
      <c r="E369" s="19">
        <f>IF(E368="","",IF(E368&lt;DATE($B$2+1,1,1)-1,E368+1,""))</f>
        <v>46386</v>
      </c>
      <c r="F369" s="20" t="str">
        <f>IF(E369="","",TEXT(E369,"mmm"))</f>
        <v>Dec</v>
      </c>
      <c r="G369" s="20">
        <f>IF(E369="","",WEEKNUM(E369,2))</f>
        <v>53</v>
      </c>
      <c r="H369" s="20" t="str">
        <f>IF(E369="","",TEXT(E369,"ddd"))</f>
        <v>Wed</v>
      </c>
      <c r="I369" s="20" t="str">
        <f>IF(E369="","",IF(COUNTIF($A$6:$A$55,E369)&gt;0,"Holiday",IF(WEEKDAY(E369,2)=7,"Sunday","Working")))</f>
        <v>Working</v>
      </c>
      <c r="J369" s="20" t="str">
        <f>IF(E369="","",IF(OR(WEEKDAY(E369,2)=7,COUNTIF($A$6:$A$55,E369)&gt;0),"No","Yes"))</f>
        <v>Yes</v>
      </c>
    </row>
    <row r="370">
      <c r="A370" s="9" t="n"/>
      <c r="B370" s="9" t="n"/>
      <c r="C370" s="9" t="n"/>
      <c r="D370" s="9" t="n"/>
      <c r="E370" s="19">
        <f>IF(E369="","",IF(E369&lt;DATE($B$2+1,1,1)-1,E369+1,""))</f>
        <v>46387</v>
      </c>
      <c r="F370" s="20" t="str">
        <f>IF(E370="","",TEXT(E370,"mmm"))</f>
        <v>Dec</v>
      </c>
      <c r="G370" s="20">
        <f>IF(E370="","",WEEKNUM(E370,2))</f>
        <v>53</v>
      </c>
      <c r="H370" s="20" t="str">
        <f>IF(E370="","",TEXT(E370,"ddd"))</f>
        <v>Thu</v>
      </c>
      <c r="I370" s="20" t="str">
        <f>IF(E370="","",IF(COUNTIF($A$6:$A$55,E370)&gt;0,"Holiday",IF(WEEKDAY(E370,2)=7,"Sunday","Working")))</f>
        <v>Working</v>
      </c>
      <c r="J370" s="20" t="str">
        <f>IF(E370="","",IF(OR(WEEKDAY(E370,2)=7,COUNTIF($A$6:$A$55,E370)&gt;0),"No","Yes"))</f>
        <v>Yes</v>
      </c>
    </row>
    <row r="371">
      <c r="A371" s="9" t="n"/>
      <c r="B371" s="9" t="n"/>
      <c r="C371" s="9" t="n"/>
      <c r="D371" s="9" t="n"/>
      <c r="E371" s="19" t="str">
        <f>IF(E370="","",IF(E370&lt;DATE($B$2+1,1,1)-1,E370+1,""))</f>
        <v/>
      </c>
      <c r="F371" s="20" t="str">
        <f>IF(E371="","",TEXT(E371,"mmm"))</f>
        <v/>
      </c>
      <c r="G371" s="20" t="str">
        <f>IF(E371="","",WEEKNUM(E371,2))</f>
        <v/>
      </c>
      <c r="H371" s="20" t="str">
        <f>IF(E371="","",TEXT(E371,"ddd"))</f>
        <v/>
      </c>
      <c r="I371" s="20" t="str">
        <f>IF(E371="","",IF(COUNTIF($A$6:$A$55,E371)&gt;0,"Holiday",IF(WEEKDAY(E371,2)=7,"Sunday","Working")))</f>
        <v/>
      </c>
      <c r="J371" s="20" t="str">
        <f>IF(E371="","",IF(OR(WEEKDAY(E371,2)=7,COUNTIF($A$6:$A$55,E371)&gt;0),"No","Yes"))</f>
        <v/>
      </c>
    </row>
  </sheetData>
  <mergeCells count="4">
    <mergeCell ref="E4:J4"/>
    <mergeCell ref="A4:C4"/>
    <mergeCell ref="A1:J1"/>
    <mergeCell ref="A3:J3"/>
  </mergeCells>
  <conditionalFormatting sqref="E6:J371">
    <cfRule type="expression" priority="1" dxfId="1">
      <formula>I6="Sunday"</formula>
    </cfRule>
    <cfRule type="expression" priority="2" dxfId="0">
      <formula>I6="Holiday"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Tanmay Mandal</dc:creator>
  <dcterms:created xmlns:dcterms="http://purl.org/dc/terms/" xmlns:xsi="http://www.w3.org/2001/XMLSchema-instance" xsi:type="dcterms:W3CDTF">2026-08-13T06:00:43Z</dcterms:created>
  <dcterms:modified xmlns:dcterms="http://purl.org/dc/terms/" xmlns:xsi="http://www.w3.org/2001/XMLSchema-instance" xsi:type="dcterms:W3CDTF">2026-10-08T13:53:14Z</dcterms:modified>
  <cp:lastModifiedBy>Tanmay Mandal</cp:lastModifiedBy>
</cp:coreProperties>
</file>